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3AD8D776-13E4-46DC-8DF9-80ED9E8341B1}" xr6:coauthVersionLast="47" xr6:coauthVersionMax="47" xr10:uidLastSave="{00000000-0000-0000-0000-000000000000}"/>
  <bookViews>
    <workbookView xWindow="1230" yWindow="180" windowWidth="36330" windowHeight="19485" activeTab="2" xr2:uid="{992023F3-CAB7-4E5B-A348-08D563A0EF40}"/>
  </bookViews>
  <sheets>
    <sheet name="Home" sheetId="71" r:id="rId1"/>
    <sheet name="Results - Activity period" sheetId="13" r:id="rId2"/>
    <sheet name="Results - Product EI" sheetId="80" r:id="rId3"/>
    <sheet name="Input - Site" sheetId="75" r:id="rId4"/>
    <sheet name="Input - Enterprise" sheetId="72" r:id="rId5"/>
    <sheet name="Input - Fert Prod System" sheetId="76" r:id="rId6"/>
    <sheet name="Input - Data quality" sheetId="78" r:id="rId7"/>
    <sheet name="Constants - Common" sheetId="79"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Enterprise'!$E$72</definedName>
    <definedName name="Result_EmissionsForWholeProductionCycle_Gross_Method1">'Input - Enterprise'!$E$59</definedName>
    <definedName name="Result_EmissionsForWholeProductionCycle_Gross_Method2">'Input - Enterprise'!$F$59</definedName>
    <definedName name="Result_EmissionsForWholeProductionCycle_Method1">'Input - Enterprise'!$E$59</definedName>
    <definedName name="Result_EmissionsForWholeProductionCycle_Method2">'Input - Enterprise'!$F$59</definedName>
    <definedName name="Result_EmissionsForWholeProductionCycle_Net_Method1">'Input - Enterprise'!$E$83</definedName>
    <definedName name="Result_EmissionsForWholeProductionCycle_Net_Method2">'Input - Enterprise'!$F$83</definedName>
    <definedName name="Result_Enterprise_Gross_Method1">'Results - Activity period'!$E$62</definedName>
    <definedName name="Result_Enterprise_Gross_Method2">'Results - Activity period'!$F$62</definedName>
    <definedName name="Result_Enterprise_Net_Method1">'Results - Activity period'!$E$63</definedName>
    <definedName name="Result_Enterprise_Net_Method2">'Results - Activity period'!$F$63</definedName>
    <definedName name="Result_Enterprise_Removals">'Results - Activity period'!$E$56</definedName>
    <definedName name="Result_Enterprise_Scope1_Method1">'Results - Activity period'!$H$27</definedName>
    <definedName name="Result_Enterprise_Scope1_Method2">'Results - Activity period'!$I$27</definedName>
    <definedName name="Result_Enterprise_Scope2_Method1">'Results - Activity period'!$H$34</definedName>
    <definedName name="Result_Enterprise_Scope2_Method2">'Results - Activity period'!$I$34</definedName>
    <definedName name="Result_Enterprise_Scope3_Method1">'Results - Activity period'!$H$51</definedName>
    <definedName name="Result_Enterprise_Scope3_Method2">'Results - Activity period'!$I$51</definedName>
    <definedName name="X_Cell_BaledHayYield">'Input - Enterprise'!$E$27</definedName>
    <definedName name="X_Cell_Enterprise_GrainYield">'Input - Enterprise'!$E$22</definedName>
    <definedName name="X_Cell_Enterprise_PercentGrainSold">'Input - Enterprise'!$E$23</definedName>
    <definedName name="X_Cell_Enterprise_PercentGrainUsedAsFeed">'Input - Enterprise'!$E$24</definedName>
    <definedName name="X_Cell_Enterprise_PercentIncomeFromBaledHaySilage">'Input - Enterprise'!$E$33</definedName>
    <definedName name="X_Cell_Enterprise_PercentIncomeFromGrain">'Input - Enterprise'!$E$32</definedName>
    <definedName name="X_Cell_Enterprise_ProductionTimeframeEnd">'Input - Enterprise'!$E$19</definedName>
    <definedName name="X_Cell_Enterprise_ProductionTimeframeStart">'Input - Enterprise'!$E$18</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PercentBaledHaySold">'Input - Enterprise'!$E$28</definedName>
    <definedName name="X_Cell_PercentBaledHayUsedOnFarm">'Input - Enterprise'!$E$29</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 - Activity period'!$D$33:$F$38</definedName>
    <definedName name="X_Table_Result_CarbonRemovalsFromPlantings_RowsToCols">'Results - Activity period'!$D$44:$E$49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78" l="1"/>
  <c r="D11" i="78"/>
  <c r="D12" i="78"/>
  <c r="D14" i="78"/>
  <c r="D13" i="78"/>
  <c r="J10" i="78"/>
  <c r="D9" i="78"/>
  <c r="J9" i="78"/>
  <c r="D8" i="78"/>
  <c r="D33" i="78"/>
  <c r="F82" i="72" l="1"/>
  <c r="F81" i="72"/>
  <c r="F80" i="72"/>
  <c r="F79" i="72"/>
  <c r="E82" i="72"/>
  <c r="E81" i="72"/>
  <c r="E80" i="72"/>
  <c r="E79" i="72"/>
  <c r="I40" i="13"/>
  <c r="I9" i="13" a="1"/>
  <c r="I9" i="13" s="1"/>
  <c r="I41" i="13"/>
  <c r="I42" i="13"/>
  <c r="I43" i="13"/>
  <c r="D32" i="78" l="1"/>
  <c r="F58" i="80" l="1"/>
  <c r="G56" i="80"/>
  <c r="G57" i="80" s="1"/>
  <c r="F56" i="80"/>
  <c r="F57" i="80" s="1"/>
  <c r="F55" i="80"/>
  <c r="G54" i="80"/>
  <c r="F54" i="80"/>
  <c r="G53" i="80"/>
  <c r="F53" i="80"/>
  <c r="F49" i="80"/>
  <c r="F47" i="80"/>
  <c r="F48" i="80" s="1"/>
  <c r="F46" i="80"/>
  <c r="F44" i="80"/>
  <c r="F45" i="80" s="1"/>
  <c r="G47" i="80" l="1"/>
  <c r="G48" i="80" s="1"/>
  <c r="G44" i="80"/>
  <c r="G45" i="80" s="1"/>
  <c r="D39" i="80"/>
  <c r="D32" i="80"/>
  <c r="D78" i="72" a="1"/>
  <c r="F58" i="72"/>
  <c r="E58" i="72"/>
  <c r="F57" i="72"/>
  <c r="E57" i="72"/>
  <c r="F56" i="72"/>
  <c r="E56" i="72"/>
  <c r="F55" i="72"/>
  <c r="E55" i="72"/>
  <c r="D75" i="72"/>
  <c r="D59" i="13"/>
  <c r="E56" i="13"/>
  <c r="D54" i="13"/>
  <c r="H51" i="13"/>
  <c r="F50" i="13" a="1"/>
  <c r="F50" i="13" s="1"/>
  <c r="I50" i="13" s="1"/>
  <c r="E50" i="13" a="1"/>
  <c r="E50" i="13" s="1"/>
  <c r="H50" i="13" s="1"/>
  <c r="E49" i="13" a="1"/>
  <c r="E49" i="13" s="1"/>
  <c r="F48" i="13" a="1"/>
  <c r="F48" i="13" s="1"/>
  <c r="I48" i="13" s="1"/>
  <c r="E48" i="13" a="1"/>
  <c r="E48" i="13" s="1"/>
  <c r="H48" i="13" s="1"/>
  <c r="E47" i="13" a="1"/>
  <c r="E47" i="13" s="1"/>
  <c r="E46" i="13" a="1"/>
  <c r="E46" i="13" s="1"/>
  <c r="F45" i="13" a="1"/>
  <c r="F45" i="13" s="1"/>
  <c r="I45" i="13" s="1"/>
  <c r="E45" i="13" a="1"/>
  <c r="E45" i="13" s="1"/>
  <c r="H45" i="13" s="1"/>
  <c r="F44" i="13" a="1"/>
  <c r="F44" i="13" s="1"/>
  <c r="I44" i="13" s="1"/>
  <c r="E44" i="13" a="1"/>
  <c r="E44" i="13" s="1"/>
  <c r="H44" i="13" s="1"/>
  <c r="F43" i="13" a="1"/>
  <c r="F43" i="13" s="1"/>
  <c r="E43" i="13" a="1"/>
  <c r="E43" i="13" s="1"/>
  <c r="H43" i="13" s="1"/>
  <c r="F42" i="13" a="1"/>
  <c r="F42" i="13" s="1"/>
  <c r="E42" i="13" a="1"/>
  <c r="E42" i="13" s="1"/>
  <c r="H42" i="13" s="1"/>
  <c r="F41" i="13" a="1"/>
  <c r="F41" i="13" s="1"/>
  <c r="E41" i="13" a="1"/>
  <c r="E41" i="13" s="1"/>
  <c r="H41" i="13" s="1"/>
  <c r="F40" i="13" a="1"/>
  <c r="F40" i="13" s="1"/>
  <c r="I51" i="13" s="1"/>
  <c r="E40" i="13" a="1"/>
  <c r="E40" i="13" s="1"/>
  <c r="H40" i="13" s="1"/>
  <c r="D78" i="72" l="1"/>
  <c r="F46" i="13"/>
  <c r="I46" i="13" s="1"/>
  <c r="H46" i="13"/>
  <c r="F49" i="13"/>
  <c r="I49" i="13" s="1"/>
  <c r="H49" i="13"/>
  <c r="F47" i="13"/>
  <c r="I47" i="13" s="1"/>
  <c r="H47" i="13"/>
  <c r="D47" i="13" l="1" a="1"/>
  <c r="D47" i="13" s="1"/>
  <c r="E33" i="13" a="1"/>
  <c r="E33" i="13" s="1"/>
  <c r="D33" i="13" a="1"/>
  <c r="D33" i="13" s="1"/>
  <c r="E71" i="72"/>
  <c r="E70" i="72"/>
  <c r="D67" i="72" a="1"/>
  <c r="D67" i="72" s="1"/>
  <c r="E67" i="72" s="1"/>
  <c r="D64" i="72"/>
  <c r="D54" i="72" a="1"/>
  <c r="D50" i="72" a="1"/>
  <c r="D50" i="72" s="1"/>
  <c r="D48" i="72"/>
  <c r="G42" i="72"/>
  <c r="D39" i="72"/>
  <c r="J61" i="78"/>
  <c r="J60" i="78"/>
  <c r="J59" i="78"/>
  <c r="J58" i="78"/>
  <c r="J51" i="78"/>
  <c r="J50" i="78"/>
  <c r="J49" i="78"/>
  <c r="J48" i="78"/>
  <c r="J42" i="78"/>
  <c r="J41" i="78"/>
  <c r="J40" i="78"/>
  <c r="J39" i="78"/>
  <c r="J33" i="78"/>
  <c r="J32" i="78"/>
  <c r="J31" i="78"/>
  <c r="J25" i="78"/>
  <c r="J24" i="78"/>
  <c r="J23" i="78"/>
  <c r="J22" i="78"/>
  <c r="J21" i="78"/>
  <c r="J20" i="78"/>
  <c r="J14" i="78"/>
  <c r="J13" i="78"/>
  <c r="J12" i="78"/>
  <c r="J11" i="78"/>
  <c r="J8" i="78"/>
  <c r="D61" i="78"/>
  <c r="D60" i="78"/>
  <c r="D59" i="78"/>
  <c r="D58" i="78"/>
  <c r="D51" i="78"/>
  <c r="D50" i="78"/>
  <c r="D49" i="78"/>
  <c r="D48" i="78"/>
  <c r="D42" i="78"/>
  <c r="D41" i="78"/>
  <c r="D40" i="78"/>
  <c r="D39" i="78"/>
  <c r="D31" i="78"/>
  <c r="D25" i="78"/>
  <c r="D24" i="78"/>
  <c r="D23" i="78"/>
  <c r="D22" i="78"/>
  <c r="D21" i="78"/>
  <c r="D2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J53" i="78" l="1"/>
  <c r="F33" i="13"/>
  <c r="I33" i="13" s="1"/>
  <c r="I34" i="13" s="1"/>
  <c r="H33" i="13"/>
  <c r="H34" i="13" s="1"/>
  <c r="J63" i="78"/>
  <c r="J35" i="78"/>
  <c r="J16" i="78"/>
  <c r="J27" i="78"/>
  <c r="J44" i="78"/>
  <c r="D54" i="72"/>
  <c r="E68" i="72"/>
  <c r="E72" i="72" s="1"/>
  <c r="E69" i="72"/>
  <c r="H48" i="79"/>
  <c r="E22" i="75"/>
  <c r="H51" i="79"/>
  <c r="E19" i="75"/>
  <c r="E20" i="75"/>
  <c r="E21" i="75" s="1"/>
  <c r="H53" i="79"/>
  <c r="H50" i="79"/>
  <c r="H54" i="79"/>
  <c r="H52" i="79"/>
  <c r="H49" i="79"/>
  <c r="E8" i="76" a="1"/>
  <c r="E8" i="76" s="1"/>
  <c r="E10" i="76" a="1"/>
  <c r="E10" i="76" s="1"/>
  <c r="E9" i="76" a="1"/>
  <c r="E9" i="76" s="1"/>
  <c r="E65" i="78" l="1"/>
  <c r="F15" i="13" a="1"/>
  <c r="F15" i="13" s="1"/>
  <c r="I15" i="13" s="1" a="1"/>
  <c r="I15" i="13" s="1"/>
  <c r="E15" i="13" a="1"/>
  <c r="E15" i="13" s="1"/>
  <c r="H15" i="13" s="1" a="1"/>
  <c r="H15" i="13" s="1"/>
  <c r="E17" i="13" a="1"/>
  <c r="E17" i="13" s="1"/>
  <c r="E18" i="13" a="1"/>
  <c r="E18" i="13" s="1"/>
  <c r="H18" i="13" s="1" a="1"/>
  <c r="H18" i="13" s="1"/>
  <c r="F16" i="13" a="1"/>
  <c r="F16" i="13" s="1"/>
  <c r="I16" i="13" s="1" a="1"/>
  <c r="I16" i="13" s="1"/>
  <c r="E16" i="13" a="1"/>
  <c r="E16" i="13" s="1"/>
  <c r="H16" i="13" s="1" a="1"/>
  <c r="H16" i="13" s="1"/>
  <c r="F17" i="13" l="1"/>
  <c r="I17" i="13" s="1" a="1"/>
  <c r="I17" i="13" s="1"/>
  <c r="H17" i="13" a="1"/>
  <c r="H17" i="13" s="1"/>
  <c r="F18" i="13"/>
  <c r="I18" i="13" s="1" a="1"/>
  <c r="I18" i="13" s="1"/>
  <c r="E30" i="72" l="1"/>
  <c r="E25" i="72"/>
  <c r="E27" i="72" l="1" a="1"/>
  <c r="E27" i="72" s="1"/>
  <c r="E22" i="72" a="1"/>
  <c r="E22" i="72" s="1"/>
  <c r="E26" i="13" l="1" a="1"/>
  <c r="E26" i="13" s="1"/>
  <c r="E25" i="13" a="1"/>
  <c r="E25" i="13" s="1"/>
  <c r="H25" i="13" s="1"/>
  <c r="E24" i="13" a="1"/>
  <c r="E24" i="13" s="1"/>
  <c r="H24" i="13" s="1" a="1"/>
  <c r="H24" i="13" s="1"/>
  <c r="E23" i="13" a="1"/>
  <c r="E23" i="13" s="1"/>
  <c r="E22" i="13" a="1"/>
  <c r="E22" i="13" s="1"/>
  <c r="H22" i="13" s="1"/>
  <c r="E21" i="13" a="1"/>
  <c r="E21" i="13" s="1"/>
  <c r="E20" i="13" a="1"/>
  <c r="E20" i="13" s="1"/>
  <c r="H20" i="13" s="1" a="1"/>
  <c r="H20" i="13" s="1"/>
  <c r="E19" i="13" a="1"/>
  <c r="E19" i="13" s="1"/>
  <c r="H19" i="13" s="1"/>
  <c r="E14" i="13" a="1"/>
  <c r="E14" i="13" s="1"/>
  <c r="H14" i="13" s="1" a="1"/>
  <c r="H14" i="13" s="1"/>
  <c r="E13" i="13" a="1"/>
  <c r="E13" i="13" s="1"/>
  <c r="H13" i="13" s="1" a="1"/>
  <c r="H13" i="13" s="1"/>
  <c r="E12" i="13" a="1"/>
  <c r="E12" i="13" s="1"/>
  <c r="E11" i="13" a="1"/>
  <c r="E11" i="13" s="1"/>
  <c r="H11" i="13" s="1" a="1"/>
  <c r="H11" i="13" s="1"/>
  <c r="E10" i="13" a="1"/>
  <c r="E10" i="13" s="1"/>
  <c r="F10" i="13" s="1"/>
  <c r="I10" i="13" s="1"/>
  <c r="F9" i="13" a="1"/>
  <c r="F9" i="13" s="1"/>
  <c r="E9" i="13" a="1"/>
  <c r="E9" i="13" s="1"/>
  <c r="H9" i="13" s="1" a="1"/>
  <c r="H9" i="13" s="1"/>
  <c r="E13" i="72"/>
  <c r="D4" i="13" s="1"/>
  <c r="E18" i="75"/>
  <c r="A20" i="75"/>
  <c r="A19" i="75"/>
  <c r="A18" i="75"/>
  <c r="A17" i="75"/>
  <c r="A14" i="75"/>
  <c r="A13" i="75"/>
  <c r="A12" i="75"/>
  <c r="A11" i="75"/>
  <c r="A8" i="75"/>
  <c r="A7" i="75"/>
  <c r="A4" i="75"/>
  <c r="A3" i="75"/>
  <c r="E20" i="72"/>
  <c r="F21" i="13" l="1"/>
  <c r="I21" i="13" s="1" a="1"/>
  <c r="I21" i="13" s="1"/>
  <c r="H21" i="13" a="1"/>
  <c r="H21" i="13" s="1"/>
  <c r="F23" i="13"/>
  <c r="I23" i="13" s="1" a="1"/>
  <c r="I23" i="13" s="1"/>
  <c r="H23" i="13" a="1"/>
  <c r="H23" i="13" s="1"/>
  <c r="H27" i="13"/>
  <c r="I27" i="13"/>
  <c r="F19" i="13"/>
  <c r="I19" i="13" s="1"/>
  <c r="F25" i="13"/>
  <c r="I25" i="13" s="1"/>
  <c r="F20" i="13"/>
  <c r="I20" i="13" s="1" a="1"/>
  <c r="I20" i="13" s="1"/>
  <c r="H26" i="13"/>
  <c r="F26" i="13"/>
  <c r="I26" i="13" s="1"/>
  <c r="F13" i="13"/>
  <c r="I13" i="13" s="1" a="1"/>
  <c r="I13" i="13" s="1"/>
  <c r="F12" i="13"/>
  <c r="I12" i="13" s="1"/>
  <c r="H12" i="13"/>
  <c r="F14" i="13"/>
  <c r="I14" i="13" s="1" a="1"/>
  <c r="I14" i="13" s="1"/>
  <c r="H10" i="13"/>
  <c r="F22" i="13"/>
  <c r="I22" i="13" s="1"/>
  <c r="F24" i="13"/>
  <c r="I24" i="13" s="1" a="1"/>
  <c r="I24" i="13" s="1"/>
  <c r="F11" i="13"/>
  <c r="I11" i="13" s="1" a="1"/>
  <c r="I11" i="13" s="1"/>
  <c r="E62" i="13" l="1"/>
  <c r="F62" i="13"/>
  <c r="A20" i="13"/>
  <c r="A19" i="13"/>
  <c r="A18" i="13"/>
  <c r="A17" i="13"/>
  <c r="A14" i="13"/>
  <c r="A13" i="13"/>
  <c r="A12" i="13"/>
  <c r="A11" i="13"/>
  <c r="A8" i="13"/>
  <c r="A7" i="13"/>
  <c r="A4" i="13"/>
  <c r="A3" i="13"/>
  <c r="F54" i="72" l="1"/>
  <c r="F63" i="13"/>
  <c r="E63" i="13"/>
  <c r="E54" i="72"/>
  <c r="E78" i="72" l="1"/>
  <c r="E83" i="72" s="1"/>
  <c r="E37" i="80" s="1"/>
  <c r="E59" i="72"/>
  <c r="E36" i="80" s="1"/>
  <c r="F78" i="72"/>
  <c r="F83" i="72" s="1"/>
  <c r="F37" i="80" s="1"/>
  <c r="F59" i="72"/>
  <c r="F36" i="80" s="1"/>
  <c r="H53" i="80" l="1"/>
  <c r="H44" i="80"/>
  <c r="H47" i="80"/>
  <c r="H56" i="80"/>
  <c r="H45" i="80"/>
  <c r="H57" i="80"/>
  <c r="H54" i="80"/>
  <c r="H48" i="80"/>
  <c r="I53" i="80"/>
  <c r="I56" i="80"/>
  <c r="I44" i="80"/>
  <c r="I47" i="80"/>
  <c r="I54" i="80"/>
  <c r="I57" i="80"/>
  <c r="I48" i="80"/>
  <c r="I45"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<sst xmlns="http://schemas.openxmlformats.org/spreadsheetml/2006/main" count="591" uniqueCount="298">
  <si>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</si>
  <si>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</si>
  <si>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</si>
  <si>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</si>
  <si>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</si>
  <si>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</si>
  <si>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</si>
  <si>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</si>
  <si>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</si>
  <si>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</si>
  <si>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</si>
  <si>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</si>
  <si>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</si>
  <si>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</si>
  <si>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</si>
  <si>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</si>
  <si>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</si>
  <si>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</si>
  <si>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</si>
  <si>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</si>
  <si>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</si>
  <si>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</si>
  <si>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</si>
  <si>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</si>
  <si>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</si>
  <si>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</si>
  <si>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</si>
  <si>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</si>
  <si>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</si>
  <si>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</si>
  <si>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</si>
  <si>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</si>
  <si>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</si>
  <si>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</si>
  <si>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</si>
  <si>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</si>
  <si>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</si>
  <si>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</si>
  <si>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</si>
  <si>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</si>
  <si>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</si>
  <si>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</si>
  <si>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</si>
  <si>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</si>
  <si>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</si>
  <si>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</si>
  <si>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</si>
  <si>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</si>
  <si>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</si>
  <si>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</si>
  <si>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</si>
  <si>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</si>
  <si>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</si>
  <si>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</si>
  <si>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</si>
  <si>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</si>
  <si>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</si>
  <si>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</si>
  <si>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</si>
  <si>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</si>
  <si>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</si>
  <si>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</si>
  <si>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</si>
  <si>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</si>
  <si>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</si>
  <si>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</si>
  <si>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</si>
  <si>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</si>
  <si>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</si>
  <si>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</si>
  <si>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</si>
  <si>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</si>
  <si>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</si>
  <si>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</si>
  <si>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</si>
  <si>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</si>
  <si>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</si>
  <si>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</si>
  <si>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</si>
  <si>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</si>
  <si>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</si>
  <si>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</si>
  <si>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</si>
  <si>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</si>
  <si>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</si>
  <si>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</si>
  <si>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</si>
  <si>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</si>
  <si>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</si>
  <si>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</si>
  <si>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</si>
  <si>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</si>
  <si>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</si>
  <si>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</si>
  <si>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</si>
  <si>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</si>
  <si>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</si>
  <si>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</si>
  <si>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</si>
  <si>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</si>
  <si>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</si>
  <si>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</si>
  <si>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</si>
  <si>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</si>
  <si>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</si>
  <si>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</si>
  <si>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</si>
  <si>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</si>
  <si>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</si>
  <si>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</si>
  <si>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</si>
  <si>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</si>
  <si>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</si>
  <si>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</si>
  <si>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</si>
  <si>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</si>
  <si>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</si>
  <si>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</si>
  <si>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</si>
  <si>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</si>
  <si>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</si>
  <si>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</si>
  <si>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</si>
  <si>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</si>
  <si>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</si>
  <si>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</si>
  <si>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</si>
  <si>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</si>
  <si>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</si>
  <si>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</si>
  <si>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</si>
  <si>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</si>
  <si>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</si>
  <si>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</si>
  <si>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</si>
  <si>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</si>
  <si>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</si>
  <si>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</si>
  <si>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</si>
  <si>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</si>
  <si>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</si>
  <si>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</si>
  <si>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</si>
  <si>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</si>
  <si>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</si>
  <si>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</si>
  <si>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</si>
  <si>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</si>
  <si>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</si>
  <si>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</si>
  <si>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Grain yield</t>
  </si>
  <si>
    <t>Percentage of income from grain sold</t>
  </si>
  <si>
    <t>Baled hay/silage yield</t>
  </si>
  <si>
    <t>Percentage of income from baled hay/silage sold</t>
  </si>
  <si>
    <t>Percent grain sold</t>
  </si>
  <si>
    <t>Percent grain used as feed on own farm</t>
  </si>
  <si>
    <t>Percent grain stored and not sold or used</t>
  </si>
  <si>
    <t>Percent baled hay/silage sold</t>
  </si>
  <si>
    <t>Percent baled hay/silage used as feed on own farm</t>
  </si>
  <si>
    <t>Grain used as feed on own farm</t>
  </si>
  <si>
    <t>Baled haysilage used as feed on own farm</t>
  </si>
  <si>
    <t>t co2e/t grain sold</t>
  </si>
  <si>
    <t>t co2e/t baled hay/silage</t>
  </si>
  <si>
    <t>Economic emissions assignment</t>
  </si>
  <si>
    <t>Mass emissions assignment</t>
  </si>
  <si>
    <t>Emissions intestity (Method 1)</t>
  </si>
  <si>
    <t>Emissions intestity (Method 2)</t>
  </si>
  <si>
    <t>Product emissions - Mass</t>
  </si>
  <si>
    <t>Product emissions - Economic</t>
  </si>
  <si>
    <t>Grain sold - excluding removals</t>
  </si>
  <si>
    <t>Grain sold - net emissions</t>
  </si>
  <si>
    <t>Baled hay/silage sold - excluding removals</t>
  </si>
  <si>
    <t>Baled hay/silage sold - net emissions</t>
  </si>
  <si>
    <t>6.3.1.1-2 Leach &amp; runoff (crop)</t>
  </si>
  <si>
    <t>6.1.1.1-2 Crop residue N2O</t>
  </si>
  <si>
    <t>6.4.1.1-2 Residue burning CH4</t>
  </si>
  <si>
    <t>6.4.1.1-2 Residue burning N2O</t>
  </si>
  <si>
    <t>Input - Fertiliser Production System</t>
  </si>
  <si>
    <t>Production system</t>
  </si>
  <si>
    <t>Crop</t>
  </si>
  <si>
    <t>Crop type</t>
  </si>
  <si>
    <t>Area under cropping</t>
  </si>
  <si>
    <t>These inputs are used for fertiliser calculations, and they take their values from the "Input - Crop" sheet. Do not edit these cells.</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</si>
  <si>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</si>
  <si>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</si>
  <si>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</si>
  <si>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</si>
  <si>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</si>
  <si>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</si>
  <si>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</si>
  <si>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</si>
  <si>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</si>
  <si>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</si>
  <si>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</si>
  <si>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</si>
  <si>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</si>
  <si>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</si>
  <si>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</si>
  <si>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</si>
  <si>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</si>
  <si>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</si>
  <si>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</si>
  <si>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</si>
  <si>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</si>
  <si>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</si>
  <si>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</si>
  <si>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</si>
  <si>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</si>
  <si>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</si>
  <si>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</si>
  <si>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</si>
  <si>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</si>
  <si>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</si>
  <si>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</si>
  <si>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</si>
  <si>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</si>
  <si>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</si>
  <si>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</si>
  <si>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</si>
  <si>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</si>
  <si>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</si>
  <si>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</si>
  <si>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</si>
  <si>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</si>
  <si>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</si>
  <si>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</si>
  <si>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</si>
  <si>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</si>
  <si>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</si>
  <si>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</si>
  <si>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</si>
  <si>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</si>
  <si>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</si>
  <si>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</si>
  <si>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</si>
  <si>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</si>
  <si>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</si>
  <si>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</si>
  <si>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</si>
  <si>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</si>
  <si>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</si>
  <si>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</si>
  <si>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</si>
  <si>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</si>
  <si>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</si>
  <si>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</si>
  <si>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</si>
  <si>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</si>
  <si>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</si>
  <si>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</si>
  <si>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</si>
  <si>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</si>
  <si>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</si>
  <si>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</si>
  <si>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</si>
  <si>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</si>
  <si>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</si>
  <si>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</si>
  <si>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</si>
  <si>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</si>
  <si>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</si>
  <si>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Fertiliser applications</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</si>
  <si>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</si>
  <si>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</si>
  <si>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</si>
  <si>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</si>
  <si>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</si>
  <si>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</si>
  <si>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</si>
  <si>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</si>
  <si>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</si>
  <si>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</si>
  <si>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</si>
  <si>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</si>
  <si>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</si>
  <si>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</si>
  <si>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</si>
  <si>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</si>
  <si>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15.4.1.1 Fertiliser</t>
  </si>
  <si>
    <t>15.5.1.1 Agrichemicals</t>
  </si>
  <si>
    <t>15.6.1.1 Lime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</si>
  <si>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</si>
  <si>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</si>
  <si>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</si>
  <si>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</si>
  <si>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</si>
  <si>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</si>
  <si>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</si>
  <si>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</si>
  <si>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</si>
  <si>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</si>
  <si>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</si>
  <si>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</si>
  <si>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</si>
  <si>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</si>
  <si>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</si>
  <si>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</si>
  <si>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Crop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</si>
</sst>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s>
  <fonts count="5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00">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5">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Equation table" pivot="0" count="6" xr9:uid="{B247698E-E41D-4CCD-AA0A-C14817E9DE65}">
      <tableStyleElement type="wholeTable" dxfId="58"/>
      <tableStyleElement type="headerRow" dxfId="57"/>
      <tableStyleElement type="totalRow" dxfId="56"/>
      <tableStyleElement type="firstColumn" dxfId="55"/>
      <tableStyleElement type="firstRowStripe" dxfId="54"/>
      <tableStyleElement type="secondRowStripe" dxfId="53"/>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C-64C2-43EC-A71A-E7C288A256B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64C2-43EC-A71A-E7C288A256B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E-64C2-43EC-A71A-E7C288A256B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64C2-43EC-A71A-E7C288A256B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0-64C2-43EC-A71A-E7C288A256B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64C2-43EC-A71A-E7C288A256BA}"/>
              </c:ext>
            </c:extLst>
          </c:dPt>
          <c:cat>
            <c:strRef>
              <c:f>'Results - Activity period'!$D$9:$D$26</c:f>
              <c:strCache>
                <c:ptCount val="18"/>
                <c:pt idx="0">
                  <c:v>5.1.1.1-2 Inorganic fert N2O</c:v>
                </c:pt>
                <c:pt idx="1">
                  <c:v>5.1.1.3-4 Inorganic fert CO2</c:v>
                </c:pt>
                <c:pt idx="2">
                  <c:v>5.2.1.1-2 Organic fert N2O</c:v>
                </c:pt>
                <c:pt idx="3">
                  <c:v>5.3.1.1-2 Lime CO2</c:v>
                </c:pt>
                <c:pt idx="4">
                  <c:v>5.4.1.1-4 Atmos. deposition</c:v>
                </c:pt>
                <c:pt idx="5">
                  <c:v>5.5.1.1-2 Leaching &amp; runoff</c:v>
                </c:pt>
                <c:pt idx="6">
                  <c:v>6.1.1.1-2 Crop residue N2O</c:v>
                </c:pt>
                <c:pt idx="7">
                  <c:v>6.3.1.1-2 Leach &amp; runoff (crop)</c:v>
                </c:pt>
                <c:pt idx="8">
                  <c:v>6.4.1.1-2 Residue burning N2O</c:v>
                </c:pt>
                <c:pt idx="9">
                  <c:v>6.4.1.1-2 Residue burning CH4</c:v>
                </c:pt>
                <c:pt idx="10">
                  <c:v>8.1.1.1-2 Transport fuel CO2</c:v>
                </c:pt>
                <c:pt idx="11">
                  <c:v>8.1.1.1-2 Transport fuel CH4</c:v>
                </c:pt>
                <c:pt idx="12">
                  <c:v>8.1.1.1-2 Transport fuel N2O</c:v>
                </c:pt>
                <c:pt idx="13">
                  <c:v>8.2.1.1-2 Stationary fuel CO2</c:v>
                </c:pt>
                <c:pt idx="14">
                  <c:v>8.2.1.1-2 Stationary fuel CH4</c:v>
                </c:pt>
                <c:pt idx="15">
                  <c:v>8.2.1.1-2 Stationary fuel N2O</c:v>
                </c:pt>
                <c:pt idx="16">
                  <c:v>14.1.1-2 Purchased electricity (Location-based)</c:v>
                </c:pt>
                <c:pt idx="17">
                  <c:v>14.1.1-2 Purchased electricity (Market-based)</c:v>
                </c:pt>
              </c:strCache>
            </c:strRef>
          </c:cat>
          <c:val>
            <c:numRef>
              <c:f>'Results - Activity period'!$I$9:$I$26</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period'!$D$40:$D$50</c:f>
              <c:strCache>
                <c:ptCount val="11"/>
                <c:pt idx="0">
                  <c:v>15.4.1.1 Fertiliser</c:v>
                </c:pt>
                <c:pt idx="1">
                  <c:v>15.5.1.1 Agrichemicals</c:v>
                </c:pt>
                <c:pt idx="2">
                  <c:v>15.6.1.1 Lime</c:v>
                </c:pt>
                <c:pt idx="3">
                  <c:v>15.7.1.1 Services and contractor operations</c:v>
                </c:pt>
                <c:pt idx="4">
                  <c:v>15.10.1.1 Other: Cleaning chemicals</c:v>
                </c:pt>
                <c:pt idx="5">
                  <c:v>15.10.1.1 Other: Uncategorised</c:v>
                </c:pt>
                <c:pt idx="6">
                  <c:v>15.11.1.1 Fuel</c:v>
                </c:pt>
                <c:pt idx="7">
                  <c:v>#NAME?</c:v>
                </c:pt>
                <c:pt idx="8">
                  <c:v>15.14.1.1 Incoming freight</c:v>
                </c:pt>
                <c:pt idx="9">
                  <c:v>15.13.1.1 Waste sent to treatment facility</c:v>
                </c:pt>
                <c:pt idx="10">
                  <c:v>15.14.1.1 Outgoing freight</c:v>
                </c:pt>
              </c:strCache>
            </c:strRef>
          </c:cat>
          <c:val>
            <c:numRef>
              <c:f>'Results - Activity period'!$I$40:$I$50</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45</xdr:row>
      <xdr:rowOff>200025</xdr:rowOff>
    </xdr:from>
    <xdr:to>
      <xdr:col>9</xdr:col>
      <xdr:colOff>1443037</xdr:colOff>
      <xdr:row>57</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3">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3">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4">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4">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7">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7">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8">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8">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800" b="1" i="0" u="none" strike="noStrike">
              <a:solidFill>
                <a:srgbClr val="0C769E"/>
              </a:solidFill>
              <a:latin typeface="Times New Roman"/>
              <a:ea typeface="+mn-ea"/>
              <a:cs typeface="Times New Roman"/>
            </a:rPr>
            <a:pPr marL="0" indent="0"/>
            <a:t>#NAME?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619125</xdr:colOff>
      <xdr:row>16</xdr:row>
      <xdr:rowOff>49306</xdr:rowOff>
    </xdr:from>
    <xdr:ext cx="1978747"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978747"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16</xdr:row>
      <xdr:rowOff>49306</xdr:rowOff>
    </xdr:from>
    <xdr:ext cx="1978747"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593912</xdr:colOff>
      <xdr:row>16</xdr:row>
      <xdr:rowOff>49306</xdr:rowOff>
    </xdr:from>
    <xdr:ext cx="1978747"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619125</xdr:colOff>
      <xdr:row>28</xdr:row>
      <xdr:rowOff>38660</xdr:rowOff>
    </xdr:from>
    <xdr:ext cx="1978747"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913279</xdr:colOff>
      <xdr:row>28</xdr:row>
      <xdr:rowOff>38660</xdr:rowOff>
    </xdr:from>
    <xdr:ext cx="1978747"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28</xdr:row>
      <xdr:rowOff>38660</xdr:rowOff>
    </xdr:from>
    <xdr:ext cx="1978747"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660587</xdr:colOff>
      <xdr:row>28</xdr:row>
      <xdr:rowOff>29135</xdr:rowOff>
    </xdr:from>
    <xdr:ext cx="1978747"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800" b="1" i="0" u="none" strike="noStrike">
              <a:solidFill>
                <a:srgbClr val="4F4789"/>
              </a:solidFill>
              <a:latin typeface="Times New Roman"/>
              <a:ea typeface="+mn-ea"/>
              <a:cs typeface="Times New Roman"/>
            </a:rPr>
            <a:pPr marL="0" indent="0"/>
            <a:t>#NAME?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Grain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6954" r="6954"/>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Baled hay/silage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4962" r="4962"/>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45</xdr:row>
      <xdr:rowOff>200025</xdr:rowOff>
    </xdr:from>
    <xdr:to>
      <xdr:col>9</xdr:col>
      <xdr:colOff>1443037</xdr:colOff>
      <xdr:row>57</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41:G42" totalsRowShown="0">
  <autoFilter ref="D41:G42"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4" totalsRowShown="0" headerRowCellStyle="Input table column header">
  <autoFilter ref="D7:J14"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52"/>
    <tableColumn id="6" xr3:uid="{1219F6AC-7C79-4EDD-8C55-F7A78277AE3F}" name="Evidence files" dataDxfId="51"/>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9:J25" totalsRowShown="0" headerRowCellStyle="Input table column header">
  <autoFilter ref="D19:J25"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50"/>
    <tableColumn id="6" xr3:uid="{73F97399-8A3B-4EFB-9481-CBD7CB1C44EB}" name="Evidence files" dataDxfId="49"/>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30:J33" totalsRowShown="0" headerRowCellStyle="Input table column header">
  <autoFilter ref="D30:J33"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8"/>
    <tableColumn id="6" xr3:uid="{865FA280-4A36-4101-BD09-20356916B4D5}" name="Evidence files" dataDxfId="47"/>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3D1E6C-FF7F-4D22-8D4B-093B5FC76F99}" name="Table_Input_DataQuality_FertiliserApplications" displayName="Table_Input_DataQuality_FertiliserApplications" ref="D38:J42" totalsRowShown="0" headerRowCellStyle="Input table column header">
  <autoFilter ref="D38:J42" xr:uid="{9C3D1E6C-FF7F-4D22-8D4B-093B5FC76F99}"/>
  <tableColumns count="7">
    <tableColumn id="1" xr3:uid="{56FDEC71-E0C9-4D04-A9A0-6CC0FF1B2B4D}" name="Data type" dataCellStyle="Content normal"/>
    <tableColumn id="2" xr3:uid="{D6C96F63-36E8-4824-8C95-BC4F6A076292}" name="When was the data sourced?" dataCellStyle="Input select"/>
    <tableColumn id="3" xr3:uid="{6D6CAE5E-4461-40B3-B8DC-047E72C1E057}" name="Where is the data sourced from?" dataCellStyle="Input select"/>
    <tableColumn id="4" xr3:uid="{1CF6EB6B-3987-44BA-AF58-FE9F4194D42F}" name="How much of the data was from direct samples?" dataCellStyle="Input select"/>
    <tableColumn id="5" xr3:uid="{2217AC95-A768-492F-A36E-74569D5596D4}" name="Notes" dataDxfId="46"/>
    <tableColumn id="6" xr3:uid="{410620E5-5948-4B74-B5C6-B017CD8C09FE}" name="Evidence files" dataDxfId="45"/>
    <tableColumn id="7" xr3:uid="{D000D4F8-1A71-478C-A273-A9B02C735D2D}" name="Score" dataCellStyle="Input number general calculated">
      <calculatedColumnFormula>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7:J51" totalsRowShown="0" headerRowCellStyle="Input table column header">
  <autoFilter ref="D47:J51"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4"/>
    <tableColumn id="6" xr3:uid="{690D112F-6792-478E-99EE-B77B520B2164}" name="Evidence files" dataDxfId="43"/>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7:J61" totalsRowShown="0" headerRowCellStyle="Input table column header">
  <autoFilter ref="D57:J61"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2"/>
    <tableColumn id="6" xr3:uid="{16D79CDB-80AA-4F28-B5E0-282205F97C41}" name="Evidence files" dataDxfId="41"/>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4" dataCellStyle="Content normal"/>
    <tableColumn id="2" xr3:uid="{A467D3D2-FAE8-4B4F-AD2F-273B449008EF}" name="Description" dataDxfId="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21" Type="http://schemas.openxmlformats.org/officeDocument/2006/relationships/table" Target="../tables/table27.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20" Type="http://schemas.openxmlformats.org/officeDocument/2006/relationships/table" Target="../tables/table26.xml"/><Relationship Id="rId1" Type="http://schemas.openxmlformats.org/officeDocument/2006/relationships/printerSettings" Target="../printerSettings/printerSettings2.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 Id="rId22"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15" x14ac:dyDescent="0.25"/>
  <sheetData>
    <row r="1" spans="1:1" x14ac:dyDescent="0.25">
      <c r="A1" t="s">
        <v>0</v>
      </c>
    </row>
    <row r="3" spans="1:1" x14ac:dyDescent="0.25">
      <c r="A3" s="82" t="str">
        <f>HYPERLINK("#'Home'!A1", "Home")</f>
        <v>Home</v>
      </c>
    </row>
    <row r="6" spans="1:1" x14ac:dyDescent="0.25">
      <c r="A6" s="83" t="s">
        <v>2</v>
      </c>
    </row>
    <row r="7" spans="1:1" ht="15.75" x14ac:dyDescent="0.25">
      <c r="A7" s="5" t="str">
        <f>HYPERLINK("#'Constants - Common'!A1", "Constants - Common")</f>
        <v>Constants - Common</v>
      </c>
    </row>
    <row r="8" spans="1:1" ht="15.75" x14ac:dyDescent="0.25">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opLeftCell="A31" zoomScaleNormal="100" workbookViewId="0">
      <selection activeCell="E52" sqref="E52"/>
    </sheetView>
  </sheetViews>
  <sheetFormatPr defaultRowHeight="15.75" x14ac:dyDescent="0.25"/>
  <cols>
    <col min="1" max="1" width="30.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1" t="e" vm="1">
        <v>#VALUE!</v>
      </c>
      <c r="C1" s="93" t="s">
        <v>296</v>
      </c>
      <c r="D1" s="93"/>
      <c r="E1" s="93"/>
      <c r="F1" s="93"/>
      <c r="G1" s="93"/>
      <c r="H1" s="93"/>
      <c r="I1" s="93"/>
      <c r="J1" s="93"/>
      <c r="K1" s="93"/>
    </row>
    <row r="2" spans="1:11" ht="20.100000000000001" customHeight="1" x14ac:dyDescent="0.25">
      <c r="A2" s="3"/>
      <c r="C2" s="3"/>
      <c r="D2" s="3"/>
      <c r="E2" s="3"/>
      <c r="F2" s="3"/>
      <c r="G2" s="3"/>
      <c r="H2" s="3"/>
      <c r="I2" s="3"/>
      <c r="J2" s="3"/>
      <c r="K2" s="3"/>
    </row>
    <row r="3" spans="1:11" ht="20.100000000000001" customHeight="1" x14ac:dyDescent="0.25">
      <c r="A3" s="5" t="str">
        <f>HYPERLINK("#'Home'!A1", "Home")</f>
        <v>Home</v>
      </c>
      <c r="C3" s="94"/>
      <c r="D3" s="94"/>
      <c r="E3" s="94"/>
      <c r="F3" s="94"/>
      <c r="G3" s="94"/>
      <c r="H3" s="94"/>
      <c r="I3" s="94"/>
      <c r="J3" s="94"/>
      <c r="K3" s="94"/>
    </row>
    <row r="4" spans="1:11" ht="20.100000000000001" customHeight="1" x14ac:dyDescent="0.25">
      <c r="A4" s="5" t="str">
        <f>HYPERLINK("#'Results'!A1", "Results")</f>
        <v>Results</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5">
      <c r="A5" s="4"/>
    </row>
    <row r="6" spans="1:11" ht="20.100000000000001" customHeight="1" x14ac:dyDescent="0.25">
      <c r="A6" s="8" t="s">
        <v>1</v>
      </c>
      <c r="D6" s="80" t="s">
        <v>272</v>
      </c>
    </row>
    <row r="7" spans="1:11" ht="20.100000000000001" customHeight="1" x14ac:dyDescent="0.25">
      <c r="A7" s="5" t="str">
        <f>HYPERLINK("#'Input - Site'!A1", "Site")</f>
        <v>Site</v>
      </c>
    </row>
    <row r="8" spans="1:11" ht="20.100000000000001" customHeight="1" x14ac:dyDescent="0.25">
      <c r="A8" s="5" t="str">
        <f>HYPERLINK("#'Input - Pasture Beef'!A1", "Pasture Beef")</f>
        <v>Pasture Beef</v>
      </c>
      <c r="D8" s="12" t="s">
        <v>4</v>
      </c>
      <c r="E8" s="12" t="s">
        <v>9</v>
      </c>
      <c r="F8" s="12" t="s">
        <v>10</v>
      </c>
      <c r="G8" s="12" t="s">
        <v>6</v>
      </c>
      <c r="H8" s="12" t="s">
        <v>11</v>
      </c>
      <c r="I8" s="12" t="s">
        <v>12</v>
      </c>
      <c r="J8" s="12"/>
    </row>
    <row r="9" spans="1:11" ht="20.100000000000001" customHeight="1" x14ac:dyDescent="0.25">
      <c r="A9" s="5"/>
      <c r="D9" s="1" t="s">
        <v>134</v>
      </c>
      <c r="E9" s="1" t="e" cm="1">
        <f t="array" ref="E9">VEERG_5_1_1_1__1_InorganicFertiliserApplicationN2OEmissions_Result_Method1</f>
        <v>#NAME?</v>
      </c>
      <c r="F9" s="1" t="e" cm="1">
        <f t="array" ref="F9">VEERG_5_1_1_1__1_InorganicFertiliserApplicationN2OEmissions_Result_Method2</f>
        <v>#NAME?</v>
      </c>
      <c r="G9" s="10" t="s">
        <v>13</v>
      </c>
      <c r="H9" s="1" t="e" cm="1">
        <f t="array" ref="H9">Common_Equations.Common_ConvertN2OToCO2e(E9,_xlfn.XLOOKUP("N2O", Table_GWPData[Gas],Table_GWPData[CO2-e factor]))</f>
        <v>#NAME?</v>
      </c>
      <c r="I9" s="1" t="e" cm="1">
        <f t="array" ref="I9">Common_Equations.Common_ConvertN2OToCO2e(F9,_xlfn.XLOOKUP("N2O", Table_GWPData[Gas],Table_GWPData[CO2-e factor]))</f>
        <v>#NAME?</v>
      </c>
      <c r="J9" s="10" t="s">
        <v>8</v>
      </c>
    </row>
    <row r="10" spans="1:11" ht="20.100000000000001" customHeight="1" x14ac:dyDescent="0.25">
      <c r="A10" s="7" t="s">
        <v>3</v>
      </c>
      <c r="D10" s="1" t="s">
        <v>135</v>
      </c>
      <c r="E10" s="1" t="e" cm="1">
        <f t="array" ref="E10">VEERG_5_1_1_3__1_InorganicFertiliserApplicationCO2Emissions_Result_Method1</f>
        <v>#NAME?</v>
      </c>
      <c r="F10" s="1" t="e">
        <f>E10</f>
        <v>#NAME?</v>
      </c>
      <c r="G10" s="10" t="s">
        <v>128</v>
      </c>
      <c r="H10" s="1" t="e">
        <f>E10</f>
        <v>#NAME?</v>
      </c>
      <c r="I10" s="1" t="e">
        <f>F10</f>
        <v>#NAME?</v>
      </c>
      <c r="J10" s="10" t="s">
        <v>8</v>
      </c>
    </row>
    <row r="11" spans="1:11" ht="20.100000000000001" customHeight="1" x14ac:dyDescent="0.25">
      <c r="A11" s="5" t="str">
        <f>HYPERLINK("#'4.2.1.1-2 Methane'!A1", "4.2.1.1-2 Methane")</f>
        <v>4.2.1.1-2 Methane</v>
      </c>
      <c r="D11" s="1" t="s">
        <v>136</v>
      </c>
      <c r="E11" s="1" t="e" cm="1">
        <f t="array" ref="E11">VEERG_5_2_1_1__2_MassOfNitrogenInOrganicFertiliser_Result_Method1</f>
        <v>#NAME?</v>
      </c>
      <c r="F11" s="1" t="e">
        <f>E11</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8</v>
      </c>
    </row>
    <row r="12" spans="1:11" ht="20.100000000000001" customHeight="1" x14ac:dyDescent="0.25">
      <c r="A12" s="5" t="str">
        <f>HYPERLINK("#'4.2.1.3-4 Soil direct N2O'!A1", "4.2.1.3-4 Soil direct N2O")</f>
        <v>4.2.1.3-4 Soil direct N2O</v>
      </c>
      <c r="D12" s="1" t="s">
        <v>137</v>
      </c>
      <c r="E12" s="1" t="e" cm="1">
        <f t="array" ref="E12">VEERG_5_3_1_1__1_LimeApplicationCO2Emissions_Result_Method1</f>
        <v>#NAME?</v>
      </c>
      <c r="F12" s="1" t="e">
        <f>E12</f>
        <v>#NAME?</v>
      </c>
      <c r="G12" s="10" t="s">
        <v>128</v>
      </c>
      <c r="H12" s="1" t="e">
        <f>E12</f>
        <v>#NAME?</v>
      </c>
      <c r="I12" s="1" t="e">
        <f>F12</f>
        <v>#NAME?</v>
      </c>
      <c r="J12" s="10" t="s">
        <v>8</v>
      </c>
    </row>
    <row r="13" spans="1:11" ht="20.100000000000001" customHeight="1" x14ac:dyDescent="0.25">
      <c r="A13" s="5" t="str">
        <f>HYPERLINK("#'4.2.1.5-6 Soil Atmos Dep'!A1", "4.2.1.5-6 Soil atm. deposition")</f>
        <v>4.2.1.5-6 Soil atm. deposition</v>
      </c>
      <c r="D13" s="1" t="s">
        <v>138</v>
      </c>
      <c r="E13" s="1" t="e" cm="1">
        <f t="array" ref="E13">VEERG_5_4_1_3__1_OrganicFertiliserAtmosphericDepositionN2OEmissions_Result_Method1</f>
        <v>#NAME?</v>
      </c>
      <c r="F13" s="1" t="e">
        <f>E13</f>
        <v>#NAME?</v>
      </c>
      <c r="G13" s="10" t="s">
        <v>13</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8</v>
      </c>
    </row>
    <row r="14" spans="1:11" ht="20.100000000000001" customHeight="1" x14ac:dyDescent="0.25">
      <c r="A14" s="5" t="str">
        <f>HYPERLINK("#'4.2.1.7-8 Soil leach runoff'!A1", "4.2.1.7-8 Soil leach &amp; runoff")</f>
        <v>4.2.1.7-8 Soil leach &amp; runoff</v>
      </c>
      <c r="D14" s="1" t="s">
        <v>139</v>
      </c>
      <c r="E14" s="1" t="e" cm="1">
        <f t="array" ref="E14">VEERG_5_5_1_1__1_FertiliserLeachingAndRunoffN2OEmissions_result_Method1</f>
        <v>#NAME?</v>
      </c>
      <c r="F14" s="1" t="e">
        <f>E14</f>
        <v>#NAME?</v>
      </c>
      <c r="G14" s="10" t="s">
        <v>13</v>
      </c>
      <c r="H14" s="1" t="e" cm="1">
        <f t="array" ref="H14">Common_Equations.Common_ConvertN2OToCO2e(E14,_xlfn.XLOOKUP("N2O", Table_GWPData[Gas],Table_GWPData[CO2-e factor]))</f>
        <v>#NAME?</v>
      </c>
      <c r="I14" s="1" t="e" cm="1">
        <f t="array" ref="I14">Common_Equations.Common_ConvertN2OToCO2e(F14,_xlfn.XLOOKUP("N2O", Table_GWPData[Gas],Table_GWPData[CO2-e factor]))</f>
        <v>#NAME?</v>
      </c>
      <c r="J14" s="10" t="s">
        <v>8</v>
      </c>
    </row>
    <row r="15" spans="1:11" ht="20.100000000000001" customHeight="1" x14ac:dyDescent="0.25">
      <c r="A15" s="5"/>
      <c r="D15" s="1" t="s">
        <v>174</v>
      </c>
      <c r="E15" s="1" t="e" cm="1">
        <f t="array" ref="E15">VEERG_6_1_1_1__1__NitrousOxideEmissionsFromCropResidues_Result_Method1</f>
        <v>#NAME?</v>
      </c>
      <c r="F15" s="1" t="e" cm="1">
        <f t="array" ref="F15">VEERG_6_1_1_1__1__NitrousOxideEmissionsFromCropResidues_Result_Method2</f>
        <v>#NAME?</v>
      </c>
      <c r="G15" s="10" t="s">
        <v>13</v>
      </c>
      <c r="H15" s="1" t="e" cm="1">
        <f t="array" ref="H15">Common_Equations.Common_ConvertN2OToCO2e(E15,_xlfn.XLOOKUP("N2O", Table_GWPData[Gas],Table_GWPData[CO2-e factor]))</f>
        <v>#NAME?</v>
      </c>
      <c r="I15" s="1" t="e" cm="1">
        <f t="array" ref="I15">Common_Equations.Common_ConvertN2OToCO2e(F15,_xlfn.XLOOKUP("N2O", Table_GWPData[Gas],Table_GWPData[CO2-e factor]))</f>
        <v>#NAME?</v>
      </c>
      <c r="J15" s="10" t="s">
        <v>8</v>
      </c>
    </row>
    <row r="16" spans="1:11" ht="20.100000000000001" customHeight="1" x14ac:dyDescent="0.25">
      <c r="A16" s="6" t="s">
        <v>2</v>
      </c>
      <c r="D16" s="1" t="s">
        <v>173</v>
      </c>
      <c r="E16" s="1" t="e" cm="1">
        <f t="array" ref="E16">VEERG_6_3_1_1__1__LeachingAndRunoffEmissionsCropAndPastureResidue_CropOnly_Result_Method1</f>
        <v>#NAME?</v>
      </c>
      <c r="F16" s="1" t="e" cm="1">
        <f t="array" ref="F16">VEERG_6_3_1_1__1__LeachingAndRunoffEmissionsCropAndPastureResidue_CropOnly_Result_Method2</f>
        <v>#NAME?</v>
      </c>
      <c r="G16" s="10" t="s">
        <v>13</v>
      </c>
      <c r="H16" s="1" t="e" cm="1">
        <f t="array" ref="H16">Common_Equations.Common_ConvertN2OToCO2e(E16,_xlfn.XLOOKUP("N2O", Table_GWPData[Gas],Table_GWPData[CO2-e factor]))</f>
        <v>#NAME?</v>
      </c>
      <c r="I16" s="1" t="e" cm="1">
        <f t="array" ref="I16">Common_Equations.Common_ConvertN2OToCO2e(F16,_xlfn.XLOOKUP("N2O", Table_GWPData[Gas],Table_GWPData[CO2-e factor]))</f>
        <v>#NAME?</v>
      </c>
      <c r="J16" s="10" t="s">
        <v>8</v>
      </c>
    </row>
    <row r="17" spans="1:10" ht="20.100000000000001" customHeight="1" x14ac:dyDescent="0.25">
      <c r="A17" s="5" t="str">
        <f>HYPERLINK("#'Constants - Pasture Beef'!A1", "Constants - Pasture Beef")</f>
        <v>Constants - Pasture Beef</v>
      </c>
      <c r="D17" s="1" t="s">
        <v>176</v>
      </c>
      <c r="E17" s="1" t="e" cm="1">
        <f t="array" ref="E17">VEERG_6_4_1_1__2__NitrousOxideEmissionsFromBurningOfCropResidues_Result_Method1</f>
        <v>#NAME?</v>
      </c>
      <c r="F17" s="1" t="e">
        <f t="shared" ref="F17:F22" si="0">E17</f>
        <v>#NAME?</v>
      </c>
      <c r="G17" s="10" t="s">
        <v>13</v>
      </c>
      <c r="H17" s="1" t="e" cm="1">
        <f t="array" ref="H17">Common_Equations.Common_ConvertN2OToCO2e(E17,_xlfn.XLOOKUP("N2O", Table_GWPData[Gas],Table_GWPData[CO2-e factor]))</f>
        <v>#NAME?</v>
      </c>
      <c r="I17" s="1" t="e" cm="1">
        <f t="array" ref="I17">Common_Equations.Common_ConvertN2OToCO2e(F17,_xlfn.XLOOKUP("N2O", Table_GWPData[Gas],Table_GWPData[CO2-e factor]))</f>
        <v>#NAME?</v>
      </c>
      <c r="J17" s="10" t="s">
        <v>8</v>
      </c>
    </row>
    <row r="18" spans="1:10" ht="20.100000000000001" customHeight="1" x14ac:dyDescent="0.25">
      <c r="A18" s="5" t="str">
        <f>HYPERLINK("#'Constants - Livestock'!A1", "Constants - Livestock")</f>
        <v>Constants - Livestock</v>
      </c>
      <c r="D18" s="1" t="s">
        <v>175</v>
      </c>
      <c r="E18" s="1" t="e" cm="1">
        <f t="array" ref="E18">VEERG_6_4_1_1__1__MethaneEmissionsFromBurningOfCropResidues_Result_Method1</f>
        <v>#NAME?</v>
      </c>
      <c r="F18" s="1" t="e">
        <f t="shared" si="0"/>
        <v>#NAME?</v>
      </c>
      <c r="G18" s="10" t="s">
        <v>7</v>
      </c>
      <c r="H18" s="1" t="e" cm="1">
        <f t="array" ref="H18">Common_Equations.Common_ConvertCH4ToCO2e(E18,_xlfn.XLOOKUP("CH4", Table_GWPData[Gas],Table_GWPData[CO2-e factor]))</f>
        <v>#NAME?</v>
      </c>
      <c r="I18" s="1" t="e" cm="1">
        <f t="array" ref="I18">Common_Equations.Common_ConvertCH4ToCO2e(F18,_xlfn.XLOOKUP("CH4", Table_GWPData[Gas],Table_GWPData[CO2-e factor]))</f>
        <v>#NAME?</v>
      </c>
      <c r="J18" s="10" t="s">
        <v>8</v>
      </c>
    </row>
    <row r="19" spans="1:10" ht="20.100000000000001" customHeight="1" x14ac:dyDescent="0.25">
      <c r="A19" s="5" t="str">
        <f>HYPERLINK("#'Constants - Common'!A1", "Constants - Common")</f>
        <v>Constants - Common</v>
      </c>
      <c r="D19" s="1" t="s">
        <v>140</v>
      </c>
      <c r="E19" s="1" t="e" cm="1">
        <f t="array" ref="E19">VEERG_8_1_1_1__1_FuelCombustionTransport_Result_CO2</f>
        <v>#NAME?</v>
      </c>
      <c r="F19" s="1" t="e">
        <f t="shared" si="0"/>
        <v>#NAME?</v>
      </c>
      <c r="G19" s="10" t="s">
        <v>128</v>
      </c>
      <c r="H19" s="1" t="e">
        <f>E19</f>
        <v>#NAME?</v>
      </c>
      <c r="I19" s="1" t="e">
        <f>F19</f>
        <v>#NAME?</v>
      </c>
      <c r="J19" s="10" t="s">
        <v>8</v>
      </c>
    </row>
    <row r="20" spans="1:10" ht="20.100000000000001" customHeight="1" x14ac:dyDescent="0.25">
      <c r="A20" s="5" t="str">
        <f>HYPERLINK("#'Acknowledgements'!A1", "Acknowledgements")</f>
        <v>Acknowledgements</v>
      </c>
      <c r="D20" s="1" t="s">
        <v>142</v>
      </c>
      <c r="E20" s="1" t="e" cm="1">
        <f t="array" ref="E20">VEERG_8_1_1_1__1_FuelCombustionTransport_Result_CH4</f>
        <v>#NAME?</v>
      </c>
      <c r="F20" s="1" t="e">
        <f t="shared" si="0"/>
        <v>#NAME?</v>
      </c>
      <c r="G20" s="10" t="s">
        <v>7</v>
      </c>
      <c r="H20" s="1" t="e" cm="1">
        <f t="array" ref="H20">Common_Equations.Common_ConvertCH4ToCO2e(E20,_xlfn.XLOOKUP("CH4", Table_GWPData[Gas],Table_GWPData[CO2-e factor]))</f>
        <v>#NAME?</v>
      </c>
      <c r="I20" s="1" t="e" cm="1">
        <f t="array" ref="I20">Common_Equations.Common_ConvertCH4ToCO2e(F20,_xlfn.XLOOKUP("CH4", Table_GWPData[Gas],Table_GWPData[CO2-e factor]))</f>
        <v>#NAME?</v>
      </c>
      <c r="J20" s="10" t="s">
        <v>8</v>
      </c>
    </row>
    <row r="21" spans="1:10" ht="20.100000000000001" customHeight="1" x14ac:dyDescent="0.25">
      <c r="D21" s="1" t="s">
        <v>141</v>
      </c>
      <c r="E21" s="1" t="e" cm="1">
        <f t="array" ref="E21">VEERG_8_1_1_1__1_FuelCombustionTransport_Result_N2O</f>
        <v>#NAME?</v>
      </c>
      <c r="F21" s="1" t="e">
        <f t="shared" si="0"/>
        <v>#NAME?</v>
      </c>
      <c r="G21" s="10" t="s">
        <v>13</v>
      </c>
      <c r="H21" s="1" t="e" cm="1">
        <f t="array" ref="H21">Common_Equations.Common_ConvertN2OToCO2e(E21,_xlfn.XLOOKUP("N2O", Table_GWPData[Gas],Table_GWPData[CO2-e factor]))</f>
        <v>#NAME?</v>
      </c>
      <c r="I21" s="1" t="e" cm="1">
        <f t="array" ref="I21">Common_Equations.Common_ConvertN2OToCO2e(F21,_xlfn.XLOOKUP("N2O", Table_GWPData[Gas],Table_GWPData[CO2-e factor]))</f>
        <v>#NAME?</v>
      </c>
      <c r="J21" s="10" t="s">
        <v>8</v>
      </c>
    </row>
    <row r="22" spans="1:10" ht="20.100000000000001" customHeight="1" x14ac:dyDescent="0.25">
      <c r="A22" s="5"/>
      <c r="D22" s="1" t="s">
        <v>143</v>
      </c>
      <c r="E22" s="1" t="e" cm="1">
        <f t="array" ref="E22">VEERG_8_2_1_1__1_FuelCombustionStationary_Result_CO2</f>
        <v>#NAME?</v>
      </c>
      <c r="F22" s="1" t="e">
        <f t="shared" si="0"/>
        <v>#NAME?</v>
      </c>
      <c r="G22" s="10" t="s">
        <v>128</v>
      </c>
      <c r="H22" s="1" t="e">
        <f>E22</f>
        <v>#NAME?</v>
      </c>
      <c r="I22" s="1" t="e">
        <f>F22</f>
        <v>#NAME?</v>
      </c>
      <c r="J22" s="10" t="s">
        <v>8</v>
      </c>
    </row>
    <row r="23" spans="1:10" ht="20.100000000000001" customHeight="1" x14ac:dyDescent="0.25">
      <c r="A23" s="5"/>
      <c r="D23" s="1" t="s">
        <v>144</v>
      </c>
      <c r="E23" s="1" t="e" cm="1">
        <f t="array" ref="E23">VEERG_8_2_1_1__1_FuelCombustionStationary_Result_CH4</f>
        <v>#NAME?</v>
      </c>
      <c r="F23" s="1" t="e">
        <f t="shared" ref="F23:F26" si="1">E23</f>
        <v>#NAME?</v>
      </c>
      <c r="G23" s="10" t="s">
        <v>7</v>
      </c>
      <c r="H23" s="1" t="e" cm="1">
        <f t="array" ref="H23">Common_Equations.Common_ConvertCH4ToCO2e(E23,_xlfn.XLOOKUP("CH4", Table_GWPData[Gas],Table_GWPData[CO2-e factor]))</f>
        <v>#NAME?</v>
      </c>
      <c r="I23" s="1" t="e" cm="1">
        <f t="array" ref="I23">Common_Equations.Common_ConvertCH4ToCO2e(F23,_xlfn.XLOOKUP("CH4", Table_GWPData[Gas],Table_GWPData[CO2-e factor]))</f>
        <v>#NAME?</v>
      </c>
      <c r="J23" s="10" t="s">
        <v>8</v>
      </c>
    </row>
    <row r="24" spans="1:10" ht="20.100000000000001" customHeight="1" x14ac:dyDescent="0.25">
      <c r="A24" s="5"/>
      <c r="D24" s="1" t="s">
        <v>145</v>
      </c>
      <c r="E24" s="1" t="e" cm="1">
        <f t="array" ref="E24">VEERG_8_2_1_1__1_FuelCombustionStationary_Result_N2O</f>
        <v>#NAME?</v>
      </c>
      <c r="F24" s="1" t="e">
        <f t="shared" si="1"/>
        <v>#NAME?</v>
      </c>
      <c r="G24" s="10" t="s">
        <v>13</v>
      </c>
      <c r="H24" s="1" t="e" cm="1">
        <f t="array" ref="H24">Common_Equations.Common_ConvertN2OToCO2e(E24,_xlfn.XLOOKUP("N2O", Table_GWPData[Gas],Table_GWPData[CO2-e factor]))</f>
        <v>#NAME?</v>
      </c>
      <c r="I24" s="1" t="e" cm="1">
        <f t="array" ref="I24">Common_Equations.Common_ConvertN2OToCO2e(F24,_xlfn.XLOOKUP("N2O", Table_GWPData[Gas],Table_GWPData[CO2-e factor]))</f>
        <v>#NAME?</v>
      </c>
      <c r="J24" s="10" t="s">
        <v>8</v>
      </c>
    </row>
    <row r="25" spans="1:10" ht="20.100000000000001" customHeight="1" x14ac:dyDescent="0.25">
      <c r="D25" s="1" t="s">
        <v>146</v>
      </c>
      <c r="E25" s="1" t="e" cm="1">
        <f t="array" ref="E25">VEERG_14_1_1__1_LocationBasedScopeElectricityEmissions_Result_Method1</f>
        <v>#NAME?</v>
      </c>
      <c r="F25" s="1" t="e">
        <f t="shared" si="1"/>
        <v>#NAME?</v>
      </c>
      <c r="G25" s="10" t="s">
        <v>8</v>
      </c>
      <c r="H25" s="1" t="e">
        <f>E25</f>
        <v>#NAME?</v>
      </c>
      <c r="I25" s="1" t="e">
        <f>F25</f>
        <v>#NAME?</v>
      </c>
      <c r="J25" s="10" t="s">
        <v>8</v>
      </c>
    </row>
    <row r="26" spans="1:10" ht="20.100000000000001" customHeight="1" x14ac:dyDescent="0.25">
      <c r="D26" s="1" t="s">
        <v>147</v>
      </c>
      <c r="E26" s="1" t="e" cm="1">
        <f t="array" ref="E26">VEERG_14_1_2__1_MarketBasedScopeElectricityEmissionsVariation_Result_Method1</f>
        <v>#NAME?</v>
      </c>
      <c r="F26" s="1" t="e">
        <f t="shared" si="1"/>
        <v>#NAME?</v>
      </c>
      <c r="G26" s="10" t="s">
        <v>8</v>
      </c>
      <c r="H26" s="1" t="e">
        <f>E26</f>
        <v>#NAME?</v>
      </c>
      <c r="I26" s="1" t="e">
        <f>F26</f>
        <v>#NAME?</v>
      </c>
      <c r="J26" s="10" t="s">
        <v>8</v>
      </c>
    </row>
    <row r="27" spans="1:10" ht="20.100000000000001" customHeight="1" x14ac:dyDescent="0.25">
      <c r="D27" s="88" t="s">
        <v>5</v>
      </c>
      <c r="E27" s="89"/>
      <c r="F27" s="89"/>
      <c r="G27" s="89"/>
      <c r="H27" s="88" t="e">
        <f>SUM(H9:H26)</f>
        <v>#NAME?</v>
      </c>
      <c r="I27" s="88" t="e">
        <f>SUM(I9:I26)</f>
        <v>#NAME?</v>
      </c>
      <c r="J27" s="98" t="s">
        <v>8</v>
      </c>
    </row>
    <row r="28" spans="1:10" ht="20.100000000000001" customHeight="1" x14ac:dyDescent="0.25"/>
    <row r="29" spans="1:10" ht="20.100000000000001" customHeight="1" x14ac:dyDescent="0.25"/>
    <row r="30" spans="1:10" ht="20.100000000000001" customHeight="1" x14ac:dyDescent="0.25">
      <c r="D30" s="80" t="s">
        <v>273</v>
      </c>
    </row>
    <row r="31" spans="1:10" ht="20.100000000000001" customHeight="1" x14ac:dyDescent="0.25"/>
    <row r="32" spans="1:10" ht="20.100000000000001" customHeight="1" x14ac:dyDescent="0.25">
      <c r="D32" s="12" t="s">
        <v>274</v>
      </c>
      <c r="E32" s="12" t="s">
        <v>9</v>
      </c>
      <c r="F32" s="12" t="s">
        <v>10</v>
      </c>
      <c r="G32" s="12" t="s">
        <v>6</v>
      </c>
      <c r="H32" s="12" t="s">
        <v>11</v>
      </c>
      <c r="I32" s="12" t="s">
        <v>12</v>
      </c>
      <c r="J32" s="12"/>
    </row>
    <row r="33" spans="4:10" ht="20.100000000000001" customHeight="1" x14ac:dyDescent="0.25">
      <c r="D33" s="1" t="e" cm="1">
        <f t="array" ref="D33">"14.1.1-2 Purchased electricity " &amp; IF(X_Cell_Electricity_CalculationMethod="Location-based (simpler)", "(Location-based)", "(Market-based)")</f>
        <v>#NAME?</v>
      </c>
      <c r="E33" s="1" t="e" cm="1">
        <f t="array" ref="E33">IF(X_Cell_Electricity_CalculationMethod="Location-based (simpler)", VEERG_14_1_1__1_LocationBasedScopeElectricityEmissions_Result_Method1, VEERG_14_1_2__1_MarketBasedScopeElectricityEmissionsVariation_Result_Method1)</f>
        <v>#NAME?</v>
      </c>
      <c r="F33" s="1" t="e">
        <f>E33</f>
        <v>#NAME?</v>
      </c>
      <c r="G33" s="10" t="s">
        <v>8</v>
      </c>
      <c r="H33" s="1" t="e">
        <f>E33</f>
        <v>#NAME?</v>
      </c>
      <c r="I33" s="1" t="e">
        <f>F33</f>
        <v>#NAME?</v>
      </c>
      <c r="J33" s="10" t="s">
        <v>8</v>
      </c>
    </row>
    <row r="34" spans="4:10" ht="20.100000000000001" customHeight="1" x14ac:dyDescent="0.25">
      <c r="D34" s="88" t="s">
        <v>275</v>
      </c>
      <c r="E34" s="89"/>
      <c r="F34" s="89"/>
      <c r="G34" s="89"/>
      <c r="H34" s="88" t="e">
        <f>SUM(H33:H33)</f>
        <v>#NAME?</v>
      </c>
      <c r="I34" s="88" t="e">
        <f>SUM(I33:I33)</f>
        <v>#NAME?</v>
      </c>
      <c r="J34" s="98" t="s">
        <v>8</v>
      </c>
    </row>
    <row r="35" spans="4:10" ht="20.100000000000001" customHeight="1" x14ac:dyDescent="0.25"/>
    <row r="36" spans="4:10" ht="20.100000000000001" customHeight="1" x14ac:dyDescent="0.25"/>
    <row r="37" spans="4:10" ht="20.100000000000001" customHeight="1" x14ac:dyDescent="0.25">
      <c r="D37" s="80" t="s">
        <v>276</v>
      </c>
    </row>
    <row r="38" spans="4:10" ht="20.100000000000001" customHeight="1" x14ac:dyDescent="0.25"/>
    <row r="39" spans="4:10" ht="20.100000000000001" customHeight="1" x14ac:dyDescent="0.25">
      <c r="D39" s="12" t="s">
        <v>277</v>
      </c>
      <c r="E39" s="12" t="s">
        <v>9</v>
      </c>
      <c r="F39" s="12" t="s">
        <v>10</v>
      </c>
      <c r="G39" s="12" t="s">
        <v>6</v>
      </c>
      <c r="H39" s="12" t="s">
        <v>11</v>
      </c>
      <c r="I39" s="12" t="s">
        <v>12</v>
      </c>
      <c r="J39" s="12"/>
    </row>
    <row r="40" spans="4:10" ht="20.100000000000001" customHeight="1" x14ac:dyDescent="0.25">
      <c r="D40" s="1" t="s">
        <v>278</v>
      </c>
      <c r="E40" s="1" t="e" cm="1">
        <f t="array" ref="E40">VEERG_15_4_1_1__2_EmissionsFromPurchasedFertiliserComponentsVariation_Result_Method1</f>
        <v>#NAME?</v>
      </c>
      <c r="F40" s="1" t="e" cm="1">
        <f t="array" ref="F40">VEERG_15_4_1_1__2_EmissionsFromPurchasedFertiliserComponentsVariation_Result_Method2</f>
        <v>#NAME?</v>
      </c>
      <c r="G40" s="10" t="s">
        <v>8</v>
      </c>
      <c r="H40" s="1" t="e">
        <f t="shared" ref="H40:H47" si="2">E40</f>
        <v>#NAME?</v>
      </c>
      <c r="I40" s="1" t="e">
        <f t="shared" ref="I40:I50" si="3">F40</f>
        <v>#NAME?</v>
      </c>
      <c r="J40" s="10" t="s">
        <v>8</v>
      </c>
    </row>
    <row r="41" spans="4:10" ht="20.100000000000001" customHeight="1" x14ac:dyDescent="0.25">
      <c r="D41" s="1" t="s">
        <v>279</v>
      </c>
      <c r="E41" s="1" t="e" cm="1">
        <f t="array" ref="E41">VEERG_15_5_1_1__1_EmissionsFromPurchasedAgrichemicals_Result_Method1</f>
        <v>#NAME?</v>
      </c>
      <c r="F41" s="1" t="e" cm="1">
        <f t="array" ref="F41">VEERG_15_5_1_1__1_EmissionsFromPurchasedAgrichemicals_Result_Method2</f>
        <v>#NAME?</v>
      </c>
      <c r="G41" s="10" t="s">
        <v>8</v>
      </c>
      <c r="H41" s="1" t="e">
        <f t="shared" si="2"/>
        <v>#NAME?</v>
      </c>
      <c r="I41" s="1" t="e">
        <f t="shared" si="3"/>
        <v>#NAME?</v>
      </c>
      <c r="J41" s="10" t="s">
        <v>8</v>
      </c>
    </row>
    <row r="42" spans="4:10" ht="20.100000000000001" customHeight="1" x14ac:dyDescent="0.25">
      <c r="D42" s="1" t="s">
        <v>280</v>
      </c>
      <c r="E42" s="1" t="e" cm="1">
        <f t="array" ref="E42">VEERG_15_6_1_1__1_EmissionsFromPurchasedLime_Result_Method1</f>
        <v>#NAME?</v>
      </c>
      <c r="F42" s="1" t="e" cm="1">
        <f t="array" ref="F42">VEERG_15_6_1_1__1_EmissionsFromPurchasedLime_Result_Method2</f>
        <v>#NAME?</v>
      </c>
      <c r="G42" s="10" t="s">
        <v>8</v>
      </c>
      <c r="H42" s="1" t="e">
        <f t="shared" si="2"/>
        <v>#NAME?</v>
      </c>
      <c r="I42" s="1" t="e">
        <f t="shared" si="3"/>
        <v>#NAME?</v>
      </c>
      <c r="J42" s="10" t="s">
        <v>8</v>
      </c>
    </row>
    <row r="43" spans="4:10" ht="20.100000000000001" customHeight="1" x14ac:dyDescent="0.25">
      <c r="D43" s="1" t="s">
        <v>281</v>
      </c>
      <c r="E43" s="1" t="e" cm="1">
        <f t="array" ref="E43">VEERG_15_7_1_1__1_EmissionsFromPurchasedServices_Result_Method1</f>
        <v>#NAME?</v>
      </c>
      <c r="F43" s="1" t="e" cm="1">
        <f t="array" ref="F43">VEERG_15_7_1_1__1_EmissionsFromPurchasedServices_Result_Method2</f>
        <v>#NAME?</v>
      </c>
      <c r="G43" s="10" t="s">
        <v>8</v>
      </c>
      <c r="H43" s="1" t="e">
        <f t="shared" si="2"/>
        <v>#NAME?</v>
      </c>
      <c r="I43" s="1" t="e">
        <f t="shared" si="3"/>
        <v>#NAME?</v>
      </c>
      <c r="J43" s="10" t="s">
        <v>8</v>
      </c>
    </row>
    <row r="44" spans="4:10" ht="20.100000000000001" customHeight="1" x14ac:dyDescent="0.25">
      <c r="D44" s="1" t="s">
        <v>282</v>
      </c>
      <c r="E44" s="1" t="e" cm="1">
        <f t="array" ref="E44">VEERG_15_10_1_1__1_OtherPurchasedGoodsAndServices_CleaningChemicals_Result_Method1</f>
        <v>#NAME?</v>
      </c>
      <c r="F44" s="1" t="e" cm="1">
        <f t="array" ref="F44">VEERG_15_10_1_1__1_OtherPurchasedGoodsAndServices_CleaningChemicals_Result_Method2</f>
        <v>#NAME?</v>
      </c>
      <c r="G44" s="10" t="s">
        <v>8</v>
      </c>
      <c r="H44" s="1" t="e">
        <f t="shared" si="2"/>
        <v>#NAME?</v>
      </c>
      <c r="I44" s="1" t="e">
        <f t="shared" si="3"/>
        <v>#NAME?</v>
      </c>
      <c r="J44" s="10" t="s">
        <v>8</v>
      </c>
    </row>
    <row r="45" spans="4:10" ht="20.100000000000001" customHeight="1" x14ac:dyDescent="0.25">
      <c r="D45" s="1" t="s">
        <v>283</v>
      </c>
      <c r="E45" s="1" t="e" cm="1">
        <f t="array" ref="E45">VEERG_15_10_1_1__1_OtherPurchasedGoodsAndServices_Uncategorised_Result_Method1</f>
        <v>#NAME?</v>
      </c>
      <c r="F45" s="1" t="e" cm="1">
        <f t="array" ref="F45">VEERG_15_10_1_1__1_OtherPurchasedGoodsAndServices_Uncategorised_Result_Method2</f>
        <v>#NAME?</v>
      </c>
      <c r="G45" s="10" t="s">
        <v>8</v>
      </c>
      <c r="H45" s="1" t="e">
        <f t="shared" si="2"/>
        <v>#NAME?</v>
      </c>
      <c r="I45" s="1" t="e">
        <f t="shared" si="3"/>
        <v>#NAME?</v>
      </c>
      <c r="J45" s="10" t="s">
        <v>8</v>
      </c>
    </row>
    <row r="46" spans="4:10" ht="20.100000000000001" customHeight="1" x14ac:dyDescent="0.25">
      <c r="D46" s="1" t="s">
        <v>284</v>
      </c>
      <c r="E46" s="1" t="e" cm="1">
        <f t="array" ref="E46">VEERG_15_11_1_1__1_TotalUpstreamEmissionsFromFuel_Result</f>
        <v>#NAME?</v>
      </c>
      <c r="F46" s="1" t="e">
        <f>E46</f>
        <v>#NAME?</v>
      </c>
      <c r="G46" s="10" t="s">
        <v>8</v>
      </c>
      <c r="H46" s="1" t="e">
        <f t="shared" si="2"/>
        <v>#NAME?</v>
      </c>
      <c r="I46" s="1" t="e">
        <f t="shared" si="3"/>
        <v>#NAME?</v>
      </c>
      <c r="J46" s="10" t="s">
        <v>8</v>
      </c>
    </row>
    <row r="47" spans="4:10" ht="20.100000000000001" customHeight="1" x14ac:dyDescent="0.25">
      <c r="D47" s="1" t="e" cm="1">
        <f t="array" ref="D47">"15.12.1.1 Purchased electricity " &amp; IF(X_Cell_Electricity_CalculationMethod="Location-based (simpler)", "(Location-based)", "(Market-based)")</f>
        <v>#NAME?</v>
      </c>
      <c r="E47" s="1" t="e" cm="1">
        <f t="array" ref="E47">IF(X_Cell_Electricity_CalculationMethod="Location-based (simpler)", VEERG_15_12_1_1__1_UpstreamPurchasedElectricityLocationBased_Result, VEERG_15_12_1_1__1_UpstreamPurchasedElectricityMarketBased_Result)</f>
        <v>#NAME?</v>
      </c>
      <c r="F47" s="1" t="e">
        <f>E47</f>
        <v>#NAME?</v>
      </c>
      <c r="G47" s="10" t="s">
        <v>8</v>
      </c>
      <c r="H47" s="1" t="e">
        <f t="shared" si="2"/>
        <v>#NAME?</v>
      </c>
      <c r="I47" s="1" t="e">
        <f t="shared" si="3"/>
        <v>#NAME?</v>
      </c>
      <c r="J47" s="10" t="s">
        <v>8</v>
      </c>
    </row>
    <row r="48" spans="4:10" ht="20.100000000000001" customHeight="1" x14ac:dyDescent="0.25">
      <c r="D48" s="1" t="s">
        <v>285</v>
      </c>
      <c r="E48" s="1" t="e" cm="1">
        <f t="array" ref="E48">VEERG_15_14_1_1__1_EmbeddedEmissionsFromUpstreamFreight_Incoming_Result_Method1</f>
        <v>#NAME?</v>
      </c>
      <c r="F48" s="1" t="e" cm="1">
        <f t="array" ref="F48">VEERG_15_14_1_1__1_EmbeddedEmissionsFromUpstreamFreight_Incoming_Result_Method2</f>
        <v>#NAME?</v>
      </c>
      <c r="G48" s="10" t="s">
        <v>8</v>
      </c>
      <c r="H48" s="1" t="e">
        <f>E48</f>
        <v>#NAME?</v>
      </c>
      <c r="I48" s="1" t="e">
        <f t="shared" si="3"/>
        <v>#NAME?</v>
      </c>
      <c r="J48" s="10" t="s">
        <v>8</v>
      </c>
    </row>
    <row r="49" spans="4:10" ht="20.100000000000001" customHeight="1" x14ac:dyDescent="0.25">
      <c r="D49" s="1" t="s">
        <v>286</v>
      </c>
      <c r="E49" s="1" t="e" cm="1">
        <f t="array" ref="E49">VEERG_10_1_1_1__1_EmissionsFromWasteManagement_Scope3_Result_Method1</f>
        <v>#NAME?</v>
      </c>
      <c r="F49" s="1" t="e">
        <f>E49</f>
        <v>#NAME?</v>
      </c>
      <c r="G49" s="10" t="s">
        <v>8</v>
      </c>
      <c r="H49" s="1" t="e">
        <f t="shared" ref="H49:H50" si="4">E49</f>
        <v>#NAME?</v>
      </c>
      <c r="I49" s="1" t="e">
        <f t="shared" si="3"/>
        <v>#NAME?</v>
      </c>
      <c r="J49" s="10" t="s">
        <v>8</v>
      </c>
    </row>
    <row r="50" spans="4:10" ht="20.100000000000001" customHeight="1" x14ac:dyDescent="0.25">
      <c r="D50" s="1" t="s">
        <v>287</v>
      </c>
      <c r="E50" s="1" t="e" cm="1">
        <f t="array" ref="E50">VEERG_15_14_1_1__1_EmbeddedEmissionsFromUpstreamFreight_Outgoing_Result_Method1</f>
        <v>#NAME?</v>
      </c>
      <c r="F50" s="1" t="e" cm="1">
        <f t="array" ref="F50">VEERG_15_14_1_1__1_EmbeddedEmissionsFromUpstreamFreight_Outgoing_Result_Method2</f>
        <v>#NAME?</v>
      </c>
      <c r="G50" s="10" t="s">
        <v>8</v>
      </c>
      <c r="H50" s="1" t="e">
        <f t="shared" si="4"/>
        <v>#NAME?</v>
      </c>
      <c r="I50" s="1" t="e">
        <f t="shared" si="3"/>
        <v>#NAME?</v>
      </c>
      <c r="J50" s="10" t="s">
        <v>8</v>
      </c>
    </row>
    <row r="51" spans="4:10" ht="20.100000000000001" customHeight="1" x14ac:dyDescent="0.25">
      <c r="D51" s="88" t="s">
        <v>288</v>
      </c>
      <c r="E51" s="89"/>
      <c r="F51" s="89"/>
      <c r="G51" s="89"/>
      <c r="H51" s="88" t="e">
        <f>SUM(H40:H50)</f>
        <v>#NAME?</v>
      </c>
      <c r="I51" s="88" t="e">
        <f>SUM(I40:I50)</f>
        <v>#NAME?</v>
      </c>
      <c r="J51" s="98" t="s">
        <v>8</v>
      </c>
    </row>
    <row r="52" spans="4:10" ht="20.100000000000001" customHeight="1" x14ac:dyDescent="0.25"/>
    <row r="53" spans="4:10" ht="20.100000000000001" customHeight="1" x14ac:dyDescent="0.25"/>
    <row r="54" spans="4:10" ht="20.100000000000001" customHeight="1" x14ac:dyDescent="0.25">
      <c r="D54" s="80" t="str">
        <f>"Carbon removals from plantings for the activity period " &amp; TEXT(X_Cell_Site_StartDate, "d mmmm yyyy") &amp; " and " &amp; TEXT(X_Cell_Site_EndDate, "d mmmm yyyy")</f>
        <v>Carbon removals from plantings for the activity period 1 January 2025 and 31 December 2025</v>
      </c>
    </row>
    <row r="55" spans="4:10" ht="20.100000000000001" customHeight="1" x14ac:dyDescent="0.25"/>
    <row r="56" spans="4:10" ht="20.100000000000001" customHeight="1" x14ac:dyDescent="0.25">
      <c r="D56" s="88" t="s">
        <v>289</v>
      </c>
      <c r="E56" s="89">
        <f>SUM(Table_Input_Enterprise_PlantingRemovals[Removal allocated to this enterprise])</f>
        <v>0</v>
      </c>
      <c r="F56" s="98" t="s">
        <v>128</v>
      </c>
    </row>
    <row r="57" spans="4:10" ht="20.100000000000001" customHeight="1" x14ac:dyDescent="0.25"/>
    <row r="58" spans="4:10" ht="20.100000000000001" customHeight="1" x14ac:dyDescent="0.25"/>
    <row r="59" spans="4:10" ht="20.100000000000001" customHeight="1" x14ac:dyDescent="0.25">
      <c r="D59" s="80" t="str">
        <f>"Net emissions for the activity period " &amp; TEXT(X_Cell_Site_StartDate, "d mmmm yyyy") &amp; " and " &amp; TEXT(X_Cell_Site_EndDate, "d mmmm yyyy")</f>
        <v>Net emissions for the activity period 1 January 2025 and 31 December 2025</v>
      </c>
    </row>
    <row r="60" spans="4:10" ht="20.100000000000001" customHeight="1" x14ac:dyDescent="0.25"/>
    <row r="61" spans="4:10" ht="20.100000000000001" customHeight="1" x14ac:dyDescent="0.25">
      <c r="D61" s="12"/>
      <c r="E61" s="12" t="s">
        <v>131</v>
      </c>
      <c r="F61" s="12" t="s">
        <v>132</v>
      </c>
      <c r="G61" s="12"/>
    </row>
    <row r="62" spans="4:10" ht="20.100000000000001" customHeight="1" x14ac:dyDescent="0.25">
      <c r="D62" s="97" t="s">
        <v>290</v>
      </c>
      <c r="E62" s="95" t="e">
        <f>Result_Enterprise_Scope1_Method1+Result_Enterprise_Scope2_Method1+Result_Enterprise_Scope3_Method1</f>
        <v>#NAME?</v>
      </c>
      <c r="F62" s="95" t="e">
        <f>Result_Enterprise_Scope1_Method2+Result_Enterprise_Scope2_Method2+Result_Enterprise_Scope3_Method2</f>
        <v>#NAME?</v>
      </c>
      <c r="G62" s="96" t="s">
        <v>291</v>
      </c>
    </row>
    <row r="63" spans="4:10" ht="20.100000000000001" customHeight="1" x14ac:dyDescent="0.25">
      <c r="D63" s="97" t="s">
        <v>292</v>
      </c>
      <c r="E63" s="95" t="e">
        <f>Result_Enterprise_Gross_Method1-Result_Enterprise_Removals</f>
        <v>#NAME?</v>
      </c>
      <c r="F63" s="95" t="e">
        <f>Result_Enterprise_Gross_Method2-Result_Enterprise_Removals</f>
        <v>#NAME?</v>
      </c>
      <c r="G63" s="96" t="s">
        <v>291</v>
      </c>
    </row>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N58"/>
  <sheetViews>
    <sheetView showGridLines="0" tabSelected="1" topLeftCell="A27" workbookViewId="0">
      <selection activeCell="E36" sqref="E36"/>
    </sheetView>
  </sheetViews>
  <sheetFormatPr defaultRowHeight="15.75" x14ac:dyDescent="0.25"/>
  <cols>
    <col min="1" max="1" width="30.7109375" customWidth="1"/>
    <col min="2" max="2" width="4.7109375" customWidth="1"/>
    <col min="3" max="3" width="4.7109375" style="1" customWidth="1"/>
    <col min="4" max="4" width="51.7109375" style="1" customWidth="1"/>
    <col min="5" max="13" width="30.7109375" style="1" customWidth="1"/>
    <col min="14" max="14" width="9.140625" style="1"/>
  </cols>
  <sheetData>
    <row r="1" spans="1:14" s="93" customFormat="1" ht="25.5" x14ac:dyDescent="0.35">
      <c r="A1" s="11" t="e" vm="1">
        <v>#VALUE!</v>
      </c>
      <c r="C1" s="93" t="s">
        <v>295</v>
      </c>
    </row>
    <row r="2" spans="1:14" s="3" customFormat="1" x14ac:dyDescent="0.25"/>
    <row r="3" spans="1:14" x14ac:dyDescent="0.25">
      <c r="C3" s="94"/>
      <c r="D3" s="94"/>
      <c r="E3" s="94"/>
      <c r="F3" s="94"/>
      <c r="G3" s="94"/>
      <c r="H3" s="94"/>
      <c r="I3" s="94"/>
      <c r="J3" s="94"/>
      <c r="K3" s="94"/>
      <c r="L3" s="94"/>
      <c r="M3" s="94"/>
      <c r="N3" s="94"/>
    </row>
    <row r="32" spans="4:4" ht="23.25" x14ac:dyDescent="0.25">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5" spans="4:10" x14ac:dyDescent="0.25">
      <c r="D35" s="12"/>
      <c r="E35" s="12" t="s">
        <v>131</v>
      </c>
      <c r="F35" s="12" t="s">
        <v>132</v>
      </c>
      <c r="G35" s="12"/>
    </row>
    <row r="36" spans="4:10" x14ac:dyDescent="0.25">
      <c r="D36" s="78" t="s">
        <v>293</v>
      </c>
      <c r="E36" s="1" t="e">
        <f>Result_EmissionsForWholeProductionCycle_Gross_Method1</f>
        <v>#NAME?</v>
      </c>
      <c r="F36" s="1" t="e">
        <f>Result_EmissionsForWholeProductionCycle_Gross_Method2</f>
        <v>#NAME?</v>
      </c>
      <c r="G36" s="10" t="s">
        <v>8</v>
      </c>
    </row>
    <row r="37" spans="4:10" x14ac:dyDescent="0.25">
      <c r="D37" s="78" t="s">
        <v>294</v>
      </c>
      <c r="E37" s="1" t="e">
        <f>Result_EmissionsForWholeProductionCycle_Net_Method1</f>
        <v>#NAME?</v>
      </c>
      <c r="F37" s="1" t="e">
        <f>Result_EmissionsForWholeProductionCycle_Net_Method2</f>
        <v>#NAME?</v>
      </c>
      <c r="G37" s="10" t="s">
        <v>8</v>
      </c>
    </row>
    <row r="39" spans="4:10" ht="23.25" x14ac:dyDescent="0.25">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2" spans="4:10" x14ac:dyDescent="0.25">
      <c r="D42" s="1" t="s">
        <v>167</v>
      </c>
    </row>
    <row r="43" spans="4:10" x14ac:dyDescent="0.25">
      <c r="D43" s="12" t="s">
        <v>133</v>
      </c>
      <c r="E43" s="12" t="s">
        <v>122</v>
      </c>
      <c r="F43" s="12" t="s">
        <v>118</v>
      </c>
      <c r="G43" s="12" t="s">
        <v>164</v>
      </c>
      <c r="H43" s="12" t="s">
        <v>120</v>
      </c>
      <c r="I43" s="12" t="s">
        <v>121</v>
      </c>
      <c r="J43" s="12" t="s">
        <v>119</v>
      </c>
    </row>
    <row r="44" spans="4:10" x14ac:dyDescent="0.25">
      <c r="D44" s="1" t="s">
        <v>169</v>
      </c>
      <c r="E44" s="1" t="s">
        <v>123</v>
      </c>
      <c r="F44" s="1" t="e">
        <f>X_Cell_Enterprise_GrainYield*X_Cell_Enterprise_PercentGrainSold</f>
        <v>#NAME?</v>
      </c>
      <c r="G44" s="1" t="e">
        <f>F44/(F44+F47)</f>
        <v>#NAME?</v>
      </c>
      <c r="H44" s="1" t="e">
        <f>(E36/F44)*G44</f>
        <v>#NAME?</v>
      </c>
      <c r="I44" s="1" t="e">
        <f>(F36/F44)*G44</f>
        <v>#NAME?</v>
      </c>
      <c r="J44" s="10" t="s">
        <v>161</v>
      </c>
    </row>
    <row r="45" spans="4:10" x14ac:dyDescent="0.25">
      <c r="D45" s="1" t="s">
        <v>170</v>
      </c>
      <c r="E45" s="1" t="s">
        <v>123</v>
      </c>
      <c r="F45" s="1" t="e">
        <f>F44</f>
        <v>#NAME?</v>
      </c>
      <c r="G45" s="1" t="e">
        <f>G44</f>
        <v>#NAME?</v>
      </c>
      <c r="H45" s="1" t="e">
        <f>(E37/F45)*G45</f>
        <v>#NAME?</v>
      </c>
      <c r="I45" s="1" t="e">
        <f>(F37/F45)*G45</f>
        <v>#NAME?</v>
      </c>
      <c r="J45" s="10" t="s">
        <v>161</v>
      </c>
    </row>
    <row r="46" spans="4:10" x14ac:dyDescent="0.25">
      <c r="D46" s="1" t="s">
        <v>159</v>
      </c>
      <c r="E46" s="1" t="s">
        <v>126</v>
      </c>
      <c r="F46" s="1" t="e">
        <f>X_Cell_Enterprise_GrainYield*X_Cell_Enterprise_PercentGrainUsedAsFeed</f>
        <v>#NAME?</v>
      </c>
      <c r="G46" s="1" t="s">
        <v>125</v>
      </c>
      <c r="H46" s="1" t="s">
        <v>125</v>
      </c>
      <c r="I46" s="1" t="s">
        <v>125</v>
      </c>
      <c r="J46" s="10"/>
    </row>
    <row r="47" spans="4:10" x14ac:dyDescent="0.25">
      <c r="D47" s="1" t="s">
        <v>171</v>
      </c>
      <c r="E47" s="1" t="s">
        <v>124</v>
      </c>
      <c r="F47" s="1" t="e">
        <f>X_Cell_BaledHayYield*X_Cell_PercentBaledHaySold</f>
        <v>#NAME?</v>
      </c>
      <c r="G47" s="1" t="e">
        <f>F47/(F44+F47)</f>
        <v>#NAME?</v>
      </c>
      <c r="H47" s="1" t="e">
        <f>(E36/F47)*G47</f>
        <v>#NAME?</v>
      </c>
      <c r="I47" s="1" t="e">
        <f>(F36/F47)*G47</f>
        <v>#NAME?</v>
      </c>
      <c r="J47" s="10" t="s">
        <v>162</v>
      </c>
    </row>
    <row r="48" spans="4:10" x14ac:dyDescent="0.25">
      <c r="D48" s="1" t="s">
        <v>172</v>
      </c>
      <c r="E48" s="1" t="s">
        <v>124</v>
      </c>
      <c r="F48" s="1" t="e">
        <f>F47</f>
        <v>#NAME?</v>
      </c>
      <c r="G48" s="1" t="e">
        <f>G47</f>
        <v>#NAME?</v>
      </c>
      <c r="H48" s="99" t="e">
        <f>(E37/F48)*G48</f>
        <v>#NAME?</v>
      </c>
      <c r="I48" s="99" t="e">
        <f>(F37/F48)*G48</f>
        <v>#NAME?</v>
      </c>
      <c r="J48" s="10" t="s">
        <v>162</v>
      </c>
    </row>
    <row r="49" spans="4:10" x14ac:dyDescent="0.25">
      <c r="D49" s="1" t="s">
        <v>160</v>
      </c>
      <c r="E49" s="1" t="s">
        <v>126</v>
      </c>
      <c r="F49" s="1" t="e">
        <f>X_Cell_BaledHayYield*X_Cell_PercentBaledHayUsedOnFarm</f>
        <v>#NAME?</v>
      </c>
      <c r="G49" s="1" t="s">
        <v>125</v>
      </c>
      <c r="H49" s="1" t="s">
        <v>125</v>
      </c>
      <c r="I49" s="1" t="s">
        <v>125</v>
      </c>
      <c r="J49" s="10"/>
    </row>
    <row r="51" spans="4:10" x14ac:dyDescent="0.25">
      <c r="D51" s="1" t="s">
        <v>168</v>
      </c>
    </row>
    <row r="52" spans="4:10" x14ac:dyDescent="0.25">
      <c r="D52" s="12" t="s">
        <v>133</v>
      </c>
      <c r="E52" s="12" t="s">
        <v>122</v>
      </c>
      <c r="F52" s="12" t="s">
        <v>118</v>
      </c>
      <c r="G52" s="12" t="s">
        <v>163</v>
      </c>
      <c r="H52" s="12" t="s">
        <v>165</v>
      </c>
      <c r="I52" s="12" t="s">
        <v>166</v>
      </c>
      <c r="J52" s="12" t="s">
        <v>119</v>
      </c>
    </row>
    <row r="53" spans="4:10" x14ac:dyDescent="0.25">
      <c r="D53" s="1" t="s">
        <v>169</v>
      </c>
      <c r="E53" s="1" t="s">
        <v>123</v>
      </c>
      <c r="F53" s="1" t="e">
        <f>X_Cell_Enterprise_GrainYield*X_Cell_Enterprise_PercentGrainSold</f>
        <v>#NAME?</v>
      </c>
      <c r="G53" s="1">
        <f>X_Cell_Enterprise_PercentIncomeFromGrain</f>
        <v>0.8</v>
      </c>
      <c r="H53" s="1" t="e">
        <f>E36*G53/F53</f>
        <v>#NAME?</v>
      </c>
      <c r="I53" s="1" t="e">
        <f>F36*G53/F53</f>
        <v>#NAME?</v>
      </c>
      <c r="J53" s="10" t="s">
        <v>161</v>
      </c>
    </row>
    <row r="54" spans="4:10" x14ac:dyDescent="0.25">
      <c r="D54" s="1" t="s">
        <v>170</v>
      </c>
      <c r="E54" s="1" t="s">
        <v>123</v>
      </c>
      <c r="F54" s="1" t="e">
        <f>F53</f>
        <v>#NAME?</v>
      </c>
      <c r="G54" s="1">
        <f>G53</f>
        <v>0.8</v>
      </c>
      <c r="H54" s="1" t="e">
        <f>E37*G54/F54</f>
        <v>#NAME?</v>
      </c>
      <c r="I54" s="1" t="e">
        <f>F37*G54/F54</f>
        <v>#NAME?</v>
      </c>
      <c r="J54" s="10" t="s">
        <v>161</v>
      </c>
    </row>
    <row r="55" spans="4:10" x14ac:dyDescent="0.25">
      <c r="D55" s="1" t="s">
        <v>159</v>
      </c>
      <c r="E55" s="1" t="s">
        <v>126</v>
      </c>
      <c r="F55" s="1" t="e">
        <f>X_Cell_Enterprise_GrainYield*X_Cell_Enterprise_PercentGrainUsedAsFeed</f>
        <v>#NAME?</v>
      </c>
      <c r="G55" s="1" t="s">
        <v>125</v>
      </c>
      <c r="H55" s="1" t="s">
        <v>125</v>
      </c>
      <c r="I55" s="1" t="s">
        <v>125</v>
      </c>
      <c r="J55" s="10"/>
    </row>
    <row r="56" spans="4:10" x14ac:dyDescent="0.25">
      <c r="D56" s="1" t="s">
        <v>171</v>
      </c>
      <c r="E56" s="1" t="s">
        <v>124</v>
      </c>
      <c r="F56" s="1" t="e">
        <f>X_Cell_BaledHayYield*X_Cell_PercentBaledHaySold</f>
        <v>#NAME?</v>
      </c>
      <c r="G56" s="1">
        <f>X_Cell_Enterprise_PercentIncomeFromGrain</f>
        <v>0.8</v>
      </c>
      <c r="H56" s="1" t="e">
        <f>E36*G56/F56</f>
        <v>#NAME?</v>
      </c>
      <c r="I56" s="1" t="e">
        <f>F36*G56/F56</f>
        <v>#NAME?</v>
      </c>
      <c r="J56" s="10" t="s">
        <v>162</v>
      </c>
    </row>
    <row r="57" spans="4:10" x14ac:dyDescent="0.25">
      <c r="D57" s="1" t="s">
        <v>172</v>
      </c>
      <c r="E57" s="1" t="s">
        <v>124</v>
      </c>
      <c r="F57" s="1" t="e">
        <f>F56</f>
        <v>#NAME?</v>
      </c>
      <c r="G57" s="1">
        <f>G56</f>
        <v>0.8</v>
      </c>
      <c r="H57" s="1" t="e">
        <f>E37*G57/F57</f>
        <v>#NAME?</v>
      </c>
      <c r="I57" s="1" t="e">
        <f>F37*G57/F57</f>
        <v>#NAME?</v>
      </c>
      <c r="J57" s="10" t="s">
        <v>162</v>
      </c>
    </row>
    <row r="58" spans="4:10" x14ac:dyDescent="0.25">
      <c r="D58" s="1" t="s">
        <v>160</v>
      </c>
      <c r="E58" s="1" t="s">
        <v>126</v>
      </c>
      <c r="F58" s="1" t="e">
        <f>X_Cell_BaledHayYield*X_Cell_PercentBaledHayUsedOnFarm</f>
        <v>#NAME?</v>
      </c>
      <c r="G58" s="1" t="s">
        <v>125</v>
      </c>
      <c r="H58" s="1" t="s">
        <v>125</v>
      </c>
      <c r="I58" s="1" t="s">
        <v>125</v>
      </c>
      <c r="J58"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34" sqref="E34"/>
    </sheetView>
  </sheetViews>
  <sheetFormatPr defaultColWidth="9.140625" defaultRowHeight="15.75" x14ac:dyDescent="0.25"/>
  <cols>
    <col min="1" max="1" width="30.7109375" style="4" customWidth="1"/>
    <col min="2" max="2" width="4.7109375" style="23" customWidth="1"/>
    <col min="3" max="3" width="4.7109375" style="26" customWidth="1"/>
    <col min="4" max="4" width="60.7109375" style="26" customWidth="1"/>
    <col min="5" max="5" width="50.7109375" style="26" customWidth="1"/>
    <col min="6" max="11" width="28.7109375" style="26" customWidth="1"/>
    <col min="12" max="25" width="28.7109375" style="23" customWidth="1"/>
    <col min="26" max="27" width="9.140625" style="23"/>
    <col min="28" max="16384" width="9.140625" style="26"/>
  </cols>
  <sheetData>
    <row r="1" spans="1:24" s="23" customFormat="1" ht="30" customHeight="1" x14ac:dyDescent="0.35">
      <c r="A1" s="11" t="e" vm="1">
        <v>#VALUE!</v>
      </c>
      <c r="C1" s="29" t="s">
        <v>87</v>
      </c>
    </row>
    <row r="2" spans="1:24" s="23" customFormat="1" ht="20.100000000000001" customHeight="1" x14ac:dyDescent="0.25">
      <c r="A2" s="3"/>
      <c r="C2" s="3"/>
      <c r="D2" s="3"/>
      <c r="E2" s="3"/>
      <c r="F2" s="3"/>
      <c r="G2" s="3"/>
      <c r="H2" s="3"/>
      <c r="I2" s="3"/>
      <c r="J2" s="3"/>
    </row>
    <row r="3" spans="1:24" ht="20.100000000000001" customHeight="1" x14ac:dyDescent="0.25">
      <c r="A3" s="5" t="str">
        <f>HYPERLINK("#'Home'!A1", "Home")</f>
        <v>Home</v>
      </c>
      <c r="C3" s="30"/>
      <c r="D3" s="30"/>
      <c r="E3" s="30"/>
      <c r="F3" s="30"/>
      <c r="G3" s="30"/>
      <c r="H3" s="30"/>
      <c r="I3" s="30"/>
      <c r="J3" s="30"/>
      <c r="K3" s="30"/>
      <c r="M3" s="25"/>
      <c r="N3" s="25"/>
      <c r="O3" s="25"/>
      <c r="P3" s="25"/>
      <c r="Q3" s="25"/>
      <c r="R3" s="25"/>
      <c r="S3" s="25"/>
      <c r="T3" s="25"/>
      <c r="U3" s="25"/>
      <c r="V3" s="25"/>
      <c r="W3" s="25"/>
      <c r="X3" s="25"/>
    </row>
    <row r="4" spans="1:24" ht="20.100000000000001" customHeight="1" x14ac:dyDescent="0.25">
      <c r="A4" s="5" t="str">
        <f>HYPERLINK("#'Results'!A1", "Results")</f>
        <v>Results</v>
      </c>
      <c r="C4" s="31"/>
      <c r="D4" s="31"/>
      <c r="E4" s="31"/>
      <c r="F4" s="31"/>
      <c r="G4" s="31"/>
      <c r="H4" s="31"/>
      <c r="I4" s="31"/>
      <c r="J4" s="31"/>
      <c r="K4" s="31"/>
    </row>
    <row r="5" spans="1:24" ht="20.100000000000001" customHeight="1" x14ac:dyDescent="0.25">
      <c r="D5" s="2" t="s">
        <v>96</v>
      </c>
      <c r="N5" s="32"/>
    </row>
    <row r="6" spans="1:24" ht="20.100000000000001" customHeight="1" x14ac:dyDescent="0.25">
      <c r="A6" s="8" t="s">
        <v>1</v>
      </c>
      <c r="N6" s="34"/>
    </row>
    <row r="7" spans="1:24" ht="20.100000000000001" customHeight="1" x14ac:dyDescent="0.25">
      <c r="A7" s="5" t="str">
        <f>HYPERLINK("#'Input - Site'!A1", "Site")</f>
        <v>Site</v>
      </c>
      <c r="D7" s="44" t="s">
        <v>97</v>
      </c>
      <c r="E7" s="45"/>
      <c r="F7" s="45"/>
      <c r="G7" s="46"/>
    </row>
    <row r="8" spans="1:24" ht="20.100000000000001" customHeight="1" x14ac:dyDescent="0.25">
      <c r="A8" s="5" t="str">
        <f>HYPERLINK("#'Input - Pasture Beef'!A1", "Pasture Beef")</f>
        <v>Pasture Beef</v>
      </c>
      <c r="D8" s="47" t="s">
        <v>98</v>
      </c>
      <c r="E8" s="48"/>
      <c r="F8" s="48"/>
      <c r="G8" s="49"/>
    </row>
    <row r="9" spans="1:24" ht="20.100000000000001" customHeight="1" x14ac:dyDescent="0.25">
      <c r="A9" s="5"/>
      <c r="D9" s="1"/>
      <c r="E9" s="50"/>
      <c r="F9" s="17"/>
      <c r="N9" s="36"/>
    </row>
    <row r="10" spans="1:24" ht="20.100000000000001" customHeight="1" x14ac:dyDescent="0.25">
      <c r="A10" s="7" t="s">
        <v>3</v>
      </c>
      <c r="D10" s="1" t="s">
        <v>99</v>
      </c>
      <c r="E10" s="14" t="s">
        <v>100</v>
      </c>
      <c r="F10" s="17" t="s">
        <v>101</v>
      </c>
      <c r="N10" s="36"/>
    </row>
    <row r="11" spans="1:24" ht="20.100000000000001" customHeight="1" x14ac:dyDescent="0.25">
      <c r="A11" s="5" t="str">
        <f>HYPERLINK("#'4.2.1.1-2 Methane'!A1", "4.2.1.1-2 Methane")</f>
        <v>4.2.1.1-2 Methane</v>
      </c>
      <c r="D11" s="1" t="s">
        <v>102</v>
      </c>
      <c r="E11" s="14" t="s">
        <v>103</v>
      </c>
      <c r="F11" s="17" t="s">
        <v>101</v>
      </c>
      <c r="G11" s="1"/>
      <c r="N11" s="41"/>
    </row>
    <row r="12" spans="1:24" ht="20.100000000000001" customHeight="1" x14ac:dyDescent="0.25">
      <c r="A12" s="5" t="str">
        <f>HYPERLINK("#'4.2.1.3-4 Soil direct N2O'!A1", "4.2.1.3-4 Soil direct N2O")</f>
        <v>4.2.1.3-4 Soil direct N2O</v>
      </c>
      <c r="D12" s="1" t="s">
        <v>104</v>
      </c>
      <c r="E12" s="14" t="s">
        <v>105</v>
      </c>
      <c r="F12" s="17" t="s">
        <v>101</v>
      </c>
    </row>
    <row r="13" spans="1:24" ht="20.100000000000001" customHeight="1" x14ac:dyDescent="0.25">
      <c r="A13" s="5" t="str">
        <f>HYPERLINK("#'4.2.1.5-6 Soil Atmos Dep'!A1", "4.2.1.5-6 Soil atm. deposition")</f>
        <v>4.2.1.5-6 Soil atm. deposition</v>
      </c>
      <c r="D13" s="1" t="s">
        <v>37</v>
      </c>
      <c r="E13" s="35">
        <v>307.7</v>
      </c>
      <c r="F13" s="17" t="s">
        <v>106</v>
      </c>
      <c r="N13" s="43"/>
      <c r="O13" s="43"/>
    </row>
    <row r="14" spans="1:24" ht="20.100000000000001" customHeight="1" x14ac:dyDescent="0.25">
      <c r="A14" s="5" t="str">
        <f>HYPERLINK("#'4.2.1.7-8 Soil leach runoff'!A1", "4.2.1.7-8 Soil leach &amp; runoff")</f>
        <v>4.2.1.7-8 Soil leach &amp; runoff</v>
      </c>
      <c r="D14" s="1" t="s">
        <v>107</v>
      </c>
      <c r="E14" s="35">
        <v>18</v>
      </c>
      <c r="F14" s="17" t="s">
        <v>108</v>
      </c>
      <c r="N14" s="43"/>
      <c r="O14" s="43"/>
    </row>
    <row r="15" spans="1:24" ht="20.100000000000001" customHeight="1" x14ac:dyDescent="0.25">
      <c r="A15" s="5"/>
      <c r="D15" s="1" t="s">
        <v>109</v>
      </c>
      <c r="E15" s="35">
        <v>601</v>
      </c>
      <c r="F15" s="17" t="s">
        <v>110</v>
      </c>
      <c r="N15" s="43"/>
      <c r="O15" s="43"/>
    </row>
    <row r="16" spans="1:24" ht="20.100000000000001" customHeight="1" x14ac:dyDescent="0.25">
      <c r="A16" s="6" t="s">
        <v>2</v>
      </c>
      <c r="D16" s="13" t="s">
        <v>111</v>
      </c>
      <c r="E16" s="35">
        <v>1326</v>
      </c>
      <c r="F16" s="17" t="s">
        <v>110</v>
      </c>
      <c r="N16" s="43"/>
      <c r="O16" s="43"/>
    </row>
    <row r="17" spans="1:25" ht="20.100000000000001" customHeight="1" x14ac:dyDescent="0.25">
      <c r="A17" s="5" t="str">
        <f>HYPERLINK("#'Constants - Pasture Beef'!A1", "Constants - Pasture Beef")</f>
        <v>Constants - Pasture Beef</v>
      </c>
      <c r="D17" s="1" t="s">
        <v>112</v>
      </c>
      <c r="E17" s="35">
        <v>7</v>
      </c>
      <c r="F17" s="17" t="s">
        <v>113</v>
      </c>
    </row>
    <row r="18" spans="1:25" ht="20.100000000000001" customHeight="1" x14ac:dyDescent="0.25">
      <c r="A18" s="5" t="str">
        <f>HYPERLINK("#'Constants - Livestock'!A1", "Constants - Livestock")</f>
        <v>Constants - Livestock</v>
      </c>
      <c r="D18" s="13" t="s">
        <v>114</v>
      </c>
      <c r="E18" s="16">
        <f>E15/E16</f>
        <v>0.45324283559577677</v>
      </c>
      <c r="F18" s="17"/>
    </row>
    <row r="19" spans="1:25" ht="20.100000000000001" customHeight="1" x14ac:dyDescent="0.25">
      <c r="A19" s="5" t="str">
        <f>HYPERLINK("#'Constants - Common'!A1", "Constants - Common")</f>
        <v>Constants - Common</v>
      </c>
      <c r="D19" s="13" t="s">
        <v>65</v>
      </c>
      <c r="E19" s="16" t="str">
        <f>Common_InputFunctions.Utility_LookupItemFromMinMax(E15,Table_SourceData_RainfallZones[Min rainfall],Table_SourceData_RainfallZones[Max rainfall],Table_SourceData_RainfallZones[Rainfall Zone])</f>
        <v>High rainfall</v>
      </c>
      <c r="G19" s="51"/>
      <c r="N19" s="32"/>
    </row>
    <row r="20" spans="1:25" ht="20.100000000000001" customHeight="1" x14ac:dyDescent="0.25">
      <c r="A20" s="5" t="str">
        <f>HYPERLINK("#'Acknowledgements'!A1", "Acknowledgements")</f>
        <v>Acknowledgements</v>
      </c>
      <c r="D20" s="1" t="s">
        <v>32</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0"/>
      <c r="N20" s="34"/>
    </row>
    <row r="21" spans="1:25" ht="20.100000000000001" customHeight="1" x14ac:dyDescent="0.25">
      <c r="A21"/>
      <c r="D21" s="1" t="s">
        <v>115</v>
      </c>
      <c r="E21" s="16" t="str">
        <f>Common_InputFunctions.Utility_LookupValueInTable($E$20,Table_SourceData_WetDryZones[Climate zone],Table_SourceData_WetDryZones[Wet or Dry Zone])</f>
        <v>Dry climate zone</v>
      </c>
      <c r="F21" s="1"/>
      <c r="G21" s="50"/>
    </row>
    <row r="22" spans="1:25" ht="20.100000000000001" customHeight="1" x14ac:dyDescent="0.25">
      <c r="A22" s="5"/>
      <c r="D22" s="1" t="s">
        <v>69</v>
      </c>
      <c r="E22" s="16" t="str">
        <f>Common_InputFunctions.Utility_LookupItemFromMinMax(E14,Table_SourceData_TemperatureZones[Min MAT],Table_SourceData_TemperatureZones[Max MAT],Table_SourceData_TemperatureZones[Temperature Zone])</f>
        <v>Temperate</v>
      </c>
      <c r="G22" s="54"/>
    </row>
    <row r="23" spans="1:25" ht="20.100000000000001" customHeight="1" x14ac:dyDescent="0.25">
      <c r="A23" s="5"/>
    </row>
    <row r="24" spans="1:25" ht="20.100000000000001" customHeight="1" x14ac:dyDescent="0.25">
      <c r="A24" s="5"/>
    </row>
    <row r="25" spans="1:25" ht="20.100000000000001" customHeight="1" x14ac:dyDescent="0.25">
      <c r="A25"/>
      <c r="N25" s="34"/>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52"/>
      <c r="M30" s="52"/>
      <c r="N30" s="52"/>
      <c r="O30" s="52"/>
      <c r="P30" s="52"/>
      <c r="Q30" s="52"/>
      <c r="R30" s="52"/>
      <c r="S30" s="52"/>
      <c r="T30" s="52"/>
      <c r="U30" s="52"/>
      <c r="V30" s="52"/>
      <c r="W30" s="52"/>
      <c r="X30" s="52"/>
      <c r="Y30" s="52"/>
    </row>
    <row r="31" spans="1:25" ht="20.100000000000001" customHeight="1" x14ac:dyDescent="0.25">
      <c r="A31"/>
      <c r="L31" s="53"/>
      <c r="M31" s="53"/>
      <c r="N31" s="53"/>
      <c r="O31" s="53"/>
      <c r="P31" s="53"/>
      <c r="Q31" s="53"/>
      <c r="R31" s="53"/>
      <c r="S31" s="53"/>
      <c r="T31" s="53"/>
      <c r="U31" s="53"/>
      <c r="V31" s="53"/>
      <c r="W31" s="53"/>
      <c r="X31" s="53"/>
      <c r="Y31" s="53"/>
    </row>
    <row r="32" spans="1:25" ht="20.100000000000001" customHeight="1" x14ac:dyDescent="0.25">
      <c r="A32"/>
      <c r="L32" s="53"/>
      <c r="M32" s="53"/>
      <c r="N32" s="53"/>
      <c r="O32" s="53"/>
      <c r="P32" s="53"/>
      <c r="Q32" s="53"/>
      <c r="R32" s="53"/>
      <c r="S32" s="53"/>
      <c r="T32" s="53"/>
      <c r="U32" s="53"/>
      <c r="V32" s="53"/>
      <c r="W32" s="53"/>
      <c r="X32" s="53"/>
      <c r="Y32" s="53"/>
    </row>
    <row r="33" spans="1:25" ht="20.100000000000001" customHeight="1" x14ac:dyDescent="0.25">
      <c r="A33"/>
      <c r="L33" s="53"/>
      <c r="M33" s="53"/>
      <c r="N33" s="53"/>
      <c r="O33" s="53"/>
      <c r="P33" s="53"/>
      <c r="Q33" s="53"/>
      <c r="R33" s="53"/>
      <c r="S33" s="53"/>
      <c r="T33" s="53"/>
      <c r="U33" s="53"/>
      <c r="V33" s="53"/>
      <c r="W33" s="53"/>
      <c r="X33" s="53"/>
      <c r="Y33" s="53"/>
    </row>
    <row r="34" spans="1:25" ht="20.100000000000001" customHeight="1" x14ac:dyDescent="0.25">
      <c r="A34"/>
      <c r="J34" s="55"/>
      <c r="K34" s="56"/>
      <c r="L34" s="53"/>
      <c r="M34" s="53"/>
      <c r="N34" s="53"/>
      <c r="O34" s="53"/>
      <c r="P34" s="53"/>
      <c r="Q34" s="53"/>
      <c r="R34" s="53"/>
      <c r="S34" s="53"/>
      <c r="T34" s="53"/>
      <c r="U34" s="53"/>
      <c r="V34" s="53"/>
      <c r="W34" s="53"/>
      <c r="X34" s="53"/>
      <c r="Y34" s="53"/>
    </row>
    <row r="35" spans="1:25" ht="20.100000000000001" customHeight="1" x14ac:dyDescent="0.25">
      <c r="A35"/>
      <c r="J35" s="55"/>
      <c r="K35" s="56"/>
      <c r="L35" s="53"/>
      <c r="M35" s="53"/>
      <c r="N35" s="53"/>
      <c r="O35" s="53"/>
      <c r="P35" s="53"/>
      <c r="Q35" s="53"/>
      <c r="R35" s="53"/>
      <c r="S35" s="53"/>
      <c r="T35" s="53"/>
      <c r="U35" s="53"/>
      <c r="V35" s="53"/>
      <c r="W35" s="53"/>
      <c r="X35" s="53"/>
      <c r="Y35" s="53"/>
    </row>
    <row r="36" spans="1:25" ht="20.100000000000001" customHeight="1" x14ac:dyDescent="0.25">
      <c r="A36"/>
      <c r="D36" s="57"/>
      <c r="E36" s="57"/>
      <c r="F36" s="58"/>
      <c r="G36" s="55"/>
      <c r="H36" s="55"/>
      <c r="I36" s="59"/>
      <c r="J36" s="55"/>
      <c r="K36" s="56"/>
      <c r="L36" s="53"/>
      <c r="M36" s="53"/>
      <c r="N36" s="53"/>
      <c r="O36" s="53"/>
      <c r="P36" s="53"/>
      <c r="Q36" s="53"/>
      <c r="R36" s="53"/>
      <c r="S36" s="53"/>
      <c r="T36" s="53"/>
      <c r="U36" s="53"/>
      <c r="V36" s="53"/>
      <c r="W36" s="53"/>
      <c r="X36" s="53"/>
      <c r="Y36" s="53"/>
    </row>
    <row r="37" spans="1:25" ht="20.100000000000001" customHeight="1" x14ac:dyDescent="0.25">
      <c r="A37"/>
      <c r="D37" s="57"/>
      <c r="E37" s="57"/>
      <c r="F37" s="58"/>
      <c r="G37" s="55"/>
      <c r="H37" s="55"/>
      <c r="I37" s="59"/>
      <c r="J37" s="55"/>
      <c r="K37" s="56"/>
      <c r="L37" s="53"/>
      <c r="M37" s="53"/>
      <c r="N37" s="53"/>
      <c r="O37" s="53"/>
      <c r="P37" s="53"/>
      <c r="Q37" s="53"/>
      <c r="R37" s="53"/>
      <c r="S37" s="53"/>
      <c r="T37" s="53"/>
      <c r="U37" s="53"/>
      <c r="V37" s="53"/>
      <c r="W37" s="53"/>
      <c r="X37" s="53"/>
      <c r="Y37" s="53"/>
    </row>
    <row r="38" spans="1:25" ht="20.100000000000001" customHeight="1" x14ac:dyDescent="0.25">
      <c r="A38"/>
      <c r="D38" s="57"/>
      <c r="E38" s="57"/>
      <c r="F38" s="58"/>
      <c r="G38" s="55"/>
      <c r="H38" s="55"/>
      <c r="I38" s="59"/>
      <c r="J38" s="55"/>
      <c r="K38" s="56"/>
      <c r="L38" s="53"/>
      <c r="M38" s="53"/>
      <c r="N38" s="53"/>
      <c r="O38" s="53"/>
      <c r="P38" s="53"/>
      <c r="Q38" s="53"/>
      <c r="R38" s="53"/>
      <c r="S38" s="53"/>
      <c r="T38" s="53"/>
      <c r="U38" s="53"/>
      <c r="V38" s="53"/>
      <c r="W38" s="53"/>
      <c r="X38" s="53"/>
      <c r="Y38" s="53"/>
    </row>
    <row r="39" spans="1:25" ht="20.100000000000001" customHeight="1" x14ac:dyDescent="0.25">
      <c r="A39"/>
      <c r="D39" s="57"/>
      <c r="E39" s="57"/>
      <c r="F39" s="58"/>
      <c r="G39" s="55"/>
      <c r="H39" s="55"/>
      <c r="I39" s="59"/>
      <c r="J39" s="55"/>
      <c r="K39" s="56"/>
      <c r="L39" s="53"/>
      <c r="M39" s="53"/>
      <c r="N39" s="53"/>
      <c r="O39" s="53"/>
      <c r="P39" s="53"/>
      <c r="Q39" s="53"/>
      <c r="R39" s="53"/>
      <c r="S39" s="53"/>
      <c r="T39" s="53"/>
      <c r="U39" s="53"/>
      <c r="V39" s="53"/>
      <c r="W39" s="53"/>
      <c r="X39" s="53"/>
      <c r="Y39" s="53"/>
    </row>
    <row r="40" spans="1:25" ht="20.100000000000001" customHeight="1" x14ac:dyDescent="0.25">
      <c r="A40"/>
      <c r="D40" s="60"/>
      <c r="E40" s="60"/>
      <c r="F40" s="60"/>
      <c r="G40" s="61"/>
      <c r="H40" s="62"/>
      <c r="I40" s="62"/>
      <c r="J40" s="62"/>
      <c r="K40" s="62"/>
      <c r="L40" s="63"/>
      <c r="M40" s="63"/>
      <c r="N40" s="63"/>
      <c r="O40" s="63"/>
      <c r="P40" s="63"/>
      <c r="Q40" s="63"/>
      <c r="R40" s="63"/>
      <c r="S40" s="63"/>
      <c r="T40" s="63"/>
      <c r="U40" s="63"/>
      <c r="V40" s="63"/>
      <c r="W40" s="63"/>
      <c r="X40" s="63"/>
      <c r="Y40" s="6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64"/>
      <c r="E47" s="64"/>
      <c r="F47" s="64"/>
      <c r="G47" s="64"/>
      <c r="H47" s="64"/>
    </row>
    <row r="48" spans="1:25" ht="20.100000000000001" customHeight="1" x14ac:dyDescent="0.25">
      <c r="D48" s="65"/>
      <c r="E48" s="65"/>
      <c r="F48" s="66"/>
      <c r="G48" s="66"/>
      <c r="H48" s="65"/>
    </row>
    <row r="49" spans="4:8" ht="20.100000000000001" customHeight="1" x14ac:dyDescent="0.25">
      <c r="D49" s="65"/>
      <c r="E49" s="65"/>
      <c r="F49" s="66"/>
      <c r="G49" s="66"/>
      <c r="H49" s="65"/>
    </row>
    <row r="50" spans="4:8" ht="20.100000000000001" customHeight="1" x14ac:dyDescent="0.25">
      <c r="D50" s="65"/>
      <c r="E50" s="65"/>
      <c r="F50" s="66"/>
      <c r="G50" s="66"/>
      <c r="H50" s="65"/>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2"/>
    </row>
    <row r="56" spans="4:8" ht="20.100000000000001" customHeight="1" x14ac:dyDescent="0.25"/>
    <row r="57" spans="4:8" ht="20.100000000000001" customHeight="1" x14ac:dyDescent="0.25">
      <c r="D57" s="7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7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75"/>
      <c r="E69" s="75"/>
      <c r="F69" s="75"/>
      <c r="G69" s="75"/>
      <c r="H69" s="75"/>
      <c r="I69" s="75"/>
    </row>
    <row r="70" spans="4:9" ht="20.100000000000001" customHeight="1" x14ac:dyDescent="0.25">
      <c r="D70" s="75"/>
      <c r="E70" s="75"/>
      <c r="F70" s="75"/>
      <c r="G70" s="75"/>
      <c r="H70" s="75"/>
      <c r="I70" s="75"/>
    </row>
    <row r="71" spans="4:9" ht="20.100000000000001" customHeight="1" x14ac:dyDescent="0.25">
      <c r="D71" s="75"/>
      <c r="E71" s="75"/>
      <c r="F71" s="75"/>
      <c r="G71" s="75"/>
      <c r="H71" s="75"/>
      <c r="I71" s="75"/>
    </row>
    <row r="72" spans="4:9" ht="20.100000000000001" customHeight="1" x14ac:dyDescent="0.25">
      <c r="D72" s="75"/>
      <c r="E72" s="75"/>
      <c r="F72" s="75"/>
      <c r="G72" s="75"/>
      <c r="H72" s="75"/>
      <c r="I72" s="7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6"/>
    </row>
    <row r="79" spans="4:9" ht="20.100000000000001" customHeight="1" x14ac:dyDescent="0.25">
      <c r="D79" s="76"/>
    </row>
    <row r="80" spans="4:9" ht="20.100000000000001" customHeight="1" x14ac:dyDescent="0.25">
      <c r="D80" s="76"/>
    </row>
    <row r="81" spans="4:4" ht="20.100000000000001" customHeight="1" x14ac:dyDescent="0.25">
      <c r="D81" s="76"/>
    </row>
    <row r="82" spans="4:4" ht="20.100000000000001" customHeight="1" x14ac:dyDescent="0.25">
      <c r="D82" s="7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83"/>
  <sheetViews>
    <sheetView showGridLines="0" topLeftCell="A49" zoomScaleNormal="100" workbookViewId="0">
      <selection activeCell="E59" sqref="E59"/>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25.5" x14ac:dyDescent="0.35">
      <c r="C1" s="29" t="s">
        <v>148</v>
      </c>
      <c r="D1" s="23"/>
      <c r="E1" s="23"/>
      <c r="F1" s="23"/>
      <c r="G1" s="23"/>
      <c r="H1" s="23"/>
      <c r="I1" s="23"/>
      <c r="J1" s="23"/>
    </row>
    <row r="2" spans="3:10" x14ac:dyDescent="0.25">
      <c r="C2" s="3"/>
      <c r="D2" s="3"/>
      <c r="E2" s="3"/>
      <c r="F2" s="3"/>
      <c r="G2" s="3"/>
      <c r="H2" s="3"/>
      <c r="I2" s="3"/>
      <c r="J2" s="3"/>
    </row>
    <row r="3" spans="3:10" ht="20.25" x14ac:dyDescent="0.25">
      <c r="C3" s="30"/>
      <c r="D3" s="30"/>
      <c r="E3" s="30"/>
      <c r="F3" s="30"/>
      <c r="G3" s="30"/>
      <c r="H3" s="30"/>
      <c r="I3" s="30"/>
      <c r="J3" s="30"/>
    </row>
    <row r="5" spans="3:10" ht="23.25" x14ac:dyDescent="0.25">
      <c r="D5" s="2" t="s">
        <v>88</v>
      </c>
      <c r="E5" s="26"/>
      <c r="F5" s="26"/>
      <c r="G5" s="26"/>
    </row>
    <row r="6" spans="3:10" x14ac:dyDescent="0.25">
      <c r="D6" s="33"/>
      <c r="E6" s="26"/>
      <c r="F6" s="26"/>
      <c r="G6" s="26"/>
    </row>
    <row r="7" spans="3:10" x14ac:dyDescent="0.25">
      <c r="D7" s="1" t="s">
        <v>89</v>
      </c>
      <c r="E7" s="35" t="s">
        <v>90</v>
      </c>
      <c r="F7" s="17"/>
      <c r="G7" s="26"/>
    </row>
    <row r="8" spans="3:10" x14ac:dyDescent="0.25">
      <c r="D8" s="13" t="s">
        <v>91</v>
      </c>
      <c r="E8" s="35" t="s">
        <v>92</v>
      </c>
      <c r="F8" s="26"/>
      <c r="G8" s="26"/>
    </row>
    <row r="9" spans="3:10" x14ac:dyDescent="0.25">
      <c r="D9" s="26"/>
      <c r="E9" s="26"/>
      <c r="F9" s="26"/>
      <c r="G9" s="26"/>
    </row>
    <row r="10" spans="3:10" x14ac:dyDescent="0.25">
      <c r="D10" s="37" t="s">
        <v>93</v>
      </c>
      <c r="E10" s="38"/>
      <c r="F10" s="39"/>
      <c r="G10" s="40"/>
    </row>
    <row r="11" spans="3:10" x14ac:dyDescent="0.25">
      <c r="D11" s="26"/>
      <c r="E11" s="26"/>
      <c r="F11" s="26"/>
      <c r="G11" s="26"/>
    </row>
    <row r="12" spans="3:10" x14ac:dyDescent="0.25">
      <c r="D12" s="13" t="s">
        <v>17</v>
      </c>
      <c r="E12" s="15">
        <v>45658</v>
      </c>
      <c r="F12" s="17" t="s">
        <v>94</v>
      </c>
      <c r="G12" s="26"/>
    </row>
    <row r="13" spans="3:10" x14ac:dyDescent="0.25">
      <c r="D13" s="13" t="s">
        <v>18</v>
      </c>
      <c r="E13" s="42">
        <f>DATE(YEAR(E12)+1,MONTH(E12),DAY(E12))-1</f>
        <v>46022</v>
      </c>
      <c r="F13" s="17" t="s">
        <v>95</v>
      </c>
      <c r="G13" s="26"/>
    </row>
    <row r="14" spans="3:10" x14ac:dyDescent="0.25">
      <c r="F14" s="26"/>
      <c r="G14" s="26"/>
    </row>
    <row r="16" spans="3:10" ht="23.25" x14ac:dyDescent="0.25">
      <c r="D16" s="2" t="s">
        <v>19</v>
      </c>
    </row>
    <row r="18" spans="4:6" x14ac:dyDescent="0.25">
      <c r="D18" s="1" t="s">
        <v>14</v>
      </c>
      <c r="E18" s="15">
        <v>45962</v>
      </c>
      <c r="F18" s="17" t="s">
        <v>94</v>
      </c>
    </row>
    <row r="19" spans="4:6" x14ac:dyDescent="0.25">
      <c r="D19" s="1" t="s">
        <v>15</v>
      </c>
      <c r="E19" s="15">
        <v>46112</v>
      </c>
      <c r="F19" s="17" t="s">
        <v>94</v>
      </c>
    </row>
    <row r="20" spans="4:6" x14ac:dyDescent="0.25">
      <c r="D20" s="1" t="s">
        <v>16</v>
      </c>
      <c r="E20" s="16">
        <f>DATEDIF(E18,E19+1,"m")</f>
        <v>5</v>
      </c>
      <c r="F20" s="17" t="s">
        <v>117</v>
      </c>
    </row>
    <row r="22" spans="4:6" x14ac:dyDescent="0.25">
      <c r="D22" s="1" t="s">
        <v>150</v>
      </c>
      <c r="E22" s="79" t="e" cm="1">
        <f t="array" ref="E22">IF(X_Cell_Crop_CropPurpose = "Cash grain crop", X_Cell_Crop_TotalProductionOfCrop, 0)</f>
        <v>#NAME?</v>
      </c>
      <c r="F22" s="17" t="s">
        <v>20</v>
      </c>
    </row>
    <row r="23" spans="4:6" x14ac:dyDescent="0.25">
      <c r="D23" s="1" t="s">
        <v>154</v>
      </c>
      <c r="E23" s="19">
        <v>0.1</v>
      </c>
      <c r="F23" s="17" t="s">
        <v>149</v>
      </c>
    </row>
    <row r="24" spans="4:6" x14ac:dyDescent="0.25">
      <c r="D24" s="1" t="s">
        <v>155</v>
      </c>
      <c r="E24" s="19">
        <v>0.1</v>
      </c>
      <c r="F24" s="17" t="s">
        <v>149</v>
      </c>
    </row>
    <row r="25" spans="4:6" x14ac:dyDescent="0.25">
      <c r="D25" s="1" t="s">
        <v>156</v>
      </c>
      <c r="E25" s="20">
        <f>100%-E23-E24</f>
        <v>0.8</v>
      </c>
      <c r="F25" s="17" t="s">
        <v>149</v>
      </c>
    </row>
    <row r="27" spans="4:6" x14ac:dyDescent="0.25">
      <c r="D27" s="1" t="s">
        <v>152</v>
      </c>
      <c r="E27" s="79" t="e" cm="1">
        <f t="array" ref="E27">X_Cell_Crop_TotalResidueBaled</f>
        <v>#NAME?</v>
      </c>
      <c r="F27" s="17" t="s">
        <v>20</v>
      </c>
    </row>
    <row r="28" spans="4:6" x14ac:dyDescent="0.25">
      <c r="D28" s="1" t="s">
        <v>157</v>
      </c>
      <c r="E28" s="19">
        <v>0.2</v>
      </c>
      <c r="F28" s="17" t="s">
        <v>149</v>
      </c>
    </row>
    <row r="29" spans="4:6" x14ac:dyDescent="0.25">
      <c r="D29" s="1" t="s">
        <v>158</v>
      </c>
      <c r="E29" s="19">
        <v>0.1</v>
      </c>
      <c r="F29" s="17" t="s">
        <v>149</v>
      </c>
    </row>
    <row r="30" spans="4:6" x14ac:dyDescent="0.25">
      <c r="D30" s="1" t="s">
        <v>156</v>
      </c>
      <c r="E30" s="20">
        <f>100%-E28-E29</f>
        <v>0.70000000000000007</v>
      </c>
      <c r="F30" s="17" t="s">
        <v>149</v>
      </c>
    </row>
    <row r="32" spans="4:6" x14ac:dyDescent="0.25">
      <c r="D32" s="1" t="s">
        <v>151</v>
      </c>
      <c r="E32" s="19">
        <v>0.8</v>
      </c>
      <c r="F32" s="17" t="s">
        <v>149</v>
      </c>
    </row>
    <row r="33" spans="4:7" x14ac:dyDescent="0.25">
      <c r="D33" s="1" t="s">
        <v>153</v>
      </c>
      <c r="E33" s="19">
        <v>0.2</v>
      </c>
      <c r="F33" s="17" t="s">
        <v>149</v>
      </c>
    </row>
    <row r="36" spans="4:7" ht="23.25" x14ac:dyDescent="0.25">
      <c r="D36" s="2" t="s">
        <v>265</v>
      </c>
    </row>
    <row r="39" spans="4:7" ht="18.75" x14ac:dyDescent="0.25">
      <c r="D39" s="80" t="str">
        <f>"Carbon captured from " &amp; TEXT(X_Cell_Site_StartDate, "d mmmm yyyy") &amp; " to " &amp; TEXT(X_Cell_Site_EndDate, "d, mmmm, yyyy") &amp; " from environmental plantings"</f>
        <v>Carbon captured from 1 January 2025 to 31, December, 2025 from environmental plantings</v>
      </c>
    </row>
    <row r="41" spans="4:7" x14ac:dyDescent="0.25">
      <c r="D41" s="21" t="s">
        <v>266</v>
      </c>
      <c r="E41" s="21" t="s">
        <v>267</v>
      </c>
      <c r="F41" s="21" t="s">
        <v>268</v>
      </c>
      <c r="G41" s="81" t="s">
        <v>269</v>
      </c>
    </row>
    <row r="42" spans="4:7" x14ac:dyDescent="0.25">
      <c r="D42" s="35"/>
      <c r="E42" s="77"/>
      <c r="F42" s="19"/>
      <c r="G42" s="1">
        <f>Table_Input_Enterprise_PlantingRemovals[[#This Row],[Total removed CO2]]*Table_Input_Enterprise_PlantingRemovals[[#This Row],[Percent allocated to this enterprise]]</f>
        <v>0</v>
      </c>
    </row>
    <row r="46" spans="4:7" ht="23.25" x14ac:dyDescent="0.25">
      <c r="D46" s="2" t="s">
        <v>270</v>
      </c>
    </row>
    <row r="48" spans="4:7" ht="18.75" x14ac:dyDescent="0.25">
      <c r="D48" s="80"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50" spans="4:7" x14ac:dyDescent="0.25">
      <c r="D50" s="90" t="str" cm="1">
        <f t="array" ref="D50">"There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51" spans="4:7" x14ac:dyDescent="0.25">
      <c r="D51" s="1" t="s">
        <v>271</v>
      </c>
    </row>
    <row r="53" spans="4:7" x14ac:dyDescent="0.25">
      <c r="D53" s="81" t="s">
        <v>116</v>
      </c>
      <c r="E53" s="81" t="s">
        <v>11</v>
      </c>
      <c r="F53" s="81" t="s">
        <v>12</v>
      </c>
    </row>
    <row r="54" spans="4:7" x14ac:dyDescent="0.25">
      <c r="D54" s="1" t="str" cm="1">
        <f t="array" ref="D54:D55">Common_InputFunctions.getOverlappingReportingPeriods(X_Cell_Enterprise_ProductionTimeframeStart,X_Cell_Enterprise_ProductionTimeframeEnd,X_Cell_Site_StartDate)</f>
        <v>01 Jan 2025 to 31 Dec 2025 (This reporting cycle)</v>
      </c>
      <c r="E54" s="77" t="e">
        <f>IF(ISBLANK($D54), 0, IF(ISNUMBER(SEARCH("reporting", $D54)), Result_Enterprise_Gross_Method1, "Enter value"))</f>
        <v>#NAME?</v>
      </c>
      <c r="F54" s="77" t="e">
        <f>IF(ISBLANK($D54), 0, IF(ISNUMBER(SEARCH("reporting", $D54)), Result_Enterprise_Gross_Method2, "Enter value"))</f>
        <v>#NAME?</v>
      </c>
      <c r="G54" s="10" t="s">
        <v>8</v>
      </c>
    </row>
    <row r="55" spans="4:7" x14ac:dyDescent="0.25">
      <c r="D55" s="1" t="str">
        <v>01 Jan 2026 to 31 Dec 2026</v>
      </c>
      <c r="E55" s="77" t="str">
        <f>IF(ISBLANK($D55), 0, IF(ISNUMBER(SEARCH("reporting", $D55)), Result_Enterprise_Gross_Method1, "Enter value"))</f>
        <v>Enter value</v>
      </c>
      <c r="F55" s="77" t="str">
        <f>IF(ISBLANK($D55), 0, IF(ISNUMBER(SEARCH("reporting", $D55)), Result_Enterprise_Gross_Method2, "Enter value"))</f>
        <v>Enter value</v>
      </c>
      <c r="G55" s="10" t="s">
        <v>8</v>
      </c>
    </row>
    <row r="56" spans="4:7" x14ac:dyDescent="0.25">
      <c r="E56" s="77">
        <f>IF(ISBLANK($D56), 0, IF(ISNUMBER(SEARCH("reporting", $D56)), Result_Enterprise_Gross_Method1, "Enter value"))</f>
        <v>0</v>
      </c>
      <c r="F56" s="77">
        <f>IF(ISBLANK($D56), 0, IF(ISNUMBER(SEARCH("reporting", $D56)), Result_Enterprise_Gross_Method2, "Enter value"))</f>
        <v>0</v>
      </c>
      <c r="G56" s="10" t="s">
        <v>8</v>
      </c>
    </row>
    <row r="57" spans="4:7" x14ac:dyDescent="0.25">
      <c r="E57" s="77">
        <f>IF(ISBLANK($D57), 0, IF(ISNUMBER(SEARCH("reporting", $D57)), Result_Enterprise_Gross_Method1, "Enter value"))</f>
        <v>0</v>
      </c>
      <c r="F57" s="77">
        <f>IF(ISBLANK($D57), 0, IF(ISNUMBER(SEARCH("reporting", $D57)), Result_Enterprise_Gross_Method2, "Enter value"))</f>
        <v>0</v>
      </c>
      <c r="G57" s="10" t="s">
        <v>8</v>
      </c>
    </row>
    <row r="58" spans="4:7" x14ac:dyDescent="0.25">
      <c r="E58" s="77">
        <f>IF(ISBLANK($D58), 0, IF(ISNUMBER(SEARCH("reporting", $D58)), Result_Enterprise_Gross_Method1, "Enter value"))</f>
        <v>0</v>
      </c>
      <c r="F58" s="77">
        <f>IF(ISBLANK($D58), 0, IF(ISNUMBER(SEARCH("reporting", $D58)), Result_Enterprise_Gross_Method2, "Enter value"))</f>
        <v>0</v>
      </c>
      <c r="G58" s="10" t="s">
        <v>8</v>
      </c>
    </row>
    <row r="59" spans="4:7" x14ac:dyDescent="0.25">
      <c r="D59" s="91" t="s">
        <v>129</v>
      </c>
      <c r="E59" s="86" t="e">
        <f>SUM(E54:E58)</f>
        <v>#NAME?</v>
      </c>
      <c r="F59" s="86" t="e">
        <f>SUM(F54:F58)</f>
        <v>#NAME?</v>
      </c>
      <c r="G59" s="92" t="s">
        <v>8</v>
      </c>
    </row>
    <row r="64" spans="4:7" ht="18.75" x14ac:dyDescent="0.25">
      <c r="D64" s="80"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6" spans="4:7" x14ac:dyDescent="0.25">
      <c r="D66" s="81" t="s">
        <v>116</v>
      </c>
      <c r="E66" s="81" t="s">
        <v>127</v>
      </c>
      <c r="F66" s="81"/>
    </row>
    <row r="67" spans="4:7" x14ac:dyDescent="0.25">
      <c r="D67" s="1" t="str" cm="1">
        <f t="array" ref="D67:D68">Common_InputFunctions.getOverlappingReportingPeriods(X_Cell_Enterprise_ProductionTimeframeStart,X_Cell_Enterprise_ProductionTimeframeEnd,X_Cell_Site_StartDate)</f>
        <v>01 Jan 2025 to 31 Dec 2025 (This reporting cycle)</v>
      </c>
      <c r="E67" s="77">
        <f>IF(ISBLANK($D67), 0, IF(ISNUMBER(SEARCH("reporting", $D67)), SUM(Table_Input_Enterprise_PlantingRemovals[Removal allocated to this enterprise]), "Enter value"))</f>
        <v>0</v>
      </c>
      <c r="F67" s="10" t="s">
        <v>128</v>
      </c>
    </row>
    <row r="68" spans="4:7" x14ac:dyDescent="0.25">
      <c r="D68" s="1" t="str">
        <v>01 Jan 2026 to 31 Dec 2026</v>
      </c>
      <c r="E68" s="77" t="str">
        <f>IF(ISBLANK($D68), 0, IF(ISNUMBER(SEARCH("reporting", $D68)), SUM(Table_Input_Enterprise_PlantingRemovals[Removal allocated to this enterprise]), "Enter value"))</f>
        <v>Enter value</v>
      </c>
      <c r="F68" s="10" t="s">
        <v>128</v>
      </c>
    </row>
    <row r="69" spans="4:7" x14ac:dyDescent="0.25">
      <c r="E69" s="77">
        <f>IF(ISBLANK($D69), 0, IF(ISNUMBER(SEARCH("reporting", $D69)), SUM(Table_Input_Enterprise_PlantingRemovals[Removal allocated to this enterprise]), "Enter value"))</f>
        <v>0</v>
      </c>
      <c r="F69" s="10" t="s">
        <v>128</v>
      </c>
    </row>
    <row r="70" spans="4:7" x14ac:dyDescent="0.25">
      <c r="E70" s="77">
        <f>IF(ISBLANK($D70), 0, IF(ISNUMBER(SEARCH("reporting", $D70)), SUM(Table_Input_Enterprise_PlantingRemovals[Removal allocated to this enterprise]), "Enter value"))</f>
        <v>0</v>
      </c>
      <c r="F70" s="10" t="s">
        <v>128</v>
      </c>
    </row>
    <row r="71" spans="4:7" x14ac:dyDescent="0.25">
      <c r="E71" s="77">
        <f>IF(ISBLANK($D71), 0, IF(ISNUMBER(SEARCH("reporting", $D71)), SUM(Table_Input_Enterprise_PlantingRemovals[Removal allocated to this enterprise]), "Enter value"))</f>
        <v>0</v>
      </c>
      <c r="F71" s="10" t="s">
        <v>128</v>
      </c>
    </row>
    <row r="72" spans="4:7" x14ac:dyDescent="0.25">
      <c r="D72" s="91" t="s">
        <v>130</v>
      </c>
      <c r="E72" s="86">
        <f>SUM(E67:E71)</f>
        <v>0</v>
      </c>
      <c r="F72" s="92" t="s">
        <v>128</v>
      </c>
    </row>
    <row r="75" spans="4:7" ht="18.75" x14ac:dyDescent="0.25">
      <c r="D75" s="80"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7" spans="4:7" x14ac:dyDescent="0.25">
      <c r="D77" s="81" t="s">
        <v>116</v>
      </c>
      <c r="E77" s="81" t="s">
        <v>11</v>
      </c>
      <c r="F77" s="81" t="s">
        <v>12</v>
      </c>
    </row>
    <row r="78" spans="4:7" x14ac:dyDescent="0.25">
      <c r="D78" s="1" t="str" cm="1">
        <f t="array" ref="D78:D79">Common_InputFunctions.getOverlappingReportingPeriods(X_Cell_Enterprise_ProductionTimeframeStart,X_Cell_Enterprise_ProductionTimeframeEnd,X_Cell_Site_StartDate)</f>
        <v>01 Jan 2025 to 31 Dec 2025 (This reporting cycle)</v>
      </c>
      <c r="E78" s="77" t="e">
        <f>IF(ISBLANK($D78), 0, IF(ISNUMBER(SEARCH("reporting", $D78)), E54-$E$67, "Enter value"))</f>
        <v>#NAME?</v>
      </c>
      <c r="F78" s="77" t="e">
        <f>IF(ISBLANK($D78), 0, IF(ISNUMBER(SEARCH("reporting", $D78)), F54-$E$67, "Enter value"))</f>
        <v>#NAME?</v>
      </c>
      <c r="G78" s="10" t="s">
        <v>8</v>
      </c>
    </row>
    <row r="79" spans="4:7" x14ac:dyDescent="0.25">
      <c r="D79" s="1" t="str">
        <v>01 Jan 2026 to 31 Dec 2026</v>
      </c>
      <c r="E79" s="77" t="str">
        <f>IF(ISBLANK($D79), 0, IF(ISNUMBER(SEARCH("reporting", $D79)), E55-$E$68, "Enter value"))</f>
        <v>Enter value</v>
      </c>
      <c r="F79" s="77" t="str">
        <f>IF(ISBLANK($D79), 0, IF(ISNUMBER(SEARCH("reporting", $D79)), F55-$E$68, "Enter value"))</f>
        <v>Enter value</v>
      </c>
      <c r="G79" s="10" t="s">
        <v>8</v>
      </c>
    </row>
    <row r="80" spans="4:7" x14ac:dyDescent="0.25">
      <c r="E80" s="77">
        <f>IF(ISBLANK($D80), 0, IF(ISNUMBER(SEARCH("reporting", $D80)), E56-$E$69, "Enter value"))</f>
        <v>0</v>
      </c>
      <c r="F80" s="77">
        <f>IF(ISBLANK($D80), 0, IF(ISNUMBER(SEARCH("reporting", $D80)), F56-$E$69, "Enter value"))</f>
        <v>0</v>
      </c>
      <c r="G80" s="10" t="s">
        <v>8</v>
      </c>
    </row>
    <row r="81" spans="4:7" x14ac:dyDescent="0.25">
      <c r="E81" s="77">
        <f>IF(ISBLANK($D81), 0, IF(ISNUMBER(SEARCH("reporting", $D81)), E57-$E$70, "Enter value"))</f>
        <v>0</v>
      </c>
      <c r="F81" s="77">
        <f>IF(ISBLANK($D81), 0, IF(ISNUMBER(SEARCH("reporting", $D81)), F57-$E$70, "Enter value"))</f>
        <v>0</v>
      </c>
      <c r="G81" s="10" t="s">
        <v>8</v>
      </c>
    </row>
    <row r="82" spans="4:7" x14ac:dyDescent="0.25">
      <c r="E82" s="77">
        <f>IF(ISBLANK($D82), 0, IF(ISNUMBER(SEARCH("reporting", $D82)), E58-$E$71, "Enter value"))</f>
        <v>0</v>
      </c>
      <c r="F82" s="77">
        <f>IF(ISBLANK($D82), 0, IF(ISNUMBER(SEARCH("reporting", $D82)), F58-$E$71, "Enter value"))</f>
        <v>0</v>
      </c>
      <c r="G82" s="10" t="s">
        <v>8</v>
      </c>
    </row>
    <row r="83" spans="4:7" x14ac:dyDescent="0.25">
      <c r="D83" s="91" t="s">
        <v>129</v>
      </c>
      <c r="E83" s="86" t="e">
        <f>SUM(E78:E82)</f>
        <v>#NAME?</v>
      </c>
      <c r="F83" s="86" t="e">
        <f>SUM(F78:F82)</f>
        <v>#NAME?</v>
      </c>
      <c r="G83" s="92"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98B5-7ECE-40EA-8499-B24C208F76C0}">
  <sheetPr>
    <tabColor rgb="FFCC6600"/>
  </sheetPr>
  <dimension ref="A1:K10"/>
  <sheetViews>
    <sheetView showGridLines="0" zoomScaleNormal="100" workbookViewId="0">
      <selection activeCell="E23" sqref="E23"/>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1" customFormat="1" ht="25.5" x14ac:dyDescent="0.35">
      <c r="A1" s="11" t="e" vm="1">
        <v>#VALUE!</v>
      </c>
      <c r="C1" s="11" t="s">
        <v>177</v>
      </c>
    </row>
    <row r="2" spans="1:11" s="3" customFormat="1" x14ac:dyDescent="0.25"/>
    <row r="3" spans="1:11" ht="20.25" x14ac:dyDescent="0.25">
      <c r="C3" s="30"/>
      <c r="D3" s="30"/>
      <c r="E3" s="30"/>
      <c r="F3" s="30"/>
      <c r="G3" s="30"/>
      <c r="H3" s="30"/>
      <c r="I3" s="30"/>
      <c r="J3" s="30"/>
      <c r="K3" s="30"/>
    </row>
    <row r="5" spans="1:11" x14ac:dyDescent="0.25">
      <c r="D5" s="71" t="s">
        <v>182</v>
      </c>
      <c r="E5" s="71"/>
      <c r="F5" s="71"/>
      <c r="G5" s="71"/>
    </row>
    <row r="6" spans="1:11" x14ac:dyDescent="0.25">
      <c r="F6" s="17"/>
    </row>
    <row r="7" spans="1:11" x14ac:dyDescent="0.25">
      <c r="D7" s="1" t="s">
        <v>178</v>
      </c>
      <c r="E7" s="16" t="s">
        <v>179</v>
      </c>
      <c r="F7" s="17"/>
    </row>
    <row r="8" spans="1:11" x14ac:dyDescent="0.25">
      <c r="D8" s="1" t="s">
        <v>180</v>
      </c>
      <c r="E8" s="16" t="e" cm="1">
        <f t="array" ref="E8">_xlfn.IFS(X_Cell_Crop_CropType="Maize", "Maize", X_Cell_Crop_CropType="Cotton", "Cotton", TRUE, "Grains")</f>
        <v>#NAME?</v>
      </c>
      <c r="F8" s="17"/>
    </row>
    <row r="9" spans="1:11" x14ac:dyDescent="0.25">
      <c r="D9" s="1" t="s">
        <v>64</v>
      </c>
      <c r="E9" s="16" t="e" cm="1">
        <f t="array" ref="E9">X_Cell_Crop_IrrigationMethod</f>
        <v>#NAME?</v>
      </c>
    </row>
    <row r="10" spans="1:11" x14ac:dyDescent="0.25">
      <c r="D10" s="1" t="s">
        <v>181</v>
      </c>
      <c r="E10" s="16" t="e" cm="1">
        <f t="array" ref="E10">X_Cell_Crop_AreaUnderCropping</f>
        <v>#NAME?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C1:M65"/>
  <sheetViews>
    <sheetView showGridLines="0" zoomScaleNormal="100" workbookViewId="0">
      <selection activeCell="D8" sqref="D8"/>
    </sheetView>
  </sheetViews>
  <sheetFormatPr defaultRowHeight="15.75" x14ac:dyDescent="0.25"/>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1" customFormat="1" ht="25.5" x14ac:dyDescent="0.35">
      <c r="C1" s="11" t="s">
        <v>183</v>
      </c>
    </row>
    <row r="2" spans="3:13" s="3" customFormat="1" x14ac:dyDescent="0.25"/>
    <row r="3" spans="3:13" ht="20.25" x14ac:dyDescent="0.25">
      <c r="C3" s="30"/>
      <c r="D3" s="30"/>
      <c r="E3" s="30"/>
      <c r="F3" s="30"/>
      <c r="G3" s="30"/>
      <c r="H3" s="30"/>
      <c r="I3" s="30"/>
      <c r="J3" s="30"/>
      <c r="K3" s="30"/>
      <c r="L3" s="30"/>
      <c r="M3" s="30"/>
    </row>
    <row r="5" spans="3:13" ht="23.25" x14ac:dyDescent="0.25">
      <c r="D5" s="2" t="s">
        <v>255</v>
      </c>
    </row>
    <row r="7" spans="3:13" x14ac:dyDescent="0.25">
      <c r="D7" s="81" t="s">
        <v>256</v>
      </c>
      <c r="E7" s="81" t="s">
        <v>257</v>
      </c>
      <c r="F7" s="81" t="s">
        <v>258</v>
      </c>
      <c r="G7" s="81" t="s">
        <v>259</v>
      </c>
      <c r="H7" s="81" t="s">
        <v>184</v>
      </c>
      <c r="I7" s="81" t="s">
        <v>185</v>
      </c>
      <c r="J7" s="81" t="s">
        <v>186</v>
      </c>
    </row>
    <row r="8" spans="3:13" x14ac:dyDescent="0.25">
      <c r="D8" s="1" t="str">
        <f>"Unprocessed cotton yield"</f>
        <v>Unprocessed cotton yield</v>
      </c>
      <c r="E8" s="14" t="s">
        <v>235</v>
      </c>
      <c r="F8" s="14" t="s">
        <v>240</v>
      </c>
      <c r="G8" s="14" t="s">
        <v>245</v>
      </c>
      <c r="H8" s="85"/>
      <c r="I8" s="85"/>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3" x14ac:dyDescent="0.25">
      <c r="D9" s="1" t="str">
        <f>"Processed cotton lint yield"</f>
        <v>Processed cotton lint yield</v>
      </c>
      <c r="E9" s="14"/>
      <c r="F9" s="14"/>
      <c r="G9" s="14"/>
      <c r="H9" s="85"/>
      <c r="I9" s="85"/>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3:13" x14ac:dyDescent="0.25">
      <c r="D10" s="1" t="str">
        <f>"Cottonseed yield"</f>
        <v>Cottonseed yield</v>
      </c>
      <c r="E10" s="14"/>
      <c r="F10" s="14"/>
      <c r="G10" s="14"/>
      <c r="H10" s="85"/>
      <c r="I10" s="85"/>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1" spans="3:13" x14ac:dyDescent="0.25">
      <c r="D11" s="1" t="str">
        <f>"Cotton lint sold"</f>
        <v>Cotton lint sold</v>
      </c>
      <c r="E11" s="14" t="s">
        <v>236</v>
      </c>
      <c r="F11" s="14" t="s">
        <v>241</v>
      </c>
      <c r="G11" s="14" t="s">
        <v>246</v>
      </c>
      <c r="H11" s="85"/>
      <c r="I11" s="85"/>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2" spans="3:13" x14ac:dyDescent="0.25">
      <c r="D12" s="1" t="str">
        <f>"Cottonseed sold"</f>
        <v>Cottonseed sold</v>
      </c>
      <c r="E12" s="14" t="s">
        <v>237</v>
      </c>
      <c r="F12" s="14" t="s">
        <v>242</v>
      </c>
      <c r="G12" s="14" t="s">
        <v>246</v>
      </c>
      <c r="H12" s="85"/>
      <c r="I12" s="85"/>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3" spans="3:13" x14ac:dyDescent="0.25">
      <c r="D13" s="1" t="str">
        <f>"Percent income from cotton lint sold"</f>
        <v>Percent income from cotton lint sold</v>
      </c>
      <c r="E13" s="14" t="s">
        <v>239</v>
      </c>
      <c r="F13" s="14" t="s">
        <v>244</v>
      </c>
      <c r="G13" s="14" t="s">
        <v>249</v>
      </c>
      <c r="H13" s="85"/>
      <c r="I13" s="85"/>
      <c r="J13"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4" spans="3:13" x14ac:dyDescent="0.25">
      <c r="D14" s="1" t="str">
        <f>"Percent income from cotton seed sold"</f>
        <v>Percent income from cotton seed sold</v>
      </c>
      <c r="E14" s="14" t="s">
        <v>235</v>
      </c>
      <c r="F14" s="14" t="s">
        <v>241</v>
      </c>
      <c r="G14" s="14" t="s">
        <v>245</v>
      </c>
      <c r="H14" s="85"/>
      <c r="I14" s="85"/>
      <c r="J14"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6" spans="3:13" x14ac:dyDescent="0.25">
      <c r="J16" s="86">
        <f>SUM(Table_Input_DataQuality_Enterprise[Score])</f>
        <v>54</v>
      </c>
    </row>
    <row r="17" spans="4:10" ht="23.25" x14ac:dyDescent="0.25">
      <c r="D17" s="2" t="s">
        <v>260</v>
      </c>
    </row>
    <row r="19" spans="4:10" x14ac:dyDescent="0.25">
      <c r="D19" s="81" t="s">
        <v>256</v>
      </c>
      <c r="E19" s="81" t="s">
        <v>257</v>
      </c>
      <c r="F19" s="81" t="s">
        <v>258</v>
      </c>
      <c r="G19" s="81" t="s">
        <v>259</v>
      </c>
      <c r="H19" s="81" t="s">
        <v>184</v>
      </c>
      <c r="I19" s="81" t="s">
        <v>185</v>
      </c>
      <c r="J19" s="81" t="s">
        <v>186</v>
      </c>
    </row>
    <row r="20" spans="4:10" x14ac:dyDescent="0.25">
      <c r="D20" s="1" t="str">
        <f>"Leaching zone"</f>
        <v>Leaching zone</v>
      </c>
      <c r="E20" s="14" t="s">
        <v>236</v>
      </c>
      <c r="F20" s="14" t="s">
        <v>242</v>
      </c>
      <c r="G20" s="14" t="s">
        <v>245</v>
      </c>
      <c r="H20" s="85"/>
      <c r="I20" s="85"/>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c r="D21" s="1" t="str">
        <f>"Elevation"</f>
        <v>Elevation</v>
      </c>
      <c r="E21" s="14" t="s">
        <v>236</v>
      </c>
      <c r="F21" s="14" t="s">
        <v>242</v>
      </c>
      <c r="G21" s="14" t="s">
        <v>245</v>
      </c>
      <c r="H21" s="85"/>
      <c r="I21" s="85"/>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4:10" x14ac:dyDescent="0.25">
      <c r="D22" s="1" t="str">
        <f>"Average temperature for reporting period"</f>
        <v>Average temperature for reporting period</v>
      </c>
      <c r="E22" s="14" t="s">
        <v>236</v>
      </c>
      <c r="F22" s="14" t="s">
        <v>242</v>
      </c>
      <c r="G22" s="14" t="s">
        <v>245</v>
      </c>
      <c r="H22" s="85"/>
      <c r="I22" s="85"/>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4:10" x14ac:dyDescent="0.25">
      <c r="D23" s="1" t="str">
        <f>"Total rainfall for reporting period"</f>
        <v>Total rainfall for reporting period</v>
      </c>
      <c r="E23" s="14" t="s">
        <v>235</v>
      </c>
      <c r="F23" s="14" t="s">
        <v>241</v>
      </c>
      <c r="G23" s="14" t="s">
        <v>245</v>
      </c>
      <c r="H23" s="85"/>
      <c r="I23" s="85"/>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4" spans="4:10" x14ac:dyDescent="0.25">
      <c r="D24" s="1" t="str">
        <f>"Potential evapotranspiration for reporting period"</f>
        <v>Potential evapotranspiration for reporting period</v>
      </c>
      <c r="E24" s="14" t="s">
        <v>236</v>
      </c>
      <c r="F24" s="14" t="s">
        <v>242</v>
      </c>
      <c r="G24" s="14" t="s">
        <v>245</v>
      </c>
      <c r="H24" s="85"/>
      <c r="I24" s="85"/>
      <c r="J24"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5" spans="4:10" x14ac:dyDescent="0.25">
      <c r="D25" s="1" t="str">
        <f>"Number of frost days for reporting period"</f>
        <v>Number of frost days for reporting period</v>
      </c>
      <c r="E25" s="87" t="s">
        <v>237</v>
      </c>
      <c r="F25" s="87" t="s">
        <v>242</v>
      </c>
      <c r="G25" s="87" t="s">
        <v>245</v>
      </c>
      <c r="H25" s="85"/>
      <c r="I25" s="85"/>
      <c r="J25"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7" spans="4:10" x14ac:dyDescent="0.25">
      <c r="J27" s="86">
        <f>SUM(Table_Input_DataQuality_Site[Score])</f>
        <v>73</v>
      </c>
    </row>
    <row r="28" spans="4:10" ht="23.25" x14ac:dyDescent="0.25">
      <c r="D28" s="2" t="s">
        <v>297</v>
      </c>
    </row>
    <row r="30" spans="4:10" x14ac:dyDescent="0.25">
      <c r="D30" s="81" t="s">
        <v>256</v>
      </c>
      <c r="E30" s="81" t="s">
        <v>257</v>
      </c>
      <c r="F30" s="81" t="s">
        <v>258</v>
      </c>
      <c r="G30" s="81" t="s">
        <v>259</v>
      </c>
      <c r="H30" s="81" t="s">
        <v>184</v>
      </c>
      <c r="I30" s="81" t="s">
        <v>185</v>
      </c>
      <c r="J30" s="81" t="s">
        <v>186</v>
      </c>
    </row>
    <row r="31" spans="4:10" x14ac:dyDescent="0.25">
      <c r="D31" s="1" t="str">
        <f>"Irrigation method"</f>
        <v>Irrigation method</v>
      </c>
      <c r="E31" s="14" t="s">
        <v>235</v>
      </c>
      <c r="F31" s="14" t="s">
        <v>241</v>
      </c>
      <c r="G31" s="14" t="s">
        <v>245</v>
      </c>
      <c r="H31" s="85"/>
      <c r="I31" s="85"/>
      <c r="J3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4:10" x14ac:dyDescent="0.25">
      <c r="D32" s="1" t="str">
        <f>"Area under cropping"</f>
        <v>Area under cropping</v>
      </c>
      <c r="E32" s="14" t="s">
        <v>235</v>
      </c>
      <c r="F32" s="14" t="s">
        <v>241</v>
      </c>
      <c r="G32" s="14" t="s">
        <v>245</v>
      </c>
      <c r="H32" s="85"/>
      <c r="I32" s="85"/>
      <c r="J32"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4:10" x14ac:dyDescent="0.25">
      <c r="D33" s="1" t="str">
        <f>"Residue management"</f>
        <v>Residue management</v>
      </c>
      <c r="E33" s="14" t="s">
        <v>235</v>
      </c>
      <c r="F33" s="14" t="s">
        <v>241</v>
      </c>
      <c r="G33" s="14" t="s">
        <v>245</v>
      </c>
      <c r="H33" s="85"/>
      <c r="I33" s="85"/>
      <c r="J33"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5" spans="4:10" x14ac:dyDescent="0.25">
      <c r="J35" s="86">
        <f>SUM(Table_Input_DataQuality_PastureManagement[Score])</f>
        <v>42</v>
      </c>
    </row>
    <row r="36" spans="4:10" ht="23.25" x14ac:dyDescent="0.25">
      <c r="D36" s="2" t="s">
        <v>261</v>
      </c>
    </row>
    <row r="38" spans="4:10" x14ac:dyDescent="0.25">
      <c r="D38" s="81" t="s">
        <v>256</v>
      </c>
      <c r="E38" s="81" t="s">
        <v>257</v>
      </c>
      <c r="F38" s="81" t="s">
        <v>258</v>
      </c>
      <c r="G38" s="81" t="s">
        <v>259</v>
      </c>
      <c r="H38" s="81" t="s">
        <v>184</v>
      </c>
      <c r="I38" s="81" t="s">
        <v>185</v>
      </c>
      <c r="J38" s="81" t="s">
        <v>186</v>
      </c>
    </row>
    <row r="39" spans="4:10" x14ac:dyDescent="0.25">
      <c r="D39" s="1" t="str">
        <f>"Branded inorganic fertiliser applications"</f>
        <v>Branded inorganic fertiliser applications</v>
      </c>
      <c r="E39" s="14" t="s">
        <v>235</v>
      </c>
      <c r="F39" s="14" t="s">
        <v>241</v>
      </c>
      <c r="G39" s="14" t="s">
        <v>246</v>
      </c>
      <c r="H39" s="85"/>
      <c r="I39" s="85"/>
      <c r="J39"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40" spans="4:10" x14ac:dyDescent="0.25">
      <c r="D40" s="1" t="str">
        <f>"Custom inorganic fertiliser blend applications"</f>
        <v>Custom inorganic fertiliser blend applications</v>
      </c>
      <c r="E40" s="14" t="s">
        <v>235</v>
      </c>
      <c r="F40" s="14" t="s">
        <v>241</v>
      </c>
      <c r="G40" s="14" t="s">
        <v>245</v>
      </c>
      <c r="H40" s="85"/>
      <c r="I40" s="85"/>
      <c r="J40"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1" spans="4:10" x14ac:dyDescent="0.25">
      <c r="D41" s="1" t="str">
        <f>"Lime applications"</f>
        <v>Lime applications</v>
      </c>
      <c r="E41" s="14" t="s">
        <v>235</v>
      </c>
      <c r="F41" s="14" t="s">
        <v>241</v>
      </c>
      <c r="G41" s="14" t="s">
        <v>245</v>
      </c>
      <c r="H41" s="85"/>
      <c r="I41" s="85"/>
      <c r="J41"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2" spans="4:10" x14ac:dyDescent="0.25">
      <c r="D42" s="1" t="str">
        <f>"Organic fertiliser applications"</f>
        <v>Organic fertiliser applications</v>
      </c>
      <c r="E42" s="14" t="s">
        <v>235</v>
      </c>
      <c r="F42" s="14" t="s">
        <v>241</v>
      </c>
      <c r="G42" s="14" t="s">
        <v>245</v>
      </c>
      <c r="H42" s="85"/>
      <c r="I42" s="85"/>
      <c r="J42" s="16">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4" spans="4:10" x14ac:dyDescent="0.25">
      <c r="J44" s="86">
        <f>SUM(Table_Input_DataQuality_FertiliserApplications[Score])</f>
        <v>55</v>
      </c>
    </row>
    <row r="45" spans="4:10" ht="23.25" x14ac:dyDescent="0.25">
      <c r="D45" s="2" t="s">
        <v>262</v>
      </c>
    </row>
    <row r="47" spans="4:10" x14ac:dyDescent="0.25">
      <c r="D47" s="81" t="s">
        <v>256</v>
      </c>
      <c r="E47" s="81" t="s">
        <v>257</v>
      </c>
      <c r="F47" s="81" t="s">
        <v>258</v>
      </c>
      <c r="G47" s="81" t="s">
        <v>259</v>
      </c>
      <c r="H47" s="81" t="s">
        <v>184</v>
      </c>
      <c r="I47" s="81" t="s">
        <v>185</v>
      </c>
      <c r="J47" s="81" t="s">
        <v>186</v>
      </c>
    </row>
    <row r="48" spans="4:10" x14ac:dyDescent="0.25">
      <c r="D48" s="1" t="str">
        <f>"Fuel purchases"</f>
        <v>Fuel purchases</v>
      </c>
      <c r="E48" s="14" t="s">
        <v>235</v>
      </c>
      <c r="F48" s="14" t="s">
        <v>241</v>
      </c>
      <c r="G48" s="14" t="s">
        <v>246</v>
      </c>
      <c r="H48" s="85"/>
      <c r="I48" s="85"/>
      <c r="J48"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9" spans="4:10" x14ac:dyDescent="0.25">
      <c r="D49" s="1" t="str">
        <f>"Fuel consumption"</f>
        <v>Fuel consumption</v>
      </c>
      <c r="E49" s="14" t="s">
        <v>235</v>
      </c>
      <c r="F49" s="14" t="s">
        <v>241</v>
      </c>
      <c r="G49" s="14" t="s">
        <v>245</v>
      </c>
      <c r="H49" s="85"/>
      <c r="I49" s="85"/>
      <c r="J49"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4:10" x14ac:dyDescent="0.25">
      <c r="D50" s="1" t="str">
        <f>"Electricity consumption"</f>
        <v>Electricity consumption</v>
      </c>
      <c r="E50" s="14" t="s">
        <v>235</v>
      </c>
      <c r="F50" s="14" t="s">
        <v>241</v>
      </c>
      <c r="G50" s="14" t="s">
        <v>245</v>
      </c>
      <c r="H50" s="85"/>
      <c r="I50" s="85"/>
      <c r="J50"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1" spans="4:10" x14ac:dyDescent="0.25">
      <c r="D51" s="1" t="str">
        <f>"Electricity generation"</f>
        <v>Electricity generation</v>
      </c>
      <c r="E51" s="14" t="s">
        <v>235</v>
      </c>
      <c r="F51" s="14" t="s">
        <v>241</v>
      </c>
      <c r="G51" s="14" t="s">
        <v>245</v>
      </c>
      <c r="H51" s="85"/>
      <c r="I51" s="85"/>
      <c r="J51"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3" spans="4:10" x14ac:dyDescent="0.25">
      <c r="J53" s="86">
        <f>SUM(Table_Input_DataQuality_FuelElectricity[Score])</f>
        <v>55</v>
      </c>
    </row>
    <row r="55" spans="4:10" ht="23.25" x14ac:dyDescent="0.25">
      <c r="D55" s="2" t="s">
        <v>263</v>
      </c>
    </row>
    <row r="57" spans="4:10" x14ac:dyDescent="0.25">
      <c r="D57" s="81" t="s">
        <v>256</v>
      </c>
      <c r="E57" s="81" t="s">
        <v>257</v>
      </c>
      <c r="F57" s="81" t="s">
        <v>258</v>
      </c>
      <c r="G57" s="81" t="s">
        <v>259</v>
      </c>
      <c r="H57" s="81" t="s">
        <v>184</v>
      </c>
      <c r="I57" s="81" t="s">
        <v>185</v>
      </c>
      <c r="J57" s="81" t="s">
        <v>186</v>
      </c>
    </row>
    <row r="58" spans="4:10" x14ac:dyDescent="0.25">
      <c r="D58" s="1" t="str">
        <f>"Farm input purchases"</f>
        <v>Farm input purchases</v>
      </c>
      <c r="E58" s="14" t="s">
        <v>235</v>
      </c>
      <c r="F58" s="14" t="s">
        <v>241</v>
      </c>
      <c r="G58" s="14" t="s">
        <v>246</v>
      </c>
      <c r="H58" s="85"/>
      <c r="I58" s="85"/>
      <c r="J58"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9" spans="4:10" x14ac:dyDescent="0.25">
      <c r="D59" s="1" t="str">
        <f>"Inbound freight use"</f>
        <v>Inbound freight use</v>
      </c>
      <c r="E59" s="14" t="s">
        <v>235</v>
      </c>
      <c r="F59" s="14" t="s">
        <v>241</v>
      </c>
      <c r="G59" s="14" t="s">
        <v>245</v>
      </c>
      <c r="H59" s="85"/>
      <c r="I59" s="85"/>
      <c r="J59"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0" spans="4:10" x14ac:dyDescent="0.25">
      <c r="D60" s="1" t="str">
        <f>"Outbound freight use"</f>
        <v>Outbound freight use</v>
      </c>
      <c r="E60" s="14" t="s">
        <v>235</v>
      </c>
      <c r="F60" s="14" t="s">
        <v>241</v>
      </c>
      <c r="G60" s="14" t="s">
        <v>245</v>
      </c>
      <c r="H60" s="85"/>
      <c r="I60" s="85"/>
      <c r="J60"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4:10" x14ac:dyDescent="0.25">
      <c r="D61" s="1" t="str">
        <f>"Solid waste generation and treatment"</f>
        <v>Solid waste generation and treatment</v>
      </c>
      <c r="E61" s="14" t="s">
        <v>235</v>
      </c>
      <c r="F61" s="14" t="s">
        <v>241</v>
      </c>
      <c r="G61" s="14" t="s">
        <v>245</v>
      </c>
      <c r="H61" s="85"/>
      <c r="I61" s="85"/>
      <c r="J61"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3" spans="4:10" x14ac:dyDescent="0.25">
      <c r="J63" s="86">
        <f>SUM(Table_Input_DataQuality_FarmInputsFreightWaste[Score])</f>
        <v>55</v>
      </c>
    </row>
    <row r="65" spans="4:5" ht="20.25" x14ac:dyDescent="0.25">
      <c r="D65" s="88" t="s">
        <v>264</v>
      </c>
      <c r="E65" s="89" t="str">
        <f>(J16+J27+J35+J44+J53+J63)&amp;" out of "&amp;((COUNT(Table_Input_DataQuality_Enterprise[Score])*15)+(COUNT(Table_Input_DataQuality_Site[Score])*15)+(COUNT(Table_Input_DataQuality_PastureManagement[Score])*15)+(COUNT(Table_Input_DataQuality_FertiliserApplications[Score])*15)+(COUNT(Table_Input_DataQuality_FuelElectricity[Score])*15)+(COUNT(Table_Input_DataQuality_FarmInputsFreightWaste[Score])*15))</f>
        <v>334 out of 420</v>
      </c>
    </row>
  </sheetData>
  <dataValidations count="3">
    <dataValidation type="list" allowBlank="1" showInputMessage="1" showErrorMessage="1" sqref="G20:G25 G39:G42 G48:G51 G58:G61 G31:G33 G8:G14" xr:uid="{97D978E2-EFFF-4D26-AA9B-97907606C063}">
      <formula1>INDIRECT("Table_SourceData_DataQuality_SampleSize[User friendly description]")</formula1>
    </dataValidation>
    <dataValidation type="list" allowBlank="1" showInputMessage="1" showErrorMessage="1" sqref="E20:E25 E39:E42 E48:E51 E58:E61 E31:E33 E8:E14" xr:uid="{6365A925-6C5F-4576-82C6-82C3A3309F18}">
      <formula1>INDIRECT("Table_SourceData_DataQuality_TemporalRepresentativeness[User friendly description]")</formula1>
    </dataValidation>
    <dataValidation type="list" allowBlank="1" showInputMessage="1" showErrorMessage="1" sqref="F20:F25 F39:F42 F48:F51 F58:F61 F31:F33 F8:F14" xr:uid="{2FC31694-CF14-4E83-AB3B-0D117C874273}">
      <formula1>INDIRECT("Table_SourceData_DataQuality_SpatialRepresentativeness[User friendly description]")</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topLeftCell="A265" zoomScaleNormal="100" workbookViewId="0">
      <selection activeCell="D292" sqref="D292:D297"/>
    </sheetView>
  </sheetViews>
  <sheetFormatPr defaultColWidth="9.140625" defaultRowHeight="15.75" x14ac:dyDescent="0.25"/>
  <cols>
    <col min="1" max="1" width="30.7109375" style="23" customWidth="1"/>
    <col min="2" max="2" width="2.7109375" style="23"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3" customWidth="1"/>
    <col min="34" max="39" width="21.85546875" style="23" customWidth="1"/>
    <col min="40" max="44" width="20.7109375" style="23" customWidth="1"/>
    <col min="45" max="65" width="9.140625" style="23"/>
    <col min="66" max="16384" width="9.140625" style="26"/>
  </cols>
  <sheetData>
    <row r="1" spans="1:65" s="22" customFormat="1" ht="30" customHeight="1" x14ac:dyDescent="0.35">
      <c r="A1" s="22" t="e" vm="1">
        <v>#VALUE!</v>
      </c>
      <c r="C1" s="22" t="s">
        <v>21</v>
      </c>
    </row>
    <row r="2" spans="1:65" s="3" customFormat="1" ht="20.100000000000001" customHeight="1" x14ac:dyDescent="0.25">
      <c r="A2"/>
    </row>
    <row r="3" spans="1:65" ht="20.100000000000001" customHeight="1" x14ac:dyDescent="0.25">
      <c r="A3" s="5" t="str">
        <f>HYPERLINK("#'Home'!A1", "Home")</f>
        <v>Home</v>
      </c>
      <c r="C3" s="24"/>
      <c r="D3" s="24"/>
      <c r="E3" s="24"/>
      <c r="F3" s="24"/>
      <c r="G3" s="24"/>
      <c r="H3" s="24"/>
      <c r="I3" s="24"/>
      <c r="J3" s="24"/>
      <c r="K3" s="24"/>
      <c r="L3" s="24"/>
      <c r="M3" s="24"/>
      <c r="N3" s="24"/>
      <c r="O3" s="24"/>
      <c r="P3" s="24"/>
      <c r="Q3" s="24"/>
      <c r="R3" s="24"/>
      <c r="S3" s="24"/>
      <c r="T3" s="24"/>
      <c r="U3" s="24"/>
      <c r="V3" s="25"/>
      <c r="W3" s="25"/>
    </row>
    <row r="4" spans="1:65" ht="20.100000000000001" customHeight="1" x14ac:dyDescent="0.25">
      <c r="A4"/>
      <c r="BM4" s="26"/>
    </row>
    <row r="5" spans="1:65" ht="20.100000000000001" customHeight="1" x14ac:dyDescent="0.25">
      <c r="A5"/>
      <c r="D5" s="2" t="str" cm="1">
        <f t="array" ref="D5">Common_SourceData.Common_SourceData_AustralianStatesTerritories_Title()</f>
        <v>Australian states and territories</v>
      </c>
      <c r="BM5" s="26"/>
    </row>
    <row r="6" spans="1:65" ht="20.100000000000001" customHeight="1" x14ac:dyDescent="0.25">
      <c r="A6" s="83" t="s">
        <v>2</v>
      </c>
      <c r="D6" s="21" t="s">
        <v>22</v>
      </c>
      <c r="E6" s="21" t="s">
        <v>23</v>
      </c>
      <c r="F6" s="21" t="s">
        <v>24</v>
      </c>
    </row>
    <row r="7" spans="1:65" ht="20.100000000000001" customHeight="1" x14ac:dyDescent="0.25">
      <c r="A7" s="84" t="str">
        <f>HYPERLINK("#'Constants - Common'!A1", "Constants - Common")</f>
        <v>Constants - Common</v>
      </c>
      <c r="D7" s="21" t="str" cm="1">
        <f t="array" ref="D7">Common_InputFunctions.Utility_DisplayArrayInTable(Common_SourceData.Common_SourceData_AustralianStatesTerritories_Data(),Table_AustralianStates[[#Headers],[State/Territory]],0)</f>
        <v>New South Wales</v>
      </c>
      <c r="E7" s="21" t="str" cm="1">
        <f t="array" ref="E7">Common_InputFunctions.Utility_DisplayArrayInTable(Common_SourceData.Common_SourceData_AustralianStatesTerritories_Data(),Table_AustralianStates[[#Headers],[State/Territory]],0)</f>
        <v>New South Wales</v>
      </c>
      <c r="F7" s="21"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HYPERLINK("#'Acknowledgements'!A1", "Acknowledgements")</f>
        <v>Acknowledgements</v>
      </c>
      <c r="D8" s="21" t="str" cm="1">
        <f t="array" ref="D8">Common_InputFunctions.Utility_DisplayArrayInTable(Common_SourceData.Common_SourceData_AustralianStatesTerritories_Data(),Table_AustralianStates[[#Headers],[State/Territory]],0)</f>
        <v>Australian Capital Territory</v>
      </c>
      <c r="E8" s="21" t="str" cm="1">
        <f t="array" ref="E8">Common_InputFunctions.Utility_DisplayArrayInTable(Common_SourceData.Common_SourceData_AustralianStatesTerritories_Data(),Table_AustralianStates[[#Headers],[State/Territory]],0)</f>
        <v>ACT</v>
      </c>
      <c r="F8" s="21" t="str" cm="1">
        <f t="array" ref="F8">Common_InputFunctions.Utility_DisplayArrayInTable(Common_SourceData.Common_SourceData_AustralianStatesTerritories_Data(),Table_AustralianStates[[#Headers],[State/Territory]],0)</f>
        <v>ACT</v>
      </c>
    </row>
    <row r="9" spans="1:65" ht="20.100000000000001" customHeight="1" x14ac:dyDescent="0.25">
      <c r="A9"/>
      <c r="D9" s="21" t="str" cm="1">
        <f t="array" ref="D9">Common_InputFunctions.Utility_DisplayArrayInTable(Common_SourceData.Common_SourceData_AustralianStatesTerritories_Data(),Table_AustralianStates[[#Headers],[State/Territory]],0)</f>
        <v>Victoria</v>
      </c>
      <c r="E9" s="21" t="str" cm="1">
        <f t="array" ref="E9">Common_InputFunctions.Utility_DisplayArrayInTable(Common_SourceData.Common_SourceData_AustralianStatesTerritories_Data(),Table_AustralianStates[[#Headers],[State/Territory]],0)</f>
        <v>Victoria</v>
      </c>
      <c r="F9" s="2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1" t="str" cm="1">
        <f t="array" ref="D10">Common_InputFunctions.Utility_DisplayArrayInTable(Common_SourceData.Common_SourceData_AustralianStatesTerritories_Data(),Table_AustralianStates[[#Headers],[State/Territory]],0)</f>
        <v>Queensland</v>
      </c>
      <c r="E10" s="21" t="str" cm="1">
        <f t="array" ref="E10">Common_InputFunctions.Utility_DisplayArrayInTable(Common_SourceData.Common_SourceData_AustralianStatesTerritories_Data(),Table_AustralianStates[[#Headers],[State/Territory]],0)</f>
        <v>Queensland</v>
      </c>
      <c r="F10" s="2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1" t="str" cm="1">
        <f t="array" ref="D11">Common_InputFunctions.Utility_DisplayArrayInTable(Common_SourceData.Common_SourceData_AustralianStatesTerritories_Data(),Table_AustralianStates[[#Headers],[State/Territory]],0)</f>
        <v>South Australia</v>
      </c>
      <c r="E11" s="21" t="str" cm="1">
        <f t="array" ref="E11">Common_InputFunctions.Utility_DisplayArrayInTable(Common_SourceData.Common_SourceData_AustralianStatesTerritories_Data(),Table_AustralianStates[[#Headers],[State/Territory]],0)</f>
        <v>South Australia</v>
      </c>
      <c r="F11" s="21" t="str" cm="1">
        <f t="array" ref="F11">Common_InputFunctions.Utility_DisplayArrayInTable(Common_SourceData.Common_SourceData_AustralianStatesTerritories_Data(),Table_AustralianStates[[#Headers],[State/Territory]],0)</f>
        <v>SA</v>
      </c>
      <c r="BM11" s="26"/>
    </row>
    <row r="12" spans="1:65" ht="20.100000000000001" customHeight="1" x14ac:dyDescent="0.25">
      <c r="A12"/>
      <c r="D12" s="21" t="str" cm="1">
        <f t="array" ref="D12">Common_InputFunctions.Utility_DisplayArrayInTable(Common_SourceData.Common_SourceData_AustralianStatesTerritories_Data(),Table_AustralianStates[[#Headers],[State/Territory]],0)</f>
        <v>Western Australia</v>
      </c>
      <c r="E12" s="21" t="str" cm="1">
        <f t="array" ref="E12">Common_InputFunctions.Utility_DisplayArrayInTable(Common_SourceData.Common_SourceData_AustralianStatesTerritories_Data(),Table_AustralianStates[[#Headers],[State/Territory]],0)</f>
        <v>Western Australia</v>
      </c>
      <c r="F12" s="21" t="str" cm="1">
        <f t="array" ref="F12">Common_InputFunctions.Utility_DisplayArrayInTable(Common_SourceData.Common_SourceData_AustralianStatesTerritories_Data(),Table_AustralianStates[[#Headers],[State/Territory]],0)</f>
        <v>WA</v>
      </c>
      <c r="BM12" s="26"/>
    </row>
    <row r="13" spans="1:65" ht="20.100000000000001" customHeight="1" x14ac:dyDescent="0.25">
      <c r="A13"/>
      <c r="D13" s="21" t="str" cm="1">
        <f t="array" ref="D13">Common_InputFunctions.Utility_DisplayArrayInTable(Common_SourceData.Common_SourceData_AustralianStatesTerritories_Data(),Table_AustralianStates[[#Headers],[State/Territory]],0)</f>
        <v>Tasmania</v>
      </c>
      <c r="E13" s="21" t="str" cm="1">
        <f t="array" ref="E13">Common_InputFunctions.Utility_DisplayArrayInTable(Common_SourceData.Common_SourceData_AustralianStatesTerritories_Data(),Table_AustralianStates[[#Headers],[State/Territory]],0)</f>
        <v>Tasmania</v>
      </c>
      <c r="F13" s="2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1" t="str" cm="1">
        <f t="array" ref="D14">Common_InputFunctions.Utility_DisplayArrayInTable(Common_SourceData.Common_SourceData_AustralianStatesTerritories_Data(),Table_AustralianStates[[#Headers],[State/Territory]],0)</f>
        <v>Northern Territory</v>
      </c>
      <c r="E14" s="21" t="str" cm="1">
        <f t="array" ref="E14">Common_InputFunctions.Utility_DisplayArrayInTable(Common_SourceData.Common_SourceData_AustralianStatesTerritories_Data(),Table_AustralianStates[[#Headers],[State/Territory]],0)</f>
        <v>Northern Territory</v>
      </c>
      <c r="F14" s="2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18" t="str" cm="1">
        <f t="array" ref="D19">Common_SourceData.Common_SourceData_WASA4Areas_Source()</f>
        <v>Australian Bureau of Statistics (ABS) - Statistical Areas Level 2 - 2021 - Shapefile</v>
      </c>
    </row>
    <row r="20" spans="1:4" ht="20.100000000000001" customHeight="1" x14ac:dyDescent="0.25">
      <c r="A20"/>
      <c r="D20" s="21" t="s">
        <v>25</v>
      </c>
    </row>
    <row r="21" spans="1:4" ht="20.100000000000001" customHeight="1" x14ac:dyDescent="0.25">
      <c r="A21"/>
      <c r="D21" s="21" t="str" cm="1">
        <f t="array" ref="D21">Common_InputFunctions.Utility_DisplayArrayInTable(Common_SourceData.Common_SourceData_WASA4Areas_Data(), Table_WASA4Areas[[#Headers],[SA 4 Name]], 0)</f>
        <v>Bunbury</v>
      </c>
    </row>
    <row r="22" spans="1:4" ht="20.100000000000001" customHeight="1" x14ac:dyDescent="0.25">
      <c r="A22"/>
      <c r="D22" s="21" t="str" cm="1">
        <f t="array" ref="D22">Common_InputFunctions.Utility_DisplayArrayInTable(Common_SourceData.Common_SourceData_WASA4Areas_Data(), Table_WASA4Areas[[#Headers],[SA 4 Name]], 0)</f>
        <v>Mandurah</v>
      </c>
    </row>
    <row r="23" spans="1:4" ht="20.100000000000001" customHeight="1" x14ac:dyDescent="0.25">
      <c r="A23"/>
      <c r="D23" s="21" t="str" cm="1">
        <f t="array" ref="D23">Common_InputFunctions.Utility_DisplayArrayInTable(Common_SourceData.Common_SourceData_WASA4Areas_Data(), Table_WASA4Areas[[#Headers],[SA 4 Name]], 0)</f>
        <v>Perth - Inner</v>
      </c>
    </row>
    <row r="24" spans="1:4" ht="20.100000000000001" customHeight="1" x14ac:dyDescent="0.25">
      <c r="A24"/>
      <c r="D24" s="21" t="str" cm="1">
        <f t="array" ref="D24">Common_InputFunctions.Utility_DisplayArrayInTable(Common_SourceData.Common_SourceData_WASA4Areas_Data(), Table_WASA4Areas[[#Headers],[SA 4 Name]], 0)</f>
        <v>Perth - North East</v>
      </c>
    </row>
    <row r="25" spans="1:4" ht="20.100000000000001" customHeight="1" x14ac:dyDescent="0.25">
      <c r="A25"/>
      <c r="D25" s="21" t="str" cm="1">
        <f t="array" ref="D25">Common_InputFunctions.Utility_DisplayArrayInTable(Common_SourceData.Common_SourceData_WASA4Areas_Data(), Table_WASA4Areas[[#Headers],[SA 4 Name]], 0)</f>
        <v>Perth - North West</v>
      </c>
    </row>
    <row r="26" spans="1:4" ht="20.100000000000001" customHeight="1" x14ac:dyDescent="0.25">
      <c r="A26"/>
      <c r="D26" s="21" t="str" cm="1">
        <f t="array" ref="D26">Common_InputFunctions.Utility_DisplayArrayInTable(Common_SourceData.Common_SourceData_WASA4Areas_Data(), Table_WASA4Areas[[#Headers],[SA 4 Name]], 0)</f>
        <v>Perth - South East</v>
      </c>
    </row>
    <row r="27" spans="1:4" ht="20.100000000000001" customHeight="1" x14ac:dyDescent="0.25">
      <c r="A27"/>
      <c r="D27" s="21" t="str" cm="1">
        <f t="array" ref="D27">Common_InputFunctions.Utility_DisplayArrayInTable(Common_SourceData.Common_SourceData_WASA4Areas_Data(), Table_WASA4Areas[[#Headers],[SA 4 Name]], 0)</f>
        <v>Perth - South West</v>
      </c>
    </row>
    <row r="28" spans="1:4" ht="20.100000000000001" customHeight="1" x14ac:dyDescent="0.25">
      <c r="A28"/>
      <c r="D28" s="2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21" t="s">
        <v>26</v>
      </c>
      <c r="E36" s="21" t="s">
        <v>27</v>
      </c>
    </row>
    <row r="37" spans="1:8" ht="20.100000000000001" customHeight="1" x14ac:dyDescent="0.25">
      <c r="A37"/>
      <c r="D37" s="21" t="str" cm="1">
        <f t="array" ref="D37">Common_InputFunctions.Utility_DisplayArrayInTable(Common_SourceData.Common_SourceData_GWP_Data(), Table_GWPData[[#Headers],[Gas]], 0)</f>
        <v>CO2</v>
      </c>
      <c r="E37" s="21" cm="1">
        <f t="array" ref="E37">Common_InputFunctions.Utility_DisplayArrayInTable(Common_SourceData.Common_SourceData_GWP_Data(), Table_GWPData[[#Headers],[Gas]], 0)</f>
        <v>1</v>
      </c>
    </row>
    <row r="38" spans="1:8" ht="20.100000000000001" customHeight="1" x14ac:dyDescent="0.25">
      <c r="A38"/>
      <c r="D38" s="21" t="str" cm="1">
        <f t="array" ref="D38">Common_InputFunctions.Utility_DisplayArrayInTable(Common_SourceData.Common_SourceData_GWP_Data(), Table_GWPData[[#Headers],[Gas]], 0)</f>
        <v>CH4</v>
      </c>
      <c r="E38" s="21" cm="1">
        <f t="array" ref="E38">Common_InputFunctions.Utility_DisplayArrayInTable(Common_SourceData.Common_SourceData_GWP_Data(), Table_GWPData[[#Headers],[Gas]], 0)</f>
        <v>28</v>
      </c>
    </row>
    <row r="39" spans="1:8" ht="20.100000000000001" customHeight="1" x14ac:dyDescent="0.25">
      <c r="A39"/>
      <c r="D39" s="21" t="str" cm="1">
        <f t="array" ref="D39">Common_InputFunctions.Utility_DisplayArrayInTable(Common_SourceData.Common_SourceData_GWP_Data(), Table_GWPData[[#Headers],[Gas]], 0)</f>
        <v>N2O</v>
      </c>
      <c r="E39" s="21" cm="1">
        <f t="array" ref="E39">Common_InputFunctions.Utility_DisplayArrayInTable(Common_SourceData.Common_SourceData_GWP_Data(), Table_GWPData[[#Headers],[Gas]], 0)</f>
        <v>265</v>
      </c>
    </row>
    <row r="40" spans="1:8" ht="20.100000000000001" customHeight="1" x14ac:dyDescent="0.25">
      <c r="A40"/>
      <c r="D40" s="21" t="str" cm="1">
        <f t="array" ref="D40">Common_InputFunctions.Utility_DisplayArrayInTable(Common_SourceData.Common_SourceData_GWP_Data(), Table_GWPData[[#Headers],[Gas]], 0)</f>
        <v>CF4</v>
      </c>
      <c r="E40" s="21" cm="1">
        <f t="array" ref="E40">Common_InputFunctions.Utility_DisplayArrayInTable(Common_SourceData.Common_SourceData_GWP_Data(), Table_GWPData[[#Headers],[Gas]], 0)</f>
        <v>6630</v>
      </c>
    </row>
    <row r="41" spans="1:8" ht="20.100000000000001" customHeight="1" x14ac:dyDescent="0.25">
      <c r="A41"/>
      <c r="D41" s="21" t="str" cm="1">
        <f t="array" ref="D41">Common_InputFunctions.Utility_DisplayArrayInTable(Common_SourceData.Common_SourceData_GWP_Data(), Table_GWPData[[#Headers],[Gas]], 0)</f>
        <v>C2F6</v>
      </c>
      <c r="E41" s="21" cm="1">
        <f t="array" ref="E41">Common_InputFunctions.Utility_DisplayArrayInTable(Common_SourceData.Common_SourceData_GWP_Data(), Table_GWPData[[#Headers],[Gas]], 0)</f>
        <v>12200</v>
      </c>
    </row>
    <row r="42" spans="1:8" ht="20.100000000000001" customHeight="1" x14ac:dyDescent="0.25">
      <c r="A42"/>
      <c r="D42" s="21" t="str" cm="1">
        <f t="array" ref="D42">Common_InputFunctions.Utility_DisplayArrayInTable(Common_SourceData.Common_SourceData_GWP_Data(), Table_GWPData[[#Headers],[Gas]], 0)</f>
        <v>SF6</v>
      </c>
      <c r="E42" s="21" cm="1">
        <f t="array" ref="E42">Common_InputFunctions.Utility_DisplayArrayInTable(Common_SourceData.Common_SourceData_GWP_Data(), Table_GWPData[[#Headers],[Gas]], 0)</f>
        <v>22800</v>
      </c>
    </row>
    <row r="43" spans="1:8" ht="20.100000000000001" customHeight="1" x14ac:dyDescent="0.25">
      <c r="A43"/>
      <c r="D43" s="21" t="str" cm="1">
        <f t="array" ref="D43">Common_InputFunctions.Utility_DisplayArrayInTable(Common_SourceData.Common_SourceData_GWP_Data(), Table_GWPData[[#Headers],[Gas]], 0)</f>
        <v>NF3</v>
      </c>
      <c r="E43" s="21"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2"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21" t="s">
        <v>26</v>
      </c>
      <c r="E47" s="21" t="s">
        <v>28</v>
      </c>
      <c r="F47" s="21" t="s">
        <v>29</v>
      </c>
      <c r="G47" s="21" t="s">
        <v>30</v>
      </c>
      <c r="H47" s="21" t="s">
        <v>31</v>
      </c>
    </row>
    <row r="48" spans="1:8" ht="20.100000000000001" customHeight="1" x14ac:dyDescent="0.25">
      <c r="A48"/>
      <c r="D48" s="21" t="str" cm="1">
        <f t="array" ref="D48">Common_InputFunctions.Utility_DisplayArrayInTable(Common_SourceData.Common_SourceData_ConvertGasElementalToMolecular_Data(),Table_GasToMolecularConversionFactor[[#Headers],[Gas]], 0)</f>
        <v>CO2</v>
      </c>
      <c r="E48" s="21" t="str" cm="1">
        <f t="array" ref="E48">Common_InputFunctions.Utility_DisplayArrayInTable(Common_SourceData.Common_SourceData_ConvertGasElementalToMolecular_Data(),Table_GasToMolecularConversionFactor[[#Headers],[Gas]], 0)</f>
        <v>44/12</v>
      </c>
      <c r="F48" s="21" cm="1">
        <f t="array" ref="F48">Common_InputFunctions.Utility_DisplayArrayInTable(Common_SourceData.Common_SourceData_ConvertGasElementalToMolecular_Data(),Table_GasToMolecularConversionFactor[[#Headers],[Gas]], 0)</f>
        <v>44</v>
      </c>
      <c r="G48" s="21" cm="1">
        <f t="array" ref="G48">Common_InputFunctions.Utility_DisplayArrayInTable(Common_SourceData.Common_SourceData_ConvertGasElementalToMolecular_Data(),Table_GasToMolecularConversionFactor[[#Headers],[Gas]], 0)</f>
        <v>12</v>
      </c>
      <c r="H48" s="21">
        <f>Table_GasToMolecularConversionFactor[[#This Row],[Conversion factor 1]]/Table_GasToMolecularConversionFactor[[#This Row],[Conversion factor 2]]</f>
        <v>3.6666666666666665</v>
      </c>
    </row>
    <row r="49" spans="1:8" ht="20.100000000000001" customHeight="1" x14ac:dyDescent="0.25">
      <c r="A49"/>
      <c r="D49" s="21" t="str" cm="1">
        <f t="array" ref="D49">Common_InputFunctions.Utility_DisplayArrayInTable(Common_SourceData.Common_SourceData_ConvertGasElementalToMolecular_Data(),Table_GasToMolecularConversionFactor[[#Headers],[Gas]], 0)</f>
        <v>CH4</v>
      </c>
      <c r="E49" s="21" t="str" cm="1">
        <f t="array" ref="E49">Common_InputFunctions.Utility_DisplayArrayInTable(Common_SourceData.Common_SourceData_ConvertGasElementalToMolecular_Data(),Table_GasToMolecularConversionFactor[[#Headers],[Gas]], 0)</f>
        <v>16/12</v>
      </c>
      <c r="F49" s="21" cm="1">
        <f t="array" ref="F49">Common_InputFunctions.Utility_DisplayArrayInTable(Common_SourceData.Common_SourceData_ConvertGasElementalToMolecular_Data(),Table_GasToMolecularConversionFactor[[#Headers],[Gas]], 0)</f>
        <v>16</v>
      </c>
      <c r="G49" s="21" cm="1">
        <f t="array" ref="G49">Common_InputFunctions.Utility_DisplayArrayInTable(Common_SourceData.Common_SourceData_ConvertGasElementalToMolecular_Data(),Table_GasToMolecularConversionFactor[[#Headers],[Gas]], 0)</f>
        <v>12</v>
      </c>
      <c r="H49" s="21">
        <f>Table_GasToMolecularConversionFactor[[#This Row],[Conversion factor 1]]/Table_GasToMolecularConversionFactor[[#This Row],[Conversion factor 2]]</f>
        <v>1.3333333333333333</v>
      </c>
    </row>
    <row r="50" spans="1:8" ht="20.100000000000001" customHeight="1" x14ac:dyDescent="0.25">
      <c r="A50"/>
      <c r="D50" s="21" t="str" cm="1">
        <f t="array" ref="D50">Common_InputFunctions.Utility_DisplayArrayInTable(Common_SourceData.Common_SourceData_ConvertGasElementalToMolecular_Data(),Table_GasToMolecularConversionFactor[[#Headers],[Gas]], 0)</f>
        <v>N2O</v>
      </c>
      <c r="E50" s="21" t="str" cm="1">
        <f t="array" ref="E50">Common_InputFunctions.Utility_DisplayArrayInTable(Common_SourceData.Common_SourceData_ConvertGasElementalToMolecular_Data(),Table_GasToMolecularConversionFactor[[#Headers],[Gas]], 0)</f>
        <v>44/28</v>
      </c>
      <c r="F50" s="21" cm="1">
        <f t="array" ref="F50">Common_InputFunctions.Utility_DisplayArrayInTable(Common_SourceData.Common_SourceData_ConvertGasElementalToMolecular_Data(),Table_GasToMolecularConversionFactor[[#Headers],[Gas]], 0)</f>
        <v>44</v>
      </c>
      <c r="G50" s="21" cm="1">
        <f t="array" ref="G50">Common_InputFunctions.Utility_DisplayArrayInTable(Common_SourceData.Common_SourceData_ConvertGasElementalToMolecular_Data(),Table_GasToMolecularConversionFactor[[#Headers],[Gas]], 0)</f>
        <v>28</v>
      </c>
      <c r="H50" s="21">
        <f>Table_GasToMolecularConversionFactor[[#This Row],[Conversion factor 1]]/Table_GasToMolecularConversionFactor[[#This Row],[Conversion factor 2]]</f>
        <v>1.5714285714285714</v>
      </c>
    </row>
    <row r="51" spans="1:8" ht="20.100000000000001" customHeight="1" x14ac:dyDescent="0.25">
      <c r="A51"/>
      <c r="D51" s="21" t="str" cm="1">
        <f t="array" ref="D51">Common_InputFunctions.Utility_DisplayArrayInTable(Common_SourceData.Common_SourceData_ConvertGasElementalToMolecular_Data(),Table_GasToMolecularConversionFactor[[#Headers],[Gas]], 0)</f>
        <v>Nox</v>
      </c>
      <c r="E51" s="21" t="str" cm="1">
        <f t="array" ref="E51">Common_InputFunctions.Utility_DisplayArrayInTable(Common_SourceData.Common_SourceData_ConvertGasElementalToMolecular_Data(),Table_GasToMolecularConversionFactor[[#Headers],[Gas]], 0)</f>
        <v>46/14</v>
      </c>
      <c r="F51" s="21" cm="1">
        <f t="array" ref="F51">Common_InputFunctions.Utility_DisplayArrayInTable(Common_SourceData.Common_SourceData_ConvertGasElementalToMolecular_Data(),Table_GasToMolecularConversionFactor[[#Headers],[Gas]], 0)</f>
        <v>46</v>
      </c>
      <c r="G51" s="21" cm="1">
        <f t="array" ref="G51">Common_InputFunctions.Utility_DisplayArrayInTable(Common_SourceData.Common_SourceData_ConvertGasElementalToMolecular_Data(),Table_GasToMolecularConversionFactor[[#Headers],[Gas]], 0)</f>
        <v>14</v>
      </c>
      <c r="H51" s="21">
        <f>Table_GasToMolecularConversionFactor[[#This Row],[Conversion factor 1]]/Table_GasToMolecularConversionFactor[[#This Row],[Conversion factor 2]]</f>
        <v>3.2857142857142856</v>
      </c>
    </row>
    <row r="52" spans="1:8" ht="20.100000000000001" customHeight="1" x14ac:dyDescent="0.25">
      <c r="A52"/>
      <c r="D52" s="21" t="str" cm="1">
        <f t="array" ref="D52">Common_InputFunctions.Utility_DisplayArrayInTable(Common_SourceData.Common_SourceData_ConvertGasElementalToMolecular_Data(),Table_GasToMolecularConversionFactor[[#Headers],[Gas]], 0)</f>
        <v>CO</v>
      </c>
      <c r="E52" s="21" t="str" cm="1">
        <f t="array" ref="E52">Common_InputFunctions.Utility_DisplayArrayInTable(Common_SourceData.Common_SourceData_ConvertGasElementalToMolecular_Data(),Table_GasToMolecularConversionFactor[[#Headers],[Gas]], 0)</f>
        <v>28/12</v>
      </c>
      <c r="F52" s="21" cm="1">
        <f t="array" ref="F52">Common_InputFunctions.Utility_DisplayArrayInTable(Common_SourceData.Common_SourceData_ConvertGasElementalToMolecular_Data(),Table_GasToMolecularConversionFactor[[#Headers],[Gas]], 0)</f>
        <v>28</v>
      </c>
      <c r="G52" s="21" cm="1">
        <f t="array" ref="G52">Common_InputFunctions.Utility_DisplayArrayInTable(Common_SourceData.Common_SourceData_ConvertGasElementalToMolecular_Data(),Table_GasToMolecularConversionFactor[[#Headers],[Gas]], 0)</f>
        <v>12</v>
      </c>
      <c r="H52" s="21">
        <f>Table_GasToMolecularConversionFactor[[#This Row],[Conversion factor 1]]/Table_GasToMolecularConversionFactor[[#This Row],[Conversion factor 2]]</f>
        <v>2.3333333333333335</v>
      </c>
    </row>
    <row r="53" spans="1:8" ht="20.100000000000001" customHeight="1" x14ac:dyDescent="0.25">
      <c r="A53"/>
      <c r="D53" s="21" t="str" cm="1">
        <f t="array" ref="D53">Common_InputFunctions.Utility_DisplayArrayInTable(Common_SourceData.Common_SourceData_ConvertGasElementalToMolecular_Data(),Table_GasToMolecularConversionFactor[[#Headers],[Gas]], 0)</f>
        <v>CO2 Lime</v>
      </c>
      <c r="E53" s="21" t="str" cm="1">
        <f t="array" ref="E53">Common_InputFunctions.Utility_DisplayArrayInTable(Common_SourceData.Common_SourceData_ConvertGasElementalToMolecular_Data(),Table_GasToMolecularConversionFactor[[#Headers],[Gas]], 0)</f>
        <v>44/12</v>
      </c>
      <c r="F53" s="21" cm="1">
        <f t="array" ref="F53">Common_InputFunctions.Utility_DisplayArrayInTable(Common_SourceData.Common_SourceData_ConvertGasElementalToMolecular_Data(),Table_GasToMolecularConversionFactor[[#Headers],[Gas]], 0)</f>
        <v>44</v>
      </c>
      <c r="G53" s="21" cm="1">
        <f t="array" ref="G53">Common_InputFunctions.Utility_DisplayArrayInTable(Common_SourceData.Common_SourceData_ConvertGasElementalToMolecular_Data(),Table_GasToMolecularConversionFactor[[#Headers],[Gas]], 0)</f>
        <v>12</v>
      </c>
      <c r="H53" s="21">
        <f>Table_GasToMolecularConversionFactor[[#This Row],[Conversion factor 1]]/Table_GasToMolecularConversionFactor[[#This Row],[Conversion factor 2]]</f>
        <v>3.6666666666666665</v>
      </c>
    </row>
    <row r="54" spans="1:8" ht="20.100000000000001" customHeight="1" x14ac:dyDescent="0.25">
      <c r="A54"/>
      <c r="D54" s="21" t="str" cm="1">
        <f t="array" ref="D54">Common_InputFunctions.Utility_DisplayArrayInTable(Common_SourceData.Common_SourceData_ConvertGasElementalToMolecular_Data(),Table_GasToMolecularConversionFactor[[#Headers],[Gas]], 0)</f>
        <v>NMVOC</v>
      </c>
      <c r="E54" s="21" t="str" cm="1">
        <f t="array" ref="E54">Common_InputFunctions.Utility_DisplayArrayInTable(Common_SourceData.Common_SourceData_ConvertGasElementalToMolecular_Data(),Table_GasToMolecularConversionFactor[[#Headers],[Gas]], 0)</f>
        <v>14/12</v>
      </c>
      <c r="F54" s="21" cm="1">
        <f t="array" ref="F54">Common_InputFunctions.Utility_DisplayArrayInTable(Common_SourceData.Common_SourceData_ConvertGasElementalToMolecular_Data(),Table_GasToMolecularConversionFactor[[#Headers],[Gas]], 0)</f>
        <v>14</v>
      </c>
      <c r="G54" s="21" cm="1">
        <f t="array" ref="G54">Common_InputFunctions.Utility_DisplayArrayInTable(Common_SourceData.Common_SourceData_ConvertGasElementalToMolecular_Data(),Table_GasToMolecularConversionFactor[[#Headers],[Gas]], 0)</f>
        <v>12</v>
      </c>
      <c r="H54" s="21">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27" t="str" cm="1">
        <f t="array" ref="D59:D61">"⚠️" &amp; Common_SourceData.Common_SourceData_WetAndDryZones_Variation()</f>
        <v>⚠️VARIATION OF SOURCE DATA:</v>
      </c>
    </row>
    <row r="60" spans="1:8" ht="20.100000000000001" customHeight="1" x14ac:dyDescent="0.25">
      <c r="A60"/>
      <c r="D60" s="27" t="str">
        <v>⚠️Added warm / cool temperate moist / dry - low frost and high temp classes to accommodate climate scenarios excluded by VEERG criteria.</v>
      </c>
    </row>
    <row r="61" spans="1:8" ht="20.100000000000001" customHeight="1" x14ac:dyDescent="0.25">
      <c r="A61"/>
      <c r="D61" s="27" t="str">
        <v>⚠️Fixed typo - Changed 'Fry' to 'Dry'.</v>
      </c>
    </row>
    <row r="62" spans="1:8" ht="20.100000000000001" customHeight="1" x14ac:dyDescent="0.25">
      <c r="A62"/>
    </row>
    <row r="63" spans="1:8" ht="20.100000000000001" customHeight="1" x14ac:dyDescent="0.25">
      <c r="A63"/>
      <c r="D63" s="21" t="s">
        <v>32</v>
      </c>
      <c r="E63" s="21" t="s">
        <v>33</v>
      </c>
    </row>
    <row r="64" spans="1:8" ht="20.100000000000001" customHeight="1" x14ac:dyDescent="0.25">
      <c r="A64"/>
      <c r="D64" s="21" t="str" cm="1">
        <f t="array" ref="D64">Common_InputFunctions.Utility_DisplayArrayInTable(Common_SourceData.Common_SourceData_WetAndDryZones_Data(), Table_SourceData_WetDryZones[[#Headers],[Climate zone]], 0)</f>
        <v>Tropical montane</v>
      </c>
      <c r="E64" s="21"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1" t="str" cm="1">
        <f t="array" ref="D65">Common_InputFunctions.Utility_DisplayArrayInTable(Common_SourceData.Common_SourceData_WetAndDryZones_Data(), Table_SourceData_WetDryZones[[#Headers],[Climate zone]], 0)</f>
        <v>Tropical wet</v>
      </c>
      <c r="E65" s="21"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1" t="str" cm="1">
        <f t="array" ref="D66">Common_InputFunctions.Utility_DisplayArrayInTable(Common_SourceData.Common_SourceData_WetAndDryZones_Data(), Table_SourceData_WetDryZones[[#Headers],[Climate zone]], 0)</f>
        <v>Tropical moist</v>
      </c>
      <c r="E66" s="21"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1" t="str" cm="1">
        <f t="array" ref="D67">Common_InputFunctions.Utility_DisplayArrayInTable(Common_SourceData.Common_SourceData_WetAndDryZones_Data(), Table_SourceData_WetDryZones[[#Headers],[Climate zone]], 0)</f>
        <v>Tropical dry</v>
      </c>
      <c r="E67" s="21"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1" t="str" cm="1">
        <f t="array" ref="D68">Common_InputFunctions.Utility_DisplayArrayInTable(Common_SourceData.Common_SourceData_WetAndDryZones_Data(), Table_SourceData_WetDryZones[[#Headers],[Climate zone]], 0)</f>
        <v>Warm temperate moist</v>
      </c>
      <c r="E68" s="21"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1" t="str" cm="1">
        <f t="array" ref="D69">Common_InputFunctions.Utility_DisplayArrayInTable(Common_SourceData.Common_SourceData_WetAndDryZones_Data(), Table_SourceData_WetDryZones[[#Headers],[Climate zone]], 0)</f>
        <v>Warm temperate dry</v>
      </c>
      <c r="E69" s="21"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1" t="str" cm="1">
        <f t="array" ref="D70">Common_InputFunctions.Utility_DisplayArrayInTable(Common_SourceData.Common_SourceData_WetAndDryZones_Data(), Table_SourceData_WetDryZones[[#Headers],[Climate zone]], 0)</f>
        <v>Cool temperate moist</v>
      </c>
      <c r="E70" s="21"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1" t="str" cm="1">
        <f t="array" ref="D71">Common_InputFunctions.Utility_DisplayArrayInTable(Common_SourceData.Common_SourceData_WetAndDryZones_Data(), Table_SourceData_WetDryZones[[#Headers],[Climate zone]], 0)</f>
        <v>Cool temperate dry</v>
      </c>
      <c r="E71" s="21"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1" t="str" cm="1">
        <f t="array" ref="D72">Common_InputFunctions.Utility_DisplayArrayInTable(Common_SourceData.Common_SourceData_WetAndDryZones_Data(), Table_SourceData_WetDryZones[[#Headers],[Climate zone]], 0)</f>
        <v>Warm temperate moist - low frost</v>
      </c>
      <c r="E72" s="21"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1" t="str" cm="1">
        <f t="array" ref="D73">Common_InputFunctions.Utility_DisplayArrayInTable(Common_SourceData.Common_SourceData_WetAndDryZones_Data(), Table_SourceData_WetDryZones[[#Headers],[Climate zone]], 0)</f>
        <v>Warm temperate dry - low frost</v>
      </c>
      <c r="E73" s="21"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1" t="str" cm="1">
        <f t="array" ref="D74">Common_InputFunctions.Utility_DisplayArrayInTable(Common_SourceData.Common_SourceData_WetAndDryZones_Data(), Table_SourceData_WetDryZones[[#Headers],[Climate zone]], 0)</f>
        <v>Warm temperate moist - high temp</v>
      </c>
      <c r="E74" s="21"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1" t="str" cm="1">
        <f t="array" ref="D75">Common_InputFunctions.Utility_DisplayArrayInTable(Common_SourceData.Common_SourceData_WetAndDryZones_Data(), Table_SourceData_WetDryZones[[#Headers],[Climate zone]], 0)</f>
        <v>Warm temperate dry - high temp</v>
      </c>
      <c r="E75" s="21"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1" t="str" cm="1">
        <f t="array" ref="D76">Common_InputFunctions.Utility_DisplayArrayInTable(Common_SourceData.Common_SourceData_WetAndDryZones_Data(), Table_SourceData_WetDryZones[[#Headers],[Climate zone]], 0)</f>
        <v>Cool temperate moist - low frost</v>
      </c>
      <c r="E76" s="21"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1" t="str" cm="1">
        <f t="array" ref="D77">Common_InputFunctions.Utility_DisplayArrayInTable(Common_SourceData.Common_SourceData_WetAndDryZones_Data(), Table_SourceData_WetDryZones[[#Headers],[Climate zone]], 0)</f>
        <v>Cool temperate dry - low frost</v>
      </c>
      <c r="E77" s="21"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27" t="str" cm="1">
        <f t="array" ref="D83:D87">"⚠️" &amp; Common_SourceData.Common_SourceData_ClimateZones_Variation()</f>
        <v>⚠️VARIATION OF SOURCE DATA:</v>
      </c>
    </row>
    <row r="84" spans="1:20" ht="20.100000000000001" customHeight="1" x14ac:dyDescent="0.25">
      <c r="A84"/>
      <c r="D84" s="27" t="str">
        <v>⚠️Added warm / cool temperate moist / dry - low frost and high temp classes to accommodate climate scenarios excluded by VEERG criteria.</v>
      </c>
    </row>
    <row r="85" spans="1:20" ht="20.100000000000001" customHeight="1" x14ac:dyDescent="0.25">
      <c r="A85"/>
      <c r="D85" s="27" t="str">
        <v>⚠️Fixed typo in MAT value for warm temperate dry - changed 10 to 11.</v>
      </c>
    </row>
    <row r="86" spans="1:20" ht="20.100000000000001" customHeight="1" x14ac:dyDescent="0.25">
      <c r="A86"/>
      <c r="D86" s="27" t="str">
        <v>⚠️Added min and max columns for MAT, MAP, frost days per year, elevation, MAP:PET to calculate zones from real climate data.</v>
      </c>
    </row>
    <row r="87" spans="1:20" ht="20.100000000000001" customHeight="1" x14ac:dyDescent="0.25">
      <c r="A87"/>
      <c r="D87" s="27" t="str">
        <v>⚠️GAF accepts rainfall as a proxy for precipitation.</v>
      </c>
    </row>
    <row r="88" spans="1:20" ht="20.100000000000001" customHeight="1" x14ac:dyDescent="0.25">
      <c r="A88"/>
    </row>
    <row r="89" spans="1:20" ht="20.100000000000001" customHeight="1" x14ac:dyDescent="0.25">
      <c r="A89"/>
      <c r="D89" s="21" t="s">
        <v>32</v>
      </c>
      <c r="E89" s="21" t="s">
        <v>34</v>
      </c>
      <c r="F89" s="21" t="s">
        <v>35</v>
      </c>
      <c r="G89" s="21" t="s">
        <v>36</v>
      </c>
      <c r="H89" s="21" t="s">
        <v>37</v>
      </c>
      <c r="I89" s="21" t="s">
        <v>38</v>
      </c>
      <c r="J89" s="21" t="s">
        <v>39</v>
      </c>
      <c r="K89" s="21" t="s">
        <v>40</v>
      </c>
      <c r="L89" s="21" t="s">
        <v>41</v>
      </c>
      <c r="M89" s="21" t="s">
        <v>42</v>
      </c>
      <c r="N89" s="21" t="s">
        <v>43</v>
      </c>
      <c r="O89" s="21" t="s">
        <v>44</v>
      </c>
      <c r="P89" s="21" t="s">
        <v>45</v>
      </c>
      <c r="Q89" s="21" t="s">
        <v>46</v>
      </c>
      <c r="R89" s="21" t="s">
        <v>47</v>
      </c>
      <c r="S89" s="21" t="s">
        <v>48</v>
      </c>
      <c r="T89" s="21"/>
    </row>
    <row r="90" spans="1:20" ht="20.100000000000001" customHeight="1" x14ac:dyDescent="0.25">
      <c r="A90"/>
      <c r="D90" s="21" t="str" cm="1">
        <f t="array" ref="D90">Common_InputFunctions.Utility_DisplayArrayInTable(Common_SourceData.Common_SourceData_ClimateZones_Data(), Table_SourceData_ClimateZones[[#Headers],[Climate zone]], 0)</f>
        <v>Tropical montane</v>
      </c>
      <c r="E90" s="21" t="str" cm="1">
        <f t="array" ref="E90">Common_InputFunctions.Utility_DisplayArrayInTable(Common_SourceData.Common_SourceData_ClimateZones_Data(), Table_SourceData_ClimateZones[[#Headers],[Climate zone]], 0)</f>
        <v>&gt; 18 C</v>
      </c>
      <c r="F90" s="21" t="str" cm="1">
        <f t="array" ref="F90">Common_InputFunctions.Utility_DisplayArrayInTable(Common_SourceData.Common_SourceData_ClimateZones_Data(), Table_SourceData_ClimateZones[[#Headers],[Climate zone]], 0)</f>
        <v>Any</v>
      </c>
      <c r="G90" s="21" t="str" cm="1">
        <f t="array" ref="G90">Common_InputFunctions.Utility_DisplayArrayInTable(Common_SourceData.Common_SourceData_ClimateZones_Data(), Table_SourceData_ClimateZones[[#Headers],[Climate zone]], 0)</f>
        <v>≤ 7</v>
      </c>
      <c r="H90" s="21" t="str" cm="1">
        <f t="array" ref="H90">Common_InputFunctions.Utility_DisplayArrayInTable(Common_SourceData.Common_SourceData_ClimateZones_Data(), Table_SourceData_ClimateZones[[#Headers],[Climate zone]], 0)</f>
        <v>&gt; 1000 m</v>
      </c>
      <c r="I90" s="21" t="str" cm="1">
        <f t="array" ref="I90">Common_InputFunctions.Utility_DisplayArrayInTable(Common_SourceData.Common_SourceData_ClimateZones_Data(), Table_SourceData_ClimateZones[[#Headers],[Climate zone]], 0)</f>
        <v>Any</v>
      </c>
      <c r="J90" s="21" cm="1">
        <f t="array" ref="J90">Common_InputFunctions.Utility_DisplayArrayInTable(Common_SourceData.Common_SourceData_ClimateZones_Data(), Table_SourceData_ClimateZones[[#Headers],[Climate zone]], 0)</f>
        <v>18.001000000000001</v>
      </c>
      <c r="K90" s="21" cm="1">
        <f t="array" ref="K90">Common_InputFunctions.Utility_DisplayArrayInTable(Common_SourceData.Common_SourceData_ClimateZones_Data(), Table_SourceData_ClimateZones[[#Headers],[Climate zone]], 0)</f>
        <v>999999</v>
      </c>
      <c r="L90" s="21" cm="1">
        <f t="array" ref="L90">Common_InputFunctions.Utility_DisplayArrayInTable(Common_SourceData.Common_SourceData_ClimateZones_Data(), Table_SourceData_ClimateZones[[#Headers],[Climate zone]], 0)</f>
        <v>-999999</v>
      </c>
      <c r="M90" s="21" cm="1">
        <f t="array" ref="M90">Common_InputFunctions.Utility_DisplayArrayInTable(Common_SourceData.Common_SourceData_ClimateZones_Data(), Table_SourceData_ClimateZones[[#Headers],[Climate zone]], 0)</f>
        <v>999999</v>
      </c>
      <c r="N90" s="21" cm="1">
        <f t="array" ref="N90">Common_InputFunctions.Utility_DisplayArrayInTable(Common_SourceData.Common_SourceData_ClimateZones_Data(), Table_SourceData_ClimateZones[[#Headers],[Climate zone]], 0)</f>
        <v>-999999</v>
      </c>
      <c r="O90" s="21" cm="1">
        <f t="array" ref="O90">Common_InputFunctions.Utility_DisplayArrayInTable(Common_SourceData.Common_SourceData_ClimateZones_Data(), Table_SourceData_ClimateZones[[#Headers],[Climate zone]], 0)</f>
        <v>7</v>
      </c>
      <c r="P90" s="21" cm="1">
        <f t="array" ref="P90">Common_InputFunctions.Utility_DisplayArrayInTable(Common_SourceData.Common_SourceData_ClimateZones_Data(), Table_SourceData_ClimateZones[[#Headers],[Climate zone]], 0)</f>
        <v>1000</v>
      </c>
      <c r="Q90" s="21" cm="1">
        <f t="array" ref="Q90">Common_InputFunctions.Utility_DisplayArrayInTable(Common_SourceData.Common_SourceData_ClimateZones_Data(), Table_SourceData_ClimateZones[[#Headers],[Climate zone]], 0)</f>
        <v>999999</v>
      </c>
      <c r="R90" s="21" cm="1">
        <f t="array" ref="R90">Common_InputFunctions.Utility_DisplayArrayInTable(Common_SourceData.Common_SourceData_ClimateZones_Data(), Table_SourceData_ClimateZones[[#Headers],[Climate zone]], 0)</f>
        <v>-999999</v>
      </c>
      <c r="S90" s="21" cm="1">
        <f t="array" ref="S90">Common_InputFunctions.Utility_DisplayArrayInTable(Common_SourceData.Common_SourceData_ClimateZones_Data(), Table_SourceData_ClimateZones[[#Headers],[Climate zone]], 0)</f>
        <v>999999</v>
      </c>
      <c r="T90" s="21"/>
    </row>
    <row r="91" spans="1:20" ht="20.100000000000001" customHeight="1" x14ac:dyDescent="0.25">
      <c r="A91"/>
      <c r="D91" s="21" t="str" cm="1">
        <f t="array" ref="D91">Common_InputFunctions.Utility_DisplayArrayInTable(Common_SourceData.Common_SourceData_ClimateZones_Data(), Table_SourceData_ClimateZones[[#Headers],[Climate zone]], 0)</f>
        <v>Tropical wet</v>
      </c>
      <c r="E91" s="21" t="str" cm="1">
        <f t="array" ref="E91">Common_InputFunctions.Utility_DisplayArrayInTable(Common_SourceData.Common_SourceData_ClimateZones_Data(), Table_SourceData_ClimateZones[[#Headers],[Climate zone]], 0)</f>
        <v>&gt; 18 C</v>
      </c>
      <c r="F91" s="21" t="str" cm="1">
        <f t="array" ref="F91">Common_InputFunctions.Utility_DisplayArrayInTable(Common_SourceData.Common_SourceData_ClimateZones_Data(), Table_SourceData_ClimateZones[[#Headers],[Climate zone]], 0)</f>
        <v>&gt; 2000 mm</v>
      </c>
      <c r="G91" s="21" t="str" cm="1">
        <f t="array" ref="G91">Common_InputFunctions.Utility_DisplayArrayInTable(Common_SourceData.Common_SourceData_ClimateZones_Data(), Table_SourceData_ClimateZones[[#Headers],[Climate zone]], 0)</f>
        <v>≤ 7</v>
      </c>
      <c r="H91" s="21" t="str" cm="1">
        <f t="array" ref="H91">Common_InputFunctions.Utility_DisplayArrayInTable(Common_SourceData.Common_SourceData_ClimateZones_Data(), Table_SourceData_ClimateZones[[#Headers],[Climate zone]], 0)</f>
        <v>≤ 1000 m</v>
      </c>
      <c r="I91" s="21" t="str" cm="1">
        <f t="array" ref="I91">Common_InputFunctions.Utility_DisplayArrayInTable(Common_SourceData.Common_SourceData_ClimateZones_Data(), Table_SourceData_ClimateZones[[#Headers],[Climate zone]], 0)</f>
        <v>Any</v>
      </c>
      <c r="J91" s="21" cm="1">
        <f t="array" ref="J91">Common_InputFunctions.Utility_DisplayArrayInTable(Common_SourceData.Common_SourceData_ClimateZones_Data(), Table_SourceData_ClimateZones[[#Headers],[Climate zone]], 0)</f>
        <v>18.001000000000001</v>
      </c>
      <c r="K91" s="21" cm="1">
        <f t="array" ref="K91">Common_InputFunctions.Utility_DisplayArrayInTable(Common_SourceData.Common_SourceData_ClimateZones_Data(), Table_SourceData_ClimateZones[[#Headers],[Climate zone]], 0)</f>
        <v>999999</v>
      </c>
      <c r="L91" s="21" cm="1">
        <f t="array" ref="L91">Common_InputFunctions.Utility_DisplayArrayInTable(Common_SourceData.Common_SourceData_ClimateZones_Data(), Table_SourceData_ClimateZones[[#Headers],[Climate zone]], 0)</f>
        <v>2000.001</v>
      </c>
      <c r="M91" s="21" cm="1">
        <f t="array" ref="M91">Common_InputFunctions.Utility_DisplayArrayInTable(Common_SourceData.Common_SourceData_ClimateZones_Data(), Table_SourceData_ClimateZones[[#Headers],[Climate zone]], 0)</f>
        <v>999999</v>
      </c>
      <c r="N91" s="21" cm="1">
        <f t="array" ref="N91">Common_InputFunctions.Utility_DisplayArrayInTable(Common_SourceData.Common_SourceData_ClimateZones_Data(), Table_SourceData_ClimateZones[[#Headers],[Climate zone]], 0)</f>
        <v>-999999</v>
      </c>
      <c r="O91" s="21" cm="1">
        <f t="array" ref="O91">Common_InputFunctions.Utility_DisplayArrayInTable(Common_SourceData.Common_SourceData_ClimateZones_Data(), Table_SourceData_ClimateZones[[#Headers],[Climate zone]], 0)</f>
        <v>7</v>
      </c>
      <c r="P91" s="21" cm="1">
        <f t="array" ref="P91">Common_InputFunctions.Utility_DisplayArrayInTable(Common_SourceData.Common_SourceData_ClimateZones_Data(), Table_SourceData_ClimateZones[[#Headers],[Climate zone]], 0)</f>
        <v>-999999</v>
      </c>
      <c r="Q91" s="21" cm="1">
        <f t="array" ref="Q91">Common_InputFunctions.Utility_DisplayArrayInTable(Common_SourceData.Common_SourceData_ClimateZones_Data(), Table_SourceData_ClimateZones[[#Headers],[Climate zone]], 0)</f>
        <v>999.99900000000002</v>
      </c>
      <c r="R91" s="21" cm="1">
        <f t="array" ref="R91">Common_InputFunctions.Utility_DisplayArrayInTable(Common_SourceData.Common_SourceData_ClimateZones_Data(), Table_SourceData_ClimateZones[[#Headers],[Climate zone]], 0)</f>
        <v>-999999</v>
      </c>
      <c r="S91" s="21" cm="1">
        <f t="array" ref="S91">Common_InputFunctions.Utility_DisplayArrayInTable(Common_SourceData.Common_SourceData_ClimateZones_Data(), Table_SourceData_ClimateZones[[#Headers],[Climate zone]], 0)</f>
        <v>999999</v>
      </c>
      <c r="T91" s="21"/>
    </row>
    <row r="92" spans="1:20" ht="20.100000000000001" customHeight="1" x14ac:dyDescent="0.25">
      <c r="A92"/>
      <c r="D92" s="21" t="str" cm="1">
        <f t="array" ref="D92">Common_InputFunctions.Utility_DisplayArrayInTable(Common_SourceData.Common_SourceData_ClimateZones_Data(), Table_SourceData_ClimateZones[[#Headers],[Climate zone]], 0)</f>
        <v>Tropical moist</v>
      </c>
      <c r="E92" s="21" t="str" cm="1">
        <f t="array" ref="E92">Common_InputFunctions.Utility_DisplayArrayInTable(Common_SourceData.Common_SourceData_ClimateZones_Data(), Table_SourceData_ClimateZones[[#Headers],[Climate zone]], 0)</f>
        <v>&gt; 18 C</v>
      </c>
      <c r="F92" s="21" t="str" cm="1">
        <f t="array" ref="F92">Common_InputFunctions.Utility_DisplayArrayInTable(Common_SourceData.Common_SourceData_ClimateZones_Data(), Table_SourceData_ClimateZones[[#Headers],[Climate zone]], 0)</f>
        <v>&gt; 1000 mm - ≤ 2000 mm</v>
      </c>
      <c r="G92" s="21" t="str" cm="1">
        <f t="array" ref="G92">Common_InputFunctions.Utility_DisplayArrayInTable(Common_SourceData.Common_SourceData_ClimateZones_Data(), Table_SourceData_ClimateZones[[#Headers],[Climate zone]], 0)</f>
        <v>≤ 7</v>
      </c>
      <c r="H92" s="21" t="str" cm="1">
        <f t="array" ref="H92">Common_InputFunctions.Utility_DisplayArrayInTable(Common_SourceData.Common_SourceData_ClimateZones_Data(), Table_SourceData_ClimateZones[[#Headers],[Climate zone]], 0)</f>
        <v>≤ 1000 m</v>
      </c>
      <c r="I92" s="21" t="str" cm="1">
        <f t="array" ref="I92">Common_InputFunctions.Utility_DisplayArrayInTable(Common_SourceData.Common_SourceData_ClimateZones_Data(), Table_SourceData_ClimateZones[[#Headers],[Climate zone]], 0)</f>
        <v>Any</v>
      </c>
      <c r="J92" s="21" cm="1">
        <f t="array" ref="J92">Common_InputFunctions.Utility_DisplayArrayInTable(Common_SourceData.Common_SourceData_ClimateZones_Data(), Table_SourceData_ClimateZones[[#Headers],[Climate zone]], 0)</f>
        <v>18.001000000000001</v>
      </c>
      <c r="K92" s="21" cm="1">
        <f t="array" ref="K92">Common_InputFunctions.Utility_DisplayArrayInTable(Common_SourceData.Common_SourceData_ClimateZones_Data(), Table_SourceData_ClimateZones[[#Headers],[Climate zone]], 0)</f>
        <v>999999</v>
      </c>
      <c r="L92" s="21" cm="1">
        <f t="array" ref="L92">Common_InputFunctions.Utility_DisplayArrayInTable(Common_SourceData.Common_SourceData_ClimateZones_Data(), Table_SourceData_ClimateZones[[#Headers],[Climate zone]], 0)</f>
        <v>1000.001</v>
      </c>
      <c r="M92" s="21" cm="1">
        <f t="array" ref="M92">Common_InputFunctions.Utility_DisplayArrayInTable(Common_SourceData.Common_SourceData_ClimateZones_Data(), Table_SourceData_ClimateZones[[#Headers],[Climate zone]], 0)</f>
        <v>2000</v>
      </c>
      <c r="N92" s="21" cm="1">
        <f t="array" ref="N92">Common_InputFunctions.Utility_DisplayArrayInTable(Common_SourceData.Common_SourceData_ClimateZones_Data(), Table_SourceData_ClimateZones[[#Headers],[Climate zone]], 0)</f>
        <v>-999999</v>
      </c>
      <c r="O92" s="21" cm="1">
        <f t="array" ref="O92">Common_InputFunctions.Utility_DisplayArrayInTable(Common_SourceData.Common_SourceData_ClimateZones_Data(), Table_SourceData_ClimateZones[[#Headers],[Climate zone]], 0)</f>
        <v>7</v>
      </c>
      <c r="P92" s="21" cm="1">
        <f t="array" ref="P92">Common_InputFunctions.Utility_DisplayArrayInTable(Common_SourceData.Common_SourceData_ClimateZones_Data(), Table_SourceData_ClimateZones[[#Headers],[Climate zone]], 0)</f>
        <v>-999999</v>
      </c>
      <c r="Q92" s="21" cm="1">
        <f t="array" ref="Q92">Common_InputFunctions.Utility_DisplayArrayInTable(Common_SourceData.Common_SourceData_ClimateZones_Data(), Table_SourceData_ClimateZones[[#Headers],[Climate zone]], 0)</f>
        <v>999.99900000000002</v>
      </c>
      <c r="R92" s="21" cm="1">
        <f t="array" ref="R92">Common_InputFunctions.Utility_DisplayArrayInTable(Common_SourceData.Common_SourceData_ClimateZones_Data(), Table_SourceData_ClimateZones[[#Headers],[Climate zone]], 0)</f>
        <v>-999999</v>
      </c>
      <c r="S92" s="21" cm="1">
        <f t="array" ref="S92">Common_InputFunctions.Utility_DisplayArrayInTable(Common_SourceData.Common_SourceData_ClimateZones_Data(), Table_SourceData_ClimateZones[[#Headers],[Climate zone]], 0)</f>
        <v>999999</v>
      </c>
      <c r="T92" s="21"/>
    </row>
    <row r="93" spans="1:20" ht="20.100000000000001" customHeight="1" x14ac:dyDescent="0.25">
      <c r="A93"/>
      <c r="D93" s="21" t="str" cm="1">
        <f t="array" ref="D93">Common_InputFunctions.Utility_DisplayArrayInTable(Common_SourceData.Common_SourceData_ClimateZones_Data(), Table_SourceData_ClimateZones[[#Headers],[Climate zone]], 0)</f>
        <v>Tropical dry</v>
      </c>
      <c r="E93" s="21" t="str" cm="1">
        <f t="array" ref="E93">Common_InputFunctions.Utility_DisplayArrayInTable(Common_SourceData.Common_SourceData_ClimateZones_Data(), Table_SourceData_ClimateZones[[#Headers],[Climate zone]], 0)</f>
        <v>&gt; 18 C</v>
      </c>
      <c r="F93" s="21" t="str" cm="1">
        <f t="array" ref="F93">Common_InputFunctions.Utility_DisplayArrayInTable(Common_SourceData.Common_SourceData_ClimateZones_Data(), Table_SourceData_ClimateZones[[#Headers],[Climate zone]], 0)</f>
        <v>≤ 1000 mm</v>
      </c>
      <c r="G93" s="21" t="str" cm="1">
        <f t="array" ref="G93">Common_InputFunctions.Utility_DisplayArrayInTable(Common_SourceData.Common_SourceData_ClimateZones_Data(), Table_SourceData_ClimateZones[[#Headers],[Climate zone]], 0)</f>
        <v>≤ 7</v>
      </c>
      <c r="H93" s="21" t="str" cm="1">
        <f t="array" ref="H93">Common_InputFunctions.Utility_DisplayArrayInTable(Common_SourceData.Common_SourceData_ClimateZones_Data(), Table_SourceData_ClimateZones[[#Headers],[Climate zone]], 0)</f>
        <v>≤ 1000 m</v>
      </c>
      <c r="I93" s="21" t="str" cm="1">
        <f t="array" ref="I93">Common_InputFunctions.Utility_DisplayArrayInTable(Common_SourceData.Common_SourceData_ClimateZones_Data(), Table_SourceData_ClimateZones[[#Headers],[Climate zone]], 0)</f>
        <v>Any</v>
      </c>
      <c r="J93" s="21" cm="1">
        <f t="array" ref="J93">Common_InputFunctions.Utility_DisplayArrayInTable(Common_SourceData.Common_SourceData_ClimateZones_Data(), Table_SourceData_ClimateZones[[#Headers],[Climate zone]], 0)</f>
        <v>18.001000000000001</v>
      </c>
      <c r="K93" s="21" cm="1">
        <f t="array" ref="K93">Common_InputFunctions.Utility_DisplayArrayInTable(Common_SourceData.Common_SourceData_ClimateZones_Data(), Table_SourceData_ClimateZones[[#Headers],[Climate zone]], 0)</f>
        <v>999999</v>
      </c>
      <c r="L93" s="21" cm="1">
        <f t="array" ref="L93">Common_InputFunctions.Utility_DisplayArrayInTable(Common_SourceData.Common_SourceData_ClimateZones_Data(), Table_SourceData_ClimateZones[[#Headers],[Climate zone]], 0)</f>
        <v>-999999</v>
      </c>
      <c r="M93" s="21" cm="1">
        <f t="array" ref="M93">Common_InputFunctions.Utility_DisplayArrayInTable(Common_SourceData.Common_SourceData_ClimateZones_Data(), Table_SourceData_ClimateZones[[#Headers],[Climate zone]], 0)</f>
        <v>1000</v>
      </c>
      <c r="N93" s="21" cm="1">
        <f t="array" ref="N93">Common_InputFunctions.Utility_DisplayArrayInTable(Common_SourceData.Common_SourceData_ClimateZones_Data(), Table_SourceData_ClimateZones[[#Headers],[Climate zone]], 0)</f>
        <v>-999999</v>
      </c>
      <c r="O93" s="21" cm="1">
        <f t="array" ref="O93">Common_InputFunctions.Utility_DisplayArrayInTable(Common_SourceData.Common_SourceData_ClimateZones_Data(), Table_SourceData_ClimateZones[[#Headers],[Climate zone]], 0)</f>
        <v>7</v>
      </c>
      <c r="P93" s="21" cm="1">
        <f t="array" ref="P93">Common_InputFunctions.Utility_DisplayArrayInTable(Common_SourceData.Common_SourceData_ClimateZones_Data(), Table_SourceData_ClimateZones[[#Headers],[Climate zone]], 0)</f>
        <v>-999999</v>
      </c>
      <c r="Q93" s="21" cm="1">
        <f t="array" ref="Q93">Common_InputFunctions.Utility_DisplayArrayInTable(Common_SourceData.Common_SourceData_ClimateZones_Data(), Table_SourceData_ClimateZones[[#Headers],[Climate zone]], 0)</f>
        <v>999.99900000000002</v>
      </c>
      <c r="R93" s="21" cm="1">
        <f t="array" ref="R93">Common_InputFunctions.Utility_DisplayArrayInTable(Common_SourceData.Common_SourceData_ClimateZones_Data(), Table_SourceData_ClimateZones[[#Headers],[Climate zone]], 0)</f>
        <v>-999999</v>
      </c>
      <c r="S93" s="21" cm="1">
        <f t="array" ref="S93">Common_InputFunctions.Utility_DisplayArrayInTable(Common_SourceData.Common_SourceData_ClimateZones_Data(), Table_SourceData_ClimateZones[[#Headers],[Climate zone]], 0)</f>
        <v>999999</v>
      </c>
      <c r="T93" s="21"/>
    </row>
    <row r="94" spans="1:20" ht="20.100000000000001" customHeight="1" x14ac:dyDescent="0.25">
      <c r="A94"/>
      <c r="D94" s="21" t="str" cm="1">
        <f t="array" ref="D94">Common_InputFunctions.Utility_DisplayArrayInTable(Common_SourceData.Common_SourceData_ClimateZones_Data(), Table_SourceData_ClimateZones[[#Headers],[Climate zone]], 0)</f>
        <v>Warm temperate moist</v>
      </c>
      <c r="E94" s="21" t="str" cm="1">
        <f t="array" ref="E94">Common_InputFunctions.Utility_DisplayArrayInTable(Common_SourceData.Common_SourceData_ClimateZones_Data(), Table_SourceData_ClimateZones[[#Headers],[Climate zone]], 0)</f>
        <v>&gt; 10 C</v>
      </c>
      <c r="F94" s="21" t="str" cm="1">
        <f t="array" ref="F94">Common_InputFunctions.Utility_DisplayArrayInTable(Common_SourceData.Common_SourceData_ClimateZones_Data(), Table_SourceData_ClimateZones[[#Headers],[Climate zone]], 0)</f>
        <v>Any</v>
      </c>
      <c r="G94" s="21" t="str" cm="1">
        <f t="array" ref="G94">Common_InputFunctions.Utility_DisplayArrayInTable(Common_SourceData.Common_SourceData_ClimateZones_Data(), Table_SourceData_ClimateZones[[#Headers],[Climate zone]], 0)</f>
        <v>Any</v>
      </c>
      <c r="H94" s="21" t="str" cm="1">
        <f t="array" ref="H94">Common_InputFunctions.Utility_DisplayArrayInTable(Common_SourceData.Common_SourceData_ClimateZones_Data(), Table_SourceData_ClimateZones[[#Headers],[Climate zone]], 0)</f>
        <v>Any</v>
      </c>
      <c r="I94" s="21" t="str" cm="1">
        <f t="array" ref="I94">Common_InputFunctions.Utility_DisplayArrayInTable(Common_SourceData.Common_SourceData_ClimateZones_Data(), Table_SourceData_ClimateZones[[#Headers],[Climate zone]], 0)</f>
        <v>&gt; 1</v>
      </c>
      <c r="J94" s="21" cm="1">
        <f t="array" ref="J94">Common_InputFunctions.Utility_DisplayArrayInTable(Common_SourceData.Common_SourceData_ClimateZones_Data(), Table_SourceData_ClimateZones[[#Headers],[Climate zone]], 0)</f>
        <v>10.000999999999999</v>
      </c>
      <c r="K94" s="21" cm="1">
        <f t="array" ref="K94">Common_InputFunctions.Utility_DisplayArrayInTable(Common_SourceData.Common_SourceData_ClimateZones_Data(), Table_SourceData_ClimateZones[[#Headers],[Climate zone]], 0)</f>
        <v>999999</v>
      </c>
      <c r="L94" s="21" cm="1">
        <f t="array" ref="L94">Common_InputFunctions.Utility_DisplayArrayInTable(Common_SourceData.Common_SourceData_ClimateZones_Data(), Table_SourceData_ClimateZones[[#Headers],[Climate zone]], 0)</f>
        <v>-999999</v>
      </c>
      <c r="M94" s="21" cm="1">
        <f t="array" ref="M94">Common_InputFunctions.Utility_DisplayArrayInTable(Common_SourceData.Common_SourceData_ClimateZones_Data(), Table_SourceData_ClimateZones[[#Headers],[Climate zone]], 0)</f>
        <v>999999</v>
      </c>
      <c r="N94" s="21" cm="1">
        <f t="array" ref="N94">Common_InputFunctions.Utility_DisplayArrayInTable(Common_SourceData.Common_SourceData_ClimateZones_Data(), Table_SourceData_ClimateZones[[#Headers],[Climate zone]], 0)</f>
        <v>-999999</v>
      </c>
      <c r="O94" s="21" cm="1">
        <f t="array" ref="O94">Common_InputFunctions.Utility_DisplayArrayInTable(Common_SourceData.Common_SourceData_ClimateZones_Data(), Table_SourceData_ClimateZones[[#Headers],[Climate zone]], 0)</f>
        <v>999999</v>
      </c>
      <c r="P94" s="21" cm="1">
        <f t="array" ref="P94">Common_InputFunctions.Utility_DisplayArrayInTable(Common_SourceData.Common_SourceData_ClimateZones_Data(), Table_SourceData_ClimateZones[[#Headers],[Climate zone]], 0)</f>
        <v>-999999</v>
      </c>
      <c r="Q94" s="21" cm="1">
        <f t="array" ref="Q94">Common_InputFunctions.Utility_DisplayArrayInTable(Common_SourceData.Common_SourceData_ClimateZones_Data(), Table_SourceData_ClimateZones[[#Headers],[Climate zone]], 0)</f>
        <v>999999</v>
      </c>
      <c r="R94" s="21" cm="1">
        <f t="array" ref="R94">Common_InputFunctions.Utility_DisplayArrayInTable(Common_SourceData.Common_SourceData_ClimateZones_Data(), Table_SourceData_ClimateZones[[#Headers],[Climate zone]], 0)</f>
        <v>1.0009999999999999</v>
      </c>
      <c r="S94" s="21" cm="1">
        <f t="array" ref="S94">Common_InputFunctions.Utility_DisplayArrayInTable(Common_SourceData.Common_SourceData_ClimateZones_Data(), Table_SourceData_ClimateZones[[#Headers],[Climate zone]], 0)</f>
        <v>999999</v>
      </c>
      <c r="T94" s="21"/>
    </row>
    <row r="95" spans="1:20" ht="20.100000000000001" customHeight="1" x14ac:dyDescent="0.25">
      <c r="A95"/>
      <c r="D95" s="21" t="str" cm="1">
        <f t="array" ref="D95">Common_InputFunctions.Utility_DisplayArrayInTable(Common_SourceData.Common_SourceData_ClimateZones_Data(), Table_SourceData_ClimateZones[[#Headers],[Climate zone]], 0)</f>
        <v>Warm temperate dry</v>
      </c>
      <c r="E95" s="21" t="str" cm="1">
        <f t="array" ref="E95">Common_InputFunctions.Utility_DisplayArrayInTable(Common_SourceData.Common_SourceData_ClimateZones_Data(), Table_SourceData_ClimateZones[[#Headers],[Climate zone]], 0)</f>
        <v>&gt; 10 C</v>
      </c>
      <c r="F95" s="21" t="str" cm="1">
        <f t="array" ref="F95">Common_InputFunctions.Utility_DisplayArrayInTable(Common_SourceData.Common_SourceData_ClimateZones_Data(), Table_SourceData_ClimateZones[[#Headers],[Climate zone]], 0)</f>
        <v>Any</v>
      </c>
      <c r="G95" s="21" t="str" cm="1">
        <f t="array" ref="G95">Common_InputFunctions.Utility_DisplayArrayInTable(Common_SourceData.Common_SourceData_ClimateZones_Data(), Table_SourceData_ClimateZones[[#Headers],[Climate zone]], 0)</f>
        <v>Any</v>
      </c>
      <c r="H95" s="21" t="str" cm="1">
        <f t="array" ref="H95">Common_InputFunctions.Utility_DisplayArrayInTable(Common_SourceData.Common_SourceData_ClimateZones_Data(), Table_SourceData_ClimateZones[[#Headers],[Climate zone]], 0)</f>
        <v>Any</v>
      </c>
      <c r="I95" s="21" t="str" cm="1">
        <f t="array" ref="I95">Common_InputFunctions.Utility_DisplayArrayInTable(Common_SourceData.Common_SourceData_ClimateZones_Data(), Table_SourceData_ClimateZones[[#Headers],[Climate zone]], 0)</f>
        <v>≤ 1</v>
      </c>
      <c r="J95" s="21" cm="1">
        <f t="array" ref="J95">Common_InputFunctions.Utility_DisplayArrayInTable(Common_SourceData.Common_SourceData_ClimateZones_Data(), Table_SourceData_ClimateZones[[#Headers],[Climate zone]], 0)</f>
        <v>10.000999999999999</v>
      </c>
      <c r="K95" s="21" cm="1">
        <f t="array" ref="K95">Common_InputFunctions.Utility_DisplayArrayInTable(Common_SourceData.Common_SourceData_ClimateZones_Data(), Table_SourceData_ClimateZones[[#Headers],[Climate zone]], 0)</f>
        <v>999999</v>
      </c>
      <c r="L95" s="21" cm="1">
        <f t="array" ref="L95">Common_InputFunctions.Utility_DisplayArrayInTable(Common_SourceData.Common_SourceData_ClimateZones_Data(), Table_SourceData_ClimateZones[[#Headers],[Climate zone]], 0)</f>
        <v>-999999</v>
      </c>
      <c r="M95" s="21" cm="1">
        <f t="array" ref="M95">Common_InputFunctions.Utility_DisplayArrayInTable(Common_SourceData.Common_SourceData_ClimateZones_Data(), Table_SourceData_ClimateZones[[#Headers],[Climate zone]], 0)</f>
        <v>999999</v>
      </c>
      <c r="N95" s="21" cm="1">
        <f t="array" ref="N95">Common_InputFunctions.Utility_DisplayArrayInTable(Common_SourceData.Common_SourceData_ClimateZones_Data(), Table_SourceData_ClimateZones[[#Headers],[Climate zone]], 0)</f>
        <v>-999999</v>
      </c>
      <c r="O95" s="21" cm="1">
        <f t="array" ref="O95">Common_InputFunctions.Utility_DisplayArrayInTable(Common_SourceData.Common_SourceData_ClimateZones_Data(), Table_SourceData_ClimateZones[[#Headers],[Climate zone]], 0)</f>
        <v>999999</v>
      </c>
      <c r="P95" s="21" cm="1">
        <f t="array" ref="P95">Common_InputFunctions.Utility_DisplayArrayInTable(Common_SourceData.Common_SourceData_ClimateZones_Data(), Table_SourceData_ClimateZones[[#Headers],[Climate zone]], 0)</f>
        <v>-999999</v>
      </c>
      <c r="Q95" s="21" cm="1">
        <f t="array" ref="Q95">Common_InputFunctions.Utility_DisplayArrayInTable(Common_SourceData.Common_SourceData_ClimateZones_Data(), Table_SourceData_ClimateZones[[#Headers],[Climate zone]], 0)</f>
        <v>999999</v>
      </c>
      <c r="R95" s="21" cm="1">
        <f t="array" ref="R95">Common_InputFunctions.Utility_DisplayArrayInTable(Common_SourceData.Common_SourceData_ClimateZones_Data(), Table_SourceData_ClimateZones[[#Headers],[Climate zone]], 0)</f>
        <v>-999999</v>
      </c>
      <c r="S95" s="21" cm="1">
        <f t="array" ref="S95">Common_InputFunctions.Utility_DisplayArrayInTable(Common_SourceData.Common_SourceData_ClimateZones_Data(), Table_SourceData_ClimateZones[[#Headers],[Climate zone]], 0)</f>
        <v>1</v>
      </c>
      <c r="T95" s="21"/>
    </row>
    <row r="96" spans="1:20" ht="20.100000000000001" customHeight="1" x14ac:dyDescent="0.25">
      <c r="A96"/>
      <c r="D96" s="21" t="str" cm="1">
        <f t="array" ref="D96">Common_InputFunctions.Utility_DisplayArrayInTable(Common_SourceData.Common_SourceData_ClimateZones_Data(), Table_SourceData_ClimateZones[[#Headers],[Climate zone]], 0)</f>
        <v>Cool temperate moist</v>
      </c>
      <c r="E96" s="21" t="str" cm="1">
        <f t="array" ref="E96">Common_InputFunctions.Utility_DisplayArrayInTable(Common_SourceData.Common_SourceData_ClimateZones_Data(), Table_SourceData_ClimateZones[[#Headers],[Climate zone]], 0)</f>
        <v>&gt; 0 C - ≤ 10 C</v>
      </c>
      <c r="F96" s="21" t="str" cm="1">
        <f t="array" ref="F96">Common_InputFunctions.Utility_DisplayArrayInTable(Common_SourceData.Common_SourceData_ClimateZones_Data(), Table_SourceData_ClimateZones[[#Headers],[Climate zone]], 0)</f>
        <v>Any</v>
      </c>
      <c r="G96" s="21" t="str" cm="1">
        <f t="array" ref="G96">Common_InputFunctions.Utility_DisplayArrayInTable(Common_SourceData.Common_SourceData_ClimateZones_Data(), Table_SourceData_ClimateZones[[#Headers],[Climate zone]], 0)</f>
        <v>Any</v>
      </c>
      <c r="H96" s="21" t="str" cm="1">
        <f t="array" ref="H96">Common_InputFunctions.Utility_DisplayArrayInTable(Common_SourceData.Common_SourceData_ClimateZones_Data(), Table_SourceData_ClimateZones[[#Headers],[Climate zone]], 0)</f>
        <v>Any</v>
      </c>
      <c r="I96" s="21" t="str" cm="1">
        <f t="array" ref="I96">Common_InputFunctions.Utility_DisplayArrayInTable(Common_SourceData.Common_SourceData_ClimateZones_Data(), Table_SourceData_ClimateZones[[#Headers],[Climate zone]], 0)</f>
        <v>&gt; 1</v>
      </c>
      <c r="J96" s="21" cm="1">
        <f t="array" ref="J96">Common_InputFunctions.Utility_DisplayArrayInTable(Common_SourceData.Common_SourceData_ClimateZones_Data(), Table_SourceData_ClimateZones[[#Headers],[Climate zone]], 0)</f>
        <v>-999999</v>
      </c>
      <c r="K96" s="21" cm="1">
        <f t="array" ref="K96">Common_InputFunctions.Utility_DisplayArrayInTable(Common_SourceData.Common_SourceData_ClimateZones_Data(), Table_SourceData_ClimateZones[[#Headers],[Climate zone]], 0)</f>
        <v>10</v>
      </c>
      <c r="L96" s="21" cm="1">
        <f t="array" ref="L96">Common_InputFunctions.Utility_DisplayArrayInTable(Common_SourceData.Common_SourceData_ClimateZones_Data(), Table_SourceData_ClimateZones[[#Headers],[Climate zone]], 0)</f>
        <v>-999999</v>
      </c>
      <c r="M96" s="21" cm="1">
        <f t="array" ref="M96">Common_InputFunctions.Utility_DisplayArrayInTable(Common_SourceData.Common_SourceData_ClimateZones_Data(), Table_SourceData_ClimateZones[[#Headers],[Climate zone]], 0)</f>
        <v>999999</v>
      </c>
      <c r="N96" s="21" cm="1">
        <f t="array" ref="N96">Common_InputFunctions.Utility_DisplayArrayInTable(Common_SourceData.Common_SourceData_ClimateZones_Data(), Table_SourceData_ClimateZones[[#Headers],[Climate zone]], 0)</f>
        <v>-999999</v>
      </c>
      <c r="O96" s="21" cm="1">
        <f t="array" ref="O96">Common_InputFunctions.Utility_DisplayArrayInTable(Common_SourceData.Common_SourceData_ClimateZones_Data(), Table_SourceData_ClimateZones[[#Headers],[Climate zone]], 0)</f>
        <v>999999</v>
      </c>
      <c r="P96" s="21" cm="1">
        <f t="array" ref="P96">Common_InputFunctions.Utility_DisplayArrayInTable(Common_SourceData.Common_SourceData_ClimateZones_Data(), Table_SourceData_ClimateZones[[#Headers],[Climate zone]], 0)</f>
        <v>-999999</v>
      </c>
      <c r="Q96" s="21" cm="1">
        <f t="array" ref="Q96">Common_InputFunctions.Utility_DisplayArrayInTable(Common_SourceData.Common_SourceData_ClimateZones_Data(), Table_SourceData_ClimateZones[[#Headers],[Climate zone]], 0)</f>
        <v>999999</v>
      </c>
      <c r="R96" s="21" cm="1">
        <f t="array" ref="R96">Common_InputFunctions.Utility_DisplayArrayInTable(Common_SourceData.Common_SourceData_ClimateZones_Data(), Table_SourceData_ClimateZones[[#Headers],[Climate zone]], 0)</f>
        <v>1.0009999999999999</v>
      </c>
      <c r="S96" s="21" cm="1">
        <f t="array" ref="S96">Common_InputFunctions.Utility_DisplayArrayInTable(Common_SourceData.Common_SourceData_ClimateZones_Data(), Table_SourceData_ClimateZones[[#Headers],[Climate zone]], 0)</f>
        <v>999999</v>
      </c>
      <c r="T96" s="21"/>
    </row>
    <row r="97" spans="1:20" ht="20.100000000000001" customHeight="1" x14ac:dyDescent="0.25">
      <c r="A97"/>
      <c r="D97" s="21" t="str" cm="1">
        <f t="array" ref="D97">Common_InputFunctions.Utility_DisplayArrayInTable(Common_SourceData.Common_SourceData_ClimateZones_Data(), Table_SourceData_ClimateZones[[#Headers],[Climate zone]], 0)</f>
        <v>Cool temperate dry</v>
      </c>
      <c r="E97" s="21" t="str" cm="1">
        <f t="array" ref="E97">Common_InputFunctions.Utility_DisplayArrayInTable(Common_SourceData.Common_SourceData_ClimateZones_Data(), Table_SourceData_ClimateZones[[#Headers],[Climate zone]], 0)</f>
        <v>&gt; 0 C - ≤ 10 C</v>
      </c>
      <c r="F97" s="21" t="str" cm="1">
        <f t="array" ref="F97">Common_InputFunctions.Utility_DisplayArrayInTable(Common_SourceData.Common_SourceData_ClimateZones_Data(), Table_SourceData_ClimateZones[[#Headers],[Climate zone]], 0)</f>
        <v>Any</v>
      </c>
      <c r="G97" s="21" t="str" cm="1">
        <f t="array" ref="G97">Common_InputFunctions.Utility_DisplayArrayInTable(Common_SourceData.Common_SourceData_ClimateZones_Data(), Table_SourceData_ClimateZones[[#Headers],[Climate zone]], 0)</f>
        <v>Any</v>
      </c>
      <c r="H97" s="21" t="str" cm="1">
        <f t="array" ref="H97">Common_InputFunctions.Utility_DisplayArrayInTable(Common_SourceData.Common_SourceData_ClimateZones_Data(), Table_SourceData_ClimateZones[[#Headers],[Climate zone]], 0)</f>
        <v>Any</v>
      </c>
      <c r="I97" s="21" t="str" cm="1">
        <f t="array" ref="I97">Common_InputFunctions.Utility_DisplayArrayInTable(Common_SourceData.Common_SourceData_ClimateZones_Data(), Table_SourceData_ClimateZones[[#Headers],[Climate zone]], 0)</f>
        <v>≤ 1</v>
      </c>
      <c r="J97" s="21" cm="1">
        <f t="array" ref="J97">Common_InputFunctions.Utility_DisplayArrayInTable(Common_SourceData.Common_SourceData_ClimateZones_Data(), Table_SourceData_ClimateZones[[#Headers],[Climate zone]], 0)</f>
        <v>-999999</v>
      </c>
      <c r="K97" s="21" cm="1">
        <f t="array" ref="K97">Common_InputFunctions.Utility_DisplayArrayInTable(Common_SourceData.Common_SourceData_ClimateZones_Data(), Table_SourceData_ClimateZones[[#Headers],[Climate zone]], 0)</f>
        <v>10</v>
      </c>
      <c r="L97" s="21" cm="1">
        <f t="array" ref="L97">Common_InputFunctions.Utility_DisplayArrayInTable(Common_SourceData.Common_SourceData_ClimateZones_Data(), Table_SourceData_ClimateZones[[#Headers],[Climate zone]], 0)</f>
        <v>-999999</v>
      </c>
      <c r="M97" s="21" cm="1">
        <f t="array" ref="M97">Common_InputFunctions.Utility_DisplayArrayInTable(Common_SourceData.Common_SourceData_ClimateZones_Data(), Table_SourceData_ClimateZones[[#Headers],[Climate zone]], 0)</f>
        <v>999999</v>
      </c>
      <c r="N97" s="21" cm="1">
        <f t="array" ref="N97">Common_InputFunctions.Utility_DisplayArrayInTable(Common_SourceData.Common_SourceData_ClimateZones_Data(), Table_SourceData_ClimateZones[[#Headers],[Climate zone]], 0)</f>
        <v>-999999</v>
      </c>
      <c r="O97" s="21" cm="1">
        <f t="array" ref="O97">Common_InputFunctions.Utility_DisplayArrayInTable(Common_SourceData.Common_SourceData_ClimateZones_Data(), Table_SourceData_ClimateZones[[#Headers],[Climate zone]], 0)</f>
        <v>999999</v>
      </c>
      <c r="P97" s="21" cm="1">
        <f t="array" ref="P97">Common_InputFunctions.Utility_DisplayArrayInTable(Common_SourceData.Common_SourceData_ClimateZones_Data(), Table_SourceData_ClimateZones[[#Headers],[Climate zone]], 0)</f>
        <v>-999999</v>
      </c>
      <c r="Q97" s="21" cm="1">
        <f t="array" ref="Q97">Common_InputFunctions.Utility_DisplayArrayInTable(Common_SourceData.Common_SourceData_ClimateZones_Data(), Table_SourceData_ClimateZones[[#Headers],[Climate zone]], 0)</f>
        <v>999999</v>
      </c>
      <c r="R97" s="21" cm="1">
        <f t="array" ref="R97">Common_InputFunctions.Utility_DisplayArrayInTable(Common_SourceData.Common_SourceData_ClimateZones_Data(), Table_SourceData_ClimateZones[[#Headers],[Climate zone]], 0)</f>
        <v>-999999</v>
      </c>
      <c r="S97" s="21" cm="1">
        <f t="array" ref="S97">Common_InputFunctions.Utility_DisplayArrayInTable(Common_SourceData.Common_SourceData_ClimateZones_Data(), Table_SourceData_ClimateZones[[#Headers],[Climate zone]], 0)</f>
        <v>1</v>
      </c>
      <c r="T97" s="21"/>
    </row>
    <row r="98" spans="1:20" ht="20.100000000000001" customHeight="1" x14ac:dyDescent="0.25">
      <c r="A98"/>
    </row>
    <row r="99" spans="1:20" ht="20.100000000000001" customHeight="1" x14ac:dyDescent="0.25">
      <c r="A99"/>
      <c r="D99" s="10" t="str" cm="1">
        <f t="array" ref="D99:D102">Common_SourceData.Common_SourceData_ClimateZones_Appendices()</f>
        <v>Note:</v>
      </c>
    </row>
    <row r="100" spans="1:20" ht="20.100000000000001" customHeight="1" x14ac:dyDescent="0.25">
      <c r="A100"/>
      <c r="D100" s="10" t="str">
        <v>MAT = mean annual temperature</v>
      </c>
    </row>
    <row r="101" spans="1:20" ht="20.100000000000001" customHeight="1" x14ac:dyDescent="0.25">
      <c r="A101"/>
      <c r="D101" s="10" t="str">
        <v>MAP = mean annual precipitation</v>
      </c>
    </row>
    <row r="102" spans="1:20" ht="20.100000000000001" customHeight="1" x14ac:dyDescent="0.25">
      <c r="A102"/>
      <c r="D102" s="10" t="str">
        <v>PET = potential evapotranspiration</v>
      </c>
    </row>
    <row r="103" spans="1:20" ht="20.100000000000001" customHeight="1" x14ac:dyDescent="0.25">
      <c r="A103"/>
      <c r="D103" s="10"/>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27"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1" t="s">
        <v>49</v>
      </c>
      <c r="E109" s="21" t="s">
        <v>34</v>
      </c>
      <c r="F109" s="21" t="s">
        <v>50</v>
      </c>
      <c r="G109" s="21" t="s">
        <v>51</v>
      </c>
    </row>
    <row r="110" spans="1:20" ht="20.100000000000001" customHeight="1" x14ac:dyDescent="0.25">
      <c r="A110"/>
      <c r="D110" s="21" t="str" cm="1">
        <f t="array" ref="D110">Common_InputFunctions.Utility_DisplayArrayInTable(Common_SourceData.Common_SourceData_TemperatureZones_Data(),Table_SourceData_TemperatureZones[[#Headers],[Temperature Zone]],0)</f>
        <v>Warm</v>
      </c>
      <c r="E110" s="21" t="str" cm="1">
        <f t="array" ref="E110">Common_InputFunctions.Utility_DisplayArrayInTable(Common_SourceData.Common_SourceData_TemperatureZones_Data(),Table_SourceData_TemperatureZones[[#Headers],[Temperature Zone]],0)</f>
        <v>≥ 26 C</v>
      </c>
      <c r="F110" s="21" cm="1">
        <f t="array" ref="F110">Common_InputFunctions.Utility_DisplayArrayInTable(Common_SourceData.Common_SourceData_TemperatureZones_Data(),Table_SourceData_TemperatureZones[[#Headers],[Temperature Zone]],0)</f>
        <v>26</v>
      </c>
      <c r="G110" s="21"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1" t="str" cm="1">
        <f t="array" ref="D111">Common_InputFunctions.Utility_DisplayArrayInTable(Common_SourceData.Common_SourceData_TemperatureZones_Data(),Table_SourceData_TemperatureZones[[#Headers],[Temperature Zone]],0)</f>
        <v>Temperate</v>
      </c>
      <c r="E111" s="21" t="str" cm="1">
        <f t="array" ref="E111">Common_InputFunctions.Utility_DisplayArrayInTable(Common_SourceData.Common_SourceData_TemperatureZones_Data(),Table_SourceData_TemperatureZones[[#Headers],[Temperature Zone]],0)</f>
        <v>15 - 25 C</v>
      </c>
      <c r="F111" s="21" cm="1">
        <f t="array" ref="F111">Common_InputFunctions.Utility_DisplayArrayInTable(Common_SourceData.Common_SourceData_TemperatureZones_Data(),Table_SourceData_TemperatureZones[[#Headers],[Temperature Zone]],0)</f>
        <v>15</v>
      </c>
      <c r="G111" s="21"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1" t="str" cm="1">
        <f t="array" ref="D112">Common_InputFunctions.Utility_DisplayArrayInTable(Common_SourceData.Common_SourceData_TemperatureZones_Data(),Table_SourceData_TemperatureZones[[#Headers],[Temperature Zone]],0)</f>
        <v>Cool</v>
      </c>
      <c r="E112" s="21" t="str" cm="1">
        <f t="array" ref="E112">Common_InputFunctions.Utility_DisplayArrayInTable(Common_SourceData.Common_SourceData_TemperatureZones_Data(),Table_SourceData_TemperatureZones[[#Headers],[Temperature Zone]],0)</f>
        <v>≤ 14 C</v>
      </c>
      <c r="F112" s="21" cm="1">
        <f t="array" ref="F112">Common_InputFunctions.Utility_DisplayArrayInTable(Common_SourceData.Common_SourceData_TemperatureZones_Data(),Table_SourceData_TemperatureZones[[#Headers],[Temperature Zone]],0)</f>
        <v>-999999</v>
      </c>
      <c r="G112" s="21"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3"/>
    </row>
    <row r="116" spans="1:66" ht="20.100000000000001" customHeight="1" x14ac:dyDescent="0.25">
      <c r="A116"/>
      <c r="D116" s="18" t="str" cm="1">
        <f t="array" ref="D116">Common_SourceData.Common_SourceData_RainfallZones_Source()</f>
        <v>VEERG 2026: Table 1.3: Climate and Rainfall zone classifications and definitions</v>
      </c>
      <c r="BN116" s="23"/>
    </row>
    <row r="117" spans="1:66" ht="20.100000000000001" customHeight="1" x14ac:dyDescent="0.25">
      <c r="A117"/>
      <c r="D117" s="27" t="str" cm="1">
        <f t="array" ref="D117">"⚠️" &amp; Common_SourceData.Common_SourceData_RainfallZones_Variation()</f>
        <v>⚠️VARIATION OF SOURCE DATA: Added extra Rainfall min and Rainfall max columns to calculate zone from real rainfall data.</v>
      </c>
      <c r="BN117" s="23"/>
    </row>
    <row r="118" spans="1:66" ht="20.100000000000001" customHeight="1" x14ac:dyDescent="0.25">
      <c r="A118"/>
      <c r="BN118" s="23"/>
    </row>
    <row r="119" spans="1:66" ht="20.100000000000001" customHeight="1" x14ac:dyDescent="0.25">
      <c r="A119"/>
      <c r="D119" s="21" t="s">
        <v>52</v>
      </c>
      <c r="E119" s="21" t="s">
        <v>53</v>
      </c>
      <c r="F119" s="21" t="s">
        <v>41</v>
      </c>
      <c r="G119" s="21" t="s">
        <v>42</v>
      </c>
      <c r="BN119" s="23"/>
    </row>
    <row r="120" spans="1:66" ht="20.100000000000001" customHeight="1" x14ac:dyDescent="0.25">
      <c r="A120"/>
      <c r="D120" s="21" t="str" cm="1">
        <f t="array" ref="D120">Common_InputFunctions.Utility_DisplayArrayInTable(Common_SourceData.Common_SourceData_RainfallZones_Data(),Table_SourceData_RainfallZones[[#Headers],[Rainfall Zone]],0)</f>
        <v>High rainfall</v>
      </c>
      <c r="E120" s="21" t="str" cm="1">
        <f t="array" ref="E120">Common_InputFunctions.Utility_DisplayArrayInTable(Common_SourceData.Common_SourceData_RainfallZones_Data(),Table_SourceData_RainfallZones[[#Headers],[Rainfall Zone]],0)</f>
        <v>Annual rainfall &gt; 600mm</v>
      </c>
      <c r="F120" s="21" cm="1">
        <f t="array" ref="F120">Common_InputFunctions.Utility_DisplayArrayInTable(Common_SourceData.Common_SourceData_RainfallZones_Data(),Table_SourceData_RainfallZones[[#Headers],[Rainfall Zone]],0)</f>
        <v>600.00099999999998</v>
      </c>
      <c r="G120" s="21" cm="1">
        <f t="array" ref="G120">Common_InputFunctions.Utility_DisplayArrayInTable(Common_SourceData.Common_SourceData_RainfallZones_Data(),Table_SourceData_RainfallZones[[#Headers],[Rainfall Zone]],0)</f>
        <v>999999</v>
      </c>
      <c r="BN120" s="23"/>
    </row>
    <row r="121" spans="1:66" ht="20.100000000000001" customHeight="1" x14ac:dyDescent="0.25">
      <c r="A121"/>
      <c r="D121" s="21" t="str" cm="1">
        <f t="array" ref="D121">Common_InputFunctions.Utility_DisplayArrayInTable(Common_SourceData.Common_SourceData_RainfallZones_Data(),Table_SourceData_RainfallZones[[#Headers],[Rainfall Zone]],0)</f>
        <v>Low rainfall</v>
      </c>
      <c r="E121" s="21" t="str" cm="1">
        <f t="array" ref="E121">Common_InputFunctions.Utility_DisplayArrayInTable(Common_SourceData.Common_SourceData_RainfallZones_Data(),Table_SourceData_RainfallZones[[#Headers],[Rainfall Zone]],0)</f>
        <v>Annual rainfall ≤ 600mm</v>
      </c>
      <c r="F121" s="21" cm="1">
        <f t="array" ref="F121">Common_InputFunctions.Utility_DisplayArrayInTable(Common_SourceData.Common_SourceData_RainfallZones_Data(),Table_SourceData_RainfallZones[[#Headers],[Rainfall Zone]],0)</f>
        <v>-999999</v>
      </c>
      <c r="G121" s="21" cm="1">
        <f t="array" ref="G121">Common_InputFunctions.Utility_DisplayArrayInTable(Common_SourceData.Common_SourceData_RainfallZones_Data(),Table_SourceData_RainfallZones[[#Headers],[Rainfall Zone]],0)</f>
        <v>600</v>
      </c>
      <c r="BN121" s="23"/>
    </row>
    <row r="122" spans="1:66" ht="20.100000000000001" customHeight="1" x14ac:dyDescent="0.25">
      <c r="A122"/>
      <c r="BN122" s="23"/>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1" t="s">
        <v>54</v>
      </c>
      <c r="E127" s="21" t="s">
        <v>55</v>
      </c>
    </row>
    <row r="128" spans="1:66" ht="20.100000000000001" customHeight="1" x14ac:dyDescent="0.25">
      <c r="A128"/>
      <c r="D128" s="21" t="str" cm="1">
        <f t="array" ref="D128">Common_InputFunctions.Utility_DisplayArrayInTable(Common_SourceData.Common_SourceData_LeachingZones_Data(), Table_SourceData_LeachingZones[[#Headers],[Leaching Zone]], 0)</f>
        <v>Leaching occurs</v>
      </c>
      <c r="E128" s="2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1" t="str" cm="1">
        <f t="array" ref="D129">Common_InputFunctions.Utility_DisplayArrayInTable(Common_SourceData.Common_SourceData_LeachingZones_Data(), Table_SourceData_LeachingZones[[#Headers],[Leaching Zone]], 0)</f>
        <v>Leaching does not occur</v>
      </c>
      <c r="E129" s="2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9"/>
    </row>
    <row r="133" spans="1:77" ht="20.100000000000001" customHeight="1" x14ac:dyDescent="0.25">
      <c r="A133"/>
      <c r="D133" s="18" t="str" cm="1">
        <f t="array" ref="D133">Common_SourceData.Common_SourceData_FracWET_Source()</f>
        <v>VEERG 2026:5.5.2.3 Constant Parameters</v>
      </c>
      <c r="E133" s="9"/>
    </row>
    <row r="134" spans="1:77" ht="20.100000000000001" customHeight="1" x14ac:dyDescent="0.25">
      <c r="A134"/>
      <c r="D134" t="s">
        <v>56</v>
      </c>
      <c r="E134" t="s">
        <v>57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1"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3"/>
      <c r="BO138" s="23"/>
      <c r="BP138" s="23"/>
      <c r="BQ138" s="23"/>
      <c r="BR138" s="23"/>
      <c r="BS138" s="23"/>
      <c r="BT138" s="23"/>
      <c r="BU138" s="23"/>
      <c r="BV138" s="23"/>
      <c r="BW138" s="23"/>
      <c r="BX138" s="23"/>
      <c r="BY138" s="23"/>
    </row>
    <row r="139" spans="1:77" ht="20.100000000000001" customHeight="1" x14ac:dyDescent="0.25">
      <c r="A139"/>
      <c r="D139" s="2" t="str" cm="1">
        <f t="array" ref="D139">Common_SourceData.Common_SourceData_FracWETIrrigation_Title()</f>
        <v>FracWET for irrigation types</v>
      </c>
      <c r="BN139" s="23"/>
      <c r="BO139" s="23"/>
      <c r="BP139" s="23"/>
      <c r="BQ139" s="23"/>
      <c r="BR139" s="23"/>
      <c r="BS139" s="23"/>
      <c r="BT139" s="23"/>
      <c r="BU139" s="23"/>
      <c r="BV139" s="23"/>
      <c r="BW139" s="23"/>
      <c r="BX139" s="23"/>
      <c r="BY139" s="23"/>
    </row>
    <row r="140" spans="1:77" ht="20.100000000000001" customHeight="1" x14ac:dyDescent="0.25">
      <c r="A140"/>
      <c r="D140" s="18" t="str" cm="1">
        <f t="array" ref="D140">Common_SourceData.Common_SourceData_FracWETIrrigation_Source()</f>
        <v>VEERG 2026: Chapter 1, section 1.8.2 Leaching, climate and rainfall zones</v>
      </c>
      <c r="BN140" s="23"/>
      <c r="BO140" s="23"/>
      <c r="BP140" s="23"/>
      <c r="BQ140" s="23"/>
      <c r="BR140" s="23"/>
      <c r="BS140" s="23"/>
      <c r="BT140" s="23"/>
      <c r="BU140" s="23"/>
      <c r="BV140" s="23"/>
      <c r="BW140" s="23"/>
      <c r="BX140" s="23"/>
      <c r="BY140" s="23"/>
    </row>
    <row r="141" spans="1:77" ht="20.100000000000001" customHeight="1" x14ac:dyDescent="0.25">
      <c r="A141"/>
      <c r="D141" s="27" t="str" cm="1">
        <f t="array" ref="D141">Common_SourceData.Common_SourceData_FracWETIrrigation_Variation()</f>
        <v>VARIATION FROM SOURCE DATA: Table created based on VEERG text 'Areas are subject to leaching (i.e., in the leaching zone) when... the land is irrigated (except drip irrigation).'</v>
      </c>
      <c r="BN141" s="23"/>
    </row>
    <row r="142" spans="1:77" ht="20.100000000000001" customHeight="1" x14ac:dyDescent="0.25">
      <c r="A142"/>
      <c r="D142" s="21" t="s">
        <v>58</v>
      </c>
      <c r="E142" s="21" t="s">
        <v>57</v>
      </c>
      <c r="BN142" s="23"/>
    </row>
    <row r="143" spans="1:77" ht="20.100000000000001" customHeight="1" x14ac:dyDescent="0.25">
      <c r="A143"/>
      <c r="D143" s="21" t="str" cm="1">
        <f t="array" ref="D143">Common_InputFunctions.Utility_DisplayArrayInTable(Common_SourceData.Common_SourceData_FracWETIrrigation_Data(), Table_SourceData_FracWETIrrigation[[#Headers],[Irrigation type i]], 0)</f>
        <v>Not irrigated</v>
      </c>
      <c r="E143" s="21" cm="1">
        <f t="array" ref="E143">Common_InputFunctions.Utility_DisplayArrayInTable(Common_SourceData.Common_SourceData_FracWETIrrigation_Data(), Table_SourceData_FracWETIrrigation[[#Headers],[Irrigation type i]], 0)</f>
        <v>0</v>
      </c>
      <c r="BN143" s="23"/>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1" cm="1">
        <f t="array" ref="E144">Common_InputFunctions.Utility_DisplayArrayInTable(Common_SourceData.Common_SourceData_FracWETIrrigation_Data(), Table_SourceData_FracWETIrrigation[[#Headers],[Irrigation type i]], 0)</f>
        <v>0</v>
      </c>
      <c r="BN144" s="23"/>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1" cm="1">
        <f t="array" ref="E145">Common_InputFunctions.Utility_DisplayArrayInTable(Common_SourceData.Common_SourceData_FracWETIrrigation_Data(), Table_SourceData_FracWETIrrigation[[#Headers],[Irrigation type i]], 0)</f>
        <v>1</v>
      </c>
      <c r="BN145" s="23"/>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1" cm="1">
        <f t="array" ref="E146">Common_InputFunctions.Utility_DisplayArrayInTable(Common_SourceData.Common_SourceData_FracWETIrrigation_Data(), Table_SourceData_FracWETIrrigation[[#Headers],[Irrigation type i]], 0)</f>
        <v>1</v>
      </c>
      <c r="BN146" s="23"/>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1" cm="1">
        <f t="array" ref="E147">Common_InputFunctions.Utility_DisplayArrayInTable(Common_SourceData.Common_SourceData_FracWETIrrigation_Data(), Table_SourceData_FracWETIrrigation[[#Headers],[Irrigation type i]], 0)</f>
        <v>1</v>
      </c>
      <c r="BN147" s="23"/>
    </row>
    <row r="148" spans="1:66" ht="20.100000000000001" customHeight="1" x14ac:dyDescent="0.25">
      <c r="A148"/>
      <c r="BN148" s="23"/>
    </row>
    <row r="149" spans="1:66" ht="20.100000000000001" customHeight="1" x14ac:dyDescent="0.25">
      <c r="A149"/>
      <c r="BN149" s="23"/>
    </row>
    <row r="150" spans="1:66" ht="20.100000000000001" customHeight="1" x14ac:dyDescent="0.25">
      <c r="A150"/>
      <c r="D150" s="2" t="str" cm="1">
        <f t="array" ref="D150">Common_SourceData.Common_SourceData_DataScores_Scope3_Title()</f>
        <v>Australian data scores for scope 3</v>
      </c>
      <c r="BN150" s="23"/>
    </row>
    <row r="151" spans="1:66" ht="20.100000000000001" customHeight="1" x14ac:dyDescent="0.25">
      <c r="A151"/>
      <c r="D151" s="18" t="str" cm="1">
        <f t="array" ref="D151">Common_SourceData.Common_SourceData_DataScores_Scope3_Source()</f>
        <v>VEERG 2026: XXXXXXXX</v>
      </c>
      <c r="BN151" s="23"/>
    </row>
    <row r="152" spans="1:66" ht="20.100000000000001" customHeight="1" x14ac:dyDescent="0.25">
      <c r="A152"/>
      <c r="BN152" s="23"/>
    </row>
    <row r="153" spans="1:66" ht="20.100000000000001" customHeight="1" x14ac:dyDescent="0.25">
      <c r="A153"/>
      <c r="D153" s="21" t="s">
        <v>59</v>
      </c>
      <c r="E153" s="21" t="s">
        <v>60</v>
      </c>
      <c r="BC153" s="26"/>
      <c r="BD153" s="26"/>
      <c r="BE153" s="26"/>
      <c r="BF153" s="26"/>
      <c r="BG153" s="26"/>
      <c r="BH153" s="26"/>
      <c r="BI153" s="26"/>
      <c r="BJ153" s="26"/>
      <c r="BK153" s="26"/>
      <c r="BL153" s="26"/>
      <c r="BM153" s="26"/>
    </row>
    <row r="154" spans="1:66" ht="20.100000000000001" customHeight="1" x14ac:dyDescent="0.25">
      <c r="A154"/>
      <c r="D154" s="21" t="str" cm="1">
        <f t="array" ref="D154">Common_InputFunctions.Utility_DisplayArrayInTable(Common_SourceData.Common_SourceData_DataScores_Scope3_Data(), Table_SourceData_DataScores_Scope3[[#Headers],[Data source]], 0)</f>
        <v>International scope 3 database</v>
      </c>
      <c r="E154" s="21" cm="1">
        <f t="array" ref="E154">Common_InputFunctions.Utility_DisplayArrayInTable(Common_SourceData.Common_SourceData_DataScores_Scope3_Data(), Table_SourceData_DataScores_Scope3[[#Headers],[Data source]], 0)</f>
        <v>1</v>
      </c>
      <c r="BC154" s="26"/>
      <c r="BD154" s="26"/>
      <c r="BE154" s="26"/>
      <c r="BF154" s="26"/>
      <c r="BG154" s="26"/>
      <c r="BH154" s="26"/>
      <c r="BI154" s="26"/>
      <c r="BJ154" s="26"/>
      <c r="BK154" s="26"/>
      <c r="BL154" s="26"/>
      <c r="BM154" s="26"/>
    </row>
    <row r="155" spans="1:66" ht="20.100000000000001" customHeight="1" x14ac:dyDescent="0.25">
      <c r="A155"/>
      <c r="D155" s="21" t="str" cm="1">
        <f t="array" ref="D155">Common_InputFunctions.Utility_DisplayArrayInTable(Common_SourceData.Common_SourceData_DataScores_Scope3_Data(), Table_SourceData_DataScores_Scope3[[#Headers],[Data source]], 0)</f>
        <v>Australian scope 3 database</v>
      </c>
      <c r="E155" s="21" cm="1">
        <f t="array" ref="E155">Common_InputFunctions.Utility_DisplayArrayInTable(Common_SourceData.Common_SourceData_DataScores_Scope3_Data(), Table_SourceData_DataScores_Scope3[[#Headers],[Data source]], 0)</f>
        <v>2</v>
      </c>
      <c r="BC155" s="26"/>
      <c r="BD155" s="26"/>
      <c r="BE155" s="26"/>
      <c r="BF155" s="26"/>
      <c r="BG155" s="26"/>
      <c r="BH155" s="26"/>
      <c r="BI155" s="26"/>
      <c r="BJ155" s="26"/>
      <c r="BK155" s="26"/>
      <c r="BL155" s="26"/>
      <c r="BM155" s="26"/>
    </row>
    <row r="156" spans="1:66" ht="20.100000000000001" customHeight="1" x14ac:dyDescent="0.25">
      <c r="A156"/>
      <c r="D156" s="21" t="str" cm="1">
        <f t="array" ref="D156">Common_InputFunctions.Utility_DisplayArrayInTable(Common_SourceData.Common_SourceData_DataScores_Scope3_Data(), Table_SourceData_DataScores_Scope3[[#Headers],[Data source]], 0)</f>
        <v>State or regional scope 3 database</v>
      </c>
      <c r="E156" s="21"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1" t="str" cm="1">
        <f t="array" ref="D157">Common_InputFunctions.Utility_DisplayArrayInTable(Common_SourceData.Common_SourceData_DataScores_Scope3_Data(), Table_SourceData_DataScores_Scope3[[#Headers],[Data source]], 0)</f>
        <v>Emissions intensity calculated from approved method</v>
      </c>
      <c r="E157" s="21"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1" t="str" cm="1">
        <f t="array" ref="D158">Common_InputFunctions.Utility_DisplayArrayInTable(Common_SourceData.Common_SourceData_DataScores_Scope3_Data(), Table_SourceData_DataScores_Scope3[[#Headers],[Data source]], 0)</f>
        <v>Verified credential matching ISO14067</v>
      </c>
      <c r="E158" s="21"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18" t="str" cm="1">
        <f t="array" ref="D162">Common_SourceData.Common_SourceData_FracLEACH_Source()</f>
        <v>VEERG 2026:5.5.2.3 Constant Parameters</v>
      </c>
      <c r="E162" s="9"/>
    </row>
    <row r="163" spans="4:68" ht="20.100000000000001" customHeight="1" x14ac:dyDescent="0.25">
      <c r="D163" s="1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23"/>
      <c r="BO165" s="23"/>
      <c r="BP165" s="23"/>
    </row>
    <row r="166" spans="4:68" ht="20.100000000000001" customHeight="1" x14ac:dyDescent="0.25">
      <c r="BN166" s="23"/>
      <c r="BO166" s="23"/>
      <c r="BP166" s="23"/>
    </row>
    <row r="167" spans="4:68" ht="20.100000000000001" customHeight="1" x14ac:dyDescent="0.25">
      <c r="D167" s="2" t="str" cm="1">
        <f t="array" ref="D167">Common_SourceData.Common_SourceData_EFleach_Title()</f>
        <v>Emission factor for nitrogen leaching and runoff</v>
      </c>
      <c r="BN167" s="23"/>
      <c r="BO167" s="23"/>
      <c r="BP167" s="23"/>
    </row>
    <row r="168" spans="4:68" ht="20.100000000000001" customHeight="1" x14ac:dyDescent="0.25">
      <c r="D168" s="18" t="str" cm="1">
        <f t="array" ref="D168">Common_SourceData.Common_SourceData_EFleach_Source()</f>
        <v>VEERG 2026:5.5.2.3 Constant Parameters</v>
      </c>
      <c r="BN168" s="23"/>
      <c r="BO168" s="23"/>
      <c r="BP168" s="23"/>
    </row>
    <row r="169" spans="4:68" ht="20.100000000000001" customHeight="1" x14ac:dyDescent="0.25">
      <c r="D169" s="18" t="str" cm="1">
        <f t="array" ref="D169">Common_SourceData.Common_SourceData_EFleach_NIRReference()</f>
        <v>National Inventory Report Volume 1: Equation 3.D.B_10</v>
      </c>
      <c r="BN169" s="23"/>
      <c r="BO169" s="23"/>
      <c r="BP169" s="23"/>
    </row>
    <row r="170" spans="4:68" ht="20.100000000000001" customHeight="1" x14ac:dyDescent="0.25">
      <c r="D170" s="1" t="str" cm="1">
        <f t="array" ref="D170:E170">Common_SourceData.Common_SourceData_EFleach_Data()</f>
        <v>EFleach</v>
      </c>
      <c r="E170" s="1">
        <v>1.0999999999999999E-2</v>
      </c>
      <c r="BN170" s="23"/>
      <c r="BO170" s="23"/>
      <c r="BP170" s="23"/>
    </row>
    <row r="171" spans="4:68" ht="20.100000000000001" customHeight="1" x14ac:dyDescent="0.25">
      <c r="BN171" s="23"/>
      <c r="BO171" s="23"/>
      <c r="BP171" s="23"/>
    </row>
    <row r="172" spans="4:68" ht="20.100000000000001" customHeight="1" x14ac:dyDescent="0.25">
      <c r="BN172" s="23"/>
      <c r="BO172" s="23"/>
      <c r="BP172" s="23"/>
    </row>
    <row r="173" spans="4:68" ht="20.100000000000001" customHeight="1" x14ac:dyDescent="0.25">
      <c r="D173" s="2" t="str" cm="1">
        <f t="array" ref="D173">Common_SourceData.Common_SourceData_DensityOfMethane_Title()</f>
        <v>p = density of methane</v>
      </c>
      <c r="BN173" s="23"/>
      <c r="BO173" s="23"/>
      <c r="BP173" s="23"/>
    </row>
    <row r="174" spans="4:68" ht="20.100000000000001" customHeight="1" x14ac:dyDescent="0.25">
      <c r="D174" s="18" t="str" cm="1">
        <f t="array" ref="D174">Common_SourceData.Common_SourceData_DensityOfMethane_Source()</f>
        <v>National Inventory Report 2023 Volume 1: Equations 3.B.1a_2, 3.B.1c_2, 3.B.3_1, 3.B.4g_2</v>
      </c>
      <c r="BN174" s="23"/>
      <c r="BO174" s="23"/>
      <c r="BP174" s="23"/>
    </row>
    <row r="175" spans="4:68" ht="20.100000000000001" customHeight="1" x14ac:dyDescent="0.25">
      <c r="D175" s="1" cm="1">
        <f t="array" ref="D175">Common_SourceData.Common_SourceData_DensityOfMethane_Data()</f>
        <v>0.6784</v>
      </c>
      <c r="E175" s="10" t="str" cm="1">
        <f t="array" ref="E175">Common_SourceData.Common_SourceData_DensityOfMethane_Unit()</f>
        <v>kg/m3</v>
      </c>
      <c r="BN175" s="23"/>
      <c r="BO175" s="23"/>
      <c r="BP175" s="23"/>
    </row>
    <row r="176" spans="4:68" ht="20.100000000000001" customHeight="1" x14ac:dyDescent="0.25">
      <c r="BN176" s="23"/>
      <c r="BO176" s="23"/>
      <c r="BP176" s="23"/>
    </row>
    <row r="177" spans="4:68" ht="20.100000000000001" customHeight="1" x14ac:dyDescent="0.25">
      <c r="BN177" s="23"/>
      <c r="BO177" s="23"/>
      <c r="BP177" s="23"/>
    </row>
    <row r="178" spans="4:68" ht="20.100000000000001" customHeight="1" x14ac:dyDescent="0.25">
      <c r="D178" s="2" t="str" cm="1">
        <f t="array" ref="D178">Common_SourceData.Common_SourceData_EFN2O_Title()</f>
        <v>Nitrous oxide emission factors for inorganic fertiliser application</v>
      </c>
      <c r="BN178" s="23"/>
      <c r="BO178" s="23"/>
      <c r="BP178" s="23"/>
    </row>
    <row r="179" spans="4:68" ht="20.100000000000001" customHeight="1" x14ac:dyDescent="0.25">
      <c r="D179" s="18" t="str" cm="1">
        <f t="array" ref="D179">Common_SourceData.Common_SourceData_EFN2O_Source()</f>
        <v>VEERG 2026: Table A.2.2.1</v>
      </c>
      <c r="BN179" s="23"/>
      <c r="BO179" s="23"/>
      <c r="BP179" s="23"/>
    </row>
    <row r="180" spans="4:68" ht="20.100000000000001" customHeight="1" x14ac:dyDescent="0.25">
      <c r="D180" s="10" t="str" cm="1">
        <f t="array" ref="D180">Common_SourceData.Common_SourceData_EFN2O_Unit()</f>
        <v>(kg N2O-N / kg N</v>
      </c>
    </row>
    <row r="181" spans="4:68" ht="20.100000000000001" customHeight="1" x14ac:dyDescent="0.25">
      <c r="D181" s="27" t="str" cm="1">
        <f t="array" ref="D181:D185">Common_SourceData.Common_SourceData_EFN2O_Variation()</f>
        <v>VARIATION OF SOURCE DATA:</v>
      </c>
    </row>
    <row r="182" spans="4:68" ht="20.100000000000001" customHeight="1" x14ac:dyDescent="0.25">
      <c r="D182" s="27" t="str">
        <v>Removed duplicate 'Aquaculture' row.</v>
      </c>
    </row>
    <row r="183" spans="4:68" ht="20.100000000000001" customHeight="1" x14ac:dyDescent="0.25">
      <c r="D183" s="27" t="str">
        <v>Removed asterisks to aid lookup.</v>
      </c>
    </row>
    <row r="184" spans="4:68" ht="20.100000000000001" customHeight="1" x14ac:dyDescent="0.25">
      <c r="D184" s="27" t="str">
        <v>Added 'production system only', 'rainfall zone' and 'irrigation method' columns to aid lookup.</v>
      </c>
    </row>
    <row r="185" spans="4:68" ht="20.100000000000001" customHeight="1" x14ac:dyDescent="0.25">
      <c r="D185" s="27" t="str">
        <v>Duplicated 'non-irrigated pasture' row with same EF for low and high rainfall zones to aid lookup.</v>
      </c>
    </row>
    <row r="186" spans="4:68" ht="20.100000000000001" customHeight="1" x14ac:dyDescent="0.25">
      <c r="D186" s="21" t="s">
        <v>61</v>
      </c>
      <c r="E186" s="21" t="s">
        <v>62</v>
      </c>
      <c r="F186" s="21" t="s">
        <v>63</v>
      </c>
      <c r="G186" s="21" t="s">
        <v>64</v>
      </c>
      <c r="H186" s="21" t="s">
        <v>65</v>
      </c>
    </row>
    <row r="187" spans="4:68" ht="20.100000000000001" customHeight="1" x14ac:dyDescent="0.25">
      <c r="D187" s="21" t="str" cm="1">
        <f t="array" ref="D187">Common_InputFunctions.Utility_DisplayArrayInTable(Common_SourceData.Common_SourceData_EFN2O_Data(), Table_SourceData_Common_EFN2O[[#Headers],[Production system j]], 0)</f>
        <v>Irrigated pasture</v>
      </c>
      <c r="E187" s="21" cm="1">
        <f t="array" ref="E187">Common_InputFunctions.Utility_DisplayArrayInTable(Common_SourceData.Common_SourceData_EFN2O_Data(), Table_SourceData_Common_EFN2O[[#Headers],[Production system j]], 0)</f>
        <v>5.8999999999999999E-3</v>
      </c>
      <c r="F187" s="21" t="str" cm="1">
        <f t="array" ref="F187">Common_InputFunctions.Utility_DisplayArrayInTable(Common_SourceData.Common_SourceData_EFN2O_Data(), Table_SourceData_Common_EFN2O[[#Headers],[Production system j]], 0)</f>
        <v>Pasture</v>
      </c>
      <c r="G187" s="21" t="str" cm="1">
        <f t="array" ref="G187">Common_InputFunctions.Utility_DisplayArrayInTable(Common_SourceData.Common_SourceData_EFN2O_Data(), Table_SourceData_Common_EFN2O[[#Headers],[Production system j]], 0)</f>
        <v>Any</v>
      </c>
      <c r="H187" s="21" t="str" cm="1">
        <f t="array" ref="H187">Common_InputFunctions.Utility_DisplayArrayInTable(Common_SourceData.Common_SourceData_EFN2O_Data(), Table_SourceData_Common_EFN2O[[#Headers],[Production system j]], 0)</f>
        <v>Any</v>
      </c>
    </row>
    <row r="188" spans="4:68" ht="20.100000000000001" customHeight="1" x14ac:dyDescent="0.25">
      <c r="D188" s="21" t="str" cm="1">
        <f t="array" ref="D188">Common_InputFunctions.Utility_DisplayArrayInTable(Common_SourceData.Common_SourceData_EFN2O_Data(), Table_SourceData_Common_EFN2O[[#Headers],[Production system j]], 0)</f>
        <v>Irrigated crop</v>
      </c>
      <c r="E188" s="21" cm="1">
        <f t="array" ref="E188">Common_InputFunctions.Utility_DisplayArrayInTable(Common_SourceData.Common_SourceData_EFN2O_Data(), Table_SourceData_Common_EFN2O[[#Headers],[Production system j]], 0)</f>
        <v>7.0000000000000001E-3</v>
      </c>
      <c r="F188" s="21" t="str" cm="1">
        <f t="array" ref="F188">Common_InputFunctions.Utility_DisplayArrayInTable(Common_SourceData.Common_SourceData_EFN2O_Data(), Table_SourceData_Common_EFN2O[[#Headers],[Production system j]], 0)</f>
        <v>Crop</v>
      </c>
      <c r="G188" s="21" t="str" cm="1">
        <f t="array" ref="G188">Common_InputFunctions.Utility_DisplayArrayInTable(Common_SourceData.Common_SourceData_EFN2O_Data(), Table_SourceData_Common_EFN2O[[#Headers],[Production system j]], 0)</f>
        <v>Any</v>
      </c>
      <c r="H188" s="21" t="str" cm="1">
        <f t="array" ref="H188">Common_InputFunctions.Utility_DisplayArrayInTable(Common_SourceData.Common_SourceData_EFN2O_Data(), Table_SourceData_Common_EFN2O[[#Headers],[Production system j]], 0)</f>
        <v>Any</v>
      </c>
    </row>
    <row r="189" spans="4:68" ht="20.100000000000001" customHeight="1" x14ac:dyDescent="0.25">
      <c r="D189" s="21" t="str" cm="1">
        <f t="array" ref="D189">Common_InputFunctions.Utility_DisplayArrayInTable(Common_SourceData.Common_SourceData_EFN2O_Data(), Table_SourceData_Common_EFN2O[[#Headers],[Production system j]], 0)</f>
        <v>Non-irrigated pasture</v>
      </c>
      <c r="E189" s="21" cm="1">
        <f t="array" ref="E189">Common_InputFunctions.Utility_DisplayArrayInTable(Common_SourceData.Common_SourceData_EFN2O_Data(), Table_SourceData_Common_EFN2O[[#Headers],[Production system j]], 0)</f>
        <v>1.8E-3</v>
      </c>
      <c r="F189" s="21" t="str" cm="1">
        <f t="array" ref="F189">Common_InputFunctions.Utility_DisplayArrayInTable(Common_SourceData.Common_SourceData_EFN2O_Data(), Table_SourceData_Common_EFN2O[[#Headers],[Production system j]], 0)</f>
        <v>Pasture</v>
      </c>
      <c r="G189" s="21" t="str" cm="1">
        <f t="array" ref="G189">Common_InputFunctions.Utility_DisplayArrayInTable(Common_SourceData.Common_SourceData_EFN2O_Data(), Table_SourceData_Common_EFN2O[[#Headers],[Production system j]], 0)</f>
        <v>Not irrigated</v>
      </c>
      <c r="H189" s="2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1" t="str" cm="1">
        <f t="array" ref="D190">Common_InputFunctions.Utility_DisplayArrayInTable(Common_SourceData.Common_SourceData_EFN2O_Data(), Table_SourceData_Common_EFN2O[[#Headers],[Production system j]], 0)</f>
        <v>Non-irrigated pasture</v>
      </c>
      <c r="E190" s="21" cm="1">
        <f t="array" ref="E190">Common_InputFunctions.Utility_DisplayArrayInTable(Common_SourceData.Common_SourceData_EFN2O_Data(), Table_SourceData_Common_EFN2O[[#Headers],[Production system j]], 0)</f>
        <v>1.8E-3</v>
      </c>
      <c r="F190" s="21" t="str" cm="1">
        <f t="array" ref="F190">Common_InputFunctions.Utility_DisplayArrayInTable(Common_SourceData.Common_SourceData_EFN2O_Data(), Table_SourceData_Common_EFN2O[[#Headers],[Production system j]], 0)</f>
        <v>Pasture</v>
      </c>
      <c r="G190" s="21" t="str" cm="1">
        <f t="array" ref="G190">Common_InputFunctions.Utility_DisplayArrayInTable(Common_SourceData.Common_SourceData_EFN2O_Data(), Table_SourceData_Common_EFN2O[[#Headers],[Production system j]], 0)</f>
        <v>Not irrigated</v>
      </c>
      <c r="H190" s="2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1" t="str" cm="1">
        <f t="array" ref="D191">Common_InputFunctions.Utility_DisplayArrayInTable(Common_SourceData.Common_SourceData_EFN2O_Data(), Table_SourceData_Common_EFN2O[[#Headers],[Production system j]], 0)</f>
        <v>Non-irrigated crop (low rainfall)</v>
      </c>
      <c r="E191" s="21" cm="1">
        <f t="array" ref="E191">Common_InputFunctions.Utility_DisplayArrayInTable(Common_SourceData.Common_SourceData_EFN2O_Data(), Table_SourceData_Common_EFN2O[[#Headers],[Production system j]], 0)</f>
        <v>2.8999999999999998E-3</v>
      </c>
      <c r="F191" s="21" t="str" cm="1">
        <f t="array" ref="F191">Common_InputFunctions.Utility_DisplayArrayInTable(Common_SourceData.Common_SourceData_EFN2O_Data(), Table_SourceData_Common_EFN2O[[#Headers],[Production system j]], 0)</f>
        <v>Crop</v>
      </c>
      <c r="G191" s="21" t="str" cm="1">
        <f t="array" ref="G191">Common_InputFunctions.Utility_DisplayArrayInTable(Common_SourceData.Common_SourceData_EFN2O_Data(), Table_SourceData_Common_EFN2O[[#Headers],[Production system j]], 0)</f>
        <v>Not irrigated</v>
      </c>
      <c r="H191" s="2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1" t="str" cm="1">
        <f t="array" ref="D192">Common_InputFunctions.Utility_DisplayArrayInTable(Common_SourceData.Common_SourceData_EFN2O_Data(), Table_SourceData_Common_EFN2O[[#Headers],[Production system j]], 0)</f>
        <v>Non-irrigated crop (high rainfall)</v>
      </c>
      <c r="E192" s="21" cm="1">
        <f t="array" ref="E192">Common_InputFunctions.Utility_DisplayArrayInTable(Common_SourceData.Common_SourceData_EFN2O_Data(), Table_SourceData_Common_EFN2O[[#Headers],[Production system j]], 0)</f>
        <v>8.0000000000000002E-3</v>
      </c>
      <c r="F192" s="21" t="str" cm="1">
        <f t="array" ref="F192">Common_InputFunctions.Utility_DisplayArrayInTable(Common_SourceData.Common_SourceData_EFN2O_Data(), Table_SourceData_Common_EFN2O[[#Headers],[Production system j]], 0)</f>
        <v>Crop</v>
      </c>
      <c r="G192" s="21" t="str" cm="1">
        <f t="array" ref="G192">Common_InputFunctions.Utility_DisplayArrayInTable(Common_SourceData.Common_SourceData_EFN2O_Data(), Table_SourceData_Common_EFN2O[[#Headers],[Production system j]], 0)</f>
        <v>Not irrigated</v>
      </c>
      <c r="H192" s="2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1" t="str" cm="1">
        <f t="array" ref="D193">Common_InputFunctions.Utility_DisplayArrayInTable(Common_SourceData.Common_SourceData_EFN2O_Data(), Table_SourceData_Common_EFN2O[[#Headers],[Production system j]], 0)</f>
        <v>Sugar</v>
      </c>
      <c r="E193" s="21" cm="1">
        <f t="array" ref="E193">Common_InputFunctions.Utility_DisplayArrayInTable(Common_SourceData.Common_SourceData_EFN2O_Data(), Table_SourceData_Common_EFN2O[[#Headers],[Production system j]], 0)</f>
        <v>1.9900000000000001E-2</v>
      </c>
      <c r="F193" s="21" t="str" cm="1">
        <f t="array" ref="F193">Common_InputFunctions.Utility_DisplayArrayInTable(Common_SourceData.Common_SourceData_EFN2O_Data(), Table_SourceData_Common_EFN2O[[#Headers],[Production system j]], 0)</f>
        <v>Sugar</v>
      </c>
      <c r="G193" s="21" t="str" cm="1">
        <f t="array" ref="G193">Common_InputFunctions.Utility_DisplayArrayInTable(Common_SourceData.Common_SourceData_EFN2O_Data(), Table_SourceData_Common_EFN2O[[#Headers],[Production system j]], 0)</f>
        <v>Any</v>
      </c>
      <c r="H193" s="21" t="str" cm="1">
        <f t="array" ref="H193">Common_InputFunctions.Utility_DisplayArrayInTable(Common_SourceData.Common_SourceData_EFN2O_Data(), Table_SourceData_Common_EFN2O[[#Headers],[Production system j]], 0)</f>
        <v>Any</v>
      </c>
    </row>
    <row r="194" spans="4:8" ht="20.100000000000001" customHeight="1" x14ac:dyDescent="0.25">
      <c r="D194" s="21" t="str" cm="1">
        <f t="array" ref="D194">Common_InputFunctions.Utility_DisplayArrayInTable(Common_SourceData.Common_SourceData_EFN2O_Data(), Table_SourceData_Common_EFN2O[[#Headers],[Production system j]], 0)</f>
        <v>Cotton</v>
      </c>
      <c r="E194" s="21" cm="1">
        <f t="array" ref="E194">Common_InputFunctions.Utility_DisplayArrayInTable(Common_SourceData.Common_SourceData_EFN2O_Data(), Table_SourceData_Common_EFN2O[[#Headers],[Production system j]], 0)</f>
        <v>5.3E-3</v>
      </c>
      <c r="F194" s="21" t="str" cm="1">
        <f t="array" ref="F194">Common_InputFunctions.Utility_DisplayArrayInTable(Common_SourceData.Common_SourceData_EFN2O_Data(), Table_SourceData_Common_EFN2O[[#Headers],[Production system j]], 0)</f>
        <v>Cotton</v>
      </c>
      <c r="G194" s="21" t="str" cm="1">
        <f t="array" ref="G194">Common_InputFunctions.Utility_DisplayArrayInTable(Common_SourceData.Common_SourceData_EFN2O_Data(), Table_SourceData_Common_EFN2O[[#Headers],[Production system j]], 0)</f>
        <v>Any</v>
      </c>
      <c r="H194" s="21" t="str" cm="1">
        <f t="array" ref="H194">Common_InputFunctions.Utility_DisplayArrayInTable(Common_SourceData.Common_SourceData_EFN2O_Data(), Table_SourceData_Common_EFN2O[[#Headers],[Production system j]], 0)</f>
        <v>Any</v>
      </c>
    </row>
    <row r="195" spans="4:8" ht="20.100000000000001" customHeight="1" x14ac:dyDescent="0.25">
      <c r="D195" s="21" t="str" cm="1">
        <f t="array" ref="D195">Common_InputFunctions.Utility_DisplayArrayInTable(Common_SourceData.Common_SourceData_EFN2O_Data(), Table_SourceData_Common_EFN2O[[#Headers],[Production system j]], 0)</f>
        <v>Horticultural crops</v>
      </c>
      <c r="E195" s="21" cm="1">
        <f t="array" ref="E195">Common_InputFunctions.Utility_DisplayArrayInTable(Common_SourceData.Common_SourceData_EFN2O_Data(), Table_SourceData_Common_EFN2O[[#Headers],[Production system j]], 0)</f>
        <v>6.4000000000000003E-3</v>
      </c>
      <c r="F195" s="21" t="str" cm="1">
        <f t="array" ref="F195">Common_InputFunctions.Utility_DisplayArrayInTable(Common_SourceData.Common_SourceData_EFN2O_Data(), Table_SourceData_Common_EFN2O[[#Headers],[Production system j]], 0)</f>
        <v>Horticultural crops</v>
      </c>
      <c r="G195" s="21" t="str" cm="1">
        <f t="array" ref="G195">Common_InputFunctions.Utility_DisplayArrayInTable(Common_SourceData.Common_SourceData_EFN2O_Data(), Table_SourceData_Common_EFN2O[[#Headers],[Production system j]], 0)</f>
        <v>Any</v>
      </c>
      <c r="H195" s="21" t="str" cm="1">
        <f t="array" ref="H195">Common_InputFunctions.Utility_DisplayArrayInTable(Common_SourceData.Common_SourceData_EFN2O_Data(), Table_SourceData_Common_EFN2O[[#Headers],[Production system j]], 0)</f>
        <v>Any</v>
      </c>
    </row>
    <row r="196" spans="4:8" ht="20.100000000000001" customHeight="1" x14ac:dyDescent="0.25">
      <c r="D196" s="21" t="str" cm="1">
        <f t="array" ref="D196">Common_InputFunctions.Utility_DisplayArrayInTable(Common_SourceData.Common_SourceData_EFN2O_Data(), Table_SourceData_Common_EFN2O[[#Headers],[Production system j]], 0)</f>
        <v>Rice (continuous flooding)</v>
      </c>
      <c r="E196" s="21" cm="1">
        <f t="array" ref="E196">Common_InputFunctions.Utility_DisplayArrayInTable(Common_SourceData.Common_SourceData_EFN2O_Data(), Table_SourceData_Common_EFN2O[[#Headers],[Production system j]], 0)</f>
        <v>3.0000000000000001E-3</v>
      </c>
      <c r="F196" s="21" t="str" cm="1">
        <f t="array" ref="F196">Common_InputFunctions.Utility_DisplayArrayInTable(Common_SourceData.Common_SourceData_EFN2O_Data(), Table_SourceData_Common_EFN2O[[#Headers],[Production system j]], 0)</f>
        <v>Rice</v>
      </c>
      <c r="G196" s="21" t="str" cm="1">
        <f t="array" ref="G196">Common_InputFunctions.Utility_DisplayArrayInTable(Common_SourceData.Common_SourceData_EFN2O_Data(), Table_SourceData_Common_EFN2O[[#Headers],[Production system j]], 0)</f>
        <v>Continuous flooding</v>
      </c>
      <c r="H196" s="21" t="str" cm="1">
        <f t="array" ref="H196">Common_InputFunctions.Utility_DisplayArrayInTable(Common_SourceData.Common_SourceData_EFN2O_Data(), Table_SourceData_Common_EFN2O[[#Headers],[Production system j]], 0)</f>
        <v>Any</v>
      </c>
    </row>
    <row r="197" spans="4:8" x14ac:dyDescent="0.25">
      <c r="D197" s="21" t="str" cm="1">
        <f t="array" ref="D197">Common_InputFunctions.Utility_DisplayArrayInTable(Common_SourceData.Common_SourceData_EFN2O_Data(), Table_SourceData_Common_EFN2O[[#Headers],[Production system j]], 0)</f>
        <v>Rice (single and multiple drainage, or alternate wetting and drying)</v>
      </c>
      <c r="E197" s="21" cm="1">
        <f t="array" ref="E197">Common_InputFunctions.Utility_DisplayArrayInTable(Common_SourceData.Common_SourceData_EFN2O_Data(), Table_SourceData_Common_EFN2O[[#Headers],[Production system j]], 0)</f>
        <v>5.0000000000000001E-3</v>
      </c>
      <c r="F197" s="21" t="str" cm="1">
        <f t="array" ref="F197">Common_InputFunctions.Utility_DisplayArrayInTable(Common_SourceData.Common_SourceData_EFN2O_Data(), Table_SourceData_Common_EFN2O[[#Headers],[Production system j]], 0)</f>
        <v>Rice</v>
      </c>
      <c r="G197" s="21" t="str" cm="1">
        <f t="array" ref="G197">Common_InputFunctions.Utility_DisplayArrayInTable(Common_SourceData.Common_SourceData_EFN2O_Data(), Table_SourceData_Common_EFN2O[[#Headers],[Production system j]], 0)</f>
        <v>Single and multiple drainage, or alternate wetting and drying</v>
      </c>
      <c r="H197" s="21" t="str" cm="1">
        <f t="array" ref="H197">Common_InputFunctions.Utility_DisplayArrayInTable(Common_SourceData.Common_SourceData_EFN2O_Data(), Table_SourceData_Common_EFN2O[[#Headers],[Production system j]], 0)</f>
        <v>Any</v>
      </c>
    </row>
    <row r="198" spans="4:8" x14ac:dyDescent="0.25">
      <c r="D198" s="21" t="str" cm="1">
        <f t="array" ref="D198">Common_InputFunctions.Utility_DisplayArrayInTable(Common_SourceData.Common_SourceData_EFN2O_Data(), Table_SourceData_Common_EFN2O[[#Headers],[Production system j]], 0)</f>
        <v>Aquaculture</v>
      </c>
      <c r="E198" s="21" cm="1">
        <f t="array" ref="E198">Common_InputFunctions.Utility_DisplayArrayInTable(Common_SourceData.Common_SourceData_EFN2O_Data(), Table_SourceData_Common_EFN2O[[#Headers],[Production system j]], 0)</f>
        <v>2.5999999999999999E-3</v>
      </c>
      <c r="F198" s="21" t="str" cm="1">
        <f t="array" ref="F198">Common_InputFunctions.Utility_DisplayArrayInTable(Common_SourceData.Common_SourceData_EFN2O_Data(), Table_SourceData_Common_EFN2O[[#Headers],[Production system j]], 0)</f>
        <v>Aquaculture</v>
      </c>
      <c r="G198" s="21" t="str" cm="1">
        <f t="array" ref="G198">Common_InputFunctions.Utility_DisplayArrayInTable(Common_SourceData.Common_SourceData_EFN2O_Data(), Table_SourceData_Common_EFN2O[[#Headers],[Production system j]], 0)</f>
        <v>Any</v>
      </c>
      <c r="H198" s="21" t="str" cm="1">
        <f t="array" ref="H198">Common_InputFunctions.Utility_DisplayArrayInTable(Common_SourceData.Common_SourceData_EFN2O_Data(), Table_SourceData_Common_EFN2O[[#Headers],[Production system j]], 0)</f>
        <v>Any</v>
      </c>
    </row>
    <row r="199" spans="4:8" x14ac:dyDescent="0.25">
      <c r="D199" s="21" t="str" cm="1">
        <f t="array" ref="D199">Common_InputFunctions.Utility_DisplayArrayInTable(Common_SourceData.Common_SourceData_EFN2O_Data(), Table_SourceData_Common_EFN2O[[#Headers],[Production system j]], 0)</f>
        <v>Forestry</v>
      </c>
      <c r="E199" s="21" cm="1">
        <f t="array" ref="E199">Common_InputFunctions.Utility_DisplayArrayInTable(Common_SourceData.Common_SourceData_EFN2O_Data(), Table_SourceData_Common_EFN2O[[#Headers],[Production system j]], 0)</f>
        <v>1.8E-3</v>
      </c>
      <c r="F199" s="21" t="str" cm="1">
        <f t="array" ref="F199">Common_InputFunctions.Utility_DisplayArrayInTable(Common_SourceData.Common_SourceData_EFN2O_Data(), Table_SourceData_Common_EFN2O[[#Headers],[Production system j]], 0)</f>
        <v>Forestry</v>
      </c>
      <c r="G199" s="21" t="str" cm="1">
        <f t="array" ref="G199">Common_InputFunctions.Utility_DisplayArrayInTable(Common_SourceData.Common_SourceData_EFN2O_Data(), Table_SourceData_Common_EFN2O[[#Headers],[Production system j]], 0)</f>
        <v>Any</v>
      </c>
      <c r="H199" s="21"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27" t="str" cm="1">
        <f t="array" ref="D204">Common_SourceData.Common_SourceData_EFPastureRangeAndPaddock_Variation()</f>
        <v>VARIATION FROM SOURCE DATA: Changed 'Dry climate zones' to singular 'Dry climate zone' to aid lookup.</v>
      </c>
    </row>
    <row r="205" spans="4:8" x14ac:dyDescent="0.25">
      <c r="D205" s="10" t="str" cm="1">
        <f t="array" ref="D205">Common_SourceData.Common_SourceData_EFPastureRangeAndPaddock_Unit()</f>
        <v>kg N2O - N / kg N</v>
      </c>
    </row>
    <row r="206" spans="4:8" x14ac:dyDescent="0.25">
      <c r="D206" s="21" t="s">
        <v>32</v>
      </c>
      <c r="E206" s="21" t="s">
        <v>66</v>
      </c>
    </row>
    <row r="207" spans="4:8" x14ac:dyDescent="0.25">
      <c r="D207" s="21" t="str" cm="1">
        <f t="array" ref="D207">Common_InputFunctions.Utility_DisplayArrayInTable(Common_SourceData.Common_SourceData_EFPastureRangeAndPaddock_Data(), Table_SourceData_EFPastureRangeAndPaddock[[#Headers],[Climate zone]], 0)</f>
        <v>Wet climate zone</v>
      </c>
      <c r="E207" s="2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1" t="s">
        <v>67</v>
      </c>
      <c r="E212" s="21" t="s">
        <v>68</v>
      </c>
    </row>
    <row r="213" spans="4:5" x14ac:dyDescent="0.25">
      <c r="D213" s="21" t="str" cm="1">
        <f t="array" ref="D213">Common_InputFunctions.Utility_DisplayArrayInTable(Common_SourceData.Common_SourceData_MonthsToSeasons_Data(), Table_SourceData_Common_MonthToSeason[[#Headers],[Month]], 0)</f>
        <v>January</v>
      </c>
      <c r="E213" s="2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1"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2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1" t="s">
        <v>69</v>
      </c>
      <c r="E231" s="21" t="s">
        <v>70</v>
      </c>
      <c r="F231" s="28" t="s">
        <v>71</v>
      </c>
      <c r="G231" s="21" t="s">
        <v>72</v>
      </c>
      <c r="H231" s="21" t="s">
        <v>73</v>
      </c>
      <c r="I231" s="21" t="s">
        <v>74</v>
      </c>
      <c r="J231" s="21" t="s">
        <v>75</v>
      </c>
      <c r="K231" s="21" t="s">
        <v>76</v>
      </c>
      <c r="L231" s="21" t="s">
        <v>77</v>
      </c>
      <c r="M231" s="21" t="s">
        <v>78</v>
      </c>
      <c r="N231" s="21" t="s">
        <v>79</v>
      </c>
      <c r="O231" s="21" t="s">
        <v>80</v>
      </c>
      <c r="P231" s="21" t="s">
        <v>81</v>
      </c>
      <c r="Q231" s="21" t="s">
        <v>82</v>
      </c>
      <c r="R231" s="21" t="s">
        <v>83</v>
      </c>
      <c r="S231" s="21" t="s">
        <v>84</v>
      </c>
    </row>
    <row r="232" spans="4:19" x14ac:dyDescent="0.25">
      <c r="D232" s="21" t="str" cm="1">
        <f t="array" ref="D232">Common_InputFunctions.Utility_DisplayArrayInTable(Common_SourceData.Common_SourceData_MCFTemperatureZone_Data(),Table_SourceData_Common_MCFTemperatureZone[[#Headers],[Temperature zone]],0)</f>
        <v>Cool</v>
      </c>
      <c r="E232" s="21" t="str" cm="1">
        <f t="array" ref="E232">Common_InputFunctions.Utility_DisplayArrayInTable(Common_SourceData.Common_SourceData_MCFTemperatureZone_Data(),Table_SourceData_Common_MCFTemperatureZone[[#Headers],[Temperature zone]],0)</f>
        <v>≤10</v>
      </c>
      <c r="F232" s="21" cm="1">
        <f t="array" ref="F232">Common_InputFunctions.Utility_DisplayArrayInTable(Common_SourceData.Common_SourceData_MCFTemperatureZone_Data(),Table_SourceData_Common_MCFTemperatureZone[[#Headers],[Temperature zone]],0)</f>
        <v>0.66</v>
      </c>
      <c r="G232" s="21" cm="1">
        <f t="array" ref="G232">Common_InputFunctions.Utility_DisplayArrayInTable(Common_SourceData.Common_SourceData_MCFTemperatureZone_Data(),Table_SourceData_Common_MCFTemperatureZone[[#Headers],[Temperature zone]],0)</f>
        <v>0.1</v>
      </c>
      <c r="H232" s="21" cm="1">
        <f t="array" ref="H232">Common_InputFunctions.Utility_DisplayArrayInTable(Common_SourceData.Common_SourceData_MCFTemperatureZone_Data(),Table_SourceData_Common_MCFTemperatureZone[[#Headers],[Temperature zone]],0)</f>
        <v>0.1</v>
      </c>
      <c r="I232" s="21" cm="1">
        <f t="array" ref="I232">Common_InputFunctions.Utility_DisplayArrayInTable(Common_SourceData.Common_SourceData_MCFTemperatureZone_Data(),Table_SourceData_Common_MCFTemperatureZone[[#Headers],[Temperature zone]],0)</f>
        <v>1E-3</v>
      </c>
      <c r="J232" s="21" cm="1">
        <f t="array" ref="J232">Common_InputFunctions.Utility_DisplayArrayInTable(Common_SourceData.Common_SourceData_MCFTemperatureZone_Data(),Table_SourceData_Common_MCFTemperatureZone[[#Headers],[Temperature zone]],0)</f>
        <v>5.0000000000000001E-3</v>
      </c>
      <c r="K232" s="21" cm="1">
        <f t="array" ref="K232">Common_InputFunctions.Utility_DisplayArrayInTable(Common_SourceData.Common_SourceData_MCFTemperatureZone_Data(),Table_SourceData_Common_MCFTemperatureZone[[#Headers],[Temperature zone]],0)</f>
        <v>0.02</v>
      </c>
      <c r="L232" s="21" cm="1">
        <f t="array" ref="L232">Common_InputFunctions.Utility_DisplayArrayInTable(Common_SourceData.Common_SourceData_MCFTemperatureZone_Data(),Table_SourceData_Common_MCFTemperatureZone[[#Headers],[Temperature zone]],0)</f>
        <v>0.03</v>
      </c>
      <c r="M232" s="21" cm="1">
        <f t="array" ref="M232">Common_InputFunctions.Utility_DisplayArrayInTable(Common_SourceData.Common_SourceData_MCFTemperatureZone_Data(),Table_SourceData_Common_MCFTemperatureZone[[#Headers],[Temperature zone]],0)</f>
        <v>0.04</v>
      </c>
      <c r="N232" s="21" cm="1">
        <f t="array" ref="N232">Common_InputFunctions.Utility_DisplayArrayInTable(Common_SourceData.Common_SourceData_MCFTemperatureZone_Data(),Table_SourceData_Common_MCFTemperatureZone[[#Headers],[Temperature zone]],0)</f>
        <v>1.4999999999999999E-2</v>
      </c>
      <c r="O232" s="21" cm="1">
        <f t="array" ref="O232">Common_InputFunctions.Utility_DisplayArrayInTable(Common_SourceData.Common_SourceData_MCFTemperatureZone_Data(),Table_SourceData_Common_MCFTemperatureZone[[#Headers],[Temperature zone]],0)</f>
        <v>1.4999999999999999E-2</v>
      </c>
      <c r="P232" s="21" cm="1">
        <f t="array" ref="P232">Common_InputFunctions.Utility_DisplayArrayInTable(Common_SourceData.Common_SourceData_MCFTemperatureZone_Data(),Table_SourceData_Common_MCFTemperatureZone[[#Headers],[Temperature zone]],0)</f>
        <v>0</v>
      </c>
      <c r="Q232" s="21" cm="1">
        <f t="array" ref="Q232">Common_InputFunctions.Utility_DisplayArrayInTable(Common_SourceData.Common_SourceData_MCFTemperatureZone_Data(),Table_SourceData_Common_MCFTemperatureZone[[#Headers],[Temperature zone]],0)</f>
        <v>0</v>
      </c>
      <c r="R232" s="21" cm="1">
        <f t="array" ref="R232">Common_InputFunctions.Utility_DisplayArrayInTable(Common_SourceData.Common_SourceData_MCFTemperatureZone_Data(),Table_SourceData_Common_MCFTemperatureZone[[#Headers],[Temperature zone]],0)</f>
        <v>4.7000000000000002E-3</v>
      </c>
      <c r="S232" s="2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1" cm="1">
        <f t="array" ref="E233">Common_InputFunctions.Utility_DisplayArrayInTable(Common_SourceData.Common_SourceData_MCFTemperatureZone_Data(),Table_SourceData_Common_MCFTemperatureZone[[#Headers],[Temperature zone]],0)</f>
        <v>11</v>
      </c>
      <c r="F233" s="21" cm="1">
        <f t="array" ref="F233">Common_InputFunctions.Utility_DisplayArrayInTable(Common_SourceData.Common_SourceData_MCFTemperatureZone_Data(),Table_SourceData_Common_MCFTemperatureZone[[#Headers],[Temperature zone]],0)</f>
        <v>0.68</v>
      </c>
      <c r="G233" s="21" cm="1">
        <f t="array" ref="G233">Common_InputFunctions.Utility_DisplayArrayInTable(Common_SourceData.Common_SourceData_MCFTemperatureZone_Data(),Table_SourceData_Common_MCFTemperatureZone[[#Headers],[Temperature zone]],0)</f>
        <v>0.1</v>
      </c>
      <c r="H233" s="21" cm="1">
        <f t="array" ref="H233">Common_InputFunctions.Utility_DisplayArrayInTable(Common_SourceData.Common_SourceData_MCFTemperatureZone_Data(),Table_SourceData_Common_MCFTemperatureZone[[#Headers],[Temperature zone]],0)</f>
        <v>0.11</v>
      </c>
      <c r="I233" s="21" cm="1">
        <f t="array" ref="I233">Common_InputFunctions.Utility_DisplayArrayInTable(Common_SourceData.Common_SourceData_MCFTemperatureZone_Data(),Table_SourceData_Common_MCFTemperatureZone[[#Headers],[Temperature zone]],0)</f>
        <v>1E-3</v>
      </c>
      <c r="J233" s="21" cm="1">
        <f t="array" ref="J233">Common_InputFunctions.Utility_DisplayArrayInTable(Common_SourceData.Common_SourceData_MCFTemperatureZone_Data(),Table_SourceData_Common_MCFTemperatureZone[[#Headers],[Temperature zone]],0)</f>
        <v>5.0000000000000001E-3</v>
      </c>
      <c r="K233" s="21" cm="1">
        <f t="array" ref="K233">Common_InputFunctions.Utility_DisplayArrayInTable(Common_SourceData.Common_SourceData_MCFTemperatureZone_Data(),Table_SourceData_Common_MCFTemperatureZone[[#Headers],[Temperature zone]],0)</f>
        <v>0.02</v>
      </c>
      <c r="L233" s="21" cm="1">
        <f t="array" ref="L233">Common_InputFunctions.Utility_DisplayArrayInTable(Common_SourceData.Common_SourceData_MCFTemperatureZone_Data(),Table_SourceData_Common_MCFTemperatureZone[[#Headers],[Temperature zone]],0)</f>
        <v>0.03</v>
      </c>
      <c r="M233" s="21" cm="1">
        <f t="array" ref="M233">Common_InputFunctions.Utility_DisplayArrayInTable(Common_SourceData.Common_SourceData_MCFTemperatureZone_Data(),Table_SourceData_Common_MCFTemperatureZone[[#Headers],[Temperature zone]],0)</f>
        <v>0.04</v>
      </c>
      <c r="N233" s="21" cm="1">
        <f t="array" ref="N233">Common_InputFunctions.Utility_DisplayArrayInTable(Common_SourceData.Common_SourceData_MCFTemperatureZone_Data(),Table_SourceData_Common_MCFTemperatureZone[[#Headers],[Temperature zone]],0)</f>
        <v>1.4999999999999999E-2</v>
      </c>
      <c r="O233" s="21" cm="1">
        <f t="array" ref="O233">Common_InputFunctions.Utility_DisplayArrayInTable(Common_SourceData.Common_SourceData_MCFTemperatureZone_Data(),Table_SourceData_Common_MCFTemperatureZone[[#Headers],[Temperature zone]],0)</f>
        <v>1.4999999999999999E-2</v>
      </c>
      <c r="P233" s="21" cm="1">
        <f t="array" ref="P233">Common_InputFunctions.Utility_DisplayArrayInTable(Common_SourceData.Common_SourceData_MCFTemperatureZone_Data(),Table_SourceData_Common_MCFTemperatureZone[[#Headers],[Temperature zone]],0)</f>
        <v>0</v>
      </c>
      <c r="Q233" s="21" cm="1">
        <f t="array" ref="Q233">Common_InputFunctions.Utility_DisplayArrayInTable(Common_SourceData.Common_SourceData_MCFTemperatureZone_Data(),Table_SourceData_Common_MCFTemperatureZone[[#Headers],[Temperature zone]],0)</f>
        <v>0</v>
      </c>
      <c r="R233" s="21" cm="1">
        <f t="array" ref="R233">Common_InputFunctions.Utility_DisplayArrayInTable(Common_SourceData.Common_SourceData_MCFTemperatureZone_Data(),Table_SourceData_Common_MCFTemperatureZone[[#Headers],[Temperature zone]],0)</f>
        <v>4.7000000000000002E-3</v>
      </c>
      <c r="S233" s="2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1" cm="1">
        <f t="array" ref="E234">Common_InputFunctions.Utility_DisplayArrayInTable(Common_SourceData.Common_SourceData_MCFTemperatureZone_Data(),Table_SourceData_Common_MCFTemperatureZone[[#Headers],[Temperature zone]],0)</f>
        <v>12</v>
      </c>
      <c r="F234" s="21" cm="1">
        <f t="array" ref="F234">Common_InputFunctions.Utility_DisplayArrayInTable(Common_SourceData.Common_SourceData_MCFTemperatureZone_Data(),Table_SourceData_Common_MCFTemperatureZone[[#Headers],[Temperature zone]],0)</f>
        <v>0.7</v>
      </c>
      <c r="G234" s="21" cm="1">
        <f t="array" ref="G234">Common_InputFunctions.Utility_DisplayArrayInTable(Common_SourceData.Common_SourceData_MCFTemperatureZone_Data(),Table_SourceData_Common_MCFTemperatureZone[[#Headers],[Temperature zone]],0)</f>
        <v>0.1</v>
      </c>
      <c r="H234" s="21" cm="1">
        <f t="array" ref="H234">Common_InputFunctions.Utility_DisplayArrayInTable(Common_SourceData.Common_SourceData_MCFTemperatureZone_Data(),Table_SourceData_Common_MCFTemperatureZone[[#Headers],[Temperature zone]],0)</f>
        <v>0.13</v>
      </c>
      <c r="I234" s="21" cm="1">
        <f t="array" ref="I234">Common_InputFunctions.Utility_DisplayArrayInTable(Common_SourceData.Common_SourceData_MCFTemperatureZone_Data(),Table_SourceData_Common_MCFTemperatureZone[[#Headers],[Temperature zone]],0)</f>
        <v>1E-3</v>
      </c>
      <c r="J234" s="21" cm="1">
        <f t="array" ref="J234">Common_InputFunctions.Utility_DisplayArrayInTable(Common_SourceData.Common_SourceData_MCFTemperatureZone_Data(),Table_SourceData_Common_MCFTemperatureZone[[#Headers],[Temperature zone]],0)</f>
        <v>5.0000000000000001E-3</v>
      </c>
      <c r="K234" s="21" cm="1">
        <f t="array" ref="K234">Common_InputFunctions.Utility_DisplayArrayInTable(Common_SourceData.Common_SourceData_MCFTemperatureZone_Data(),Table_SourceData_Common_MCFTemperatureZone[[#Headers],[Temperature zone]],0)</f>
        <v>0.02</v>
      </c>
      <c r="L234" s="21" cm="1">
        <f t="array" ref="L234">Common_InputFunctions.Utility_DisplayArrayInTable(Common_SourceData.Common_SourceData_MCFTemperatureZone_Data(),Table_SourceData_Common_MCFTemperatureZone[[#Headers],[Temperature zone]],0)</f>
        <v>0.03</v>
      </c>
      <c r="M234" s="21" cm="1">
        <f t="array" ref="M234">Common_InputFunctions.Utility_DisplayArrayInTable(Common_SourceData.Common_SourceData_MCFTemperatureZone_Data(),Table_SourceData_Common_MCFTemperatureZone[[#Headers],[Temperature zone]],0)</f>
        <v>0.04</v>
      </c>
      <c r="N234" s="21" cm="1">
        <f t="array" ref="N234">Common_InputFunctions.Utility_DisplayArrayInTable(Common_SourceData.Common_SourceData_MCFTemperatureZone_Data(),Table_SourceData_Common_MCFTemperatureZone[[#Headers],[Temperature zone]],0)</f>
        <v>1.4999999999999999E-2</v>
      </c>
      <c r="O234" s="21" cm="1">
        <f t="array" ref="O234">Common_InputFunctions.Utility_DisplayArrayInTable(Common_SourceData.Common_SourceData_MCFTemperatureZone_Data(),Table_SourceData_Common_MCFTemperatureZone[[#Headers],[Temperature zone]],0)</f>
        <v>1.4999999999999999E-2</v>
      </c>
      <c r="P234" s="21" cm="1">
        <f t="array" ref="P234">Common_InputFunctions.Utility_DisplayArrayInTable(Common_SourceData.Common_SourceData_MCFTemperatureZone_Data(),Table_SourceData_Common_MCFTemperatureZone[[#Headers],[Temperature zone]],0)</f>
        <v>0</v>
      </c>
      <c r="Q234" s="21" cm="1">
        <f t="array" ref="Q234">Common_InputFunctions.Utility_DisplayArrayInTable(Common_SourceData.Common_SourceData_MCFTemperatureZone_Data(),Table_SourceData_Common_MCFTemperatureZone[[#Headers],[Temperature zone]],0)</f>
        <v>0</v>
      </c>
      <c r="R234" s="21" cm="1">
        <f t="array" ref="R234">Common_InputFunctions.Utility_DisplayArrayInTable(Common_SourceData.Common_SourceData_MCFTemperatureZone_Data(),Table_SourceData_Common_MCFTemperatureZone[[#Headers],[Temperature zone]],0)</f>
        <v>4.7000000000000002E-3</v>
      </c>
      <c r="S234" s="2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1" cm="1">
        <f t="array" ref="E235">Common_InputFunctions.Utility_DisplayArrayInTable(Common_SourceData.Common_SourceData_MCFTemperatureZone_Data(),Table_SourceData_Common_MCFTemperatureZone[[#Headers],[Temperature zone]],0)</f>
        <v>13</v>
      </c>
      <c r="F235" s="21" cm="1">
        <f t="array" ref="F235">Common_InputFunctions.Utility_DisplayArrayInTable(Common_SourceData.Common_SourceData_MCFTemperatureZone_Data(),Table_SourceData_Common_MCFTemperatureZone[[#Headers],[Temperature zone]],0)</f>
        <v>0.71</v>
      </c>
      <c r="G235" s="21" cm="1">
        <f t="array" ref="G235">Common_InputFunctions.Utility_DisplayArrayInTable(Common_SourceData.Common_SourceData_MCFTemperatureZone_Data(),Table_SourceData_Common_MCFTemperatureZone[[#Headers],[Temperature zone]],0)</f>
        <v>0.1</v>
      </c>
      <c r="H235" s="21" cm="1">
        <f t="array" ref="H235">Common_InputFunctions.Utility_DisplayArrayInTable(Common_SourceData.Common_SourceData_MCFTemperatureZone_Data(),Table_SourceData_Common_MCFTemperatureZone[[#Headers],[Temperature zone]],0)</f>
        <v>0.14000000000000001</v>
      </c>
      <c r="I235" s="21" cm="1">
        <f t="array" ref="I235">Common_InputFunctions.Utility_DisplayArrayInTable(Common_SourceData.Common_SourceData_MCFTemperatureZone_Data(),Table_SourceData_Common_MCFTemperatureZone[[#Headers],[Temperature zone]],0)</f>
        <v>1E-3</v>
      </c>
      <c r="J235" s="21" cm="1">
        <f t="array" ref="J235">Common_InputFunctions.Utility_DisplayArrayInTable(Common_SourceData.Common_SourceData_MCFTemperatureZone_Data(),Table_SourceData_Common_MCFTemperatureZone[[#Headers],[Temperature zone]],0)</f>
        <v>5.0000000000000001E-3</v>
      </c>
      <c r="K235" s="21" cm="1">
        <f t="array" ref="K235">Common_InputFunctions.Utility_DisplayArrayInTable(Common_SourceData.Common_SourceData_MCFTemperatureZone_Data(),Table_SourceData_Common_MCFTemperatureZone[[#Headers],[Temperature zone]],0)</f>
        <v>0.02</v>
      </c>
      <c r="L235" s="21" cm="1">
        <f t="array" ref="L235">Common_InputFunctions.Utility_DisplayArrayInTable(Common_SourceData.Common_SourceData_MCFTemperatureZone_Data(),Table_SourceData_Common_MCFTemperatureZone[[#Headers],[Temperature zone]],0)</f>
        <v>0.03</v>
      </c>
      <c r="M235" s="21" cm="1">
        <f t="array" ref="M235">Common_InputFunctions.Utility_DisplayArrayInTable(Common_SourceData.Common_SourceData_MCFTemperatureZone_Data(),Table_SourceData_Common_MCFTemperatureZone[[#Headers],[Temperature zone]],0)</f>
        <v>0.04</v>
      </c>
      <c r="N235" s="21" cm="1">
        <f t="array" ref="N235">Common_InputFunctions.Utility_DisplayArrayInTable(Common_SourceData.Common_SourceData_MCFTemperatureZone_Data(),Table_SourceData_Common_MCFTemperatureZone[[#Headers],[Temperature zone]],0)</f>
        <v>1.4999999999999999E-2</v>
      </c>
      <c r="O235" s="21" cm="1">
        <f t="array" ref="O235">Common_InputFunctions.Utility_DisplayArrayInTable(Common_SourceData.Common_SourceData_MCFTemperatureZone_Data(),Table_SourceData_Common_MCFTemperatureZone[[#Headers],[Temperature zone]],0)</f>
        <v>1.4999999999999999E-2</v>
      </c>
      <c r="P235" s="21" cm="1">
        <f t="array" ref="P235">Common_InputFunctions.Utility_DisplayArrayInTable(Common_SourceData.Common_SourceData_MCFTemperatureZone_Data(),Table_SourceData_Common_MCFTemperatureZone[[#Headers],[Temperature zone]],0)</f>
        <v>0</v>
      </c>
      <c r="Q235" s="21" cm="1">
        <f t="array" ref="Q235">Common_InputFunctions.Utility_DisplayArrayInTable(Common_SourceData.Common_SourceData_MCFTemperatureZone_Data(),Table_SourceData_Common_MCFTemperatureZone[[#Headers],[Temperature zone]],0)</f>
        <v>0</v>
      </c>
      <c r="R235" s="21" cm="1">
        <f t="array" ref="R235">Common_InputFunctions.Utility_DisplayArrayInTable(Common_SourceData.Common_SourceData_MCFTemperatureZone_Data(),Table_SourceData_Common_MCFTemperatureZone[[#Headers],[Temperature zone]],0)</f>
        <v>4.7000000000000002E-3</v>
      </c>
      <c r="S235" s="2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1" cm="1">
        <f t="array" ref="E236">Common_InputFunctions.Utility_DisplayArrayInTable(Common_SourceData.Common_SourceData_MCFTemperatureZone_Data(),Table_SourceData_Common_MCFTemperatureZone[[#Headers],[Temperature zone]],0)</f>
        <v>14</v>
      </c>
      <c r="F236" s="21" cm="1">
        <f t="array" ref="F236">Common_InputFunctions.Utility_DisplayArrayInTable(Common_SourceData.Common_SourceData_MCFTemperatureZone_Data(),Table_SourceData_Common_MCFTemperatureZone[[#Headers],[Temperature zone]],0)</f>
        <v>0.73</v>
      </c>
      <c r="G236" s="21" cm="1">
        <f t="array" ref="G236">Common_InputFunctions.Utility_DisplayArrayInTable(Common_SourceData.Common_SourceData_MCFTemperatureZone_Data(),Table_SourceData_Common_MCFTemperatureZone[[#Headers],[Temperature zone]],0)</f>
        <v>0.1</v>
      </c>
      <c r="H236" s="21" cm="1">
        <f t="array" ref="H236">Common_InputFunctions.Utility_DisplayArrayInTable(Common_SourceData.Common_SourceData_MCFTemperatureZone_Data(),Table_SourceData_Common_MCFTemperatureZone[[#Headers],[Temperature zone]],0)</f>
        <v>0.15</v>
      </c>
      <c r="I236" s="21" cm="1">
        <f t="array" ref="I236">Common_InputFunctions.Utility_DisplayArrayInTable(Common_SourceData.Common_SourceData_MCFTemperatureZone_Data(),Table_SourceData_Common_MCFTemperatureZone[[#Headers],[Temperature zone]],0)</f>
        <v>1E-3</v>
      </c>
      <c r="J236" s="21" cm="1">
        <f t="array" ref="J236">Common_InputFunctions.Utility_DisplayArrayInTable(Common_SourceData.Common_SourceData_MCFTemperatureZone_Data(),Table_SourceData_Common_MCFTemperatureZone[[#Headers],[Temperature zone]],0)</f>
        <v>5.0000000000000001E-3</v>
      </c>
      <c r="K236" s="21" cm="1">
        <f t="array" ref="K236">Common_InputFunctions.Utility_DisplayArrayInTable(Common_SourceData.Common_SourceData_MCFTemperatureZone_Data(),Table_SourceData_Common_MCFTemperatureZone[[#Headers],[Temperature zone]],0)</f>
        <v>0.02</v>
      </c>
      <c r="L236" s="21" cm="1">
        <f t="array" ref="L236">Common_InputFunctions.Utility_DisplayArrayInTable(Common_SourceData.Common_SourceData_MCFTemperatureZone_Data(),Table_SourceData_Common_MCFTemperatureZone[[#Headers],[Temperature zone]],0)</f>
        <v>0.03</v>
      </c>
      <c r="M236" s="21" cm="1">
        <f t="array" ref="M236">Common_InputFunctions.Utility_DisplayArrayInTable(Common_SourceData.Common_SourceData_MCFTemperatureZone_Data(),Table_SourceData_Common_MCFTemperatureZone[[#Headers],[Temperature zone]],0)</f>
        <v>0.04</v>
      </c>
      <c r="N236" s="21" cm="1">
        <f t="array" ref="N236">Common_InputFunctions.Utility_DisplayArrayInTable(Common_SourceData.Common_SourceData_MCFTemperatureZone_Data(),Table_SourceData_Common_MCFTemperatureZone[[#Headers],[Temperature zone]],0)</f>
        <v>1.4999999999999999E-2</v>
      </c>
      <c r="O236" s="21" cm="1">
        <f t="array" ref="O236">Common_InputFunctions.Utility_DisplayArrayInTable(Common_SourceData.Common_SourceData_MCFTemperatureZone_Data(),Table_SourceData_Common_MCFTemperatureZone[[#Headers],[Temperature zone]],0)</f>
        <v>1.4999999999999999E-2</v>
      </c>
      <c r="P236" s="21" cm="1">
        <f t="array" ref="P236">Common_InputFunctions.Utility_DisplayArrayInTable(Common_SourceData.Common_SourceData_MCFTemperatureZone_Data(),Table_SourceData_Common_MCFTemperatureZone[[#Headers],[Temperature zone]],0)</f>
        <v>0</v>
      </c>
      <c r="Q236" s="21" cm="1">
        <f t="array" ref="Q236">Common_InputFunctions.Utility_DisplayArrayInTable(Common_SourceData.Common_SourceData_MCFTemperatureZone_Data(),Table_SourceData_Common_MCFTemperatureZone[[#Headers],[Temperature zone]],0)</f>
        <v>0</v>
      </c>
      <c r="R236" s="21" cm="1">
        <f t="array" ref="R236">Common_InputFunctions.Utility_DisplayArrayInTable(Common_SourceData.Common_SourceData_MCFTemperatureZone_Data(),Table_SourceData_Common_MCFTemperatureZone[[#Headers],[Temperature zone]],0)</f>
        <v>4.7000000000000002E-3</v>
      </c>
      <c r="S236" s="2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1" cm="1">
        <f t="array" ref="E237">Common_InputFunctions.Utility_DisplayArrayInTable(Common_SourceData.Common_SourceData_MCFTemperatureZone_Data(),Table_SourceData_Common_MCFTemperatureZone[[#Headers],[Temperature zone]],0)</f>
        <v>15</v>
      </c>
      <c r="F237" s="21" cm="1">
        <f t="array" ref="F237">Common_InputFunctions.Utility_DisplayArrayInTable(Common_SourceData.Common_SourceData_MCFTemperatureZone_Data(),Table_SourceData_Common_MCFTemperatureZone[[#Headers],[Temperature zone]],0)</f>
        <v>0.74</v>
      </c>
      <c r="G237" s="21" cm="1">
        <f t="array" ref="G237">Common_InputFunctions.Utility_DisplayArrayInTable(Common_SourceData.Common_SourceData_MCFTemperatureZone_Data(),Table_SourceData_Common_MCFTemperatureZone[[#Headers],[Temperature zone]],0)</f>
        <v>0.1</v>
      </c>
      <c r="H237" s="21" cm="1">
        <f t="array" ref="H237">Common_InputFunctions.Utility_DisplayArrayInTable(Common_SourceData.Common_SourceData_MCFTemperatureZone_Data(),Table_SourceData_Common_MCFTemperatureZone[[#Headers],[Temperature zone]],0)</f>
        <v>0.17</v>
      </c>
      <c r="I237" s="21" cm="1">
        <f t="array" ref="I237">Common_InputFunctions.Utility_DisplayArrayInTable(Common_SourceData.Common_SourceData_MCFTemperatureZone_Data(),Table_SourceData_Common_MCFTemperatureZone[[#Headers],[Temperature zone]],0)</f>
        <v>5.0000000000000001E-3</v>
      </c>
      <c r="J237" s="21" cm="1">
        <f t="array" ref="J237">Common_InputFunctions.Utility_DisplayArrayInTable(Common_SourceData.Common_SourceData_MCFTemperatureZone_Data(),Table_SourceData_Common_MCFTemperatureZone[[#Headers],[Temperature zone]],0)</f>
        <v>0.01</v>
      </c>
      <c r="K237" s="21" cm="1">
        <f t="array" ref="K237">Common_InputFunctions.Utility_DisplayArrayInTable(Common_SourceData.Common_SourceData_MCFTemperatureZone_Data(),Table_SourceData_Common_MCFTemperatureZone[[#Headers],[Temperature zone]],0)</f>
        <v>0.02</v>
      </c>
      <c r="L237" s="21" cm="1">
        <f t="array" ref="L237">Common_InputFunctions.Utility_DisplayArrayInTable(Common_SourceData.Common_SourceData_MCFTemperatureZone_Data(),Table_SourceData_Common_MCFTemperatureZone[[#Headers],[Temperature zone]],0)</f>
        <v>0.03</v>
      </c>
      <c r="M237" s="21" cm="1">
        <f t="array" ref="M237">Common_InputFunctions.Utility_DisplayArrayInTable(Common_SourceData.Common_SourceData_MCFTemperatureZone_Data(),Table_SourceData_Common_MCFTemperatureZone[[#Headers],[Temperature zone]],0)</f>
        <v>0.04</v>
      </c>
      <c r="N237" s="21" cm="1">
        <f t="array" ref="N237">Common_InputFunctions.Utility_DisplayArrayInTable(Common_SourceData.Common_SourceData_MCFTemperatureZone_Data(),Table_SourceData_Common_MCFTemperatureZone[[#Headers],[Temperature zone]],0)</f>
        <v>1.4999999999999999E-2</v>
      </c>
      <c r="O237" s="21" cm="1">
        <f t="array" ref="O237">Common_InputFunctions.Utility_DisplayArrayInTable(Common_SourceData.Common_SourceData_MCFTemperatureZone_Data(),Table_SourceData_Common_MCFTemperatureZone[[#Headers],[Temperature zone]],0)</f>
        <v>1.4999999999999999E-2</v>
      </c>
      <c r="P237" s="21" cm="1">
        <f t="array" ref="P237">Common_InputFunctions.Utility_DisplayArrayInTable(Common_SourceData.Common_SourceData_MCFTemperatureZone_Data(),Table_SourceData_Common_MCFTemperatureZone[[#Headers],[Temperature zone]],0)</f>
        <v>0</v>
      </c>
      <c r="Q237" s="21" cm="1">
        <f t="array" ref="Q237">Common_InputFunctions.Utility_DisplayArrayInTable(Common_SourceData.Common_SourceData_MCFTemperatureZone_Data(),Table_SourceData_Common_MCFTemperatureZone[[#Headers],[Temperature zone]],0)</f>
        <v>0</v>
      </c>
      <c r="R237" s="21" cm="1">
        <f t="array" ref="R237">Common_InputFunctions.Utility_DisplayArrayInTable(Common_SourceData.Common_SourceData_MCFTemperatureZone_Data(),Table_SourceData_Common_MCFTemperatureZone[[#Headers],[Temperature zone]],0)</f>
        <v>4.7000000000000002E-3</v>
      </c>
      <c r="S237" s="2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1" cm="1">
        <f t="array" ref="E238">Common_InputFunctions.Utility_DisplayArrayInTable(Common_SourceData.Common_SourceData_MCFTemperatureZone_Data(),Table_SourceData_Common_MCFTemperatureZone[[#Headers],[Temperature zone]],0)</f>
        <v>16</v>
      </c>
      <c r="F238" s="21" cm="1">
        <f t="array" ref="F238">Common_InputFunctions.Utility_DisplayArrayInTable(Common_SourceData.Common_SourceData_MCFTemperatureZone_Data(),Table_SourceData_Common_MCFTemperatureZone[[#Headers],[Temperature zone]],0)</f>
        <v>0.75</v>
      </c>
      <c r="G238" s="21" cm="1">
        <f t="array" ref="G238">Common_InputFunctions.Utility_DisplayArrayInTable(Common_SourceData.Common_SourceData_MCFTemperatureZone_Data(),Table_SourceData_Common_MCFTemperatureZone[[#Headers],[Temperature zone]],0)</f>
        <v>0.1</v>
      </c>
      <c r="H238" s="21" cm="1">
        <f t="array" ref="H238">Common_InputFunctions.Utility_DisplayArrayInTable(Common_SourceData.Common_SourceData_MCFTemperatureZone_Data(),Table_SourceData_Common_MCFTemperatureZone[[#Headers],[Temperature zone]],0)</f>
        <v>0.18</v>
      </c>
      <c r="I238" s="21" cm="1">
        <f t="array" ref="I238">Common_InputFunctions.Utility_DisplayArrayInTable(Common_SourceData.Common_SourceData_MCFTemperatureZone_Data(),Table_SourceData_Common_MCFTemperatureZone[[#Headers],[Temperature zone]],0)</f>
        <v>5.0000000000000001E-3</v>
      </c>
      <c r="J238" s="21" cm="1">
        <f t="array" ref="J238">Common_InputFunctions.Utility_DisplayArrayInTable(Common_SourceData.Common_SourceData_MCFTemperatureZone_Data(),Table_SourceData_Common_MCFTemperatureZone[[#Headers],[Temperature zone]],0)</f>
        <v>0.01</v>
      </c>
      <c r="K238" s="21" cm="1">
        <f t="array" ref="K238">Common_InputFunctions.Utility_DisplayArrayInTable(Common_SourceData.Common_SourceData_MCFTemperatureZone_Data(),Table_SourceData_Common_MCFTemperatureZone[[#Headers],[Temperature zone]],0)</f>
        <v>0.02</v>
      </c>
      <c r="L238" s="21" cm="1">
        <f t="array" ref="L238">Common_InputFunctions.Utility_DisplayArrayInTable(Common_SourceData.Common_SourceData_MCFTemperatureZone_Data(),Table_SourceData_Common_MCFTemperatureZone[[#Headers],[Temperature zone]],0)</f>
        <v>0.03</v>
      </c>
      <c r="M238" s="21" cm="1">
        <f t="array" ref="M238">Common_InputFunctions.Utility_DisplayArrayInTable(Common_SourceData.Common_SourceData_MCFTemperatureZone_Data(),Table_SourceData_Common_MCFTemperatureZone[[#Headers],[Temperature zone]],0)</f>
        <v>0.04</v>
      </c>
      <c r="N238" s="21" cm="1">
        <f t="array" ref="N238">Common_InputFunctions.Utility_DisplayArrayInTable(Common_SourceData.Common_SourceData_MCFTemperatureZone_Data(),Table_SourceData_Common_MCFTemperatureZone[[#Headers],[Temperature zone]],0)</f>
        <v>1.4999999999999999E-2</v>
      </c>
      <c r="O238" s="21" cm="1">
        <f t="array" ref="O238">Common_InputFunctions.Utility_DisplayArrayInTable(Common_SourceData.Common_SourceData_MCFTemperatureZone_Data(),Table_SourceData_Common_MCFTemperatureZone[[#Headers],[Temperature zone]],0)</f>
        <v>1.4999999999999999E-2</v>
      </c>
      <c r="P238" s="21" cm="1">
        <f t="array" ref="P238">Common_InputFunctions.Utility_DisplayArrayInTable(Common_SourceData.Common_SourceData_MCFTemperatureZone_Data(),Table_SourceData_Common_MCFTemperatureZone[[#Headers],[Temperature zone]],0)</f>
        <v>0</v>
      </c>
      <c r="Q238" s="21" cm="1">
        <f t="array" ref="Q238">Common_InputFunctions.Utility_DisplayArrayInTable(Common_SourceData.Common_SourceData_MCFTemperatureZone_Data(),Table_SourceData_Common_MCFTemperatureZone[[#Headers],[Temperature zone]],0)</f>
        <v>0</v>
      </c>
      <c r="R238" s="21" cm="1">
        <f t="array" ref="R238">Common_InputFunctions.Utility_DisplayArrayInTable(Common_SourceData.Common_SourceData_MCFTemperatureZone_Data(),Table_SourceData_Common_MCFTemperatureZone[[#Headers],[Temperature zone]],0)</f>
        <v>4.7000000000000002E-3</v>
      </c>
      <c r="S238" s="2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1" cm="1">
        <f t="array" ref="E239">Common_InputFunctions.Utility_DisplayArrayInTable(Common_SourceData.Common_SourceData_MCFTemperatureZone_Data(),Table_SourceData_Common_MCFTemperatureZone[[#Headers],[Temperature zone]],0)</f>
        <v>17</v>
      </c>
      <c r="F239" s="21" cm="1">
        <f t="array" ref="F239">Common_InputFunctions.Utility_DisplayArrayInTable(Common_SourceData.Common_SourceData_MCFTemperatureZone_Data(),Table_SourceData_Common_MCFTemperatureZone[[#Headers],[Temperature zone]],0)</f>
        <v>0.76</v>
      </c>
      <c r="G239" s="21" cm="1">
        <f t="array" ref="G239">Common_InputFunctions.Utility_DisplayArrayInTable(Common_SourceData.Common_SourceData_MCFTemperatureZone_Data(),Table_SourceData_Common_MCFTemperatureZone[[#Headers],[Temperature zone]],0)</f>
        <v>0.1</v>
      </c>
      <c r="H239" s="21" cm="1">
        <f t="array" ref="H239">Common_InputFunctions.Utility_DisplayArrayInTable(Common_SourceData.Common_SourceData_MCFTemperatureZone_Data(),Table_SourceData_Common_MCFTemperatureZone[[#Headers],[Temperature zone]],0)</f>
        <v>0.2</v>
      </c>
      <c r="I239" s="21" cm="1">
        <f t="array" ref="I239">Common_InputFunctions.Utility_DisplayArrayInTable(Common_SourceData.Common_SourceData_MCFTemperatureZone_Data(),Table_SourceData_Common_MCFTemperatureZone[[#Headers],[Temperature zone]],0)</f>
        <v>5.0000000000000001E-3</v>
      </c>
      <c r="J239" s="21" cm="1">
        <f t="array" ref="J239">Common_InputFunctions.Utility_DisplayArrayInTable(Common_SourceData.Common_SourceData_MCFTemperatureZone_Data(),Table_SourceData_Common_MCFTemperatureZone[[#Headers],[Temperature zone]],0)</f>
        <v>0.01</v>
      </c>
      <c r="K239" s="21" cm="1">
        <f t="array" ref="K239">Common_InputFunctions.Utility_DisplayArrayInTable(Common_SourceData.Common_SourceData_MCFTemperatureZone_Data(),Table_SourceData_Common_MCFTemperatureZone[[#Headers],[Temperature zone]],0)</f>
        <v>0.02</v>
      </c>
      <c r="L239" s="21" cm="1">
        <f t="array" ref="L239">Common_InputFunctions.Utility_DisplayArrayInTable(Common_SourceData.Common_SourceData_MCFTemperatureZone_Data(),Table_SourceData_Common_MCFTemperatureZone[[#Headers],[Temperature zone]],0)</f>
        <v>0.03</v>
      </c>
      <c r="M239" s="21" cm="1">
        <f t="array" ref="M239">Common_InputFunctions.Utility_DisplayArrayInTable(Common_SourceData.Common_SourceData_MCFTemperatureZone_Data(),Table_SourceData_Common_MCFTemperatureZone[[#Headers],[Temperature zone]],0)</f>
        <v>0.04</v>
      </c>
      <c r="N239" s="21" cm="1">
        <f t="array" ref="N239">Common_InputFunctions.Utility_DisplayArrayInTable(Common_SourceData.Common_SourceData_MCFTemperatureZone_Data(),Table_SourceData_Common_MCFTemperatureZone[[#Headers],[Temperature zone]],0)</f>
        <v>1.4999999999999999E-2</v>
      </c>
      <c r="O239" s="21" cm="1">
        <f t="array" ref="O239">Common_InputFunctions.Utility_DisplayArrayInTable(Common_SourceData.Common_SourceData_MCFTemperatureZone_Data(),Table_SourceData_Common_MCFTemperatureZone[[#Headers],[Temperature zone]],0)</f>
        <v>1.4999999999999999E-2</v>
      </c>
      <c r="P239" s="21" cm="1">
        <f t="array" ref="P239">Common_InputFunctions.Utility_DisplayArrayInTable(Common_SourceData.Common_SourceData_MCFTemperatureZone_Data(),Table_SourceData_Common_MCFTemperatureZone[[#Headers],[Temperature zone]],0)</f>
        <v>0</v>
      </c>
      <c r="Q239" s="21" cm="1">
        <f t="array" ref="Q239">Common_InputFunctions.Utility_DisplayArrayInTable(Common_SourceData.Common_SourceData_MCFTemperatureZone_Data(),Table_SourceData_Common_MCFTemperatureZone[[#Headers],[Temperature zone]],0)</f>
        <v>0</v>
      </c>
      <c r="R239" s="21" cm="1">
        <f t="array" ref="R239">Common_InputFunctions.Utility_DisplayArrayInTable(Common_SourceData.Common_SourceData_MCFTemperatureZone_Data(),Table_SourceData_Common_MCFTemperatureZone[[#Headers],[Temperature zone]],0)</f>
        <v>4.7000000000000002E-3</v>
      </c>
      <c r="S239" s="2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1" cm="1">
        <f t="array" ref="E240">Common_InputFunctions.Utility_DisplayArrayInTable(Common_SourceData.Common_SourceData_MCFTemperatureZone_Data(),Table_SourceData_Common_MCFTemperatureZone[[#Headers],[Temperature zone]],0)</f>
        <v>18</v>
      </c>
      <c r="F240" s="21" cm="1">
        <f t="array" ref="F240">Common_InputFunctions.Utility_DisplayArrayInTable(Common_SourceData.Common_SourceData_MCFTemperatureZone_Data(),Table_SourceData_Common_MCFTemperatureZone[[#Headers],[Temperature zone]],0)</f>
        <v>0.77</v>
      </c>
      <c r="G240" s="21" cm="1">
        <f t="array" ref="G240">Common_InputFunctions.Utility_DisplayArrayInTable(Common_SourceData.Common_SourceData_MCFTemperatureZone_Data(),Table_SourceData_Common_MCFTemperatureZone[[#Headers],[Temperature zone]],0)</f>
        <v>0.1</v>
      </c>
      <c r="H240" s="21" cm="1">
        <f t="array" ref="H240">Common_InputFunctions.Utility_DisplayArrayInTable(Common_SourceData.Common_SourceData_MCFTemperatureZone_Data(),Table_SourceData_Common_MCFTemperatureZone[[#Headers],[Temperature zone]],0)</f>
        <v>0.22</v>
      </c>
      <c r="I240" s="21" cm="1">
        <f t="array" ref="I240">Common_InputFunctions.Utility_DisplayArrayInTable(Common_SourceData.Common_SourceData_MCFTemperatureZone_Data(),Table_SourceData_Common_MCFTemperatureZone[[#Headers],[Temperature zone]],0)</f>
        <v>5.0000000000000001E-3</v>
      </c>
      <c r="J240" s="21" cm="1">
        <f t="array" ref="J240">Common_InputFunctions.Utility_DisplayArrayInTable(Common_SourceData.Common_SourceData_MCFTemperatureZone_Data(),Table_SourceData_Common_MCFTemperatureZone[[#Headers],[Temperature zone]],0)</f>
        <v>0.01</v>
      </c>
      <c r="K240" s="21" cm="1">
        <f t="array" ref="K240">Common_InputFunctions.Utility_DisplayArrayInTable(Common_SourceData.Common_SourceData_MCFTemperatureZone_Data(),Table_SourceData_Common_MCFTemperatureZone[[#Headers],[Temperature zone]],0)</f>
        <v>0.02</v>
      </c>
      <c r="L240" s="21" cm="1">
        <f t="array" ref="L240">Common_InputFunctions.Utility_DisplayArrayInTable(Common_SourceData.Common_SourceData_MCFTemperatureZone_Data(),Table_SourceData_Common_MCFTemperatureZone[[#Headers],[Temperature zone]],0)</f>
        <v>0.03</v>
      </c>
      <c r="M240" s="21" cm="1">
        <f t="array" ref="M240">Common_InputFunctions.Utility_DisplayArrayInTable(Common_SourceData.Common_SourceData_MCFTemperatureZone_Data(),Table_SourceData_Common_MCFTemperatureZone[[#Headers],[Temperature zone]],0)</f>
        <v>0.04</v>
      </c>
      <c r="N240" s="21" cm="1">
        <f t="array" ref="N240">Common_InputFunctions.Utility_DisplayArrayInTable(Common_SourceData.Common_SourceData_MCFTemperatureZone_Data(),Table_SourceData_Common_MCFTemperatureZone[[#Headers],[Temperature zone]],0)</f>
        <v>1.4999999999999999E-2</v>
      </c>
      <c r="O240" s="21" cm="1">
        <f t="array" ref="O240">Common_InputFunctions.Utility_DisplayArrayInTable(Common_SourceData.Common_SourceData_MCFTemperatureZone_Data(),Table_SourceData_Common_MCFTemperatureZone[[#Headers],[Temperature zone]],0)</f>
        <v>1.4999999999999999E-2</v>
      </c>
      <c r="P240" s="21" cm="1">
        <f t="array" ref="P240">Common_InputFunctions.Utility_DisplayArrayInTable(Common_SourceData.Common_SourceData_MCFTemperatureZone_Data(),Table_SourceData_Common_MCFTemperatureZone[[#Headers],[Temperature zone]],0)</f>
        <v>0</v>
      </c>
      <c r="Q240" s="21" cm="1">
        <f t="array" ref="Q240">Common_InputFunctions.Utility_DisplayArrayInTable(Common_SourceData.Common_SourceData_MCFTemperatureZone_Data(),Table_SourceData_Common_MCFTemperatureZone[[#Headers],[Temperature zone]],0)</f>
        <v>0</v>
      </c>
      <c r="R240" s="21" cm="1">
        <f t="array" ref="R240">Common_InputFunctions.Utility_DisplayArrayInTable(Common_SourceData.Common_SourceData_MCFTemperatureZone_Data(),Table_SourceData_Common_MCFTemperatureZone[[#Headers],[Temperature zone]],0)</f>
        <v>4.7000000000000002E-3</v>
      </c>
      <c r="S240" s="2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1" cm="1">
        <f t="array" ref="E241">Common_InputFunctions.Utility_DisplayArrayInTable(Common_SourceData.Common_SourceData_MCFTemperatureZone_Data(),Table_SourceData_Common_MCFTemperatureZone[[#Headers],[Temperature zone]],0)</f>
        <v>19</v>
      </c>
      <c r="F241" s="21" cm="1">
        <f t="array" ref="F241">Common_InputFunctions.Utility_DisplayArrayInTable(Common_SourceData.Common_SourceData_MCFTemperatureZone_Data(),Table_SourceData_Common_MCFTemperatureZone[[#Headers],[Temperature zone]],0)</f>
        <v>0.77</v>
      </c>
      <c r="G241" s="21" cm="1">
        <f t="array" ref="G241">Common_InputFunctions.Utility_DisplayArrayInTable(Common_SourceData.Common_SourceData_MCFTemperatureZone_Data(),Table_SourceData_Common_MCFTemperatureZone[[#Headers],[Temperature zone]],0)</f>
        <v>0.1</v>
      </c>
      <c r="H241" s="21" cm="1">
        <f t="array" ref="H241">Common_InputFunctions.Utility_DisplayArrayInTable(Common_SourceData.Common_SourceData_MCFTemperatureZone_Data(),Table_SourceData_Common_MCFTemperatureZone[[#Headers],[Temperature zone]],0)</f>
        <v>0.24</v>
      </c>
      <c r="I241" s="21" cm="1">
        <f t="array" ref="I241">Common_InputFunctions.Utility_DisplayArrayInTable(Common_SourceData.Common_SourceData_MCFTemperatureZone_Data(),Table_SourceData_Common_MCFTemperatureZone[[#Headers],[Temperature zone]],0)</f>
        <v>5.0000000000000001E-3</v>
      </c>
      <c r="J241" s="21" cm="1">
        <f t="array" ref="J241">Common_InputFunctions.Utility_DisplayArrayInTable(Common_SourceData.Common_SourceData_MCFTemperatureZone_Data(),Table_SourceData_Common_MCFTemperatureZone[[#Headers],[Temperature zone]],0)</f>
        <v>0.01</v>
      </c>
      <c r="K241" s="21" cm="1">
        <f t="array" ref="K241">Common_InputFunctions.Utility_DisplayArrayInTable(Common_SourceData.Common_SourceData_MCFTemperatureZone_Data(),Table_SourceData_Common_MCFTemperatureZone[[#Headers],[Temperature zone]],0)</f>
        <v>0.02</v>
      </c>
      <c r="L241" s="21" cm="1">
        <f t="array" ref="L241">Common_InputFunctions.Utility_DisplayArrayInTable(Common_SourceData.Common_SourceData_MCFTemperatureZone_Data(),Table_SourceData_Common_MCFTemperatureZone[[#Headers],[Temperature zone]],0)</f>
        <v>0.03</v>
      </c>
      <c r="M241" s="21" cm="1">
        <f t="array" ref="M241">Common_InputFunctions.Utility_DisplayArrayInTable(Common_SourceData.Common_SourceData_MCFTemperatureZone_Data(),Table_SourceData_Common_MCFTemperatureZone[[#Headers],[Temperature zone]],0)</f>
        <v>0.04</v>
      </c>
      <c r="N241" s="21" cm="1">
        <f t="array" ref="N241">Common_InputFunctions.Utility_DisplayArrayInTable(Common_SourceData.Common_SourceData_MCFTemperatureZone_Data(),Table_SourceData_Common_MCFTemperatureZone[[#Headers],[Temperature zone]],0)</f>
        <v>1.4999999999999999E-2</v>
      </c>
      <c r="O241" s="21" cm="1">
        <f t="array" ref="O241">Common_InputFunctions.Utility_DisplayArrayInTable(Common_SourceData.Common_SourceData_MCFTemperatureZone_Data(),Table_SourceData_Common_MCFTemperatureZone[[#Headers],[Temperature zone]],0)</f>
        <v>1.4999999999999999E-2</v>
      </c>
      <c r="P241" s="21" cm="1">
        <f t="array" ref="P241">Common_InputFunctions.Utility_DisplayArrayInTable(Common_SourceData.Common_SourceData_MCFTemperatureZone_Data(),Table_SourceData_Common_MCFTemperatureZone[[#Headers],[Temperature zone]],0)</f>
        <v>0</v>
      </c>
      <c r="Q241" s="21" cm="1">
        <f t="array" ref="Q241">Common_InputFunctions.Utility_DisplayArrayInTable(Common_SourceData.Common_SourceData_MCFTemperatureZone_Data(),Table_SourceData_Common_MCFTemperatureZone[[#Headers],[Temperature zone]],0)</f>
        <v>0</v>
      </c>
      <c r="R241" s="21" cm="1">
        <f t="array" ref="R241">Common_InputFunctions.Utility_DisplayArrayInTable(Common_SourceData.Common_SourceData_MCFTemperatureZone_Data(),Table_SourceData_Common_MCFTemperatureZone[[#Headers],[Temperature zone]],0)</f>
        <v>4.7000000000000002E-3</v>
      </c>
      <c r="S241" s="2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1" cm="1">
        <f t="array" ref="E242">Common_InputFunctions.Utility_DisplayArrayInTable(Common_SourceData.Common_SourceData_MCFTemperatureZone_Data(),Table_SourceData_Common_MCFTemperatureZone[[#Headers],[Temperature zone]],0)</f>
        <v>20</v>
      </c>
      <c r="F242" s="21" cm="1">
        <f t="array" ref="F242">Common_InputFunctions.Utility_DisplayArrayInTable(Common_SourceData.Common_SourceData_MCFTemperatureZone_Data(),Table_SourceData_Common_MCFTemperatureZone[[#Headers],[Temperature zone]],0)</f>
        <v>0.78</v>
      </c>
      <c r="G242" s="21" cm="1">
        <f t="array" ref="G242">Common_InputFunctions.Utility_DisplayArrayInTable(Common_SourceData.Common_SourceData_MCFTemperatureZone_Data(),Table_SourceData_Common_MCFTemperatureZone[[#Headers],[Temperature zone]],0)</f>
        <v>0.1</v>
      </c>
      <c r="H242" s="21" cm="1">
        <f t="array" ref="H242">Common_InputFunctions.Utility_DisplayArrayInTable(Common_SourceData.Common_SourceData_MCFTemperatureZone_Data(),Table_SourceData_Common_MCFTemperatureZone[[#Headers],[Temperature zone]],0)</f>
        <v>0.26</v>
      </c>
      <c r="I242" s="21" cm="1">
        <f t="array" ref="I242">Common_InputFunctions.Utility_DisplayArrayInTable(Common_SourceData.Common_SourceData_MCFTemperatureZone_Data(),Table_SourceData_Common_MCFTemperatureZone[[#Headers],[Temperature zone]],0)</f>
        <v>5.0000000000000001E-3</v>
      </c>
      <c r="J242" s="21" cm="1">
        <f t="array" ref="J242">Common_InputFunctions.Utility_DisplayArrayInTable(Common_SourceData.Common_SourceData_MCFTemperatureZone_Data(),Table_SourceData_Common_MCFTemperatureZone[[#Headers],[Temperature zone]],0)</f>
        <v>0.01</v>
      </c>
      <c r="K242" s="21" cm="1">
        <f t="array" ref="K242">Common_InputFunctions.Utility_DisplayArrayInTable(Common_SourceData.Common_SourceData_MCFTemperatureZone_Data(),Table_SourceData_Common_MCFTemperatureZone[[#Headers],[Temperature zone]],0)</f>
        <v>0.02</v>
      </c>
      <c r="L242" s="21" cm="1">
        <f t="array" ref="L242">Common_InputFunctions.Utility_DisplayArrayInTable(Common_SourceData.Common_SourceData_MCFTemperatureZone_Data(),Table_SourceData_Common_MCFTemperatureZone[[#Headers],[Temperature zone]],0)</f>
        <v>0.03</v>
      </c>
      <c r="M242" s="21" cm="1">
        <f t="array" ref="M242">Common_InputFunctions.Utility_DisplayArrayInTable(Common_SourceData.Common_SourceData_MCFTemperatureZone_Data(),Table_SourceData_Common_MCFTemperatureZone[[#Headers],[Temperature zone]],0)</f>
        <v>0.04</v>
      </c>
      <c r="N242" s="21" cm="1">
        <f t="array" ref="N242">Common_InputFunctions.Utility_DisplayArrayInTable(Common_SourceData.Common_SourceData_MCFTemperatureZone_Data(),Table_SourceData_Common_MCFTemperatureZone[[#Headers],[Temperature zone]],0)</f>
        <v>1.4999999999999999E-2</v>
      </c>
      <c r="O242" s="21" cm="1">
        <f t="array" ref="O242">Common_InputFunctions.Utility_DisplayArrayInTable(Common_SourceData.Common_SourceData_MCFTemperatureZone_Data(),Table_SourceData_Common_MCFTemperatureZone[[#Headers],[Temperature zone]],0)</f>
        <v>1.4999999999999999E-2</v>
      </c>
      <c r="P242" s="21" cm="1">
        <f t="array" ref="P242">Common_InputFunctions.Utility_DisplayArrayInTable(Common_SourceData.Common_SourceData_MCFTemperatureZone_Data(),Table_SourceData_Common_MCFTemperatureZone[[#Headers],[Temperature zone]],0)</f>
        <v>0</v>
      </c>
      <c r="Q242" s="21" cm="1">
        <f t="array" ref="Q242">Common_InputFunctions.Utility_DisplayArrayInTable(Common_SourceData.Common_SourceData_MCFTemperatureZone_Data(),Table_SourceData_Common_MCFTemperatureZone[[#Headers],[Temperature zone]],0)</f>
        <v>0</v>
      </c>
      <c r="R242" s="21" cm="1">
        <f t="array" ref="R242">Common_InputFunctions.Utility_DisplayArrayInTable(Common_SourceData.Common_SourceData_MCFTemperatureZone_Data(),Table_SourceData_Common_MCFTemperatureZone[[#Headers],[Temperature zone]],0)</f>
        <v>4.7000000000000002E-3</v>
      </c>
      <c r="S242" s="2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1" cm="1">
        <f t="array" ref="E243">Common_InputFunctions.Utility_DisplayArrayInTable(Common_SourceData.Common_SourceData_MCFTemperatureZone_Data(),Table_SourceData_Common_MCFTemperatureZone[[#Headers],[Temperature zone]],0)</f>
        <v>21</v>
      </c>
      <c r="F243" s="21" cm="1">
        <f t="array" ref="F243">Common_InputFunctions.Utility_DisplayArrayInTable(Common_SourceData.Common_SourceData_MCFTemperatureZone_Data(),Table_SourceData_Common_MCFTemperatureZone[[#Headers],[Temperature zone]],0)</f>
        <v>0.78</v>
      </c>
      <c r="G243" s="21" cm="1">
        <f t="array" ref="G243">Common_InputFunctions.Utility_DisplayArrayInTable(Common_SourceData.Common_SourceData_MCFTemperatureZone_Data(),Table_SourceData_Common_MCFTemperatureZone[[#Headers],[Temperature zone]],0)</f>
        <v>0.1</v>
      </c>
      <c r="H243" s="21" cm="1">
        <f t="array" ref="H243">Common_InputFunctions.Utility_DisplayArrayInTable(Common_SourceData.Common_SourceData_MCFTemperatureZone_Data(),Table_SourceData_Common_MCFTemperatureZone[[#Headers],[Temperature zone]],0)</f>
        <v>0.28999999999999998</v>
      </c>
      <c r="I243" s="21" cm="1">
        <f t="array" ref="I243">Common_InputFunctions.Utility_DisplayArrayInTable(Common_SourceData.Common_SourceData_MCFTemperatureZone_Data(),Table_SourceData_Common_MCFTemperatureZone[[#Headers],[Temperature zone]],0)</f>
        <v>5.0000000000000001E-3</v>
      </c>
      <c r="J243" s="21" cm="1">
        <f t="array" ref="J243">Common_InputFunctions.Utility_DisplayArrayInTable(Common_SourceData.Common_SourceData_MCFTemperatureZone_Data(),Table_SourceData_Common_MCFTemperatureZone[[#Headers],[Temperature zone]],0)</f>
        <v>0.01</v>
      </c>
      <c r="K243" s="21" cm="1">
        <f t="array" ref="K243">Common_InputFunctions.Utility_DisplayArrayInTable(Common_SourceData.Common_SourceData_MCFTemperatureZone_Data(),Table_SourceData_Common_MCFTemperatureZone[[#Headers],[Temperature zone]],0)</f>
        <v>0.02</v>
      </c>
      <c r="L243" s="21" cm="1">
        <f t="array" ref="L243">Common_InputFunctions.Utility_DisplayArrayInTable(Common_SourceData.Common_SourceData_MCFTemperatureZone_Data(),Table_SourceData_Common_MCFTemperatureZone[[#Headers],[Temperature zone]],0)</f>
        <v>0.03</v>
      </c>
      <c r="M243" s="21" cm="1">
        <f t="array" ref="M243">Common_InputFunctions.Utility_DisplayArrayInTable(Common_SourceData.Common_SourceData_MCFTemperatureZone_Data(),Table_SourceData_Common_MCFTemperatureZone[[#Headers],[Temperature zone]],0)</f>
        <v>0.04</v>
      </c>
      <c r="N243" s="21" cm="1">
        <f t="array" ref="N243">Common_InputFunctions.Utility_DisplayArrayInTable(Common_SourceData.Common_SourceData_MCFTemperatureZone_Data(),Table_SourceData_Common_MCFTemperatureZone[[#Headers],[Temperature zone]],0)</f>
        <v>1.4999999999999999E-2</v>
      </c>
      <c r="O243" s="21" cm="1">
        <f t="array" ref="O243">Common_InputFunctions.Utility_DisplayArrayInTable(Common_SourceData.Common_SourceData_MCFTemperatureZone_Data(),Table_SourceData_Common_MCFTemperatureZone[[#Headers],[Temperature zone]],0)</f>
        <v>1.4999999999999999E-2</v>
      </c>
      <c r="P243" s="21" cm="1">
        <f t="array" ref="P243">Common_InputFunctions.Utility_DisplayArrayInTable(Common_SourceData.Common_SourceData_MCFTemperatureZone_Data(),Table_SourceData_Common_MCFTemperatureZone[[#Headers],[Temperature zone]],0)</f>
        <v>0</v>
      </c>
      <c r="Q243" s="21" cm="1">
        <f t="array" ref="Q243">Common_InputFunctions.Utility_DisplayArrayInTable(Common_SourceData.Common_SourceData_MCFTemperatureZone_Data(),Table_SourceData_Common_MCFTemperatureZone[[#Headers],[Temperature zone]],0)</f>
        <v>0</v>
      </c>
      <c r="R243" s="21" cm="1">
        <f t="array" ref="R243">Common_InputFunctions.Utility_DisplayArrayInTable(Common_SourceData.Common_SourceData_MCFTemperatureZone_Data(),Table_SourceData_Common_MCFTemperatureZone[[#Headers],[Temperature zone]],0)</f>
        <v>4.7000000000000002E-3</v>
      </c>
      <c r="S243" s="2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1" cm="1">
        <f t="array" ref="E244">Common_InputFunctions.Utility_DisplayArrayInTable(Common_SourceData.Common_SourceData_MCFTemperatureZone_Data(),Table_SourceData_Common_MCFTemperatureZone[[#Headers],[Temperature zone]],0)</f>
        <v>22</v>
      </c>
      <c r="F244" s="21" cm="1">
        <f t="array" ref="F244">Common_InputFunctions.Utility_DisplayArrayInTable(Common_SourceData.Common_SourceData_MCFTemperatureZone_Data(),Table_SourceData_Common_MCFTemperatureZone[[#Headers],[Temperature zone]],0)</f>
        <v>0.78</v>
      </c>
      <c r="G244" s="21" cm="1">
        <f t="array" ref="G244">Common_InputFunctions.Utility_DisplayArrayInTable(Common_SourceData.Common_SourceData_MCFTemperatureZone_Data(),Table_SourceData_Common_MCFTemperatureZone[[#Headers],[Temperature zone]],0)</f>
        <v>0.1</v>
      </c>
      <c r="H244" s="21" cm="1">
        <f t="array" ref="H244">Common_InputFunctions.Utility_DisplayArrayInTable(Common_SourceData.Common_SourceData_MCFTemperatureZone_Data(),Table_SourceData_Common_MCFTemperatureZone[[#Headers],[Temperature zone]],0)</f>
        <v>0.31</v>
      </c>
      <c r="I244" s="21" cm="1">
        <f t="array" ref="I244">Common_InputFunctions.Utility_DisplayArrayInTable(Common_SourceData.Common_SourceData_MCFTemperatureZone_Data(),Table_SourceData_Common_MCFTemperatureZone[[#Headers],[Temperature zone]],0)</f>
        <v>5.0000000000000001E-3</v>
      </c>
      <c r="J244" s="21" cm="1">
        <f t="array" ref="J244">Common_InputFunctions.Utility_DisplayArrayInTable(Common_SourceData.Common_SourceData_MCFTemperatureZone_Data(),Table_SourceData_Common_MCFTemperatureZone[[#Headers],[Temperature zone]],0)</f>
        <v>0.01</v>
      </c>
      <c r="K244" s="21" cm="1">
        <f t="array" ref="K244">Common_InputFunctions.Utility_DisplayArrayInTable(Common_SourceData.Common_SourceData_MCFTemperatureZone_Data(),Table_SourceData_Common_MCFTemperatureZone[[#Headers],[Temperature zone]],0)</f>
        <v>0.02</v>
      </c>
      <c r="L244" s="21" cm="1">
        <f t="array" ref="L244">Common_InputFunctions.Utility_DisplayArrayInTable(Common_SourceData.Common_SourceData_MCFTemperatureZone_Data(),Table_SourceData_Common_MCFTemperatureZone[[#Headers],[Temperature zone]],0)</f>
        <v>0.03</v>
      </c>
      <c r="M244" s="21" cm="1">
        <f t="array" ref="M244">Common_InputFunctions.Utility_DisplayArrayInTable(Common_SourceData.Common_SourceData_MCFTemperatureZone_Data(),Table_SourceData_Common_MCFTemperatureZone[[#Headers],[Temperature zone]],0)</f>
        <v>0.04</v>
      </c>
      <c r="N244" s="21" cm="1">
        <f t="array" ref="N244">Common_InputFunctions.Utility_DisplayArrayInTable(Common_SourceData.Common_SourceData_MCFTemperatureZone_Data(),Table_SourceData_Common_MCFTemperatureZone[[#Headers],[Temperature zone]],0)</f>
        <v>1.4999999999999999E-2</v>
      </c>
      <c r="O244" s="21" cm="1">
        <f t="array" ref="O244">Common_InputFunctions.Utility_DisplayArrayInTable(Common_SourceData.Common_SourceData_MCFTemperatureZone_Data(),Table_SourceData_Common_MCFTemperatureZone[[#Headers],[Temperature zone]],0)</f>
        <v>1.4999999999999999E-2</v>
      </c>
      <c r="P244" s="21" cm="1">
        <f t="array" ref="P244">Common_InputFunctions.Utility_DisplayArrayInTable(Common_SourceData.Common_SourceData_MCFTemperatureZone_Data(),Table_SourceData_Common_MCFTemperatureZone[[#Headers],[Temperature zone]],0)</f>
        <v>0</v>
      </c>
      <c r="Q244" s="21" cm="1">
        <f t="array" ref="Q244">Common_InputFunctions.Utility_DisplayArrayInTable(Common_SourceData.Common_SourceData_MCFTemperatureZone_Data(),Table_SourceData_Common_MCFTemperatureZone[[#Headers],[Temperature zone]],0)</f>
        <v>0</v>
      </c>
      <c r="R244" s="21" cm="1">
        <f t="array" ref="R244">Common_InputFunctions.Utility_DisplayArrayInTable(Common_SourceData.Common_SourceData_MCFTemperatureZone_Data(),Table_SourceData_Common_MCFTemperatureZone[[#Headers],[Temperature zone]],0)</f>
        <v>4.7000000000000002E-3</v>
      </c>
      <c r="S244" s="2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1" cm="1">
        <f t="array" ref="E245">Common_InputFunctions.Utility_DisplayArrayInTable(Common_SourceData.Common_SourceData_MCFTemperatureZone_Data(),Table_SourceData_Common_MCFTemperatureZone[[#Headers],[Temperature zone]],0)</f>
        <v>23</v>
      </c>
      <c r="F245" s="21" cm="1">
        <f t="array" ref="F245">Common_InputFunctions.Utility_DisplayArrayInTable(Common_SourceData.Common_SourceData_MCFTemperatureZone_Data(),Table_SourceData_Common_MCFTemperatureZone[[#Headers],[Temperature zone]],0)</f>
        <v>0.79</v>
      </c>
      <c r="G245" s="21" cm="1">
        <f t="array" ref="G245">Common_InputFunctions.Utility_DisplayArrayInTable(Common_SourceData.Common_SourceData_MCFTemperatureZone_Data(),Table_SourceData_Common_MCFTemperatureZone[[#Headers],[Temperature zone]],0)</f>
        <v>0.1</v>
      </c>
      <c r="H245" s="21" cm="1">
        <f t="array" ref="H245">Common_InputFunctions.Utility_DisplayArrayInTable(Common_SourceData.Common_SourceData_MCFTemperatureZone_Data(),Table_SourceData_Common_MCFTemperatureZone[[#Headers],[Temperature zone]],0)</f>
        <v>0.34</v>
      </c>
      <c r="I245" s="21" cm="1">
        <f t="array" ref="I245">Common_InputFunctions.Utility_DisplayArrayInTable(Common_SourceData.Common_SourceData_MCFTemperatureZone_Data(),Table_SourceData_Common_MCFTemperatureZone[[#Headers],[Temperature zone]],0)</f>
        <v>5.0000000000000001E-3</v>
      </c>
      <c r="J245" s="21" cm="1">
        <f t="array" ref="J245">Common_InputFunctions.Utility_DisplayArrayInTable(Common_SourceData.Common_SourceData_MCFTemperatureZone_Data(),Table_SourceData_Common_MCFTemperatureZone[[#Headers],[Temperature zone]],0)</f>
        <v>0.01</v>
      </c>
      <c r="K245" s="21" cm="1">
        <f t="array" ref="K245">Common_InputFunctions.Utility_DisplayArrayInTable(Common_SourceData.Common_SourceData_MCFTemperatureZone_Data(),Table_SourceData_Common_MCFTemperatureZone[[#Headers],[Temperature zone]],0)</f>
        <v>0.02</v>
      </c>
      <c r="L245" s="21" cm="1">
        <f t="array" ref="L245">Common_InputFunctions.Utility_DisplayArrayInTable(Common_SourceData.Common_SourceData_MCFTemperatureZone_Data(),Table_SourceData_Common_MCFTemperatureZone[[#Headers],[Temperature zone]],0)</f>
        <v>0.03</v>
      </c>
      <c r="M245" s="21" cm="1">
        <f t="array" ref="M245">Common_InputFunctions.Utility_DisplayArrayInTable(Common_SourceData.Common_SourceData_MCFTemperatureZone_Data(),Table_SourceData_Common_MCFTemperatureZone[[#Headers],[Temperature zone]],0)</f>
        <v>0.04</v>
      </c>
      <c r="N245" s="21" cm="1">
        <f t="array" ref="N245">Common_InputFunctions.Utility_DisplayArrayInTable(Common_SourceData.Common_SourceData_MCFTemperatureZone_Data(),Table_SourceData_Common_MCFTemperatureZone[[#Headers],[Temperature zone]],0)</f>
        <v>1.4999999999999999E-2</v>
      </c>
      <c r="O245" s="21" cm="1">
        <f t="array" ref="O245">Common_InputFunctions.Utility_DisplayArrayInTable(Common_SourceData.Common_SourceData_MCFTemperatureZone_Data(),Table_SourceData_Common_MCFTemperatureZone[[#Headers],[Temperature zone]],0)</f>
        <v>1.4999999999999999E-2</v>
      </c>
      <c r="P245" s="21" cm="1">
        <f t="array" ref="P245">Common_InputFunctions.Utility_DisplayArrayInTable(Common_SourceData.Common_SourceData_MCFTemperatureZone_Data(),Table_SourceData_Common_MCFTemperatureZone[[#Headers],[Temperature zone]],0)</f>
        <v>0</v>
      </c>
      <c r="Q245" s="21" cm="1">
        <f t="array" ref="Q245">Common_InputFunctions.Utility_DisplayArrayInTable(Common_SourceData.Common_SourceData_MCFTemperatureZone_Data(),Table_SourceData_Common_MCFTemperatureZone[[#Headers],[Temperature zone]],0)</f>
        <v>0</v>
      </c>
      <c r="R245" s="21" cm="1">
        <f t="array" ref="R245">Common_InputFunctions.Utility_DisplayArrayInTable(Common_SourceData.Common_SourceData_MCFTemperatureZone_Data(),Table_SourceData_Common_MCFTemperatureZone[[#Headers],[Temperature zone]],0)</f>
        <v>4.7000000000000002E-3</v>
      </c>
      <c r="S245" s="2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1" cm="1">
        <f t="array" ref="E246">Common_InputFunctions.Utility_DisplayArrayInTable(Common_SourceData.Common_SourceData_MCFTemperatureZone_Data(),Table_SourceData_Common_MCFTemperatureZone[[#Headers],[Temperature zone]],0)</f>
        <v>24</v>
      </c>
      <c r="F246" s="21" cm="1">
        <f t="array" ref="F246">Common_InputFunctions.Utility_DisplayArrayInTable(Common_SourceData.Common_SourceData_MCFTemperatureZone_Data(),Table_SourceData_Common_MCFTemperatureZone[[#Headers],[Temperature zone]],0)</f>
        <v>0.79</v>
      </c>
      <c r="G246" s="21" cm="1">
        <f t="array" ref="G246">Common_InputFunctions.Utility_DisplayArrayInTable(Common_SourceData.Common_SourceData_MCFTemperatureZone_Data(),Table_SourceData_Common_MCFTemperatureZone[[#Headers],[Temperature zone]],0)</f>
        <v>0.1</v>
      </c>
      <c r="H246" s="21" cm="1">
        <f t="array" ref="H246">Common_InputFunctions.Utility_DisplayArrayInTable(Common_SourceData.Common_SourceData_MCFTemperatureZone_Data(),Table_SourceData_Common_MCFTemperatureZone[[#Headers],[Temperature zone]],0)</f>
        <v>0.37</v>
      </c>
      <c r="I246" s="21" cm="1">
        <f t="array" ref="I246">Common_InputFunctions.Utility_DisplayArrayInTable(Common_SourceData.Common_SourceData_MCFTemperatureZone_Data(),Table_SourceData_Common_MCFTemperatureZone[[#Headers],[Temperature zone]],0)</f>
        <v>5.0000000000000001E-3</v>
      </c>
      <c r="J246" s="21" cm="1">
        <f t="array" ref="J246">Common_InputFunctions.Utility_DisplayArrayInTable(Common_SourceData.Common_SourceData_MCFTemperatureZone_Data(),Table_SourceData_Common_MCFTemperatureZone[[#Headers],[Temperature zone]],0)</f>
        <v>0.01</v>
      </c>
      <c r="K246" s="21" cm="1">
        <f t="array" ref="K246">Common_InputFunctions.Utility_DisplayArrayInTable(Common_SourceData.Common_SourceData_MCFTemperatureZone_Data(),Table_SourceData_Common_MCFTemperatureZone[[#Headers],[Temperature zone]],0)</f>
        <v>0.02</v>
      </c>
      <c r="L246" s="21" cm="1">
        <f t="array" ref="L246">Common_InputFunctions.Utility_DisplayArrayInTable(Common_SourceData.Common_SourceData_MCFTemperatureZone_Data(),Table_SourceData_Common_MCFTemperatureZone[[#Headers],[Temperature zone]],0)</f>
        <v>0.03</v>
      </c>
      <c r="M246" s="21" cm="1">
        <f t="array" ref="M246">Common_InputFunctions.Utility_DisplayArrayInTable(Common_SourceData.Common_SourceData_MCFTemperatureZone_Data(),Table_SourceData_Common_MCFTemperatureZone[[#Headers],[Temperature zone]],0)</f>
        <v>0.04</v>
      </c>
      <c r="N246" s="21" cm="1">
        <f t="array" ref="N246">Common_InputFunctions.Utility_DisplayArrayInTable(Common_SourceData.Common_SourceData_MCFTemperatureZone_Data(),Table_SourceData_Common_MCFTemperatureZone[[#Headers],[Temperature zone]],0)</f>
        <v>1.4999999999999999E-2</v>
      </c>
      <c r="O246" s="21" cm="1">
        <f t="array" ref="O246">Common_InputFunctions.Utility_DisplayArrayInTable(Common_SourceData.Common_SourceData_MCFTemperatureZone_Data(),Table_SourceData_Common_MCFTemperatureZone[[#Headers],[Temperature zone]],0)</f>
        <v>1.4999999999999999E-2</v>
      </c>
      <c r="P246" s="21" cm="1">
        <f t="array" ref="P246">Common_InputFunctions.Utility_DisplayArrayInTable(Common_SourceData.Common_SourceData_MCFTemperatureZone_Data(),Table_SourceData_Common_MCFTemperatureZone[[#Headers],[Temperature zone]],0)</f>
        <v>0</v>
      </c>
      <c r="Q246" s="21" cm="1">
        <f t="array" ref="Q246">Common_InputFunctions.Utility_DisplayArrayInTable(Common_SourceData.Common_SourceData_MCFTemperatureZone_Data(),Table_SourceData_Common_MCFTemperatureZone[[#Headers],[Temperature zone]],0)</f>
        <v>0</v>
      </c>
      <c r="R246" s="21" cm="1">
        <f t="array" ref="R246">Common_InputFunctions.Utility_DisplayArrayInTable(Common_SourceData.Common_SourceData_MCFTemperatureZone_Data(),Table_SourceData_Common_MCFTemperatureZone[[#Headers],[Temperature zone]],0)</f>
        <v>4.7000000000000002E-3</v>
      </c>
      <c r="S246" s="2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1" cm="1">
        <f t="array" ref="E247">Common_InputFunctions.Utility_DisplayArrayInTable(Common_SourceData.Common_SourceData_MCFTemperatureZone_Data(),Table_SourceData_Common_MCFTemperatureZone[[#Headers],[Temperature zone]],0)</f>
        <v>25</v>
      </c>
      <c r="F247" s="21" cm="1">
        <f t="array" ref="F247">Common_InputFunctions.Utility_DisplayArrayInTable(Common_SourceData.Common_SourceData_MCFTemperatureZone_Data(),Table_SourceData_Common_MCFTemperatureZone[[#Headers],[Temperature zone]],0)</f>
        <v>0.79</v>
      </c>
      <c r="G247" s="21" cm="1">
        <f t="array" ref="G247">Common_InputFunctions.Utility_DisplayArrayInTable(Common_SourceData.Common_SourceData_MCFTemperatureZone_Data(),Table_SourceData_Common_MCFTemperatureZone[[#Headers],[Temperature zone]],0)</f>
        <v>0.1</v>
      </c>
      <c r="H247" s="21" cm="1">
        <f t="array" ref="H247">Common_InputFunctions.Utility_DisplayArrayInTable(Common_SourceData.Common_SourceData_MCFTemperatureZone_Data(),Table_SourceData_Common_MCFTemperatureZone[[#Headers],[Temperature zone]],0)</f>
        <v>0.41</v>
      </c>
      <c r="I247" s="21" cm="1">
        <f t="array" ref="I247">Common_InputFunctions.Utility_DisplayArrayInTable(Common_SourceData.Common_SourceData_MCFTemperatureZone_Data(),Table_SourceData_Common_MCFTemperatureZone[[#Headers],[Temperature zone]],0)</f>
        <v>5.0000000000000001E-3</v>
      </c>
      <c r="J247" s="21" cm="1">
        <f t="array" ref="J247">Common_InputFunctions.Utility_DisplayArrayInTable(Common_SourceData.Common_SourceData_MCFTemperatureZone_Data(),Table_SourceData_Common_MCFTemperatureZone[[#Headers],[Temperature zone]],0)</f>
        <v>0.01</v>
      </c>
      <c r="K247" s="21" cm="1">
        <f t="array" ref="K247">Common_InputFunctions.Utility_DisplayArrayInTable(Common_SourceData.Common_SourceData_MCFTemperatureZone_Data(),Table_SourceData_Common_MCFTemperatureZone[[#Headers],[Temperature zone]],0)</f>
        <v>0.02</v>
      </c>
      <c r="L247" s="21" cm="1">
        <f t="array" ref="L247">Common_InputFunctions.Utility_DisplayArrayInTable(Common_SourceData.Common_SourceData_MCFTemperatureZone_Data(),Table_SourceData_Common_MCFTemperatureZone[[#Headers],[Temperature zone]],0)</f>
        <v>0.03</v>
      </c>
      <c r="M247" s="21" cm="1">
        <f t="array" ref="M247">Common_InputFunctions.Utility_DisplayArrayInTable(Common_SourceData.Common_SourceData_MCFTemperatureZone_Data(),Table_SourceData_Common_MCFTemperatureZone[[#Headers],[Temperature zone]],0)</f>
        <v>0.04</v>
      </c>
      <c r="N247" s="21" cm="1">
        <f t="array" ref="N247">Common_InputFunctions.Utility_DisplayArrayInTable(Common_SourceData.Common_SourceData_MCFTemperatureZone_Data(),Table_SourceData_Common_MCFTemperatureZone[[#Headers],[Temperature zone]],0)</f>
        <v>1.4999999999999999E-2</v>
      </c>
      <c r="O247" s="21" cm="1">
        <f t="array" ref="O247">Common_InputFunctions.Utility_DisplayArrayInTable(Common_SourceData.Common_SourceData_MCFTemperatureZone_Data(),Table_SourceData_Common_MCFTemperatureZone[[#Headers],[Temperature zone]],0)</f>
        <v>1.4999999999999999E-2</v>
      </c>
      <c r="P247" s="21" cm="1">
        <f t="array" ref="P247">Common_InputFunctions.Utility_DisplayArrayInTable(Common_SourceData.Common_SourceData_MCFTemperatureZone_Data(),Table_SourceData_Common_MCFTemperatureZone[[#Headers],[Temperature zone]],0)</f>
        <v>0</v>
      </c>
      <c r="Q247" s="21" cm="1">
        <f t="array" ref="Q247">Common_InputFunctions.Utility_DisplayArrayInTable(Common_SourceData.Common_SourceData_MCFTemperatureZone_Data(),Table_SourceData_Common_MCFTemperatureZone[[#Headers],[Temperature zone]],0)</f>
        <v>0</v>
      </c>
      <c r="R247" s="21" cm="1">
        <f t="array" ref="R247">Common_InputFunctions.Utility_DisplayArrayInTable(Common_SourceData.Common_SourceData_MCFTemperatureZone_Data(),Table_SourceData_Common_MCFTemperatureZone[[#Headers],[Temperature zone]],0)</f>
        <v>4.7000000000000002E-3</v>
      </c>
      <c r="S247" s="2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1" cm="1">
        <f t="array" ref="E248">Common_InputFunctions.Utility_DisplayArrayInTable(Common_SourceData.Common_SourceData_MCFTemperatureZone_Data(),Table_SourceData_Common_MCFTemperatureZone[[#Headers],[Temperature zone]],0)</f>
        <v>26</v>
      </c>
      <c r="F248" s="21" cm="1">
        <f t="array" ref="F248">Common_InputFunctions.Utility_DisplayArrayInTable(Common_SourceData.Common_SourceData_MCFTemperatureZone_Data(),Table_SourceData_Common_MCFTemperatureZone[[#Headers],[Temperature zone]],0)</f>
        <v>0.79</v>
      </c>
      <c r="G248" s="21" cm="1">
        <f t="array" ref="G248">Common_InputFunctions.Utility_DisplayArrayInTable(Common_SourceData.Common_SourceData_MCFTemperatureZone_Data(),Table_SourceData_Common_MCFTemperatureZone[[#Headers],[Temperature zone]],0)</f>
        <v>0.1</v>
      </c>
      <c r="H248" s="21" cm="1">
        <f t="array" ref="H248">Common_InputFunctions.Utility_DisplayArrayInTable(Common_SourceData.Common_SourceData_MCFTemperatureZone_Data(),Table_SourceData_Common_MCFTemperatureZone[[#Headers],[Temperature zone]],0)</f>
        <v>0.44</v>
      </c>
      <c r="I248" s="21" cm="1">
        <f t="array" ref="I248">Common_InputFunctions.Utility_DisplayArrayInTable(Common_SourceData.Common_SourceData_MCFTemperatureZone_Data(),Table_SourceData_Common_MCFTemperatureZone[[#Headers],[Temperature zone]],0)</f>
        <v>0.01</v>
      </c>
      <c r="J248" s="21" cm="1">
        <f t="array" ref="J248">Common_InputFunctions.Utility_DisplayArrayInTable(Common_SourceData.Common_SourceData_MCFTemperatureZone_Data(),Table_SourceData_Common_MCFTemperatureZone[[#Headers],[Temperature zone]],0)</f>
        <v>1.4999999999999999E-2</v>
      </c>
      <c r="K248" s="21" cm="1">
        <f t="array" ref="K248">Common_InputFunctions.Utility_DisplayArrayInTable(Common_SourceData.Common_SourceData_MCFTemperatureZone_Data(),Table_SourceData_Common_MCFTemperatureZone[[#Headers],[Temperature zone]],0)</f>
        <v>0.02</v>
      </c>
      <c r="L248" s="21" cm="1">
        <f t="array" ref="L248">Common_InputFunctions.Utility_DisplayArrayInTable(Common_SourceData.Common_SourceData_MCFTemperatureZone_Data(),Table_SourceData_Common_MCFTemperatureZone[[#Headers],[Temperature zone]],0)</f>
        <v>0.03</v>
      </c>
      <c r="M248" s="21" cm="1">
        <f t="array" ref="M248">Common_InputFunctions.Utility_DisplayArrayInTable(Common_SourceData.Common_SourceData_MCFTemperatureZone_Data(),Table_SourceData_Common_MCFTemperatureZone[[#Headers],[Temperature zone]],0)</f>
        <v>0.04</v>
      </c>
      <c r="N248" s="21" cm="1">
        <f t="array" ref="N248">Common_InputFunctions.Utility_DisplayArrayInTable(Common_SourceData.Common_SourceData_MCFTemperatureZone_Data(),Table_SourceData_Common_MCFTemperatureZone[[#Headers],[Temperature zone]],0)</f>
        <v>1.4999999999999999E-2</v>
      </c>
      <c r="O248" s="21" cm="1">
        <f t="array" ref="O248">Common_InputFunctions.Utility_DisplayArrayInTable(Common_SourceData.Common_SourceData_MCFTemperatureZone_Data(),Table_SourceData_Common_MCFTemperatureZone[[#Headers],[Temperature zone]],0)</f>
        <v>1.4999999999999999E-2</v>
      </c>
      <c r="P248" s="21" cm="1">
        <f t="array" ref="P248">Common_InputFunctions.Utility_DisplayArrayInTable(Common_SourceData.Common_SourceData_MCFTemperatureZone_Data(),Table_SourceData_Common_MCFTemperatureZone[[#Headers],[Temperature zone]],0)</f>
        <v>0</v>
      </c>
      <c r="Q248" s="21" cm="1">
        <f t="array" ref="Q248">Common_InputFunctions.Utility_DisplayArrayInTable(Common_SourceData.Common_SourceData_MCFTemperatureZone_Data(),Table_SourceData_Common_MCFTemperatureZone[[#Headers],[Temperature zone]],0)</f>
        <v>0</v>
      </c>
      <c r="R248" s="21" cm="1">
        <f t="array" ref="R248">Common_InputFunctions.Utility_DisplayArrayInTable(Common_SourceData.Common_SourceData_MCFTemperatureZone_Data(),Table_SourceData_Common_MCFTemperatureZone[[#Headers],[Temperature zone]],0)</f>
        <v>4.7000000000000002E-3</v>
      </c>
      <c r="S248" s="2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1" cm="1">
        <f t="array" ref="E249">Common_InputFunctions.Utility_DisplayArrayInTable(Common_SourceData.Common_SourceData_MCFTemperatureZone_Data(),Table_SourceData_Common_MCFTemperatureZone[[#Headers],[Temperature zone]],0)</f>
        <v>27</v>
      </c>
      <c r="F249" s="21" cm="1">
        <f t="array" ref="F249">Common_InputFunctions.Utility_DisplayArrayInTable(Common_SourceData.Common_SourceData_MCFTemperatureZone_Data(),Table_SourceData_Common_MCFTemperatureZone[[#Headers],[Temperature zone]],0)</f>
        <v>0.8</v>
      </c>
      <c r="G249" s="21" cm="1">
        <f t="array" ref="G249">Common_InputFunctions.Utility_DisplayArrayInTable(Common_SourceData.Common_SourceData_MCFTemperatureZone_Data(),Table_SourceData_Common_MCFTemperatureZone[[#Headers],[Temperature zone]],0)</f>
        <v>0.1</v>
      </c>
      <c r="H249" s="21" cm="1">
        <f t="array" ref="H249">Common_InputFunctions.Utility_DisplayArrayInTable(Common_SourceData.Common_SourceData_MCFTemperatureZone_Data(),Table_SourceData_Common_MCFTemperatureZone[[#Headers],[Temperature zone]],0)</f>
        <v>0.48</v>
      </c>
      <c r="I249" s="21" cm="1">
        <f t="array" ref="I249">Common_InputFunctions.Utility_DisplayArrayInTable(Common_SourceData.Common_SourceData_MCFTemperatureZone_Data(),Table_SourceData_Common_MCFTemperatureZone[[#Headers],[Temperature zone]],0)</f>
        <v>0.01</v>
      </c>
      <c r="J249" s="21" cm="1">
        <f t="array" ref="J249">Common_InputFunctions.Utility_DisplayArrayInTable(Common_SourceData.Common_SourceData_MCFTemperatureZone_Data(),Table_SourceData_Common_MCFTemperatureZone[[#Headers],[Temperature zone]],0)</f>
        <v>1.4999999999999999E-2</v>
      </c>
      <c r="K249" s="21" cm="1">
        <f t="array" ref="K249">Common_InputFunctions.Utility_DisplayArrayInTable(Common_SourceData.Common_SourceData_MCFTemperatureZone_Data(),Table_SourceData_Common_MCFTemperatureZone[[#Headers],[Temperature zone]],0)</f>
        <v>0.02</v>
      </c>
      <c r="L249" s="21" cm="1">
        <f t="array" ref="L249">Common_InputFunctions.Utility_DisplayArrayInTable(Common_SourceData.Common_SourceData_MCFTemperatureZone_Data(),Table_SourceData_Common_MCFTemperatureZone[[#Headers],[Temperature zone]],0)</f>
        <v>0.03</v>
      </c>
      <c r="M249" s="21" cm="1">
        <f t="array" ref="M249">Common_InputFunctions.Utility_DisplayArrayInTable(Common_SourceData.Common_SourceData_MCFTemperatureZone_Data(),Table_SourceData_Common_MCFTemperatureZone[[#Headers],[Temperature zone]],0)</f>
        <v>0.04</v>
      </c>
      <c r="N249" s="21" cm="1">
        <f t="array" ref="N249">Common_InputFunctions.Utility_DisplayArrayInTable(Common_SourceData.Common_SourceData_MCFTemperatureZone_Data(),Table_SourceData_Common_MCFTemperatureZone[[#Headers],[Temperature zone]],0)</f>
        <v>1.4999999999999999E-2</v>
      </c>
      <c r="O249" s="21" cm="1">
        <f t="array" ref="O249">Common_InputFunctions.Utility_DisplayArrayInTable(Common_SourceData.Common_SourceData_MCFTemperatureZone_Data(),Table_SourceData_Common_MCFTemperatureZone[[#Headers],[Temperature zone]],0)</f>
        <v>1.4999999999999999E-2</v>
      </c>
      <c r="P249" s="21" cm="1">
        <f t="array" ref="P249">Common_InputFunctions.Utility_DisplayArrayInTable(Common_SourceData.Common_SourceData_MCFTemperatureZone_Data(),Table_SourceData_Common_MCFTemperatureZone[[#Headers],[Temperature zone]],0)</f>
        <v>0</v>
      </c>
      <c r="Q249" s="21" cm="1">
        <f t="array" ref="Q249">Common_InputFunctions.Utility_DisplayArrayInTable(Common_SourceData.Common_SourceData_MCFTemperatureZone_Data(),Table_SourceData_Common_MCFTemperatureZone[[#Headers],[Temperature zone]],0)</f>
        <v>0</v>
      </c>
      <c r="R249" s="21" cm="1">
        <f t="array" ref="R249">Common_InputFunctions.Utility_DisplayArrayInTable(Common_SourceData.Common_SourceData_MCFTemperatureZone_Data(),Table_SourceData_Common_MCFTemperatureZone[[#Headers],[Temperature zone]],0)</f>
        <v>4.7000000000000002E-3</v>
      </c>
      <c r="S249" s="2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1" t="str" cm="1">
        <f t="array" ref="E250">Common_InputFunctions.Utility_DisplayArrayInTable(Common_SourceData.Common_SourceData_MCFTemperatureZone_Data(),Table_SourceData_Common_MCFTemperatureZone[[#Headers],[Temperature zone]],0)</f>
        <v>≥28</v>
      </c>
      <c r="F250" s="21" cm="1">
        <f t="array" ref="F250">Common_InputFunctions.Utility_DisplayArrayInTable(Common_SourceData.Common_SourceData_MCFTemperatureZone_Data(),Table_SourceData_Common_MCFTemperatureZone[[#Headers],[Temperature zone]],0)</f>
        <v>0.8</v>
      </c>
      <c r="G250" s="21" cm="1">
        <f t="array" ref="G250">Common_InputFunctions.Utility_DisplayArrayInTable(Common_SourceData.Common_SourceData_MCFTemperatureZone_Data(),Table_SourceData_Common_MCFTemperatureZone[[#Headers],[Temperature zone]],0)</f>
        <v>0.1</v>
      </c>
      <c r="H250" s="21" cm="1">
        <f t="array" ref="H250">Common_InputFunctions.Utility_DisplayArrayInTable(Common_SourceData.Common_SourceData_MCFTemperatureZone_Data(),Table_SourceData_Common_MCFTemperatureZone[[#Headers],[Temperature zone]],0)</f>
        <v>0.5</v>
      </c>
      <c r="I250" s="21" cm="1">
        <f t="array" ref="I250">Common_InputFunctions.Utility_DisplayArrayInTable(Common_SourceData.Common_SourceData_MCFTemperatureZone_Data(),Table_SourceData_Common_MCFTemperatureZone[[#Headers],[Temperature zone]],0)</f>
        <v>0.01</v>
      </c>
      <c r="J250" s="21" cm="1">
        <f t="array" ref="J250">Common_InputFunctions.Utility_DisplayArrayInTable(Common_SourceData.Common_SourceData_MCFTemperatureZone_Data(),Table_SourceData_Common_MCFTemperatureZone[[#Headers],[Temperature zone]],0)</f>
        <v>1.4999999999999999E-2</v>
      </c>
      <c r="K250" s="21" cm="1">
        <f t="array" ref="K250">Common_InputFunctions.Utility_DisplayArrayInTable(Common_SourceData.Common_SourceData_MCFTemperatureZone_Data(),Table_SourceData_Common_MCFTemperatureZone[[#Headers],[Temperature zone]],0)</f>
        <v>0.02</v>
      </c>
      <c r="L250" s="21" cm="1">
        <f t="array" ref="L250">Common_InputFunctions.Utility_DisplayArrayInTable(Common_SourceData.Common_SourceData_MCFTemperatureZone_Data(),Table_SourceData_Common_MCFTemperatureZone[[#Headers],[Temperature zone]],0)</f>
        <v>0.03</v>
      </c>
      <c r="M250" s="21" cm="1">
        <f t="array" ref="M250">Common_InputFunctions.Utility_DisplayArrayInTable(Common_SourceData.Common_SourceData_MCFTemperatureZone_Data(),Table_SourceData_Common_MCFTemperatureZone[[#Headers],[Temperature zone]],0)</f>
        <v>0.04</v>
      </c>
      <c r="N250" s="21" cm="1">
        <f t="array" ref="N250">Common_InputFunctions.Utility_DisplayArrayInTable(Common_SourceData.Common_SourceData_MCFTemperatureZone_Data(),Table_SourceData_Common_MCFTemperatureZone[[#Headers],[Temperature zone]],0)</f>
        <v>1.4999999999999999E-2</v>
      </c>
      <c r="O250" s="21" cm="1">
        <f t="array" ref="O250">Common_InputFunctions.Utility_DisplayArrayInTable(Common_SourceData.Common_SourceData_MCFTemperatureZone_Data(),Table_SourceData_Common_MCFTemperatureZone[[#Headers],[Temperature zone]],0)</f>
        <v>1.4999999999999999E-2</v>
      </c>
      <c r="P250" s="21" cm="1">
        <f t="array" ref="P250">Common_InputFunctions.Utility_DisplayArrayInTable(Common_SourceData.Common_SourceData_MCFTemperatureZone_Data(),Table_SourceData_Common_MCFTemperatureZone[[#Headers],[Temperature zone]],0)</f>
        <v>0</v>
      </c>
      <c r="Q250" s="21" cm="1">
        <f t="array" ref="Q250">Common_InputFunctions.Utility_DisplayArrayInTable(Common_SourceData.Common_SourceData_MCFTemperatureZone_Data(),Table_SourceData_Common_MCFTemperatureZone[[#Headers],[Temperature zone]],0)</f>
        <v>0</v>
      </c>
      <c r="R250" s="21" cm="1">
        <f t="array" ref="R250">Common_InputFunctions.Utility_DisplayArrayInTable(Common_SourceData.Common_SourceData_MCFTemperatureZone_Data(),Table_SourceData_Common_MCFTemperatureZone[[#Headers],[Temperature zone]],0)</f>
        <v>4.7000000000000002E-3</v>
      </c>
      <c r="S250" s="21"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0" t="str" cm="1">
        <f t="array" ref="D256">Common_SourceData.Common_SourceData_EFOrganicFertiliserAndCropResidues_Unit()</f>
        <v>kg N2O - N / kg N</v>
      </c>
    </row>
    <row r="257" spans="4:66" x14ac:dyDescent="0.25">
      <c r="D257" s="21" t="s">
        <v>85</v>
      </c>
      <c r="E257" s="21" t="s">
        <v>86</v>
      </c>
    </row>
    <row r="258" spans="4:66" x14ac:dyDescent="0.25">
      <c r="D258" s="21" t="str" cm="1">
        <f t="array" ref="D258">Common_InputFunctions.Utility_DisplayArrayInTable(Common_SourceData.Common_SourceData_EFOrganicFertiliserAndCropResidues_Data(), Table_SourceData_Common_EFOrganicFertCropResidues[[#Headers],[Climate Zone]], 0)</f>
        <v>Wet climate zone</v>
      </c>
      <c r="E258" s="21"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1"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190</v>
      </c>
    </row>
    <row r="264" spans="4:66" x14ac:dyDescent="0.25">
      <c r="D264" s="1" t="s">
        <v>191</v>
      </c>
    </row>
    <row r="265" spans="4:66" x14ac:dyDescent="0.25">
      <c r="D265" s="21" t="s">
        <v>234</v>
      </c>
      <c r="E265" s="21" t="s">
        <v>192</v>
      </c>
      <c r="F265" s="21" t="s">
        <v>193</v>
      </c>
      <c r="G265" s="21" t="s">
        <v>186</v>
      </c>
      <c r="V265" s="1"/>
      <c r="BN265" s="23"/>
    </row>
    <row r="266" spans="4:66" x14ac:dyDescent="0.25">
      <c r="D266" s="21" t="s">
        <v>235</v>
      </c>
      <c r="E266" s="21" t="s">
        <v>194</v>
      </c>
      <c r="F266" s="21" t="s">
        <v>195</v>
      </c>
      <c r="G266" s="21">
        <v>5</v>
      </c>
      <c r="V266" s="1"/>
      <c r="BN266" s="23"/>
    </row>
    <row r="267" spans="4:66" x14ac:dyDescent="0.25">
      <c r="D267" s="21" t="s">
        <v>236</v>
      </c>
      <c r="E267" s="21" t="s">
        <v>196</v>
      </c>
      <c r="F267" s="21" t="s">
        <v>187</v>
      </c>
      <c r="G267" s="21">
        <v>4</v>
      </c>
      <c r="V267" s="1"/>
      <c r="BN267" s="23"/>
    </row>
    <row r="268" spans="4:66" x14ac:dyDescent="0.25">
      <c r="D268" s="21" t="s">
        <v>237</v>
      </c>
      <c r="E268" s="21" t="s">
        <v>197</v>
      </c>
      <c r="F268" s="21" t="s">
        <v>198</v>
      </c>
      <c r="G268" s="21">
        <v>3</v>
      </c>
      <c r="V268" s="1"/>
      <c r="BN268" s="23"/>
    </row>
    <row r="269" spans="4:66" x14ac:dyDescent="0.25">
      <c r="D269" s="21" t="s">
        <v>238</v>
      </c>
      <c r="E269" s="21" t="s">
        <v>199</v>
      </c>
      <c r="F269" s="21" t="s">
        <v>200</v>
      </c>
      <c r="G269" s="21">
        <v>2</v>
      </c>
      <c r="V269" s="1"/>
      <c r="BN269" s="23"/>
    </row>
    <row r="270" spans="4:66" x14ac:dyDescent="0.25">
      <c r="D270" s="21" t="s">
        <v>239</v>
      </c>
      <c r="E270" s="21" t="s">
        <v>201</v>
      </c>
      <c r="F270" s="21" t="s">
        <v>202</v>
      </c>
      <c r="G270" s="21">
        <v>1</v>
      </c>
      <c r="V270" s="1"/>
      <c r="BN270" s="23"/>
    </row>
    <row r="273" spans="4:66" x14ac:dyDescent="0.25">
      <c r="D273" s="1" t="s">
        <v>203</v>
      </c>
    </row>
    <row r="274" spans="4:66" x14ac:dyDescent="0.25">
      <c r="D274" s="21" t="s">
        <v>234</v>
      </c>
      <c r="E274" s="21" t="s">
        <v>192</v>
      </c>
      <c r="F274" s="21" t="s">
        <v>193</v>
      </c>
      <c r="G274" s="21" t="s">
        <v>186</v>
      </c>
      <c r="V274" s="1"/>
      <c r="BN274" s="23"/>
    </row>
    <row r="275" spans="4:66" x14ac:dyDescent="0.25">
      <c r="D275" s="21" t="s">
        <v>240</v>
      </c>
      <c r="E275" s="21" t="s">
        <v>204</v>
      </c>
      <c r="F275" s="21" t="s">
        <v>188</v>
      </c>
      <c r="G275" s="21">
        <v>5</v>
      </c>
      <c r="V275" s="1"/>
      <c r="BN275" s="23"/>
    </row>
    <row r="276" spans="4:66" x14ac:dyDescent="0.25">
      <c r="D276" s="21" t="s">
        <v>241</v>
      </c>
      <c r="E276" s="21" t="s">
        <v>205</v>
      </c>
      <c r="F276" s="21" t="s">
        <v>206</v>
      </c>
      <c r="G276" s="21">
        <v>4</v>
      </c>
      <c r="V276" s="1"/>
      <c r="BN276" s="23"/>
    </row>
    <row r="277" spans="4:66" x14ac:dyDescent="0.25">
      <c r="D277" s="21" t="s">
        <v>242</v>
      </c>
      <c r="E277" s="21" t="s">
        <v>207</v>
      </c>
      <c r="F277" s="21" t="s">
        <v>208</v>
      </c>
      <c r="G277" s="21">
        <v>3</v>
      </c>
      <c r="V277" s="1"/>
      <c r="BN277" s="23"/>
    </row>
    <row r="278" spans="4:66" x14ac:dyDescent="0.25">
      <c r="D278" s="21" t="s">
        <v>243</v>
      </c>
      <c r="E278" s="21" t="s">
        <v>209</v>
      </c>
      <c r="F278" s="21" t="s">
        <v>210</v>
      </c>
      <c r="G278" s="21">
        <v>2</v>
      </c>
      <c r="V278" s="1"/>
      <c r="BN278" s="23"/>
    </row>
    <row r="279" spans="4:66" x14ac:dyDescent="0.25">
      <c r="D279" s="21" t="s">
        <v>244</v>
      </c>
      <c r="E279" s="21" t="s">
        <v>211</v>
      </c>
      <c r="F279" s="21" t="s">
        <v>212</v>
      </c>
      <c r="G279" s="21">
        <v>1</v>
      </c>
      <c r="V279" s="1"/>
      <c r="BN279" s="23"/>
    </row>
    <row r="282" spans="4:66" x14ac:dyDescent="0.25">
      <c r="D282" s="1" t="s">
        <v>213</v>
      </c>
    </row>
    <row r="283" spans="4:66" x14ac:dyDescent="0.25">
      <c r="D283" s="21" t="s">
        <v>234</v>
      </c>
      <c r="E283" s="21" t="s">
        <v>192</v>
      </c>
      <c r="F283" s="21" t="s">
        <v>193</v>
      </c>
      <c r="G283" s="21" t="s">
        <v>186</v>
      </c>
      <c r="V283" s="1"/>
      <c r="BN283" s="23"/>
    </row>
    <row r="284" spans="4:66" x14ac:dyDescent="0.25">
      <c r="D284" s="21" t="s">
        <v>245</v>
      </c>
      <c r="E284" s="21" t="s">
        <v>214</v>
      </c>
      <c r="F284" s="21" t="s">
        <v>215</v>
      </c>
      <c r="G284" s="21">
        <v>5</v>
      </c>
      <c r="V284" s="1"/>
      <c r="BN284" s="23"/>
    </row>
    <row r="285" spans="4:66" x14ac:dyDescent="0.25">
      <c r="D285" s="21" t="s">
        <v>246</v>
      </c>
      <c r="E285" s="21" t="s">
        <v>216</v>
      </c>
      <c r="F285" s="21" t="s">
        <v>217</v>
      </c>
      <c r="G285" s="21">
        <v>4</v>
      </c>
      <c r="V285" s="1"/>
      <c r="BN285" s="23"/>
    </row>
    <row r="286" spans="4:66" x14ac:dyDescent="0.25">
      <c r="D286" s="21" t="s">
        <v>247</v>
      </c>
      <c r="E286" s="21" t="s">
        <v>218</v>
      </c>
      <c r="F286" s="21" t="s">
        <v>189</v>
      </c>
      <c r="G286" s="21">
        <v>3</v>
      </c>
      <c r="V286" s="1"/>
      <c r="BN286" s="23"/>
    </row>
    <row r="287" spans="4:66" x14ac:dyDescent="0.25">
      <c r="D287" s="21" t="s">
        <v>248</v>
      </c>
      <c r="E287" s="21" t="s">
        <v>219</v>
      </c>
      <c r="F287" s="21" t="s">
        <v>220</v>
      </c>
      <c r="G287" s="21">
        <v>2</v>
      </c>
      <c r="V287" s="1"/>
      <c r="BN287" s="23"/>
    </row>
    <row r="288" spans="4:66" x14ac:dyDescent="0.25">
      <c r="D288" s="21" t="s">
        <v>249</v>
      </c>
      <c r="E288" s="21" t="s">
        <v>221</v>
      </c>
      <c r="F288" s="21" t="s">
        <v>222</v>
      </c>
      <c r="G288" s="21">
        <v>1</v>
      </c>
      <c r="V288" s="1"/>
      <c r="BN288" s="23"/>
    </row>
    <row r="291" spans="4:66" x14ac:dyDescent="0.25">
      <c r="D291" s="1" t="s">
        <v>223</v>
      </c>
    </row>
    <row r="292" spans="4:66" x14ac:dyDescent="0.25">
      <c r="D292" s="21" t="s">
        <v>234</v>
      </c>
      <c r="E292" s="21" t="s">
        <v>192</v>
      </c>
      <c r="F292" s="21" t="s">
        <v>193</v>
      </c>
      <c r="G292" s="21" t="s">
        <v>186</v>
      </c>
      <c r="V292" s="1"/>
      <c r="BN292" s="23"/>
    </row>
    <row r="293" spans="4:66" x14ac:dyDescent="0.25">
      <c r="D293" s="21" t="s">
        <v>250</v>
      </c>
      <c r="E293" s="21" t="s">
        <v>224</v>
      </c>
      <c r="F293" s="21" t="s">
        <v>225</v>
      </c>
      <c r="G293" s="21">
        <v>5</v>
      </c>
      <c r="V293" s="1"/>
      <c r="BN293" s="23"/>
    </row>
    <row r="294" spans="4:66" x14ac:dyDescent="0.25">
      <c r="D294" s="21" t="s">
        <v>251</v>
      </c>
      <c r="E294" s="21" t="s">
        <v>226</v>
      </c>
      <c r="F294" s="21" t="s">
        <v>227</v>
      </c>
      <c r="G294" s="21">
        <v>4</v>
      </c>
      <c r="V294" s="1"/>
      <c r="BN294" s="23"/>
    </row>
    <row r="295" spans="4:66" x14ac:dyDescent="0.25">
      <c r="D295" s="21" t="s">
        <v>252</v>
      </c>
      <c r="E295" s="21" t="s">
        <v>228</v>
      </c>
      <c r="F295" s="21" t="s">
        <v>229</v>
      </c>
      <c r="G295" s="21">
        <v>3</v>
      </c>
      <c r="V295" s="1"/>
      <c r="BN295" s="23"/>
    </row>
    <row r="296" spans="4:66" x14ac:dyDescent="0.25">
      <c r="D296" s="21" t="s">
        <v>253</v>
      </c>
      <c r="E296" s="21" t="s">
        <v>230</v>
      </c>
      <c r="F296" s="21" t="s">
        <v>231</v>
      </c>
      <c r="G296" s="21">
        <v>2</v>
      </c>
      <c r="V296" s="1"/>
      <c r="BN296" s="23"/>
    </row>
    <row r="297" spans="4:66" x14ac:dyDescent="0.25">
      <c r="D297" s="21" t="s">
        <v>254</v>
      </c>
      <c r="E297" s="21" t="s">
        <v>232</v>
      </c>
      <c r="F297" s="21" t="s">
        <v>233</v>
      </c>
      <c r="G297" s="21">
        <v>1</v>
      </c>
      <c r="V297" s="1"/>
      <c r="BN297" s="23"/>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52</vt:i4>
      </vt:variant>
    </vt:vector>
  </HeadingPairs>
  <TitlesOfParts>
    <vt:vector size="60" baseType="lpstr">
      <vt:lpstr>Home</vt:lpstr>
      <vt:lpstr>Results - Activity period</vt:lpstr>
      <vt:lpstr>Results - Product EI</vt:lpstr>
      <vt:lpstr>Input - Site</vt:lpstr>
      <vt:lpstr>Input - Enterprise</vt:lpstr>
      <vt:lpstr>Input - Fert Prod System</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X_Cell_BaledHayYield</vt:lpstr>
      <vt:lpstr>X_Cell_Enterprise_GrainYield</vt:lpstr>
      <vt:lpstr>X_Cell_Enterprise_PercentGrainSold</vt:lpstr>
      <vt:lpstr>X_Cell_Enterprise_PercentGrainUsedAsFeed</vt:lpstr>
      <vt:lpstr>X_Cell_Enterprise_PercentIncomeFromBaledHaySilage</vt:lpstr>
      <vt:lpstr>X_Cell_Enterprise_PercentIncomeFromGrain</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X_Cell_PercentBaledHaySold</vt:lpstr>
      <vt:lpstr>X_Cell_PercentBaledHayUsedOnFarm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2026-09-01T02:09:44Z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