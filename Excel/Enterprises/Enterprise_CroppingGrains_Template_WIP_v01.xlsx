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charts/style1.xml" ContentType="application/vnd.ms-office.chartstyle+xml"/>
  <Override PartName="/xl/charts/colors1.xml" ContentType="application/vnd.ms-office.chartcolorstyle+xml"/>
  <Override PartName="/xl/charts/chart4.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mc:AlternateContent xmlns:mc="http://schemas.openxmlformats.org/markup-compatibility/2006">
    <mc:Choice Requires="x15">
      <x15ac:absPath xmlns:x15ac="http://schemas.microsoft.com/office/spreadsheetml/2010/11/ac" url="C:\htdocs\zneagcrc\GAF-VEERG-Functions\Excel\Enterprises\"/>
    </mc:Choice>
  </mc:AlternateContent>
  <xr:revisionPtr revIDLastSave="0" documentId="13_ncr:1_{EED2FBB6-2A0D-4694-A12A-D71EE9F30E2C}" xr6:coauthVersionLast="47" xr6:coauthVersionMax="47" xr10:uidLastSave="{00000000-0000-0000-0000-000000000000}"/>
  <bookViews>
    <workbookView xWindow="2325" yWindow="360" windowWidth="36060" windowHeight="19710" activeTab="4" xr2:uid="{992023F3-CAB7-4E5B-A348-08D563A0EF40}"/>
  </bookViews>
  <sheets>
    <sheet name="Home" sheetId="71" r:id="rId1"/>
    <sheet name="Results - Activity period" sheetId="13" r:id="rId2"/>
    <sheet name="Results - Product EI" sheetId="80" r:id="rId3"/>
    <sheet name="Input - Site" sheetId="75" r:id="rId4"/>
    <sheet name="Input - Enterprise" sheetId="72" r:id="rId5"/>
    <sheet name="Input - Fert Prod System" sheetId="76" r:id="rId6"/>
    <sheet name="Input - Data quality" sheetId="78" r:id="rId7"/>
    <sheet name="Constants - Common" sheetId="79" r:id="rId8"/>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_xlpm.rows, IF(_xlpm.n = 0, "", _xlfn.HSTACK(_xlpm.startsText &amp; " to " &amp; _xlpm.endsText &amp; _xlpm.tag)), _xlpm.rows))</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[0]!Common_InputFunctions.Utility_GetArrayTableRowStartNumber(_xlpm.TableheaderCell, _xlpm.RowsBetweenHeaderandArray), COLUMN() - [0]!Common_InputFunctions.Utility_GetArrayTableColumnStartNumber(_xlpm.TableheaderCell)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IFERROR(_xlfn.XLOOKUP(_xlpm.LookupValue1, _xlpm.LookupArray1, _xlfn.XLOOKUP(_xlpm.LookupValue2, _xlpm.LookupArray2, _xlpm.ReturnArray)), IF(_xlfn.ISOMITTED(_xlpm.ValueIfFalse), "", _xlpm.ValueIfFalse)))</definedName>
    <definedName name="Common_InputFunctions.Utility_LookupValueInTableTwoColumns">_xlfn.LAMBDA(_xlpm.LookupValue1,_xlpm.LookupValue2,_xlpm.LookupArray1,_xlpm.LookupArray2,_xlpm.ReturnArray,_xlop.ValueIFFalse, _xlfn.XLOOKUP(1, (_xlpm.LookupArray1 = _xlpm.LookupValue1) * (_xlpm.LookupArray2 = _xlpm.LookupValue2), _xlpm.ReturnArray, IF(_xlfn.ISOMITTED(_xlpm.ValueIFFalse), "", _xlpm.ValueIFFalse)))</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7">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7">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7">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7">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7">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Result_CarbonRemovalsFromPlantings">'Input - Enterprise'!$E$72</definedName>
    <definedName name="Result_EmissionsForWholeProductionCycle_Gross_Method1">'Input - Enterprise'!$E$59</definedName>
    <definedName name="Result_EmissionsForWholeProductionCycle_Gross_Method2">'Input - Enterprise'!$F$59</definedName>
    <definedName name="Result_EmissionsForWholeProductionCycle_Method1">'Input - Enterprise'!$E$59</definedName>
    <definedName name="Result_EmissionsForWholeProductionCycle_Method2">'Input - Enterprise'!$F$59</definedName>
    <definedName name="Result_EmissionsForWholeProductionCycle_Net_Method1">'Input - Enterprise'!$E$83</definedName>
    <definedName name="Result_EmissionsForWholeProductionCycle_Net_Method2">'Input - Enterprise'!$F$83</definedName>
    <definedName name="Result_Enterprise_Gross_Method1">'Results - Activity period'!$E$62</definedName>
    <definedName name="Result_Enterprise_Gross_Method2">'Results - Activity period'!$F$62</definedName>
    <definedName name="Result_Enterprise_Net_Method1">'Results - Activity period'!$E$63</definedName>
    <definedName name="Result_Enterprise_Net_Method2">'Results - Activity period'!$F$63</definedName>
    <definedName name="Result_Enterprise_Removals">'Results - Activity period'!$E$56</definedName>
    <definedName name="Result_Enterprise_Scope1_Method1">'Results - Activity period'!$H$27</definedName>
    <definedName name="Result_Enterprise_Scope1_Method2">'Results - Activity period'!$I$27</definedName>
    <definedName name="Result_Enterprise_Scope2_Method1">'Results - Activity period'!$H$34</definedName>
    <definedName name="Result_Enterprise_Scope2_Method2">'Results - Activity period'!$I$34</definedName>
    <definedName name="Result_Enterprise_Scope3_Method1">'Results - Activity period'!$H$51</definedName>
    <definedName name="Result_Enterprise_Scope3_Method2">'Results - Activity period'!$I$51</definedName>
    <definedName name="X_Cell_BaledHayYield">'Input - Enterprise'!$E$27</definedName>
    <definedName name="X_Cell_Enterprise_GrainYield">'Input - Enterprise'!$E$22</definedName>
    <definedName name="X_Cell_Enterprise_PercentGrainSold">'Input - Enterprise'!$E$23</definedName>
    <definedName name="X_Cell_Enterprise_PercentGrainUsedAsFeed">'Input - Enterprise'!$E$24</definedName>
    <definedName name="X_Cell_Enterprise_PercentIncomeFromBaledHaySilage">'Input - Enterprise'!$E$33</definedName>
    <definedName name="X_Cell_Enterprise_PercentIncomeFromGrain">'Input - Enterprise'!$E$32</definedName>
    <definedName name="X_Cell_Enterprise_ProductionTimeframeEnd">'Input - Enterprise'!$E$19</definedName>
    <definedName name="X_Cell_Enterprise_ProductionTimeframeStart">'Input - Enterprise'!$E$18</definedName>
    <definedName name="X_Cell_Fertiliser_AreaUnderCropping">'Input - Fert Prod System'!$E$10</definedName>
    <definedName name="X_Cell_Fertiliser_CropType">'Input - Fert Prod System'!$E$8</definedName>
    <definedName name="X_Cell_Fertiliser_IrrigationMethod">'Input - Fert Prod System'!$E$9</definedName>
    <definedName name="X_Cell_Fertiliser_ProductionSystem">'Input - Fert Prod System'!$E$7</definedName>
    <definedName name="X_Cell_PercentBaledHaySold">'Input - Enterprise'!$E$28</definedName>
    <definedName name="X_Cell_PercentBaledHayUsedOnFarm">'Input - Enterprise'!$E$29</definedName>
    <definedName name="X_Cell_Site_AverageTemperature">'Input - Site'!$E$14</definedName>
    <definedName name="X_Cell_Site_ClimateZone">'Input - Site'!$E$20</definedName>
    <definedName name="X_Cell_Site_Elevation">'Input - Site'!$E$13</definedName>
    <definedName name="X_Cell_Site_EndDate">'Input - Enterprise'!$E$13</definedName>
    <definedName name="X_Cell_Site_FarmName">'Input - Enterprise'!$E$7</definedName>
    <definedName name="X_Cell_Site_FrostDays">'Input - Site'!$E$17</definedName>
    <definedName name="X_Cell_Site_LeachingZone">'Input - Site'!$E$12</definedName>
    <definedName name="X_Cell_Site_MapPetRatio">'Input - Site'!$E$18</definedName>
    <definedName name="X_Cell_Site_PotentialEvapotranspiration">'Input - Site'!$E$16</definedName>
    <definedName name="X_Cell_Site_RainfallZone">'Input - Site'!$E$19</definedName>
    <definedName name="X_Cell_Site_Region">'Input - Site'!$E$11</definedName>
    <definedName name="X_Cell_Site_ReportingEntityName">'Input - Enterprise'!$E$8</definedName>
    <definedName name="X_Cell_Site_StartDate">'Input - Enterprise'!$E$12</definedName>
    <definedName name="X_Cell_Site_State">'Input - Site'!$E$10</definedName>
    <definedName name="X_Cell_Site_TemperatureZone">'Input - Site'!$E$22</definedName>
    <definedName name="X_Cell_Site_TotalRainfall">'Input - Site'!$E$15</definedName>
    <definedName name="X_Cell_Site_WetOrDryClimateZone">'Input - Site'!$E$21</definedName>
    <definedName name="X_Table_Result_ActivityPeriodEmissions_RowsToCols">'Results - Activity period'!$D$33:$F$38</definedName>
    <definedName name="X_Table_Result_CarbonRemovalsFromPlantings_RowsToCols">'Results - Activity period'!$D$44:$E$49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82" i="72" l="1"/>
  <c r="F81" i="72"/>
  <c r="F80" i="72"/>
  <c r="F79" i="72"/>
  <c r="E82" i="72"/>
  <c r="E81" i="72"/>
  <c r="E80" i="72"/>
  <c r="E79" i="72"/>
  <c r="I40" i="13"/>
  <c r="I9" i="13" a="1"/>
  <c r="I9" i="13" s="1"/>
  <c r="I41" i="13"/>
  <c r="I42" i="13"/>
  <c r="I43" i="13"/>
  <c r="E65" i="78"/>
  <c r="D32" i="78" l="1"/>
  <c r="D30" i="78"/>
  <c r="D13" i="78"/>
  <c r="D12" i="78"/>
  <c r="D10" i="78"/>
  <c r="D11" i="78"/>
  <c r="D9" i="78"/>
  <c r="F58" i="80" l="1"/>
  <c r="G56" i="80"/>
  <c r="G57" i="80" s="1"/>
  <c r="F56" i="80"/>
  <c r="F57" i="80" s="1"/>
  <c r="F55" i="80"/>
  <c r="G54" i="80"/>
  <c r="F54" i="80"/>
  <c r="G53" i="80"/>
  <c r="F53" i="80"/>
  <c r="F49" i="80"/>
  <c r="F47" i="80"/>
  <c r="F48" i="80" s="1"/>
  <c r="F46" i="80"/>
  <c r="F44" i="80"/>
  <c r="F45" i="80" s="1"/>
  <c r="G47" i="80" l="1"/>
  <c r="G48" i="80" s="1"/>
  <c r="G44" i="80"/>
  <c r="G45" i="80" s="1"/>
  <c r="D39" i="80"/>
  <c r="D32" i="80"/>
  <c r="D78" i="72" a="1"/>
  <c r="F58" i="72"/>
  <c r="E58" i="72"/>
  <c r="F57" i="72"/>
  <c r="E57" i="72"/>
  <c r="F56" i="72"/>
  <c r="E56" i="72"/>
  <c r="F55" i="72"/>
  <c r="E55" i="72"/>
  <c r="D75" i="72"/>
  <c r="D59" i="13"/>
  <c r="E56" i="13"/>
  <c r="D54" i="13"/>
  <c r="H51" i="13"/>
  <c r="F50" i="13" a="1"/>
  <c r="F50" i="13" s="1"/>
  <c r="I50" i="13" s="1"/>
  <c r="E50" i="13" a="1"/>
  <c r="E50" i="13" s="1"/>
  <c r="H50" i="13" s="1"/>
  <c r="E49" i="13" a="1"/>
  <c r="E49" i="13" s="1"/>
  <c r="F48" i="13" a="1"/>
  <c r="F48" i="13" s="1"/>
  <c r="I48" i="13" s="1"/>
  <c r="E48" i="13" a="1"/>
  <c r="E48" i="13" s="1"/>
  <c r="H48" i="13" s="1"/>
  <c r="E47" i="13" a="1"/>
  <c r="E47" i="13" s="1"/>
  <c r="E46" i="13" a="1"/>
  <c r="E46" i="13" s="1"/>
  <c r="F45" i="13" a="1"/>
  <c r="F45" i="13" s="1"/>
  <c r="I45" i="13" s="1"/>
  <c r="E45" i="13" a="1"/>
  <c r="E45" i="13" s="1"/>
  <c r="H45" i="13" s="1"/>
  <c r="F44" i="13" a="1"/>
  <c r="F44" i="13" s="1"/>
  <c r="I44" i="13" s="1"/>
  <c r="E44" i="13" a="1"/>
  <c r="E44" i="13" s="1"/>
  <c r="H44" i="13" s="1"/>
  <c r="F43" i="13" a="1"/>
  <c r="F43" i="13" s="1"/>
  <c r="E43" i="13" a="1"/>
  <c r="E43" i="13" s="1"/>
  <c r="H43" i="13" s="1"/>
  <c r="F42" i="13" a="1"/>
  <c r="F42" i="13" s="1"/>
  <c r="E42" i="13" a="1"/>
  <c r="E42" i="13" s="1"/>
  <c r="H42" i="13" s="1"/>
  <c r="F41" i="13" a="1"/>
  <c r="F41" i="13" s="1"/>
  <c r="E41" i="13" a="1"/>
  <c r="E41" i="13" s="1"/>
  <c r="H41" i="13" s="1"/>
  <c r="F40" i="13" a="1"/>
  <c r="F40" i="13" s="1"/>
  <c r="I51" i="13" s="1"/>
  <c r="E40" i="13" a="1"/>
  <c r="E40" i="13" s="1"/>
  <c r="H40" i="13" s="1"/>
  <c r="D78" i="72" l="1"/>
  <c r="F46" i="13"/>
  <c r="I46" i="13" s="1"/>
  <c r="H46" i="13"/>
  <c r="F49" i="13"/>
  <c r="I49" i="13" s="1"/>
  <c r="H49" i="13"/>
  <c r="F47" i="13"/>
  <c r="I47" i="13" s="1"/>
  <c r="H47" i="13"/>
  <c r="D47" i="13" l="1" a="1"/>
  <c r="D47" i="13" s="1"/>
  <c r="E33" i="13" a="1"/>
  <c r="E33" i="13" s="1"/>
  <c r="D33" i="13" a="1"/>
  <c r="D33" i="13" s="1"/>
  <c r="E71" i="72"/>
  <c r="E70" i="72"/>
  <c r="D67" i="72" a="1"/>
  <c r="D67" i="72" s="1"/>
  <c r="E67" i="72" s="1"/>
  <c r="D64" i="72"/>
  <c r="D54" i="72" a="1"/>
  <c r="D50" i="72" a="1"/>
  <c r="D50" i="72" s="1"/>
  <c r="D48" i="72"/>
  <c r="G42" i="72"/>
  <c r="D39" i="72"/>
  <c r="J61" i="78"/>
  <c r="J60" i="78"/>
  <c r="J59" i="78"/>
  <c r="J58" i="78"/>
  <c r="J51" i="78"/>
  <c r="J50" i="78"/>
  <c r="J49" i="78"/>
  <c r="J53" i="78" s="1"/>
  <c r="J48" i="78"/>
  <c r="J42" i="78"/>
  <c r="J41" i="78"/>
  <c r="J40" i="78"/>
  <c r="J39" i="78"/>
  <c r="J33" i="78"/>
  <c r="J32" i="78"/>
  <c r="J31" i="78"/>
  <c r="J30" i="78"/>
  <c r="J24" i="78"/>
  <c r="J23" i="78"/>
  <c r="J22" i="78"/>
  <c r="J21" i="78"/>
  <c r="J20" i="78"/>
  <c r="J19" i="78"/>
  <c r="J13" i="78"/>
  <c r="J12" i="78"/>
  <c r="J11" i="78"/>
  <c r="J10" i="78"/>
  <c r="J9" i="78"/>
  <c r="J8" i="78"/>
  <c r="D61" i="78"/>
  <c r="D60" i="78"/>
  <c r="D59" i="78"/>
  <c r="D58" i="78"/>
  <c r="D51" i="78"/>
  <c r="D50" i="78"/>
  <c r="D49" i="78"/>
  <c r="D48" i="78"/>
  <c r="D42" i="78"/>
  <c r="D41" i="78"/>
  <c r="D40" i="78"/>
  <c r="D39" i="78"/>
  <c r="D31" i="78"/>
  <c r="D24" i="78"/>
  <c r="D23" i="78"/>
  <c r="D22" i="78"/>
  <c r="D21" i="78"/>
  <c r="D20" i="78"/>
  <c r="D19" i="78"/>
  <c r="E259" i="79" a="1"/>
  <c r="E259" i="79" s="1"/>
  <c r="D259" i="79" a="1"/>
  <c r="D259" i="79" s="1"/>
  <c r="E258" i="79" a="1"/>
  <c r="E258" i="79" s="1"/>
  <c r="D258" i="79" a="1"/>
  <c r="D258" i="79" s="1"/>
  <c r="D256" i="79" a="1"/>
  <c r="D256" i="79" s="1"/>
  <c r="D255" i="79" a="1"/>
  <c r="D255" i="79" s="1"/>
  <c r="D254" i="79" a="1"/>
  <c r="D254" i="79" s="1"/>
  <c r="D253" i="79" a="1"/>
  <c r="D253" i="79" s="1"/>
  <c r="S250" i="79" a="1"/>
  <c r="S250" i="79" s="1"/>
  <c r="R250" i="79" a="1"/>
  <c r="R250" i="79" s="1"/>
  <c r="Q250" i="79" a="1"/>
  <c r="Q250" i="79" s="1"/>
  <c r="P250" i="79" a="1"/>
  <c r="P250" i="79" s="1"/>
  <c r="O250" i="79" a="1"/>
  <c r="O250" i="79" s="1"/>
  <c r="N250" i="79" a="1"/>
  <c r="N250" i="79" s="1"/>
  <c r="M250" i="79" a="1"/>
  <c r="M250" i="79" s="1"/>
  <c r="L250" i="79" a="1"/>
  <c r="L250" i="79" s="1"/>
  <c r="K250" i="79" a="1"/>
  <c r="K250" i="79" s="1"/>
  <c r="J250" i="79" a="1"/>
  <c r="J250" i="79" s="1"/>
  <c r="I250" i="79" a="1"/>
  <c r="I250" i="79" s="1"/>
  <c r="H250" i="79" a="1"/>
  <c r="H250" i="79" s="1"/>
  <c r="G250" i="79" a="1"/>
  <c r="G250" i="79" s="1"/>
  <c r="F250" i="79" a="1"/>
  <c r="F250" i="79" s="1"/>
  <c r="E250" i="79" a="1"/>
  <c r="E250" i="79" s="1"/>
  <c r="D250" i="79" a="1"/>
  <c r="D250" i="79" s="1"/>
  <c r="S249" i="79" a="1"/>
  <c r="S249" i="79" s="1"/>
  <c r="R249" i="79" a="1"/>
  <c r="R249" i="79" s="1"/>
  <c r="Q249" i="79" a="1"/>
  <c r="Q249" i="79" s="1"/>
  <c r="P249" i="79" a="1"/>
  <c r="P249" i="79" s="1"/>
  <c r="O249" i="79" a="1"/>
  <c r="O249" i="79" s="1"/>
  <c r="N249" i="79" a="1"/>
  <c r="N249" i="79" s="1"/>
  <c r="M249" i="79" a="1"/>
  <c r="M249" i="79" s="1"/>
  <c r="L249" i="79" a="1"/>
  <c r="L249" i="79" s="1"/>
  <c r="K249" i="79" a="1"/>
  <c r="K249" i="79" s="1"/>
  <c r="J249" i="79" a="1"/>
  <c r="J249" i="79" s="1"/>
  <c r="I249" i="79" a="1"/>
  <c r="I249" i="79" s="1"/>
  <c r="H249" i="79" a="1"/>
  <c r="H249" i="79" s="1"/>
  <c r="G249" i="79" a="1"/>
  <c r="G249" i="79" s="1"/>
  <c r="F249" i="79" a="1"/>
  <c r="F249" i="79" s="1"/>
  <c r="E249" i="79" a="1"/>
  <c r="E249" i="79" s="1"/>
  <c r="D249" i="79" a="1"/>
  <c r="D249" i="79" s="1"/>
  <c r="S248" i="79" a="1"/>
  <c r="S248" i="79" s="1"/>
  <c r="R248" i="79" a="1"/>
  <c r="R248" i="79" s="1"/>
  <c r="Q248" i="79" a="1"/>
  <c r="Q248" i="79" s="1"/>
  <c r="P248" i="79" a="1"/>
  <c r="P248" i="79" s="1"/>
  <c r="O248" i="79" a="1"/>
  <c r="O248" i="79" s="1"/>
  <c r="N248" i="79" a="1"/>
  <c r="N248" i="79" s="1"/>
  <c r="M248" i="79" a="1"/>
  <c r="M248" i="79" s="1"/>
  <c r="L248" i="79" a="1"/>
  <c r="L248" i="79" s="1"/>
  <c r="K248" i="79" a="1"/>
  <c r="K248" i="79" s="1"/>
  <c r="J248" i="79" a="1"/>
  <c r="J248" i="79" s="1"/>
  <c r="I248" i="79" a="1"/>
  <c r="I248" i="79" s="1"/>
  <c r="H248" i="79" a="1"/>
  <c r="H248" i="79" s="1"/>
  <c r="G248" i="79" a="1"/>
  <c r="G248" i="79" s="1"/>
  <c r="F248" i="79" a="1"/>
  <c r="F248" i="79" s="1"/>
  <c r="E248" i="79" a="1"/>
  <c r="E248" i="79" s="1"/>
  <c r="D248" i="79" a="1"/>
  <c r="D248" i="79" s="1"/>
  <c r="S247" i="79" a="1"/>
  <c r="S247" i="79" s="1"/>
  <c r="R247" i="79" a="1"/>
  <c r="R247" i="79" s="1"/>
  <c r="Q247" i="79" a="1"/>
  <c r="Q247" i="79" s="1"/>
  <c r="P247" i="79" a="1"/>
  <c r="P247" i="79" s="1"/>
  <c r="O247" i="79" a="1"/>
  <c r="O247" i="79" s="1"/>
  <c r="N247" i="79" a="1"/>
  <c r="N247" i="79" s="1"/>
  <c r="M247" i="79" a="1"/>
  <c r="M247" i="79" s="1"/>
  <c r="L247" i="79" a="1"/>
  <c r="L247" i="79" s="1"/>
  <c r="K247" i="79" a="1"/>
  <c r="K247" i="79" s="1"/>
  <c r="J247" i="79" a="1"/>
  <c r="J247" i="79" s="1"/>
  <c r="I247" i="79" a="1"/>
  <c r="I247" i="79" s="1"/>
  <c r="H247" i="79" a="1"/>
  <c r="H247" i="79" s="1"/>
  <c r="G247" i="79" a="1"/>
  <c r="G247" i="79" s="1"/>
  <c r="F247" i="79" a="1"/>
  <c r="F247" i="79" s="1"/>
  <c r="E247" i="79" a="1"/>
  <c r="E247" i="79" s="1"/>
  <c r="D247" i="79" a="1"/>
  <c r="D247" i="79" s="1"/>
  <c r="S246" i="79" a="1"/>
  <c r="S246" i="79" s="1"/>
  <c r="R246" i="79" a="1"/>
  <c r="R246" i="79" s="1"/>
  <c r="Q246" i="79" a="1"/>
  <c r="Q246" i="79" s="1"/>
  <c r="P246" i="79" a="1"/>
  <c r="P246" i="79" s="1"/>
  <c r="O246" i="79" a="1"/>
  <c r="O246" i="79" s="1"/>
  <c r="N246" i="79" a="1"/>
  <c r="N246" i="79" s="1"/>
  <c r="M246" i="79" a="1"/>
  <c r="M246" i="79" s="1"/>
  <c r="L246" i="79" a="1"/>
  <c r="L246" i="79" s="1"/>
  <c r="K246" i="79" a="1"/>
  <c r="K246" i="79" s="1"/>
  <c r="J246" i="79" a="1"/>
  <c r="J246" i="79" s="1"/>
  <c r="I246" i="79" a="1"/>
  <c r="I246" i="79" s="1"/>
  <c r="H246" i="79" a="1"/>
  <c r="H246" i="79" s="1"/>
  <c r="G246" i="79" a="1"/>
  <c r="G246" i="79" s="1"/>
  <c r="F246" i="79" a="1"/>
  <c r="F246" i="79" s="1"/>
  <c r="E246" i="79" a="1"/>
  <c r="E246" i="79" s="1"/>
  <c r="D246" i="79" a="1"/>
  <c r="D246" i="79" s="1"/>
  <c r="S245" i="79" a="1"/>
  <c r="S245" i="79" s="1"/>
  <c r="R245" i="79" a="1"/>
  <c r="R245" i="79" s="1"/>
  <c r="Q245" i="79" a="1"/>
  <c r="Q245" i="79" s="1"/>
  <c r="P245" i="79" a="1"/>
  <c r="P245" i="79" s="1"/>
  <c r="O245" i="79" a="1"/>
  <c r="O245" i="79" s="1"/>
  <c r="N245" i="79" a="1"/>
  <c r="N245" i="79" s="1"/>
  <c r="M245" i="79" a="1"/>
  <c r="M245" i="79" s="1"/>
  <c r="L245" i="79" a="1"/>
  <c r="L245" i="79" s="1"/>
  <c r="K245" i="79" a="1"/>
  <c r="K245" i="79" s="1"/>
  <c r="J245" i="79" a="1"/>
  <c r="J245" i="79" s="1"/>
  <c r="I245" i="79" a="1"/>
  <c r="I245" i="79" s="1"/>
  <c r="H245" i="79" a="1"/>
  <c r="H245" i="79" s="1"/>
  <c r="G245" i="79" a="1"/>
  <c r="G245" i="79" s="1"/>
  <c r="F245" i="79" a="1"/>
  <c r="F245" i="79" s="1"/>
  <c r="E245" i="79" a="1"/>
  <c r="E245" i="79" s="1"/>
  <c r="D245" i="79" a="1"/>
  <c r="D245" i="79" s="1"/>
  <c r="S244" i="79" a="1"/>
  <c r="S244" i="79" s="1"/>
  <c r="R244" i="79" a="1"/>
  <c r="R244" i="79" s="1"/>
  <c r="Q244" i="79" a="1"/>
  <c r="Q244" i="79" s="1"/>
  <c r="P244" i="79" a="1"/>
  <c r="P244" i="79" s="1"/>
  <c r="O244" i="79" a="1"/>
  <c r="O244" i="79" s="1"/>
  <c r="N244" i="79" a="1"/>
  <c r="N244" i="79" s="1"/>
  <c r="M244" i="79" a="1"/>
  <c r="M244" i="79" s="1"/>
  <c r="L244" i="79" a="1"/>
  <c r="L244" i="79" s="1"/>
  <c r="K244" i="79" a="1"/>
  <c r="K244" i="79" s="1"/>
  <c r="J244" i="79" a="1"/>
  <c r="J244" i="79" s="1"/>
  <c r="I244" i="79" a="1"/>
  <c r="I244" i="79" s="1"/>
  <c r="H244" i="79" a="1"/>
  <c r="H244" i="79" s="1"/>
  <c r="G244" i="79" a="1"/>
  <c r="G244" i="79" s="1"/>
  <c r="F244" i="79" a="1"/>
  <c r="F244" i="79" s="1"/>
  <c r="E244" i="79" a="1"/>
  <c r="E244" i="79" s="1"/>
  <c r="D244" i="79" a="1"/>
  <c r="D244" i="79" s="1"/>
  <c r="S243" i="79" a="1"/>
  <c r="S243" i="79" s="1"/>
  <c r="R243" i="79" a="1"/>
  <c r="R243" i="79" s="1"/>
  <c r="Q243" i="79" a="1"/>
  <c r="Q243" i="79" s="1"/>
  <c r="P243" i="79" a="1"/>
  <c r="P243" i="79" s="1"/>
  <c r="O243" i="79" a="1"/>
  <c r="O243" i="79" s="1"/>
  <c r="N243" i="79" a="1"/>
  <c r="N243" i="79" s="1"/>
  <c r="M243" i="79" a="1"/>
  <c r="M243" i="79" s="1"/>
  <c r="L243" i="79" a="1"/>
  <c r="L243" i="79" s="1"/>
  <c r="K243" i="79" a="1"/>
  <c r="K243" i="79" s="1"/>
  <c r="J243" i="79" a="1"/>
  <c r="J243" i="79" s="1"/>
  <c r="I243" i="79" a="1"/>
  <c r="I243" i="79" s="1"/>
  <c r="H243" i="79" a="1"/>
  <c r="H243" i="79" s="1"/>
  <c r="G243" i="79" a="1"/>
  <c r="G243" i="79" s="1"/>
  <c r="F243" i="79" a="1"/>
  <c r="F243" i="79" s="1"/>
  <c r="E243" i="79" a="1"/>
  <c r="E243" i="79" s="1"/>
  <c r="D243" i="79" a="1"/>
  <c r="D243" i="79" s="1"/>
  <c r="S242" i="79" a="1"/>
  <c r="S242" i="79" s="1"/>
  <c r="R242" i="79" a="1"/>
  <c r="R242" i="79" s="1"/>
  <c r="Q242" i="79" a="1"/>
  <c r="Q242" i="79" s="1"/>
  <c r="P242" i="79" a="1"/>
  <c r="P242" i="79" s="1"/>
  <c r="O242" i="79" a="1"/>
  <c r="O242" i="79" s="1"/>
  <c r="N242" i="79" a="1"/>
  <c r="N242" i="79" s="1"/>
  <c r="M242" i="79" a="1"/>
  <c r="M242" i="79" s="1"/>
  <c r="L242" i="79" a="1"/>
  <c r="L242" i="79" s="1"/>
  <c r="K242" i="79" a="1"/>
  <c r="K242" i="79" s="1"/>
  <c r="J242" i="79" a="1"/>
  <c r="J242" i="79" s="1"/>
  <c r="I242" i="79" a="1"/>
  <c r="I242" i="79" s="1"/>
  <c r="H242" i="79" a="1"/>
  <c r="H242" i="79" s="1"/>
  <c r="G242" i="79" a="1"/>
  <c r="G242" i="79" s="1"/>
  <c r="F242" i="79" a="1"/>
  <c r="F242" i="79" s="1"/>
  <c r="E242" i="79" a="1"/>
  <c r="E242" i="79" s="1"/>
  <c r="D242" i="79" a="1"/>
  <c r="D242" i="79" s="1"/>
  <c r="S241" i="79" a="1"/>
  <c r="S241" i="79" s="1"/>
  <c r="R241" i="79" a="1"/>
  <c r="R241" i="79" s="1"/>
  <c r="Q241" i="79" a="1"/>
  <c r="Q241" i="79" s="1"/>
  <c r="P241" i="79" a="1"/>
  <c r="P241" i="79" s="1"/>
  <c r="O241" i="79" a="1"/>
  <c r="O241" i="79" s="1"/>
  <c r="N241" i="79" a="1"/>
  <c r="N241" i="79" s="1"/>
  <c r="M241" i="79" a="1"/>
  <c r="M241" i="79" s="1"/>
  <c r="L241" i="79" a="1"/>
  <c r="L241" i="79" s="1"/>
  <c r="K241" i="79" a="1"/>
  <c r="K241" i="79" s="1"/>
  <c r="J241" i="79" a="1"/>
  <c r="J241" i="79" s="1"/>
  <c r="I241" i="79" a="1"/>
  <c r="I241" i="79" s="1"/>
  <c r="H241" i="79" a="1"/>
  <c r="H241" i="79" s="1"/>
  <c r="G241" i="79" a="1"/>
  <c r="G241" i="79" s="1"/>
  <c r="F241" i="79" a="1"/>
  <c r="F241" i="79" s="1"/>
  <c r="E241" i="79" a="1"/>
  <c r="E241" i="79" s="1"/>
  <c r="D241" i="79" a="1"/>
  <c r="D241" i="79" s="1"/>
  <c r="S240" i="79" a="1"/>
  <c r="S240" i="79" s="1"/>
  <c r="R240" i="79" a="1"/>
  <c r="R240" i="79" s="1"/>
  <c r="Q240" i="79" a="1"/>
  <c r="Q240" i="79" s="1"/>
  <c r="P240" i="79" a="1"/>
  <c r="P240" i="79" s="1"/>
  <c r="O240" i="79" a="1"/>
  <c r="O240" i="79" s="1"/>
  <c r="N240" i="79" a="1"/>
  <c r="N240" i="79" s="1"/>
  <c r="M240" i="79" a="1"/>
  <c r="M240" i="79" s="1"/>
  <c r="L240" i="79" a="1"/>
  <c r="L240" i="79" s="1"/>
  <c r="K240" i="79" a="1"/>
  <c r="K240" i="79" s="1"/>
  <c r="J240" i="79" a="1"/>
  <c r="J240" i="79" s="1"/>
  <c r="I240" i="79" a="1"/>
  <c r="I240" i="79" s="1"/>
  <c r="H240" i="79" a="1"/>
  <c r="H240" i="79" s="1"/>
  <c r="G240" i="79" a="1"/>
  <c r="G240" i="79" s="1"/>
  <c r="F240" i="79" a="1"/>
  <c r="F240" i="79" s="1"/>
  <c r="E240" i="79" a="1"/>
  <c r="E240" i="79" s="1"/>
  <c r="D240" i="79" a="1"/>
  <c r="D240" i="79" s="1"/>
  <c r="S239" i="79" a="1"/>
  <c r="S239" i="79" s="1"/>
  <c r="R239" i="79" a="1"/>
  <c r="R239" i="79" s="1"/>
  <c r="Q239" i="79" a="1"/>
  <c r="Q239" i="79" s="1"/>
  <c r="P239" i="79" a="1"/>
  <c r="P239" i="79" s="1"/>
  <c r="O239" i="79" a="1"/>
  <c r="O239" i="79" s="1"/>
  <c r="N239" i="79" a="1"/>
  <c r="N239" i="79" s="1"/>
  <c r="M239" i="79" a="1"/>
  <c r="M239" i="79" s="1"/>
  <c r="L239" i="79" a="1"/>
  <c r="L239" i="79" s="1"/>
  <c r="K239" i="79" a="1"/>
  <c r="K239" i="79" s="1"/>
  <c r="J239" i="79" a="1"/>
  <c r="J239" i="79" s="1"/>
  <c r="I239" i="79" a="1"/>
  <c r="I239" i="79" s="1"/>
  <c r="H239" i="79" a="1"/>
  <c r="H239" i="79" s="1"/>
  <c r="G239" i="79" a="1"/>
  <c r="G239" i="79" s="1"/>
  <c r="F239" i="79" a="1"/>
  <c r="F239" i="79" s="1"/>
  <c r="E239" i="79" a="1"/>
  <c r="E239" i="79" s="1"/>
  <c r="D239" i="79" a="1"/>
  <c r="D239" i="79" s="1"/>
  <c r="S238" i="79" a="1"/>
  <c r="S238" i="79" s="1"/>
  <c r="R238" i="79" a="1"/>
  <c r="R238" i="79" s="1"/>
  <c r="Q238" i="79" a="1"/>
  <c r="Q238" i="79" s="1"/>
  <c r="P238" i="79" a="1"/>
  <c r="P238" i="79" s="1"/>
  <c r="O238" i="79" a="1"/>
  <c r="O238" i="79" s="1"/>
  <c r="N238" i="79" a="1"/>
  <c r="N238" i="79" s="1"/>
  <c r="M238" i="79" a="1"/>
  <c r="M238" i="79" s="1"/>
  <c r="L238" i="79" a="1"/>
  <c r="L238" i="79" s="1"/>
  <c r="K238" i="79" a="1"/>
  <c r="K238" i="79" s="1"/>
  <c r="J238" i="79" a="1"/>
  <c r="J238" i="79" s="1"/>
  <c r="I238" i="79" a="1"/>
  <c r="I238" i="79" s="1"/>
  <c r="H238" i="79" a="1"/>
  <c r="H238" i="79" s="1"/>
  <c r="G238" i="79" a="1"/>
  <c r="G238" i="79" s="1"/>
  <c r="F238" i="79" a="1"/>
  <c r="F238" i="79" s="1"/>
  <c r="E238" i="79" a="1"/>
  <c r="E238" i="79" s="1"/>
  <c r="D238" i="79" a="1"/>
  <c r="D238" i="79" s="1"/>
  <c r="S237" i="79" a="1"/>
  <c r="S237" i="79" s="1"/>
  <c r="R237" i="79" a="1"/>
  <c r="R237" i="79" s="1"/>
  <c r="Q237" i="79" a="1"/>
  <c r="Q237" i="79" s="1"/>
  <c r="P237" i="79" a="1"/>
  <c r="P237" i="79" s="1"/>
  <c r="O237" i="79" a="1"/>
  <c r="O237" i="79" s="1"/>
  <c r="N237" i="79" a="1"/>
  <c r="N237" i="79" s="1"/>
  <c r="M237" i="79" a="1"/>
  <c r="M237" i="79" s="1"/>
  <c r="L237" i="79" a="1"/>
  <c r="L237" i="79" s="1"/>
  <c r="K237" i="79" a="1"/>
  <c r="K237" i="79" s="1"/>
  <c r="J237" i="79" a="1"/>
  <c r="J237" i="79" s="1"/>
  <c r="I237" i="79" a="1"/>
  <c r="I237" i="79" s="1"/>
  <c r="H237" i="79" a="1"/>
  <c r="H237" i="79" s="1"/>
  <c r="G237" i="79" a="1"/>
  <c r="G237" i="79" s="1"/>
  <c r="F237" i="79" a="1"/>
  <c r="F237" i="79" s="1"/>
  <c r="E237" i="79" a="1"/>
  <c r="E237" i="79" s="1"/>
  <c r="D237" i="79" a="1"/>
  <c r="D237" i="79" s="1"/>
  <c r="S236" i="79" a="1"/>
  <c r="S236" i="79" s="1"/>
  <c r="R236" i="79" a="1"/>
  <c r="R236" i="79" s="1"/>
  <c r="Q236" i="79" a="1"/>
  <c r="Q236" i="79" s="1"/>
  <c r="P236" i="79" a="1"/>
  <c r="P236" i="79" s="1"/>
  <c r="O236" i="79" a="1"/>
  <c r="O236" i="79" s="1"/>
  <c r="N236" i="79" a="1"/>
  <c r="N236" i="79" s="1"/>
  <c r="M236" i="79" a="1"/>
  <c r="M236" i="79" s="1"/>
  <c r="L236" i="79" a="1"/>
  <c r="L236" i="79" s="1"/>
  <c r="K236" i="79" a="1"/>
  <c r="K236" i="79" s="1"/>
  <c r="J236" i="79" a="1"/>
  <c r="J236" i="79" s="1"/>
  <c r="I236" i="79" a="1"/>
  <c r="I236" i="79" s="1"/>
  <c r="H236" i="79" a="1"/>
  <c r="H236" i="79" s="1"/>
  <c r="G236" i="79" a="1"/>
  <c r="G236" i="79" s="1"/>
  <c r="F236" i="79" a="1"/>
  <c r="F236" i="79" s="1"/>
  <c r="E236" i="79" a="1"/>
  <c r="E236" i="79" s="1"/>
  <c r="D236" i="79" a="1"/>
  <c r="D236" i="79" s="1"/>
  <c r="S235" i="79" a="1"/>
  <c r="S235" i="79" s="1"/>
  <c r="R235" i="79" a="1"/>
  <c r="R235" i="79" s="1"/>
  <c r="Q235" i="79" a="1"/>
  <c r="Q235" i="79" s="1"/>
  <c r="P235" i="79" a="1"/>
  <c r="P235" i="79" s="1"/>
  <c r="O235" i="79" a="1"/>
  <c r="O235" i="79" s="1"/>
  <c r="N235" i="79" a="1"/>
  <c r="N235" i="79" s="1"/>
  <c r="M235" i="79" a="1"/>
  <c r="M235" i="79" s="1"/>
  <c r="L235" i="79" a="1"/>
  <c r="L235" i="79" s="1"/>
  <c r="K235" i="79" a="1"/>
  <c r="K235" i="79" s="1"/>
  <c r="J235" i="79" a="1"/>
  <c r="J235" i="79" s="1"/>
  <c r="I235" i="79" a="1"/>
  <c r="I235" i="79" s="1"/>
  <c r="H235" i="79" a="1"/>
  <c r="H235" i="79" s="1"/>
  <c r="G235" i="79" a="1"/>
  <c r="G235" i="79" s="1"/>
  <c r="F235" i="79" a="1"/>
  <c r="F235" i="79" s="1"/>
  <c r="E235" i="79" a="1"/>
  <c r="E235" i="79" s="1"/>
  <c r="D235" i="79" a="1"/>
  <c r="D235" i="79" s="1"/>
  <c r="S234" i="79" a="1"/>
  <c r="S234" i="79" s="1"/>
  <c r="R234" i="79" a="1"/>
  <c r="R234" i="79" s="1"/>
  <c r="Q234" i="79" a="1"/>
  <c r="Q234" i="79" s="1"/>
  <c r="P234" i="79" a="1"/>
  <c r="P234" i="79" s="1"/>
  <c r="O234" i="79" a="1"/>
  <c r="O234" i="79" s="1"/>
  <c r="N234" i="79" a="1"/>
  <c r="N234" i="79" s="1"/>
  <c r="M234" i="79" a="1"/>
  <c r="M234" i="79" s="1"/>
  <c r="L234" i="79" a="1"/>
  <c r="L234" i="79" s="1"/>
  <c r="K234" i="79" a="1"/>
  <c r="K234" i="79" s="1"/>
  <c r="J234" i="79" a="1"/>
  <c r="J234" i="79" s="1"/>
  <c r="I234" i="79" a="1"/>
  <c r="I234" i="79" s="1"/>
  <c r="H234" i="79" a="1"/>
  <c r="H234" i="79" s="1"/>
  <c r="G234" i="79" a="1"/>
  <c r="G234" i="79" s="1"/>
  <c r="F234" i="79" a="1"/>
  <c r="F234" i="79" s="1"/>
  <c r="E234" i="79" a="1"/>
  <c r="E234" i="79" s="1"/>
  <c r="D234" i="79" a="1"/>
  <c r="D234" i="79" s="1"/>
  <c r="S233" i="79" a="1"/>
  <c r="S233" i="79" s="1"/>
  <c r="R233" i="79" a="1"/>
  <c r="R233" i="79" s="1"/>
  <c r="Q233" i="79" a="1"/>
  <c r="Q233" i="79" s="1"/>
  <c r="P233" i="79" a="1"/>
  <c r="P233" i="79" s="1"/>
  <c r="O233" i="79" a="1"/>
  <c r="O233" i="79" s="1"/>
  <c r="N233" i="79" a="1"/>
  <c r="N233" i="79" s="1"/>
  <c r="M233" i="79" a="1"/>
  <c r="M233" i="79" s="1"/>
  <c r="L233" i="79" a="1"/>
  <c r="L233" i="79" s="1"/>
  <c r="K233" i="79" a="1"/>
  <c r="K233" i="79" s="1"/>
  <c r="J233" i="79" a="1"/>
  <c r="J233" i="79" s="1"/>
  <c r="I233" i="79" a="1"/>
  <c r="I233" i="79" s="1"/>
  <c r="H233" i="79" a="1"/>
  <c r="H233" i="79" s="1"/>
  <c r="G233" i="79" a="1"/>
  <c r="G233" i="79" s="1"/>
  <c r="F233" i="79" a="1"/>
  <c r="F233" i="79" s="1"/>
  <c r="E233" i="79" a="1"/>
  <c r="E233" i="79" s="1"/>
  <c r="D233" i="79" a="1"/>
  <c r="D233" i="79" s="1"/>
  <c r="S232" i="79" a="1"/>
  <c r="S232" i="79" s="1"/>
  <c r="R232" i="79" a="1"/>
  <c r="R232" i="79" s="1"/>
  <c r="Q232" i="79" a="1"/>
  <c r="Q232" i="79" s="1"/>
  <c r="P232" i="79" a="1"/>
  <c r="P232" i="79" s="1"/>
  <c r="O232" i="79" a="1"/>
  <c r="O232" i="79" s="1"/>
  <c r="N232" i="79" a="1"/>
  <c r="N232" i="79" s="1"/>
  <c r="M232" i="79" a="1"/>
  <c r="M232" i="79" s="1"/>
  <c r="L232" i="79" a="1"/>
  <c r="L232" i="79" s="1"/>
  <c r="K232" i="79" a="1"/>
  <c r="K232" i="79" s="1"/>
  <c r="J232" i="79" a="1"/>
  <c r="J232" i="79" s="1"/>
  <c r="I232" i="79" a="1"/>
  <c r="I232" i="79" s="1"/>
  <c r="H232" i="79" a="1"/>
  <c r="H232" i="79" s="1"/>
  <c r="G232" i="79" a="1"/>
  <c r="G232" i="79" s="1"/>
  <c r="F232" i="79" a="1"/>
  <c r="F232" i="79" s="1"/>
  <c r="E232" i="79" a="1"/>
  <c r="E232" i="79" s="1"/>
  <c r="D232" i="79" a="1"/>
  <c r="D232" i="79" s="1"/>
  <c r="D229" i="79" a="1"/>
  <c r="D229" i="79" s="1"/>
  <c r="D228" i="79" a="1"/>
  <c r="D228" i="79" s="1"/>
  <c r="D227" i="79" a="1"/>
  <c r="D227" i="79" s="1"/>
  <c r="E224" i="79" a="1"/>
  <c r="E224" i="79" s="1"/>
  <c r="D224" i="79" a="1"/>
  <c r="D224" i="79" s="1"/>
  <c r="E223" i="79" a="1"/>
  <c r="E223" i="79" s="1"/>
  <c r="D223" i="79" a="1"/>
  <c r="D223" i="79" s="1"/>
  <c r="E222" i="79" a="1"/>
  <c r="E222" i="79" s="1"/>
  <c r="D222" i="79" a="1"/>
  <c r="D222" i="79" s="1"/>
  <c r="E221" i="79" a="1"/>
  <c r="E221" i="79" s="1"/>
  <c r="D221" i="79" a="1"/>
  <c r="D221" i="79" s="1"/>
  <c r="E220" i="79" a="1"/>
  <c r="E220" i="79" s="1"/>
  <c r="D220" i="79" a="1"/>
  <c r="D220" i="79" s="1"/>
  <c r="E219" i="79" a="1"/>
  <c r="E219" i="79" s="1"/>
  <c r="D219" i="79" a="1"/>
  <c r="D219" i="79" s="1"/>
  <c r="E218" i="79" a="1"/>
  <c r="E218" i="79" s="1"/>
  <c r="D218" i="79" a="1"/>
  <c r="D218" i="79" s="1"/>
  <c r="E217" i="79" a="1"/>
  <c r="E217" i="79" s="1"/>
  <c r="D217" i="79" a="1"/>
  <c r="D217" i="79" s="1"/>
  <c r="E216" i="79" a="1"/>
  <c r="E216" i="79" s="1"/>
  <c r="D216" i="79" a="1"/>
  <c r="D216" i="79" s="1"/>
  <c r="E215" i="79" a="1"/>
  <c r="E215" i="79" s="1"/>
  <c r="D215" i="79" a="1"/>
  <c r="D215" i="79" s="1"/>
  <c r="E214" i="79" a="1"/>
  <c r="E214" i="79" s="1"/>
  <c r="D214" i="79" a="1"/>
  <c r="D214" i="79" s="1"/>
  <c r="E213" i="79" a="1"/>
  <c r="E213" i="79" s="1"/>
  <c r="D213" i="79" a="1"/>
  <c r="D213" i="79" s="1"/>
  <c r="D211" i="79" a="1"/>
  <c r="D211" i="79" s="1"/>
  <c r="E208" i="79" a="1"/>
  <c r="E208" i="79" s="1"/>
  <c r="D208" i="79" a="1"/>
  <c r="D208" i="79" s="1"/>
  <c r="E207" i="79" a="1"/>
  <c r="E207" i="79" s="1"/>
  <c r="D207" i="79" a="1"/>
  <c r="D207" i="79" s="1"/>
  <c r="D205" i="79" a="1"/>
  <c r="D205" i="79" s="1"/>
  <c r="D204" i="79" a="1"/>
  <c r="D204" i="79" s="1"/>
  <c r="D203" i="79" a="1"/>
  <c r="D203" i="79" s="1"/>
  <c r="D202" i="79" a="1"/>
  <c r="D202" i="79" s="1"/>
  <c r="H199" i="79" a="1"/>
  <c r="H199" i="79" s="1"/>
  <c r="G199" i="79" a="1"/>
  <c r="G199" i="79" s="1"/>
  <c r="F199" i="79" a="1"/>
  <c r="F199" i="79" s="1"/>
  <c r="E199" i="79" a="1"/>
  <c r="E199" i="79" s="1"/>
  <c r="D199" i="79" a="1"/>
  <c r="D199" i="79" s="1"/>
  <c r="H198" i="79" a="1"/>
  <c r="H198" i="79" s="1"/>
  <c r="G198" i="79" a="1"/>
  <c r="G198" i="79" s="1"/>
  <c r="F198" i="79" a="1"/>
  <c r="F198" i="79" s="1"/>
  <c r="E198" i="79" a="1"/>
  <c r="E198" i="79" s="1"/>
  <c r="D198" i="79" a="1"/>
  <c r="D198" i="79" s="1"/>
  <c r="H197" i="79" a="1"/>
  <c r="H197" i="79" s="1"/>
  <c r="G197" i="79" a="1"/>
  <c r="G197" i="79" s="1"/>
  <c r="F197" i="79" a="1"/>
  <c r="F197" i="79" s="1"/>
  <c r="E197" i="79" a="1"/>
  <c r="E197" i="79" s="1"/>
  <c r="D197" i="79" a="1"/>
  <c r="D197" i="79" s="1"/>
  <c r="H196" i="79" a="1"/>
  <c r="H196" i="79" s="1"/>
  <c r="G196" i="79" a="1"/>
  <c r="G196" i="79" s="1"/>
  <c r="F196" i="79" a="1"/>
  <c r="F196" i="79" s="1"/>
  <c r="E196" i="79" a="1"/>
  <c r="E196" i="79" s="1"/>
  <c r="D196" i="79" a="1"/>
  <c r="D196" i="79" s="1"/>
  <c r="H195" i="79" a="1"/>
  <c r="H195" i="79" s="1"/>
  <c r="G195" i="79" a="1"/>
  <c r="G195" i="79" s="1"/>
  <c r="F195" i="79" a="1"/>
  <c r="F195" i="79" s="1"/>
  <c r="E195" i="79" a="1"/>
  <c r="E195" i="79" s="1"/>
  <c r="D195" i="79" a="1"/>
  <c r="D195" i="79" s="1"/>
  <c r="H194" i="79" a="1"/>
  <c r="H194" i="79" s="1"/>
  <c r="G194" i="79" a="1"/>
  <c r="G194" i="79" s="1"/>
  <c r="F194" i="79" a="1"/>
  <c r="F194" i="79" s="1"/>
  <c r="E194" i="79" a="1"/>
  <c r="E194" i="79" s="1"/>
  <c r="D194" i="79" a="1"/>
  <c r="D194" i="79" s="1"/>
  <c r="H193" i="79" a="1"/>
  <c r="H193" i="79" s="1"/>
  <c r="G193" i="79" a="1"/>
  <c r="G193" i="79" s="1"/>
  <c r="F193" i="79" a="1"/>
  <c r="F193" i="79" s="1"/>
  <c r="E193" i="79" a="1"/>
  <c r="E193" i="79" s="1"/>
  <c r="D193" i="79" a="1"/>
  <c r="D193" i="79" s="1"/>
  <c r="H192" i="79" a="1"/>
  <c r="H192" i="79" s="1"/>
  <c r="G192" i="79" a="1"/>
  <c r="G192" i="79" s="1"/>
  <c r="F192" i="79" a="1"/>
  <c r="F192" i="79" s="1"/>
  <c r="E192" i="79" a="1"/>
  <c r="E192" i="79" s="1"/>
  <c r="D192" i="79" a="1"/>
  <c r="D192" i="79" s="1"/>
  <c r="H191" i="79" a="1"/>
  <c r="H191" i="79" s="1"/>
  <c r="G191" i="79" a="1"/>
  <c r="G191" i="79" s="1"/>
  <c r="F191" i="79" a="1"/>
  <c r="F191" i="79" s="1"/>
  <c r="E191" i="79" a="1"/>
  <c r="E191" i="79" s="1"/>
  <c r="D191" i="79" a="1"/>
  <c r="D191" i="79" s="1"/>
  <c r="H190" i="79" a="1"/>
  <c r="H190" i="79" s="1"/>
  <c r="G190" i="79" a="1"/>
  <c r="G190" i="79" s="1"/>
  <c r="F190" i="79" a="1"/>
  <c r="F190" i="79" s="1"/>
  <c r="E190" i="79" a="1"/>
  <c r="E190" i="79" s="1"/>
  <c r="D190" i="79" a="1"/>
  <c r="D190" i="79" s="1"/>
  <c r="H189" i="79" a="1"/>
  <c r="H189" i="79" s="1"/>
  <c r="G189" i="79" a="1"/>
  <c r="G189" i="79" s="1"/>
  <c r="F189" i="79" a="1"/>
  <c r="F189" i="79" s="1"/>
  <c r="E189" i="79" a="1"/>
  <c r="E189" i="79" s="1"/>
  <c r="D189" i="79" a="1"/>
  <c r="D189" i="79" s="1"/>
  <c r="H188" i="79" a="1"/>
  <c r="H188" i="79" s="1"/>
  <c r="G188" i="79" a="1"/>
  <c r="G188" i="79" s="1"/>
  <c r="F188" i="79" a="1"/>
  <c r="F188" i="79" s="1"/>
  <c r="E188" i="79" a="1"/>
  <c r="E188" i="79" s="1"/>
  <c r="D188" i="79" a="1"/>
  <c r="D188" i="79" s="1"/>
  <c r="H187" i="79" a="1"/>
  <c r="H187" i="79" s="1"/>
  <c r="G187" i="79" a="1"/>
  <c r="G187" i="79" s="1"/>
  <c r="F187" i="79" a="1"/>
  <c r="F187" i="79" s="1"/>
  <c r="E187" i="79" a="1"/>
  <c r="E187" i="79" s="1"/>
  <c r="D187" i="79" a="1"/>
  <c r="D187" i="79" s="1"/>
  <c r="D181" i="79" a="1"/>
  <c r="D181" i="79" s="1"/>
  <c r="D180" i="79" a="1"/>
  <c r="D180" i="79" s="1"/>
  <c r="D179" i="79" a="1"/>
  <c r="D179" i="79" s="1"/>
  <c r="D178" i="79" a="1"/>
  <c r="D178" i="79" s="1"/>
  <c r="E175" i="79" a="1"/>
  <c r="E175" i="79" s="1"/>
  <c r="D175" i="79" a="1"/>
  <c r="D175" i="79" s="1"/>
  <c r="D174" i="79" a="1"/>
  <c r="D174" i="79" s="1"/>
  <c r="D173" i="79" a="1"/>
  <c r="D173" i="79" s="1"/>
  <c r="D170" i="79" a="1"/>
  <c r="D170" i="79" s="1"/>
  <c r="D169" i="79" a="1"/>
  <c r="D169" i="79" s="1"/>
  <c r="D168" i="79" a="1"/>
  <c r="D168" i="79" s="1"/>
  <c r="D167" i="79" a="1"/>
  <c r="D167" i="79" s="1"/>
  <c r="D164" i="79" a="1"/>
  <c r="D164" i="79" s="1"/>
  <c r="D163" i="79" a="1"/>
  <c r="D163" i="79" s="1"/>
  <c r="D162" i="79" a="1"/>
  <c r="D162" i="79" s="1"/>
  <c r="D161" i="79" a="1"/>
  <c r="D161" i="79" s="1"/>
  <c r="E158" i="79" a="1"/>
  <c r="E158" i="79" s="1"/>
  <c r="D158" i="79" a="1"/>
  <c r="D158" i="79" s="1"/>
  <c r="E157" i="79" a="1"/>
  <c r="E157" i="79" s="1"/>
  <c r="D157" i="79" a="1"/>
  <c r="D157" i="79" s="1"/>
  <c r="E156" i="79" a="1"/>
  <c r="E156" i="79" s="1"/>
  <c r="D156" i="79" a="1"/>
  <c r="D156" i="79" s="1"/>
  <c r="E155" i="79" a="1"/>
  <c r="E155" i="79" s="1"/>
  <c r="D155" i="79" a="1"/>
  <c r="D155" i="79" s="1"/>
  <c r="E154" i="79" a="1"/>
  <c r="E154" i="79" s="1"/>
  <c r="D154" i="79" a="1"/>
  <c r="D154" i="79" s="1"/>
  <c r="D151" i="79" a="1"/>
  <c r="D151" i="79" s="1"/>
  <c r="D150" i="79" a="1"/>
  <c r="D150" i="79" s="1"/>
  <c r="E147" i="79" a="1"/>
  <c r="E147" i="79" s="1"/>
  <c r="D147" i="79" a="1"/>
  <c r="D147" i="79" s="1"/>
  <c r="E146" i="79" a="1"/>
  <c r="E146" i="79" s="1"/>
  <c r="D146" i="79" a="1"/>
  <c r="D146" i="79" s="1"/>
  <c r="E145" i="79" a="1"/>
  <c r="E145" i="79" s="1"/>
  <c r="D145" i="79" a="1"/>
  <c r="D145" i="79" s="1"/>
  <c r="E144" i="79" a="1"/>
  <c r="E144" i="79" s="1"/>
  <c r="D144" i="79" a="1"/>
  <c r="D144" i="79" s="1"/>
  <c r="E143" i="79" a="1"/>
  <c r="E143" i="79" s="1"/>
  <c r="D143" i="79" a="1"/>
  <c r="D143" i="79" s="1"/>
  <c r="D141" i="79" a="1"/>
  <c r="D141" i="79" s="1"/>
  <c r="D140" i="79" a="1"/>
  <c r="D140" i="79" s="1"/>
  <c r="D139" i="79" a="1"/>
  <c r="D139" i="79" s="1"/>
  <c r="E136" i="79" a="1"/>
  <c r="E136" i="79" s="1"/>
  <c r="D136" i="79" a="1"/>
  <c r="D136" i="79" s="1"/>
  <c r="E135" i="79" a="1"/>
  <c r="E135" i="79" s="1"/>
  <c r="D135" i="79" a="1"/>
  <c r="D135" i="79" s="1"/>
  <c r="D133" i="79" a="1"/>
  <c r="D133" i="79" s="1"/>
  <c r="D132" i="79" a="1"/>
  <c r="D132" i="79" s="1"/>
  <c r="E129" i="79" a="1"/>
  <c r="E129" i="79" s="1"/>
  <c r="D129" i="79" a="1"/>
  <c r="D129" i="79" s="1"/>
  <c r="E128" i="79" a="1"/>
  <c r="E128" i="79" s="1"/>
  <c r="D128" i="79" a="1"/>
  <c r="D128" i="79" s="1"/>
  <c r="D125" i="79" a="1"/>
  <c r="D125" i="79" s="1"/>
  <c r="D124" i="79" a="1"/>
  <c r="D124" i="79" s="1"/>
  <c r="G121" i="79" a="1"/>
  <c r="G121" i="79" s="1"/>
  <c r="F121" i="79" a="1"/>
  <c r="F121" i="79" s="1"/>
  <c r="E121" i="79" a="1"/>
  <c r="E121" i="79" s="1"/>
  <c r="D121" i="79" a="1"/>
  <c r="D121" i="79" s="1"/>
  <c r="G120" i="79" a="1"/>
  <c r="G120" i="79" s="1"/>
  <c r="F120" i="79" a="1"/>
  <c r="F120" i="79" s="1"/>
  <c r="E120" i="79" a="1"/>
  <c r="E120" i="79" s="1"/>
  <c r="D120" i="79" a="1"/>
  <c r="D120" i="79" s="1"/>
  <c r="D117" i="79" a="1"/>
  <c r="D117" i="79" s="1"/>
  <c r="D116" i="79" a="1"/>
  <c r="D116" i="79" s="1"/>
  <c r="D115" i="79" a="1"/>
  <c r="D115" i="79" s="1"/>
  <c r="G112" i="79" a="1"/>
  <c r="G112" i="79" s="1"/>
  <c r="F112" i="79" a="1"/>
  <c r="F112" i="79" s="1"/>
  <c r="E112" i="79" a="1"/>
  <c r="E112" i="79" s="1"/>
  <c r="D112" i="79" a="1"/>
  <c r="D112" i="79" s="1"/>
  <c r="G111" i="79" a="1"/>
  <c r="G111" i="79" s="1"/>
  <c r="F111" i="79" a="1"/>
  <c r="F111" i="79" s="1"/>
  <c r="E111" i="79" a="1"/>
  <c r="E111" i="79" s="1"/>
  <c r="D111" i="79" a="1"/>
  <c r="D111" i="79" s="1"/>
  <c r="G110" i="79" a="1"/>
  <c r="G110" i="79" s="1"/>
  <c r="F110" i="79" a="1"/>
  <c r="F110" i="79" s="1"/>
  <c r="E110" i="79" a="1"/>
  <c r="E110" i="79" s="1"/>
  <c r="D110" i="79" a="1"/>
  <c r="D110" i="79" s="1"/>
  <c r="D107" i="79" a="1"/>
  <c r="D107" i="79" s="1"/>
  <c r="D106" i="79" a="1"/>
  <c r="D106" i="79" s="1"/>
  <c r="D105" i="79" a="1"/>
  <c r="D105" i="79" s="1"/>
  <c r="D99" i="79" a="1"/>
  <c r="D99" i="79" s="1"/>
  <c r="S97" i="79" a="1"/>
  <c r="S97" i="79" s="1"/>
  <c r="R97" i="79" a="1"/>
  <c r="R97" i="79" s="1"/>
  <c r="Q97" i="79" a="1"/>
  <c r="Q97" i="79" s="1"/>
  <c r="P97" i="79" a="1"/>
  <c r="P97" i="79" s="1"/>
  <c r="O97" i="79" a="1"/>
  <c r="O97" i="79" s="1"/>
  <c r="N97" i="79" a="1"/>
  <c r="N97" i="79" s="1"/>
  <c r="M97" i="79" a="1"/>
  <c r="M97" i="79" s="1"/>
  <c r="L97" i="79" a="1"/>
  <c r="L97" i="79" s="1"/>
  <c r="K97" i="79" a="1"/>
  <c r="K97" i="79" s="1"/>
  <c r="J97" i="79" a="1"/>
  <c r="J97" i="79" s="1"/>
  <c r="I97" i="79" a="1"/>
  <c r="I97" i="79" s="1"/>
  <c r="H97" i="79" a="1"/>
  <c r="H97" i="79" s="1"/>
  <c r="G97" i="79" a="1"/>
  <c r="G97" i="79" s="1"/>
  <c r="F97" i="79" a="1"/>
  <c r="F97" i="79" s="1"/>
  <c r="E97" i="79" a="1"/>
  <c r="E97" i="79" s="1"/>
  <c r="D97" i="79" a="1"/>
  <c r="D97" i="79" s="1"/>
  <c r="S96" i="79" a="1"/>
  <c r="S96" i="79" s="1"/>
  <c r="R96" i="79" a="1"/>
  <c r="R96" i="79" s="1"/>
  <c r="Q96" i="79" a="1"/>
  <c r="Q96" i="79" s="1"/>
  <c r="P96" i="79" a="1"/>
  <c r="P96" i="79" s="1"/>
  <c r="O96" i="79" a="1"/>
  <c r="O96" i="79" s="1"/>
  <c r="N96" i="79" a="1"/>
  <c r="N96" i="79" s="1"/>
  <c r="M96" i="79" a="1"/>
  <c r="M96" i="79" s="1"/>
  <c r="L96" i="79" a="1"/>
  <c r="L96" i="79" s="1"/>
  <c r="K96" i="79" a="1"/>
  <c r="K96" i="79" s="1"/>
  <c r="J96" i="79" a="1"/>
  <c r="J96" i="79" s="1"/>
  <c r="I96" i="79" a="1"/>
  <c r="I96" i="79" s="1"/>
  <c r="H96" i="79" a="1"/>
  <c r="H96" i="79" s="1"/>
  <c r="G96" i="79" a="1"/>
  <c r="G96" i="79" s="1"/>
  <c r="F96" i="79" a="1"/>
  <c r="F96" i="79" s="1"/>
  <c r="E96" i="79" a="1"/>
  <c r="E96" i="79" s="1"/>
  <c r="D96" i="79" a="1"/>
  <c r="D96" i="79" s="1"/>
  <c r="S95" i="79" a="1"/>
  <c r="S95" i="79" s="1"/>
  <c r="R95" i="79" a="1"/>
  <c r="R95" i="79" s="1"/>
  <c r="Q95" i="79" a="1"/>
  <c r="Q95" i="79" s="1"/>
  <c r="P95" i="79" a="1"/>
  <c r="P95" i="79" s="1"/>
  <c r="O95" i="79" a="1"/>
  <c r="O95" i="79" s="1"/>
  <c r="N95" i="79" a="1"/>
  <c r="N95" i="79" s="1"/>
  <c r="M95" i="79" a="1"/>
  <c r="M95" i="79" s="1"/>
  <c r="L95" i="79" a="1"/>
  <c r="L95" i="79" s="1"/>
  <c r="K95" i="79" a="1"/>
  <c r="K95" i="79" s="1"/>
  <c r="J95" i="79" a="1"/>
  <c r="J95" i="79" s="1"/>
  <c r="I95" i="79" a="1"/>
  <c r="I95" i="79" s="1"/>
  <c r="H95" i="79" a="1"/>
  <c r="H95" i="79" s="1"/>
  <c r="G95" i="79" a="1"/>
  <c r="G95" i="79" s="1"/>
  <c r="F95" i="79" a="1"/>
  <c r="F95" i="79" s="1"/>
  <c r="E95" i="79" a="1"/>
  <c r="E95" i="79" s="1"/>
  <c r="D95" i="79" a="1"/>
  <c r="D95" i="79" s="1"/>
  <c r="S94" i="79" a="1"/>
  <c r="S94" i="79" s="1"/>
  <c r="R94" i="79" a="1"/>
  <c r="R94" i="79" s="1"/>
  <c r="Q94" i="79" a="1"/>
  <c r="Q94" i="79" s="1"/>
  <c r="P94" i="79" a="1"/>
  <c r="P94" i="79" s="1"/>
  <c r="O94" i="79" a="1"/>
  <c r="O94" i="79" s="1"/>
  <c r="N94" i="79" a="1"/>
  <c r="N94" i="79" s="1"/>
  <c r="M94" i="79" a="1"/>
  <c r="M94" i="79" s="1"/>
  <c r="L94" i="79" a="1"/>
  <c r="L94" i="79" s="1"/>
  <c r="K94" i="79" a="1"/>
  <c r="K94" i="79" s="1"/>
  <c r="J94" i="79" a="1"/>
  <c r="J94" i="79" s="1"/>
  <c r="I94" i="79" a="1"/>
  <c r="I94" i="79" s="1"/>
  <c r="H94" i="79" a="1"/>
  <c r="H94" i="79" s="1"/>
  <c r="G94" i="79" a="1"/>
  <c r="G94" i="79" s="1"/>
  <c r="F94" i="79" a="1"/>
  <c r="F94" i="79" s="1"/>
  <c r="E94" i="79" a="1"/>
  <c r="E94" i="79" s="1"/>
  <c r="D94" i="79" a="1"/>
  <c r="D94" i="79" s="1"/>
  <c r="S93" i="79" a="1"/>
  <c r="S93" i="79" s="1"/>
  <c r="R93" i="79" a="1"/>
  <c r="R93" i="79" s="1"/>
  <c r="Q93" i="79" a="1"/>
  <c r="Q93" i="79" s="1"/>
  <c r="P93" i="79" a="1"/>
  <c r="P93" i="79" s="1"/>
  <c r="O93" i="79" a="1"/>
  <c r="O93" i="79" s="1"/>
  <c r="N93" i="79" a="1"/>
  <c r="N93" i="79" s="1"/>
  <c r="M93" i="79" a="1"/>
  <c r="M93" i="79" s="1"/>
  <c r="L93" i="79" a="1"/>
  <c r="L93" i="79" s="1"/>
  <c r="K93" i="79" a="1"/>
  <c r="K93" i="79" s="1"/>
  <c r="J93" i="79" a="1"/>
  <c r="J93" i="79" s="1"/>
  <c r="I93" i="79" a="1"/>
  <c r="I93" i="79" s="1"/>
  <c r="H93" i="79" a="1"/>
  <c r="H93" i="79" s="1"/>
  <c r="G93" i="79" a="1"/>
  <c r="G93" i="79" s="1"/>
  <c r="F93" i="79" a="1"/>
  <c r="F93" i="79" s="1"/>
  <c r="E93" i="79" a="1"/>
  <c r="E93" i="79" s="1"/>
  <c r="D93" i="79" a="1"/>
  <c r="D93" i="79" s="1"/>
  <c r="S92" i="79" a="1"/>
  <c r="S92" i="79" s="1"/>
  <c r="R92" i="79" a="1"/>
  <c r="R92" i="79" s="1"/>
  <c r="Q92" i="79" a="1"/>
  <c r="Q92" i="79" s="1"/>
  <c r="P92" i="79" a="1"/>
  <c r="P92" i="79" s="1"/>
  <c r="O92" i="79" a="1"/>
  <c r="O92" i="79" s="1"/>
  <c r="N92" i="79" a="1"/>
  <c r="N92" i="79" s="1"/>
  <c r="M92" i="79" a="1"/>
  <c r="M92" i="79" s="1"/>
  <c r="L92" i="79" a="1"/>
  <c r="L92" i="79" s="1"/>
  <c r="K92" i="79" a="1"/>
  <c r="K92" i="79" s="1"/>
  <c r="J92" i="79" a="1"/>
  <c r="J92" i="79" s="1"/>
  <c r="I92" i="79" a="1"/>
  <c r="I92" i="79" s="1"/>
  <c r="H92" i="79" a="1"/>
  <c r="H92" i="79" s="1"/>
  <c r="G92" i="79" a="1"/>
  <c r="G92" i="79" s="1"/>
  <c r="F92" i="79" a="1"/>
  <c r="F92" i="79" s="1"/>
  <c r="E92" i="79" a="1"/>
  <c r="E92" i="79" s="1"/>
  <c r="D92" i="79" a="1"/>
  <c r="D92" i="79" s="1"/>
  <c r="S91" i="79" a="1"/>
  <c r="S91" i="79" s="1"/>
  <c r="R91" i="79" a="1"/>
  <c r="R91" i="79" s="1"/>
  <c r="Q91" i="79" a="1"/>
  <c r="Q91" i="79" s="1"/>
  <c r="P91" i="79" a="1"/>
  <c r="P91" i="79" s="1"/>
  <c r="O91" i="79" a="1"/>
  <c r="O91" i="79" s="1"/>
  <c r="N91" i="79" a="1"/>
  <c r="N91" i="79" s="1"/>
  <c r="M91" i="79" a="1"/>
  <c r="M91" i="79" s="1"/>
  <c r="L91" i="79" a="1"/>
  <c r="L91" i="79" s="1"/>
  <c r="K91" i="79" a="1"/>
  <c r="K91" i="79" s="1"/>
  <c r="J91" i="79" a="1"/>
  <c r="J91" i="79" s="1"/>
  <c r="I91" i="79" a="1"/>
  <c r="I91" i="79" s="1"/>
  <c r="H91" i="79" a="1"/>
  <c r="H91" i="79" s="1"/>
  <c r="G91" i="79" a="1"/>
  <c r="G91" i="79" s="1"/>
  <c r="F91" i="79" a="1"/>
  <c r="F91" i="79" s="1"/>
  <c r="E91" i="79" a="1"/>
  <c r="E91" i="79" s="1"/>
  <c r="D91" i="79" a="1"/>
  <c r="D91" i="79" s="1"/>
  <c r="S90" i="79" a="1"/>
  <c r="S90" i="79" s="1"/>
  <c r="R90" i="79" a="1"/>
  <c r="R90" i="79" s="1"/>
  <c r="Q90" i="79" a="1"/>
  <c r="Q90" i="79" s="1"/>
  <c r="P90" i="79" a="1"/>
  <c r="P90" i="79" s="1"/>
  <c r="O90" i="79" a="1"/>
  <c r="O90" i="79" s="1"/>
  <c r="N90" i="79" a="1"/>
  <c r="N90" i="79" s="1"/>
  <c r="M90" i="79" a="1"/>
  <c r="M90" i="79" s="1"/>
  <c r="L90" i="79" a="1"/>
  <c r="L90" i="79" s="1"/>
  <c r="K90" i="79" a="1"/>
  <c r="K90" i="79" s="1"/>
  <c r="J90" i="79" a="1"/>
  <c r="J90" i="79" s="1"/>
  <c r="I90" i="79" a="1"/>
  <c r="I90" i="79" s="1"/>
  <c r="H90" i="79" a="1"/>
  <c r="H90" i="79" s="1"/>
  <c r="G90" i="79" a="1"/>
  <c r="G90" i="79" s="1"/>
  <c r="F90" i="79" a="1"/>
  <c r="F90" i="79" s="1"/>
  <c r="E90" i="79" a="1"/>
  <c r="E90" i="79" s="1"/>
  <c r="D90" i="79" a="1"/>
  <c r="D90" i="79" s="1"/>
  <c r="D83" i="79" a="1"/>
  <c r="D83" i="79" s="1"/>
  <c r="D82" i="79" a="1"/>
  <c r="D82" i="79" s="1"/>
  <c r="D81" i="79" a="1"/>
  <c r="D81" i="79" s="1"/>
  <c r="E77" i="79" a="1"/>
  <c r="E77" i="79" s="1"/>
  <c r="D77" i="79" a="1"/>
  <c r="D77" i="79" s="1"/>
  <c r="E76" i="79" a="1"/>
  <c r="E76" i="79" s="1"/>
  <c r="D76" i="79" a="1"/>
  <c r="D76" i="79" s="1"/>
  <c r="E75" i="79" a="1"/>
  <c r="E75" i="79" s="1"/>
  <c r="D75" i="79" a="1"/>
  <c r="D75" i="79" s="1"/>
  <c r="E74" i="79" a="1"/>
  <c r="E74" i="79" s="1"/>
  <c r="D74" i="79" a="1"/>
  <c r="D74" i="79" s="1"/>
  <c r="E73" i="79" a="1"/>
  <c r="E73" i="79" s="1"/>
  <c r="D73" i="79" a="1"/>
  <c r="D73" i="79" s="1"/>
  <c r="E72" i="79" a="1"/>
  <c r="E72" i="79" s="1"/>
  <c r="D72" i="79" a="1"/>
  <c r="D72" i="79" s="1"/>
  <c r="E71" i="79" a="1"/>
  <c r="E71" i="79" s="1"/>
  <c r="D71" i="79" a="1"/>
  <c r="D71" i="79" s="1"/>
  <c r="E70" i="79" a="1"/>
  <c r="E70" i="79" s="1"/>
  <c r="D70" i="79" a="1"/>
  <c r="D70" i="79" s="1"/>
  <c r="E69" i="79" a="1"/>
  <c r="E69" i="79" s="1"/>
  <c r="D69" i="79" a="1"/>
  <c r="D69" i="79" s="1"/>
  <c r="E68" i="79" a="1"/>
  <c r="E68" i="79" s="1"/>
  <c r="D68" i="79" a="1"/>
  <c r="D68" i="79" s="1"/>
  <c r="E67" i="79" a="1"/>
  <c r="E67" i="79" s="1"/>
  <c r="D67" i="79" a="1"/>
  <c r="D67" i="79" s="1"/>
  <c r="E66" i="79" a="1"/>
  <c r="E66" i="79" s="1"/>
  <c r="D66" i="79" a="1"/>
  <c r="D66" i="79" s="1"/>
  <c r="E65" i="79" a="1"/>
  <c r="E65" i="79" s="1"/>
  <c r="D65" i="79" a="1"/>
  <c r="D65" i="79" s="1"/>
  <c r="E64" i="79" a="1"/>
  <c r="E64" i="79" s="1"/>
  <c r="D64" i="79" a="1"/>
  <c r="D64" i="79" s="1"/>
  <c r="D59" i="79" a="1"/>
  <c r="D59" i="79" s="1"/>
  <c r="D58" i="79" a="1"/>
  <c r="D58" i="79" s="1"/>
  <c r="D57" i="79" a="1"/>
  <c r="D57" i="79" s="1"/>
  <c r="G54" i="79" a="1"/>
  <c r="G54" i="79" s="1"/>
  <c r="F54" i="79" a="1"/>
  <c r="F54" i="79" s="1"/>
  <c r="E54" i="79" a="1"/>
  <c r="E54" i="79" s="1"/>
  <c r="D54" i="79" a="1"/>
  <c r="D54" i="79" s="1"/>
  <c r="G53" i="79" a="1"/>
  <c r="G53" i="79" s="1"/>
  <c r="F53" i="79" a="1"/>
  <c r="F53" i="79" s="1"/>
  <c r="E53" i="79" a="1"/>
  <c r="E53" i="79" s="1"/>
  <c r="D53" i="79" a="1"/>
  <c r="D53" i="79" s="1"/>
  <c r="G52" i="79" a="1"/>
  <c r="G52" i="79" s="1"/>
  <c r="F52" i="79" a="1"/>
  <c r="F52" i="79" s="1"/>
  <c r="E52" i="79" a="1"/>
  <c r="E52" i="79" s="1"/>
  <c r="D52" i="79" a="1"/>
  <c r="D52" i="79" s="1"/>
  <c r="G51" i="79" a="1"/>
  <c r="G51" i="79" s="1"/>
  <c r="F51" i="79" a="1"/>
  <c r="F51" i="79" s="1"/>
  <c r="E51" i="79" a="1"/>
  <c r="E51" i="79" s="1"/>
  <c r="D51" i="79" a="1"/>
  <c r="D51" i="79" s="1"/>
  <c r="G50" i="79" a="1"/>
  <c r="G50" i="79" s="1"/>
  <c r="F50" i="79" a="1"/>
  <c r="F50" i="79" s="1"/>
  <c r="E50" i="79" a="1"/>
  <c r="E50" i="79" s="1"/>
  <c r="D50" i="79" a="1"/>
  <c r="D50" i="79" s="1"/>
  <c r="G49" i="79" a="1"/>
  <c r="G49" i="79" s="1"/>
  <c r="F49" i="79" a="1"/>
  <c r="F49" i="79" s="1"/>
  <c r="E49" i="79" a="1"/>
  <c r="E49" i="79" s="1"/>
  <c r="D49" i="79" a="1"/>
  <c r="D49" i="79" s="1"/>
  <c r="G48" i="79" a="1"/>
  <c r="G48" i="79" s="1"/>
  <c r="F48" i="79" a="1"/>
  <c r="F48" i="79" s="1"/>
  <c r="E48" i="79" a="1"/>
  <c r="E48" i="79" s="1"/>
  <c r="D48" i="79" a="1"/>
  <c r="D48" i="79" s="1"/>
  <c r="D46" i="79" a="1"/>
  <c r="D46" i="79" s="1"/>
  <c r="D45" i="79" a="1"/>
  <c r="D45" i="79" s="1"/>
  <c r="E43" i="79" a="1"/>
  <c r="E43" i="79" s="1"/>
  <c r="D43" i="79" a="1"/>
  <c r="D43" i="79" s="1"/>
  <c r="E42" i="79" a="1"/>
  <c r="E42" i="79" s="1"/>
  <c r="D42" i="79" a="1"/>
  <c r="D42" i="79" s="1"/>
  <c r="E41" i="79" a="1"/>
  <c r="E41" i="79" s="1"/>
  <c r="D41" i="79" a="1"/>
  <c r="D41" i="79" s="1"/>
  <c r="E40" i="79" a="1"/>
  <c r="E40" i="79" s="1"/>
  <c r="D40" i="79" a="1"/>
  <c r="D40" i="79" s="1"/>
  <c r="E39" i="79" a="1"/>
  <c r="E39" i="79" s="1"/>
  <c r="D39" i="79" a="1"/>
  <c r="D39" i="79" s="1"/>
  <c r="E38" i="79" a="1"/>
  <c r="E38" i="79" s="1"/>
  <c r="D38" i="79" a="1"/>
  <c r="D38" i="79" s="1"/>
  <c r="E37" i="79" a="1"/>
  <c r="E37" i="79" s="1"/>
  <c r="D37" i="79" a="1"/>
  <c r="D37" i="79" s="1"/>
  <c r="D35" i="79" a="1"/>
  <c r="D35" i="79" s="1"/>
  <c r="D34" i="79" a="1"/>
  <c r="D34" i="79" s="1"/>
  <c r="D30" i="79" a="1"/>
  <c r="D30" i="79" s="1"/>
  <c r="D29" i="79" a="1"/>
  <c r="D29" i="79" s="1"/>
  <c r="D28" i="79" a="1"/>
  <c r="D28" i="79" s="1"/>
  <c r="D27" i="79" a="1"/>
  <c r="D27" i="79" s="1"/>
  <c r="D26" i="79" a="1"/>
  <c r="D26" i="79" s="1"/>
  <c r="D25" i="79" a="1"/>
  <c r="D25" i="79" s="1"/>
  <c r="D24" i="79" a="1"/>
  <c r="D24" i="79" s="1"/>
  <c r="D23" i="79" a="1"/>
  <c r="D23" i="79" s="1"/>
  <c r="D22" i="79" a="1"/>
  <c r="D22" i="79" s="1"/>
  <c r="D21" i="79" a="1"/>
  <c r="D21" i="79" s="1"/>
  <c r="D19" i="79" a="1"/>
  <c r="D19" i="79" s="1"/>
  <c r="D18" i="79" a="1"/>
  <c r="D18" i="79" s="1"/>
  <c r="F14" i="79" a="1"/>
  <c r="F14" i="79" s="1"/>
  <c r="E14" i="79" a="1"/>
  <c r="E14" i="79" s="1"/>
  <c r="D14" i="79" a="1"/>
  <c r="D14" i="79" s="1"/>
  <c r="F13" i="79" a="1"/>
  <c r="F13" i="79" s="1"/>
  <c r="E13" i="79" a="1"/>
  <c r="E13" i="79" s="1"/>
  <c r="D13" i="79" a="1"/>
  <c r="D13" i="79" s="1"/>
  <c r="F12" i="79" a="1"/>
  <c r="F12" i="79" s="1"/>
  <c r="E12" i="79" a="1"/>
  <c r="E12" i="79" s="1"/>
  <c r="D12" i="79" a="1"/>
  <c r="D12" i="79" s="1"/>
  <c r="F11" i="79" a="1"/>
  <c r="F11" i="79" s="1"/>
  <c r="E11" i="79" a="1"/>
  <c r="E11" i="79" s="1"/>
  <c r="D11" i="79" a="1"/>
  <c r="D11" i="79" s="1"/>
  <c r="F10" i="79" a="1"/>
  <c r="F10" i="79" s="1"/>
  <c r="E10" i="79" a="1"/>
  <c r="E10" i="79" s="1"/>
  <c r="D10" i="79" a="1"/>
  <c r="D10" i="79" s="1"/>
  <c r="F9" i="79" a="1"/>
  <c r="F9" i="79" s="1"/>
  <c r="E9" i="79" a="1"/>
  <c r="E9" i="79" s="1"/>
  <c r="D9" i="79" a="1"/>
  <c r="D9" i="79" s="1"/>
  <c r="F8" i="79" a="1"/>
  <c r="F8" i="79" s="1"/>
  <c r="E8" i="79" a="1"/>
  <c r="E8" i="79" s="1"/>
  <c r="D8" i="79" a="1"/>
  <c r="D8" i="79" s="1"/>
  <c r="A8" i="79"/>
  <c r="F7" i="79" a="1"/>
  <c r="F7" i="79" s="1"/>
  <c r="E7" i="79" a="1"/>
  <c r="E7" i="79" s="1"/>
  <c r="D7" i="79" a="1"/>
  <c r="D7" i="79" s="1"/>
  <c r="A7" i="79"/>
  <c r="D5" i="79" a="1"/>
  <c r="D5" i="79" s="1"/>
  <c r="A3" i="79"/>
  <c r="A8" i="71"/>
  <c r="A7" i="71"/>
  <c r="A3" i="71"/>
  <c r="F33" i="13" l="1"/>
  <c r="I33" i="13" s="1"/>
  <c r="I34" i="13" s="1"/>
  <c r="H33" i="13"/>
  <c r="H34" i="13" s="1"/>
  <c r="J63" i="78"/>
  <c r="J35" i="78"/>
  <c r="J15" i="78"/>
  <c r="J26" i="78"/>
  <c r="J44" i="78"/>
  <c r="D54" i="72"/>
  <c r="E68" i="72"/>
  <c r="E72" i="72" s="1"/>
  <c r="E69" i="72"/>
  <c r="H48" i="79"/>
  <c r="E22" i="75"/>
  <c r="H51" i="79"/>
  <c r="E19" i="75"/>
  <c r="E20" i="75"/>
  <c r="E21" i="75" s="1"/>
  <c r="H53" i="79"/>
  <c r="H50" i="79"/>
  <c r="H54" i="79"/>
  <c r="H52" i="79"/>
  <c r="H49" i="79"/>
  <c r="E8" i="76" a="1"/>
  <c r="E8" i="76" s="1"/>
  <c r="E10" i="76" a="1"/>
  <c r="E10" i="76" s="1"/>
  <c r="E9" i="76" a="1"/>
  <c r="E9" i="76" s="1"/>
  <c r="F15" i="13" l="1" a="1"/>
  <c r="F15" i="13" s="1"/>
  <c r="I15" i="13" s="1" a="1"/>
  <c r="I15" i="13" s="1"/>
  <c r="E15" i="13" a="1"/>
  <c r="E15" i="13" s="1"/>
  <c r="H15" i="13" s="1" a="1"/>
  <c r="H15" i="13" s="1"/>
  <c r="E17" i="13" a="1"/>
  <c r="E17" i="13" s="1"/>
  <c r="E18" i="13" a="1"/>
  <c r="E18" i="13" s="1"/>
  <c r="H18" i="13" s="1" a="1"/>
  <c r="H18" i="13" s="1"/>
  <c r="F16" i="13" a="1"/>
  <c r="F16" i="13" s="1"/>
  <c r="I16" i="13" s="1" a="1"/>
  <c r="I16" i="13" s="1"/>
  <c r="E16" i="13" a="1"/>
  <c r="E16" i="13" s="1"/>
  <c r="H16" i="13" s="1" a="1"/>
  <c r="H16" i="13" s="1"/>
  <c r="F17" i="13" l="1"/>
  <c r="I17" i="13" s="1" a="1"/>
  <c r="I17" i="13" s="1"/>
  <c r="H17" i="13" a="1"/>
  <c r="H17" i="13" s="1"/>
  <c r="F18" i="13"/>
  <c r="I18" i="13" s="1" a="1"/>
  <c r="I18" i="13" s="1"/>
  <c r="E30" i="72" l="1"/>
  <c r="E25" i="72"/>
  <c r="E27" i="72" l="1" a="1"/>
  <c r="E27" i="72" s="1"/>
  <c r="E22" i="72" a="1"/>
  <c r="E22" i="72" s="1"/>
  <c r="E26" i="13" l="1" a="1"/>
  <c r="E26" i="13" s="1"/>
  <c r="E25" i="13" a="1"/>
  <c r="E25" i="13" s="1"/>
  <c r="H25" i="13" s="1"/>
  <c r="E24" i="13" a="1"/>
  <c r="E24" i="13" s="1"/>
  <c r="H24" i="13" s="1" a="1"/>
  <c r="H24" i="13" s="1"/>
  <c r="E23" i="13" a="1"/>
  <c r="E23" i="13" s="1"/>
  <c r="E22" i="13" a="1"/>
  <c r="E22" i="13" s="1"/>
  <c r="H22" i="13" s="1"/>
  <c r="E21" i="13" a="1"/>
  <c r="E21" i="13" s="1"/>
  <c r="E20" i="13" a="1"/>
  <c r="E20" i="13" s="1"/>
  <c r="H20" i="13" s="1" a="1"/>
  <c r="H20" i="13" s="1"/>
  <c r="E19" i="13" a="1"/>
  <c r="E19" i="13" s="1"/>
  <c r="H19" i="13" s="1"/>
  <c r="E14" i="13" a="1"/>
  <c r="E14" i="13" s="1"/>
  <c r="H14" i="13" s="1" a="1"/>
  <c r="H14" i="13" s="1"/>
  <c r="E13" i="13" a="1"/>
  <c r="E13" i="13" s="1"/>
  <c r="H13" i="13" s="1" a="1"/>
  <c r="H13" i="13" s="1"/>
  <c r="E12" i="13" a="1"/>
  <c r="E12" i="13" s="1"/>
  <c r="E11" i="13" a="1"/>
  <c r="E11" i="13" s="1"/>
  <c r="H11" i="13" s="1" a="1"/>
  <c r="H11" i="13" s="1"/>
  <c r="E10" i="13" a="1"/>
  <c r="E10" i="13" s="1"/>
  <c r="F10" i="13" s="1"/>
  <c r="I10" i="13" s="1"/>
  <c r="F9" i="13" a="1"/>
  <c r="F9" i="13" s="1"/>
  <c r="E9" i="13" a="1"/>
  <c r="E9" i="13" s="1"/>
  <c r="H9" i="13" s="1" a="1"/>
  <c r="H9" i="13" s="1"/>
  <c r="E13" i="72"/>
  <c r="D4" i="13" s="1"/>
  <c r="E18" i="75"/>
  <c r="A20" i="75"/>
  <c r="A19" i="75"/>
  <c r="A18" i="75"/>
  <c r="A17" i="75"/>
  <c r="A14" i="75"/>
  <c r="A13" i="75"/>
  <c r="A12" i="75"/>
  <c r="A11" i="75"/>
  <c r="A8" i="75"/>
  <c r="A7" i="75"/>
  <c r="A4" i="75"/>
  <c r="A3" i="75"/>
  <c r="E20" i="72"/>
  <c r="F21" i="13" l="1"/>
  <c r="I21" i="13" s="1" a="1"/>
  <c r="I21" i="13" s="1"/>
  <c r="H21" i="13" a="1"/>
  <c r="H21" i="13" s="1"/>
  <c r="F23" i="13"/>
  <c r="I23" i="13" s="1" a="1"/>
  <c r="I23" i="13" s="1"/>
  <c r="H23" i="13" a="1"/>
  <c r="H23" i="13" s="1"/>
  <c r="H27" i="13"/>
  <c r="I27" i="13"/>
  <c r="F19" i="13"/>
  <c r="I19" i="13" s="1"/>
  <c r="F25" i="13"/>
  <c r="I25" i="13" s="1"/>
  <c r="F20" i="13"/>
  <c r="I20" i="13" s="1" a="1"/>
  <c r="I20" i="13" s="1"/>
  <c r="H26" i="13"/>
  <c r="F26" i="13"/>
  <c r="I26" i="13" s="1"/>
  <c r="F13" i="13"/>
  <c r="I13" i="13" s="1" a="1"/>
  <c r="I13" i="13" s="1"/>
  <c r="F12" i="13"/>
  <c r="I12" i="13" s="1"/>
  <c r="H12" i="13"/>
  <c r="F14" i="13"/>
  <c r="I14" i="13" s="1" a="1"/>
  <c r="I14" i="13" s="1"/>
  <c r="H10" i="13"/>
  <c r="F22" i="13"/>
  <c r="I22" i="13" s="1"/>
  <c r="F24" i="13"/>
  <c r="I24" i="13" s="1" a="1"/>
  <c r="I24" i="13" s="1"/>
  <c r="F11" i="13"/>
  <c r="I11" i="13" s="1" a="1"/>
  <c r="I11" i="13" s="1"/>
  <c r="E62" i="13" l="1"/>
  <c r="F62" i="13"/>
  <c r="A20" i="13"/>
  <c r="A19" i="13"/>
  <c r="A18" i="13"/>
  <c r="A17" i="13"/>
  <c r="A14" i="13"/>
  <c r="A13" i="13"/>
  <c r="A12" i="13"/>
  <c r="A11" i="13"/>
  <c r="A8" i="13"/>
  <c r="A7" i="13"/>
  <c r="A4" i="13"/>
  <c r="A3" i="13"/>
  <c r="F54" i="72" l="1"/>
  <c r="F63" i="13"/>
  <c r="E63" i="13"/>
  <c r="E54" i="72"/>
  <c r="E78" i="72" l="1"/>
  <c r="E83" i="72" s="1"/>
  <c r="E37" i="80" s="1"/>
  <c r="E59" i="72"/>
  <c r="E36" i="80" s="1"/>
  <c r="F78" i="72"/>
  <c r="F83" i="72" s="1"/>
  <c r="F37" i="80" s="1"/>
  <c r="F59" i="72"/>
  <c r="F36" i="80" s="1"/>
  <c r="H53" i="80" l="1"/>
  <c r="H44" i="80"/>
  <c r="H47" i="80"/>
  <c r="H56" i="80"/>
  <c r="H45" i="80"/>
  <c r="H57" i="80"/>
  <c r="H54" i="80"/>
  <c r="H48" i="80"/>
  <c r="I53" i="80"/>
  <c r="I56" i="80"/>
  <c r="I44" i="80"/>
  <c r="I47" i="80"/>
  <c r="I54" i="80"/>
  <c r="I57" i="80"/>
  <c r="I48" i="80"/>
  <c r="I45" i="8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RICHVALUE" minSupportedVersion="120000" copy="1" pasteAll="1" pasteValues="1" merge="1" splitFirst="1" rowColShift="1" clearFormats="1" clearComments="1" assign="1" coerce="1"/>
    <metadataType name="XLDAPR" minSupportedVersion="120000" copy="1" pasteAll="1" pasteValues="1" merge="1" splitFirst="1" rowColShift="1" clearFormats="1" clearComments="1" assign="1" coerce="1" cellMeta="1"/>
  </metadataTypes>
  <futureMetadata name="XLRICHVALUE" count="1">
    <bk>
      <extLst>
        <ext uri="{3e2802c4-a4d2-4d8b-9148-e3be6c30e623}">
          <xlrd:rvb i="0"/>
        </ext>
      </extLst>
    </bk>
  </futureMetadata>
  <futureMetadata name="XLDAPR" count="1">
    <bk>
      <extLst>
        <ext uri="{bdbb8cdc-fa1e-496e-a857-3c3f30c029c3}">
          <xda:dynamicArrayProperties fDynamic="1" fCollapsed="0"/>
        </ext>
      </extLst>
    </bk>
  </futureMetadata>
  <cellMetadata count="1">
    <bk>
      <rc t="2" v="0"/>
    </bk>
  </cellMetadata>
  <valueMetadata count="1">
    <bk>
      <rc t="1" v="0"/>
    </bk>
  </valueMetadata>
</metadata>
</file>

<file path=xl/sharedStrings.xml><?xml version="1.0" encoding="utf-8"?>
<sst xmlns="http://schemas.openxmlformats.org/spreadsheetml/2006/main" count="599" uniqueCount="299">
  <si>
    <t>Home</t>
  </si>
  <si>
    <t>INPUTS</t>
  </si>
  <si>
    <t>APPENDICES</t>
  </si>
  <si>
    <t>CALCULATIONS</t>
  </si>
  <si>
    <t>Scope 1 source</t>
  </si>
  <si>
    <t>Total</t>
  </si>
  <si>
    <t>GHG Unit</t>
  </si>
  <si>
    <t>t CH4</t>
  </si>
  <si>
    <t>t CO2e</t>
  </si>
  <si>
    <t>GHG emissions method 1</t>
  </si>
  <si>
    <t>GHG emissions method 2</t>
  </si>
  <si>
    <t>CO2-e emissions method 1</t>
  </si>
  <si>
    <t>CO2-e emissions method 2</t>
  </si>
  <si>
    <t>t N2O</t>
  </si>
  <si>
    <t>Production timeframe start</t>
  </si>
  <si>
    <t>Production timeframe end</t>
  </si>
  <si>
    <t>Production timeframe length</t>
  </si>
  <si>
    <t>Emissions calculation period start date</t>
  </si>
  <si>
    <t>Emissions calculation period end date</t>
  </si>
  <si>
    <t>Production</t>
  </si>
  <si>
    <t>tonnes</t>
  </si>
  <si>
    <t>Constants - Common</t>
  </si>
  <si>
    <t>State/Territory</t>
  </si>
  <si>
    <t>Common Name</t>
  </si>
  <si>
    <t>Abbreviation</t>
  </si>
  <si>
    <t>SA 4 Name</t>
  </si>
  <si>
    <t>Gas</t>
  </si>
  <si>
    <t>CO2-e factor</t>
  </si>
  <si>
    <t>Conversion factor</t>
  </si>
  <si>
    <t>Conversion factor 1</t>
  </si>
  <si>
    <t>Conversion factor 2</t>
  </si>
  <si>
    <t>Conversion factor combined</t>
  </si>
  <si>
    <t>Climate zone</t>
  </si>
  <si>
    <t>Wet or Dry Zone</t>
  </si>
  <si>
    <t>MAT</t>
  </si>
  <si>
    <t>MAP</t>
  </si>
  <si>
    <t>Frost days per year</t>
  </si>
  <si>
    <t>Elevation</t>
  </si>
  <si>
    <t>MAP:PET</t>
  </si>
  <si>
    <t>Min temp</t>
  </si>
  <si>
    <t>Max temp</t>
  </si>
  <si>
    <t>Min rainfall</t>
  </si>
  <si>
    <t>Max rainfall</t>
  </si>
  <si>
    <t>Min frost days</t>
  </si>
  <si>
    <t>Max frost days</t>
  </si>
  <si>
    <t>Min elevation</t>
  </si>
  <si>
    <t>Max elevation</t>
  </si>
  <si>
    <t>Min MAP:PET</t>
  </si>
  <si>
    <t>Max MAP:PET</t>
  </si>
  <si>
    <t>Temperature Zone</t>
  </si>
  <si>
    <t>Min MAT</t>
  </si>
  <si>
    <t>Max MAT</t>
  </si>
  <si>
    <t>Rainfall Zone</t>
  </si>
  <si>
    <t>Annual rainfall</t>
  </si>
  <si>
    <t>Leaching Zone</t>
  </si>
  <si>
    <t>Leaching criteria</t>
  </si>
  <si>
    <t>Is in leaching zone</t>
  </si>
  <si>
    <t>FracWET</t>
  </si>
  <si>
    <t>Irrigation type i</t>
  </si>
  <si>
    <t>Data source</t>
  </si>
  <si>
    <t>Data score</t>
  </si>
  <si>
    <t>Production system j</t>
  </si>
  <si>
    <t>EFN2O</t>
  </si>
  <si>
    <t>Production system only</t>
  </si>
  <si>
    <t>Irrigation method</t>
  </si>
  <si>
    <t>Rainfall zone</t>
  </si>
  <si>
    <t>EFPRP</t>
  </si>
  <si>
    <t>Month</t>
  </si>
  <si>
    <t>Season</t>
  </si>
  <si>
    <t>Temperature zone</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</si>
  <si>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</si>
  <si>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</si>
  <si>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</si>
  <si>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</si>
  <si>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</si>
  <si>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</si>
  <si>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</si>
  <si>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</si>
  <si>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</si>
  <si>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</si>
  <si>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</si>
  <si>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</si>
  <si>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</si>
  <si>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</si>
  <si>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</si>
  <si>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Climate Zone</t>
  </si>
  <si>
    <t>EFNi &amp; EFN2Oi</t>
  </si>
  <si>
    <t>Input - Site</t>
  </si>
  <si>
    <t>Your business</t>
  </si>
  <si>
    <t>Farm name</t>
  </si>
  <si>
    <t>Test Farms</t>
  </si>
  <si>
    <t>Reporting entity name</t>
  </si>
  <si>
    <t>Test Farms Pty Ltd</t>
  </si>
  <si>
    <t>💡An 'Emissions accounting period' is a 12 month period where the business can report on the emissions, and is typically the same as the business' financial accounting period.</t>
  </si>
  <si>
    <r>
      <rPr>
        <sz val="12"/>
        <color theme="1" tint="0.34998626667073579"/>
        <rFont val="Times New Roman"/>
        <family val="1"/>
      </rPr>
      <t xml:space="preserve">← </t>
    </r>
    <r>
      <rPr>
        <i/>
        <sz val="12"/>
        <color theme="1" tint="0.34998626667073579"/>
        <rFont val="Times New Roman"/>
        <family val="1"/>
      </rPr>
      <t>DD/MM/YYYY or DD Month YYYY</t>
    </r>
  </si>
  <si>
    <r>
      <rPr>
        <sz val="12"/>
        <color theme="1" tint="0.34998626667073579"/>
        <rFont val="Times New Roman"/>
        <family val="1"/>
      </rPr>
      <t xml:space="preserve">← </t>
    </r>
    <r>
      <rPr>
        <i/>
        <sz val="12"/>
        <color theme="1" tint="0.34998626667073579"/>
        <rFont val="Times New Roman"/>
        <family val="1"/>
      </rPr>
      <t>Automatically calculated, 12 months after start date</t>
    </r>
  </si>
  <si>
    <t>Location and climate</t>
  </si>
  <si>
    <t>Location information is used to reference some region and climate-specific emission factors</t>
  </si>
  <si>
    <t>Tip: Use the web-based GAF Location Helper tool to easily get region and climate information. You will need an internet connection to use the GAF Location Helper.</t>
  </si>
  <si>
    <t>State</t>
  </si>
  <si>
    <t>Western Australia</t>
  </si>
  <si>
    <r>
      <rPr>
        <sz val="12"/>
        <color theme="1" tint="0.34998626667073579"/>
        <rFont val="Times New Roman"/>
        <family val="1"/>
      </rPr>
      <t xml:space="preserve">← </t>
    </r>
    <r>
      <rPr>
        <i/>
        <sz val="12"/>
        <color theme="1" tint="0.34998626667073579"/>
        <rFont val="Times New Roman"/>
        <family val="1"/>
      </rPr>
      <t>Please select</t>
    </r>
  </si>
  <si>
    <t>Region (ABS Statistical area level 4) if state is WA</t>
  </si>
  <si>
    <t>Western Australia - Outback (South)</t>
  </si>
  <si>
    <t>Leaching zone</t>
  </si>
  <si>
    <t>NO - Not in leaching zone</t>
  </si>
  <si>
    <t>Meters</t>
  </si>
  <si>
    <t>Average temperature for reporting period</t>
  </si>
  <si>
    <t>Degrees celsius</t>
  </si>
  <si>
    <t>Total rainfall for reporting period</t>
  </si>
  <si>
    <t>Millimetres</t>
  </si>
  <si>
    <t>Potential evapotranspiration for reporting period</t>
  </si>
  <si>
    <t>Number of frost days for reporting period</t>
  </si>
  <si>
    <t>Days</t>
  </si>
  <si>
    <t>MAP:PET ratio</t>
  </si>
  <si>
    <t>Wet or dry climate zone</t>
  </si>
  <si>
    <t>Emissions calculation cycle</t>
  </si>
  <si>
    <t>Months</t>
  </si>
  <si>
    <t>Amount (tonnnes)</t>
  </si>
  <si>
    <t>Unit</t>
  </si>
  <si>
    <t>Emissions intensity (Method 1)</t>
  </si>
  <si>
    <t>Emissions intensity (Method 2)</t>
  </si>
  <si>
    <t>Product type</t>
  </si>
  <si>
    <t>Main product</t>
  </si>
  <si>
    <t>Co-product</t>
  </si>
  <si>
    <t>N/A</t>
  </si>
  <si>
    <t>Residual product</t>
  </si>
  <si>
    <t>CO2 removed attributed to this enterprise</t>
  </si>
  <si>
    <t>t CO2</t>
  </si>
  <si>
    <t>Total emissions for production cycle</t>
  </si>
  <si>
    <t>Total carbon removals for production cycle</t>
  </si>
  <si>
    <t>Method 1</t>
  </si>
  <si>
    <t>Method 2</t>
  </si>
  <si>
    <t>Product</t>
  </si>
  <si>
    <t>5.1.1.1-2 Inorganic fert N2O</t>
  </si>
  <si>
    <t>5.1.1.3-4 Inorganic fert CO2</t>
  </si>
  <si>
    <t>5.2.1.1-2 Organic fert N2O</t>
  </si>
  <si>
    <t>5.3.1.1-2 Lime CO2</t>
  </si>
  <si>
    <t>5.4.1.1-4 Atmos. deposition</t>
  </si>
  <si>
    <t>5.5.1.1-2 Leaching &amp; runoff</t>
  </si>
  <si>
    <t>8.1.1.1-2 Transport fuel CO2</t>
  </si>
  <si>
    <t>8.1.1.1-2 Transport fuel N2O</t>
  </si>
  <si>
    <t>8.1.1.1-2 Transport fuel CH4</t>
  </si>
  <si>
    <t>8.2.1.1-2 Stationary fuel CO2</t>
  </si>
  <si>
    <t>8.2.1.1-2 Stationary fuel CH4</t>
  </si>
  <si>
    <t>8.2.1.1-2 Stationary fuel N2O</t>
  </si>
  <si>
    <t>14.1.1-2 Purchased electricity (Location-based)</t>
  </si>
  <si>
    <t>14.1.1-2 Purchased electricity (Market-based)</t>
  </si>
  <si>
    <t>Input - Enterprise</t>
  </si>
  <si>
    <t>percent</t>
  </si>
  <si>
    <t>Grain yield</t>
  </si>
  <si>
    <t>Percentage of income from grain sold</t>
  </si>
  <si>
    <t>Baled hay/silage yield</t>
  </si>
  <si>
    <t>Percentage of income from baled hay/silage sold</t>
  </si>
  <si>
    <t>Percent grain sold</t>
  </si>
  <si>
    <t>Percent grain used as feed on own farm</t>
  </si>
  <si>
    <t>Percent grain stored and not sold or used</t>
  </si>
  <si>
    <t>Percent baled hay/silage sold</t>
  </si>
  <si>
    <t>Percent baled hay/silage used as feed on own farm</t>
  </si>
  <si>
    <t>Grain used as feed on own farm</t>
  </si>
  <si>
    <t>Baled haysilage used as feed on own farm</t>
  </si>
  <si>
    <t>t co2e/t grain sold</t>
  </si>
  <si>
    <t>t co2e/t baled hay/silage</t>
  </si>
  <si>
    <t>Economic emissions assignment</t>
  </si>
  <si>
    <t>Mass emissions assignment</t>
  </si>
  <si>
    <t>Emissions intestity (Method 1)</t>
  </si>
  <si>
    <t>Emissions intestity (Method 2)</t>
  </si>
  <si>
    <t>Product emissions - Mass</t>
  </si>
  <si>
    <t>Product emissions - Economic</t>
  </si>
  <si>
    <t>Grain sold - excluding removals</t>
  </si>
  <si>
    <t>Grain sold - net emissions</t>
  </si>
  <si>
    <t>Baled hay/silage sold - excluding removals</t>
  </si>
  <si>
    <t>Baled hay/silage sold - net emissions</t>
  </si>
  <si>
    <t>6.3.1.1-2 Leach &amp; runoff (crop)</t>
  </si>
  <si>
    <t>6.1.1.1-2 Crop residue N2O</t>
  </si>
  <si>
    <t>6.4.1.1-2 Residue burning CH4</t>
  </si>
  <si>
    <t>6.4.1.1-2 Residue burning N2O</t>
  </si>
  <si>
    <t>Input - Fertiliser Production System</t>
  </si>
  <si>
    <t>Production system</t>
  </si>
  <si>
    <t>Crop</t>
  </si>
  <si>
    <t>Crop type</t>
  </si>
  <si>
    <t>Area under cropping</t>
  </si>
  <si>
    <t>These inputs are used for fertiliser calculations, and they take their values from the "Input - Crop" sheet. Do not edit these cells.</t>
  </si>
  <si>
    <t>Input - Data quality</t>
  </si>
  <si>
    <t>Notes</t>
  </si>
  <si>
    <t>Evidence files</t>
  </si>
  <si>
    <t>Score</t>
  </si>
  <si>
    <t>TR4</t>
  </si>
  <si>
    <t>SR5</t>
  </si>
  <si>
    <t>SS3</t>
  </si>
  <si>
    <t>Data quality scoring</t>
  </si>
  <si>
    <t>Table_SourceData_DataQuality_TemporalRepresentativeness</t>
  </si>
  <si>
    <t>Description</t>
  </si>
  <si>
    <t>ID</t>
  </si>
  <si>
    <t>Data collected covers the time-period for which emissions are being estimated  </t>
  </si>
  <si>
    <t>TR5</t>
  </si>
  <si>
    <t>Data collected represents activities that occurred within 2 years of the time-period being assessed  </t>
  </si>
  <si>
    <t>Data collected represents activities that occurred within 3 years of to the time-period being assessed  </t>
  </si>
  <si>
    <t>TR3</t>
  </si>
  <si>
    <t>Data collected represents activities that occurred within 4 years of the time-period being assessed  </t>
  </si>
  <si>
    <t>TR2</t>
  </si>
  <si>
    <t>Age of data unknown or data more than 4 years older than the time-period being reported  </t>
  </si>
  <si>
    <t>TR1</t>
  </si>
  <si>
    <t>Table_SourceData_DataQuality_SpatialRepresentativeness</t>
  </si>
  <si>
    <t>Data covers specific entity location(s) with spatial partitioning or using stratified sampling within property </t>
  </si>
  <si>
    <t>Data covers specific entity location(s) without spatial partitioning within property  </t>
  </si>
  <si>
    <t>SR4</t>
  </si>
  <si>
    <t>Data based on regional data from a government or industry database or survey </t>
  </si>
  <si>
    <t>SR3</t>
  </si>
  <si>
    <t>Data based on state data from a government or industry database or survey </t>
  </si>
  <si>
    <t>SR2</t>
  </si>
  <si>
    <t>Data based on national data from a government or industry database or survey </t>
  </si>
  <si>
    <t>SR1</t>
  </si>
  <si>
    <t>Table_SourceData_DataQuality_SampleSize</t>
  </si>
  <si>
    <t>Data based on sample size of &gt;90% (e.g. total annual fuel purchases) </t>
  </si>
  <si>
    <t>SS5</t>
  </si>
  <si>
    <t>Data based on sample size of 51-90%  </t>
  </si>
  <si>
    <t>SS4</t>
  </si>
  <si>
    <t>Data based on sample size of 21-50%  </t>
  </si>
  <si>
    <t>Data based on sample size of &lt;20% (e.g. liveweight measured for 10% of herd) </t>
  </si>
  <si>
    <t>SS2</t>
  </si>
  <si>
    <t>Unknown (e.g. data based on national/state/regional data source) </t>
  </si>
  <si>
    <t>SS1</t>
  </si>
  <si>
    <t>Table_SourceData_DataQuality_Scope3</t>
  </si>
  <si>
    <t>Verified data provided by supplier consistent with ISO14067:2018 or GHG Protocol Product Lifecycle Accounting and Reporting Standard </t>
  </si>
  <si>
    <t>S35</t>
  </si>
  <si>
    <t>Unverified supplier data, consistent with ISO14067:2018 or GHG Protocol Product Lifecycle Accounting and Reporting Standard, or consistent with these Guidelines (where appropriate)</t>
  </si>
  <si>
    <t>S34</t>
  </si>
  <si>
    <t>Regionally relevant product specific value from database developed using international best practice </t>
  </si>
  <si>
    <t>S33</t>
  </si>
  <si>
    <t>Nationally relevant product specific value from database developed using international best practice   </t>
  </si>
  <si>
    <t>S32</t>
  </si>
  <si>
    <t>Geographically generic product specific value from database developed using international best practice </t>
  </si>
  <si>
    <t>S31</t>
  </si>
  <si>
    <t>User friendly description</t>
  </si>
  <si>
    <t>During this emissions calculation period</t>
  </si>
  <si>
    <t>Within 2 years of this emissions calculation period</t>
  </si>
  <si>
    <t>Within 3 years of this emissions calculation period</t>
  </si>
  <si>
    <t>Within 4 years of this emissions calculation period</t>
  </si>
  <si>
    <t>Unknown, or more than 4 years of this emissions calculation period</t>
  </si>
  <si>
    <t>This location with spatial partitioning</t>
  </si>
  <si>
    <t>This location without spatial partitioning</t>
  </si>
  <si>
    <t>Regional-level data from a government or industry database/survey</t>
  </si>
  <si>
    <t>State-level data from a government or industry database/survey</t>
  </si>
  <si>
    <t>National-level data from a government or industry database/survey</t>
  </si>
  <si>
    <t>Over 90%</t>
  </si>
  <si>
    <t>Between 51% and 90%</t>
  </si>
  <si>
    <t>Between 21% and 50%</t>
  </si>
  <si>
    <t>Less than 20%</t>
  </si>
  <si>
    <t>Unknown</t>
  </si>
  <si>
    <t>Verified report complying to ISO14067 2018 or GHG Protocol Lifecycle Accounting and Reporting Standard</t>
  </si>
  <si>
    <t>Report consistent with ISO14067 2018, GHG Protocol Lifecycle Accounting and Reporting Standard or this tool</t>
  </si>
  <si>
    <t>Regional-level database</t>
  </si>
  <si>
    <t>National-level database</t>
  </si>
  <si>
    <t>Geographically generic database</t>
  </si>
  <si>
    <t>Enterprise</t>
  </si>
  <si>
    <t>Data type</t>
  </si>
  <si>
    <t>When was the data sourced?</t>
  </si>
  <si>
    <t>Where is the data sourced from?</t>
  </si>
  <si>
    <t>How much of the data was from direct samples?</t>
  </si>
  <si>
    <t>Site</t>
  </si>
  <si>
    <t>Fertiliser applications</t>
  </si>
  <si>
    <t>Fuel and electricity</t>
  </si>
  <si>
    <t>Farm input purchases, freight and waste outputs</t>
  </si>
  <si>
    <t>Total data quality score</t>
  </si>
  <si>
    <t>Carbon removals</t>
  </si>
  <si>
    <t>Planting name</t>
  </si>
  <si>
    <t>Total removed CO2</t>
  </si>
  <si>
    <t>Percent allocated to this enterprise</t>
  </si>
  <si>
    <t>Removal allocated to this enterprise</t>
  </si>
  <si>
    <t>Production cycle emissions and removals</t>
  </si>
  <si>
    <t>Enter the method 1 and 2 CO2e emissions (excluding removals) from previous emissions calculation periods if applicable.</t>
  </si>
  <si>
    <t>Scope 1</t>
  </si>
  <si>
    <t>Scope 2</t>
  </si>
  <si>
    <t>Scope 2 source</t>
  </si>
  <si>
    <t>Total scope 2</t>
  </si>
  <si>
    <t>Scope 3</t>
  </si>
  <si>
    <t>Scope 3 source</t>
  </si>
  <si>
    <t>15.4.1.1 Fertiliser</t>
  </si>
  <si>
    <t>15.5.1.1 Agrichemicals</t>
  </si>
  <si>
    <t>15.6.1.1 Lime</t>
  </si>
  <si>
    <t>15.7.1.1 Services and contractor operations</t>
  </si>
  <si>
    <t>15.10.1.1 Other: Cleaning chemicals</t>
  </si>
  <si>
    <t>15.10.1.1 Other: Uncategorised</t>
  </si>
  <si>
    <t>15.11.1.1 Fuel</t>
  </si>
  <si>
    <t>15.14.1.1 Incoming freight</t>
  </si>
  <si>
    <t>15.13.1.1 Waste sent to treatment facility</t>
  </si>
  <si>
    <t>15.14.1.1 Outgoing freight</t>
  </si>
  <si>
    <t>Total scope 3</t>
  </si>
  <si>
    <t>Total removals</t>
  </si>
  <si>
    <t>Total emissions excluding removals</t>
  </si>
  <si>
    <t>t CO2-e</t>
  </si>
  <si>
    <t>Total net emissions</t>
  </si>
  <si>
    <t>Emissions for production cycle excluding removals</t>
  </si>
  <si>
    <t>Net emissions for production cycle</t>
  </si>
  <si>
    <t>Results - Product emissions intensity</t>
  </si>
  <si>
    <t>Results - Activity period</t>
  </si>
  <si>
    <t>Crop management</t>
  </si>
  <si>
    <t>Residue management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</si>
</sst>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3" formatCode="_-* #,##0.00_-;\-* #,##0.00_-;_-* &quot;-&quot;??_-;_-@_-"/>
    <numFmt numFmtId="164" formatCode="0.000"/>
    <numFmt numFmtId="165" formatCode="#,##0.000"/>
    <numFmt numFmtId="166" formatCode="d/mm/yyyy;@"/>
    <numFmt numFmtId="167" formatCode="[$-C09]dd\-mmmm\-yyyy;@"/>
    <numFmt numFmtId="168" formatCode="#,##0.000000"/>
    <numFmt numFmtId="169" formatCode="_-* #,##0_-;\-* #,##0_-;_-* &quot;-&quot;??_-;_-@_-"/>
    <numFmt numFmtId="170" formatCode="0.00000000000"/>
  </numFmts>
  <fonts count="55"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11"/>
      <color theme="1" tint="0.499984740745262"/>
      <name val="Times New Roman"/>
      <family val="1"/>
    </font>
    <font>
      <sz val="12"/>
      <color theme="0" tint="-4.9989318521683403E-2"/>
      <name val="Times New Roman"/>
      <family val="1"/>
    </font>
    <font>
      <sz val="10"/>
      <color theme="1" tint="0.34998626667073579"/>
      <name val="Times New Roman"/>
      <family val="1"/>
    </font>
    <font>
      <sz val="10"/>
      <name val="Arial"/>
      <family val="2"/>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sz val="14"/>
      <color theme="1" tint="0.34998626667073579"/>
      <name val="Times New Roman"/>
      <family val="1"/>
    </font>
    <font>
      <b/>
      <sz val="12"/>
      <color rgb="FFCC6600"/>
      <name val="Times New Roman"/>
      <family val="1"/>
    </font>
    <font>
      <u/>
      <sz val="10"/>
      <color theme="1" tint="0.34998626667073579"/>
      <name val="Times New Roman"/>
      <family val="1"/>
    </font>
    <font>
      <i/>
      <sz val="10"/>
      <color theme="6" tint="-0.499984740745262"/>
      <name val="Times New Roman"/>
      <family val="1"/>
    </font>
    <font>
      <i/>
      <sz val="10"/>
      <color theme="5" tint="-0.499984740745262"/>
      <name val="Times New Roman"/>
      <family val="1"/>
    </font>
    <font>
      <u/>
      <sz val="11"/>
      <color theme="10"/>
      <name val="Times New Roman"/>
      <family val="2"/>
      <scheme val="minor"/>
    </font>
    <font>
      <b/>
      <sz val="12"/>
      <color theme="1" tint="0.24994659260841701"/>
      <name val="Times New Roman"/>
      <family val="1"/>
    </font>
    <font>
      <i/>
      <sz val="10"/>
      <color theme="1" tint="0.34998626667073579"/>
      <name val="Times New Roman"/>
      <family val="1"/>
    </font>
    <font>
      <b/>
      <sz val="12"/>
      <color rgb="FF0070C0"/>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sz val="11"/>
      <color rgb="FF242424"/>
      <name val="Consolas"/>
      <family val="3"/>
    </font>
    <font>
      <sz val="9"/>
      <color rgb="FF404040"/>
      <name val="Times New Roman"/>
      <family val="1"/>
    </font>
    <font>
      <b/>
      <sz val="16"/>
      <color theme="1" tint="0.24994659260841701"/>
      <name val="Times New Roman"/>
      <family val="1"/>
    </font>
    <font>
      <sz val="16"/>
      <color theme="1" tint="0.24994659260841701"/>
      <name val="Times New Roman"/>
      <family val="1"/>
    </font>
    <font>
      <b/>
      <sz val="20"/>
      <color rgb="FF0C769E"/>
      <name val="Times New Roman"/>
      <family val="1"/>
    </font>
    <font>
      <i/>
      <sz val="16"/>
      <color theme="1" tint="0.34998626667073579"/>
      <name val="Times New Roman"/>
      <family val="1"/>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DCECD0"/>
        <bgColor indexed="64"/>
      </patternFill>
    </fill>
    <fill>
      <patternFill patternType="solid">
        <fgColor theme="9" tint="0.59999389629810485"/>
        <bgColor indexed="64"/>
      </patternFill>
    </fill>
  </fills>
  <borders count="18">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499984740745262"/>
      </top>
      <bottom/>
      <diagonal/>
    </border>
    <border>
      <left/>
      <right/>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right/>
      <top style="thin">
        <color theme="1" tint="0.249977111117893"/>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top/>
      <bottom style="thin">
        <color theme="3" tint="0.749961851863155"/>
      </bottom>
      <diagonal/>
    </border>
    <border>
      <left/>
      <right style="thin">
        <color theme="3" tint="0.749961851863155"/>
      </right>
      <top/>
      <bottom style="thin">
        <color theme="3" tint="0.749961851863155"/>
      </bottom>
      <diagonal/>
    </border>
    <border>
      <left style="thin">
        <color theme="0" tint="-0.34998626667073579"/>
      </left>
      <right style="thin">
        <color theme="0" tint="-0.34998626667073579"/>
      </right>
      <top style="thin">
        <color theme="0" tint="-0.34998626667073579"/>
      </top>
      <bottom/>
      <diagonal/>
    </border>
  </borders>
  <cellStyleXfs count="69">
    <xf numFmtId="0" fontId="0" fillId="0" borderId="0"/>
    <xf numFmtId="0" fontId="5" fillId="2" borderId="0">
      <alignment horizontal="left" vertical="center" indent="1"/>
      <protection locked="0"/>
    </xf>
    <xf numFmtId="0" fontId="4" fillId="0" borderId="0"/>
    <xf numFmtId="0" fontId="1" fillId="0" borderId="0">
      <alignment vertical="center"/>
    </xf>
    <xf numFmtId="0" fontId="16" fillId="3" borderId="0">
      <alignment vertical="center"/>
    </xf>
    <xf numFmtId="0" fontId="25" fillId="4" borderId="0">
      <alignment horizontal="left" vertical="center"/>
    </xf>
    <xf numFmtId="0" fontId="29" fillId="4" borderId="0">
      <alignment vertical="center"/>
    </xf>
    <xf numFmtId="0" fontId="3" fillId="4" borderId="0">
      <alignment horizontal="left" vertical="center"/>
    </xf>
    <xf numFmtId="0" fontId="27"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3" fillId="0" borderId="2">
      <alignment horizontal="center" vertical="center"/>
    </xf>
    <xf numFmtId="0" fontId="14" fillId="0" borderId="2">
      <alignment horizontal="center" vertical="center"/>
    </xf>
    <xf numFmtId="9" fontId="13" fillId="0" borderId="2">
      <alignment horizontal="center" vertical="center"/>
    </xf>
    <xf numFmtId="165" fontId="13" fillId="0" borderId="2">
      <alignment horizontal="center" vertical="center"/>
    </xf>
    <xf numFmtId="3" fontId="13" fillId="0" borderId="2">
      <alignment horizontal="center" vertical="center"/>
    </xf>
    <xf numFmtId="0" fontId="15" fillId="4" borderId="0">
      <alignment horizontal="left" vertical="center"/>
    </xf>
    <xf numFmtId="0" fontId="6" fillId="4" borderId="3">
      <alignment horizontal="left" vertical="center" indent="1"/>
    </xf>
    <xf numFmtId="164" fontId="8" fillId="4" borderId="3">
      <alignment horizontal="center" vertical="center"/>
    </xf>
    <xf numFmtId="0" fontId="3" fillId="4" borderId="3">
      <alignment horizontal="left" vertical="center"/>
    </xf>
    <xf numFmtId="0" fontId="12" fillId="6" borderId="0">
      <alignment horizontal="left" vertical="center" indent="1"/>
    </xf>
    <xf numFmtId="0" fontId="12" fillId="6" borderId="0">
      <alignment horizontal="center" vertical="center"/>
      <protection locked="0"/>
    </xf>
    <xf numFmtId="0" fontId="11" fillId="4" borderId="0">
      <alignment vertical="center"/>
    </xf>
    <xf numFmtId="0" fontId="16" fillId="7" borderId="0">
      <alignment vertical="center"/>
    </xf>
    <xf numFmtId="0" fontId="10" fillId="0" borderId="0"/>
    <xf numFmtId="0" fontId="2" fillId="0" borderId="0">
      <alignment horizontal="left" vertical="center" indent="1"/>
    </xf>
    <xf numFmtId="0" fontId="17" fillId="9" borderId="4">
      <alignment horizontal="left" vertical="center" indent="1"/>
    </xf>
    <xf numFmtId="0" fontId="20" fillId="10" borderId="0">
      <alignment horizontal="left" vertical="center" indent="1"/>
    </xf>
    <xf numFmtId="0" fontId="20" fillId="5" borderId="0">
      <alignment horizontal="left" vertical="center" indent="1"/>
    </xf>
    <xf numFmtId="0" fontId="20" fillId="8" borderId="0">
      <alignment horizontal="left" vertical="center" indent="1"/>
    </xf>
    <xf numFmtId="0" fontId="21" fillId="0" borderId="0">
      <alignment horizontal="left" vertical="center" indent="2"/>
    </xf>
    <xf numFmtId="0" fontId="30" fillId="13" borderId="5">
      <alignment horizontal="left" vertical="center"/>
    </xf>
    <xf numFmtId="3" fontId="23" fillId="4" borderId="2">
      <alignment horizontal="center" vertical="center"/>
    </xf>
    <xf numFmtId="167" fontId="2" fillId="0" borderId="2">
      <alignment horizontal="center" vertical="center"/>
    </xf>
    <xf numFmtId="0" fontId="24" fillId="0" borderId="0"/>
    <xf numFmtId="0" fontId="9" fillId="0" borderId="0"/>
    <xf numFmtId="0" fontId="24" fillId="0" borderId="0"/>
    <xf numFmtId="166" fontId="23" fillId="4" borderId="2">
      <alignment horizontal="center" vertical="center"/>
    </xf>
    <xf numFmtId="4" fontId="23" fillId="4" borderId="2">
      <alignment horizontal="center" vertical="center"/>
    </xf>
    <xf numFmtId="0" fontId="34" fillId="4" borderId="0">
      <alignment horizontal="left" vertical="center"/>
    </xf>
    <xf numFmtId="0" fontId="26" fillId="4" borderId="0" applyNumberFormat="0">
      <alignment horizontal="center" vertical="center"/>
    </xf>
    <xf numFmtId="165" fontId="23" fillId="4" borderId="2">
      <alignment horizontal="center" vertical="center"/>
    </xf>
    <xf numFmtId="0" fontId="22" fillId="4" borderId="0">
      <alignment horizontal="left" vertical="center"/>
    </xf>
    <xf numFmtId="168" fontId="23" fillId="4" borderId="2">
      <alignment horizontal="center" vertical="center"/>
    </xf>
    <xf numFmtId="0" fontId="23" fillId="4" borderId="2">
      <alignment horizontal="center" vertical="center"/>
    </xf>
    <xf numFmtId="0" fontId="6" fillId="4" borderId="0">
      <alignment horizontal="left" vertical="center"/>
    </xf>
    <xf numFmtId="0" fontId="28" fillId="4" borderId="0">
      <alignment horizontal="left" vertical="center"/>
    </xf>
    <xf numFmtId="0" fontId="9" fillId="0" borderId="0"/>
    <xf numFmtId="0" fontId="2" fillId="0" borderId="2">
      <alignment horizontal="center" vertical="center"/>
    </xf>
    <xf numFmtId="0" fontId="32" fillId="4" borderId="0">
      <alignment horizontal="left" vertical="center"/>
    </xf>
    <xf numFmtId="0" fontId="33" fillId="4" borderId="0">
      <alignment horizontal="left" vertical="center"/>
    </xf>
    <xf numFmtId="0" fontId="35" fillId="4" borderId="0">
      <alignment horizontal="left" vertical="center"/>
    </xf>
    <xf numFmtId="0" fontId="31" fillId="11" borderId="0">
      <alignment horizontal="center" vertical="center"/>
    </xf>
    <xf numFmtId="0" fontId="20" fillId="11" borderId="0">
      <alignment horizontal="left" vertical="center" indent="1"/>
    </xf>
    <xf numFmtId="0" fontId="36" fillId="4" borderId="2">
      <alignment horizontal="left" vertical="center"/>
    </xf>
    <xf numFmtId="0" fontId="23" fillId="4" borderId="2">
      <alignment horizontal="left" vertical="center"/>
    </xf>
    <xf numFmtId="0" fontId="37" fillId="14" borderId="2">
      <alignment horizontal="center" vertical="center"/>
    </xf>
    <xf numFmtId="0" fontId="38" fillId="15" borderId="2">
      <alignment horizontal="center" vertical="center"/>
    </xf>
    <xf numFmtId="0" fontId="39" fillId="0" borderId="0" applyNumberFormat="0" applyFill="0" applyBorder="0" applyAlignment="0" applyProtection="0"/>
    <xf numFmtId="43" fontId="9" fillId="0" borderId="0" applyFont="0" applyFill="0" applyBorder="0" applyAlignment="0" applyProtection="0"/>
    <xf numFmtId="9" fontId="9" fillId="0" borderId="0" applyFont="0" applyFill="0" applyBorder="0" applyAlignment="0" applyProtection="0"/>
  </cellStyleXfs>
  <cellXfs count="100">
    <xf numFmtId="0" fontId="0" fillId="0" borderId="0" xfId="0"/>
    <xf numFmtId="0" fontId="27" fillId="4" borderId="0" xfId="8">
      <alignment horizontal="left" vertical="center"/>
    </xf>
    <xf numFmtId="0" fontId="25" fillId="4" borderId="0" xfId="5">
      <alignment horizontal="left" vertical="center"/>
    </xf>
    <xf numFmtId="0" fontId="1" fillId="0" borderId="0" xfId="3">
      <alignment vertical="center"/>
    </xf>
    <xf numFmtId="0" fontId="2" fillId="9" borderId="0" xfId="7" applyFont="1" applyFill="1" applyAlignment="1">
      <alignment horizontal="left" vertical="center" indent="1"/>
    </xf>
    <xf numFmtId="0" fontId="2" fillId="0" borderId="0" xfId="33">
      <alignment horizontal="left" vertical="center" indent="1"/>
    </xf>
    <xf numFmtId="0" fontId="17" fillId="9" borderId="4" xfId="34">
      <alignment horizontal="left" vertical="center" indent="1"/>
    </xf>
    <xf numFmtId="0" fontId="18" fillId="9" borderId="4" xfId="34" applyFont="1">
      <alignment horizontal="left" vertical="center" indent="1"/>
    </xf>
    <xf numFmtId="0" fontId="19" fillId="9" borderId="4" xfId="34" applyFont="1">
      <alignment horizontal="left" vertical="center" indent="1"/>
    </xf>
    <xf numFmtId="0" fontId="0" fillId="4" borderId="0" xfId="0" applyFill="1"/>
    <xf numFmtId="0" fontId="6" fillId="4" borderId="0" xfId="53">
      <alignment horizontal="left" vertical="center"/>
    </xf>
    <xf numFmtId="0" fontId="10" fillId="0" borderId="0" xfId="32"/>
    <xf numFmtId="0" fontId="31" fillId="11" borderId="0" xfId="60">
      <alignment horizontal="center" vertical="center"/>
    </xf>
    <xf numFmtId="0" fontId="2" fillId="4" borderId="0" xfId="7" applyFont="1">
      <alignment horizontal="left" vertical="center"/>
    </xf>
    <xf numFmtId="0" fontId="3" fillId="12" borderId="2" xfId="15">
      <alignment horizontal="center" vertical="center"/>
    </xf>
    <xf numFmtId="167" fontId="2" fillId="0" borderId="2" xfId="41">
      <alignment horizontal="center" vertical="center"/>
    </xf>
    <xf numFmtId="0" fontId="23" fillId="4" borderId="2" xfId="52">
      <alignment horizontal="center" vertical="center"/>
    </xf>
    <xf numFmtId="0" fontId="6" fillId="4" borderId="0" xfId="12">
      <alignment horizontal="left" vertical="center" indent="1"/>
    </xf>
    <xf numFmtId="0" fontId="29" fillId="4" borderId="0" xfId="6">
      <alignment vertical="center"/>
    </xf>
    <xf numFmtId="9" fontId="2" fillId="0" borderId="2" xfId="16">
      <alignment horizontal="center" vertical="center"/>
    </xf>
    <xf numFmtId="9" fontId="23" fillId="4" borderId="2" xfId="68" applyFont="1" applyFill="1" applyBorder="1" applyAlignment="1">
      <alignment horizontal="center" vertical="center"/>
    </xf>
    <xf numFmtId="0" fontId="0" fillId="0" borderId="0" xfId="8" applyFont="1" applyFill="1">
      <alignment horizontal="left" vertical="center"/>
    </xf>
    <xf numFmtId="0" fontId="4" fillId="0" borderId="0" xfId="2"/>
    <xf numFmtId="0" fontId="3" fillId="0" borderId="0" xfId="7" applyFill="1">
      <alignment horizontal="left" vertical="center"/>
    </xf>
    <xf numFmtId="0" fontId="16" fillId="3" borderId="0" xfId="4">
      <alignment vertical="center"/>
    </xf>
    <xf numFmtId="0" fontId="16" fillId="0" borderId="0" xfId="4" applyFill="1">
      <alignment vertical="center"/>
    </xf>
    <xf numFmtId="0" fontId="3" fillId="4" borderId="0" xfId="7">
      <alignment horizontal="left" vertical="center"/>
    </xf>
    <xf numFmtId="0" fontId="28" fillId="4" borderId="0" xfId="54">
      <alignment horizontal="left" vertical="center"/>
    </xf>
    <xf numFmtId="0" fontId="0" fillId="0" borderId="0" xfId="7" applyFont="1" applyFill="1">
      <alignment horizontal="left" vertical="center"/>
    </xf>
    <xf numFmtId="0" fontId="10" fillId="0" borderId="0" xfId="2" applyFont="1"/>
    <xf numFmtId="0" fontId="16" fillId="7" borderId="0" xfId="31">
      <alignment vertical="center"/>
    </xf>
    <xf numFmtId="0" fontId="3" fillId="4" borderId="6" xfId="7" applyBorder="1">
      <alignment horizontal="left" vertical="center"/>
    </xf>
    <xf numFmtId="0" fontId="25" fillId="0" borderId="0" xfId="5" applyFill="1">
      <alignment horizontal="left" vertical="center"/>
    </xf>
    <xf numFmtId="0" fontId="11" fillId="4" borderId="0" xfId="30">
      <alignment vertical="center"/>
    </xf>
    <xf numFmtId="0" fontId="29" fillId="0" borderId="0" xfId="6" applyFill="1">
      <alignment vertical="center"/>
    </xf>
    <xf numFmtId="0" fontId="2" fillId="0" borderId="2" xfId="14">
      <alignment horizontal="center" vertical="center"/>
    </xf>
    <xf numFmtId="0" fontId="27" fillId="0" borderId="0" xfId="8" applyFill="1">
      <alignment horizontal="left" vertical="center"/>
    </xf>
    <xf numFmtId="0" fontId="30" fillId="13" borderId="7" xfId="39" applyBorder="1">
      <alignment horizontal="left" vertical="center"/>
    </xf>
    <xf numFmtId="0" fontId="30" fillId="13" borderId="8" xfId="39" applyBorder="1">
      <alignment horizontal="left" vertical="center"/>
    </xf>
    <xf numFmtId="0" fontId="30" fillId="13" borderId="9" xfId="39" applyBorder="1">
      <alignment horizontal="left" vertical="center"/>
    </xf>
    <xf numFmtId="0" fontId="30" fillId="13" borderId="10" xfId="39" applyBorder="1">
      <alignment horizontal="left" vertical="center"/>
    </xf>
    <xf numFmtId="0" fontId="41" fillId="0" borderId="0" xfId="12" applyFont="1" applyFill="1" applyAlignment="1">
      <alignment horizontal="left" vertical="center"/>
    </xf>
    <xf numFmtId="166" fontId="23" fillId="4" borderId="2" xfId="40" applyNumberFormat="1">
      <alignment horizontal="center" vertical="center"/>
    </xf>
    <xf numFmtId="0" fontId="2" fillId="0" borderId="0" xfId="7" applyFont="1" applyFill="1">
      <alignment horizontal="left" vertical="center"/>
    </xf>
    <xf numFmtId="0" fontId="42" fillId="13" borderId="11" xfId="39" applyFont="1" applyBorder="1">
      <alignment horizontal="left" vertical="center"/>
    </xf>
    <xf numFmtId="0" fontId="30" fillId="13" borderId="12" xfId="39" applyBorder="1">
      <alignment horizontal="left" vertical="center"/>
    </xf>
    <xf numFmtId="0" fontId="30" fillId="13" borderId="13" xfId="39" applyBorder="1">
      <alignment horizontal="left" vertical="center"/>
    </xf>
    <xf numFmtId="0" fontId="30" fillId="13" borderId="14" xfId="39" applyBorder="1">
      <alignment horizontal="left" vertical="center"/>
    </xf>
    <xf numFmtId="0" fontId="30" fillId="13" borderId="15" xfId="39" applyBorder="1">
      <alignment horizontal="left" vertical="center"/>
    </xf>
    <xf numFmtId="0" fontId="30" fillId="13" borderId="16" xfId="39" applyBorder="1">
      <alignment horizontal="left" vertical="center"/>
    </xf>
    <xf numFmtId="4" fontId="2" fillId="4" borderId="0" xfId="17" applyFill="1" applyBorder="1">
      <alignment horizontal="center" vertical="center"/>
    </xf>
    <xf numFmtId="0" fontId="12" fillId="4" borderId="0" xfId="29" applyFill="1">
      <alignment horizontal="center" vertical="center"/>
      <protection locked="0"/>
    </xf>
    <xf numFmtId="0" fontId="43" fillId="0" borderId="0" xfId="0" applyFont="1" applyAlignment="1" applyProtection="1">
      <alignment horizontal="center" vertical="center"/>
      <protection locked="0"/>
    </xf>
    <xf numFmtId="4" fontId="44" fillId="0" borderId="0" xfId="17" applyFont="1" applyBorder="1">
      <alignment horizontal="center" vertical="center"/>
    </xf>
    <xf numFmtId="164" fontId="8" fillId="4" borderId="0" xfId="26" applyBorder="1">
      <alignment horizontal="center" vertical="center"/>
    </xf>
    <xf numFmtId="4" fontId="44" fillId="4" borderId="0" xfId="17" applyFont="1" applyFill="1" applyBorder="1">
      <alignment horizontal="center" vertical="center"/>
    </xf>
    <xf numFmtId="0" fontId="44" fillId="4" borderId="0" xfId="12" applyFont="1" applyAlignment="1">
      <alignment horizontal="center" vertical="center"/>
    </xf>
    <xf numFmtId="0" fontId="44" fillId="4" borderId="0" xfId="8" applyFont="1" applyAlignment="1">
      <alignment horizontal="center" vertical="center"/>
    </xf>
    <xf numFmtId="166" fontId="44" fillId="4" borderId="0" xfId="8" applyNumberFormat="1" applyFont="1" applyAlignment="1">
      <alignment horizontal="center" vertical="center"/>
    </xf>
    <xf numFmtId="9" fontId="44" fillId="4" borderId="0" xfId="68" applyFont="1" applyFill="1" applyBorder="1" applyAlignment="1">
      <alignment horizontal="center" vertical="center"/>
    </xf>
    <xf numFmtId="0" fontId="45" fillId="4" borderId="0" xfId="0" applyFont="1" applyFill="1" applyAlignment="1">
      <alignment horizontal="center" vertical="center"/>
    </xf>
    <xf numFmtId="0" fontId="45" fillId="4" borderId="0" xfId="0" applyFont="1" applyFill="1"/>
    <xf numFmtId="0" fontId="44" fillId="4" borderId="0" xfId="0" applyFont="1" applyFill="1"/>
    <xf numFmtId="0" fontId="44" fillId="0" borderId="0" xfId="0" applyFont="1"/>
    <xf numFmtId="0" fontId="46" fillId="4" borderId="0" xfId="7" applyFont="1" applyAlignment="1">
      <alignment horizontal="center" vertical="center"/>
    </xf>
    <xf numFmtId="0" fontId="47" fillId="4" borderId="0" xfId="7" applyFont="1" applyAlignment="1">
      <alignment horizontal="center" vertical="center"/>
    </xf>
    <xf numFmtId="166" fontId="47" fillId="4" borderId="0" xfId="7" applyNumberFormat="1" applyFont="1" applyAlignment="1">
      <alignment horizontal="center" vertical="center"/>
    </xf>
    <xf numFmtId="0" fontId="47" fillId="4" borderId="0" xfId="0" applyFont="1" applyFill="1" applyAlignment="1">
      <alignment horizontal="center" vertical="center"/>
    </xf>
    <xf numFmtId="0" fontId="48" fillId="4" borderId="0" xfId="0" applyFont="1" applyFill="1" applyAlignment="1">
      <alignment horizontal="center" vertical="center"/>
    </xf>
    <xf numFmtId="0" fontId="48" fillId="4" borderId="0" xfId="0" applyFont="1" applyFill="1" applyAlignment="1">
      <alignment horizontal="left" vertical="center"/>
    </xf>
    <xf numFmtId="14" fontId="3" fillId="4" borderId="0" xfId="7" applyNumberFormat="1">
      <alignment horizontal="left" vertical="center"/>
    </xf>
    <xf numFmtId="0" fontId="30" fillId="13" borderId="5" xfId="39">
      <alignment horizontal="left" vertical="center"/>
    </xf>
    <xf numFmtId="0" fontId="39" fillId="4" borderId="0" xfId="66" applyFill="1" applyBorder="1"/>
    <xf numFmtId="166" fontId="2" fillId="4" borderId="0" xfId="18" applyNumberFormat="1" applyFill="1" applyBorder="1">
      <alignment horizontal="center" vertical="center"/>
    </xf>
    <xf numFmtId="169" fontId="3" fillId="4" borderId="0" xfId="67" applyNumberFormat="1" applyFont="1" applyFill="1" applyBorder="1" applyAlignment="1">
      <alignment horizontal="center" vertical="center"/>
    </xf>
    <xf numFmtId="0" fontId="0" fillId="4" borderId="0" xfId="7" applyFont="1">
      <alignment horizontal="left" vertical="center"/>
    </xf>
    <xf numFmtId="0" fontId="49" fillId="4" borderId="0" xfId="0" applyFont="1" applyFill="1"/>
    <xf numFmtId="0" fontId="2" fillId="0" borderId="2" xfId="56">
      <alignment horizontal="center" vertical="center"/>
    </xf>
    <xf numFmtId="0" fontId="40" fillId="4" borderId="0" xfId="8" applyFont="1">
      <alignment horizontal="left" vertical="center"/>
    </xf>
    <xf numFmtId="0" fontId="23" fillId="4" borderId="2" xfId="52" quotePrefix="1">
      <alignment horizontal="center" vertical="center"/>
    </xf>
    <xf numFmtId="0" fontId="34" fillId="4" borderId="0" xfId="47">
      <alignment horizontal="left" vertical="center"/>
    </xf>
    <xf numFmtId="0" fontId="12" fillId="6" borderId="0" xfId="29">
      <alignment horizontal="center" vertical="center"/>
      <protection locked="0"/>
    </xf>
    <xf numFmtId="0" fontId="39" fillId="0" borderId="0" xfId="66"/>
    <xf numFmtId="0" fontId="50" fillId="9" borderId="4" xfId="34" applyFont="1">
      <alignment horizontal="left" vertical="center" indent="1"/>
    </xf>
    <xf numFmtId="0" fontId="20" fillId="10" borderId="0" xfId="35">
      <alignment horizontal="left" vertical="center" indent="1"/>
    </xf>
    <xf numFmtId="49" fontId="0" fillId="0" borderId="0" xfId="14" applyNumberFormat="1" applyFont="1" applyBorder="1">
      <alignment horizontal="center" vertical="center"/>
    </xf>
    <xf numFmtId="0" fontId="27" fillId="4" borderId="1" xfId="8" applyBorder="1">
      <alignment horizontal="left" vertical="center"/>
    </xf>
    <xf numFmtId="0" fontId="3" fillId="12" borderId="17" xfId="15" applyBorder="1">
      <alignment horizontal="center" vertical="center"/>
    </xf>
    <xf numFmtId="0" fontId="51" fillId="4" borderId="1" xfId="8" applyFont="1" applyBorder="1">
      <alignment horizontal="left" vertical="center"/>
    </xf>
    <xf numFmtId="0" fontId="52" fillId="4" borderId="1" xfId="8" applyFont="1" applyBorder="1">
      <alignment horizontal="left" vertical="center"/>
    </xf>
    <xf numFmtId="0" fontId="35" fillId="4" borderId="0" xfId="59">
      <alignment horizontal="left" vertical="center"/>
    </xf>
    <xf numFmtId="0" fontId="40" fillId="4" borderId="1" xfId="8" applyFont="1" applyBorder="1">
      <alignment horizontal="left" vertical="center"/>
    </xf>
    <xf numFmtId="0" fontId="6" fillId="4" borderId="1" xfId="53" applyBorder="1">
      <alignment horizontal="left" vertical="center"/>
    </xf>
    <xf numFmtId="0" fontId="53" fillId="0" borderId="0" xfId="32" applyFont="1"/>
    <xf numFmtId="0" fontId="27" fillId="11" borderId="0" xfId="8" applyFill="1">
      <alignment horizontal="left" vertical="center"/>
    </xf>
    <xf numFmtId="0" fontId="52" fillId="4" borderId="0" xfId="8" applyFont="1">
      <alignment horizontal="left" vertical="center"/>
    </xf>
    <xf numFmtId="0" fontId="54" fillId="4" borderId="0" xfId="53" applyFont="1">
      <alignment horizontal="left" vertical="center"/>
    </xf>
    <xf numFmtId="0" fontId="51" fillId="4" borderId="0" xfId="8" applyFont="1">
      <alignment horizontal="left" vertical="center"/>
    </xf>
    <xf numFmtId="0" fontId="54" fillId="4" borderId="1" xfId="53" applyFont="1" applyBorder="1">
      <alignment horizontal="left" vertical="center"/>
    </xf>
    <xf numFmtId="170" fontId="27" fillId="4" borderId="0" xfId="8" applyNumberFormat="1">
      <alignment horizontal="left" vertical="center"/>
    </xf>
  </cellXfs>
  <cellStyles count="69">
    <cellStyle name="Alert" xfId="59" xr:uid="{34EFE908-8095-4010-8F93-8CFE88055637}"/>
    <cellStyle name="Arguments" xfId="63" xr:uid="{D74147AB-B374-43DE-928A-C20FDAA7023A}"/>
    <cellStyle name="Arguments hyperlink" xfId="62" xr:uid="{E9A63CA8-EB4E-4FD6-930A-AD1711340AFB}"/>
    <cellStyle name="Block heading" xfId="5" xr:uid="{74527274-3B4A-494A-B37C-EA50686E114C}"/>
    <cellStyle name="Block subheading" xfId="47" xr:uid="{34E62905-A3E0-4883-B81A-BDB58FC88DA7}"/>
    <cellStyle name="Code" xfId="24" xr:uid="{99B3520F-01DD-4F8E-A8D0-24EAA04E90EB}"/>
    <cellStyle name="Comma" xfId="67" builtinId="3"/>
    <cellStyle name="Content bold" xfId="7" xr:uid="{468A1381-682E-4BF1-945B-DF2E2BCA4419}"/>
    <cellStyle name="Content bold total" xfId="27" xr:uid="{17159E75-EF9F-42B8-8195-E83583796F67}"/>
    <cellStyle name="Content hidden" xfId="50"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66" builtinId="8"/>
    <cellStyle name="Information tip" xfId="39" xr:uid="{7D200D09-32E3-4546-9822-1B93AD118A74}"/>
    <cellStyle name="Information variation" xfId="54" xr:uid="{205494A3-14DD-4E6A-BDD3-5C5A864D6FA7}"/>
    <cellStyle name="Input block subheading" xfId="30" xr:uid="{A9FEBDB0-0992-4E30-96E5-9F9CAE92E3FB}"/>
    <cellStyle name="Input date" xfId="41" xr:uid="{A1D72D5E-DCF3-445F-8FC0-A147E105D774}"/>
    <cellStyle name="Input date calculated" xfId="45" xr:uid="{5A42AD0E-F665-46A9-9757-6B6A4BE7013E}"/>
    <cellStyle name="Input number 2 decimal places" xfId="17" xr:uid="{F9671E40-5700-4055-A6D2-272CF9DB620E}"/>
    <cellStyle name="Input number 2 decimal places calculated" xfId="46" xr:uid="{C04BA53C-14E1-48A5-99A3-C9FD44741A2A}"/>
    <cellStyle name="Input number 3 decimal places calculated" xfId="49" xr:uid="{637E6039-0A01-48EF-8C15-C29A497EF449}"/>
    <cellStyle name="Input number 3 decimal places disabled" xfId="22" xr:uid="{6B1B6177-B1C0-4190-858F-6E4C823402C3}"/>
    <cellStyle name="Input number 6 decimal places calculated" xfId="51" xr:uid="{CE70A7A2-3CEE-4689-8FF6-8EB6FCE0A94C}"/>
    <cellStyle name="Input number general" xfId="56" xr:uid="{D8583F7D-F13A-4EA8-BAA6-B42739FDBDDB}"/>
    <cellStyle name="Input number general calculated" xfId="52" xr:uid="{34755FEB-6E4E-4BD7-A478-DF7299A7A914}"/>
    <cellStyle name="Input number no decimals" xfId="18" xr:uid="{B33B4FB5-F3F4-4036-B2DD-663B694E2A90}"/>
    <cellStyle name="Input number no decimals calculated" xfId="40"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48" xr:uid="{43DCF082-1F0D-4E07-9785-CAF41B37CFCC}"/>
    <cellStyle name="Input text disabled" xfId="19" xr:uid="{79E76B35-E5FF-43A1-B0D0-016F346F8B97}"/>
    <cellStyle name="Menu link child" xfId="38" xr:uid="{609090D3-DE1E-48FE-A8AA-233CE9B146E0}"/>
    <cellStyle name="Menu link default" xfId="33" xr:uid="{11B84453-1DD4-492A-B241-FE6AD4CB25FA}"/>
    <cellStyle name="Menu link selected" xfId="35" xr:uid="{B16EBA6F-62C4-483F-8E15-B20D06ABF61F}"/>
    <cellStyle name="Menu link selected equations" xfId="37" xr:uid="{7AFCC545-C221-4BAC-933E-19109D0FB654}"/>
    <cellStyle name="Menu link selected input" xfId="36" xr:uid="{17D327F4-9149-4DAC-85BB-811698090830}"/>
    <cellStyle name="Menu link selected results" xfId="61" xr:uid="{0DC56464-F1A3-42A3-BF89-514E2163E7F0}"/>
    <cellStyle name="Menu section title" xfId="34" xr:uid="{E2117B15-AE58-4F76-B13B-671D455A4107}"/>
    <cellStyle name="Normal" xfId="0" builtinId="0"/>
    <cellStyle name="Normal 2" xfId="55" xr:uid="{FE64FEFB-54C6-42B4-AA7F-D49670F5ED19}"/>
    <cellStyle name="Normal 2 2" xfId="44" xr:uid="{B8803ACE-513D-4EEF-BBE0-0BB76AE7D7F4}"/>
    <cellStyle name="Normal 4" xfId="42" xr:uid="{99CD1B63-5040-4067-BBD7-470030C57E5D}"/>
    <cellStyle name="Normal 5" xfId="43"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68" builtinId="5"/>
    <cellStyle name="Results table column header" xfId="60" xr:uid="{A846043F-10AE-4BED-BAA6-90407C977915}"/>
    <cellStyle name="Table description" xfId="58" xr:uid="{8BD2F353-2E3C-42FF-89E9-616E85DC18C5}"/>
    <cellStyle name="Table name" xfId="57" xr:uid="{D56F17A4-9740-44B6-BDDB-150E2C950B8B}"/>
    <cellStyle name="Unit" xfId="12" xr:uid="{90B9E191-F5E0-43AB-A245-D6CA23D4ADFC}"/>
    <cellStyle name="Unit no indent" xfId="53" xr:uid="{2829D020-DAD8-4B7D-9262-450720E27D2B}"/>
    <cellStyle name="Unit total" xfId="25" xr:uid="{65428923-3DAD-47B6-8DDF-0EBD05E7C55B}"/>
    <cellStyle name="Variable type input" xfId="65" xr:uid="{69904D21-1566-4CAB-9A42-C86AC6535120}"/>
    <cellStyle name="Variable type other" xfId="64" xr:uid="{105BD9DE-B567-4DA0-87E6-C60A0ECC1C65}"/>
  </cellStyles>
  <dxfs count="65">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64"/>
      <tableStyleElement type="headerRow" dxfId="63"/>
      <tableStyleElement type="totalRow" dxfId="62"/>
      <tableStyleElement type="firstColumn" dxfId="61"/>
      <tableStyleElement type="firstRowStripe" dxfId="60"/>
      <tableStyleElement type="secondRowStripe" dxfId="59"/>
    </tableStyle>
    <tableStyle name="Equation table" pivot="0" count="6" xr9:uid="{B247698E-E41D-4CCD-AA0A-C14817E9DE65}">
      <tableStyleElement type="wholeTable" dxfId="58"/>
      <tableStyleElement type="headerRow" dxfId="57"/>
      <tableStyleElement type="totalRow" dxfId="56"/>
      <tableStyleElement type="firstColumn" dxfId="55"/>
      <tableStyleElement type="firstRowStripe" dxfId="54"/>
      <tableStyleElement type="secondRowStripe" dxfId="53"/>
    </tableStyle>
    <tableStyle name="Table Style 1" pivot="0" count="0" xr9:uid="{97B370DB-5463-4A31-9160-5A96BD6A559D}"/>
  </tableStyles>
  <colors>
    <mruColors>
      <color rgb="FF0C769E"/>
      <color rgb="FFCC6600"/>
      <color rgb="FFC44340"/>
      <color rgb="FF008000"/>
      <color rgb="FFFFCCCC"/>
      <color rgb="FFC4433F"/>
      <color rgb="FFE9F2FB"/>
      <color rgb="FF183C1B"/>
      <color rgb="FFB2D498"/>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22/10/relationships/richValueRel" Target="richData/richValueRel.xml"/><Relationship Id="rId18"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customXml" Target="../customXml/item4.xml"/><Relationship Id="rId7" Type="http://schemas.openxmlformats.org/officeDocument/2006/relationships/worksheet" Target="worksheets/sheet7.xml"/><Relationship Id="rId12" Type="http://schemas.openxmlformats.org/officeDocument/2006/relationships/sheetMetadata" Target="metadata.xml"/><Relationship Id="rId17" Type="http://schemas.openxmlformats.org/officeDocument/2006/relationships/calcChain" Target="calcChain.xml"/><Relationship Id="rId2" Type="http://schemas.openxmlformats.org/officeDocument/2006/relationships/worksheet" Target="worksheets/sheet2.xml"/><Relationship Id="rId16" Type="http://schemas.microsoft.com/office/2017/06/relationships/rdRichValueTypes" Target="richData/rdRichValueTypes.xml"/><Relationship Id="rId20"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microsoft.com/office/2017/06/relationships/rdRichValueStructure" Target="richData/rdrichvaluestructure.xml"/><Relationship Id="rId10" Type="http://schemas.openxmlformats.org/officeDocument/2006/relationships/styles" Target="styles.xml"/><Relationship Id="rId19"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theme" Target="theme/theme1.xml"/><Relationship Id="rId14" Type="http://schemas.microsoft.com/office/2017/06/relationships/rdRichValue" Target="richData/rdrichvalue.xml"/></Relationships>
</file>

<file path=xl/charts/_rels/chart3.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4.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AU"/>
              <a:t>Scope 1 sources CO2-e: Method 2</a:t>
            </a:r>
          </a:p>
        </c:rich>
      </c:tx>
      <c:overlay val="0"/>
      <c:spPr>
        <a:noFill/>
        <a:ln>
          <a:noFill/>
        </a:ln>
        <a:effectLst/>
      </c:spPr>
    </c:title>
    <c:autoTitleDeleted val="0"/>
    <c:plotArea>
      <c:layout/>
      <c:ofPieChart>
        <c:ofPieType val="bar"/>
        <c:varyColors val="1"/>
        <c:ser>
          <c:idx val="1"/>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0-64C2-43EC-A71A-E7C288A256BA}"/>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1-64C2-43EC-A71A-E7C288A256BA}"/>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2-64C2-43EC-A71A-E7C288A256BA}"/>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3-64C2-43EC-A71A-E7C288A256BA}"/>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4-64C2-43EC-A71A-E7C288A256BA}"/>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5-64C2-43EC-A71A-E7C288A256BA}"/>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6-64C2-43EC-A71A-E7C288A256BA}"/>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7-64C2-43EC-A71A-E7C288A256BA}"/>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08-64C2-43EC-A71A-E7C288A256BA}"/>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09-64C2-43EC-A71A-E7C288A256BA}"/>
              </c:ext>
            </c:extLst>
          </c:dPt>
          <c:dPt>
            <c:idx val="10"/>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0A-64C2-43EC-A71A-E7C288A256BA}"/>
              </c:ext>
            </c:extLst>
          </c:dPt>
          <c:dPt>
            <c:idx val="11"/>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0B-64C2-43EC-A71A-E7C288A256BA}"/>
              </c:ext>
            </c:extLst>
          </c:dPt>
          <c:dPt>
            <c:idx val="12"/>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0C-64C2-43EC-A71A-E7C288A256BA}"/>
              </c:ext>
            </c:extLst>
          </c:dPt>
          <c:dPt>
            <c:idx val="13"/>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00D-64C2-43EC-A71A-E7C288A256BA}"/>
              </c:ext>
            </c:extLst>
          </c:dPt>
          <c:dPt>
            <c:idx val="14"/>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00E-64C2-43EC-A71A-E7C288A256BA}"/>
              </c:ext>
            </c:extLst>
          </c:dPt>
          <c:dPt>
            <c:idx val="15"/>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00F-64C2-43EC-A71A-E7C288A256BA}"/>
              </c:ext>
            </c:extLst>
          </c:dPt>
          <c:dPt>
            <c:idx val="16"/>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010-64C2-43EC-A71A-E7C288A256BA}"/>
              </c:ext>
            </c:extLst>
          </c:dPt>
          <c:dPt>
            <c:idx val="17"/>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011-64C2-43EC-A71A-E7C288A256BA}"/>
              </c:ext>
            </c:extLst>
          </c:dPt>
          <c:cat>
            <c:strRef>
              <c:f>'Results - Activity period'!$D$9:$D$26</c:f>
              <c:strCache>
                <c:ptCount val="18"/>
                <c:pt idx="0">
                  <c:v>5.1.1.1-2 Inorganic fert N2O</c:v>
                </c:pt>
                <c:pt idx="1">
                  <c:v>5.1.1.3-4 Inorganic fert CO2</c:v>
                </c:pt>
                <c:pt idx="2">
                  <c:v>5.2.1.1-2 Organic fert N2O</c:v>
                </c:pt>
                <c:pt idx="3">
                  <c:v>5.3.1.1-2 Lime CO2</c:v>
                </c:pt>
                <c:pt idx="4">
                  <c:v>5.4.1.1-4 Atmos. deposition</c:v>
                </c:pt>
                <c:pt idx="5">
                  <c:v>5.5.1.1-2 Leaching &amp; runoff</c:v>
                </c:pt>
                <c:pt idx="6">
                  <c:v>6.1.1.1-2 Crop residue N2O</c:v>
                </c:pt>
                <c:pt idx="7">
                  <c:v>6.3.1.1-2 Leach &amp; runoff (crop)</c:v>
                </c:pt>
                <c:pt idx="8">
                  <c:v>6.4.1.1-2 Residue burning N2O</c:v>
                </c:pt>
                <c:pt idx="9">
                  <c:v>6.4.1.1-2 Residue burning CH4</c:v>
                </c:pt>
                <c:pt idx="10">
                  <c:v>8.1.1.1-2 Transport fuel CO2</c:v>
                </c:pt>
                <c:pt idx="11">
                  <c:v>8.1.1.1-2 Transport fuel CH4</c:v>
                </c:pt>
                <c:pt idx="12">
                  <c:v>8.1.1.1-2 Transport fuel N2O</c:v>
                </c:pt>
                <c:pt idx="13">
                  <c:v>8.2.1.1-2 Stationary fuel CO2</c:v>
                </c:pt>
                <c:pt idx="14">
                  <c:v>8.2.1.1-2 Stationary fuel CH4</c:v>
                </c:pt>
                <c:pt idx="15">
                  <c:v>8.2.1.1-2 Stationary fuel N2O</c:v>
                </c:pt>
                <c:pt idx="16">
                  <c:v>14.1.1-2 Purchased electricity (Location-based)</c:v>
                </c:pt>
                <c:pt idx="17">
                  <c:v>14.1.1-2 Purchased electricity (Market-based)</c:v>
                </c:pt>
              </c:strCache>
            </c:strRef>
          </c:cat>
          <c:val>
            <c:numRef>
              <c:f>'Results - Activity period'!$I$9:$I$26</c:f>
              <c:numCache>
                <c:formatCode>General</c:formatCode>
                <c:ptCount val="1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numCache>
            </c:numRef>
          </c:val>
          <c:extLst>
            <c:ext xmlns:c16="http://schemas.microsoft.com/office/drawing/2014/chart" uri="{C3380CC4-5D6E-409C-BE32-E72D297353CC}">
              <c16:uniqueId val="{00000013-64C2-43EC-A71A-E7C288A256BA}"/>
            </c:ext>
          </c:extLst>
        </c:ser>
        <c:dLbls>
          <c:showLegendKey val="0"/>
          <c:showVal val="0"/>
          <c:showCatName val="0"/>
          <c:showSerName val="0"/>
          <c:showPercent val="0"/>
          <c:showBubbleSize val="0"/>
          <c:showLeaderLines val="1"/>
        </c:dLbls>
        <c:gapWidth val="150"/>
        <c:splitType val="percent"/>
        <c:splitPos val="10"/>
        <c:secondPieSize val="75"/>
        <c:serLines>
          <c:spPr>
            <a:ln w="9525" cap="flat" cmpd="sng" algn="ctr">
              <a:solidFill>
                <a:schemeClr val="tx1">
                  <a:lumMod val="35000"/>
                  <a:lumOff val="65000"/>
                </a:schemeClr>
              </a:solidFill>
              <a:round/>
            </a:ln>
            <a:effectLst/>
          </c:spPr>
        </c:serLines>
      </c:ofPieChart>
    </c:plotArea>
    <c:legend>
      <c:legendPos val="r"/>
      <c:overlay val="0"/>
      <c:spPr>
        <a:noFill/>
        <a:ln>
          <a:noFill/>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AU"/>
              <a:t>Scope 3 sources CO2-e: Method 2</a:t>
            </a:r>
          </a:p>
        </c:rich>
      </c:tx>
      <c:overlay val="0"/>
      <c:spPr>
        <a:noFill/>
        <a:ln>
          <a:noFill/>
        </a:ln>
        <a:effectLst/>
      </c:spPr>
    </c:title>
    <c:autoTitleDeleted val="0"/>
    <c:plotArea>
      <c:layout/>
      <c:ofPieChart>
        <c:ofPieType val="bar"/>
        <c:varyColors val="1"/>
        <c:ser>
          <c:idx val="1"/>
          <c:order val="0"/>
          <c:cat>
            <c:strRef>
              <c:f>'Results - Activity period'!$D$40:$D$50</c:f>
              <c:strCache>
                <c:ptCount val="11"/>
                <c:pt idx="0">
                  <c:v>15.4.1.1 Fertiliser</c:v>
                </c:pt>
                <c:pt idx="1">
                  <c:v>15.5.1.1 Agrichemicals</c:v>
                </c:pt>
                <c:pt idx="2">
                  <c:v>15.6.1.1 Lime</c:v>
                </c:pt>
                <c:pt idx="3">
                  <c:v>15.7.1.1 Services and contractor operations</c:v>
                </c:pt>
                <c:pt idx="4">
                  <c:v>15.10.1.1 Other: Cleaning chemicals</c:v>
                </c:pt>
                <c:pt idx="5">
                  <c:v>15.10.1.1 Other: Uncategorised</c:v>
                </c:pt>
                <c:pt idx="6">
                  <c:v>15.11.1.1 Fuel</c:v>
                </c:pt>
                <c:pt idx="7">
                  <c:v>#NAME?</c:v>
                </c:pt>
                <c:pt idx="8">
                  <c:v>15.14.1.1 Incoming freight</c:v>
                </c:pt>
                <c:pt idx="9">
                  <c:v>15.13.1.1 Waste sent to treatment facility</c:v>
                </c:pt>
                <c:pt idx="10">
                  <c:v>15.14.1.1 Outgoing freight</c:v>
                </c:pt>
              </c:strCache>
            </c:strRef>
          </c:cat>
          <c:val>
            <c:numRef>
              <c:f>'Results - Activity period'!$I$40:$I$50</c:f>
              <c:numCache>
                <c:formatCode>General</c:formatCode>
                <c:ptCount val="11"/>
                <c:pt idx="0">
                  <c:v>0</c:v>
                </c:pt>
                <c:pt idx="1">
                  <c:v>0</c:v>
                </c:pt>
                <c:pt idx="2">
                  <c:v>0</c:v>
                </c:pt>
                <c:pt idx="3">
                  <c:v>0</c:v>
                </c:pt>
                <c:pt idx="4">
                  <c:v>0</c:v>
                </c:pt>
                <c:pt idx="5">
                  <c:v>0</c:v>
                </c:pt>
                <c:pt idx="6">
                  <c:v>0</c:v>
                </c:pt>
                <c:pt idx="7">
                  <c:v>0</c:v>
                </c:pt>
                <c:pt idx="8">
                  <c:v>0</c:v>
                </c:pt>
                <c:pt idx="9">
                  <c:v>0</c:v>
                </c:pt>
                <c:pt idx="10">
                  <c:v>0</c:v>
                </c:pt>
              </c:numCache>
            </c:numRef>
          </c:val>
          <c:extLst>
            <c:ext xmlns:c16="http://schemas.microsoft.com/office/drawing/2014/chart" uri="{C3380CC4-5D6E-409C-BE32-E72D297353CC}">
              <c16:uniqueId val="{00000000-62DD-44E7-A95F-7E5222B2A855}"/>
            </c:ext>
          </c:extLst>
        </c:ser>
        <c:dLbls>
          <c:showLegendKey val="0"/>
          <c:showVal val="0"/>
          <c:showCatName val="0"/>
          <c:showSerName val="0"/>
          <c:showPercent val="0"/>
          <c:showBubbleSize val="0"/>
          <c:showLeaderLines val="1"/>
        </c:dLbls>
        <c:gapWidth val="150"/>
        <c:splitType val="percent"/>
        <c:splitPos val="10"/>
        <c:secondPieSize val="75"/>
        <c:serLines>
          <c:spPr>
            <a:ln w="9525" cap="flat" cmpd="sng" algn="ctr">
              <a:solidFill>
                <a:schemeClr val="tx1">
                  <a:lumMod val="35000"/>
                  <a:lumOff val="65000"/>
                </a:schemeClr>
              </a:solidFill>
              <a:round/>
            </a:ln>
            <a:effectLst/>
          </c:spPr>
        </c:serLines>
      </c:ofPieChart>
    </c:plotArea>
    <c:legend>
      <c:legendPos val="r"/>
      <c:overlay val="0"/>
      <c:spPr>
        <a:noFill/>
        <a:ln>
          <a:noFill/>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chart" Target="../charts/chart3.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12</xdr:col>
      <xdr:colOff>247650</xdr:colOff>
      <xdr:row>5</xdr:row>
      <xdr:rowOff>114300</xdr:rowOff>
    </xdr:from>
    <xdr:to>
      <xdr:col>16</xdr:col>
      <xdr:colOff>1276351</xdr:colOff>
      <xdr:row>27</xdr:row>
      <xdr:rowOff>104775</xdr:rowOff>
    </xdr:to>
    <xdr:graphicFrame macro="">
      <xdr:nvGraphicFramePr>
        <xdr:cNvPr id="2" name="Chart 1">
          <a:extLst>
            <a:ext uri="{FF2B5EF4-FFF2-40B4-BE49-F238E27FC236}">
              <a16:creationId xmlns:a16="http://schemas.microsoft.com/office/drawing/2014/main" id="{3A344E95-6082-45A2-A851-64587AA6628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12</xdr:col>
      <xdr:colOff>76200</xdr:colOff>
      <xdr:row>36</xdr:row>
      <xdr:rowOff>161925</xdr:rowOff>
    </xdr:from>
    <xdr:to>
      <xdr:col>16</xdr:col>
      <xdr:colOff>1104901</xdr:colOff>
      <xdr:row>58</xdr:row>
      <xdr:rowOff>152400</xdr:rowOff>
    </xdr:to>
    <xdr:graphicFrame macro="">
      <xdr:nvGraphicFramePr>
        <xdr:cNvPr id="3" name="Chart 2">
          <a:extLst>
            <a:ext uri="{FF2B5EF4-FFF2-40B4-BE49-F238E27FC236}">
              <a16:creationId xmlns:a16="http://schemas.microsoft.com/office/drawing/2014/main" id="{4C21FA99-C640-465F-AAB2-47EB9C58796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45</xdr:row>
      <xdr:rowOff>200025</xdr:rowOff>
    </xdr:from>
    <xdr:to>
      <xdr:col>9</xdr:col>
      <xdr:colOff>1443037</xdr:colOff>
      <xdr:row>57</xdr:row>
      <xdr:rowOff>85725</xdr:rowOff>
    </xdr:to>
    <xdr:graphicFrame macro="">
      <xdr:nvGraphicFramePr>
        <xdr:cNvPr id="2" name="Chart 1">
          <a:extLst>
            <a:ext uri="{FF2B5EF4-FFF2-40B4-BE49-F238E27FC236}">
              <a16:creationId xmlns:a16="http://schemas.microsoft.com/office/drawing/2014/main" id="{561CA646-3BD8-4FFD-B6ED-B2FA1E51FB4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9525</xdr:colOff>
      <xdr:row>14</xdr:row>
      <xdr:rowOff>71157</xdr:rowOff>
    </xdr:from>
    <xdr:to>
      <xdr:col>3</xdr:col>
      <xdr:colOff>1875865</xdr:colOff>
      <xdr:row>16</xdr:row>
      <xdr:rowOff>144555</xdr:rowOff>
    </xdr:to>
    <xdr:sp macro="" textlink="$H$44">
      <xdr:nvSpPr>
        <xdr:cNvPr id="3" name="TextBox 2">
          <a:extLst>
            <a:ext uri="{FF2B5EF4-FFF2-40B4-BE49-F238E27FC236}">
              <a16:creationId xmlns:a16="http://schemas.microsoft.com/office/drawing/2014/main" id="{DF048040-93E8-4701-94EF-7D2C2408321B}"/>
            </a:ext>
          </a:extLst>
        </xdr:cNvPr>
        <xdr:cNvSpPr txBox="1"/>
      </xdr:nvSpPr>
      <xdr:spPr>
        <a:xfrm>
          <a:off x="2686050" y="2995332"/>
          <a:ext cx="1866340" cy="4734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6496CA75-FED4-4E21-A81D-BDC20736B7B5}" type="TxLink">
            <a:rPr lang="en-US" sz="2800" b="1" i="0" u="none" strike="noStrike">
              <a:solidFill>
                <a:srgbClr val="0C769E"/>
              </a:solidFill>
              <a:latin typeface="Times New Roman"/>
              <a:ea typeface="+mn-ea"/>
              <a:cs typeface="Times New Roman"/>
            </a:rPr>
            <a:pPr marL="0" indent="0"/>
            <a:t>#NAME?</a:t>
          </a:fld>
          <a:endParaRPr lang="en-AU" sz="2800" b="1" i="0" u="none" strike="noStrike">
            <a:solidFill>
              <a:srgbClr val="0C769E"/>
            </a:solidFill>
            <a:latin typeface="Times New Roman"/>
            <a:ea typeface="+mn-ea"/>
            <a:cs typeface="Times New Roman"/>
          </a:endParaRPr>
        </a:p>
      </xdr:txBody>
    </xdr:sp>
    <xdr:clientData/>
  </xdr:twoCellAnchor>
  <xdr:twoCellAnchor>
    <xdr:from>
      <xdr:col>5</xdr:col>
      <xdr:colOff>180414</xdr:colOff>
      <xdr:row>14</xdr:row>
      <xdr:rowOff>42582</xdr:rowOff>
    </xdr:from>
    <xdr:to>
      <xdr:col>6</xdr:col>
      <xdr:colOff>43141</xdr:colOff>
      <xdr:row>16</xdr:row>
      <xdr:rowOff>144555</xdr:rowOff>
    </xdr:to>
    <xdr:sp macro="" textlink="$I$44">
      <xdr:nvSpPr>
        <xdr:cNvPr id="4" name="TextBox 3">
          <a:extLst>
            <a:ext uri="{FF2B5EF4-FFF2-40B4-BE49-F238E27FC236}">
              <a16:creationId xmlns:a16="http://schemas.microsoft.com/office/drawing/2014/main" id="{C836697B-E43A-434C-8C38-CED18E17F96C}"/>
            </a:ext>
          </a:extLst>
        </xdr:cNvPr>
        <xdr:cNvSpPr txBox="1"/>
      </xdr:nvSpPr>
      <xdr:spPr>
        <a:xfrm>
          <a:off x="8352864" y="2966757"/>
          <a:ext cx="1910602" cy="50202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1A778010-8EF6-4986-9F7A-ED1F5F66D6A5}" type="TxLink">
            <a:rPr lang="en-US" sz="2800" b="1" i="0" u="none" strike="noStrike">
              <a:solidFill>
                <a:srgbClr val="0C769E"/>
              </a:solidFill>
              <a:latin typeface="Times New Roman"/>
              <a:ea typeface="+mn-ea"/>
              <a:cs typeface="Times New Roman"/>
            </a:rPr>
            <a:pPr marL="0" indent="0"/>
            <a:t>#NAME?</a:t>
          </a:fld>
          <a:endParaRPr lang="en-AU" sz="2800" b="1" i="0" u="none" strike="noStrike">
            <a:solidFill>
              <a:srgbClr val="0C769E"/>
            </a:solidFill>
            <a:latin typeface="Times New Roman"/>
            <a:ea typeface="+mn-ea"/>
            <a:cs typeface="Times New Roman"/>
          </a:endParaRPr>
        </a:p>
      </xdr:txBody>
    </xdr:sp>
    <xdr:clientData/>
  </xdr:twoCellAnchor>
  <xdr:twoCellAnchor>
    <xdr:from>
      <xdr:col>3</xdr:col>
      <xdr:colOff>9525</xdr:colOff>
      <xdr:row>25</xdr:row>
      <xdr:rowOff>155762</xdr:rowOff>
    </xdr:from>
    <xdr:to>
      <xdr:col>3</xdr:col>
      <xdr:colOff>1961590</xdr:colOff>
      <xdr:row>28</xdr:row>
      <xdr:rowOff>108696</xdr:rowOff>
    </xdr:to>
    <xdr:sp macro="" textlink="$H$53">
      <xdr:nvSpPr>
        <xdr:cNvPr id="5" name="TextBox 4">
          <a:extLst>
            <a:ext uri="{FF2B5EF4-FFF2-40B4-BE49-F238E27FC236}">
              <a16:creationId xmlns:a16="http://schemas.microsoft.com/office/drawing/2014/main" id="{FEFD1952-3C55-4816-8FE4-E7EF34F67CC4}"/>
            </a:ext>
          </a:extLst>
        </xdr:cNvPr>
        <xdr:cNvSpPr txBox="1"/>
      </xdr:nvSpPr>
      <xdr:spPr>
        <a:xfrm>
          <a:off x="2686050" y="5280212"/>
          <a:ext cx="1952065" cy="5530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7DC837A9-60D0-4FEE-9D60-F5F33C8747DB}" type="TxLink">
            <a:rPr lang="en-US" sz="2800" b="1" i="0" u="none" strike="noStrike">
              <a:solidFill>
                <a:srgbClr val="4F4789"/>
              </a:solidFill>
              <a:latin typeface="Times New Roman"/>
              <a:ea typeface="+mn-ea"/>
              <a:cs typeface="Times New Roman"/>
            </a:rPr>
            <a:pPr marL="0" indent="0"/>
            <a:t>#NAME?</a:t>
          </a:fld>
          <a:endParaRPr lang="en-AU" sz="2800" b="1" i="0" u="none" strike="noStrike">
            <a:solidFill>
              <a:srgbClr val="4F4789"/>
            </a:solidFill>
            <a:latin typeface="Times New Roman"/>
            <a:ea typeface="+mn-ea"/>
            <a:cs typeface="Times New Roman"/>
          </a:endParaRPr>
        </a:p>
      </xdr:txBody>
    </xdr:sp>
    <xdr:clientData/>
  </xdr:twoCellAnchor>
  <xdr:twoCellAnchor>
    <xdr:from>
      <xdr:col>5</xdr:col>
      <xdr:colOff>180414</xdr:colOff>
      <xdr:row>25</xdr:row>
      <xdr:rowOff>184337</xdr:rowOff>
    </xdr:from>
    <xdr:to>
      <xdr:col>6</xdr:col>
      <xdr:colOff>109816</xdr:colOff>
      <xdr:row>28</xdr:row>
      <xdr:rowOff>89646</xdr:rowOff>
    </xdr:to>
    <xdr:sp macro="" textlink="$I$53">
      <xdr:nvSpPr>
        <xdr:cNvPr id="6" name="TextBox 5">
          <a:extLst>
            <a:ext uri="{FF2B5EF4-FFF2-40B4-BE49-F238E27FC236}">
              <a16:creationId xmlns:a16="http://schemas.microsoft.com/office/drawing/2014/main" id="{E52E2C5E-EBB6-4960-8003-36766B1393A3}"/>
            </a:ext>
          </a:extLst>
        </xdr:cNvPr>
        <xdr:cNvSpPr txBox="1"/>
      </xdr:nvSpPr>
      <xdr:spPr>
        <a:xfrm>
          <a:off x="8352864" y="5308787"/>
          <a:ext cx="1977277" cy="5053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A1C4261C-1106-48B4-9C10-E82D60412011}" type="TxLink">
            <a:rPr lang="en-US" sz="2800" b="1" i="0" u="none" strike="noStrike">
              <a:solidFill>
                <a:srgbClr val="4F4789"/>
              </a:solidFill>
              <a:latin typeface="Times New Roman"/>
              <a:ea typeface="+mn-ea"/>
              <a:cs typeface="Times New Roman"/>
            </a:rPr>
            <a:pPr marL="0" indent="0"/>
            <a:t>#NAME?</a:t>
          </a:fld>
          <a:endParaRPr lang="en-AU" sz="2800" b="1" i="0" u="none" strike="noStrike">
            <a:solidFill>
              <a:srgbClr val="4F4789"/>
            </a:solidFill>
            <a:latin typeface="Times New Roman"/>
            <a:ea typeface="+mn-ea"/>
            <a:cs typeface="Times New Roman"/>
          </a:endParaRPr>
        </a:p>
      </xdr:txBody>
    </xdr:sp>
    <xdr:clientData/>
  </xdr:twoCellAnchor>
  <xdr:twoCellAnchor>
    <xdr:from>
      <xdr:col>3</xdr:col>
      <xdr:colOff>2333065</xdr:colOff>
      <xdr:row>14</xdr:row>
      <xdr:rowOff>33057</xdr:rowOff>
    </xdr:from>
    <xdr:to>
      <xdr:col>4</xdr:col>
      <xdr:colOff>1237690</xdr:colOff>
      <xdr:row>16</xdr:row>
      <xdr:rowOff>144555</xdr:rowOff>
    </xdr:to>
    <xdr:sp macro="" textlink="$H$45">
      <xdr:nvSpPr>
        <xdr:cNvPr id="7" name="TextBox 6">
          <a:extLst>
            <a:ext uri="{FF2B5EF4-FFF2-40B4-BE49-F238E27FC236}">
              <a16:creationId xmlns:a16="http://schemas.microsoft.com/office/drawing/2014/main" id="{833A8974-87C9-4E79-B489-9A38725AA61E}"/>
            </a:ext>
          </a:extLst>
        </xdr:cNvPr>
        <xdr:cNvSpPr txBox="1"/>
      </xdr:nvSpPr>
      <xdr:spPr>
        <a:xfrm>
          <a:off x="5009590" y="2957232"/>
          <a:ext cx="2352675" cy="5115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AE965B10-5BD0-44CC-8118-41596A6F15E2}" type="TxLink">
            <a:rPr lang="en-US" sz="2800" b="1" i="0" u="none" strike="noStrike">
              <a:solidFill>
                <a:srgbClr val="0C769E"/>
              </a:solidFill>
              <a:latin typeface="Times New Roman"/>
              <a:ea typeface="+mn-ea"/>
              <a:cs typeface="Times New Roman"/>
            </a:rPr>
            <a:pPr marL="0" indent="0"/>
            <a:t>#NAME?</a:t>
          </a:fld>
          <a:endParaRPr lang="en-AU" sz="2800" b="1" i="0" u="none" strike="noStrike">
            <a:solidFill>
              <a:srgbClr val="0C769E"/>
            </a:solidFill>
            <a:latin typeface="Times New Roman"/>
            <a:ea typeface="+mn-ea"/>
            <a:cs typeface="Times New Roman"/>
          </a:endParaRPr>
        </a:p>
      </xdr:txBody>
    </xdr:sp>
    <xdr:clientData/>
  </xdr:twoCellAnchor>
  <xdr:twoCellAnchor>
    <xdr:from>
      <xdr:col>6</xdr:col>
      <xdr:colOff>617444</xdr:colOff>
      <xdr:row>14</xdr:row>
      <xdr:rowOff>61632</xdr:rowOff>
    </xdr:from>
    <xdr:to>
      <xdr:col>7</xdr:col>
      <xdr:colOff>477371</xdr:colOff>
      <xdr:row>16</xdr:row>
      <xdr:rowOff>144555</xdr:rowOff>
    </xdr:to>
    <xdr:sp macro="" textlink="$I$45">
      <xdr:nvSpPr>
        <xdr:cNvPr id="8" name="TextBox 7">
          <a:extLst>
            <a:ext uri="{FF2B5EF4-FFF2-40B4-BE49-F238E27FC236}">
              <a16:creationId xmlns:a16="http://schemas.microsoft.com/office/drawing/2014/main" id="{ECDA9550-94C9-4119-822D-DA304443D385}"/>
            </a:ext>
          </a:extLst>
        </xdr:cNvPr>
        <xdr:cNvSpPr txBox="1"/>
      </xdr:nvSpPr>
      <xdr:spPr>
        <a:xfrm>
          <a:off x="10837769" y="2985807"/>
          <a:ext cx="1907802" cy="4829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304D704D-8D75-4B25-B661-1CD4BF80A14D}" type="TxLink">
            <a:rPr lang="en-US" sz="2800" b="1" i="0" u="none" strike="noStrike">
              <a:solidFill>
                <a:srgbClr val="0C769E"/>
              </a:solidFill>
              <a:latin typeface="Times New Roman"/>
              <a:ea typeface="+mn-ea"/>
              <a:cs typeface="Times New Roman"/>
            </a:rPr>
            <a:pPr marL="0" indent="0"/>
            <a:t>#NAME?</a:t>
          </a:fld>
          <a:endParaRPr lang="en-AU" sz="2800" b="1" i="0" u="none" strike="noStrike">
            <a:solidFill>
              <a:srgbClr val="0C769E"/>
            </a:solidFill>
            <a:latin typeface="Times New Roman"/>
            <a:ea typeface="+mn-ea"/>
            <a:cs typeface="Times New Roman"/>
          </a:endParaRPr>
        </a:p>
      </xdr:txBody>
    </xdr:sp>
    <xdr:clientData/>
  </xdr:twoCellAnchor>
  <xdr:twoCellAnchor>
    <xdr:from>
      <xdr:col>3</xdr:col>
      <xdr:colOff>9525</xdr:colOff>
      <xdr:row>12</xdr:row>
      <xdr:rowOff>150158</xdr:rowOff>
    </xdr:from>
    <xdr:to>
      <xdr:col>3</xdr:col>
      <xdr:colOff>1542490</xdr:colOff>
      <xdr:row>14</xdr:row>
      <xdr:rowOff>33056</xdr:rowOff>
    </xdr:to>
    <xdr:sp macro="" textlink="$J$44">
      <xdr:nvSpPr>
        <xdr:cNvPr id="9" name="TextBox 8">
          <a:extLst>
            <a:ext uri="{FF2B5EF4-FFF2-40B4-BE49-F238E27FC236}">
              <a16:creationId xmlns:a16="http://schemas.microsoft.com/office/drawing/2014/main" id="{49493AFD-208A-4EC9-A8A6-48B189A9D3F6}"/>
            </a:ext>
          </a:extLst>
        </xdr:cNvPr>
        <xdr:cNvSpPr txBox="1"/>
      </xdr:nvSpPr>
      <xdr:spPr>
        <a:xfrm>
          <a:off x="2686050" y="2674283"/>
          <a:ext cx="1532965"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0C769E"/>
              </a:solidFill>
              <a:latin typeface="Times New Roman"/>
              <a:cs typeface="Times New Roman"/>
            </a:rPr>
            <a:t>Excluding removals</a:t>
          </a:r>
          <a:endParaRPr lang="en-AU" sz="1200" b="1">
            <a:solidFill>
              <a:srgbClr val="0C769E"/>
            </a:solidFill>
          </a:endParaRPr>
        </a:p>
      </xdr:txBody>
    </xdr:sp>
    <xdr:clientData/>
  </xdr:twoCellAnchor>
  <xdr:twoCellAnchor>
    <xdr:from>
      <xdr:col>3</xdr:col>
      <xdr:colOff>2333065</xdr:colOff>
      <xdr:row>12</xdr:row>
      <xdr:rowOff>150158</xdr:rowOff>
    </xdr:from>
    <xdr:to>
      <xdr:col>4</xdr:col>
      <xdr:colOff>1457243</xdr:colOff>
      <xdr:row>14</xdr:row>
      <xdr:rowOff>33056</xdr:rowOff>
    </xdr:to>
    <xdr:sp macro="" textlink="$J$44">
      <xdr:nvSpPr>
        <xdr:cNvPr id="10" name="TextBox 9">
          <a:extLst>
            <a:ext uri="{FF2B5EF4-FFF2-40B4-BE49-F238E27FC236}">
              <a16:creationId xmlns:a16="http://schemas.microsoft.com/office/drawing/2014/main" id="{E12C55C2-9F89-43C5-95FD-8B0BFFCD3F34}"/>
            </a:ext>
          </a:extLst>
        </xdr:cNvPr>
        <xdr:cNvSpPr txBox="1"/>
      </xdr:nvSpPr>
      <xdr:spPr>
        <a:xfrm>
          <a:off x="5009590" y="2674283"/>
          <a:ext cx="2572228"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0C769E"/>
              </a:solidFill>
              <a:latin typeface="Times New Roman"/>
              <a:cs typeface="Times New Roman"/>
            </a:rPr>
            <a:t>Including</a:t>
          </a:r>
          <a:r>
            <a:rPr lang="en-US" sz="1200" b="1" i="0" u="none" strike="noStrike" baseline="0">
              <a:solidFill>
                <a:srgbClr val="0C769E"/>
              </a:solidFill>
              <a:latin typeface="Times New Roman"/>
              <a:cs typeface="Times New Roman"/>
            </a:rPr>
            <a:t> removals (</a:t>
          </a:r>
          <a:r>
            <a:rPr lang="en-US" sz="1200" b="1" i="0" u="none" strike="noStrike">
              <a:solidFill>
                <a:srgbClr val="0C769E"/>
              </a:solidFill>
              <a:latin typeface="Times New Roman"/>
              <a:cs typeface="Times New Roman"/>
            </a:rPr>
            <a:t>Net emissions)</a:t>
          </a:r>
          <a:endParaRPr lang="en-AU" sz="1200" b="1">
            <a:solidFill>
              <a:srgbClr val="0C769E"/>
            </a:solidFill>
          </a:endParaRPr>
        </a:p>
      </xdr:txBody>
    </xdr:sp>
    <xdr:clientData/>
  </xdr:twoCellAnchor>
  <xdr:twoCellAnchor>
    <xdr:from>
      <xdr:col>3</xdr:col>
      <xdr:colOff>9525</xdr:colOff>
      <xdr:row>10</xdr:row>
      <xdr:rowOff>172010</xdr:rowOff>
    </xdr:from>
    <xdr:to>
      <xdr:col>3</xdr:col>
      <xdr:colOff>1542490</xdr:colOff>
      <xdr:row>12</xdr:row>
      <xdr:rowOff>54907</xdr:rowOff>
    </xdr:to>
    <xdr:sp macro="" textlink="$J$44">
      <xdr:nvSpPr>
        <xdr:cNvPr id="11" name="TextBox 10">
          <a:extLst>
            <a:ext uri="{FF2B5EF4-FFF2-40B4-BE49-F238E27FC236}">
              <a16:creationId xmlns:a16="http://schemas.microsoft.com/office/drawing/2014/main" id="{6D9E463A-9248-4B95-B024-5BE675F6304B}"/>
            </a:ext>
          </a:extLst>
        </xdr:cNvPr>
        <xdr:cNvSpPr txBox="1"/>
      </xdr:nvSpPr>
      <xdr:spPr>
        <a:xfrm>
          <a:off x="2686050" y="2296085"/>
          <a:ext cx="1532965" cy="2829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0" i="0" u="none" strike="noStrike">
              <a:solidFill>
                <a:schemeClr val="bg2">
                  <a:lumMod val="50000"/>
                </a:schemeClr>
              </a:solidFill>
              <a:latin typeface="Times New Roman"/>
              <a:cs typeface="Times New Roman"/>
            </a:rPr>
            <a:t>Method 1</a:t>
          </a:r>
          <a:endParaRPr lang="en-AU" sz="1200" b="0">
            <a:solidFill>
              <a:schemeClr val="bg2">
                <a:lumMod val="50000"/>
              </a:schemeClr>
            </a:solidFill>
          </a:endParaRPr>
        </a:p>
      </xdr:txBody>
    </xdr:sp>
    <xdr:clientData/>
  </xdr:twoCellAnchor>
  <xdr:twoCellAnchor>
    <xdr:from>
      <xdr:col>3</xdr:col>
      <xdr:colOff>47625</xdr:colOff>
      <xdr:row>8</xdr:row>
      <xdr:rowOff>174812</xdr:rowOff>
    </xdr:from>
    <xdr:to>
      <xdr:col>3</xdr:col>
      <xdr:colOff>2228290</xdr:colOff>
      <xdr:row>10</xdr:row>
      <xdr:rowOff>143435</xdr:rowOff>
    </xdr:to>
    <xdr:sp macro="" textlink="">
      <xdr:nvSpPr>
        <xdr:cNvPr id="12" name="TextBox 11">
          <a:extLst>
            <a:ext uri="{FF2B5EF4-FFF2-40B4-BE49-F238E27FC236}">
              <a16:creationId xmlns:a16="http://schemas.microsoft.com/office/drawing/2014/main" id="{172AB12A-BA93-494F-BD3D-E035C621A112}"/>
            </a:ext>
          </a:extLst>
        </xdr:cNvPr>
        <xdr:cNvSpPr txBox="1"/>
      </xdr:nvSpPr>
      <xdr:spPr>
        <a:xfrm>
          <a:off x="2724150" y="1898837"/>
          <a:ext cx="2180665" cy="3686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600">
              <a:solidFill>
                <a:srgbClr val="0C769E"/>
              </a:solidFill>
            </a:rPr>
            <a:t>Mass allocation</a:t>
          </a:r>
        </a:p>
      </xdr:txBody>
    </xdr:sp>
    <xdr:clientData/>
  </xdr:twoCellAnchor>
  <xdr:twoCellAnchor>
    <xdr:from>
      <xdr:col>3</xdr:col>
      <xdr:colOff>57150</xdr:colOff>
      <xdr:row>10</xdr:row>
      <xdr:rowOff>147552</xdr:rowOff>
    </xdr:from>
    <xdr:to>
      <xdr:col>7</xdr:col>
      <xdr:colOff>949698</xdr:colOff>
      <xdr:row>10</xdr:row>
      <xdr:rowOff>162485</xdr:rowOff>
    </xdr:to>
    <xdr:cxnSp macro="">
      <xdr:nvCxnSpPr>
        <xdr:cNvPr id="13" name="Straight Connector 12">
          <a:extLst>
            <a:ext uri="{FF2B5EF4-FFF2-40B4-BE49-F238E27FC236}">
              <a16:creationId xmlns:a16="http://schemas.microsoft.com/office/drawing/2014/main" id="{B2AF611D-5085-403C-AA6F-35B20216E8C4}"/>
            </a:ext>
          </a:extLst>
        </xdr:cNvPr>
        <xdr:cNvCxnSpPr/>
      </xdr:nvCxnSpPr>
      <xdr:spPr>
        <a:xfrm flipV="1">
          <a:off x="2733675" y="2271627"/>
          <a:ext cx="10484223" cy="14933"/>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180414</xdr:colOff>
      <xdr:row>12</xdr:row>
      <xdr:rowOff>150158</xdr:rowOff>
    </xdr:from>
    <xdr:to>
      <xdr:col>5</xdr:col>
      <xdr:colOff>1719541</xdr:colOff>
      <xdr:row>14</xdr:row>
      <xdr:rowOff>33056</xdr:rowOff>
    </xdr:to>
    <xdr:sp macro="" textlink="$J$44">
      <xdr:nvSpPr>
        <xdr:cNvPr id="14" name="TextBox 13">
          <a:extLst>
            <a:ext uri="{FF2B5EF4-FFF2-40B4-BE49-F238E27FC236}">
              <a16:creationId xmlns:a16="http://schemas.microsoft.com/office/drawing/2014/main" id="{68408881-CC17-4AA4-956F-95D498006F3D}"/>
            </a:ext>
          </a:extLst>
        </xdr:cNvPr>
        <xdr:cNvSpPr txBox="1"/>
      </xdr:nvSpPr>
      <xdr:spPr>
        <a:xfrm>
          <a:off x="8352864" y="2674283"/>
          <a:ext cx="1539127"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0C769E"/>
              </a:solidFill>
              <a:latin typeface="Times New Roman"/>
              <a:cs typeface="Times New Roman"/>
            </a:rPr>
            <a:t>Excluding removals</a:t>
          </a:r>
          <a:endParaRPr lang="en-AU" sz="1200" b="1">
            <a:solidFill>
              <a:srgbClr val="0C769E"/>
            </a:solidFill>
          </a:endParaRPr>
        </a:p>
      </xdr:txBody>
    </xdr:sp>
    <xdr:clientData/>
  </xdr:twoCellAnchor>
  <xdr:twoCellAnchor>
    <xdr:from>
      <xdr:col>6</xdr:col>
      <xdr:colOff>617444</xdr:colOff>
      <xdr:row>12</xdr:row>
      <xdr:rowOff>150158</xdr:rowOff>
    </xdr:from>
    <xdr:to>
      <xdr:col>7</xdr:col>
      <xdr:colOff>1150201</xdr:colOff>
      <xdr:row>14</xdr:row>
      <xdr:rowOff>33056</xdr:rowOff>
    </xdr:to>
    <xdr:sp macro="" textlink="$J$44">
      <xdr:nvSpPr>
        <xdr:cNvPr id="15" name="TextBox 14">
          <a:extLst>
            <a:ext uri="{FF2B5EF4-FFF2-40B4-BE49-F238E27FC236}">
              <a16:creationId xmlns:a16="http://schemas.microsoft.com/office/drawing/2014/main" id="{6DAF84BF-9C77-403A-891B-9FFD0620D06E}"/>
            </a:ext>
          </a:extLst>
        </xdr:cNvPr>
        <xdr:cNvSpPr txBox="1"/>
      </xdr:nvSpPr>
      <xdr:spPr>
        <a:xfrm>
          <a:off x="10837769" y="2674283"/>
          <a:ext cx="2580632"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0C769E"/>
              </a:solidFill>
              <a:latin typeface="Times New Roman"/>
              <a:cs typeface="Times New Roman"/>
            </a:rPr>
            <a:t>Including</a:t>
          </a:r>
          <a:r>
            <a:rPr lang="en-US" sz="1200" b="1" i="0" u="none" strike="noStrike" baseline="0">
              <a:solidFill>
                <a:srgbClr val="0C769E"/>
              </a:solidFill>
              <a:latin typeface="Times New Roman"/>
              <a:cs typeface="Times New Roman"/>
            </a:rPr>
            <a:t> removals (</a:t>
          </a:r>
          <a:r>
            <a:rPr lang="en-US" sz="1200" b="1" i="0" u="none" strike="noStrike">
              <a:solidFill>
                <a:srgbClr val="0C769E"/>
              </a:solidFill>
              <a:latin typeface="Times New Roman"/>
              <a:cs typeface="Times New Roman"/>
            </a:rPr>
            <a:t>Net emissions)</a:t>
          </a:r>
          <a:endParaRPr lang="en-AU" sz="1200" b="1">
            <a:solidFill>
              <a:srgbClr val="0C769E"/>
            </a:solidFill>
          </a:endParaRPr>
        </a:p>
      </xdr:txBody>
    </xdr:sp>
    <xdr:clientData/>
  </xdr:twoCellAnchor>
  <xdr:twoCellAnchor>
    <xdr:from>
      <xdr:col>5</xdr:col>
      <xdr:colOff>180414</xdr:colOff>
      <xdr:row>10</xdr:row>
      <xdr:rowOff>172010</xdr:rowOff>
    </xdr:from>
    <xdr:to>
      <xdr:col>5</xdr:col>
      <xdr:colOff>1719541</xdr:colOff>
      <xdr:row>12</xdr:row>
      <xdr:rowOff>54907</xdr:rowOff>
    </xdr:to>
    <xdr:sp macro="" textlink="$J$44">
      <xdr:nvSpPr>
        <xdr:cNvPr id="16" name="TextBox 15">
          <a:extLst>
            <a:ext uri="{FF2B5EF4-FFF2-40B4-BE49-F238E27FC236}">
              <a16:creationId xmlns:a16="http://schemas.microsoft.com/office/drawing/2014/main" id="{9DDCEEE4-6758-43CA-9A4F-4BD8CC49FEC8}"/>
            </a:ext>
          </a:extLst>
        </xdr:cNvPr>
        <xdr:cNvSpPr txBox="1"/>
      </xdr:nvSpPr>
      <xdr:spPr>
        <a:xfrm>
          <a:off x="8352864" y="2296085"/>
          <a:ext cx="1539127" cy="2829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0" i="0" u="none" strike="noStrike">
              <a:solidFill>
                <a:schemeClr val="bg2">
                  <a:lumMod val="50000"/>
                </a:schemeClr>
              </a:solidFill>
              <a:latin typeface="Times New Roman"/>
              <a:cs typeface="Times New Roman"/>
            </a:rPr>
            <a:t>Method 2</a:t>
          </a:r>
          <a:endParaRPr lang="en-AU" sz="1200" b="0">
            <a:solidFill>
              <a:schemeClr val="bg2">
                <a:lumMod val="50000"/>
              </a:schemeClr>
            </a:solidFill>
          </a:endParaRPr>
        </a:p>
      </xdr:txBody>
    </xdr:sp>
    <xdr:clientData/>
  </xdr:twoCellAnchor>
  <xdr:twoCellAnchor>
    <xdr:from>
      <xdr:col>3</xdr:col>
      <xdr:colOff>9525</xdr:colOff>
      <xdr:row>12</xdr:row>
      <xdr:rowOff>73958</xdr:rowOff>
    </xdr:from>
    <xdr:to>
      <xdr:col>4</xdr:col>
      <xdr:colOff>1428190</xdr:colOff>
      <xdr:row>12</xdr:row>
      <xdr:rowOff>73958</xdr:rowOff>
    </xdr:to>
    <xdr:cxnSp macro="">
      <xdr:nvCxnSpPr>
        <xdr:cNvPr id="17" name="Straight Connector 16">
          <a:extLst>
            <a:ext uri="{FF2B5EF4-FFF2-40B4-BE49-F238E27FC236}">
              <a16:creationId xmlns:a16="http://schemas.microsoft.com/office/drawing/2014/main" id="{7F0ABF75-DFA4-476D-9D6C-89195BE39EB1}"/>
            </a:ext>
          </a:extLst>
        </xdr:cNvPr>
        <xdr:cNvCxnSpPr/>
      </xdr:nvCxnSpPr>
      <xdr:spPr>
        <a:xfrm>
          <a:off x="2686050" y="2598083"/>
          <a:ext cx="4866715" cy="0"/>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180414</xdr:colOff>
      <xdr:row>12</xdr:row>
      <xdr:rowOff>73958</xdr:rowOff>
    </xdr:from>
    <xdr:to>
      <xdr:col>7</xdr:col>
      <xdr:colOff>968747</xdr:colOff>
      <xdr:row>12</xdr:row>
      <xdr:rowOff>73958</xdr:rowOff>
    </xdr:to>
    <xdr:cxnSp macro="">
      <xdr:nvCxnSpPr>
        <xdr:cNvPr id="18" name="Straight Connector 17">
          <a:extLst>
            <a:ext uri="{FF2B5EF4-FFF2-40B4-BE49-F238E27FC236}">
              <a16:creationId xmlns:a16="http://schemas.microsoft.com/office/drawing/2014/main" id="{C539287F-B096-47C2-8B87-ED06E2DE07A8}"/>
            </a:ext>
          </a:extLst>
        </xdr:cNvPr>
        <xdr:cNvCxnSpPr/>
      </xdr:nvCxnSpPr>
      <xdr:spPr>
        <a:xfrm>
          <a:off x="8352864" y="2598083"/>
          <a:ext cx="4884083" cy="0"/>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9525</xdr:colOff>
      <xdr:row>24</xdr:row>
      <xdr:rowOff>45944</xdr:rowOff>
    </xdr:from>
    <xdr:to>
      <xdr:col>3</xdr:col>
      <xdr:colOff>1542490</xdr:colOff>
      <xdr:row>25</xdr:row>
      <xdr:rowOff>127186</xdr:rowOff>
    </xdr:to>
    <xdr:sp macro="" textlink="$J$44">
      <xdr:nvSpPr>
        <xdr:cNvPr id="19" name="TextBox 18">
          <a:extLst>
            <a:ext uri="{FF2B5EF4-FFF2-40B4-BE49-F238E27FC236}">
              <a16:creationId xmlns:a16="http://schemas.microsoft.com/office/drawing/2014/main" id="{422FBF15-927C-4FC5-B0BC-0619A4E29552}"/>
            </a:ext>
          </a:extLst>
        </xdr:cNvPr>
        <xdr:cNvSpPr txBox="1"/>
      </xdr:nvSpPr>
      <xdr:spPr>
        <a:xfrm>
          <a:off x="2686050" y="4970369"/>
          <a:ext cx="1532965"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4F4789"/>
              </a:solidFill>
              <a:latin typeface="Times New Roman"/>
              <a:cs typeface="Times New Roman"/>
            </a:rPr>
            <a:t>Excluding removals</a:t>
          </a:r>
          <a:endParaRPr lang="en-AU" sz="1200" b="1">
            <a:solidFill>
              <a:srgbClr val="4F4789"/>
            </a:solidFill>
          </a:endParaRPr>
        </a:p>
      </xdr:txBody>
    </xdr:sp>
    <xdr:clientData/>
  </xdr:twoCellAnchor>
  <xdr:twoCellAnchor>
    <xdr:from>
      <xdr:col>3</xdr:col>
      <xdr:colOff>2418312</xdr:colOff>
      <xdr:row>24</xdr:row>
      <xdr:rowOff>45944</xdr:rowOff>
    </xdr:from>
    <xdr:to>
      <xdr:col>4</xdr:col>
      <xdr:colOff>1542490</xdr:colOff>
      <xdr:row>25</xdr:row>
      <xdr:rowOff>127186</xdr:rowOff>
    </xdr:to>
    <xdr:sp macro="" textlink="$J$44">
      <xdr:nvSpPr>
        <xdr:cNvPr id="20" name="TextBox 19">
          <a:extLst>
            <a:ext uri="{FF2B5EF4-FFF2-40B4-BE49-F238E27FC236}">
              <a16:creationId xmlns:a16="http://schemas.microsoft.com/office/drawing/2014/main" id="{D2235FE1-4986-4236-ADD8-EF7B510C5416}"/>
            </a:ext>
          </a:extLst>
        </xdr:cNvPr>
        <xdr:cNvSpPr txBox="1"/>
      </xdr:nvSpPr>
      <xdr:spPr>
        <a:xfrm>
          <a:off x="5094837" y="4970369"/>
          <a:ext cx="2572228"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4F4789"/>
              </a:solidFill>
              <a:latin typeface="Times New Roman"/>
              <a:cs typeface="Times New Roman"/>
            </a:rPr>
            <a:t>Including</a:t>
          </a:r>
          <a:r>
            <a:rPr lang="en-US" sz="1200" b="1" i="0" u="none" strike="noStrike" baseline="0">
              <a:solidFill>
                <a:srgbClr val="4F4789"/>
              </a:solidFill>
              <a:latin typeface="Times New Roman"/>
              <a:cs typeface="Times New Roman"/>
            </a:rPr>
            <a:t> removals (</a:t>
          </a:r>
          <a:r>
            <a:rPr lang="en-US" sz="1200" b="1" i="0" u="none" strike="noStrike">
              <a:solidFill>
                <a:srgbClr val="4F4789"/>
              </a:solidFill>
              <a:latin typeface="Times New Roman"/>
              <a:cs typeface="Times New Roman"/>
            </a:rPr>
            <a:t>Net emissions)</a:t>
          </a:r>
          <a:endParaRPr lang="en-AU" sz="1200" b="1">
            <a:solidFill>
              <a:srgbClr val="4F4789"/>
            </a:solidFill>
          </a:endParaRPr>
        </a:p>
      </xdr:txBody>
    </xdr:sp>
    <xdr:clientData/>
  </xdr:twoCellAnchor>
  <xdr:twoCellAnchor>
    <xdr:from>
      <xdr:col>3</xdr:col>
      <xdr:colOff>9525</xdr:colOff>
      <xdr:row>22</xdr:row>
      <xdr:rowOff>69476</xdr:rowOff>
    </xdr:from>
    <xdr:to>
      <xdr:col>3</xdr:col>
      <xdr:colOff>1542490</xdr:colOff>
      <xdr:row>23</xdr:row>
      <xdr:rowOff>149037</xdr:rowOff>
    </xdr:to>
    <xdr:sp macro="" textlink="$J$44">
      <xdr:nvSpPr>
        <xdr:cNvPr id="21" name="TextBox 20">
          <a:extLst>
            <a:ext uri="{FF2B5EF4-FFF2-40B4-BE49-F238E27FC236}">
              <a16:creationId xmlns:a16="http://schemas.microsoft.com/office/drawing/2014/main" id="{261BE4D0-7E72-4230-8ACA-47762C0C5920}"/>
            </a:ext>
          </a:extLst>
        </xdr:cNvPr>
        <xdr:cNvSpPr txBox="1"/>
      </xdr:nvSpPr>
      <xdr:spPr>
        <a:xfrm>
          <a:off x="2686050" y="4593851"/>
          <a:ext cx="1532965" cy="2795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0" i="0" u="none" strike="noStrike">
              <a:solidFill>
                <a:schemeClr val="bg2">
                  <a:lumMod val="50000"/>
                </a:schemeClr>
              </a:solidFill>
              <a:latin typeface="Times New Roman"/>
              <a:cs typeface="Times New Roman"/>
            </a:rPr>
            <a:t>Method 1</a:t>
          </a:r>
          <a:endParaRPr lang="en-AU" sz="1200" b="0">
            <a:solidFill>
              <a:schemeClr val="bg2">
                <a:lumMod val="50000"/>
              </a:schemeClr>
            </a:solidFill>
          </a:endParaRPr>
        </a:p>
      </xdr:txBody>
    </xdr:sp>
    <xdr:clientData/>
  </xdr:twoCellAnchor>
  <xdr:oneCellAnchor>
    <xdr:from>
      <xdr:col>3</xdr:col>
      <xdr:colOff>9525</xdr:colOff>
      <xdr:row>16</xdr:row>
      <xdr:rowOff>49306</xdr:rowOff>
    </xdr:from>
    <xdr:ext cx="1978747" cy="254493"/>
    <xdr:sp macro="" textlink="">
      <xdr:nvSpPr>
        <xdr:cNvPr id="22" name="TextBox 21">
          <a:extLst>
            <a:ext uri="{FF2B5EF4-FFF2-40B4-BE49-F238E27FC236}">
              <a16:creationId xmlns:a16="http://schemas.microsoft.com/office/drawing/2014/main" id="{9CB97F30-4735-49D1-B115-4E8269067E54}"/>
            </a:ext>
          </a:extLst>
        </xdr:cNvPr>
        <xdr:cNvSpPr txBox="1"/>
      </xdr:nvSpPr>
      <xdr:spPr>
        <a:xfrm>
          <a:off x="2686050" y="3373531"/>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twoCellAnchor>
    <xdr:from>
      <xdr:col>3</xdr:col>
      <xdr:colOff>47625</xdr:colOff>
      <xdr:row>20</xdr:row>
      <xdr:rowOff>72277</xdr:rowOff>
    </xdr:from>
    <xdr:to>
      <xdr:col>3</xdr:col>
      <xdr:colOff>2228290</xdr:colOff>
      <xdr:row>22</xdr:row>
      <xdr:rowOff>39220</xdr:rowOff>
    </xdr:to>
    <xdr:sp macro="" textlink="">
      <xdr:nvSpPr>
        <xdr:cNvPr id="23" name="TextBox 22">
          <a:extLst>
            <a:ext uri="{FF2B5EF4-FFF2-40B4-BE49-F238E27FC236}">
              <a16:creationId xmlns:a16="http://schemas.microsoft.com/office/drawing/2014/main" id="{1C166702-1A1A-4563-8684-ED77B3E358C0}"/>
            </a:ext>
          </a:extLst>
        </xdr:cNvPr>
        <xdr:cNvSpPr txBox="1"/>
      </xdr:nvSpPr>
      <xdr:spPr>
        <a:xfrm>
          <a:off x="2724150" y="4196602"/>
          <a:ext cx="2180665" cy="3669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600">
              <a:solidFill>
                <a:srgbClr val="4F4789"/>
              </a:solidFill>
            </a:rPr>
            <a:t>Economic allocation</a:t>
          </a:r>
        </a:p>
      </xdr:txBody>
    </xdr:sp>
    <xdr:clientData/>
  </xdr:twoCellAnchor>
  <xdr:twoCellAnchor>
    <xdr:from>
      <xdr:col>3</xdr:col>
      <xdr:colOff>57150</xdr:colOff>
      <xdr:row>22</xdr:row>
      <xdr:rowOff>43269</xdr:rowOff>
    </xdr:from>
    <xdr:to>
      <xdr:col>7</xdr:col>
      <xdr:colOff>997323</xdr:colOff>
      <xdr:row>22</xdr:row>
      <xdr:rowOff>59951</xdr:rowOff>
    </xdr:to>
    <xdr:cxnSp macro="">
      <xdr:nvCxnSpPr>
        <xdr:cNvPr id="24" name="Straight Connector 23">
          <a:extLst>
            <a:ext uri="{FF2B5EF4-FFF2-40B4-BE49-F238E27FC236}">
              <a16:creationId xmlns:a16="http://schemas.microsoft.com/office/drawing/2014/main" id="{97784785-181F-46AC-B3C4-55A3A46C6717}"/>
            </a:ext>
          </a:extLst>
        </xdr:cNvPr>
        <xdr:cNvCxnSpPr/>
      </xdr:nvCxnSpPr>
      <xdr:spPr>
        <a:xfrm flipV="1">
          <a:off x="2733675" y="4567644"/>
          <a:ext cx="10531848" cy="16682"/>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180414</xdr:colOff>
      <xdr:row>24</xdr:row>
      <xdr:rowOff>45944</xdr:rowOff>
    </xdr:from>
    <xdr:to>
      <xdr:col>5</xdr:col>
      <xdr:colOff>1719541</xdr:colOff>
      <xdr:row>25</xdr:row>
      <xdr:rowOff>127186</xdr:rowOff>
    </xdr:to>
    <xdr:sp macro="" textlink="$J$44">
      <xdr:nvSpPr>
        <xdr:cNvPr id="25" name="TextBox 24">
          <a:extLst>
            <a:ext uri="{FF2B5EF4-FFF2-40B4-BE49-F238E27FC236}">
              <a16:creationId xmlns:a16="http://schemas.microsoft.com/office/drawing/2014/main" id="{F718A17E-5AAC-4CD8-8846-2676F26CC911}"/>
            </a:ext>
          </a:extLst>
        </xdr:cNvPr>
        <xdr:cNvSpPr txBox="1"/>
      </xdr:nvSpPr>
      <xdr:spPr>
        <a:xfrm>
          <a:off x="8352864" y="4970369"/>
          <a:ext cx="1539127"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4F4789"/>
              </a:solidFill>
              <a:latin typeface="Times New Roman"/>
              <a:cs typeface="Times New Roman"/>
            </a:rPr>
            <a:t>Excluding removals</a:t>
          </a:r>
          <a:endParaRPr lang="en-AU" sz="1200" b="1">
            <a:solidFill>
              <a:srgbClr val="4F4789"/>
            </a:solidFill>
          </a:endParaRPr>
        </a:p>
      </xdr:txBody>
    </xdr:sp>
    <xdr:clientData/>
  </xdr:twoCellAnchor>
  <xdr:twoCellAnchor>
    <xdr:from>
      <xdr:col>6</xdr:col>
      <xdr:colOff>617444</xdr:colOff>
      <xdr:row>24</xdr:row>
      <xdr:rowOff>45944</xdr:rowOff>
    </xdr:from>
    <xdr:to>
      <xdr:col>7</xdr:col>
      <xdr:colOff>1150201</xdr:colOff>
      <xdr:row>25</xdr:row>
      <xdr:rowOff>127186</xdr:rowOff>
    </xdr:to>
    <xdr:sp macro="" textlink="$J$44">
      <xdr:nvSpPr>
        <xdr:cNvPr id="26" name="TextBox 25">
          <a:extLst>
            <a:ext uri="{FF2B5EF4-FFF2-40B4-BE49-F238E27FC236}">
              <a16:creationId xmlns:a16="http://schemas.microsoft.com/office/drawing/2014/main" id="{1391BBC0-89E5-4868-81CD-5472A82492D9}"/>
            </a:ext>
          </a:extLst>
        </xdr:cNvPr>
        <xdr:cNvSpPr txBox="1"/>
      </xdr:nvSpPr>
      <xdr:spPr>
        <a:xfrm>
          <a:off x="10837769" y="4970369"/>
          <a:ext cx="2580632"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4F4789"/>
              </a:solidFill>
              <a:latin typeface="Times New Roman"/>
              <a:cs typeface="Times New Roman"/>
            </a:rPr>
            <a:t>Including</a:t>
          </a:r>
          <a:r>
            <a:rPr lang="en-US" sz="1200" b="1" i="0" u="none" strike="noStrike" baseline="0">
              <a:solidFill>
                <a:srgbClr val="4F4789"/>
              </a:solidFill>
              <a:latin typeface="Times New Roman"/>
              <a:cs typeface="Times New Roman"/>
            </a:rPr>
            <a:t> removals (</a:t>
          </a:r>
          <a:r>
            <a:rPr lang="en-US" sz="1200" b="1" i="0" u="none" strike="noStrike">
              <a:solidFill>
                <a:srgbClr val="4F4789"/>
              </a:solidFill>
              <a:latin typeface="Times New Roman"/>
              <a:cs typeface="Times New Roman"/>
            </a:rPr>
            <a:t>Net emissions)</a:t>
          </a:r>
          <a:endParaRPr lang="en-AU" sz="1200" b="1">
            <a:solidFill>
              <a:srgbClr val="4F4789"/>
            </a:solidFill>
          </a:endParaRPr>
        </a:p>
      </xdr:txBody>
    </xdr:sp>
    <xdr:clientData/>
  </xdr:twoCellAnchor>
  <xdr:twoCellAnchor>
    <xdr:from>
      <xdr:col>5</xdr:col>
      <xdr:colOff>180414</xdr:colOff>
      <xdr:row>22</xdr:row>
      <xdr:rowOff>69476</xdr:rowOff>
    </xdr:from>
    <xdr:to>
      <xdr:col>5</xdr:col>
      <xdr:colOff>1719541</xdr:colOff>
      <xdr:row>23</xdr:row>
      <xdr:rowOff>149037</xdr:rowOff>
    </xdr:to>
    <xdr:sp macro="" textlink="$J$44">
      <xdr:nvSpPr>
        <xdr:cNvPr id="27" name="TextBox 26">
          <a:extLst>
            <a:ext uri="{FF2B5EF4-FFF2-40B4-BE49-F238E27FC236}">
              <a16:creationId xmlns:a16="http://schemas.microsoft.com/office/drawing/2014/main" id="{D5FE9366-3BFE-4C05-867A-F75650982CA9}"/>
            </a:ext>
          </a:extLst>
        </xdr:cNvPr>
        <xdr:cNvSpPr txBox="1"/>
      </xdr:nvSpPr>
      <xdr:spPr>
        <a:xfrm>
          <a:off x="8352864" y="4593851"/>
          <a:ext cx="1539127" cy="2795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0" i="0" u="none" strike="noStrike">
              <a:solidFill>
                <a:schemeClr val="bg2">
                  <a:lumMod val="50000"/>
                </a:schemeClr>
              </a:solidFill>
              <a:latin typeface="Times New Roman"/>
              <a:cs typeface="Times New Roman"/>
            </a:rPr>
            <a:t>Method 2</a:t>
          </a:r>
          <a:endParaRPr lang="en-AU" sz="1200" b="0">
            <a:solidFill>
              <a:schemeClr val="bg2">
                <a:lumMod val="50000"/>
              </a:schemeClr>
            </a:solidFill>
          </a:endParaRPr>
        </a:p>
      </xdr:txBody>
    </xdr:sp>
    <xdr:clientData/>
  </xdr:twoCellAnchor>
  <xdr:twoCellAnchor>
    <xdr:from>
      <xdr:col>3</xdr:col>
      <xdr:colOff>9525</xdr:colOff>
      <xdr:row>23</xdr:row>
      <xdr:rowOff>168088</xdr:rowOff>
    </xdr:from>
    <xdr:to>
      <xdr:col>4</xdr:col>
      <xdr:colOff>1456765</xdr:colOff>
      <xdr:row>23</xdr:row>
      <xdr:rowOff>168088</xdr:rowOff>
    </xdr:to>
    <xdr:cxnSp macro="">
      <xdr:nvCxnSpPr>
        <xdr:cNvPr id="28" name="Straight Connector 27">
          <a:extLst>
            <a:ext uri="{FF2B5EF4-FFF2-40B4-BE49-F238E27FC236}">
              <a16:creationId xmlns:a16="http://schemas.microsoft.com/office/drawing/2014/main" id="{38B64D30-6D2F-48C3-9B60-4390BE526625}"/>
            </a:ext>
          </a:extLst>
        </xdr:cNvPr>
        <xdr:cNvCxnSpPr/>
      </xdr:nvCxnSpPr>
      <xdr:spPr>
        <a:xfrm>
          <a:off x="2686050" y="4892488"/>
          <a:ext cx="4895290" cy="0"/>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180414</xdr:colOff>
      <xdr:row>23</xdr:row>
      <xdr:rowOff>168088</xdr:rowOff>
    </xdr:from>
    <xdr:to>
      <xdr:col>7</xdr:col>
      <xdr:colOff>1006847</xdr:colOff>
      <xdr:row>23</xdr:row>
      <xdr:rowOff>168088</xdr:rowOff>
    </xdr:to>
    <xdr:cxnSp macro="">
      <xdr:nvCxnSpPr>
        <xdr:cNvPr id="29" name="Straight Connector 28">
          <a:extLst>
            <a:ext uri="{FF2B5EF4-FFF2-40B4-BE49-F238E27FC236}">
              <a16:creationId xmlns:a16="http://schemas.microsoft.com/office/drawing/2014/main" id="{BFBEA725-F1E3-47A3-9D66-D708641C5522}"/>
            </a:ext>
          </a:extLst>
        </xdr:cNvPr>
        <xdr:cNvCxnSpPr/>
      </xdr:nvCxnSpPr>
      <xdr:spPr>
        <a:xfrm>
          <a:off x="8352864" y="4892488"/>
          <a:ext cx="4922183" cy="0"/>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3</xdr:col>
      <xdr:colOff>2333065</xdr:colOff>
      <xdr:row>16</xdr:row>
      <xdr:rowOff>49306</xdr:rowOff>
    </xdr:from>
    <xdr:ext cx="1978747" cy="254493"/>
    <xdr:sp macro="" textlink="">
      <xdr:nvSpPr>
        <xdr:cNvPr id="30" name="TextBox 29">
          <a:extLst>
            <a:ext uri="{FF2B5EF4-FFF2-40B4-BE49-F238E27FC236}">
              <a16:creationId xmlns:a16="http://schemas.microsoft.com/office/drawing/2014/main" id="{1B353C3F-EEA7-4767-9132-E360261D937D}"/>
            </a:ext>
          </a:extLst>
        </xdr:cNvPr>
        <xdr:cNvSpPr txBox="1"/>
      </xdr:nvSpPr>
      <xdr:spPr>
        <a:xfrm>
          <a:off x="5009590" y="3373531"/>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oneCellAnchor>
    <xdr:from>
      <xdr:col>5</xdr:col>
      <xdr:colOff>180414</xdr:colOff>
      <xdr:row>16</xdr:row>
      <xdr:rowOff>49306</xdr:rowOff>
    </xdr:from>
    <xdr:ext cx="1978747" cy="254493"/>
    <xdr:sp macro="" textlink="">
      <xdr:nvSpPr>
        <xdr:cNvPr id="31" name="TextBox 30">
          <a:extLst>
            <a:ext uri="{FF2B5EF4-FFF2-40B4-BE49-F238E27FC236}">
              <a16:creationId xmlns:a16="http://schemas.microsoft.com/office/drawing/2014/main" id="{87762194-2B12-44BC-B816-301BBCFA2F7E}"/>
            </a:ext>
          </a:extLst>
        </xdr:cNvPr>
        <xdr:cNvSpPr txBox="1"/>
      </xdr:nvSpPr>
      <xdr:spPr>
        <a:xfrm>
          <a:off x="8352864" y="3373531"/>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oneCellAnchor>
    <xdr:from>
      <xdr:col>6</xdr:col>
      <xdr:colOff>617444</xdr:colOff>
      <xdr:row>16</xdr:row>
      <xdr:rowOff>49306</xdr:rowOff>
    </xdr:from>
    <xdr:ext cx="1978747" cy="254493"/>
    <xdr:sp macro="" textlink="">
      <xdr:nvSpPr>
        <xdr:cNvPr id="32" name="TextBox 31">
          <a:extLst>
            <a:ext uri="{FF2B5EF4-FFF2-40B4-BE49-F238E27FC236}">
              <a16:creationId xmlns:a16="http://schemas.microsoft.com/office/drawing/2014/main" id="{AAED1EC9-FDD9-4C3D-A636-5F245C7CA707}"/>
            </a:ext>
          </a:extLst>
        </xdr:cNvPr>
        <xdr:cNvSpPr txBox="1"/>
      </xdr:nvSpPr>
      <xdr:spPr>
        <a:xfrm>
          <a:off x="10837769" y="3373531"/>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oneCellAnchor>
    <xdr:from>
      <xdr:col>3</xdr:col>
      <xdr:colOff>9525</xdr:colOff>
      <xdr:row>28</xdr:row>
      <xdr:rowOff>38660</xdr:rowOff>
    </xdr:from>
    <xdr:ext cx="1978747" cy="254493"/>
    <xdr:sp macro="" textlink="">
      <xdr:nvSpPr>
        <xdr:cNvPr id="33" name="TextBox 32">
          <a:extLst>
            <a:ext uri="{FF2B5EF4-FFF2-40B4-BE49-F238E27FC236}">
              <a16:creationId xmlns:a16="http://schemas.microsoft.com/office/drawing/2014/main" id="{014A040B-C88A-4270-8C26-7CA744A8C27B}"/>
            </a:ext>
          </a:extLst>
        </xdr:cNvPr>
        <xdr:cNvSpPr txBox="1"/>
      </xdr:nvSpPr>
      <xdr:spPr>
        <a:xfrm>
          <a:off x="2686050" y="5763185"/>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oneCellAnchor>
    <xdr:from>
      <xdr:col>3</xdr:col>
      <xdr:colOff>2342590</xdr:colOff>
      <xdr:row>28</xdr:row>
      <xdr:rowOff>38660</xdr:rowOff>
    </xdr:from>
    <xdr:ext cx="1978747" cy="254493"/>
    <xdr:sp macro="" textlink="">
      <xdr:nvSpPr>
        <xdr:cNvPr id="34" name="TextBox 33">
          <a:extLst>
            <a:ext uri="{FF2B5EF4-FFF2-40B4-BE49-F238E27FC236}">
              <a16:creationId xmlns:a16="http://schemas.microsoft.com/office/drawing/2014/main" id="{9BD31057-8DED-461A-B7E7-EF42381BCD2B}"/>
            </a:ext>
          </a:extLst>
        </xdr:cNvPr>
        <xdr:cNvSpPr txBox="1"/>
      </xdr:nvSpPr>
      <xdr:spPr>
        <a:xfrm>
          <a:off x="5019115" y="5763185"/>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oneCellAnchor>
    <xdr:from>
      <xdr:col>5</xdr:col>
      <xdr:colOff>180414</xdr:colOff>
      <xdr:row>28</xdr:row>
      <xdr:rowOff>38660</xdr:rowOff>
    </xdr:from>
    <xdr:ext cx="1978747" cy="254493"/>
    <xdr:sp macro="" textlink="">
      <xdr:nvSpPr>
        <xdr:cNvPr id="35" name="TextBox 34">
          <a:extLst>
            <a:ext uri="{FF2B5EF4-FFF2-40B4-BE49-F238E27FC236}">
              <a16:creationId xmlns:a16="http://schemas.microsoft.com/office/drawing/2014/main" id="{BDD590EC-73F4-4720-A28D-3D3C84B2383C}"/>
            </a:ext>
          </a:extLst>
        </xdr:cNvPr>
        <xdr:cNvSpPr txBox="1"/>
      </xdr:nvSpPr>
      <xdr:spPr>
        <a:xfrm>
          <a:off x="8352864" y="5763185"/>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oneCellAnchor>
    <xdr:from>
      <xdr:col>6</xdr:col>
      <xdr:colOff>617444</xdr:colOff>
      <xdr:row>28</xdr:row>
      <xdr:rowOff>38660</xdr:rowOff>
    </xdr:from>
    <xdr:ext cx="1978747" cy="254493"/>
    <xdr:sp macro="" textlink="">
      <xdr:nvSpPr>
        <xdr:cNvPr id="36" name="TextBox 35">
          <a:extLst>
            <a:ext uri="{FF2B5EF4-FFF2-40B4-BE49-F238E27FC236}">
              <a16:creationId xmlns:a16="http://schemas.microsoft.com/office/drawing/2014/main" id="{A8DA6287-B255-4E1B-BFDE-A3ABED31B70B}"/>
            </a:ext>
          </a:extLst>
        </xdr:cNvPr>
        <xdr:cNvSpPr txBox="1"/>
      </xdr:nvSpPr>
      <xdr:spPr>
        <a:xfrm>
          <a:off x="10837769" y="5763185"/>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twoCellAnchor>
    <xdr:from>
      <xdr:col>3</xdr:col>
      <xdr:colOff>2371165</xdr:colOff>
      <xdr:row>25</xdr:row>
      <xdr:rowOff>155762</xdr:rowOff>
    </xdr:from>
    <xdr:to>
      <xdr:col>4</xdr:col>
      <xdr:colOff>875740</xdr:colOff>
      <xdr:row>28</xdr:row>
      <xdr:rowOff>108696</xdr:rowOff>
    </xdr:to>
    <xdr:sp macro="" textlink="$H$54">
      <xdr:nvSpPr>
        <xdr:cNvPr id="37" name="TextBox 36">
          <a:extLst>
            <a:ext uri="{FF2B5EF4-FFF2-40B4-BE49-F238E27FC236}">
              <a16:creationId xmlns:a16="http://schemas.microsoft.com/office/drawing/2014/main" id="{48B67803-470A-4840-A0B6-AA7EBEFF89C4}"/>
            </a:ext>
          </a:extLst>
        </xdr:cNvPr>
        <xdr:cNvSpPr txBox="1"/>
      </xdr:nvSpPr>
      <xdr:spPr>
        <a:xfrm>
          <a:off x="5047690" y="5280212"/>
          <a:ext cx="1952625" cy="5530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325659CC-BF18-4027-9C39-6B59F0E2F578}" type="TxLink">
            <a:rPr lang="en-US" sz="2800" b="1" i="0" u="none" strike="noStrike">
              <a:solidFill>
                <a:srgbClr val="4F4789"/>
              </a:solidFill>
              <a:latin typeface="Times New Roman"/>
              <a:ea typeface="+mn-ea"/>
              <a:cs typeface="Times New Roman"/>
            </a:rPr>
            <a:pPr marL="0" indent="0"/>
            <a:t>#NAME?</a:t>
          </a:fld>
          <a:endParaRPr lang="en-AU" sz="2800" b="1" i="0" u="none" strike="noStrike">
            <a:solidFill>
              <a:srgbClr val="4F4789"/>
            </a:solidFill>
            <a:latin typeface="Times New Roman"/>
            <a:ea typeface="+mn-ea"/>
            <a:cs typeface="Times New Roman"/>
          </a:endParaRPr>
        </a:p>
      </xdr:txBody>
    </xdr:sp>
    <xdr:clientData/>
  </xdr:twoCellAnchor>
  <xdr:twoCellAnchor>
    <xdr:from>
      <xdr:col>6</xdr:col>
      <xdr:colOff>500341</xdr:colOff>
      <xdr:row>25</xdr:row>
      <xdr:rowOff>184337</xdr:rowOff>
    </xdr:from>
    <xdr:to>
      <xdr:col>7</xdr:col>
      <xdr:colOff>429745</xdr:colOff>
      <xdr:row>28</xdr:row>
      <xdr:rowOff>89646</xdr:rowOff>
    </xdr:to>
    <xdr:sp macro="" textlink="$I$54">
      <xdr:nvSpPr>
        <xdr:cNvPr id="38" name="TextBox 37">
          <a:extLst>
            <a:ext uri="{FF2B5EF4-FFF2-40B4-BE49-F238E27FC236}">
              <a16:creationId xmlns:a16="http://schemas.microsoft.com/office/drawing/2014/main" id="{3CEEF3AD-22FC-4524-8AAC-CB6290746354}"/>
            </a:ext>
          </a:extLst>
        </xdr:cNvPr>
        <xdr:cNvSpPr txBox="1"/>
      </xdr:nvSpPr>
      <xdr:spPr>
        <a:xfrm>
          <a:off x="10720666" y="5308787"/>
          <a:ext cx="1977279" cy="5053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A9E71E38-28CF-40B4-A787-CD2A933BF092}" type="TxLink">
            <a:rPr lang="en-US" sz="2800" b="1" i="0" u="none" strike="noStrike">
              <a:solidFill>
                <a:srgbClr val="4F4789"/>
              </a:solidFill>
              <a:latin typeface="Times New Roman"/>
              <a:ea typeface="+mn-ea"/>
              <a:cs typeface="Times New Roman"/>
            </a:rPr>
            <a:pPr marL="0" indent="0"/>
            <a:t>#NAME?</a:t>
          </a:fld>
          <a:endParaRPr lang="en-AU" sz="2800" b="1" i="0" u="none" strike="noStrike">
            <a:solidFill>
              <a:srgbClr val="4F4789"/>
            </a:solidFill>
            <a:latin typeface="Times New Roman"/>
            <a:ea typeface="+mn-ea"/>
            <a:cs typeface="Times New Roman"/>
          </a:endParaRPr>
        </a:p>
      </xdr:txBody>
    </xdr:sp>
    <xdr:clientData/>
  </xdr:twoCellAnchor>
  <xdr:twoCellAnchor>
    <xdr:from>
      <xdr:col>8</xdr:col>
      <xdr:colOff>619125</xdr:colOff>
      <xdr:row>14</xdr:row>
      <xdr:rowOff>71157</xdr:rowOff>
    </xdr:from>
    <xdr:to>
      <xdr:col>9</xdr:col>
      <xdr:colOff>440952</xdr:colOff>
      <xdr:row>16</xdr:row>
      <xdr:rowOff>144555</xdr:rowOff>
    </xdr:to>
    <xdr:sp macro="" textlink="$H$47">
      <xdr:nvSpPr>
        <xdr:cNvPr id="39" name="TextBox 38">
          <a:extLst>
            <a:ext uri="{FF2B5EF4-FFF2-40B4-BE49-F238E27FC236}">
              <a16:creationId xmlns:a16="http://schemas.microsoft.com/office/drawing/2014/main" id="{06A79968-A343-47E9-957F-999EDB875007}"/>
            </a:ext>
          </a:extLst>
        </xdr:cNvPr>
        <xdr:cNvSpPr txBox="1"/>
      </xdr:nvSpPr>
      <xdr:spPr>
        <a:xfrm>
          <a:off x="14935200" y="2995332"/>
          <a:ext cx="1869702" cy="4734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FBAAA7CE-3F73-42A7-B887-E644937F7159}" type="TxLink">
            <a:rPr lang="en-US" sz="2800" b="1" i="0" u="none" strike="noStrike">
              <a:solidFill>
                <a:srgbClr val="0C769E"/>
              </a:solidFill>
              <a:latin typeface="Times New Roman"/>
              <a:ea typeface="+mn-ea"/>
              <a:cs typeface="Times New Roman"/>
            </a:rPr>
            <a:pPr marL="0" indent="0"/>
            <a:t>#NAME?</a:t>
          </a:fld>
          <a:endParaRPr lang="en-AU" sz="2800" b="1" i="0" u="none" strike="noStrike">
            <a:solidFill>
              <a:srgbClr val="0C769E"/>
            </a:solidFill>
            <a:latin typeface="Times New Roman"/>
            <a:ea typeface="+mn-ea"/>
            <a:cs typeface="Times New Roman"/>
          </a:endParaRPr>
        </a:p>
      </xdr:txBody>
    </xdr:sp>
    <xdr:clientData/>
  </xdr:twoCellAnchor>
  <xdr:twoCellAnchor>
    <xdr:from>
      <xdr:col>11</xdr:col>
      <xdr:colOff>156882</xdr:colOff>
      <xdr:row>14</xdr:row>
      <xdr:rowOff>42582</xdr:rowOff>
    </xdr:from>
    <xdr:to>
      <xdr:col>12</xdr:col>
      <xdr:colOff>19609</xdr:colOff>
      <xdr:row>16</xdr:row>
      <xdr:rowOff>144555</xdr:rowOff>
    </xdr:to>
    <xdr:sp macro="" textlink="$I$47">
      <xdr:nvSpPr>
        <xdr:cNvPr id="40" name="TextBox 39">
          <a:extLst>
            <a:ext uri="{FF2B5EF4-FFF2-40B4-BE49-F238E27FC236}">
              <a16:creationId xmlns:a16="http://schemas.microsoft.com/office/drawing/2014/main" id="{87FEF128-5F76-4826-ACB9-2CD12AF6BDF3}"/>
            </a:ext>
          </a:extLst>
        </xdr:cNvPr>
        <xdr:cNvSpPr txBox="1"/>
      </xdr:nvSpPr>
      <xdr:spPr>
        <a:xfrm>
          <a:off x="20616582" y="2966757"/>
          <a:ext cx="1910602" cy="50202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E266E2BA-6A96-4903-9E52-5C6BCFEF9FF1}" type="TxLink">
            <a:rPr lang="en-US" sz="2800" b="1" i="0" u="none" strike="noStrike">
              <a:solidFill>
                <a:srgbClr val="0C769E"/>
              </a:solidFill>
              <a:latin typeface="Times New Roman"/>
              <a:ea typeface="+mn-ea"/>
              <a:cs typeface="Times New Roman"/>
            </a:rPr>
            <a:pPr marL="0" indent="0"/>
            <a:t>#NAME?</a:t>
          </a:fld>
          <a:endParaRPr lang="en-AU" sz="2800" b="1" i="0" u="none" strike="noStrike">
            <a:solidFill>
              <a:srgbClr val="0C769E"/>
            </a:solidFill>
            <a:latin typeface="Times New Roman"/>
            <a:ea typeface="+mn-ea"/>
            <a:cs typeface="Times New Roman"/>
          </a:endParaRPr>
        </a:p>
      </xdr:txBody>
    </xdr:sp>
    <xdr:clientData/>
  </xdr:twoCellAnchor>
  <xdr:twoCellAnchor>
    <xdr:from>
      <xdr:col>8</xdr:col>
      <xdr:colOff>619125</xdr:colOff>
      <xdr:row>25</xdr:row>
      <xdr:rowOff>155762</xdr:rowOff>
    </xdr:from>
    <xdr:to>
      <xdr:col>9</xdr:col>
      <xdr:colOff>526677</xdr:colOff>
      <xdr:row>28</xdr:row>
      <xdr:rowOff>108696</xdr:rowOff>
    </xdr:to>
    <xdr:sp macro="" textlink="$H$56">
      <xdr:nvSpPr>
        <xdr:cNvPr id="41" name="TextBox 40">
          <a:extLst>
            <a:ext uri="{FF2B5EF4-FFF2-40B4-BE49-F238E27FC236}">
              <a16:creationId xmlns:a16="http://schemas.microsoft.com/office/drawing/2014/main" id="{E9FA52E2-575B-4C56-ADCB-73565977DD51}"/>
            </a:ext>
          </a:extLst>
        </xdr:cNvPr>
        <xdr:cNvSpPr txBox="1"/>
      </xdr:nvSpPr>
      <xdr:spPr>
        <a:xfrm>
          <a:off x="14935200" y="5280212"/>
          <a:ext cx="1955427" cy="5530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F8F36783-2D83-448C-9BE3-D1653ADA37CE}" type="TxLink">
            <a:rPr lang="en-US" sz="2800" b="1" i="0" u="none" strike="noStrike">
              <a:solidFill>
                <a:srgbClr val="4F4789"/>
              </a:solidFill>
              <a:latin typeface="Times New Roman"/>
              <a:ea typeface="+mn-ea"/>
              <a:cs typeface="Times New Roman"/>
            </a:rPr>
            <a:pPr marL="0" indent="0"/>
            <a:t>#NAME?</a:t>
          </a:fld>
          <a:endParaRPr lang="en-AU" sz="2800" b="1" i="0" u="none" strike="noStrike">
            <a:solidFill>
              <a:srgbClr val="4F4789"/>
            </a:solidFill>
            <a:latin typeface="Times New Roman"/>
            <a:ea typeface="+mn-ea"/>
            <a:cs typeface="Times New Roman"/>
          </a:endParaRPr>
        </a:p>
      </xdr:txBody>
    </xdr:sp>
    <xdr:clientData/>
  </xdr:twoCellAnchor>
  <xdr:twoCellAnchor>
    <xdr:from>
      <xdr:col>11</xdr:col>
      <xdr:colOff>156882</xdr:colOff>
      <xdr:row>25</xdr:row>
      <xdr:rowOff>184337</xdr:rowOff>
    </xdr:from>
    <xdr:to>
      <xdr:col>12</xdr:col>
      <xdr:colOff>86284</xdr:colOff>
      <xdr:row>28</xdr:row>
      <xdr:rowOff>89646</xdr:rowOff>
    </xdr:to>
    <xdr:sp macro="" textlink="$I$56">
      <xdr:nvSpPr>
        <xdr:cNvPr id="42" name="TextBox 41">
          <a:extLst>
            <a:ext uri="{FF2B5EF4-FFF2-40B4-BE49-F238E27FC236}">
              <a16:creationId xmlns:a16="http://schemas.microsoft.com/office/drawing/2014/main" id="{A85AC178-A8FE-436B-A923-A0DF381EC5F3}"/>
            </a:ext>
          </a:extLst>
        </xdr:cNvPr>
        <xdr:cNvSpPr txBox="1"/>
      </xdr:nvSpPr>
      <xdr:spPr>
        <a:xfrm>
          <a:off x="20616582" y="5308787"/>
          <a:ext cx="1977277" cy="5053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9792A2EE-0599-40C6-BEC6-FB928C51F2CA}" type="TxLink">
            <a:rPr lang="en-US" sz="2800" b="1" i="0" u="none" strike="noStrike">
              <a:solidFill>
                <a:srgbClr val="4F4789"/>
              </a:solidFill>
              <a:latin typeface="Times New Roman"/>
              <a:ea typeface="+mn-ea"/>
              <a:cs typeface="Times New Roman"/>
            </a:rPr>
            <a:pPr marL="0" indent="0"/>
            <a:t>#NAME?</a:t>
          </a:fld>
          <a:endParaRPr lang="en-AU" sz="2800" b="1" i="0" u="none" strike="noStrike">
            <a:solidFill>
              <a:srgbClr val="4F4789"/>
            </a:solidFill>
            <a:latin typeface="Times New Roman"/>
            <a:ea typeface="+mn-ea"/>
            <a:cs typeface="Times New Roman"/>
          </a:endParaRPr>
        </a:p>
      </xdr:txBody>
    </xdr:sp>
    <xdr:clientData/>
  </xdr:twoCellAnchor>
  <xdr:twoCellAnchor>
    <xdr:from>
      <xdr:col>9</xdr:col>
      <xdr:colOff>903754</xdr:colOff>
      <xdr:row>14</xdr:row>
      <xdr:rowOff>33057</xdr:rowOff>
    </xdr:from>
    <xdr:to>
      <xdr:col>10</xdr:col>
      <xdr:colOff>1214158</xdr:colOff>
      <xdr:row>16</xdr:row>
      <xdr:rowOff>144555</xdr:rowOff>
    </xdr:to>
    <xdr:sp macro="" textlink="$H$48">
      <xdr:nvSpPr>
        <xdr:cNvPr id="43" name="TextBox 42">
          <a:extLst>
            <a:ext uri="{FF2B5EF4-FFF2-40B4-BE49-F238E27FC236}">
              <a16:creationId xmlns:a16="http://schemas.microsoft.com/office/drawing/2014/main" id="{F03DF4FC-B0C4-4C3C-ABF8-C9A9263AB614}"/>
            </a:ext>
          </a:extLst>
        </xdr:cNvPr>
        <xdr:cNvSpPr txBox="1"/>
      </xdr:nvSpPr>
      <xdr:spPr>
        <a:xfrm>
          <a:off x="17267704" y="2957232"/>
          <a:ext cx="2358279" cy="5115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9FBD39D1-A40C-4D41-815F-1614BABEEB25}" type="TxLink">
            <a:rPr lang="en-US" sz="2800" b="1" i="0" u="none" strike="noStrike">
              <a:solidFill>
                <a:srgbClr val="0C769E"/>
              </a:solidFill>
              <a:latin typeface="Times New Roman"/>
              <a:ea typeface="+mn-ea"/>
              <a:cs typeface="Times New Roman"/>
            </a:rPr>
            <a:pPr marL="0" indent="0"/>
            <a:t>#NAME?</a:t>
          </a:fld>
          <a:endParaRPr lang="en-AU" sz="2800" b="1" i="0" u="none" strike="noStrike">
            <a:solidFill>
              <a:srgbClr val="0C769E"/>
            </a:solidFill>
            <a:latin typeface="Times New Roman"/>
            <a:ea typeface="+mn-ea"/>
            <a:cs typeface="Times New Roman"/>
          </a:endParaRPr>
        </a:p>
      </xdr:txBody>
    </xdr:sp>
    <xdr:clientData/>
  </xdr:twoCellAnchor>
  <xdr:twoCellAnchor>
    <xdr:from>
      <xdr:col>12</xdr:col>
      <xdr:colOff>593912</xdr:colOff>
      <xdr:row>14</xdr:row>
      <xdr:rowOff>61632</xdr:rowOff>
    </xdr:from>
    <xdr:to>
      <xdr:col>13</xdr:col>
      <xdr:colOff>434789</xdr:colOff>
      <xdr:row>16</xdr:row>
      <xdr:rowOff>144555</xdr:rowOff>
    </xdr:to>
    <xdr:sp macro="" textlink="$I$48">
      <xdr:nvSpPr>
        <xdr:cNvPr id="44" name="TextBox 43">
          <a:extLst>
            <a:ext uri="{FF2B5EF4-FFF2-40B4-BE49-F238E27FC236}">
              <a16:creationId xmlns:a16="http://schemas.microsoft.com/office/drawing/2014/main" id="{B9BC03BE-C840-4A9F-BF3C-E56EF4AE3520}"/>
            </a:ext>
          </a:extLst>
        </xdr:cNvPr>
        <xdr:cNvSpPr txBox="1"/>
      </xdr:nvSpPr>
      <xdr:spPr>
        <a:xfrm>
          <a:off x="23101487" y="2985807"/>
          <a:ext cx="1888752" cy="4829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48E1D669-5050-474F-B029-B219812AC417}" type="TxLink">
            <a:rPr lang="en-US" sz="2800" b="1" i="0" u="none" strike="noStrike">
              <a:solidFill>
                <a:srgbClr val="0C769E"/>
              </a:solidFill>
              <a:latin typeface="Times New Roman"/>
              <a:ea typeface="+mn-ea"/>
              <a:cs typeface="Times New Roman"/>
            </a:rPr>
            <a:pPr marL="0" indent="0"/>
            <a:t>#NAME?</a:t>
          </a:fld>
          <a:endParaRPr lang="en-AU" sz="2800" b="1" i="0" u="none" strike="noStrike">
            <a:solidFill>
              <a:srgbClr val="0C769E"/>
            </a:solidFill>
            <a:latin typeface="Times New Roman"/>
            <a:ea typeface="+mn-ea"/>
            <a:cs typeface="Times New Roman"/>
          </a:endParaRPr>
        </a:p>
      </xdr:txBody>
    </xdr:sp>
    <xdr:clientData/>
  </xdr:twoCellAnchor>
  <xdr:twoCellAnchor>
    <xdr:from>
      <xdr:col>8</xdr:col>
      <xdr:colOff>619125</xdr:colOff>
      <xdr:row>12</xdr:row>
      <xdr:rowOff>150158</xdr:rowOff>
    </xdr:from>
    <xdr:to>
      <xdr:col>9</xdr:col>
      <xdr:colOff>107577</xdr:colOff>
      <xdr:row>14</xdr:row>
      <xdr:rowOff>33056</xdr:rowOff>
    </xdr:to>
    <xdr:sp macro="" textlink="$J$44">
      <xdr:nvSpPr>
        <xdr:cNvPr id="45" name="TextBox 44">
          <a:extLst>
            <a:ext uri="{FF2B5EF4-FFF2-40B4-BE49-F238E27FC236}">
              <a16:creationId xmlns:a16="http://schemas.microsoft.com/office/drawing/2014/main" id="{0E20E1D2-2B5C-4DB2-8518-71C3789EC7E5}"/>
            </a:ext>
          </a:extLst>
        </xdr:cNvPr>
        <xdr:cNvSpPr txBox="1"/>
      </xdr:nvSpPr>
      <xdr:spPr>
        <a:xfrm>
          <a:off x="14935200" y="2674283"/>
          <a:ext cx="1536327"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0C769E"/>
              </a:solidFill>
              <a:latin typeface="Times New Roman"/>
              <a:cs typeface="Times New Roman"/>
            </a:rPr>
            <a:t>Excluding removals</a:t>
          </a:r>
          <a:endParaRPr lang="en-AU" sz="1200" b="1">
            <a:solidFill>
              <a:srgbClr val="0C769E"/>
            </a:solidFill>
          </a:endParaRPr>
        </a:p>
      </xdr:txBody>
    </xdr:sp>
    <xdr:clientData/>
  </xdr:twoCellAnchor>
  <xdr:twoCellAnchor>
    <xdr:from>
      <xdr:col>9</xdr:col>
      <xdr:colOff>903754</xdr:colOff>
      <xdr:row>12</xdr:row>
      <xdr:rowOff>150158</xdr:rowOff>
    </xdr:from>
    <xdr:to>
      <xdr:col>10</xdr:col>
      <xdr:colOff>1433711</xdr:colOff>
      <xdr:row>14</xdr:row>
      <xdr:rowOff>33056</xdr:rowOff>
    </xdr:to>
    <xdr:sp macro="" textlink="$J$44">
      <xdr:nvSpPr>
        <xdr:cNvPr id="46" name="TextBox 45">
          <a:extLst>
            <a:ext uri="{FF2B5EF4-FFF2-40B4-BE49-F238E27FC236}">
              <a16:creationId xmlns:a16="http://schemas.microsoft.com/office/drawing/2014/main" id="{4E5FDF6B-386F-464F-89BA-ADBFDA2C3E39}"/>
            </a:ext>
          </a:extLst>
        </xdr:cNvPr>
        <xdr:cNvSpPr txBox="1"/>
      </xdr:nvSpPr>
      <xdr:spPr>
        <a:xfrm>
          <a:off x="17267704" y="2674283"/>
          <a:ext cx="2577832"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0C769E"/>
              </a:solidFill>
              <a:latin typeface="Times New Roman"/>
              <a:cs typeface="Times New Roman"/>
            </a:rPr>
            <a:t>Including</a:t>
          </a:r>
          <a:r>
            <a:rPr lang="en-US" sz="1200" b="1" i="0" u="none" strike="noStrike" baseline="0">
              <a:solidFill>
                <a:srgbClr val="0C769E"/>
              </a:solidFill>
              <a:latin typeface="Times New Roman"/>
              <a:cs typeface="Times New Roman"/>
            </a:rPr>
            <a:t> removals (</a:t>
          </a:r>
          <a:r>
            <a:rPr lang="en-US" sz="1200" b="1" i="0" u="none" strike="noStrike">
              <a:solidFill>
                <a:srgbClr val="0C769E"/>
              </a:solidFill>
              <a:latin typeface="Times New Roman"/>
              <a:cs typeface="Times New Roman"/>
            </a:rPr>
            <a:t>Net emissions)</a:t>
          </a:r>
          <a:endParaRPr lang="en-AU" sz="1200" b="1">
            <a:solidFill>
              <a:srgbClr val="0C769E"/>
            </a:solidFill>
          </a:endParaRPr>
        </a:p>
      </xdr:txBody>
    </xdr:sp>
    <xdr:clientData/>
  </xdr:twoCellAnchor>
  <xdr:twoCellAnchor>
    <xdr:from>
      <xdr:col>8</xdr:col>
      <xdr:colOff>619125</xdr:colOff>
      <xdr:row>10</xdr:row>
      <xdr:rowOff>172010</xdr:rowOff>
    </xdr:from>
    <xdr:to>
      <xdr:col>9</xdr:col>
      <xdr:colOff>107577</xdr:colOff>
      <xdr:row>12</xdr:row>
      <xdr:rowOff>54907</xdr:rowOff>
    </xdr:to>
    <xdr:sp macro="" textlink="$J$44">
      <xdr:nvSpPr>
        <xdr:cNvPr id="47" name="TextBox 46">
          <a:extLst>
            <a:ext uri="{FF2B5EF4-FFF2-40B4-BE49-F238E27FC236}">
              <a16:creationId xmlns:a16="http://schemas.microsoft.com/office/drawing/2014/main" id="{30A6A9A1-0600-4C2A-BEF9-25BCF7D053B0}"/>
            </a:ext>
          </a:extLst>
        </xdr:cNvPr>
        <xdr:cNvSpPr txBox="1"/>
      </xdr:nvSpPr>
      <xdr:spPr>
        <a:xfrm>
          <a:off x="14935200" y="2296085"/>
          <a:ext cx="1536327" cy="2829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0" i="0" u="none" strike="noStrike">
              <a:solidFill>
                <a:schemeClr val="bg2">
                  <a:lumMod val="50000"/>
                </a:schemeClr>
              </a:solidFill>
              <a:latin typeface="Times New Roman"/>
              <a:cs typeface="Times New Roman"/>
            </a:rPr>
            <a:t>Method 1</a:t>
          </a:r>
          <a:endParaRPr lang="en-AU" sz="1200" b="0">
            <a:solidFill>
              <a:schemeClr val="bg2">
                <a:lumMod val="50000"/>
              </a:schemeClr>
            </a:solidFill>
          </a:endParaRPr>
        </a:p>
      </xdr:txBody>
    </xdr:sp>
    <xdr:clientData/>
  </xdr:twoCellAnchor>
  <xdr:twoCellAnchor>
    <xdr:from>
      <xdr:col>8</xdr:col>
      <xdr:colOff>657225</xdr:colOff>
      <xdr:row>8</xdr:row>
      <xdr:rowOff>174812</xdr:rowOff>
    </xdr:from>
    <xdr:to>
      <xdr:col>9</xdr:col>
      <xdr:colOff>798979</xdr:colOff>
      <xdr:row>10</xdr:row>
      <xdr:rowOff>143435</xdr:rowOff>
    </xdr:to>
    <xdr:sp macro="" textlink="">
      <xdr:nvSpPr>
        <xdr:cNvPr id="48" name="TextBox 47">
          <a:extLst>
            <a:ext uri="{FF2B5EF4-FFF2-40B4-BE49-F238E27FC236}">
              <a16:creationId xmlns:a16="http://schemas.microsoft.com/office/drawing/2014/main" id="{E0BFA7CF-30B9-49C5-94B8-46066A33642A}"/>
            </a:ext>
          </a:extLst>
        </xdr:cNvPr>
        <xdr:cNvSpPr txBox="1"/>
      </xdr:nvSpPr>
      <xdr:spPr>
        <a:xfrm>
          <a:off x="14973300" y="1898837"/>
          <a:ext cx="2189629" cy="3686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600">
              <a:solidFill>
                <a:srgbClr val="0C769E"/>
              </a:solidFill>
            </a:rPr>
            <a:t>Mass allocation</a:t>
          </a:r>
        </a:p>
      </xdr:txBody>
    </xdr:sp>
    <xdr:clientData/>
  </xdr:twoCellAnchor>
  <xdr:twoCellAnchor>
    <xdr:from>
      <xdr:col>8</xdr:col>
      <xdr:colOff>666750</xdr:colOff>
      <xdr:row>10</xdr:row>
      <xdr:rowOff>147552</xdr:rowOff>
    </xdr:from>
    <xdr:to>
      <xdr:col>14</xdr:col>
      <xdr:colOff>282948</xdr:colOff>
      <xdr:row>10</xdr:row>
      <xdr:rowOff>162485</xdr:rowOff>
    </xdr:to>
    <xdr:cxnSp macro="">
      <xdr:nvCxnSpPr>
        <xdr:cNvPr id="49" name="Straight Connector 48">
          <a:extLst>
            <a:ext uri="{FF2B5EF4-FFF2-40B4-BE49-F238E27FC236}">
              <a16:creationId xmlns:a16="http://schemas.microsoft.com/office/drawing/2014/main" id="{FC6F194F-AD0D-42E3-9F8A-F06B07808247}"/>
            </a:ext>
          </a:extLst>
        </xdr:cNvPr>
        <xdr:cNvCxnSpPr/>
      </xdr:nvCxnSpPr>
      <xdr:spPr>
        <a:xfrm flipV="1">
          <a:off x="14982825" y="2271627"/>
          <a:ext cx="10465173" cy="14933"/>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156882</xdr:colOff>
      <xdr:row>12</xdr:row>
      <xdr:rowOff>150158</xdr:rowOff>
    </xdr:from>
    <xdr:to>
      <xdr:col>11</xdr:col>
      <xdr:colOff>1696009</xdr:colOff>
      <xdr:row>14</xdr:row>
      <xdr:rowOff>33056</xdr:rowOff>
    </xdr:to>
    <xdr:sp macro="" textlink="$J$44">
      <xdr:nvSpPr>
        <xdr:cNvPr id="50" name="TextBox 49">
          <a:extLst>
            <a:ext uri="{FF2B5EF4-FFF2-40B4-BE49-F238E27FC236}">
              <a16:creationId xmlns:a16="http://schemas.microsoft.com/office/drawing/2014/main" id="{CAA51722-00E3-4D47-B270-7E9443D62D10}"/>
            </a:ext>
          </a:extLst>
        </xdr:cNvPr>
        <xdr:cNvSpPr txBox="1"/>
      </xdr:nvSpPr>
      <xdr:spPr>
        <a:xfrm>
          <a:off x="20616582" y="2674283"/>
          <a:ext cx="1539127"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0C769E"/>
              </a:solidFill>
              <a:latin typeface="Times New Roman"/>
              <a:cs typeface="Times New Roman"/>
            </a:rPr>
            <a:t>Excluding removals</a:t>
          </a:r>
          <a:endParaRPr lang="en-AU" sz="1200" b="1">
            <a:solidFill>
              <a:srgbClr val="0C769E"/>
            </a:solidFill>
          </a:endParaRPr>
        </a:p>
      </xdr:txBody>
    </xdr:sp>
    <xdr:clientData/>
  </xdr:twoCellAnchor>
  <xdr:twoCellAnchor>
    <xdr:from>
      <xdr:col>12</xdr:col>
      <xdr:colOff>593912</xdr:colOff>
      <xdr:row>12</xdr:row>
      <xdr:rowOff>150158</xdr:rowOff>
    </xdr:from>
    <xdr:to>
      <xdr:col>14</xdr:col>
      <xdr:colOff>483451</xdr:colOff>
      <xdr:row>14</xdr:row>
      <xdr:rowOff>33056</xdr:rowOff>
    </xdr:to>
    <xdr:sp macro="" textlink="$J$44">
      <xdr:nvSpPr>
        <xdr:cNvPr id="51" name="TextBox 50">
          <a:extLst>
            <a:ext uri="{FF2B5EF4-FFF2-40B4-BE49-F238E27FC236}">
              <a16:creationId xmlns:a16="http://schemas.microsoft.com/office/drawing/2014/main" id="{9A4D89AA-4DAE-42E0-9BBE-15B4511A8DB3}"/>
            </a:ext>
          </a:extLst>
        </xdr:cNvPr>
        <xdr:cNvSpPr txBox="1"/>
      </xdr:nvSpPr>
      <xdr:spPr>
        <a:xfrm>
          <a:off x="23101487" y="2674283"/>
          <a:ext cx="2547014"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0C769E"/>
              </a:solidFill>
              <a:latin typeface="Times New Roman"/>
              <a:cs typeface="Times New Roman"/>
            </a:rPr>
            <a:t>Including</a:t>
          </a:r>
          <a:r>
            <a:rPr lang="en-US" sz="1200" b="1" i="0" u="none" strike="noStrike" baseline="0">
              <a:solidFill>
                <a:srgbClr val="0C769E"/>
              </a:solidFill>
              <a:latin typeface="Times New Roman"/>
              <a:cs typeface="Times New Roman"/>
            </a:rPr>
            <a:t> removals (</a:t>
          </a:r>
          <a:r>
            <a:rPr lang="en-US" sz="1200" b="1" i="0" u="none" strike="noStrike">
              <a:solidFill>
                <a:srgbClr val="0C769E"/>
              </a:solidFill>
              <a:latin typeface="Times New Roman"/>
              <a:cs typeface="Times New Roman"/>
            </a:rPr>
            <a:t>Net emissions)</a:t>
          </a:r>
          <a:endParaRPr lang="en-AU" sz="1200" b="1">
            <a:solidFill>
              <a:srgbClr val="0C769E"/>
            </a:solidFill>
          </a:endParaRPr>
        </a:p>
      </xdr:txBody>
    </xdr:sp>
    <xdr:clientData/>
  </xdr:twoCellAnchor>
  <xdr:twoCellAnchor>
    <xdr:from>
      <xdr:col>11</xdr:col>
      <xdr:colOff>156882</xdr:colOff>
      <xdr:row>10</xdr:row>
      <xdr:rowOff>172010</xdr:rowOff>
    </xdr:from>
    <xdr:to>
      <xdr:col>11</xdr:col>
      <xdr:colOff>1696009</xdr:colOff>
      <xdr:row>12</xdr:row>
      <xdr:rowOff>54907</xdr:rowOff>
    </xdr:to>
    <xdr:sp macro="" textlink="$J$44">
      <xdr:nvSpPr>
        <xdr:cNvPr id="52" name="TextBox 51">
          <a:extLst>
            <a:ext uri="{FF2B5EF4-FFF2-40B4-BE49-F238E27FC236}">
              <a16:creationId xmlns:a16="http://schemas.microsoft.com/office/drawing/2014/main" id="{2291CF9D-F346-4E41-9B29-0357F54411D4}"/>
            </a:ext>
          </a:extLst>
        </xdr:cNvPr>
        <xdr:cNvSpPr txBox="1"/>
      </xdr:nvSpPr>
      <xdr:spPr>
        <a:xfrm>
          <a:off x="20616582" y="2296085"/>
          <a:ext cx="1539127" cy="2829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0" i="0" u="none" strike="noStrike">
              <a:solidFill>
                <a:schemeClr val="bg2">
                  <a:lumMod val="50000"/>
                </a:schemeClr>
              </a:solidFill>
              <a:latin typeface="Times New Roman"/>
              <a:cs typeface="Times New Roman"/>
            </a:rPr>
            <a:t>Method 2</a:t>
          </a:r>
          <a:endParaRPr lang="en-AU" sz="1200" b="0">
            <a:solidFill>
              <a:schemeClr val="bg2">
                <a:lumMod val="50000"/>
              </a:schemeClr>
            </a:solidFill>
          </a:endParaRPr>
        </a:p>
      </xdr:txBody>
    </xdr:sp>
    <xdr:clientData/>
  </xdr:twoCellAnchor>
  <xdr:twoCellAnchor>
    <xdr:from>
      <xdr:col>8</xdr:col>
      <xdr:colOff>619125</xdr:colOff>
      <xdr:row>12</xdr:row>
      <xdr:rowOff>73958</xdr:rowOff>
    </xdr:from>
    <xdr:to>
      <xdr:col>10</xdr:col>
      <xdr:colOff>1404658</xdr:colOff>
      <xdr:row>12</xdr:row>
      <xdr:rowOff>73958</xdr:rowOff>
    </xdr:to>
    <xdr:cxnSp macro="">
      <xdr:nvCxnSpPr>
        <xdr:cNvPr id="53" name="Straight Connector 52">
          <a:extLst>
            <a:ext uri="{FF2B5EF4-FFF2-40B4-BE49-F238E27FC236}">
              <a16:creationId xmlns:a16="http://schemas.microsoft.com/office/drawing/2014/main" id="{27F6FC0D-7975-4848-94A7-5DA27AAA09B4}"/>
            </a:ext>
          </a:extLst>
        </xdr:cNvPr>
        <xdr:cNvCxnSpPr/>
      </xdr:nvCxnSpPr>
      <xdr:spPr>
        <a:xfrm>
          <a:off x="14935200" y="2598083"/>
          <a:ext cx="4881283" cy="0"/>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156882</xdr:colOff>
      <xdr:row>12</xdr:row>
      <xdr:rowOff>73958</xdr:rowOff>
    </xdr:from>
    <xdr:to>
      <xdr:col>14</xdr:col>
      <xdr:colOff>301997</xdr:colOff>
      <xdr:row>12</xdr:row>
      <xdr:rowOff>73958</xdr:rowOff>
    </xdr:to>
    <xdr:cxnSp macro="">
      <xdr:nvCxnSpPr>
        <xdr:cNvPr id="54" name="Straight Connector 53">
          <a:extLst>
            <a:ext uri="{FF2B5EF4-FFF2-40B4-BE49-F238E27FC236}">
              <a16:creationId xmlns:a16="http://schemas.microsoft.com/office/drawing/2014/main" id="{E47C32BA-7C0F-4B0B-8CB8-BCD57BF802FD}"/>
            </a:ext>
          </a:extLst>
        </xdr:cNvPr>
        <xdr:cNvCxnSpPr/>
      </xdr:nvCxnSpPr>
      <xdr:spPr>
        <a:xfrm>
          <a:off x="20616582" y="2598083"/>
          <a:ext cx="4850465" cy="0"/>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619125</xdr:colOff>
      <xdr:row>24</xdr:row>
      <xdr:rowOff>45944</xdr:rowOff>
    </xdr:from>
    <xdr:to>
      <xdr:col>9</xdr:col>
      <xdr:colOff>107577</xdr:colOff>
      <xdr:row>25</xdr:row>
      <xdr:rowOff>127186</xdr:rowOff>
    </xdr:to>
    <xdr:sp macro="" textlink="$J$44">
      <xdr:nvSpPr>
        <xdr:cNvPr id="55" name="TextBox 54">
          <a:extLst>
            <a:ext uri="{FF2B5EF4-FFF2-40B4-BE49-F238E27FC236}">
              <a16:creationId xmlns:a16="http://schemas.microsoft.com/office/drawing/2014/main" id="{C2457FCE-1335-464A-888C-6A753098490A}"/>
            </a:ext>
          </a:extLst>
        </xdr:cNvPr>
        <xdr:cNvSpPr txBox="1"/>
      </xdr:nvSpPr>
      <xdr:spPr>
        <a:xfrm>
          <a:off x="14935200" y="4970369"/>
          <a:ext cx="1536327"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4F4789"/>
              </a:solidFill>
              <a:latin typeface="Times New Roman"/>
              <a:cs typeface="Times New Roman"/>
            </a:rPr>
            <a:t>Excluding removals</a:t>
          </a:r>
          <a:endParaRPr lang="en-AU" sz="1200" b="1">
            <a:solidFill>
              <a:srgbClr val="4F4789"/>
            </a:solidFill>
          </a:endParaRPr>
        </a:p>
      </xdr:txBody>
    </xdr:sp>
    <xdr:clientData/>
  </xdr:twoCellAnchor>
  <xdr:twoCellAnchor>
    <xdr:from>
      <xdr:col>9</xdr:col>
      <xdr:colOff>989001</xdr:colOff>
      <xdr:row>24</xdr:row>
      <xdr:rowOff>45944</xdr:rowOff>
    </xdr:from>
    <xdr:to>
      <xdr:col>10</xdr:col>
      <xdr:colOff>1518958</xdr:colOff>
      <xdr:row>25</xdr:row>
      <xdr:rowOff>127186</xdr:rowOff>
    </xdr:to>
    <xdr:sp macro="" textlink="$J$44">
      <xdr:nvSpPr>
        <xdr:cNvPr id="56" name="TextBox 55">
          <a:extLst>
            <a:ext uri="{FF2B5EF4-FFF2-40B4-BE49-F238E27FC236}">
              <a16:creationId xmlns:a16="http://schemas.microsoft.com/office/drawing/2014/main" id="{B1549C1D-0B81-4337-863B-59058DBE5144}"/>
            </a:ext>
          </a:extLst>
        </xdr:cNvPr>
        <xdr:cNvSpPr txBox="1"/>
      </xdr:nvSpPr>
      <xdr:spPr>
        <a:xfrm>
          <a:off x="17352951" y="4970369"/>
          <a:ext cx="2577832"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4F4789"/>
              </a:solidFill>
              <a:latin typeface="Times New Roman"/>
              <a:cs typeface="Times New Roman"/>
            </a:rPr>
            <a:t>Including</a:t>
          </a:r>
          <a:r>
            <a:rPr lang="en-US" sz="1200" b="1" i="0" u="none" strike="noStrike" baseline="0">
              <a:solidFill>
                <a:srgbClr val="4F4789"/>
              </a:solidFill>
              <a:latin typeface="Times New Roman"/>
              <a:cs typeface="Times New Roman"/>
            </a:rPr>
            <a:t> removals (</a:t>
          </a:r>
          <a:r>
            <a:rPr lang="en-US" sz="1200" b="1" i="0" u="none" strike="noStrike">
              <a:solidFill>
                <a:srgbClr val="4F4789"/>
              </a:solidFill>
              <a:latin typeface="Times New Roman"/>
              <a:cs typeface="Times New Roman"/>
            </a:rPr>
            <a:t>Net emissions)</a:t>
          </a:r>
          <a:endParaRPr lang="en-AU" sz="1200" b="1">
            <a:solidFill>
              <a:srgbClr val="4F4789"/>
            </a:solidFill>
          </a:endParaRPr>
        </a:p>
      </xdr:txBody>
    </xdr:sp>
    <xdr:clientData/>
  </xdr:twoCellAnchor>
  <xdr:twoCellAnchor>
    <xdr:from>
      <xdr:col>8</xdr:col>
      <xdr:colOff>619125</xdr:colOff>
      <xdr:row>22</xdr:row>
      <xdr:rowOff>69476</xdr:rowOff>
    </xdr:from>
    <xdr:to>
      <xdr:col>9</xdr:col>
      <xdr:colOff>107577</xdr:colOff>
      <xdr:row>23</xdr:row>
      <xdr:rowOff>149037</xdr:rowOff>
    </xdr:to>
    <xdr:sp macro="" textlink="$J$44">
      <xdr:nvSpPr>
        <xdr:cNvPr id="57" name="TextBox 56">
          <a:extLst>
            <a:ext uri="{FF2B5EF4-FFF2-40B4-BE49-F238E27FC236}">
              <a16:creationId xmlns:a16="http://schemas.microsoft.com/office/drawing/2014/main" id="{FE957AF1-3E34-49B8-8284-5F241DD6754F}"/>
            </a:ext>
          </a:extLst>
        </xdr:cNvPr>
        <xdr:cNvSpPr txBox="1"/>
      </xdr:nvSpPr>
      <xdr:spPr>
        <a:xfrm>
          <a:off x="14935200" y="4593851"/>
          <a:ext cx="1536327" cy="2795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0" i="0" u="none" strike="noStrike">
              <a:solidFill>
                <a:schemeClr val="bg2">
                  <a:lumMod val="50000"/>
                </a:schemeClr>
              </a:solidFill>
              <a:latin typeface="Times New Roman"/>
              <a:cs typeface="Times New Roman"/>
            </a:rPr>
            <a:t>Method 1</a:t>
          </a:r>
          <a:endParaRPr lang="en-AU" sz="1200" b="0">
            <a:solidFill>
              <a:schemeClr val="bg2">
                <a:lumMod val="50000"/>
              </a:schemeClr>
            </a:solidFill>
          </a:endParaRPr>
        </a:p>
      </xdr:txBody>
    </xdr:sp>
    <xdr:clientData/>
  </xdr:twoCellAnchor>
  <xdr:oneCellAnchor>
    <xdr:from>
      <xdr:col>8</xdr:col>
      <xdr:colOff>619125</xdr:colOff>
      <xdr:row>16</xdr:row>
      <xdr:rowOff>49306</xdr:rowOff>
    </xdr:from>
    <xdr:ext cx="1978747" cy="254493"/>
    <xdr:sp macro="" textlink="">
      <xdr:nvSpPr>
        <xdr:cNvPr id="58" name="TextBox 57">
          <a:extLst>
            <a:ext uri="{FF2B5EF4-FFF2-40B4-BE49-F238E27FC236}">
              <a16:creationId xmlns:a16="http://schemas.microsoft.com/office/drawing/2014/main" id="{8018A076-4230-44F6-AC4D-B2C611A5CCC6}"/>
            </a:ext>
          </a:extLst>
        </xdr:cNvPr>
        <xdr:cNvSpPr txBox="1"/>
      </xdr:nvSpPr>
      <xdr:spPr>
        <a:xfrm>
          <a:off x="14935200" y="3373531"/>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twoCellAnchor>
    <xdr:from>
      <xdr:col>8</xdr:col>
      <xdr:colOff>657225</xdr:colOff>
      <xdr:row>20</xdr:row>
      <xdr:rowOff>72277</xdr:rowOff>
    </xdr:from>
    <xdr:to>
      <xdr:col>9</xdr:col>
      <xdr:colOff>798979</xdr:colOff>
      <xdr:row>22</xdr:row>
      <xdr:rowOff>39220</xdr:rowOff>
    </xdr:to>
    <xdr:sp macro="" textlink="">
      <xdr:nvSpPr>
        <xdr:cNvPr id="59" name="TextBox 58">
          <a:extLst>
            <a:ext uri="{FF2B5EF4-FFF2-40B4-BE49-F238E27FC236}">
              <a16:creationId xmlns:a16="http://schemas.microsoft.com/office/drawing/2014/main" id="{B5895CE6-9EFB-401A-84F5-D1D08E220504}"/>
            </a:ext>
          </a:extLst>
        </xdr:cNvPr>
        <xdr:cNvSpPr txBox="1"/>
      </xdr:nvSpPr>
      <xdr:spPr>
        <a:xfrm>
          <a:off x="14973300" y="4196602"/>
          <a:ext cx="2189629" cy="3669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600">
              <a:solidFill>
                <a:srgbClr val="4F4789"/>
              </a:solidFill>
            </a:rPr>
            <a:t>Economic allocation</a:t>
          </a:r>
        </a:p>
      </xdr:txBody>
    </xdr:sp>
    <xdr:clientData/>
  </xdr:twoCellAnchor>
  <xdr:twoCellAnchor>
    <xdr:from>
      <xdr:col>8</xdr:col>
      <xdr:colOff>666750</xdr:colOff>
      <xdr:row>22</xdr:row>
      <xdr:rowOff>43269</xdr:rowOff>
    </xdr:from>
    <xdr:to>
      <xdr:col>14</xdr:col>
      <xdr:colOff>330573</xdr:colOff>
      <xdr:row>22</xdr:row>
      <xdr:rowOff>59951</xdr:rowOff>
    </xdr:to>
    <xdr:cxnSp macro="">
      <xdr:nvCxnSpPr>
        <xdr:cNvPr id="60" name="Straight Connector 59">
          <a:extLst>
            <a:ext uri="{FF2B5EF4-FFF2-40B4-BE49-F238E27FC236}">
              <a16:creationId xmlns:a16="http://schemas.microsoft.com/office/drawing/2014/main" id="{31AB1B0E-DA92-4A29-8138-18836AFC625B}"/>
            </a:ext>
          </a:extLst>
        </xdr:cNvPr>
        <xdr:cNvCxnSpPr/>
      </xdr:nvCxnSpPr>
      <xdr:spPr>
        <a:xfrm flipV="1">
          <a:off x="14982825" y="4567644"/>
          <a:ext cx="10512798" cy="16682"/>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156882</xdr:colOff>
      <xdr:row>24</xdr:row>
      <xdr:rowOff>45944</xdr:rowOff>
    </xdr:from>
    <xdr:to>
      <xdr:col>11</xdr:col>
      <xdr:colOff>1696009</xdr:colOff>
      <xdr:row>25</xdr:row>
      <xdr:rowOff>127186</xdr:rowOff>
    </xdr:to>
    <xdr:sp macro="" textlink="$J$44">
      <xdr:nvSpPr>
        <xdr:cNvPr id="61" name="TextBox 60">
          <a:extLst>
            <a:ext uri="{FF2B5EF4-FFF2-40B4-BE49-F238E27FC236}">
              <a16:creationId xmlns:a16="http://schemas.microsoft.com/office/drawing/2014/main" id="{052C57AD-F5BE-4024-8EFD-5794965A3B59}"/>
            </a:ext>
          </a:extLst>
        </xdr:cNvPr>
        <xdr:cNvSpPr txBox="1"/>
      </xdr:nvSpPr>
      <xdr:spPr>
        <a:xfrm>
          <a:off x="20616582" y="4970369"/>
          <a:ext cx="1539127"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4F4789"/>
              </a:solidFill>
              <a:latin typeface="Times New Roman"/>
              <a:cs typeface="Times New Roman"/>
            </a:rPr>
            <a:t>Excluding removals</a:t>
          </a:r>
          <a:endParaRPr lang="en-AU" sz="1200" b="1">
            <a:solidFill>
              <a:srgbClr val="4F4789"/>
            </a:solidFill>
          </a:endParaRPr>
        </a:p>
      </xdr:txBody>
    </xdr:sp>
    <xdr:clientData/>
  </xdr:twoCellAnchor>
  <xdr:twoCellAnchor>
    <xdr:from>
      <xdr:col>11</xdr:col>
      <xdr:colOff>156882</xdr:colOff>
      <xdr:row>22</xdr:row>
      <xdr:rowOff>69476</xdr:rowOff>
    </xdr:from>
    <xdr:to>
      <xdr:col>11</xdr:col>
      <xdr:colOff>1696009</xdr:colOff>
      <xdr:row>23</xdr:row>
      <xdr:rowOff>149037</xdr:rowOff>
    </xdr:to>
    <xdr:sp macro="" textlink="$J$44">
      <xdr:nvSpPr>
        <xdr:cNvPr id="62" name="TextBox 61">
          <a:extLst>
            <a:ext uri="{FF2B5EF4-FFF2-40B4-BE49-F238E27FC236}">
              <a16:creationId xmlns:a16="http://schemas.microsoft.com/office/drawing/2014/main" id="{73118114-86B4-4819-B5D7-9A7877CB1111}"/>
            </a:ext>
          </a:extLst>
        </xdr:cNvPr>
        <xdr:cNvSpPr txBox="1"/>
      </xdr:nvSpPr>
      <xdr:spPr>
        <a:xfrm>
          <a:off x="20616582" y="4593851"/>
          <a:ext cx="1539127" cy="2795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0" i="0" u="none" strike="noStrike">
              <a:solidFill>
                <a:schemeClr val="bg2">
                  <a:lumMod val="50000"/>
                </a:schemeClr>
              </a:solidFill>
              <a:latin typeface="Times New Roman"/>
              <a:cs typeface="Times New Roman"/>
            </a:rPr>
            <a:t>Method 2</a:t>
          </a:r>
          <a:endParaRPr lang="en-AU" sz="1200" b="0">
            <a:solidFill>
              <a:schemeClr val="bg2">
                <a:lumMod val="50000"/>
              </a:schemeClr>
            </a:solidFill>
          </a:endParaRPr>
        </a:p>
      </xdr:txBody>
    </xdr:sp>
    <xdr:clientData/>
  </xdr:twoCellAnchor>
  <xdr:twoCellAnchor>
    <xdr:from>
      <xdr:col>8</xdr:col>
      <xdr:colOff>619125</xdr:colOff>
      <xdr:row>23</xdr:row>
      <xdr:rowOff>168088</xdr:rowOff>
    </xdr:from>
    <xdr:to>
      <xdr:col>10</xdr:col>
      <xdr:colOff>1433233</xdr:colOff>
      <xdr:row>23</xdr:row>
      <xdr:rowOff>168088</xdr:rowOff>
    </xdr:to>
    <xdr:cxnSp macro="">
      <xdr:nvCxnSpPr>
        <xdr:cNvPr id="63" name="Straight Connector 62">
          <a:extLst>
            <a:ext uri="{FF2B5EF4-FFF2-40B4-BE49-F238E27FC236}">
              <a16:creationId xmlns:a16="http://schemas.microsoft.com/office/drawing/2014/main" id="{9362D316-208B-47AC-8180-818BAB6A9FF0}"/>
            </a:ext>
          </a:extLst>
        </xdr:cNvPr>
        <xdr:cNvCxnSpPr/>
      </xdr:nvCxnSpPr>
      <xdr:spPr>
        <a:xfrm>
          <a:off x="14935200" y="4892488"/>
          <a:ext cx="4909858" cy="0"/>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156882</xdr:colOff>
      <xdr:row>23</xdr:row>
      <xdr:rowOff>168088</xdr:rowOff>
    </xdr:from>
    <xdr:to>
      <xdr:col>14</xdr:col>
      <xdr:colOff>340097</xdr:colOff>
      <xdr:row>23</xdr:row>
      <xdr:rowOff>168088</xdr:rowOff>
    </xdr:to>
    <xdr:cxnSp macro="">
      <xdr:nvCxnSpPr>
        <xdr:cNvPr id="64" name="Straight Connector 63">
          <a:extLst>
            <a:ext uri="{FF2B5EF4-FFF2-40B4-BE49-F238E27FC236}">
              <a16:creationId xmlns:a16="http://schemas.microsoft.com/office/drawing/2014/main" id="{410F0CE1-6870-4E52-B057-FDCE7B54B6C7}"/>
            </a:ext>
          </a:extLst>
        </xdr:cNvPr>
        <xdr:cNvCxnSpPr/>
      </xdr:nvCxnSpPr>
      <xdr:spPr>
        <a:xfrm>
          <a:off x="20616582" y="4892488"/>
          <a:ext cx="4888565" cy="0"/>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9</xdr:col>
      <xdr:colOff>903754</xdr:colOff>
      <xdr:row>16</xdr:row>
      <xdr:rowOff>49306</xdr:rowOff>
    </xdr:from>
    <xdr:ext cx="1978747" cy="254493"/>
    <xdr:sp macro="" textlink="">
      <xdr:nvSpPr>
        <xdr:cNvPr id="65" name="TextBox 64">
          <a:extLst>
            <a:ext uri="{FF2B5EF4-FFF2-40B4-BE49-F238E27FC236}">
              <a16:creationId xmlns:a16="http://schemas.microsoft.com/office/drawing/2014/main" id="{07851F2D-4B2D-4D89-9AB3-9F6916A260EA}"/>
            </a:ext>
          </a:extLst>
        </xdr:cNvPr>
        <xdr:cNvSpPr txBox="1"/>
      </xdr:nvSpPr>
      <xdr:spPr>
        <a:xfrm>
          <a:off x="17267704" y="3373531"/>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oneCellAnchor>
    <xdr:from>
      <xdr:col>11</xdr:col>
      <xdr:colOff>156882</xdr:colOff>
      <xdr:row>16</xdr:row>
      <xdr:rowOff>49306</xdr:rowOff>
    </xdr:from>
    <xdr:ext cx="1978747" cy="254493"/>
    <xdr:sp macro="" textlink="">
      <xdr:nvSpPr>
        <xdr:cNvPr id="66" name="TextBox 65">
          <a:extLst>
            <a:ext uri="{FF2B5EF4-FFF2-40B4-BE49-F238E27FC236}">
              <a16:creationId xmlns:a16="http://schemas.microsoft.com/office/drawing/2014/main" id="{52CEC779-E6E8-4985-B92E-43B55A7D33A1}"/>
            </a:ext>
          </a:extLst>
        </xdr:cNvPr>
        <xdr:cNvSpPr txBox="1"/>
      </xdr:nvSpPr>
      <xdr:spPr>
        <a:xfrm>
          <a:off x="20616582" y="3373531"/>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oneCellAnchor>
    <xdr:from>
      <xdr:col>12</xdr:col>
      <xdr:colOff>593912</xdr:colOff>
      <xdr:row>16</xdr:row>
      <xdr:rowOff>49306</xdr:rowOff>
    </xdr:from>
    <xdr:ext cx="1978747" cy="254493"/>
    <xdr:sp macro="" textlink="">
      <xdr:nvSpPr>
        <xdr:cNvPr id="67" name="TextBox 66">
          <a:extLst>
            <a:ext uri="{FF2B5EF4-FFF2-40B4-BE49-F238E27FC236}">
              <a16:creationId xmlns:a16="http://schemas.microsoft.com/office/drawing/2014/main" id="{FAD87E48-EA22-47A6-99BB-D8C013B5CFC9}"/>
            </a:ext>
          </a:extLst>
        </xdr:cNvPr>
        <xdr:cNvSpPr txBox="1"/>
      </xdr:nvSpPr>
      <xdr:spPr>
        <a:xfrm>
          <a:off x="23101487" y="3373531"/>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oneCellAnchor>
    <xdr:from>
      <xdr:col>8</xdr:col>
      <xdr:colOff>619125</xdr:colOff>
      <xdr:row>28</xdr:row>
      <xdr:rowOff>38660</xdr:rowOff>
    </xdr:from>
    <xdr:ext cx="1978747" cy="254493"/>
    <xdr:sp macro="" textlink="">
      <xdr:nvSpPr>
        <xdr:cNvPr id="68" name="TextBox 67">
          <a:extLst>
            <a:ext uri="{FF2B5EF4-FFF2-40B4-BE49-F238E27FC236}">
              <a16:creationId xmlns:a16="http://schemas.microsoft.com/office/drawing/2014/main" id="{2EAA6F5C-6F7B-40F9-811A-D6E1888403C8}"/>
            </a:ext>
          </a:extLst>
        </xdr:cNvPr>
        <xdr:cNvSpPr txBox="1"/>
      </xdr:nvSpPr>
      <xdr:spPr>
        <a:xfrm>
          <a:off x="14935200" y="5763185"/>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oneCellAnchor>
    <xdr:from>
      <xdr:col>9</xdr:col>
      <xdr:colOff>913279</xdr:colOff>
      <xdr:row>28</xdr:row>
      <xdr:rowOff>38660</xdr:rowOff>
    </xdr:from>
    <xdr:ext cx="1978747" cy="254493"/>
    <xdr:sp macro="" textlink="">
      <xdr:nvSpPr>
        <xdr:cNvPr id="69" name="TextBox 68">
          <a:extLst>
            <a:ext uri="{FF2B5EF4-FFF2-40B4-BE49-F238E27FC236}">
              <a16:creationId xmlns:a16="http://schemas.microsoft.com/office/drawing/2014/main" id="{F9068E14-ACE0-4CAD-AECE-0BFE16200958}"/>
            </a:ext>
          </a:extLst>
        </xdr:cNvPr>
        <xdr:cNvSpPr txBox="1"/>
      </xdr:nvSpPr>
      <xdr:spPr>
        <a:xfrm>
          <a:off x="17277229" y="5763185"/>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oneCellAnchor>
    <xdr:from>
      <xdr:col>11</xdr:col>
      <xdr:colOff>156882</xdr:colOff>
      <xdr:row>28</xdr:row>
      <xdr:rowOff>38660</xdr:rowOff>
    </xdr:from>
    <xdr:ext cx="1978747" cy="254493"/>
    <xdr:sp macro="" textlink="">
      <xdr:nvSpPr>
        <xdr:cNvPr id="70" name="TextBox 69">
          <a:extLst>
            <a:ext uri="{FF2B5EF4-FFF2-40B4-BE49-F238E27FC236}">
              <a16:creationId xmlns:a16="http://schemas.microsoft.com/office/drawing/2014/main" id="{E7C7D547-8ECA-4F8C-8903-C11288BE087A}"/>
            </a:ext>
          </a:extLst>
        </xdr:cNvPr>
        <xdr:cNvSpPr txBox="1"/>
      </xdr:nvSpPr>
      <xdr:spPr>
        <a:xfrm>
          <a:off x="20616582" y="5763185"/>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oneCellAnchor>
    <xdr:from>
      <xdr:col>12</xdr:col>
      <xdr:colOff>660587</xdr:colOff>
      <xdr:row>28</xdr:row>
      <xdr:rowOff>29135</xdr:rowOff>
    </xdr:from>
    <xdr:ext cx="1978747" cy="254493"/>
    <xdr:sp macro="" textlink="">
      <xdr:nvSpPr>
        <xdr:cNvPr id="71" name="TextBox 70">
          <a:extLst>
            <a:ext uri="{FF2B5EF4-FFF2-40B4-BE49-F238E27FC236}">
              <a16:creationId xmlns:a16="http://schemas.microsoft.com/office/drawing/2014/main" id="{D0CF1DF7-7292-4165-8711-509C773EDAE4}"/>
            </a:ext>
          </a:extLst>
        </xdr:cNvPr>
        <xdr:cNvSpPr txBox="1"/>
      </xdr:nvSpPr>
      <xdr:spPr>
        <a:xfrm>
          <a:off x="23168162" y="5753660"/>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twoCellAnchor>
    <xdr:from>
      <xdr:col>9</xdr:col>
      <xdr:colOff>941854</xdr:colOff>
      <xdr:row>25</xdr:row>
      <xdr:rowOff>155762</xdr:rowOff>
    </xdr:from>
    <xdr:to>
      <xdr:col>10</xdr:col>
      <xdr:colOff>852208</xdr:colOff>
      <xdr:row>28</xdr:row>
      <xdr:rowOff>108696</xdr:rowOff>
    </xdr:to>
    <xdr:sp macro="" textlink="$H$57">
      <xdr:nvSpPr>
        <xdr:cNvPr id="72" name="TextBox 71">
          <a:extLst>
            <a:ext uri="{FF2B5EF4-FFF2-40B4-BE49-F238E27FC236}">
              <a16:creationId xmlns:a16="http://schemas.microsoft.com/office/drawing/2014/main" id="{BE557F85-4062-4FB4-81F7-E131505EA05A}"/>
            </a:ext>
          </a:extLst>
        </xdr:cNvPr>
        <xdr:cNvSpPr txBox="1"/>
      </xdr:nvSpPr>
      <xdr:spPr>
        <a:xfrm>
          <a:off x="17305804" y="5280212"/>
          <a:ext cx="1958229" cy="5530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B945A79A-D657-45FF-8794-B3F7FE79A7B2}" type="TxLink">
            <a:rPr lang="en-US" sz="2800" b="1" i="0" u="none" strike="noStrike">
              <a:solidFill>
                <a:srgbClr val="4F4789"/>
              </a:solidFill>
              <a:latin typeface="Times New Roman"/>
              <a:ea typeface="+mn-ea"/>
              <a:cs typeface="Times New Roman"/>
            </a:rPr>
            <a:pPr marL="0" indent="0"/>
            <a:t>#NAME?</a:t>
          </a:fld>
          <a:endParaRPr lang="en-AU" sz="2800" b="1" i="0" u="none" strike="noStrike">
            <a:solidFill>
              <a:srgbClr val="4F4789"/>
            </a:solidFill>
            <a:latin typeface="Times New Roman"/>
            <a:ea typeface="+mn-ea"/>
            <a:cs typeface="Times New Roman"/>
          </a:endParaRPr>
        </a:p>
      </xdr:txBody>
    </xdr:sp>
    <xdr:clientData/>
  </xdr:twoCellAnchor>
  <xdr:twoCellAnchor>
    <xdr:from>
      <xdr:col>12</xdr:col>
      <xdr:colOff>651061</xdr:colOff>
      <xdr:row>25</xdr:row>
      <xdr:rowOff>174812</xdr:rowOff>
    </xdr:from>
    <xdr:to>
      <xdr:col>13</xdr:col>
      <xdr:colOff>558613</xdr:colOff>
      <xdr:row>28</xdr:row>
      <xdr:rowOff>80121</xdr:rowOff>
    </xdr:to>
    <xdr:sp macro="" textlink="$I$57">
      <xdr:nvSpPr>
        <xdr:cNvPr id="73" name="TextBox 72">
          <a:extLst>
            <a:ext uri="{FF2B5EF4-FFF2-40B4-BE49-F238E27FC236}">
              <a16:creationId xmlns:a16="http://schemas.microsoft.com/office/drawing/2014/main" id="{5340FD41-98CA-4985-962A-5C20A0709F81}"/>
            </a:ext>
          </a:extLst>
        </xdr:cNvPr>
        <xdr:cNvSpPr txBox="1"/>
      </xdr:nvSpPr>
      <xdr:spPr>
        <a:xfrm>
          <a:off x="23158636" y="5299262"/>
          <a:ext cx="1955427" cy="5053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A0887E06-5564-4610-905A-7D5E4A0E50F4}" type="TxLink">
            <a:rPr lang="en-US" sz="2800" b="1" i="0" u="none" strike="noStrike">
              <a:solidFill>
                <a:srgbClr val="4F4789"/>
              </a:solidFill>
              <a:latin typeface="Times New Roman"/>
              <a:ea typeface="+mn-ea"/>
              <a:cs typeface="Times New Roman"/>
            </a:rPr>
            <a:pPr marL="0" indent="0"/>
            <a:t>#NAME?</a:t>
          </a:fld>
          <a:endParaRPr lang="en-AU" sz="2800" b="1" i="0" u="none" strike="noStrike">
            <a:solidFill>
              <a:srgbClr val="4F4789"/>
            </a:solidFill>
            <a:latin typeface="Times New Roman"/>
            <a:ea typeface="+mn-ea"/>
            <a:cs typeface="Times New Roman"/>
          </a:endParaRPr>
        </a:p>
      </xdr:txBody>
    </xdr:sp>
    <xdr:clientData/>
  </xdr:twoCellAnchor>
  <xdr:twoCellAnchor>
    <xdr:from>
      <xdr:col>3</xdr:col>
      <xdr:colOff>1066240</xdr:colOff>
      <xdr:row>5</xdr:row>
      <xdr:rowOff>60512</xdr:rowOff>
    </xdr:from>
    <xdr:to>
      <xdr:col>4</xdr:col>
      <xdr:colOff>1113865</xdr:colOff>
      <xdr:row>7</xdr:row>
      <xdr:rowOff>42583</xdr:rowOff>
    </xdr:to>
    <xdr:sp macro="" textlink="">
      <xdr:nvSpPr>
        <xdr:cNvPr id="74" name="TextBox 73">
          <a:extLst>
            <a:ext uri="{FF2B5EF4-FFF2-40B4-BE49-F238E27FC236}">
              <a16:creationId xmlns:a16="http://schemas.microsoft.com/office/drawing/2014/main" id="{6BD0EE42-F585-4C13-AAF7-12318C248B76}"/>
            </a:ext>
          </a:extLst>
        </xdr:cNvPr>
        <xdr:cNvSpPr txBox="1"/>
      </xdr:nvSpPr>
      <xdr:spPr>
        <a:xfrm>
          <a:off x="3742765" y="1184462"/>
          <a:ext cx="3495675" cy="3821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2000"/>
            <a:t>Grain sold</a:t>
          </a:r>
        </a:p>
      </xdr:txBody>
    </xdr:sp>
    <xdr:clientData/>
  </xdr:twoCellAnchor>
  <xdr:twoCellAnchor editAs="oneCell">
    <xdr:from>
      <xdr:col>3</xdr:col>
      <xdr:colOff>113741</xdr:colOff>
      <xdr:row>4</xdr:row>
      <xdr:rowOff>38099</xdr:rowOff>
    </xdr:from>
    <xdr:to>
      <xdr:col>3</xdr:col>
      <xdr:colOff>954995</xdr:colOff>
      <xdr:row>8</xdr:row>
      <xdr:rowOff>31938</xdr:rowOff>
    </xdr:to>
    <xdr:pic>
      <xdr:nvPicPr>
        <xdr:cNvPr id="75" name="Picture 74">
          <a:extLst>
            <a:ext uri="{FF2B5EF4-FFF2-40B4-BE49-F238E27FC236}">
              <a16:creationId xmlns:a16="http://schemas.microsoft.com/office/drawing/2014/main" id="{41686E1C-36A9-46FC-8A08-B58257859467}"/>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rcRect l="6954" r="6954"/>
        <a:stretch/>
      </xdr:blipFill>
      <xdr:spPr>
        <a:xfrm>
          <a:off x="2790266" y="962024"/>
          <a:ext cx="841254" cy="793939"/>
        </a:xfrm>
        <a:prstGeom prst="ellipse">
          <a:avLst/>
        </a:prstGeom>
        <a:ln w="38100" cap="rnd">
          <a:solidFill>
            <a:srgbClr val="333333"/>
          </a:solidFill>
        </a:ln>
        <a:effectLst>
          <a:outerShdw blurRad="50800" dist="38100" dir="5400000" algn="t" rotWithShape="0">
            <a:prstClr val="black">
              <a:alpha val="40000"/>
            </a:prstClr>
          </a:outerShdw>
        </a:effectLst>
        <a:scene3d>
          <a:camera prst="orthographicFront"/>
          <a:lightRig rig="contrasting" dir="t">
            <a:rot lat="0" lon="0" rev="3000000"/>
          </a:lightRig>
        </a:scene3d>
        <a:sp3d contourW="7620">
          <a:bevelT w="95250" h="31750"/>
          <a:contourClr>
            <a:srgbClr val="333333"/>
          </a:contourClr>
        </a:sp3d>
      </xdr:spPr>
    </xdr:pic>
    <xdr:clientData/>
  </xdr:twoCellAnchor>
  <xdr:twoCellAnchor>
    <xdr:from>
      <xdr:col>8</xdr:col>
      <xdr:colOff>1669677</xdr:colOff>
      <xdr:row>5</xdr:row>
      <xdr:rowOff>41462</xdr:rowOff>
    </xdr:from>
    <xdr:to>
      <xdr:col>10</xdr:col>
      <xdr:colOff>1080808</xdr:colOff>
      <xdr:row>7</xdr:row>
      <xdr:rowOff>23533</xdr:rowOff>
    </xdr:to>
    <xdr:sp macro="" textlink="">
      <xdr:nvSpPr>
        <xdr:cNvPr id="76" name="TextBox 75">
          <a:extLst>
            <a:ext uri="{FF2B5EF4-FFF2-40B4-BE49-F238E27FC236}">
              <a16:creationId xmlns:a16="http://schemas.microsoft.com/office/drawing/2014/main" id="{73E500E2-B4D1-4864-A07B-FBF77636D6FB}"/>
            </a:ext>
          </a:extLst>
        </xdr:cNvPr>
        <xdr:cNvSpPr txBox="1"/>
      </xdr:nvSpPr>
      <xdr:spPr>
        <a:xfrm>
          <a:off x="15985752" y="1165412"/>
          <a:ext cx="3506881" cy="3821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2000"/>
            <a:t>Baled hay/silage sold</a:t>
          </a:r>
        </a:p>
      </xdr:txBody>
    </xdr:sp>
    <xdr:clientData/>
  </xdr:twoCellAnchor>
  <xdr:twoCellAnchor editAs="oneCell">
    <xdr:from>
      <xdr:col>8</xdr:col>
      <xdr:colOff>660061</xdr:colOff>
      <xdr:row>4</xdr:row>
      <xdr:rowOff>0</xdr:rowOff>
    </xdr:from>
    <xdr:to>
      <xdr:col>8</xdr:col>
      <xdr:colOff>1587703</xdr:colOff>
      <xdr:row>8</xdr:row>
      <xdr:rowOff>79562</xdr:rowOff>
    </xdr:to>
    <xdr:pic>
      <xdr:nvPicPr>
        <xdr:cNvPr id="77" name="Picture 76">
          <a:extLst>
            <a:ext uri="{FF2B5EF4-FFF2-40B4-BE49-F238E27FC236}">
              <a16:creationId xmlns:a16="http://schemas.microsoft.com/office/drawing/2014/main" id="{6343A88A-2BC3-499D-9EA4-DBB1221D2785}"/>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rcRect l="4962" r="4962"/>
        <a:stretch/>
      </xdr:blipFill>
      <xdr:spPr>
        <a:xfrm flipH="1">
          <a:off x="14976136" y="923925"/>
          <a:ext cx="927642" cy="879662"/>
        </a:xfrm>
        <a:prstGeom prst="ellipse">
          <a:avLst/>
        </a:prstGeom>
        <a:ln w="38100" cap="rnd">
          <a:solidFill>
            <a:srgbClr val="333333"/>
          </a:solidFill>
        </a:ln>
        <a:effectLst>
          <a:outerShdw blurRad="50800" dist="38100" dir="5400000" algn="t" rotWithShape="0">
            <a:prstClr val="black">
              <a:alpha val="40000"/>
            </a:prstClr>
          </a:outerShdw>
        </a:effectLst>
        <a:scene3d>
          <a:camera prst="orthographicFront"/>
          <a:lightRig rig="contrasting" dir="t">
            <a:rot lat="0" lon="0" rev="3000000"/>
          </a:lightRig>
        </a:scene3d>
        <a:sp3d contourW="7620">
          <a:bevelT w="95250" h="31750"/>
          <a:contourClr>
            <a:srgbClr val="333333"/>
          </a:contourClr>
        </a:sp3d>
      </xdr:spPr>
    </xdr:pic>
    <xdr:clientData/>
  </xdr:twoCellAnchor>
  <xdr:twoCellAnchor>
    <xdr:from>
      <xdr:col>8</xdr:col>
      <xdr:colOff>938212</xdr:colOff>
      <xdr:row>45</xdr:row>
      <xdr:rowOff>200025</xdr:rowOff>
    </xdr:from>
    <xdr:to>
      <xdr:col>9</xdr:col>
      <xdr:colOff>1443037</xdr:colOff>
      <xdr:row>57</xdr:row>
      <xdr:rowOff>85725</xdr:rowOff>
    </xdr:to>
    <xdr:graphicFrame macro="">
      <xdr:nvGraphicFramePr>
        <xdr:cNvPr id="78" name="Chart 77">
          <a:extLst>
            <a:ext uri="{FF2B5EF4-FFF2-40B4-BE49-F238E27FC236}">
              <a16:creationId xmlns:a16="http://schemas.microsoft.com/office/drawing/2014/main" id="{B75969F5-751C-42DC-8FFF-18B00DECC4E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F023F9A9-894D-4DDA-8C25-E7DAC6870038}" name="Table_Input_Enterprise_PlantingRemovals" displayName="Table_Input_Enterprise_PlantingRemovals" ref="D41:G42" totalsRowShown="0">
  <autoFilter ref="D41:G42" xr:uid="{F023F9A9-894D-4DDA-8C25-E7DAC6870038}"/>
  <tableColumns count="4">
    <tableColumn id="1" xr3:uid="{8F8E4361-8257-4137-8EDC-59B7213402A5}" name="Planting name" dataCellStyle="Input text"/>
    <tableColumn id="2" xr3:uid="{DD40DC10-E06A-4FC1-8C41-EA8FB38A2523}" name="Total removed CO2" dataCellStyle="Input number general"/>
    <tableColumn id="3" xr3:uid="{136E6C57-B7EE-4EB6-9579-D117B756EBEA}" name="Percent allocated to this enterprise" dataCellStyle="Input percent"/>
    <tableColumn id="4" xr3:uid="{D192E6A4-99D9-4CC9-AC9D-975914BE3CEB}" name="Removal allocated to this enterprise" dataCellStyle="Content normal">
      <calculatedColumnFormula>Table_Input_Enterprise_PlantingRemovals[[#This Row],[Total removed CO2]]*Table_Input_Enterprise_PlantingRemovals[[#This Row],[Percent allocated to this enterprise]]</calculatedColumnFormula>
    </tableColumn>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9228A77-AAF0-4E4B-B3B6-548B8379325D}" name="Table_Input_DataQuality_Enterprise" displayName="Table_Input_DataQuality_Enterprise" ref="D7:J13" totalsRowShown="0" headerRowCellStyle="Input table column header">
  <autoFilter ref="D7:J13" xr:uid="{A9228A77-AAF0-4E4B-B3B6-548B8379325D}"/>
  <tableColumns count="7">
    <tableColumn id="1" xr3:uid="{D973B6CD-DC02-4FB9-BC72-C7D59E0878F5}" name="Data type" dataCellStyle="Content normal"/>
    <tableColumn id="2" xr3:uid="{8628A244-7FCA-4923-B809-B69CE86B5CDE}" name="When was the data sourced?" dataCellStyle="Input select"/>
    <tableColumn id="3" xr3:uid="{FAD9C63D-6E32-48F0-8A23-222E15F46B11}" name="Where is the data sourced from?" dataCellStyle="Input select"/>
    <tableColumn id="4" xr3:uid="{5EDBE82F-7B3C-458A-8638-8F86879CF287}" name="How much of the data was from direct samples?" dataCellStyle="Input select"/>
    <tableColumn id="5" xr3:uid="{58811FFB-FE3A-4DD8-BE53-E8CB588BCB77}" name="Notes" dataDxfId="52"/>
    <tableColumn id="6" xr3:uid="{1219F6AC-7C79-4EDD-8C55-F7A78277AE3F}" name="Evidence files" dataDxfId="51"/>
    <tableColumn id="7" xr3:uid="{A201D4C4-5F18-4228-8444-52A30734BB16}" name="Score" dataCellStyle="Input number general calculated">
      <calculatedColumnFormula>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calculatedColumnFormula>
    </tableColumn>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14EAFF54-6A37-4172-83F2-4CF40A8CE922}" name="Table_Input_DataQuality_Site" displayName="Table_Input_DataQuality_Site" ref="D18:J24" totalsRowShown="0" headerRowCellStyle="Input table column header">
  <autoFilter ref="D18:J24" xr:uid="{14EAFF54-6A37-4172-83F2-4CF40A8CE922}"/>
  <tableColumns count="7">
    <tableColumn id="1" xr3:uid="{77CE9F47-8CFA-4692-926E-40DA38A1B418}" name="Data type" dataCellStyle="Content normal"/>
    <tableColumn id="2" xr3:uid="{0E7A6865-A484-4EA8-BE54-5D641629A627}" name="When was the data sourced?" dataCellStyle="Input select"/>
    <tableColumn id="3" xr3:uid="{3E8C7762-D226-4D20-9E9C-87D78E3C44EB}" name="Where is the data sourced from?" dataCellStyle="Input select"/>
    <tableColumn id="4" xr3:uid="{4BFD5FBC-8263-4629-836C-DDA0F8DB50DF}" name="How much of the data was from direct samples?" dataCellStyle="Input select"/>
    <tableColumn id="5" xr3:uid="{E8075AB8-A4A6-48D2-A746-36F9CD68017F}" name="Notes" dataDxfId="50"/>
    <tableColumn id="6" xr3:uid="{73F97399-8A3B-4EFB-9481-CBD7CB1C44EB}" name="Evidence files" dataDxfId="49"/>
    <tableColumn id="7" xr3:uid="{5C3D4C29-1D29-4869-8E15-91152F19AFCD}" name="Score" dataCellStyle="Input number general calculated">
      <calculatedColumnFormula>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calculatedColumnFormula>
    </tableColumn>
  </tableColumns>
  <tableStyleInfo name="Editable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E59F3E1E-E80D-4491-B5B5-2B0458B11142}" name="Table_Input_DataQuality_PastureManagement" displayName="Table_Input_DataQuality_PastureManagement" ref="D29:J33" totalsRowShown="0" headerRowCellStyle="Input table column header">
  <autoFilter ref="D29:J33" xr:uid="{E59F3E1E-E80D-4491-B5B5-2B0458B11142}"/>
  <tableColumns count="7">
    <tableColumn id="1" xr3:uid="{07B7AEAC-42D5-4F2A-9254-E28170F20541}" name="Data type" dataCellStyle="Content normal"/>
    <tableColumn id="2" xr3:uid="{F15C1AF3-5D79-4EFF-A7BC-85CD71AF8BCF}" name="When was the data sourced?" dataCellStyle="Input select"/>
    <tableColumn id="3" xr3:uid="{E627CA70-3484-4F31-AEDF-45A8D9B88D5B}" name="Where is the data sourced from?" dataCellStyle="Input select"/>
    <tableColumn id="4" xr3:uid="{17EAABE4-C534-43AF-A841-58EDEBD26AB6}" name="How much of the data was from direct samples?" dataCellStyle="Input select"/>
    <tableColumn id="5" xr3:uid="{179CA6A6-4732-423D-BA28-31ED41FEC488}" name="Notes" dataDxfId="48"/>
    <tableColumn id="6" xr3:uid="{865FA280-4A36-4101-BD09-20356916B4D5}" name="Evidence files" dataDxfId="47"/>
    <tableColumn id="7" xr3:uid="{399918FC-2F3F-431B-90D1-3CF016CF6FB7}" name="Score" dataCellStyle="Input number general calculated">
      <calculatedColumnFormula>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calculatedColumnFormula>
    </tableColumn>
  </tableColumns>
  <tableStyleInfo name="Editable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9C3D1E6C-FF7F-4D22-8D4B-093B5FC76F99}" name="Table_Input_DataQuality_FertiliserApplications" displayName="Table_Input_DataQuality_FertiliserApplications" ref="D38:J42" totalsRowShown="0" headerRowCellStyle="Input table column header">
  <autoFilter ref="D38:J42" xr:uid="{9C3D1E6C-FF7F-4D22-8D4B-093B5FC76F99}"/>
  <tableColumns count="7">
    <tableColumn id="1" xr3:uid="{56FDEC71-E0C9-4D04-A9A0-6CC0FF1B2B4D}" name="Data type" dataCellStyle="Content normal"/>
    <tableColumn id="2" xr3:uid="{D6C96F63-36E8-4824-8C95-BC4F6A076292}" name="When was the data sourced?" dataCellStyle="Input select"/>
    <tableColumn id="3" xr3:uid="{6D6CAE5E-4461-40B3-B8DC-047E72C1E057}" name="Where is the data sourced from?" dataCellStyle="Input select"/>
    <tableColumn id="4" xr3:uid="{1CF6EB6B-3987-44BA-AF58-FE9F4194D42F}" name="How much of the data was from direct samples?" dataCellStyle="Input select"/>
    <tableColumn id="5" xr3:uid="{2217AC95-A768-492F-A36E-74569D5596D4}" name="Notes" dataDxfId="46"/>
    <tableColumn id="6" xr3:uid="{410620E5-5948-4B74-B5C6-B017CD8C09FE}" name="Evidence files" dataDxfId="45"/>
    <tableColumn id="7" xr3:uid="{D000D4F8-1A71-478C-A273-A9B02C735D2D}" name="Score" dataCellStyle="Input number general calculated">
      <calculatedColumnFormula>IFERROR(_xlfn.XLOOKUP(Table_Input_DataQuality_FertiliserApplications[[#This Row],[When was the data sourced?]],Table_SourceData_DataQuality_TemporalRepresentativeness[User friendly description],Table_SourceData_DataQuality_TemporalRepresentativeness[Score])+_xlfn.XLOOKUP(Table_Input_DataQuality_FertiliserApplications[[#This Row],[Where is the data sourced from?]],Table_SourceData_DataQuality_SpatialRepresentativeness[User friendly description],Table_SourceData_DataQuality_SpatialRepresentativeness[Score])+_xlfn.XLOOKUP(Table_Input_DataQuality_FertiliserApplications[[#This Row],[How much of the data was from direct samples?]],Table_SourceData_DataQuality_SampleSize[User friendly description],Table_SourceData_DataQuality_SampleSize[Score]), 0)</calculatedColumnFormula>
    </tableColumn>
  </tableColumns>
  <tableStyleInfo name="Editable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23CC3CF1-FC3F-4295-9CAA-23D9BE9805DD}" name="Table_Input_DataQuality_FuelElectricity" displayName="Table_Input_DataQuality_FuelElectricity" ref="D47:J51" totalsRowShown="0" headerRowCellStyle="Input table column header">
  <autoFilter ref="D47:J51" xr:uid="{23CC3CF1-FC3F-4295-9CAA-23D9BE9805DD}"/>
  <tableColumns count="7">
    <tableColumn id="1" xr3:uid="{FF68AAD8-CA28-48F0-919A-B5EE00EEC959}" name="Data type" dataCellStyle="Content normal"/>
    <tableColumn id="2" xr3:uid="{BC53EBA0-F074-453F-8CEB-CA1F6ECC908D}" name="When was the data sourced?" dataCellStyle="Input select"/>
    <tableColumn id="3" xr3:uid="{443C80E7-5900-4A26-A586-B5571F50B9F7}" name="Where is the data sourced from?" dataCellStyle="Input select"/>
    <tableColumn id="4" xr3:uid="{C01B1081-DB35-4821-8766-E86DBB122E80}" name="How much of the data was from direct samples?" dataCellStyle="Input select"/>
    <tableColumn id="5" xr3:uid="{A1104D67-6CCD-4845-87B4-822F83200DD9}" name="Notes" dataDxfId="44"/>
    <tableColumn id="6" xr3:uid="{690D112F-6792-478E-99EE-B77B520B2164}" name="Evidence files" dataDxfId="43"/>
    <tableColumn id="7" xr3:uid="{6CAA4E36-3A57-4A0B-8F59-4A9A9900E954}" name="Score" dataCellStyle="Input number general calculated">
      <calculatedColumnFormula>IFERROR(_xlfn.XLOOKUP(Table_Input_DataQuality_FuelElectricity[[#This Row],[When was the data sourced?]],Table_SourceData_DataQuality_TemporalRepresentativeness[User friendly description],Table_SourceData_DataQuality_TemporalRepresentativeness[Score])+_xlfn.XLOOKUP(Table_Input_DataQuality_FuelElectricity[[#This Row],[Where is the data sourced from?]],Table_SourceData_DataQuality_SpatialRepresentativeness[User friendly description],Table_SourceData_DataQuality_SpatialRepresentativeness[Score])+_xlfn.XLOOKUP(Table_Input_DataQuality_FuelElectricity[[#This Row],[How much of the data was from direct samples?]],Table_SourceData_DataQuality_SampleSize[User friendly description],Table_SourceData_DataQuality_SampleSize[Score]), 0)</calculatedColumnFormula>
    </tableColumn>
  </tableColumns>
  <tableStyleInfo name="Editable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686FF9E-0D3A-4B3C-AA24-5C854A47B3EC}" name="Table_Input_DataQuality_FarmInputsFreightWaste" displayName="Table_Input_DataQuality_FarmInputsFreightWaste" ref="D57:J61" totalsRowShown="0" headerRowCellStyle="Input table column header">
  <autoFilter ref="D57:J61" xr:uid="{3686FF9E-0D3A-4B3C-AA24-5C854A47B3EC}"/>
  <tableColumns count="7">
    <tableColumn id="1" xr3:uid="{C51E7368-348D-4A43-9E3F-127769A67275}" name="Data type" dataCellStyle="Content normal"/>
    <tableColumn id="2" xr3:uid="{4E3BAE35-86E5-4F71-98DC-491AD05B9B47}" name="When was the data sourced?" dataCellStyle="Input select"/>
    <tableColumn id="3" xr3:uid="{27B2AE81-8632-4140-9460-9C99650189CD}" name="Where is the data sourced from?" dataCellStyle="Input select"/>
    <tableColumn id="4" xr3:uid="{9C973ECC-975D-44BC-8B9B-BFC0C605F944}" name="How much of the data was from direct samples?" dataCellStyle="Input select"/>
    <tableColumn id="5" xr3:uid="{F255A018-D1E3-4FA7-9B50-4726EC2E2E56}" name="Notes" dataDxfId="42"/>
    <tableColumn id="6" xr3:uid="{16D79CDB-80AA-4F28-B5E0-282205F97C41}" name="Evidence files" dataDxfId="41"/>
    <tableColumn id="7" xr3:uid="{73A8FFE4-648C-4FC3-BBE0-724E1B5D1A5A}" name="Score" dataCellStyle="Input number general calculated">
      <calculatedColumnFormula>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calculatedColumnFormula>
    </tableColumn>
  </tableColumns>
  <tableStyleInfo name="Editable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E5DAB1B-E2E2-457B-8EC2-85C9E6034F93}"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141EDE3A-D4F1-463C-A1A1-6E6DC3810C83}" name="State/Territory">
      <calculatedColumnFormula array="1">Common_InputFunctions.Utility_DisplayArrayInTable(Common_SourceData.Common_SourceData_AustralianStatesTerritories_Data(),Table_AustralianStates[[#Headers],[State/Territory]],0)</calculatedColumnFormula>
    </tableColumn>
    <tableColumn id="2" xr3:uid="{28E996F7-E11C-4718-9A56-505885A3261B}" name="Common Name">
      <calculatedColumnFormula array="1">Common_InputFunctions.Utility_DisplayArrayInTable(Common_SourceData.Common_SourceData_AustralianStatesTerritories_Data(),Table_AustralianStates[[#Headers],[State/Territory]],0)</calculatedColumnFormula>
    </tableColumn>
    <tableColumn id="3" xr3:uid="{124BB972-AB3E-4499-BB37-7BE00370D5AB}"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979C2B9C-EA53-43CC-83C9-86D15CCC8F80}" name="Table_WASA4Areas" displayName="Table_WASA4Areas" ref="D20:D30" totalsRowShown="0">
  <autoFilter ref="D20:D30" xr:uid="{5FA81339-C6C8-4D36-BEEA-6C4AEDD9E676}">
    <filterColumn colId="0" hiddenButton="1"/>
  </autoFilter>
  <tableColumns count="1">
    <tableColumn id="1" xr3:uid="{052BF038-B042-499D-B26B-ACB38C3026C2}"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3267EB44-489E-4C0E-B82F-5E051FE9BF4A}" name="Table_GWPData" displayName="Table_GWPData" ref="D36:E43" totalsRowShown="0">
  <autoFilter ref="D36:E43" xr:uid="{B8E87A66-3E41-4AD3-925D-01EE21B43D7A}">
    <filterColumn colId="0" hiddenButton="1"/>
    <filterColumn colId="1" hiddenButton="1"/>
  </autoFilter>
  <tableColumns count="2">
    <tableColumn id="1" xr3:uid="{2EA1B09C-EFB1-43EC-8CCD-0AD2E14B783C}" name="Gas">
      <calculatedColumnFormula array="1">Common_InputFunctions.Utility_DisplayArrayInTable(Common_SourceData.Common_SourceData_GWP_Data(), Table_GWPData[[#Headers],[Gas]], 0)</calculatedColumnFormula>
    </tableColumn>
    <tableColumn id="2" xr3:uid="{D5BC830A-D63B-42AE-AB9F-A4B78D260F6F}"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514797D9-5E87-4C9E-A5E2-FE5FDB03DDA3}"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FA151FC8-3695-4719-A4EF-7D04EC031B31}" name="Gas">
      <calculatedColumnFormula array="1">Common_InputFunctions.Utility_DisplayArrayInTable(Common_SourceData.Common_SourceData_ConvertGasElementalToMolecular_Data(),Table_GasToMolecularConversionFactor[[#Headers],[Gas]], 0)</calculatedColumnFormula>
    </tableColumn>
    <tableColumn id="5" xr3:uid="{C5A54C07-D112-4D55-AF20-931C32D3D04D}" name="Conversion factor">
      <calculatedColumnFormula array="1">Common_InputFunctions.Utility_DisplayArrayInTable(Common_SourceData.Common_SourceData_ConvertGasElementalToMolecular_Data(),Table_GasToMolecularConversionFactor[[#Headers],[Gas]], 0)</calculatedColumnFormula>
    </tableColumn>
    <tableColumn id="2" xr3:uid="{E068EBC3-E598-409A-A232-E6C5BCE51A48}" name="Conversion factor 1">
      <calculatedColumnFormula array="1">Common_InputFunctions.Utility_DisplayArrayInTable(Common_SourceData.Common_SourceData_ConvertGasElementalToMolecular_Data(),Table_GasToMolecularConversionFactor[[#Headers],[Gas]], 0)</calculatedColumnFormula>
    </tableColumn>
    <tableColumn id="3" xr3:uid="{EF9871F0-4365-41D5-B3FE-1693C79370F8}" name="Conversion factor 2">
      <calculatedColumnFormula array="1">Common_InputFunctions.Utility_DisplayArrayInTable(Common_SourceData.Common_SourceData_ConvertGasElementalToMolecular_Data(),Table_GasToMolecularConversionFactor[[#Headers],[Gas]], 0)</calculatedColumnFormula>
    </tableColumn>
    <tableColumn id="4" xr3:uid="{E50E8067-6E8A-45AD-9E1A-D6A8EEC20566}"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2CF9E070-EC5E-422A-AE63-360FA7300FDF}"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C292125F-3A0F-4FB3-9096-9A6C09064CE7}"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FD91884A-B7CC-43A5-89E2-EB9ADAD79B74}" name="MAT" totalsRowDxfId="40" totalsRowCellStyle="Content bold">
      <calculatedColumnFormula array="1">Common_InputFunctions.Utility_DisplayArrayInTable(Common_SourceData.Common_SourceData_ClimateZones_Data(), Table_SourceData_ClimateZones[[#Headers],[Climate zone]], 0)</calculatedColumnFormula>
    </tableColumn>
    <tableColumn id="3" xr3:uid="{B580D36E-E641-4419-A5E9-56AD94FD9711}" name="MAP" totalsRowDxfId="39" totalsRowCellStyle="Content bold">
      <calculatedColumnFormula array="1">Common_InputFunctions.Utility_DisplayArrayInTable(Common_SourceData.Common_SourceData_ClimateZones_Data(), Table_SourceData_ClimateZones[[#Headers],[Climate zone]], 0)</calculatedColumnFormula>
    </tableColumn>
    <tableColumn id="4" xr3:uid="{0CE926DB-8FBB-46DD-B2F5-74DB63757391}" name="Frost days per year" totalsRowDxfId="38" totalsRowCellStyle="Content bold">
      <calculatedColumnFormula array="1">Common_InputFunctions.Utility_DisplayArrayInTable(Common_SourceData.Common_SourceData_ClimateZones_Data(), Table_SourceData_ClimateZones[[#Headers],[Climate zone]], 0)</calculatedColumnFormula>
    </tableColumn>
    <tableColumn id="5" xr3:uid="{47751D32-289E-4A5A-90B8-231DD67C9832}" name="Elevation" totalsRowDxfId="37" totalsRowCellStyle="Content bold">
      <calculatedColumnFormula array="1">Common_InputFunctions.Utility_DisplayArrayInTable(Common_SourceData.Common_SourceData_ClimateZones_Data(), Table_SourceData_ClimateZones[[#Headers],[Climate zone]], 0)</calculatedColumnFormula>
    </tableColumn>
    <tableColumn id="6" xr3:uid="{4F949F03-6B35-4E94-829B-0336C4645775}" name="MAP:PET" totalsRowDxfId="36" totalsRowCellStyle="Content bold">
      <calculatedColumnFormula array="1">Common_InputFunctions.Utility_DisplayArrayInTable(Common_SourceData.Common_SourceData_ClimateZones_Data(), Table_SourceData_ClimateZones[[#Headers],[Climate zone]], 0)</calculatedColumnFormula>
    </tableColumn>
    <tableColumn id="7" xr3:uid="{3FBCB33B-842D-41D5-AD5F-83D615C11114}" name="Min temp"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8" xr3:uid="{C2619C9C-0794-4F06-A862-63A4C3CA66EC}" name="Max temp"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9" xr3:uid="{FAF7977F-60AC-4F2F-AA73-CCFEA07FF532}" name="Min rainfall" totalsRowDxfId="33" totalsRowCellStyle="Content bold">
      <calculatedColumnFormula array="1">Common_InputFunctions.Utility_DisplayArrayInTable(Common_SourceData.Common_SourceData_ClimateZones_Data(), Table_SourceData_ClimateZones[[#Headers],[Climate zone]], 0)</calculatedColumnFormula>
    </tableColumn>
    <tableColumn id="10" xr3:uid="{D90DF110-8E64-41CE-9DF1-5AD24AE94500}" name="Max rainfall" totalsRowDxfId="32" totalsRowCellStyle="Content bold">
      <calculatedColumnFormula array="1">Common_InputFunctions.Utility_DisplayArrayInTable(Common_SourceData.Common_SourceData_ClimateZones_Data(), Table_SourceData_ClimateZones[[#Headers],[Climate zone]], 0)</calculatedColumnFormula>
    </tableColumn>
    <tableColumn id="11" xr3:uid="{1226E44E-433A-4C43-A126-43AC4AD90613}" name="Min frost days" totalsRowDxfId="31" totalsRowCellStyle="Content bold">
      <calculatedColumnFormula array="1">Common_InputFunctions.Utility_DisplayArrayInTable(Common_SourceData.Common_SourceData_ClimateZones_Data(), Table_SourceData_ClimateZones[[#Headers],[Climate zone]], 0)</calculatedColumnFormula>
    </tableColumn>
    <tableColumn id="15" xr3:uid="{39232AE3-3382-4B1D-A883-69EAEC386BCA}" name="Max frost days" totalsRowDxfId="30" totalsRowCellStyle="Content bold">
      <calculatedColumnFormula array="1">Common_InputFunctions.Utility_DisplayArrayInTable(Common_SourceData.Common_SourceData_ClimateZones_Data(), Table_SourceData_ClimateZones[[#Headers],[Climate zone]], 0)</calculatedColumnFormula>
    </tableColumn>
    <tableColumn id="12" xr3:uid="{59F4DDE6-C7E7-4BB5-BB18-F669A3EE8FF3}" name="Min elevation" totalsRowDxfId="29" totalsRowCellStyle="Content bold">
      <calculatedColumnFormula array="1">Common_InputFunctions.Utility_DisplayArrayInTable(Common_SourceData.Common_SourceData_ClimateZones_Data(), Table_SourceData_ClimateZones[[#Headers],[Climate zone]], 0)</calculatedColumnFormula>
    </tableColumn>
    <tableColumn id="16" xr3:uid="{72A56AAE-52D9-45B2-A13B-93D81D4FB64C}" name="Max elevation" totalsRowDxfId="28" totalsRowCellStyle="Content bold">
      <calculatedColumnFormula array="1">Common_InputFunctions.Utility_DisplayArrayInTable(Common_SourceData.Common_SourceData_ClimateZones_Data(), Table_SourceData_ClimateZones[[#Headers],[Climate zone]], 0)</calculatedColumnFormula>
    </tableColumn>
    <tableColumn id="13" xr3:uid="{EE7B4570-E79C-43AD-A951-1CDFABFAAADA}" name="Min MAP:PET" totalsRowDxfId="27" totalsRowCellStyle="Content bold">
      <calculatedColumnFormula array="1">Common_InputFunctions.Utility_DisplayArrayInTable(Common_SourceData.Common_SourceData_ClimateZones_Data(), Table_SourceData_ClimateZones[[#Headers],[Climate zone]], 0)</calculatedColumnFormula>
    </tableColumn>
    <tableColumn id="17" xr3:uid="{A609D4ED-0384-43E1-9D16-AE8544F53232}" name="Max MAP:PET" totalsRowDxfId="26"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8B6ABB3D-00EB-4F67-B55C-B508EAA963D1}"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4CF489C9-0C88-4CCB-A29C-4C5E0A706490}"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15DEBDB4-D8D7-40B9-83B3-DA303173B97A}" name="Wet or Dry Zone" totalsRowDxfId="25"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43EE2944-F83E-4446-B64E-48FA3FE70F7E}"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DD46E4B8-878F-4360-99A1-6CE0E4A5E003}" name="Temperature Zone">
      <calculatedColumnFormula array="1">Common_InputFunctions.Utility_DisplayArrayInTable(Common_SourceData.Common_SourceData_TemperatureZones_Data(),Table_SourceData_TemperatureZones[[#Headers],[Temperature Zone]],0)</calculatedColumnFormula>
    </tableColumn>
    <tableColumn id="2" xr3:uid="{932495B2-C13E-4102-A127-9F5124B82CF5}" name="MAT">
      <calculatedColumnFormula array="1">Common_InputFunctions.Utility_DisplayArrayInTable(Common_SourceData.Common_SourceData_TemperatureZones_Data(),Table_SourceData_TemperatureZones[[#Headers],[Temperature Zone]],0)</calculatedColumnFormula>
    </tableColumn>
    <tableColumn id="3" xr3:uid="{F82B298A-282C-4596-A446-8DF92BDC6128}" name="Min MAT">
      <calculatedColumnFormula array="1">Common_InputFunctions.Utility_DisplayArrayInTable(Common_SourceData.Common_SourceData_TemperatureZones_Data(),Table_SourceData_TemperatureZones[[#Headers],[Temperature Zone]],0)</calculatedColumnFormula>
    </tableColumn>
    <tableColumn id="4" xr3:uid="{B4E9480A-A0F0-4B00-ADC0-4B48A0BE56BE}"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2380F265-B880-4441-BD8C-DA4A3D7D0969}"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9D3146BF-5F3C-4544-85A3-255604FC5EA1}" name="Rainfall Zone">
      <calculatedColumnFormula array="1">Common_InputFunctions.Utility_DisplayArrayInTable(Common_SourceData.Common_SourceData_RainfallZones_Data(),Table_SourceData_RainfallZones[[#Headers],[Rainfall Zone]],0)</calculatedColumnFormula>
    </tableColumn>
    <tableColumn id="2" xr3:uid="{FF1BCB7D-96C0-4CBD-B2D8-67F056D138E8}" name="Annual rainfall">
      <calculatedColumnFormula array="1">Common_InputFunctions.Utility_DisplayArrayInTable(Common_SourceData.Common_SourceData_RainfallZones_Data(),Table_SourceData_RainfallZones[[#Headers],[Rainfall Zone]],0)</calculatedColumnFormula>
    </tableColumn>
    <tableColumn id="3" xr3:uid="{366380E1-365A-4FFC-8CDF-20279E5243C1}" name="Min rainfall">
      <calculatedColumnFormula array="1">Common_InputFunctions.Utility_DisplayArrayInTable(Common_SourceData.Common_SourceData_RainfallZones_Data(),Table_SourceData_RainfallZones[[#Headers],[Rainfall Zone]],0)</calculatedColumnFormula>
    </tableColumn>
    <tableColumn id="4" xr3:uid="{9FF04DBF-5494-4944-A10B-F1873331455E}"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31591D-D840-4C63-B843-7E7AB936311C}"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A5582C67-7F1A-4CB9-81A7-806C7922D294}" name="Leaching Zone">
      <calculatedColumnFormula array="1">Common_InputFunctions.Utility_DisplayArrayInTable(Common_SourceData.Common_SourceData_LeachingZones_Data(), Table_SourceData_LeachingZones[[#Headers],[Leaching Zone]], 0)</calculatedColumnFormula>
    </tableColumn>
    <tableColumn id="2" xr3:uid="{FF42B095-B4EA-47C0-A4CE-2C18113997C1}"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9071B43-84C5-4A9B-AC56-87E088211B7C}"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19B94965-E9CF-461F-974A-9D878EA9BE16}" name="Data source">
      <calculatedColumnFormula array="1">Common_InputFunctions.Utility_DisplayArrayInTable(Common_SourceData.Common_SourceData_DataScores_Scope3_Data(), Table_SourceData_DataScores_Scope3[[#Headers],[Data source]], 0)</calculatedColumnFormula>
    </tableColumn>
    <tableColumn id="2" xr3:uid="{A47D2B04-79A0-439E-8055-16F2C7A1BBFD}"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6518494-8C9E-4786-94D1-C5716A0FA1E2}" name="Table_SourceData_FracWET" displayName="Table_SourceData_FracWET" ref="D134:E136" totalsRowShown="0">
  <autoFilter ref="D134:E136" xr:uid="{308E99BE-FE1F-47A4-B2CA-97217277C4E9}">
    <filterColumn colId="0" hiddenButton="1"/>
    <filterColumn colId="1" hiddenButton="1"/>
  </autoFilter>
  <tableColumns count="2">
    <tableColumn id="1" xr3:uid="{22C2C6AE-DA6F-4ADB-859F-88523E4E47DC}" name="Is in leaching zone">
      <calculatedColumnFormula array="1">Common_InputFunctions.Utility_DisplayArrayInTable(Common_SourceData.Common_SourceData_FracWET_Data(),Table_SourceData_FracWET[[#Headers],[Is in leaching zone]],0)</calculatedColumnFormula>
    </tableColumn>
    <tableColumn id="2" xr3:uid="{961AE704-9742-40C1-9D0C-522CDADB57B4}" name="FracWET" dataDxfId="24">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5930FF5B-D32A-4E20-8001-BEC538B5ADB5}"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F5579B01-6791-4441-A783-A578EA998185}" name="Production system j">
      <calculatedColumnFormula array="1">Common_InputFunctions.Utility_DisplayArrayInTable(Common_SourceData.Common_SourceData_EFN2O_Data(), Table_SourceData_Common_EFN2O[[#Headers],[Production system j]], 0)</calculatedColumnFormula>
    </tableColumn>
    <tableColumn id="2" xr3:uid="{951BC42C-328B-45C5-8A5E-DEC49F0A7633}" name="EFN2O">
      <calculatedColumnFormula array="1">Common_InputFunctions.Utility_DisplayArrayInTable(Common_SourceData.Common_SourceData_EFN2O_Data(), Table_SourceData_Common_EFN2O[[#Headers],[Production system j]], 0)</calculatedColumnFormula>
    </tableColumn>
    <tableColumn id="3" xr3:uid="{8C5AD5F0-605F-405F-BC1E-6F6960ECDAF1}" name="Production system only">
      <calculatedColumnFormula array="1">Common_InputFunctions.Utility_DisplayArrayInTable(Common_SourceData.Common_SourceData_EFN2O_Data(), Table_SourceData_Common_EFN2O[[#Headers],[Production system j]], 0)</calculatedColumnFormula>
    </tableColumn>
    <tableColumn id="4" xr3:uid="{3C9492A3-4106-4C7B-9209-216C3BE40055}" name="Irrigation method">
      <calculatedColumnFormula array="1">Common_InputFunctions.Utility_DisplayArrayInTable(Common_SourceData.Common_SourceData_EFN2O_Data(), Table_SourceData_Common_EFN2O[[#Headers],[Production system j]], 0)</calculatedColumnFormula>
    </tableColumn>
    <tableColumn id="5" xr3:uid="{70FBD27E-C4BC-4A2A-9757-D59BA4C8C67D}"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72BFD65A-21D6-4297-B99D-D0D42176D761}"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89B8C9C0-487C-456F-A38C-2227312F423D}" name="Irrigation type i">
      <calculatedColumnFormula array="1">Common_InputFunctions.Utility_DisplayArrayInTable(Common_SourceData.Common_SourceData_FracWETIrrigation_Data(), Table_SourceData_FracWETIrrigation[[#Headers],[Irrigation type i]], 0)</calculatedColumnFormula>
    </tableColumn>
    <tableColumn id="2" xr3:uid="{76FEBB52-4BA8-4878-ABD5-A1D385C9CBB2}" name="FracWET" dataDxfId="23"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4F89208A-A2F1-4521-BFB3-FD49A86DCF37}"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B3194017-8420-4A75-BF58-D94E8E366FA5}"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DB7689A4-5F79-4DC6-AEDA-BD27AA7735DE}" name="EFPRP" dataDxfId="22"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EC6B72B8-D330-4DFF-B354-ADB4E9F1BE85}"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CFA27088-5584-4432-9EBF-9CC908BB3F73}" name="Month">
      <calculatedColumnFormula array="1">Common_InputFunctions.Utility_DisplayArrayInTable(Common_SourceData.Common_SourceData_MonthsToSeasons_Data(), Table_SourceData_Common_MonthToSeason[[#Headers],[Month]], 0)</calculatedColumnFormula>
    </tableColumn>
    <tableColumn id="2" xr3:uid="{562A242E-2C18-4700-B87C-BF0E6D72E55D}" name="Season" dataDxfId="21"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B15BB5D5-D7B7-49C7-8998-F0613D37DA06}"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B9C03558-7821-48FC-BA43-9E83FD9DD214}"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AE651B1E-905B-4999-A25B-F342CDE64E0F}" name="MAT (ºC)" dataDxfId="2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DB270A2A-6E0B-40B1-8BF5-FD175022D5E5}" name="Anaerobic lagoon" dataDxfId="1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21E38317-525E-4A5B-86A6-35AD41B903A1}" name="Digester / covered lagoons" dataDxfId="1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017EAE1F-F1D4-4ECA-B2BF-27F27C0B710C}" name="Liquid systems" dataDxfId="1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8D7C0588-F29D-41D2-A4F1-2B6AE80CCB2F}" name="Daily spread" dataDxfId="1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2D7D514E-D604-458B-8BB0-C81C5E0B188D}" name="Composting (passive windrow)"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F7536CDB-8030-4364-AAA8-EF005F5E86F7}" name="Solid storage"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9C345CB6-1C20-4DB9-BB29-CB0010CAD450}" name="Pit storage"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124CEA8D-4055-4FCC-9831-B9F593B59067}" name="Deep litter" dataDxfId="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BE546694-46BB-4C32-9C9E-789A7FB89886}" name="Poultry manure with bedding" dataDxfId="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12DFD68D-580C-4C50-B683-5DD09E98F6BA}" name="Poultry manure without bedding" dataDxfId="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E5502853-37BF-4EF6-8B81-BFA61AB1A883}" name="Direct processing" dataDxfId="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E4B91790-27EC-4CF9-8F1E-156D88349580}" name="Direct application" dataDxfId="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7B2BAB32-A63B-41E1-BE03-B2A6435DA45E}" name="Pasture range and paddock" dataDxfId="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B52E7C0B-2A2F-4D94-B3EE-F55684FCD251}" name="MAT raw" dataDxfId="6"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47ABB6EE-804C-4EDC-AFDE-C9586C36A971}"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672554FB-5647-43EE-81BE-BD170F3983CE}"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9E3B7306-38E5-41D5-9D76-8FDBDD9AE302}" name="EFNi &amp; EFN2Oi" dataDxfId="5"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BFCF4F82-9E1B-4FB1-927B-5EDFE80502DA}" name="Table_SourceData_DataQuality_TemporalRepresentativeness" displayName="Table_SourceData_DataQuality_TemporalRepresentativeness" ref="D265:G270" totalsRowShown="0">
  <autoFilter ref="D265:G270" xr:uid="{9AD44602-D2F2-4D97-923C-A32E98F8C17A}">
    <filterColumn colId="0" hiddenButton="1"/>
    <filterColumn colId="1" hiddenButton="1"/>
    <filterColumn colId="2" hiddenButton="1"/>
    <filterColumn colId="3" hiddenButton="1"/>
  </autoFilter>
  <tableColumns count="4">
    <tableColumn id="4" xr3:uid="{67CB5F21-5858-42C0-820C-FA4341C92233}" name="User friendly description" dataDxfId="4" dataCellStyle="Content normal"/>
    <tableColumn id="2" xr3:uid="{A467D3D2-FAE8-4B4F-AD2F-273B449008EF}" name="Description" dataDxfId="3" dataCellStyle="Content normal"/>
    <tableColumn id="1" xr3:uid="{0177D8A5-3CAD-4019-91CC-E9E92C7CD148}" name="ID"/>
    <tableColumn id="3" xr3:uid="{D129B7D0-4F30-40BA-A6A7-54FEE1CB39A7}" name="Score"/>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486AF9B4-7499-497E-86B5-6690E450DDAE}" name="Table_SourceData_DataQuality_SpatialRepresentativeness" displayName="Table_SourceData_DataQuality_SpatialRepresentativeness" ref="D274:G279" totalsRowShown="0">
  <autoFilter ref="D274:G279" xr:uid="{95094D65-3E0E-45CE-A3F4-F41E74C11901}">
    <filterColumn colId="0" hiddenButton="1"/>
    <filterColumn colId="1" hiddenButton="1"/>
    <filterColumn colId="2" hiddenButton="1"/>
    <filterColumn colId="3" hiddenButton="1"/>
  </autoFilter>
  <tableColumns count="4">
    <tableColumn id="4" xr3:uid="{E3087997-1A71-41E6-95DA-00D25217CB77}" name="User friendly description" dataDxfId="2" dataCellStyle="Content normal"/>
    <tableColumn id="1" xr3:uid="{76CE025C-B272-4023-B793-440DED678242}" name="Description"/>
    <tableColumn id="2" xr3:uid="{7F57D207-1D4F-4A28-8836-C5DC431E1625}" name="ID"/>
    <tableColumn id="3" xr3:uid="{559F6435-AB23-47A3-B30E-D5E467BA68A8}" name="Score"/>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93E91645-F61A-4118-8970-B7814D138119}" name="Table_SourceData_DataQuality_SampleSize" displayName="Table_SourceData_DataQuality_SampleSize" ref="D283:G288" totalsRowShown="0">
  <autoFilter ref="D283:G288" xr:uid="{DE8F748C-E65A-4AA2-81BB-D28A432CF334}">
    <filterColumn colId="0" hiddenButton="1"/>
    <filterColumn colId="1" hiddenButton="1"/>
    <filterColumn colId="2" hiddenButton="1"/>
    <filterColumn colId="3" hiddenButton="1"/>
  </autoFilter>
  <tableColumns count="4">
    <tableColumn id="4" xr3:uid="{DF638216-436F-4C10-B75A-DAAFFCC99904}" name="User friendly description" dataDxfId="1" dataCellStyle="Content normal"/>
    <tableColumn id="1" xr3:uid="{349901AD-9801-4819-B144-89B773FED959}" name="Description"/>
    <tableColumn id="2" xr3:uid="{BBC89306-46D2-4929-8947-68EE38366C09}" name="ID"/>
    <tableColumn id="3" xr3:uid="{865818AA-73D1-46C8-89D3-B389E9CADD7C}" name="Score"/>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9D68B119-42F4-4131-8EB1-5EF9ED33597F}" name="Table_SourceData_DataQuality_Scope3" displayName="Table_SourceData_DataQuality_Scope3" ref="D292:G297" totalsRowShown="0">
  <autoFilter ref="D292:G297" xr:uid="{43A1C4DA-75D1-45DF-BA9A-1798C2CC5A4B}">
    <filterColumn colId="0" hiddenButton="1"/>
    <filterColumn colId="1" hiddenButton="1"/>
    <filterColumn colId="2" hiddenButton="1"/>
    <filterColumn colId="3" hiddenButton="1"/>
  </autoFilter>
  <tableColumns count="4">
    <tableColumn id="4" xr3:uid="{BA23F989-3F7E-4E10-B48D-200333055957}" name="User friendly description" dataDxfId="0" dataCellStyle="Content normal"/>
    <tableColumn id="1" xr3:uid="{55A1F1EC-210E-48D2-BED8-03D5FB58A9A5}" name="Description"/>
    <tableColumn id="2" xr3:uid="{4F17639D-3869-4472-8F9F-1819280657B0}" name="ID"/>
    <tableColumn id="3" xr3:uid="{77FE4131-90F7-4C8B-929C-08DA8DF35F1C}" name="Score"/>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6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1.xml"/></Relationships>
</file>

<file path=xl/worksheets/_rels/sheet7.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table" Target="../tables/table2.xml"/><Relationship Id="rId6" Type="http://schemas.openxmlformats.org/officeDocument/2006/relationships/table" Target="../tables/table7.xml"/><Relationship Id="rId5" Type="http://schemas.openxmlformats.org/officeDocument/2006/relationships/table" Target="../tables/table6.xml"/><Relationship Id="rId4" Type="http://schemas.openxmlformats.org/officeDocument/2006/relationships/table" Target="../tables/table5.xml"/></Relationships>
</file>

<file path=xl/worksheets/_rels/sheet8.xml.rels><?xml version="1.0" encoding="UTF-8" standalone="yes"?>
<Relationships xmlns="http://schemas.openxmlformats.org/package/2006/relationships"><Relationship Id="rId8" Type="http://schemas.openxmlformats.org/officeDocument/2006/relationships/table" Target="../tables/table14.xml"/><Relationship Id="rId13" Type="http://schemas.openxmlformats.org/officeDocument/2006/relationships/table" Target="../tables/table19.xml"/><Relationship Id="rId18" Type="http://schemas.openxmlformats.org/officeDocument/2006/relationships/table" Target="../tables/table24.xml"/><Relationship Id="rId3" Type="http://schemas.openxmlformats.org/officeDocument/2006/relationships/table" Target="../tables/table9.xml"/><Relationship Id="rId21" Type="http://schemas.openxmlformats.org/officeDocument/2006/relationships/table" Target="../tables/table27.xml"/><Relationship Id="rId7" Type="http://schemas.openxmlformats.org/officeDocument/2006/relationships/table" Target="../tables/table13.xml"/><Relationship Id="rId12" Type="http://schemas.openxmlformats.org/officeDocument/2006/relationships/table" Target="../tables/table18.xml"/><Relationship Id="rId17" Type="http://schemas.openxmlformats.org/officeDocument/2006/relationships/table" Target="../tables/table23.xml"/><Relationship Id="rId2" Type="http://schemas.openxmlformats.org/officeDocument/2006/relationships/table" Target="../tables/table8.xml"/><Relationship Id="rId16" Type="http://schemas.openxmlformats.org/officeDocument/2006/relationships/table" Target="../tables/table22.xml"/><Relationship Id="rId20" Type="http://schemas.openxmlformats.org/officeDocument/2006/relationships/table" Target="../tables/table26.xml"/><Relationship Id="rId1" Type="http://schemas.openxmlformats.org/officeDocument/2006/relationships/printerSettings" Target="../printerSettings/printerSettings2.bin"/><Relationship Id="rId6" Type="http://schemas.openxmlformats.org/officeDocument/2006/relationships/table" Target="../tables/table12.xml"/><Relationship Id="rId11" Type="http://schemas.openxmlformats.org/officeDocument/2006/relationships/table" Target="../tables/table17.xml"/><Relationship Id="rId5" Type="http://schemas.openxmlformats.org/officeDocument/2006/relationships/table" Target="../tables/table11.xml"/><Relationship Id="rId15" Type="http://schemas.openxmlformats.org/officeDocument/2006/relationships/table" Target="../tables/table21.xml"/><Relationship Id="rId10" Type="http://schemas.openxmlformats.org/officeDocument/2006/relationships/table" Target="../tables/table16.xml"/><Relationship Id="rId19" Type="http://schemas.openxmlformats.org/officeDocument/2006/relationships/table" Target="../tables/table25.xml"/><Relationship Id="rId4" Type="http://schemas.openxmlformats.org/officeDocument/2006/relationships/table" Target="../tables/table10.xml"/><Relationship Id="rId9" Type="http://schemas.openxmlformats.org/officeDocument/2006/relationships/table" Target="../tables/table15.xml"/><Relationship Id="rId14" Type="http://schemas.openxmlformats.org/officeDocument/2006/relationships/table" Target="../tables/table20.xml"/><Relationship Id="rId22" Type="http://schemas.openxmlformats.org/officeDocument/2006/relationships/table" Target="../tables/table2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sheetPr>
    <tabColor rgb="FF0C769E"/>
  </sheetPr>
  <dimension ref="A1:A8"/>
  <sheetViews>
    <sheetView zoomScaleNormal="100" workbookViewId="0"/>
  </sheetViews>
  <sheetFormatPr defaultRowHeight="15" x14ac:dyDescent="0.25"/>
  <sheetData>
    <row r="1" spans="1:1" x14ac:dyDescent="0.25">
      <c r="A1" t="s">
        <v>0</v>
      </c>
    </row>
    <row r="3" spans="1:1" x14ac:dyDescent="0.25">
      <c r="A3" s="82" t="str">
        <f>HYPERLINK("#'Home'!A1", "Home")</f>
        <v>Home</v>
      </c>
    </row>
    <row r="6" spans="1:1" x14ac:dyDescent="0.25">
      <c r="A6" s="83" t="s">
        <v>2</v>
      </c>
    </row>
    <row r="7" spans="1:1" ht="15.75" x14ac:dyDescent="0.25">
      <c r="A7" s="5" t="str">
        <f>HYPERLINK("#'Constants - Common'!A1", "Constants - Common")</f>
        <v>Constants - Common</v>
      </c>
    </row>
    <row r="8" spans="1:1" ht="15.75" x14ac:dyDescent="0.25">
      <c r="A8" s="5" t="str">
        <f>HYPERLINK("#'Acknowledgements'!A1", "Acknowledgements")</f>
        <v>Acknowledgements</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tabColor rgb="FF0C769E"/>
    <pageSetUpPr autoPageBreaks="0"/>
  </sheetPr>
  <dimension ref="A1:K87"/>
  <sheetViews>
    <sheetView showGridLines="0" topLeftCell="G27" zoomScaleNormal="100" workbookViewId="0">
      <selection activeCell="I40" sqref="I40"/>
    </sheetView>
  </sheetViews>
  <sheetFormatPr defaultRowHeight="15.75" x14ac:dyDescent="0.25"/>
  <cols>
    <col min="1" max="1" width="30.7109375" customWidth="1"/>
    <col min="2" max="2" width="2.7109375" customWidth="1"/>
    <col min="3" max="3" width="2.7109375" style="1" customWidth="1"/>
    <col min="4" max="4" width="78.42578125" style="1" customWidth="1"/>
    <col min="5" max="10" width="30.7109375" style="1" customWidth="1"/>
    <col min="11" max="11" width="4.7109375" style="1" customWidth="1"/>
    <col min="12" max="12" width="4.7109375" customWidth="1"/>
    <col min="13" max="26" width="28.7109375" customWidth="1"/>
  </cols>
  <sheetData>
    <row r="1" spans="1:11" ht="30" customHeight="1" x14ac:dyDescent="0.35">
      <c r="A1" s="11" t="e" vm="1">
        <v>#VALUE!</v>
      </c>
      <c r="C1" s="93" t="s">
        <v>296</v>
      </c>
      <c r="D1" s="93"/>
      <c r="E1" s="93"/>
      <c r="F1" s="93"/>
      <c r="G1" s="93"/>
      <c r="H1" s="93"/>
      <c r="I1" s="93"/>
      <c r="J1" s="93"/>
      <c r="K1" s="93"/>
    </row>
    <row r="2" spans="1:11" ht="20.100000000000001" customHeight="1" x14ac:dyDescent="0.25">
      <c r="A2" s="3"/>
      <c r="C2" s="3"/>
      <c r="D2" s="3"/>
      <c r="E2" s="3"/>
      <c r="F2" s="3"/>
      <c r="G2" s="3"/>
      <c r="H2" s="3"/>
      <c r="I2" s="3"/>
      <c r="J2" s="3"/>
      <c r="K2" s="3"/>
    </row>
    <row r="3" spans="1:11" ht="20.100000000000001" customHeight="1" x14ac:dyDescent="0.25">
      <c r="A3" s="5" t="str">
        <f>HYPERLINK("#'Home'!A1", "Home")</f>
        <v>Home</v>
      </c>
      <c r="C3" s="94"/>
      <c r="D3" s="94"/>
      <c r="E3" s="94"/>
      <c r="F3" s="94"/>
      <c r="G3" s="94"/>
      <c r="H3" s="94"/>
      <c r="I3" s="94"/>
      <c r="J3" s="94"/>
      <c r="K3" s="94"/>
    </row>
    <row r="4" spans="1:11" ht="20.100000000000001" customHeight="1" x14ac:dyDescent="0.25">
      <c r="A4" s="5" t="str">
        <f>HYPERLINK("#'Results'!A1", "Results")</f>
        <v>Results</v>
      </c>
      <c r="D4" s="2" t="str">
        <f>"Emissions breakdown for activities running between " &amp; TEXT(X_Cell_Site_StartDate, "dd mmmm yyyy") &amp; " and " &amp; TEXT('Input - Enterprise'!E13, "dd mmmm yyyy")</f>
        <v>Emissions breakdown for activities running between 01 January 2025 and 31 December 2025</v>
      </c>
    </row>
    <row r="5" spans="1:11" ht="20.100000000000001" customHeight="1" x14ac:dyDescent="0.25">
      <c r="A5" s="4"/>
    </row>
    <row r="6" spans="1:11" ht="20.100000000000001" customHeight="1" x14ac:dyDescent="0.25">
      <c r="A6" s="8" t="s">
        <v>1</v>
      </c>
      <c r="D6" s="80" t="s">
        <v>272</v>
      </c>
    </row>
    <row r="7" spans="1:11" ht="20.100000000000001" customHeight="1" x14ac:dyDescent="0.25">
      <c r="A7" s="5" t="str">
        <f>HYPERLINK("#'Input - Site'!A1", "Site")</f>
        <v>Site</v>
      </c>
    </row>
    <row r="8" spans="1:11" ht="20.100000000000001" customHeight="1" x14ac:dyDescent="0.25">
      <c r="A8" s="5" t="str">
        <f>HYPERLINK("#'Input - Pasture Beef'!A1", "Pasture Beef")</f>
        <v>Pasture Beef</v>
      </c>
      <c r="D8" s="12" t="s">
        <v>4</v>
      </c>
      <c r="E8" s="12" t="s">
        <v>9</v>
      </c>
      <c r="F8" s="12" t="s">
        <v>10</v>
      </c>
      <c r="G8" s="12" t="s">
        <v>6</v>
      </c>
      <c r="H8" s="12" t="s">
        <v>11</v>
      </c>
      <c r="I8" s="12" t="s">
        <v>12</v>
      </c>
      <c r="J8" s="12"/>
    </row>
    <row r="9" spans="1:11" ht="20.100000000000001" customHeight="1" x14ac:dyDescent="0.25">
      <c r="A9" s="5"/>
      <c r="D9" s="1" t="s">
        <v>134</v>
      </c>
      <c r="E9" s="1" t="e" cm="1">
        <f t="array" ref="E9">VEERG_5_1_1_1__1_InorganicFertiliserApplicationN2OEmissions_Result_Method1</f>
        <v>#NAME?</v>
      </c>
      <c r="F9" s="1" t="e" cm="1">
        <f t="array" ref="F9">VEERG_5_1_1_1__1_InorganicFertiliserApplicationN2OEmissions_Result_Method2</f>
        <v>#NAME?</v>
      </c>
      <c r="G9" s="10" t="s">
        <v>13</v>
      </c>
      <c r="H9" s="1" t="e" cm="1">
        <f t="array" ref="H9">Common_Equations.Common_ConvertN2OToCO2e(E9,_xlfn.XLOOKUP("N2O", Table_GWPData[Gas],Table_GWPData[CO2-e factor]))</f>
        <v>#NAME?</v>
      </c>
      <c r="I9" s="1" t="e" cm="1">
        <f t="array" ref="I9">Common_Equations.Common_ConvertN2OToCO2e(F9,_xlfn.XLOOKUP("N2O", Table_GWPData[Gas],Table_GWPData[CO2-e factor]))</f>
        <v>#NAME?</v>
      </c>
      <c r="J9" s="10" t="s">
        <v>8</v>
      </c>
    </row>
    <row r="10" spans="1:11" ht="20.100000000000001" customHeight="1" x14ac:dyDescent="0.25">
      <c r="A10" s="7" t="s">
        <v>3</v>
      </c>
      <c r="D10" s="1" t="s">
        <v>135</v>
      </c>
      <c r="E10" s="1" t="e" cm="1">
        <f t="array" ref="E10">VEERG_5_1_1_3__1_InorganicFertiliserApplicationCO2Emissions_Result_Method1</f>
        <v>#NAME?</v>
      </c>
      <c r="F10" s="1" t="e">
        <f>E10</f>
        <v>#NAME?</v>
      </c>
      <c r="G10" s="10" t="s">
        <v>128</v>
      </c>
      <c r="H10" s="1" t="e">
        <f>E10</f>
        <v>#NAME?</v>
      </c>
      <c r="I10" s="1" t="e">
        <f>F10</f>
        <v>#NAME?</v>
      </c>
      <c r="J10" s="10" t="s">
        <v>8</v>
      </c>
    </row>
    <row r="11" spans="1:11" ht="20.100000000000001" customHeight="1" x14ac:dyDescent="0.25">
      <c r="A11" s="5" t="str">
        <f>HYPERLINK("#'4.2.1.1-2 Methane'!A1", "4.2.1.1-2 Methane")</f>
        <v>4.2.1.1-2 Methane</v>
      </c>
      <c r="D11" s="1" t="s">
        <v>136</v>
      </c>
      <c r="E11" s="1" t="e" cm="1">
        <f t="array" ref="E11">VEERG_5_2_1_1__2_MassOfNitrogenInOrganicFertiliser_Result_Method1</f>
        <v>#NAME?</v>
      </c>
      <c r="F11" s="1" t="e">
        <f>E11</f>
        <v>#NAME?</v>
      </c>
      <c r="G11" s="10" t="s">
        <v>13</v>
      </c>
      <c r="H11" s="1" t="e" cm="1">
        <f t="array" ref="H11">Common_Equations.Common_ConvertN2OToCO2e(E11,_xlfn.XLOOKUP("N2O", Table_GWPData[Gas],Table_GWPData[CO2-e factor]))</f>
        <v>#NAME?</v>
      </c>
      <c r="I11" s="1" t="e" cm="1">
        <f t="array" ref="I11">Common_Equations.Common_ConvertN2OToCO2e(F11,_xlfn.XLOOKUP("N2O", Table_GWPData[Gas],Table_GWPData[CO2-e factor]))</f>
        <v>#NAME?</v>
      </c>
      <c r="J11" s="10" t="s">
        <v>8</v>
      </c>
    </row>
    <row r="12" spans="1:11" ht="20.100000000000001" customHeight="1" x14ac:dyDescent="0.25">
      <c r="A12" s="5" t="str">
        <f>HYPERLINK("#'4.2.1.3-4 Soil direct N2O'!A1", "4.2.1.3-4 Soil direct N2O")</f>
        <v>4.2.1.3-4 Soil direct N2O</v>
      </c>
      <c r="D12" s="1" t="s">
        <v>137</v>
      </c>
      <c r="E12" s="1" t="e" cm="1">
        <f t="array" ref="E12">VEERG_5_3_1_1__1_LimeApplicationCO2Emissions_Result_Method1</f>
        <v>#NAME?</v>
      </c>
      <c r="F12" s="1" t="e">
        <f>E12</f>
        <v>#NAME?</v>
      </c>
      <c r="G12" s="10" t="s">
        <v>128</v>
      </c>
      <c r="H12" s="1" t="e">
        <f>E12</f>
        <v>#NAME?</v>
      </c>
      <c r="I12" s="1" t="e">
        <f>F12</f>
        <v>#NAME?</v>
      </c>
      <c r="J12" s="10" t="s">
        <v>8</v>
      </c>
    </row>
    <row r="13" spans="1:11" ht="20.100000000000001" customHeight="1" x14ac:dyDescent="0.25">
      <c r="A13" s="5" t="str">
        <f>HYPERLINK("#'4.2.1.5-6 Soil Atmos Dep'!A1", "4.2.1.5-6 Soil atm. deposition")</f>
        <v>4.2.1.5-6 Soil atm. deposition</v>
      </c>
      <c r="D13" s="1" t="s">
        <v>138</v>
      </c>
      <c r="E13" s="1" t="e" cm="1">
        <f t="array" ref="E13">VEERG_5_4_1_3__1_OrganicFertiliserAtmosphericDepositionN2OEmissions_Result_Method1</f>
        <v>#NAME?</v>
      </c>
      <c r="F13" s="1" t="e">
        <f>E13</f>
        <v>#NAME?</v>
      </c>
      <c r="G13" s="10" t="s">
        <v>13</v>
      </c>
      <c r="H13" s="1" t="e" cm="1">
        <f t="array" ref="H13">Common_Equations.Common_ConvertN2OToCO2e(E13,_xlfn.XLOOKUP("N2O", Table_GWPData[Gas],Table_GWPData[CO2-e factor]))</f>
        <v>#NAME?</v>
      </c>
      <c r="I13" s="1" t="e" cm="1">
        <f t="array" ref="I13">Common_Equations.Common_ConvertN2OToCO2e(F13,_xlfn.XLOOKUP("N2O", Table_GWPData[Gas],Table_GWPData[CO2-e factor]))</f>
        <v>#NAME?</v>
      </c>
      <c r="J13" s="10" t="s">
        <v>8</v>
      </c>
    </row>
    <row r="14" spans="1:11" ht="20.100000000000001" customHeight="1" x14ac:dyDescent="0.25">
      <c r="A14" s="5" t="str">
        <f>HYPERLINK("#'4.2.1.7-8 Soil leach runoff'!A1", "4.2.1.7-8 Soil leach &amp; runoff")</f>
        <v>4.2.1.7-8 Soil leach &amp; runoff</v>
      </c>
      <c r="D14" s="1" t="s">
        <v>139</v>
      </c>
      <c r="E14" s="1" t="e" cm="1">
        <f t="array" ref="E14">VEERG_5_5_1_1__1_FertiliserLeachingAndRunoffN2OEmissions_result_Method1</f>
        <v>#NAME?</v>
      </c>
      <c r="F14" s="1" t="e">
        <f>E14</f>
        <v>#NAME?</v>
      </c>
      <c r="G14" s="10" t="s">
        <v>13</v>
      </c>
      <c r="H14" s="1" t="e" cm="1">
        <f t="array" ref="H14">Common_Equations.Common_ConvertN2OToCO2e(E14,_xlfn.XLOOKUP("N2O", Table_GWPData[Gas],Table_GWPData[CO2-e factor]))</f>
        <v>#NAME?</v>
      </c>
      <c r="I14" s="1" t="e" cm="1">
        <f t="array" ref="I14">Common_Equations.Common_ConvertN2OToCO2e(F14,_xlfn.XLOOKUP("N2O", Table_GWPData[Gas],Table_GWPData[CO2-e factor]))</f>
        <v>#NAME?</v>
      </c>
      <c r="J14" s="10" t="s">
        <v>8</v>
      </c>
    </row>
    <row r="15" spans="1:11" ht="20.100000000000001" customHeight="1" x14ac:dyDescent="0.25">
      <c r="A15" s="5"/>
      <c r="D15" s="1" t="s">
        <v>174</v>
      </c>
      <c r="E15" s="1" t="e" cm="1">
        <f t="array" ref="E15">VEERG_6_1_1_1__1__NitrousOxideEmissionsFromCropResidues_Result_Method1</f>
        <v>#NAME?</v>
      </c>
      <c r="F15" s="1" t="e" cm="1">
        <f t="array" ref="F15">VEERG_6_1_1_1__1__NitrousOxideEmissionsFromCropResidues_Result_Method2</f>
        <v>#NAME?</v>
      </c>
      <c r="G15" s="10" t="s">
        <v>13</v>
      </c>
      <c r="H15" s="1" t="e" cm="1">
        <f t="array" ref="H15">Common_Equations.Common_ConvertN2OToCO2e(E15,_xlfn.XLOOKUP("N2O", Table_GWPData[Gas],Table_GWPData[CO2-e factor]))</f>
        <v>#NAME?</v>
      </c>
      <c r="I15" s="1" t="e" cm="1">
        <f t="array" ref="I15">Common_Equations.Common_ConvertN2OToCO2e(F15,_xlfn.XLOOKUP("N2O", Table_GWPData[Gas],Table_GWPData[CO2-e factor]))</f>
        <v>#NAME?</v>
      </c>
      <c r="J15" s="10" t="s">
        <v>8</v>
      </c>
    </row>
    <row r="16" spans="1:11" ht="20.100000000000001" customHeight="1" x14ac:dyDescent="0.25">
      <c r="A16" s="6" t="s">
        <v>2</v>
      </c>
      <c r="D16" s="1" t="s">
        <v>173</v>
      </c>
      <c r="E16" s="1" t="e" cm="1">
        <f t="array" ref="E16">VEERG_6_3_1_1__1__LeachingAndRunoffEmissionsCropAndPastureResidue_CropOnly_Result_Method1</f>
        <v>#NAME?</v>
      </c>
      <c r="F16" s="1" t="e" cm="1">
        <f t="array" ref="F16">VEERG_6_3_1_1__1__LeachingAndRunoffEmissionsCropAndPastureResidue_CropOnly_Result_Method2</f>
        <v>#NAME?</v>
      </c>
      <c r="G16" s="10" t="s">
        <v>13</v>
      </c>
      <c r="H16" s="1" t="e" cm="1">
        <f t="array" ref="H16">Common_Equations.Common_ConvertN2OToCO2e(E16,_xlfn.XLOOKUP("N2O", Table_GWPData[Gas],Table_GWPData[CO2-e factor]))</f>
        <v>#NAME?</v>
      </c>
      <c r="I16" s="1" t="e" cm="1">
        <f t="array" ref="I16">Common_Equations.Common_ConvertN2OToCO2e(F16,_xlfn.XLOOKUP("N2O", Table_GWPData[Gas],Table_GWPData[CO2-e factor]))</f>
        <v>#NAME?</v>
      </c>
      <c r="J16" s="10" t="s">
        <v>8</v>
      </c>
    </row>
    <row r="17" spans="1:10" ht="20.100000000000001" customHeight="1" x14ac:dyDescent="0.25">
      <c r="A17" s="5" t="str">
        <f>HYPERLINK("#'Constants - Pasture Beef'!A1", "Constants - Pasture Beef")</f>
        <v>Constants - Pasture Beef</v>
      </c>
      <c r="D17" s="1" t="s">
        <v>176</v>
      </c>
      <c r="E17" s="1" t="e" cm="1">
        <f t="array" ref="E17">VEERG_6_4_1_1__2__NitrousOxideEmissionsFromBurningOfCropResidues_Result_Method1</f>
        <v>#NAME?</v>
      </c>
      <c r="F17" s="1" t="e">
        <f t="shared" ref="F17:F22" si="0">E17</f>
        <v>#NAME?</v>
      </c>
      <c r="G17" s="10" t="s">
        <v>13</v>
      </c>
      <c r="H17" s="1" t="e" cm="1">
        <f t="array" ref="H17">Common_Equations.Common_ConvertN2OToCO2e(E17,_xlfn.XLOOKUP("N2O", Table_GWPData[Gas],Table_GWPData[CO2-e factor]))</f>
        <v>#NAME?</v>
      </c>
      <c r="I17" s="1" t="e" cm="1">
        <f t="array" ref="I17">Common_Equations.Common_ConvertN2OToCO2e(F17,_xlfn.XLOOKUP("N2O", Table_GWPData[Gas],Table_GWPData[CO2-e factor]))</f>
        <v>#NAME?</v>
      </c>
      <c r="J17" s="10" t="s">
        <v>8</v>
      </c>
    </row>
    <row r="18" spans="1:10" ht="20.100000000000001" customHeight="1" x14ac:dyDescent="0.25">
      <c r="A18" s="5" t="str">
        <f>HYPERLINK("#'Constants - Livestock'!A1", "Constants - Livestock")</f>
        <v>Constants - Livestock</v>
      </c>
      <c r="D18" s="1" t="s">
        <v>175</v>
      </c>
      <c r="E18" s="1" t="e" cm="1">
        <f t="array" ref="E18">VEERG_6_4_1_1__1__MethaneEmissionsFromBurningOfCropResidues_Result_Method1</f>
        <v>#NAME?</v>
      </c>
      <c r="F18" s="1" t="e">
        <f t="shared" si="0"/>
        <v>#NAME?</v>
      </c>
      <c r="G18" s="10" t="s">
        <v>7</v>
      </c>
      <c r="H18" s="1" t="e" cm="1">
        <f t="array" ref="H18">Common_Equations.Common_ConvertCH4ToCO2e(E18,_xlfn.XLOOKUP("CH4", Table_GWPData[Gas],Table_GWPData[CO2-e factor]))</f>
        <v>#NAME?</v>
      </c>
      <c r="I18" s="1" t="e" cm="1">
        <f t="array" ref="I18">Common_Equations.Common_ConvertCH4ToCO2e(F18,_xlfn.XLOOKUP("CH4", Table_GWPData[Gas],Table_GWPData[CO2-e factor]))</f>
        <v>#NAME?</v>
      </c>
      <c r="J18" s="10" t="s">
        <v>8</v>
      </c>
    </row>
    <row r="19" spans="1:10" ht="20.100000000000001" customHeight="1" x14ac:dyDescent="0.25">
      <c r="A19" s="5" t="str">
        <f>HYPERLINK("#'Constants - Common'!A1", "Constants - Common")</f>
        <v>Constants - Common</v>
      </c>
      <c r="D19" s="1" t="s">
        <v>140</v>
      </c>
      <c r="E19" s="1" t="e" cm="1">
        <f t="array" ref="E19">VEERG_8_1_1_1__1_FuelCombustionTransport_Result_CO2</f>
        <v>#NAME?</v>
      </c>
      <c r="F19" s="1" t="e">
        <f t="shared" si="0"/>
        <v>#NAME?</v>
      </c>
      <c r="G19" s="10" t="s">
        <v>128</v>
      </c>
      <c r="H19" s="1" t="e">
        <f>E19</f>
        <v>#NAME?</v>
      </c>
      <c r="I19" s="1" t="e">
        <f>F19</f>
        <v>#NAME?</v>
      </c>
      <c r="J19" s="10" t="s">
        <v>8</v>
      </c>
    </row>
    <row r="20" spans="1:10" ht="20.100000000000001" customHeight="1" x14ac:dyDescent="0.25">
      <c r="A20" s="5" t="str">
        <f>HYPERLINK("#'Acknowledgements'!A1", "Acknowledgements")</f>
        <v>Acknowledgements</v>
      </c>
      <c r="D20" s="1" t="s">
        <v>142</v>
      </c>
      <c r="E20" s="1" t="e" cm="1">
        <f t="array" ref="E20">VEERG_8_1_1_1__1_FuelCombustionTransport_Result_CH4</f>
        <v>#NAME?</v>
      </c>
      <c r="F20" s="1" t="e">
        <f t="shared" si="0"/>
        <v>#NAME?</v>
      </c>
      <c r="G20" s="10" t="s">
        <v>7</v>
      </c>
      <c r="H20" s="1" t="e" cm="1">
        <f t="array" ref="H20">Common_Equations.Common_ConvertCH4ToCO2e(E20,_xlfn.XLOOKUP("CH4", Table_GWPData[Gas],Table_GWPData[CO2-e factor]))</f>
        <v>#NAME?</v>
      </c>
      <c r="I20" s="1" t="e" cm="1">
        <f t="array" ref="I20">Common_Equations.Common_ConvertCH4ToCO2e(F20,_xlfn.XLOOKUP("CH4", Table_GWPData[Gas],Table_GWPData[CO2-e factor]))</f>
        <v>#NAME?</v>
      </c>
      <c r="J20" s="10" t="s">
        <v>8</v>
      </c>
    </row>
    <row r="21" spans="1:10" ht="20.100000000000001" customHeight="1" x14ac:dyDescent="0.25">
      <c r="D21" s="1" t="s">
        <v>141</v>
      </c>
      <c r="E21" s="1" t="e" cm="1">
        <f t="array" ref="E21">VEERG_8_1_1_1__1_FuelCombustionTransport_Result_N2O</f>
        <v>#NAME?</v>
      </c>
      <c r="F21" s="1" t="e">
        <f t="shared" si="0"/>
        <v>#NAME?</v>
      </c>
      <c r="G21" s="10" t="s">
        <v>13</v>
      </c>
      <c r="H21" s="1" t="e" cm="1">
        <f t="array" ref="H21">Common_Equations.Common_ConvertN2OToCO2e(E21,_xlfn.XLOOKUP("N2O", Table_GWPData[Gas],Table_GWPData[CO2-e factor]))</f>
        <v>#NAME?</v>
      </c>
      <c r="I21" s="1" t="e" cm="1">
        <f t="array" ref="I21">Common_Equations.Common_ConvertN2OToCO2e(F21,_xlfn.XLOOKUP("N2O", Table_GWPData[Gas],Table_GWPData[CO2-e factor]))</f>
        <v>#NAME?</v>
      </c>
      <c r="J21" s="10" t="s">
        <v>8</v>
      </c>
    </row>
    <row r="22" spans="1:10" ht="20.100000000000001" customHeight="1" x14ac:dyDescent="0.25">
      <c r="A22" s="5"/>
      <c r="D22" s="1" t="s">
        <v>143</v>
      </c>
      <c r="E22" s="1" t="e" cm="1">
        <f t="array" ref="E22">VEERG_8_2_1_1__1_FuelCombustionStationary_Result_CO2</f>
        <v>#NAME?</v>
      </c>
      <c r="F22" s="1" t="e">
        <f t="shared" si="0"/>
        <v>#NAME?</v>
      </c>
      <c r="G22" s="10" t="s">
        <v>128</v>
      </c>
      <c r="H22" s="1" t="e">
        <f>E22</f>
        <v>#NAME?</v>
      </c>
      <c r="I22" s="1" t="e">
        <f>F22</f>
        <v>#NAME?</v>
      </c>
      <c r="J22" s="10" t="s">
        <v>8</v>
      </c>
    </row>
    <row r="23" spans="1:10" ht="20.100000000000001" customHeight="1" x14ac:dyDescent="0.25">
      <c r="A23" s="5"/>
      <c r="D23" s="1" t="s">
        <v>144</v>
      </c>
      <c r="E23" s="1" t="e" cm="1">
        <f t="array" ref="E23">VEERG_8_2_1_1__1_FuelCombustionStationary_Result_CH4</f>
        <v>#NAME?</v>
      </c>
      <c r="F23" s="1" t="e">
        <f t="shared" ref="F23:F26" si="1">E23</f>
        <v>#NAME?</v>
      </c>
      <c r="G23" s="10" t="s">
        <v>7</v>
      </c>
      <c r="H23" s="1" t="e" cm="1">
        <f t="array" ref="H23">Common_Equations.Common_ConvertCH4ToCO2e(E23,_xlfn.XLOOKUP("CH4", Table_GWPData[Gas],Table_GWPData[CO2-e factor]))</f>
        <v>#NAME?</v>
      </c>
      <c r="I23" s="1" t="e" cm="1">
        <f t="array" ref="I23">Common_Equations.Common_ConvertCH4ToCO2e(F23,_xlfn.XLOOKUP("CH4", Table_GWPData[Gas],Table_GWPData[CO2-e factor]))</f>
        <v>#NAME?</v>
      </c>
      <c r="J23" s="10" t="s">
        <v>8</v>
      </c>
    </row>
    <row r="24" spans="1:10" ht="20.100000000000001" customHeight="1" x14ac:dyDescent="0.25">
      <c r="A24" s="5"/>
      <c r="D24" s="1" t="s">
        <v>145</v>
      </c>
      <c r="E24" s="1" t="e" cm="1">
        <f t="array" ref="E24">VEERG_8_2_1_1__1_FuelCombustionStationary_Result_N2O</f>
        <v>#NAME?</v>
      </c>
      <c r="F24" s="1" t="e">
        <f t="shared" si="1"/>
        <v>#NAME?</v>
      </c>
      <c r="G24" s="10" t="s">
        <v>13</v>
      </c>
      <c r="H24" s="1" t="e" cm="1">
        <f t="array" ref="H24">Common_Equations.Common_ConvertN2OToCO2e(E24,_xlfn.XLOOKUP("N2O", Table_GWPData[Gas],Table_GWPData[CO2-e factor]))</f>
        <v>#NAME?</v>
      </c>
      <c r="I24" s="1" t="e" cm="1">
        <f t="array" ref="I24">Common_Equations.Common_ConvertN2OToCO2e(F24,_xlfn.XLOOKUP("N2O", Table_GWPData[Gas],Table_GWPData[CO2-e factor]))</f>
        <v>#NAME?</v>
      </c>
      <c r="J24" s="10" t="s">
        <v>8</v>
      </c>
    </row>
    <row r="25" spans="1:10" ht="20.100000000000001" customHeight="1" x14ac:dyDescent="0.25">
      <c r="D25" s="1" t="s">
        <v>146</v>
      </c>
      <c r="E25" s="1" t="e" cm="1">
        <f t="array" ref="E25">VEERG_14_1_1__1_LocationBasedScopeElectricityEmissions_Result_Method1</f>
        <v>#NAME?</v>
      </c>
      <c r="F25" s="1" t="e">
        <f t="shared" si="1"/>
        <v>#NAME?</v>
      </c>
      <c r="G25" s="10" t="s">
        <v>8</v>
      </c>
      <c r="H25" s="1" t="e">
        <f>E25</f>
        <v>#NAME?</v>
      </c>
      <c r="I25" s="1" t="e">
        <f>F25</f>
        <v>#NAME?</v>
      </c>
      <c r="J25" s="10" t="s">
        <v>8</v>
      </c>
    </row>
    <row r="26" spans="1:10" ht="20.100000000000001" customHeight="1" x14ac:dyDescent="0.25">
      <c r="D26" s="1" t="s">
        <v>147</v>
      </c>
      <c r="E26" s="1" t="e" cm="1">
        <f t="array" ref="E26">VEERG_14_1_2__1_MarketBasedScopeElectricityEmissionsVariation_Result_Method1</f>
        <v>#NAME?</v>
      </c>
      <c r="F26" s="1" t="e">
        <f t="shared" si="1"/>
        <v>#NAME?</v>
      </c>
      <c r="G26" s="10" t="s">
        <v>8</v>
      </c>
      <c r="H26" s="1" t="e">
        <f>E26</f>
        <v>#NAME?</v>
      </c>
      <c r="I26" s="1" t="e">
        <f>F26</f>
        <v>#NAME?</v>
      </c>
      <c r="J26" s="10" t="s">
        <v>8</v>
      </c>
    </row>
    <row r="27" spans="1:10" ht="20.100000000000001" customHeight="1" x14ac:dyDescent="0.25">
      <c r="D27" s="88" t="s">
        <v>5</v>
      </c>
      <c r="E27" s="89"/>
      <c r="F27" s="89"/>
      <c r="G27" s="89"/>
      <c r="H27" s="88" t="e">
        <f>SUM(H9:H26)</f>
        <v>#NAME?</v>
      </c>
      <c r="I27" s="88" t="e">
        <f>SUM(I9:I26)</f>
        <v>#NAME?</v>
      </c>
      <c r="J27" s="98" t="s">
        <v>8</v>
      </c>
    </row>
    <row r="28" spans="1:10" ht="20.100000000000001" customHeight="1" x14ac:dyDescent="0.25"/>
    <row r="29" spans="1:10" ht="20.100000000000001" customHeight="1" x14ac:dyDescent="0.25"/>
    <row r="30" spans="1:10" ht="20.100000000000001" customHeight="1" x14ac:dyDescent="0.25">
      <c r="D30" s="80" t="s">
        <v>273</v>
      </c>
    </row>
    <row r="31" spans="1:10" ht="20.100000000000001" customHeight="1" x14ac:dyDescent="0.25"/>
    <row r="32" spans="1:10" ht="20.100000000000001" customHeight="1" x14ac:dyDescent="0.25">
      <c r="D32" s="12" t="s">
        <v>274</v>
      </c>
      <c r="E32" s="12" t="s">
        <v>9</v>
      </c>
      <c r="F32" s="12" t="s">
        <v>10</v>
      </c>
      <c r="G32" s="12" t="s">
        <v>6</v>
      </c>
      <c r="H32" s="12" t="s">
        <v>11</v>
      </c>
      <c r="I32" s="12" t="s">
        <v>12</v>
      </c>
      <c r="J32" s="12"/>
    </row>
    <row r="33" spans="4:10" ht="20.100000000000001" customHeight="1" x14ac:dyDescent="0.25">
      <c r="D33" s="1" t="e" cm="1">
        <f t="array" ref="D33">"14.1.1-2 Purchased electricity " &amp; IF(X_Cell_Electricity_CalculationMethod="Location-based (simpler)", "(Location-based)", "(Market-based)")</f>
        <v>#NAME?</v>
      </c>
      <c r="E33" s="1" t="e" cm="1">
        <f t="array" ref="E33">IF(X_Cell_Electricity_CalculationMethod="Location-based (simpler)", VEERG_14_1_1__1_LocationBasedScopeElectricityEmissions_Result_Method1, VEERG_14_1_2__1_MarketBasedScopeElectricityEmissionsVariation_Result_Method1)</f>
        <v>#NAME?</v>
      </c>
      <c r="F33" s="1" t="e">
        <f>E33</f>
        <v>#NAME?</v>
      </c>
      <c r="G33" s="10" t="s">
        <v>8</v>
      </c>
      <c r="H33" s="1" t="e">
        <f>E33</f>
        <v>#NAME?</v>
      </c>
      <c r="I33" s="1" t="e">
        <f>F33</f>
        <v>#NAME?</v>
      </c>
      <c r="J33" s="10" t="s">
        <v>8</v>
      </c>
    </row>
    <row r="34" spans="4:10" ht="20.100000000000001" customHeight="1" x14ac:dyDescent="0.25">
      <c r="D34" s="88" t="s">
        <v>275</v>
      </c>
      <c r="E34" s="89"/>
      <c r="F34" s="89"/>
      <c r="G34" s="89"/>
      <c r="H34" s="88" t="e">
        <f>SUM(H33:H33)</f>
        <v>#NAME?</v>
      </c>
      <c r="I34" s="88" t="e">
        <f>SUM(I33:I33)</f>
        <v>#NAME?</v>
      </c>
      <c r="J34" s="98" t="s">
        <v>8</v>
      </c>
    </row>
    <row r="35" spans="4:10" ht="20.100000000000001" customHeight="1" x14ac:dyDescent="0.25"/>
    <row r="36" spans="4:10" ht="20.100000000000001" customHeight="1" x14ac:dyDescent="0.25"/>
    <row r="37" spans="4:10" ht="20.100000000000001" customHeight="1" x14ac:dyDescent="0.25">
      <c r="D37" s="80" t="s">
        <v>276</v>
      </c>
    </row>
    <row r="38" spans="4:10" ht="20.100000000000001" customHeight="1" x14ac:dyDescent="0.25"/>
    <row r="39" spans="4:10" ht="20.100000000000001" customHeight="1" x14ac:dyDescent="0.25">
      <c r="D39" s="12" t="s">
        <v>277</v>
      </c>
      <c r="E39" s="12" t="s">
        <v>9</v>
      </c>
      <c r="F39" s="12" t="s">
        <v>10</v>
      </c>
      <c r="G39" s="12" t="s">
        <v>6</v>
      </c>
      <c r="H39" s="12" t="s">
        <v>11</v>
      </c>
      <c r="I39" s="12" t="s">
        <v>12</v>
      </c>
      <c r="J39" s="12"/>
    </row>
    <row r="40" spans="4:10" ht="20.100000000000001" customHeight="1" x14ac:dyDescent="0.25">
      <c r="D40" s="1" t="s">
        <v>278</v>
      </c>
      <c r="E40" s="1" t="e" cm="1">
        <f t="array" ref="E40">VEERG_15_4_1_1__2_EmissionsFromPurchasedFertiliserComponentsVariation_Result_Method1</f>
        <v>#NAME?</v>
      </c>
      <c r="F40" s="1" t="e" cm="1">
        <f t="array" ref="F40">VEERG_15_4_1_1__2_EmissionsFromPurchasedFertiliserComponentsVariation_Result_Method2</f>
        <v>#NAME?</v>
      </c>
      <c r="G40" s="10" t="s">
        <v>8</v>
      </c>
      <c r="H40" s="1" t="e">
        <f t="shared" ref="H40:H47" si="2">E40</f>
        <v>#NAME?</v>
      </c>
      <c r="I40" s="1" t="e">
        <f t="shared" ref="I40:I50" si="3">F40</f>
        <v>#NAME?</v>
      </c>
      <c r="J40" s="10" t="s">
        <v>8</v>
      </c>
    </row>
    <row r="41" spans="4:10" ht="20.100000000000001" customHeight="1" x14ac:dyDescent="0.25">
      <c r="D41" s="1" t="s">
        <v>279</v>
      </c>
      <c r="E41" s="1" t="e" cm="1">
        <f t="array" ref="E41">VEERG_15_5_1_1__1_EmissionsFromPurchasedAgrichemicals_Result_Method1</f>
        <v>#NAME?</v>
      </c>
      <c r="F41" s="1" t="e" cm="1">
        <f t="array" ref="F41">VEERG_15_5_1_1__1_EmissionsFromPurchasedAgrichemicals_Result_Method2</f>
        <v>#NAME?</v>
      </c>
      <c r="G41" s="10" t="s">
        <v>8</v>
      </c>
      <c r="H41" s="1" t="e">
        <f t="shared" si="2"/>
        <v>#NAME?</v>
      </c>
      <c r="I41" s="1" t="e">
        <f t="shared" si="3"/>
        <v>#NAME?</v>
      </c>
      <c r="J41" s="10" t="s">
        <v>8</v>
      </c>
    </row>
    <row r="42" spans="4:10" ht="20.100000000000001" customHeight="1" x14ac:dyDescent="0.25">
      <c r="D42" s="1" t="s">
        <v>280</v>
      </c>
      <c r="E42" s="1" t="e" cm="1">
        <f t="array" ref="E42">VEERG_15_6_1_1__1_EmissionsFromPurchasedLime_Result_Method1</f>
        <v>#NAME?</v>
      </c>
      <c r="F42" s="1" t="e" cm="1">
        <f t="array" ref="F42">VEERG_15_6_1_1__1_EmissionsFromPurchasedLime_Result_Method2</f>
        <v>#NAME?</v>
      </c>
      <c r="G42" s="10" t="s">
        <v>8</v>
      </c>
      <c r="H42" s="1" t="e">
        <f t="shared" si="2"/>
        <v>#NAME?</v>
      </c>
      <c r="I42" s="1" t="e">
        <f t="shared" si="3"/>
        <v>#NAME?</v>
      </c>
      <c r="J42" s="10" t="s">
        <v>8</v>
      </c>
    </row>
    <row r="43" spans="4:10" ht="20.100000000000001" customHeight="1" x14ac:dyDescent="0.25">
      <c r="D43" s="1" t="s">
        <v>281</v>
      </c>
      <c r="E43" s="1" t="e" cm="1">
        <f t="array" ref="E43">VEERG_15_7_1_1__1_EmissionsFromPurchasedServices_Result_Method1</f>
        <v>#NAME?</v>
      </c>
      <c r="F43" s="1" t="e" cm="1">
        <f t="array" ref="F43">VEERG_15_7_1_1__1_EmissionsFromPurchasedServices_Result_Method2</f>
        <v>#NAME?</v>
      </c>
      <c r="G43" s="10" t="s">
        <v>8</v>
      </c>
      <c r="H43" s="1" t="e">
        <f t="shared" si="2"/>
        <v>#NAME?</v>
      </c>
      <c r="I43" s="1" t="e">
        <f t="shared" si="3"/>
        <v>#NAME?</v>
      </c>
      <c r="J43" s="10" t="s">
        <v>8</v>
      </c>
    </row>
    <row r="44" spans="4:10" ht="20.100000000000001" customHeight="1" x14ac:dyDescent="0.25">
      <c r="D44" s="1" t="s">
        <v>282</v>
      </c>
      <c r="E44" s="1" t="e" cm="1">
        <f t="array" ref="E44">VEERG_15_10_1_1__1_OtherPurchasedGoodsAndServices_CleaningChemicals_Result_Method1</f>
        <v>#NAME?</v>
      </c>
      <c r="F44" s="1" t="e" cm="1">
        <f t="array" ref="F44">VEERG_15_10_1_1__1_OtherPurchasedGoodsAndServices_CleaningChemicals_Result_Method2</f>
        <v>#NAME?</v>
      </c>
      <c r="G44" s="10" t="s">
        <v>8</v>
      </c>
      <c r="H44" s="1" t="e">
        <f t="shared" si="2"/>
        <v>#NAME?</v>
      </c>
      <c r="I44" s="1" t="e">
        <f t="shared" si="3"/>
        <v>#NAME?</v>
      </c>
      <c r="J44" s="10" t="s">
        <v>8</v>
      </c>
    </row>
    <row r="45" spans="4:10" ht="20.100000000000001" customHeight="1" x14ac:dyDescent="0.25">
      <c r="D45" s="1" t="s">
        <v>283</v>
      </c>
      <c r="E45" s="1" t="e" cm="1">
        <f t="array" ref="E45">VEERG_15_10_1_1__1_OtherPurchasedGoodsAndServices_Uncategorised_Result_Method1</f>
        <v>#NAME?</v>
      </c>
      <c r="F45" s="1" t="e" cm="1">
        <f t="array" ref="F45">VEERG_15_10_1_1__1_OtherPurchasedGoodsAndServices_Uncategorised_Result_Method2</f>
        <v>#NAME?</v>
      </c>
      <c r="G45" s="10" t="s">
        <v>8</v>
      </c>
      <c r="H45" s="1" t="e">
        <f t="shared" si="2"/>
        <v>#NAME?</v>
      </c>
      <c r="I45" s="1" t="e">
        <f t="shared" si="3"/>
        <v>#NAME?</v>
      </c>
      <c r="J45" s="10" t="s">
        <v>8</v>
      </c>
    </row>
    <row r="46" spans="4:10" ht="20.100000000000001" customHeight="1" x14ac:dyDescent="0.25">
      <c r="D46" s="1" t="s">
        <v>284</v>
      </c>
      <c r="E46" s="1" t="e" cm="1">
        <f t="array" ref="E46">VEERG_15_11_1_1__1_TotalUpstreamEmissionsFromFuel_Result</f>
        <v>#NAME?</v>
      </c>
      <c r="F46" s="1" t="e">
        <f>E46</f>
        <v>#NAME?</v>
      </c>
      <c r="G46" s="10" t="s">
        <v>8</v>
      </c>
      <c r="H46" s="1" t="e">
        <f t="shared" si="2"/>
        <v>#NAME?</v>
      </c>
      <c r="I46" s="1" t="e">
        <f t="shared" si="3"/>
        <v>#NAME?</v>
      </c>
      <c r="J46" s="10" t="s">
        <v>8</v>
      </c>
    </row>
    <row r="47" spans="4:10" ht="20.100000000000001" customHeight="1" x14ac:dyDescent="0.25">
      <c r="D47" s="1" t="e" cm="1">
        <f t="array" ref="D47">"15.12.1.1 Purchased electricity " &amp; IF(X_Cell_Electricity_CalculationMethod="Location-based (simpler)", "(Location-based)", "(Market-based)")</f>
        <v>#NAME?</v>
      </c>
      <c r="E47" s="1" t="e" cm="1">
        <f t="array" ref="E47">IF(X_Cell_Electricity_CalculationMethod="Location-based (simpler)", VEERG_15_12_1_1__1_UpstreamPurchasedElectricityLocationBased_Result, VEERG_15_12_1_1__1_UpstreamPurchasedElectricityMarketBased_Result)</f>
        <v>#NAME?</v>
      </c>
      <c r="F47" s="1" t="e">
        <f>E47</f>
        <v>#NAME?</v>
      </c>
      <c r="G47" s="10" t="s">
        <v>8</v>
      </c>
      <c r="H47" s="1" t="e">
        <f t="shared" si="2"/>
        <v>#NAME?</v>
      </c>
      <c r="I47" s="1" t="e">
        <f t="shared" si="3"/>
        <v>#NAME?</v>
      </c>
      <c r="J47" s="10" t="s">
        <v>8</v>
      </c>
    </row>
    <row r="48" spans="4:10" ht="20.100000000000001" customHeight="1" x14ac:dyDescent="0.25">
      <c r="D48" s="1" t="s">
        <v>285</v>
      </c>
      <c r="E48" s="1" t="e" cm="1">
        <f t="array" ref="E48">VEERG_15_14_1_1__1_EmbeddedEmissionsFromUpstreamFreight_Incoming_Result_Method1</f>
        <v>#NAME?</v>
      </c>
      <c r="F48" s="1" t="e" cm="1">
        <f t="array" ref="F48">VEERG_15_14_1_1__1_EmbeddedEmissionsFromUpstreamFreight_Incoming_Result_Method2</f>
        <v>#NAME?</v>
      </c>
      <c r="G48" s="10" t="s">
        <v>8</v>
      </c>
      <c r="H48" s="1" t="e">
        <f>E48</f>
        <v>#NAME?</v>
      </c>
      <c r="I48" s="1" t="e">
        <f t="shared" si="3"/>
        <v>#NAME?</v>
      </c>
      <c r="J48" s="10" t="s">
        <v>8</v>
      </c>
    </row>
    <row r="49" spans="4:10" ht="20.100000000000001" customHeight="1" x14ac:dyDescent="0.25">
      <c r="D49" s="1" t="s">
        <v>286</v>
      </c>
      <c r="E49" s="1" t="e" cm="1">
        <f t="array" ref="E49">VEERG_10_1_1_1__1_EmissionsFromWasteManagement_Scope3_Result_Method1</f>
        <v>#NAME?</v>
      </c>
      <c r="F49" s="1" t="e">
        <f>E49</f>
        <v>#NAME?</v>
      </c>
      <c r="G49" s="10" t="s">
        <v>8</v>
      </c>
      <c r="H49" s="1" t="e">
        <f t="shared" ref="H49:H50" si="4">E49</f>
        <v>#NAME?</v>
      </c>
      <c r="I49" s="1" t="e">
        <f t="shared" si="3"/>
        <v>#NAME?</v>
      </c>
      <c r="J49" s="10" t="s">
        <v>8</v>
      </c>
    </row>
    <row r="50" spans="4:10" ht="20.100000000000001" customHeight="1" x14ac:dyDescent="0.25">
      <c r="D50" s="1" t="s">
        <v>287</v>
      </c>
      <c r="E50" s="1" t="e" cm="1">
        <f t="array" ref="E50">VEERG_15_14_1_1__1_EmbeddedEmissionsFromUpstreamFreight_Outgoing_Result_Method1</f>
        <v>#NAME?</v>
      </c>
      <c r="F50" s="1" t="e" cm="1">
        <f t="array" ref="F50">VEERG_15_14_1_1__1_EmbeddedEmissionsFromUpstreamFreight_Outgoing_Result_Method2</f>
        <v>#NAME?</v>
      </c>
      <c r="G50" s="10" t="s">
        <v>8</v>
      </c>
      <c r="H50" s="1" t="e">
        <f t="shared" si="4"/>
        <v>#NAME?</v>
      </c>
      <c r="I50" s="1" t="e">
        <f t="shared" si="3"/>
        <v>#NAME?</v>
      </c>
      <c r="J50" s="10" t="s">
        <v>8</v>
      </c>
    </row>
    <row r="51" spans="4:10" ht="20.100000000000001" customHeight="1" x14ac:dyDescent="0.25">
      <c r="D51" s="88" t="s">
        <v>288</v>
      </c>
      <c r="E51" s="89"/>
      <c r="F51" s="89"/>
      <c r="G51" s="89"/>
      <c r="H51" s="88" t="e">
        <f>SUM(H40:H50)</f>
        <v>#NAME?</v>
      </c>
      <c r="I51" s="88" t="e">
        <f>SUM(I40:I50)</f>
        <v>#NAME?</v>
      </c>
      <c r="J51" s="98" t="s">
        <v>8</v>
      </c>
    </row>
    <row r="52" spans="4:10" ht="20.100000000000001" customHeight="1" x14ac:dyDescent="0.25"/>
    <row r="53" spans="4:10" ht="20.100000000000001" customHeight="1" x14ac:dyDescent="0.25"/>
    <row r="54" spans="4:10" ht="20.100000000000001" customHeight="1" x14ac:dyDescent="0.25">
      <c r="D54" s="80" t="str">
        <f>"Carbon removals from plantings for the activity period " &amp; TEXT(X_Cell_Site_StartDate, "d mmmm yyyy") &amp; " and " &amp; TEXT(X_Cell_Site_EndDate, "d mmmm yyyy")</f>
        <v>Carbon removals from plantings for the activity period 1 January 2025 and 31 December 2025</v>
      </c>
    </row>
    <row r="55" spans="4:10" ht="20.100000000000001" customHeight="1" x14ac:dyDescent="0.25"/>
    <row r="56" spans="4:10" ht="20.100000000000001" customHeight="1" x14ac:dyDescent="0.25">
      <c r="D56" s="88" t="s">
        <v>289</v>
      </c>
      <c r="E56" s="89">
        <f>SUM(Table_Input_Enterprise_PlantingRemovals[Removal allocated to this enterprise])</f>
        <v>0</v>
      </c>
      <c r="F56" s="98" t="s">
        <v>128</v>
      </c>
    </row>
    <row r="57" spans="4:10" ht="20.100000000000001" customHeight="1" x14ac:dyDescent="0.25"/>
    <row r="58" spans="4:10" ht="20.100000000000001" customHeight="1" x14ac:dyDescent="0.25"/>
    <row r="59" spans="4:10" ht="20.100000000000001" customHeight="1" x14ac:dyDescent="0.25">
      <c r="D59" s="80" t="str">
        <f>"Net emissions for the activity period " &amp; TEXT(X_Cell_Site_StartDate, "d mmmm yyyy") &amp; " and " &amp; TEXT(X_Cell_Site_EndDate, "d mmmm yyyy")</f>
        <v>Net emissions for the activity period 1 January 2025 and 31 December 2025</v>
      </c>
    </row>
    <row r="60" spans="4:10" ht="20.100000000000001" customHeight="1" x14ac:dyDescent="0.25"/>
    <row r="61" spans="4:10" ht="20.100000000000001" customHeight="1" x14ac:dyDescent="0.25">
      <c r="D61" s="12"/>
      <c r="E61" s="12" t="s">
        <v>131</v>
      </c>
      <c r="F61" s="12" t="s">
        <v>132</v>
      </c>
      <c r="G61" s="12"/>
    </row>
    <row r="62" spans="4:10" ht="20.100000000000001" customHeight="1" x14ac:dyDescent="0.25">
      <c r="D62" s="97" t="s">
        <v>290</v>
      </c>
      <c r="E62" s="95" t="e">
        <f>Result_Enterprise_Scope1_Method1+Result_Enterprise_Scope2_Method1+Result_Enterprise_Scope3_Method1</f>
        <v>#NAME?</v>
      </c>
      <c r="F62" s="95" t="e">
        <f>Result_Enterprise_Scope1_Method2+Result_Enterprise_Scope2_Method2+Result_Enterprise_Scope3_Method2</f>
        <v>#NAME?</v>
      </c>
      <c r="G62" s="96" t="s">
        <v>291</v>
      </c>
    </row>
    <row r="63" spans="4:10" ht="20.100000000000001" customHeight="1" x14ac:dyDescent="0.25">
      <c r="D63" s="97" t="s">
        <v>292</v>
      </c>
      <c r="E63" s="95" t="e">
        <f>Result_Enterprise_Gross_Method1-Result_Enterprise_Removals</f>
        <v>#NAME?</v>
      </c>
      <c r="F63" s="95" t="e">
        <f>Result_Enterprise_Gross_Method2-Result_Enterprise_Removals</f>
        <v>#NAME?</v>
      </c>
      <c r="G63" s="96" t="s">
        <v>291</v>
      </c>
    </row>
    <row r="64" spans="4:10"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sheetData>
  <pageMargins left="0.7" right="0.7" top="0.75" bottom="0.75" header="0.3" footer="0.3"/>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C2C70A-3829-41AD-8C72-9BB34460C4F5}">
  <sheetPr>
    <tabColor rgb="FF0C769E"/>
  </sheetPr>
  <dimension ref="A1:N58"/>
  <sheetViews>
    <sheetView showGridLines="0" workbookViewId="0">
      <selection activeCell="F36" sqref="F36"/>
    </sheetView>
  </sheetViews>
  <sheetFormatPr defaultRowHeight="15.75" x14ac:dyDescent="0.25"/>
  <cols>
    <col min="1" max="1" width="30.7109375" customWidth="1"/>
    <col min="2" max="2" width="4.7109375" customWidth="1"/>
    <col min="3" max="3" width="4.7109375" style="1" customWidth="1"/>
    <col min="4" max="4" width="51.7109375" style="1" customWidth="1"/>
    <col min="5" max="13" width="30.7109375" style="1" customWidth="1"/>
    <col min="14" max="14" width="9.140625" style="1"/>
  </cols>
  <sheetData>
    <row r="1" spans="1:14" s="93" customFormat="1" ht="25.5" x14ac:dyDescent="0.35">
      <c r="A1" s="11" t="e" vm="1">
        <v>#VALUE!</v>
      </c>
      <c r="C1" s="93" t="s">
        <v>295</v>
      </c>
    </row>
    <row r="2" spans="1:14" s="3" customFormat="1" x14ac:dyDescent="0.25"/>
    <row r="3" spans="1:14" x14ac:dyDescent="0.25">
      <c r="C3" s="94"/>
      <c r="D3" s="94"/>
      <c r="E3" s="94"/>
      <c r="F3" s="94"/>
      <c r="G3" s="94"/>
      <c r="H3" s="94"/>
      <c r="I3" s="94"/>
      <c r="J3" s="94"/>
      <c r="K3" s="94"/>
      <c r="L3" s="94"/>
      <c r="M3" s="94"/>
      <c r="N3" s="94"/>
    </row>
    <row r="32" spans="4:4" ht="23.25" x14ac:dyDescent="0.25">
      <c r="D32" s="2" t="str">
        <f>"Emissions for whole production cycle running between " &amp; TEXT(X_Cell_Enterprise_ProductionTimeframeStart, "d mmmm yyyy") &amp; " and " &amp; TEXT(X_Cell_Enterprise_ProductionTimeframeEnd, "d mmmm yyyy")</f>
        <v>Emissions for whole production cycle running between 1 November 2025 and 31 March 2026</v>
      </c>
    </row>
    <row r="35" spans="4:10" x14ac:dyDescent="0.25">
      <c r="D35" s="12"/>
      <c r="E35" s="12" t="s">
        <v>131</v>
      </c>
      <c r="F35" s="12" t="s">
        <v>132</v>
      </c>
      <c r="G35" s="12"/>
    </row>
    <row r="36" spans="4:10" x14ac:dyDescent="0.25">
      <c r="D36" s="78" t="s">
        <v>293</v>
      </c>
      <c r="E36" s="1" t="e">
        <f>Result_EmissionsForWholeProductionCycle_Gross_Method1</f>
        <v>#NAME?</v>
      </c>
      <c r="F36" s="1" t="e">
        <f>Result_EmissionsForWholeProductionCycle_Gross_Method2</f>
        <v>#NAME?</v>
      </c>
      <c r="G36" s="10" t="s">
        <v>8</v>
      </c>
    </row>
    <row r="37" spans="4:10" x14ac:dyDescent="0.25">
      <c r="D37" s="78" t="s">
        <v>294</v>
      </c>
      <c r="E37" s="1" t="e">
        <f>Result_EmissionsForWholeProductionCycle_Net_Method1</f>
        <v>#NAME?</v>
      </c>
      <c r="F37" s="1" t="e">
        <f>Result_EmissionsForWholeProductionCycle_Net_Method2</f>
        <v>#NAME?</v>
      </c>
      <c r="G37" s="10" t="s">
        <v>8</v>
      </c>
    </row>
    <row r="39" spans="4:10" ht="23.25" x14ac:dyDescent="0.25">
      <c r="D39" s="2" t="str">
        <f>"Product emissions intensity for whole production cycle running between " &amp; TEXT(X_Cell_Enterprise_ProductionTimeframeStart, "d mmmm yyyy") &amp; " and " &amp; TEXT(X_Cell_Enterprise_ProductionTimeframeEnd, "d mmmm yyyy")</f>
        <v>Product emissions intensity for whole production cycle running between 1 November 2025 and 31 March 2026</v>
      </c>
    </row>
    <row r="42" spans="4:10" x14ac:dyDescent="0.25">
      <c r="D42" s="1" t="s">
        <v>167</v>
      </c>
    </row>
    <row r="43" spans="4:10" x14ac:dyDescent="0.25">
      <c r="D43" s="12" t="s">
        <v>133</v>
      </c>
      <c r="E43" s="12" t="s">
        <v>122</v>
      </c>
      <c r="F43" s="12" t="s">
        <v>118</v>
      </c>
      <c r="G43" s="12" t="s">
        <v>164</v>
      </c>
      <c r="H43" s="12" t="s">
        <v>120</v>
      </c>
      <c r="I43" s="12" t="s">
        <v>121</v>
      </c>
      <c r="J43" s="12" t="s">
        <v>119</v>
      </c>
    </row>
    <row r="44" spans="4:10" x14ac:dyDescent="0.25">
      <c r="D44" s="1" t="s">
        <v>169</v>
      </c>
      <c r="E44" s="1" t="s">
        <v>123</v>
      </c>
      <c r="F44" s="1" t="e">
        <f>X_Cell_Enterprise_GrainYield*X_Cell_Enterprise_PercentGrainSold</f>
        <v>#NAME?</v>
      </c>
      <c r="G44" s="1" t="e">
        <f>F44/(F44+F47)</f>
        <v>#NAME?</v>
      </c>
      <c r="H44" s="1" t="e">
        <f>(E36/F44)*G44</f>
        <v>#NAME?</v>
      </c>
      <c r="I44" s="1" t="e">
        <f>(F36/F44)*G44</f>
        <v>#NAME?</v>
      </c>
      <c r="J44" s="10" t="s">
        <v>161</v>
      </c>
    </row>
    <row r="45" spans="4:10" x14ac:dyDescent="0.25">
      <c r="D45" s="1" t="s">
        <v>170</v>
      </c>
      <c r="E45" s="1" t="s">
        <v>123</v>
      </c>
      <c r="F45" s="1" t="e">
        <f>F44</f>
        <v>#NAME?</v>
      </c>
      <c r="G45" s="1" t="e">
        <f>G44</f>
        <v>#NAME?</v>
      </c>
      <c r="H45" s="1" t="e">
        <f>(E37/F45)*G45</f>
        <v>#NAME?</v>
      </c>
      <c r="I45" s="1" t="e">
        <f>(F37/F45)*G45</f>
        <v>#NAME?</v>
      </c>
      <c r="J45" s="10" t="s">
        <v>161</v>
      </c>
    </row>
    <row r="46" spans="4:10" x14ac:dyDescent="0.25">
      <c r="D46" s="1" t="s">
        <v>159</v>
      </c>
      <c r="E46" s="1" t="s">
        <v>126</v>
      </c>
      <c r="F46" s="1" t="e">
        <f>X_Cell_Enterprise_GrainYield*X_Cell_Enterprise_PercentGrainUsedAsFeed</f>
        <v>#NAME?</v>
      </c>
      <c r="G46" s="1" t="s">
        <v>125</v>
      </c>
      <c r="H46" s="1" t="s">
        <v>125</v>
      </c>
      <c r="I46" s="1" t="s">
        <v>125</v>
      </c>
      <c r="J46" s="10"/>
    </row>
    <row r="47" spans="4:10" x14ac:dyDescent="0.25">
      <c r="D47" s="1" t="s">
        <v>171</v>
      </c>
      <c r="E47" s="1" t="s">
        <v>124</v>
      </c>
      <c r="F47" s="1" t="e">
        <f>X_Cell_BaledHayYield*X_Cell_PercentBaledHaySold</f>
        <v>#NAME?</v>
      </c>
      <c r="G47" s="1" t="e">
        <f>F47/(F44+F47)</f>
        <v>#NAME?</v>
      </c>
      <c r="H47" s="1" t="e">
        <f>(E36/F47)*G47</f>
        <v>#NAME?</v>
      </c>
      <c r="I47" s="1" t="e">
        <f>(F36/F47)*G47</f>
        <v>#NAME?</v>
      </c>
      <c r="J47" s="10" t="s">
        <v>162</v>
      </c>
    </row>
    <row r="48" spans="4:10" x14ac:dyDescent="0.25">
      <c r="D48" s="1" t="s">
        <v>172</v>
      </c>
      <c r="E48" s="1" t="s">
        <v>124</v>
      </c>
      <c r="F48" s="1" t="e">
        <f>F47</f>
        <v>#NAME?</v>
      </c>
      <c r="G48" s="1" t="e">
        <f>G47</f>
        <v>#NAME?</v>
      </c>
      <c r="H48" s="99" t="e">
        <f>(E37/F48)*G48</f>
        <v>#NAME?</v>
      </c>
      <c r="I48" s="99" t="e">
        <f>(F37/F48)*G48</f>
        <v>#NAME?</v>
      </c>
      <c r="J48" s="10" t="s">
        <v>162</v>
      </c>
    </row>
    <row r="49" spans="4:10" x14ac:dyDescent="0.25">
      <c r="D49" s="1" t="s">
        <v>160</v>
      </c>
      <c r="E49" s="1" t="s">
        <v>126</v>
      </c>
      <c r="F49" s="1" t="e">
        <f>X_Cell_BaledHayYield*X_Cell_PercentBaledHayUsedOnFarm</f>
        <v>#NAME?</v>
      </c>
      <c r="G49" s="1" t="s">
        <v>125</v>
      </c>
      <c r="H49" s="1" t="s">
        <v>125</v>
      </c>
      <c r="I49" s="1" t="s">
        <v>125</v>
      </c>
      <c r="J49" s="10"/>
    </row>
    <row r="51" spans="4:10" x14ac:dyDescent="0.25">
      <c r="D51" s="1" t="s">
        <v>168</v>
      </c>
    </row>
    <row r="52" spans="4:10" x14ac:dyDescent="0.25">
      <c r="D52" s="12" t="s">
        <v>133</v>
      </c>
      <c r="E52" s="12" t="s">
        <v>122</v>
      </c>
      <c r="F52" s="12" t="s">
        <v>118</v>
      </c>
      <c r="G52" s="12" t="s">
        <v>163</v>
      </c>
      <c r="H52" s="12" t="s">
        <v>165</v>
      </c>
      <c r="I52" s="12" t="s">
        <v>166</v>
      </c>
      <c r="J52" s="12" t="s">
        <v>119</v>
      </c>
    </row>
    <row r="53" spans="4:10" x14ac:dyDescent="0.25">
      <c r="D53" s="1" t="s">
        <v>169</v>
      </c>
      <c r="E53" s="1" t="s">
        <v>123</v>
      </c>
      <c r="F53" s="1" t="e">
        <f>X_Cell_Enterprise_GrainYield*X_Cell_Enterprise_PercentGrainSold</f>
        <v>#NAME?</v>
      </c>
      <c r="G53" s="1">
        <f>X_Cell_Enterprise_PercentIncomeFromGrain</f>
        <v>0.8</v>
      </c>
      <c r="H53" s="1" t="e">
        <f>E36*G53/F53</f>
        <v>#NAME?</v>
      </c>
      <c r="I53" s="1" t="e">
        <f>F36*G53/F53</f>
        <v>#NAME?</v>
      </c>
      <c r="J53" s="10" t="s">
        <v>161</v>
      </c>
    </row>
    <row r="54" spans="4:10" x14ac:dyDescent="0.25">
      <c r="D54" s="1" t="s">
        <v>170</v>
      </c>
      <c r="E54" s="1" t="s">
        <v>123</v>
      </c>
      <c r="F54" s="1" t="e">
        <f>F53</f>
        <v>#NAME?</v>
      </c>
      <c r="G54" s="1">
        <f>G53</f>
        <v>0.8</v>
      </c>
      <c r="H54" s="1" t="e">
        <f>E37*G54/F54</f>
        <v>#NAME?</v>
      </c>
      <c r="I54" s="1" t="e">
        <f>F37*G54/F54</f>
        <v>#NAME?</v>
      </c>
      <c r="J54" s="10" t="s">
        <v>161</v>
      </c>
    </row>
    <row r="55" spans="4:10" x14ac:dyDescent="0.25">
      <c r="D55" s="1" t="s">
        <v>159</v>
      </c>
      <c r="E55" s="1" t="s">
        <v>126</v>
      </c>
      <c r="F55" s="1" t="e">
        <f>X_Cell_Enterprise_GrainYield*X_Cell_Enterprise_PercentGrainUsedAsFeed</f>
        <v>#NAME?</v>
      </c>
      <c r="G55" s="1" t="s">
        <v>125</v>
      </c>
      <c r="H55" s="1" t="s">
        <v>125</v>
      </c>
      <c r="I55" s="1" t="s">
        <v>125</v>
      </c>
      <c r="J55" s="10"/>
    </row>
    <row r="56" spans="4:10" x14ac:dyDescent="0.25">
      <c r="D56" s="1" t="s">
        <v>171</v>
      </c>
      <c r="E56" s="1" t="s">
        <v>124</v>
      </c>
      <c r="F56" s="1" t="e">
        <f>X_Cell_BaledHayYield*X_Cell_PercentBaledHaySold</f>
        <v>#NAME?</v>
      </c>
      <c r="G56" s="1">
        <f>X_Cell_Enterprise_PercentIncomeFromGrain</f>
        <v>0.8</v>
      </c>
      <c r="H56" s="1" t="e">
        <f>E36*G56/F56</f>
        <v>#NAME?</v>
      </c>
      <c r="I56" s="1" t="e">
        <f>F36*G56/F56</f>
        <v>#NAME?</v>
      </c>
      <c r="J56" s="10" t="s">
        <v>162</v>
      </c>
    </row>
    <row r="57" spans="4:10" x14ac:dyDescent="0.25">
      <c r="D57" s="1" t="s">
        <v>172</v>
      </c>
      <c r="E57" s="1" t="s">
        <v>124</v>
      </c>
      <c r="F57" s="1" t="e">
        <f>F56</f>
        <v>#NAME?</v>
      </c>
      <c r="G57" s="1">
        <f>G56</f>
        <v>0.8</v>
      </c>
      <c r="H57" s="1" t="e">
        <f>E37*G57/F57</f>
        <v>#NAME?</v>
      </c>
      <c r="I57" s="1" t="e">
        <f>F37*G57/F57</f>
        <v>#NAME?</v>
      </c>
      <c r="J57" s="10" t="s">
        <v>162</v>
      </c>
    </row>
    <row r="58" spans="4:10" x14ac:dyDescent="0.25">
      <c r="D58" s="1" t="s">
        <v>160</v>
      </c>
      <c r="E58" s="1" t="s">
        <v>126</v>
      </c>
      <c r="F58" s="1" t="e">
        <f>X_Cell_BaledHayYield*X_Cell_PercentBaledHayUsedOnFarm</f>
        <v>#NAME?</v>
      </c>
      <c r="G58" s="1" t="s">
        <v>125</v>
      </c>
      <c r="H58" s="1" t="s">
        <v>125</v>
      </c>
      <c r="I58" s="1" t="s">
        <v>125</v>
      </c>
      <c r="J58" s="10"/>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791D62-75BF-4814-B1FA-242161A163DA}">
  <sheetPr>
    <tabColor rgb="FFCC6600"/>
    <pageSetUpPr autoPageBreaks="0"/>
  </sheetPr>
  <dimension ref="A1:AA115"/>
  <sheetViews>
    <sheetView showGridLines="0" zoomScaleNormal="100" workbookViewId="0">
      <selection activeCell="E34" sqref="E34"/>
    </sheetView>
  </sheetViews>
  <sheetFormatPr defaultColWidth="9.140625" defaultRowHeight="15.75" x14ac:dyDescent="0.25"/>
  <cols>
    <col min="1" max="1" width="30.7109375" style="4" customWidth="1"/>
    <col min="2" max="2" width="4.7109375" style="23" customWidth="1"/>
    <col min="3" max="3" width="4.7109375" style="26" customWidth="1"/>
    <col min="4" max="4" width="60.7109375" style="26" customWidth="1"/>
    <col min="5" max="5" width="50.7109375" style="26" customWidth="1"/>
    <col min="6" max="11" width="28.7109375" style="26" customWidth="1"/>
    <col min="12" max="25" width="28.7109375" style="23" customWidth="1"/>
    <col min="26" max="27" width="9.140625" style="23"/>
    <col min="28" max="16384" width="9.140625" style="26"/>
  </cols>
  <sheetData>
    <row r="1" spans="1:24" s="23" customFormat="1" ht="30" customHeight="1" x14ac:dyDescent="0.35">
      <c r="A1" s="11" t="e" vm="1">
        <v>#VALUE!</v>
      </c>
      <c r="C1" s="29" t="s">
        <v>87</v>
      </c>
    </row>
    <row r="2" spans="1:24" s="23" customFormat="1" ht="20.100000000000001" customHeight="1" x14ac:dyDescent="0.25">
      <c r="A2" s="3"/>
      <c r="C2" s="3"/>
      <c r="D2" s="3"/>
      <c r="E2" s="3"/>
      <c r="F2" s="3"/>
      <c r="G2" s="3"/>
      <c r="H2" s="3"/>
      <c r="I2" s="3"/>
      <c r="J2" s="3"/>
    </row>
    <row r="3" spans="1:24" ht="20.100000000000001" customHeight="1" x14ac:dyDescent="0.25">
      <c r="A3" s="5" t="str">
        <f>HYPERLINK("#'Home'!A1", "Home")</f>
        <v>Home</v>
      </c>
      <c r="C3" s="30"/>
      <c r="D3" s="30"/>
      <c r="E3" s="30"/>
      <c r="F3" s="30"/>
      <c r="G3" s="30"/>
      <c r="H3" s="30"/>
      <c r="I3" s="30"/>
      <c r="J3" s="30"/>
      <c r="K3" s="30"/>
      <c r="M3" s="25"/>
      <c r="N3" s="25"/>
      <c r="O3" s="25"/>
      <c r="P3" s="25"/>
      <c r="Q3" s="25"/>
      <c r="R3" s="25"/>
      <c r="S3" s="25"/>
      <c r="T3" s="25"/>
      <c r="U3" s="25"/>
      <c r="V3" s="25"/>
      <c r="W3" s="25"/>
      <c r="X3" s="25"/>
    </row>
    <row r="4" spans="1:24" ht="20.100000000000001" customHeight="1" x14ac:dyDescent="0.25">
      <c r="A4" s="5" t="str">
        <f>HYPERLINK("#'Results'!A1", "Results")</f>
        <v>Results</v>
      </c>
      <c r="C4" s="31"/>
      <c r="D4" s="31"/>
      <c r="E4" s="31"/>
      <c r="F4" s="31"/>
      <c r="G4" s="31"/>
      <c r="H4" s="31"/>
      <c r="I4" s="31"/>
      <c r="J4" s="31"/>
      <c r="K4" s="31"/>
    </row>
    <row r="5" spans="1:24" ht="20.100000000000001" customHeight="1" x14ac:dyDescent="0.25">
      <c r="D5" s="2" t="s">
        <v>96</v>
      </c>
      <c r="N5" s="32"/>
    </row>
    <row r="6" spans="1:24" ht="20.100000000000001" customHeight="1" x14ac:dyDescent="0.25">
      <c r="A6" s="8" t="s">
        <v>1</v>
      </c>
      <c r="N6" s="34"/>
    </row>
    <row r="7" spans="1:24" ht="20.100000000000001" customHeight="1" x14ac:dyDescent="0.25">
      <c r="A7" s="5" t="str">
        <f>HYPERLINK("#'Input - Site'!A1", "Site")</f>
        <v>Site</v>
      </c>
      <c r="D7" s="44" t="s">
        <v>97</v>
      </c>
      <c r="E7" s="45"/>
      <c r="F7" s="45"/>
      <c r="G7" s="46"/>
    </row>
    <row r="8" spans="1:24" ht="20.100000000000001" customHeight="1" x14ac:dyDescent="0.25">
      <c r="A8" s="5" t="str">
        <f>HYPERLINK("#'Input - Pasture Beef'!A1", "Pasture Beef")</f>
        <v>Pasture Beef</v>
      </c>
      <c r="D8" s="47" t="s">
        <v>98</v>
      </c>
      <c r="E8" s="48"/>
      <c r="F8" s="48"/>
      <c r="G8" s="49"/>
    </row>
    <row r="9" spans="1:24" ht="20.100000000000001" customHeight="1" x14ac:dyDescent="0.25">
      <c r="A9" s="5"/>
      <c r="D9" s="1"/>
      <c r="E9" s="50"/>
      <c r="F9" s="17"/>
      <c r="N9" s="36"/>
    </row>
    <row r="10" spans="1:24" ht="20.100000000000001" customHeight="1" x14ac:dyDescent="0.25">
      <c r="A10" s="7" t="s">
        <v>3</v>
      </c>
      <c r="D10" s="1" t="s">
        <v>99</v>
      </c>
      <c r="E10" s="14" t="s">
        <v>100</v>
      </c>
      <c r="F10" s="17" t="s">
        <v>101</v>
      </c>
      <c r="N10" s="36"/>
    </row>
    <row r="11" spans="1:24" ht="20.100000000000001" customHeight="1" x14ac:dyDescent="0.25">
      <c r="A11" s="5" t="str">
        <f>HYPERLINK("#'4.2.1.1-2 Methane'!A1", "4.2.1.1-2 Methane")</f>
        <v>4.2.1.1-2 Methane</v>
      </c>
      <c r="D11" s="1" t="s">
        <v>102</v>
      </c>
      <c r="E11" s="14" t="s">
        <v>103</v>
      </c>
      <c r="F11" s="17" t="s">
        <v>101</v>
      </c>
      <c r="G11" s="1"/>
      <c r="N11" s="41"/>
    </row>
    <row r="12" spans="1:24" ht="20.100000000000001" customHeight="1" x14ac:dyDescent="0.25">
      <c r="A12" s="5" t="str">
        <f>HYPERLINK("#'4.2.1.3-4 Soil direct N2O'!A1", "4.2.1.3-4 Soil direct N2O")</f>
        <v>4.2.1.3-4 Soil direct N2O</v>
      </c>
      <c r="D12" s="1" t="s">
        <v>104</v>
      </c>
      <c r="E12" s="14" t="s">
        <v>105</v>
      </c>
      <c r="F12" s="17" t="s">
        <v>101</v>
      </c>
    </row>
    <row r="13" spans="1:24" ht="20.100000000000001" customHeight="1" x14ac:dyDescent="0.25">
      <c r="A13" s="5" t="str">
        <f>HYPERLINK("#'4.2.1.5-6 Soil Atmos Dep'!A1", "4.2.1.5-6 Soil atm. deposition")</f>
        <v>4.2.1.5-6 Soil atm. deposition</v>
      </c>
      <c r="D13" s="1" t="s">
        <v>37</v>
      </c>
      <c r="E13" s="35">
        <v>307.7</v>
      </c>
      <c r="F13" s="17" t="s">
        <v>106</v>
      </c>
      <c r="N13" s="43"/>
      <c r="O13" s="43"/>
    </row>
    <row r="14" spans="1:24" ht="20.100000000000001" customHeight="1" x14ac:dyDescent="0.25">
      <c r="A14" s="5" t="str">
        <f>HYPERLINK("#'4.2.1.7-8 Soil leach runoff'!A1", "4.2.1.7-8 Soil leach &amp; runoff")</f>
        <v>4.2.1.7-8 Soil leach &amp; runoff</v>
      </c>
      <c r="D14" s="1" t="s">
        <v>107</v>
      </c>
      <c r="E14" s="35">
        <v>18</v>
      </c>
      <c r="F14" s="17" t="s">
        <v>108</v>
      </c>
      <c r="N14" s="43"/>
      <c r="O14" s="43"/>
    </row>
    <row r="15" spans="1:24" ht="20.100000000000001" customHeight="1" x14ac:dyDescent="0.25">
      <c r="A15" s="5"/>
      <c r="D15" s="1" t="s">
        <v>109</v>
      </c>
      <c r="E15" s="35">
        <v>601</v>
      </c>
      <c r="F15" s="17" t="s">
        <v>110</v>
      </c>
      <c r="N15" s="43"/>
      <c r="O15" s="43"/>
    </row>
    <row r="16" spans="1:24" ht="20.100000000000001" customHeight="1" x14ac:dyDescent="0.25">
      <c r="A16" s="6" t="s">
        <v>2</v>
      </c>
      <c r="D16" s="13" t="s">
        <v>111</v>
      </c>
      <c r="E16" s="35">
        <v>1326</v>
      </c>
      <c r="F16" s="17" t="s">
        <v>110</v>
      </c>
      <c r="N16" s="43"/>
      <c r="O16" s="43"/>
    </row>
    <row r="17" spans="1:25" ht="20.100000000000001" customHeight="1" x14ac:dyDescent="0.25">
      <c r="A17" s="5" t="str">
        <f>HYPERLINK("#'Constants - Pasture Beef'!A1", "Constants - Pasture Beef")</f>
        <v>Constants - Pasture Beef</v>
      </c>
      <c r="D17" s="1" t="s">
        <v>112</v>
      </c>
      <c r="E17" s="35">
        <v>7</v>
      </c>
      <c r="F17" s="17" t="s">
        <v>113</v>
      </c>
    </row>
    <row r="18" spans="1:25" ht="20.100000000000001" customHeight="1" x14ac:dyDescent="0.25">
      <c r="A18" s="5" t="str">
        <f>HYPERLINK("#'Constants - Livestock'!A1", "Constants - Livestock")</f>
        <v>Constants - Livestock</v>
      </c>
      <c r="D18" s="13" t="s">
        <v>114</v>
      </c>
      <c r="E18" s="16">
        <f>E15/E16</f>
        <v>0.45324283559577677</v>
      </c>
      <c r="F18" s="17"/>
    </row>
    <row r="19" spans="1:25" ht="20.100000000000001" customHeight="1" x14ac:dyDescent="0.25">
      <c r="A19" s="5" t="str">
        <f>HYPERLINK("#'Constants - Common'!A1", "Constants - Common")</f>
        <v>Constants - Common</v>
      </c>
      <c r="D19" s="13" t="s">
        <v>65</v>
      </c>
      <c r="E19" s="16" t="str">
        <f>Common_InputFunctions.Utility_LookupItemFromMinMax(E15,Table_SourceData_RainfallZones[Min rainfall],Table_SourceData_RainfallZones[Max rainfall],Table_SourceData_RainfallZones[Rainfall Zone])</f>
        <v>High rainfall</v>
      </c>
      <c r="G19" s="51"/>
      <c r="N19" s="32"/>
    </row>
    <row r="20" spans="1:25" ht="20.100000000000001" customHeight="1" x14ac:dyDescent="0.25">
      <c r="A20" s="5" t="str">
        <f>HYPERLINK("#'Acknowledgements'!A1", "Acknowledgements")</f>
        <v>Acknowledgements</v>
      </c>
      <c r="D20" s="1" t="s">
        <v>32</v>
      </c>
      <c r="E20" s="16" t="str">
        <f>Common_InputFunctions.Utility_GetClimateZone(E14,E15,E17,E13,E18,Table_SourceData_ClimateZones[Min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20" s="1"/>
      <c r="G20" s="50"/>
      <c r="N20" s="34"/>
    </row>
    <row r="21" spans="1:25" ht="20.100000000000001" customHeight="1" x14ac:dyDescent="0.25">
      <c r="A21"/>
      <c r="D21" s="1" t="s">
        <v>115</v>
      </c>
      <c r="E21" s="16" t="str">
        <f>Common_InputFunctions.Utility_LookupValueInTable($E$20,Table_SourceData_WetDryZones[Climate zone],Table_SourceData_WetDryZones[Wet or Dry Zone])</f>
        <v>Dry climate zone</v>
      </c>
      <c r="F21" s="1"/>
      <c r="G21" s="50"/>
    </row>
    <row r="22" spans="1:25" ht="20.100000000000001" customHeight="1" x14ac:dyDescent="0.25">
      <c r="A22" s="5"/>
      <c r="D22" s="1" t="s">
        <v>69</v>
      </c>
      <c r="E22" s="16" t="str">
        <f>Common_InputFunctions.Utility_LookupItemFromMinMax(E14,Table_SourceData_TemperatureZones[Min MAT],Table_SourceData_TemperatureZones[Max MAT],Table_SourceData_TemperatureZones[Temperature Zone])</f>
        <v>Temperate</v>
      </c>
      <c r="G22" s="54"/>
    </row>
    <row r="23" spans="1:25" ht="20.100000000000001" customHeight="1" x14ac:dyDescent="0.25">
      <c r="A23" s="5"/>
    </row>
    <row r="24" spans="1:25" ht="20.100000000000001" customHeight="1" x14ac:dyDescent="0.25">
      <c r="A24" s="5"/>
    </row>
    <row r="25" spans="1:25" ht="20.100000000000001" customHeight="1" x14ac:dyDescent="0.25">
      <c r="A25"/>
      <c r="N25" s="34"/>
    </row>
    <row r="26" spans="1:25" ht="20.100000000000001" customHeight="1" x14ac:dyDescent="0.25">
      <c r="A26"/>
    </row>
    <row r="27" spans="1:25" ht="20.100000000000001" customHeight="1" x14ac:dyDescent="0.25">
      <c r="A27"/>
    </row>
    <row r="28" spans="1:25" ht="20.100000000000001" customHeight="1" x14ac:dyDescent="0.25">
      <c r="A28"/>
    </row>
    <row r="29" spans="1:25" ht="20.100000000000001" customHeight="1" x14ac:dyDescent="0.25">
      <c r="A29"/>
    </row>
    <row r="30" spans="1:25" ht="20.100000000000001" customHeight="1" x14ac:dyDescent="0.25">
      <c r="A30"/>
      <c r="L30" s="52"/>
      <c r="M30" s="52"/>
      <c r="N30" s="52"/>
      <c r="O30" s="52"/>
      <c r="P30" s="52"/>
      <c r="Q30" s="52"/>
      <c r="R30" s="52"/>
      <c r="S30" s="52"/>
      <c r="T30" s="52"/>
      <c r="U30" s="52"/>
      <c r="V30" s="52"/>
      <c r="W30" s="52"/>
      <c r="X30" s="52"/>
      <c r="Y30" s="52"/>
    </row>
    <row r="31" spans="1:25" ht="20.100000000000001" customHeight="1" x14ac:dyDescent="0.25">
      <c r="A31"/>
      <c r="L31" s="53"/>
      <c r="M31" s="53"/>
      <c r="N31" s="53"/>
      <c r="O31" s="53"/>
      <c r="P31" s="53"/>
      <c r="Q31" s="53"/>
      <c r="R31" s="53"/>
      <c r="S31" s="53"/>
      <c r="T31" s="53"/>
      <c r="U31" s="53"/>
      <c r="V31" s="53"/>
      <c r="W31" s="53"/>
      <c r="X31" s="53"/>
      <c r="Y31" s="53"/>
    </row>
    <row r="32" spans="1:25" ht="20.100000000000001" customHeight="1" x14ac:dyDescent="0.25">
      <c r="A32"/>
      <c r="L32" s="53"/>
      <c r="M32" s="53"/>
      <c r="N32" s="53"/>
      <c r="O32" s="53"/>
      <c r="P32" s="53"/>
      <c r="Q32" s="53"/>
      <c r="R32" s="53"/>
      <c r="S32" s="53"/>
      <c r="T32" s="53"/>
      <c r="U32" s="53"/>
      <c r="V32" s="53"/>
      <c r="W32" s="53"/>
      <c r="X32" s="53"/>
      <c r="Y32" s="53"/>
    </row>
    <row r="33" spans="1:25" ht="20.100000000000001" customHeight="1" x14ac:dyDescent="0.25">
      <c r="A33"/>
      <c r="L33" s="53"/>
      <c r="M33" s="53"/>
      <c r="N33" s="53"/>
      <c r="O33" s="53"/>
      <c r="P33" s="53"/>
      <c r="Q33" s="53"/>
      <c r="R33" s="53"/>
      <c r="S33" s="53"/>
      <c r="T33" s="53"/>
      <c r="U33" s="53"/>
      <c r="V33" s="53"/>
      <c r="W33" s="53"/>
      <c r="X33" s="53"/>
      <c r="Y33" s="53"/>
    </row>
    <row r="34" spans="1:25" ht="20.100000000000001" customHeight="1" x14ac:dyDescent="0.25">
      <c r="A34"/>
      <c r="J34" s="55"/>
      <c r="K34" s="56"/>
      <c r="L34" s="53"/>
      <c r="M34" s="53"/>
      <c r="N34" s="53"/>
      <c r="O34" s="53"/>
      <c r="P34" s="53"/>
      <c r="Q34" s="53"/>
      <c r="R34" s="53"/>
      <c r="S34" s="53"/>
      <c r="T34" s="53"/>
      <c r="U34" s="53"/>
      <c r="V34" s="53"/>
      <c r="W34" s="53"/>
      <c r="X34" s="53"/>
      <c r="Y34" s="53"/>
    </row>
    <row r="35" spans="1:25" ht="20.100000000000001" customHeight="1" x14ac:dyDescent="0.25">
      <c r="A35"/>
      <c r="J35" s="55"/>
      <c r="K35" s="56"/>
      <c r="L35" s="53"/>
      <c r="M35" s="53"/>
      <c r="N35" s="53"/>
      <c r="O35" s="53"/>
      <c r="P35" s="53"/>
      <c r="Q35" s="53"/>
      <c r="R35" s="53"/>
      <c r="S35" s="53"/>
      <c r="T35" s="53"/>
      <c r="U35" s="53"/>
      <c r="V35" s="53"/>
      <c r="W35" s="53"/>
      <c r="X35" s="53"/>
      <c r="Y35" s="53"/>
    </row>
    <row r="36" spans="1:25" ht="20.100000000000001" customHeight="1" x14ac:dyDescent="0.25">
      <c r="A36"/>
      <c r="D36" s="57"/>
      <c r="E36" s="57"/>
      <c r="F36" s="58"/>
      <c r="G36" s="55"/>
      <c r="H36" s="55"/>
      <c r="I36" s="59"/>
      <c r="J36" s="55"/>
      <c r="K36" s="56"/>
      <c r="L36" s="53"/>
      <c r="M36" s="53"/>
      <c r="N36" s="53"/>
      <c r="O36" s="53"/>
      <c r="P36" s="53"/>
      <c r="Q36" s="53"/>
      <c r="R36" s="53"/>
      <c r="S36" s="53"/>
      <c r="T36" s="53"/>
      <c r="U36" s="53"/>
      <c r="V36" s="53"/>
      <c r="W36" s="53"/>
      <c r="X36" s="53"/>
      <c r="Y36" s="53"/>
    </row>
    <row r="37" spans="1:25" ht="20.100000000000001" customHeight="1" x14ac:dyDescent="0.25">
      <c r="A37"/>
      <c r="D37" s="57"/>
      <c r="E37" s="57"/>
      <c r="F37" s="58"/>
      <c r="G37" s="55"/>
      <c r="H37" s="55"/>
      <c r="I37" s="59"/>
      <c r="J37" s="55"/>
      <c r="K37" s="56"/>
      <c r="L37" s="53"/>
      <c r="M37" s="53"/>
      <c r="N37" s="53"/>
      <c r="O37" s="53"/>
      <c r="P37" s="53"/>
      <c r="Q37" s="53"/>
      <c r="R37" s="53"/>
      <c r="S37" s="53"/>
      <c r="T37" s="53"/>
      <c r="U37" s="53"/>
      <c r="V37" s="53"/>
      <c r="W37" s="53"/>
      <c r="X37" s="53"/>
      <c r="Y37" s="53"/>
    </row>
    <row r="38" spans="1:25" ht="20.100000000000001" customHeight="1" x14ac:dyDescent="0.25">
      <c r="A38"/>
      <c r="D38" s="57"/>
      <c r="E38" s="57"/>
      <c r="F38" s="58"/>
      <c r="G38" s="55"/>
      <c r="H38" s="55"/>
      <c r="I38" s="59"/>
      <c r="J38" s="55"/>
      <c r="K38" s="56"/>
      <c r="L38" s="53"/>
      <c r="M38" s="53"/>
      <c r="N38" s="53"/>
      <c r="O38" s="53"/>
      <c r="P38" s="53"/>
      <c r="Q38" s="53"/>
      <c r="R38" s="53"/>
      <c r="S38" s="53"/>
      <c r="T38" s="53"/>
      <c r="U38" s="53"/>
      <c r="V38" s="53"/>
      <c r="W38" s="53"/>
      <c r="X38" s="53"/>
      <c r="Y38" s="53"/>
    </row>
    <row r="39" spans="1:25" ht="20.100000000000001" customHeight="1" x14ac:dyDescent="0.25">
      <c r="A39"/>
      <c r="D39" s="57"/>
      <c r="E39" s="57"/>
      <c r="F39" s="58"/>
      <c r="G39" s="55"/>
      <c r="H39" s="55"/>
      <c r="I39" s="59"/>
      <c r="J39" s="55"/>
      <c r="K39" s="56"/>
      <c r="L39" s="53"/>
      <c r="M39" s="53"/>
      <c r="N39" s="53"/>
      <c r="O39" s="53"/>
      <c r="P39" s="53"/>
      <c r="Q39" s="53"/>
      <c r="R39" s="53"/>
      <c r="S39" s="53"/>
      <c r="T39" s="53"/>
      <c r="U39" s="53"/>
      <c r="V39" s="53"/>
      <c r="W39" s="53"/>
      <c r="X39" s="53"/>
      <c r="Y39" s="53"/>
    </row>
    <row r="40" spans="1:25" ht="20.100000000000001" customHeight="1" x14ac:dyDescent="0.25">
      <c r="A40"/>
      <c r="D40" s="60"/>
      <c r="E40" s="60"/>
      <c r="F40" s="60"/>
      <c r="G40" s="61"/>
      <c r="H40" s="62"/>
      <c r="I40" s="62"/>
      <c r="J40" s="62"/>
      <c r="K40" s="62"/>
      <c r="L40" s="63"/>
      <c r="M40" s="63"/>
      <c r="N40" s="63"/>
      <c r="O40" s="63"/>
      <c r="P40" s="63"/>
      <c r="Q40" s="63"/>
      <c r="R40" s="63"/>
      <c r="S40" s="63"/>
      <c r="T40" s="63"/>
      <c r="U40" s="63"/>
      <c r="V40" s="63"/>
      <c r="W40" s="63"/>
      <c r="X40" s="63"/>
      <c r="Y40" s="63"/>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row r="45" spans="1:25" ht="20.100000000000001" customHeight="1" x14ac:dyDescent="0.25">
      <c r="D45" s="2"/>
    </row>
    <row r="46" spans="1:25" ht="20.100000000000001" customHeight="1" x14ac:dyDescent="0.25">
      <c r="D46" s="2"/>
    </row>
    <row r="47" spans="1:25" ht="20.100000000000001" customHeight="1" x14ac:dyDescent="0.25">
      <c r="D47" s="64"/>
      <c r="E47" s="64"/>
      <c r="F47" s="64"/>
      <c r="G47" s="64"/>
      <c r="H47" s="64"/>
    </row>
    <row r="48" spans="1:25" ht="20.100000000000001" customHeight="1" x14ac:dyDescent="0.25">
      <c r="D48" s="65"/>
      <c r="E48" s="65"/>
      <c r="F48" s="66"/>
      <c r="G48" s="66"/>
      <c r="H48" s="65"/>
    </row>
    <row r="49" spans="4:8" ht="20.100000000000001" customHeight="1" x14ac:dyDescent="0.25">
      <c r="D49" s="65"/>
      <c r="E49" s="65"/>
      <c r="F49" s="66"/>
      <c r="G49" s="66"/>
      <c r="H49" s="65"/>
    </row>
    <row r="50" spans="4:8" ht="20.100000000000001" customHeight="1" x14ac:dyDescent="0.25">
      <c r="D50" s="65"/>
      <c r="E50" s="65"/>
      <c r="F50" s="66"/>
      <c r="G50" s="66"/>
      <c r="H50" s="65"/>
    </row>
    <row r="51" spans="4:8" ht="20.100000000000001" customHeight="1" x14ac:dyDescent="0.25">
      <c r="D51" s="67"/>
      <c r="E51" s="68"/>
      <c r="F51" s="68"/>
      <c r="G51" s="68"/>
      <c r="H51" s="69"/>
    </row>
    <row r="52" spans="4:8" ht="20.100000000000001" customHeight="1" x14ac:dyDescent="0.25"/>
    <row r="53" spans="4:8" ht="20.100000000000001" customHeight="1" x14ac:dyDescent="0.25"/>
    <row r="54" spans="4:8" ht="20.100000000000001" customHeight="1" x14ac:dyDescent="0.25">
      <c r="G54" s="70"/>
    </row>
    <row r="55" spans="4:8" ht="20.100000000000001" customHeight="1" x14ac:dyDescent="0.25">
      <c r="D55" s="2"/>
    </row>
    <row r="56" spans="4:8" ht="20.100000000000001" customHeight="1" x14ac:dyDescent="0.25"/>
    <row r="57" spans="4:8" ht="20.100000000000001" customHeight="1" x14ac:dyDescent="0.25">
      <c r="D57" s="71"/>
      <c r="F57" s="72"/>
    </row>
    <row r="58" spans="4:8" ht="20.100000000000001" customHeight="1" x14ac:dyDescent="0.25">
      <c r="D58" s="1"/>
      <c r="E58" s="73"/>
    </row>
    <row r="59" spans="4:8" ht="20.100000000000001" customHeight="1" x14ac:dyDescent="0.25">
      <c r="D59" s="1"/>
      <c r="E59" s="73"/>
    </row>
    <row r="60" spans="4:8" ht="20.100000000000001" customHeight="1" x14ac:dyDescent="0.25">
      <c r="D60" s="1"/>
      <c r="E60" s="74"/>
    </row>
    <row r="61" spans="4:8" ht="20.100000000000001" customHeight="1" x14ac:dyDescent="0.25">
      <c r="D61" s="1"/>
    </row>
    <row r="62" spans="4:8" ht="20.100000000000001" customHeight="1" x14ac:dyDescent="0.25"/>
    <row r="63" spans="4:8" ht="20.100000000000001" customHeight="1" x14ac:dyDescent="0.25">
      <c r="D63" s="71"/>
    </row>
    <row r="64" spans="4:8" ht="20.100000000000001" customHeight="1" x14ac:dyDescent="0.25">
      <c r="D64" s="1"/>
      <c r="E64" s="73"/>
    </row>
    <row r="65" spans="4:9" ht="20.100000000000001" customHeight="1" x14ac:dyDescent="0.25">
      <c r="D65" s="1"/>
      <c r="E65" s="73"/>
    </row>
    <row r="66" spans="4:9" ht="20.100000000000001" customHeight="1" x14ac:dyDescent="0.25">
      <c r="D66" s="1"/>
      <c r="E66" s="74"/>
    </row>
    <row r="67" spans="4:9" ht="20.100000000000001" customHeight="1" x14ac:dyDescent="0.25"/>
    <row r="68" spans="4:9" ht="20.100000000000001" customHeight="1" x14ac:dyDescent="0.25"/>
    <row r="69" spans="4:9" ht="20.100000000000001" customHeight="1" x14ac:dyDescent="0.25">
      <c r="D69" s="75"/>
      <c r="E69" s="75"/>
      <c r="F69" s="75"/>
      <c r="G69" s="75"/>
      <c r="H69" s="75"/>
      <c r="I69" s="75"/>
    </row>
    <row r="70" spans="4:9" ht="20.100000000000001" customHeight="1" x14ac:dyDescent="0.25">
      <c r="D70" s="75"/>
      <c r="E70" s="75"/>
      <c r="F70" s="75"/>
      <c r="G70" s="75"/>
      <c r="H70" s="75"/>
      <c r="I70" s="75"/>
    </row>
    <row r="71" spans="4:9" ht="20.100000000000001" customHeight="1" x14ac:dyDescent="0.25">
      <c r="D71" s="75"/>
      <c r="E71" s="75"/>
      <c r="F71" s="75"/>
      <c r="G71" s="75"/>
      <c r="H71" s="75"/>
      <c r="I71" s="75"/>
    </row>
    <row r="72" spans="4:9" ht="20.100000000000001" customHeight="1" x14ac:dyDescent="0.25">
      <c r="D72" s="75"/>
      <c r="E72" s="75"/>
      <c r="F72" s="75"/>
      <c r="G72" s="75"/>
      <c r="H72" s="75"/>
      <c r="I72" s="75"/>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76"/>
    </row>
    <row r="79" spans="4:9" ht="20.100000000000001" customHeight="1" x14ac:dyDescent="0.25">
      <c r="D79" s="76"/>
    </row>
    <row r="80" spans="4:9" ht="20.100000000000001" customHeight="1" x14ac:dyDescent="0.25">
      <c r="D80" s="76"/>
    </row>
    <row r="81" spans="4:4" ht="20.100000000000001" customHeight="1" x14ac:dyDescent="0.25">
      <c r="D81" s="76"/>
    </row>
    <row r="82" spans="4:4" ht="20.100000000000001" customHeight="1" x14ac:dyDescent="0.25">
      <c r="D82" s="76"/>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dataValidations count="4">
    <dataValidation type="list" allowBlank="1" showInputMessage="1" showErrorMessage="1" sqref="E12" xr:uid="{620909BD-05B7-4260-BB85-4888DFAEE1F3}">
      <formula1>"YES - In leaching zone, NO - Not in leaching zone"</formula1>
    </dataValidation>
    <dataValidation type="list" allowBlank="1" showInputMessage="1" showErrorMessage="1" sqref="G36:G39" xr:uid="{FC4F355F-8194-44E7-BAB7-2E788D632391}">
      <formula1>$D$41:$D$43</formula1>
    </dataValidation>
    <dataValidation type="list" allowBlank="1" showInputMessage="1" showErrorMessage="1" sqref="E11" xr:uid="{674A5993-80C6-40F8-9C7E-8360EE985D6D}">
      <formula1>INDIRECT("Table_WASA4Areas[SA 4 Name]")</formula1>
    </dataValidation>
    <dataValidation type="list" allowBlank="1" showInputMessage="1" showErrorMessage="1" sqref="E10" xr:uid="{3E5D42A7-7A09-4510-8DDD-588AA6407F0E}">
      <formula1>INDIRECT("Table_AustralianStates[Common Name]")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0171F5-957D-4D10-AA21-0CE17EC217CD}">
  <sheetPr>
    <tabColor rgb="FFCC6600"/>
  </sheetPr>
  <dimension ref="C1:J83"/>
  <sheetViews>
    <sheetView showGridLines="0" tabSelected="1" topLeftCell="A47" zoomScaleNormal="100" workbookViewId="0">
      <selection activeCell="F83" sqref="F83"/>
      <extLst>
        <ext xmlns:xlsdti="http://schemas.microsoft.com/office/spreadsheetml/2023/showDataTypeIcons" uri="{77bfe23e-c014-4d31-8a63-9c772dbf06b6}">
          <xlsdti:showDataTypeIcons visible="0"/>
        </ext>
      </extLst>
    </sheetView>
  </sheetViews>
  <sheetFormatPr defaultRowHeight="15.75" x14ac:dyDescent="0.25"/>
  <cols>
    <col min="1" max="1" width="30.7109375" customWidth="1"/>
    <col min="2" max="2" width="4.7109375" customWidth="1"/>
    <col min="3" max="3" width="4.7109375" style="1" customWidth="1"/>
    <col min="4" max="4" width="69.28515625" style="1" customWidth="1"/>
    <col min="5" max="9" width="30.7109375" style="1" customWidth="1"/>
    <col min="10" max="10" width="4.7109375" style="1" customWidth="1"/>
    <col min="11" max="11" width="30.7109375" customWidth="1"/>
  </cols>
  <sheetData>
    <row r="1" spans="3:10" ht="25.5" x14ac:dyDescent="0.35">
      <c r="C1" s="29" t="s">
        <v>148</v>
      </c>
      <c r="D1" s="23"/>
      <c r="E1" s="23"/>
      <c r="F1" s="23"/>
      <c r="G1" s="23"/>
      <c r="H1" s="23"/>
      <c r="I1" s="23"/>
      <c r="J1" s="23"/>
    </row>
    <row r="2" spans="3:10" x14ac:dyDescent="0.25">
      <c r="C2" s="3"/>
      <c r="D2" s="3"/>
      <c r="E2" s="3"/>
      <c r="F2" s="3"/>
      <c r="G2" s="3"/>
      <c r="H2" s="3"/>
      <c r="I2" s="3"/>
      <c r="J2" s="3"/>
    </row>
    <row r="3" spans="3:10" ht="20.25" x14ac:dyDescent="0.25">
      <c r="C3" s="30"/>
      <c r="D3" s="30"/>
      <c r="E3" s="30"/>
      <c r="F3" s="30"/>
      <c r="G3" s="30"/>
      <c r="H3" s="30"/>
      <c r="I3" s="30"/>
      <c r="J3" s="30"/>
    </row>
    <row r="5" spans="3:10" ht="23.25" x14ac:dyDescent="0.25">
      <c r="D5" s="2" t="s">
        <v>88</v>
      </c>
      <c r="E5" s="26"/>
      <c r="F5" s="26"/>
      <c r="G5" s="26"/>
    </row>
    <row r="6" spans="3:10" x14ac:dyDescent="0.25">
      <c r="D6" s="33"/>
      <c r="E6" s="26"/>
      <c r="F6" s="26"/>
      <c r="G6" s="26"/>
    </row>
    <row r="7" spans="3:10" x14ac:dyDescent="0.25">
      <c r="D7" s="1" t="s">
        <v>89</v>
      </c>
      <c r="E7" s="35" t="s">
        <v>90</v>
      </c>
      <c r="F7" s="17"/>
      <c r="G7" s="26"/>
    </row>
    <row r="8" spans="3:10" x14ac:dyDescent="0.25">
      <c r="D8" s="13" t="s">
        <v>91</v>
      </c>
      <c r="E8" s="35" t="s">
        <v>92</v>
      </c>
      <c r="F8" s="26"/>
      <c r="G8" s="26"/>
    </row>
    <row r="9" spans="3:10" x14ac:dyDescent="0.25">
      <c r="D9" s="26"/>
      <c r="E9" s="26"/>
      <c r="F9" s="26"/>
      <c r="G9" s="26"/>
    </row>
    <row r="10" spans="3:10" x14ac:dyDescent="0.25">
      <c r="D10" s="37" t="s">
        <v>93</v>
      </c>
      <c r="E10" s="38"/>
      <c r="F10" s="39"/>
      <c r="G10" s="40"/>
    </row>
    <row r="11" spans="3:10" x14ac:dyDescent="0.25">
      <c r="D11" s="26"/>
      <c r="E11" s="26"/>
      <c r="F11" s="26"/>
      <c r="G11" s="26"/>
    </row>
    <row r="12" spans="3:10" x14ac:dyDescent="0.25">
      <c r="D12" s="13" t="s">
        <v>17</v>
      </c>
      <c r="E12" s="15">
        <v>45658</v>
      </c>
      <c r="F12" s="17" t="s">
        <v>94</v>
      </c>
      <c r="G12" s="26"/>
    </row>
    <row r="13" spans="3:10" x14ac:dyDescent="0.25">
      <c r="D13" s="13" t="s">
        <v>18</v>
      </c>
      <c r="E13" s="42">
        <f>DATE(YEAR(E12)+1,MONTH(E12),DAY(E12))-1</f>
        <v>46022</v>
      </c>
      <c r="F13" s="17" t="s">
        <v>95</v>
      </c>
      <c r="G13" s="26"/>
    </row>
    <row r="14" spans="3:10" x14ac:dyDescent="0.25">
      <c r="F14" s="26"/>
      <c r="G14" s="26"/>
    </row>
    <row r="16" spans="3:10" ht="23.25" x14ac:dyDescent="0.25">
      <c r="D16" s="2" t="s">
        <v>19</v>
      </c>
    </row>
    <row r="18" spans="4:6" x14ac:dyDescent="0.25">
      <c r="D18" s="1" t="s">
        <v>14</v>
      </c>
      <c r="E18" s="15">
        <v>45962</v>
      </c>
      <c r="F18" s="17" t="s">
        <v>94</v>
      </c>
    </row>
    <row r="19" spans="4:6" x14ac:dyDescent="0.25">
      <c r="D19" s="1" t="s">
        <v>15</v>
      </c>
      <c r="E19" s="15">
        <v>46112</v>
      </c>
      <c r="F19" s="17" t="s">
        <v>94</v>
      </c>
    </row>
    <row r="20" spans="4:6" x14ac:dyDescent="0.25">
      <c r="D20" s="1" t="s">
        <v>16</v>
      </c>
      <c r="E20" s="16">
        <f>DATEDIF(E18,E19+1,"m")</f>
        <v>5</v>
      </c>
      <c r="F20" s="17" t="s">
        <v>117</v>
      </c>
    </row>
    <row r="22" spans="4:6" x14ac:dyDescent="0.25">
      <c r="D22" s="1" t="s">
        <v>150</v>
      </c>
      <c r="E22" s="79" t="e" cm="1">
        <f t="array" ref="E22">IF(X_Cell_Crop_CropPurpose = "Cash grain crop", X_Cell_Crop_TotalProductionOfCrop, 0)</f>
        <v>#NAME?</v>
      </c>
      <c r="F22" s="17" t="s">
        <v>20</v>
      </c>
    </row>
    <row r="23" spans="4:6" x14ac:dyDescent="0.25">
      <c r="D23" s="1" t="s">
        <v>154</v>
      </c>
      <c r="E23" s="19">
        <v>0.1</v>
      </c>
      <c r="F23" s="17" t="s">
        <v>149</v>
      </c>
    </row>
    <row r="24" spans="4:6" x14ac:dyDescent="0.25">
      <c r="D24" s="1" t="s">
        <v>155</v>
      </c>
      <c r="E24" s="19">
        <v>0.1</v>
      </c>
      <c r="F24" s="17" t="s">
        <v>149</v>
      </c>
    </row>
    <row r="25" spans="4:6" x14ac:dyDescent="0.25">
      <c r="D25" s="1" t="s">
        <v>156</v>
      </c>
      <c r="E25" s="20">
        <f>100%-E23-E24</f>
        <v>0.8</v>
      </c>
      <c r="F25" s="17" t="s">
        <v>149</v>
      </c>
    </row>
    <row r="27" spans="4:6" x14ac:dyDescent="0.25">
      <c r="D27" s="1" t="s">
        <v>152</v>
      </c>
      <c r="E27" s="79" t="e" cm="1">
        <f t="array" ref="E27">X_Cell_Crop_TotalResidueBaled</f>
        <v>#NAME?</v>
      </c>
      <c r="F27" s="17" t="s">
        <v>20</v>
      </c>
    </row>
    <row r="28" spans="4:6" x14ac:dyDescent="0.25">
      <c r="D28" s="1" t="s">
        <v>157</v>
      </c>
      <c r="E28" s="19">
        <v>0.2</v>
      </c>
      <c r="F28" s="17" t="s">
        <v>149</v>
      </c>
    </row>
    <row r="29" spans="4:6" x14ac:dyDescent="0.25">
      <c r="D29" s="1" t="s">
        <v>158</v>
      </c>
      <c r="E29" s="19">
        <v>0.1</v>
      </c>
      <c r="F29" s="17" t="s">
        <v>149</v>
      </c>
    </row>
    <row r="30" spans="4:6" x14ac:dyDescent="0.25">
      <c r="D30" s="1" t="s">
        <v>156</v>
      </c>
      <c r="E30" s="20">
        <f>100%-E28-E29</f>
        <v>0.70000000000000007</v>
      </c>
      <c r="F30" s="17" t="s">
        <v>149</v>
      </c>
    </row>
    <row r="32" spans="4:6" x14ac:dyDescent="0.25">
      <c r="D32" s="1" t="s">
        <v>151</v>
      </c>
      <c r="E32" s="19">
        <v>0.8</v>
      </c>
      <c r="F32" s="17" t="s">
        <v>149</v>
      </c>
    </row>
    <row r="33" spans="4:7" x14ac:dyDescent="0.25">
      <c r="D33" s="1" t="s">
        <v>153</v>
      </c>
      <c r="E33" s="19">
        <v>0.2</v>
      </c>
      <c r="F33" s="17" t="s">
        <v>149</v>
      </c>
    </row>
    <row r="36" spans="4:7" ht="23.25" x14ac:dyDescent="0.25">
      <c r="D36" s="2" t="s">
        <v>265</v>
      </c>
    </row>
    <row r="39" spans="4:7" ht="18.75" x14ac:dyDescent="0.25">
      <c r="D39" s="80" t="str">
        <f>"Carbon captured from " &amp; TEXT(X_Cell_Site_StartDate, "d mmmm yyyy") &amp; " to " &amp; TEXT(X_Cell_Site_EndDate, "d, mmmm, yyyy") &amp; " from environmental plantings"</f>
        <v>Carbon captured from 1 January 2025 to 31, December, 2025 from environmental plantings</v>
      </c>
    </row>
    <row r="41" spans="4:7" x14ac:dyDescent="0.25">
      <c r="D41" s="21" t="s">
        <v>266</v>
      </c>
      <c r="E41" s="21" t="s">
        <v>267</v>
      </c>
      <c r="F41" s="21" t="s">
        <v>268</v>
      </c>
      <c r="G41" s="81" t="s">
        <v>269</v>
      </c>
    </row>
    <row r="42" spans="4:7" x14ac:dyDescent="0.25">
      <c r="D42" s="35"/>
      <c r="E42" s="77"/>
      <c r="F42" s="19"/>
      <c r="G42" s="1">
        <f>Table_Input_Enterprise_PlantingRemovals[[#This Row],[Total removed CO2]]*Table_Input_Enterprise_PlantingRemovals[[#This Row],[Percent allocated to this enterprise]]</f>
        <v>0</v>
      </c>
    </row>
    <row r="46" spans="4:7" ht="23.25" x14ac:dyDescent="0.25">
      <c r="D46" s="2" t="s">
        <v>270</v>
      </c>
    </row>
    <row r="48" spans="4:7" ht="18.75" x14ac:dyDescent="0.25">
      <c r="D48" s="80" t="str">
        <f>"Gross emissions from other activity periods in the production timeframe " &amp; TEXT(X_Cell_Enterprise_ProductionTimeframeStart, "d mmmm yyyy") &amp; " to " &amp; TEXT(X_Cell_Enterprise_ProductionTimeframeEnd, "d mmmm yyyy")</f>
        <v>Gross emissions from other activity periods in the production timeframe 1 November 2025 to 31 March 2026</v>
      </c>
    </row>
    <row r="50" spans="4:7" x14ac:dyDescent="0.25">
      <c r="D50" s="90" t="str" cm="1">
        <f t="array" ref="D50">"There are " &amp; Common_InputFunctions.getOverlappingReportingCycles(X_Cell_Enterprise_ProductionTimeframeStart,X_Cell_Enterprise_ProductionTimeframeEnd,X_Cell_Site_StartDate) &amp; " emissions calculation periods that need to be completed before total product emissions can be determined."</f>
        <v>There are 2 emissions calculation periods that need to be completed before total product emissions can be determined.</v>
      </c>
    </row>
    <row r="51" spans="4:7" x14ac:dyDescent="0.25">
      <c r="D51" s="1" t="s">
        <v>271</v>
      </c>
    </row>
    <row r="53" spans="4:7" x14ac:dyDescent="0.25">
      <c r="D53" s="81" t="s">
        <v>116</v>
      </c>
      <c r="E53" s="81" t="s">
        <v>11</v>
      </c>
      <c r="F53" s="81" t="s">
        <v>12</v>
      </c>
    </row>
    <row r="54" spans="4:7" x14ac:dyDescent="0.25">
      <c r="D54" s="1" t="str" cm="1">
        <f t="array" ref="D54:D55">Common_InputFunctions.getOverlappingReportingPeriods(X_Cell_Enterprise_ProductionTimeframeStart,X_Cell_Enterprise_ProductionTimeframeEnd,X_Cell_Site_StartDate)</f>
        <v>01 Jan 2025 to 31 Dec 2025 (This reporting cycle)</v>
      </c>
      <c r="E54" s="77" t="e">
        <f>IF(ISBLANK($D54), 0, IF(ISNUMBER(SEARCH("reporting", $D54)), Result_Enterprise_Gross_Method1, "Enter value"))</f>
        <v>#NAME?</v>
      </c>
      <c r="F54" s="77" t="e">
        <f>IF(ISBLANK($D54), 0, IF(ISNUMBER(SEARCH("reporting", $D54)), Result_Enterprise_Gross_Method2, "Enter value"))</f>
        <v>#NAME?</v>
      </c>
      <c r="G54" s="10" t="s">
        <v>8</v>
      </c>
    </row>
    <row r="55" spans="4:7" x14ac:dyDescent="0.25">
      <c r="D55" s="1" t="str">
        <v>01 Jan 2026 to 31 Dec 2026</v>
      </c>
      <c r="E55" s="77" t="str">
        <f>IF(ISBLANK($D55), 0, IF(ISNUMBER(SEARCH("reporting", $D55)), Result_Enterprise_Gross_Method1, "Enter value"))</f>
        <v>Enter value</v>
      </c>
      <c r="F55" s="77" t="str">
        <f>IF(ISBLANK($D55), 0, IF(ISNUMBER(SEARCH("reporting", $D55)), Result_Enterprise_Gross_Method2, "Enter value"))</f>
        <v>Enter value</v>
      </c>
      <c r="G55" s="10" t="s">
        <v>8</v>
      </c>
    </row>
    <row r="56" spans="4:7" x14ac:dyDescent="0.25">
      <c r="E56" s="77">
        <f>IF(ISBLANK($D56), 0, IF(ISNUMBER(SEARCH("reporting", $D56)), Result_Enterprise_Gross_Method1, "Enter value"))</f>
        <v>0</v>
      </c>
      <c r="F56" s="77">
        <f>IF(ISBLANK($D56), 0, IF(ISNUMBER(SEARCH("reporting", $D56)), Result_Enterprise_Gross_Method2, "Enter value"))</f>
        <v>0</v>
      </c>
      <c r="G56" s="10" t="s">
        <v>8</v>
      </c>
    </row>
    <row r="57" spans="4:7" x14ac:dyDescent="0.25">
      <c r="E57" s="77">
        <f>IF(ISBLANK($D57), 0, IF(ISNUMBER(SEARCH("reporting", $D57)), Result_Enterprise_Gross_Method1, "Enter value"))</f>
        <v>0</v>
      </c>
      <c r="F57" s="77">
        <f>IF(ISBLANK($D57), 0, IF(ISNUMBER(SEARCH("reporting", $D57)), Result_Enterprise_Gross_Method2, "Enter value"))</f>
        <v>0</v>
      </c>
      <c r="G57" s="10" t="s">
        <v>8</v>
      </c>
    </row>
    <row r="58" spans="4:7" x14ac:dyDescent="0.25">
      <c r="E58" s="77">
        <f>IF(ISBLANK($D58), 0, IF(ISNUMBER(SEARCH("reporting", $D58)), Result_Enterprise_Gross_Method1, "Enter value"))</f>
        <v>0</v>
      </c>
      <c r="F58" s="77">
        <f>IF(ISBLANK($D58), 0, IF(ISNUMBER(SEARCH("reporting", $D58)), Result_Enterprise_Gross_Method2, "Enter value"))</f>
        <v>0</v>
      </c>
      <c r="G58" s="10" t="s">
        <v>8</v>
      </c>
    </row>
    <row r="59" spans="4:7" x14ac:dyDescent="0.25">
      <c r="D59" s="91" t="s">
        <v>129</v>
      </c>
      <c r="E59" s="86" t="e">
        <f>SUM(E54:E58)</f>
        <v>#NAME?</v>
      </c>
      <c r="F59" s="86" t="e">
        <f>SUM(F54:F58)</f>
        <v>#NAME?</v>
      </c>
      <c r="G59" s="92" t="s">
        <v>8</v>
      </c>
    </row>
    <row r="64" spans="4:7" ht="18.75" x14ac:dyDescent="0.25">
      <c r="D64" s="80" t="str">
        <f>"Carbon removals from environmental plantings for whole production cycle running between " &amp; TEXT(X_Cell_Enterprise_ProductionTimeframeStart, "d mmmm yyyy") &amp; " and " &amp; TEXT(X_Cell_Enterprise_ProductionTimeframeEnd, "d mmmm yyyy")</f>
        <v>Carbon removals from environmental plantings for whole production cycle running between 1 November 2025 and 31 March 2026</v>
      </c>
    </row>
    <row r="66" spans="4:7" x14ac:dyDescent="0.25">
      <c r="D66" s="81" t="s">
        <v>116</v>
      </c>
      <c r="E66" s="81" t="s">
        <v>127</v>
      </c>
      <c r="F66" s="81"/>
    </row>
    <row r="67" spans="4:7" x14ac:dyDescent="0.25">
      <c r="D67" s="1" t="str" cm="1">
        <f t="array" ref="D67:D68">Common_InputFunctions.getOverlappingReportingPeriods(X_Cell_Enterprise_ProductionTimeframeStart,X_Cell_Enterprise_ProductionTimeframeEnd,X_Cell_Site_StartDate)</f>
        <v>01 Jan 2025 to 31 Dec 2025 (This reporting cycle)</v>
      </c>
      <c r="E67" s="77">
        <f>IF(ISBLANK($D67), 0, IF(ISNUMBER(SEARCH("reporting", $D67)), SUM(Table_Input_Enterprise_PlantingRemovals[Removal allocated to this enterprise]), "Enter value"))</f>
        <v>0</v>
      </c>
      <c r="F67" s="10" t="s">
        <v>128</v>
      </c>
    </row>
    <row r="68" spans="4:7" x14ac:dyDescent="0.25">
      <c r="D68" s="1" t="str">
        <v>01 Jan 2026 to 31 Dec 2026</v>
      </c>
      <c r="E68" s="77" t="str">
        <f>IF(ISBLANK($D68), 0, IF(ISNUMBER(SEARCH("reporting", $D68)), SUM(Table_Input_Enterprise_PlantingRemovals[Removal allocated to this enterprise]), "Enter value"))</f>
        <v>Enter value</v>
      </c>
      <c r="F68" s="10" t="s">
        <v>128</v>
      </c>
    </row>
    <row r="69" spans="4:7" x14ac:dyDescent="0.25">
      <c r="E69" s="77">
        <f>IF(ISBLANK($D69), 0, IF(ISNUMBER(SEARCH("reporting", $D69)), SUM(Table_Input_Enterprise_PlantingRemovals[Removal allocated to this enterprise]), "Enter value"))</f>
        <v>0</v>
      </c>
      <c r="F69" s="10" t="s">
        <v>128</v>
      </c>
    </row>
    <row r="70" spans="4:7" x14ac:dyDescent="0.25">
      <c r="E70" s="77">
        <f>IF(ISBLANK($D70), 0, IF(ISNUMBER(SEARCH("reporting", $D70)), SUM(Table_Input_Enterprise_PlantingRemovals[Removal allocated to this enterprise]), "Enter value"))</f>
        <v>0</v>
      </c>
      <c r="F70" s="10" t="s">
        <v>128</v>
      </c>
    </row>
    <row r="71" spans="4:7" x14ac:dyDescent="0.25">
      <c r="E71" s="77">
        <f>IF(ISBLANK($D71), 0, IF(ISNUMBER(SEARCH("reporting", $D71)), SUM(Table_Input_Enterprise_PlantingRemovals[Removal allocated to this enterprise]), "Enter value"))</f>
        <v>0</v>
      </c>
      <c r="F71" s="10" t="s">
        <v>128</v>
      </c>
    </row>
    <row r="72" spans="4:7" x14ac:dyDescent="0.25">
      <c r="D72" s="91" t="s">
        <v>130</v>
      </c>
      <c r="E72" s="86">
        <f>SUM(E67:E71)</f>
        <v>0</v>
      </c>
      <c r="F72" s="92" t="s">
        <v>128</v>
      </c>
    </row>
    <row r="75" spans="4:7" ht="18.75" x14ac:dyDescent="0.25">
      <c r="D75" s="80" t="str">
        <f>"Net emissions from other activity periods in the production timeframe " &amp; TEXT(X_Cell_Enterprise_ProductionTimeframeStart, "d mmmm yyyy") &amp; " to " &amp; TEXT(X_Cell_Enterprise_ProductionTimeframeEnd, "d mmmm yyyy")</f>
        <v>Net emissions from other activity periods in the production timeframe 1 November 2025 to 31 March 2026</v>
      </c>
    </row>
    <row r="77" spans="4:7" x14ac:dyDescent="0.25">
      <c r="D77" s="81" t="s">
        <v>116</v>
      </c>
      <c r="E77" s="81" t="s">
        <v>11</v>
      </c>
      <c r="F77" s="81" t="s">
        <v>12</v>
      </c>
    </row>
    <row r="78" spans="4:7" x14ac:dyDescent="0.25">
      <c r="D78" s="1" t="str" cm="1">
        <f t="array" ref="D78:D79">Common_InputFunctions.getOverlappingReportingPeriods(X_Cell_Enterprise_ProductionTimeframeStart,X_Cell_Enterprise_ProductionTimeframeEnd,X_Cell_Site_StartDate)</f>
        <v>01 Jan 2025 to 31 Dec 2025 (This reporting cycle)</v>
      </c>
      <c r="E78" s="77" t="e">
        <f>IF(ISBLANK($D78), 0, IF(ISNUMBER(SEARCH("reporting", $D78)), E54-$E$67, "Enter value"))</f>
        <v>#NAME?</v>
      </c>
      <c r="F78" s="77" t="e">
        <f>IF(ISBLANK($D78), 0, IF(ISNUMBER(SEARCH("reporting", $D78)), F54-$E$67, "Enter value"))</f>
        <v>#NAME?</v>
      </c>
      <c r="G78" s="10" t="s">
        <v>8</v>
      </c>
    </row>
    <row r="79" spans="4:7" x14ac:dyDescent="0.25">
      <c r="D79" s="1" t="str">
        <v>01 Jan 2026 to 31 Dec 2026</v>
      </c>
      <c r="E79" s="77" t="str">
        <f>IF(ISBLANK($D79), 0, IF(ISNUMBER(SEARCH("reporting", $D79)), E55-$E$68, "Enter value"))</f>
        <v>Enter value</v>
      </c>
      <c r="F79" s="77" t="str">
        <f>IF(ISBLANK($D79), 0, IF(ISNUMBER(SEARCH("reporting", $D79)), F55-$E$68, "Enter value"))</f>
        <v>Enter value</v>
      </c>
      <c r="G79" s="10" t="s">
        <v>8</v>
      </c>
    </row>
    <row r="80" spans="4:7" x14ac:dyDescent="0.25">
      <c r="E80" s="77">
        <f>IF(ISBLANK($D80), 0, IF(ISNUMBER(SEARCH("reporting", $D80)), E56-$E$69, "Enter value"))</f>
        <v>0</v>
      </c>
      <c r="F80" s="77">
        <f>IF(ISBLANK($D80), 0, IF(ISNUMBER(SEARCH("reporting", $D80)), F56-$E$69, "Enter value"))</f>
        <v>0</v>
      </c>
      <c r="G80" s="10" t="s">
        <v>8</v>
      </c>
    </row>
    <row r="81" spans="4:7" x14ac:dyDescent="0.25">
      <c r="E81" s="77">
        <f>IF(ISBLANK($D81), 0, IF(ISNUMBER(SEARCH("reporting", $D81)), E57-$E$70, "Enter value"))</f>
        <v>0</v>
      </c>
      <c r="F81" s="77">
        <f>IF(ISBLANK($D81), 0, IF(ISNUMBER(SEARCH("reporting", $D81)), F57-$E$70, "Enter value"))</f>
        <v>0</v>
      </c>
      <c r="G81" s="10" t="s">
        <v>8</v>
      </c>
    </row>
    <row r="82" spans="4:7" x14ac:dyDescent="0.25">
      <c r="E82" s="77">
        <f>IF(ISBLANK($D82), 0, IF(ISNUMBER(SEARCH("reporting", $D82)), E58-$E$71, "Enter value"))</f>
        <v>0</v>
      </c>
      <c r="F82" s="77">
        <f>IF(ISBLANK($D82), 0, IF(ISNUMBER(SEARCH("reporting", $D82)), F58-$E$71, "Enter value"))</f>
        <v>0</v>
      </c>
      <c r="G82" s="10" t="s">
        <v>8</v>
      </c>
    </row>
    <row r="83" spans="4:7" x14ac:dyDescent="0.25">
      <c r="D83" s="91" t="s">
        <v>129</v>
      </c>
      <c r="E83" s="86" t="e">
        <f>SUM(E78:E82)</f>
        <v>#NAME?</v>
      </c>
      <c r="F83" s="86" t="e">
        <f>SUM(F78:F82)</f>
        <v>#NAME?</v>
      </c>
      <c r="G83" s="92" t="s">
        <v>8</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D198B5-7ECE-40EA-8499-B24C208F76C0}">
  <sheetPr>
    <tabColor rgb="FFCC6600"/>
  </sheetPr>
  <dimension ref="A1:K10"/>
  <sheetViews>
    <sheetView showGridLines="0" zoomScaleNormal="100" workbookViewId="0">
      <selection activeCell="H10" sqref="H10"/>
      <extLst>
        <ext xmlns:xlsdti="http://schemas.microsoft.com/office/spreadsheetml/2023/showDataTypeIcons" uri="{77bfe23e-c014-4d31-8a63-9c772dbf06b6}">
          <xlsdti:showDataTypeIcons visible="0"/>
        </ext>
      </extLst>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s>
  <sheetData>
    <row r="1" spans="1:11" s="11" customFormat="1" ht="25.5" x14ac:dyDescent="0.35">
      <c r="A1" s="11" t="e" vm="1">
        <v>#VALUE!</v>
      </c>
      <c r="C1" s="11" t="s">
        <v>177</v>
      </c>
    </row>
    <row r="2" spans="1:11" s="3" customFormat="1" x14ac:dyDescent="0.25"/>
    <row r="3" spans="1:11" ht="20.25" x14ac:dyDescent="0.25">
      <c r="C3" s="30"/>
      <c r="D3" s="30"/>
      <c r="E3" s="30"/>
      <c r="F3" s="30"/>
      <c r="G3" s="30"/>
      <c r="H3" s="30"/>
      <c r="I3" s="30"/>
      <c r="J3" s="30"/>
      <c r="K3" s="30"/>
    </row>
    <row r="5" spans="1:11" x14ac:dyDescent="0.25">
      <c r="D5" s="71" t="s">
        <v>182</v>
      </c>
      <c r="E5" s="71"/>
      <c r="F5" s="71"/>
      <c r="G5" s="71"/>
    </row>
    <row r="6" spans="1:11" x14ac:dyDescent="0.25">
      <c r="F6" s="17"/>
    </row>
    <row r="7" spans="1:11" x14ac:dyDescent="0.25">
      <c r="D7" s="1" t="s">
        <v>178</v>
      </c>
      <c r="E7" s="16" t="s">
        <v>179</v>
      </c>
      <c r="F7" s="17"/>
    </row>
    <row r="8" spans="1:11" x14ac:dyDescent="0.25">
      <c r="D8" s="1" t="s">
        <v>180</v>
      </c>
      <c r="E8" s="16" t="e" cm="1">
        <f t="array" ref="E8">_xlfn.IFS(X_Cell_Crop_CropType="Maize", "Maize", X_Cell_Crop_CropType="Cotton", "Cotton", TRUE, "Grains")</f>
        <v>#NAME?</v>
      </c>
      <c r="F8" s="17"/>
    </row>
    <row r="9" spans="1:11" x14ac:dyDescent="0.25">
      <c r="D9" s="1" t="s">
        <v>64</v>
      </c>
      <c r="E9" s="16" t="e" cm="1">
        <f t="array" ref="E9">X_Cell_Crop_IrrigationMethod</f>
        <v>#NAME?</v>
      </c>
    </row>
    <row r="10" spans="1:11" x14ac:dyDescent="0.25">
      <c r="D10" s="1" t="s">
        <v>181</v>
      </c>
      <c r="E10" s="16" t="e" cm="1">
        <f t="array" ref="E10">X_Cell_Crop_AreaUnderCropping</f>
        <v>#NAME?</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0A6CAE-AEA5-40D0-AB61-E3C60BCDF82A}">
  <sheetPr>
    <tabColor rgb="FFCC6600"/>
  </sheetPr>
  <dimension ref="C1:M65"/>
  <sheetViews>
    <sheetView showGridLines="0" topLeftCell="A37" zoomScaleNormal="100" workbookViewId="0">
      <selection activeCell="D58" sqref="D58"/>
    </sheetView>
  </sheetViews>
  <sheetFormatPr defaultRowHeight="15.75" x14ac:dyDescent="0.25"/>
  <cols>
    <col min="1" max="1" width="30.7109375" customWidth="1"/>
    <col min="2" max="2" width="4.7109375" customWidth="1"/>
    <col min="3" max="3" width="4.7109375" style="1" customWidth="1"/>
    <col min="4" max="4" width="49" style="1" customWidth="1"/>
    <col min="5" max="7" width="30.7109375" style="1" customWidth="1"/>
    <col min="8" max="8" width="101.28515625" style="1" customWidth="1"/>
    <col min="9" max="9" width="74.5703125" style="1" customWidth="1"/>
    <col min="10" max="13" width="30.7109375" style="1" customWidth="1"/>
    <col min="14" max="14" width="30.7109375" customWidth="1"/>
  </cols>
  <sheetData>
    <row r="1" spans="3:13" s="11" customFormat="1" ht="25.5" x14ac:dyDescent="0.35">
      <c r="C1" s="11" t="s">
        <v>183</v>
      </c>
    </row>
    <row r="2" spans="3:13" s="3" customFormat="1" x14ac:dyDescent="0.25"/>
    <row r="3" spans="3:13" ht="20.25" x14ac:dyDescent="0.25">
      <c r="C3" s="30"/>
      <c r="D3" s="30"/>
      <c r="E3" s="30"/>
      <c r="F3" s="30"/>
      <c r="G3" s="30"/>
      <c r="H3" s="30"/>
      <c r="I3" s="30"/>
      <c r="J3" s="30"/>
      <c r="K3" s="30"/>
      <c r="L3" s="30"/>
      <c r="M3" s="30"/>
    </row>
    <row r="5" spans="3:13" ht="23.25" x14ac:dyDescent="0.25">
      <c r="D5" s="2" t="s">
        <v>255</v>
      </c>
    </row>
    <row r="7" spans="3:13" x14ac:dyDescent="0.25">
      <c r="D7" s="81" t="s">
        <v>256</v>
      </c>
      <c r="E7" s="81" t="s">
        <v>257</v>
      </c>
      <c r="F7" s="81" t="s">
        <v>258</v>
      </c>
      <c r="G7" s="81" t="s">
        <v>259</v>
      </c>
      <c r="H7" s="81" t="s">
        <v>184</v>
      </c>
      <c r="I7" s="81" t="s">
        <v>185</v>
      </c>
      <c r="J7" s="81" t="s">
        <v>186</v>
      </c>
    </row>
    <row r="8" spans="3:13" x14ac:dyDescent="0.25">
      <c r="D8" s="1" t="s">
        <v>150</v>
      </c>
      <c r="E8" s="14" t="s">
        <v>235</v>
      </c>
      <c r="F8" s="14" t="s">
        <v>240</v>
      </c>
      <c r="G8" s="14" t="s">
        <v>245</v>
      </c>
      <c r="H8" s="85"/>
      <c r="I8" s="85"/>
      <c r="J8" s="16">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15</v>
      </c>
    </row>
    <row r="9" spans="3:13" x14ac:dyDescent="0.25">
      <c r="D9" s="1" t="str">
        <f>"Grain sold"</f>
        <v>Grain sold</v>
      </c>
      <c r="E9" s="14" t="s">
        <v>236</v>
      </c>
      <c r="F9" s="14" t="s">
        <v>241</v>
      </c>
      <c r="G9" s="14" t="s">
        <v>246</v>
      </c>
      <c r="H9" s="85"/>
      <c r="I9" s="85"/>
      <c r="J9" s="16">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12</v>
      </c>
    </row>
    <row r="10" spans="3:13" x14ac:dyDescent="0.25">
      <c r="D10" s="1" t="str">
        <f>"Baled hay/silage produced"</f>
        <v>Baled hay/silage produced</v>
      </c>
      <c r="E10" s="14" t="s">
        <v>237</v>
      </c>
      <c r="F10" s="14" t="s">
        <v>242</v>
      </c>
      <c r="G10" s="14" t="s">
        <v>246</v>
      </c>
      <c r="H10" s="85"/>
      <c r="I10" s="85"/>
      <c r="J10" s="16">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10</v>
      </c>
    </row>
    <row r="11" spans="3:13" x14ac:dyDescent="0.25">
      <c r="D11" s="1" t="str">
        <f>"Baled hay/silage sold"</f>
        <v>Baled hay/silage sold</v>
      </c>
      <c r="E11" s="14" t="s">
        <v>238</v>
      </c>
      <c r="F11" s="14" t="s">
        <v>243</v>
      </c>
      <c r="G11" s="14" t="s">
        <v>248</v>
      </c>
      <c r="H11" s="85"/>
      <c r="I11" s="85"/>
      <c r="J11" s="16">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6</v>
      </c>
    </row>
    <row r="12" spans="3:13" x14ac:dyDescent="0.25">
      <c r="D12" s="1" t="str">
        <f>"Percent income from grain sold"</f>
        <v>Percent income from grain sold</v>
      </c>
      <c r="E12" s="14" t="s">
        <v>239</v>
      </c>
      <c r="F12" s="14" t="s">
        <v>244</v>
      </c>
      <c r="G12" s="14" t="s">
        <v>249</v>
      </c>
      <c r="H12" s="85"/>
      <c r="I12" s="85"/>
      <c r="J12" s="16">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3</v>
      </c>
    </row>
    <row r="13" spans="3:13" x14ac:dyDescent="0.25">
      <c r="D13" s="1" t="str">
        <f>"Percent income from baled hay/silage sold"</f>
        <v>Percent income from baled hay/silage sold</v>
      </c>
      <c r="E13" s="14" t="s">
        <v>235</v>
      </c>
      <c r="F13" s="14" t="s">
        <v>241</v>
      </c>
      <c r="G13" s="14" t="s">
        <v>245</v>
      </c>
      <c r="H13" s="85"/>
      <c r="I13" s="85"/>
      <c r="J13" s="16">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14</v>
      </c>
    </row>
    <row r="15" spans="3:13" x14ac:dyDescent="0.25">
      <c r="J15" s="86">
        <f>SUM(Table_Input_DataQuality_Enterprise[Score])</f>
        <v>60</v>
      </c>
    </row>
    <row r="16" spans="3:13" ht="23.25" x14ac:dyDescent="0.25">
      <c r="D16" s="2" t="s">
        <v>260</v>
      </c>
    </row>
    <row r="18" spans="4:10" x14ac:dyDescent="0.25">
      <c r="D18" s="81" t="s">
        <v>256</v>
      </c>
      <c r="E18" s="81" t="s">
        <v>257</v>
      </c>
      <c r="F18" s="81" t="s">
        <v>258</v>
      </c>
      <c r="G18" s="81" t="s">
        <v>259</v>
      </c>
      <c r="H18" s="81" t="s">
        <v>184</v>
      </c>
      <c r="I18" s="81" t="s">
        <v>185</v>
      </c>
      <c r="J18" s="81" t="s">
        <v>186</v>
      </c>
    </row>
    <row r="19" spans="4:10" x14ac:dyDescent="0.25">
      <c r="D19" s="1" t="str">
        <f>"Leaching zone"</f>
        <v>Leaching zone</v>
      </c>
      <c r="E19" s="14" t="s">
        <v>236</v>
      </c>
      <c r="F19" s="14" t="s">
        <v>242</v>
      </c>
      <c r="G19" s="14" t="s">
        <v>245</v>
      </c>
      <c r="H19" s="85"/>
      <c r="I19" s="85"/>
      <c r="J19" s="16">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12</v>
      </c>
    </row>
    <row r="20" spans="4:10" x14ac:dyDescent="0.25">
      <c r="D20" s="1" t="str">
        <f>"Elevation"</f>
        <v>Elevation</v>
      </c>
      <c r="E20" s="14" t="s">
        <v>236</v>
      </c>
      <c r="F20" s="14" t="s">
        <v>242</v>
      </c>
      <c r="G20" s="14" t="s">
        <v>245</v>
      </c>
      <c r="H20" s="85"/>
      <c r="I20" s="85"/>
      <c r="J20" s="16">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12</v>
      </c>
    </row>
    <row r="21" spans="4:10" x14ac:dyDescent="0.25">
      <c r="D21" s="1" t="str">
        <f>"Average temperature for reporting period"</f>
        <v>Average temperature for reporting period</v>
      </c>
      <c r="E21" s="14" t="s">
        <v>236</v>
      </c>
      <c r="F21" s="14" t="s">
        <v>242</v>
      </c>
      <c r="G21" s="14" t="s">
        <v>245</v>
      </c>
      <c r="H21" s="85"/>
      <c r="I21" s="85"/>
      <c r="J21" s="16">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12</v>
      </c>
    </row>
    <row r="22" spans="4:10" x14ac:dyDescent="0.25">
      <c r="D22" s="1" t="str">
        <f>"Total rainfall for reporting period"</f>
        <v>Total rainfall for reporting period</v>
      </c>
      <c r="E22" s="14" t="s">
        <v>235</v>
      </c>
      <c r="F22" s="14" t="s">
        <v>241</v>
      </c>
      <c r="G22" s="14" t="s">
        <v>245</v>
      </c>
      <c r="H22" s="85"/>
      <c r="I22" s="85"/>
      <c r="J22" s="16">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14</v>
      </c>
    </row>
    <row r="23" spans="4:10" x14ac:dyDescent="0.25">
      <c r="D23" s="1" t="str">
        <f>"Potential evapotranspiration for reporting period"</f>
        <v>Potential evapotranspiration for reporting period</v>
      </c>
      <c r="E23" s="14" t="s">
        <v>236</v>
      </c>
      <c r="F23" s="14" t="s">
        <v>242</v>
      </c>
      <c r="G23" s="14" t="s">
        <v>245</v>
      </c>
      <c r="H23" s="85"/>
      <c r="I23" s="85"/>
      <c r="J23" s="16">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12</v>
      </c>
    </row>
    <row r="24" spans="4:10" x14ac:dyDescent="0.25">
      <c r="D24" s="1" t="str">
        <f>"Number of frost days for reporting period"</f>
        <v>Number of frost days for reporting period</v>
      </c>
      <c r="E24" s="87" t="s">
        <v>237</v>
      </c>
      <c r="F24" s="87" t="s">
        <v>242</v>
      </c>
      <c r="G24" s="87" t="s">
        <v>245</v>
      </c>
      <c r="H24" s="85"/>
      <c r="I24" s="85"/>
      <c r="J24" s="16">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11</v>
      </c>
    </row>
    <row r="26" spans="4:10" x14ac:dyDescent="0.25">
      <c r="J26" s="86">
        <f>SUM(Table_Input_DataQuality_Site[Score])</f>
        <v>73</v>
      </c>
    </row>
    <row r="27" spans="4:10" ht="23.25" x14ac:dyDescent="0.25">
      <c r="D27" s="2" t="s">
        <v>297</v>
      </c>
    </row>
    <row r="29" spans="4:10" x14ac:dyDescent="0.25">
      <c r="D29" s="81" t="s">
        <v>256</v>
      </c>
      <c r="E29" s="81" t="s">
        <v>257</v>
      </c>
      <c r="F29" s="81" t="s">
        <v>258</v>
      </c>
      <c r="G29" s="81" t="s">
        <v>259</v>
      </c>
      <c r="H29" s="81" t="s">
        <v>184</v>
      </c>
      <c r="I29" s="81" t="s">
        <v>185</v>
      </c>
      <c r="J29" s="81" t="s">
        <v>186</v>
      </c>
    </row>
    <row r="30" spans="4:10" x14ac:dyDescent="0.25">
      <c r="D30" s="1" t="str">
        <f>"Crop type"</f>
        <v>Crop type</v>
      </c>
      <c r="E30" s="14" t="s">
        <v>235</v>
      </c>
      <c r="F30" s="14" t="s">
        <v>241</v>
      </c>
      <c r="G30" s="14" t="s">
        <v>245</v>
      </c>
      <c r="H30" s="85"/>
      <c r="I30" s="85"/>
      <c r="J30" s="16">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14</v>
      </c>
    </row>
    <row r="31" spans="4:10" x14ac:dyDescent="0.25">
      <c r="D31" s="1" t="str">
        <f>"Irrigation method"</f>
        <v>Irrigation method</v>
      </c>
      <c r="E31" s="14" t="s">
        <v>235</v>
      </c>
      <c r="F31" s="14" t="s">
        <v>241</v>
      </c>
      <c r="G31" s="14" t="s">
        <v>245</v>
      </c>
      <c r="H31" s="85"/>
      <c r="I31" s="85"/>
      <c r="J31" s="16">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14</v>
      </c>
    </row>
    <row r="32" spans="4:10" x14ac:dyDescent="0.25">
      <c r="D32" s="1" t="str">
        <f>"Area under cropping"</f>
        <v>Area under cropping</v>
      </c>
      <c r="E32" s="14" t="s">
        <v>235</v>
      </c>
      <c r="F32" s="14" t="s">
        <v>241</v>
      </c>
      <c r="G32" s="14" t="s">
        <v>245</v>
      </c>
      <c r="H32" s="85"/>
      <c r="I32" s="85"/>
      <c r="J32" s="16">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14</v>
      </c>
    </row>
    <row r="33" spans="4:10" x14ac:dyDescent="0.25">
      <c r="D33" s="1" t="s">
        <v>298</v>
      </c>
      <c r="E33" s="14" t="s">
        <v>235</v>
      </c>
      <c r="F33" s="14" t="s">
        <v>241</v>
      </c>
      <c r="G33" s="14" t="s">
        <v>245</v>
      </c>
      <c r="H33" s="85"/>
      <c r="I33" s="85"/>
      <c r="J33" s="16">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14</v>
      </c>
    </row>
    <row r="35" spans="4:10" x14ac:dyDescent="0.25">
      <c r="J35" s="86">
        <f>SUM(Table_Input_DataQuality_PastureManagement[Score])</f>
        <v>56</v>
      </c>
    </row>
    <row r="36" spans="4:10" ht="23.25" x14ac:dyDescent="0.25">
      <c r="D36" s="2" t="s">
        <v>261</v>
      </c>
    </row>
    <row r="38" spans="4:10" x14ac:dyDescent="0.25">
      <c r="D38" s="81" t="s">
        <v>256</v>
      </c>
      <c r="E38" s="81" t="s">
        <v>257</v>
      </c>
      <c r="F38" s="81" t="s">
        <v>258</v>
      </c>
      <c r="G38" s="81" t="s">
        <v>259</v>
      </c>
      <c r="H38" s="81" t="s">
        <v>184</v>
      </c>
      <c r="I38" s="81" t="s">
        <v>185</v>
      </c>
      <c r="J38" s="81" t="s">
        <v>186</v>
      </c>
    </row>
    <row r="39" spans="4:10" x14ac:dyDescent="0.25">
      <c r="D39" s="1" t="str">
        <f>"Branded inorganic fertiliser applications"</f>
        <v>Branded inorganic fertiliser applications</v>
      </c>
      <c r="E39" s="14" t="s">
        <v>235</v>
      </c>
      <c r="F39" s="14" t="s">
        <v>241</v>
      </c>
      <c r="G39" s="14" t="s">
        <v>246</v>
      </c>
      <c r="H39" s="85"/>
      <c r="I39" s="85"/>
      <c r="J39" s="16">
        <f>IFERROR(_xlfn.XLOOKUP(Table_Input_DataQuality_FertiliserApplications[[#This Row],[When was the data sourced?]],Table_SourceData_DataQuality_TemporalRepresentativeness[User friendly description],Table_SourceData_DataQuality_TemporalRepresentativeness[Score])+_xlfn.XLOOKUP(Table_Input_DataQuality_FertiliserApplications[[#This Row],[Where is the data sourced from?]],Table_SourceData_DataQuality_SpatialRepresentativeness[User friendly description],Table_SourceData_DataQuality_SpatialRepresentativeness[Score])+_xlfn.XLOOKUP(Table_Input_DataQuality_FertiliserApplications[[#This Row],[How much of the data was from direct samples?]],Table_SourceData_DataQuality_SampleSize[User friendly description],Table_SourceData_DataQuality_SampleSize[Score]), 0)</f>
        <v>13</v>
      </c>
    </row>
    <row r="40" spans="4:10" x14ac:dyDescent="0.25">
      <c r="D40" s="1" t="str">
        <f>"Custom inorganic fertiliser blend applications"</f>
        <v>Custom inorganic fertiliser blend applications</v>
      </c>
      <c r="E40" s="14" t="s">
        <v>235</v>
      </c>
      <c r="F40" s="14" t="s">
        <v>241</v>
      </c>
      <c r="G40" s="14" t="s">
        <v>245</v>
      </c>
      <c r="H40" s="85"/>
      <c r="I40" s="85"/>
      <c r="J40" s="16">
        <f>IFERROR(_xlfn.XLOOKUP(Table_Input_DataQuality_FertiliserApplications[[#This Row],[When was the data sourced?]],Table_SourceData_DataQuality_TemporalRepresentativeness[User friendly description],Table_SourceData_DataQuality_TemporalRepresentativeness[Score])+_xlfn.XLOOKUP(Table_Input_DataQuality_FertiliserApplications[[#This Row],[Where is the data sourced from?]],Table_SourceData_DataQuality_SpatialRepresentativeness[User friendly description],Table_SourceData_DataQuality_SpatialRepresentativeness[Score])+_xlfn.XLOOKUP(Table_Input_DataQuality_FertiliserApplications[[#This Row],[How much of the data was from direct samples?]],Table_SourceData_DataQuality_SampleSize[User friendly description],Table_SourceData_DataQuality_SampleSize[Score]), 0)</f>
        <v>14</v>
      </c>
    </row>
    <row r="41" spans="4:10" x14ac:dyDescent="0.25">
      <c r="D41" s="1" t="str">
        <f>"Lime applications"</f>
        <v>Lime applications</v>
      </c>
      <c r="E41" s="14" t="s">
        <v>235</v>
      </c>
      <c r="F41" s="14" t="s">
        <v>241</v>
      </c>
      <c r="G41" s="14" t="s">
        <v>245</v>
      </c>
      <c r="H41" s="85"/>
      <c r="I41" s="85"/>
      <c r="J41" s="16">
        <f>IFERROR(_xlfn.XLOOKUP(Table_Input_DataQuality_FertiliserApplications[[#This Row],[When was the data sourced?]],Table_SourceData_DataQuality_TemporalRepresentativeness[User friendly description],Table_SourceData_DataQuality_TemporalRepresentativeness[Score])+_xlfn.XLOOKUP(Table_Input_DataQuality_FertiliserApplications[[#This Row],[Where is the data sourced from?]],Table_SourceData_DataQuality_SpatialRepresentativeness[User friendly description],Table_SourceData_DataQuality_SpatialRepresentativeness[Score])+_xlfn.XLOOKUP(Table_Input_DataQuality_FertiliserApplications[[#This Row],[How much of the data was from direct samples?]],Table_SourceData_DataQuality_SampleSize[User friendly description],Table_SourceData_DataQuality_SampleSize[Score]), 0)</f>
        <v>14</v>
      </c>
    </row>
    <row r="42" spans="4:10" x14ac:dyDescent="0.25">
      <c r="D42" s="1" t="str">
        <f>"Organic fertiliser applications"</f>
        <v>Organic fertiliser applications</v>
      </c>
      <c r="E42" s="14" t="s">
        <v>235</v>
      </c>
      <c r="F42" s="14" t="s">
        <v>241</v>
      </c>
      <c r="G42" s="14" t="s">
        <v>245</v>
      </c>
      <c r="H42" s="85"/>
      <c r="I42" s="85"/>
      <c r="J42" s="16">
        <f>IFERROR(_xlfn.XLOOKUP(Table_Input_DataQuality_FertiliserApplications[[#This Row],[When was the data sourced?]],Table_SourceData_DataQuality_TemporalRepresentativeness[User friendly description],Table_SourceData_DataQuality_TemporalRepresentativeness[Score])+_xlfn.XLOOKUP(Table_Input_DataQuality_FertiliserApplications[[#This Row],[Where is the data sourced from?]],Table_SourceData_DataQuality_SpatialRepresentativeness[User friendly description],Table_SourceData_DataQuality_SpatialRepresentativeness[Score])+_xlfn.XLOOKUP(Table_Input_DataQuality_FertiliserApplications[[#This Row],[How much of the data was from direct samples?]],Table_SourceData_DataQuality_SampleSize[User friendly description],Table_SourceData_DataQuality_SampleSize[Score]), 0)</f>
        <v>14</v>
      </c>
    </row>
    <row r="44" spans="4:10" x14ac:dyDescent="0.25">
      <c r="J44" s="86">
        <f>SUM(Table_Input_DataQuality_FertiliserApplications[Score])</f>
        <v>55</v>
      </c>
    </row>
    <row r="45" spans="4:10" ht="23.25" x14ac:dyDescent="0.25">
      <c r="D45" s="2" t="s">
        <v>262</v>
      </c>
    </row>
    <row r="47" spans="4:10" x14ac:dyDescent="0.25">
      <c r="D47" s="81" t="s">
        <v>256</v>
      </c>
      <c r="E47" s="81" t="s">
        <v>257</v>
      </c>
      <c r="F47" s="81" t="s">
        <v>258</v>
      </c>
      <c r="G47" s="81" t="s">
        <v>259</v>
      </c>
      <c r="H47" s="81" t="s">
        <v>184</v>
      </c>
      <c r="I47" s="81" t="s">
        <v>185</v>
      </c>
      <c r="J47" s="81" t="s">
        <v>186</v>
      </c>
    </row>
    <row r="48" spans="4:10" x14ac:dyDescent="0.25">
      <c r="D48" s="1" t="str">
        <f>"Fuel purchases"</f>
        <v>Fuel purchases</v>
      </c>
      <c r="E48" s="14" t="s">
        <v>235</v>
      </c>
      <c r="F48" s="14" t="s">
        <v>241</v>
      </c>
      <c r="G48" s="14" t="s">
        <v>246</v>
      </c>
      <c r="H48" s="85"/>
      <c r="I48" s="85"/>
      <c r="J48" s="16">
        <f>IFERROR(_xlfn.XLOOKUP(Table_Input_DataQuality_FuelElectricity[[#This Row],[When was the data sourced?]],Table_SourceData_DataQuality_TemporalRepresentativeness[User friendly description],Table_SourceData_DataQuality_TemporalRepresentativeness[Score])+_xlfn.XLOOKUP(Table_Input_DataQuality_FuelElectricity[[#This Row],[Where is the data sourced from?]],Table_SourceData_DataQuality_SpatialRepresentativeness[User friendly description],Table_SourceData_DataQuality_SpatialRepresentativeness[Score])+_xlfn.XLOOKUP(Table_Input_DataQuality_FuelElectricity[[#This Row],[How much of the data was from direct samples?]],Table_SourceData_DataQuality_SampleSize[User friendly description],Table_SourceData_DataQuality_SampleSize[Score]), 0)</f>
        <v>13</v>
      </c>
    </row>
    <row r="49" spans="4:10" x14ac:dyDescent="0.25">
      <c r="D49" s="1" t="str">
        <f>"Fuel consumption"</f>
        <v>Fuel consumption</v>
      </c>
      <c r="E49" s="14" t="s">
        <v>235</v>
      </c>
      <c r="F49" s="14" t="s">
        <v>241</v>
      </c>
      <c r="G49" s="14" t="s">
        <v>245</v>
      </c>
      <c r="H49" s="85"/>
      <c r="I49" s="85"/>
      <c r="J49" s="16">
        <f>IFERROR(_xlfn.XLOOKUP(Table_Input_DataQuality_FuelElectricity[[#This Row],[When was the data sourced?]],Table_SourceData_DataQuality_TemporalRepresentativeness[User friendly description],Table_SourceData_DataQuality_TemporalRepresentativeness[Score])+_xlfn.XLOOKUP(Table_Input_DataQuality_FuelElectricity[[#This Row],[Where is the data sourced from?]],Table_SourceData_DataQuality_SpatialRepresentativeness[User friendly description],Table_SourceData_DataQuality_SpatialRepresentativeness[Score])+_xlfn.XLOOKUP(Table_Input_DataQuality_FuelElectricity[[#This Row],[How much of the data was from direct samples?]],Table_SourceData_DataQuality_SampleSize[User friendly description],Table_SourceData_DataQuality_SampleSize[Score]), 0)</f>
        <v>14</v>
      </c>
    </row>
    <row r="50" spans="4:10" x14ac:dyDescent="0.25">
      <c r="D50" s="1" t="str">
        <f>"Electricity consumption"</f>
        <v>Electricity consumption</v>
      </c>
      <c r="E50" s="14" t="s">
        <v>235</v>
      </c>
      <c r="F50" s="14" t="s">
        <v>241</v>
      </c>
      <c r="G50" s="14" t="s">
        <v>245</v>
      </c>
      <c r="H50" s="85"/>
      <c r="I50" s="85"/>
      <c r="J50" s="16">
        <f>IFERROR(_xlfn.XLOOKUP(Table_Input_DataQuality_FuelElectricity[[#This Row],[When was the data sourced?]],Table_SourceData_DataQuality_TemporalRepresentativeness[User friendly description],Table_SourceData_DataQuality_TemporalRepresentativeness[Score])+_xlfn.XLOOKUP(Table_Input_DataQuality_FuelElectricity[[#This Row],[Where is the data sourced from?]],Table_SourceData_DataQuality_SpatialRepresentativeness[User friendly description],Table_SourceData_DataQuality_SpatialRepresentativeness[Score])+_xlfn.XLOOKUP(Table_Input_DataQuality_FuelElectricity[[#This Row],[How much of the data was from direct samples?]],Table_SourceData_DataQuality_SampleSize[User friendly description],Table_SourceData_DataQuality_SampleSize[Score]), 0)</f>
        <v>14</v>
      </c>
    </row>
    <row r="51" spans="4:10" x14ac:dyDescent="0.25">
      <c r="D51" s="1" t="str">
        <f>"Electricity generation"</f>
        <v>Electricity generation</v>
      </c>
      <c r="E51" s="14" t="s">
        <v>235</v>
      </c>
      <c r="F51" s="14" t="s">
        <v>241</v>
      </c>
      <c r="G51" s="14" t="s">
        <v>245</v>
      </c>
      <c r="H51" s="85"/>
      <c r="I51" s="85"/>
      <c r="J51" s="16">
        <f>IFERROR(_xlfn.XLOOKUP(Table_Input_DataQuality_FuelElectricity[[#This Row],[When was the data sourced?]],Table_SourceData_DataQuality_TemporalRepresentativeness[User friendly description],Table_SourceData_DataQuality_TemporalRepresentativeness[Score])+_xlfn.XLOOKUP(Table_Input_DataQuality_FuelElectricity[[#This Row],[Where is the data sourced from?]],Table_SourceData_DataQuality_SpatialRepresentativeness[User friendly description],Table_SourceData_DataQuality_SpatialRepresentativeness[Score])+_xlfn.XLOOKUP(Table_Input_DataQuality_FuelElectricity[[#This Row],[How much of the data was from direct samples?]],Table_SourceData_DataQuality_SampleSize[User friendly description],Table_SourceData_DataQuality_SampleSize[Score]), 0)</f>
        <v>14</v>
      </c>
    </row>
    <row r="53" spans="4:10" x14ac:dyDescent="0.25">
      <c r="J53" s="86">
        <f>SUM(Table_Input_DataQuality_FuelElectricity[Score])</f>
        <v>55</v>
      </c>
    </row>
    <row r="55" spans="4:10" ht="23.25" x14ac:dyDescent="0.25">
      <c r="D55" s="2" t="s">
        <v>263</v>
      </c>
    </row>
    <row r="57" spans="4:10" x14ac:dyDescent="0.25">
      <c r="D57" s="81" t="s">
        <v>256</v>
      </c>
      <c r="E57" s="81" t="s">
        <v>257</v>
      </c>
      <c r="F57" s="81" t="s">
        <v>258</v>
      </c>
      <c r="G57" s="81" t="s">
        <v>259</v>
      </c>
      <c r="H57" s="81" t="s">
        <v>184</v>
      </c>
      <c r="I57" s="81" t="s">
        <v>185</v>
      </c>
      <c r="J57" s="81" t="s">
        <v>186</v>
      </c>
    </row>
    <row r="58" spans="4:10" x14ac:dyDescent="0.25">
      <c r="D58" s="1" t="str">
        <f>"Farm input purchases"</f>
        <v>Farm input purchases</v>
      </c>
      <c r="E58" s="14" t="s">
        <v>235</v>
      </c>
      <c r="F58" s="14" t="s">
        <v>241</v>
      </c>
      <c r="G58" s="14" t="s">
        <v>246</v>
      </c>
      <c r="H58" s="85"/>
      <c r="I58" s="85"/>
      <c r="J58" s="16">
        <f>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f>
        <v>13</v>
      </c>
    </row>
    <row r="59" spans="4:10" x14ac:dyDescent="0.25">
      <c r="D59" s="1" t="str">
        <f>"Inbound freight use"</f>
        <v>Inbound freight use</v>
      </c>
      <c r="E59" s="14" t="s">
        <v>235</v>
      </c>
      <c r="F59" s="14" t="s">
        <v>241</v>
      </c>
      <c r="G59" s="14" t="s">
        <v>245</v>
      </c>
      <c r="H59" s="85"/>
      <c r="I59" s="85"/>
      <c r="J59" s="16">
        <f>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f>
        <v>14</v>
      </c>
    </row>
    <row r="60" spans="4:10" x14ac:dyDescent="0.25">
      <c r="D60" s="1" t="str">
        <f>"Outbound freight use"</f>
        <v>Outbound freight use</v>
      </c>
      <c r="E60" s="14" t="s">
        <v>235</v>
      </c>
      <c r="F60" s="14" t="s">
        <v>241</v>
      </c>
      <c r="G60" s="14" t="s">
        <v>245</v>
      </c>
      <c r="H60" s="85"/>
      <c r="I60" s="85"/>
      <c r="J60" s="16">
        <f>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f>
        <v>14</v>
      </c>
    </row>
    <row r="61" spans="4:10" x14ac:dyDescent="0.25">
      <c r="D61" s="1" t="str">
        <f>"Solid waste generation and treatment"</f>
        <v>Solid waste generation and treatment</v>
      </c>
      <c r="E61" s="14" t="s">
        <v>235</v>
      </c>
      <c r="F61" s="14" t="s">
        <v>241</v>
      </c>
      <c r="G61" s="14" t="s">
        <v>245</v>
      </c>
      <c r="H61" s="85"/>
      <c r="I61" s="85"/>
      <c r="J61" s="16">
        <f>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f>
        <v>14</v>
      </c>
    </row>
    <row r="63" spans="4:10" x14ac:dyDescent="0.25">
      <c r="J63" s="86">
        <f>SUM(Table_Input_DataQuality_FarmInputsFreightWaste[Score])</f>
        <v>55</v>
      </c>
    </row>
    <row r="65" spans="4:5" ht="20.25" x14ac:dyDescent="0.25">
      <c r="D65" s="88" t="s">
        <v>264</v>
      </c>
      <c r="E65" s="89" t="str">
        <f>(J15+J26+J35+J44+J53+J63)&amp;" out of "&amp;((COUNT(Table_Input_DataQuality_Enterprise[Score])*15)+(COUNT(Table_Input_DataQuality_Site[Score])*15)+(COUNT(Table_Input_DataQuality_PastureManagement[Score])*15)+(COUNT(Table_Input_DataQuality_FertiliserApplications[Score])*15)+(COUNT(Table_Input_DataQuality_FuelElectricity[Score])*15)+(COUNT(Table_Input_DataQuality_FarmInputsFreightWaste[Score])*15))</f>
        <v>354 out of 420</v>
      </c>
    </row>
  </sheetData>
  <dataValidations count="3">
    <dataValidation type="list" allowBlank="1" showInputMessage="1" showErrorMessage="1" sqref="G8:G13 G19:G24 G39:G42 G48:G51 G58:G61 G30:G33" xr:uid="{97D978E2-EFFF-4D26-AA9B-97907606C063}">
      <formula1>INDIRECT("Table_SourceData_DataQuality_SampleSize[User friendly description]")</formula1>
    </dataValidation>
    <dataValidation type="list" allowBlank="1" showInputMessage="1" showErrorMessage="1" sqref="E8:E13 E19:E24 E39:E42 E48:E51 E58:E61 E30:E33" xr:uid="{6365A925-6C5F-4576-82C6-82C3A3309F18}">
      <formula1>INDIRECT("Table_SourceData_DataQuality_TemporalRepresentativeness[User friendly description]")</formula1>
    </dataValidation>
    <dataValidation type="list" allowBlank="1" showInputMessage="1" showErrorMessage="1" sqref="F8:F13 F19:F24 F39:F42 F48:F51 F58:F61 F30:F33" xr:uid="{2FC31694-CF14-4E83-AB3B-0D117C874273}">
      <formula1>INDIRECT("Table_SourceData_DataQuality_SpatialRepresentativeness[User friendly description]")</formula1>
    </dataValidation>
  </dataValidations>
  <pageMargins left="0.7" right="0.7" top="0.75" bottom="0.75" header="0.3" footer="0.3"/>
  <tableParts count="6">
    <tablePart r:id="rId1"/>
    <tablePart r:id="rId2"/>
    <tablePart r:id="rId3"/>
    <tablePart r:id="rId4"/>
    <tablePart r:id="rId5"/>
    <tablePart r:id="rId6"/>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D3DE85-228C-483C-8D62-5D3027BF032E}">
  <sheetPr>
    <tabColor theme="2" tint="-0.499984740745262"/>
  </sheetPr>
  <dimension ref="A1:BY297"/>
  <sheetViews>
    <sheetView showGridLines="0" topLeftCell="A265" zoomScaleNormal="100" workbookViewId="0">
      <selection activeCell="D292" sqref="D292:D297"/>
    </sheetView>
  </sheetViews>
  <sheetFormatPr defaultColWidth="9.140625" defaultRowHeight="15.75" x14ac:dyDescent="0.25"/>
  <cols>
    <col min="1" max="1" width="30.7109375" style="23" customWidth="1"/>
    <col min="2" max="2" width="2.7109375" style="23"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23" customWidth="1"/>
    <col min="34" max="39" width="21.85546875" style="23" customWidth="1"/>
    <col min="40" max="44" width="20.7109375" style="23" customWidth="1"/>
    <col min="45" max="65" width="9.140625" style="23"/>
    <col min="66" max="16384" width="9.140625" style="26"/>
  </cols>
  <sheetData>
    <row r="1" spans="1:65" s="22" customFormat="1" ht="30" customHeight="1" x14ac:dyDescent="0.35">
      <c r="A1" s="22" t="e" vm="1">
        <v>#VALUE!</v>
      </c>
      <c r="C1" s="22" t="s">
        <v>21</v>
      </c>
    </row>
    <row r="2" spans="1:65" s="3" customFormat="1" ht="20.100000000000001" customHeight="1" x14ac:dyDescent="0.25">
      <c r="A2"/>
    </row>
    <row r="3" spans="1:65" ht="20.100000000000001" customHeight="1" x14ac:dyDescent="0.25">
      <c r="A3" s="5" t="str">
        <f>HYPERLINK("#'Home'!A1", "Home")</f>
        <v>Home</v>
      </c>
      <c r="C3" s="24"/>
      <c r="D3" s="24"/>
      <c r="E3" s="24"/>
      <c r="F3" s="24"/>
      <c r="G3" s="24"/>
      <c r="H3" s="24"/>
      <c r="I3" s="24"/>
      <c r="J3" s="24"/>
      <c r="K3" s="24"/>
      <c r="L3" s="24"/>
      <c r="M3" s="24"/>
      <c r="N3" s="24"/>
      <c r="O3" s="24"/>
      <c r="P3" s="24"/>
      <c r="Q3" s="24"/>
      <c r="R3" s="24"/>
      <c r="S3" s="24"/>
      <c r="T3" s="24"/>
      <c r="U3" s="24"/>
      <c r="V3" s="25"/>
      <c r="W3" s="25"/>
    </row>
    <row r="4" spans="1:65" ht="20.100000000000001" customHeight="1" x14ac:dyDescent="0.25">
      <c r="A4"/>
      <c r="BM4" s="26"/>
    </row>
    <row r="5" spans="1:65" ht="20.100000000000001" customHeight="1" x14ac:dyDescent="0.25">
      <c r="A5"/>
      <c r="D5" s="2" t="str" cm="1">
        <f t="array" ref="D5">Common_SourceData.Common_SourceData_AustralianStatesTerritories_Title()</f>
        <v>Australian states and territories</v>
      </c>
      <c r="BM5" s="26"/>
    </row>
    <row r="6" spans="1:65" ht="20.100000000000001" customHeight="1" x14ac:dyDescent="0.25">
      <c r="A6" s="83" t="s">
        <v>2</v>
      </c>
      <c r="D6" s="21" t="s">
        <v>22</v>
      </c>
      <c r="E6" s="21" t="s">
        <v>23</v>
      </c>
      <c r="F6" s="21" t="s">
        <v>24</v>
      </c>
    </row>
    <row r="7" spans="1:65" ht="20.100000000000001" customHeight="1" x14ac:dyDescent="0.25">
      <c r="A7" s="84" t="str">
        <f>HYPERLINK("#'Constants - Common'!A1", "Constants - Common")</f>
        <v>Constants - Common</v>
      </c>
      <c r="D7" s="21" t="str" cm="1">
        <f t="array" ref="D7">Common_InputFunctions.Utility_DisplayArrayInTable(Common_SourceData.Common_SourceData_AustralianStatesTerritories_Data(),Table_AustralianStates[[#Headers],[State/Territory]],0)</f>
        <v>New South Wales</v>
      </c>
      <c r="E7" s="21" t="str" cm="1">
        <f t="array" ref="E7">Common_InputFunctions.Utility_DisplayArrayInTable(Common_SourceData.Common_SourceData_AustralianStatesTerritories_Data(),Table_AustralianStates[[#Headers],[State/Territory]],0)</f>
        <v>New South Wales</v>
      </c>
      <c r="F7" s="21" t="str" cm="1">
        <f t="array" ref="F7">Common_InputFunctions.Utility_DisplayArrayInTable(Common_SourceData.Common_SourceData_AustralianStatesTerritories_Data(),Table_AustralianStates[[#Headers],[State/Territory]],0)</f>
        <v>NSW</v>
      </c>
    </row>
    <row r="8" spans="1:65" ht="20.100000000000001" customHeight="1" x14ac:dyDescent="0.25">
      <c r="A8" s="5" t="str">
        <f>HYPERLINK("#'Acknowledgements'!A1", "Acknowledgements")</f>
        <v>Acknowledgements</v>
      </c>
      <c r="D8" s="21" t="str" cm="1">
        <f t="array" ref="D8">Common_InputFunctions.Utility_DisplayArrayInTable(Common_SourceData.Common_SourceData_AustralianStatesTerritories_Data(),Table_AustralianStates[[#Headers],[State/Territory]],0)</f>
        <v>Australian Capital Territory</v>
      </c>
      <c r="E8" s="21" t="str" cm="1">
        <f t="array" ref="E8">Common_InputFunctions.Utility_DisplayArrayInTable(Common_SourceData.Common_SourceData_AustralianStatesTerritories_Data(),Table_AustralianStates[[#Headers],[State/Territory]],0)</f>
        <v>ACT</v>
      </c>
      <c r="F8" s="21" t="str" cm="1">
        <f t="array" ref="F8">Common_InputFunctions.Utility_DisplayArrayInTable(Common_SourceData.Common_SourceData_AustralianStatesTerritories_Data(),Table_AustralianStates[[#Headers],[State/Territory]],0)</f>
        <v>ACT</v>
      </c>
    </row>
    <row r="9" spans="1:65" ht="20.100000000000001" customHeight="1" x14ac:dyDescent="0.25">
      <c r="A9"/>
      <c r="D9" s="21" t="str" cm="1">
        <f t="array" ref="D9">Common_InputFunctions.Utility_DisplayArrayInTable(Common_SourceData.Common_SourceData_AustralianStatesTerritories_Data(),Table_AustralianStates[[#Headers],[State/Territory]],0)</f>
        <v>Victoria</v>
      </c>
      <c r="E9" s="21" t="str" cm="1">
        <f t="array" ref="E9">Common_InputFunctions.Utility_DisplayArrayInTable(Common_SourceData.Common_SourceData_AustralianStatesTerritories_Data(),Table_AustralianStates[[#Headers],[State/Territory]],0)</f>
        <v>Victoria</v>
      </c>
      <c r="F9" s="21"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21" t="str" cm="1">
        <f t="array" ref="D10">Common_InputFunctions.Utility_DisplayArrayInTable(Common_SourceData.Common_SourceData_AustralianStatesTerritories_Data(),Table_AustralianStates[[#Headers],[State/Territory]],0)</f>
        <v>Queensland</v>
      </c>
      <c r="E10" s="21" t="str" cm="1">
        <f t="array" ref="E10">Common_InputFunctions.Utility_DisplayArrayInTable(Common_SourceData.Common_SourceData_AustralianStatesTerritories_Data(),Table_AustralianStates[[#Headers],[State/Territory]],0)</f>
        <v>Queensland</v>
      </c>
      <c r="F10" s="21"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21" t="str" cm="1">
        <f t="array" ref="D11">Common_InputFunctions.Utility_DisplayArrayInTable(Common_SourceData.Common_SourceData_AustralianStatesTerritories_Data(),Table_AustralianStates[[#Headers],[State/Territory]],0)</f>
        <v>South Australia</v>
      </c>
      <c r="E11" s="21" t="str" cm="1">
        <f t="array" ref="E11">Common_InputFunctions.Utility_DisplayArrayInTable(Common_SourceData.Common_SourceData_AustralianStatesTerritories_Data(),Table_AustralianStates[[#Headers],[State/Territory]],0)</f>
        <v>South Australia</v>
      </c>
      <c r="F11" s="21" t="str" cm="1">
        <f t="array" ref="F11">Common_InputFunctions.Utility_DisplayArrayInTable(Common_SourceData.Common_SourceData_AustralianStatesTerritories_Data(),Table_AustralianStates[[#Headers],[State/Territory]],0)</f>
        <v>SA</v>
      </c>
      <c r="BM11" s="26"/>
    </row>
    <row r="12" spans="1:65" ht="20.100000000000001" customHeight="1" x14ac:dyDescent="0.25">
      <c r="A12"/>
      <c r="D12" s="21" t="str" cm="1">
        <f t="array" ref="D12">Common_InputFunctions.Utility_DisplayArrayInTable(Common_SourceData.Common_SourceData_AustralianStatesTerritories_Data(),Table_AustralianStates[[#Headers],[State/Territory]],0)</f>
        <v>Western Australia</v>
      </c>
      <c r="E12" s="21" t="str" cm="1">
        <f t="array" ref="E12">Common_InputFunctions.Utility_DisplayArrayInTable(Common_SourceData.Common_SourceData_AustralianStatesTerritories_Data(),Table_AustralianStates[[#Headers],[State/Territory]],0)</f>
        <v>Western Australia</v>
      </c>
      <c r="F12" s="21" t="str" cm="1">
        <f t="array" ref="F12">Common_InputFunctions.Utility_DisplayArrayInTable(Common_SourceData.Common_SourceData_AustralianStatesTerritories_Data(),Table_AustralianStates[[#Headers],[State/Territory]],0)</f>
        <v>WA</v>
      </c>
      <c r="BM12" s="26"/>
    </row>
    <row r="13" spans="1:65" ht="20.100000000000001" customHeight="1" x14ac:dyDescent="0.25">
      <c r="A13"/>
      <c r="D13" s="21" t="str" cm="1">
        <f t="array" ref="D13">Common_InputFunctions.Utility_DisplayArrayInTable(Common_SourceData.Common_SourceData_AustralianStatesTerritories_Data(),Table_AustralianStates[[#Headers],[State/Territory]],0)</f>
        <v>Tasmania</v>
      </c>
      <c r="E13" s="21" t="str" cm="1">
        <f t="array" ref="E13">Common_InputFunctions.Utility_DisplayArrayInTable(Common_SourceData.Common_SourceData_AustralianStatesTerritories_Data(),Table_AustralianStates[[#Headers],[State/Territory]],0)</f>
        <v>Tasmania</v>
      </c>
      <c r="F13" s="21"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21" t="str" cm="1">
        <f t="array" ref="D14">Common_InputFunctions.Utility_DisplayArrayInTable(Common_SourceData.Common_SourceData_AustralianStatesTerritories_Data(),Table_AustralianStates[[#Headers],[State/Territory]],0)</f>
        <v>Northern Territory</v>
      </c>
      <c r="E14" s="21" t="str" cm="1">
        <f t="array" ref="E14">Common_InputFunctions.Utility_DisplayArrayInTable(Common_SourceData.Common_SourceData_AustralianStatesTerritories_Data(),Table_AustralianStates[[#Headers],[State/Territory]],0)</f>
        <v>Northern Territory</v>
      </c>
      <c r="F14" s="21"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2" t="str" cm="1">
        <f t="array" ref="D18">Common_SourceData.Common_SourceData_WASA4Areas_Title()</f>
        <v>ABS Statistcal Areas Level 4 - Western Australia</v>
      </c>
    </row>
    <row r="19" spans="1:4" ht="20.100000000000001" customHeight="1" x14ac:dyDescent="0.25">
      <c r="A19"/>
      <c r="D19" s="18" t="str" cm="1">
        <f t="array" ref="D19">Common_SourceData.Common_SourceData_WASA4Areas_Source()</f>
        <v>Australian Bureau of Statistics (ABS) - Statistical Areas Level 2 - 2021 - Shapefile</v>
      </c>
    </row>
    <row r="20" spans="1:4" ht="20.100000000000001" customHeight="1" x14ac:dyDescent="0.25">
      <c r="A20"/>
      <c r="D20" s="21" t="s">
        <v>25</v>
      </c>
    </row>
    <row r="21" spans="1:4" ht="20.100000000000001" customHeight="1" x14ac:dyDescent="0.25">
      <c r="A21"/>
      <c r="D21" s="21" t="str" cm="1">
        <f t="array" ref="D21">Common_InputFunctions.Utility_DisplayArrayInTable(Common_SourceData.Common_SourceData_WASA4Areas_Data(), Table_WASA4Areas[[#Headers],[SA 4 Name]], 0)</f>
        <v>Bunbury</v>
      </c>
    </row>
    <row r="22" spans="1:4" ht="20.100000000000001" customHeight="1" x14ac:dyDescent="0.25">
      <c r="A22"/>
      <c r="D22" s="21" t="str" cm="1">
        <f t="array" ref="D22">Common_InputFunctions.Utility_DisplayArrayInTable(Common_SourceData.Common_SourceData_WASA4Areas_Data(), Table_WASA4Areas[[#Headers],[SA 4 Name]], 0)</f>
        <v>Mandurah</v>
      </c>
    </row>
    <row r="23" spans="1:4" ht="20.100000000000001" customHeight="1" x14ac:dyDescent="0.25">
      <c r="A23"/>
      <c r="D23" s="21" t="str" cm="1">
        <f t="array" ref="D23">Common_InputFunctions.Utility_DisplayArrayInTable(Common_SourceData.Common_SourceData_WASA4Areas_Data(), Table_WASA4Areas[[#Headers],[SA 4 Name]], 0)</f>
        <v>Perth - Inner</v>
      </c>
    </row>
    <row r="24" spans="1:4" ht="20.100000000000001" customHeight="1" x14ac:dyDescent="0.25">
      <c r="A24"/>
      <c r="D24" s="21" t="str" cm="1">
        <f t="array" ref="D24">Common_InputFunctions.Utility_DisplayArrayInTable(Common_SourceData.Common_SourceData_WASA4Areas_Data(), Table_WASA4Areas[[#Headers],[SA 4 Name]], 0)</f>
        <v>Perth - North East</v>
      </c>
    </row>
    <row r="25" spans="1:4" ht="20.100000000000001" customHeight="1" x14ac:dyDescent="0.25">
      <c r="A25"/>
      <c r="D25" s="21" t="str" cm="1">
        <f t="array" ref="D25">Common_InputFunctions.Utility_DisplayArrayInTable(Common_SourceData.Common_SourceData_WASA4Areas_Data(), Table_WASA4Areas[[#Headers],[SA 4 Name]], 0)</f>
        <v>Perth - North West</v>
      </c>
    </row>
    <row r="26" spans="1:4" ht="20.100000000000001" customHeight="1" x14ac:dyDescent="0.25">
      <c r="A26"/>
      <c r="D26" s="21" t="str" cm="1">
        <f t="array" ref="D26">Common_InputFunctions.Utility_DisplayArrayInTable(Common_SourceData.Common_SourceData_WASA4Areas_Data(), Table_WASA4Areas[[#Headers],[SA 4 Name]], 0)</f>
        <v>Perth - South East</v>
      </c>
    </row>
    <row r="27" spans="1:4" ht="20.100000000000001" customHeight="1" x14ac:dyDescent="0.25">
      <c r="A27"/>
      <c r="D27" s="21" t="str" cm="1">
        <f t="array" ref="D27">Common_InputFunctions.Utility_DisplayArrayInTable(Common_SourceData.Common_SourceData_WASA4Areas_Data(), Table_WASA4Areas[[#Headers],[SA 4 Name]], 0)</f>
        <v>Perth - South West</v>
      </c>
    </row>
    <row r="28" spans="1:4" ht="20.100000000000001" customHeight="1" x14ac:dyDescent="0.25">
      <c r="A28"/>
      <c r="D28" s="21"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21"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21"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2" t="str" cm="1">
        <f t="array" ref="D34">Common_SourceData.Common_SourceData_GWP_Title()</f>
        <v>Global warming potential for greenhouse gases</v>
      </c>
    </row>
    <row r="35" spans="1:8" ht="20.100000000000001" customHeight="1" x14ac:dyDescent="0.25">
      <c r="A35"/>
      <c r="D35" s="18" t="str" cm="1">
        <f t="array" ref="D35">Common_SourceData.Common_SourceData_GWP_Source()</f>
        <v>XXXXXXX</v>
      </c>
    </row>
    <row r="36" spans="1:8" ht="20.100000000000001" customHeight="1" x14ac:dyDescent="0.25">
      <c r="A36"/>
      <c r="D36" s="21" t="s">
        <v>26</v>
      </c>
      <c r="E36" s="21" t="s">
        <v>27</v>
      </c>
    </row>
    <row r="37" spans="1:8" ht="20.100000000000001" customHeight="1" x14ac:dyDescent="0.25">
      <c r="A37"/>
      <c r="D37" s="21" t="str" cm="1">
        <f t="array" ref="D37">Common_InputFunctions.Utility_DisplayArrayInTable(Common_SourceData.Common_SourceData_GWP_Data(), Table_GWPData[[#Headers],[Gas]], 0)</f>
        <v>CO2</v>
      </c>
      <c r="E37" s="21" cm="1">
        <f t="array" ref="E37">Common_InputFunctions.Utility_DisplayArrayInTable(Common_SourceData.Common_SourceData_GWP_Data(), Table_GWPData[[#Headers],[Gas]], 0)</f>
        <v>1</v>
      </c>
    </row>
    <row r="38" spans="1:8" ht="20.100000000000001" customHeight="1" x14ac:dyDescent="0.25">
      <c r="A38"/>
      <c r="D38" s="21" t="str" cm="1">
        <f t="array" ref="D38">Common_InputFunctions.Utility_DisplayArrayInTable(Common_SourceData.Common_SourceData_GWP_Data(), Table_GWPData[[#Headers],[Gas]], 0)</f>
        <v>CH4</v>
      </c>
      <c r="E38" s="21" cm="1">
        <f t="array" ref="E38">Common_InputFunctions.Utility_DisplayArrayInTable(Common_SourceData.Common_SourceData_GWP_Data(), Table_GWPData[[#Headers],[Gas]], 0)</f>
        <v>28</v>
      </c>
    </row>
    <row r="39" spans="1:8" ht="20.100000000000001" customHeight="1" x14ac:dyDescent="0.25">
      <c r="A39"/>
      <c r="D39" s="21" t="str" cm="1">
        <f t="array" ref="D39">Common_InputFunctions.Utility_DisplayArrayInTable(Common_SourceData.Common_SourceData_GWP_Data(), Table_GWPData[[#Headers],[Gas]], 0)</f>
        <v>N2O</v>
      </c>
      <c r="E39" s="21" cm="1">
        <f t="array" ref="E39">Common_InputFunctions.Utility_DisplayArrayInTable(Common_SourceData.Common_SourceData_GWP_Data(), Table_GWPData[[#Headers],[Gas]], 0)</f>
        <v>265</v>
      </c>
    </row>
    <row r="40" spans="1:8" ht="20.100000000000001" customHeight="1" x14ac:dyDescent="0.25">
      <c r="A40"/>
      <c r="D40" s="21" t="str" cm="1">
        <f t="array" ref="D40">Common_InputFunctions.Utility_DisplayArrayInTable(Common_SourceData.Common_SourceData_GWP_Data(), Table_GWPData[[#Headers],[Gas]], 0)</f>
        <v>CF4</v>
      </c>
      <c r="E40" s="21" cm="1">
        <f t="array" ref="E40">Common_InputFunctions.Utility_DisplayArrayInTable(Common_SourceData.Common_SourceData_GWP_Data(), Table_GWPData[[#Headers],[Gas]], 0)</f>
        <v>6630</v>
      </c>
    </row>
    <row r="41" spans="1:8" ht="20.100000000000001" customHeight="1" x14ac:dyDescent="0.25">
      <c r="A41"/>
      <c r="D41" s="21" t="str" cm="1">
        <f t="array" ref="D41">Common_InputFunctions.Utility_DisplayArrayInTable(Common_SourceData.Common_SourceData_GWP_Data(), Table_GWPData[[#Headers],[Gas]], 0)</f>
        <v>C2F6</v>
      </c>
      <c r="E41" s="21" cm="1">
        <f t="array" ref="E41">Common_InputFunctions.Utility_DisplayArrayInTable(Common_SourceData.Common_SourceData_GWP_Data(), Table_GWPData[[#Headers],[Gas]], 0)</f>
        <v>12200</v>
      </c>
    </row>
    <row r="42" spans="1:8" ht="20.100000000000001" customHeight="1" x14ac:dyDescent="0.25">
      <c r="A42"/>
      <c r="D42" s="21" t="str" cm="1">
        <f t="array" ref="D42">Common_InputFunctions.Utility_DisplayArrayInTable(Common_SourceData.Common_SourceData_GWP_Data(), Table_GWPData[[#Headers],[Gas]], 0)</f>
        <v>SF6</v>
      </c>
      <c r="E42" s="21" cm="1">
        <f t="array" ref="E42">Common_InputFunctions.Utility_DisplayArrayInTable(Common_SourceData.Common_SourceData_GWP_Data(), Table_GWPData[[#Headers],[Gas]], 0)</f>
        <v>22800</v>
      </c>
    </row>
    <row r="43" spans="1:8" ht="20.100000000000001" customHeight="1" x14ac:dyDescent="0.25">
      <c r="A43"/>
      <c r="D43" s="21" t="str" cm="1">
        <f t="array" ref="D43">Common_InputFunctions.Utility_DisplayArrayInTable(Common_SourceData.Common_SourceData_GWP_Data(), Table_GWPData[[#Headers],[Gas]], 0)</f>
        <v>NF3</v>
      </c>
      <c r="E43" s="21" cm="1">
        <f t="array" ref="E43">Common_InputFunctions.Utility_DisplayArrayInTable(Common_SourceData.Common_SourceData_GWP_Data(), Table_GWPData[[#Headers],[Gas]], 0)</f>
        <v>17200</v>
      </c>
    </row>
    <row r="44" spans="1:8" ht="20.100000000000001" customHeight="1" x14ac:dyDescent="0.25">
      <c r="A44"/>
    </row>
    <row r="45" spans="1:8" ht="20.100000000000001" customHeight="1" x14ac:dyDescent="0.25">
      <c r="A45"/>
      <c r="D45" s="2" t="str" cm="1">
        <f t="array" ref="D45">Common_SourceData.Common_SourceData_ConvertGasElementalToMolecular_Title()</f>
        <v>Factor to convert elemental mass of gas to molecular mass</v>
      </c>
    </row>
    <row r="46" spans="1:8" ht="20.100000000000001" customHeight="1" x14ac:dyDescent="0.25">
      <c r="A46"/>
      <c r="D46" s="18" t="str" cm="1">
        <f t="array" ref="D46">Common_SourceData.Common_SourceData_ConvertGasElementalToMolecular_Source()</f>
        <v>XXXXXXX</v>
      </c>
    </row>
    <row r="47" spans="1:8" ht="20.100000000000001" customHeight="1" x14ac:dyDescent="0.25">
      <c r="A47"/>
      <c r="D47" s="21" t="s">
        <v>26</v>
      </c>
      <c r="E47" s="21" t="s">
        <v>28</v>
      </c>
      <c r="F47" s="21" t="s">
        <v>29</v>
      </c>
      <c r="G47" s="21" t="s">
        <v>30</v>
      </c>
      <c r="H47" s="21" t="s">
        <v>31</v>
      </c>
    </row>
    <row r="48" spans="1:8" ht="20.100000000000001" customHeight="1" x14ac:dyDescent="0.25">
      <c r="A48"/>
      <c r="D48" s="21" t="str" cm="1">
        <f t="array" ref="D48">Common_InputFunctions.Utility_DisplayArrayInTable(Common_SourceData.Common_SourceData_ConvertGasElementalToMolecular_Data(),Table_GasToMolecularConversionFactor[[#Headers],[Gas]], 0)</f>
        <v>CO2</v>
      </c>
      <c r="E48" s="21" t="str" cm="1">
        <f t="array" ref="E48">Common_InputFunctions.Utility_DisplayArrayInTable(Common_SourceData.Common_SourceData_ConvertGasElementalToMolecular_Data(),Table_GasToMolecularConversionFactor[[#Headers],[Gas]], 0)</f>
        <v>44/12</v>
      </c>
      <c r="F48" s="21" cm="1">
        <f t="array" ref="F48">Common_InputFunctions.Utility_DisplayArrayInTable(Common_SourceData.Common_SourceData_ConvertGasElementalToMolecular_Data(),Table_GasToMolecularConversionFactor[[#Headers],[Gas]], 0)</f>
        <v>44</v>
      </c>
      <c r="G48" s="21" cm="1">
        <f t="array" ref="G48">Common_InputFunctions.Utility_DisplayArrayInTable(Common_SourceData.Common_SourceData_ConvertGasElementalToMolecular_Data(),Table_GasToMolecularConversionFactor[[#Headers],[Gas]], 0)</f>
        <v>12</v>
      </c>
      <c r="H48" s="21">
        <f>Table_GasToMolecularConversionFactor[[#This Row],[Conversion factor 1]]/Table_GasToMolecularConversionFactor[[#This Row],[Conversion factor 2]]</f>
        <v>3.6666666666666665</v>
      </c>
    </row>
    <row r="49" spans="1:8" ht="20.100000000000001" customHeight="1" x14ac:dyDescent="0.25">
      <c r="A49"/>
      <c r="D49" s="21" t="str" cm="1">
        <f t="array" ref="D49">Common_InputFunctions.Utility_DisplayArrayInTable(Common_SourceData.Common_SourceData_ConvertGasElementalToMolecular_Data(),Table_GasToMolecularConversionFactor[[#Headers],[Gas]], 0)</f>
        <v>CH4</v>
      </c>
      <c r="E49" s="21" t="str" cm="1">
        <f t="array" ref="E49">Common_InputFunctions.Utility_DisplayArrayInTable(Common_SourceData.Common_SourceData_ConvertGasElementalToMolecular_Data(),Table_GasToMolecularConversionFactor[[#Headers],[Gas]], 0)</f>
        <v>16/12</v>
      </c>
      <c r="F49" s="21" cm="1">
        <f t="array" ref="F49">Common_InputFunctions.Utility_DisplayArrayInTable(Common_SourceData.Common_SourceData_ConvertGasElementalToMolecular_Data(),Table_GasToMolecularConversionFactor[[#Headers],[Gas]], 0)</f>
        <v>16</v>
      </c>
      <c r="G49" s="21" cm="1">
        <f t="array" ref="G49">Common_InputFunctions.Utility_DisplayArrayInTable(Common_SourceData.Common_SourceData_ConvertGasElementalToMolecular_Data(),Table_GasToMolecularConversionFactor[[#Headers],[Gas]], 0)</f>
        <v>12</v>
      </c>
      <c r="H49" s="21">
        <f>Table_GasToMolecularConversionFactor[[#This Row],[Conversion factor 1]]/Table_GasToMolecularConversionFactor[[#This Row],[Conversion factor 2]]</f>
        <v>1.3333333333333333</v>
      </c>
    </row>
    <row r="50" spans="1:8" ht="20.100000000000001" customHeight="1" x14ac:dyDescent="0.25">
      <c r="A50"/>
      <c r="D50" s="21" t="str" cm="1">
        <f t="array" ref="D50">Common_InputFunctions.Utility_DisplayArrayInTable(Common_SourceData.Common_SourceData_ConvertGasElementalToMolecular_Data(),Table_GasToMolecularConversionFactor[[#Headers],[Gas]], 0)</f>
        <v>N2O</v>
      </c>
      <c r="E50" s="21" t="str" cm="1">
        <f t="array" ref="E50">Common_InputFunctions.Utility_DisplayArrayInTable(Common_SourceData.Common_SourceData_ConvertGasElementalToMolecular_Data(),Table_GasToMolecularConversionFactor[[#Headers],[Gas]], 0)</f>
        <v>44/28</v>
      </c>
      <c r="F50" s="21" cm="1">
        <f t="array" ref="F50">Common_InputFunctions.Utility_DisplayArrayInTable(Common_SourceData.Common_SourceData_ConvertGasElementalToMolecular_Data(),Table_GasToMolecularConversionFactor[[#Headers],[Gas]], 0)</f>
        <v>44</v>
      </c>
      <c r="G50" s="21" cm="1">
        <f t="array" ref="G50">Common_InputFunctions.Utility_DisplayArrayInTable(Common_SourceData.Common_SourceData_ConvertGasElementalToMolecular_Data(),Table_GasToMolecularConversionFactor[[#Headers],[Gas]], 0)</f>
        <v>28</v>
      </c>
      <c r="H50" s="21">
        <f>Table_GasToMolecularConversionFactor[[#This Row],[Conversion factor 1]]/Table_GasToMolecularConversionFactor[[#This Row],[Conversion factor 2]]</f>
        <v>1.5714285714285714</v>
      </c>
    </row>
    <row r="51" spans="1:8" ht="20.100000000000001" customHeight="1" x14ac:dyDescent="0.25">
      <c r="A51"/>
      <c r="D51" s="21" t="str" cm="1">
        <f t="array" ref="D51">Common_InputFunctions.Utility_DisplayArrayInTable(Common_SourceData.Common_SourceData_ConvertGasElementalToMolecular_Data(),Table_GasToMolecularConversionFactor[[#Headers],[Gas]], 0)</f>
        <v>Nox</v>
      </c>
      <c r="E51" s="21" t="str" cm="1">
        <f t="array" ref="E51">Common_InputFunctions.Utility_DisplayArrayInTable(Common_SourceData.Common_SourceData_ConvertGasElementalToMolecular_Data(),Table_GasToMolecularConversionFactor[[#Headers],[Gas]], 0)</f>
        <v>46/14</v>
      </c>
      <c r="F51" s="21" cm="1">
        <f t="array" ref="F51">Common_InputFunctions.Utility_DisplayArrayInTable(Common_SourceData.Common_SourceData_ConvertGasElementalToMolecular_Data(),Table_GasToMolecularConversionFactor[[#Headers],[Gas]], 0)</f>
        <v>46</v>
      </c>
      <c r="G51" s="21" cm="1">
        <f t="array" ref="G51">Common_InputFunctions.Utility_DisplayArrayInTable(Common_SourceData.Common_SourceData_ConvertGasElementalToMolecular_Data(),Table_GasToMolecularConversionFactor[[#Headers],[Gas]], 0)</f>
        <v>14</v>
      </c>
      <c r="H51" s="21">
        <f>Table_GasToMolecularConversionFactor[[#This Row],[Conversion factor 1]]/Table_GasToMolecularConversionFactor[[#This Row],[Conversion factor 2]]</f>
        <v>3.2857142857142856</v>
      </c>
    </row>
    <row r="52" spans="1:8" ht="20.100000000000001" customHeight="1" x14ac:dyDescent="0.25">
      <c r="A52"/>
      <c r="D52" s="21" t="str" cm="1">
        <f t="array" ref="D52">Common_InputFunctions.Utility_DisplayArrayInTable(Common_SourceData.Common_SourceData_ConvertGasElementalToMolecular_Data(),Table_GasToMolecularConversionFactor[[#Headers],[Gas]], 0)</f>
        <v>CO</v>
      </c>
      <c r="E52" s="21" t="str" cm="1">
        <f t="array" ref="E52">Common_InputFunctions.Utility_DisplayArrayInTable(Common_SourceData.Common_SourceData_ConvertGasElementalToMolecular_Data(),Table_GasToMolecularConversionFactor[[#Headers],[Gas]], 0)</f>
        <v>28/12</v>
      </c>
      <c r="F52" s="21" cm="1">
        <f t="array" ref="F52">Common_InputFunctions.Utility_DisplayArrayInTable(Common_SourceData.Common_SourceData_ConvertGasElementalToMolecular_Data(),Table_GasToMolecularConversionFactor[[#Headers],[Gas]], 0)</f>
        <v>28</v>
      </c>
      <c r="G52" s="21" cm="1">
        <f t="array" ref="G52">Common_InputFunctions.Utility_DisplayArrayInTable(Common_SourceData.Common_SourceData_ConvertGasElementalToMolecular_Data(),Table_GasToMolecularConversionFactor[[#Headers],[Gas]], 0)</f>
        <v>12</v>
      </c>
      <c r="H52" s="21">
        <f>Table_GasToMolecularConversionFactor[[#This Row],[Conversion factor 1]]/Table_GasToMolecularConversionFactor[[#This Row],[Conversion factor 2]]</f>
        <v>2.3333333333333335</v>
      </c>
    </row>
    <row r="53" spans="1:8" ht="20.100000000000001" customHeight="1" x14ac:dyDescent="0.25">
      <c r="A53"/>
      <c r="D53" s="21" t="str" cm="1">
        <f t="array" ref="D53">Common_InputFunctions.Utility_DisplayArrayInTable(Common_SourceData.Common_SourceData_ConvertGasElementalToMolecular_Data(),Table_GasToMolecularConversionFactor[[#Headers],[Gas]], 0)</f>
        <v>CO2 Lime</v>
      </c>
      <c r="E53" s="21" t="str" cm="1">
        <f t="array" ref="E53">Common_InputFunctions.Utility_DisplayArrayInTable(Common_SourceData.Common_SourceData_ConvertGasElementalToMolecular_Data(),Table_GasToMolecularConversionFactor[[#Headers],[Gas]], 0)</f>
        <v>44/12</v>
      </c>
      <c r="F53" s="21" cm="1">
        <f t="array" ref="F53">Common_InputFunctions.Utility_DisplayArrayInTable(Common_SourceData.Common_SourceData_ConvertGasElementalToMolecular_Data(),Table_GasToMolecularConversionFactor[[#Headers],[Gas]], 0)</f>
        <v>44</v>
      </c>
      <c r="G53" s="21" cm="1">
        <f t="array" ref="G53">Common_InputFunctions.Utility_DisplayArrayInTable(Common_SourceData.Common_SourceData_ConvertGasElementalToMolecular_Data(),Table_GasToMolecularConversionFactor[[#Headers],[Gas]], 0)</f>
        <v>12</v>
      </c>
      <c r="H53" s="21">
        <f>Table_GasToMolecularConversionFactor[[#This Row],[Conversion factor 1]]/Table_GasToMolecularConversionFactor[[#This Row],[Conversion factor 2]]</f>
        <v>3.6666666666666665</v>
      </c>
    </row>
    <row r="54" spans="1:8" ht="20.100000000000001" customHeight="1" x14ac:dyDescent="0.25">
      <c r="A54"/>
      <c r="D54" s="21" t="str" cm="1">
        <f t="array" ref="D54">Common_InputFunctions.Utility_DisplayArrayInTable(Common_SourceData.Common_SourceData_ConvertGasElementalToMolecular_Data(),Table_GasToMolecularConversionFactor[[#Headers],[Gas]], 0)</f>
        <v>NMVOC</v>
      </c>
      <c r="E54" s="21" t="str" cm="1">
        <f t="array" ref="E54">Common_InputFunctions.Utility_DisplayArrayInTable(Common_SourceData.Common_SourceData_ConvertGasElementalToMolecular_Data(),Table_GasToMolecularConversionFactor[[#Headers],[Gas]], 0)</f>
        <v>14/12</v>
      </c>
      <c r="F54" s="21" cm="1">
        <f t="array" ref="F54">Common_InputFunctions.Utility_DisplayArrayInTable(Common_SourceData.Common_SourceData_ConvertGasElementalToMolecular_Data(),Table_GasToMolecularConversionFactor[[#Headers],[Gas]], 0)</f>
        <v>14</v>
      </c>
      <c r="G54" s="21" cm="1">
        <f t="array" ref="G54">Common_InputFunctions.Utility_DisplayArrayInTable(Common_SourceData.Common_SourceData_ConvertGasElementalToMolecular_Data(),Table_GasToMolecularConversionFactor[[#Headers],[Gas]], 0)</f>
        <v>12</v>
      </c>
      <c r="H54" s="21">
        <f>Table_GasToMolecularConversionFactor[[#This Row],[Conversion factor 1]]/Table_GasToMolecularConversionFactor[[#This Row],[Conversion factor 2]]</f>
        <v>1.1666666666666667</v>
      </c>
    </row>
    <row r="55" spans="1:8" ht="20.100000000000001" customHeight="1" x14ac:dyDescent="0.25">
      <c r="A55"/>
    </row>
    <row r="56" spans="1:8" ht="20.100000000000001" customHeight="1" x14ac:dyDescent="0.25">
      <c r="A56"/>
    </row>
    <row r="57" spans="1:8" ht="20.100000000000001" customHeight="1" x14ac:dyDescent="0.25">
      <c r="A57"/>
      <c r="D57" s="2" t="str" cm="1">
        <f t="array" ref="D57">Common_SourceData.Common_SourceData_WetAndDryZones_Title()</f>
        <v>VEERG Australian wet and dry zones</v>
      </c>
    </row>
    <row r="58" spans="1:8" ht="20.100000000000001" customHeight="1" x14ac:dyDescent="0.25">
      <c r="A58"/>
      <c r="D58" s="18" t="str" cm="1">
        <f t="array" ref="D58">Common_SourceData.Common_SourceData_WetAndDryZones_Source()</f>
        <v>VEERG 2026: Table 1.2: Translating climate zones to wet and dry zones</v>
      </c>
    </row>
    <row r="59" spans="1:8" ht="20.100000000000001" customHeight="1" x14ac:dyDescent="0.25">
      <c r="A59"/>
      <c r="D59" s="27" t="str" cm="1">
        <f t="array" ref="D59:D61">"⚠️" &amp; Common_SourceData.Common_SourceData_WetAndDryZones_Variation()</f>
        <v>⚠️VARIATION OF SOURCE DATA:</v>
      </c>
    </row>
    <row r="60" spans="1:8" ht="20.100000000000001" customHeight="1" x14ac:dyDescent="0.25">
      <c r="A60"/>
      <c r="D60" s="27" t="str">
        <v>⚠️Added warm / cool temperate moist / dry - low frost and high temp classes to accommodate climate scenarios excluded by VEERG criteria.</v>
      </c>
    </row>
    <row r="61" spans="1:8" ht="20.100000000000001" customHeight="1" x14ac:dyDescent="0.25">
      <c r="A61"/>
      <c r="D61" s="27" t="str">
        <v>⚠️Fixed typo - Changed 'Fry' to 'Dry'.</v>
      </c>
    </row>
    <row r="62" spans="1:8" ht="20.100000000000001" customHeight="1" x14ac:dyDescent="0.25">
      <c r="A62"/>
    </row>
    <row r="63" spans="1:8" ht="20.100000000000001" customHeight="1" x14ac:dyDescent="0.25">
      <c r="A63"/>
      <c r="D63" s="21" t="s">
        <v>32</v>
      </c>
      <c r="E63" s="21" t="s">
        <v>33</v>
      </c>
    </row>
    <row r="64" spans="1:8" ht="20.100000000000001" customHeight="1" x14ac:dyDescent="0.25">
      <c r="A64"/>
      <c r="D64" s="21" t="str" cm="1">
        <f t="array" ref="D64">Common_InputFunctions.Utility_DisplayArrayInTable(Common_SourceData.Common_SourceData_WetAndDryZones_Data(), Table_SourceData_WetDryZones[[#Headers],[Climate zone]], 0)</f>
        <v>Tropical montane</v>
      </c>
      <c r="E64" s="21"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21" t="str" cm="1">
        <f t="array" ref="D65">Common_InputFunctions.Utility_DisplayArrayInTable(Common_SourceData.Common_SourceData_WetAndDryZones_Data(), Table_SourceData_WetDryZones[[#Headers],[Climate zone]], 0)</f>
        <v>Tropical wet</v>
      </c>
      <c r="E65" s="21"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21" t="str" cm="1">
        <f t="array" ref="D66">Common_InputFunctions.Utility_DisplayArrayInTable(Common_SourceData.Common_SourceData_WetAndDryZones_Data(), Table_SourceData_WetDryZones[[#Headers],[Climate zone]], 0)</f>
        <v>Tropical moist</v>
      </c>
      <c r="E66" s="21"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21" t="str" cm="1">
        <f t="array" ref="D67">Common_InputFunctions.Utility_DisplayArrayInTable(Common_SourceData.Common_SourceData_WetAndDryZones_Data(), Table_SourceData_WetDryZones[[#Headers],[Climate zone]], 0)</f>
        <v>Tropical dry</v>
      </c>
      <c r="E67" s="21"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21" t="str" cm="1">
        <f t="array" ref="D68">Common_InputFunctions.Utility_DisplayArrayInTable(Common_SourceData.Common_SourceData_WetAndDryZones_Data(), Table_SourceData_WetDryZones[[#Headers],[Climate zone]], 0)</f>
        <v>Warm temperate moist</v>
      </c>
      <c r="E68" s="21"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21" t="str" cm="1">
        <f t="array" ref="D69">Common_InputFunctions.Utility_DisplayArrayInTable(Common_SourceData.Common_SourceData_WetAndDryZones_Data(), Table_SourceData_WetDryZones[[#Headers],[Climate zone]], 0)</f>
        <v>Warm temperate dry</v>
      </c>
      <c r="E69" s="21"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21" t="str" cm="1">
        <f t="array" ref="D70">Common_InputFunctions.Utility_DisplayArrayInTable(Common_SourceData.Common_SourceData_WetAndDryZones_Data(), Table_SourceData_WetDryZones[[#Headers],[Climate zone]], 0)</f>
        <v>Cool temperate moist</v>
      </c>
      <c r="E70" s="21"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21" t="str" cm="1">
        <f t="array" ref="D71">Common_InputFunctions.Utility_DisplayArrayInTable(Common_SourceData.Common_SourceData_WetAndDryZones_Data(), Table_SourceData_WetDryZones[[#Headers],[Climate zone]], 0)</f>
        <v>Cool temperate dry</v>
      </c>
      <c r="E71" s="21"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21" t="str" cm="1">
        <f t="array" ref="D72">Common_InputFunctions.Utility_DisplayArrayInTable(Common_SourceData.Common_SourceData_WetAndDryZones_Data(), Table_SourceData_WetDryZones[[#Headers],[Climate zone]], 0)</f>
        <v>Warm temperate moist - low frost</v>
      </c>
      <c r="E72" s="21"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21" t="str" cm="1">
        <f t="array" ref="D73">Common_InputFunctions.Utility_DisplayArrayInTable(Common_SourceData.Common_SourceData_WetAndDryZones_Data(), Table_SourceData_WetDryZones[[#Headers],[Climate zone]], 0)</f>
        <v>Warm temperate dry - low frost</v>
      </c>
      <c r="E73" s="21"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21" t="str" cm="1">
        <f t="array" ref="D74">Common_InputFunctions.Utility_DisplayArrayInTable(Common_SourceData.Common_SourceData_WetAndDryZones_Data(), Table_SourceData_WetDryZones[[#Headers],[Climate zone]], 0)</f>
        <v>Warm temperate moist - high temp</v>
      </c>
      <c r="E74" s="21"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21" t="str" cm="1">
        <f t="array" ref="D75">Common_InputFunctions.Utility_DisplayArrayInTable(Common_SourceData.Common_SourceData_WetAndDryZones_Data(), Table_SourceData_WetDryZones[[#Headers],[Climate zone]], 0)</f>
        <v>Warm temperate dry - high temp</v>
      </c>
      <c r="E75" s="21"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21" t="str" cm="1">
        <f t="array" ref="D76">Common_InputFunctions.Utility_DisplayArrayInTable(Common_SourceData.Common_SourceData_WetAndDryZones_Data(), Table_SourceData_WetDryZones[[#Headers],[Climate zone]], 0)</f>
        <v>Cool temperate moist - low frost</v>
      </c>
      <c r="E76" s="21"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21" t="str" cm="1">
        <f t="array" ref="D77">Common_InputFunctions.Utility_DisplayArrayInTable(Common_SourceData.Common_SourceData_WetAndDryZones_Data(), Table_SourceData_WetDryZones[[#Headers],[Climate zone]], 0)</f>
        <v>Cool temperate dry - low frost</v>
      </c>
      <c r="E77" s="21"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2" t="str" cm="1">
        <f t="array" ref="D81">Common_SourceData.Common_SourceData_ClimateZones_Title()</f>
        <v>VEERG Australian climate zones</v>
      </c>
    </row>
    <row r="82" spans="1:20" ht="20.100000000000001" customHeight="1" x14ac:dyDescent="0.25">
      <c r="A82"/>
      <c r="D82" s="18" t="str" cm="1">
        <f t="array" ref="D82">Common_SourceData.Common_SourceData_ClimateZones_Source()</f>
        <v>VEERG 2026: Table 1.3: Climate and Rainfall zone classifications and definitions</v>
      </c>
    </row>
    <row r="83" spans="1:20" ht="20.100000000000001" customHeight="1" x14ac:dyDescent="0.25">
      <c r="A83"/>
      <c r="D83" s="27" t="str" cm="1">
        <f t="array" ref="D83:D87">"⚠️" &amp; Common_SourceData.Common_SourceData_ClimateZones_Variation()</f>
        <v>⚠️VARIATION OF SOURCE DATA:</v>
      </c>
    </row>
    <row r="84" spans="1:20" ht="20.100000000000001" customHeight="1" x14ac:dyDescent="0.25">
      <c r="A84"/>
      <c r="D84" s="27" t="str">
        <v>⚠️Added warm / cool temperate moist / dry - low frost and high temp classes to accommodate climate scenarios excluded by VEERG criteria.</v>
      </c>
    </row>
    <row r="85" spans="1:20" ht="20.100000000000001" customHeight="1" x14ac:dyDescent="0.25">
      <c r="A85"/>
      <c r="D85" s="27" t="str">
        <v>⚠️Fixed typo in MAT value for warm temperate dry - changed 10 to 11.</v>
      </c>
    </row>
    <row r="86" spans="1:20" ht="20.100000000000001" customHeight="1" x14ac:dyDescent="0.25">
      <c r="A86"/>
      <c r="D86" s="27" t="str">
        <v>⚠️Added min and max columns for MAT, MAP, frost days per year, elevation, MAP:PET to calculate zones from real climate data.</v>
      </c>
    </row>
    <row r="87" spans="1:20" ht="20.100000000000001" customHeight="1" x14ac:dyDescent="0.25">
      <c r="A87"/>
      <c r="D87" s="27" t="str">
        <v>⚠️GAF accepts rainfall as a proxy for precipitation.</v>
      </c>
    </row>
    <row r="88" spans="1:20" ht="20.100000000000001" customHeight="1" x14ac:dyDescent="0.25">
      <c r="A88"/>
    </row>
    <row r="89" spans="1:20" ht="20.100000000000001" customHeight="1" x14ac:dyDescent="0.25">
      <c r="A89"/>
      <c r="D89" s="21" t="s">
        <v>32</v>
      </c>
      <c r="E89" s="21" t="s">
        <v>34</v>
      </c>
      <c r="F89" s="21" t="s">
        <v>35</v>
      </c>
      <c r="G89" s="21" t="s">
        <v>36</v>
      </c>
      <c r="H89" s="21" t="s">
        <v>37</v>
      </c>
      <c r="I89" s="21" t="s">
        <v>38</v>
      </c>
      <c r="J89" s="21" t="s">
        <v>39</v>
      </c>
      <c r="K89" s="21" t="s">
        <v>40</v>
      </c>
      <c r="L89" s="21" t="s">
        <v>41</v>
      </c>
      <c r="M89" s="21" t="s">
        <v>42</v>
      </c>
      <c r="N89" s="21" t="s">
        <v>43</v>
      </c>
      <c r="O89" s="21" t="s">
        <v>44</v>
      </c>
      <c r="P89" s="21" t="s">
        <v>45</v>
      </c>
      <c r="Q89" s="21" t="s">
        <v>46</v>
      </c>
      <c r="R89" s="21" t="s">
        <v>47</v>
      </c>
      <c r="S89" s="21" t="s">
        <v>48</v>
      </c>
      <c r="T89" s="21"/>
    </row>
    <row r="90" spans="1:20" ht="20.100000000000001" customHeight="1" x14ac:dyDescent="0.25">
      <c r="A90"/>
      <c r="D90" s="21" t="str" cm="1">
        <f t="array" ref="D90">Common_InputFunctions.Utility_DisplayArrayInTable(Common_SourceData.Common_SourceData_ClimateZones_Data(), Table_SourceData_ClimateZones[[#Headers],[Climate zone]], 0)</f>
        <v>Tropical montane</v>
      </c>
      <c r="E90" s="21" t="str" cm="1">
        <f t="array" ref="E90">Common_InputFunctions.Utility_DisplayArrayInTable(Common_SourceData.Common_SourceData_ClimateZones_Data(), Table_SourceData_ClimateZones[[#Headers],[Climate zone]], 0)</f>
        <v>&gt; 18 C</v>
      </c>
      <c r="F90" s="21" t="str" cm="1">
        <f t="array" ref="F90">Common_InputFunctions.Utility_DisplayArrayInTable(Common_SourceData.Common_SourceData_ClimateZones_Data(), Table_SourceData_ClimateZones[[#Headers],[Climate zone]], 0)</f>
        <v>Any</v>
      </c>
      <c r="G90" s="21" t="str" cm="1">
        <f t="array" ref="G90">Common_InputFunctions.Utility_DisplayArrayInTable(Common_SourceData.Common_SourceData_ClimateZones_Data(), Table_SourceData_ClimateZones[[#Headers],[Climate zone]], 0)</f>
        <v>≤ 7</v>
      </c>
      <c r="H90" s="21" t="str" cm="1">
        <f t="array" ref="H90">Common_InputFunctions.Utility_DisplayArrayInTable(Common_SourceData.Common_SourceData_ClimateZones_Data(), Table_SourceData_ClimateZones[[#Headers],[Climate zone]], 0)</f>
        <v>&gt; 1000 m</v>
      </c>
      <c r="I90" s="21" t="str" cm="1">
        <f t="array" ref="I90">Common_InputFunctions.Utility_DisplayArrayInTable(Common_SourceData.Common_SourceData_ClimateZones_Data(), Table_SourceData_ClimateZones[[#Headers],[Climate zone]], 0)</f>
        <v>Any</v>
      </c>
      <c r="J90" s="21" cm="1">
        <f t="array" ref="J90">Common_InputFunctions.Utility_DisplayArrayInTable(Common_SourceData.Common_SourceData_ClimateZones_Data(), Table_SourceData_ClimateZones[[#Headers],[Climate zone]], 0)</f>
        <v>18.001000000000001</v>
      </c>
      <c r="K90" s="21" cm="1">
        <f t="array" ref="K90">Common_InputFunctions.Utility_DisplayArrayInTable(Common_SourceData.Common_SourceData_ClimateZones_Data(), Table_SourceData_ClimateZones[[#Headers],[Climate zone]], 0)</f>
        <v>999999</v>
      </c>
      <c r="L90" s="21" cm="1">
        <f t="array" ref="L90">Common_InputFunctions.Utility_DisplayArrayInTable(Common_SourceData.Common_SourceData_ClimateZones_Data(), Table_SourceData_ClimateZones[[#Headers],[Climate zone]], 0)</f>
        <v>-999999</v>
      </c>
      <c r="M90" s="21" cm="1">
        <f t="array" ref="M90">Common_InputFunctions.Utility_DisplayArrayInTable(Common_SourceData.Common_SourceData_ClimateZones_Data(), Table_SourceData_ClimateZones[[#Headers],[Climate zone]], 0)</f>
        <v>999999</v>
      </c>
      <c r="N90" s="21" cm="1">
        <f t="array" ref="N90">Common_InputFunctions.Utility_DisplayArrayInTable(Common_SourceData.Common_SourceData_ClimateZones_Data(), Table_SourceData_ClimateZones[[#Headers],[Climate zone]], 0)</f>
        <v>-999999</v>
      </c>
      <c r="O90" s="21" cm="1">
        <f t="array" ref="O90">Common_InputFunctions.Utility_DisplayArrayInTable(Common_SourceData.Common_SourceData_ClimateZones_Data(), Table_SourceData_ClimateZones[[#Headers],[Climate zone]], 0)</f>
        <v>7</v>
      </c>
      <c r="P90" s="21" cm="1">
        <f t="array" ref="P90">Common_InputFunctions.Utility_DisplayArrayInTable(Common_SourceData.Common_SourceData_ClimateZones_Data(), Table_SourceData_ClimateZones[[#Headers],[Climate zone]], 0)</f>
        <v>1000</v>
      </c>
      <c r="Q90" s="21" cm="1">
        <f t="array" ref="Q90">Common_InputFunctions.Utility_DisplayArrayInTable(Common_SourceData.Common_SourceData_ClimateZones_Data(), Table_SourceData_ClimateZones[[#Headers],[Climate zone]], 0)</f>
        <v>999999</v>
      </c>
      <c r="R90" s="21" cm="1">
        <f t="array" ref="R90">Common_InputFunctions.Utility_DisplayArrayInTable(Common_SourceData.Common_SourceData_ClimateZones_Data(), Table_SourceData_ClimateZones[[#Headers],[Climate zone]], 0)</f>
        <v>-999999</v>
      </c>
      <c r="S90" s="21" cm="1">
        <f t="array" ref="S90">Common_InputFunctions.Utility_DisplayArrayInTable(Common_SourceData.Common_SourceData_ClimateZones_Data(), Table_SourceData_ClimateZones[[#Headers],[Climate zone]], 0)</f>
        <v>999999</v>
      </c>
      <c r="T90" s="21"/>
    </row>
    <row r="91" spans="1:20" ht="20.100000000000001" customHeight="1" x14ac:dyDescent="0.25">
      <c r="A91"/>
      <c r="D91" s="21" t="str" cm="1">
        <f t="array" ref="D91">Common_InputFunctions.Utility_DisplayArrayInTable(Common_SourceData.Common_SourceData_ClimateZones_Data(), Table_SourceData_ClimateZones[[#Headers],[Climate zone]], 0)</f>
        <v>Tropical wet</v>
      </c>
      <c r="E91" s="21" t="str" cm="1">
        <f t="array" ref="E91">Common_InputFunctions.Utility_DisplayArrayInTable(Common_SourceData.Common_SourceData_ClimateZones_Data(), Table_SourceData_ClimateZones[[#Headers],[Climate zone]], 0)</f>
        <v>&gt; 18 C</v>
      </c>
      <c r="F91" s="21" t="str" cm="1">
        <f t="array" ref="F91">Common_InputFunctions.Utility_DisplayArrayInTable(Common_SourceData.Common_SourceData_ClimateZones_Data(), Table_SourceData_ClimateZones[[#Headers],[Climate zone]], 0)</f>
        <v>&gt; 2000 mm</v>
      </c>
      <c r="G91" s="21" t="str" cm="1">
        <f t="array" ref="G91">Common_InputFunctions.Utility_DisplayArrayInTable(Common_SourceData.Common_SourceData_ClimateZones_Data(), Table_SourceData_ClimateZones[[#Headers],[Climate zone]], 0)</f>
        <v>≤ 7</v>
      </c>
      <c r="H91" s="21" t="str" cm="1">
        <f t="array" ref="H91">Common_InputFunctions.Utility_DisplayArrayInTable(Common_SourceData.Common_SourceData_ClimateZones_Data(), Table_SourceData_ClimateZones[[#Headers],[Climate zone]], 0)</f>
        <v>≤ 1000 m</v>
      </c>
      <c r="I91" s="21" t="str" cm="1">
        <f t="array" ref="I91">Common_InputFunctions.Utility_DisplayArrayInTable(Common_SourceData.Common_SourceData_ClimateZones_Data(), Table_SourceData_ClimateZones[[#Headers],[Climate zone]], 0)</f>
        <v>Any</v>
      </c>
      <c r="J91" s="21" cm="1">
        <f t="array" ref="J91">Common_InputFunctions.Utility_DisplayArrayInTable(Common_SourceData.Common_SourceData_ClimateZones_Data(), Table_SourceData_ClimateZones[[#Headers],[Climate zone]], 0)</f>
        <v>18.001000000000001</v>
      </c>
      <c r="K91" s="21" cm="1">
        <f t="array" ref="K91">Common_InputFunctions.Utility_DisplayArrayInTable(Common_SourceData.Common_SourceData_ClimateZones_Data(), Table_SourceData_ClimateZones[[#Headers],[Climate zone]], 0)</f>
        <v>999999</v>
      </c>
      <c r="L91" s="21" cm="1">
        <f t="array" ref="L91">Common_InputFunctions.Utility_DisplayArrayInTable(Common_SourceData.Common_SourceData_ClimateZones_Data(), Table_SourceData_ClimateZones[[#Headers],[Climate zone]], 0)</f>
        <v>2000.001</v>
      </c>
      <c r="M91" s="21" cm="1">
        <f t="array" ref="M91">Common_InputFunctions.Utility_DisplayArrayInTable(Common_SourceData.Common_SourceData_ClimateZones_Data(), Table_SourceData_ClimateZones[[#Headers],[Climate zone]], 0)</f>
        <v>999999</v>
      </c>
      <c r="N91" s="21" cm="1">
        <f t="array" ref="N91">Common_InputFunctions.Utility_DisplayArrayInTable(Common_SourceData.Common_SourceData_ClimateZones_Data(), Table_SourceData_ClimateZones[[#Headers],[Climate zone]], 0)</f>
        <v>-999999</v>
      </c>
      <c r="O91" s="21" cm="1">
        <f t="array" ref="O91">Common_InputFunctions.Utility_DisplayArrayInTable(Common_SourceData.Common_SourceData_ClimateZones_Data(), Table_SourceData_ClimateZones[[#Headers],[Climate zone]], 0)</f>
        <v>7</v>
      </c>
      <c r="P91" s="21" cm="1">
        <f t="array" ref="P91">Common_InputFunctions.Utility_DisplayArrayInTable(Common_SourceData.Common_SourceData_ClimateZones_Data(), Table_SourceData_ClimateZones[[#Headers],[Climate zone]], 0)</f>
        <v>-999999</v>
      </c>
      <c r="Q91" s="21" cm="1">
        <f t="array" ref="Q91">Common_InputFunctions.Utility_DisplayArrayInTable(Common_SourceData.Common_SourceData_ClimateZones_Data(), Table_SourceData_ClimateZones[[#Headers],[Climate zone]], 0)</f>
        <v>999.99900000000002</v>
      </c>
      <c r="R91" s="21" cm="1">
        <f t="array" ref="R91">Common_InputFunctions.Utility_DisplayArrayInTable(Common_SourceData.Common_SourceData_ClimateZones_Data(), Table_SourceData_ClimateZones[[#Headers],[Climate zone]], 0)</f>
        <v>-999999</v>
      </c>
      <c r="S91" s="21" cm="1">
        <f t="array" ref="S91">Common_InputFunctions.Utility_DisplayArrayInTable(Common_SourceData.Common_SourceData_ClimateZones_Data(), Table_SourceData_ClimateZones[[#Headers],[Climate zone]], 0)</f>
        <v>999999</v>
      </c>
      <c r="T91" s="21"/>
    </row>
    <row r="92" spans="1:20" ht="20.100000000000001" customHeight="1" x14ac:dyDescent="0.25">
      <c r="A92"/>
      <c r="D92" s="21" t="str" cm="1">
        <f t="array" ref="D92">Common_InputFunctions.Utility_DisplayArrayInTable(Common_SourceData.Common_SourceData_ClimateZones_Data(), Table_SourceData_ClimateZones[[#Headers],[Climate zone]], 0)</f>
        <v>Tropical moist</v>
      </c>
      <c r="E92" s="21" t="str" cm="1">
        <f t="array" ref="E92">Common_InputFunctions.Utility_DisplayArrayInTable(Common_SourceData.Common_SourceData_ClimateZones_Data(), Table_SourceData_ClimateZones[[#Headers],[Climate zone]], 0)</f>
        <v>&gt; 18 C</v>
      </c>
      <c r="F92" s="21" t="str" cm="1">
        <f t="array" ref="F92">Common_InputFunctions.Utility_DisplayArrayInTable(Common_SourceData.Common_SourceData_ClimateZones_Data(), Table_SourceData_ClimateZones[[#Headers],[Climate zone]], 0)</f>
        <v>&gt; 1000 mm - ≤ 2000 mm</v>
      </c>
      <c r="G92" s="21" t="str" cm="1">
        <f t="array" ref="G92">Common_InputFunctions.Utility_DisplayArrayInTable(Common_SourceData.Common_SourceData_ClimateZones_Data(), Table_SourceData_ClimateZones[[#Headers],[Climate zone]], 0)</f>
        <v>≤ 7</v>
      </c>
      <c r="H92" s="21" t="str" cm="1">
        <f t="array" ref="H92">Common_InputFunctions.Utility_DisplayArrayInTable(Common_SourceData.Common_SourceData_ClimateZones_Data(), Table_SourceData_ClimateZones[[#Headers],[Climate zone]], 0)</f>
        <v>≤ 1000 m</v>
      </c>
      <c r="I92" s="21" t="str" cm="1">
        <f t="array" ref="I92">Common_InputFunctions.Utility_DisplayArrayInTable(Common_SourceData.Common_SourceData_ClimateZones_Data(), Table_SourceData_ClimateZones[[#Headers],[Climate zone]], 0)</f>
        <v>Any</v>
      </c>
      <c r="J92" s="21" cm="1">
        <f t="array" ref="J92">Common_InputFunctions.Utility_DisplayArrayInTable(Common_SourceData.Common_SourceData_ClimateZones_Data(), Table_SourceData_ClimateZones[[#Headers],[Climate zone]], 0)</f>
        <v>18.001000000000001</v>
      </c>
      <c r="K92" s="21" cm="1">
        <f t="array" ref="K92">Common_InputFunctions.Utility_DisplayArrayInTable(Common_SourceData.Common_SourceData_ClimateZones_Data(), Table_SourceData_ClimateZones[[#Headers],[Climate zone]], 0)</f>
        <v>999999</v>
      </c>
      <c r="L92" s="21" cm="1">
        <f t="array" ref="L92">Common_InputFunctions.Utility_DisplayArrayInTable(Common_SourceData.Common_SourceData_ClimateZones_Data(), Table_SourceData_ClimateZones[[#Headers],[Climate zone]], 0)</f>
        <v>1000.001</v>
      </c>
      <c r="M92" s="21" cm="1">
        <f t="array" ref="M92">Common_InputFunctions.Utility_DisplayArrayInTable(Common_SourceData.Common_SourceData_ClimateZones_Data(), Table_SourceData_ClimateZones[[#Headers],[Climate zone]], 0)</f>
        <v>2000</v>
      </c>
      <c r="N92" s="21" cm="1">
        <f t="array" ref="N92">Common_InputFunctions.Utility_DisplayArrayInTable(Common_SourceData.Common_SourceData_ClimateZones_Data(), Table_SourceData_ClimateZones[[#Headers],[Climate zone]], 0)</f>
        <v>-999999</v>
      </c>
      <c r="O92" s="21" cm="1">
        <f t="array" ref="O92">Common_InputFunctions.Utility_DisplayArrayInTable(Common_SourceData.Common_SourceData_ClimateZones_Data(), Table_SourceData_ClimateZones[[#Headers],[Climate zone]], 0)</f>
        <v>7</v>
      </c>
      <c r="P92" s="21" cm="1">
        <f t="array" ref="P92">Common_InputFunctions.Utility_DisplayArrayInTable(Common_SourceData.Common_SourceData_ClimateZones_Data(), Table_SourceData_ClimateZones[[#Headers],[Climate zone]], 0)</f>
        <v>-999999</v>
      </c>
      <c r="Q92" s="21" cm="1">
        <f t="array" ref="Q92">Common_InputFunctions.Utility_DisplayArrayInTable(Common_SourceData.Common_SourceData_ClimateZones_Data(), Table_SourceData_ClimateZones[[#Headers],[Climate zone]], 0)</f>
        <v>999.99900000000002</v>
      </c>
      <c r="R92" s="21" cm="1">
        <f t="array" ref="R92">Common_InputFunctions.Utility_DisplayArrayInTable(Common_SourceData.Common_SourceData_ClimateZones_Data(), Table_SourceData_ClimateZones[[#Headers],[Climate zone]], 0)</f>
        <v>-999999</v>
      </c>
      <c r="S92" s="21" cm="1">
        <f t="array" ref="S92">Common_InputFunctions.Utility_DisplayArrayInTable(Common_SourceData.Common_SourceData_ClimateZones_Data(), Table_SourceData_ClimateZones[[#Headers],[Climate zone]], 0)</f>
        <v>999999</v>
      </c>
      <c r="T92" s="21"/>
    </row>
    <row r="93" spans="1:20" ht="20.100000000000001" customHeight="1" x14ac:dyDescent="0.25">
      <c r="A93"/>
      <c r="D93" s="21" t="str" cm="1">
        <f t="array" ref="D93">Common_InputFunctions.Utility_DisplayArrayInTable(Common_SourceData.Common_SourceData_ClimateZones_Data(), Table_SourceData_ClimateZones[[#Headers],[Climate zone]], 0)</f>
        <v>Tropical dry</v>
      </c>
      <c r="E93" s="21" t="str" cm="1">
        <f t="array" ref="E93">Common_InputFunctions.Utility_DisplayArrayInTable(Common_SourceData.Common_SourceData_ClimateZones_Data(), Table_SourceData_ClimateZones[[#Headers],[Climate zone]], 0)</f>
        <v>&gt; 18 C</v>
      </c>
      <c r="F93" s="21" t="str" cm="1">
        <f t="array" ref="F93">Common_InputFunctions.Utility_DisplayArrayInTable(Common_SourceData.Common_SourceData_ClimateZones_Data(), Table_SourceData_ClimateZones[[#Headers],[Climate zone]], 0)</f>
        <v>≤ 1000 mm</v>
      </c>
      <c r="G93" s="21" t="str" cm="1">
        <f t="array" ref="G93">Common_InputFunctions.Utility_DisplayArrayInTable(Common_SourceData.Common_SourceData_ClimateZones_Data(), Table_SourceData_ClimateZones[[#Headers],[Climate zone]], 0)</f>
        <v>≤ 7</v>
      </c>
      <c r="H93" s="21" t="str" cm="1">
        <f t="array" ref="H93">Common_InputFunctions.Utility_DisplayArrayInTable(Common_SourceData.Common_SourceData_ClimateZones_Data(), Table_SourceData_ClimateZones[[#Headers],[Climate zone]], 0)</f>
        <v>≤ 1000 m</v>
      </c>
      <c r="I93" s="21" t="str" cm="1">
        <f t="array" ref="I93">Common_InputFunctions.Utility_DisplayArrayInTable(Common_SourceData.Common_SourceData_ClimateZones_Data(), Table_SourceData_ClimateZones[[#Headers],[Climate zone]], 0)</f>
        <v>Any</v>
      </c>
      <c r="J93" s="21" cm="1">
        <f t="array" ref="J93">Common_InputFunctions.Utility_DisplayArrayInTable(Common_SourceData.Common_SourceData_ClimateZones_Data(), Table_SourceData_ClimateZones[[#Headers],[Climate zone]], 0)</f>
        <v>18.001000000000001</v>
      </c>
      <c r="K93" s="21" cm="1">
        <f t="array" ref="K93">Common_InputFunctions.Utility_DisplayArrayInTable(Common_SourceData.Common_SourceData_ClimateZones_Data(), Table_SourceData_ClimateZones[[#Headers],[Climate zone]], 0)</f>
        <v>999999</v>
      </c>
      <c r="L93" s="21" cm="1">
        <f t="array" ref="L93">Common_InputFunctions.Utility_DisplayArrayInTable(Common_SourceData.Common_SourceData_ClimateZones_Data(), Table_SourceData_ClimateZones[[#Headers],[Climate zone]], 0)</f>
        <v>-999999</v>
      </c>
      <c r="M93" s="21" cm="1">
        <f t="array" ref="M93">Common_InputFunctions.Utility_DisplayArrayInTable(Common_SourceData.Common_SourceData_ClimateZones_Data(), Table_SourceData_ClimateZones[[#Headers],[Climate zone]], 0)</f>
        <v>1000</v>
      </c>
      <c r="N93" s="21" cm="1">
        <f t="array" ref="N93">Common_InputFunctions.Utility_DisplayArrayInTable(Common_SourceData.Common_SourceData_ClimateZones_Data(), Table_SourceData_ClimateZones[[#Headers],[Climate zone]], 0)</f>
        <v>-999999</v>
      </c>
      <c r="O93" s="21" cm="1">
        <f t="array" ref="O93">Common_InputFunctions.Utility_DisplayArrayInTable(Common_SourceData.Common_SourceData_ClimateZones_Data(), Table_SourceData_ClimateZones[[#Headers],[Climate zone]], 0)</f>
        <v>7</v>
      </c>
      <c r="P93" s="21" cm="1">
        <f t="array" ref="P93">Common_InputFunctions.Utility_DisplayArrayInTable(Common_SourceData.Common_SourceData_ClimateZones_Data(), Table_SourceData_ClimateZones[[#Headers],[Climate zone]], 0)</f>
        <v>-999999</v>
      </c>
      <c r="Q93" s="21" cm="1">
        <f t="array" ref="Q93">Common_InputFunctions.Utility_DisplayArrayInTable(Common_SourceData.Common_SourceData_ClimateZones_Data(), Table_SourceData_ClimateZones[[#Headers],[Climate zone]], 0)</f>
        <v>999.99900000000002</v>
      </c>
      <c r="R93" s="21" cm="1">
        <f t="array" ref="R93">Common_InputFunctions.Utility_DisplayArrayInTable(Common_SourceData.Common_SourceData_ClimateZones_Data(), Table_SourceData_ClimateZones[[#Headers],[Climate zone]], 0)</f>
        <v>-999999</v>
      </c>
      <c r="S93" s="21" cm="1">
        <f t="array" ref="S93">Common_InputFunctions.Utility_DisplayArrayInTable(Common_SourceData.Common_SourceData_ClimateZones_Data(), Table_SourceData_ClimateZones[[#Headers],[Climate zone]], 0)</f>
        <v>999999</v>
      </c>
      <c r="T93" s="21"/>
    </row>
    <row r="94" spans="1:20" ht="20.100000000000001" customHeight="1" x14ac:dyDescent="0.25">
      <c r="A94"/>
      <c r="D94" s="21" t="str" cm="1">
        <f t="array" ref="D94">Common_InputFunctions.Utility_DisplayArrayInTable(Common_SourceData.Common_SourceData_ClimateZones_Data(), Table_SourceData_ClimateZones[[#Headers],[Climate zone]], 0)</f>
        <v>Warm temperate moist</v>
      </c>
      <c r="E94" s="21" t="str" cm="1">
        <f t="array" ref="E94">Common_InputFunctions.Utility_DisplayArrayInTable(Common_SourceData.Common_SourceData_ClimateZones_Data(), Table_SourceData_ClimateZones[[#Headers],[Climate zone]], 0)</f>
        <v>&gt; 10 C</v>
      </c>
      <c r="F94" s="21" t="str" cm="1">
        <f t="array" ref="F94">Common_InputFunctions.Utility_DisplayArrayInTable(Common_SourceData.Common_SourceData_ClimateZones_Data(), Table_SourceData_ClimateZones[[#Headers],[Climate zone]], 0)</f>
        <v>Any</v>
      </c>
      <c r="G94" s="21" t="str" cm="1">
        <f t="array" ref="G94">Common_InputFunctions.Utility_DisplayArrayInTable(Common_SourceData.Common_SourceData_ClimateZones_Data(), Table_SourceData_ClimateZones[[#Headers],[Climate zone]], 0)</f>
        <v>Any</v>
      </c>
      <c r="H94" s="21" t="str" cm="1">
        <f t="array" ref="H94">Common_InputFunctions.Utility_DisplayArrayInTable(Common_SourceData.Common_SourceData_ClimateZones_Data(), Table_SourceData_ClimateZones[[#Headers],[Climate zone]], 0)</f>
        <v>Any</v>
      </c>
      <c r="I94" s="21" t="str" cm="1">
        <f t="array" ref="I94">Common_InputFunctions.Utility_DisplayArrayInTable(Common_SourceData.Common_SourceData_ClimateZones_Data(), Table_SourceData_ClimateZones[[#Headers],[Climate zone]], 0)</f>
        <v>&gt; 1</v>
      </c>
      <c r="J94" s="21" cm="1">
        <f t="array" ref="J94">Common_InputFunctions.Utility_DisplayArrayInTable(Common_SourceData.Common_SourceData_ClimateZones_Data(), Table_SourceData_ClimateZones[[#Headers],[Climate zone]], 0)</f>
        <v>10.000999999999999</v>
      </c>
      <c r="K94" s="21" cm="1">
        <f t="array" ref="K94">Common_InputFunctions.Utility_DisplayArrayInTable(Common_SourceData.Common_SourceData_ClimateZones_Data(), Table_SourceData_ClimateZones[[#Headers],[Climate zone]], 0)</f>
        <v>999999</v>
      </c>
      <c r="L94" s="21" cm="1">
        <f t="array" ref="L94">Common_InputFunctions.Utility_DisplayArrayInTable(Common_SourceData.Common_SourceData_ClimateZones_Data(), Table_SourceData_ClimateZones[[#Headers],[Climate zone]], 0)</f>
        <v>-999999</v>
      </c>
      <c r="M94" s="21" cm="1">
        <f t="array" ref="M94">Common_InputFunctions.Utility_DisplayArrayInTable(Common_SourceData.Common_SourceData_ClimateZones_Data(), Table_SourceData_ClimateZones[[#Headers],[Climate zone]], 0)</f>
        <v>999999</v>
      </c>
      <c r="N94" s="21" cm="1">
        <f t="array" ref="N94">Common_InputFunctions.Utility_DisplayArrayInTable(Common_SourceData.Common_SourceData_ClimateZones_Data(), Table_SourceData_ClimateZones[[#Headers],[Climate zone]], 0)</f>
        <v>-999999</v>
      </c>
      <c r="O94" s="21" cm="1">
        <f t="array" ref="O94">Common_InputFunctions.Utility_DisplayArrayInTable(Common_SourceData.Common_SourceData_ClimateZones_Data(), Table_SourceData_ClimateZones[[#Headers],[Climate zone]], 0)</f>
        <v>999999</v>
      </c>
      <c r="P94" s="21" cm="1">
        <f t="array" ref="P94">Common_InputFunctions.Utility_DisplayArrayInTable(Common_SourceData.Common_SourceData_ClimateZones_Data(), Table_SourceData_ClimateZones[[#Headers],[Climate zone]], 0)</f>
        <v>-999999</v>
      </c>
      <c r="Q94" s="21" cm="1">
        <f t="array" ref="Q94">Common_InputFunctions.Utility_DisplayArrayInTable(Common_SourceData.Common_SourceData_ClimateZones_Data(), Table_SourceData_ClimateZones[[#Headers],[Climate zone]], 0)</f>
        <v>999999</v>
      </c>
      <c r="R94" s="21" cm="1">
        <f t="array" ref="R94">Common_InputFunctions.Utility_DisplayArrayInTable(Common_SourceData.Common_SourceData_ClimateZones_Data(), Table_SourceData_ClimateZones[[#Headers],[Climate zone]], 0)</f>
        <v>1.0009999999999999</v>
      </c>
      <c r="S94" s="21" cm="1">
        <f t="array" ref="S94">Common_InputFunctions.Utility_DisplayArrayInTable(Common_SourceData.Common_SourceData_ClimateZones_Data(), Table_SourceData_ClimateZones[[#Headers],[Climate zone]], 0)</f>
        <v>999999</v>
      </c>
      <c r="T94" s="21"/>
    </row>
    <row r="95" spans="1:20" ht="20.100000000000001" customHeight="1" x14ac:dyDescent="0.25">
      <c r="A95"/>
      <c r="D95" s="21" t="str" cm="1">
        <f t="array" ref="D95">Common_InputFunctions.Utility_DisplayArrayInTable(Common_SourceData.Common_SourceData_ClimateZones_Data(), Table_SourceData_ClimateZones[[#Headers],[Climate zone]], 0)</f>
        <v>Warm temperate dry</v>
      </c>
      <c r="E95" s="21" t="str" cm="1">
        <f t="array" ref="E95">Common_InputFunctions.Utility_DisplayArrayInTable(Common_SourceData.Common_SourceData_ClimateZones_Data(), Table_SourceData_ClimateZones[[#Headers],[Climate zone]], 0)</f>
        <v>&gt; 10 C</v>
      </c>
      <c r="F95" s="21" t="str" cm="1">
        <f t="array" ref="F95">Common_InputFunctions.Utility_DisplayArrayInTable(Common_SourceData.Common_SourceData_ClimateZones_Data(), Table_SourceData_ClimateZones[[#Headers],[Climate zone]], 0)</f>
        <v>Any</v>
      </c>
      <c r="G95" s="21" t="str" cm="1">
        <f t="array" ref="G95">Common_InputFunctions.Utility_DisplayArrayInTable(Common_SourceData.Common_SourceData_ClimateZones_Data(), Table_SourceData_ClimateZones[[#Headers],[Climate zone]], 0)</f>
        <v>Any</v>
      </c>
      <c r="H95" s="21" t="str" cm="1">
        <f t="array" ref="H95">Common_InputFunctions.Utility_DisplayArrayInTable(Common_SourceData.Common_SourceData_ClimateZones_Data(), Table_SourceData_ClimateZones[[#Headers],[Climate zone]], 0)</f>
        <v>Any</v>
      </c>
      <c r="I95" s="21" t="str" cm="1">
        <f t="array" ref="I95">Common_InputFunctions.Utility_DisplayArrayInTable(Common_SourceData.Common_SourceData_ClimateZones_Data(), Table_SourceData_ClimateZones[[#Headers],[Climate zone]], 0)</f>
        <v>≤ 1</v>
      </c>
      <c r="J95" s="21" cm="1">
        <f t="array" ref="J95">Common_InputFunctions.Utility_DisplayArrayInTable(Common_SourceData.Common_SourceData_ClimateZones_Data(), Table_SourceData_ClimateZones[[#Headers],[Climate zone]], 0)</f>
        <v>10.000999999999999</v>
      </c>
      <c r="K95" s="21" cm="1">
        <f t="array" ref="K95">Common_InputFunctions.Utility_DisplayArrayInTable(Common_SourceData.Common_SourceData_ClimateZones_Data(), Table_SourceData_ClimateZones[[#Headers],[Climate zone]], 0)</f>
        <v>999999</v>
      </c>
      <c r="L95" s="21" cm="1">
        <f t="array" ref="L95">Common_InputFunctions.Utility_DisplayArrayInTable(Common_SourceData.Common_SourceData_ClimateZones_Data(), Table_SourceData_ClimateZones[[#Headers],[Climate zone]], 0)</f>
        <v>-999999</v>
      </c>
      <c r="M95" s="21" cm="1">
        <f t="array" ref="M95">Common_InputFunctions.Utility_DisplayArrayInTable(Common_SourceData.Common_SourceData_ClimateZones_Data(), Table_SourceData_ClimateZones[[#Headers],[Climate zone]], 0)</f>
        <v>999999</v>
      </c>
      <c r="N95" s="21" cm="1">
        <f t="array" ref="N95">Common_InputFunctions.Utility_DisplayArrayInTable(Common_SourceData.Common_SourceData_ClimateZones_Data(), Table_SourceData_ClimateZones[[#Headers],[Climate zone]], 0)</f>
        <v>-999999</v>
      </c>
      <c r="O95" s="21" cm="1">
        <f t="array" ref="O95">Common_InputFunctions.Utility_DisplayArrayInTable(Common_SourceData.Common_SourceData_ClimateZones_Data(), Table_SourceData_ClimateZones[[#Headers],[Climate zone]], 0)</f>
        <v>999999</v>
      </c>
      <c r="P95" s="21" cm="1">
        <f t="array" ref="P95">Common_InputFunctions.Utility_DisplayArrayInTable(Common_SourceData.Common_SourceData_ClimateZones_Data(), Table_SourceData_ClimateZones[[#Headers],[Climate zone]], 0)</f>
        <v>-999999</v>
      </c>
      <c r="Q95" s="21" cm="1">
        <f t="array" ref="Q95">Common_InputFunctions.Utility_DisplayArrayInTable(Common_SourceData.Common_SourceData_ClimateZones_Data(), Table_SourceData_ClimateZones[[#Headers],[Climate zone]], 0)</f>
        <v>999999</v>
      </c>
      <c r="R95" s="21" cm="1">
        <f t="array" ref="R95">Common_InputFunctions.Utility_DisplayArrayInTable(Common_SourceData.Common_SourceData_ClimateZones_Data(), Table_SourceData_ClimateZones[[#Headers],[Climate zone]], 0)</f>
        <v>-999999</v>
      </c>
      <c r="S95" s="21" cm="1">
        <f t="array" ref="S95">Common_InputFunctions.Utility_DisplayArrayInTable(Common_SourceData.Common_SourceData_ClimateZones_Data(), Table_SourceData_ClimateZones[[#Headers],[Climate zone]], 0)</f>
        <v>1</v>
      </c>
      <c r="T95" s="21"/>
    </row>
    <row r="96" spans="1:20" ht="20.100000000000001" customHeight="1" x14ac:dyDescent="0.25">
      <c r="A96"/>
      <c r="D96" s="21" t="str" cm="1">
        <f t="array" ref="D96">Common_InputFunctions.Utility_DisplayArrayInTable(Common_SourceData.Common_SourceData_ClimateZones_Data(), Table_SourceData_ClimateZones[[#Headers],[Climate zone]], 0)</f>
        <v>Cool temperate moist</v>
      </c>
      <c r="E96" s="21" t="str" cm="1">
        <f t="array" ref="E96">Common_InputFunctions.Utility_DisplayArrayInTable(Common_SourceData.Common_SourceData_ClimateZones_Data(), Table_SourceData_ClimateZones[[#Headers],[Climate zone]], 0)</f>
        <v>&gt; 0 C - ≤ 10 C</v>
      </c>
      <c r="F96" s="21" t="str" cm="1">
        <f t="array" ref="F96">Common_InputFunctions.Utility_DisplayArrayInTable(Common_SourceData.Common_SourceData_ClimateZones_Data(), Table_SourceData_ClimateZones[[#Headers],[Climate zone]], 0)</f>
        <v>Any</v>
      </c>
      <c r="G96" s="21" t="str" cm="1">
        <f t="array" ref="G96">Common_InputFunctions.Utility_DisplayArrayInTable(Common_SourceData.Common_SourceData_ClimateZones_Data(), Table_SourceData_ClimateZones[[#Headers],[Climate zone]], 0)</f>
        <v>Any</v>
      </c>
      <c r="H96" s="21" t="str" cm="1">
        <f t="array" ref="H96">Common_InputFunctions.Utility_DisplayArrayInTable(Common_SourceData.Common_SourceData_ClimateZones_Data(), Table_SourceData_ClimateZones[[#Headers],[Climate zone]], 0)</f>
        <v>Any</v>
      </c>
      <c r="I96" s="21" t="str" cm="1">
        <f t="array" ref="I96">Common_InputFunctions.Utility_DisplayArrayInTable(Common_SourceData.Common_SourceData_ClimateZones_Data(), Table_SourceData_ClimateZones[[#Headers],[Climate zone]], 0)</f>
        <v>&gt; 1</v>
      </c>
      <c r="J96" s="21" cm="1">
        <f t="array" ref="J96">Common_InputFunctions.Utility_DisplayArrayInTable(Common_SourceData.Common_SourceData_ClimateZones_Data(), Table_SourceData_ClimateZones[[#Headers],[Climate zone]], 0)</f>
        <v>-999999</v>
      </c>
      <c r="K96" s="21" cm="1">
        <f t="array" ref="K96">Common_InputFunctions.Utility_DisplayArrayInTable(Common_SourceData.Common_SourceData_ClimateZones_Data(), Table_SourceData_ClimateZones[[#Headers],[Climate zone]], 0)</f>
        <v>10</v>
      </c>
      <c r="L96" s="21" cm="1">
        <f t="array" ref="L96">Common_InputFunctions.Utility_DisplayArrayInTable(Common_SourceData.Common_SourceData_ClimateZones_Data(), Table_SourceData_ClimateZones[[#Headers],[Climate zone]], 0)</f>
        <v>-999999</v>
      </c>
      <c r="M96" s="21" cm="1">
        <f t="array" ref="M96">Common_InputFunctions.Utility_DisplayArrayInTable(Common_SourceData.Common_SourceData_ClimateZones_Data(), Table_SourceData_ClimateZones[[#Headers],[Climate zone]], 0)</f>
        <v>999999</v>
      </c>
      <c r="N96" s="21" cm="1">
        <f t="array" ref="N96">Common_InputFunctions.Utility_DisplayArrayInTable(Common_SourceData.Common_SourceData_ClimateZones_Data(), Table_SourceData_ClimateZones[[#Headers],[Climate zone]], 0)</f>
        <v>-999999</v>
      </c>
      <c r="O96" s="21" cm="1">
        <f t="array" ref="O96">Common_InputFunctions.Utility_DisplayArrayInTable(Common_SourceData.Common_SourceData_ClimateZones_Data(), Table_SourceData_ClimateZones[[#Headers],[Climate zone]], 0)</f>
        <v>999999</v>
      </c>
      <c r="P96" s="21" cm="1">
        <f t="array" ref="P96">Common_InputFunctions.Utility_DisplayArrayInTable(Common_SourceData.Common_SourceData_ClimateZones_Data(), Table_SourceData_ClimateZones[[#Headers],[Climate zone]], 0)</f>
        <v>-999999</v>
      </c>
      <c r="Q96" s="21" cm="1">
        <f t="array" ref="Q96">Common_InputFunctions.Utility_DisplayArrayInTable(Common_SourceData.Common_SourceData_ClimateZones_Data(), Table_SourceData_ClimateZones[[#Headers],[Climate zone]], 0)</f>
        <v>999999</v>
      </c>
      <c r="R96" s="21" cm="1">
        <f t="array" ref="R96">Common_InputFunctions.Utility_DisplayArrayInTable(Common_SourceData.Common_SourceData_ClimateZones_Data(), Table_SourceData_ClimateZones[[#Headers],[Climate zone]], 0)</f>
        <v>1.0009999999999999</v>
      </c>
      <c r="S96" s="21" cm="1">
        <f t="array" ref="S96">Common_InputFunctions.Utility_DisplayArrayInTable(Common_SourceData.Common_SourceData_ClimateZones_Data(), Table_SourceData_ClimateZones[[#Headers],[Climate zone]], 0)</f>
        <v>999999</v>
      </c>
      <c r="T96" s="21"/>
    </row>
    <row r="97" spans="1:20" ht="20.100000000000001" customHeight="1" x14ac:dyDescent="0.25">
      <c r="A97"/>
      <c r="D97" s="21" t="str" cm="1">
        <f t="array" ref="D97">Common_InputFunctions.Utility_DisplayArrayInTable(Common_SourceData.Common_SourceData_ClimateZones_Data(), Table_SourceData_ClimateZones[[#Headers],[Climate zone]], 0)</f>
        <v>Cool temperate dry</v>
      </c>
      <c r="E97" s="21" t="str" cm="1">
        <f t="array" ref="E97">Common_InputFunctions.Utility_DisplayArrayInTable(Common_SourceData.Common_SourceData_ClimateZones_Data(), Table_SourceData_ClimateZones[[#Headers],[Climate zone]], 0)</f>
        <v>&gt; 0 C - ≤ 10 C</v>
      </c>
      <c r="F97" s="21" t="str" cm="1">
        <f t="array" ref="F97">Common_InputFunctions.Utility_DisplayArrayInTable(Common_SourceData.Common_SourceData_ClimateZones_Data(), Table_SourceData_ClimateZones[[#Headers],[Climate zone]], 0)</f>
        <v>Any</v>
      </c>
      <c r="G97" s="21" t="str" cm="1">
        <f t="array" ref="G97">Common_InputFunctions.Utility_DisplayArrayInTable(Common_SourceData.Common_SourceData_ClimateZones_Data(), Table_SourceData_ClimateZones[[#Headers],[Climate zone]], 0)</f>
        <v>Any</v>
      </c>
      <c r="H97" s="21" t="str" cm="1">
        <f t="array" ref="H97">Common_InputFunctions.Utility_DisplayArrayInTable(Common_SourceData.Common_SourceData_ClimateZones_Data(), Table_SourceData_ClimateZones[[#Headers],[Climate zone]], 0)</f>
        <v>Any</v>
      </c>
      <c r="I97" s="21" t="str" cm="1">
        <f t="array" ref="I97">Common_InputFunctions.Utility_DisplayArrayInTable(Common_SourceData.Common_SourceData_ClimateZones_Data(), Table_SourceData_ClimateZones[[#Headers],[Climate zone]], 0)</f>
        <v>≤ 1</v>
      </c>
      <c r="J97" s="21" cm="1">
        <f t="array" ref="J97">Common_InputFunctions.Utility_DisplayArrayInTable(Common_SourceData.Common_SourceData_ClimateZones_Data(), Table_SourceData_ClimateZones[[#Headers],[Climate zone]], 0)</f>
        <v>-999999</v>
      </c>
      <c r="K97" s="21" cm="1">
        <f t="array" ref="K97">Common_InputFunctions.Utility_DisplayArrayInTable(Common_SourceData.Common_SourceData_ClimateZones_Data(), Table_SourceData_ClimateZones[[#Headers],[Climate zone]], 0)</f>
        <v>10</v>
      </c>
      <c r="L97" s="21" cm="1">
        <f t="array" ref="L97">Common_InputFunctions.Utility_DisplayArrayInTable(Common_SourceData.Common_SourceData_ClimateZones_Data(), Table_SourceData_ClimateZones[[#Headers],[Climate zone]], 0)</f>
        <v>-999999</v>
      </c>
      <c r="M97" s="21" cm="1">
        <f t="array" ref="M97">Common_InputFunctions.Utility_DisplayArrayInTable(Common_SourceData.Common_SourceData_ClimateZones_Data(), Table_SourceData_ClimateZones[[#Headers],[Climate zone]], 0)</f>
        <v>999999</v>
      </c>
      <c r="N97" s="21" cm="1">
        <f t="array" ref="N97">Common_InputFunctions.Utility_DisplayArrayInTable(Common_SourceData.Common_SourceData_ClimateZones_Data(), Table_SourceData_ClimateZones[[#Headers],[Climate zone]], 0)</f>
        <v>-999999</v>
      </c>
      <c r="O97" s="21" cm="1">
        <f t="array" ref="O97">Common_InputFunctions.Utility_DisplayArrayInTable(Common_SourceData.Common_SourceData_ClimateZones_Data(), Table_SourceData_ClimateZones[[#Headers],[Climate zone]], 0)</f>
        <v>999999</v>
      </c>
      <c r="P97" s="21" cm="1">
        <f t="array" ref="P97">Common_InputFunctions.Utility_DisplayArrayInTable(Common_SourceData.Common_SourceData_ClimateZones_Data(), Table_SourceData_ClimateZones[[#Headers],[Climate zone]], 0)</f>
        <v>-999999</v>
      </c>
      <c r="Q97" s="21" cm="1">
        <f t="array" ref="Q97">Common_InputFunctions.Utility_DisplayArrayInTable(Common_SourceData.Common_SourceData_ClimateZones_Data(), Table_SourceData_ClimateZones[[#Headers],[Climate zone]], 0)</f>
        <v>999999</v>
      </c>
      <c r="R97" s="21" cm="1">
        <f t="array" ref="R97">Common_InputFunctions.Utility_DisplayArrayInTable(Common_SourceData.Common_SourceData_ClimateZones_Data(), Table_SourceData_ClimateZones[[#Headers],[Climate zone]], 0)</f>
        <v>-999999</v>
      </c>
      <c r="S97" s="21" cm="1">
        <f t="array" ref="S97">Common_InputFunctions.Utility_DisplayArrayInTable(Common_SourceData.Common_SourceData_ClimateZones_Data(), Table_SourceData_ClimateZones[[#Headers],[Climate zone]], 0)</f>
        <v>1</v>
      </c>
      <c r="T97" s="21"/>
    </row>
    <row r="98" spans="1:20" ht="20.100000000000001" customHeight="1" x14ac:dyDescent="0.25">
      <c r="A98"/>
    </row>
    <row r="99" spans="1:20" ht="20.100000000000001" customHeight="1" x14ac:dyDescent="0.25">
      <c r="A99"/>
      <c r="D99" s="10" t="str" cm="1">
        <f t="array" ref="D99:D102">Common_SourceData.Common_SourceData_ClimateZones_Appendices()</f>
        <v>Note:</v>
      </c>
    </row>
    <row r="100" spans="1:20" ht="20.100000000000001" customHeight="1" x14ac:dyDescent="0.25">
      <c r="A100"/>
      <c r="D100" s="10" t="str">
        <v>MAT = mean annual temperature</v>
      </c>
    </row>
    <row r="101" spans="1:20" ht="20.100000000000001" customHeight="1" x14ac:dyDescent="0.25">
      <c r="A101"/>
      <c r="D101" s="10" t="str">
        <v>MAP = mean annual precipitation</v>
      </c>
    </row>
    <row r="102" spans="1:20" ht="20.100000000000001" customHeight="1" x14ac:dyDescent="0.25">
      <c r="A102"/>
      <c r="D102" s="10" t="str">
        <v>PET = potential evapotranspiration</v>
      </c>
    </row>
    <row r="103" spans="1:20" ht="20.100000000000001" customHeight="1" x14ac:dyDescent="0.25">
      <c r="A103"/>
      <c r="D103" s="10"/>
    </row>
    <row r="104" spans="1:20" ht="20.100000000000001" customHeight="1" x14ac:dyDescent="0.25">
      <c r="A104"/>
    </row>
    <row r="105" spans="1:20" ht="20.100000000000001" customHeight="1" x14ac:dyDescent="0.25">
      <c r="A105"/>
      <c r="D105" s="2" t="str" cm="1">
        <f t="array" ref="D105">Common_SourceData.Common_SourceData_TemperatureZones_Title()</f>
        <v>VEERG Australian temperature zones</v>
      </c>
    </row>
    <row r="106" spans="1:20" ht="20.100000000000001" customHeight="1" x14ac:dyDescent="0.25">
      <c r="A106"/>
      <c r="D106" s="18" t="str" cm="1">
        <f t="array" ref="D106">Common_SourceData.Common_SourceData_TemperatureZones_Source()</f>
        <v>VEERG 2026: Table 1.3: Climate and Rainfall zone classifications and definitions</v>
      </c>
    </row>
    <row r="107" spans="1:20" ht="20.100000000000001" customHeight="1" x14ac:dyDescent="0.25">
      <c r="A107"/>
      <c r="D107" s="27"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21" t="s">
        <v>49</v>
      </c>
      <c r="E109" s="21" t="s">
        <v>34</v>
      </c>
      <c r="F109" s="21" t="s">
        <v>50</v>
      </c>
      <c r="G109" s="21" t="s">
        <v>51</v>
      </c>
    </row>
    <row r="110" spans="1:20" ht="20.100000000000001" customHeight="1" x14ac:dyDescent="0.25">
      <c r="A110"/>
      <c r="D110" s="21" t="str" cm="1">
        <f t="array" ref="D110">Common_InputFunctions.Utility_DisplayArrayInTable(Common_SourceData.Common_SourceData_TemperatureZones_Data(),Table_SourceData_TemperatureZones[[#Headers],[Temperature Zone]],0)</f>
        <v>Warm</v>
      </c>
      <c r="E110" s="21" t="str" cm="1">
        <f t="array" ref="E110">Common_InputFunctions.Utility_DisplayArrayInTable(Common_SourceData.Common_SourceData_TemperatureZones_Data(),Table_SourceData_TemperatureZones[[#Headers],[Temperature Zone]],0)</f>
        <v>≥ 26 C</v>
      </c>
      <c r="F110" s="21" cm="1">
        <f t="array" ref="F110">Common_InputFunctions.Utility_DisplayArrayInTable(Common_SourceData.Common_SourceData_TemperatureZones_Data(),Table_SourceData_TemperatureZones[[#Headers],[Temperature Zone]],0)</f>
        <v>26</v>
      </c>
      <c r="G110" s="21"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21" t="str" cm="1">
        <f t="array" ref="D111">Common_InputFunctions.Utility_DisplayArrayInTable(Common_SourceData.Common_SourceData_TemperatureZones_Data(),Table_SourceData_TemperatureZones[[#Headers],[Temperature Zone]],0)</f>
        <v>Temperate</v>
      </c>
      <c r="E111" s="21" t="str" cm="1">
        <f t="array" ref="E111">Common_InputFunctions.Utility_DisplayArrayInTable(Common_SourceData.Common_SourceData_TemperatureZones_Data(),Table_SourceData_TemperatureZones[[#Headers],[Temperature Zone]],0)</f>
        <v>15 - 25 C</v>
      </c>
      <c r="F111" s="21" cm="1">
        <f t="array" ref="F111">Common_InputFunctions.Utility_DisplayArrayInTable(Common_SourceData.Common_SourceData_TemperatureZones_Data(),Table_SourceData_TemperatureZones[[#Headers],[Temperature Zone]],0)</f>
        <v>15</v>
      </c>
      <c r="G111" s="21"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21" t="str" cm="1">
        <f t="array" ref="D112">Common_InputFunctions.Utility_DisplayArrayInTable(Common_SourceData.Common_SourceData_TemperatureZones_Data(),Table_SourceData_TemperatureZones[[#Headers],[Temperature Zone]],0)</f>
        <v>Cool</v>
      </c>
      <c r="E112" s="21" t="str" cm="1">
        <f t="array" ref="E112">Common_InputFunctions.Utility_DisplayArrayInTable(Common_SourceData.Common_SourceData_TemperatureZones_Data(),Table_SourceData_TemperatureZones[[#Headers],[Temperature Zone]],0)</f>
        <v>≤ 14 C</v>
      </c>
      <c r="F112" s="21" cm="1">
        <f t="array" ref="F112">Common_InputFunctions.Utility_DisplayArrayInTable(Common_SourceData.Common_SourceData_TemperatureZones_Data(),Table_SourceData_TemperatureZones[[#Headers],[Temperature Zone]],0)</f>
        <v>-999999</v>
      </c>
      <c r="G112" s="21"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2" t="str" cm="1">
        <f t="array" ref="D115">Common_SourceData.Common_SourceData_RainfallZones_Title()</f>
        <v>VEERG Australian rainfall zones</v>
      </c>
      <c r="BN115" s="23"/>
    </row>
    <row r="116" spans="1:66" ht="20.100000000000001" customHeight="1" x14ac:dyDescent="0.25">
      <c r="A116"/>
      <c r="D116" s="18" t="str" cm="1">
        <f t="array" ref="D116">Common_SourceData.Common_SourceData_RainfallZones_Source()</f>
        <v>VEERG 2026: Table 1.3: Climate and Rainfall zone classifications and definitions</v>
      </c>
      <c r="BN116" s="23"/>
    </row>
    <row r="117" spans="1:66" ht="20.100000000000001" customHeight="1" x14ac:dyDescent="0.25">
      <c r="A117"/>
      <c r="D117" s="27" t="str" cm="1">
        <f t="array" ref="D117">"⚠️" &amp; Common_SourceData.Common_SourceData_RainfallZones_Variation()</f>
        <v>⚠️VARIATION OF SOURCE DATA: Added extra Rainfall min and Rainfall max columns to calculate zone from real rainfall data.</v>
      </c>
      <c r="BN117" s="23"/>
    </row>
    <row r="118" spans="1:66" ht="20.100000000000001" customHeight="1" x14ac:dyDescent="0.25">
      <c r="A118"/>
      <c r="BN118" s="23"/>
    </row>
    <row r="119" spans="1:66" ht="20.100000000000001" customHeight="1" x14ac:dyDescent="0.25">
      <c r="A119"/>
      <c r="D119" s="21" t="s">
        <v>52</v>
      </c>
      <c r="E119" s="21" t="s">
        <v>53</v>
      </c>
      <c r="F119" s="21" t="s">
        <v>41</v>
      </c>
      <c r="G119" s="21" t="s">
        <v>42</v>
      </c>
      <c r="BN119" s="23"/>
    </row>
    <row r="120" spans="1:66" ht="20.100000000000001" customHeight="1" x14ac:dyDescent="0.25">
      <c r="A120"/>
      <c r="D120" s="21" t="str" cm="1">
        <f t="array" ref="D120">Common_InputFunctions.Utility_DisplayArrayInTable(Common_SourceData.Common_SourceData_RainfallZones_Data(),Table_SourceData_RainfallZones[[#Headers],[Rainfall Zone]],0)</f>
        <v>High rainfall</v>
      </c>
      <c r="E120" s="21" t="str" cm="1">
        <f t="array" ref="E120">Common_InputFunctions.Utility_DisplayArrayInTable(Common_SourceData.Common_SourceData_RainfallZones_Data(),Table_SourceData_RainfallZones[[#Headers],[Rainfall Zone]],0)</f>
        <v>Annual rainfall &gt; 600mm</v>
      </c>
      <c r="F120" s="21" cm="1">
        <f t="array" ref="F120">Common_InputFunctions.Utility_DisplayArrayInTable(Common_SourceData.Common_SourceData_RainfallZones_Data(),Table_SourceData_RainfallZones[[#Headers],[Rainfall Zone]],0)</f>
        <v>600.00099999999998</v>
      </c>
      <c r="G120" s="21" cm="1">
        <f t="array" ref="G120">Common_InputFunctions.Utility_DisplayArrayInTable(Common_SourceData.Common_SourceData_RainfallZones_Data(),Table_SourceData_RainfallZones[[#Headers],[Rainfall Zone]],0)</f>
        <v>999999</v>
      </c>
      <c r="BN120" s="23"/>
    </row>
    <row r="121" spans="1:66" ht="20.100000000000001" customHeight="1" x14ac:dyDescent="0.25">
      <c r="A121"/>
      <c r="D121" s="21" t="str" cm="1">
        <f t="array" ref="D121">Common_InputFunctions.Utility_DisplayArrayInTable(Common_SourceData.Common_SourceData_RainfallZones_Data(),Table_SourceData_RainfallZones[[#Headers],[Rainfall Zone]],0)</f>
        <v>Low rainfall</v>
      </c>
      <c r="E121" s="21" t="str" cm="1">
        <f t="array" ref="E121">Common_InputFunctions.Utility_DisplayArrayInTable(Common_SourceData.Common_SourceData_RainfallZones_Data(),Table_SourceData_RainfallZones[[#Headers],[Rainfall Zone]],0)</f>
        <v>Annual rainfall ≤ 600mm</v>
      </c>
      <c r="F121" s="21" cm="1">
        <f t="array" ref="F121">Common_InputFunctions.Utility_DisplayArrayInTable(Common_SourceData.Common_SourceData_RainfallZones_Data(),Table_SourceData_RainfallZones[[#Headers],[Rainfall Zone]],0)</f>
        <v>-999999</v>
      </c>
      <c r="G121" s="21" cm="1">
        <f t="array" ref="G121">Common_InputFunctions.Utility_DisplayArrayInTable(Common_SourceData.Common_SourceData_RainfallZones_Data(),Table_SourceData_RainfallZones[[#Headers],[Rainfall Zone]],0)</f>
        <v>600</v>
      </c>
      <c r="BN121" s="23"/>
    </row>
    <row r="122" spans="1:66" ht="20.100000000000001" customHeight="1" x14ac:dyDescent="0.25">
      <c r="A122"/>
      <c r="BN122" s="23"/>
    </row>
    <row r="123" spans="1:66" ht="20.100000000000001" customHeight="1" x14ac:dyDescent="0.25">
      <c r="A123"/>
    </row>
    <row r="124" spans="1:66" ht="20.100000000000001" customHeight="1" x14ac:dyDescent="0.25">
      <c r="A124"/>
      <c r="D124" s="2" t="str" cm="1">
        <f t="array" ref="D124">Common_SourceData.Common_SourceData_LeachingZones_Title()</f>
        <v>VEERG Australian leaching zones</v>
      </c>
    </row>
    <row r="125" spans="1:66" ht="20.100000000000001" customHeight="1" x14ac:dyDescent="0.25">
      <c r="A125"/>
      <c r="D125" s="18"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21" t="s">
        <v>54</v>
      </c>
      <c r="E127" s="21" t="s">
        <v>55</v>
      </c>
    </row>
    <row r="128" spans="1:66" ht="20.100000000000001" customHeight="1" x14ac:dyDescent="0.25">
      <c r="A128"/>
      <c r="D128" s="21" t="str" cm="1">
        <f t="array" ref="D128">Common_InputFunctions.Utility_DisplayArrayInTable(Common_SourceData.Common_SourceData_LeachingZones_Data(), Table_SourceData_LeachingZones[[#Headers],[Leaching Zone]], 0)</f>
        <v>Leaching occurs</v>
      </c>
      <c r="E128" s="21"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21" t="str" cm="1">
        <f t="array" ref="D129">Common_InputFunctions.Utility_DisplayArrayInTable(Common_SourceData.Common_SourceData_LeachingZones_Data(), Table_SourceData_LeachingZones[[#Headers],[Leaching Zone]], 0)</f>
        <v>Leaching does not occur</v>
      </c>
      <c r="E129" s="21"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2" t="str" cm="1">
        <f t="array" ref="D132">Common_SourceData.Common_SourceData_FracWET_Title()</f>
        <v>Fraction of N that is available for leaching and runoff</v>
      </c>
      <c r="E132" s="9"/>
    </row>
    <row r="133" spans="1:77" ht="20.100000000000001" customHeight="1" x14ac:dyDescent="0.25">
      <c r="A133"/>
      <c r="D133" s="18" t="str" cm="1">
        <f t="array" ref="D133">Common_SourceData.Common_SourceData_FracWET_Source()</f>
        <v>VEERG 2026:5.5.2.3 Constant Parameters</v>
      </c>
      <c r="E133" s="9"/>
    </row>
    <row r="134" spans="1:77" ht="20.100000000000001" customHeight="1" x14ac:dyDescent="0.25">
      <c r="A134"/>
      <c r="D134" t="s">
        <v>56</v>
      </c>
      <c r="E134" t="s">
        <v>57</v>
      </c>
    </row>
    <row r="135" spans="1:77" ht="20.100000000000001"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100000000000001" customHeight="1" x14ac:dyDescent="0.25">
      <c r="A136"/>
      <c r="D136" s="1" t="str" cm="1">
        <f t="array" ref="D136">Common_InputFunctions.Utility_DisplayArrayInTable(Common_SourceData.Common_SourceData_FracWET_Data(),Table_SourceData_FracWET[[#Headers],[Is in leaching zone]],0)</f>
        <v>No - not in leaching zone</v>
      </c>
      <c r="E136" s="21"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23"/>
      <c r="BO138" s="23"/>
      <c r="BP138" s="23"/>
      <c r="BQ138" s="23"/>
      <c r="BR138" s="23"/>
      <c r="BS138" s="23"/>
      <c r="BT138" s="23"/>
      <c r="BU138" s="23"/>
      <c r="BV138" s="23"/>
      <c r="BW138" s="23"/>
      <c r="BX138" s="23"/>
      <c r="BY138" s="23"/>
    </row>
    <row r="139" spans="1:77" ht="20.100000000000001" customHeight="1" x14ac:dyDescent="0.25">
      <c r="A139"/>
      <c r="D139" s="2" t="str" cm="1">
        <f t="array" ref="D139">Common_SourceData.Common_SourceData_FracWETIrrigation_Title()</f>
        <v>FracWET for irrigation types</v>
      </c>
      <c r="BN139" s="23"/>
      <c r="BO139" s="23"/>
      <c r="BP139" s="23"/>
      <c r="BQ139" s="23"/>
      <c r="BR139" s="23"/>
      <c r="BS139" s="23"/>
      <c r="BT139" s="23"/>
      <c r="BU139" s="23"/>
      <c r="BV139" s="23"/>
      <c r="BW139" s="23"/>
      <c r="BX139" s="23"/>
      <c r="BY139" s="23"/>
    </row>
    <row r="140" spans="1:77" ht="20.100000000000001" customHeight="1" x14ac:dyDescent="0.25">
      <c r="A140"/>
      <c r="D140" s="18" t="str" cm="1">
        <f t="array" ref="D140">Common_SourceData.Common_SourceData_FracWETIrrigation_Source()</f>
        <v>VEERG 2026: Chapter 1, section 1.8.2 Leaching, climate and rainfall zones</v>
      </c>
      <c r="BN140" s="23"/>
      <c r="BO140" s="23"/>
      <c r="BP140" s="23"/>
      <c r="BQ140" s="23"/>
      <c r="BR140" s="23"/>
      <c r="BS140" s="23"/>
      <c r="BT140" s="23"/>
      <c r="BU140" s="23"/>
      <c r="BV140" s="23"/>
      <c r="BW140" s="23"/>
      <c r="BX140" s="23"/>
      <c r="BY140" s="23"/>
    </row>
    <row r="141" spans="1:77" ht="20.100000000000001" customHeight="1" x14ac:dyDescent="0.25">
      <c r="A141"/>
      <c r="D141" s="27" t="str" cm="1">
        <f t="array" ref="D141">Common_SourceData.Common_SourceData_FracWETIrrigation_Variation()</f>
        <v>VARIATION FROM SOURCE DATA: Table created based on VEERG text 'Areas are subject to leaching (i.e., in the leaching zone) when... the land is irrigated (except drip irrigation).'</v>
      </c>
      <c r="BN141" s="23"/>
    </row>
    <row r="142" spans="1:77" ht="20.100000000000001" customHeight="1" x14ac:dyDescent="0.25">
      <c r="A142"/>
      <c r="D142" s="21" t="s">
        <v>58</v>
      </c>
      <c r="E142" s="21" t="s">
        <v>57</v>
      </c>
      <c r="BN142" s="23"/>
    </row>
    <row r="143" spans="1:77" ht="20.100000000000001" customHeight="1" x14ac:dyDescent="0.25">
      <c r="A143"/>
      <c r="D143" s="21" t="str" cm="1">
        <f t="array" ref="D143">Common_InputFunctions.Utility_DisplayArrayInTable(Common_SourceData.Common_SourceData_FracWETIrrigation_Data(), Table_SourceData_FracWETIrrigation[[#Headers],[Irrigation type i]], 0)</f>
        <v>Not irrigated</v>
      </c>
      <c r="E143" s="21" cm="1">
        <f t="array" ref="E143">Common_InputFunctions.Utility_DisplayArrayInTable(Common_SourceData.Common_SourceData_FracWETIrrigation_Data(), Table_SourceData_FracWETIrrigation[[#Headers],[Irrigation type i]], 0)</f>
        <v>0</v>
      </c>
      <c r="BN143" s="23"/>
    </row>
    <row r="144" spans="1:77" ht="20.100000000000001" customHeight="1" x14ac:dyDescent="0.25">
      <c r="A144"/>
      <c r="D144" s="1" t="str" cm="1">
        <f t="array" ref="D144">Common_InputFunctions.Utility_DisplayArrayInTable(Common_SourceData.Common_SourceData_FracWETIrrigation_Data(), Table_SourceData_FracWETIrrigation[[#Headers],[Irrigation type i]], 0)</f>
        <v>Drip irrigation</v>
      </c>
      <c r="E144" s="21" cm="1">
        <f t="array" ref="E144">Common_InputFunctions.Utility_DisplayArrayInTable(Common_SourceData.Common_SourceData_FracWETIrrigation_Data(), Table_SourceData_FracWETIrrigation[[#Headers],[Irrigation type i]], 0)</f>
        <v>0</v>
      </c>
      <c r="BN144" s="23"/>
    </row>
    <row r="145" spans="1:66" ht="20.100000000000001" customHeight="1" x14ac:dyDescent="0.25">
      <c r="A145"/>
      <c r="D145" s="1" t="str" cm="1">
        <f t="array" ref="D145">Common_InputFunctions.Utility_DisplayArrayInTable(Common_SourceData.Common_SourceData_FracWETIrrigation_Data(), Table_SourceData_FracWETIrrigation[[#Headers],[Irrigation type i]], 0)</f>
        <v>Sprinkler irrigation</v>
      </c>
      <c r="E145" s="21" cm="1">
        <f t="array" ref="E145">Common_InputFunctions.Utility_DisplayArrayInTable(Common_SourceData.Common_SourceData_FracWETIrrigation_Data(), Table_SourceData_FracWETIrrigation[[#Headers],[Irrigation type i]], 0)</f>
        <v>1</v>
      </c>
      <c r="BN145" s="23"/>
    </row>
    <row r="146" spans="1:66" ht="20.100000000000001" customHeight="1" x14ac:dyDescent="0.25">
      <c r="A146"/>
      <c r="D146" s="1" t="str" cm="1">
        <f t="array" ref="D146">Common_InputFunctions.Utility_DisplayArrayInTable(Common_SourceData.Common_SourceData_FracWETIrrigation_Data(), Table_SourceData_FracWETIrrigation[[#Headers],[Irrigation type i]], 0)</f>
        <v>Surface irrigation</v>
      </c>
      <c r="E146" s="21" cm="1">
        <f t="array" ref="E146">Common_InputFunctions.Utility_DisplayArrayInTable(Common_SourceData.Common_SourceData_FracWETIrrigation_Data(), Table_SourceData_FracWETIrrigation[[#Headers],[Irrigation type i]], 0)</f>
        <v>1</v>
      </c>
      <c r="BN146" s="23"/>
    </row>
    <row r="147" spans="1:66" ht="20.100000000000001" customHeight="1" x14ac:dyDescent="0.25">
      <c r="A147"/>
      <c r="D147" s="1" t="str" cm="1">
        <f t="array" ref="D147">Common_InputFunctions.Utility_DisplayArrayInTable(Common_SourceData.Common_SourceData_FracWETIrrigation_Data(), Table_SourceData_FracWETIrrigation[[#Headers],[Irrigation type i]], 0)</f>
        <v>Other irrigation</v>
      </c>
      <c r="E147" s="21" cm="1">
        <f t="array" ref="E147">Common_InputFunctions.Utility_DisplayArrayInTable(Common_SourceData.Common_SourceData_FracWETIrrigation_Data(), Table_SourceData_FracWETIrrigation[[#Headers],[Irrigation type i]], 0)</f>
        <v>1</v>
      </c>
      <c r="BN147" s="23"/>
    </row>
    <row r="148" spans="1:66" ht="20.100000000000001" customHeight="1" x14ac:dyDescent="0.25">
      <c r="A148"/>
      <c r="BN148" s="23"/>
    </row>
    <row r="149" spans="1:66" ht="20.100000000000001" customHeight="1" x14ac:dyDescent="0.25">
      <c r="A149"/>
      <c r="BN149" s="23"/>
    </row>
    <row r="150" spans="1:66" ht="20.100000000000001" customHeight="1" x14ac:dyDescent="0.25">
      <c r="A150"/>
      <c r="D150" s="2" t="str" cm="1">
        <f t="array" ref="D150">Common_SourceData.Common_SourceData_DataScores_Scope3_Title()</f>
        <v>Australian data scores for scope 3</v>
      </c>
      <c r="BN150" s="23"/>
    </row>
    <row r="151" spans="1:66" ht="20.100000000000001" customHeight="1" x14ac:dyDescent="0.25">
      <c r="A151"/>
      <c r="D151" s="18" t="str" cm="1">
        <f t="array" ref="D151">Common_SourceData.Common_SourceData_DataScores_Scope3_Source()</f>
        <v>VEERG 2026: XXXXXXXX</v>
      </c>
      <c r="BN151" s="23"/>
    </row>
    <row r="152" spans="1:66" ht="20.100000000000001" customHeight="1" x14ac:dyDescent="0.25">
      <c r="A152"/>
      <c r="BN152" s="23"/>
    </row>
    <row r="153" spans="1:66" ht="20.100000000000001" customHeight="1" x14ac:dyDescent="0.25">
      <c r="A153"/>
      <c r="D153" s="21" t="s">
        <v>59</v>
      </c>
      <c r="E153" s="21" t="s">
        <v>60</v>
      </c>
      <c r="BC153" s="26"/>
      <c r="BD153" s="26"/>
      <c r="BE153" s="26"/>
      <c r="BF153" s="26"/>
      <c r="BG153" s="26"/>
      <c r="BH153" s="26"/>
      <c r="BI153" s="26"/>
      <c r="BJ153" s="26"/>
      <c r="BK153" s="26"/>
      <c r="BL153" s="26"/>
      <c r="BM153" s="26"/>
    </row>
    <row r="154" spans="1:66" ht="20.100000000000001" customHeight="1" x14ac:dyDescent="0.25">
      <c r="A154"/>
      <c r="D154" s="21" t="str" cm="1">
        <f t="array" ref="D154">Common_InputFunctions.Utility_DisplayArrayInTable(Common_SourceData.Common_SourceData_DataScores_Scope3_Data(), Table_SourceData_DataScores_Scope3[[#Headers],[Data source]], 0)</f>
        <v>International scope 3 database</v>
      </c>
      <c r="E154" s="21" cm="1">
        <f t="array" ref="E154">Common_InputFunctions.Utility_DisplayArrayInTable(Common_SourceData.Common_SourceData_DataScores_Scope3_Data(), Table_SourceData_DataScores_Scope3[[#Headers],[Data source]], 0)</f>
        <v>1</v>
      </c>
      <c r="BC154" s="26"/>
      <c r="BD154" s="26"/>
      <c r="BE154" s="26"/>
      <c r="BF154" s="26"/>
      <c r="BG154" s="26"/>
      <c r="BH154" s="26"/>
      <c r="BI154" s="26"/>
      <c r="BJ154" s="26"/>
      <c r="BK154" s="26"/>
      <c r="BL154" s="26"/>
      <c r="BM154" s="26"/>
    </row>
    <row r="155" spans="1:66" ht="20.100000000000001" customHeight="1" x14ac:dyDescent="0.25">
      <c r="A155"/>
      <c r="D155" s="21" t="str" cm="1">
        <f t="array" ref="D155">Common_InputFunctions.Utility_DisplayArrayInTable(Common_SourceData.Common_SourceData_DataScores_Scope3_Data(), Table_SourceData_DataScores_Scope3[[#Headers],[Data source]], 0)</f>
        <v>Australian scope 3 database</v>
      </c>
      <c r="E155" s="21" cm="1">
        <f t="array" ref="E155">Common_InputFunctions.Utility_DisplayArrayInTable(Common_SourceData.Common_SourceData_DataScores_Scope3_Data(), Table_SourceData_DataScores_Scope3[[#Headers],[Data source]], 0)</f>
        <v>2</v>
      </c>
      <c r="BC155" s="26"/>
      <c r="BD155" s="26"/>
      <c r="BE155" s="26"/>
      <c r="BF155" s="26"/>
      <c r="BG155" s="26"/>
      <c r="BH155" s="26"/>
      <c r="BI155" s="26"/>
      <c r="BJ155" s="26"/>
      <c r="BK155" s="26"/>
      <c r="BL155" s="26"/>
      <c r="BM155" s="26"/>
    </row>
    <row r="156" spans="1:66" ht="20.100000000000001" customHeight="1" x14ac:dyDescent="0.25">
      <c r="A156"/>
      <c r="D156" s="21" t="str" cm="1">
        <f t="array" ref="D156">Common_InputFunctions.Utility_DisplayArrayInTable(Common_SourceData.Common_SourceData_DataScores_Scope3_Data(), Table_SourceData_DataScores_Scope3[[#Headers],[Data source]], 0)</f>
        <v>State or regional scope 3 database</v>
      </c>
      <c r="E156" s="21"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21" t="str" cm="1">
        <f t="array" ref="D157">Common_InputFunctions.Utility_DisplayArrayInTable(Common_SourceData.Common_SourceData_DataScores_Scope3_Data(), Table_SourceData_DataScores_Scope3[[#Headers],[Data source]], 0)</f>
        <v>Emissions intensity calculated from approved method</v>
      </c>
      <c r="E157" s="21"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21" t="str" cm="1">
        <f t="array" ref="D158">Common_InputFunctions.Utility_DisplayArrayInTable(Common_SourceData.Common_SourceData_DataScores_Scope3_Data(), Table_SourceData_DataScores_Scope3[[#Headers],[Data source]], 0)</f>
        <v>Verified credential matching ISO14067</v>
      </c>
      <c r="E158" s="21"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2" t="str" cm="1">
        <f t="array" ref="D161">Common_SourceData.Common_SourceData_FracLEACH_Title()</f>
        <v>Fraction of N that is available for leaching and runoff</v>
      </c>
      <c r="E161" s="9"/>
    </row>
    <row r="162" spans="4:68" ht="20.100000000000001" customHeight="1" x14ac:dyDescent="0.25">
      <c r="D162" s="18" t="str" cm="1">
        <f t="array" ref="D162">Common_SourceData.Common_SourceData_FracLEACH_Source()</f>
        <v>VEERG 2026:5.5.2.3 Constant Parameters</v>
      </c>
      <c r="E162" s="9"/>
    </row>
    <row r="163" spans="4:68" ht="20.100000000000001" customHeight="1" x14ac:dyDescent="0.25">
      <c r="D163" s="18" t="str" cm="1">
        <f t="array" ref="D163">Common_SourceData.Common_SourceData_FracLEACH_NIRReference()</f>
        <v>National Inventory Report Volume 1: Leaching and runoff (3.D.b.2)</v>
      </c>
      <c r="E163" s="9"/>
    </row>
    <row r="164" spans="4:68" ht="20.100000000000001" customHeight="1" x14ac:dyDescent="0.25">
      <c r="D164" s="9" t="str" cm="1">
        <f t="array" ref="D164:E164">Common_SourceData.Common_SourceData_FracLEACH_Data()</f>
        <v>FracLEACH</v>
      </c>
      <c r="E164" s="9">
        <v>0.24</v>
      </c>
    </row>
    <row r="165" spans="4:68" ht="20.100000000000001" customHeight="1" x14ac:dyDescent="0.25">
      <c r="BN165" s="23"/>
      <c r="BO165" s="23"/>
      <c r="BP165" s="23"/>
    </row>
    <row r="166" spans="4:68" ht="20.100000000000001" customHeight="1" x14ac:dyDescent="0.25">
      <c r="BN166" s="23"/>
      <c r="BO166" s="23"/>
      <c r="BP166" s="23"/>
    </row>
    <row r="167" spans="4:68" ht="20.100000000000001" customHeight="1" x14ac:dyDescent="0.25">
      <c r="D167" s="2" t="str" cm="1">
        <f t="array" ref="D167">Common_SourceData.Common_SourceData_EFleach_Title()</f>
        <v>Emission factor for nitrogen leaching and runoff</v>
      </c>
      <c r="BN167" s="23"/>
      <c r="BO167" s="23"/>
      <c r="BP167" s="23"/>
    </row>
    <row r="168" spans="4:68" ht="20.100000000000001" customHeight="1" x14ac:dyDescent="0.25">
      <c r="D168" s="18" t="str" cm="1">
        <f t="array" ref="D168">Common_SourceData.Common_SourceData_EFleach_Source()</f>
        <v>VEERG 2026:5.5.2.3 Constant Parameters</v>
      </c>
      <c r="BN168" s="23"/>
      <c r="BO168" s="23"/>
      <c r="BP168" s="23"/>
    </row>
    <row r="169" spans="4:68" ht="20.100000000000001" customHeight="1" x14ac:dyDescent="0.25">
      <c r="D169" s="18" t="str" cm="1">
        <f t="array" ref="D169">Common_SourceData.Common_SourceData_EFleach_NIRReference()</f>
        <v>National Inventory Report Volume 1: Equation 3.D.B_10</v>
      </c>
      <c r="BN169" s="23"/>
      <c r="BO169" s="23"/>
      <c r="BP169" s="23"/>
    </row>
    <row r="170" spans="4:68" ht="20.100000000000001" customHeight="1" x14ac:dyDescent="0.25">
      <c r="D170" s="1" t="str" cm="1">
        <f t="array" ref="D170:E170">Common_SourceData.Common_SourceData_EFleach_Data()</f>
        <v>EFleach</v>
      </c>
      <c r="E170" s="1">
        <v>1.0999999999999999E-2</v>
      </c>
      <c r="BN170" s="23"/>
      <c r="BO170" s="23"/>
      <c r="BP170" s="23"/>
    </row>
    <row r="171" spans="4:68" ht="20.100000000000001" customHeight="1" x14ac:dyDescent="0.25">
      <c r="BN171" s="23"/>
      <c r="BO171" s="23"/>
      <c r="BP171" s="23"/>
    </row>
    <row r="172" spans="4:68" ht="20.100000000000001" customHeight="1" x14ac:dyDescent="0.25">
      <c r="BN172" s="23"/>
      <c r="BO172" s="23"/>
      <c r="BP172" s="23"/>
    </row>
    <row r="173" spans="4:68" ht="20.100000000000001" customHeight="1" x14ac:dyDescent="0.25">
      <c r="D173" s="2" t="str" cm="1">
        <f t="array" ref="D173">Common_SourceData.Common_SourceData_DensityOfMethane_Title()</f>
        <v>p = density of methane</v>
      </c>
      <c r="BN173" s="23"/>
      <c r="BO173" s="23"/>
      <c r="BP173" s="23"/>
    </row>
    <row r="174" spans="4:68" ht="20.100000000000001" customHeight="1" x14ac:dyDescent="0.25">
      <c r="D174" s="18" t="str" cm="1">
        <f t="array" ref="D174">Common_SourceData.Common_SourceData_DensityOfMethane_Source()</f>
        <v>National Inventory Report 2023 Volume 1: Equations 3.B.1a_2, 3.B.1c_2, 3.B.3_1, 3.B.4g_2</v>
      </c>
      <c r="BN174" s="23"/>
      <c r="BO174" s="23"/>
      <c r="BP174" s="23"/>
    </row>
    <row r="175" spans="4:68" ht="20.100000000000001" customHeight="1" x14ac:dyDescent="0.25">
      <c r="D175" s="1" cm="1">
        <f t="array" ref="D175">Common_SourceData.Common_SourceData_DensityOfMethane_Data()</f>
        <v>0.6784</v>
      </c>
      <c r="E175" s="10" t="str" cm="1">
        <f t="array" ref="E175">Common_SourceData.Common_SourceData_DensityOfMethane_Unit()</f>
        <v>kg/m3</v>
      </c>
      <c r="BN175" s="23"/>
      <c r="BO175" s="23"/>
      <c r="BP175" s="23"/>
    </row>
    <row r="176" spans="4:68" ht="20.100000000000001" customHeight="1" x14ac:dyDescent="0.25">
      <c r="BN176" s="23"/>
      <c r="BO176" s="23"/>
      <c r="BP176" s="23"/>
    </row>
    <row r="177" spans="4:68" ht="20.100000000000001" customHeight="1" x14ac:dyDescent="0.25">
      <c r="BN177" s="23"/>
      <c r="BO177" s="23"/>
      <c r="BP177" s="23"/>
    </row>
    <row r="178" spans="4:68" ht="20.100000000000001" customHeight="1" x14ac:dyDescent="0.25">
      <c r="D178" s="2" t="str" cm="1">
        <f t="array" ref="D178">Common_SourceData.Common_SourceData_EFN2O_Title()</f>
        <v>Nitrous oxide emission factors for inorganic fertiliser application</v>
      </c>
      <c r="BN178" s="23"/>
      <c r="BO178" s="23"/>
      <c r="BP178" s="23"/>
    </row>
    <row r="179" spans="4:68" ht="20.100000000000001" customHeight="1" x14ac:dyDescent="0.25">
      <c r="D179" s="18" t="str" cm="1">
        <f t="array" ref="D179">Common_SourceData.Common_SourceData_EFN2O_Source()</f>
        <v>VEERG 2026: Table A.2.2.1</v>
      </c>
      <c r="BN179" s="23"/>
      <c r="BO179" s="23"/>
      <c r="BP179" s="23"/>
    </row>
    <row r="180" spans="4:68" ht="20.100000000000001" customHeight="1" x14ac:dyDescent="0.25">
      <c r="D180" s="10" t="str" cm="1">
        <f t="array" ref="D180">Common_SourceData.Common_SourceData_EFN2O_Unit()</f>
        <v>(kg N2O-N / kg N</v>
      </c>
    </row>
    <row r="181" spans="4:68" ht="20.100000000000001" customHeight="1" x14ac:dyDescent="0.25">
      <c r="D181" s="27" t="str" cm="1">
        <f t="array" ref="D181:D185">Common_SourceData.Common_SourceData_EFN2O_Variation()</f>
        <v>VARIATION OF SOURCE DATA:</v>
      </c>
    </row>
    <row r="182" spans="4:68" ht="20.100000000000001" customHeight="1" x14ac:dyDescent="0.25">
      <c r="D182" s="27" t="str">
        <v>Removed duplicate 'Aquaculture' row.</v>
      </c>
    </row>
    <row r="183" spans="4:68" ht="20.100000000000001" customHeight="1" x14ac:dyDescent="0.25">
      <c r="D183" s="27" t="str">
        <v>Removed asterisks to aid lookup.</v>
      </c>
    </row>
    <row r="184" spans="4:68" ht="20.100000000000001" customHeight="1" x14ac:dyDescent="0.25">
      <c r="D184" s="27" t="str">
        <v>Added 'production system only', 'rainfall zone' and 'irrigation method' columns to aid lookup.</v>
      </c>
    </row>
    <row r="185" spans="4:68" ht="20.100000000000001" customHeight="1" x14ac:dyDescent="0.25">
      <c r="D185" s="27" t="str">
        <v>Duplicated 'non-irrigated pasture' row with same EF for low and high rainfall zones to aid lookup.</v>
      </c>
    </row>
    <row r="186" spans="4:68" ht="20.100000000000001" customHeight="1" x14ac:dyDescent="0.25">
      <c r="D186" s="21" t="s">
        <v>61</v>
      </c>
      <c r="E186" s="21" t="s">
        <v>62</v>
      </c>
      <c r="F186" s="21" t="s">
        <v>63</v>
      </c>
      <c r="G186" s="21" t="s">
        <v>64</v>
      </c>
      <c r="H186" s="21" t="s">
        <v>65</v>
      </c>
    </row>
    <row r="187" spans="4:68" ht="20.100000000000001" customHeight="1" x14ac:dyDescent="0.25">
      <c r="D187" s="21" t="str" cm="1">
        <f t="array" ref="D187">Common_InputFunctions.Utility_DisplayArrayInTable(Common_SourceData.Common_SourceData_EFN2O_Data(), Table_SourceData_Common_EFN2O[[#Headers],[Production system j]], 0)</f>
        <v>Irrigated pasture</v>
      </c>
      <c r="E187" s="21" cm="1">
        <f t="array" ref="E187">Common_InputFunctions.Utility_DisplayArrayInTable(Common_SourceData.Common_SourceData_EFN2O_Data(), Table_SourceData_Common_EFN2O[[#Headers],[Production system j]], 0)</f>
        <v>5.8999999999999999E-3</v>
      </c>
      <c r="F187" s="21" t="str" cm="1">
        <f t="array" ref="F187">Common_InputFunctions.Utility_DisplayArrayInTable(Common_SourceData.Common_SourceData_EFN2O_Data(), Table_SourceData_Common_EFN2O[[#Headers],[Production system j]], 0)</f>
        <v>Pasture</v>
      </c>
      <c r="G187" s="21" t="str" cm="1">
        <f t="array" ref="G187">Common_InputFunctions.Utility_DisplayArrayInTable(Common_SourceData.Common_SourceData_EFN2O_Data(), Table_SourceData_Common_EFN2O[[#Headers],[Production system j]], 0)</f>
        <v>Any</v>
      </c>
      <c r="H187" s="21" t="str" cm="1">
        <f t="array" ref="H187">Common_InputFunctions.Utility_DisplayArrayInTable(Common_SourceData.Common_SourceData_EFN2O_Data(), Table_SourceData_Common_EFN2O[[#Headers],[Production system j]], 0)</f>
        <v>Any</v>
      </c>
    </row>
    <row r="188" spans="4:68" ht="20.100000000000001" customHeight="1" x14ac:dyDescent="0.25">
      <c r="D188" s="21" t="str" cm="1">
        <f t="array" ref="D188">Common_InputFunctions.Utility_DisplayArrayInTable(Common_SourceData.Common_SourceData_EFN2O_Data(), Table_SourceData_Common_EFN2O[[#Headers],[Production system j]], 0)</f>
        <v>Irrigated crop</v>
      </c>
      <c r="E188" s="21" cm="1">
        <f t="array" ref="E188">Common_InputFunctions.Utility_DisplayArrayInTable(Common_SourceData.Common_SourceData_EFN2O_Data(), Table_SourceData_Common_EFN2O[[#Headers],[Production system j]], 0)</f>
        <v>7.0000000000000001E-3</v>
      </c>
      <c r="F188" s="21" t="str" cm="1">
        <f t="array" ref="F188">Common_InputFunctions.Utility_DisplayArrayInTable(Common_SourceData.Common_SourceData_EFN2O_Data(), Table_SourceData_Common_EFN2O[[#Headers],[Production system j]], 0)</f>
        <v>Crop</v>
      </c>
      <c r="G188" s="21" t="str" cm="1">
        <f t="array" ref="G188">Common_InputFunctions.Utility_DisplayArrayInTable(Common_SourceData.Common_SourceData_EFN2O_Data(), Table_SourceData_Common_EFN2O[[#Headers],[Production system j]], 0)</f>
        <v>Any</v>
      </c>
      <c r="H188" s="21" t="str" cm="1">
        <f t="array" ref="H188">Common_InputFunctions.Utility_DisplayArrayInTable(Common_SourceData.Common_SourceData_EFN2O_Data(), Table_SourceData_Common_EFN2O[[#Headers],[Production system j]], 0)</f>
        <v>Any</v>
      </c>
    </row>
    <row r="189" spans="4:68" ht="20.100000000000001" customHeight="1" x14ac:dyDescent="0.25">
      <c r="D189" s="21" t="str" cm="1">
        <f t="array" ref="D189">Common_InputFunctions.Utility_DisplayArrayInTable(Common_SourceData.Common_SourceData_EFN2O_Data(), Table_SourceData_Common_EFN2O[[#Headers],[Production system j]], 0)</f>
        <v>Non-irrigated pasture</v>
      </c>
      <c r="E189" s="21" cm="1">
        <f t="array" ref="E189">Common_InputFunctions.Utility_DisplayArrayInTable(Common_SourceData.Common_SourceData_EFN2O_Data(), Table_SourceData_Common_EFN2O[[#Headers],[Production system j]], 0)</f>
        <v>1.8E-3</v>
      </c>
      <c r="F189" s="21" t="str" cm="1">
        <f t="array" ref="F189">Common_InputFunctions.Utility_DisplayArrayInTable(Common_SourceData.Common_SourceData_EFN2O_Data(), Table_SourceData_Common_EFN2O[[#Headers],[Production system j]], 0)</f>
        <v>Pasture</v>
      </c>
      <c r="G189" s="21" t="str" cm="1">
        <f t="array" ref="G189">Common_InputFunctions.Utility_DisplayArrayInTable(Common_SourceData.Common_SourceData_EFN2O_Data(), Table_SourceData_Common_EFN2O[[#Headers],[Production system j]], 0)</f>
        <v>Not irrigated</v>
      </c>
      <c r="H189" s="21" t="str" cm="1">
        <f t="array" ref="H189">Common_InputFunctions.Utility_DisplayArrayInTable(Common_SourceData.Common_SourceData_EFN2O_Data(), Table_SourceData_Common_EFN2O[[#Headers],[Production system j]], 0)</f>
        <v>Low rainfall</v>
      </c>
    </row>
    <row r="190" spans="4:68" ht="20.100000000000001" customHeight="1" x14ac:dyDescent="0.25">
      <c r="D190" s="21" t="str" cm="1">
        <f t="array" ref="D190">Common_InputFunctions.Utility_DisplayArrayInTable(Common_SourceData.Common_SourceData_EFN2O_Data(), Table_SourceData_Common_EFN2O[[#Headers],[Production system j]], 0)</f>
        <v>Non-irrigated pasture</v>
      </c>
      <c r="E190" s="21" cm="1">
        <f t="array" ref="E190">Common_InputFunctions.Utility_DisplayArrayInTable(Common_SourceData.Common_SourceData_EFN2O_Data(), Table_SourceData_Common_EFN2O[[#Headers],[Production system j]], 0)</f>
        <v>1.8E-3</v>
      </c>
      <c r="F190" s="21" t="str" cm="1">
        <f t="array" ref="F190">Common_InputFunctions.Utility_DisplayArrayInTable(Common_SourceData.Common_SourceData_EFN2O_Data(), Table_SourceData_Common_EFN2O[[#Headers],[Production system j]], 0)</f>
        <v>Pasture</v>
      </c>
      <c r="G190" s="21" t="str" cm="1">
        <f t="array" ref="G190">Common_InputFunctions.Utility_DisplayArrayInTable(Common_SourceData.Common_SourceData_EFN2O_Data(), Table_SourceData_Common_EFN2O[[#Headers],[Production system j]], 0)</f>
        <v>Not irrigated</v>
      </c>
      <c r="H190" s="21"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21" t="str" cm="1">
        <f t="array" ref="D191">Common_InputFunctions.Utility_DisplayArrayInTable(Common_SourceData.Common_SourceData_EFN2O_Data(), Table_SourceData_Common_EFN2O[[#Headers],[Production system j]], 0)</f>
        <v>Non-irrigated crop (low rainfall)</v>
      </c>
      <c r="E191" s="21" cm="1">
        <f t="array" ref="E191">Common_InputFunctions.Utility_DisplayArrayInTable(Common_SourceData.Common_SourceData_EFN2O_Data(), Table_SourceData_Common_EFN2O[[#Headers],[Production system j]], 0)</f>
        <v>2.8999999999999998E-3</v>
      </c>
      <c r="F191" s="21" t="str" cm="1">
        <f t="array" ref="F191">Common_InputFunctions.Utility_DisplayArrayInTable(Common_SourceData.Common_SourceData_EFN2O_Data(), Table_SourceData_Common_EFN2O[[#Headers],[Production system j]], 0)</f>
        <v>Crop</v>
      </c>
      <c r="G191" s="21" t="str" cm="1">
        <f t="array" ref="G191">Common_InputFunctions.Utility_DisplayArrayInTable(Common_SourceData.Common_SourceData_EFN2O_Data(), Table_SourceData_Common_EFN2O[[#Headers],[Production system j]], 0)</f>
        <v>Not irrigated</v>
      </c>
      <c r="H191" s="21" t="str" cm="1">
        <f t="array" ref="H191">Common_InputFunctions.Utility_DisplayArrayInTable(Common_SourceData.Common_SourceData_EFN2O_Data(), Table_SourceData_Common_EFN2O[[#Headers],[Production system j]], 0)</f>
        <v>Low rainfall</v>
      </c>
    </row>
    <row r="192" spans="4:68" ht="20.100000000000001" customHeight="1" x14ac:dyDescent="0.25">
      <c r="D192" s="21" t="str" cm="1">
        <f t="array" ref="D192">Common_InputFunctions.Utility_DisplayArrayInTable(Common_SourceData.Common_SourceData_EFN2O_Data(), Table_SourceData_Common_EFN2O[[#Headers],[Production system j]], 0)</f>
        <v>Non-irrigated crop (high rainfall)</v>
      </c>
      <c r="E192" s="21" cm="1">
        <f t="array" ref="E192">Common_InputFunctions.Utility_DisplayArrayInTable(Common_SourceData.Common_SourceData_EFN2O_Data(), Table_SourceData_Common_EFN2O[[#Headers],[Production system j]], 0)</f>
        <v>8.0000000000000002E-3</v>
      </c>
      <c r="F192" s="21" t="str" cm="1">
        <f t="array" ref="F192">Common_InputFunctions.Utility_DisplayArrayInTable(Common_SourceData.Common_SourceData_EFN2O_Data(), Table_SourceData_Common_EFN2O[[#Headers],[Production system j]], 0)</f>
        <v>Crop</v>
      </c>
      <c r="G192" s="21" t="str" cm="1">
        <f t="array" ref="G192">Common_InputFunctions.Utility_DisplayArrayInTable(Common_SourceData.Common_SourceData_EFN2O_Data(), Table_SourceData_Common_EFN2O[[#Headers],[Production system j]], 0)</f>
        <v>Not irrigated</v>
      </c>
      <c r="H192" s="21" t="str" cm="1">
        <f t="array" ref="H192">Common_InputFunctions.Utility_DisplayArrayInTable(Common_SourceData.Common_SourceData_EFN2O_Data(), Table_SourceData_Common_EFN2O[[#Headers],[Production system j]], 0)</f>
        <v>High rainfall</v>
      </c>
    </row>
    <row r="193" spans="4:8" ht="20.100000000000001" customHeight="1" x14ac:dyDescent="0.25">
      <c r="D193" s="21" t="str" cm="1">
        <f t="array" ref="D193">Common_InputFunctions.Utility_DisplayArrayInTable(Common_SourceData.Common_SourceData_EFN2O_Data(), Table_SourceData_Common_EFN2O[[#Headers],[Production system j]], 0)</f>
        <v>Sugar</v>
      </c>
      <c r="E193" s="21" cm="1">
        <f t="array" ref="E193">Common_InputFunctions.Utility_DisplayArrayInTable(Common_SourceData.Common_SourceData_EFN2O_Data(), Table_SourceData_Common_EFN2O[[#Headers],[Production system j]], 0)</f>
        <v>1.9900000000000001E-2</v>
      </c>
      <c r="F193" s="21" t="str" cm="1">
        <f t="array" ref="F193">Common_InputFunctions.Utility_DisplayArrayInTable(Common_SourceData.Common_SourceData_EFN2O_Data(), Table_SourceData_Common_EFN2O[[#Headers],[Production system j]], 0)</f>
        <v>Sugar</v>
      </c>
      <c r="G193" s="21" t="str" cm="1">
        <f t="array" ref="G193">Common_InputFunctions.Utility_DisplayArrayInTable(Common_SourceData.Common_SourceData_EFN2O_Data(), Table_SourceData_Common_EFN2O[[#Headers],[Production system j]], 0)</f>
        <v>Any</v>
      </c>
      <c r="H193" s="21" t="str" cm="1">
        <f t="array" ref="H193">Common_InputFunctions.Utility_DisplayArrayInTable(Common_SourceData.Common_SourceData_EFN2O_Data(), Table_SourceData_Common_EFN2O[[#Headers],[Production system j]], 0)</f>
        <v>Any</v>
      </c>
    </row>
    <row r="194" spans="4:8" ht="20.100000000000001" customHeight="1" x14ac:dyDescent="0.25">
      <c r="D194" s="21" t="str" cm="1">
        <f t="array" ref="D194">Common_InputFunctions.Utility_DisplayArrayInTable(Common_SourceData.Common_SourceData_EFN2O_Data(), Table_SourceData_Common_EFN2O[[#Headers],[Production system j]], 0)</f>
        <v>Cotton</v>
      </c>
      <c r="E194" s="21" cm="1">
        <f t="array" ref="E194">Common_InputFunctions.Utility_DisplayArrayInTable(Common_SourceData.Common_SourceData_EFN2O_Data(), Table_SourceData_Common_EFN2O[[#Headers],[Production system j]], 0)</f>
        <v>5.3E-3</v>
      </c>
      <c r="F194" s="21" t="str" cm="1">
        <f t="array" ref="F194">Common_InputFunctions.Utility_DisplayArrayInTable(Common_SourceData.Common_SourceData_EFN2O_Data(), Table_SourceData_Common_EFN2O[[#Headers],[Production system j]], 0)</f>
        <v>Cotton</v>
      </c>
      <c r="G194" s="21" t="str" cm="1">
        <f t="array" ref="G194">Common_InputFunctions.Utility_DisplayArrayInTable(Common_SourceData.Common_SourceData_EFN2O_Data(), Table_SourceData_Common_EFN2O[[#Headers],[Production system j]], 0)</f>
        <v>Any</v>
      </c>
      <c r="H194" s="21" t="str" cm="1">
        <f t="array" ref="H194">Common_InputFunctions.Utility_DisplayArrayInTable(Common_SourceData.Common_SourceData_EFN2O_Data(), Table_SourceData_Common_EFN2O[[#Headers],[Production system j]], 0)</f>
        <v>Any</v>
      </c>
    </row>
    <row r="195" spans="4:8" ht="20.100000000000001" customHeight="1" x14ac:dyDescent="0.25">
      <c r="D195" s="21" t="str" cm="1">
        <f t="array" ref="D195">Common_InputFunctions.Utility_DisplayArrayInTable(Common_SourceData.Common_SourceData_EFN2O_Data(), Table_SourceData_Common_EFN2O[[#Headers],[Production system j]], 0)</f>
        <v>Horticultural crops</v>
      </c>
      <c r="E195" s="21" cm="1">
        <f t="array" ref="E195">Common_InputFunctions.Utility_DisplayArrayInTable(Common_SourceData.Common_SourceData_EFN2O_Data(), Table_SourceData_Common_EFN2O[[#Headers],[Production system j]], 0)</f>
        <v>6.4000000000000003E-3</v>
      </c>
      <c r="F195" s="21" t="str" cm="1">
        <f t="array" ref="F195">Common_InputFunctions.Utility_DisplayArrayInTable(Common_SourceData.Common_SourceData_EFN2O_Data(), Table_SourceData_Common_EFN2O[[#Headers],[Production system j]], 0)</f>
        <v>Horticultural crops</v>
      </c>
      <c r="G195" s="21" t="str" cm="1">
        <f t="array" ref="G195">Common_InputFunctions.Utility_DisplayArrayInTable(Common_SourceData.Common_SourceData_EFN2O_Data(), Table_SourceData_Common_EFN2O[[#Headers],[Production system j]], 0)</f>
        <v>Any</v>
      </c>
      <c r="H195" s="21" t="str" cm="1">
        <f t="array" ref="H195">Common_InputFunctions.Utility_DisplayArrayInTable(Common_SourceData.Common_SourceData_EFN2O_Data(), Table_SourceData_Common_EFN2O[[#Headers],[Production system j]], 0)</f>
        <v>Any</v>
      </c>
    </row>
    <row r="196" spans="4:8" ht="20.100000000000001" customHeight="1" x14ac:dyDescent="0.25">
      <c r="D196" s="21" t="str" cm="1">
        <f t="array" ref="D196">Common_InputFunctions.Utility_DisplayArrayInTable(Common_SourceData.Common_SourceData_EFN2O_Data(), Table_SourceData_Common_EFN2O[[#Headers],[Production system j]], 0)</f>
        <v>Rice (continuous flooding)</v>
      </c>
      <c r="E196" s="21" cm="1">
        <f t="array" ref="E196">Common_InputFunctions.Utility_DisplayArrayInTable(Common_SourceData.Common_SourceData_EFN2O_Data(), Table_SourceData_Common_EFN2O[[#Headers],[Production system j]], 0)</f>
        <v>3.0000000000000001E-3</v>
      </c>
      <c r="F196" s="21" t="str" cm="1">
        <f t="array" ref="F196">Common_InputFunctions.Utility_DisplayArrayInTable(Common_SourceData.Common_SourceData_EFN2O_Data(), Table_SourceData_Common_EFN2O[[#Headers],[Production system j]], 0)</f>
        <v>Rice</v>
      </c>
      <c r="G196" s="21" t="str" cm="1">
        <f t="array" ref="G196">Common_InputFunctions.Utility_DisplayArrayInTable(Common_SourceData.Common_SourceData_EFN2O_Data(), Table_SourceData_Common_EFN2O[[#Headers],[Production system j]], 0)</f>
        <v>Continuous flooding</v>
      </c>
      <c r="H196" s="21" t="str" cm="1">
        <f t="array" ref="H196">Common_InputFunctions.Utility_DisplayArrayInTable(Common_SourceData.Common_SourceData_EFN2O_Data(), Table_SourceData_Common_EFN2O[[#Headers],[Production system j]], 0)</f>
        <v>Any</v>
      </c>
    </row>
    <row r="197" spans="4:8" x14ac:dyDescent="0.25">
      <c r="D197" s="21" t="str" cm="1">
        <f t="array" ref="D197">Common_InputFunctions.Utility_DisplayArrayInTable(Common_SourceData.Common_SourceData_EFN2O_Data(), Table_SourceData_Common_EFN2O[[#Headers],[Production system j]], 0)</f>
        <v>Rice (single and multiple drainage, or alternate wetting and drying)</v>
      </c>
      <c r="E197" s="21" cm="1">
        <f t="array" ref="E197">Common_InputFunctions.Utility_DisplayArrayInTable(Common_SourceData.Common_SourceData_EFN2O_Data(), Table_SourceData_Common_EFN2O[[#Headers],[Production system j]], 0)</f>
        <v>5.0000000000000001E-3</v>
      </c>
      <c r="F197" s="21" t="str" cm="1">
        <f t="array" ref="F197">Common_InputFunctions.Utility_DisplayArrayInTable(Common_SourceData.Common_SourceData_EFN2O_Data(), Table_SourceData_Common_EFN2O[[#Headers],[Production system j]], 0)</f>
        <v>Rice</v>
      </c>
      <c r="G197" s="21" t="str" cm="1">
        <f t="array" ref="G197">Common_InputFunctions.Utility_DisplayArrayInTable(Common_SourceData.Common_SourceData_EFN2O_Data(), Table_SourceData_Common_EFN2O[[#Headers],[Production system j]], 0)</f>
        <v>Single and multiple drainage, or alternate wetting and drying</v>
      </c>
      <c r="H197" s="21" t="str" cm="1">
        <f t="array" ref="H197">Common_InputFunctions.Utility_DisplayArrayInTable(Common_SourceData.Common_SourceData_EFN2O_Data(), Table_SourceData_Common_EFN2O[[#Headers],[Production system j]], 0)</f>
        <v>Any</v>
      </c>
    </row>
    <row r="198" spans="4:8" x14ac:dyDescent="0.25">
      <c r="D198" s="21" t="str" cm="1">
        <f t="array" ref="D198">Common_InputFunctions.Utility_DisplayArrayInTable(Common_SourceData.Common_SourceData_EFN2O_Data(), Table_SourceData_Common_EFN2O[[#Headers],[Production system j]], 0)</f>
        <v>Aquaculture</v>
      </c>
      <c r="E198" s="21" cm="1">
        <f t="array" ref="E198">Common_InputFunctions.Utility_DisplayArrayInTable(Common_SourceData.Common_SourceData_EFN2O_Data(), Table_SourceData_Common_EFN2O[[#Headers],[Production system j]], 0)</f>
        <v>2.5999999999999999E-3</v>
      </c>
      <c r="F198" s="21" t="str" cm="1">
        <f t="array" ref="F198">Common_InputFunctions.Utility_DisplayArrayInTable(Common_SourceData.Common_SourceData_EFN2O_Data(), Table_SourceData_Common_EFN2O[[#Headers],[Production system j]], 0)</f>
        <v>Aquaculture</v>
      </c>
      <c r="G198" s="21" t="str" cm="1">
        <f t="array" ref="G198">Common_InputFunctions.Utility_DisplayArrayInTable(Common_SourceData.Common_SourceData_EFN2O_Data(), Table_SourceData_Common_EFN2O[[#Headers],[Production system j]], 0)</f>
        <v>Any</v>
      </c>
      <c r="H198" s="21" t="str" cm="1">
        <f t="array" ref="H198">Common_InputFunctions.Utility_DisplayArrayInTable(Common_SourceData.Common_SourceData_EFN2O_Data(), Table_SourceData_Common_EFN2O[[#Headers],[Production system j]], 0)</f>
        <v>Any</v>
      </c>
    </row>
    <row r="199" spans="4:8" x14ac:dyDescent="0.25">
      <c r="D199" s="21" t="str" cm="1">
        <f t="array" ref="D199">Common_InputFunctions.Utility_DisplayArrayInTable(Common_SourceData.Common_SourceData_EFN2O_Data(), Table_SourceData_Common_EFN2O[[#Headers],[Production system j]], 0)</f>
        <v>Forestry</v>
      </c>
      <c r="E199" s="21" cm="1">
        <f t="array" ref="E199">Common_InputFunctions.Utility_DisplayArrayInTable(Common_SourceData.Common_SourceData_EFN2O_Data(), Table_SourceData_Common_EFN2O[[#Headers],[Production system j]], 0)</f>
        <v>1.8E-3</v>
      </c>
      <c r="F199" s="21" t="str" cm="1">
        <f t="array" ref="F199">Common_InputFunctions.Utility_DisplayArrayInTable(Common_SourceData.Common_SourceData_EFN2O_Data(), Table_SourceData_Common_EFN2O[[#Headers],[Production system j]], 0)</f>
        <v>Forestry</v>
      </c>
      <c r="G199" s="21" t="str" cm="1">
        <f t="array" ref="G199">Common_InputFunctions.Utility_DisplayArrayInTable(Common_SourceData.Common_SourceData_EFN2O_Data(), Table_SourceData_Common_EFN2O[[#Headers],[Production system j]], 0)</f>
        <v>Any</v>
      </c>
      <c r="H199" s="21" t="str" cm="1">
        <f t="array" ref="H199">Common_InputFunctions.Utility_DisplayArrayInTable(Common_SourceData.Common_SourceData_EFN2O_Data(), Table_SourceData_Common_EFN2O[[#Headers],[Production system j]], 0)</f>
        <v>Any</v>
      </c>
    </row>
    <row r="202" spans="4:8" ht="23.25" x14ac:dyDescent="0.25">
      <c r="D202" s="2" t="str" cm="1">
        <f t="array" ref="D202">Common_SourceData.Common_SourceData_EFPastureRangeAndPaddock_Title()</f>
        <v>Emission factor for urine and dung deposited on pasture, range or paddock</v>
      </c>
    </row>
    <row r="203" spans="4:8" x14ac:dyDescent="0.25">
      <c r="D203" s="18" t="str" cm="1">
        <f t="array" ref="D203">Common_SourceData.Common_SourceData_EFPastureRangeAndPaddock_Source()</f>
        <v>VEERG 2026: Table A.2.2.2</v>
      </c>
    </row>
    <row r="204" spans="4:8" x14ac:dyDescent="0.25">
      <c r="D204" s="27" t="str" cm="1">
        <f t="array" ref="D204">Common_SourceData.Common_SourceData_EFPastureRangeAndPaddock_Variation()</f>
        <v>VARIATION FROM SOURCE DATA: Changed 'Dry climate zones' to singular 'Dry climate zone' to aid lookup.</v>
      </c>
    </row>
    <row r="205" spans="4:8" x14ac:dyDescent="0.25">
      <c r="D205" s="10" t="str" cm="1">
        <f t="array" ref="D205">Common_SourceData.Common_SourceData_EFPastureRangeAndPaddock_Unit()</f>
        <v>kg N2O - N / kg N</v>
      </c>
    </row>
    <row r="206" spans="4:8" x14ac:dyDescent="0.25">
      <c r="D206" s="21" t="s">
        <v>32</v>
      </c>
      <c r="E206" s="21" t="s">
        <v>66</v>
      </c>
    </row>
    <row r="207" spans="4:8" x14ac:dyDescent="0.25">
      <c r="D207" s="21" t="str" cm="1">
        <f t="array" ref="D207">Common_InputFunctions.Utility_DisplayArrayInTable(Common_SourceData.Common_SourceData_EFPastureRangeAndPaddock_Data(), Table_SourceData_EFPastureRangeAndPaddock[[#Headers],[Climate zone]], 0)</f>
        <v>Wet climate zone</v>
      </c>
      <c r="E207" s="21"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21"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21" t="s">
        <v>67</v>
      </c>
      <c r="E212" s="21" t="s">
        <v>68</v>
      </c>
    </row>
    <row r="213" spans="4:5" x14ac:dyDescent="0.25">
      <c r="D213" s="21" t="str" cm="1">
        <f t="array" ref="D213">Common_InputFunctions.Utility_DisplayArrayInTable(Common_SourceData.Common_SourceData_MonthsToSeasons_Data(), Table_SourceData_Common_MonthToSeason[[#Headers],[Month]], 0)</f>
        <v>January</v>
      </c>
      <c r="E213" s="21"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21"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21"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21"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21"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21"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21"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21"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21"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21"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21"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21" t="str" cm="1">
        <f t="array" ref="E224">Common_InputFunctions.Utility_DisplayArrayInTable(Common_SourceData.Common_SourceData_MonthsToSeasons_Data(), Table_SourceData_Common_MonthToSeason[[#Headers],[Month]], 0)</f>
        <v>Summer</v>
      </c>
    </row>
    <row r="227" spans="4:19" ht="23.25" x14ac:dyDescent="0.25">
      <c r="D227" s="2" t="str" cm="1">
        <f t="array" ref="D227">Common_SourceData.Common_SourceData_MCFTemperatureZone_Title()</f>
        <v>Manure Management – Methane conversion factor per temperature zone (fraction) (MCFim)</v>
      </c>
    </row>
    <row r="228" spans="4:19" x14ac:dyDescent="0.25">
      <c r="D228" s="18" t="str" cm="1">
        <f t="array" ref="D228">Common_SourceData.Common_SourceData_MCFTemperatureZone_Source()</f>
        <v>VEERG 2026: Table A.1.8.1</v>
      </c>
    </row>
    <row r="229" spans="4:19" x14ac:dyDescent="0.25">
      <c r="D229" s="27"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21" t="s">
        <v>69</v>
      </c>
      <c r="E231" s="21" t="s">
        <v>70</v>
      </c>
      <c r="F231" s="28" t="s">
        <v>71</v>
      </c>
      <c r="G231" s="21" t="s">
        <v>72</v>
      </c>
      <c r="H231" s="21" t="s">
        <v>73</v>
      </c>
      <c r="I231" s="21" t="s">
        <v>74</v>
      </c>
      <c r="J231" s="21" t="s">
        <v>75</v>
      </c>
      <c r="K231" s="21" t="s">
        <v>76</v>
      </c>
      <c r="L231" s="21" t="s">
        <v>77</v>
      </c>
      <c r="M231" s="21" t="s">
        <v>78</v>
      </c>
      <c r="N231" s="21" t="s">
        <v>79</v>
      </c>
      <c r="O231" s="21" t="s">
        <v>80</v>
      </c>
      <c r="P231" s="21" t="s">
        <v>81</v>
      </c>
      <c r="Q231" s="21" t="s">
        <v>82</v>
      </c>
      <c r="R231" s="21" t="s">
        <v>83</v>
      </c>
      <c r="S231" s="21" t="s">
        <v>84</v>
      </c>
    </row>
    <row r="232" spans="4:19" x14ac:dyDescent="0.25">
      <c r="D232" s="21" t="str" cm="1">
        <f t="array" ref="D232">Common_InputFunctions.Utility_DisplayArrayInTable(Common_SourceData.Common_SourceData_MCFTemperatureZone_Data(),Table_SourceData_Common_MCFTemperatureZone[[#Headers],[Temperature zone]],0)</f>
        <v>Cool</v>
      </c>
      <c r="E232" s="21" t="str" cm="1">
        <f t="array" ref="E232">Common_InputFunctions.Utility_DisplayArrayInTable(Common_SourceData.Common_SourceData_MCFTemperatureZone_Data(),Table_SourceData_Common_MCFTemperatureZone[[#Headers],[Temperature zone]],0)</f>
        <v>≤10</v>
      </c>
      <c r="F232" s="21" cm="1">
        <f t="array" ref="F232">Common_InputFunctions.Utility_DisplayArrayInTable(Common_SourceData.Common_SourceData_MCFTemperatureZone_Data(),Table_SourceData_Common_MCFTemperatureZone[[#Headers],[Temperature zone]],0)</f>
        <v>0.66</v>
      </c>
      <c r="G232" s="21" cm="1">
        <f t="array" ref="G232">Common_InputFunctions.Utility_DisplayArrayInTable(Common_SourceData.Common_SourceData_MCFTemperatureZone_Data(),Table_SourceData_Common_MCFTemperatureZone[[#Headers],[Temperature zone]],0)</f>
        <v>0.1</v>
      </c>
      <c r="H232" s="21" cm="1">
        <f t="array" ref="H232">Common_InputFunctions.Utility_DisplayArrayInTable(Common_SourceData.Common_SourceData_MCFTemperatureZone_Data(),Table_SourceData_Common_MCFTemperatureZone[[#Headers],[Temperature zone]],0)</f>
        <v>0.1</v>
      </c>
      <c r="I232" s="21" cm="1">
        <f t="array" ref="I232">Common_InputFunctions.Utility_DisplayArrayInTable(Common_SourceData.Common_SourceData_MCFTemperatureZone_Data(),Table_SourceData_Common_MCFTemperatureZone[[#Headers],[Temperature zone]],0)</f>
        <v>1E-3</v>
      </c>
      <c r="J232" s="21" cm="1">
        <f t="array" ref="J232">Common_InputFunctions.Utility_DisplayArrayInTable(Common_SourceData.Common_SourceData_MCFTemperatureZone_Data(),Table_SourceData_Common_MCFTemperatureZone[[#Headers],[Temperature zone]],0)</f>
        <v>5.0000000000000001E-3</v>
      </c>
      <c r="K232" s="21" cm="1">
        <f t="array" ref="K232">Common_InputFunctions.Utility_DisplayArrayInTable(Common_SourceData.Common_SourceData_MCFTemperatureZone_Data(),Table_SourceData_Common_MCFTemperatureZone[[#Headers],[Temperature zone]],0)</f>
        <v>0.02</v>
      </c>
      <c r="L232" s="21" cm="1">
        <f t="array" ref="L232">Common_InputFunctions.Utility_DisplayArrayInTable(Common_SourceData.Common_SourceData_MCFTemperatureZone_Data(),Table_SourceData_Common_MCFTemperatureZone[[#Headers],[Temperature zone]],0)</f>
        <v>0.03</v>
      </c>
      <c r="M232" s="21" cm="1">
        <f t="array" ref="M232">Common_InputFunctions.Utility_DisplayArrayInTable(Common_SourceData.Common_SourceData_MCFTemperatureZone_Data(),Table_SourceData_Common_MCFTemperatureZone[[#Headers],[Temperature zone]],0)</f>
        <v>0.04</v>
      </c>
      <c r="N232" s="21" cm="1">
        <f t="array" ref="N232">Common_InputFunctions.Utility_DisplayArrayInTable(Common_SourceData.Common_SourceData_MCFTemperatureZone_Data(),Table_SourceData_Common_MCFTemperatureZone[[#Headers],[Temperature zone]],0)</f>
        <v>1.4999999999999999E-2</v>
      </c>
      <c r="O232" s="21" cm="1">
        <f t="array" ref="O232">Common_InputFunctions.Utility_DisplayArrayInTable(Common_SourceData.Common_SourceData_MCFTemperatureZone_Data(),Table_SourceData_Common_MCFTemperatureZone[[#Headers],[Temperature zone]],0)</f>
        <v>1.4999999999999999E-2</v>
      </c>
      <c r="P232" s="21" cm="1">
        <f t="array" ref="P232">Common_InputFunctions.Utility_DisplayArrayInTable(Common_SourceData.Common_SourceData_MCFTemperatureZone_Data(),Table_SourceData_Common_MCFTemperatureZone[[#Headers],[Temperature zone]],0)</f>
        <v>0</v>
      </c>
      <c r="Q232" s="21" cm="1">
        <f t="array" ref="Q232">Common_InputFunctions.Utility_DisplayArrayInTable(Common_SourceData.Common_SourceData_MCFTemperatureZone_Data(),Table_SourceData_Common_MCFTemperatureZone[[#Headers],[Temperature zone]],0)</f>
        <v>0</v>
      </c>
      <c r="R232" s="21" cm="1">
        <f t="array" ref="R232">Common_InputFunctions.Utility_DisplayArrayInTable(Common_SourceData.Common_SourceData_MCFTemperatureZone_Data(),Table_SourceData_Common_MCFTemperatureZone[[#Headers],[Temperature zone]],0)</f>
        <v>4.7000000000000002E-3</v>
      </c>
      <c r="S232" s="21"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21" cm="1">
        <f t="array" ref="E233">Common_InputFunctions.Utility_DisplayArrayInTable(Common_SourceData.Common_SourceData_MCFTemperatureZone_Data(),Table_SourceData_Common_MCFTemperatureZone[[#Headers],[Temperature zone]],0)</f>
        <v>11</v>
      </c>
      <c r="F233" s="21" cm="1">
        <f t="array" ref="F233">Common_InputFunctions.Utility_DisplayArrayInTable(Common_SourceData.Common_SourceData_MCFTemperatureZone_Data(),Table_SourceData_Common_MCFTemperatureZone[[#Headers],[Temperature zone]],0)</f>
        <v>0.68</v>
      </c>
      <c r="G233" s="21" cm="1">
        <f t="array" ref="G233">Common_InputFunctions.Utility_DisplayArrayInTable(Common_SourceData.Common_SourceData_MCFTemperatureZone_Data(),Table_SourceData_Common_MCFTemperatureZone[[#Headers],[Temperature zone]],0)</f>
        <v>0.1</v>
      </c>
      <c r="H233" s="21" cm="1">
        <f t="array" ref="H233">Common_InputFunctions.Utility_DisplayArrayInTable(Common_SourceData.Common_SourceData_MCFTemperatureZone_Data(),Table_SourceData_Common_MCFTemperatureZone[[#Headers],[Temperature zone]],0)</f>
        <v>0.11</v>
      </c>
      <c r="I233" s="21" cm="1">
        <f t="array" ref="I233">Common_InputFunctions.Utility_DisplayArrayInTable(Common_SourceData.Common_SourceData_MCFTemperatureZone_Data(),Table_SourceData_Common_MCFTemperatureZone[[#Headers],[Temperature zone]],0)</f>
        <v>1E-3</v>
      </c>
      <c r="J233" s="21" cm="1">
        <f t="array" ref="J233">Common_InputFunctions.Utility_DisplayArrayInTable(Common_SourceData.Common_SourceData_MCFTemperatureZone_Data(),Table_SourceData_Common_MCFTemperatureZone[[#Headers],[Temperature zone]],0)</f>
        <v>5.0000000000000001E-3</v>
      </c>
      <c r="K233" s="21" cm="1">
        <f t="array" ref="K233">Common_InputFunctions.Utility_DisplayArrayInTable(Common_SourceData.Common_SourceData_MCFTemperatureZone_Data(),Table_SourceData_Common_MCFTemperatureZone[[#Headers],[Temperature zone]],0)</f>
        <v>0.02</v>
      </c>
      <c r="L233" s="21" cm="1">
        <f t="array" ref="L233">Common_InputFunctions.Utility_DisplayArrayInTable(Common_SourceData.Common_SourceData_MCFTemperatureZone_Data(),Table_SourceData_Common_MCFTemperatureZone[[#Headers],[Temperature zone]],0)</f>
        <v>0.03</v>
      </c>
      <c r="M233" s="21" cm="1">
        <f t="array" ref="M233">Common_InputFunctions.Utility_DisplayArrayInTable(Common_SourceData.Common_SourceData_MCFTemperatureZone_Data(),Table_SourceData_Common_MCFTemperatureZone[[#Headers],[Temperature zone]],0)</f>
        <v>0.04</v>
      </c>
      <c r="N233" s="21" cm="1">
        <f t="array" ref="N233">Common_InputFunctions.Utility_DisplayArrayInTable(Common_SourceData.Common_SourceData_MCFTemperatureZone_Data(),Table_SourceData_Common_MCFTemperatureZone[[#Headers],[Temperature zone]],0)</f>
        <v>1.4999999999999999E-2</v>
      </c>
      <c r="O233" s="21" cm="1">
        <f t="array" ref="O233">Common_InputFunctions.Utility_DisplayArrayInTable(Common_SourceData.Common_SourceData_MCFTemperatureZone_Data(),Table_SourceData_Common_MCFTemperatureZone[[#Headers],[Temperature zone]],0)</f>
        <v>1.4999999999999999E-2</v>
      </c>
      <c r="P233" s="21" cm="1">
        <f t="array" ref="P233">Common_InputFunctions.Utility_DisplayArrayInTable(Common_SourceData.Common_SourceData_MCFTemperatureZone_Data(),Table_SourceData_Common_MCFTemperatureZone[[#Headers],[Temperature zone]],0)</f>
        <v>0</v>
      </c>
      <c r="Q233" s="21" cm="1">
        <f t="array" ref="Q233">Common_InputFunctions.Utility_DisplayArrayInTable(Common_SourceData.Common_SourceData_MCFTemperatureZone_Data(),Table_SourceData_Common_MCFTemperatureZone[[#Headers],[Temperature zone]],0)</f>
        <v>0</v>
      </c>
      <c r="R233" s="21" cm="1">
        <f t="array" ref="R233">Common_InputFunctions.Utility_DisplayArrayInTable(Common_SourceData.Common_SourceData_MCFTemperatureZone_Data(),Table_SourceData_Common_MCFTemperatureZone[[#Headers],[Temperature zone]],0)</f>
        <v>4.7000000000000002E-3</v>
      </c>
      <c r="S233" s="21"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21" cm="1">
        <f t="array" ref="E234">Common_InputFunctions.Utility_DisplayArrayInTable(Common_SourceData.Common_SourceData_MCFTemperatureZone_Data(),Table_SourceData_Common_MCFTemperatureZone[[#Headers],[Temperature zone]],0)</f>
        <v>12</v>
      </c>
      <c r="F234" s="21" cm="1">
        <f t="array" ref="F234">Common_InputFunctions.Utility_DisplayArrayInTable(Common_SourceData.Common_SourceData_MCFTemperatureZone_Data(),Table_SourceData_Common_MCFTemperatureZone[[#Headers],[Temperature zone]],0)</f>
        <v>0.7</v>
      </c>
      <c r="G234" s="21" cm="1">
        <f t="array" ref="G234">Common_InputFunctions.Utility_DisplayArrayInTable(Common_SourceData.Common_SourceData_MCFTemperatureZone_Data(),Table_SourceData_Common_MCFTemperatureZone[[#Headers],[Temperature zone]],0)</f>
        <v>0.1</v>
      </c>
      <c r="H234" s="21" cm="1">
        <f t="array" ref="H234">Common_InputFunctions.Utility_DisplayArrayInTable(Common_SourceData.Common_SourceData_MCFTemperatureZone_Data(),Table_SourceData_Common_MCFTemperatureZone[[#Headers],[Temperature zone]],0)</f>
        <v>0.13</v>
      </c>
      <c r="I234" s="21" cm="1">
        <f t="array" ref="I234">Common_InputFunctions.Utility_DisplayArrayInTable(Common_SourceData.Common_SourceData_MCFTemperatureZone_Data(),Table_SourceData_Common_MCFTemperatureZone[[#Headers],[Temperature zone]],0)</f>
        <v>1E-3</v>
      </c>
      <c r="J234" s="21" cm="1">
        <f t="array" ref="J234">Common_InputFunctions.Utility_DisplayArrayInTable(Common_SourceData.Common_SourceData_MCFTemperatureZone_Data(),Table_SourceData_Common_MCFTemperatureZone[[#Headers],[Temperature zone]],0)</f>
        <v>5.0000000000000001E-3</v>
      </c>
      <c r="K234" s="21" cm="1">
        <f t="array" ref="K234">Common_InputFunctions.Utility_DisplayArrayInTable(Common_SourceData.Common_SourceData_MCFTemperatureZone_Data(),Table_SourceData_Common_MCFTemperatureZone[[#Headers],[Temperature zone]],0)</f>
        <v>0.02</v>
      </c>
      <c r="L234" s="21" cm="1">
        <f t="array" ref="L234">Common_InputFunctions.Utility_DisplayArrayInTable(Common_SourceData.Common_SourceData_MCFTemperatureZone_Data(),Table_SourceData_Common_MCFTemperatureZone[[#Headers],[Temperature zone]],0)</f>
        <v>0.03</v>
      </c>
      <c r="M234" s="21" cm="1">
        <f t="array" ref="M234">Common_InputFunctions.Utility_DisplayArrayInTable(Common_SourceData.Common_SourceData_MCFTemperatureZone_Data(),Table_SourceData_Common_MCFTemperatureZone[[#Headers],[Temperature zone]],0)</f>
        <v>0.04</v>
      </c>
      <c r="N234" s="21" cm="1">
        <f t="array" ref="N234">Common_InputFunctions.Utility_DisplayArrayInTable(Common_SourceData.Common_SourceData_MCFTemperatureZone_Data(),Table_SourceData_Common_MCFTemperatureZone[[#Headers],[Temperature zone]],0)</f>
        <v>1.4999999999999999E-2</v>
      </c>
      <c r="O234" s="21" cm="1">
        <f t="array" ref="O234">Common_InputFunctions.Utility_DisplayArrayInTable(Common_SourceData.Common_SourceData_MCFTemperatureZone_Data(),Table_SourceData_Common_MCFTemperatureZone[[#Headers],[Temperature zone]],0)</f>
        <v>1.4999999999999999E-2</v>
      </c>
      <c r="P234" s="21" cm="1">
        <f t="array" ref="P234">Common_InputFunctions.Utility_DisplayArrayInTable(Common_SourceData.Common_SourceData_MCFTemperatureZone_Data(),Table_SourceData_Common_MCFTemperatureZone[[#Headers],[Temperature zone]],0)</f>
        <v>0</v>
      </c>
      <c r="Q234" s="21" cm="1">
        <f t="array" ref="Q234">Common_InputFunctions.Utility_DisplayArrayInTable(Common_SourceData.Common_SourceData_MCFTemperatureZone_Data(),Table_SourceData_Common_MCFTemperatureZone[[#Headers],[Temperature zone]],0)</f>
        <v>0</v>
      </c>
      <c r="R234" s="21" cm="1">
        <f t="array" ref="R234">Common_InputFunctions.Utility_DisplayArrayInTable(Common_SourceData.Common_SourceData_MCFTemperatureZone_Data(),Table_SourceData_Common_MCFTemperatureZone[[#Headers],[Temperature zone]],0)</f>
        <v>4.7000000000000002E-3</v>
      </c>
      <c r="S234" s="21"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21" cm="1">
        <f t="array" ref="E235">Common_InputFunctions.Utility_DisplayArrayInTable(Common_SourceData.Common_SourceData_MCFTemperatureZone_Data(),Table_SourceData_Common_MCFTemperatureZone[[#Headers],[Temperature zone]],0)</f>
        <v>13</v>
      </c>
      <c r="F235" s="21" cm="1">
        <f t="array" ref="F235">Common_InputFunctions.Utility_DisplayArrayInTable(Common_SourceData.Common_SourceData_MCFTemperatureZone_Data(),Table_SourceData_Common_MCFTemperatureZone[[#Headers],[Temperature zone]],0)</f>
        <v>0.71</v>
      </c>
      <c r="G235" s="21" cm="1">
        <f t="array" ref="G235">Common_InputFunctions.Utility_DisplayArrayInTable(Common_SourceData.Common_SourceData_MCFTemperatureZone_Data(),Table_SourceData_Common_MCFTemperatureZone[[#Headers],[Temperature zone]],0)</f>
        <v>0.1</v>
      </c>
      <c r="H235" s="21" cm="1">
        <f t="array" ref="H235">Common_InputFunctions.Utility_DisplayArrayInTable(Common_SourceData.Common_SourceData_MCFTemperatureZone_Data(),Table_SourceData_Common_MCFTemperatureZone[[#Headers],[Temperature zone]],0)</f>
        <v>0.14000000000000001</v>
      </c>
      <c r="I235" s="21" cm="1">
        <f t="array" ref="I235">Common_InputFunctions.Utility_DisplayArrayInTable(Common_SourceData.Common_SourceData_MCFTemperatureZone_Data(),Table_SourceData_Common_MCFTemperatureZone[[#Headers],[Temperature zone]],0)</f>
        <v>1E-3</v>
      </c>
      <c r="J235" s="21" cm="1">
        <f t="array" ref="J235">Common_InputFunctions.Utility_DisplayArrayInTable(Common_SourceData.Common_SourceData_MCFTemperatureZone_Data(),Table_SourceData_Common_MCFTemperatureZone[[#Headers],[Temperature zone]],0)</f>
        <v>5.0000000000000001E-3</v>
      </c>
      <c r="K235" s="21" cm="1">
        <f t="array" ref="K235">Common_InputFunctions.Utility_DisplayArrayInTable(Common_SourceData.Common_SourceData_MCFTemperatureZone_Data(),Table_SourceData_Common_MCFTemperatureZone[[#Headers],[Temperature zone]],0)</f>
        <v>0.02</v>
      </c>
      <c r="L235" s="21" cm="1">
        <f t="array" ref="L235">Common_InputFunctions.Utility_DisplayArrayInTable(Common_SourceData.Common_SourceData_MCFTemperatureZone_Data(),Table_SourceData_Common_MCFTemperatureZone[[#Headers],[Temperature zone]],0)</f>
        <v>0.03</v>
      </c>
      <c r="M235" s="21" cm="1">
        <f t="array" ref="M235">Common_InputFunctions.Utility_DisplayArrayInTable(Common_SourceData.Common_SourceData_MCFTemperatureZone_Data(),Table_SourceData_Common_MCFTemperatureZone[[#Headers],[Temperature zone]],0)</f>
        <v>0.04</v>
      </c>
      <c r="N235" s="21" cm="1">
        <f t="array" ref="N235">Common_InputFunctions.Utility_DisplayArrayInTable(Common_SourceData.Common_SourceData_MCFTemperatureZone_Data(),Table_SourceData_Common_MCFTemperatureZone[[#Headers],[Temperature zone]],0)</f>
        <v>1.4999999999999999E-2</v>
      </c>
      <c r="O235" s="21" cm="1">
        <f t="array" ref="O235">Common_InputFunctions.Utility_DisplayArrayInTable(Common_SourceData.Common_SourceData_MCFTemperatureZone_Data(),Table_SourceData_Common_MCFTemperatureZone[[#Headers],[Temperature zone]],0)</f>
        <v>1.4999999999999999E-2</v>
      </c>
      <c r="P235" s="21" cm="1">
        <f t="array" ref="P235">Common_InputFunctions.Utility_DisplayArrayInTable(Common_SourceData.Common_SourceData_MCFTemperatureZone_Data(),Table_SourceData_Common_MCFTemperatureZone[[#Headers],[Temperature zone]],0)</f>
        <v>0</v>
      </c>
      <c r="Q235" s="21" cm="1">
        <f t="array" ref="Q235">Common_InputFunctions.Utility_DisplayArrayInTable(Common_SourceData.Common_SourceData_MCFTemperatureZone_Data(),Table_SourceData_Common_MCFTemperatureZone[[#Headers],[Temperature zone]],0)</f>
        <v>0</v>
      </c>
      <c r="R235" s="21" cm="1">
        <f t="array" ref="R235">Common_InputFunctions.Utility_DisplayArrayInTable(Common_SourceData.Common_SourceData_MCFTemperatureZone_Data(),Table_SourceData_Common_MCFTemperatureZone[[#Headers],[Temperature zone]],0)</f>
        <v>4.7000000000000002E-3</v>
      </c>
      <c r="S235" s="21"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21" cm="1">
        <f t="array" ref="E236">Common_InputFunctions.Utility_DisplayArrayInTable(Common_SourceData.Common_SourceData_MCFTemperatureZone_Data(),Table_SourceData_Common_MCFTemperatureZone[[#Headers],[Temperature zone]],0)</f>
        <v>14</v>
      </c>
      <c r="F236" s="21" cm="1">
        <f t="array" ref="F236">Common_InputFunctions.Utility_DisplayArrayInTable(Common_SourceData.Common_SourceData_MCFTemperatureZone_Data(),Table_SourceData_Common_MCFTemperatureZone[[#Headers],[Temperature zone]],0)</f>
        <v>0.73</v>
      </c>
      <c r="G236" s="21" cm="1">
        <f t="array" ref="G236">Common_InputFunctions.Utility_DisplayArrayInTable(Common_SourceData.Common_SourceData_MCFTemperatureZone_Data(),Table_SourceData_Common_MCFTemperatureZone[[#Headers],[Temperature zone]],0)</f>
        <v>0.1</v>
      </c>
      <c r="H236" s="21" cm="1">
        <f t="array" ref="H236">Common_InputFunctions.Utility_DisplayArrayInTable(Common_SourceData.Common_SourceData_MCFTemperatureZone_Data(),Table_SourceData_Common_MCFTemperatureZone[[#Headers],[Temperature zone]],0)</f>
        <v>0.15</v>
      </c>
      <c r="I236" s="21" cm="1">
        <f t="array" ref="I236">Common_InputFunctions.Utility_DisplayArrayInTable(Common_SourceData.Common_SourceData_MCFTemperatureZone_Data(),Table_SourceData_Common_MCFTemperatureZone[[#Headers],[Temperature zone]],0)</f>
        <v>1E-3</v>
      </c>
      <c r="J236" s="21" cm="1">
        <f t="array" ref="J236">Common_InputFunctions.Utility_DisplayArrayInTable(Common_SourceData.Common_SourceData_MCFTemperatureZone_Data(),Table_SourceData_Common_MCFTemperatureZone[[#Headers],[Temperature zone]],0)</f>
        <v>5.0000000000000001E-3</v>
      </c>
      <c r="K236" s="21" cm="1">
        <f t="array" ref="K236">Common_InputFunctions.Utility_DisplayArrayInTable(Common_SourceData.Common_SourceData_MCFTemperatureZone_Data(),Table_SourceData_Common_MCFTemperatureZone[[#Headers],[Temperature zone]],0)</f>
        <v>0.02</v>
      </c>
      <c r="L236" s="21" cm="1">
        <f t="array" ref="L236">Common_InputFunctions.Utility_DisplayArrayInTable(Common_SourceData.Common_SourceData_MCFTemperatureZone_Data(),Table_SourceData_Common_MCFTemperatureZone[[#Headers],[Temperature zone]],0)</f>
        <v>0.03</v>
      </c>
      <c r="M236" s="21" cm="1">
        <f t="array" ref="M236">Common_InputFunctions.Utility_DisplayArrayInTable(Common_SourceData.Common_SourceData_MCFTemperatureZone_Data(),Table_SourceData_Common_MCFTemperatureZone[[#Headers],[Temperature zone]],0)</f>
        <v>0.04</v>
      </c>
      <c r="N236" s="21" cm="1">
        <f t="array" ref="N236">Common_InputFunctions.Utility_DisplayArrayInTable(Common_SourceData.Common_SourceData_MCFTemperatureZone_Data(),Table_SourceData_Common_MCFTemperatureZone[[#Headers],[Temperature zone]],0)</f>
        <v>1.4999999999999999E-2</v>
      </c>
      <c r="O236" s="21" cm="1">
        <f t="array" ref="O236">Common_InputFunctions.Utility_DisplayArrayInTable(Common_SourceData.Common_SourceData_MCFTemperatureZone_Data(),Table_SourceData_Common_MCFTemperatureZone[[#Headers],[Temperature zone]],0)</f>
        <v>1.4999999999999999E-2</v>
      </c>
      <c r="P236" s="21" cm="1">
        <f t="array" ref="P236">Common_InputFunctions.Utility_DisplayArrayInTable(Common_SourceData.Common_SourceData_MCFTemperatureZone_Data(),Table_SourceData_Common_MCFTemperatureZone[[#Headers],[Temperature zone]],0)</f>
        <v>0</v>
      </c>
      <c r="Q236" s="21" cm="1">
        <f t="array" ref="Q236">Common_InputFunctions.Utility_DisplayArrayInTable(Common_SourceData.Common_SourceData_MCFTemperatureZone_Data(),Table_SourceData_Common_MCFTemperatureZone[[#Headers],[Temperature zone]],0)</f>
        <v>0</v>
      </c>
      <c r="R236" s="21" cm="1">
        <f t="array" ref="R236">Common_InputFunctions.Utility_DisplayArrayInTable(Common_SourceData.Common_SourceData_MCFTemperatureZone_Data(),Table_SourceData_Common_MCFTemperatureZone[[#Headers],[Temperature zone]],0)</f>
        <v>4.7000000000000002E-3</v>
      </c>
      <c r="S236" s="21"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21" cm="1">
        <f t="array" ref="E237">Common_InputFunctions.Utility_DisplayArrayInTable(Common_SourceData.Common_SourceData_MCFTemperatureZone_Data(),Table_SourceData_Common_MCFTemperatureZone[[#Headers],[Temperature zone]],0)</f>
        <v>15</v>
      </c>
      <c r="F237" s="21" cm="1">
        <f t="array" ref="F237">Common_InputFunctions.Utility_DisplayArrayInTable(Common_SourceData.Common_SourceData_MCFTemperatureZone_Data(),Table_SourceData_Common_MCFTemperatureZone[[#Headers],[Temperature zone]],0)</f>
        <v>0.74</v>
      </c>
      <c r="G237" s="21" cm="1">
        <f t="array" ref="G237">Common_InputFunctions.Utility_DisplayArrayInTable(Common_SourceData.Common_SourceData_MCFTemperatureZone_Data(),Table_SourceData_Common_MCFTemperatureZone[[#Headers],[Temperature zone]],0)</f>
        <v>0.1</v>
      </c>
      <c r="H237" s="21" cm="1">
        <f t="array" ref="H237">Common_InputFunctions.Utility_DisplayArrayInTable(Common_SourceData.Common_SourceData_MCFTemperatureZone_Data(),Table_SourceData_Common_MCFTemperatureZone[[#Headers],[Temperature zone]],0)</f>
        <v>0.17</v>
      </c>
      <c r="I237" s="21" cm="1">
        <f t="array" ref="I237">Common_InputFunctions.Utility_DisplayArrayInTable(Common_SourceData.Common_SourceData_MCFTemperatureZone_Data(),Table_SourceData_Common_MCFTemperatureZone[[#Headers],[Temperature zone]],0)</f>
        <v>5.0000000000000001E-3</v>
      </c>
      <c r="J237" s="21" cm="1">
        <f t="array" ref="J237">Common_InputFunctions.Utility_DisplayArrayInTable(Common_SourceData.Common_SourceData_MCFTemperatureZone_Data(),Table_SourceData_Common_MCFTemperatureZone[[#Headers],[Temperature zone]],0)</f>
        <v>0.01</v>
      </c>
      <c r="K237" s="21" cm="1">
        <f t="array" ref="K237">Common_InputFunctions.Utility_DisplayArrayInTable(Common_SourceData.Common_SourceData_MCFTemperatureZone_Data(),Table_SourceData_Common_MCFTemperatureZone[[#Headers],[Temperature zone]],0)</f>
        <v>0.02</v>
      </c>
      <c r="L237" s="21" cm="1">
        <f t="array" ref="L237">Common_InputFunctions.Utility_DisplayArrayInTable(Common_SourceData.Common_SourceData_MCFTemperatureZone_Data(),Table_SourceData_Common_MCFTemperatureZone[[#Headers],[Temperature zone]],0)</f>
        <v>0.03</v>
      </c>
      <c r="M237" s="21" cm="1">
        <f t="array" ref="M237">Common_InputFunctions.Utility_DisplayArrayInTable(Common_SourceData.Common_SourceData_MCFTemperatureZone_Data(),Table_SourceData_Common_MCFTemperatureZone[[#Headers],[Temperature zone]],0)</f>
        <v>0.04</v>
      </c>
      <c r="N237" s="21" cm="1">
        <f t="array" ref="N237">Common_InputFunctions.Utility_DisplayArrayInTable(Common_SourceData.Common_SourceData_MCFTemperatureZone_Data(),Table_SourceData_Common_MCFTemperatureZone[[#Headers],[Temperature zone]],0)</f>
        <v>1.4999999999999999E-2</v>
      </c>
      <c r="O237" s="21" cm="1">
        <f t="array" ref="O237">Common_InputFunctions.Utility_DisplayArrayInTable(Common_SourceData.Common_SourceData_MCFTemperatureZone_Data(),Table_SourceData_Common_MCFTemperatureZone[[#Headers],[Temperature zone]],0)</f>
        <v>1.4999999999999999E-2</v>
      </c>
      <c r="P237" s="21" cm="1">
        <f t="array" ref="P237">Common_InputFunctions.Utility_DisplayArrayInTable(Common_SourceData.Common_SourceData_MCFTemperatureZone_Data(),Table_SourceData_Common_MCFTemperatureZone[[#Headers],[Temperature zone]],0)</f>
        <v>0</v>
      </c>
      <c r="Q237" s="21" cm="1">
        <f t="array" ref="Q237">Common_InputFunctions.Utility_DisplayArrayInTable(Common_SourceData.Common_SourceData_MCFTemperatureZone_Data(),Table_SourceData_Common_MCFTemperatureZone[[#Headers],[Temperature zone]],0)</f>
        <v>0</v>
      </c>
      <c r="R237" s="21" cm="1">
        <f t="array" ref="R237">Common_InputFunctions.Utility_DisplayArrayInTable(Common_SourceData.Common_SourceData_MCFTemperatureZone_Data(),Table_SourceData_Common_MCFTemperatureZone[[#Headers],[Temperature zone]],0)</f>
        <v>4.7000000000000002E-3</v>
      </c>
      <c r="S237" s="21"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21" cm="1">
        <f t="array" ref="E238">Common_InputFunctions.Utility_DisplayArrayInTable(Common_SourceData.Common_SourceData_MCFTemperatureZone_Data(),Table_SourceData_Common_MCFTemperatureZone[[#Headers],[Temperature zone]],0)</f>
        <v>16</v>
      </c>
      <c r="F238" s="21" cm="1">
        <f t="array" ref="F238">Common_InputFunctions.Utility_DisplayArrayInTable(Common_SourceData.Common_SourceData_MCFTemperatureZone_Data(),Table_SourceData_Common_MCFTemperatureZone[[#Headers],[Temperature zone]],0)</f>
        <v>0.75</v>
      </c>
      <c r="G238" s="21" cm="1">
        <f t="array" ref="G238">Common_InputFunctions.Utility_DisplayArrayInTable(Common_SourceData.Common_SourceData_MCFTemperatureZone_Data(),Table_SourceData_Common_MCFTemperatureZone[[#Headers],[Temperature zone]],0)</f>
        <v>0.1</v>
      </c>
      <c r="H238" s="21" cm="1">
        <f t="array" ref="H238">Common_InputFunctions.Utility_DisplayArrayInTable(Common_SourceData.Common_SourceData_MCFTemperatureZone_Data(),Table_SourceData_Common_MCFTemperatureZone[[#Headers],[Temperature zone]],0)</f>
        <v>0.18</v>
      </c>
      <c r="I238" s="21" cm="1">
        <f t="array" ref="I238">Common_InputFunctions.Utility_DisplayArrayInTable(Common_SourceData.Common_SourceData_MCFTemperatureZone_Data(),Table_SourceData_Common_MCFTemperatureZone[[#Headers],[Temperature zone]],0)</f>
        <v>5.0000000000000001E-3</v>
      </c>
      <c r="J238" s="21" cm="1">
        <f t="array" ref="J238">Common_InputFunctions.Utility_DisplayArrayInTable(Common_SourceData.Common_SourceData_MCFTemperatureZone_Data(),Table_SourceData_Common_MCFTemperatureZone[[#Headers],[Temperature zone]],0)</f>
        <v>0.01</v>
      </c>
      <c r="K238" s="21" cm="1">
        <f t="array" ref="K238">Common_InputFunctions.Utility_DisplayArrayInTable(Common_SourceData.Common_SourceData_MCFTemperatureZone_Data(),Table_SourceData_Common_MCFTemperatureZone[[#Headers],[Temperature zone]],0)</f>
        <v>0.02</v>
      </c>
      <c r="L238" s="21" cm="1">
        <f t="array" ref="L238">Common_InputFunctions.Utility_DisplayArrayInTable(Common_SourceData.Common_SourceData_MCFTemperatureZone_Data(),Table_SourceData_Common_MCFTemperatureZone[[#Headers],[Temperature zone]],0)</f>
        <v>0.03</v>
      </c>
      <c r="M238" s="21" cm="1">
        <f t="array" ref="M238">Common_InputFunctions.Utility_DisplayArrayInTable(Common_SourceData.Common_SourceData_MCFTemperatureZone_Data(),Table_SourceData_Common_MCFTemperatureZone[[#Headers],[Temperature zone]],0)</f>
        <v>0.04</v>
      </c>
      <c r="N238" s="21" cm="1">
        <f t="array" ref="N238">Common_InputFunctions.Utility_DisplayArrayInTable(Common_SourceData.Common_SourceData_MCFTemperatureZone_Data(),Table_SourceData_Common_MCFTemperatureZone[[#Headers],[Temperature zone]],0)</f>
        <v>1.4999999999999999E-2</v>
      </c>
      <c r="O238" s="21" cm="1">
        <f t="array" ref="O238">Common_InputFunctions.Utility_DisplayArrayInTable(Common_SourceData.Common_SourceData_MCFTemperatureZone_Data(),Table_SourceData_Common_MCFTemperatureZone[[#Headers],[Temperature zone]],0)</f>
        <v>1.4999999999999999E-2</v>
      </c>
      <c r="P238" s="21" cm="1">
        <f t="array" ref="P238">Common_InputFunctions.Utility_DisplayArrayInTable(Common_SourceData.Common_SourceData_MCFTemperatureZone_Data(),Table_SourceData_Common_MCFTemperatureZone[[#Headers],[Temperature zone]],0)</f>
        <v>0</v>
      </c>
      <c r="Q238" s="21" cm="1">
        <f t="array" ref="Q238">Common_InputFunctions.Utility_DisplayArrayInTable(Common_SourceData.Common_SourceData_MCFTemperatureZone_Data(),Table_SourceData_Common_MCFTemperatureZone[[#Headers],[Temperature zone]],0)</f>
        <v>0</v>
      </c>
      <c r="R238" s="21" cm="1">
        <f t="array" ref="R238">Common_InputFunctions.Utility_DisplayArrayInTable(Common_SourceData.Common_SourceData_MCFTemperatureZone_Data(),Table_SourceData_Common_MCFTemperatureZone[[#Headers],[Temperature zone]],0)</f>
        <v>4.7000000000000002E-3</v>
      </c>
      <c r="S238" s="21"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21" cm="1">
        <f t="array" ref="E239">Common_InputFunctions.Utility_DisplayArrayInTable(Common_SourceData.Common_SourceData_MCFTemperatureZone_Data(),Table_SourceData_Common_MCFTemperatureZone[[#Headers],[Temperature zone]],0)</f>
        <v>17</v>
      </c>
      <c r="F239" s="21" cm="1">
        <f t="array" ref="F239">Common_InputFunctions.Utility_DisplayArrayInTable(Common_SourceData.Common_SourceData_MCFTemperatureZone_Data(),Table_SourceData_Common_MCFTemperatureZone[[#Headers],[Temperature zone]],0)</f>
        <v>0.76</v>
      </c>
      <c r="G239" s="21" cm="1">
        <f t="array" ref="G239">Common_InputFunctions.Utility_DisplayArrayInTable(Common_SourceData.Common_SourceData_MCFTemperatureZone_Data(),Table_SourceData_Common_MCFTemperatureZone[[#Headers],[Temperature zone]],0)</f>
        <v>0.1</v>
      </c>
      <c r="H239" s="21" cm="1">
        <f t="array" ref="H239">Common_InputFunctions.Utility_DisplayArrayInTable(Common_SourceData.Common_SourceData_MCFTemperatureZone_Data(),Table_SourceData_Common_MCFTemperatureZone[[#Headers],[Temperature zone]],0)</f>
        <v>0.2</v>
      </c>
      <c r="I239" s="21" cm="1">
        <f t="array" ref="I239">Common_InputFunctions.Utility_DisplayArrayInTable(Common_SourceData.Common_SourceData_MCFTemperatureZone_Data(),Table_SourceData_Common_MCFTemperatureZone[[#Headers],[Temperature zone]],0)</f>
        <v>5.0000000000000001E-3</v>
      </c>
      <c r="J239" s="21" cm="1">
        <f t="array" ref="J239">Common_InputFunctions.Utility_DisplayArrayInTable(Common_SourceData.Common_SourceData_MCFTemperatureZone_Data(),Table_SourceData_Common_MCFTemperatureZone[[#Headers],[Temperature zone]],0)</f>
        <v>0.01</v>
      </c>
      <c r="K239" s="21" cm="1">
        <f t="array" ref="K239">Common_InputFunctions.Utility_DisplayArrayInTable(Common_SourceData.Common_SourceData_MCFTemperatureZone_Data(),Table_SourceData_Common_MCFTemperatureZone[[#Headers],[Temperature zone]],0)</f>
        <v>0.02</v>
      </c>
      <c r="L239" s="21" cm="1">
        <f t="array" ref="L239">Common_InputFunctions.Utility_DisplayArrayInTable(Common_SourceData.Common_SourceData_MCFTemperatureZone_Data(),Table_SourceData_Common_MCFTemperatureZone[[#Headers],[Temperature zone]],0)</f>
        <v>0.03</v>
      </c>
      <c r="M239" s="21" cm="1">
        <f t="array" ref="M239">Common_InputFunctions.Utility_DisplayArrayInTable(Common_SourceData.Common_SourceData_MCFTemperatureZone_Data(),Table_SourceData_Common_MCFTemperatureZone[[#Headers],[Temperature zone]],0)</f>
        <v>0.04</v>
      </c>
      <c r="N239" s="21" cm="1">
        <f t="array" ref="N239">Common_InputFunctions.Utility_DisplayArrayInTable(Common_SourceData.Common_SourceData_MCFTemperatureZone_Data(),Table_SourceData_Common_MCFTemperatureZone[[#Headers],[Temperature zone]],0)</f>
        <v>1.4999999999999999E-2</v>
      </c>
      <c r="O239" s="21" cm="1">
        <f t="array" ref="O239">Common_InputFunctions.Utility_DisplayArrayInTable(Common_SourceData.Common_SourceData_MCFTemperatureZone_Data(),Table_SourceData_Common_MCFTemperatureZone[[#Headers],[Temperature zone]],0)</f>
        <v>1.4999999999999999E-2</v>
      </c>
      <c r="P239" s="21" cm="1">
        <f t="array" ref="P239">Common_InputFunctions.Utility_DisplayArrayInTable(Common_SourceData.Common_SourceData_MCFTemperatureZone_Data(),Table_SourceData_Common_MCFTemperatureZone[[#Headers],[Temperature zone]],0)</f>
        <v>0</v>
      </c>
      <c r="Q239" s="21" cm="1">
        <f t="array" ref="Q239">Common_InputFunctions.Utility_DisplayArrayInTable(Common_SourceData.Common_SourceData_MCFTemperatureZone_Data(),Table_SourceData_Common_MCFTemperatureZone[[#Headers],[Temperature zone]],0)</f>
        <v>0</v>
      </c>
      <c r="R239" s="21" cm="1">
        <f t="array" ref="R239">Common_InputFunctions.Utility_DisplayArrayInTable(Common_SourceData.Common_SourceData_MCFTemperatureZone_Data(),Table_SourceData_Common_MCFTemperatureZone[[#Headers],[Temperature zone]],0)</f>
        <v>4.7000000000000002E-3</v>
      </c>
      <c r="S239" s="21"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21" cm="1">
        <f t="array" ref="E240">Common_InputFunctions.Utility_DisplayArrayInTable(Common_SourceData.Common_SourceData_MCFTemperatureZone_Data(),Table_SourceData_Common_MCFTemperatureZone[[#Headers],[Temperature zone]],0)</f>
        <v>18</v>
      </c>
      <c r="F240" s="21" cm="1">
        <f t="array" ref="F240">Common_InputFunctions.Utility_DisplayArrayInTable(Common_SourceData.Common_SourceData_MCFTemperatureZone_Data(),Table_SourceData_Common_MCFTemperatureZone[[#Headers],[Temperature zone]],0)</f>
        <v>0.77</v>
      </c>
      <c r="G240" s="21" cm="1">
        <f t="array" ref="G240">Common_InputFunctions.Utility_DisplayArrayInTable(Common_SourceData.Common_SourceData_MCFTemperatureZone_Data(),Table_SourceData_Common_MCFTemperatureZone[[#Headers],[Temperature zone]],0)</f>
        <v>0.1</v>
      </c>
      <c r="H240" s="21" cm="1">
        <f t="array" ref="H240">Common_InputFunctions.Utility_DisplayArrayInTable(Common_SourceData.Common_SourceData_MCFTemperatureZone_Data(),Table_SourceData_Common_MCFTemperatureZone[[#Headers],[Temperature zone]],0)</f>
        <v>0.22</v>
      </c>
      <c r="I240" s="21" cm="1">
        <f t="array" ref="I240">Common_InputFunctions.Utility_DisplayArrayInTable(Common_SourceData.Common_SourceData_MCFTemperatureZone_Data(),Table_SourceData_Common_MCFTemperatureZone[[#Headers],[Temperature zone]],0)</f>
        <v>5.0000000000000001E-3</v>
      </c>
      <c r="J240" s="21" cm="1">
        <f t="array" ref="J240">Common_InputFunctions.Utility_DisplayArrayInTable(Common_SourceData.Common_SourceData_MCFTemperatureZone_Data(),Table_SourceData_Common_MCFTemperatureZone[[#Headers],[Temperature zone]],0)</f>
        <v>0.01</v>
      </c>
      <c r="K240" s="21" cm="1">
        <f t="array" ref="K240">Common_InputFunctions.Utility_DisplayArrayInTable(Common_SourceData.Common_SourceData_MCFTemperatureZone_Data(),Table_SourceData_Common_MCFTemperatureZone[[#Headers],[Temperature zone]],0)</f>
        <v>0.02</v>
      </c>
      <c r="L240" s="21" cm="1">
        <f t="array" ref="L240">Common_InputFunctions.Utility_DisplayArrayInTable(Common_SourceData.Common_SourceData_MCFTemperatureZone_Data(),Table_SourceData_Common_MCFTemperatureZone[[#Headers],[Temperature zone]],0)</f>
        <v>0.03</v>
      </c>
      <c r="M240" s="21" cm="1">
        <f t="array" ref="M240">Common_InputFunctions.Utility_DisplayArrayInTable(Common_SourceData.Common_SourceData_MCFTemperatureZone_Data(),Table_SourceData_Common_MCFTemperatureZone[[#Headers],[Temperature zone]],0)</f>
        <v>0.04</v>
      </c>
      <c r="N240" s="21" cm="1">
        <f t="array" ref="N240">Common_InputFunctions.Utility_DisplayArrayInTable(Common_SourceData.Common_SourceData_MCFTemperatureZone_Data(),Table_SourceData_Common_MCFTemperatureZone[[#Headers],[Temperature zone]],0)</f>
        <v>1.4999999999999999E-2</v>
      </c>
      <c r="O240" s="21" cm="1">
        <f t="array" ref="O240">Common_InputFunctions.Utility_DisplayArrayInTable(Common_SourceData.Common_SourceData_MCFTemperatureZone_Data(),Table_SourceData_Common_MCFTemperatureZone[[#Headers],[Temperature zone]],0)</f>
        <v>1.4999999999999999E-2</v>
      </c>
      <c r="P240" s="21" cm="1">
        <f t="array" ref="P240">Common_InputFunctions.Utility_DisplayArrayInTable(Common_SourceData.Common_SourceData_MCFTemperatureZone_Data(),Table_SourceData_Common_MCFTemperatureZone[[#Headers],[Temperature zone]],0)</f>
        <v>0</v>
      </c>
      <c r="Q240" s="21" cm="1">
        <f t="array" ref="Q240">Common_InputFunctions.Utility_DisplayArrayInTable(Common_SourceData.Common_SourceData_MCFTemperatureZone_Data(),Table_SourceData_Common_MCFTemperatureZone[[#Headers],[Temperature zone]],0)</f>
        <v>0</v>
      </c>
      <c r="R240" s="21" cm="1">
        <f t="array" ref="R240">Common_InputFunctions.Utility_DisplayArrayInTable(Common_SourceData.Common_SourceData_MCFTemperatureZone_Data(),Table_SourceData_Common_MCFTemperatureZone[[#Headers],[Temperature zone]],0)</f>
        <v>4.7000000000000002E-3</v>
      </c>
      <c r="S240" s="21"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21" cm="1">
        <f t="array" ref="E241">Common_InputFunctions.Utility_DisplayArrayInTable(Common_SourceData.Common_SourceData_MCFTemperatureZone_Data(),Table_SourceData_Common_MCFTemperatureZone[[#Headers],[Temperature zone]],0)</f>
        <v>19</v>
      </c>
      <c r="F241" s="21" cm="1">
        <f t="array" ref="F241">Common_InputFunctions.Utility_DisplayArrayInTable(Common_SourceData.Common_SourceData_MCFTemperatureZone_Data(),Table_SourceData_Common_MCFTemperatureZone[[#Headers],[Temperature zone]],0)</f>
        <v>0.77</v>
      </c>
      <c r="G241" s="21" cm="1">
        <f t="array" ref="G241">Common_InputFunctions.Utility_DisplayArrayInTable(Common_SourceData.Common_SourceData_MCFTemperatureZone_Data(),Table_SourceData_Common_MCFTemperatureZone[[#Headers],[Temperature zone]],0)</f>
        <v>0.1</v>
      </c>
      <c r="H241" s="21" cm="1">
        <f t="array" ref="H241">Common_InputFunctions.Utility_DisplayArrayInTable(Common_SourceData.Common_SourceData_MCFTemperatureZone_Data(),Table_SourceData_Common_MCFTemperatureZone[[#Headers],[Temperature zone]],0)</f>
        <v>0.24</v>
      </c>
      <c r="I241" s="21" cm="1">
        <f t="array" ref="I241">Common_InputFunctions.Utility_DisplayArrayInTable(Common_SourceData.Common_SourceData_MCFTemperatureZone_Data(),Table_SourceData_Common_MCFTemperatureZone[[#Headers],[Temperature zone]],0)</f>
        <v>5.0000000000000001E-3</v>
      </c>
      <c r="J241" s="21" cm="1">
        <f t="array" ref="J241">Common_InputFunctions.Utility_DisplayArrayInTable(Common_SourceData.Common_SourceData_MCFTemperatureZone_Data(),Table_SourceData_Common_MCFTemperatureZone[[#Headers],[Temperature zone]],0)</f>
        <v>0.01</v>
      </c>
      <c r="K241" s="21" cm="1">
        <f t="array" ref="K241">Common_InputFunctions.Utility_DisplayArrayInTable(Common_SourceData.Common_SourceData_MCFTemperatureZone_Data(),Table_SourceData_Common_MCFTemperatureZone[[#Headers],[Temperature zone]],0)</f>
        <v>0.02</v>
      </c>
      <c r="L241" s="21" cm="1">
        <f t="array" ref="L241">Common_InputFunctions.Utility_DisplayArrayInTable(Common_SourceData.Common_SourceData_MCFTemperatureZone_Data(),Table_SourceData_Common_MCFTemperatureZone[[#Headers],[Temperature zone]],0)</f>
        <v>0.03</v>
      </c>
      <c r="M241" s="21" cm="1">
        <f t="array" ref="M241">Common_InputFunctions.Utility_DisplayArrayInTable(Common_SourceData.Common_SourceData_MCFTemperatureZone_Data(),Table_SourceData_Common_MCFTemperatureZone[[#Headers],[Temperature zone]],0)</f>
        <v>0.04</v>
      </c>
      <c r="N241" s="21" cm="1">
        <f t="array" ref="N241">Common_InputFunctions.Utility_DisplayArrayInTable(Common_SourceData.Common_SourceData_MCFTemperatureZone_Data(),Table_SourceData_Common_MCFTemperatureZone[[#Headers],[Temperature zone]],0)</f>
        <v>1.4999999999999999E-2</v>
      </c>
      <c r="O241" s="21" cm="1">
        <f t="array" ref="O241">Common_InputFunctions.Utility_DisplayArrayInTable(Common_SourceData.Common_SourceData_MCFTemperatureZone_Data(),Table_SourceData_Common_MCFTemperatureZone[[#Headers],[Temperature zone]],0)</f>
        <v>1.4999999999999999E-2</v>
      </c>
      <c r="P241" s="21" cm="1">
        <f t="array" ref="P241">Common_InputFunctions.Utility_DisplayArrayInTable(Common_SourceData.Common_SourceData_MCFTemperatureZone_Data(),Table_SourceData_Common_MCFTemperatureZone[[#Headers],[Temperature zone]],0)</f>
        <v>0</v>
      </c>
      <c r="Q241" s="21" cm="1">
        <f t="array" ref="Q241">Common_InputFunctions.Utility_DisplayArrayInTable(Common_SourceData.Common_SourceData_MCFTemperatureZone_Data(),Table_SourceData_Common_MCFTemperatureZone[[#Headers],[Temperature zone]],0)</f>
        <v>0</v>
      </c>
      <c r="R241" s="21" cm="1">
        <f t="array" ref="R241">Common_InputFunctions.Utility_DisplayArrayInTable(Common_SourceData.Common_SourceData_MCFTemperatureZone_Data(),Table_SourceData_Common_MCFTemperatureZone[[#Headers],[Temperature zone]],0)</f>
        <v>4.7000000000000002E-3</v>
      </c>
      <c r="S241" s="21"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21" cm="1">
        <f t="array" ref="E242">Common_InputFunctions.Utility_DisplayArrayInTable(Common_SourceData.Common_SourceData_MCFTemperatureZone_Data(),Table_SourceData_Common_MCFTemperatureZone[[#Headers],[Temperature zone]],0)</f>
        <v>20</v>
      </c>
      <c r="F242" s="21" cm="1">
        <f t="array" ref="F242">Common_InputFunctions.Utility_DisplayArrayInTable(Common_SourceData.Common_SourceData_MCFTemperatureZone_Data(),Table_SourceData_Common_MCFTemperatureZone[[#Headers],[Temperature zone]],0)</f>
        <v>0.78</v>
      </c>
      <c r="G242" s="21" cm="1">
        <f t="array" ref="G242">Common_InputFunctions.Utility_DisplayArrayInTable(Common_SourceData.Common_SourceData_MCFTemperatureZone_Data(),Table_SourceData_Common_MCFTemperatureZone[[#Headers],[Temperature zone]],0)</f>
        <v>0.1</v>
      </c>
      <c r="H242" s="21" cm="1">
        <f t="array" ref="H242">Common_InputFunctions.Utility_DisplayArrayInTable(Common_SourceData.Common_SourceData_MCFTemperatureZone_Data(),Table_SourceData_Common_MCFTemperatureZone[[#Headers],[Temperature zone]],0)</f>
        <v>0.26</v>
      </c>
      <c r="I242" s="21" cm="1">
        <f t="array" ref="I242">Common_InputFunctions.Utility_DisplayArrayInTable(Common_SourceData.Common_SourceData_MCFTemperatureZone_Data(),Table_SourceData_Common_MCFTemperatureZone[[#Headers],[Temperature zone]],0)</f>
        <v>5.0000000000000001E-3</v>
      </c>
      <c r="J242" s="21" cm="1">
        <f t="array" ref="J242">Common_InputFunctions.Utility_DisplayArrayInTable(Common_SourceData.Common_SourceData_MCFTemperatureZone_Data(),Table_SourceData_Common_MCFTemperatureZone[[#Headers],[Temperature zone]],0)</f>
        <v>0.01</v>
      </c>
      <c r="K242" s="21" cm="1">
        <f t="array" ref="K242">Common_InputFunctions.Utility_DisplayArrayInTable(Common_SourceData.Common_SourceData_MCFTemperatureZone_Data(),Table_SourceData_Common_MCFTemperatureZone[[#Headers],[Temperature zone]],0)</f>
        <v>0.02</v>
      </c>
      <c r="L242" s="21" cm="1">
        <f t="array" ref="L242">Common_InputFunctions.Utility_DisplayArrayInTable(Common_SourceData.Common_SourceData_MCFTemperatureZone_Data(),Table_SourceData_Common_MCFTemperatureZone[[#Headers],[Temperature zone]],0)</f>
        <v>0.03</v>
      </c>
      <c r="M242" s="21" cm="1">
        <f t="array" ref="M242">Common_InputFunctions.Utility_DisplayArrayInTable(Common_SourceData.Common_SourceData_MCFTemperatureZone_Data(),Table_SourceData_Common_MCFTemperatureZone[[#Headers],[Temperature zone]],0)</f>
        <v>0.04</v>
      </c>
      <c r="N242" s="21" cm="1">
        <f t="array" ref="N242">Common_InputFunctions.Utility_DisplayArrayInTable(Common_SourceData.Common_SourceData_MCFTemperatureZone_Data(),Table_SourceData_Common_MCFTemperatureZone[[#Headers],[Temperature zone]],0)</f>
        <v>1.4999999999999999E-2</v>
      </c>
      <c r="O242" s="21" cm="1">
        <f t="array" ref="O242">Common_InputFunctions.Utility_DisplayArrayInTable(Common_SourceData.Common_SourceData_MCFTemperatureZone_Data(),Table_SourceData_Common_MCFTemperatureZone[[#Headers],[Temperature zone]],0)</f>
        <v>1.4999999999999999E-2</v>
      </c>
      <c r="P242" s="21" cm="1">
        <f t="array" ref="P242">Common_InputFunctions.Utility_DisplayArrayInTable(Common_SourceData.Common_SourceData_MCFTemperatureZone_Data(),Table_SourceData_Common_MCFTemperatureZone[[#Headers],[Temperature zone]],0)</f>
        <v>0</v>
      </c>
      <c r="Q242" s="21" cm="1">
        <f t="array" ref="Q242">Common_InputFunctions.Utility_DisplayArrayInTable(Common_SourceData.Common_SourceData_MCFTemperatureZone_Data(),Table_SourceData_Common_MCFTemperatureZone[[#Headers],[Temperature zone]],0)</f>
        <v>0</v>
      </c>
      <c r="R242" s="21" cm="1">
        <f t="array" ref="R242">Common_InputFunctions.Utility_DisplayArrayInTable(Common_SourceData.Common_SourceData_MCFTemperatureZone_Data(),Table_SourceData_Common_MCFTemperatureZone[[#Headers],[Temperature zone]],0)</f>
        <v>4.7000000000000002E-3</v>
      </c>
      <c r="S242" s="21"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21" cm="1">
        <f t="array" ref="E243">Common_InputFunctions.Utility_DisplayArrayInTable(Common_SourceData.Common_SourceData_MCFTemperatureZone_Data(),Table_SourceData_Common_MCFTemperatureZone[[#Headers],[Temperature zone]],0)</f>
        <v>21</v>
      </c>
      <c r="F243" s="21" cm="1">
        <f t="array" ref="F243">Common_InputFunctions.Utility_DisplayArrayInTable(Common_SourceData.Common_SourceData_MCFTemperatureZone_Data(),Table_SourceData_Common_MCFTemperatureZone[[#Headers],[Temperature zone]],0)</f>
        <v>0.78</v>
      </c>
      <c r="G243" s="21" cm="1">
        <f t="array" ref="G243">Common_InputFunctions.Utility_DisplayArrayInTable(Common_SourceData.Common_SourceData_MCFTemperatureZone_Data(),Table_SourceData_Common_MCFTemperatureZone[[#Headers],[Temperature zone]],0)</f>
        <v>0.1</v>
      </c>
      <c r="H243" s="21" cm="1">
        <f t="array" ref="H243">Common_InputFunctions.Utility_DisplayArrayInTable(Common_SourceData.Common_SourceData_MCFTemperatureZone_Data(),Table_SourceData_Common_MCFTemperatureZone[[#Headers],[Temperature zone]],0)</f>
        <v>0.28999999999999998</v>
      </c>
      <c r="I243" s="21" cm="1">
        <f t="array" ref="I243">Common_InputFunctions.Utility_DisplayArrayInTable(Common_SourceData.Common_SourceData_MCFTemperatureZone_Data(),Table_SourceData_Common_MCFTemperatureZone[[#Headers],[Temperature zone]],0)</f>
        <v>5.0000000000000001E-3</v>
      </c>
      <c r="J243" s="21" cm="1">
        <f t="array" ref="J243">Common_InputFunctions.Utility_DisplayArrayInTable(Common_SourceData.Common_SourceData_MCFTemperatureZone_Data(),Table_SourceData_Common_MCFTemperatureZone[[#Headers],[Temperature zone]],0)</f>
        <v>0.01</v>
      </c>
      <c r="K243" s="21" cm="1">
        <f t="array" ref="K243">Common_InputFunctions.Utility_DisplayArrayInTable(Common_SourceData.Common_SourceData_MCFTemperatureZone_Data(),Table_SourceData_Common_MCFTemperatureZone[[#Headers],[Temperature zone]],0)</f>
        <v>0.02</v>
      </c>
      <c r="L243" s="21" cm="1">
        <f t="array" ref="L243">Common_InputFunctions.Utility_DisplayArrayInTable(Common_SourceData.Common_SourceData_MCFTemperatureZone_Data(),Table_SourceData_Common_MCFTemperatureZone[[#Headers],[Temperature zone]],0)</f>
        <v>0.03</v>
      </c>
      <c r="M243" s="21" cm="1">
        <f t="array" ref="M243">Common_InputFunctions.Utility_DisplayArrayInTable(Common_SourceData.Common_SourceData_MCFTemperatureZone_Data(),Table_SourceData_Common_MCFTemperatureZone[[#Headers],[Temperature zone]],0)</f>
        <v>0.04</v>
      </c>
      <c r="N243" s="21" cm="1">
        <f t="array" ref="N243">Common_InputFunctions.Utility_DisplayArrayInTable(Common_SourceData.Common_SourceData_MCFTemperatureZone_Data(),Table_SourceData_Common_MCFTemperatureZone[[#Headers],[Temperature zone]],0)</f>
        <v>1.4999999999999999E-2</v>
      </c>
      <c r="O243" s="21" cm="1">
        <f t="array" ref="O243">Common_InputFunctions.Utility_DisplayArrayInTable(Common_SourceData.Common_SourceData_MCFTemperatureZone_Data(),Table_SourceData_Common_MCFTemperatureZone[[#Headers],[Temperature zone]],0)</f>
        <v>1.4999999999999999E-2</v>
      </c>
      <c r="P243" s="21" cm="1">
        <f t="array" ref="P243">Common_InputFunctions.Utility_DisplayArrayInTable(Common_SourceData.Common_SourceData_MCFTemperatureZone_Data(),Table_SourceData_Common_MCFTemperatureZone[[#Headers],[Temperature zone]],0)</f>
        <v>0</v>
      </c>
      <c r="Q243" s="21" cm="1">
        <f t="array" ref="Q243">Common_InputFunctions.Utility_DisplayArrayInTable(Common_SourceData.Common_SourceData_MCFTemperatureZone_Data(),Table_SourceData_Common_MCFTemperatureZone[[#Headers],[Temperature zone]],0)</f>
        <v>0</v>
      </c>
      <c r="R243" s="21" cm="1">
        <f t="array" ref="R243">Common_InputFunctions.Utility_DisplayArrayInTable(Common_SourceData.Common_SourceData_MCFTemperatureZone_Data(),Table_SourceData_Common_MCFTemperatureZone[[#Headers],[Temperature zone]],0)</f>
        <v>4.7000000000000002E-3</v>
      </c>
      <c r="S243" s="21"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21" cm="1">
        <f t="array" ref="E244">Common_InputFunctions.Utility_DisplayArrayInTable(Common_SourceData.Common_SourceData_MCFTemperatureZone_Data(),Table_SourceData_Common_MCFTemperatureZone[[#Headers],[Temperature zone]],0)</f>
        <v>22</v>
      </c>
      <c r="F244" s="21" cm="1">
        <f t="array" ref="F244">Common_InputFunctions.Utility_DisplayArrayInTable(Common_SourceData.Common_SourceData_MCFTemperatureZone_Data(),Table_SourceData_Common_MCFTemperatureZone[[#Headers],[Temperature zone]],0)</f>
        <v>0.78</v>
      </c>
      <c r="G244" s="21" cm="1">
        <f t="array" ref="G244">Common_InputFunctions.Utility_DisplayArrayInTable(Common_SourceData.Common_SourceData_MCFTemperatureZone_Data(),Table_SourceData_Common_MCFTemperatureZone[[#Headers],[Temperature zone]],0)</f>
        <v>0.1</v>
      </c>
      <c r="H244" s="21" cm="1">
        <f t="array" ref="H244">Common_InputFunctions.Utility_DisplayArrayInTable(Common_SourceData.Common_SourceData_MCFTemperatureZone_Data(),Table_SourceData_Common_MCFTemperatureZone[[#Headers],[Temperature zone]],0)</f>
        <v>0.31</v>
      </c>
      <c r="I244" s="21" cm="1">
        <f t="array" ref="I244">Common_InputFunctions.Utility_DisplayArrayInTable(Common_SourceData.Common_SourceData_MCFTemperatureZone_Data(),Table_SourceData_Common_MCFTemperatureZone[[#Headers],[Temperature zone]],0)</f>
        <v>5.0000000000000001E-3</v>
      </c>
      <c r="J244" s="21" cm="1">
        <f t="array" ref="J244">Common_InputFunctions.Utility_DisplayArrayInTable(Common_SourceData.Common_SourceData_MCFTemperatureZone_Data(),Table_SourceData_Common_MCFTemperatureZone[[#Headers],[Temperature zone]],0)</f>
        <v>0.01</v>
      </c>
      <c r="K244" s="21" cm="1">
        <f t="array" ref="K244">Common_InputFunctions.Utility_DisplayArrayInTable(Common_SourceData.Common_SourceData_MCFTemperatureZone_Data(),Table_SourceData_Common_MCFTemperatureZone[[#Headers],[Temperature zone]],0)</f>
        <v>0.02</v>
      </c>
      <c r="L244" s="21" cm="1">
        <f t="array" ref="L244">Common_InputFunctions.Utility_DisplayArrayInTable(Common_SourceData.Common_SourceData_MCFTemperatureZone_Data(),Table_SourceData_Common_MCFTemperatureZone[[#Headers],[Temperature zone]],0)</f>
        <v>0.03</v>
      </c>
      <c r="M244" s="21" cm="1">
        <f t="array" ref="M244">Common_InputFunctions.Utility_DisplayArrayInTable(Common_SourceData.Common_SourceData_MCFTemperatureZone_Data(),Table_SourceData_Common_MCFTemperatureZone[[#Headers],[Temperature zone]],0)</f>
        <v>0.04</v>
      </c>
      <c r="N244" s="21" cm="1">
        <f t="array" ref="N244">Common_InputFunctions.Utility_DisplayArrayInTable(Common_SourceData.Common_SourceData_MCFTemperatureZone_Data(),Table_SourceData_Common_MCFTemperatureZone[[#Headers],[Temperature zone]],0)</f>
        <v>1.4999999999999999E-2</v>
      </c>
      <c r="O244" s="21" cm="1">
        <f t="array" ref="O244">Common_InputFunctions.Utility_DisplayArrayInTable(Common_SourceData.Common_SourceData_MCFTemperatureZone_Data(),Table_SourceData_Common_MCFTemperatureZone[[#Headers],[Temperature zone]],0)</f>
        <v>1.4999999999999999E-2</v>
      </c>
      <c r="P244" s="21" cm="1">
        <f t="array" ref="P244">Common_InputFunctions.Utility_DisplayArrayInTable(Common_SourceData.Common_SourceData_MCFTemperatureZone_Data(),Table_SourceData_Common_MCFTemperatureZone[[#Headers],[Temperature zone]],0)</f>
        <v>0</v>
      </c>
      <c r="Q244" s="21" cm="1">
        <f t="array" ref="Q244">Common_InputFunctions.Utility_DisplayArrayInTable(Common_SourceData.Common_SourceData_MCFTemperatureZone_Data(),Table_SourceData_Common_MCFTemperatureZone[[#Headers],[Temperature zone]],0)</f>
        <v>0</v>
      </c>
      <c r="R244" s="21" cm="1">
        <f t="array" ref="R244">Common_InputFunctions.Utility_DisplayArrayInTable(Common_SourceData.Common_SourceData_MCFTemperatureZone_Data(),Table_SourceData_Common_MCFTemperatureZone[[#Headers],[Temperature zone]],0)</f>
        <v>4.7000000000000002E-3</v>
      </c>
      <c r="S244" s="21"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21" cm="1">
        <f t="array" ref="E245">Common_InputFunctions.Utility_DisplayArrayInTable(Common_SourceData.Common_SourceData_MCFTemperatureZone_Data(),Table_SourceData_Common_MCFTemperatureZone[[#Headers],[Temperature zone]],0)</f>
        <v>23</v>
      </c>
      <c r="F245" s="21" cm="1">
        <f t="array" ref="F245">Common_InputFunctions.Utility_DisplayArrayInTable(Common_SourceData.Common_SourceData_MCFTemperatureZone_Data(),Table_SourceData_Common_MCFTemperatureZone[[#Headers],[Temperature zone]],0)</f>
        <v>0.79</v>
      </c>
      <c r="G245" s="21" cm="1">
        <f t="array" ref="G245">Common_InputFunctions.Utility_DisplayArrayInTable(Common_SourceData.Common_SourceData_MCFTemperatureZone_Data(),Table_SourceData_Common_MCFTemperatureZone[[#Headers],[Temperature zone]],0)</f>
        <v>0.1</v>
      </c>
      <c r="H245" s="21" cm="1">
        <f t="array" ref="H245">Common_InputFunctions.Utility_DisplayArrayInTable(Common_SourceData.Common_SourceData_MCFTemperatureZone_Data(),Table_SourceData_Common_MCFTemperatureZone[[#Headers],[Temperature zone]],0)</f>
        <v>0.34</v>
      </c>
      <c r="I245" s="21" cm="1">
        <f t="array" ref="I245">Common_InputFunctions.Utility_DisplayArrayInTable(Common_SourceData.Common_SourceData_MCFTemperatureZone_Data(),Table_SourceData_Common_MCFTemperatureZone[[#Headers],[Temperature zone]],0)</f>
        <v>5.0000000000000001E-3</v>
      </c>
      <c r="J245" s="21" cm="1">
        <f t="array" ref="J245">Common_InputFunctions.Utility_DisplayArrayInTable(Common_SourceData.Common_SourceData_MCFTemperatureZone_Data(),Table_SourceData_Common_MCFTemperatureZone[[#Headers],[Temperature zone]],0)</f>
        <v>0.01</v>
      </c>
      <c r="K245" s="21" cm="1">
        <f t="array" ref="K245">Common_InputFunctions.Utility_DisplayArrayInTable(Common_SourceData.Common_SourceData_MCFTemperatureZone_Data(),Table_SourceData_Common_MCFTemperatureZone[[#Headers],[Temperature zone]],0)</f>
        <v>0.02</v>
      </c>
      <c r="L245" s="21" cm="1">
        <f t="array" ref="L245">Common_InputFunctions.Utility_DisplayArrayInTable(Common_SourceData.Common_SourceData_MCFTemperatureZone_Data(),Table_SourceData_Common_MCFTemperatureZone[[#Headers],[Temperature zone]],0)</f>
        <v>0.03</v>
      </c>
      <c r="M245" s="21" cm="1">
        <f t="array" ref="M245">Common_InputFunctions.Utility_DisplayArrayInTable(Common_SourceData.Common_SourceData_MCFTemperatureZone_Data(),Table_SourceData_Common_MCFTemperatureZone[[#Headers],[Temperature zone]],0)</f>
        <v>0.04</v>
      </c>
      <c r="N245" s="21" cm="1">
        <f t="array" ref="N245">Common_InputFunctions.Utility_DisplayArrayInTable(Common_SourceData.Common_SourceData_MCFTemperatureZone_Data(),Table_SourceData_Common_MCFTemperatureZone[[#Headers],[Temperature zone]],0)</f>
        <v>1.4999999999999999E-2</v>
      </c>
      <c r="O245" s="21" cm="1">
        <f t="array" ref="O245">Common_InputFunctions.Utility_DisplayArrayInTable(Common_SourceData.Common_SourceData_MCFTemperatureZone_Data(),Table_SourceData_Common_MCFTemperatureZone[[#Headers],[Temperature zone]],0)</f>
        <v>1.4999999999999999E-2</v>
      </c>
      <c r="P245" s="21" cm="1">
        <f t="array" ref="P245">Common_InputFunctions.Utility_DisplayArrayInTable(Common_SourceData.Common_SourceData_MCFTemperatureZone_Data(),Table_SourceData_Common_MCFTemperatureZone[[#Headers],[Temperature zone]],0)</f>
        <v>0</v>
      </c>
      <c r="Q245" s="21" cm="1">
        <f t="array" ref="Q245">Common_InputFunctions.Utility_DisplayArrayInTable(Common_SourceData.Common_SourceData_MCFTemperatureZone_Data(),Table_SourceData_Common_MCFTemperatureZone[[#Headers],[Temperature zone]],0)</f>
        <v>0</v>
      </c>
      <c r="R245" s="21" cm="1">
        <f t="array" ref="R245">Common_InputFunctions.Utility_DisplayArrayInTable(Common_SourceData.Common_SourceData_MCFTemperatureZone_Data(),Table_SourceData_Common_MCFTemperatureZone[[#Headers],[Temperature zone]],0)</f>
        <v>4.7000000000000002E-3</v>
      </c>
      <c r="S245" s="21"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21" cm="1">
        <f t="array" ref="E246">Common_InputFunctions.Utility_DisplayArrayInTable(Common_SourceData.Common_SourceData_MCFTemperatureZone_Data(),Table_SourceData_Common_MCFTemperatureZone[[#Headers],[Temperature zone]],0)</f>
        <v>24</v>
      </c>
      <c r="F246" s="21" cm="1">
        <f t="array" ref="F246">Common_InputFunctions.Utility_DisplayArrayInTable(Common_SourceData.Common_SourceData_MCFTemperatureZone_Data(),Table_SourceData_Common_MCFTemperatureZone[[#Headers],[Temperature zone]],0)</f>
        <v>0.79</v>
      </c>
      <c r="G246" s="21" cm="1">
        <f t="array" ref="G246">Common_InputFunctions.Utility_DisplayArrayInTable(Common_SourceData.Common_SourceData_MCFTemperatureZone_Data(),Table_SourceData_Common_MCFTemperatureZone[[#Headers],[Temperature zone]],0)</f>
        <v>0.1</v>
      </c>
      <c r="H246" s="21" cm="1">
        <f t="array" ref="H246">Common_InputFunctions.Utility_DisplayArrayInTable(Common_SourceData.Common_SourceData_MCFTemperatureZone_Data(),Table_SourceData_Common_MCFTemperatureZone[[#Headers],[Temperature zone]],0)</f>
        <v>0.37</v>
      </c>
      <c r="I246" s="21" cm="1">
        <f t="array" ref="I246">Common_InputFunctions.Utility_DisplayArrayInTable(Common_SourceData.Common_SourceData_MCFTemperatureZone_Data(),Table_SourceData_Common_MCFTemperatureZone[[#Headers],[Temperature zone]],0)</f>
        <v>5.0000000000000001E-3</v>
      </c>
      <c r="J246" s="21" cm="1">
        <f t="array" ref="J246">Common_InputFunctions.Utility_DisplayArrayInTable(Common_SourceData.Common_SourceData_MCFTemperatureZone_Data(),Table_SourceData_Common_MCFTemperatureZone[[#Headers],[Temperature zone]],0)</f>
        <v>0.01</v>
      </c>
      <c r="K246" s="21" cm="1">
        <f t="array" ref="K246">Common_InputFunctions.Utility_DisplayArrayInTable(Common_SourceData.Common_SourceData_MCFTemperatureZone_Data(),Table_SourceData_Common_MCFTemperatureZone[[#Headers],[Temperature zone]],0)</f>
        <v>0.02</v>
      </c>
      <c r="L246" s="21" cm="1">
        <f t="array" ref="L246">Common_InputFunctions.Utility_DisplayArrayInTable(Common_SourceData.Common_SourceData_MCFTemperatureZone_Data(),Table_SourceData_Common_MCFTemperatureZone[[#Headers],[Temperature zone]],0)</f>
        <v>0.03</v>
      </c>
      <c r="M246" s="21" cm="1">
        <f t="array" ref="M246">Common_InputFunctions.Utility_DisplayArrayInTable(Common_SourceData.Common_SourceData_MCFTemperatureZone_Data(),Table_SourceData_Common_MCFTemperatureZone[[#Headers],[Temperature zone]],0)</f>
        <v>0.04</v>
      </c>
      <c r="N246" s="21" cm="1">
        <f t="array" ref="N246">Common_InputFunctions.Utility_DisplayArrayInTable(Common_SourceData.Common_SourceData_MCFTemperatureZone_Data(),Table_SourceData_Common_MCFTemperatureZone[[#Headers],[Temperature zone]],0)</f>
        <v>1.4999999999999999E-2</v>
      </c>
      <c r="O246" s="21" cm="1">
        <f t="array" ref="O246">Common_InputFunctions.Utility_DisplayArrayInTable(Common_SourceData.Common_SourceData_MCFTemperatureZone_Data(),Table_SourceData_Common_MCFTemperatureZone[[#Headers],[Temperature zone]],0)</f>
        <v>1.4999999999999999E-2</v>
      </c>
      <c r="P246" s="21" cm="1">
        <f t="array" ref="P246">Common_InputFunctions.Utility_DisplayArrayInTable(Common_SourceData.Common_SourceData_MCFTemperatureZone_Data(),Table_SourceData_Common_MCFTemperatureZone[[#Headers],[Temperature zone]],0)</f>
        <v>0</v>
      </c>
      <c r="Q246" s="21" cm="1">
        <f t="array" ref="Q246">Common_InputFunctions.Utility_DisplayArrayInTable(Common_SourceData.Common_SourceData_MCFTemperatureZone_Data(),Table_SourceData_Common_MCFTemperatureZone[[#Headers],[Temperature zone]],0)</f>
        <v>0</v>
      </c>
      <c r="R246" s="21" cm="1">
        <f t="array" ref="R246">Common_InputFunctions.Utility_DisplayArrayInTable(Common_SourceData.Common_SourceData_MCFTemperatureZone_Data(),Table_SourceData_Common_MCFTemperatureZone[[#Headers],[Temperature zone]],0)</f>
        <v>4.7000000000000002E-3</v>
      </c>
      <c r="S246" s="21"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21" cm="1">
        <f t="array" ref="E247">Common_InputFunctions.Utility_DisplayArrayInTable(Common_SourceData.Common_SourceData_MCFTemperatureZone_Data(),Table_SourceData_Common_MCFTemperatureZone[[#Headers],[Temperature zone]],0)</f>
        <v>25</v>
      </c>
      <c r="F247" s="21" cm="1">
        <f t="array" ref="F247">Common_InputFunctions.Utility_DisplayArrayInTable(Common_SourceData.Common_SourceData_MCFTemperatureZone_Data(),Table_SourceData_Common_MCFTemperatureZone[[#Headers],[Temperature zone]],0)</f>
        <v>0.79</v>
      </c>
      <c r="G247" s="21" cm="1">
        <f t="array" ref="G247">Common_InputFunctions.Utility_DisplayArrayInTable(Common_SourceData.Common_SourceData_MCFTemperatureZone_Data(),Table_SourceData_Common_MCFTemperatureZone[[#Headers],[Temperature zone]],0)</f>
        <v>0.1</v>
      </c>
      <c r="H247" s="21" cm="1">
        <f t="array" ref="H247">Common_InputFunctions.Utility_DisplayArrayInTable(Common_SourceData.Common_SourceData_MCFTemperatureZone_Data(),Table_SourceData_Common_MCFTemperatureZone[[#Headers],[Temperature zone]],0)</f>
        <v>0.41</v>
      </c>
      <c r="I247" s="21" cm="1">
        <f t="array" ref="I247">Common_InputFunctions.Utility_DisplayArrayInTable(Common_SourceData.Common_SourceData_MCFTemperatureZone_Data(),Table_SourceData_Common_MCFTemperatureZone[[#Headers],[Temperature zone]],0)</f>
        <v>5.0000000000000001E-3</v>
      </c>
      <c r="J247" s="21" cm="1">
        <f t="array" ref="J247">Common_InputFunctions.Utility_DisplayArrayInTable(Common_SourceData.Common_SourceData_MCFTemperatureZone_Data(),Table_SourceData_Common_MCFTemperatureZone[[#Headers],[Temperature zone]],0)</f>
        <v>0.01</v>
      </c>
      <c r="K247" s="21" cm="1">
        <f t="array" ref="K247">Common_InputFunctions.Utility_DisplayArrayInTable(Common_SourceData.Common_SourceData_MCFTemperatureZone_Data(),Table_SourceData_Common_MCFTemperatureZone[[#Headers],[Temperature zone]],0)</f>
        <v>0.02</v>
      </c>
      <c r="L247" s="21" cm="1">
        <f t="array" ref="L247">Common_InputFunctions.Utility_DisplayArrayInTable(Common_SourceData.Common_SourceData_MCFTemperatureZone_Data(),Table_SourceData_Common_MCFTemperatureZone[[#Headers],[Temperature zone]],0)</f>
        <v>0.03</v>
      </c>
      <c r="M247" s="21" cm="1">
        <f t="array" ref="M247">Common_InputFunctions.Utility_DisplayArrayInTable(Common_SourceData.Common_SourceData_MCFTemperatureZone_Data(),Table_SourceData_Common_MCFTemperatureZone[[#Headers],[Temperature zone]],0)</f>
        <v>0.04</v>
      </c>
      <c r="N247" s="21" cm="1">
        <f t="array" ref="N247">Common_InputFunctions.Utility_DisplayArrayInTable(Common_SourceData.Common_SourceData_MCFTemperatureZone_Data(),Table_SourceData_Common_MCFTemperatureZone[[#Headers],[Temperature zone]],0)</f>
        <v>1.4999999999999999E-2</v>
      </c>
      <c r="O247" s="21" cm="1">
        <f t="array" ref="O247">Common_InputFunctions.Utility_DisplayArrayInTable(Common_SourceData.Common_SourceData_MCFTemperatureZone_Data(),Table_SourceData_Common_MCFTemperatureZone[[#Headers],[Temperature zone]],0)</f>
        <v>1.4999999999999999E-2</v>
      </c>
      <c r="P247" s="21" cm="1">
        <f t="array" ref="P247">Common_InputFunctions.Utility_DisplayArrayInTable(Common_SourceData.Common_SourceData_MCFTemperatureZone_Data(),Table_SourceData_Common_MCFTemperatureZone[[#Headers],[Temperature zone]],0)</f>
        <v>0</v>
      </c>
      <c r="Q247" s="21" cm="1">
        <f t="array" ref="Q247">Common_InputFunctions.Utility_DisplayArrayInTable(Common_SourceData.Common_SourceData_MCFTemperatureZone_Data(),Table_SourceData_Common_MCFTemperatureZone[[#Headers],[Temperature zone]],0)</f>
        <v>0</v>
      </c>
      <c r="R247" s="21" cm="1">
        <f t="array" ref="R247">Common_InputFunctions.Utility_DisplayArrayInTable(Common_SourceData.Common_SourceData_MCFTemperatureZone_Data(),Table_SourceData_Common_MCFTemperatureZone[[#Headers],[Temperature zone]],0)</f>
        <v>4.7000000000000002E-3</v>
      </c>
      <c r="S247" s="21"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21" cm="1">
        <f t="array" ref="E248">Common_InputFunctions.Utility_DisplayArrayInTable(Common_SourceData.Common_SourceData_MCFTemperatureZone_Data(),Table_SourceData_Common_MCFTemperatureZone[[#Headers],[Temperature zone]],0)</f>
        <v>26</v>
      </c>
      <c r="F248" s="21" cm="1">
        <f t="array" ref="F248">Common_InputFunctions.Utility_DisplayArrayInTable(Common_SourceData.Common_SourceData_MCFTemperatureZone_Data(),Table_SourceData_Common_MCFTemperatureZone[[#Headers],[Temperature zone]],0)</f>
        <v>0.79</v>
      </c>
      <c r="G248" s="21" cm="1">
        <f t="array" ref="G248">Common_InputFunctions.Utility_DisplayArrayInTable(Common_SourceData.Common_SourceData_MCFTemperatureZone_Data(),Table_SourceData_Common_MCFTemperatureZone[[#Headers],[Temperature zone]],0)</f>
        <v>0.1</v>
      </c>
      <c r="H248" s="21" cm="1">
        <f t="array" ref="H248">Common_InputFunctions.Utility_DisplayArrayInTable(Common_SourceData.Common_SourceData_MCFTemperatureZone_Data(),Table_SourceData_Common_MCFTemperatureZone[[#Headers],[Temperature zone]],0)</f>
        <v>0.44</v>
      </c>
      <c r="I248" s="21" cm="1">
        <f t="array" ref="I248">Common_InputFunctions.Utility_DisplayArrayInTable(Common_SourceData.Common_SourceData_MCFTemperatureZone_Data(),Table_SourceData_Common_MCFTemperatureZone[[#Headers],[Temperature zone]],0)</f>
        <v>0.01</v>
      </c>
      <c r="J248" s="21" cm="1">
        <f t="array" ref="J248">Common_InputFunctions.Utility_DisplayArrayInTable(Common_SourceData.Common_SourceData_MCFTemperatureZone_Data(),Table_SourceData_Common_MCFTemperatureZone[[#Headers],[Temperature zone]],0)</f>
        <v>1.4999999999999999E-2</v>
      </c>
      <c r="K248" s="21" cm="1">
        <f t="array" ref="K248">Common_InputFunctions.Utility_DisplayArrayInTable(Common_SourceData.Common_SourceData_MCFTemperatureZone_Data(),Table_SourceData_Common_MCFTemperatureZone[[#Headers],[Temperature zone]],0)</f>
        <v>0.02</v>
      </c>
      <c r="L248" s="21" cm="1">
        <f t="array" ref="L248">Common_InputFunctions.Utility_DisplayArrayInTable(Common_SourceData.Common_SourceData_MCFTemperatureZone_Data(),Table_SourceData_Common_MCFTemperatureZone[[#Headers],[Temperature zone]],0)</f>
        <v>0.03</v>
      </c>
      <c r="M248" s="21" cm="1">
        <f t="array" ref="M248">Common_InputFunctions.Utility_DisplayArrayInTable(Common_SourceData.Common_SourceData_MCFTemperatureZone_Data(),Table_SourceData_Common_MCFTemperatureZone[[#Headers],[Temperature zone]],0)</f>
        <v>0.04</v>
      </c>
      <c r="N248" s="21" cm="1">
        <f t="array" ref="N248">Common_InputFunctions.Utility_DisplayArrayInTable(Common_SourceData.Common_SourceData_MCFTemperatureZone_Data(),Table_SourceData_Common_MCFTemperatureZone[[#Headers],[Temperature zone]],0)</f>
        <v>1.4999999999999999E-2</v>
      </c>
      <c r="O248" s="21" cm="1">
        <f t="array" ref="O248">Common_InputFunctions.Utility_DisplayArrayInTable(Common_SourceData.Common_SourceData_MCFTemperatureZone_Data(),Table_SourceData_Common_MCFTemperatureZone[[#Headers],[Temperature zone]],0)</f>
        <v>1.4999999999999999E-2</v>
      </c>
      <c r="P248" s="21" cm="1">
        <f t="array" ref="P248">Common_InputFunctions.Utility_DisplayArrayInTable(Common_SourceData.Common_SourceData_MCFTemperatureZone_Data(),Table_SourceData_Common_MCFTemperatureZone[[#Headers],[Temperature zone]],0)</f>
        <v>0</v>
      </c>
      <c r="Q248" s="21" cm="1">
        <f t="array" ref="Q248">Common_InputFunctions.Utility_DisplayArrayInTable(Common_SourceData.Common_SourceData_MCFTemperatureZone_Data(),Table_SourceData_Common_MCFTemperatureZone[[#Headers],[Temperature zone]],0)</f>
        <v>0</v>
      </c>
      <c r="R248" s="21" cm="1">
        <f t="array" ref="R248">Common_InputFunctions.Utility_DisplayArrayInTable(Common_SourceData.Common_SourceData_MCFTemperatureZone_Data(),Table_SourceData_Common_MCFTemperatureZone[[#Headers],[Temperature zone]],0)</f>
        <v>4.7000000000000002E-3</v>
      </c>
      <c r="S248" s="21"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21" cm="1">
        <f t="array" ref="E249">Common_InputFunctions.Utility_DisplayArrayInTable(Common_SourceData.Common_SourceData_MCFTemperatureZone_Data(),Table_SourceData_Common_MCFTemperatureZone[[#Headers],[Temperature zone]],0)</f>
        <v>27</v>
      </c>
      <c r="F249" s="21" cm="1">
        <f t="array" ref="F249">Common_InputFunctions.Utility_DisplayArrayInTable(Common_SourceData.Common_SourceData_MCFTemperatureZone_Data(),Table_SourceData_Common_MCFTemperatureZone[[#Headers],[Temperature zone]],0)</f>
        <v>0.8</v>
      </c>
      <c r="G249" s="21" cm="1">
        <f t="array" ref="G249">Common_InputFunctions.Utility_DisplayArrayInTable(Common_SourceData.Common_SourceData_MCFTemperatureZone_Data(),Table_SourceData_Common_MCFTemperatureZone[[#Headers],[Temperature zone]],0)</f>
        <v>0.1</v>
      </c>
      <c r="H249" s="21" cm="1">
        <f t="array" ref="H249">Common_InputFunctions.Utility_DisplayArrayInTable(Common_SourceData.Common_SourceData_MCFTemperatureZone_Data(),Table_SourceData_Common_MCFTemperatureZone[[#Headers],[Temperature zone]],0)</f>
        <v>0.48</v>
      </c>
      <c r="I249" s="21" cm="1">
        <f t="array" ref="I249">Common_InputFunctions.Utility_DisplayArrayInTable(Common_SourceData.Common_SourceData_MCFTemperatureZone_Data(),Table_SourceData_Common_MCFTemperatureZone[[#Headers],[Temperature zone]],0)</f>
        <v>0.01</v>
      </c>
      <c r="J249" s="21" cm="1">
        <f t="array" ref="J249">Common_InputFunctions.Utility_DisplayArrayInTable(Common_SourceData.Common_SourceData_MCFTemperatureZone_Data(),Table_SourceData_Common_MCFTemperatureZone[[#Headers],[Temperature zone]],0)</f>
        <v>1.4999999999999999E-2</v>
      </c>
      <c r="K249" s="21" cm="1">
        <f t="array" ref="K249">Common_InputFunctions.Utility_DisplayArrayInTable(Common_SourceData.Common_SourceData_MCFTemperatureZone_Data(),Table_SourceData_Common_MCFTemperatureZone[[#Headers],[Temperature zone]],0)</f>
        <v>0.02</v>
      </c>
      <c r="L249" s="21" cm="1">
        <f t="array" ref="L249">Common_InputFunctions.Utility_DisplayArrayInTable(Common_SourceData.Common_SourceData_MCFTemperatureZone_Data(),Table_SourceData_Common_MCFTemperatureZone[[#Headers],[Temperature zone]],0)</f>
        <v>0.03</v>
      </c>
      <c r="M249" s="21" cm="1">
        <f t="array" ref="M249">Common_InputFunctions.Utility_DisplayArrayInTable(Common_SourceData.Common_SourceData_MCFTemperatureZone_Data(),Table_SourceData_Common_MCFTemperatureZone[[#Headers],[Temperature zone]],0)</f>
        <v>0.04</v>
      </c>
      <c r="N249" s="21" cm="1">
        <f t="array" ref="N249">Common_InputFunctions.Utility_DisplayArrayInTable(Common_SourceData.Common_SourceData_MCFTemperatureZone_Data(),Table_SourceData_Common_MCFTemperatureZone[[#Headers],[Temperature zone]],0)</f>
        <v>1.4999999999999999E-2</v>
      </c>
      <c r="O249" s="21" cm="1">
        <f t="array" ref="O249">Common_InputFunctions.Utility_DisplayArrayInTable(Common_SourceData.Common_SourceData_MCFTemperatureZone_Data(),Table_SourceData_Common_MCFTemperatureZone[[#Headers],[Temperature zone]],0)</f>
        <v>1.4999999999999999E-2</v>
      </c>
      <c r="P249" s="21" cm="1">
        <f t="array" ref="P249">Common_InputFunctions.Utility_DisplayArrayInTable(Common_SourceData.Common_SourceData_MCFTemperatureZone_Data(),Table_SourceData_Common_MCFTemperatureZone[[#Headers],[Temperature zone]],0)</f>
        <v>0</v>
      </c>
      <c r="Q249" s="21" cm="1">
        <f t="array" ref="Q249">Common_InputFunctions.Utility_DisplayArrayInTable(Common_SourceData.Common_SourceData_MCFTemperatureZone_Data(),Table_SourceData_Common_MCFTemperatureZone[[#Headers],[Temperature zone]],0)</f>
        <v>0</v>
      </c>
      <c r="R249" s="21" cm="1">
        <f t="array" ref="R249">Common_InputFunctions.Utility_DisplayArrayInTable(Common_SourceData.Common_SourceData_MCFTemperatureZone_Data(),Table_SourceData_Common_MCFTemperatureZone[[#Headers],[Temperature zone]],0)</f>
        <v>4.7000000000000002E-3</v>
      </c>
      <c r="S249" s="21"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21" t="str" cm="1">
        <f t="array" ref="E250">Common_InputFunctions.Utility_DisplayArrayInTable(Common_SourceData.Common_SourceData_MCFTemperatureZone_Data(),Table_SourceData_Common_MCFTemperatureZone[[#Headers],[Temperature zone]],0)</f>
        <v>≥28</v>
      </c>
      <c r="F250" s="21" cm="1">
        <f t="array" ref="F250">Common_InputFunctions.Utility_DisplayArrayInTable(Common_SourceData.Common_SourceData_MCFTemperatureZone_Data(),Table_SourceData_Common_MCFTemperatureZone[[#Headers],[Temperature zone]],0)</f>
        <v>0.8</v>
      </c>
      <c r="G250" s="21" cm="1">
        <f t="array" ref="G250">Common_InputFunctions.Utility_DisplayArrayInTable(Common_SourceData.Common_SourceData_MCFTemperatureZone_Data(),Table_SourceData_Common_MCFTemperatureZone[[#Headers],[Temperature zone]],0)</f>
        <v>0.1</v>
      </c>
      <c r="H250" s="21" cm="1">
        <f t="array" ref="H250">Common_InputFunctions.Utility_DisplayArrayInTable(Common_SourceData.Common_SourceData_MCFTemperatureZone_Data(),Table_SourceData_Common_MCFTemperatureZone[[#Headers],[Temperature zone]],0)</f>
        <v>0.5</v>
      </c>
      <c r="I250" s="21" cm="1">
        <f t="array" ref="I250">Common_InputFunctions.Utility_DisplayArrayInTable(Common_SourceData.Common_SourceData_MCFTemperatureZone_Data(),Table_SourceData_Common_MCFTemperatureZone[[#Headers],[Temperature zone]],0)</f>
        <v>0.01</v>
      </c>
      <c r="J250" s="21" cm="1">
        <f t="array" ref="J250">Common_InputFunctions.Utility_DisplayArrayInTable(Common_SourceData.Common_SourceData_MCFTemperatureZone_Data(),Table_SourceData_Common_MCFTemperatureZone[[#Headers],[Temperature zone]],0)</f>
        <v>1.4999999999999999E-2</v>
      </c>
      <c r="K250" s="21" cm="1">
        <f t="array" ref="K250">Common_InputFunctions.Utility_DisplayArrayInTable(Common_SourceData.Common_SourceData_MCFTemperatureZone_Data(),Table_SourceData_Common_MCFTemperatureZone[[#Headers],[Temperature zone]],0)</f>
        <v>0.02</v>
      </c>
      <c r="L250" s="21" cm="1">
        <f t="array" ref="L250">Common_InputFunctions.Utility_DisplayArrayInTable(Common_SourceData.Common_SourceData_MCFTemperatureZone_Data(),Table_SourceData_Common_MCFTemperatureZone[[#Headers],[Temperature zone]],0)</f>
        <v>0.03</v>
      </c>
      <c r="M250" s="21" cm="1">
        <f t="array" ref="M250">Common_InputFunctions.Utility_DisplayArrayInTable(Common_SourceData.Common_SourceData_MCFTemperatureZone_Data(),Table_SourceData_Common_MCFTemperatureZone[[#Headers],[Temperature zone]],0)</f>
        <v>0.04</v>
      </c>
      <c r="N250" s="21" cm="1">
        <f t="array" ref="N250">Common_InputFunctions.Utility_DisplayArrayInTable(Common_SourceData.Common_SourceData_MCFTemperatureZone_Data(),Table_SourceData_Common_MCFTemperatureZone[[#Headers],[Temperature zone]],0)</f>
        <v>1.4999999999999999E-2</v>
      </c>
      <c r="O250" s="21" cm="1">
        <f t="array" ref="O250">Common_InputFunctions.Utility_DisplayArrayInTable(Common_SourceData.Common_SourceData_MCFTemperatureZone_Data(),Table_SourceData_Common_MCFTemperatureZone[[#Headers],[Temperature zone]],0)</f>
        <v>1.4999999999999999E-2</v>
      </c>
      <c r="P250" s="21" cm="1">
        <f t="array" ref="P250">Common_InputFunctions.Utility_DisplayArrayInTable(Common_SourceData.Common_SourceData_MCFTemperatureZone_Data(),Table_SourceData_Common_MCFTemperatureZone[[#Headers],[Temperature zone]],0)</f>
        <v>0</v>
      </c>
      <c r="Q250" s="21" cm="1">
        <f t="array" ref="Q250">Common_InputFunctions.Utility_DisplayArrayInTable(Common_SourceData.Common_SourceData_MCFTemperatureZone_Data(),Table_SourceData_Common_MCFTemperatureZone[[#Headers],[Temperature zone]],0)</f>
        <v>0</v>
      </c>
      <c r="R250" s="21" cm="1">
        <f t="array" ref="R250">Common_InputFunctions.Utility_DisplayArrayInTable(Common_SourceData.Common_SourceData_MCFTemperatureZone_Data(),Table_SourceData_Common_MCFTemperatureZone[[#Headers],[Temperature zone]],0)</f>
        <v>4.7000000000000002E-3</v>
      </c>
      <c r="S250" s="21" cm="1">
        <f t="array" ref="S250">Common_InputFunctions.Utility_DisplayArrayInTable(Common_SourceData.Common_SourceData_MCFTemperatureZone_Data(),Table_SourceData_Common_MCFTemperatureZone[[#Headers],[Temperature zone]],0)</f>
        <v>28</v>
      </c>
    </row>
    <row r="253" spans="4:19" ht="23.25" x14ac:dyDescent="0.25">
      <c r="D253" s="2" t="str" cm="1">
        <f t="array" ref="D253">Common_SourceData.Common_SourceData_EFOrganicFertiliserAndCropResidues_Title()</f>
        <v>Emission factor for organic fertiliser and crop residues returned to the soil</v>
      </c>
    </row>
    <row r="254" spans="4:19" x14ac:dyDescent="0.25">
      <c r="D254" s="18"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10" t="str" cm="1">
        <f t="array" ref="D256">Common_SourceData.Common_SourceData_EFOrganicFertiliserAndCropResidues_Unit()</f>
        <v>kg N2O - N / kg N</v>
      </c>
    </row>
    <row r="257" spans="4:66" x14ac:dyDescent="0.25">
      <c r="D257" s="21" t="s">
        <v>85</v>
      </c>
      <c r="E257" s="21" t="s">
        <v>86</v>
      </c>
    </row>
    <row r="258" spans="4:66" x14ac:dyDescent="0.25">
      <c r="D258" s="21" t="str" cm="1">
        <f t="array" ref="D258">Common_InputFunctions.Utility_DisplayArrayInTable(Common_SourceData.Common_SourceData_EFOrganicFertiliserAndCropResidues_Data(), Table_SourceData_Common_EFOrganicFertCropResidues[[#Headers],[Climate Zone]], 0)</f>
        <v>Wet climate zone</v>
      </c>
      <c r="E258" s="21" cm="1">
        <f t="array" ref="E258">Common_InputFunctions.Utility_DisplayArrayInTable(Common_SourceData.Common_SourceData_EFOrganicFertiliserAndCropResidues_Data(), Table_SourceData_Common_EFOrganicFertCropResidues[[#Headers],[Climate Zone]], 0)</f>
        <v>6.0000000000000001E-3</v>
      </c>
    </row>
    <row r="259" spans="4:66"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21" cm="1">
        <f t="array" ref="E259">Common_InputFunctions.Utility_DisplayArrayInTable(Common_SourceData.Common_SourceData_EFOrganicFertiliserAndCropResidues_Data(), Table_SourceData_Common_EFOrganicFertCropResidues[[#Headers],[Climate Zone]], 0)</f>
        <v>5.0000000000000001E-3</v>
      </c>
    </row>
    <row r="263" spans="4:66" ht="23.25" x14ac:dyDescent="0.25">
      <c r="D263" s="2" t="s">
        <v>190</v>
      </c>
    </row>
    <row r="264" spans="4:66" x14ac:dyDescent="0.25">
      <c r="D264" s="1" t="s">
        <v>191</v>
      </c>
    </row>
    <row r="265" spans="4:66" x14ac:dyDescent="0.25">
      <c r="D265" s="21" t="s">
        <v>234</v>
      </c>
      <c r="E265" s="21" t="s">
        <v>192</v>
      </c>
      <c r="F265" s="21" t="s">
        <v>193</v>
      </c>
      <c r="G265" s="21" t="s">
        <v>186</v>
      </c>
      <c r="V265" s="1"/>
      <c r="BN265" s="23"/>
    </row>
    <row r="266" spans="4:66" x14ac:dyDescent="0.25">
      <c r="D266" s="21" t="s">
        <v>235</v>
      </c>
      <c r="E266" s="21" t="s">
        <v>194</v>
      </c>
      <c r="F266" s="21" t="s">
        <v>195</v>
      </c>
      <c r="G266" s="21">
        <v>5</v>
      </c>
      <c r="V266" s="1"/>
      <c r="BN266" s="23"/>
    </row>
    <row r="267" spans="4:66" x14ac:dyDescent="0.25">
      <c r="D267" s="21" t="s">
        <v>236</v>
      </c>
      <c r="E267" s="21" t="s">
        <v>196</v>
      </c>
      <c r="F267" s="21" t="s">
        <v>187</v>
      </c>
      <c r="G267" s="21">
        <v>4</v>
      </c>
      <c r="V267" s="1"/>
      <c r="BN267" s="23"/>
    </row>
    <row r="268" spans="4:66" x14ac:dyDescent="0.25">
      <c r="D268" s="21" t="s">
        <v>237</v>
      </c>
      <c r="E268" s="21" t="s">
        <v>197</v>
      </c>
      <c r="F268" s="21" t="s">
        <v>198</v>
      </c>
      <c r="G268" s="21">
        <v>3</v>
      </c>
      <c r="V268" s="1"/>
      <c r="BN268" s="23"/>
    </row>
    <row r="269" spans="4:66" x14ac:dyDescent="0.25">
      <c r="D269" s="21" t="s">
        <v>238</v>
      </c>
      <c r="E269" s="21" t="s">
        <v>199</v>
      </c>
      <c r="F269" s="21" t="s">
        <v>200</v>
      </c>
      <c r="G269" s="21">
        <v>2</v>
      </c>
      <c r="V269" s="1"/>
      <c r="BN269" s="23"/>
    </row>
    <row r="270" spans="4:66" x14ac:dyDescent="0.25">
      <c r="D270" s="21" t="s">
        <v>239</v>
      </c>
      <c r="E270" s="21" t="s">
        <v>201</v>
      </c>
      <c r="F270" s="21" t="s">
        <v>202</v>
      </c>
      <c r="G270" s="21">
        <v>1</v>
      </c>
      <c r="V270" s="1"/>
      <c r="BN270" s="23"/>
    </row>
    <row r="273" spans="4:66" x14ac:dyDescent="0.25">
      <c r="D273" s="1" t="s">
        <v>203</v>
      </c>
    </row>
    <row r="274" spans="4:66" x14ac:dyDescent="0.25">
      <c r="D274" s="21" t="s">
        <v>234</v>
      </c>
      <c r="E274" s="21" t="s">
        <v>192</v>
      </c>
      <c r="F274" s="21" t="s">
        <v>193</v>
      </c>
      <c r="G274" s="21" t="s">
        <v>186</v>
      </c>
      <c r="V274" s="1"/>
      <c r="BN274" s="23"/>
    </row>
    <row r="275" spans="4:66" x14ac:dyDescent="0.25">
      <c r="D275" s="21" t="s">
        <v>240</v>
      </c>
      <c r="E275" s="21" t="s">
        <v>204</v>
      </c>
      <c r="F275" s="21" t="s">
        <v>188</v>
      </c>
      <c r="G275" s="21">
        <v>5</v>
      </c>
      <c r="V275" s="1"/>
      <c r="BN275" s="23"/>
    </row>
    <row r="276" spans="4:66" x14ac:dyDescent="0.25">
      <c r="D276" s="21" t="s">
        <v>241</v>
      </c>
      <c r="E276" s="21" t="s">
        <v>205</v>
      </c>
      <c r="F276" s="21" t="s">
        <v>206</v>
      </c>
      <c r="G276" s="21">
        <v>4</v>
      </c>
      <c r="V276" s="1"/>
      <c r="BN276" s="23"/>
    </row>
    <row r="277" spans="4:66" x14ac:dyDescent="0.25">
      <c r="D277" s="21" t="s">
        <v>242</v>
      </c>
      <c r="E277" s="21" t="s">
        <v>207</v>
      </c>
      <c r="F277" s="21" t="s">
        <v>208</v>
      </c>
      <c r="G277" s="21">
        <v>3</v>
      </c>
      <c r="V277" s="1"/>
      <c r="BN277" s="23"/>
    </row>
    <row r="278" spans="4:66" x14ac:dyDescent="0.25">
      <c r="D278" s="21" t="s">
        <v>243</v>
      </c>
      <c r="E278" s="21" t="s">
        <v>209</v>
      </c>
      <c r="F278" s="21" t="s">
        <v>210</v>
      </c>
      <c r="G278" s="21">
        <v>2</v>
      </c>
      <c r="V278" s="1"/>
      <c r="BN278" s="23"/>
    </row>
    <row r="279" spans="4:66" x14ac:dyDescent="0.25">
      <c r="D279" s="21" t="s">
        <v>244</v>
      </c>
      <c r="E279" s="21" t="s">
        <v>211</v>
      </c>
      <c r="F279" s="21" t="s">
        <v>212</v>
      </c>
      <c r="G279" s="21">
        <v>1</v>
      </c>
      <c r="V279" s="1"/>
      <c r="BN279" s="23"/>
    </row>
    <row r="282" spans="4:66" x14ac:dyDescent="0.25">
      <c r="D282" s="1" t="s">
        <v>213</v>
      </c>
    </row>
    <row r="283" spans="4:66" x14ac:dyDescent="0.25">
      <c r="D283" s="21" t="s">
        <v>234</v>
      </c>
      <c r="E283" s="21" t="s">
        <v>192</v>
      </c>
      <c r="F283" s="21" t="s">
        <v>193</v>
      </c>
      <c r="G283" s="21" t="s">
        <v>186</v>
      </c>
      <c r="V283" s="1"/>
      <c r="BN283" s="23"/>
    </row>
    <row r="284" spans="4:66" x14ac:dyDescent="0.25">
      <c r="D284" s="21" t="s">
        <v>245</v>
      </c>
      <c r="E284" s="21" t="s">
        <v>214</v>
      </c>
      <c r="F284" s="21" t="s">
        <v>215</v>
      </c>
      <c r="G284" s="21">
        <v>5</v>
      </c>
      <c r="V284" s="1"/>
      <c r="BN284" s="23"/>
    </row>
    <row r="285" spans="4:66" x14ac:dyDescent="0.25">
      <c r="D285" s="21" t="s">
        <v>246</v>
      </c>
      <c r="E285" s="21" t="s">
        <v>216</v>
      </c>
      <c r="F285" s="21" t="s">
        <v>217</v>
      </c>
      <c r="G285" s="21">
        <v>4</v>
      </c>
      <c r="V285" s="1"/>
      <c r="BN285" s="23"/>
    </row>
    <row r="286" spans="4:66" x14ac:dyDescent="0.25">
      <c r="D286" s="21" t="s">
        <v>247</v>
      </c>
      <c r="E286" s="21" t="s">
        <v>218</v>
      </c>
      <c r="F286" s="21" t="s">
        <v>189</v>
      </c>
      <c r="G286" s="21">
        <v>3</v>
      </c>
      <c r="V286" s="1"/>
      <c r="BN286" s="23"/>
    </row>
    <row r="287" spans="4:66" x14ac:dyDescent="0.25">
      <c r="D287" s="21" t="s">
        <v>248</v>
      </c>
      <c r="E287" s="21" t="s">
        <v>219</v>
      </c>
      <c r="F287" s="21" t="s">
        <v>220</v>
      </c>
      <c r="G287" s="21">
        <v>2</v>
      </c>
      <c r="V287" s="1"/>
      <c r="BN287" s="23"/>
    </row>
    <row r="288" spans="4:66" x14ac:dyDescent="0.25">
      <c r="D288" s="21" t="s">
        <v>249</v>
      </c>
      <c r="E288" s="21" t="s">
        <v>221</v>
      </c>
      <c r="F288" s="21" t="s">
        <v>222</v>
      </c>
      <c r="G288" s="21">
        <v>1</v>
      </c>
      <c r="V288" s="1"/>
      <c r="BN288" s="23"/>
    </row>
    <row r="291" spans="4:66" x14ac:dyDescent="0.25">
      <c r="D291" s="1" t="s">
        <v>223</v>
      </c>
    </row>
    <row r="292" spans="4:66" x14ac:dyDescent="0.25">
      <c r="D292" s="21" t="s">
        <v>234</v>
      </c>
      <c r="E292" s="21" t="s">
        <v>192</v>
      </c>
      <c r="F292" s="21" t="s">
        <v>193</v>
      </c>
      <c r="G292" s="21" t="s">
        <v>186</v>
      </c>
      <c r="V292" s="1"/>
      <c r="BN292" s="23"/>
    </row>
    <row r="293" spans="4:66" x14ac:dyDescent="0.25">
      <c r="D293" s="21" t="s">
        <v>250</v>
      </c>
      <c r="E293" s="21" t="s">
        <v>224</v>
      </c>
      <c r="F293" s="21" t="s">
        <v>225</v>
      </c>
      <c r="G293" s="21">
        <v>5</v>
      </c>
      <c r="V293" s="1"/>
      <c r="BN293" s="23"/>
    </row>
    <row r="294" spans="4:66" x14ac:dyDescent="0.25">
      <c r="D294" s="21" t="s">
        <v>251</v>
      </c>
      <c r="E294" s="21" t="s">
        <v>226</v>
      </c>
      <c r="F294" s="21" t="s">
        <v>227</v>
      </c>
      <c r="G294" s="21">
        <v>4</v>
      </c>
      <c r="V294" s="1"/>
      <c r="BN294" s="23"/>
    </row>
    <row r="295" spans="4:66" x14ac:dyDescent="0.25">
      <c r="D295" s="21" t="s">
        <v>252</v>
      </c>
      <c r="E295" s="21" t="s">
        <v>228</v>
      </c>
      <c r="F295" s="21" t="s">
        <v>229</v>
      </c>
      <c r="G295" s="21">
        <v>3</v>
      </c>
      <c r="V295" s="1"/>
      <c r="BN295" s="23"/>
    </row>
    <row r="296" spans="4:66" x14ac:dyDescent="0.25">
      <c r="D296" s="21" t="s">
        <v>253</v>
      </c>
      <c r="E296" s="21" t="s">
        <v>230</v>
      </c>
      <c r="F296" s="21" t="s">
        <v>231</v>
      </c>
      <c r="G296" s="21">
        <v>2</v>
      </c>
      <c r="V296" s="1"/>
      <c r="BN296" s="23"/>
    </row>
    <row r="297" spans="4:66" x14ac:dyDescent="0.25">
      <c r="D297" s="21" t="s">
        <v>254</v>
      </c>
      <c r="E297" s="21" t="s">
        <v>232</v>
      </c>
      <c r="F297" s="21" t="s">
        <v>233</v>
      </c>
      <c r="G297" s="21">
        <v>1</v>
      </c>
      <c r="V297" s="1"/>
      <c r="BN297" s="23"/>
    </row>
  </sheetData>
  <pageMargins left="0.7" right="0.7" top="0.75" bottom="0.75" header="0.3" footer="0.3"/>
  <pageSetup paperSize="9" orientation="portrait" r:id="rId1"/>
  <tableParts count="2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EUAcQB1AGEAdABpAG8AbgBzACIALAAiAHQAZQB4AHQAIgA6ACIAXABuAC8AKgAgAFwAbgAtAC0ALQAtAC0ALQAtAC0ALQAtAC0ALQAtAC0ALQAtAC0ALQAtAC0ALQAtAC0ALQAtAC0ALQAtAC0ALQAtAC0ALQAtAC0ALQAtAC0AXABuAEMAbwBtAG0AbwBuAF8AQwBvAG4AdgBlAHIAdABOADIATwBUAG8AQwBPADIAZQBcAG4AQwBvAG4AdgBlAHIAdAAgAG4AaQB0AHIAbwB1AHMAIABvAHgAaQBkAGUAIABlAG0AaQBzAHMAaQBvAG4AcwAgAHQAbwAgAGMAYQByAGIAbwBuACAAZABpAG8AeABpAGQAZQAgAGUAcQB1AGkAdgBhAGwAZQBuAHQAIABlAG0AaQBzAHMAaQBvAG4AcwBcAG4ARQBOADIATwAgAEMATwAyAGUAXABuAHQAIABDAE8AMgBlAFwAbgBFAE4AMgBPADoAIABuAGkAdAByAG8AdQBzACAAbwB4AGkAZABlACAAZQBtAGkAcwBzAGkAbwBuAHMAIAAoAHQAIABOADIATwApAFwAbgBHAFcAUABOADIATwA6ACAAZwBsAG8AYgBhAGwAIAB3AGEAcgBtAGkAbgBnACAAcABvAHQAZQBuAHQAaQBhAGwAIABmAG8AcgAgAG4AaQB0AHIAbwB1AHMAIABvAHgAaQBkAGUAIAAoAHQAIABDAE8AMgAtAGUAIAAvACAAdAAgAE4AMgBPACkAXABuAC0ALQAtAC0ALQAtAC0ALQAtAC0ALQAtAC0ALQAtAC0ALQAtAC0ALQAtAC0ALQAtAC0ALQAtAC0ALQAtAC0ALQAtAC0ALQAtAC0ALQBcAG4AKgAvAFwAbgBcAG4AXABuAEMAbwBtAG0AbwBuAF8AQwBvAG4AdgBlAHIAdABOADIATwBUAG8AQwBPADIAZQBcAG4AIAAgAD0ATABBAE0AQgBEAEEAKABcAG4AIAAgACAAIABFAF8ATgAyAE8ALAAgAEcAVwBQAF8ATgAyAE8ALABcAG4AIAAgACAAIABFAF8ATgAyAE8AIAAqACAARwBXAFAAXwBOADIATwBcAG4AIAAgACkAXABuADsAXABuAFwAbgBDAG8AbQBtAG8AbgBfAEMAbwBuAHYAZQByAHQATgAyAE8AVABvAEMATwAyAGUAXwBUAGkAdABsAGUAXABuACAAIAA9AEwAQQBNAEIARABBACgAXAAiAEMAbwBuAHYAZQByAHQAIABuAGkAdAByAG8AdQBzACAAbwB4AGkAZABlACAAZQBtAGkAcwBzAGkAbwBuAHMAIAB0AG8AIABjAGEAcgBiAG8AbgAgAGQAaQBvAHgAaQBkAGUAIABlAHEAdQBpAHYAYQBsAGUAbgB0ACAAZQBtAGkAcwBzAGkAbwBuAHMAXAAiACkAOwBcAG4AXABuAEMAbwBtAG0AbwBuAF8AQwBvAG4AdgBlAHIAdABOADIATwBUAG8AQwBPADIAZQBfAFYAYQByAGkAYQBiAGwAZQBcAG4AIAAgAD0ATABBAE0AQgBEAEEAKABcACIARQBOADIATwAgAEMATwAyAGUAXAAiACkAOwBcAG4AXABuAEMAbwBtAG0AbwBuAF8AQwBvAG4AdgBlAHIAdABOADIATwBUAG8AQwBPADIAZQBfAFUAbgBpAHQAXABuACAAIAA9AEwAQQBNAEIARABBACgAXAAiAHQAIABDAE8AMgBlAFwAIgApADsAXABuAFwAbgBDAG8AbQBtAG8AbgBfAEMAbwBuAHYAZQByAHQATgAyAE8AVABvAEMATwAyAGUAXwBOAEkAUgBSAGUAZgBlAHIAZQBuAGMAZQBcAG4AIAAgAD0ATABBAE0AQgBEAEEAKABcACIAXAAiACkAOwBcAG4AXABuAEMAbwBtAG0AbwBuAF8AQwBvAG4AdgBlAHIAdABOADIATwBUAG8AQwBPADIAZQBfAEwAYQB0AGUAeABFAHEAdQBhAHQAaQBvAG4AXABuACAAIAA9AEwAQQBNAEIARABBACgAXAAiAEMATwAyAF8AZQAgAD0AIABFAF8AewBOADIATwB9ACAAXABcAHQAaQBtAGUAcwAgAEcAVwBQAF8AewBOADIATwB9AFwAIgApADsAXABuAFwAbgBDAG8AbQBtAG8AbgBfAEMAbwBuAHYAZQByAHQATgAyAE8AVABvAEMATwAyAGUAXwBBAHIAZwB1AG0AZQBuAHQAcwBcAG4AIAAgAD0ATABBAE0AQgBEAEEAKABcAG4AIAAgACAAIABNAEEASwBFAEEAUgBSAEEAWQAoADIALAAgADIALAAgAFwAbgAgACAAIAAgACAAIABMAEEATQBCAEQAQQAoAHIALABjACwAIABcAG4AIAAgACAAIAAgACAAIAAgAEkATgBEAEUAWAAoAHsAXABuACAAIAAgACAAIAAgACAAIAAgACAAXAAiAEUATgAyAE8AXAAiACwAXAAiAE4AaQB0AHIAbwB1AHMAIABvAHgAaQBkAGUAIABlAG0AaQBzAHMAaQBvAG4AcwAgACgAdAAgAE4AMgBPACkAXAAiADsAXABuACAAIAAgACAAIAAgACAAIAAgACAAXAAiAEcAVwBQAE4AMgBPAFwAIgAsAFwAIgBHAGwAbwBiAGEAbAAgAHcAYQByAG0AaQBuAGcAIABwAG8AdABlAG4AdABpAGEAbAAgAGYAbwByACAAbgBpAHQAcgBvAHUAcwAgAG8AeABpAGQAZQAgACgAdAAgAEMATwAyAC0AZQAgAC8AIAB0ACAATgAyAE8AKQBcACIAXABuACAAIAAgACAAIAAgACAAIAB9ACwAIAByACwAIABjACkAXABuACAAIAAgACAAIAAgACkAXABuACAAIAAgACAAKQBcAG4AIAAgACkAOwBcAG4AXABuAC8AKgAgAFwAbgAtAC0ALQAtAC0ALQAtAC0ALQAtAC0ALQAtAC0ALQAtAC0ALQAtAC0ALQAtAC0ALQAtAC0ALQAtAC0ALQAtAC0ALQAtAC0ALQAtAC0AXABuAEMAbwBtAG0AbwBuAF8AQwBvAG4AdgBlAHIAdABDAEgANABUAG8AQwBPADIAZQBcAG4AQwBvAG4AdgBlAHIAdAAgAG0AZQB0AGgAYQBuAGUAIABlAG0AaQBzAHMAaQBvAG4AcwAgAHQAbwAgAGMAYQByAGIAbwBuACAAZABpAG8AeABpAGQAZQAgAGUAcQB1AGkAdgBhAGwAZQBuAHQAIABlAG0AaQBzAHMAaQBvAG4AcwBcAG4ARQBDAEgANAAgAEMATwAyAGUAXABuAHQAIABDAE8AMgBlAFwAbgBFAEMASAA0ADoAIABtAGUAdABoAGEAbgBlACAAZQBtAGkAcwBzAGkAbwBuAHMAIAAoAHQAIABDAEgANAApAFwAbgBHAFcAUABDAEgANAA6ACAAZwBsAG8AYgBhAGwAIAB3AGEAcgBtAGkAbgBnACAAcABvAHQAZQBuAHQAaQBhAGwAIABmAG8AcgAgAG0AZQB0AGgAYQBuAGUAIAAoAHQAIABDAE8AMgAtAGUAIAAvACAAdAAgAEMASAA0ACkAXABuAC0ALQAtAC0ALQAtAC0ALQAtAC0ALQAtAC0ALQAtAC0ALQAtAC0ALQAtAC0ALQAtAC0ALQAtAC0ALQAtAC0ALQAtAC0ALQAtAC0ALQBcAG4AKgAvAFwAbgBcAG4AXABuAEMAbwBtAG0AbwBuAF8AQwBvAG4AdgBlAHIAdABDAEgANABUAG8AQwBPADIAZQBcAG4AIAAgAD0ATABBAE0AQgBEAEEAKABcAG4AIAAgACAAIABFAF8AQwBIADQALAAgAEcAVwBQAF8AQwBIADQALABcAG4AIAAgACAAIABFAF8AQwBIADQAIAAqACAARwBXAFAAXwBDAEgANABcAG4AIAAgACkAXABuADsAXABuAFwAbgBDAG8AbQBtAG8AbgBfAEMAbwBuAHYAZQByAHQAQwBIADQAVABvAEMATwAyAGUAXwBUAGkAdABsAGUAXABuACAAIAA9AEwAQQBNAEIARABBACgAXAAiAEMAbwBuAHYAZQByAHQAIABtAGUAdABoAGEAbgBlACAAZQBtAGkAcwBzAGkAbwBuAHMAIAB0AG8AIABjAGEAcgBiAG8AbgAgAGQAaQBvAHgAaQBkAGUAIABlAHEAdQBpAHYAYQBsAGUAbgB0ACAAZQBtAGkAcwBzAGkAbwBuAHMAXAAiACkAOwBcAG4AXABuAEMAbwBtAG0AbwBuAF8AQwBvAG4AdgBlAHIAdABDAEgANABUAG8AQwBPADIAZQBfAFYAYQByAGkAYQBiAGwAZQBcAG4AIAAgAD0ATABBAE0AQgBEAEEAKABcACIARQBDAEgANAAgAEMATwAyAGUAXAAiACkAOwBcAG4AXABuAEMAbwBtAG0AbwBuAF8AQwBvAG4AdgBlAHIAdABDAEgANABUAG8AQwBPADIAZQBfAFUAbgBpAHQAXABuACAAIAA9AEwAQQBNAEIARABBACgAXAAiAHQAIABDAE8AMgBlAFwAIgApADsAXABuAFwAbgBDAG8AbQBtAG8AbgBfAEMAbwBuAHYAZQByAHQAQwBIADQAVABvAEMATwAyAGUAXwBOAEkAUgBSAGUAZgBlAHIAZQBuAGMAZQBcAG4AIAAgAD0ATABBAE0AQgBEAEEAKABcACIAXAAiACkAOwBcAG4AXABuAEMAbwBtAG0AbwBuAF8AQwBvAG4AdgBlAHIAdABDAEgANABUAG8AQwBPADIAZQBfAEwAYQB0AGUAeABFAHEAdQBhAHQAaQBvAG4AXABuACAAIAA9AEwAQQBNAEIARABBACgAXAAiAEMATwAyAF8AZQAgAD0AIABFAF8AewBDAEgANAB9ACAAXABcAHQAaQBtAGUAcwAgAEcAVwBQAF8AewBDAEgANAB9AFwAIgApADsAXABuAFwAbgBDAG8AbQBtAG8AbgBfAEMAbwBuAHYAZQByAHQAQwBIADQAVABvAEMATwAyAGUAXwBBAHIAZwB1AG0AZQBuAHQAcwBcAG4AIAAgAD0ATABBAE0AQgBEAEEAKABcAG4AIAAgACAAIABNAEEASwBFAEEAUgBSAEEAWQAoADIALAAgADIALAAgAFwAbgAgACAAIAAgACAAIABMAEEATQBCAEQAQQAoAHIALABjACwAIABcAG4AIAAgACAAIAAgACAAIAAgAEkATgBEAEUAWAAoAHsAXABuACAAIAAgACAAIAAgACAAIAAgACAAXAAiAEUAQwBIADQAXAAiACwAXAAiAE0AZQB0AGgAYQBuAGUAIABlAG0AaQBzAHMAaQBvAG4AcwAgACgAdAAgAEMASAA0ACkAXAAiADsAXABuACAAIAAgACAAIAAgACAAIAAgACAAXAAiAEcAVwBQAEMASAA0AFwAIgAsAFwAIgBHAGwAbwBiAGEAbAAgAHcAYQByAG0AaQBuAGcAIABwAG8AdABlAG4AdABpAGEAbAAgAGYAbwByACAAbQBlAHQAaABhAG4AZQAgACgAdAAgAEMATwAyAC0AZQAgAC8AIAB0ACAAQwBIADQAKQBcACIAXABuACAAIAAgACAAIAAgACAAIAB9ACwAIAByACwAIABjACkAXABuACAAIAAgACAAIAAgACkAXABuACAAIAAgACAAKQBcAG4AIAAgACkAOwAiAH0ALAB7ACIAcABhAHQAaAAiADoAIgAvAHAAcgBvAGoAZQBjAHQAcwAvAEMAbwBtAG0AbwBuAF8ASQBuAHAAdQB0AEYAdQBuAGMAdABpAG8AbgBzACIALAAiAHQAZQB4AHQAIgA6ACIAVQB0AGkAbABpAHQAeQBfAEcAZQB0AEEAcgByAGEAeQBUAGEAYgBsAGUAUgBvAHcAUwB0AGEAcgB0AE4AdQBtAGIAZQByAFwAbgA9AEwAQQBNAEIARABBACgAXABuACAAIAAgACAAVABhAGIAbABlAGgAZQBhAGQAZQByAEMAZQBsAGwALABSAG8AdwBzAEIAZQB0AHcAZQBlAG4ASABlAGEAZABlAHIAYQBuAGQAQQByAHIAYQB5ACwAXABuACAAIAAgACAAUgBPAFcAKABUAGEAYgBsAGUAaABlAGEAZABlAHIAQwBlAGwAbAApACAAKwAgAFIAbwB3AHMAQgBlAHQAdwBlAGUAbgBIAGUAYQBkAGUAcgBhAG4AZABBAHIAcgBhAHkAIAAtACAAMQBcAG4AKQA7AFwAbgBcAG4AVQB0AGkAbABpAHQAeQBfAEcAZQB0AEEAcgByAGEAeQBUAGEAYgBsAGUAQwBvAGwAdQBtAG4AUwB0AGEAcgB0AE4AdQBtAGIAZQByAFwAbgA9AEwAQQBNAEIARABBACgAXABuACAAIABUAGEAYgBsAGUASABlAGEAZABlAHIAQwBlAGwAbAAsAFwAbgAgACAAQwBPAEwAVQBNAE4AKABUAGEAYgBsAGUASABlAGEAZABlAHIAQwBlAGwAbAApAFwAbgApADsAXABuAFwAbgBVAHQAaQBsAGkAdAB5AF8ARABpAHMAcABsAGEAeQBBAHIAcgBhAHkASQBuAFQAYQBiAGwAZQBcAG4APQBMAEEATQBCAEQAQQAoAFwAbgAgAEEAcgByAGEAeQBEAGEAdABhACwAIABUAGEAYgBsAGUAaABlAGEAZABlAHIAQwBlAGwAbAAsACAAUgBvAHcAcwBCAGUAdAB3AGUAZQBuAEgAZQBhAGQAZQByAGEAbgBkAEEAcgByAGEAeQAsACAAWwBDAG8AbAB1AG0AbgBzAEIAZQB0AHcAZQBlAG4ASABlAGEAZABlAHIAQQBuAGQAQQByAHIAYQB5AF0ALABcAG4AIABJAEYARQBSAFIATwBSACgAXABuACAAIAAgACAAIABJAE4ARABFAFgAKABcAG4AIAAgACAAIAAgACAAIAAgACAAIAAgACAAVQBOAEkAUQBVAEUAKABBAHIAcgBhAHkARABhAHQAYQApACwAIABcAG4AIAAgACAAIAAgACAAIAAgACAAIAAgACAAUgBPAFcAKAApAC0AVQB0AGkAbABpAHQAeQBfAEcAZQB0AEEAcgByAGEAeQBUAGEAYgBsAGUAUgBvAHcAUwB0AGEAcgB0AE4AdQBtAGIAZQByACgAVABhAGIAbABlAGgAZQBhAGQAZQByAEMAZQBsAGwALAAgAFIAbwB3AHMAQgBlAHQAdwBlAGUAbgBIAGUAYQBkAGUAcgBhAG4AZABBAHIAcgBhAHkAKQAsACAAXABuACAAIAAgACAAIAAgACAAIAAgACAAIAAgAEMATwBMAFUATQBOACgAKQAtAFUAdABpAGwAaQB0AHkAXwBHAGUAdABBAHIAcgBhAHkAVABhAGIAbABlAEMAbwBsAHUAbQBuAFMAdABhAHIAdABOAHUAbQBiAGUAcgAoAFQAYQBiAGwAZQBoAGUAYQBkAGUAcgBDAGUAbABsACkAIAArAFwAbgAgACAAIAAgACAAIAAgACAAIAAgACAAIABJAEYAKABJAFMATwBNAEkAVABUAEUARAAoAEMAbwBsAHUAbQBuAHMAQgBlAHQAdwBlAGUAbgBIAGUAYQBkAGUAcgBBAG4AZABBAHIAcgBhAHkAKQAsACAAMQAsACAAQwBvAGwAdQBtAG4AcwBCAGUAdAB3AGUAZQBuAEgAZQBhAGQAZQByAEEAbgBkAEEAcgByAGEAeQApAFwAbgAgACAAIAAgACAAIAAgACAAKQAsACAAXAAiAFwAIgBcAG4AIAAgACAAIAApAFwAbgApADsAXABuAFwAbgBVAHQAaQBsAGkAdAB5AF8ATABvAG8AawB1AHAAVgBhAGwAdQBlAEkAbgBUAGEAYgBsAGUAXABuAD0ATABBAE0AQgBEAEEAKABcAG4AIAAgACAAIABMAG8AbwBrAHUAcABWAGEAbAB1AGUALAAgAEwAbwBvAGsAdQBwAEEAcgByAGEAeQAsACAAUgBlAHQAdQByAG4AQQByAHIAYQB5ACwAXABuACAAIAAgACAAWABMAE8ATwBLAFUAUAAoAEwAbwBvAGsAdQBwAFYAYQBsAHUAZQAsACAATABvAG8AawB1AHAAQQByAHIAYQB5ACwAIABSAGUAdAB1AHIAbgBBAHIAcgBhAHkALAAgAFwAIgBcACIAKQBcAG4AKQA7AFwAbgBcAG4AVQB0AGkAbABpAHQAeQBfAEwAbwBvAGsAdQBwAFYAYQBsAHUAZQBJAG4AVABhAGIAbABlAE4AdQBtAGIAZQByAFwAbgA9AEwAQQBNAEIARABBACgAXABuACAAIAAgACAATABvAG8AawB1AHAAVgBhAGwAdQBlACwAIABMAG8AbwBrAHUAcABBAHIAcgBhAHkALAAgAFIAZQB0AHUAcgBuAEEAcgByAGEAeQAsAFwAbgAgACAAIAAgAEkARgAoAEkAUwBOAFUATQBCAEUAUgAoAFwAbgAgACAAIAAgACAAIAAgACAAWABMAE8ATwBLAFUAUAAoAEwAbwBvAGsAdQBwAFYAYQBsAHUAZQAsACAATABvAG8AawB1AHAAQQByAHIAYQB5ACwAIABSAGUAdAB1AHIAbgBBAHIAcgBhAHkALAAgAFwAIgBcACIAKQBcAG4AIAAgACAAIAApACwAIABYAEwATwBPAEsAVQBQACgATABvAG8AawB1AHAAVgBhAGwAdQBlACwAIABMAG8AbwBrAHUAcABBAHIAcgBhAHkALAAgAFIAZQB0AHUAcgBuAEEAcgByAGEAeQAsACAAXAAiAFwAIgApACwAIAAwACkAXABuACkAOwBcAG4AXABuAFUAdABpAGwAaQB0AHkAXwBMAG8AbwBrAHUAcABWAGEAbAB1AGUASQBuAFQAYQBiAGwAZQBUAHcAbwBDAG8AbAB1AG0AbgBzAFwAbgA9AEwAQQBNAEIARABBACgAXABuACAAIAAgACAATABvAG8AawB1AHAAVgBhAGwAdQBlADEALAAgAEwAbwBvAGsAdQBwAFYAYQBsAHUAZQAyACwAIABMAG8AbwBrAHUAcABBAHIAcgBhAHkAMQAsACAATABvAG8AawB1AHAAQQByAHIAYQB5ADIALAAgAFIAZQB0AHUAcgBuAEEAcgByAGEAeQAsACAAWwBWAGEAbAB1AGUASQBGAEYAYQBsAHMAZQBdACwAXABuACAAIAAgACAAWABMAE8ATwBLAFUAUAAoADEALAAgACgATABvAG8AawB1AHAAQQByAHIAYQB5ADEAPQBMAG8AbwBrAHUAcABWAGEAbAB1AGUAMQApACoAKABMAG8AbwBrAHUAcABBAHIAcgBhAHkAMgA9AEwAbwBvAGsAdQBwAFYAYQBsAHUAZQAyACkALAAgAFIAZQB0AHUAcgBuAEEAcgByAGEAeQAsACAASQBGACgASQBTAE8ATQBJAFQAVABFAEQAKABWAGEAbAB1AGUASQBGAEYAYQBsAHMAZQApACwAIABcACIAXAAiACwAIABWAGEAbAB1AGUASQBGAEYAYQBsAHMAZQApACkAXABuACkAOwBcAG4AXABuAFUAdABpAGwAaQB0AHkAXwBMAG8AbwBrAHUAcABWAGEAbAB1AGUASQBuAFQAYQBiAGwAZQBPAG4AZQBDAG8AbAB1AG0AbgBBAG4AZABIAGUAYQBkAGUAcgBcAG4APQBMAEEATQBCAEQAQQAoAFwAbgAgACAAIAAgAEwAbwBvAGsAdQBwAFYAYQBsAHUAZQAxACwAIABMAG8AbwBrAHUAcABWAGEAbAB1AGUAMgAsACAATABvAG8AawB1AHAAQQByAHIAYQB5ADEALAAgAEwAbwBvAGsAdQBwAEEAcgByAGEAeQAyACwAIABSAGUAdAB1AHIAbgBBAHIAcgBhAHkALAAgAFsAVgBhAGwAdQBlAEkAZgBGAGEAbABzAGUAXQAsAFwAbgAgACAAIAAgAEkARgBFAFIAUgBPAFIAKABcAG4AIAAgACAAIAAgACAAIAAgAFgATABPAE8ASwBVAFAAKABMAG8AbwBrAHUAcABWAGEAbAB1AGUAMQAsACAATABvAG8AawB1AHAAQQByAHIAYQB5ADEALABcAG4AIAAgACAAIAAgACAAIAAgACAAIAAgACAAWABMAE8ATwBLAFUAUAAoAEwAbwBvAGsAdQBwAFYAYQBsAHUAZQAyACwAIABMAG8AbwBrAHUAcABBAHIAcgBhAHkAMgAsACAAUgBlAHQAdQByAG4AQQByAHIAYQB5ACkAXABuACAAIAAgACAAIAAgACAAIAApACwAXABuACAAIAAgACAAIAAgACAAIABJAEYAKABJAFMATwBNAEkAVABUAEUARAAoAFYAYQBsAHUAZQBJAGYARgBhAGwAcwBlACkALAAgAFwAIgBcACIALAAgAFYAYQBsAHUAZQBJAGYARgBhAGwAcwBlACkAXABuACAAIAAgACAAKQBcAG4AKQA7AFwAbgBcAG4AVQB0AGkAbABpAHQAeQBfAFMAcABsAGkAdABTAHQAcgBpAG4AZwBJAG4AdABvAEEAcgByAGEAeQBcAG4APQBMAEEATQBCAEQAQQAoAFwAbgAgACAAIAAgAEMAZQBsAGwALAAgAEQAZQBsAGkAbQBpAHQAZQByACwAIABbAEMAaABhAHIAYQBjAHQAZQByAFQAbwBSAGUAbQBvAHYAZQAxAF0ALAAgAFsAQwBoAGEAcgBhAGMAdABlAHIAVABvAFIAZQBtAG8AdgBlADIAXQAsAFwAbgAgACAAIAAgACAAIAAgACAARgBJAEwAVABFAFIAWABNAEwAKABcAG4AIAAgACAAIAAgACAAIAAgAFwAIgBcAHUAMAAwADMAYwB0AFwAdQAwADAAMwBlAFwAdQAwADAAMwBjAHMAXAB1ADAAMAAzAGUAXAAiACAAXAB1ADAAMAAyADYAXABuACAAIAAgACAAIAAgACAAIABTAFUAQgBTAFQASQBUAFUAVABFACgAXABuACAAIAAgACAAIAAgACAAIAAgACAAIAAgAFMAVQBCAFMAVABJAFQAVQBUAEUAKABTAFUAQgBTAFQASQBUAFUAVABFACgAQwBlAGwAbAAsAEMAaABhAHIAYQBjAHQAZQByAFQAbwBSAGUAbQBvAHYAZQAxACwAXAAiAFwAIgApACwAQwBoAGEAcgBhAGMAdABlAHIAVABvAFIAZQBtAG8AdgBlADIALABcACIAXAAiACkALABcAG4AIAAgACAAIAAgACAAIAAgACAAIAAgACAARABlAGwAaQBtAGkAdABlAHIALABcACIAXAB1ADAAMAAzAGMALwBzAFwAdQAwADAAMwBlAFwAdQAwADAAMwBjAHMAXAB1ADAAMAAzAGUAXAAiAFwAbgAgACAAIAAgACAAIAAgACAAKQAgAFwAdQAwADAAMgA2AFwAbgAgACAAIAAgACAAIAAgACAAXAAiAFwAdQAwADAAMwBjAC8AcwBcAHUAMAAwADMAZQBcAHUAMAAwADMAYwAvAHQAXAB1ADAAMAAzAGUAXAAiACwAXABuACAAIAAgACAAIAAgACAAIABcACIALwAvAHMAXAAiAFwAbgAgACAAIAAgACkAXABuACkAOwBcAG4AXABuAFUAdABpAGwAaQB0AHkAXwBHAGUAdABDAGwAaQBtAGEAdABlAFoAbwBuAGUAXABuAD0ATABBAE0AQgBEAEEAKABcAG4AIAAgACAAIABhAHYAZwBUAGUAbQBwACwAYQB2AGcAUgBhAGkAbgAsAGYAcgBvAHMAdABEAGEAeQBzACwAZQBsAGUAdgAsAG0AYQBwAF8AcABlAHQALABcAG4AIAAgACAAIABtAGkAbgBUAGUAbQBwAEEAcgByAGEAeQAsAG0AYQB4AFQAZQBtAHAAQQByAHIAYQB5ACwAXABuACAAIAAgACAAbQBpAG4AUgBhAGkAbgBmAGEAbABsAEEAcgByAGEAeQAsAG0AYQB4AFIAYQBpAG4AZgBhAGwAbABBAHIAcgBhAHkALABcAG4AIAAgACAAIABtAGkAbgBGAHIAbwBzAHQAQQByAHIAYQB5ACwAbQBhAHgARgByAG8AcwB0AEEAcgByAGEAeQAsAFwAbgAgACAAIAAgAG0AaQBuAEUAbABlAHYAYQB0AGkAbwBuAEEAcgByAGEAeQAsAG0AYQB4AEUAbABlAHYAYQB0AGkAbwBuAEEAcgByAGEAeQAsAFwAbgAgACAAIAAgAG0AaQBuAFAARQBUAEEAcgByAGEAeQAsAG0AYQB4AFAARQBUAEEAcgByAGEAeQAsAFwAbgAgACAAIAAgAGMAbABpAG0AYQB0AGUAWgBvAG4AZQBBAHIAcgBhAHkALABcAG4AIAAgACAAIABMAEUAVAAoAFwAbgAgACAAIAAgACAAIAAgACAAbQBhAHMAawAsAFwAbgAgACAAIAAgACAAIAAgACAAKABWAEEATABVAEUAKABtAGkAbgBUAGUAbQBwAEEAcgByAGEAeQApAFwAdQAwADAAMwBjAD0AYQB2AGcAVABlAG0AcAApACoAXABuACAAIAAgACAAIAAgACAAIAAoAFYAQQBMAFUARQAoAG0AYQB4AFQAZQBtAHAAQQByAHIAYQB5ACkAXAB1ADAAMAAzAGUAPQBhAHYAZwBUAGUAbQBwACkAKgBcAG4AIAAgACAAIAAgACAAIAAgACgAVgBBAEwAVQBFACgAbQBpAG4AUgBhAGkAbgBmAGEAbABsAEEAcgByAGEAeQApAFwAdQAwADAAMwBjAD0AYQB2AGcAUgBhAGkAbgApACoAXABuACAAIAAgACAAIAAgACAAIAAoAFYAQQBMAFUARQAoAG0AYQB4AFIAYQBpAG4AZgBhAGwAbABBAHIAcgBhAHkAKQBcAHUAMAAwADMAZQA9AGEAdgBnAFIAYQBpAG4AKQAqAFwAbgAgACAAIAAgACAAIAAgACAAKABWAEEATABVAEUAKABtAGkAbgBGAHIAbwBzAHQAQQByAHIAYQB5ACkAXAB1ADAAMAAzAGMAPQBmAHIAbwBzAHQARABhAHkAcwApACoAXABuACAAIAAgACAAIAAgACAAIAAoAFYAQQBMAFUARQAoAG0AYQB4AEYAcgBvAHMAdABBAHIAcgBhAHkAKQBcAHUAMAAwADMAZQA9AGYAcgBvAHMAdABEAGEAeQBzACkAKgBcAG4AIAAgACAAIAAgACAAIAAgACgAVgBBAEwAVQBFACgAbQBpAG4ARQBsAGUAdgBhAHQAaQBvAG4AQQByAHIAYQB5ACkAXAB1ADAAMAAzAGMAPQBlAGwAZQB2ACkAKgBcAG4AIAAgACAAIAAgACAAIAAgACgAVgBBAEwAVQBFACgAbQBhAHgARQBsAGUAdgBhAHQAaQBvAG4AQQByAHIAYQB5ACkAXAB1ADAAMAAzAGUAPQBlAGwAZQB2ACkAKgBcAG4AIAAgACAAIAAgACAAIAAgACgAVgBBAEwAVQBFACgAbQBpAG4AUABFAFQAQQByAHIAYQB5ACkAXAB1ADAAMAAzAGMAPQBtAGEAcABfAHAAZQB0ACkAKgBcAG4AIAAgACAAIAAgACAAIAAgACgAVgBBAEwAVQBFACgAbQBhAHgAUABFAFQAQQByAHIAYQB5ACkAXAB1ADAAMAAzAGUAPQBtAGEAcABfAHAAZQB0ACkALABcAG4AIAAgACAAIAAgACAAIAAgAFQAQQBLAEUAKABcAG4AIAAgACAAIAAgACAAIAAgACAAIAAgACAARgBJAEwAVABFAFIAKABjAGwAaQBtAGEAdABlAFoAbwBuAGUAQQByAHIAYQB5ACwAbQBhAHMAawAsACAAXAAiAE4AbwAgAG0AYQB0AGMAaABcACIAKQAsAFwAbgAgACAAIAAgACAAIAAgACAAIAAgACAAIAAxAFwAbgAgACAAIAAgACAAIAAgACAAKQBcAG4AIAAgACAAIAApAFwAbgApADsAXABuAFwAbgBVAHQAaQBsAGkAdAB5AF8ATABvAG8AawB1AHAASQB0AGUAbQBGAHIAbwBtAE0AaQBuAE0AYQB4AFwAbgA9AEwAQQBNAEIARABBACgAXABuACAAIAAgACAATABvAG8AawB1AHAAVgBhAGwAdQBlACwAIABNAGkAbgBBAHIAcgBhAHkALAAgAE0AYQB4AEEAcgByAGEAeQAsACAASQB0AGUAbQBBAHIAcgBhAHkALABcAG4AIAAgACAAIABMAEUAVAAoAFwAbgAgACAAIAAgACAAIAAgACAAbQBhAHMAawAsAFwAbgAgACAAIAAgACAAIAAgACAAKABWAEEATABVAEUAKABNAGkAbgBBAHIAcgBhAHkAKQBcAHUAMAAwADMAYwA9AEwAbwBvAGsAdQBwAFYAYQBsAHUAZQApACoAXABuACAAIAAgACAAIAAgACAAIAAoAFYAQQBMAFUARQAoAE0AYQB4AEEAcgByAGEAeQApAFwAdQAwADAAMwBlAD0ATABvAG8AawB1AHAAVgBhAGwAdQBlACkALABcAG4AIAAgACAAIAAgACAAIAAgAEYASQBMAFQARQBSACgASQB0AGUAbQBBAHIAcgBhAHkALAAgAG0AYQBzAGsALAAgAFwAIgBOAG8AIABtAGEAdABjAGgAXAAiACkAXABuACAAIAAgACAAKQBcAG4AKQA7AFwAbgBcAG4AXABuAFUAdABpAGwAaQB0AHkAXwBTAHUAbQBRAHUAYQBuAHQAaQB0AHkARgByAG8AbQBDAHIAaQB0AGUAcgBpAGEAXABuAD0ATABBAE0AQgBEAEEAKABcAG4AIAAgAEMAcgBpAHQAZQByAGkAYQAxACwAIABDAHIAaQB0AGUAcgBpAGEAMQBUAHkAcABlAEEAcgByAGEAeQAsACAAUQB1AGEAbgB0AGkAdAB5ACwAIABbAE0AdQBsAHQAaQBwAGwAaQBlAHIAXQAsACAAWwBDAHIAaQB0AGUAcgBpAGEAMgBdACwAWwBDAHIAaQB0AGUAcgBpAGEAMgBBAHIAcgBhAHkAXQAsAFwAbgAgACAATABFAFQAKABcAG4AIAAgACAAIABtAHUAbAB0AGkAcABsAGkAZQByACwAIABJAEYAKABJAFMATwBNAEkAVABUAEUARAAoAE0AdQBsAHQAaQBwAGwAaQBlAHIAKQAsADEALABNAHUAbAB0AGkAcABsAGkAZQByACkALABcAG4AIAAgACAAIABxAHUAYQBuAHQAaQB0AHkALAAgAFEAdQBhAG4AdABpAHQAeQAqAE0AdQBsAHQAaQBwAGwAaQBlAHIALABcAG4AIAAgACAAIABjAHIAaQB0AGUAcgBpAGEAMQAsAC0ALQAoAEMAcgBpAHQAZQByAGkAYQAxAFQAeQBwAGUAQQByAHIAYQB5AD0AQwByAGkAdABlAHIAaQBhADEAKQAsAFwAbgAgACAAIAAgAGMAcgBpAHQAZQByAGkAYQAyACwASQBGACgASQBTAE8ATQBJAFQAVABFAEQAKABDAHIAaQB0AGUAcgBpAGEAMgApACwAMQAsAC0ALQAoAEMAcgBpAHQAZQByAGkAYQAyAEEAcgByAGEAeQA9AEMAcgBpAHQAZQByAGkAYQAyACkAKQAsAFwAbgAgACAAIAAgAFMAVQBNAFAAUgBPAEQAVQBDAFQAKABjAHIAaQB0AGUAcgBpAGEAMQAqAGMAcgBpAHQAZQByAGkAYQAyACoAcQB1AGEAbgB0AGkAdAB5ACkAXABuACAAIAApAFwAbgApADsAXABuAFwAbgBnAGUAdABPAHYAZQByAGwAYQBwAHAAaQBuAGcAUgBlAHAAbwByAHQAaQBuAGcAQwB5AGMAbABl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BcAG4AIAAgACAAIAAgACAAIAAgAFAAZQByAGkAbwBkAEUAbgBkACwATABBAE0AQgBEAEEAKABzAHQALABFAEQAQQBUAEUAKABzAHQALAAxADIAKQAtADEAKQAsAFwAbgAgACAAIAAgACAAIAAgACAAQQAsAFMALQAzADYANQAsAFwAbgAgACAAIAAgACAAIAAgACAAeQBhACwAWQBFAEEAUgAoAEEAKQAsAFwAbgAgACAAIAAgACAAIAAgACAAeQBiACwAWQBFAEEAUgAoAEUAKQAsAFwAbgAgACAAIAAgACAAIAAgACAAZgBpAHIAcwB0AFkAZQBhAHIALAB5AGEAKwAoAFAAZQByAGkAbwBkAEUAbgBkACgARABBAFQARQAoAHkAYQAsAG0ALABkACkAKQBcAHUAMAAwADMAYwAgAFMAKQAsAFwAbgAgACAAIAAgACAAIAAgACAAbABhAHMAdABZAGUAYQByACwAeQBiAC0AKABEAEEAVABFACgAeQBiACwAbQAsAGQAKQBcAHUAMAAwADMAZQAgAEUAKQAsAFwAbgAgACAAIAAgACAAIAAgACAATQBBAFgAKAAwACwAbABhAHMAdABZAGUAYQByAC0AZgBpAHIAcwB0AFkAZQBhAHIAKwAxACkAXABuACAAIAAgACAAKQBcAG4AKQA7AFwAbgBcAG4AZwBlAHQATwB2AGUAcgBsAGEAcABwAGkAbgBnAFIAZQBwAG8AcgB0AGkAbgBnAFAAZQByAGkAbwBk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AgAC8AKgBoAGUAbABwAGUAcgA6ACAAZQBuAGQAIABkAGEAdABlACAAZgBvAHIAIABhACAAcgBlAHAAbwByAHQAaQBuAGcAIABwAGUAcgBpAG8AZAAgAHMAdABhAHIAdABpAG4AZwAgAGEAdAAgAGEAIABnAGkAdgBlAG4AIABkAGEAdABlACoALwBcAG4AIAAgACAAIAAgACAAIAAgAFAAZQByAGkAbwBkAEUAbgBkACwATABBAE0AQgBEAEEAKABzAHQALABFAEQAQQBUAEUAKABzAHQALAAxADIAKQAtADEAKQAsACAALwAqAG8AbgBsAHkAIABuAGUAZQBkACAAdABvACAAbABvAG8AawAgAGIAYQBjAGsAIAAzADYANQAgAGQAYQB5AHMAKABtAGEAeAAgAG8AdgBlAHIAbABhAHAAIAB3AGkAbgBkAG8AdwApACoALwBcAG4AIAAgACAAIAAgACAAIAAgAEEALABTAC0AMwA2ADUALABcAG4AIAAgACAAIAAgACAAIAAgAHkAYQAsAFkARQBBAFIAKABBACkALABcAG4AIAAgACAAIAAgACAAIAAgAHkAYgAsAFkARQBBAFIAKABFACkALAAgAC8AKgBpAGYAIAB0AGgAZQAgAGEAbgBjAGgAbwByACAAZgBvAHIAIAB5AGEAIABlAG4AZABzACAAYgBlAGYAbwByAGUAIABTACwAaQB0ACAAYwBhAG4AXAB1ADAAMAAyADcAdAAgAG8AdgBlAHIAbABhAHAAOwAgAG0AbwB2AGUAIAB0AG8AIABuAGUAeAB0ACAAeQBlAGEAcgAqAC8AXABuACAAIAAgACAAIAAgACAAIABmAGkAcgBzAHQAWQBlAGEAcgAsAHkAYQArACgAUABlAHIAaQBvAGQARQBuAGQAKABEAEEAVABFACgAeQBhACwAbQAsAGQAKQApAFwAdQAwADAAMwBjAFMAKQAsACAALwAqAGkAZgAgAHQAaABlACAAYQBuAGMAaABvAHIAIABmAG8AcgAgAHkAYgAgAHMAdABhAHIAdABzACAAYQBmAHQAZQByACAARQAsAGkAdAAgAGMAYQBuAFwAdQAwADAAMgA3AHQAIABvAHYAZQByAGwAYQBwADsAIABtAG8AdgBlACAAdABvACAAcAByAGUAdgBpAG8AdQBzACAAeQBlAGEAcgAqAC8AXABuACAAIAAgACAAIAAgACAAIABsAGEAcwB0AFkAZQBhAHIALAB5AGIALQAoAEQAQQBUAEUAKAB5AGIALABtACwAZAApAFwAdQAwADAAMwBlAEUAKQAsAFwAbgAgACAAIAAgACAAIAAgACAAbgAsAE0AQQBYACgAMAAsAGwAYQBzAHQAWQBlAGEAcgAtAGYAaQByAHMAdABZAGUAYQByACsAMQApACwAXABuACAAIAAgACAAIAAgACAAIAB5AHIAcwAsAFMARQBRAFUARQBOAEMARQAoAG4ALAAxACwAZgBpAHIAcwB0AFkAZQBhAHIALAAxACkALABcAG4AIAAgACAAIAAgACAAIAAgAHMAdABhAHIAdABzACwARABBAFQARQAoAHkAcgBzACwAbQAsAGQAKQAsAFwAbgAgACAAIAAgACAAIAAgACAAZQBuAGQAcwAsAE0AQQBQACgAcwB0AGEAcgB0AHMALABQAGUAcgBpAG8AZABFAG4AZAApACwAXABuACAAIAAgACAAIAAgACAAIAB0AGEAZwAsAEkARgAoAHMAdABhAHIAdABzAD0AUgBlAHAAbwByAHQAaQBuAGcAQwB5AGMAbABlAFMAdABhAHIAdAAsAFwAIgAgACgAVABoAGkAcwAgAHIAZQBwAG8AcgB0AGkAbgBnACAAYwB5AGMAbABlACkAXAAiACwAXAAiAFwAIgApACwAXABuACAAIAAgACAAIAAgACAAIABzAHQAYQByAHQAcwBUAGUAeAB0ACwAVABFAFgAVAAoAHMAdABhAHIAdABzACwAXAAiAGQAZAAgAG0AbQBtACAAeQB5AHkAeQBcACIAKQAsAFwAbgAgACAAIAAgACAAIAAgACAAZQBuAGQAcwBUAGUAeAB0ACwAVABFAFgAVAAoAGUAbgBkAHMALABcACIAZABkACAAbQBtAG0AIAB5AHkAeQB5AFwAIgApACwAXABuACAAIAAgACAAIAAgACAAIABJAEYAKABuAD0AMAAsAFwAIgBcACIALABIAFMAVABBAEMASwAoAHMAdABhAHIAdABzAFQAZQB4AHQAIABcAHUAMAAwADIANgAgAFwAIgAgAHQAbwAgAFwAIgAgAFwAdQAwADAAMgA2ACAAZQBuAGQAcwBUAGUAeAB0ACAAXAB1ADAAMAAyADYAIAB0AGEAZwApACkAXABuACAAIAAgACAAKQBcAG4AKQA7AFwAbgBcAG4AVQB0AGkAbABpAHQAeQBfAEQAaQBzAHAAbABhAHkARgB1AG4AYwB0AGkAbwBuAE4AYQBtAGUAXABuAD0ATABBAE0AQgBEAEEAKABGAHUAbgBjAHQAaQBvAG4ALAAgAFQARQBYAFQAQgBFAEYATwBSAEUAKABGAE8AUgBNAFUATABBAFQARQBYAFQAKABGAHUAbgBjAHQAaQBvAG4AKQAsACAAXAAiACgAXAAiACkAKQA7AFwAbgBcAG4AVQB0AGkAbABpAHQAeQBfAEwAbwBvAGsAdQBwAE4AMgBPAEUARgBGAHIAbwBtAFAAcgBvAGQASQByAHIAaQBnAGEAdABpAG8AbgBSAGEAaQBuAGYAYQBsAGwAXABuAD0ATABBAE0AQgBEAEEAKABcAG4AIAAgACAAIABQAHIAbwBkAHUAYwB0AGkAbwBuAFMAeQBzAHQAZQBtACwAIABJAHIAcgBpAGcAYQB0AGkAbwBuAE0AZQB0AGgAbwBkACwAIABSAGEAaQBuAGYAYQBsAGwAWgBvAG4AZQAsAFwAbgAgACAAIAAgAFAAcgBvAGQAdQBjAHQAaQBvAG4AUwB5AHMAdABlAG0AQQByAHIAYQB5ACwAIABJAHIAcgBpAGcAYQB0AGkAbwBuAE0AZQB0AGgAbwBkAEEAcgByAGEAeQAsACAAUgBhAGkAbgBmAGEAbABsAFoAbwBuAGUAQQByAHIAYQB5ACwAUgBlAHQAdQByAG4AQQByAHIAYQB5ACwAXABuACAAIAAgACAATABFAFQAKABcAG4AIAAgACAAIAAgACAAIAAgAEkAcgByAGkAZwBhAHQAaQBvAG4ATQBlAHQAaABvAGQALAAgAEkARgAoAEkAcgByAGkAZwBhAHQAaQBvAG4ATQBlAHQAaABvAGQAPQBcACIATgBvAHQAIABpAHIAcgBpAGcAYQB0AGUAZABcACIALAAgAFwAIgBOAG8AdAAgAGkAcgByAGkAZwBhAHQAZQBkAFwAIgAsACAAXAAiAEEAbgB5AFwAIgApACwAXABuACAAIAAgACAAIAAgACAAIABSAGEAaQBuAGYAYQBsAGwAWgBvAG4AZQAsACAASQBGACgASQByAHIAaQBnAGEAdABpAG8AbgBNAGUAdABoAG8AZAAgAD0AIABcACIATgBvAHQAIABpAHIAcgBpAGcAYQB0AGUAZABcACIALAAgAFIAYQBpAG4AZgBhAGwAbABaAG8AbgBlACwAIABcACIAQQBuAHkAXAAiACkALABcAG4AIAAgACAAIAAgACAAIAAgAFgATABPAE8ASwBVAFAAKAAxACwAIABcAG4AIAAgACAAIAAgACAAIAAgACAAIAAgACAAKABQAHIAbwBkAHUAYwB0AGkAbwBuAFMAeQBzAHQAZQBtAEEAcgByAGEAeQA9AFAAcgBvAGQAdQBjAHQAaQBvAG4AUwB5AHMAdABlAG0AKQAqAFwAbgAgACAAIAAgACAAIAAgACAAIAAgACAAIAAoAEkAcgByAGkAZwBhAHQAaQBvAG4ATQBlAHQAaABvAGQAQQByAHIAYQB5AD0ASQByAHIAaQBnAGEAdABpAG8AbgBNAGUAdABoAG8AZAApACoAXABuACAAIAAgACAAIAAgACAAIAAgACAAIAAgACgAUgBhAGkAbgBmAGEAbABsAFoAbwBuAGUAQQByAHIAYQB5AD0AUgBhAGkAbgBmAGEAbABsAFoAbwBuAGUAKQAsACAAXABuACAAIAAgACAAIAAgACAAIAAgACAAIAAgAFIAZQB0AHUAcgBuAEEAcgByAGEAeQApAFwAbgAgACAAIAAgACkAXABuACkAOwBcAG4AXABuAEMAbwBtAG0AbwBuAEMAcgBvAHAAcABpAG4AZwBfAEcAZQB0AEYAcgBhAGMAVwBFAFQAXABuAD0ATABBAE0AQgBEAEEAKABcAG4AIAAgACAAIABMAGUAYQBjAGgAaQBuAGcAWgBvAG4AZQAsAFwAbgAgACAAIAAgAFAAcgBvAGQAdQBjAHQAaQBvAG4AUwB5AHMAdABlAG0ALABcAG4AIAAgACAAIABMAGUAYQBjAGgAaQBuAGcAWgBvAG4AZQBMAG8AbwBrAHUAcAAsAFwAbgAgACAAIAAgAEwAZQBhAGMAaABpAG4AZwBaAG8AbgBlAEYAcgBhAGMAVwBFAFQATABvAG8AawB1AHAALABcAG4AIAAgACAAIABQAHIAbwBkAHUAYwB0AGkAbwBuAFMAeQBzAHQAZQBtAEwAbwBvAGsAdQBwACwAXABuACAAIAAgACAAUAByAG8AZAB1AGMAdABpAG8AbgBTAHkAcwB0AGUAbQBGAHIAYQBjAFcARQBUAEwAbwBvAGsAdQBwACwAXABuACAAIAAgACAATABFAFQAKABcAG4AIAAgACAAIAAgACAAIAAgAEwAZQBhAGMAaABpAG4AZwBaAG8AbgBlAEYAcgBhAGMAVwBFAFQALAAgAFwAbgAgACAAIAAgACAAIAAgACAAQwBvAG0AbQBvAG4AXwBJAG4AcAB1AHQARgB1AG4AYwB0AGkAbwBuAHMALgBVAHQAaQBsAGkAdAB5AF8ATABvAG8AawB1AHAAVgBhAGwAdQBlAEkAbgBUAGEAYgBsAGUATgB1AG0AYgBlAHIAKABcAG4AIAAgACAAIAAgACAAIAAgACAAIAAgACAATABlAGEAYwBoAGkAbgBnAFoAbwBuAGUALABMAGUAYQBjAGgAaQBuAGcAWgBvAG4AZQBMAG8AbwBrAHUAcAAsAEwAZQBhAGMAaABpAG4AZwBaAG8AbgBlAEYAcgBhAGMAVwBFAFQATABvAG8AawB1AHAAXABuACAAIAAgACAAIAAgACAAIAApACwAXABuACAAIAAgACAAIAAgACAAIABQAHIAbwBkAHUAYwB0AGkAbwBuAFMAeQBzAHQAZQBtAEYAcgBhAGMAVwBFAFQALAAgAFwAbgAgACAAIAAgACAAIAAgACAAQwBvAG0AbQBvAG4AXwBJAG4AcAB1AHQARgB1AG4AYwB0AGkAbwBuAHMALgBVAHQAaQBsAGkAdAB5AF8ATABvAG8AawB1AHAAVgBhAGwAdQBlAEkAbgBUAGEAYgBsAGUATgB1AG0AYgBlAHIAKABcAG4AIAAgACAAIAAgACAAIAAgACAAIAAgACAAUAByAG8AZAB1AGMAdABpAG8AbgBTAHkAcwB0AGUAbQAsAFAAcgBvAGQAdQBjAHQAaQBvAG4AUwB5AHMAdABlAG0ATABvAG8AawB1AHAALABQAHIAbwBkAHUAYwB0AGkAbwBuAFMAeQBzAHQAZQBtAEYAcgBhAGMAVwBFAFQATABvAG8AawB1AHAAXABuACAAIAAgACAAIAAgACAAIAApACwAXABuACAAIAAgACAAIAAgACAAIABJAEYAKABMAGUAYQBjAGgAaQBuAGcAWgBvAG4AZQBGAHIAYQBjAFcARQBUACAAKwAgAFAAcgBvAGQAdQBjAHQAaQBvAG4AUwB5AHMAdABlAG0ARgByAGEAYwBXAEUAVABcAHUAMAAwADMAZQAwACwAIAAxACwAIAAwACkAXABuACAAIAAgACAAKQApADsAXABuAFwAbgBcAG4AVQB0AGkAbABpAHQAeQBfAEMAbwBuAHYAZQByAHQAUwB0AGEAdABlAEMAbwBtAG0AbwBuAE4AYQBtAGUAVABvAEEAYgBiAHIAZQB2AGkAYQB0AGkAbwBuAFwAbgA9AEwAQQBNAEIARABBACgAXABuACAAIAAgACAAUwB0AGEAdABlAEMAbwBtAG0AbwBuAE4AYQBtAGUALABcAG4AIAAgACAAIABTAHQAYQB0AGUAQwBvAG0AbQBvAG4ATgBhAG0AZQBBAHIAcgBhAHkALAAgAFMAdABhAHQAZQBBAGIAYgByAGUAdgBpAGEAdABpAG8AbgBBAHIAcgBhAHkALABcAG4AIAAgACAAIABYAEwATwBPAEsAVQBQACgAUwB0AGEAdABlAEMAbwBtAG0AbwBuAE4AYQBtAGUALAAgAFMAdABhAHQAZQBDAG8AbQBtAG8AbgBOAGEAbQBlAEEAcgByAGEAeQAsACAAUwB0AGEAdABlAEEAYgBiAHIAZQB2AGkAYQB0AGkAbwBuAEEAcgByAGEAeQAsACAAXAAiAFwAIgApAFwAbgApADsAXABuAFwAbgBVAHQAaQBsAGkAdAB5AF8AUwBvAHUAcgBjAGUASAB5AHAAZQByAGwAaQBuAGs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HUAMAAwADIANwBcACIAIABcAHUAMAAwADIANgAgAHMAaAAgAFwAdQAwADAAMgA2ACAAXAAiAFwAdQAwADAAMgA3ACEAXAAiACAAXAB1ADAAMAAyADYAIABhAGQAZAByAFwAbgAgACAAKQBcAG4AKQA7AFwAbgBcAG4AVQB0AGkAbABpAHQAeQBfAFMAbwB1AHIAYwBlAEgAeQBwAGUAcgBsAGkAbgBrAEQAaQBmAGYAZQByAGUAbgB0AFMAaABlAGUAdA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FwAIgAgAFwAdQAwADAAMgA2ACAAYQBkAGQAcgBcAG4AIAAgACkAXABuACkAOwBcAG4AXABuAFUAdABpAGwAaQB0AHkAXwBEAGkAcwBwAGwAYQB5AEEAcgBnAHUAbQBlAG4AdABzAF8AMQBfADIAXABuAD0ATABBAE0AQgBEAEEAKABcAG4AIAAgACAAIABBAHIAZwB1AG0AZQBuAHQAcwBBAHIAcgBhAHkALABcAG4AIAAgACAAIABDAEgATwBPAFMARQBDAE8ATABTACgAQQByAGcAdQBtAGUAbgB0AHMAQQByAHIAYQB5ACwAIAAxACwAIAAyACkAXABuACkAOwBcAG4AXABuAFUAdABpAGwAaQB0AHkAXwBEAGkAcwBwAGwAYQB5AEEAcgBnAHUAbQBlAG4AdABzAF8AMwBfADQAXABuAD0ATABBAE0AQgBEAEEAKABcAG4AIAAgACAAIABBAHIAZwB1AG0AZQBuAHQAcwBBAHIAcgBhAHkALABcAG4AIAAgACAAIABDAEgATwBPAFMARQBDAE8ATABTACgAQQByAGcAdQBtAGUAbgB0AHMAQQByAHIAYQB5ACwAIAAzACwAIAA0ACkAXABuACkAOwBcAG4AXABuAEMAbwBtAG0AbwBuAF8ARwBlAHQATQBDAEYAVABlAG0AcABlAHIAYQB0AHUAcgBlAFoAbwBuAGUAXABuAD0ATABBAE0AQgBEAEEAKABcAG4AIAAgACAAIABUAGUAbQBwAGUAcgBhAHQAdQByAGUALAAgAE0ATQBTACwAIABUAGUAbQBwAGUAcgBhAHQAdQByAGUAQQByAHIAYQB5ACwAIABNAE0AUwBBAHIAcgBhAHkALAAgAFIAZQB0AHUAcgBuAEEAcgByAGEAeQAsAFwAbgAgACAAIAAgAFgATABPAE8ASwBVAFAAKABcAG4AIAAgACAAIAAgACAAIAAgAE0ARQBEAEkAQQBOACgAXABuACAAIAAgACAAIAAgACAAIAAgACAAIAAgAFIATwBVAE4ARAAoAFQAZQBtAHAAZQByAGEAdAB1AHIAZQAsACAAMAApACwAIABcAG4AIAAgACAAIAAgACAAIAAgACAAIAAgACAATQBJAE4AKABUAGUAbQBwAGUAcgBhAHQAdQByAGUAQQByAHIAYQB5ACkALAAgAFwAbgAgACAAIAAgACAAIAAgACAAIAAgACAAIABNAEEAWAAoAFQAZQBtAHAAZQByAGEAdAB1AHIAZQBBAHIAcgBhAHkAKQBcAG4AIAAgACAAIAAgACAAIAAgACkALABcAG4AIAAgACAAIAAgACAAIAAgAFQAZQBtAHAAZQByAGEAdAB1AHIAZQBBAHIAcgBhAHkALABcAG4AIAAgACAAIAAgACAAIAAgAFgATABPAE8ASwBVAFAAKABNAE0AUwAsACAATQBNAFMAQQByAHIAYQB5ACwAIABSAGUAdAB1AHIAbgBBAHIAcgBhAHkAKQBcAG4AIAAgACAAIAApAFwAbgApADsAXABuAFwAbgBcAG4AVQB0AGkAbABpAHQAeQBfAFIAZQBzAHUAbAB0AHMASQB0AGUAbQBGAHIAbwBtAEUAcQB1AGEAdABpAG8AbgBUAGkAdABsAGUAQQBuAGQAUwBvAHUAcgBjAGUAXABuAD0ATABBAE0AQgBEAEEAKABcAG4AIAAgACAAIABUAGkAdABsAGUAQwBlAGwAbAAsACAAUwBvAHUAcgBjAGUAQwBlAGwAbAAsAFwAbgAgACAAIAAgAFMAVQBCAFMAVABJAFQAVQBUAEUAKABMAEUARgBUACgAUwBvAHUAcgBjAGUAQwBlAGwAbAAsACAARgBJAE4ARAAoAFwAIgAsAFwAIgAsACAAUwBvAHUAcgBjAGUAQwBlAGwAbAApACAALQAxACkALAAgAFwAIgBWAEUARQBSAEcAIAAyADAAMgA2ADoAIABcACIALAAgAFwAIgBcACIAKQAgAFwAdQAwADAAMgA2ACAAXAAiACAAXAAiACAAXAB1ADAAMAAyADYAIABUAGkAdABsAGUAQwBlAGwAbABcAG4AKQA7ACIAfQAsAHsAIgBwAGEAdABoACIAOgAiAC8AcAByAG8AagBlAGMAdABzAC8AQwBvAG0AbQBvAG4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ZQBuAHQAZQByAHAAcgBpAHMAZQAgAHQAeQBwAGUAcwBcAG4ARQB4AGMAZQBsACAAbQBvAGQAdQBsAGUAIABuAGEAbQBlADoAIABDAG8AbQBtAG8AbgBfAFMAbwB1AHIAYwBlAEQAYQB0AGE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EMAbwBtAG0AbwBuAF8AUwBvAHUAcgBjAGUARABhAHQAYQBfAEQAZQBuAHMAaQB0AHkATwBmAE0AZQB0AGgAYQBuAGUAXABuAHAAIAA9ACAAZABlAG4AcwBpAHQAeQAgAG8AZgAgAG0AZQB0AGgAYQBuAGUAIAAoADAALgA2ADcAOAA0ACAAawBnAC8AbQAzACkAXABuAFQAYQBrAGUAbgAgAGYAcgBvAG0AIAB0AGgAZQAgAE4AYQB0AGkAbwBuAGEAbAAgAEcAcgBlAGUAbgBoAG8AdQBzAGUAIABhAG4AZAAgAEUAbgBlAHIAZwB5ACAAUgBlAHAAbwByAHQAaQBuAGcAIABcAG4AKABNAGUAYQBzAHUAcgBlAG0AZQBuAHQAKQAgAEQAZQB0AGUAcgBtAGkAbgBhAHQAaQBvAG4AIAAyADAAMAA4AFwAbgAtAC0ALQAtAC0ALQAtAC0ALQAtAC0ALQAtAC0ALQAtAC0ALQAtAC0ALQAtAC0ALQAtAC0ALQAtAC0ALQAtAC0ALQAtAC0ALQAtAC0AXABuACoALwBcAG4AXABuAEMAbwBtAG0AbwBuAF8AUwBvAHUAcgBjAGUARABhAHQAYQBfAEQAZQBuAHMAaQB0AHkATwBmAE0AZQB0AGgAYQBuAGUAXwBUAGkAdABsAGUAXABuACAAIAA9AEwAQQBNAEIARABBACgAXAAiAHAAIAA9ACAAZABlAG4AcwBpAHQAeQAgAG8AZgAgAG0AZQB0AGgAYQBuAGUAXAAiACkAOwBcAG4AXABuAEMAbwBtAG0AbwBuAF8AUwBvAHUAcgBjAGUARABhAHQAYQBfAEQAZQBuAHMAaQB0AHkATwBmAE0AZQB0AGgAYQBuAGUAXwBVAG4AaQB0AFwAbgAgACAAPQBMAEEATQBCAEQAQQAoAFwAIgBrAGcALwBtADMAXAAiACkAOwBcAG4AXABuAEMAbwBtAG0AbwBuAF8AUwBvAHUAcgBjAGUARABhAHQAYQBfAEQAZQBuAHMAaQB0AHkATwBmAE0AZQB0AGgAYQBuAGUAXwBTAG8AdQByAGMAZQBcAG4AIAAgAD0ATABBAE0AQgBEAEEAKABcACIATgBhAHQAaQBvAG4AYQBsACAASQBuAHYAZQBuAHQAbwByAHkAIABSAGUAcABvAHIAdAAgADIAMAAyADMAIABWAG8AbAB1AG0AZQAgADEAOgAgAEUAcQB1AGEAdABpAG8AbgBzACAAMwAuAEIALgAxAGEAXwAyACwAIAAzAC4AQgAuADEAYwBfADIALAAgADMALgBCAC4AMwBfADEALAAgADMALgBCAC4ANABnAF8AMgBcACIAKQA7AFwAbgBcAG4AQwBvAG0AbQBvAG4AXwBTAG8AdQByAGMAZQBEAGEAdABhAF8ARABlAG4AcwBpAHQAeQBPAGYATQBlAHQAaABhAG4AZQBfAEQAYQB0AGEAXABuACAAIAA9AEwAQQBNAEIARABBACgAMAAuADYANwA4ADQAKQA7AFwAbgBcAG4ALwAqACAAXABuAC0ALQAtAC0ALQAtAC0ALQAtAC0ALQAtAC0ALQAtAC0ALQAtAC0ALQAtAC0ALQAtAC0ALQAtAC0ALQAtAC0ALQAtAC0ALQAtAC0ALQBcAG4AQwBvAG0AbQBvAG4AXwBTAG8AdQByAGMAZQBEAGEAdABhAF8AQwBvAG4AdgBlAHIAdABOADIAbwBFAGwAZQBtAGUAbgB0AGEAbABUAG8ATQBvAGwAZQBjAHUAbABhAHIAQwBnAFwAbgBDAGcAIAA9ACAANAA0AC8AMgA4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QwBvAG0AbQBvAG4AXwBTAG8AdQByAGMAZQBEAGEAdABhAF8AQwBvAG4AdgBlAHIAdABOADIAbwBFAGwAZQBtAGUAbgB0AGEAbABUAG8ATQBvAGwAZQBjAHUAbABhAHIAQwBnAF8AVABpAHQAbABlAFwAbgAgACAAPQBMAEEATQBCAEQAQQAoAFwAIgBGAGEAYwB0AG8AcgAgAHQAbwAgAGMAbwBuAHYAZQByAHQAIABlAGwAZQBtAGUAbgB0AGEAbAAgAG0AYQBzAHMAIABvAGYAIABOADIATwAgAHQAbwAgAG0AbwBsAGUAYwB1AGwAYQByACAAbQBhAHMAcwBcACIAKQA7AFwAbgBcAG4AQwBvAG0AbQBvAG4AXwBTAG8AdQByAGMAZQBEAGEAdABhAF8AQwBvAG4AdgBlAHIAdABOADIAbwBFAGwAZQBtAGUAbgB0AGEAbABUAG8ATQBvAGwAZQBjAHUAbABhAHIAQwBnAF8AVgBhAHIAaQBhAGIAbABlAFwAbgAgACAAPQBMAEEATQBCAEQAQQAoAFwAIgBDAGcATgAyAE8AXAAiACkAOwBcAG4AXABuAEMAbwBtAG0AbwBuAF8AUwBvAHUAcgBjAGUARABhAHQAYQBfAEMAbwBuAHYAZQByAHQATgAyAG8ARQBsAGUAbQBlAG4AdABhAGwAVABvAE0AbwBsAGUAYwB1AGwAYQByAEMAZwBfAFUAbgBpAHQAXABuACAAIAA9AEwAQQBNAEIARABBACgAXAAiAGYAYQBjAHQAbwByAFwAIgApADsAXABuAFwAbgBDAG8AbQBtAG8AbgBfAFMAbwB1AHIAYwBlAEQAYQB0AGEAXwBDAG8AbgB2AGUAcgB0AE4AMgBvAEUAbABlAG0AZQBuAHQAYQBsAFQAbwBNAG8AbABlAGMAdQBsAGEAcgBDAGcAXwBTAG8AdQByAGMAZQBcAG4AIAAgAD0ATABBAE0AQgBEAEEAKABcACIATgBhAHQAaQBvAG4AYQBsACAASQBuAHYAZQBuAHQAbwByAHkAIABSAGUAcABvAHIAdAAgADIAMAAyADMAIABWAG8AbAB1AG0AZQAgADEAXAAiACkAOwBcAG4AXABuAEMAbwBtAG0AbwBuAF8AUwBvAHUAcgBjAGUARABhAHQAYQBfAEMAbwBuAHYAZQByAHQATgAyAG8ARQBsAGUAbQBlAG4AdABhAGwAVABvAE0AbwBsAGUAYwB1AGwAYQByAEMAZwBfAEQAYQB0AGEAXABuACAAIAA9AEwAQQBNAEIARABBACgANAA0AC8AMgA4ACkAOwBcAG4AXABuAC8AKgAgAFwAbgAtAC0ALQAtAC0ALQAtAC0ALQAtAC0ALQAtAC0ALQAtAC0ALQAtAC0ALQAtAC0ALQAtAC0ALQAtAC0ALQAtAC0ALQAtAC0ALQAtAC0AXABuAEMAbwBtAG0AbwBuAF8AUwBvAHUAcgBjAGUARABhAHQAYQBfAEMAbwBuAHYAZQByAHQARwBhAHMARQBsAGUAbQBlAG4AdABhAGwAVABvAE0AbwBsAGUAYwB1AGwAYQByAFwAbgBGAGEAYwB0AG8AcgAgAHQAbwAgAGMAbwBuAHYAZQByAHQAIABlAGwAZQBtAGUAbgB0AGEAbAAgAG0AYQBzAHMAIABvAGYAIABnAGEAcwAgAHQAbwAgAG0AbwBsAGUAYwB1AGwAYQByACAAbQBhAHMAcwBcAG4ALQAtAC0ALQAtAC0ALQAtAC0ALQAtAC0ALQAtAC0ALQAtAC0ALQAtAC0ALQAtAC0ALQAtAC0ALQAtAC0ALQAtAC0ALQAtAC0ALQAtAFwAbgAqAC8AXABuAFwAbgBDAG8AbQBtAG8AbgBfAFMAbwB1AHIAYwBlAEQAYQB0AGEAXwBDAG8AbgB2AGUAcgB0AEcAYQBzAEUAbABlAG0AZQBuAHQAYQBsAFQAbwBNAG8AbABlAGMAdQBsAGEAcgBfAFQAaQB0AGwAZQBcAG4AIAAgAD0ATABBAE0AQgBEAEEAKABcACIARgBhAGMAdABvAHIAIAB0AG8AIABjAG8AbgB2AGUAcgB0ACAAZQBsAGUAbQBlAG4AdABhAGwAIABtAGEAcwBzACAAbwBmACAAZwBhAHMAIAB0AG8AIABtAG8AbABlAGMAdQBsAGEAcgAgAG0AYQBzAHMAXAAiACkAOwBcAG4AXABuAEMAbwBtAG0AbwBuAF8AUwBvAHUAcgBjAGUARABhAHQAYQBfAEMAbwBuAHYAZQByAHQARwBhAHMARQBsAGUAbQBlAG4AdABhAGwAVABvAE0AbwBsAGUAYwB1AGwAYQByAF8AVgBhAHIAaQBhAGIAbABlAFwAbgAgACAAPQBMAEEATQBCAEQAQQAoAFwAIgBDAGcAXAAiACkAOwBcAG4AXABuAEMAbwBtAG0AbwBuAF8AUwBvAHUAcgBjAGUARABhAHQAYQBfAEMAbwBuAHYAZQByAHQARwBhAHMARQBsAGUAbQBlAG4AdABhAGwAVABvAE0AbwBsAGUAYwB1AGwAYQByAF8AVQBuAGkAdABcAG4AIAAgAD0ATABBAE0AQgBEAEEAKABcACIAZgBhAGMAdABvAHIAXAAiACkAOwBcAG4AXABuAEMAbwBtAG0AbwBuAF8AUwBvAHUAcgBjAGUARABhAHQAYQBfAEMAbwBuAHYAZQByAHQARwBhAHMARQBsAGUAbQBlAG4AdABhAGwAVABvAE0AbwBsAGUAYwB1AGwAYQByAF8AUwBvAHUAcgBjAGUAXABuACAAIAA9AEwAQQBNAEIARABBACgAXAAiAFgAWABYAFgAWABYAFgAXAAiACkAOwBcAG4AXABuAEMAbwBtAG0AbwBuAF8AUwBvAHUAcgBjAGUARABhAHQAYQBfAEMAbwBuAHYAZQByAHQARwBhAHMARQBsAGUAbQBlAG4AdABhAGwAVABvAE0AbwBsAGUAYwB1AGwAYQByAF8ARABhAHQAYQBcAG4AIAAgAD0ATABBAE0AQgBEAEEAKABcAG4AIAAgACAAIABNAEEASwBFAEEAUgBSAEEAWQAoADgALAAgADQALAAgAFwAbgAgACAAIAAgACAAIABMAEEATQBCAEQAQQAoAHIALABjACwAIABcAG4AIAAgACAAIAAgACAAIAAgAEkATgBEAEUAWAAoAHsAXABuACAAIAAgACAAIAAgACAAIAAgACAAXAAiAEcAYQBzAFwAIgAsACAAXAAiAEMAbwBuAHYAZQByAHMAaQBvAG4AIABmAGEAYwB0AG8AcgBcACIALAAgAFwAIgBDAG8AbgB2AGUAcgBzAGkAbwBuACAAZgBhAGMAdABvAHIAIAAxAFwAIgAsACAAXAAiAEMAbwBuAHYAZQByAHMAaQBvAG4AIABmAGEAYwB0AG8AcgAgADIAXAAiADsAXABuACAAIAAgACAAIAAgACAAIAAgACAAXAAiAEMATwAyAFwAIgAsACAAXAAiADQANAAvADEAMgBcACIALAAgADQANAAsACAAMQAyADsAXABuACAAIAAgACAAIAAgACAAIAAgACAAXAAiAEMASAA0AFwAIgAsACAAXAAiADEANgAvADEAMgBcACIALAAgADEANgAsACAAMQAyADsAXABuACAAIAAgACAAIAAgACAAIAAgACAAXAAiAE4AMgBPAFwAIgAsACAAXAAiADQANAAvADIAOABcACIALAAgADQANAAsACAAMgA4ADsAXABuACAAIAAgACAAIAAgACAAIAAgACAAXAAiAE4AbwB4AFwAIgAsACAAXAAiADQANgAvADEANABcACIALAAgADQANgAsACAAMQA0ADsAXABuACAAIAAgACAAIAAgACAAIAAgACAAXAAiAEMATwBcACIALAAgAFwAIgAyADgALwAxADIAXAAiACwAIAAyADgALAAgADEAMgA7AFwAbgAgACAAIAAgACAAIAAgACAAIAAgAFwAIgBDAE8AMgAgAEwAaQBtAGUAXAAiACwAIABcACIANAA0AC8AMQAyAFwAIgAsACAANAA0ACwAIAAxADIAOwBcAG4AIAAgACAAIAAgACAAIAAgACAAIABcACIATgBNAFYATwBDAFwAIgAsACAAXAAiADEANAAvADEAMgBcACIALAAgADEANAAsACAAMQAy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HAFcAUABOADIATwBcAG4ARwBsAG8AYgBhAGwAIAB3AGEAcgBtAGkAbgBnACAAcABvAHQAZQBuAHQAaQBhAGwAIABmAG8AcgAgAGcAcgBlAGUAbgBoAG8AdQBzAGUAIABnAGEAcwBlAHMAXABuAC0ALQAtAC0ALQAtAC0ALQAtAC0ALQAtAC0ALQAtAC0ALQAtAC0ALQAtAC0ALQAtAC0ALQAtAC0ALQAtAC0ALQAtAC0ALQAtAC0ALQBcAG4AKgAvAFwAbgBcAG4AQwBvAG0AbQBvAG4AXwBTAG8AdQByAGMAZQBEAGEAdABhAF8ARwBXAFAAXwBUAGkAdABsAGUAXABuACAAIAA9AEwAQQBNAEIARABBACgAXAAiAEcAbABvAGIAYQBsACAAdwBhAHIAbQBpAG4AZwAgAHAAbwB0AGUAbgB0AGkAYQBsACAAZgBvAHIAIABnAHIAZQBlAG4AaABvAHUAcwBlACAAZwBhAHMAZQBzAFwAIgApADsAXABuAFwAbgBDAG8AbQBtAG8AbgBfAFMAbwB1AHIAYwBlAEQAYQB0AGEAXwBHAFcAUABfAFYAYQByAGkAYQBiAGwAZQBcAG4AIAAgAD0ATABBAE0AQgBEAEEAKABcACIARwBXAFAATgAyAE8AXAAiACkAOwBcAG4AXABuAEMAbwBtAG0AbwBuAF8AUwBvAHUAcgBjAGUARABhAHQAYQBfAEcAVwBQAF8AVQBuAGkAdABcAG4AIAAgAD0ATABBAE0AQgBEAEEAKABcACIAZgBhAGMAdABvAHIAXAAiACkAOwBcAG4AXABuAEMAbwBtAG0AbwBuAF8AUwBvAHUAcgBjAGUARABhAHQAYQBfAEcAVwBQAF8AUwBvAHUAcgBjAGUAXABuACAAIAA9AEwAQQBNAEIARABBACgAXAAiAFgAWABYAFgAWABYAFgAXAAiACkAOwBcAG4AXABuAEMAbwBtAG0AbwBuAF8AUwBvAHUAcgBjAGUARABhAHQAYQBfAEcAVwBQAF8ARABhAHQAYQBcAG4AIAAgAD0ATABBAE0AQgBEAEEAKABcAG4AIAAgACAAIABNAEEASwBFAEEAUgBSAEEAWQAoADgALAAgADIALAAgAFwAbgAgACAAIAAgACAAIABMAEEATQBCAEQAQQAoAHIALABjACwAIABcAG4AIAAgACAAIAAgACAAIAAgAEkATgBEAEUAWAAoAHsAXABuACAAIAAgACAAIAAgACAAIAAgACAAXAAiAEcAYQBzAFwAIgAsACAAXAAiAEMATwAyAC0AZQAgAGYAYQBjAHQAbwByAFwAIgA7AFwAbgAgACAAIAAgACAAIAAgACAAIAAgAFwAIgBDAE8AMgBcACIALAAgADEAOwBcAG4AIAAgACAAIAAgACAAIAAgACAAIABcACIAQwBIADQAXAAiACwAIAAyADgAOwBcAG4AIAAgACAAIAAgACAAIAAgACAAIABcACIATgAyAE8AXAAiACwAIAAyADYANQA7AFwAbgAgACAAIAAgACAAIAAgACAAIAAgAFwAIgBDAEYANABcACIALAAgADYANgAzADAAOwBcAG4AIAAgACAAIAAgACAAIAAgACAAIABcACIAQwAyAEYANgBcACIALAAgADEAMgAyADAAMAA7AFwAbgAgACAAIAAgACAAIAAgACAAIAAgAFwAIgBTAEYANgBcACIALAAgADIAMgA4ADAAMAA7AFwAbgAgACAAIAAgACAAIAAgACAAIAAgAFwAIgBOAEYAMwBcACIALAAgADEANwAyADAAMA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EAdQBzAHQAcgBhAGwAaQBhAG4AUwB0AGEAdABlAHMAVABlAHIAcgBpAHQAbwByAGkAZQBzAFwAbgAtAC0ALQAtAC0ALQAtAC0ALQAtAC0ALQAtAC0ALQAtAC0ALQAtAC0ALQAtAC0ALQAtAC0ALQAtAC0ALQAtAC0ALQAtAC0ALQAtAC0AXABuACoALwBcAG4AXABuAEMAbwBtAG0AbwBuAF8AUwBvAHUAcgBjAGUARABhAHQAYQBfAEEAdQBzAHQAcgBhAGwAaQBhAG4AUwB0AGEAdABlAHMAVABlAHIAcgBpAHQAbwByAGkAZQBzAF8AVABpAHQAbABlAFwAbgAgACAAPQBMAEEATQBCAEQAQQAoAFwAIgBBAHUAcwB0AHIAYQBsAGkAYQBuACAAcwB0AGEAdABlAHMAIABhAG4AZAAgAHQAZQByAHIAaQB0AG8AcgBpAGUAcwBcACIAKQA7AFwAbgBcAG4AQwBvAG0AbQBvAG4AXwBTAG8AdQByAGMAZQBEAGEAdABhAF8AQQB1AHMAdAByAGEAbABpAGEAbgBTAHQAYQB0AGUAcwBUAGUAcgByAGkAdABvAHIAaQBlAHMAXwBWAGEAcgBpAGEAYgBsAGUAXABuACAAIAA9AEwAQQBNAEIARABBACgAXAAiAFwAIgApADsAXABuAFwAbgBDAG8AbQBtAG8AbgBfAFMAbwB1AHIAYwBlAEQAYQB0AGEAXwBBAHUAcwB0AHIAYQBsAGkAYQBuAFMAdABhAHQAZQBzAFQAZQByAHIAaQB0AG8AcgBpAGUAcwBfAFUAbgBpAHQAXABuACAAIAA9AEwAQQBNAEIARABBACgAXAAiAFwAIgApADsAXABuAFwAbgBDAG8AbQBtAG8AbgBfAFMAbwB1AHIAYwBlAEQAYQB0AGEAXwBBAHUAcwB0AHIAYQBsAGkAYQBuAFMAdABhAHQAZQBzAFQAZQByAHIAaQB0AG8AcgBpAGUAcwBfAFMAbwB1AHIAYwBlAFwAbgAgACAAPQBMAEEATQBCAEQAQQAoAFwAIgBcACIAKQA7AFwAbgBcAG4AQwBvAG0AbQBvAG4AXwBTAG8AdQByAGMAZQBEAGEAdABhAF8AQQB1AHMAdAByAGEAbABpAGEAbgBTAHQAYQB0AGUAcwBUAGUAcgByAGkAdABvAHIAaQBlAHMAXwBEAGEAdABhAFwAbgAgACAAIAA9AEwAQQBNAEIARABBACgAXABuACAAIAAgACAATQBBAEsARQBBAFIAUgBBAFkAKAA5ACwAIAAzACwAIABcAG4AIAAgACAAIAAgACAATABBAE0AQgBEAEEAKAByACwAYwAsACAAXABuACAAIAAgACAAIAAgACAAIABJAE4ARABFAFgAKAB7AFwAbgAgACAAIAAgACAAIAAgACAAIAAgAFwAIgBTAHQAYQB0AGUALwBUAGUAcgByAGkAdABvAHIAeQBcACIALAAgAFwAIgBDAG8AbQBtAG8AbgAgAE4AYQBtAGUAXAAiACwAIABcACIAQQBiAGIAcgBlAHYAaQBhAHQAaQBvAG4AXAAiADsAXABuACAAIAAgACAAIAAgACAAIAAgACAAXAAiAE4AZQB3ACAAUwBvAHUAdABoACAAVwBhAGwAZQBzAFwAIgAsACAAXAAiAE4AZQB3ACAAUwBvAHUAdABoACAAVwBhAGwAZQBzAFwAIgAsACAAXAAiAE4AUwBXAFwAIgA7AFwAbgAgACAAIAAgACAAIAAgACAAIAAgAFwAIgBBAHUAcwB0AHIAYQBsAGkAYQBuACAAQwBhAHAAaQB0AGEAbAAgAFQAZQByAHIAaQB0AG8AcgB5AFwAIgAsACAAXAAiAEEAQwBUAFwAIgAsACAAXAAiAEEAQwBUAFwAIgA7AFwAbgAgACAAIAAgACAAIAAgACAAIAAgAFwAIgBWAGkAYwB0AG8AcgBpAGEAXAAiACwAIABcACIAVgBpAGMAdABvAHIAaQBhAFwAIgAsACAAXAAiAFYASQBDAFwAIgA7AFwAbgAgACAAIAAgACAAIAAgACAAIAAgAFwAIgBRAHUAZQBlAG4AcwBsAGEAbgBkAFwAIgAsACAAXAAiAFEAdQBlAGUAbgBzAGwAYQBuAGQAXAAiACwAIABcACIAUQBMAEQAXAAiADsAXABuACAAIAAgACAAIAAgACAAIAAgACAAXAAiAFMAbwB1AHQAaAAgAEEAdQBzAHQAcgBhAGwAaQBhAFwAIgAsACAAXAAiAFMAbwB1AHQAaAAgAEEAdQBzAHQAcgBhAGwAaQBhAFwAIgAsACAAXAAiAFMAQQBcACIAOwBcAG4AIAAgACAAIAAgACAAIAAgACAAIABcACIAVwBlAHMAdABlAHIAbgAgAEEAdQBzAHQAcgBhAGwAaQBhAFwAIgAsACAAXAAiAFcAZQBzAHQAZQByAG4AIABBAHUAcwB0AHIAYQBsAGkAYQBcACIALAAgAFwAIgBXAEEAXAAiADsAXABuACAAIAAgACAAIAAgACAAIAAgACAAXAAiAFQAYQBzAG0AYQBuAGkAYQBcACIALAAgAFwAIgBUAGEAcwBtAGEAbgBpAGEAXAAiACwAIABcACIAVABBAFMAXAAiADsAXABuACAAIAAgACAAIAAgACAAIAAgACAAXAAiAE4AbwByAHQAaABlAHIAbgAgAFQAZQByAHIAaQB0AG8AcgB5AFwAIgAsACAAXAAiAE4AbwByAHQAaABlAHIAbgAgAFQAZQByAHIAaQB0AG8AcgB5AFwAIgAsACAAXAAiAE4AVA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QQBTAEEANABBAHIAZQBhAHMAXABuAC0ALQAtAC0ALQAtAC0ALQAtAC0ALQAtAC0ALQAtAC0ALQAtAC0ALQAtAC0ALQAtAC0ALQAtAC0ALQAtAC0ALQAtAC0ALQAtAC0ALQBcAG4AKgAvAFwAbgBcAG4AQwBvAG0AbQBvAG4AXwBTAG8AdQByAGMAZQBEAGEAdABhAF8AVwBBAFMAQQA0AEEAcgBlAGEAcwBfAFQAaQB0AGwAZQBcAG4AIAAgAD0ATABBAE0AQgBEAEEAKABcACIAQQBCAFMAIABTAHQAYQB0AGkAcwB0AGMAYQBsACAAQQByAGUAYQBzACAATABlAHYAZQBsACAANAAgAC0AIABXAGUAcwB0AGUAcgBuACAAQQB1AHMAdAByAGEAbABpAGEAXAAiACkAOwBcAG4AXABuAEMAbwBtAG0AbwBuAF8AUwBvAHUAcgBjAGUARABhAHQAYQBfAFcAQQBTAEEANABBAHIAZQBhAHMAXwBWAGEAcgBpAGEAYgBsAGUAXABuACAAIAA9AEwAQQBNAEIARABBACgAXAAiAFwAIgApADsAXABuAFwAbgBDAG8AbQBtAG8AbgBfAFMAbwB1AHIAYwBlAEQAYQB0AGEAXwBXAEEAUwBBADQAQQByAGUAYQBzAF8AVQBuAGkAdABcAG4AIAAgAD0ATABBAE0AQgBEAEEAKABcACIAXAAiACkAOwBcAG4AXABuAEMAbwBtAG0AbwBuAF8AUwBvAHUAcgBjAGUARABhAHQAYQBfAFcAQQBTAEEANABBAHIAZQBhAHMAXwBTAG8AdQByAGMAZQBcAG4AIAAgAD0ATABBAE0AQgBEAEEAKABcACIAQQB1AHMAdAByAGEAbABpAGEAbgAgAEIAdQByAGUAYQB1ACAAbwBmACAAUwB0AGEAdABpAHMAdABpAGMAcwAgACgAQQBCAFMAKQAgAC0AIABTAHQAYQB0AGkAcwB0AGkAYwBhAGwAIABBAHIAZQBhAHMAIABMAGUAdgBlAGwAIAAyACAALQAgADIAMAAyADEAIAAtACAAUwBoAGEAcABlAGYAaQBsAGUAXAAiACkAOwBcAG4AXABuAEMAbwBtAG0AbwBuAF8AUwBvAHUAcgBjAGUARABhAHQAYQBfAFcAQQBTAEEANABBAHIAZQBhAHMAXwBEAGEAdABhAFwAbgAgACAAIAA9AEwAQQBNAEIARABBACgAXABuACAAIAAgACAATQBBAEsARQBBAFIAUgBBAFkAKAAxADEALAAgADEALAAgAFwAbgAgACAAIAAgACAAIABMAEEATQBCAEQAQQAoAHIALABjACwAIABcAG4AIAAgACAAIAAgACAAIAAgAEkATgBEAEUAWAAoAHsAXABuACAAIAAgACAAIAAgACAAIAAgACAAXAAiAFMAQQAgADQAIABOAGEAbQBlAFwAIgA7AFwAbgAgACAAIAAgACAAIAAgACAAIAAgAFwAIgBCAHUAbgBiAHUAcgB5AFwAIgA7AFwAbgAgACAAIAAgACAAIAAgACAAIAAgAFwAIgBNAGEAbgBkAHUAcgBhAGgAXAAiADsAXABuACAAIAAgACAAIAAgACAAIAAgACAAXAAiAFAAZQByAHQAaAAgAC0AIABJAG4AbgBlAHIAXAAiADsAXABuACAAIAAgACAAIAAgACAAIAAgACAAXAAiAFAAZQByAHQAaAAgAC0AIABOAG8AcgB0AGgAIABFAGEAcwB0AFwAIgA7AFwAbgAgACAAIAAgACAAIAAgACAAIAAgAFwAIgBQAGUAcgB0AGgAIAAtACAATgBvAHIAdABoACAAVwBlAHMAdABcACIAOwBcAG4AIAAgACAAIAAgACAAIAAgACAAIABcACIAUABlAHIAdABoACAALQAgAFMAbwB1AHQAaAAgAEUAYQBzAHQAXAAiADsAXABuACAAIAAgACAAIAAgACAAIAAgACAAXAAiAFAAZQByAHQAaAAgAC0AIABTAG8AdQB0AGgAIABXAGUAcwB0AFwAIgA7AFwAbgAgACAAIAAgACAAIAAgACAAIAAgAFwAIgBXAGUAcwB0AGUAcgBuACAAQQB1AHMAdAByAGEAbABpAGEAIAAtACAAVwBoAGUAYQB0ACAAQgBlAGwAdABcACIAOwBcAG4AIAAgACAAIAAgACAAIAAgACAAIABcACIAVwBlAHMAdABlAHIAbgAgAEEAdQBzAHQAcgBhAGwAaQBhACAALQAgAE8AdQB0AGIAYQBjAGsAIAAoAE4AbwByAHQAaAApAFwAIgA7AFwAbgAgACAAIAAgACAAIAAgACAAIAAgAFwAIgBXAGUAcwB0AGUAcgBuACAAQQB1AHMAdAByAGEAbABpAGEAIAAtACAATwB1AHQAYgBhAGMAawAgACgAUwBvAHUAdABoACk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XAGUAdABBAG4AZABEAHIAeQBaAG8AbgBlAHMAXABuAC0ALQAtAC0ALQAtAC0ALQAtAC0ALQAtAC0ALQAtAC0ALQAtAC0ALQAtAC0ALQAtAC0ALQAtAC0ALQAtAC0ALQAtAC0ALQAtAC0ALQBcAG4AKgAvAFwAbgBcAG4AQwBvAG0AbQBvAG4AXwBTAG8AdQByAGMAZQBEAGEAdABhAF8AVwBlAHQAQQBuAGQARAByAHkAWgBvAG4AZQBzAF8AVABpAHQAbABlAFwAbgAgACAAPQBMAEEATQBCAEQAQQAoAFwAIgBWAEUARQBSAEcAIABBAHUAcwB0AHIAYQBsAGkAYQBuACAAdwBlAHQAIABhAG4AZAAgAGQAcgB5ACAAegBvAG4AZQBzAFwAIgApADsAXABuAFwAbgBDAG8AbQBtAG8AbgBfAFMAbwB1AHIAYwBlAEQAYQB0AGEAXwBXAGUAdABBAG4AZABEAHIAeQBaAG8AbgBlAHMAXwBWAGEAcgBpAGEAYgBsAGUAXABuACAAIAA9AEwAQQBNAEIARABBACgAXAAiAFwAIgApADsAXABuAFwAbgBDAG8AbQBtAG8AbgBfAFMAbwB1AHIAYwBlAEQAYQB0AGEAXwBXAGUAdABBAG4AZABEAHIAeQBaAG8AbgBlAHMAXwBVAG4AaQB0AFwAbgAgACAAPQBMAEEATQBCAEQAQQAoAFwAIgBcACIAKQA7AFwAbgBcAG4AQwBvAG0AbQBvAG4AXwBTAG8AdQByAGMAZQBEAGEAdABhAF8AVwBlAHQAQQBuAGQARAByAHkAWgBvAG4AZQBzAF8AUwBvAHUAcgBjAGUAXABuACAAIAA9AEwAQQBNAEIARABBACgAXAAiAFYARQBFAFIARwAgADIAMAAyADYAOgAgAFQAYQBiAGwAZQAgADEALgAyADoAIABUAHIAYQBuAHMAbABhAHQAaQBuAGcAIABjAGwAaQBtAGEAdABlACAAegBvAG4AZQBzACAAdABvACAAdwBlAHQAIABhAG4AZAAgAGQAcgB5ACAAegBvAG4AZQBzAFwAIgApADsAXABuAFwAbgBDAG8AbQBtAG8AbgBfAFMAbwB1AHIAYwBlAEQAYQB0AGEAXwBXAGUAdABBAG4AZABEAHIAeQBaAG8AbgBlAHMAXwBWAGEAcgBpAGEAdABpAG8AbgBcAG4AIAAgACAAPQBMAEEATQBCAEQAQQAoAFwAbgAgACAAIAAgAE0AQQBLAEUAQQBSAFIAQQBZACgAMw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LQAgAEMAaABhAG4AZwBlAGQAIABcAHUAMAAwADIANwBGAHIAeQBcAHUAMAAwADIANwAgAHQAbwAgAFwAdQAwADAAMgA3AEQAcgB5AFwAdQAwADAAMgA3AC4AXAAiAFwAbgAgACAAIAAgACAAIAAgACAAfQAsACAAcgAsACAAYwApAFwAbgAgACAAIAAgACAAIAApAFwAbgAgACAAIAAgACkAXABuACAAIAApADsAXABuAFwAbgBDAG8AbQBtAG8AbgBfAFMAbwB1AHIAYwBlAEQAYQB0AGEAXwBXAGUAdABBAG4AZABEAHIAeQBaAG8AbgBlAHMAXwBEAGEAdABhAFwAbgAgACAAIAA9AEwAQQBNAEIARABBACgAXABuACAAIAAgACAATQBBAEsARQBBAFIAUgBBAFkAKAAxADUALAAgADIALAAgAFwAbgAgACAAIAAgACAAIABMAEEATQBCAEQAQQAoAHIALABjACwAIABcAG4AIAAgACAAIAAgACAAIAAgAEkATgBEAEUAWAAoAHsAXABuACAAIAAgACAAIAAgACAAIAAgACAAXAAiAEMAbABpAG0AYQB0AGUAIABaAG8AbgBlAFwAIgAsACAAXAAiAFcAZQB0ACAAbwByACAARAByAHkAIABaAG8AbgBlAFwAIgA7AFwAbgAgACAAIAAgACAAIAAgACAAIAAgAFwAIgBUAHIAbwBwAGkAYwBhAGwAIABtAG8AbgB0AGEAbgBlAFwAIgAsACAAXAAiAFcAZQB0ACAAYwBsAGkAbQBhAHQAZQAgAHoAbwBuAGUAXAAiADsAXABuACAAIAAgACAAIAAgACAAIAAgACAAXAAiAFQAcgBvAHAAaQBjAGEAbAAgAHcAZQB0AFwAIgAsACAAXAAiAFcAZQB0ACAAYwBsAGkAbQBhAHQAZQAgAHoAbwBuAGUAXAAiADsAXABuACAAIAAgACAAIAAgACAAIAAgACAAXAAiAFQAcgBvAHAAaQBjAGEAbAAgAG0AbwBpAHMAdABcACIALAAgAFwAIgBXAGUAdAAgAGMAbABpAG0AYQB0AGUAIAB6AG8AbgBlAFwAIgA7AFwAbgAgACAAIAAgACAAIAAgACAAIAAgAFwAIgBUAHIAbwBwAGkAYwBhAGwAIABkAHIAeQBcACIALAAgAFwAIgBEAHIAeQAgAGMAbABpAG0AYQB0AGUAIAB6AG8AbgBlAFwAIgA7AFwAbgAgACAAIAAgACAAIAAgACAAIAAgAFwAIgBXAGEAcgBtACAAdABlAG0AcABlAHIAYQB0AGUAIABtAG8AaQBzAHQAXAAiACwAIABcACIAVwBlAHQAIABjAGwAaQBtAGEAdABlACAAegBvAG4AZQBcACIAOwBcAG4AIAAgACAAIAAgACAAIAAgACAAIABcACIAVwBhAHIAbQAgAHQAZQBtAHAAZQByAGEAdABlACAAZAByAHkAXAAiACwAIABcACIARAByAHkAIABjAGwAaQBtAGEAdABlACAAegBvAG4AZQBcACIAOwBcAG4AIAAgACAAIAAgACAAIAAgACAAIABcACIAQwBvAG8AbAAgAHQAZQBtAHAAZQByAGEAdABlACAAbQBvAGkAcwB0AFwAIgAsACAAXAAiAFcAZQB0ACAAYwBsAGkAbQBhAHQAZQAgAHoAbwBuAGUAXAAiADsAXABuACAAIAAgACAAIAAgACAAIAAgACAAXAAiAEMAbwBvAGwAIAB0AGUAbQBwAGUAcgBhAHQAZQAgAGQAcgB5AFwAIgAsACAAXAAiAEQAcgB5ACAAYwBsAGkAbQBhAHQAZQAgAHoAbwBuAGUAXAAiADsAXABuACAAIAAgACAAIAAgACAAIAAgACAAXAAiAFcAYQByAG0AIAB0AGUAbQBwAGUAcgBhAHQAZQAgAG0AbwBpAHMAdAAgAC0AIABsAG8AdwAgAGYAcgBvAHMAdABcACIALAAgAFwAIgBXAGUAdAAgAGMAbABpAG0AYQB0AGUAIAB6AG8AbgBlAFwAIgA7AFwAbgAgACAAIAAgACAAIAAgACAAIAAgAFwAIgBXAGEAcgBtACAAdABlAG0AcABlAHIAYQB0AGUAIABkAHIAeQAgAC0AIABsAG8AdwAgAGYAcgBvAHMAdABcACIALAAgAFwAIgBEAHIAeQAgAGMAbABpAG0AYQB0AGUAIAB6AG8AbgBlAFwAIgA7AFwAbgAgACAAIAAgACAAIAAgACAAIAAgAFwAIgBXAGEAcgBtACAAdABlAG0AcABlAHIAYQB0AGUAIABtAG8AaQBzAHQAIAAtACAAaABpAGcAaAAgAHQAZQBtAHAAXAAiACwAIABcACIAVwBlAHQAIABjAGwAaQBtAGEAdABlACAAegBvAG4AZQBcACIAOwBcAG4AIAAgACAAIAAgACAAIAAgACAAIABcACIAVwBhAHIAbQAgAHQAZQBtAHAAZQByAGEAdABlACAAZAByAHkAIAAtACAAaABpAGcAaAAgAHQAZQBtAHAAXAAiACwAIABcACIARAByAHkAIABjAGwAaQBtAGEAdABlACAAegBvAG4AZQBcACIAOwBcAG4AIAAgACAAIAAgACAAIAAgACAAIABcACIAQwBvAG8AbAAgAHQAZQBtAHAAZQByAGEAdABlACAAbQBvAGkAcwB0ACAALQAgAGwAbwB3ACAAZgByAG8AcwB0AFwAIgAsACAAXAAiAFcAZQB0ACAAYwBsAGkAbQBhAHQAZQAgAHoAbwBuAGUAXAAiADsAXABuACAAIAAgACAAIAAgACAAIAAgACAAXAAiAEMAbwBvAGwAIAB0AGUAbQBwAGUAcgBhAHQAZQAgAGQAcgB5ACAALQAgAGwAbwB3ACAAZgByAG8AcwB0AFwAIgAsACAAXAAiAEQAcgB5ACAAYwBsAGkAbQBhAHQAZQAgAHoAbwBuAGU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DAGwAaQBtAGEAdABlAFoAbwBuAGUAcwBcAG4ALQAtAC0ALQAtAC0ALQAtAC0ALQAtAC0ALQAtAC0ALQAtAC0ALQAtAC0ALQAtAC0ALQAtAC0ALQAtAC0ALQAtAC0ALQAtAC0ALQAtAFwAbgAqAC8AXABuAFwAbgBDAG8AbQBtAG8AbgBfAFMAbwB1AHIAYwBlAEQAYQB0AGEAXwBDAGwAaQBtAGEAdABlAFoAbwBuAGUAcwBfAFQAaQB0AGwAZQBcAG4AIAAgAD0ATABBAE0AQgBEAEEAKABcACIAVgBFAEUAUgBHACAAQQB1AHMAdAByAGEAbABpAGEAbgAgAGMAbABpAG0AYQB0AGUAIAB6AG8AbgBlAHMAXAAiACkAOwBcAG4AXABuAEMAbwBtAG0AbwBuAF8AUwBvAHUAcgBjAGUARABhAHQAYQBfAEMAbABpAG0AYQB0AGUAWgBvAG4AZQBzAF8AVgBhAHIAaQBhAGIAbABlAFwAbgAgACAAPQBMAEEATQBCAEQAQQAoAFwAIgBcACIAKQA7AFwAbgBcAG4AQwBvAG0AbQBvAG4AXwBTAG8AdQByAGMAZQBEAGEAdABhAF8AQwBsAGkAbQBhAHQAZQBaAG8AbgBlAHMAXwBVAG4AaQB0AFwAbgAgACAAPQBMAEEATQBCAEQAQQAoAFwAIgBcACIAKQA7AFwAbgBcAG4AQwBvAG0AbQBvAG4AXwBTAG8AdQByAGMAZQBEAGEAdABhAF8AQwBsAGkAbQBhAHQ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DAGwAaQBtAGEAdABlAFoAbwBuAGUAcwBfAFYAYQByAGkAYQB0AGkAbwBuAFwAbgAgACAAIAA9AEwAQQBNAEIARABBACgAXABuACAAIAAgACAATQBBAEsARQBBAFIAUgBBAFkAKAA1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BpAG4AIABNAEEAVAAgAHYAYQBsAHUAZQAgAGYAbwByACAAdwBhAHIAbQAgAHQAZQBtAHAAZQByAGEAdABlACAAZAByAHkAIAAtACAAYwBoAGEAbgBnAGUAZAAgADEAMAAgAHQAbwAgADEAMQAuAFwAIgA7AFwAbgAgACAAIAAgACAAIAAgACAAIAAgAFwAIgBBAGQAZABlAGQAIABtAGkAbgAgAGEAbgBkACAAbQBhAHgAIABjAG8AbAB1AG0AbgBzACAAZgBvAHIAIABNAEEAVAAsACAATQBBAFAALAAgAGYAcgBvAHMAdAAgAGQAYQB5AHMAIABwAGUAcgAgAHkAZQBhAHIALAAgAGUAbABlAHYAYQB0AGkAbwBuACwAIABNAEEAUAA6AFAARQBUACAAdABvACAAYwBhAGwAYwB1AGwAYQB0AGUAIAB6AG8AbgBlAHMAIABmAHIAbwBtACAAcgBlAGEAbAAgAGMAbABpAG0AYQB0AGUAIABkAGEAdABhAC4AXAAiADsAXABuACAAIAAgACAAIAAgACAAIAAgACAAXAAiAEcAQQBGACAAYQBjAGMAZQBwAHQAcwAgAHIAYQBpAG4AZgBhAGwAbAAgAGEAcwAgAGEAIABwAHIAbwB4AHkAIABmAG8AcgAgAHAAcgBlAGMAaQBwAGkAdABhAHQAaQBvAG4ALgBcACIAXABuACAAIAAgACAAIAAgACAAIAB9ACwAIAByACwAIABjACkAXABuACAAIAAgACAAIAAgACkAXABuACAAIAAgACAAKQBcAG4AIAAgACkAOwBcAG4AXABuAEMAbwBtAG0AbwBuAF8AUwBvAHUAcgBjAGUARABhAHQAYQBfAEMAbABpAG0AYQB0AGUAWgBvAG4AZQBzAF8ARABhAHQAYQBcAG4AIAAgACAAPQBMAEEATQBCAEQAQQAoAFwAbgAgACAAIAAgAE0AQQBLAEUAQQBSAFIAQQBZACgAOQAsACAAMQA2ACwAIABcAG4AIAAgACAAIAAgACAATABBAE0AQgBEAEEAKAByACwAYwAsACAAXABuACAAIAAgACAAIAAgACAAIABJAE4ARABFAFgAKAB7AFwAbgAgACAAIAAgACAAIAAgACAAIAAgAFwAIgBDAGwAaQBtAGEAdABlACAAWgBvAG4AZQBcACIALAAgAFwAIgBNAEEAVABcACIALAAgAFwAIgBNAEEAUABcACIALAAgAFwAIgBGAHIAbwBzAHQAIABkAGEAeQBzACAAcABlAHIAIAB5AGUAYQByAFwAIgAsACAAXAAiAEUAbABlAHYAYQB0AGkAbwBuAFwAIgAsACAAXAAiAE0AQQBQADoAUABFAFQAXAAiACwAIABcACIATQBpAG4AIAB0AGUAbQBwAFwAIgAsACAAXAAiAE0AYQB4ACAAdABlAG0AcABcACIALAAgAFwAIgBNAGkAbgAgAHIAYQBpAG4AZgBhAGwAbABcACIALAAgAFwAIgBNAGEAeAAgAHIAYQBpAG4AZgBhAGwAbABcACIALAAgAFwAIgBNAGkAbgAgAGYAcgBvAHMAdAAgAGQAYQB5AHMAXAAiACwAIABcACIATQBhAHgAIABmAHIAbwBzAHQAIABkAGEAeQBzAFwAIgAsACAAXAAiAE0AaQBuACAAZQBsAGUAdgBhAHQAaQBvAG4AXAAiACwAIABcACIATQBhAHgAIABlAGwAZQB2AGEAdABpAG8AbgBcACIALAAgAFwAIgBNAGkAbgAgAE0AQQBQADoAUABFAFQAXAAiACwAIABcACIATQBpAG4AIABNAEEAUAA6AFAARQBUAFwAIgA7AFwAbgAgACAAIAAgACAAIAAgACAAIAAgAFwAIgBUAHIAbwBwAGkAYwBhAGwAIABtAG8AbgB0AGEAbgBlAFwAIgAsACAAXAAiAFwAdQAwADAAMwBlACAAMQA4ACAAQwBcACIALAAgAFwAIgBBAG4AeQBcACIALAAgAFwAIgBkIiAANwBcACIALAAgAFwAIgBcAHUAMAAwADMAZQAgADEAMAAwADAAIABtAFwAIgAsACAAXAAiAEEAbgB5AFwAIgAsACAAMQA4AC4AMAAwADEALAAgADkAOQA5ADkAOQA5ACwAIAAtADkAOQA5ADkAOQA5ACwAIAA5ADkAOQA5ADkAOQAsACAALQA5ADkAOQA5ADkAOQAsACAANwAsACAAMQAwADAAMAAsACAAOQA5ADkAOQA5ADkALAAgAC0AOQA5ADkAOQA5ADkALAAgADkAOQA5ADkAOQA5ADsAXABuACAAIAAgACAAIAAgACAAIAAgACAAXAAiAFQAcgBvAHAAaQBjAGEAbAAgAHcAZQB0AFwAIgAsACAAXAAiAFwAdQAwADAAMwBlACAAMQA4ACAAQwBcACIALAAgAFwAIgBcAHUAMAAwADMAZQAgADIAMAAwADAAIABtAG0AXAAiACwAIABcACIAZCIgADcAXAAiACwAIABcACIAZCIgADEAMAAwADAAIABtAFwAIgAsACAAXAAiAEEAbgB5AFwAIgAsACAAMQA4AC4AMAAwADEALAAgADkAOQA5ADkAOQA5ACwAIAAyADAAMAAwAC4AMAAwADEALAAgADkAOQA5ADkAOQA5ACwAIAAtADkAOQA5ADkAOQA5ACwAIAA3ACwAIAAtADkAOQA5ADkAOQA5ACwAIAA5ADkAOQAuADkAOQA5ACwAIAAgAC0AOQA5ADkAOQA5ADkALAAgADkAOQA5ADkAOQA5ADsAXABuACAAIAAgACAAIAAgACAAIAAgACAAXAAiAFQAcgBvAHAAaQBjAGEAbAAgAG0AbwBpAHMAdABcACIALAAgAFwAIgBcAHUAMAAwADMAZQAgADEAOAAgAEMAXAAiACwAIABcACIAXAB1ADAAMAAzAGUAIAAxADAAMAAwACAAbQBtACAALQAgAGQiIAAyADAAMAAwACAAbQBtAFwAIgAsACAAXAAiAGQiIAA3AFwAIgAsACAAXAAiAGQiIAAxADAAMAAwACAAbQBcACIALAAgAFwAIgBBAG4AeQBcACIALAAgADEAOAAuADAAMAAxACwAIAA5ADkAOQA5ADkAOQAsACAAMQAwADAAMAAuADAAMAAxACwAIAAyADAAMAAwACwAIAAtADkAOQA5ADkAOQA5ACwAIAA3ACwAIAAtADkAOQA5ADkAOQA5ACwAIAA5ADkAOQAuADkAOQA5ACwAIAAgAC0AOQA5ADkAOQA5ADkALAAgADkAOQA5ADkAOQA5ADsAXABuACAAIAAgACAAIAAgACAAIAAgACAAXAAiAFQAcgBvAHAAaQBjAGEAbAAgAGQAcgB5AFwAIgAsACAAXAAiAFwAdQAwADAAMwBlACAAMQA4ACAAQwBcACIALAAgAFwAIgBkIiAAMQAwADAAMAAgAG0AbQBcACIALAAgAFwAIgBkIiAANwBcACIALAAgAFwAIgBkIiAAMQAwADAAMAAgAG0AXAAiACwAIABcACIAQQBuAHkAXAAiACwAIAAxADgALgAwADAAMQAsACAAOQA5ADkAOQA5ADkALAAgAC0AOQA5ADkAOQA5ADkALAAgADEAMAAwADAALAAgAC0AOQA5ADkAOQA5ADkALAAgADcALAAgAC0AOQA5ADkAOQA5ADkALAAgADkAOQA5AC4AOQA5ADkALAAgACAALQA5ADkAOQA5ADkAOQAsACAAOQA5ADkAOQA5ADkAOwBcAG4AIAAgACAAIAAgACAAIAAgACAAIABcACIAVwBhAHIAbQAgAHQAZQBtAHAAZQByAGEAdABlACAAbQBvAGkAcwB0AFwAIgAsACAAXAAiAFwAdQAwADAAMwBlACAAMQAwACAAQwBcACIALAAgAFwAIgBBAG4AeQBcACIALAAgAFwAIgBBAG4AeQBcACIALAAgAFwAIgBBAG4AeQBcACIALAAgAFwAIgBcAHUAMAAwADMAZQAgADEAXAAiACwAIAAxADAALgAwADAAMQAsACAAOQA5ADkAOQA5ADkALAAgAC0AOQA5ADkAOQA5ADkALAAgADkAOQA5ADkAOQA5ACwAIAAtADkAOQA5ADkAOQA5ACwAIAA5ADkAOQA5ADkAOQAsACAALQA5ADkAOQA5ADkAOQAsACAAOQA5ADkAOQA5ADkALAAgADEALgAwADAAMQAsACAAOQA5ADkAOQA5ADkAOwBcAG4AIAAgACAAIAAgACAAIAAgACAAIABcACIAVwBhAHIAbQAgAHQAZQBtAHAAZQByAGEAdABlACAAZAByAHkAXAAiACwAIABcACIAXAB1ADAAMAAzAGUAIAAxADAAIABDAFwAIgAsACAAXAAiAEEAbgB5AFwAIgAsACAAXAAiAEEAbgB5AFwAIgAsACAAXAAiAEEAbgB5AFwAIgAsACAAXAAiAGQiIAAxAFwAIgAsACAAMQAwAC4AMAAwADEALAAgADkAOQA5ADkAOQA5ACwAIAAtADkAOQA5ADkAOQA5ACwAIAA5ADkAOQA5ADkAOQAsACAALQA5ADkAOQA5ADkAOQAsACAAOQA5ADkAOQA5ADkALAAgAC0AOQA5ADkAOQA5ADkALAAgADkAOQA5ADkAOQA5ACwAIAAgAC0AOQA5ADkAOQA5ADkALAAgADEAOwBcAG4AIAAgACAAIAAgACAAIAAgACAAIABcACIAQwBvAG8AbAAgAHQAZQBtAHAAZQByAGEAdABlACAAbQBvAGkAcwB0AFwAIgAsACAAXAAiAFwAdQAwADAAMwBlACAAMAAgAEMAIAAtACAAZCIgADEAMAAgAEMAXAAiACwAIABcACIAQQBuAHkAXAAiACwAIABcACIAQQBuAHkAXAAiACwAIABcACIAQQBuAHkAXAAiACwAIABcACIAXAB1ADAAMAAzAGUAIAAxAFwAIgAsACAALQA5ADkAOQA5ADkAOQAsACAAMQAwACwAIAAtADkAOQA5ADkAOQA5ACwAIAA5ADkAOQA5ADkAOQAsACAALQA5ADkAOQA5ADkAOQAsACAAOQA5ADkAOQA5ADkALAAgAC0AOQA5ADkAOQA5ADkALAAgADkAOQA5ADkAOQA5ACwAIAAxAC4AMAAwADEALAAgADkAOQA5ADkAOQA5ADsAXABuACAAIAAgACAAIAAgACAAIAAgACAAXAAiAEMAbwBvAGwAIAB0AGUAbQBwAGUAcgBhAHQAZQAgAGQAcgB5AFwAIgAsACAAXAAiAFwAdQAwADAAMwBlACAAMAAgAEMAIAAtACAAZCIgADEAMAAgAEMAXAAiACwAIABcACIAQQBuAHkAXAAiACwAIABcACIAQQBuAHkAXAAiACwAIABcACIAQQBuAHkAXAAiACwAIABcACIAZCIgADEAXAAiACwAIAAtADkAOQA5ADkAOQA5ACwAIAAxADAALAAgAC0AOQA5ADkAOQA5ADkALAAgADkAOQA5ADkAOQA5ACwAIAAtADkAOQA5ADkAOQA5ACwAIAA5ADkAOQA5ADkAOQAsACAALQA5ADkAOQA5ADkAOQAsACAAOQA5ADkAOQA5ADkALAAgACAALQA5ADkAOQA5ADkAOQAsACAAMQBcAG4AIAAgACAAIAAgACAAIAAgAH0ALAAgAHIALAAgAGMAKQBcAG4AIAAgACAAIAAgACAAKQBcAG4AIAAgACAAIAApAFwAbgAgACAAKQA7AFwAbgBcAG4AQwBvAG0AbQBvAG4AXwBTAG8AdQByAGMAZQBEAGEAdABhAF8AQwBsAGkAbQBhAHQAZQBaAG8AbgBlAHMAXwBBAHAAcABlAG4AZABpAGMAZQBzAFwAbgAgACAAIAA9AEwAQQBNAEIARABBACgAXABuACAAIAAgACAATQBBAEsARQBBAFIAUgBBAFkAKAA0ACwAIAAxACwAIABcAG4AIAAgACAAIAAgACAATABBAE0AQgBEAEEAKAByACwAYwAsACAAXABuACAAIAAgACAAIAAgACAAIABJAE4ARABFAFgAKAB7AFwAbgAgACAAIAAgACAAIAAgACAAIAAgAFwAIgBOAG8AdABlADoAXAAiADsAXABuACAAIAAgACAAIAAgACAAIAAgACAAXAAiAE0AQQBUACAAPQAgAG0AZQBhAG4AIABhAG4AbgB1AGEAbAAgAHQAZQBtAHAAZQByAGEAdAB1AHIAZQBcACIAOwBcAG4AIAAgACAAIAAgACAAIAAgACAAIABcACIATQBBAFAAIAA9ACAAbQBlAGEAbgAgAGEAbgBuAHUAYQBsACAAcAByAGUAYwBpAHAAaQB0AGEAdABpAG8AbgBcACIAOwBcAG4AIAAgACAAIAAgACAAIAAgACAAIABcACIAUABFAFQAIAA9ACAAcABvAHQAZQBuAHQAaQBhAGwAIABlAHYAYQBwAG8AdAByAGEAbgBzAHAAaQByAGEAdABpAG8AbgBcACI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UAGUAbQBwAGUAcgBhAHQAdQByAGUAWgBvAG4AZQBzAFwAbgAtAC0ALQAtAC0ALQAtAC0ALQAtAC0ALQAtAC0ALQAtAC0ALQAtAC0ALQAtAC0ALQAtAC0ALQAtAC0ALQAtAC0ALQAtAC0ALQAtAC0AXABuACoALwBcAG4AXABuAEMAbwBtAG0AbwBuAF8AUwBvAHUAcgBjAGUARABhAHQAYQBfAFQAZQBtAHAAZQByAGEAdAB1AHIAZQBaAG8AbgBlAHMAXwBUAGkAdABsAGUAXABuACAAIAA9AEwAQQBNAEIARABBACgAXAAiAFYARQBFAFIARwAgAEEAdQBzAHQAcgBhAGwAaQBhAG4AIAB0AGUAbQBwAGUAcgBhAHQAdQByAGUAIAB6AG8AbgBlAHMAXAAiACkAOwBcAG4AXABuAEMAbwBtAG0AbwBuAF8AUwBvAHUAcgBjAGUARABhAHQAYQBfAFQAZQBtAHAAZQByAGEAdAB1AHIAZQBaAG8AbgBlAHMAXwBWAGEAcgBpAGEAYgBsAGUAXABuACAAIAA9AEwAQQBNAEIARABBACgAXAAiAFwAIgApADsAXABuAFwAbgBDAG8AbQBtAG8AbgBfAFMAbwB1AHIAYwBlAEQAYQB0AGEAXwBUAGUAbQBwAGUAcgBhAHQAdQByAGUAWgBvAG4AZQBzAF8AVQBuAGkAdABcAG4AIAAgAD0ATABBAE0AQgBEAEEAKABcACIAXAAiACkAOwBcAG4AXABuAEMAbwBtAG0AbwBuAF8AUwBvAHUAcgBjAGUARABhAHQAYQBfAFQAZQBtAHAAZQByAGEAdAB1AHI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UAGUAbQBwAGUAcgBhAHQAdQByAGUAWgBvAG4AZQBzAF8AVgBhAHIAaQBhAHQAaQBvAG4AXABuACAAIAA9AEwAQQBNAEIARABBACgAXAAiAFYAQQBSAEkAQQBUAEkATwBOACAATwBGACAAUwBPAFUAUgBDAEUAIABEAEEAVABBADoAIABBAGQAZABlAGQAIABlAHgAdAByAGEAIABNAEEAVAAgAG0AaQBuACAAYQBuAGQAIABNAEEAVAAgAG0AYQB4ACAAYwBvAGwAdQBtAG4AcwAgAHQAbwAgAGMAYQBsAGMAdQBsAGEAdABlACAAegBvAG4AZQAgAGYAcgBvAG0AIAByAGUAYQBsACAAdABlAG0AcABlAHIAYQB0AHUAcgBlACAAZABhAHQAYQAuAFwAIgApADsAXABuAFwAbgBDAG8AbQBtAG8AbgBfAFMAbwB1AHIAYwBlAEQAYQB0AGEAXwBUAGUAbQBwAGUAcgBhAHQAdQByAGUAWgBvAG4AZQBzAF8ARABhAHQAYQBcAG4AIAAgACAAPQBMAEEATQBCAEQAQQAoAFwAbgAgACAAIAAgAE0AQQBLAEUAQQBSAFIAQQBZACgANAAsACAANAAsACAAXABuACAAIAAgACAAIAAgAEwAQQBNAEIARABBACgAcgAsAGMALAAgAFwAbgAgACAAIAAgACAAIAAgACAASQBOAEQARQBYACgAewBcAG4AIAAgACAAIAAgACAAIAAgACAAIABcACIAVABlAG0AcABlAHIAYQB0AHUAcgBlACAAWgBvAG4AZQBcACIALAAgAFwAIgBNAGUAZABpAGEAbgAgAEEAbgBuAHUAYQBsACAAVABlAG0AcABlAHIAYQB0AHUAcgBlACAAKABNAEEAVAApAFwAIgAsACAAXAAiAE0AaQBuACAATQBBAFQAXAAiACwAIABcACIATQBhAHgAIABNAEEAVABcACIAOwBcAG4AIAAgACAAIAAgACAAIAAgACAAIABcACIAVwBhAHIAbQBcACIALAAgAFwAIgBlIiAAMgA2ACAAQwBcACIALAAgADIANgAsACAAOQA5ADkAOQA5ADkAOwBcAG4AIAAgACAAIAAgACAAIAAgACAAIABcACIAVABlAG0AcABlAHIAYQB0AGUAXAAiACwAIABcACIAMQA1ACAALQAgADIANQAgAEMAXAAiACwAIAAxADUALAAgADIANQAuADkAOQA5ADsAXABuACAAIAAgACAAIAAgACAAIAAgACAAXAAiAEMAbwBvAGwAXAAiACwAIABcACIAZCIgADEANAAgAEMAXAAiACwAIAAtADkAOQA5ADkAOQA5ACwAIAAxADQALgA5ADkAOQ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UgBhAGkAbgBmAGEAbABsAFoAbwBuAGUAcwBcAG4ALQAtAC0ALQAtAC0ALQAtAC0ALQAtAC0ALQAtAC0ALQAtAC0ALQAtAC0ALQAtAC0ALQAtAC0ALQAtAC0ALQAtAC0ALQAtAC0ALQAtAFwAbgAqAC8AXABuAFwAbgBDAG8AbQBtAG8AbgBfAFMAbwB1AHIAYwBlAEQAYQB0AGEAXwBSAGEAaQBuAGYAYQBsAGwAWgBvAG4AZQBzAF8AVABpAHQAbABlAFwAbgAgACAAPQBMAEEATQBCAEQAQQAoAFwAIgBWAEUARQBSAEcAIABBAHUAcwB0AHIAYQBsAGkAYQBuACAAcgBhAGkAbgBmAGEAbABsACAAegBvAG4AZQBzAFwAIgApADsAXABuAFwAbgBDAG8AbQBtAG8AbgBfAFMAbwB1AHIAYwBlAEQAYQB0AGEAXwBSAGEAaQBuAGYAYQBsAGwAWgBvAG4AZQBzAF8AVgBhAHIAaQBhAGIAbABlAFwAbgAgACAAPQBMAEEATQBCAEQAQQAoAFwAIgBcACIAKQA7AFwAbgBcAG4AQwBvAG0AbQBvAG4AXwBTAG8AdQByAGMAZQBEAGEAdABhAF8AUgBhAGkAbgBmAGEAbABsAFoAbwBuAGUAcwBfAFUAbgBpAHQAXABuACAAIAA9AEwAQQBNAEIARABBACgAXAAiAFwAIgApADsAXABuAFwAbgBDAG8AbQBtAG8AbgBfAFMAbwB1AHIAYwBlAEQAYQB0AGEAXwBSAGEAaQBuAGYAYQBsAGw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UgBhAGkAbgBmAGEAbABsAFoAbwBuAGUAcwBfAFYAYQByAGkAYQB0AGkAbwBuAFwAbgAgACAAPQBMAEEATQBCAEQAQQAoAFwAIgBWAEEAUgBJAEEAVABJAE8ATgAgAE8ARgAgAFMATwBVAFIAQwBFACAARABBAFQAQQA6ACAAQQBkAGQAZQBkACAAZQB4AHQAcgBhACAAUgBhAGkAbgBmAGEAbABsACAAbQBpAG4AIABhAG4AZAAgAFIAYQBpAG4AZgBhAGwAbAAgAG0AYQB4ACAAYwBvAGwAdQBtAG4AcwAgAHQAbwAgAGMAYQBsAGMAdQBsAGEAdABlACAAegBvAG4AZQAgAGYAcgBvAG0AIAByAGUAYQBsACAAcgBhAGkAbgBmAGEAbABsACAAZABhAHQAYQAuAFwAIgApADsAXABuAFwAbgBDAG8AbQBtAG8AbgBfAFMAbwB1AHIAYwBlAEQAYQB0AGEAXwBSAGEAaQBuAGYAYQBsAGwAWgBvAG4AZQBzAF8ARABhAHQAYQBcAG4AIAAgACAAPQBMAEEATQBCAEQAQQAoAFwAbgAgACAAIAAgAE0AQQBLAEUAQQBSAFIAQQBZACgAMwAsACAANAAsACAAXABuACAAIAAgACAAIAAgAEwAQQBNAEIARABBACgAcgAsAGMALAAgAFwAbgAgACAAIAAgACAAIAAgACAASQBOAEQARQBYACgAewBcAG4AIAAgACAAIAAgACAAIAAgACAAIABcACIAUgBhAGkAbgBmAGEAbABsACAAWgBvAG4AZQBcACIALAAgAFwAIgBBAG4AbgB1AGEAbAAgAHIAYQBpAG4AZgBhAGwAbABcACIALAAgAFwAIgBSAGEAaQBuAGYAYQBsAGwAIABtAGkAbgBcACIALAAgAFwAIgBSAGEAaQBuAGYAYQBsAGwAIABtAGEAeABcACIAOwBcAG4AIAAgACAAIAAgACAAIAAgACAAIABcACIASABpAGcAaAAgAHIAYQBpAG4AZgBhAGwAbABcACIALAAgAFwAIgBBAG4AbgB1AGEAbAAgAHIAYQBpAG4AZgBhAGwAbAAgAFwAdQAwADAAMwBlACAANgAwADAAbQBtAFwAIgAsACAANgAwADAALgAwADAAMQAsACAAOQA5ADkAOQA5ADkAOwBcAG4AIAAgACAAIAAgACAAIAAgACAAIABcACIATABvAHcAIAByAGEAaQBuAGYAYQBsAGwAXAAiACwAIABcACIAQQBuAG4AdQBhAGwAIAByAGEAaQBuAGYAYQBsAGwAIABkIiAANgAwADAAbQBtAFwAIgAsACAALQA5ADkAOQA5ADkAOQAsACAANgAwADA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wAZQBhAGMAaABpAG4AZwBaAG8AbgBlAHMAXABuAC0ALQAtAC0ALQAtAC0ALQAtAC0ALQAtAC0ALQAtAC0ALQAtAC0ALQAtAC0ALQAtAC0ALQAtAC0ALQAtAC0ALQAtAC0ALQAtAC0ALQBcAG4AKgAvAFwAbgBcAG4AQwBvAG0AbQBvAG4AXwBTAG8AdQByAGMAZQBEAGEAdABhAF8ATABlAGEAYwBoAGkAbgBnAFoAbwBuAGUAcwBfAFQAaQB0AGwAZQBcAG4AIAAgAD0ATABBAE0AQgBEAEEAKABcACIAVgBFAEUAUgBHACAAQQB1AHMAdAByAGEAbABpAGEAbgAgAGwAZQBhAGMAaABpAG4AZwAgAHoAbwBuAGUAcwBcACIAKQA7AFwAbgBcAG4AQwBvAG0AbQBvAG4AXwBTAG8AdQByAGMAZQBEAGEAdABhAF8ATABlAGEAYwBoAGkAbgBnAFoAbwBuAGUAcwBfAFYAYQByAGkAYQBiAGwAZQBcAG4AIAAgAD0ATABBAE0AQgBEAEEAKABcACIAXAAiACkAOwBcAG4AXABuAEMAbwBtAG0AbwBuAF8AUwBvAHUAcgBjAGUARABhAHQAYQBfAEwAZQBhAGMAaABpAG4AZwBaAG8AbgBlAHMAXwBVAG4AaQB0AFwAbgAgACAAPQBMAEEATQBCAEQAQQAoAFwAIgBcACIAKQA7AFwAbgBcAG4AQwBvAG0AbQBvAG4AXwBTAG8AdQByAGMAZQBEAGEAdABhAF8ATABlAGEAYwBoAGkAbgBn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wAZQBhAGMAaABpAG4AZwBaAG8AbgBlAHMAXwBWAGEAcgBpAGEAdABpAG8AbgBcAG4AIAAgAD0ATABBAE0AQgBEAEEAKABcACIAXAAiACkAOwBcAG4AXABuAEMAbwBtAG0AbwBuAF8AUwBvAHUAcgBjAGUARABhAHQAYQBfAEwAZQBhAGMAaABpAG4AZwBaAG8AbgBlAHMAXwBEAGEAdABhAFwAbgAgACAAIAA9AEwAQQBNAEIARABBACgAXABuACAAIAAgACAATQBBAEsARQBBAFIAUgBBAFkAKAAzACwAIAAyACwAIABcAG4AIAAgACAAIAAgACAATABBAE0AQgBEAEEAKAByACwAYwAsACAAXABuACAAIAAgACAAIAAgACAAIABJAE4ARABFAFgAKAB7AFwAbgAgACAAIAAgACAAIAAgACAAIAAgAFwAIgBMAGUAYQBjAGgAaQBuAGcAIABaAG8AbgBlAFwAIgAsACAAXAAiAEwAZQBhAGMAaABpAG4AZwAgAGMAcgBpAHQAZQByAGkAYQBcACIAOwBcAG4AIAAgACAAIAAgACAAIAAgACAAIABcACIATABlAGEAYwBoAGkAbgBnACAAbwBjAGMAdQByAHMAXAAiACwAIABcACIAowMoADXYX9w12E7cNdhW3DXYW9wpAFwAdQAwADAAMwBlAKMDKAA12DjcNdhH3DAAKQArADXYYNw12FzcNdhW3DXYWdwgADXYZNw12E7cNdhh3DXYUtw12F/cIAAOITXYXNw12FncNdhR3DXYVtw12FvcNdhU3CAANdhQ3DXYTtw12F3cNdhO3DXYUNw12FbcNdhh3DXYZtxcACIAOwBcAG4AIAAgACAAIAAgACAAIAAgACAAIABcACIATABlAGEAYwBoAGkAbgBnACAAZABvAGUAcwAgAG4AbwB0ACAAbwBjAGMAdQByAFwAIgAsACAAXAAiAKMDKAA12F/cNdhO3DXYVtw12FvcKQBkIqMDKAA12DjcNdhH3DAAKQArADXYYNw12FzcNdhW3DXYWdwgADXYZNw12E7cNdhh3DXYUtw12F/cIAAOITXYXNw12FncNdhR3DXYVtw12FvcNdhU3CAANdhQ3DXYTtw12F3cNdhO3DXYUNw12FbcNdhh3DXYZtx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YAcgBhAGMAVwBFAFQAXABuADUALgA1AC4AMgAuADMAIABDAG8AbgBzAHQAYQBuAHQAIABQAGEAcgBhAG0AZQB0AGUAcgBzAFwAbgBGAHIAYQBjAHQAaQBvAG4AIABvAGYAIABOACAAdABoAGEAdAAgAGkAcwAgAGEAdgBhAGkAbABhAGIAbABlACAAZgBvAHIAIABsAGUAYQBjAGgAaQBuAGcAIABhAG4AZAAgAHIAdQBuAG8AZgBmAFwAbgAtAC0ALQAtAC0ALQAtAC0ALQAtAC0ALQAtAC0ALQAtAC0ALQAtAC0ALQAtAC0ALQAtAC0ALQAtAC0ALQAtAC0ALQAtAC0ALQAtAC0AXABuACoALwBcAG4AXABuAEMAbwBtAG0AbwBuAF8AUwBvAHUAcgBjAGUARABhAHQAYQBfAEYAcgBhAGMAVwBFAFQ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VwBFAFQAXwBVAG4AaQB0AFwAbgAgACAAPQBMAEEATQBCAEQAQQAoAFwAIgAoAEQAaQBtAGUAbgBzAGkAbwBuAGwAZQBzAHMAXAAiACkAOwBcAG4AXABuAEMAbwBtAG0AbwBuAF8AUwBvAHUAcgBjAGUARABhAHQAYQBfAEYAcgBhAGMAVwBFAFQAXwBTAG8AdQByAGMAZQBcAG4AIAAgAD0ATABBAE0AQgBEAEEAKABcACIAVgBFAEUAUgBHACAAMgAwADIANgA6ADUALgA1AC4AMgAuADMAIABDAG8AbgBzAHQAYQBuAHQAIABQAGEAcgBhAG0AZQB0AGUAcgBzAFwAIgApADsAXABuAFwAbgBDAG8AbQBtAG8AbgBfAFMAbwB1AHIAYwBlAEQAYQB0AGEAXwBGAHIAYQBjAFcARQBUAF8ATgBJAFIAUgBlAGYAZQByAGUAbgBjAGUAXABuACAAIAA9AEwAQQBNAEIARABBACgAXAAiAFwAIgApADsAXABuAFwAbgBDAG8AbQBtAG8AbgBfAFMAbwB1AHIAYwBlAEQAYQB0AGEAXwBGAHIAYQBjAFcARQBUAF8ARABhAHQAYQBcAG4AIAAgAD0ATABBAE0AQgBEAEEAKABcAG4AIAAgACAAIABNAEEASwBFAEEAUgBSAEEAWQAoADMALAAgADIALAAgAFwAbgAgACAAIAAgACAAIABMAEEATQBCAEQAQQAoAHIALABjACwAIABcAG4AIAAgACAAIAAgACAAIAAgAEkATgBEAEUAWAAoAHsAXABuACAAIAAgACAAIAAgACAAIAAgACAAXAAiAEkAcwAgAGkAbgAgAGwAZQBhAGMAaABpAG4AZwAgAHoAbwBuAGUAXAAiACwAXAAiAEYAcgBhAGMAVwBFAFQAXAAiADsAXABuACAAIAAgACAAIAAgACAAIAAgACAAXAAiAFkAZQBzACAALQAgAGkAbgAgAGwAZQBhAGMAaABpAG4AZwAgAHoAbwBuAGUAXAAiACwAIAAxADsAXABuACAAIAAgACAAIAAgACAAIAAgACAAXAAiAE4AbwAgAC0AIABuAG8AdAAgAGkAbgAgAGwAZQBhAGMAaABpAG4AZwAgAHoAbwBuAGUAXAAiACwAIAAwAFwAbgAgACAAIAAgACAAIAAgACAAfQAsACAAcgAsACAAYwApAFwAbgAgACAAIAAgACAAIAApAFwAbgAgACAAIAAgACkAXABuACAAIAApADsAXABuAFwAbgAgACAAQwBvAG0AbQBvAG4AXwBTAG8AdQByAGMAZQBEAGEAdABhAF8ARgByAGEAYwBXAEUAVABfAFYAYQByAGkAYQB0AGkAbwBuAFwAbgAgACAAPQBMAEEATQBCAEQAQQAoACgAXAAiAFwAIgApACkAOwBcAG4AXABuAFwAbgBcAG4ALwAqACAAXABuAC0ALQAtAC0ALQAtAC0ALQAtAC0ALQAtAC0ALQAtAC0ALQAtAC0ALQAtAC0ALQAtAC0ALQAtAC0ALQAtAC0ALQAtAC0ALQAtAC0ALQBcAG4AQwBvAG0AbQBvAG4AXwBTAG8AdQByAGMAZQBEAGEAdABhAF8ARABhAHQAYQBTAGMAbwByAGUAcwBfAFMAYwBvAHAAZQAzAFwAbgAtAC0ALQAtAC0ALQAtAC0ALQAtAC0ALQAtAC0ALQAtAC0ALQAtAC0ALQAtAC0ALQAtAC0ALQAtAC0ALQAtAC0ALQAtAC0ALQAtAC0AXABuACoALwBcAG4AXABuAEMAbwBtAG0AbwBuAF8AUwBvAHUAcgBjAGUARABhAHQAYQBfAEQAYQB0AGEAUwBjAG8AcgBlAHMAXwBTAGMAbwBwAGUAMwBfAFQAaQB0AGwAZQBcAG4AIAAgAD0ATABBAE0AQgBEAEEAKABcACIAQQB1AHMAdAByAGEAbABpAGEAbgAgAGQAYQB0AGEAIABzAGMAbwByAGUAcwAgAGYAbwByACAAcwBjAG8AcABlACAAMwBcACIAKQA7AFwAbgBcAG4AQwBvAG0AbQBvAG4AXwBTAG8AdQByAGMAZQBEAGEAdABhAF8ARABhAHQAYQBTAGMAbwByAGUAcwBfAFMAYwBvAHAAZQAzAF8AVgBhAHIAaQBhAGIAbABlAFwAbgAgACAAPQBMAEEATQBCAEQAQQAoAFwAIgBcACIAKQA7AFwAbgBcAG4AQwBvAG0AbQBvAG4AXwBTAG8AdQByAGMAZQBEAGEAdABhAF8ARABhAHQAYQBTAGMAbwByAGUAcwBfAFMAYwBvAHAAZQAzAF8AVQBuAGkAdABcAG4AIAAgAD0ATABBAE0AQgBEAEEAKABcACIAXAAiACkAOwBcAG4AXABuAEMAbwBtAG0AbwBuAF8AUwBvAHUAcgBjAGUARABhAHQAYQBfAEQAYQB0AGEAUwBjAG8AcgBlAHMAXwBTAGMAbwBwAGUAMwBfAFMAbwB1AHIAYwBlAFwAbgAgACAAPQBMAEEATQBCAEQAQQAoAFwAIgBWAEUARQBSAEcAIAAyADAAMgA2ADoAIABYAFgAWABYAFgAWABYAFgAXAAiACkAOwBcAG4AXABuAEMAbwBtAG0AbwBuAF8AUwBvAHUAcgBjAGUARABhAHQAYQBfAEQAYQB0AGEAUwBjAG8AcgBlAHMAXwBTAGMAbwBwAGUAMwBfAFYAYQByAGkAYQB0AGkAbwBuAFwAbgAgACAAPQBMAEEATQBCAEQAQQAoAFwAIgBcACIAKQA7AFwAbgBcAG4AQwBvAG0AbQBvAG4AXwBTAG8AdQByAGMAZQBEAGEAdABhAF8ARABhAHQAYQBTAGMAbwByAGUAcwBfAFMAYwBvAHAAZQAzAF8ARABhAHQAYQBcAG4AIAAgACAAPQBMAEEATQBCAEQAQQAoAFwAbgAgACAAIAAgAE0AQQBLAEUAQQBSAFIAQQBZACgANgAsACAAMgAsACAAXABuACAAIAAgACAAIAAgAEwAQQBNAEIARABBACgAcgAsAGMALAAgAFwAbgAgACAAIAAgACAAIAAgACAASQBOAEQARQBYACgAewBcAG4AIAAgACAAIAAgACAAIAAgACAAIABcACIARABhAHQAYQAgAHMAbwB1AHIAYwBlAFwAIgAsACAAXAAiAEQAYQB0AGEAIABzAGMAbwByAGUAXAAiADsAXABuACAAIAAgACAAIAAgACAAIAAgACAAXAAiAEkAbgB0AGUAcgBuAGEAdABpAG8AbgBhAGwAIABzAGMAbwBwAGUAIAAzACAAZABhAHQAYQBiAGEAcwBlAFwAIgAsACAAMQA7AFwAbgAgACAAIAAgACAAIAAgACAAIAAgAFwAIgBBAHUAcwB0AHIAYQBsAGkAYQBuACAAcwBjAG8AcABlACAAMwAgAGQAYQB0AGEAYgBhAHMAZQBcACIALAAgADIAOwBcAG4AIAAgACAAIAAgACAAIAAgACAAIABcACIAUwB0AGEAdABlACAAbwByACAAcgBlAGcAaQBvAG4AYQBsACAAcwBjAG8AcABlACAAMwAgAGQAYQB0AGEAYgBhAHMAZQBcACIALAAgADMAOwBcAG4AIAAgACAAIAAgACAAIAAgACAAIABcACIARQBtAGkAcwBzAGkAbwBuAHMAIABpAG4AdABlAG4AcwBpAHQAeQAgAGMAYQBsAGMAdQBsAGEAdABlAGQAIABmAHIAbwBtACAAYQBwAHAAcgBvAHYAZQBkACAAbQBlAHQAaABvAGQAXAAiACwAIAA0ADsAXABuACAAIAAgACAAIAAgACAAIAAgACAAXAAiAFYAZQByAGkAZgBpAGUAZAAgAGMAcgBlAGQAZQBuAHQAaQBhAGwAIABtAGEAdABjAGgAaQBuAGcAIABJAFMATwAxADQAMAA2ADcAXAAiACwAIAA1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RgByAGEAYwBMAEUAQQBDAEgAXABuADUALgA1AC4AMgAuADMAIABDAG8AbgBzAHQAYQBuAHQAIABQAGEAcgBhAG0AZQB0AGUAcgBzAFwAbgBGAHIAYQBjAHQAaQBvAG4AIABvAGYAIABOACAAdABoAGEAdAAgAGkAcwAgAGEAdgBhAGkAbABhAGIAbABlACAAZgBvAHIAIABsAGUAYQBjAGgAaQBuAGcAIABhAG4AZAAgAHIAdQBuAG8AZgBmAFwAbgAtAC0ALQAtAC0ALQAtAC0ALQAtAC0ALQAtAC0ALQAtAC0ALQAtAC0ALQAtAC0ALQAtAC0ALQAtAC0ALQAtAC0ALQAtAC0ALQAtAC0AXABuACoALwBcAG4AXABuAEMAbwBtAG0AbwBuAF8AUwBvAHUAcgBjAGUARABhAHQAYQBfAEYAcgBhAGMATABFAEEAQwBI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EwARQBBAEMASABfAFUAbgBpAHQAXABuACAAIAA9AEwAQQBNAEIARABBACgAXAAiACgARABpAG0AZQBuAHMAaQBvAG4AbABlAHMAcwBcACIAKQA7AFwAbgBcAG4AQwBvAG0AbQBvAG4AXwBTAG8AdQByAGMAZQBEAGEAdABhAF8ARgByAGEAYwBMAEUAQQBDAEgAXwBTAG8AdQByAGMAZQBcAG4AIAAgAD0ATABBAE0AQgBEAEEAKABcACIAVgBFAEUAUgBHACAAMgAwADIANgA6ADUALgA1AC4AMgAuADMAIABDAG8AbgBzAHQAYQBuAHQAIABQAGEAcgBhAG0AZQB0AGUAcgBzAFwAIgApADsAXABuAFwAbgBDAG8AbQBtAG8AbgBfAFMAbwB1AHIAYwBlAEQAYQB0AGEAXwBGAHIAYQBjAEwARQBBAEMASABfAE4ASQBSAFIAZQBmAGUAcgBlAG4AYwBlAFwAbgAgACAAPQBMAEEATQBCAEQAQQAoAFwAIgBOAGEAdABpAG8AbgBhAGwAIABJAG4AdgBlAG4AdABvAHIAeQAgAFIAZQBwAG8AcgB0ACAAVgBvAGwAdQBtAGUAIAAxADoAIABMAGUAYQBjAGgAaQBuAGcAIABhAG4AZAAgAHIAdQBuAG8AZgBmACAAKAAzAC4ARAAuAGIALgAyACkAXAAiACkAOwBcAG4AXABuAEMAbwBtAG0AbwBuAF8AUwBvAHUAcgBjAGUARABhAHQAYQBfAEYAcgBhAGMATABFAEEAQwBIAF8ARABhAHQAYQBcAG4AIAAgAD0ATABBAE0AQgBEAEEAKABcAG4AIAAgACAAIABNAEEASwBFAEEAUgBSAEEAWQAoADEALAAgADIALAAgAFwAbgAgACAAIAAgACAAIABMAEEATQBCAEQAQQAoAHIALABjACwAIABcAG4AIAAgACAAIAAgACAAIAAgAEkATgBEAEUAWAAoAHsAXABuACAAIAAgACAAIAAgACAAIAAgACAAXAAiAEYAcgBhAGMATABFAEEAQwBIAFwAIgAsADAALgAyADQAXABuACAAIAAgACAAIAAgACAAIAB9ACwAIAByACwAIABjACkAXABuACAAIAAgACAAIAAgACkAXABuACAAIAAgACAAKQBcAG4AIAAgACkAOwBcAG4AXABuACAAIABDAG8AbQBtAG8AbgBfAFMAbwB1AHIAYwBlAEQAYQB0AGEAXwBGAHIAYQBjAEwARQBBAEMASABfAFYAYQByAGkAYQB0AGkAbwBuAFwAbgAgACAAPQBMAEEATQBCAEQAQQAoACgAXAAiAFwAIgApACkAOwBcAG4AXABuAFwAbgBcAG4ALwAqACAAXABuAC0ALQAtAC0ALQAtAC0ALQAtAC0ALQAtAC0ALQAtAC0ALQAtAC0ALQAtAC0ALQAtAC0ALQAtAC0ALQAtAC0ALQAtAC0ALQAtAC0ALQBcAG4AQwBvAG0AbQBvAG4AXwBTAG8AdQByAGMAZQBEAGEAdABhAF8ARQBGAGwAZQBhAGMAaABcAG4ANQAuADUALgAyAC4AMwAgAEMAbwBuAHMAdABhAG4AdAAgAFAAYQByAGEAbQBlAHQAZQByAHMAXABuAEUAbQBpAHMAcwBpAG8AbgAgAGYAYQBjAHQAbwByACAAZgBvAHIAIABuAGkAdAByAG8AZwBlAG4AIABsAGUAYQBjAGgAaQBuAGcAIABhAG4AZAAgAHIAdQBuAG8AZgBmAFwAbgAtAC0ALQAtAC0ALQAtAC0ALQAtAC0ALQAtAC0ALQAtAC0ALQAtAC0ALQAtAC0ALQAtAC0ALQAtAC0ALQAtAC0ALQAtAC0ALQAtAC0AXABuACoALwBcAG4AXABuAEMAbwBtAG0AbwBuAF8AUwBvAHUAcgBjAGUARABhAHQAYQBfAEUARgBsAGUAYQBjAGgAXwBUAGkAdABsAGUAXABuACAAIAA9AEwAQQBNAEIARABBACgAXAAiAEUAbQBpAHMAcwBpAG8AbgAgAGYAYQBjAHQAbwByACAAZgBvAHIAIABuAGkAdAByAG8AZwBlAG4AIABsAGUAYQBjAGgAaQBuAGcAIABhAG4AZAAgAHIAdQBuAG8AZgBmAFwAIgApADsAXABuAFwAbgBDAG8AbQBtAG8AbgBfAFMAbwB1AHIAYwBlAEQAYQB0AGEAXwBFAEYAbABlAGEAYwBoAF8AVQBuAGkAdABcAG4AIAAgAD0ATABBAE0AQgBEAEEAKABcACIAKABrAGcAIABOADIATwAtAE4AIAAvACAAawBnACAATgBcACIAKQA7AFwAbgBcAG4AQwBvAG0AbQBvAG4AXwBTAG8AdQByAGMAZQBEAGEAdABhAF8ARQBGAGwAZQBhAGMAaABfAFMAbwB1AHIAYwBlAFwAbgAgACAAPQBMAEEATQBCAEQAQQAoAFwAIgBWAEUARQBSAEcAIAAyADAAMgA2ADoANQAuADUALgAyAC4AMwAgAEMAbwBuAHMAdABhAG4AdAAgAFAAYQByAGEAbQBlAHQAZQByAHMAXAAiACkAOwBcAG4AXABuAEMAbwBtAG0AbwBuAF8AUwBvAHUAcgBjAGUARABhAHQAYQBfAEUARgBsAGUAYQBjAGgAXwBOAEkAUgBSAGUAZgBlAHIAZQBuAGMAZQBcAG4AIAAgAD0ATABBAE0AQgBEAEEAKABcACIATgBhAHQAaQBvAG4AYQBsACAASQBuAHYAZQBuAHQAbwByAHkAIABSAGUAcABvAHIAdAAgAFYAbwBsAHUAbQBlACAAMQA6ACAARQBxAHUAYQB0AGkAbwBuACAAMwAuAEQALgBCAF8AMQAwAFwAIgApADsAXABuAFwAbgBDAG8AbQBtAG8AbgBfAFMAbwB1AHIAYwBlAEQAYQB0AGEAXwBFAEYAbABlAGEAYwBoAF8ARABhAHQAYQBcAG4AIAAgAD0ATABBAE0AQgBEAEEAKABcAG4AIAAgACAAIABNAEEASwBFAEEAUgBSAEEAWQAoADEALAAgADIALAAgAFwAbgAgACAAIAAgACAAIABMAEEATQBCAEQAQQAoAHIALABjACwAIABcAG4AIAAgACAAIAAgACAAIAAgAEkATgBEAEUAWAAoAHsAXABuACAAIAAgACAAIAAgACAAIAAgACAAXAAiAEUARgBsAGUAYQBjAGgAXAAiACwAMAAuADAAMQAxAFwAbgAgACAAIAAgACAAIAAgACAAfQAsACAAcgAsACAAYwApAFwAbgAgACAAIAAgACAAIAApAFwAbgAgACAAIAAgACkAXABuACAAIAApADsAXABuAFwAbgAgACAAQwBvAG0AbQBvAG4AXwBTAG8AdQByAGMAZQBEAGEAdABhAF8ARQBGAGwAZQBhAGMAaABfAFYAYQByAGkAYQB0AGkAbwBuAFwAbgAgACAAPQBMAEEATQBCAEQAQQAoACgAXAAiAFwAIgApACkAOwBcAG4AXABuAFwAbgAvACoAIABcAG4ALQAtAC0ALQAtAC0ALQAtAC0ALQAtAC0ALQAtAC0ALQAtAC0ALQAtAC0ALQAtAC0ALQAtAC0ALQAtAC0ALQAtAC0ALQAtAC0ALQAtAFwAbgBDAG8AbQBtAG8AbgBfAFMAbwB1AHIAYwBlAEQAYQB0AGEAXwBFAEYATgAyAE8AXABuAFQAYQBiAGwAZQAgAEEALgAyAC4AMgAuADEAXABuAE4AaQB0AHIAbwB1AHMAIABvAHgAaQBkAGUAIABlAG0AaQBzAHMAaQBvAG4AIABmAGEAYwB0AG8AcgBzACAAZgBvAHIAIABpAG4AbwByAGcAYQBuAGkAYwAgAGYAZQByAHQAaQBsAGkAcwBlAHIAIABhAHAAcABsAGkAYwBhAHQAaQBvAG4AIAAoAGsAZwAgAE4AMgBPAC0ATgAvAGsAZwAgAE4AKQAgACgARQBGAE4AMgBPACkAXABuAC0ALQAtAC0ALQAtAC0ALQAtAC0ALQAtAC0ALQAtAC0ALQAtAC0ALQAtAC0ALQAtAC0ALQAtAC0ALQAtAC0ALQAtAC0ALQAtAC0ALQBcAG4AKgAvAFwAbgBcAG4AQwBvAG0AbQBvAG4AXwBTAG8AdQByAGMAZQBEAGEAdABhAF8ARQBGAE4AMgBPAF8AVABpAHQAbABlAFwAbgAgACAAPQBMAEEATQBCAEQAQQAoAFwAIgBOAGkAdAByAG8AdQBzACAAbwB4AGkAZABlACAAZQBtAGkAcwBzAGkAbwBuACAAZgBhAGMAdABvAHIAcwAgAGYAbwByACAAaQBuAG8AcgBnAGEAbgBpAGMAIABmAGUAcgB0AGkAbABpAHMAZQByACAAYQBwAHAAbABpAGMAYQB0AGkAbwBuAFwAIgApADsAXABuAFwAbgBDAG8AbQBtAG8AbgBfAFMAbwB1AHIAYwBlAEQAYQB0AGEAXwBFAEYATgAyAE8AXwBVAG4AaQB0AFwAbgAgACAAPQBMAEEATQBCAEQAQQAoAFwAIgAoAGsAZwAgAE4AMgBPAC0ATgAgAC8AIABrAGcAIABOAFwAIgApADsAXABuAFwAbgBDAG8AbQBtAG8AbgBfAFMAbwB1AHIAYwBlAEQAYQB0AGEAXwBFAEYATgAyAE8AXwBTAG8AdQByAGMAZQBcAG4AIAAgAD0ATABBAE0AQgBEAEEAKABcACIAVgBFAEUAUgBHACAAMgAwADIANgA6ACAAVABhAGIAbABlACAAQQAuADIALgAyAC4AMQBcACIAKQA7AFwAbgBcAG4AQwBvAG0AbQBvAG4AXwBTAG8AdQByAGMAZQBEAGEAdABhAF8ARQBGAE4AMgBPAF8ATgBJAFIAUgBlAGYAZQByAGUAbgBjAGUAXABuACAAIAA9AEwAQQBNAEIARABBACgAXAAiAFwAIgApADsAXABuAFwAbgBDAG8AbQBtAG8AbgBfAFMAbwB1AHIAYwBlAEQAYQB0AGEAXwBFAEYATgAyAE8AXwBEAGEAdABhAFwAbgAgACAAPQBMAEEATQBCAEQAQQAoAFwAbgAgACAAIAAgAE0AQQBLAEUAQQBSAFIAQQBZACgAMQA0ACwAIAA1ACwAIABcAG4AIAAgACAAIAAgACAATABBAE0AQgBEAEEAKAByACwAYwAsACAAXABuACAAIAAgACAAIAAgACAAIABJAE4ARABFAFgAKAB7AFwAbgAgACAAIAAgACAAIAAgACAAIAAgAFwAIgBQAHIAbwBkAHUAYwB0AGkAbwBuACAAcwB5AHMAdABlAG0AIABqAFwAIgAsAFwAIgBFAEYATgAyAE8AXAAiACwAIABcACIAUAByAG8AZAB1AGMAdABpAG8AbgAgAHMAeQBzAHQAZQBtACAAbwBuAGwAeQBcACIALAAgAFwAIgBJAHIAcgBpAGcAYQB0AGkAbwBuACAAbQBlAHQAaABvAGQAXAAiACwAIABcACIAUgBhAGkAbgBmAGEAbABsACAAegBvAG4AZQBcACIAOwBcAG4AIAAgACAAIAAgACAAIAAgACAAIABcACIASQByAHIAaQBnAGEAdABlAGQAIABwAGEAcwB0AHUAcgBlAFwAIgAsADAALgAwADAANQA5ACwAIABcACIAUABhAHMAdAB1AHIAZQBcACIALAAgAFwAIgBBAG4AeQBcACIALAAgAFwAIgBBAG4AeQBcACIAOwBcAG4AIAAgACAAIAAgACAAIAAgACAAIABcACIASQByAHIAaQBnAGEAdABlAGQAIABjAHIAbwBwAFwAIgAsADAALgAwADAANwAsACAAXAAiAEMAcgBvAHAAXAAiACwAIABcACIAQQBuAHkAXAAiACwAIABcACIAQQBuAHkAXAAiADsAXABuACAAIAAgACAAIAAgACAAIAAgACAAXAAiAE4AbwBuAC0AaQByAHIAaQBnAGEAdABlAGQAIABwAGEAcwB0AHUAcgBlAFwAIgAsADAALgAwADAAMQA4ACwAIABcACIAUABhAHMAdAB1AHIAZQBcACIALAAgAFwAIgBOAG8AdAAgAGkAcgByAGkAZwBhAHQAZQBkAFwAIgAsACAAXAAiAEwAbwB3ACAAcgBhAGkAbgBmAGEAbABsAFwAIgA7AFwAbgAgACAAIAAgACAAIAAgACAAIAAgAFwAIgBOAG8AbgAtAGkAcgByAGkAZwBhAHQAZQBkACAAcABhAHMAdAB1AHIAZQBcACIALAAwAC4AMAAwADEAOAAsACAAXAAiAFAAYQBzAHQAdQByAGUAXAAiACwAIABcACIATgBvAHQAIABpAHIAcgBpAGcAYQB0AGUAZABcACIALAAgAFwAIgBIAGkAZwBoACAAcgBhAGkAbgBmAGEAbABsAFwAIgA7AFwAbgAgACAAIAAgACAAIAAgACAAIAAgAFwAIgBOAG8AbgAtAGkAcgByAGkAZwBhAHQAZQBkACAAYwByAG8AcAAgACgAbABvAHcAIAByAGEAaQBuAGYAYQBsAGwAKQBcACIALAAwAC4AMAAwADIAOQAsACAAXAAiAEMAcgBvAHAAXAAiACwAIABcACIATgBvAHQAIABpAHIAcgBpAGcAYQB0AGUAZABcACIALAAgAFwAIgBMAG8AdwAgAHIAYQBpAG4AZgBhAGwAbABcACIAOwBcAG4AIAAgACAAIAAgACAAIAAgACAAIABcACIATgBvAG4ALQBpAHIAcgBpAGcAYQB0AGUAZAAgAGMAcgBvAHAAIAAoAGgAaQBnAGgAIAByAGEAaQBuAGYAYQBsAGwAKQBcACIALAAwAC4AMAAwADgALAAgAFwAIgBDAHIAbwBwAFwAIgAsACAAXAAiAE4AbwB0ACAAaQByAHIAaQBnAGEAdABlAGQAXAAiACwAIABcACIASABpAGcAaAAgAHIAYQBpAG4AZgBhAGwAbABcACIAOwBcAG4AIAAgACAAIAAgACAAIAAgACAAIABcACIAUwB1AGcAYQByAFwAIgAsADAALgAwADEAOQA5ACwAIABcACIAUwB1AGcAYQByAFwAIgAsACAAXAAiAEEAbgB5AFwAIgAsACAAXAAiAEEAbgB5AFwAIgA7AFwAbgAgACAAIAAgACAAIAAgACAAIAAgAFwAIgBDAG8AdAB0AG8AbgBcACIALAAwAC4AMAAwADUAMwAsACAAXAAiAEMAbwB0AHQAbwBuAFwAIgAsACAAXAAiAEEAbgB5AFwAIgAsACAAXAAiAEEAbgB5AFwAIgA7AFwAbgAgACAAIAAgACAAIAAgACAAIAAgAFwAIgBIAG8AcgB0AGkAYwB1AGwAdAB1AHIAYQBsACAAYwByAG8AcABzAFwAIgAsADAALgAwADAANgA0ACwAIABcACIASABvAHIAdABpAGMAdQBsAHQAdQByAGEAbAAgAGMAcgBvAHAAcwBcACIALAAgAFwAIgBBAG4AeQBcACIALAAgAFwAIgBBAG4AeQBcACIAOwBcAG4AIAAgACAAIAAgACAAIAAgACAAIABcACIAUgBpAGMAZQAgACgAYwBvAG4AdABpAG4AdQBvAHUAcwAgAGYAbABvAG8AZABpAG4AZwApAFwAIgAsADAALgAwADAAMwAsACAAXAAiAFIAaQBjAGUAXAAiACwAIABcACIAQwBvAG4AdABpAG4AdQBvAHUAcwAgAGYAbABvAG8AZABpAG4AZwBcACIALAAgAFwAIgBBAG4AeQBcACIAOwBcAG4AIAAgACAAIAAgACAAIAAgACAAIABcACIAUgBpAGMAZQAgACgAcwBpAG4AZwBsAGUAIABhAG4AZAAgAG0AdQBsAHQAaQBwAGwAZQAgAGQAcgBhAGkAbgBhAGcAZQAsACAAbwByACAAYQBsAHQAZQByAG4AYQB0AGUAIAB3AGUAdAB0AGkAbgBnACAAYQBuAGQAIABkAHIAeQBpAG4AZwApAFwAIgAsADAALgAwADAANQAsACAAXAAiAFIAaQBjAGUAXAAiACwAIABcACIAUwBpAG4AZwBsAGUAIABhAG4AZAAgAG0AdQBsAHQAaQBwAGwAZQAgAGQAcgBhAGkAbgBhAGcAZQAsACAAbwByACAAYQBsAHQAZQByAG4AYQB0AGUAIAB3AGUAdAB0AGkAbgBnACAAYQBuAGQAIABkAHIAeQBpAG4AZwBcACIALAAgAFwAIgBBAG4AeQBcACIAOwBcAG4AIAAgACAAIAAgACAAIAAgACAAIABcACIAQQBxAHUAYQBjAHUAbAB0AHUAcgBlAFwAIgAsADAALgAwADAAMgA2ACwAIABcACIAQQBxAHUAYQBjAHUAbAB0AHUAcgBlAFwAIgAsACAAXAAiAEEAbgB5AFwAIgAsACAAXAAiAEEAbgB5AFwAIgA7AFwAbgAgACAAIAAgACAAIAAgACAAIAAgAFwAIgBGAG8AcgBlAHMAdAByAHkAXAAiACwAMAAuADAAMAAxADgALAAgAFwAIgBGAG8AcgBlAHMAdAByAHkAXAAiACwAIABcACIAQQBuAHkAXAAiACwAIABcACIAQQBuAHkAXAAiAFwAbgAgACAAIAAgACAAIAAgACAAfQAsACAAcgAsACAAYwApAFwAbgAgACAAIAAgACAAIAApAFwAbgAgACAAIAAgACkAXABuACAAIAApADsAXABuAFwAbgAgACAAQwBvAG0AbQBvAG4AXwBTAG8AdQByAGMAZQBEAGEAdABhAF8ARQBGAE4AMgBPAF8AVgBhAHIAaQBhAHQAaQBvAG4AXABuACAAIAA9AEwAQQBNAEIARABBACgAXABuACAAIAAgACAATQBBAEsARQBBAFIAUgBBAFkAKAA1ACwAIAAxACwAIABcAG4AIAAgACAAIAAgACAATABBAE0AQgBEAEEAKAByACwAYwAsACAAXABuACAAIAAgACAAIAAgACAAIABJAE4ARABFAFgAKAB7AFwAbgAgACAAIAAgACAAIAAgACAAIAAgAFwAIgBWAEEAUgBJAEEAVABJAE8ATgAgAE8ARgAgAFMATwBVAFIAQwBFACAARABBAFQAQQA6AFwAIgA7AFwAbgAgACAAIAAgACAAIAAgACAAIAAgAFwAIgBSAGUAbQBvAHYAZQBkACAAZAB1AHAAbABpAGMAYQB0AGUAIABcAHUAMAAwADIANwBBAHEAdQBhAGMAdQBsAHQAdQByAGUAXAB1ADAAMAAyADcAIAByAG8AdwAuAFwAIgA7AFwAbgAgACAAIAAgACAAIAAgACAAIAAgAFwAIgBSAGUAbQBvAHYAZQBkACAAYQBzAHQAZQByAGkAcwBrAHMAIAB0AG8AIABhAGkAZAAgAGwAbwBvAGsAdQBwAC4AXAAiADsAXABuACAAIAAgACAAIAAgACAAIAAgACAAXAAiAEEAZABkAGUAZAAgAFwAdQAwADAAMgA3AHAAcgBvAGQAdQBjAHQAaQBvAG4AIABzAHkAcwB0AGUAbQAgAG8AbgBsAHkAXAB1ADAAMAAyADcALAAgAFwAdQAwADAAMgA3AHIAYQBpAG4AZgBhAGwAbAAgAHoAbwBuAGUAXAB1ADAAMAAyADcAIABhAG4AZAAgAFwAdQAwADAAMgA3AGkAcgByAGkAZwBhAHQAaQBvAG4AIABtAGUAdABoAG8AZABcAHUAMAAwADIANwAgAGMAbwBsAHUAbQBuAHMAIAB0AG8AIABhAGkAZAAgAGwAbwBvAGsAdQBwAC4AXAAiADsAXABuACAAIAAgACAAIAAgACAAIAAgACAAXAAiAEQAdQBwAGwAaQBjAGEAdABlAGQAIABcAHUAMAAwADIANwBuAG8AbgAtAGkAcgByAGkAZwBhAHQAZQBkACAAcABhAHMAdAB1AHIAZQBcAHUAMAAwADIANwAgAHIAbwB3ACAAdwBpAHQAaAAgAHMAYQBtAGUAIABFAEYAIABmAG8AcgAgAGwAbwB3ACAAYQBuAGQAIABoAGkAZwBoACAAcgBhAGkAbgBmAGEAbABsACAAegBvAG4AZQBzACAAdABvACAAYQBpAGQAIABsAG8AbwBrAHUAcAA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JAHIAcgBpAGcAYQB0AGkAbwBuAFwAbgBWAEUARQBSAEcAIAAyADAAMgA2ADoAIABDAGgAYQBwAHQAZQByACAAMQAsACAAcwBlAGMAdABpAG8AbgAgADEALgA4AC4AMgAgAEwAZQBhAGMAaABpAG4AZwAsACAAYwBsAGkAbQBhAHQAZQAgAGEAbgBkACAAcgBhAGkAbgBmAGEAbABsACAAegBvAG4AZQBzAFwAbgBJAFAAQwBDADoAIABOADIATwAgAEUATQBJAFMAUwBJAE8ATgBTACAARgBSAE8ATQAgAE0AQQBOAEEARwBFAEQAIABTAE8ASQBMAFMALAAgAEEATgBEACAAQwBPADIAIABFAE0ASQBTAFMASQBPAE4AUwAgAEYAUgBPAE0AIABMAEkATQBFACAAQQBOAEQAIABVAFIARQBBACAAQQBQAFAATABJAEMAQQBUAEkATwBOAFwAbgAtAC0ALQAtAC0ALQAtAC0ALQAtAC0ALQAtAC0ALQAtAC0ALQAtAC0ALQAtAC0ALQAtAC0ALQAtAC0ALQAtAC0ALQAtAC0ALQAtAC0AXABuACoALwBcAG4AXABuAEMAbwBtAG0AbwBuAF8AUwBvAHUAcgBjAGUARABhAHQAYQBfAEYAcgBhAGMAVwBFAFQASQByAHIAaQBnAGEAdABpAG8AbgBfAFQAaQB0AGwAZQBcAG4AIAAgAD0ATABBAE0AQgBEAEEAKABcACIARgByAGEAYwBXAEUAVAAgAGYAbwByACAAaQByAHIAaQBnAGEAdABpAG8AbgAgAHQAeQBwAGUAcwBcACIAKQA7AFwAbgBcAG4AQwBvAG0AbQBvAG4AXwBTAG8AdQByAGMAZQBEAGEAdABhAF8ARgByAGEAYwBXAEUAVABJAHIAcgBpAGcAYQB0AGkAbwBuAF8AVQBuAGkAdABcAG4AIAAgAD0ATABBAE0AQgBEAEEAKABcACIAZABpAG0AZQBuAHMAaQBvAG4AbABlAHMAcwBcACIAKQA7AFwAbgBcAG4AQwBvAG0AbQBvAG4AXwBTAG8AdQByAGMAZQBEAGEAdABhAF8ARgByAGEAYwBXAEUAVABJAHIAcgBpAGcAYQB0AGkAbwBuAF8AUwBvAHUAcgBjAGUAXABuACAAIAA9AEwAQQBNAEIARABBACgAXAAiAFYARQBFAFIARwAgADIAMAAyADYAOgAgAEMAaABhAHAAdABlAHIAIAAxACwAIABzAGUAYwB0AGkAbwBuACAAMQAuADgALgAyACAATABlAGEAYwBoAGkAbgBnACwAIABjAGwAaQBtAGEAdABlACAAYQBuAGQAIAByAGEAaQBuAGYAYQBsAGwAIAB6AG8AbgBlAHMAXAAiACkAOwBcAG4AXABuAEMAbwBtAG0AbwBuAF8AUwBvAHUAcgBjAGUARABhAHQAYQBfAEYAcgBhAGMAVwBFAFQASQByAHIAaQBnAGEAdABpAG8AbgBfAE4ASQBSAFIAZQBmAGUAcgBlAG4AYwBlAFwAbgAgACAAPQBMAEEATQBCAEQAQQAoAFwAIgBJAFAAQwBDACAAMgAwADEAOQAgAFIAZQBmAGkAbgBlAG0AZQBuAHQAIABWAG8AbAB1AG0AZQAgADQAOgAgAEMAaABhAHAAdABlAHIAIAAxADEAOgAgAE4AMgBPACAARQBtAGkAcwBzAGkAbwBuAHMAIABmAHIAbwBtACAATQBhAG4AYQBnAGUAZAAgAFMAbwBpAGwAcwAsACAAYQBuAGQAIABDAE8AMgAgAEUAbQBpAHMAcwBpAG8AbgBzACAAZgByAG8AbQAgAEwAaQBtAGUAIABhAG4AZAAgAFUAcgBlAGEAIABBAHAAcABsAGkAYwBhAHQAaQBvAG4AXAAiACkAOwBcAG4AXABuAEMAbwBtAG0AbwBuAF8AUwBvAHUAcgBjAGUARABhAHQAYQBfAEYAcgBhAGMAVwBFAFQASQByAHIAaQBnAGEAdABpAG8AbgBfAEQAYQB0AGEAXABuACAAIAA9AEwAQQBNAEIARABBACgAXABuACAAIAAgACAATQBBAEsARQBBAFIAUgBBAFkAKAA2ACwAIAAyACwAIABcAG4AIAAgACAAIAAgACAATABBAE0AQgBEAEEAKAByACwAYwAsACAAXABuACAAIAAgACAAIAAgACAAIABJAE4ARABFAFgAKAB7AFwAbgAgACAAIAAgACAAIAAgACAAIAAgAFwAIgBJAHIAcgBpAGcAYQB0AGkAbwBuACAAdAB5AHAAZQAgAGkAcgBcACIALABcACIARgByAGEAYwBXAEUAVABcACIAOwBcAG4AIAAgACAAIAAgACAAIAAgACAAIABcACIATgBvAHQAIABpAHIAcgBpAGcAYQB0AGUAZABcACIALAAgADAAOwBcAG4AIAAgACAAIAAgACAAIAAgACAAIABcACIARAByAGkAcAAgAGkAcgByAGkAZwBhAHQAaQBvAG4AXAAiACwAIAAwADsAXABuACAAIAAgACAAIAAgACAAIAAgACAAXAAiAFMAcAByAGkAbgBrAGwAZQByACAAaQByAHIAaQBnAGEAdABpAG8AbgBcACIALAAgADEAOwBcAG4AIAAgACAAIAAgACAAIAAgACAAIABcACIAUwB1AHIAZgBhAGMAZQAgAGkAcgByAGkAZwBhAHQAaQBvAG4AXAAiACwAIAAxADsAXABuACAAIAAgACAAIAAgACAAIAAgACAAXAAiAE8AdABoAGUAcgAgAGkAcgByAGkAZwBhAHQAaQBvAG4AXAAiACwAIAAxAFwAbgAgACAAIAAgACAAIAAgACAAfQAsACAAcgAsACAAYwApAFwAbgAgACAAIAAgACAAIAApAFwAbgAgACAAIAAgACkAXABuACAAIAApADsAXABuAFwAbgAgACAAQwBvAG0AbQBvAG4AXwBTAG8AdQByAGMAZQBEAGEAdABhAF8ARgByAGEAYwBXAEUAVABJAHIAcgBpAGcAYQB0AGkAbwBuAF8AVgBhAHIAaQBhAHQAaQBvAG4AXABuACAAIAA9AEwAQQBNAEIARABBACgAXAAiAFYAQQBSAEkAQQBUAEkATwBOACAARgBSAE8ATQAgAFMATwBVAFIAQwBFACAARABBAFQAQQA6ACAAVABhAGIAbABlACAAYwByAGUAYQB0AGUAZAAgAGIAYQBzAGUAZAAgAG8AbgAgAFYARQBFAFIARwAgAHQAZQB4AHQAIABcAHUAMAAwADIANwBBAHIAZQBhAHMAIABhAHIAZQAgAHMAdQBiAGoAZQBjAHQAIAB0AG8AIABsAGUAYQBjAGgAaQBuAGcAIAAoAGkALgBlAC4ALAAgAGkAbgAgAHQAaABlACAAbABlAGEAYwBoAGkAbgBnACAAegBvAG4AZQApACAAdwBoAGUAbgAuAC4ALgAgAHQAaABlACAAbABhAG4AZAAgAGkAcwAgAGkAcgByAGkAZwBhAHQAZQBkACAAKABlAHgAYwBlAHAAdAAgAGQAcgBpAHAAIABpAHIAcgBpAGcAYQB0AGkAbwBuACkALgBcAHUAMAAwADIANwBcACIAKQA7AFwAbgBcAG4AXABuAC8AKgAgAFwAbgAtAC0ALQAtAC0ALQAtAC0ALQAtAC0ALQAtAC0ALQAtAC0ALQAtAC0ALQAtAC0ALQAtAC0ALQAtAC0ALQAtAC0ALQAtAC0ALQAtAC0AXABuAEMAbwBtAG0AbwBuAF8AUwBvAHUAcgBjAGUARABhAHQAYQBfAEUARgBQAGEAcwB0AHUAcgBlAFIAYQBuAGcAZQBBAG4AZABQAGEAZABkAG8AYwBrAFwAbgBUAGEAYgBsAGUAIABBAC4AMgAuADIALgAyADoAIABFAG0AaQBzAHMAaQBvAG4AIABmAGEAYwB0AG8AcgAgAGYAbwByACAAdQByAGkAbgBlACAAYQBuAGQAIABkAHUAbgBnACAAZABlAHAAbwBzAGkAdABlAGQAIABvAG4AIABwAGEAcwB0AHUAcgBlACwAIAByAGEAbgBnAGUAIABvAHIAIABwAGEAZABkAG8AYwBrACAAKABrAGcAIABOADIATwAtAE4ALwBrAGcAIABOACkAIAAoAEUARgBQAFIAUAApAFwAbgAtAC0ALQAtAC0ALQAtAC0ALQAtAC0ALQAtAC0ALQAtAC0ALQAtAC0ALQAtAC0ALQAtAC0ALQAtAC0ALQAtAC0ALQAtAC0ALQAtAC0AXABuACoALwBcAG4AXABuAEMAbwBtAG0AbwBuAF8AUwBvAHUAcgBjAGUARABhAHQAYQBfAEUARgBQAGEAcwB0AHUAcgBlAFIAYQBuAGcAZQBBAG4AZABQAGEAZABkAG8AYwBrAF8AVABpAHQAbABlAFwAbgAgACAAPQBMAEEATQBCAEQAQQAoAFwAIgBFAG0AaQBzAHMAaQBvAG4AIABmAGEAYwB0AG8AcgAgAGYAbwByACAAdQByAGkAbgBlACAAYQBuAGQAIABkAHUAbgBnACAAZABlAHAAbwBzAGkAdABlAGQAIABvAG4AIABwAGEAcwB0AHUAcgBlACwAIAByAGEAbgBnAGUAIABvAHIAIABwAGEAZABkAG8AYwBrAFwAIgApADsAXABuAFwAbgBDAG8AbQBtAG8AbgBfAFMAbwB1AHIAYwBlAEQAYQB0AGEAXwBFAEYAUABhAHMAdAB1AHIAZQBSAGEAbgBnAGUAQQBuAGQAUABhAGQAZABvAGMAawBfAFUAbgBpAHQAXABuACAAIAA9AEwAQQBNAEIARABBACgAXAAiAGsAZwAgAE4AMgBPACAALQAgAE4AIAAvACAAawBnACAATgBcACIAKQA7AFwAbgBcAG4AQwBvAG0AbQBvAG4AXwBTAG8AdQByAGMAZQBEAGEAdABhAF8ARQBGAFAAYQBzAHQAdQByAGUAUgBhAG4AZwBlAEEAbgBkAFAAYQBkAGQAbwBjAGsAXwBTAG8AdQByAGMAZQBcAG4AIAAgAD0ATABBAE0AQgBEAEEAKABcACIAVgBFAEUAUgBHACAAMgAwADIANgA6ACAAVABhAGIAbABlACAAQQAuADIALgAyAC4AMgBcACIAKQA7AFwAbgBcAG4AQwBvAG0AbQBvAG4AXwBTAG8AdQByAGMAZQBEAGEAdABhAF8ARQBGAFAAYQBzAHQAdQByAGUAUgBhAG4AZwBlAEEAbgBkAFAAYQBkAGQAbwBjAGsAXwBOAEkAUgBSAGUAZgBlAHIAZQBuAGMAZQBcAG4AIAAgAD0ATABBAE0AQgBEAEEAKABcACIAXAAiACkAOwBcAG4AXABuAEMAbwBtAG0AbwBuAF8AUwBvAHUAcgBjAGUARABhAHQAYQBfAEUARgBQAGEAcwB0AHUAcgBlAFIAYQBuAGcAZQBBAG4AZABQAGEAZABkAG8AYwBr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QAFIAUABcACIAOwBcAG4AIAAgACAAIAAgACAAIAAgACAAIABcACIAVwBlAHQAIABjAGwAaQBtAGEAdABlACAAegBvAG4AZQBcACIALAAgADAALgAwADAANgA7AFwAbgAgACAAIAAgACAAIAAgACAAIAAgAFwAIgBEAHIAeQAgAGMAbABpAG0AYQB0AGUAIAB6AG8AbgBlAFwAIgAsACAAMAAuADAAMAAyAFwAbgAgACAAIAAgACAAIAAgACAAfQAsACAAcgAsACAAYwApAFwAbgAgACAAIAAgACAAIAApAFwAbgAgACAAIAAgACkAXABuACAAIAApADsAXABuAFwAbgAgACAAQwBvAG0AbQBvAG4AXwBTAG8AdQByAGMAZQBEAGEAdABhAF8ARQBGAFAAYQBzAHQAdQByAGUAUgBhAG4AZwBlAEEAbgBkAFAAYQBkAGQAbwBjAGsAXwBWAGEAcgBpAGEAdABpAG8AbgBcAG4AIAAgAD0ATABBAE0AQgBEAEEAKABcACIAVgBBAFIASQBBAFQASQBPAE4AIABGAFIATwBNACAAUwBPAFUAUgBDAEUAIABEAEEAVABBADoAIABDAGgAYQBuAGcAZQBkACAAXAB1ADAAMAAyADcARAByAHkAIABjAGwAaQBtAGEAdABlACAAegBvAG4AZQBzAFwAdQAwADAAMgA3ACAAdABvACAAcwBpAG4AZwB1AGwAYQByACAAXAB1ADAAMAAyADcARAByAHkAIABjAGwAaQBtAGEAdABlACAAegBvAG4AZQBcAHUAMAAwADIANwAgAHQAbwAgAGEAaQBkACAAbABvAG8AawB1AHAALgBcACIAKQA7AFwAbgBcAG4AXABuAC8AKgAgAFwAbgAtAC0ALQAtAC0ALQAtAC0ALQAtAC0ALQAtAC0ALQAtAC0ALQAtAC0ALQAtAC0ALQAtAC0ALQAtAC0ALQAtAC0ALQAtAC0ALQAtAC0AXABuAEMAbwBtAG0AbwBuAF8AUwBvAHUAcgBjAGUARABhAHQAYQBfAE0AbwBuAHQAaABzAFQAbwBTAGUAYQBzAG8AbgBzAFwAbgAtAC0ALQAtAC0ALQAtAC0ALQAtAC0ALQAtAC0ALQAtAC0ALQAtAC0ALQAtAC0ALQAtAC0ALQAtAC0ALQAtAC0ALQAtAC0ALQAtAC0AXABuACoALwBcAG4AXABuAEMAbwBtAG0AbwBuAF8AUwBvAHUAcgBjAGUARABhAHQAYQBfAE0AbwBuAHQAaABzAFQAbwBTAGUAYQBzAG8AbgBzAF8AVABpAHQAbABlAFwAbgAgACAAPQBMAEEATQBCAEQAQQAoAFwAIgBNAG8AbgB0AGgAcwAgAHQAbwAgAFMAZQBhAHMAbwBuAHMAIABNAGEAcABwAGkAbgBnAFwAIgApADsAXABuAFwAbgBDAG8AbQBtAG8AbgBfAFMAbwB1AHIAYwBlAEQAYQB0AGEAXwBNAG8AbgB0AGgAcwBUAG8AUwBlAGEAcwBvAG4AcwBfAFUAbgBpAHQAXABuACAAIAA9AEwAQQBNAEIARABBACgAXAAiAFwAIgApADsAXABuAFwAbgBDAG8AbQBtAG8AbgBfAFMAbwB1AHIAYwBlAEQAYQB0AGEAXwBNAG8AbgB0AGgAcwBUAG8AUwBlAGEAcwBvAG4AcwBfAFMAbwB1AHIAYwBlAFwAbgAgACAAPQBMAEEATQBCAEQAQQAoAFwAIgBcACIAKQA7AFwAbgBcAG4AQwBvAG0AbQBvAG4AXwBTAG8AdQByAGMAZQBEAGEAdABhAF8ATQBvAG4AdABoAHMAVABvAFMAZQBhAHMAbwBuAHMAXwBOAEkAUgBSAGUAZgBlAHIAZQBuAGMAZQBcAG4AIAAgAD0ATABBAE0AQgBEAEEAKABcACIAXAAiACkAOwBcAG4AXABuAEMAbwBtAG0AbwBuAF8AUwBvAHUAcgBjAGUARABhAHQAYQBfAE0AbwBuAHQAaABzAFQAbwBTAGUAYQBzAG8AbgBzAF8ARABhAHQAYQBcAG4AIAAgAD0ATABBAE0AQgBEAEEAKABcAG4AIAAgACAAIABNAEEASwBFAEEAUgBSAEEAWQAoADEAMwAsACAAMgAsACAAXABuACAAIAAgACAAIAAgAEwAQQBNAEIARABBACgAcgAsAGMALAAgAFwAbgAgACAAIAAgACAAIAAgACAASQBOAEQARQBYACgAewBcAG4AIAAgACAAIAAgACAAIAAgACAAIABcACIATQBvAG4AdABoAFwAIgAsACAAXAAiAFMAZQBhAHMAbwBuAFwAIgA7AFwAbgAgACAAIAAgACAAIAAgACAAIAAgAFwAIgBKAGEAbgB1AGEAcgB5AFwAIgAsACAAXAAiAFMAdQBtAG0AZQByAFwAIgA7AFwAbgAgACAAIAAgACAAIAAgACAAIAAgAFwAIgBGAGUAYgByAHUAYQByAHkAXAAiACwAIABcACIAUwB1AG0AbQBlAHIAXAAiADsAXABuACAAIAAgACAAIAAgACAAIAAgACAAXAAiAE0AYQByAGMAaABcACIALAAgAFwAIgBBAHUAdAB1AG0AbgBcACIAOwBcAG4AIAAgACAAIAAgACAAIAAgACAAIABcACIAQQBwAHIAaQBsAFwAIgAsACAAXAAiAEEAdQB0AHUAbQBuAFwAIgA7AFwAbgAgACAAIAAgACAAIAAgACAAIAAgAFwAIgBNAGEAeQBcACIALAAgAFwAIgBBAHUAdAB1AG0AbgBcACIAOwBcAG4AIAAgACAAIAAgACAAIAAgACAAIABcACIASgB1AG4AZQBcACIALAAgAFwAIgBXAGkAbgB0AGUAcgBcACIAOwBcAG4AIAAgACAAIAAgACAAIAAgACAAIABcACIASgB1AGwAeQBcACIALAAgAFwAIgBXAGkAbgB0AGUAcgBcACIAOwBcAG4AIAAgACAAIAAgACAAIAAgACAAIABcACIAQQB1AGcAdQBzAHQAXAAiACwAIABcACIAVwBpAG4AdABlAHIAXAAiADsAXABuACAAIAAgACAAIAAgACAAIAAgACAAXAAiAFMAZQBwAHQAZQBtAGIAZQByAFwAIgAsACAAXAAiAFMAcAByAGkAbgBnAFwAIgA7AFwAbgAgACAAIAAgACAAIAAgACAAIAAgAFwAIgBPAGMAdABvAGIAZQByAFwAIgAsACAAXAAiAFMAcAByAGkAbgBnAFwAIgA7AFwAbgAgACAAIAAgACAAIAAgACAAIAAgAFwAIgBOAG8AdgBlAG0AYgBlAHIAXAAiACwAIABcACIAUwBwAHIAaQBuAGcAXAAiADsAXABuACAAIAAgACAAIAAgACAAIAAgACAAXAAiAEQAZQBjAGUAbQBiAGUAcgBcACIALAAgAFwAIgBTAHUAbQBtAGUAcgBcACIAXABuACAAIAAgACAAIAAgACAAIAB9ACwAIAByACwAIABjACkAXABuACAAIAAgACAAIAAgACkAXABuACAAIAAgACAAKQBcAG4AIAAgACkAOwBcAG4AXABuACAAIABDAG8AbQBtAG8AbgBfAFMAbwB1AHIAYwBlAEQAYQB0AGEAXwBNAG8AbgB0AGgAcwBUAG8AUwBlAGEAcwBvAG4AcwBfAFYAYQByAGkAYQB0AGkAbwBuAFwAbgAgACAAPQBMAEEATQBCAEQAQQAoAFwAIgBcACIAKQA7AFwAbgBcAG4AXABuAFwAbgAvACoAIABcAG4ALQAtAC0ALQAtAC0ALQAtAC0ALQAtAC0ALQAtAC0ALQAtAC0ALQAtAC0ALQAtAC0ALQAtAC0ALQAtAC0ALQAtAC0ALQAtAC0ALQAtAFwAbgBDAG8AbQBtAG8AbgBfAFMAbwB1AHIAYwBlAEQAYQB0AGEAXwBNAEMARgBUAGUAbQBwAGUAcgBhAHQAdQByAGUAWgBvAG4AZQBcAG4ALQAtAC0ALQAtAC0ALQAtAC0ALQAtAC0ALQAtAC0ALQAtAC0ALQAtAC0ALQAtAC0ALQAtAC0ALQAtAC0ALQAtAC0ALQAtAC0ALQAtAFwAbgAqAC8AXABuAFwAbgBDAG8AbQBtAG8AbgBfAFMAbwB1AHIAYwBlAEQAYQB0AGEAXwBNAEMARgBUAGUAbQBwAGUAcgBhAHQAdQByAGUAWgBvAG4AZQBfAFQAaQB0AGwAZQBcAG4AIAAgAD0ATABBAE0AQgBEAEEAKABcACIATQBhAG4AdQByAGUAIABNAGEAbgBhAGcAZQBtAGUAbgB0ACAAEyAgAE0AZQB0AGgAYQBuAGUAIABjAG8AbgB2AGUAcgBzAGkAbwBuACAAZgBhAGMAdABvAHIAIABwAGUAcgAgAHQAZQBtAHAAZQByAGEAdAB1AHIAZQAgAHoAbwBuAGUAIAAoAGYAcgBhAGMAdABpAG8AbgApACAAKABNAEMARgBpAG0AKQBcACIAKQA7AFwAbgBcAG4AQwBvAG0AbQBvAG4AXwBTAG8AdQByAGMAZQBEAGEAdABhAF8ATQBDAEYAVABlAG0AcABlAHIAYQB0AHUAcgBlAFoAbwBuAGUAXwBVAG4AaQB0AFwAbgAgACAAPQBMAEEATQBCAEQAQQAoAFwAIgBmAHIAYQBjAHQAaQBvAG4AXAAiACkAOwBcAG4AXABuAEMAbwBtAG0AbwBuAF8AUwBvAHUAcgBjAGUARABhAHQAYQBfAE0AQwBGAFQAZQBtAHAAZQByAGEAdAB1AHIAZQBaAG8AbgBlAF8AUwBvAHUAcgBjAGUAXABuACAAIAA9AEwAQQBNAEIARABBACgAXAAiAFYARQBFAFIARwAgADIAMAAyADYAOgAgAFQAYQBiAGwAZQAgAEEALgAxAC4AOAAuADEAXAAiACkAOwBcAG4AXABuAEMAbwBtAG0AbwBuAF8AUwBvAHUAcgBjAGUARABhAHQAYQBfAE0AQwBGAFQAZQBtAHAAZQByAGEAdAB1AHIAZQBaAG8AbgBlAF8ARABhAHQAYQBcAG4AIAAgAD0ATABBAE0AQgBEAEEAKABcAG4AIAAgACAAIABNAEEASwBFAEEAUgBSAEEAWQAoADIAMQAsACAAMQA2ACwAIABcAG4AIAAgACAAIAAgACAATABBAE0AQgBEAEEAKAByACwAYwAsACAAXABuACAAIAAgACAAIAAgACAAIABJAE4ARABFAFgAKAB7AFwAbgAgACAAIAAgACAAIAAgACAAIAAgAFwAIgBUAGUAbQBwAGUAcgBhAHQAdQByAGUAIAB6AG8AbgBlAFwAIgAsACAAXAAiAE0AQQBUACAAKAC6AEMAKQBcACIALAAgAFwAIgBVAG4AYwBvAHYAZQByAGUAZAAgAGEAbgBlAHIAbwBiAGkAYwAgAGwAYQBnAG8AbwBuAFwAIgAsACAAXAAiAEMAbwB2AGUAcgBlAGQAIABsAGEAZwBvAG8AbgBcACIALAAgAFwAIgBMAGkAcQB1AGkAZAAgAFMAbAB1AHIAcgB5ACAAKAB3AGkAdABoAG8AdQB0ACAAbgBhAHQAdQByAGEAbAAgAGMAcgB1AHMAdAApAFwAIgAsACAAXAAiAEQAYQBpAGwAeQAgAHMAcAByAGUAYQBkACAAKABiACkAXAAiACwAIABcACIAQwBvAG0AcABvAHMAdABpAG4AZwAgACgAcABhAHMAcwBpAHYAZQAgAHcAaQBuAGQAcgBvAHcAKQBcACIALAAgAFwAIgBTAG8AbABpAGQAIABTAHQAbwByAGEAZwBlAFwAIgAsACAAXAAiAFAAaQB0ACAAUwB0AG8AcgBhAGcAZQAgAFwAdQAwADAAMwBjADEAIABtAG8AbgB0AGgAXAAiACwAIABcACIARABlAGUAcAAgAEwAaQB0AHQAZQByAFwAIgAsACAAXAAiAFAAbwB1AGwAdAByAHkAIABNAGEAbgB1AHIAZQAgACgAdwBpAHQAaAAvAHcAaQB0AGgAbwB1AHQAIABsAGkAdAB0AGUAcgApAFwAIgAsACAAXAAiAFwAIgAsACAAXAAiAEQAaQByAGUAYwB0ACAAcAByAG8AYwBlAHMAcwBpAG4AZwAgAGkAbgB0AG8AIABwAGUAbABsAGUAdABpAHoAZQBkACAAZgBlAHIAdABpAGwAaQBzAGUAcgBcACIALAAgAFwAIgBEAGkAcgBlAGMAdAAgAGEAcABwAGwAaQBjAGEAdABpAG8AbgAgAHQAbwAgAHMAbwBpAGwAXAAiACwAIABcACIAUABhAHMAdAB1AHIAZQAsACAAUgBhAG4AZwBlACAAYQBuAGQAIABQAGEAZABkAG8AYwBrACAAKABjACkAKABkACkAXAAiACwAIABcACIATQBBAFQAIAByAGEAdwBcACIAOwBcAG4AIAAgACAAIAAgACAAIAAgACAAIABcACIAQwBvAG8AbABcACIALAAgAFwAIgBkIjEAMABcACIALAAgADAALgA2ADYALAAgADAALgAxACwAIAAwAC4AMQAsACAAMAAuADAAMAAxACwAIAAwAC4AMAAwADUALAAgADAALgAwADIALAAgADAALgAwADMALAAgADAALgAwADQALAAgADAALgAwADEANQAsACAAMAAuADAAMQA1ACwAIAAwACwAIAAwACwAIAAwAC4AMAAwADQANwAsACAAMQAwADsAXABuACAAIAAgACAAIAAgACAAIAAgACAAXAAiAEMAbwBvAGwAXAAiACwAIAAxADEALAAgADAALgA2ADgALAAgADAALgAxACwAIAAwAC4AMQAxACwAIAAwAC4AMAAwADEALAAgADAALgAwADAANQAsACAAMAAuADAAMgAsACAAMAAuADAAMwAsACAAMAAuADAANAAsACAAMAAuADAAMQA1ACwAIAAwAC4AMAAxADUALAAgADAALAAgADAALAAgADAALgAwADAANAA3ACwAIAAxADEAOwBcAG4AIAAgACAAIAAgACAAIAAgACAAIABcACIAQwBvAG8AbABcACIALAAgADEAMgAsACAAMAAuADcALAAgADAALgAxACwAIAAwAC4AMQAzACwAIAAwAC4AMAAwADEALAAgADAALgAwADAANQAsACAAMAAuADAAMgAsACAAMAAuADAAMwAsACAAMAAuADAANAAsACAAMAAuADAAMQA1ACwAIAAwAC4AMAAxADUALAAgADAALAAgADAALAAgADAALgAwADAANAA3ACwAIAAxADIAOwBcAG4AIAAgACAAIAAgACAAIAAgACAAIABcACIAQwBvAG8AbABcACIALAAgADEAMwAsACAAMAAuADcAMQAsACAAMAAuADEALAAgADAALgAxADQALAAgADAALgAwADAAMQAsACAAMAAuADAAMAA1ACwAIAAwAC4AMAAyACwAIAAwAC4AMAAzACwAIAAwAC4AMAA0ACwAIAAwAC4AMAAxADUALAAgADAALgAwADEANQAsACAAMAAsACAAMAAsACAAMAAuADAAMAA0ADcALAAgADEAMwA7AFwAbgAgACAAIAAgACAAIAAgACAAIAAgAFwAIgBDAG8AbwBsAFwAIgAsACAAMQA0ACwAIAAwAC4ANwAzACwAIAAwAC4AMQAsACAAMAAuADEANQAsACAAMAAuADAAMAAxACwAIAAwAC4AMAAwADUALAAgADAALgAwADIALAAgADAALgAwADMALAAgADAALgAwADQALAAgADAALgAwADEANQAsACAAMAAuADAAMQA1ACwAIAAwACwAIAAwACwAIAAwAC4AMAAwADQANwAsACAAMQA0ADsAXABuACAAIAAgACAAIAAgACAAIAAgACAAXAAiAFQAZQBtAHAAZQByAGEAdABlAFwAIgAsACAAMQA1ACwAIAAwAC4ANwA0ACwAIAAwAC4AMQAsACAAMAAuADEANwAsACAAMAAuADAAMAA1ACwAIAAwAC4AMAAxACwAIAAwAC4AMAAyACwAIAAwAC4AMAAzACwAIAAwAC4AMAA0ACwAIAAwAC4AMAAxADUALAAgADAALgAwADEANQAsACAAMAAsACAAMAAsACAAMAAuADAAMAA0ADcALAAgADEANQA7AFwAbgAgACAAIAAgACAAIAAgACAAIAAgAFwAIgBUAGUAbQBwAGUAcgBhAHQAZQBcACIALAAgADEANgAsACAAMAAuADcANQAsACAAMAAuADEALAAgADAALgAxADgALAAgADAALgAwADAANQAsACAAMAAuADAAMQAsACAAMAAuADAAMgAsACAAMAAuADAAMwAsACAAMAAuADAANAAsACAAMAAuADAAMQA1ACwAIAAwAC4AMAAxADUALAAgADAALAAgADAALAAgADAALgAwADAANAA3ACwAIAAxADYAOwBcAG4AIAAgACAAIAAgACAAIAAgACAAIABcACIAVABlAG0AcABlAHIAYQB0AGUAXAAiACwAIAAxADcALAAgADAALgA3ADYALAAgADAALgAxACwAIAAwAC4AMgAsACAAMAAuADAAMAA1ACwAIAAwAC4AMAAxACwAIAAwAC4AMAAyACwAIAAwAC4AMAAzACwAIAAwAC4AMAA0ACwAIAAwAC4AMAAxADUALAAgADAALgAwADEANQAsACAAMAAsACAAMAAsACAAMAAuADAAMAA0ADcALAAgADEANwA7AFwAbgAgACAAIAAgACAAIAAgACAAIAAgAFwAIgBUAGUAbQBwAGUAcgBhAHQAZQBcACIALAAgADEAOAAsACAAMAAuADcANwAsACAAMAAuADEALAAgADAALgAyADIALAAgADAALgAwADAANQAsACAAMAAuADAAMQAsACAAMAAuADAAMgAsACAAMAAuADAAMwAsACAAMAAuADAANAAsACAAMAAuADAAMQA1ACwAIAAwAC4AMAAxADUALAAgADAALAAgADAALAAgADAALgAwADAANAA3ACwAIAAxADgAOwBcAG4AIAAgACAAIAAgACAAIAAgACAAIABcACIAVABlAG0AcABlAHIAYQB0AGUAXAAiACwAIAAxADkALAAgADAALgA3ADcALAAgADAALgAxACwAIAAwAC4AMgA0ACwAIAAwAC4AMAAwADUALAAgADAALgAwADEALAAgADAALgAwADIALAAgADAALgAwADMALAAgADAALgAwADQALAAgADAALgAwADEANQAsACAAMAAuADAAMQA1ACwAIAAwACwAIAAwACwAIAAwAC4AMAAwADQANwAsACAAMQA5ADsAXABuACAAIAAgACAAIAAgACAAIAAgACAAXAAiAFQAZQBtAHAAZQByAGEAdABlAFwAIgAsACAAMgAwACwAIAAwAC4ANwA4ACwAIAAwAC4AMQAsACAAMAAuADIANgAsACAAMAAuADAAMAA1ACwAIAAwAC4AMAAxACwAIAAwAC4AMAAyACwAIAAwAC4AMAAzACwAIAAwAC4AMAA0ACwAIAAwAC4AMAAxADUALAAgADAALgAwADEANQAsACAAMAAsACAAMAAsACAAMAAuADAAMAA0ADcALAAgADIAMAA7AFwAbgAgACAAIAAgACAAIAAgACAAIAAgAFwAIgBUAGUAbQBwAGUAcgBhAHQAZQBcACIALAAgADIAMQAsACAAMAAuADcAOAAsACAAMAAuADEALAAgADAALgAyADkALAAgADAALgAwADAANQAsACAAMAAuADAAMQAsACAAMAAuADAAMgAsACAAMAAuADAAMwAsACAAMAAuADAANAAsACAAMAAuADAAMQA1ACwAIAAwAC4AMAAxADUALAAgADAALAAgADAALAAgADAALgAwADAANAA3ACwAIAAyADEAOwBcAG4AIAAgACAAIAAgACAAIAAgACAAIABcACIAVABlAG0AcABlAHIAYQB0AGUAXAAiACwAIAAyADIALAAgADAALgA3ADgALAAgADAALgAxACwAIAAwAC4AMwAxACwAIAAwAC4AMAAwADUALAAgADAALgAwADEALAAgADAALgAwADIALAAgADAALgAwADMALAAgADAALgAwADQALAAgADAALgAwADEANQAsACAAMAAuADAAMQA1ACwAIAAwACwAIAAwACwAIAAwAC4AMAAwADQANwAsACAAMgAyADsAXABuACAAIAAgACAAIAAgACAAIAAgACAAXAAiAFQAZQBtAHAAZQByAGEAdABlAFwAIgAsACAAMgAzACwAIAAwAC4ANwA5ACwAIAAwAC4AMQAsACAAMAAuADMANAAsACAAMAAuADAAMAA1ACwAIAAwAC4AMAAxACwAIAAwAC4AMAAyACwAIAAwAC4AMAAzACwAIAAwAC4AMAA0ACwAIAAwAC4AMAAxADUALAAgADAALgAwADEANQAsACAAMAAsACAAMAAsACAAMAAuADAAMAA0ADcALAAgADIAMwA7AFwAbgAgACAAIAAgACAAIAAgACAAIAAgAFwAIgBUAGUAbQBwAGUAcgBhAHQAZQBcACIALAAgADIANAAsACAAMAAuADcAOQAsACAAMAAuADEALAAgADAALgAzADcALAAgADAALgAwADAANQAsACAAMAAuADAAMQAsACAAMAAuADAAMgAsACAAMAAuADAAMwAsACAAMAAuADAANAAsACAAMAAuADAAMQA1ACwAIAAwAC4AMAAxADUALAAgADAALAAgADAALAAgADAALgAwADAANAA3ACwAIAAyADQAOwBcAG4AIAAgACAAIAAgACAAIAAgACAAIABcACIAVABlAG0AcABlAHIAYQB0AGUAXAAiACwAIAAyADUALAAgADAALgA3ADkALAAgADAALgAxACwAIAAwAC4ANAAxACwAIAAwAC4AMAAwADUALAAgADAALgAwADEALAAgADAALgAwADIALAAgADAALgAwADMALAAgADAALgAwADQALAAgADAALgAwADEANQAsACAAMAAuADAAMQA1ACwAIAAwACwAIAAwACwAIAAwAC4AMAAwADQANwAsACAAMgA1ADsAXABuACAAIAAgACAAIAAgACAAIAAgACAAXAAiAFcAYQByAG0AXAAiACwAIAAyADYALAAgADAALgA3ADkALAAgADAALgAxACwAIAAwAC4ANAA0ACwAIAAwAC4AMAAxACwAIAAwAC4AMAAxADUALAAgADAALgAwADIALAAgADAALgAwADMALAAgADAALgAwADQALAAgADAALgAwADEANQAsACAAMAAuADAAMQA1ACwAIAAwACwAIAAwACwAIAAwAC4AMAAwADQANwAsACAAMgA2ADsAXABuACAAIAAgACAAIAAgACAAIAAgACAAXAAiAFcAYQByAG0AXAAiACwAIAAyADcALAAgADAALgA4ACwAIAAwAC4AMQAsACAAMAAuADQAOAAsACAAMAAuADAAMQAsACAAMAAuADAAMQA1ACwAIAAwAC4AMAAyACwAIAAwAC4AMAAzACwAIAAwAC4AMAA0ACwAIAAwAC4AMAAxADUALAAgADAALgAwADEANQAsACAAMAAsACAAMAAsACAAMAAuADAAMAA0ADcALAAgADIANwA7AFwAbgAgACAAIAAgACAAIAAgACAAIAAgAFwAIgBXAGEAcgBtAFwAIgAsACAAXAAiAGUiMgA4AFwAIgAsACAAMAAuADgALAAgADAALgAxACwAIAAwAC4ANQAsACAAMAAuADAAMQAsACAAMAAuADAAMQA1ACwAIAAwAC4AMAAyACwAIAAwAC4AMAAzACwAIAAwAC4AMAA0ACwAIAAwAC4AMAAxADUALAAgADAALgAwADEANQAsACAAMAAsACAAMAAsACAAMAAuADAAMAA0ADcALAAgADIAOAA7AFwAbgAgACAAIAAgACAAIAAgACAAIAAgAFwAIgBcACIALAAgAFwAIgBcACIALAAgAFwAIgBBAG4AYQBlAHIAbwBiAGkAYwAgAGwAYQBnAG8AbwBuAFwAIgAsACAAXAAiAEQAaQBnAGUAcwB0AGUAcgAgAC8AIABjAG8AdgBlAHIAZQBkACAAbABhAGcAbwBvAG4AcwBcACIALAAgAFwAIgBMAGkAcQB1AGkAZAAgAHMAeQBzAHQAZQBtAHMAXAAiACwAIABcACIARABhAGkAbAB5ACAAcwBwAHIAZQBhAGQAXAAiACwAIABcACIAQwBvAG0AcABvAHMAdABpAG4AZwAgACgAcABhAHMAcwBpAHYAZQAgAHcAaQBuAGQAcgBvAHcAKQBcACIALAAgAFwAIgBTAG8AbABpAGQAIABzAHQAbwByAGEAZwBlAFwAIgAsACAAXAAiAFAAaQB0ACAAcwB0AG8AcgBhAGcAZQBcACIALAAgAFwAIgBEAGUAZQBwACAAbABpAHQAdABlAHIAXAAiACwAIABcACIAUABvAHUAbAB0AHIAeQAgAG0AYQBuAHUAcgBlACAAdwBpAHQAaAAgAGIAZQBkAGQAaQBuAGcAXAAiACwAIABcACIAUABvAHUAbAB0AHIAeQAgAG0AYQBuAHUAcgBlACAAdwBpAHQAaABvAHUAdAAgAGIAZQBkAGQAaQBuAGcAXAAiACwAIABcACIARABpAHIAZQBjAHQAIABwAHIAbwBjAGUAcwBzAGkAbgBnAFwAIgAsACAAXAAiAEQAaQByAGUAYwB0ACAAYQBwAHAAbABpAGMAYQB0AGkAbwBuAFwAIgAsACAAXAAiAFAAYQBzAHQAdQByAGUAIAByAGEAbgBnAGUAIABhAG4AZAAgAHAAYQBkAGQAbwBjAGsAXAAiACwAIABcACIATQBBAFQAIAByAGEAdwBcACIAIABcAG4AIAAgACAAIAAgACAAIAAgAH0ALAAgAHIALAAgAGMAKQBcAG4AIAAgACAAIAAgACAAKQBcAG4AIAAgACAAIAApAFwAbgAgACAAKQA7AFwAbgBcAG4AQwBvAG0AbQBvAG4AXwBTAG8AdQByAGMAZQBEAGEAdABhAF8ATQBDAEYAVABlAG0AcABlAHIAYQB0AHUAcgBlAFoAbwBuAGUAXwBWAGEAcgBpAGEAdABpAG8AbgBcAG4AIAAgAD0ATABBAE0AQgBEAEEAKABcACIAVgBBAFIASQBBAFQASQBPAE4AIABGAFIATwBNACAAUwBPAFUAUgBDAEUAOgAgAEEAZABkAGUAZAAgAHIAbwB3ACAAbwBmACAATgBJAFIAIABNAE0AQQAgAGQAZQBmAGkAbgBpAHQAaQBvAG4AcwAgAHQAbwAgAGEAaQBkACAAbABvAG8AawB1AHAALgAgAEQAdQBwAGwAaQBjAGEAdABlAGQAIABcAHUAMAAwADIANwBQAG8AdQBsAHQAcgB5ACAAdwBpAHQAaAAgAGEAbgBkACAAdwBpAHQAaABvAHUAdAAgAGwAaQB0AHQAZQByAFwAdQAwADAAMgA3ACAAYwBvAGwAdQBtAG4AIAB3AGkAdABoACAAcwBlAHAAYQByAGEAdABlACAATgBJAFIAIABkAGUAZgBpAG4AaQB0AGkAbwBuAHMAIAB0AG8AIABhAGkAZAAgAGwAbwBvAGsAdQBwAC4AIABBAGQAZABlAGQAIABcAHUAMAAwADIANwBNAEEAVAAgAHIAYQB3AFwAdQAwADAAMgA3ACAAYwBvAGwAdQBtAG4AIAB0AG8AIABhAGwAbABvAHcAIABsAG8AbwBrAHUAcAAgAG8AZgAgAG4AdQBtAGIAZQByAHMALgBcACIAKQA7AFwAbgBcAG4AXABuAFwAbgAvACoAIABcAG4ALQAtAC0ALQAtAC0ALQAtAC0ALQAtAC0ALQAtAC0ALQAtAC0ALQAtAC0ALQAtAC0ALQAtAC0ALQAtAC0ALQAtAC0ALQAtAC0ALQAtAFwAbgBDAG8AbQBtAG8AbgBfAFMAbwB1AHIAYwBlAEQAYQB0AGEAXwBFAEYATwByAGcAYQBuAGkAYwBGAGUAcgB0AGkAbABpAHMAZQByAEEAbgBkAEMAcgBvAHAAUgBlAHMAaQBkAHUAZQBzAFwAbgAtAC0ALQAtAC0ALQAtAC0ALQAtAC0ALQAtAC0ALQAtAC0ALQAtAC0ALQAtAC0ALQAtAC0ALQAtAC0ALQAtAC0ALQAtAC0ALQAtAC0AXABuACoALwBcAG4AXABuAEMAbwBtAG0AbwBuAF8AUwBvAHUAcgBjAGUARABhAHQAYQBfAEUARgBPAHIAZwBhAG4AaQBjAEYAZQByAHQAaQBsAGkAcwBlAHIAQQBuAGQAQwByAG8AcABSAGUAcwBpAGQAdQBlAHMAXwBUAGkAdABsAGUAXABuACAAIAA9AEwAQQBNAEIARABBACgAXAAiAEUAbQBpAHMAcwBpAG8AbgAgAGYAYQBjAHQAbwByACAAZgBvAHIAIABvAHIAZwBhAG4AaQBjACAAZgBlAHIAdABpAGwAaQBzAGUAcgAgAGEAbgBkACAAYwByAG8AcAAgAHIAZQBzAGkAZAB1AGUAcwAgAHIAZQB0AHUAcgBuAGUAZAAgAHQAbwAgAHQAaABlACAAcwBvAGkAbABcACIAKQA7AFwAbgBcAG4AQwBvAG0AbQBvAG4AXwBTAG8AdQByAGMAZQBEAGEAdABhAF8ARQBGAE8AcgBnAGEAbgBpAGMARgBlAHIAdABpAGwAaQBzAGUAcgBBAG4AZABDAHIAbwBwAFIAZQBzAGkAZAB1AGUAcwBfAFYAYQByAGkAYQBiAGwAZQBcAG4AIAAgAD0ATABBAE0AQgBEAEEAKABcACIARQBGAE4AaQAgAFwAdQAwADAAMgA2ACAARQBGAE4AMgBPAGkAXAAiACkAOwBcAG4AXABuAEMAbwBtAG0AbwBuAF8AUwBvAHUAcgBjAGUARABhAHQAYQBfAEUARgBPAHIAZwBhAG4AaQBjAEYAZQByAHQAaQBsAGkAcwBlAHIAQQBuAGQAQwByAG8AcABSAGUAcwBpAGQAdQBlAHMAXwBVAG4AaQB0AFwAbgAgACAAPQBMAEEATQBCAEQAQQAoAFwAIgBrAGcAIABOADIATwAgAC0AIABOACAALwAgAGsAZwAgAE4AXAAiACkAOwBcAG4AXABuAEMAbwBtAG0AbwBuAF8AUwBvAHUAcgBjAGUARABhAHQAYQBfAEUARgBPAHIAZwBhAG4AaQBjAEYAZQByAHQAaQBsAGkAcwBlAHIAQQBuAGQAQwByAG8AcABSAGUAcwBpAGQAdQBlAHMAXwBTAG8AdQByAGMAZQBcAG4AIAAgAD0ATABBAE0AQgBEAEEAKABcACIAVgBFAEUAUgBHACAAMgAwADIANgA6ACAAVABhAGIAbABlACAAQQAuADIALgAxAC4ANABcACIAKQA7AFwAbgBcAG4AQwBvAG0AbQBvAG4AXwBTAG8AdQByAGMAZQBEAGEAdABhAF8ARQBGAE8AcgBnAGEAbgBpAGMARgBlAHIAdABpAGwAaQBzAGUAcgBBAG4AZABDAHIAbwBwAFIAZQBzAGkAZAB1AGUAcwBfAE4ASQBSAFIAZQBmAGUAcgBlAG4AYwBlAFwAbgAgACAAPQBMAEEATQBCAEQAQQAoAFwAIgBcACIAKQA7AFwAbgBcAG4AQwBvAG0AbQBvAG4AXwBTAG8AdQByAGMAZQBEAGEAdABhAF8ARQBGAE8AcgBnAGEAbgBpAGMARgBlAHIAdABpAGwAaQBzAGUAcgBBAG4AZABDAHIAbwBwAFIAZQBzAGkAZAB1AGUAc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TgBpACAAXAB1ADAAMAAyADYAIABFAEYATgAyAE8AXAAiADsAXABuACAAIAAgACAAIAAgACAAIAAgACAAXAAiAFcAZQB0ACAAYwBsAGkAbQBhAHQAZQAgAHoAbwBuAGUAXAAiACwAIAAwAC4AMAAwADYAOwBcAG4AIAAgACAAIAAgACAAIAAgACAAIABcACIARAByAHkAIABjAGwAaQBtAGEAdABlACAAegBvAG4AZQBcACIALAAgADAALgAwADAANQBcAG4AIAAgACAAIAAgACAAIAAgAH0ALAAgAHIALAAgAGMAKQBcAG4AIAAgACAAIAAgACAAKQBcAG4AIAAgACAAIAApAFwAbgAgACAAKQA7AFwAbgBcAG4AQwBvAG0AbQBvAG4AXwBTAG8AdQByAGMAZQBEAGEAdABhAF8ARQBGAE8AcgBnAGEAbgBpAGMARgBlAHIAdABpAGwAaQBzAGUAcgBBAG4AZABDAHIAbwBwAFIAZQBzAGkAZAB1AGUAcwBfAFYAYQByAGkAYQB0AGkAbwBuAFwAbgAgACAAPQBMAEEATQBCAEQAQQAoAFwAIgBcACIAKQA7AFwAbgBcAG4AXABuAFwAbgBcAG4AXABuAFwAbgBcAG4AXABuAFwAbgBcAG4AXABuAFwAbgBcAG4AXABuAFwAbgBcAG4AIgB9AF0ALAAiAHAAcgBvAGoAZQBjAHQATgBhAG0AZQBzACIAOgBbACIAQwBvAG0AbQBvAG4AXwBFAHEAdQBhAHQAaQBvAG4AcwAuAEMAbwBtAG0AbwBuAF8AQwBvAG4AdgBlAHIAdABOADIATwBUAG8AQwBPADIAZQAiACwAIgBDAG8AbQBtAG8AbgBfAEUAcQB1AGEAdABpAG8AbgBzAC4AQwBvAG0AbQBvAG4AXwBDAG8AbgB2AGUAcgB0AE4AMgBPAFQAbwBDAE8AMgBlAF8AVABpAHQAbABlACIALAAiAEMAbwBtAG0AbwBuAF8ARQBxAHUAYQB0AGkAbwBuAHMALgBDAG8AbQBtAG8AbgBfAEMAbwBuAHYAZQByAHQATgAyAE8AVABvAEMATwAyAGUAXwBWAGEAcgBpAGEAYgBsAGUAIgAsACIAQwBvAG0AbQBvAG4AXwBFAHEAdQBhAHQAaQBvAG4AcwAuAEMAbwBtAG0AbwBuAF8AQwBvAG4AdgBlAHIAdABOADIATwBUAG8AQwBPADIAZQBfAFUAbgBpAHQAIgAsACIAQwBvAG0AbQBvAG4AXwBFAHEAdQBhAHQAaQBvAG4AcwAuAEMAbwBtAG0AbwBuAF8AQwBvAG4AdgBlAHIAdABOADIATwBUAG8AQwBPADIAZQBfAE4ASQBSAFIAZQBmAGUAcgBlAG4AYwBlACIALAAiAEMAbwBtAG0AbwBuAF8ARQBxAHUAYQB0AGkAbwBuAHMALgBDAG8AbQBtAG8AbgBfAEMAbwBuAHYAZQByAHQATgAyAE8AVABvAEMATwAyAGUAXwBMAGEAdABlAHgARQBxAHUAYQB0AGkAbwBuACIALAAiAEMAbwBtAG0AbwBuAF8ARQBxAHUAYQB0AGkAbwBuAHMALgBDAG8AbQBtAG8AbgBfAEMAbwBuAHYAZQByAHQATgAyAE8AVABvAEMATwAyAGUAXwBBAHIAZwB1AG0AZQBuAHQAcwAiACwAIgBDAG8AbQBtAG8AbgBfAEUAcQB1AGEAdABpAG8AbgBzAC4AQwBvAG0AbQBvAG4AXwBDAG8AbgB2AGUAcgB0AEMASAA0AFQAbwBDAE8AMgBlACIALAAiAEMAbwBtAG0AbwBuAF8ARQBxAHUAYQB0AGkAbwBuAHMALgBDAG8AbQBtAG8AbgBfAEMAbwBuAHYAZQByAHQAQwBIADQAVABvAEMATwAyAGUAXwBUAGkAdABsAGUAIgAsACIAQwBvAG0AbQBvAG4AXwBFAHEAdQBhAHQAaQBvAG4AcwAuAEMAbwBtAG0AbwBuAF8AQwBvAG4AdgBlAHIAdABDAEgANABUAG8AQwBPADIAZQBfAFYAYQByAGkAYQBiAGwAZQAiACwAIgBDAG8AbQBtAG8AbgBfAEUAcQB1AGEAdABpAG8AbgBzAC4AQwBvAG0AbQBvAG4AXwBDAG8AbgB2AGUAcgB0AEMASAA0AFQAbwBDAE8AMgBlAF8AVQBuAGkAdAAiACwAIgBDAG8AbQBtAG8AbgBfAEUAcQB1AGEAdABpAG8AbgBzAC4AQwBvAG0AbQBvAG4AXwBDAG8AbgB2AGUAcgB0AEMASAA0AFQAbwBDAE8AMgBlAF8ATgBJAFIAUgBlAGYAZQByAGUAbgBjAGUAIgAsACIAQwBvAG0AbQBvAG4AXwBFAHEAdQBhAHQAaQBvAG4AcwAuAEMAbwBtAG0AbwBuAF8AQwBvAG4AdgBlAHIAdABDAEgANABUAG8AQwBPADIAZQBfAEwAYQB0AGUAeABFAHEAdQBhAHQAaQBvAG4AIgAsACIAQwBvAG0AbQBvAG4AXwBFAHEAdQBhAHQAaQBvAG4AcwAuAEMAbwBtAG0AbwBuAF8AQwBvAG4AdgBlAHIAdABDAEgANABUAG8AQwBPADIAZQBfAEEAcgBnAHUAbQBlAG4AdABzACIALAAiAEMAbwBtAG0AbwBuAF8ASQBuAHAAdQB0AEYAdQBuAGMAdABpAG8AbgBzAC4AVQB0AGkAbABpAHQAeQBfAEcAZQB0AEEAcgByAGEAeQBUAGEAYgBsAGUAUgBvAHcAUwB0AGEAcgB0AE4AdQBtAGIAZQByACIALAAiAEMAbwBtAG0AbwBuAF8ASQBuAHAAdQB0AEYAdQBuAGMAdABpAG8AbgBzAC4AVQB0AGkAbABpAHQAeQBfAEcAZQB0AEEAcgByAGEAeQBUAGEAYgBsAGUAQwBvAGwAdQBtAG4AUwB0AGEAcgB0AE4AdQBtAGIAZQByACIALAAiAEMAbwBtAG0AbwBuAF8ASQBuAHAAdQB0AEYAdQBuAGMAdABpAG8AbgBzAC4AVQB0AGkAbABpAHQAeQBfAEQAaQBzAHAAbABhAHkAQQByAHIAYQB5AEkAbgBUAGEAYgBsAGUAIgAsACIAQwBvAG0AbQBvAG4AXwBJAG4AcAB1AHQARgB1AG4AYwB0AGkAbwBuAHMALgBVAHQAaQBsAGkAdAB5AF8ATABvAG8AawB1AHAAVgBhAGwAdQBlAEkAbgBUAGEAYgBsAGUAIgAsACIAQwBvAG0AbQBvAG4AXwBJAG4AcAB1AHQARgB1AG4AYwB0AGkAbwBuAHMALgBVAHQAaQBsAGkAdAB5AF8ATABvAG8AawB1AHAAVgBhAGwAdQBlAEkAbgBUAGEAYgBsAGUATgB1AG0AYgBlAHIAIgAsACIAQwBvAG0AbQBvAG4AXwBJAG4AcAB1AHQARgB1AG4AYwB0AGkAbwBuAHMALgBVAHQAaQBsAGkAdAB5AF8ATABvAG8AawB1AHAAVgBhAGwAdQBlAEkAbgBUAGEAYgBsAGUAVAB3AG8AQwBvAGwAdQBtAG4AcwAiACwAIgBDAG8AbQBtAG8AbgBfAEkAbgBwAHUAdABGAHUAbgBjAHQAaQBvAG4AcwAuAFUAdABpAGwAaQB0AHkAXwBMAG8AbwBrAHUAcABWAGEAbAB1AGUASQBuAFQAYQBiAGwAZQBPAG4AZQBDAG8AbAB1AG0AbgBBAG4AZABIAGUAYQBkAGUAcgAiACwAIgBDAG8AbQBtAG8AbgBfAEkAbgBwAHUAdABGAHUAbgBjAHQAaQBvAG4AcwAuAFUAdABpAGwAaQB0AHkAXwBTAHAAbABpAHQAUwB0AHIAaQBuAGcASQBuAHQAbwBBAHIAcgBhAHkAIgAsACIAQwBvAG0AbQBvAG4AXwBJAG4AcAB1AHQARgB1AG4AYwB0AGkAbwBuAHMALgBVAHQAaQBsAGkAdAB5AF8ARwBlAHQAQwBsAGkAbQBhAHQAZQBaAG8AbgBlACIALAAiAEMAbwBtAG0AbwBuAF8ASQBuAHAAdQB0AEYAdQBuAGMAdABpAG8AbgBzAC4AVQB0AGkAbABpAHQAeQBfAEwAbwBvAGsAdQBwAEkAdABlAG0ARgByAG8AbQBNAGkAbgBNAGEAeAAiACwAIgBDAG8AbQBtAG8AbgBfAEkAbgBwAHUAdABGAHUAbgBjAHQAaQBvAG4AcwAuAFUAdABpAGwAaQB0AHkAXwBTAHUAbQBRAHUAYQBuAHQAaQB0AHkARgByAG8AbQBDAHIAaQB0AGUAcgBpAGEAIgAsACIAQwBvAG0AbQBvAG4AXwBJAG4AcAB1AHQARgB1AG4AYwB0AGkAbwBuAHMALgBnAGUAdABPAHYAZQByAGwAYQBwAHAAaQBuAGcAUgBlAHAAbwByAHQAaQBuAGcAUABlAHIAaQBvAGQAcwAiACwAIgBDAG8AbQBtAG8AbgBfAEkAbgBwAHUAdABGAHUAbgBjAHQAaQBvAG4AcwAuAFUAdABpAGwAaQB0AHkAXwBEAGkAcwBwAGwAYQB5AEYAdQBuAGMAdABpAG8AbgBOAGEAbQBlACIALAAiAEMAbwBtAG0AbwBuAF8ASQBuAHAAdQB0AEYAdQBuAGMAdABpAG8AbgBzAC4AVQB0AGkAbABpAHQAeQBfAEwAbwBvAGsAdQBwAE4AMgBPAEUARgBGAHIAbwBtAFAAcgBvAGQASQByAHIAaQBnAGEAdABpAG8AbgBSAGEAaQBuAGYAYQBsAGwAIgAsACIAQwBvAG0AbQBvAG4AXwBJAG4AcAB1AHQARgB1AG4AYwB0AGkAbwBuAHMALgBDAG8AbQBtAG8AbgBDAHIAbwBwAHAAaQBuAGcAXwBHAGUAdABGAHIAYQBjAFcARQBUACIALAAiAEMAbwBtAG0AbwBuAF8ASQBuAHAAdQB0AEYAdQBuAGMAdABpAG8AbgBzAC4AVQB0AGkAbABpAHQAeQBfAEMAbwBuAHYAZQByAHQAUwB0AGEAdABlAEMAbwBtAG0AbwBuAE4AYQBtAGUAVABvAEEAYgBiAHIAZQB2AGkAYQB0AGkAbwBuACIALAAiAEMAbwBtAG0AbwBuAF8ASQBuAHAAdQB0AEYAdQBuAGMAdABpAG8AbgBzAC4AVQB0AGkAbABpAHQAeQBfAFMAbwB1AHIAYwBlAEgAeQBwAGUAcgBsAGkAbgBrAEQAaQBmAGYAZQByAGUAbgB0AFMAaABlAGUAdAAiACwAIgBDAG8AbQBtAG8AbgBfAEkAbgBwAHUAdABGAHUAbgBjAHQAaQBvAG4AcwAuAFUAdABpAGwAaQB0AHkAXwBSAGUAcwB1AGwAdABzAEkAdABlAG0ARgByAG8AbQBFAHEAdQBhAHQAaQBvAG4AVABpAHQAbABlAEEAbgBkAFMAbwB1AHIAYwBlACIALAAiAEMAbwBtAG0AbwBuAF8AUwBvAHUAcgBjAGUARABhAHQAYQAuAEMAbwBtAG0AbwBuAF8AUwBvAHUAcgBjAGUARABhAHQAYQBfAEQAZQBuAHMAaQB0AHkATwBmAE0AZQB0AGgAYQBuAGUAXwBUAGkAdABsAGUAIgAsACIAQwBvAG0AbQBvAG4AXwBTAG8AdQByAGMAZQBEAGEAdABhAC4AQwBvAG0AbQBvAG4AXwBTAG8AdQByAGMAZQBEAGEAdABhAF8ARABlAG4AcwBpAHQAeQBPAGYATQBlAHQAaABhAG4AZQBfAFUAbgBpAHQAIgAsACIAQwBvAG0AbQBvAG4AXwBTAG8AdQByAGMAZQBEAGEAdABhAC4AQwBvAG0AbQBvAG4AXwBTAG8AdQByAGMAZQBEAGEAdABhAF8ARABlAG4AcwBpAHQAeQBPAGYATQBlAHQAaABhAG4AZQBfAFMAbwB1AHIAYwBlACIALAAiAEMAbwBtAG0AbwBuAF8AUwBvAHUAcgBjAGUARABhAHQAYQAuAEMAbwBtAG0AbwBuAF8AUwBvAHUAcgBjAGUARABhAHQAYQBfAEQAZQBuAHMAaQB0AHkATwBmAE0AZQB0AGgAYQBuAGUAXwBEAGEAdABhACIALAAiAEMAbwBtAG0AbwBuAF8AUwBvAHUAcgBjAGUARABhAHQAYQAuAEMAbwBtAG0AbwBuAF8AUwBvAHUAcgBjAGUARABhAHQAYQBfAEMAbwBuAHYAZQByAHQATgAyAG8ARQBsAGUAbQBlAG4AdABhAGwAVABvAE0AbwBsAGUAYwB1AGwAYQByAEMAZwBfAFQAaQB0AGwAZQAiACwAIgBDAG8AbQBtAG8AbgBfAFMAbwB1AHIAYwBlAEQAYQB0AGEALgBDAG8AbQBtAG8AbgBfAFMAbwB1AHIAYwBlAEQAYQB0AGEAXwBDAG8AbgB2AGUAcgB0AE4AMgBvAEUAbABlAG0AZQBuAHQAYQBsAFQAbwBNAG8AbABlAGMAdQBsAGEAcgBDAGcAXwBWAGEAcgBpAGEAYgBsAGUAIgAsACIAQwBvAG0AbQBvAG4AXwBTAG8AdQByAGMAZQBEAGEAdABhAC4AQwBvAG0AbQBvAG4AXwBTAG8AdQByAGMAZQBEAGEAdABhAF8AQwBvAG4AdgBlAHIAdABOADIAbwBFAGwAZQBtAGUAbgB0AGEAbABUAG8ATQBvAGwAZQBjAHUAbABhAHIAQwBnAF8AVQBuAGkAdAAiACwAIgBDAG8AbQBtAG8AbgBfAFMAbwB1AHIAYwBlAEQAYQB0AGEALgBDAG8AbQBtAG8AbgBfAFMAbwB1AHIAYwBlAEQAYQB0AGEAXwBDAG8AbgB2AGUAcgB0AE4AMgBvAEUAbABlAG0AZQBuAHQAYQBsAFQAbwBNAG8AbABlAGMAdQBsAGEAcgBDAGcAXwBTAG8AdQByAGMAZQAiACwAIgBDAG8AbQBtAG8AbgBfAFMAbwB1AHIAYwBlAEQAYQB0AGEALgBDAG8AbQBtAG8AbgBfAFMAbwB1AHIAYwBlAEQAYQB0AGEAXwBDAG8AbgB2AGUAcgB0AE4AMgBvAEUAbABlAG0AZQBuAHQAYQBsAFQAbwBNAG8AbABlAGMAdQBsAGEAcgBDAGcAXwBEAGEAdABhACIALAAiAEMAbwBtAG0AbwBuAF8AUwBvAHUAcgBjAGUARABhAHQAYQAuAEMAbwBtAG0AbwBuAF8AUwBvAHUAcgBjAGUARABhAHQAYQBfAEMAbwBuAHYAZQByAHQARwBhAHMARQBsAGUAbQBlAG4AdABhAGwAVABvAE0AbwBsAGUAYwB1AGwAYQByAF8AVABpAHQAbABlACIALAAiAEMAbwBtAG0AbwBuAF8AUwBvAHUAcgBjAGUARABhAHQAYQAuAEMAbwBtAG0AbwBuAF8AUwBvAHUAcgBjAGUARABhAHQAYQBfAEMAbwBuAHYAZQByAHQARwBhAHMARQBsAGUAbQBlAG4AdABhAGwAVABvAE0AbwBsAGUAYwB1AGwAYQByAF8AVgBhAHIAaQBhAGIAbABlACIALAAiAEMAbwBtAG0AbwBuAF8AUwBvAHUAcgBjAGUARABhAHQAYQAuAEMAbwBtAG0AbwBuAF8AUwBvAHUAcgBjAGUARABhAHQAYQBfAEMAbwBuAHYAZQByAHQARwBhAHMARQBsAGUAbQBlAG4AdABhAGwAVABvAE0AbwBsAGUAYwB1AGwAYQByAF8AVQBuAGkAdAAiACwAIgBDAG8AbQBtAG8AbgBfAFMAbwB1AHIAYwBlAEQAYQB0AGEALgBDAG8AbQBtAG8AbgBfAFMAbwB1AHIAYwBlAEQAYQB0AGEAXwBDAG8AbgB2AGUAcgB0AEcAYQBzAEUAbABlAG0AZQBuAHQAYQBsAFQAbwBNAG8AbABlAGMAdQBsAGEAcgBfAFMAbwB1AHIAYwBlACIALAAiAEMAbwBtAG0AbwBuAF8AUwBvAHUAcgBjAGUARABhAHQAYQAuAEMAbwBtAG0AbwBuAF8AUwBvAHUAcgBjAGUARABhAHQAYQBfAEMAbwBuAHYAZQByAHQARwBhAHMARQBsAGUAbQBlAG4AdABhAGwAVABvAE0AbwBsAGUAYwB1AGwAYQByAF8ARABhAHQAYQAiACwAIgBDAG8AbQBtAG8AbgBfAFMAbwB1AHIAYwBlAEQAYQB0AGEALgBDAG8AbQBtAG8AbgBfAFMAbwB1AHIAYwBlAEQAYQB0AGEAXwBHAFcAUABfAFQAaQB0AGwAZQAiACwAIgBDAG8AbQBtAG8AbgBfAFMAbwB1AHIAYwBlAEQAYQB0AGEALgBDAG8AbQBtAG8AbgBfAFMAbwB1AHIAYwBlAEQAYQB0AGEAXwBHAFcAUABfAFYAYQByAGkAYQBiAGwAZQAiACwAIgBDAG8AbQBtAG8AbgBfAFMAbwB1AHIAYwBlAEQAYQB0AGEALgBDAG8AbQBtAG8AbgBfAFMAbwB1AHIAYwBlAEQAYQB0AGEAXwBHAFcAUABfAFUAbgBpAHQAIgAsACIAQwBvAG0AbQBvAG4AXwBTAG8AdQByAGMAZQBEAGEAdABhAC4AQwBvAG0AbQBvAG4AXwBTAG8AdQByAGMAZQBEAGEAdABhAF8ARwBXAFAAXwBTAG8AdQByAGMAZQAiACwAIgBDAG8AbQBtAG8AbgBfAFMAbwB1AHIAYwBlAEQAYQB0AGEALgBDAG8AbQBtAG8AbgBfAFMAbwB1AHIAYwBlAEQAYQB0AGEAXwBHAFcAUABfAEQAYQB0AGEAIgAsACIAQwBvAG0AbQBvAG4AXwBTAG8AdQByAGMAZQBEAGEAdABhAC4AQwBvAG0AbQBvAG4AXwBTAG8AdQByAGMAZQBEAGEAdABhAF8AQQB1AHMAdAByAGEAbABpAGEAbgBTAHQAYQB0AGUAcwBUAGUAcgByAGkAdABvAHIAaQBlAHMAXwBUAGkAdABsAGUAIgAsACIAQwBvAG0AbQBvAG4AXwBTAG8AdQByAGMAZQBEAGEAdABhAC4AQwBvAG0AbQBvAG4AXwBTAG8AdQByAGMAZQBEAGEAdABhAF8AQQB1AHMAdAByAGEAbABpAGEAbgBTAHQAYQB0AGUAcwBUAGUAcgByAGkAdABvAHIAaQBlAHMAXwBWAGEAcgBpAGEAYgBsAGUAIgAsACIAQwBvAG0AbQBvAG4AXwBTAG8AdQByAGMAZQBEAGEAdABhAC4AQwBvAG0AbQBvAG4AXwBTAG8AdQByAGMAZQBEAGEAdABhAF8AQQB1AHMAdAByAGEAbABpAGEAbgBTAHQAYQB0AGUAcwBUAGUAcgByAGkAdABvAHIAaQBlAHMAXwBVAG4AaQB0ACIALAAiAEMAbwBtAG0AbwBuAF8AUwBvAHUAcgBjAGUARABhAHQAYQAuAEMAbwBtAG0AbwBuAF8AUwBvAHUAcgBjAGUARABhAHQAYQBfAEEAdQBzAHQAcgBhAGwAaQBhAG4AUwB0AGEAdABlAHMAVABlAHIAcgBpAHQAbwByAGkAZQBzAF8AUwBvAHUAcgBjAGUAIgAsACIAQwBvAG0AbQBvAG4AXwBTAG8AdQByAGMAZQBEAGEAdABhAC4AQwBvAG0AbQBvAG4AXwBTAG8AdQByAGMAZQBEAGEAdABhAF8AQQB1AHMAdAByAGEAbABpAGEAbgBTAHQAYQB0AGUAcwBUAGUAcgByAGkAdABvAHIAaQBlAHMAXwBEAGEAdABhACIALAAiAEMAbwBtAG0AbwBuAF8AUwBvAHUAcgBjAGUARABhAHQAYQAuAEMAbwBtAG0AbwBuAF8AUwBvAHUAcgBjAGUARABhAHQAYQBfAFcAQQBTAEEANABBAHIAZQBhAHMAXwBUAGkAdABsAGUAIgAsACIAQwBvAG0AbQBvAG4AXwBTAG8AdQByAGMAZQBEAGEAdABhAC4AQwBvAG0AbQBvAG4AXwBTAG8AdQByAGMAZQBEAGEAdABhAF8AVwBBAFMAQQA0AEEAcgBlAGEAcwBfAFYAYQByAGkAYQBiAGwAZQAiACwAIgBDAG8AbQBtAG8AbgBfAFMAbwB1AHIAYwBlAEQAYQB0AGEALgBDAG8AbQBtAG8AbgBfAFMAbwB1AHIAYwBlAEQAYQB0AGEAXwBXAEEAUwBBADQAQQByAGUAYQBzAF8AVQBuAGkAdAAiACwAIgBDAG8AbQBtAG8AbgBfAFMAbwB1AHIAYwBlAEQAYQB0AGEALgBDAG8AbQBtAG8AbgBfAFMAbwB1AHIAYwBlAEQAYQB0AGEAXwBXAEEAUwBBADQAQQByAGUAYQBzAF8AUwBvAHUAcgBjAGUAIgAsACIAQwBvAG0AbQBvAG4AXwBTAG8AdQByAGMAZQBEAGEAdABhAC4AQwBvAG0AbQBvAG4AXwBTAG8AdQByAGMAZQBEAGEAdABhAF8AVwBBAFMAQQA0AEEAcgBlAGEAcwBfAEQAYQB0AGEAIgAsACIAQwBvAG0AbQBvAG4AXwBTAG8AdQByAGMAZQBEAGEAdABhAC4AQwBvAG0AbQBvAG4AXwBTAG8AdQByAGMAZQBEAGEAdABhAF8AVwBlAHQAQQBuAGQARAByAHkAWgBvAG4AZQBzAF8AVABpAHQAbABlACIALAAiAEMAbwBtAG0AbwBuAF8AUwBvAHUAcgBjAGUARABhAHQAYQAuAEMAbwBtAG0AbwBuAF8AUwBvAHUAcgBjAGUARABhAHQAYQBfAFcAZQB0AEEAbgBkAEQAcgB5AFoAbwBuAGUAcwBfAFYAYQByAGkAYQBiAGwAZQAiACwAIgBDAG8AbQBtAG8AbgBfAFMAbwB1AHIAYwBlAEQAYQB0AGEALgBDAG8AbQBtAG8AbgBfAFMAbwB1AHIAYwBlAEQAYQB0AGEAXwBXAGUAdABBAG4AZABEAHIAeQBaAG8AbgBlAHMAXwBVAG4AaQB0ACIALAAiAEMAbwBtAG0AbwBuAF8AUwBvAHUAcgBjAGUARABhAHQAYQAuAEMAbwBtAG0AbwBuAF8AUwBvAHUAcgBjAGUARABhAHQAYQBfAFcAZQB0AEEAbgBkAEQAcgB5AFoAbwBuAGUAcwBfAFMAbwB1AHIAYwBlACIALAAiAEMAbwBtAG0AbwBuAF8AUwBvAHUAcgBjAGUARABhAHQAYQAuAEMAbwBtAG0AbwBuAF8AUwBvAHUAcgBjAGUARABhAHQAYQBfAFcAZQB0AEEAbgBkAEQAcgB5AFoAbwBuAGUAcwBfAFYAYQByAGkAYQB0AGkAbwBuACIALAAiAEMAbwBtAG0AbwBuAF8AUwBvAHUAcgBjAGUARABhAHQAYQAuAEMAbwBtAG0AbwBuAF8AUwBvAHUAcgBjAGUARABhAHQAYQBfAFcAZQB0AEEAbgBkAEQAcgB5AFoAbwBuAGUAcwBfAEQAYQB0AGEAIgAsACIAQwBvAG0AbQBvAG4AXwBTAG8AdQByAGMAZQBEAGEAdABhAC4AQwBvAG0AbQBvAG4AXwBTAG8AdQByAGMAZQBEAGEAdABhAF8AQwBsAGkAbQBhAHQAZQBaAG8AbgBlAHMAXwBUAGkAdABsAGUAIgAsACIAQwBvAG0AbQBvAG4AXwBTAG8AdQByAGMAZQBEAGEAdABhAC4AQwBvAG0AbQBvAG4AXwBTAG8AdQByAGMAZQBEAGEAdABhAF8AQwBsAGkAbQBhAHQAZQBaAG8AbgBlAHMAXwBWAGEAcgBpAGEAYgBsAGUAIgAsACIAQwBvAG0AbQBvAG4AXwBTAG8AdQByAGMAZQBEAGEAdABhAC4AQwBvAG0AbQBvAG4AXwBTAG8AdQByAGMAZQBEAGEAdABhAF8AQwBsAGkAbQBhAHQAZQBaAG8AbgBlAHMAXwBVAG4AaQB0ACIALAAiAEMAbwBtAG0AbwBuAF8AUwBvAHUAcgBjAGUARABhAHQAYQAuAEMAbwBtAG0AbwBuAF8AUwBvAHUAcgBjAGUARABhAHQAYQBfAEMAbABpAG0AYQB0AGUAWgBvAG4AZQBzAF8AUwBvAHUAcgBjAGUAIgAsACIAQwBvAG0AbQBvAG4AXwBTAG8AdQByAGMAZQBEAGEAdABhAC4AQwBvAG0AbQBvAG4AXwBTAG8AdQByAGMAZQBEAGEAdABhAF8AQwBsAGkAbQBhAHQAZQBaAG8AbgBlAHMAXwBWAGEAcgBpAGEAdABpAG8AbgAiACwAIgBDAG8AbQBtAG8AbgBfAFMAbwB1AHIAYwBlAEQAYQB0AGEALgBDAG8AbQBtAG8AbgBfAFMAbwB1AHIAYwBlAEQAYQB0AGEAXwBDAGwAaQBtAGEAdABlAFoAbwBuAGUAcwBfAEQAYQB0AGEAIgAsACIAQwBvAG0AbQBvAG4AXwBTAG8AdQByAGMAZQBEAGEAdABhAC4AQwBvAG0AbQBvAG4AXwBTAG8AdQByAGMAZQBEAGEAdABhAF8AQwBsAGkAbQBhAHQAZQBaAG8AbgBlAHMAXwBBAHAAcABlAG4AZABpAGMAZQBzACIALAAiAEMAbwBtAG0AbwBuAF8AUwBvAHUAcgBjAGUARABhAHQAYQAuAEMAbwBtAG0AbwBuAF8AUwBvAHUAcgBjAGUARABhAHQAYQBfAFQAZQBtAHAAZQByAGEAdAB1AHIAZQBaAG8AbgBlAHMAXwBUAGkAdABsAGUAIgAsACIAQwBvAG0AbQBvAG4AXwBTAG8AdQByAGMAZQBEAGEAdABhAC4AQwBvAG0AbQBvAG4AXwBTAG8AdQByAGMAZQBEAGEAdABhAF8AVABlAG0AcABlAHIAYQB0AHUAcgBlAFoAbwBuAGUAcwBfAFYAYQByAGkAYQBiAGwAZQAiACwAIgBDAG8AbQBtAG8AbgBfAFMAbwB1AHIAYwBlAEQAYQB0AGEALgBDAG8AbQBtAG8AbgBfAFMAbwB1AHIAYwBlAEQAYQB0AGEAXwBUAGUAbQBwAGUAcgBhAHQAdQByAGUAWgBvAG4AZQBzAF8AVQBuAGkAdAAiACwAIgBDAG8AbQBtAG8AbgBfAFMAbwB1AHIAYwBlAEQAYQB0AGEALgBDAG8AbQBtAG8AbgBfAFMAbwB1AHIAYwBlAEQAYQB0AGEAXwBUAGUAbQBwAGUAcgBhAHQAdQByAGUAWgBvAG4AZQBzAF8AUwBvAHUAcgBjAGUAIgAsACIAQwBvAG0AbQBvAG4AXwBTAG8AdQByAGMAZQBEAGEAdABhAC4AQwBvAG0AbQBvAG4AXwBTAG8AdQByAGMAZQBEAGEAdABhAF8AVABlAG0AcABlAHIAYQB0AHUAcgBlAFoAbwBuAGUAcwBfAFYAYQByAGkAYQB0AGkAbwBuACIALAAiAEMAbwBtAG0AbwBuAF8AUwBvAHUAcgBjAGUARABhAHQAYQAuAEMAbwBtAG0AbwBuAF8AUwBvAHUAcgBjAGUARABhAHQAYQBfAFQAZQBtAHAAZQByAGEAdAB1AHIAZQBaAG8AbgBlAHMAXwBEAGEAdABhACIALAAiAEMAbwBtAG0AbwBuAF8AUwBvAHUAcgBjAGUARABhAHQAYQAuAEMAbwBtAG0AbwBuAF8AUwBvAHUAcgBjAGUARABhAHQAYQBfAFIAYQBpAG4AZgBhAGwAbABaAG8AbgBlAHMAXwBUAGkAdABsAGUAIgAsACIAQwBvAG0AbQBvAG4AXwBTAG8AdQByAGMAZQBEAGEAdABhAC4AQwBvAG0AbQBvAG4AXwBTAG8AdQByAGMAZQBEAGEAdABhAF8AUgBhAGkAbgBmAGEAbABsAFoAbwBuAGUAcwBfAFYAYQByAGkAYQBiAGwAZQAiACwAIgBDAG8AbQBtAG8AbgBfAFMAbwB1AHIAYwBlAEQAYQB0AGEALgBDAG8AbQBtAG8AbgBfAFMAbwB1AHIAYwBlAEQAYQB0AGEAXwBSAGEAaQBuAGYAYQBsAGwAWgBvAG4AZQBzAF8AVQBuAGkAdAAiACwAIgBDAG8AbQBtAG8AbgBfAFMAbwB1AHIAYwBlAEQAYQB0AGEALgBDAG8AbQBtAG8AbgBfAFMAbwB1AHIAYwBlAEQAYQB0AGEAXwBSAGEAaQBuAGYAYQBsAGwAWgBvAG4AZQBzAF8AUwBvAHUAcgBjAGUAIgAsACIAQwBvAG0AbQBvAG4AXwBTAG8AdQByAGMAZQBEAGEAdABhAC4AQwBvAG0AbQBvAG4AXwBTAG8AdQByAGMAZQBEAGEAdABhAF8AUgBhAGkAbgBmAGEAbABsAFoAbwBuAGUAcwBfAFYAYQByAGkAYQB0AGkAbwBuACIALAAiAEMAbwBtAG0AbwBuAF8AUwBvAHUAcgBjAGUARABhAHQAYQAuAEMAbwBtAG0AbwBuAF8AUwBvAHUAcgBjAGUARABhAHQAYQBfAFIAYQBpAG4AZgBhAGwAbABaAG8AbgBlAHMAXwBEAGEAdABhACIALAAiAEMAbwBtAG0AbwBuAF8AUwBvAHUAcgBjAGUARABhAHQAYQAuAEMAbwBtAG0AbwBuAF8AUwBvAHUAcgBjAGUARABhAHQAYQBfAEwAZQBhAGMAaABpAG4AZwBaAG8AbgBlAHMAXwBUAGkAdABsAGUAIgAsACIAQwBvAG0AbQBvAG4AXwBTAG8AdQByAGMAZQBEAGEAdABhAC4AQwBvAG0AbQBvAG4AXwBTAG8AdQByAGMAZQBEAGEAdABhAF8ATABlAGEAYwBoAGkAbgBnAFoAbwBuAGUAcwBfAFYAYQByAGkAYQBiAGwAZQAiACwAIgBDAG8AbQBtAG8AbgBfAFMAbwB1AHIAYwBlAEQAYQB0AGEALgBDAG8AbQBtAG8AbgBfAFMAbwB1AHIAYwBlAEQAYQB0AGEAXwBMAGUAYQBjAGgAaQBuAGcAWgBvAG4AZQBzAF8AVQBuAGkAdAAiACwAIgBDAG8AbQBtAG8AbgBfAFMAbwB1AHIAYwBlAEQAYQB0AGEALgBDAG8AbQBtAG8AbgBfAFMAbwB1AHIAYwBlAEQAYQB0AGEAXwBMAGUAYQBjAGgAaQBuAGcAWgBvAG4AZQBzAF8AUwBvAHUAcgBjAGUAIgAsACIAQwBvAG0AbQBvAG4AXwBTAG8AdQByAGMAZQBEAGEAdABhAC4AQwBvAG0AbQBvAG4AXwBTAG8AdQByAGMAZQBEAGEAdABhAF8ATABlAGEAYwBoAGkAbgBnAFoAbwBuAGUAcwBfAFYAYQByAGkAYQB0AGkAbwBuACIALAAiAEMAbwBtAG0AbwBuAF8AUwBvAHUAcgBjAGUARABhAHQAYQAuAEMAbwBtAG0AbwBuAF8AUwBvAHUAcgBjAGUARABhAHQAYQBfAEwAZQBhAGMAaABpAG4AZwBaAG8AbgBlAHMAXwBEAGEAdABhACIALAAiAEMAbwBtAG0AbwBuAF8AUwBvAHUAcgBjAGUARABhAHQAYQAuAEMAbwBtAG0AbwBuAF8AUwBvAHUAcgBjAGUARABhAHQAYQBfAEYAcgBhAGMAVwBFAFQAXwBUAGkAdABsAGUAIgAsACIAQwBvAG0AbQBvAG4AXwBTAG8AdQByAGMAZQBEAGEAdABhAC4AQwBvAG0AbQBvAG4AXwBTAG8AdQByAGMAZQBEAGEAdABhAF8ARgByAGEAYwBXAEUAVABfAFUAbgBpAHQAIgAsACIAQwBvAG0AbQBvAG4AXwBTAG8AdQByAGMAZQBEAGEAdABhAC4AQwBvAG0AbQBvAG4AXwBTAG8AdQByAGMAZQBEAGEAdABhAF8ARgByAGEAYwBXAEUAVABfAFMAbwB1AHIAYwBlACIALAAiAEMAbwBtAG0AbwBuAF8AUwBvAHUAcgBjAGUARABhAHQAYQAuAEMAbwBtAG0AbwBuAF8AUwBvAHUAcgBjAGUARABhAHQAYQBfAEYAcgBhAGMAVwBFAFQAXwBOAEkAUgBSAGUAZgBlAHIAZQBuAGMAZQAiACwAIgBDAG8AbQBtAG8AbgBfAFMAbwB1AHIAYwBlAEQAYQB0AGEALgBDAG8AbQBtAG8AbgBfAFMAbwB1AHIAYwBlAEQAYQB0AGEAXwBGAHIAYQBjAFcARQBUAF8ARABhAHQAYQAiACwAIgBDAG8AbQBtAG8AbgBfAFMAbwB1AHIAYwBlAEQAYQB0AGEALgBDAG8AbQBtAG8AbgBfAFMAbwB1AHIAYwBlAEQAYQB0AGEAXwBGAHIAYQBjAFcARQBUAF8AVgBhAHIAaQBhAHQAaQBvAG4AIgAsACIAQwBvAG0AbQBvAG4AXwBTAG8AdQByAGMAZQBEAGEAdABhAC4AQwBvAG0AbQBvAG4AXwBTAG8AdQByAGMAZQBEAGEAdABhAF8ARABhAHQAYQBTAGMAbwByAGUAcwBfAFMAYwBvAHAAZQAzAF8AVABpAHQAbABlACIALAAiAEMAbwBtAG0AbwBuAF8AUwBvAHUAcgBjAGUARABhAHQAYQAuAEMAbwBtAG0AbwBuAF8AUwBvAHUAcgBjAGUARABhAHQAYQBfAEQAYQB0AGEAUwBjAG8AcgBlAHMAXwBTAGMAbwBwAGUAMwBfAFYAYQByAGkAYQBiAGwAZQAiACwAIgBDAG8AbQBtAG8AbgBfAFMAbwB1AHIAYwBlAEQAYQB0AGEALgBDAG8AbQBtAG8AbgBfAFMAbwB1AHIAYwBlAEQAYQB0AGEAXwBEAGEAdABhAFMAYwBvAHIAZQBzAF8AUwBjAG8AcABlADMAXwBVAG4AaQB0ACIALAAiAEMAbwBtAG0AbwBuAF8AUwBvAHUAcgBjAGUARABhAHQAYQAuAEMAbwBtAG0AbwBuAF8AUwBvAHUAcgBjAGUARABhAHQAYQBfAEQAYQB0AGEAUwBjAG8AcgBlAHMAXwBTAGMAbwBwAGUAMwBfAFMAbwB1AHIAYwBlACIALAAiAEMAbwBtAG0AbwBuAF8AUwBvAHUAcgBjAGUARABhAHQAYQAuAEMAbwBtAG0AbwBuAF8AUwBvAHUAcgBjAGUARABhAHQAYQBfAEQAYQB0AGEAUwBjAG8AcgBlAHMAXwBTAGMAbwBwAGUAMwBfAFYAYQByAGkAYQB0AGkAbwBuACIALAAiAEMAbwBtAG0AbwBuAF8AUwBvAHUAcgBjAGUARABhAHQAYQAuAEMAbwBtAG0AbwBuAF8AUwBvAHUAcgBjAGUARABhAHQAYQBfAEQAYQB0AGEAUwBjAG8AcgBlAHMAXwBTAGMAbwBwAGUAMwBfAEQAYQB0AGEAIgAsACIAQwBvAG0AbQBvAG4AXwBTAG8AdQByAGMAZQBEAGEAdABhAC4AQwBvAG0AbQBvAG4AXwBTAG8AdQByAGMAZQBEAGEAdABhAF8ARgByAGEAYwBMAEUAQQBDAEgAXwBUAGkAdABsAGUAIgAsACIAQwBvAG0AbQBvAG4AXwBTAG8AdQByAGMAZQBEAGEAdABhAC4AQwBvAG0AbQBvAG4AXwBTAG8AdQByAGMAZQBEAGEAdABhAF8ARgByAGEAYwBMAEUAQQBDAEgAXwBVAG4AaQB0ACIALAAiAEMAbwBtAG0AbwBuAF8AUwBvAHUAcgBjAGUARABhAHQAYQAuAEMAbwBtAG0AbwBuAF8AUwBvAHUAcgBjAGUARABhAHQAYQBfAEYAcgBhAGMATABFAEEAQwBIAF8AUwBvAHUAcgBjAGUAIgAsACIAQwBvAG0AbQBvAG4AXwBTAG8AdQByAGMAZQBEAGEAdABhAC4AQwBvAG0AbQBvAG4AXwBTAG8AdQByAGMAZQBEAGEAdABhAF8ARgByAGEAYwBMAEUAQQBDAEgAXwBOAEkAUgBSAGUAZgBlAHIAZQBuAGMAZQAiACwAIgBDAG8AbQBtAG8AbgBfAFMAbwB1AHIAYwBlAEQAYQB0AGEALgBDAG8AbQBtAG8AbgBfAFMAbwB1AHIAYwBlAEQAYQB0AGEAXwBGAHIAYQBjAEwARQBBAEMASABfAEQAYQB0AGEAIgAsACIAQwBvAG0AbQBvAG4AXwBTAG8AdQByAGMAZQBEAGEAdABhAC4AQwBvAG0AbQBvAG4AXwBTAG8AdQByAGMAZQBEAGEAdABhAF8ARgByAGEAYwBMAEUAQQBDAEgAXwBWAGEAcgBpAGEAdABpAG8AbgAiACwAIgBDAG8AbQBtAG8AbgBfAFMAbwB1AHIAYwBlAEQAYQB0AGEALgBDAG8AbQBtAG8AbgBfAFMAbwB1AHIAYwBlAEQAYQB0AGEAXwBFAEYAbABlAGEAYwBoAF8AVABpAHQAbABlACIALAAiAEMAbwBtAG0AbwBuAF8AUwBvAHUAcgBjAGUARABhAHQAYQAuAEMAbwBtAG0AbwBuAF8AUwBvAHUAcgBjAGUARABhAHQAYQBfAEUARgBsAGUAYQBjAGgAXwBVAG4AaQB0ACIALAAiAEMAbwBtAG0AbwBuAF8AUwBvAHUAcgBjAGUARABhAHQAYQAuAEMAbwBtAG0AbwBuAF8AUwBvAHUAcgBjAGUARABhAHQAYQBfAEUARgBsAGUAYQBjAGgAXwBTAG8AdQByAGMAZQAiACwAIgBDAG8AbQBtAG8AbgBfAFMAbwB1AHIAYwBlAEQAYQB0AGEALgBDAG8AbQBtAG8AbgBfAFMAbwB1AHIAYwBlAEQAYQB0AGEAXwBFAEYAbABlAGEAYwBoAF8ATgBJAFIAUgBlAGYAZQByAGUAbgBjAGUAIgAsACIAQwBvAG0AbQBvAG4AXwBTAG8AdQByAGMAZQBEAGEAdABhAC4AQwBvAG0AbQBvAG4AXwBTAG8AdQByAGMAZQBEAGEAdABhAF8ARQBGAGwAZQBhAGMAaABfAEQAYQB0AGEAIgAsACIAQwBvAG0AbQBvAG4AXwBTAG8AdQByAGMAZQBEAGEAdABhAC4AQwBvAG0AbQBvAG4AXwBTAG8AdQByAGMAZQBEAGEAdABhAF8ARQBGAGwAZQBhAGMAaABfAFYAYQByAGkAYQB0AGkAbwBuACIALAAiAEMAbwBtAG0AbwBuAF8AUwBvAHUAcgBjAGUARABhAHQAYQAuAEMAbwBtAG0AbwBuAF8AUwBvAHUAcgBjAGUARABhAHQAYQBfAEUARgBOADIATwBfAFQAaQB0AGwAZQAiACwAIgBDAG8AbQBtAG8AbgBfAFMAbwB1AHIAYwBlAEQAYQB0AGEALgBDAG8AbQBtAG8AbgBfAFMAbwB1AHIAYwBlAEQAYQB0AGEAXwBFAEYATgAyAE8AXwBVAG4AaQB0ACIALAAiAEMAbwBtAG0AbwBuAF8AUwBvAHUAcgBjAGUARABhAHQAYQAuAEMAbwBtAG0AbwBuAF8AUwBvAHUAcgBjAGUARABhAHQAYQBfAEUARgBOADIATwBfAFMAbwB1AHIAYwBlACIALAAiAEMAbwBtAG0AbwBuAF8AUwBvAHUAcgBjAGUARABhAHQAYQAuAEMAbwBtAG0AbwBuAF8AUwBvAHUAcgBjAGUARABhAHQAYQBfAEUARgBOADIATwBfAE4ASQBSAFIAZQBmAGUAcgBlAG4AYwBlACIALAAiAEMAbwBtAG0AbwBuAF8AUwBvAHUAcgBjAGUARABhAHQAYQAuAEMAbwBtAG0AbwBuAF8AUwBvAHUAcgBjAGUARABhAHQAYQBfAEUARgBOADIATwBfAEQAYQB0AGEAIgAsACIAQwBvAG0AbQBvAG4AXwBTAG8AdQByAGMAZQBEAGEAdABhAC4AQwBvAG0AbQBvAG4AXwBTAG8AdQByAGMAZQBEAGEAdABhAF8ARQBGAE4AMgBPAF8AVgBhAHIAaQBhAHQAaQBvAG4AIgAsACIAQwBvAG0AbQBvAG4AXwBTAG8AdQByAGMAZQBEAGEAdABhAC4AQwBvAG0AbQBvAG4AXwBTAG8AdQByAGMAZQBEAGEAdABhAF8ARgByAGEAYwBXAEUAVABJAHIAcgBpAGcAYQB0AGkAbwBuAF8AVABpAHQAbABlACIALAAiAEMAbwBtAG0AbwBuAF8AUwBvAHUAcgBjAGUARABhAHQAYQAuAEMAbwBtAG0AbwBuAF8AUwBvAHUAcgBjAGUARABhAHQAYQBfAEYAcgBhAGMAVwBFAFQASQByAHIAaQBnAGEAdABpAG8AbgBfAFUAbgBpAHQAIgAsACIAQwBvAG0AbQBvAG4AXwBTAG8AdQByAGMAZQBEAGEAdABhAC4AQwBvAG0AbQBvAG4AXwBTAG8AdQByAGMAZQBEAGEAdABhAF8ARgByAGEAYwBXAEUAVABJAHIAcgBpAGcAYQB0AGkAbwBuAF8AUwBvAHUAcgBjAGUAIgAsACIAQwBvAG0AbQBvAG4AXwBTAG8AdQByAGMAZQBEAGEAdABhAC4AQwBvAG0AbQBvAG4AXwBTAG8AdQByAGMAZQBEAGEAdABhAF8ARgByAGEAYwBXAEUAVABJAHIAcgBpAGcAYQB0AGkAbwBuAF8ATgBJAFIAUgBlAGYAZQByAGUAbgBjAGUAIgAsACIAQwBvAG0AbQBvAG4AXwBTAG8AdQByAGMAZQBEAGEAdABhAC4AQwBvAG0AbQBvAG4AXwBTAG8AdQByAGMAZQBEAGEAdABhAF8ARgByAGEAYwBXAEUAVABJAHIAcgBpAGcAYQB0AGkAbwBuAF8ARABhAHQAYQAiACwAIgBDAG8AbQBtAG8AbgBfAFMAbwB1AHIAYwBlAEQAYQB0AGEALgBDAG8AbQBtAG8AbgBfAFMAbwB1AHIAYwBlAEQAYQB0AGEAXwBGAHIAYQBjAFcARQBUAEkAcgByAGkAZwBhAHQAaQBvAG4AXwBWAGEAcgBpAGEAdABpAG8AbgAiACwAIgBDAG8AbQBtAG8AbgBfAFMAbwB1AHIAYwBlAEQAYQB0AGEALgBDAG8AbQBtAG8AbgBfAFMAbwB1AHIAYwBlAEQAYQB0AGEAXwBFAEYAUABhAHMAdAB1AHIAZQBSAGEAbgBnAGUAQQBuAGQAUABhAGQAZABvAGMAawBfAFQAaQB0AGwAZQAiACwAIgBDAG8AbQBtAG8AbgBfAFMAbwB1AHIAYwBlAEQAYQB0AGEALgBDAG8AbQBtAG8AbgBfAFMAbwB1AHIAYwBlAEQAYQB0AGEAXwBFAEYAUABhAHMAdAB1AHIAZQBSAGEAbgBnAGUAQQBuAGQAUABhAGQAZABvAGMAawBfAFUAbgBpAHQAIgAsACIAQwBvAG0AbQBvAG4AXwBTAG8AdQByAGMAZQBEAGEAdABhAC4AQwBvAG0AbQBvAG4AXwBTAG8AdQByAGMAZQBEAGEAdABhAF8ARQBGAFAAYQBzAHQAdQByAGUAUgBhAG4AZwBlAEEAbgBkAFAAYQBkAGQAbwBjAGsAXwBTAG8AdQByAGMAZQAiACwAIgBDAG8AbQBtAG8AbgBfAFMAbwB1AHIAYwBlAEQAYQB0AGEALgBDAG8AbQBtAG8AbgBfAFMAbwB1AHIAYwBlAEQAYQB0AGEAXwBFAEYAUABhAHMAdAB1AHIAZQBSAGEAbgBnAGUAQQBuAGQAUABhAGQAZABvAGMAawBfAE4ASQBSAFIAZQBmAGUAcgBlAG4AYwBlACIALAAiAEMAbwBtAG0AbwBuAF8AUwBvAHUAcgBjAGUARABhAHQAYQAuAEMAbwBtAG0AbwBuAF8AUwBvAHUAcgBjAGUARABhAHQAYQBfAEUARgBQAGEAcwB0AHUAcgBlAFIAYQBuAGcAZQBBAG4AZABQAGEAZABkAG8AYwBrAF8ARABhAHQAYQAiACwAIgBDAG8AbQBtAG8AbgBfAFMAbwB1AHIAYwBlAEQAYQB0AGEALgBDAG8AbQBtAG8AbgBfAFMAbwB1AHIAYwBlAEQAYQB0AGEAXwBFAEYAUABhAHMAdAB1AHIAZQBSAGEAbgBnAGUAQQBuAGQAUABhAGQAZABvAGMAawBfAFYAYQByAGkAYQB0AGkAbwBuACIALAAiAEMAbwBtAG0AbwBuAF8AUwBvAHUAcgBjAGUARABhAHQAYQAuAEMAbwBtAG0AbwBuAF8AUwBvAHUAcgBjAGUARABhAHQAYQBfAE0AbwBuAHQAaABzAFQAbwBTAGUAYQBzAG8AbgBzAF8AVABpAHQAbABlACIALAAiAEMAbwBtAG0AbwBuAF8AUwBvAHUAcgBjAGUARABhAHQAYQAuAEMAbwBtAG0AbwBuAF8AUwBvAHUAcgBjAGUARABhAHQAYQBfAE0AbwBuAHQAaABzAFQAbwBTAGUAYQBzAG8AbgBzAF8AVQBuAGkAdAAiACwAIgBDAG8AbQBtAG8AbgBfAFMAbwB1AHIAYwBlAEQAYQB0AGEALgBDAG8AbQBtAG8AbgBfAFMAbwB1AHIAYwBlAEQAYQB0AGEAXwBNAG8AbgB0AGgAcwBUAG8AUwBlAGEAcwBvAG4AcwBfAFMAbwB1AHIAYwBlACIALAAiAEMAbwBtAG0AbwBuAF8AUwBvAHUAcgBjAGUARABhAHQAYQAuAEMAbwBtAG0AbwBuAF8AUwBvAHUAcgBjAGUARABhAHQAYQBfAE0AbwBuAHQAaABzAFQAbwBTAGUAYQBzAG8AbgBzAF8ATgBJAFIAUgBlAGYAZQByAGUAbgBjAGUAIgAsACIAQwBvAG0AbQBvAG4AXwBTAG8AdQByAGMAZQBEAGEAdABhAC4AQwBvAG0AbQBvAG4AXwBTAG8AdQByAGMAZQBEAGEAdABhAF8ATQBvAG4AdABoAHMAVABvAFMAZQBhAHMAbwBuAHMAXwBEAGEAdABhACIALAAiAEMAbwBtAG0AbwBuAF8AUwBvAHUAcgBjAGUARABhAHQAYQAuAEMAbwBtAG0AbwBuAF8AUwBvAHUAcgBjAGUARABhAHQAYQBfAE0AbwBuAHQAaABzAFQAbwBTAGUAYQBzAG8AbgBzAF8AVgBhAHIAaQBhAHQAaQBvAG4A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EAE0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1AHMAIgB9AH0A</AFEJSONBlob>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2.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4.xml><?xml version="1.0" encoding="utf-8"?>
<ds:datastoreItem xmlns:ds="http://schemas.openxmlformats.org/officeDocument/2006/customXml" ds:itemID="{9A9CF321-0D35-4044-BC72-33748FE2B865}">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52</vt:i4>
      </vt:variant>
    </vt:vector>
  </HeadingPairs>
  <TitlesOfParts>
    <vt:vector size="60" baseType="lpstr">
      <vt:lpstr>Home</vt:lpstr>
      <vt:lpstr>Results - Activity period</vt:lpstr>
      <vt:lpstr>Results - Product EI</vt:lpstr>
      <vt:lpstr>Input - Site</vt:lpstr>
      <vt:lpstr>Input - Enterprise</vt:lpstr>
      <vt:lpstr>Input - Fert Prod System</vt:lpstr>
      <vt:lpstr>Input - Data quality</vt:lpstr>
      <vt:lpstr>Constants - Common</vt:lpstr>
      <vt:lpstr>Common_SourceData_DensityOfMethane_Data</vt:lpstr>
      <vt:lpstr>Result_CarbonRemovalsFromPlantings</vt:lpstr>
      <vt:lpstr>Result_EmissionsForWholeProductionCycle_Gross_Method1</vt:lpstr>
      <vt:lpstr>Result_EmissionsForWholeProductionCycle_Gross_Method2</vt:lpstr>
      <vt:lpstr>Result_EmissionsForWholeProductionCycle_Method1</vt:lpstr>
      <vt:lpstr>Result_EmissionsForWholeProductionCycle_Method2</vt:lpstr>
      <vt:lpstr>Result_EmissionsForWholeProductionCycle_Net_Method1</vt:lpstr>
      <vt:lpstr>Result_EmissionsForWholeProductionCycle_Net_Method2</vt:lpstr>
      <vt:lpstr>Result_Enterprise_Gross_Method1</vt:lpstr>
      <vt:lpstr>Result_Enterprise_Gross_Method2</vt:lpstr>
      <vt:lpstr>Result_Enterprise_Net_Method1</vt:lpstr>
      <vt:lpstr>Result_Enterprise_Net_Method2</vt:lpstr>
      <vt:lpstr>Result_Enterprise_Removals</vt:lpstr>
      <vt:lpstr>Result_Enterprise_Scope1_Method1</vt:lpstr>
      <vt:lpstr>Result_Enterprise_Scope1_Method2</vt:lpstr>
      <vt:lpstr>Result_Enterprise_Scope2_Method1</vt:lpstr>
      <vt:lpstr>Result_Enterprise_Scope2_Method2</vt:lpstr>
      <vt:lpstr>Result_Enterprise_Scope3_Method1</vt:lpstr>
      <vt:lpstr>Result_Enterprise_Scope3_Method2</vt:lpstr>
      <vt:lpstr>X_Cell_BaledHayYield</vt:lpstr>
      <vt:lpstr>X_Cell_Enterprise_GrainYield</vt:lpstr>
      <vt:lpstr>X_Cell_Enterprise_PercentGrainSold</vt:lpstr>
      <vt:lpstr>X_Cell_Enterprise_PercentGrainUsedAsFeed</vt:lpstr>
      <vt:lpstr>X_Cell_Enterprise_PercentIncomeFromBaledHaySilage</vt:lpstr>
      <vt:lpstr>X_Cell_Enterprise_PercentIncomeFromGrain</vt:lpstr>
      <vt:lpstr>X_Cell_Enterprise_ProductionTimeframeEnd</vt:lpstr>
      <vt:lpstr>X_Cell_Enterprise_ProductionTimeframeStart</vt:lpstr>
      <vt:lpstr>X_Cell_Fertiliser_AreaUnderCropping</vt:lpstr>
      <vt:lpstr>X_Cell_Fertiliser_CropType</vt:lpstr>
      <vt:lpstr>X_Cell_Fertiliser_IrrigationMethod</vt:lpstr>
      <vt:lpstr>X_Cell_Fertiliser_ProductionSystem</vt:lpstr>
      <vt:lpstr>X_Cell_PercentBaledHaySold</vt:lpstr>
      <vt:lpstr>X_Cell_PercentBaledHayUsedOnFarm</vt:lpstr>
      <vt:lpstr>X_Cell_Site_AverageTemperature</vt:lpstr>
      <vt:lpstr>X_Cell_Site_ClimateZone</vt:lpstr>
      <vt:lpstr>X_Cell_Site_Elevation</vt:lpstr>
      <vt:lpstr>X_Cell_Site_EndDate</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lpstr>X_Table_Result_ActivityPeriodEmissions_RowsToCols</vt:lpstr>
      <vt:lpstr>X_Table_Result_CarbonRemovalsFromPlantings_RowsToCols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2026-08-28T01:16:46Z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