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F10804B-592F-4186-B3D2-B6571CC20613}" xr6:coauthVersionLast="47" xr6:coauthVersionMax="47" xr10:uidLastSave="{00000000-0000-0000-0000-000000000000}"/>
  <bookViews>
    <workbookView xWindow="735" yWindow="735" windowWidth="36060" windowHeight="19710"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2" r:id="rId8"/>
    <sheet name="Constants - Common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Dairy'!$E$50</definedName>
    <definedName name="X_Cell_Dairy_MilkProductionUnit">'Input - Dairy'!$E$47</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0" i="69" l="1"/>
  <c r="G170" i="69"/>
  <c r="F170" i="69"/>
  <c r="E170" i="69"/>
  <c r="A8" i="72"/>
  <c r="A7" i="72"/>
  <c r="A3" i="72"/>
  <c r="G9" i="79"/>
  <c r="G8" i="79"/>
  <c r="P185" i="69"/>
  <c r="G185" i="69"/>
  <c r="E33" i="15"/>
  <c r="E32" i="15"/>
  <c r="E31" i="15"/>
  <c r="E30" i="15"/>
  <c r="E259" i="112" a="1"/>
  <c r="E259" i="112" s="1"/>
  <c r="D259" i="112" a="1"/>
  <c r="D259" i="112" s="1"/>
  <c r="E258" i="112" a="1"/>
  <c r="E258" i="112" s="1"/>
  <c r="D258" i="112" a="1"/>
  <c r="D258" i="112" s="1"/>
  <c r="D256" i="112" a="1"/>
  <c r="D256" i="112" s="1"/>
  <c r="D255" i="112" a="1"/>
  <c r="D255" i="112" s="1"/>
  <c r="D254" i="112" a="1"/>
  <c r="D254" i="112" s="1"/>
  <c r="D253" i="112" a="1"/>
  <c r="D253" i="112" s="1"/>
  <c r="S250" i="112" a="1"/>
  <c r="S250" i="112" s="1"/>
  <c r="R250" i="112" a="1"/>
  <c r="R250" i="112" s="1"/>
  <c r="Q250" i="112" a="1"/>
  <c r="Q250" i="112" s="1"/>
  <c r="P250" i="112" a="1"/>
  <c r="P250" i="112" s="1"/>
  <c r="O250" i="112" a="1"/>
  <c r="O250" i="112" s="1"/>
  <c r="N250" i="112" a="1"/>
  <c r="N250" i="112" s="1"/>
  <c r="M250" i="112" a="1"/>
  <c r="M250" i="112" s="1"/>
  <c r="L250" i="112" a="1"/>
  <c r="L250" i="112" s="1"/>
  <c r="K250" i="112" a="1"/>
  <c r="K250" i="112" s="1"/>
  <c r="J250" i="112" a="1"/>
  <c r="J250" i="112" s="1"/>
  <c r="I250" i="112" a="1"/>
  <c r="I250" i="112" s="1"/>
  <c r="H250" i="112" a="1"/>
  <c r="H250" i="112" s="1"/>
  <c r="G250" i="112" a="1"/>
  <c r="G250" i="112" s="1"/>
  <c r="F250" i="112" a="1"/>
  <c r="F250" i="112" s="1"/>
  <c r="E250" i="112" a="1"/>
  <c r="E250" i="112" s="1"/>
  <c r="D250" i="112" a="1"/>
  <c r="D250" i="112" s="1"/>
  <c r="S249" i="112" a="1"/>
  <c r="S249" i="112" s="1"/>
  <c r="R249" i="112" a="1"/>
  <c r="R249" i="112" s="1"/>
  <c r="Q249" i="112" a="1"/>
  <c r="Q249" i="112" s="1"/>
  <c r="P249" i="112" a="1"/>
  <c r="P249" i="112" s="1"/>
  <c r="O249" i="112" a="1"/>
  <c r="O249" i="112" s="1"/>
  <c r="N249" i="112" a="1"/>
  <c r="N249" i="112" s="1"/>
  <c r="M249" i="112" a="1"/>
  <c r="M249" i="112" s="1"/>
  <c r="L249" i="112" a="1"/>
  <c r="L249" i="112" s="1"/>
  <c r="K249" i="112" a="1"/>
  <c r="K249" i="112" s="1"/>
  <c r="J249" i="112" a="1"/>
  <c r="J249" i="112" s="1"/>
  <c r="I249" i="112" a="1"/>
  <c r="I249" i="112" s="1"/>
  <c r="H249" i="112" a="1"/>
  <c r="H249" i="112" s="1"/>
  <c r="G249" i="112" a="1"/>
  <c r="G249" i="112" s="1"/>
  <c r="F249" i="112" a="1"/>
  <c r="F249" i="112" s="1"/>
  <c r="E249" i="112" a="1"/>
  <c r="E249" i="112" s="1"/>
  <c r="D249" i="112" a="1"/>
  <c r="D249" i="112" s="1"/>
  <c r="S248" i="112" a="1"/>
  <c r="S248" i="112" s="1"/>
  <c r="R248" i="112" a="1"/>
  <c r="R248" i="112" s="1"/>
  <c r="Q248" i="112" a="1"/>
  <c r="Q248" i="112" s="1"/>
  <c r="P248" i="112" a="1"/>
  <c r="P248" i="112" s="1"/>
  <c r="O248" i="112" a="1"/>
  <c r="O248" i="112" s="1"/>
  <c r="N248" i="112" a="1"/>
  <c r="N248" i="112" s="1"/>
  <c r="M248" i="112" a="1"/>
  <c r="M248" i="112" s="1"/>
  <c r="L248" i="112" a="1"/>
  <c r="L248" i="112" s="1"/>
  <c r="K248" i="112" a="1"/>
  <c r="K248" i="112" s="1"/>
  <c r="J248" i="112" a="1"/>
  <c r="J248" i="112" s="1"/>
  <c r="I248" i="112" a="1"/>
  <c r="I248" i="112" s="1"/>
  <c r="H248" i="112" a="1"/>
  <c r="H248" i="112" s="1"/>
  <c r="G248" i="112" a="1"/>
  <c r="G248" i="112" s="1"/>
  <c r="F248" i="112" a="1"/>
  <c r="F248" i="112" s="1"/>
  <c r="E248" i="112" a="1"/>
  <c r="E248" i="112" s="1"/>
  <c r="D248" i="112" a="1"/>
  <c r="D248" i="112" s="1"/>
  <c r="S247" i="112" a="1"/>
  <c r="S247" i="112" s="1"/>
  <c r="R247" i="112" a="1"/>
  <c r="R247" i="112" s="1"/>
  <c r="Q247" i="112" a="1"/>
  <c r="Q247" i="112" s="1"/>
  <c r="P247" i="112" a="1"/>
  <c r="P247" i="112" s="1"/>
  <c r="O247" i="112" a="1"/>
  <c r="O247" i="112" s="1"/>
  <c r="N247" i="112" a="1"/>
  <c r="N247" i="112" s="1"/>
  <c r="M247" i="112" a="1"/>
  <c r="M247" i="112" s="1"/>
  <c r="L247" i="112" a="1"/>
  <c r="L247" i="112" s="1"/>
  <c r="K247" i="112" a="1"/>
  <c r="K247" i="112" s="1"/>
  <c r="J247" i="112" a="1"/>
  <c r="J247" i="112" s="1"/>
  <c r="I247" i="112" a="1"/>
  <c r="I247" i="112" s="1"/>
  <c r="H247" i="112" a="1"/>
  <c r="H247" i="112" s="1"/>
  <c r="G247" i="112" a="1"/>
  <c r="G247" i="112" s="1"/>
  <c r="F247" i="112" a="1"/>
  <c r="F247" i="112" s="1"/>
  <c r="E247" i="112" a="1"/>
  <c r="E247" i="112" s="1"/>
  <c r="D247" i="112" a="1"/>
  <c r="D247" i="112" s="1"/>
  <c r="S246" i="112" a="1"/>
  <c r="S246" i="112" s="1"/>
  <c r="R246" i="112" a="1"/>
  <c r="R246" i="112" s="1"/>
  <c r="Q246" i="112" a="1"/>
  <c r="Q246" i="112" s="1"/>
  <c r="P246" i="112" a="1"/>
  <c r="P246" i="112" s="1"/>
  <c r="O246" i="112" a="1"/>
  <c r="O246" i="112" s="1"/>
  <c r="N246" i="112" a="1"/>
  <c r="N246" i="112" s="1"/>
  <c r="M246" i="112" a="1"/>
  <c r="M246" i="112" s="1"/>
  <c r="L246" i="112" a="1"/>
  <c r="L246" i="112" s="1"/>
  <c r="K246" i="112" a="1"/>
  <c r="K246" i="112" s="1"/>
  <c r="J246" i="112" a="1"/>
  <c r="J246" i="112" s="1"/>
  <c r="I246" i="112" a="1"/>
  <c r="I246" i="112" s="1"/>
  <c r="H246" i="112" a="1"/>
  <c r="H246" i="112" s="1"/>
  <c r="G246" i="112" a="1"/>
  <c r="G246" i="112" s="1"/>
  <c r="F246" i="112" a="1"/>
  <c r="F246" i="112" s="1"/>
  <c r="E246" i="112" a="1"/>
  <c r="E246" i="112" s="1"/>
  <c r="D246" i="112" a="1"/>
  <c r="D246" i="112" s="1"/>
  <c r="S245" i="112" a="1"/>
  <c r="S245" i="112" s="1"/>
  <c r="R245" i="112" a="1"/>
  <c r="R245" i="112" s="1"/>
  <c r="Q245" i="112" a="1"/>
  <c r="Q245" i="112" s="1"/>
  <c r="P245" i="112" a="1"/>
  <c r="P245" i="112" s="1"/>
  <c r="O245" i="112" a="1"/>
  <c r="O245" i="112" s="1"/>
  <c r="N245" i="112" a="1"/>
  <c r="N245" i="112" s="1"/>
  <c r="M245" i="112" a="1"/>
  <c r="M245" i="112" s="1"/>
  <c r="L245" i="112" a="1"/>
  <c r="L245" i="112" s="1"/>
  <c r="K245" i="112" a="1"/>
  <c r="K245" i="112" s="1"/>
  <c r="J245" i="112" a="1"/>
  <c r="J245" i="112" s="1"/>
  <c r="I245" i="112" a="1"/>
  <c r="I245" i="112" s="1"/>
  <c r="H245" i="112" a="1"/>
  <c r="H245" i="112" s="1"/>
  <c r="G245" i="112" a="1"/>
  <c r="G245" i="112" s="1"/>
  <c r="F245" i="112" a="1"/>
  <c r="F245" i="112" s="1"/>
  <c r="E245" i="112" a="1"/>
  <c r="E245" i="112" s="1"/>
  <c r="D245" i="112" a="1"/>
  <c r="D245" i="112" s="1"/>
  <c r="S244" i="112" a="1"/>
  <c r="S244" i="112" s="1"/>
  <c r="R244" i="112" a="1"/>
  <c r="R244" i="112" s="1"/>
  <c r="Q244" i="112" a="1"/>
  <c r="Q244" i="112" s="1"/>
  <c r="P244" i="112" a="1"/>
  <c r="P244" i="112" s="1"/>
  <c r="O244" i="112" a="1"/>
  <c r="O244" i="112" s="1"/>
  <c r="N244" i="112" a="1"/>
  <c r="N244" i="112" s="1"/>
  <c r="M244" i="112" a="1"/>
  <c r="M244" i="112" s="1"/>
  <c r="L244" i="112" a="1"/>
  <c r="L244" i="112" s="1"/>
  <c r="K244" i="112" a="1"/>
  <c r="K244" i="112" s="1"/>
  <c r="J244" i="112" a="1"/>
  <c r="J244" i="112" s="1"/>
  <c r="I244" i="112" a="1"/>
  <c r="I244" i="112" s="1"/>
  <c r="H244" i="112" a="1"/>
  <c r="H244" i="112" s="1"/>
  <c r="G244" i="112" a="1"/>
  <c r="G244" i="112" s="1"/>
  <c r="F244" i="112" a="1"/>
  <c r="F244" i="112" s="1"/>
  <c r="E244" i="112" a="1"/>
  <c r="E244" i="112" s="1"/>
  <c r="D244" i="112" a="1"/>
  <c r="D244" i="112" s="1"/>
  <c r="S243" i="112" a="1"/>
  <c r="S243" i="112" s="1"/>
  <c r="R243" i="112" a="1"/>
  <c r="R243" i="112" s="1"/>
  <c r="Q243" i="112" a="1"/>
  <c r="Q243" i="112" s="1"/>
  <c r="P243" i="112" a="1"/>
  <c r="P243" i="112" s="1"/>
  <c r="O243" i="112" a="1"/>
  <c r="O243" i="112" s="1"/>
  <c r="N243" i="112" a="1"/>
  <c r="N243" i="112" s="1"/>
  <c r="M243" i="112" a="1"/>
  <c r="M243" i="112" s="1"/>
  <c r="L243" i="112" a="1"/>
  <c r="L243" i="112" s="1"/>
  <c r="K243" i="112" a="1"/>
  <c r="K243" i="112" s="1"/>
  <c r="J243" i="112" a="1"/>
  <c r="J243" i="112" s="1"/>
  <c r="I243" i="112" a="1"/>
  <c r="I243" i="112" s="1"/>
  <c r="H243" i="112" a="1"/>
  <c r="H243" i="112" s="1"/>
  <c r="G243" i="112" a="1"/>
  <c r="G243" i="112" s="1"/>
  <c r="F243" i="112" a="1"/>
  <c r="F243" i="112" s="1"/>
  <c r="E243" i="112" a="1"/>
  <c r="E243" i="112" s="1"/>
  <c r="D243" i="112" a="1"/>
  <c r="D243" i="112" s="1"/>
  <c r="S242" i="112" a="1"/>
  <c r="S242" i="112" s="1"/>
  <c r="R242" i="112" a="1"/>
  <c r="R242" i="112" s="1"/>
  <c r="Q242" i="112" a="1"/>
  <c r="Q242" i="112" s="1"/>
  <c r="P242" i="112" a="1"/>
  <c r="P242" i="112" s="1"/>
  <c r="O242" i="112" a="1"/>
  <c r="O242" i="112" s="1"/>
  <c r="N242" i="112" a="1"/>
  <c r="N242" i="112" s="1"/>
  <c r="M242" i="112" a="1"/>
  <c r="M242" i="112" s="1"/>
  <c r="L242" i="112" a="1"/>
  <c r="L242" i="112" s="1"/>
  <c r="K242" i="112" a="1"/>
  <c r="K242" i="112" s="1"/>
  <c r="J242" i="112" a="1"/>
  <c r="J242" i="112" s="1"/>
  <c r="I242" i="112" a="1"/>
  <c r="I242" i="112" s="1"/>
  <c r="H242" i="112" a="1"/>
  <c r="H242" i="112" s="1"/>
  <c r="G242" i="112" a="1"/>
  <c r="G242" i="112" s="1"/>
  <c r="F242" i="112" a="1"/>
  <c r="F242" i="112" s="1"/>
  <c r="E242" i="112" a="1"/>
  <c r="E242" i="112" s="1"/>
  <c r="D242" i="112" a="1"/>
  <c r="D242" i="112" s="1"/>
  <c r="S241" i="112" a="1"/>
  <c r="S241" i="112" s="1"/>
  <c r="R241" i="112" a="1"/>
  <c r="R241" i="112" s="1"/>
  <c r="Q241" i="112" a="1"/>
  <c r="Q241" i="112" s="1"/>
  <c r="P241" i="112" a="1"/>
  <c r="P241" i="112" s="1"/>
  <c r="O241" i="112" a="1"/>
  <c r="O241" i="112" s="1"/>
  <c r="N241" i="112" a="1"/>
  <c r="N241" i="112" s="1"/>
  <c r="M241" i="112" a="1"/>
  <c r="M241" i="112" s="1"/>
  <c r="L241" i="112" a="1"/>
  <c r="L241" i="112" s="1"/>
  <c r="K241" i="112" a="1"/>
  <c r="K241" i="112" s="1"/>
  <c r="J241" i="112" a="1"/>
  <c r="J241" i="112" s="1"/>
  <c r="I241" i="112" a="1"/>
  <c r="I241" i="112" s="1"/>
  <c r="H241" i="112" a="1"/>
  <c r="H241" i="112" s="1"/>
  <c r="G241" i="112" a="1"/>
  <c r="G241" i="112" s="1"/>
  <c r="F241" i="112" a="1"/>
  <c r="F241" i="112" s="1"/>
  <c r="E241" i="112" a="1"/>
  <c r="E241" i="112" s="1"/>
  <c r="D241" i="112" a="1"/>
  <c r="D241" i="112" s="1"/>
  <c r="S240" i="112" a="1"/>
  <c r="S240" i="112" s="1"/>
  <c r="R240" i="112" a="1"/>
  <c r="R240" i="112" s="1"/>
  <c r="Q240" i="112" a="1"/>
  <c r="Q240" i="112" s="1"/>
  <c r="P240" i="112" a="1"/>
  <c r="P240" i="112" s="1"/>
  <c r="O240" i="112" a="1"/>
  <c r="O240" i="112" s="1"/>
  <c r="N240" i="112" a="1"/>
  <c r="N240" i="112" s="1"/>
  <c r="M240" i="112" a="1"/>
  <c r="M240" i="112" s="1"/>
  <c r="L240" i="112" a="1"/>
  <c r="L240" i="112" s="1"/>
  <c r="K240" i="112" a="1"/>
  <c r="K240" i="112" s="1"/>
  <c r="J240" i="112" a="1"/>
  <c r="J240" i="112" s="1"/>
  <c r="I240" i="112" a="1"/>
  <c r="I240" i="112" s="1"/>
  <c r="H240" i="112" a="1"/>
  <c r="H240" i="112" s="1"/>
  <c r="G240" i="112" a="1"/>
  <c r="G240" i="112" s="1"/>
  <c r="F240" i="112" a="1"/>
  <c r="F240" i="112" s="1"/>
  <c r="E240" i="112" a="1"/>
  <c r="E240" i="112" s="1"/>
  <c r="D240" i="112" a="1"/>
  <c r="D240" i="112" s="1"/>
  <c r="S239" i="112" a="1"/>
  <c r="S239" i="112" s="1"/>
  <c r="R239" i="112" a="1"/>
  <c r="R239" i="112" s="1"/>
  <c r="Q239" i="112" a="1"/>
  <c r="Q239" i="112" s="1"/>
  <c r="P239" i="112" a="1"/>
  <c r="P239" i="112" s="1"/>
  <c r="O239" i="112" a="1"/>
  <c r="O239" i="112" s="1"/>
  <c r="N239" i="112" a="1"/>
  <c r="N239" i="112" s="1"/>
  <c r="M239" i="112" a="1"/>
  <c r="M239" i="112" s="1"/>
  <c r="L239" i="112" a="1"/>
  <c r="L239" i="112" s="1"/>
  <c r="K239" i="112" a="1"/>
  <c r="K239" i="112" s="1"/>
  <c r="J239" i="112" a="1"/>
  <c r="J239" i="112" s="1"/>
  <c r="I239" i="112" a="1"/>
  <c r="I239" i="112" s="1"/>
  <c r="H239" i="112" a="1"/>
  <c r="H239" i="112" s="1"/>
  <c r="G239" i="112" a="1"/>
  <c r="G239" i="112" s="1"/>
  <c r="F239" i="112" a="1"/>
  <c r="F239" i="112" s="1"/>
  <c r="E239" i="112" a="1"/>
  <c r="E239" i="112" s="1"/>
  <c r="D239" i="112" a="1"/>
  <c r="D239" i="112" s="1"/>
  <c r="S238" i="112" a="1"/>
  <c r="S238" i="112" s="1"/>
  <c r="R238" i="112" a="1"/>
  <c r="R238" i="112" s="1"/>
  <c r="Q238" i="112" a="1"/>
  <c r="Q238" i="112" s="1"/>
  <c r="P238" i="112" a="1"/>
  <c r="P238" i="112" s="1"/>
  <c r="O238" i="112" a="1"/>
  <c r="O238" i="112" s="1"/>
  <c r="N238" i="112" a="1"/>
  <c r="N238" i="112" s="1"/>
  <c r="M238" i="112" a="1"/>
  <c r="M238" i="112" s="1"/>
  <c r="L238" i="112" a="1"/>
  <c r="L238" i="112" s="1"/>
  <c r="K238" i="112" a="1"/>
  <c r="K238" i="112" s="1"/>
  <c r="J238" i="112" a="1"/>
  <c r="J238" i="112" s="1"/>
  <c r="I238" i="112" a="1"/>
  <c r="I238" i="112" s="1"/>
  <c r="H238" i="112" a="1"/>
  <c r="H238" i="112" s="1"/>
  <c r="G238" i="112" a="1"/>
  <c r="G238" i="112" s="1"/>
  <c r="F238" i="112" a="1"/>
  <c r="F238" i="112" s="1"/>
  <c r="E238" i="112" a="1"/>
  <c r="E238" i="112" s="1"/>
  <c r="D238" i="112" a="1"/>
  <c r="D238" i="112" s="1"/>
  <c r="S237" i="112" a="1"/>
  <c r="S237" i="112" s="1"/>
  <c r="R237" i="112" a="1"/>
  <c r="R237" i="112" s="1"/>
  <c r="Q237" i="112" a="1"/>
  <c r="Q237" i="112" s="1"/>
  <c r="P237" i="112" a="1"/>
  <c r="P237" i="112" s="1"/>
  <c r="O237" i="112" a="1"/>
  <c r="O237" i="112" s="1"/>
  <c r="N237" i="112" a="1"/>
  <c r="N237" i="112" s="1"/>
  <c r="M237" i="112" a="1"/>
  <c r="M237" i="112" s="1"/>
  <c r="L237" i="112" a="1"/>
  <c r="L237" i="112" s="1"/>
  <c r="K237" i="112" a="1"/>
  <c r="K237" i="112" s="1"/>
  <c r="J237" i="112" a="1"/>
  <c r="J237" i="112" s="1"/>
  <c r="I237" i="112" a="1"/>
  <c r="I237" i="112" s="1"/>
  <c r="H237" i="112" a="1"/>
  <c r="H237" i="112" s="1"/>
  <c r="G237" i="112" a="1"/>
  <c r="G237" i="112" s="1"/>
  <c r="F237" i="112" a="1"/>
  <c r="F237" i="112" s="1"/>
  <c r="E237" i="112" a="1"/>
  <c r="E237" i="112" s="1"/>
  <c r="D237" i="112" a="1"/>
  <c r="D237" i="112" s="1"/>
  <c r="S236" i="112" a="1"/>
  <c r="S236" i="112" s="1"/>
  <c r="R236" i="112" a="1"/>
  <c r="R236" i="112" s="1"/>
  <c r="Q236" i="112" a="1"/>
  <c r="Q236" i="112" s="1"/>
  <c r="P236" i="112" a="1"/>
  <c r="P236" i="112" s="1"/>
  <c r="O236" i="112" a="1"/>
  <c r="O236" i="112" s="1"/>
  <c r="N236" i="112" a="1"/>
  <c r="N236" i="112" s="1"/>
  <c r="M236" i="112" a="1"/>
  <c r="M236" i="112" s="1"/>
  <c r="L236" i="112" a="1"/>
  <c r="L236" i="112" s="1"/>
  <c r="K236" i="112" a="1"/>
  <c r="K236" i="112" s="1"/>
  <c r="J236" i="112" a="1"/>
  <c r="J236" i="112" s="1"/>
  <c r="I236" i="112" a="1"/>
  <c r="I236" i="112" s="1"/>
  <c r="H236" i="112" a="1"/>
  <c r="H236" i="112" s="1"/>
  <c r="G236" i="112" a="1"/>
  <c r="G236" i="112" s="1"/>
  <c r="F236" i="112" a="1"/>
  <c r="F236" i="112" s="1"/>
  <c r="E236" i="112" a="1"/>
  <c r="E236" i="112" s="1"/>
  <c r="D236" i="112" a="1"/>
  <c r="D236" i="112" s="1"/>
  <c r="S235" i="112" a="1"/>
  <c r="S235" i="112" s="1"/>
  <c r="R235" i="112" a="1"/>
  <c r="R235" i="112" s="1"/>
  <c r="Q235" i="112" a="1"/>
  <c r="Q235" i="112" s="1"/>
  <c r="P235" i="112" a="1"/>
  <c r="P235" i="112" s="1"/>
  <c r="O235" i="112" a="1"/>
  <c r="O235" i="112" s="1"/>
  <c r="N235" i="112" a="1"/>
  <c r="N235" i="112" s="1"/>
  <c r="M235" i="112" a="1"/>
  <c r="M235" i="112" s="1"/>
  <c r="L235" i="112" a="1"/>
  <c r="L235" i="112" s="1"/>
  <c r="K235" i="112" a="1"/>
  <c r="K235" i="112" s="1"/>
  <c r="J235" i="112" a="1"/>
  <c r="J235" i="112" s="1"/>
  <c r="I235" i="112" a="1"/>
  <c r="I235" i="112" s="1"/>
  <c r="H235" i="112" a="1"/>
  <c r="H235" i="112" s="1"/>
  <c r="G235" i="112" a="1"/>
  <c r="G235" i="112" s="1"/>
  <c r="F235" i="112" a="1"/>
  <c r="F235" i="112" s="1"/>
  <c r="E235" i="112" a="1"/>
  <c r="E235" i="112" s="1"/>
  <c r="D235" i="112" a="1"/>
  <c r="D235" i="112" s="1"/>
  <c r="S234" i="112" a="1"/>
  <c r="S234" i="112" s="1"/>
  <c r="R234" i="112" a="1"/>
  <c r="R234" i="112" s="1"/>
  <c r="Q234" i="112" a="1"/>
  <c r="Q234" i="112" s="1"/>
  <c r="P234" i="112" a="1"/>
  <c r="P234" i="112" s="1"/>
  <c r="O234" i="112" a="1"/>
  <c r="O234" i="112" s="1"/>
  <c r="N234" i="112" a="1"/>
  <c r="N234" i="112" s="1"/>
  <c r="M234" i="112" a="1"/>
  <c r="M234" i="112" s="1"/>
  <c r="L234" i="112" a="1"/>
  <c r="L234" i="112" s="1"/>
  <c r="K234" i="112" a="1"/>
  <c r="K234" i="112" s="1"/>
  <c r="J234" i="112" a="1"/>
  <c r="J234" i="112" s="1"/>
  <c r="I234" i="112" a="1"/>
  <c r="I234" i="112" s="1"/>
  <c r="H234" i="112" a="1"/>
  <c r="H234" i="112" s="1"/>
  <c r="G234" i="112" a="1"/>
  <c r="G234" i="112" s="1"/>
  <c r="F234" i="112" a="1"/>
  <c r="F234" i="112" s="1"/>
  <c r="E234" i="112" a="1"/>
  <c r="E234" i="112" s="1"/>
  <c r="D234" i="112" a="1"/>
  <c r="D234" i="112" s="1"/>
  <c r="S233" i="112" a="1"/>
  <c r="S233" i="112" s="1"/>
  <c r="R233" i="112" a="1"/>
  <c r="R233" i="112" s="1"/>
  <c r="Q233" i="112" a="1"/>
  <c r="Q233" i="112" s="1"/>
  <c r="P233" i="112" a="1"/>
  <c r="P233" i="112" s="1"/>
  <c r="O233" i="112" a="1"/>
  <c r="O233" i="112" s="1"/>
  <c r="N233" i="112" a="1"/>
  <c r="N233" i="112" s="1"/>
  <c r="M233" i="112" a="1"/>
  <c r="M233" i="112" s="1"/>
  <c r="L233" i="112" a="1"/>
  <c r="L233" i="112" s="1"/>
  <c r="K233" i="112" a="1"/>
  <c r="K233" i="112" s="1"/>
  <c r="J233" i="112" a="1"/>
  <c r="J233" i="112" s="1"/>
  <c r="I233" i="112" a="1"/>
  <c r="I233" i="112" s="1"/>
  <c r="H233" i="112" a="1"/>
  <c r="H233" i="112" s="1"/>
  <c r="G233" i="112" a="1"/>
  <c r="G233" i="112" s="1"/>
  <c r="F233" i="112" a="1"/>
  <c r="F233" i="112" s="1"/>
  <c r="E233" i="112" a="1"/>
  <c r="E233" i="112" s="1"/>
  <c r="D233" i="112" a="1"/>
  <c r="D233" i="112" s="1"/>
  <c r="S232" i="112" a="1"/>
  <c r="S232" i="112" s="1"/>
  <c r="R232" i="112" a="1"/>
  <c r="R232" i="112" s="1"/>
  <c r="Q232" i="112" a="1"/>
  <c r="Q232" i="112" s="1"/>
  <c r="P232" i="112" a="1"/>
  <c r="P232" i="112" s="1"/>
  <c r="O232" i="112" a="1"/>
  <c r="O232" i="112" s="1"/>
  <c r="N232" i="112" a="1"/>
  <c r="N232" i="112" s="1"/>
  <c r="M232" i="112" a="1"/>
  <c r="M232" i="112" s="1"/>
  <c r="L232" i="112" a="1"/>
  <c r="L232" i="112" s="1"/>
  <c r="K232" i="112" a="1"/>
  <c r="K232" i="112" s="1"/>
  <c r="J232" i="112" a="1"/>
  <c r="J232" i="112" s="1"/>
  <c r="I232" i="112" a="1"/>
  <c r="I232" i="112" s="1"/>
  <c r="H232" i="112" a="1"/>
  <c r="H232" i="112" s="1"/>
  <c r="G232" i="112" a="1"/>
  <c r="G232" i="112" s="1"/>
  <c r="F232" i="112" a="1"/>
  <c r="F232" i="112" s="1"/>
  <c r="E232" i="112" a="1"/>
  <c r="E232" i="112" s="1"/>
  <c r="D232" i="112" a="1"/>
  <c r="D232" i="112" s="1"/>
  <c r="D229" i="112" a="1"/>
  <c r="D229" i="112" s="1"/>
  <c r="D228" i="112" a="1"/>
  <c r="D228" i="112" s="1"/>
  <c r="D227" i="112" a="1"/>
  <c r="D227" i="112" s="1"/>
  <c r="E224" i="112" a="1"/>
  <c r="E224" i="112" s="1"/>
  <c r="D224" i="112" a="1"/>
  <c r="D224" i="112" s="1"/>
  <c r="E223" i="112" a="1"/>
  <c r="E223" i="112" s="1"/>
  <c r="D223" i="112" a="1"/>
  <c r="D223" i="112" s="1"/>
  <c r="E222" i="112" a="1"/>
  <c r="E222" i="112" s="1"/>
  <c r="D222" i="112" a="1"/>
  <c r="D222" i="112" s="1"/>
  <c r="E221" i="112" a="1"/>
  <c r="E221" i="112" s="1"/>
  <c r="D221" i="112" a="1"/>
  <c r="D221" i="112" s="1"/>
  <c r="E220" i="112" a="1"/>
  <c r="E220" i="112" s="1"/>
  <c r="D220" i="112" a="1"/>
  <c r="D220" i="112" s="1"/>
  <c r="E219" i="112" a="1"/>
  <c r="E219" i="112" s="1"/>
  <c r="D219" i="112" a="1"/>
  <c r="D219" i="112" s="1"/>
  <c r="E218" i="112" a="1"/>
  <c r="E218" i="112" s="1"/>
  <c r="D218" i="112" a="1"/>
  <c r="D218" i="112" s="1"/>
  <c r="E217" i="112" a="1"/>
  <c r="E217" i="112" s="1"/>
  <c r="D217" i="112" a="1"/>
  <c r="D217" i="112" s="1"/>
  <c r="E216" i="112" a="1"/>
  <c r="E216" i="112" s="1"/>
  <c r="D216" i="112" a="1"/>
  <c r="D216" i="112" s="1"/>
  <c r="E215" i="112" a="1"/>
  <c r="E215" i="112" s="1"/>
  <c r="D215" i="112" a="1"/>
  <c r="D215" i="112" s="1"/>
  <c r="E214" i="112" a="1"/>
  <c r="E214" i="112" s="1"/>
  <c r="D214" i="112" a="1"/>
  <c r="D214" i="112" s="1"/>
  <c r="E213" i="112" a="1"/>
  <c r="E213" i="112" s="1"/>
  <c r="D213" i="112" a="1"/>
  <c r="D213" i="112" s="1"/>
  <c r="D211" i="112" a="1"/>
  <c r="D211" i="112" s="1"/>
  <c r="E208" i="112" a="1"/>
  <c r="E208" i="112" s="1"/>
  <c r="D208" i="112" a="1"/>
  <c r="D208" i="112" s="1"/>
  <c r="E207" i="112" a="1"/>
  <c r="E207" i="112" s="1"/>
  <c r="D207" i="112" a="1"/>
  <c r="D207" i="112" s="1"/>
  <c r="D205" i="112" a="1"/>
  <c r="D205" i="112" s="1"/>
  <c r="D204" i="112" a="1"/>
  <c r="D204" i="112" s="1"/>
  <c r="D203" i="112" a="1"/>
  <c r="D203" i="112" s="1"/>
  <c r="D202" i="112" a="1"/>
  <c r="D202" i="112" s="1"/>
  <c r="H199" i="112" a="1"/>
  <c r="H199" i="112" s="1"/>
  <c r="G199" i="112" a="1"/>
  <c r="G199" i="112" s="1"/>
  <c r="F199" i="112" a="1"/>
  <c r="F199" i="112" s="1"/>
  <c r="E199" i="112" a="1"/>
  <c r="E199" i="112" s="1"/>
  <c r="D199" i="112" a="1"/>
  <c r="D199" i="112" s="1"/>
  <c r="H198" i="112" a="1"/>
  <c r="H198" i="112" s="1"/>
  <c r="G198" i="112" a="1"/>
  <c r="G198" i="112" s="1"/>
  <c r="F198" i="112" a="1"/>
  <c r="F198" i="112" s="1"/>
  <c r="E198" i="112" a="1"/>
  <c r="E198" i="112" s="1"/>
  <c r="D198" i="112" a="1"/>
  <c r="D198" i="112" s="1"/>
  <c r="H197" i="112" a="1"/>
  <c r="H197" i="112" s="1"/>
  <c r="G197" i="112" a="1"/>
  <c r="G197" i="112" s="1"/>
  <c r="F197" i="112" a="1"/>
  <c r="F197" i="112" s="1"/>
  <c r="E197" i="112" a="1"/>
  <c r="E197" i="112" s="1"/>
  <c r="D197" i="112" a="1"/>
  <c r="D197" i="112" s="1"/>
  <c r="H196" i="112" a="1"/>
  <c r="H196" i="112" s="1"/>
  <c r="G196" i="112" a="1"/>
  <c r="G196" i="112" s="1"/>
  <c r="F196" i="112" a="1"/>
  <c r="F196" i="112" s="1"/>
  <c r="E196" i="112" a="1"/>
  <c r="E196" i="112" s="1"/>
  <c r="D196" i="112" a="1"/>
  <c r="D196" i="112" s="1"/>
  <c r="H195" i="112" a="1"/>
  <c r="H195" i="112" s="1"/>
  <c r="G195" i="112" a="1"/>
  <c r="G195" i="112" s="1"/>
  <c r="F195" i="112" a="1"/>
  <c r="F195" i="112" s="1"/>
  <c r="E195" i="112" a="1"/>
  <c r="E195" i="112" s="1"/>
  <c r="D195" i="112" a="1"/>
  <c r="D195" i="112" s="1"/>
  <c r="H194" i="112" a="1"/>
  <c r="H194" i="112" s="1"/>
  <c r="G194" i="112" a="1"/>
  <c r="G194" i="112" s="1"/>
  <c r="F194" i="112" a="1"/>
  <c r="F194" i="112" s="1"/>
  <c r="E194" i="112" a="1"/>
  <c r="E194" i="112" s="1"/>
  <c r="D194" i="112" a="1"/>
  <c r="D194" i="112" s="1"/>
  <c r="H193" i="112" a="1"/>
  <c r="H193" i="112" s="1"/>
  <c r="G193" i="112" a="1"/>
  <c r="G193" i="112" s="1"/>
  <c r="F193" i="112" a="1"/>
  <c r="F193" i="112" s="1"/>
  <c r="E193" i="112" a="1"/>
  <c r="E193" i="112" s="1"/>
  <c r="D193" i="112" a="1"/>
  <c r="D193" i="112" s="1"/>
  <c r="H192" i="112" a="1"/>
  <c r="H192" i="112" s="1"/>
  <c r="G192" i="112" a="1"/>
  <c r="G192" i="112" s="1"/>
  <c r="F192" i="112" a="1"/>
  <c r="F192" i="112" s="1"/>
  <c r="E192" i="112" a="1"/>
  <c r="E192" i="112" s="1"/>
  <c r="D192" i="112" a="1"/>
  <c r="D192" i="112" s="1"/>
  <c r="H191" i="112" a="1"/>
  <c r="H191" i="112" s="1"/>
  <c r="G191" i="112" a="1"/>
  <c r="G191" i="112" s="1"/>
  <c r="F191" i="112" a="1"/>
  <c r="F191" i="112" s="1"/>
  <c r="E191" i="112" a="1"/>
  <c r="E191" i="112" s="1"/>
  <c r="D191" i="112" a="1"/>
  <c r="D191" i="112" s="1"/>
  <c r="H190" i="112" a="1"/>
  <c r="H190" i="112" s="1"/>
  <c r="G190" i="112" a="1"/>
  <c r="G190" i="112" s="1"/>
  <c r="F190" i="112" a="1"/>
  <c r="F190" i="112" s="1"/>
  <c r="E190" i="112" a="1"/>
  <c r="E190" i="112" s="1"/>
  <c r="D190" i="112" a="1"/>
  <c r="D190" i="112" s="1"/>
  <c r="H189" i="112" a="1"/>
  <c r="H189" i="112" s="1"/>
  <c r="G189" i="112" a="1"/>
  <c r="G189" i="112" s="1"/>
  <c r="F189" i="112" a="1"/>
  <c r="F189" i="112" s="1"/>
  <c r="E189" i="112" a="1"/>
  <c r="E189" i="112" s="1"/>
  <c r="D189" i="112" a="1"/>
  <c r="D189" i="112" s="1"/>
  <c r="H188" i="112" a="1"/>
  <c r="H188" i="112" s="1"/>
  <c r="G188" i="112" a="1"/>
  <c r="G188" i="112" s="1"/>
  <c r="F188" i="112" a="1"/>
  <c r="F188" i="112" s="1"/>
  <c r="E188" i="112" a="1"/>
  <c r="E188" i="112" s="1"/>
  <c r="D188" i="112" a="1"/>
  <c r="D188" i="112" s="1"/>
  <c r="H187" i="112" a="1"/>
  <c r="H187" i="112" s="1"/>
  <c r="G187" i="112" a="1"/>
  <c r="G187" i="112" s="1"/>
  <c r="F187" i="112" a="1"/>
  <c r="F187" i="112" s="1"/>
  <c r="E187" i="112" a="1"/>
  <c r="E187" i="112" s="1"/>
  <c r="D187" i="112" a="1"/>
  <c r="D187" i="112" s="1"/>
  <c r="D181" i="112" a="1"/>
  <c r="D181" i="112" s="1"/>
  <c r="D180" i="112" a="1"/>
  <c r="D180" i="112" s="1"/>
  <c r="D179" i="112" a="1"/>
  <c r="D179" i="112" s="1"/>
  <c r="D178" i="112" a="1"/>
  <c r="D178" i="112" s="1"/>
  <c r="E175" i="112" a="1"/>
  <c r="E175" i="112" s="1"/>
  <c r="D175" i="112" a="1"/>
  <c r="D175" i="112" s="1"/>
  <c r="D174" i="112" a="1"/>
  <c r="D174" i="112" s="1"/>
  <c r="D173" i="112" a="1"/>
  <c r="D173" i="112" s="1"/>
  <c r="D170" i="112" a="1"/>
  <c r="D170" i="112" s="1"/>
  <c r="D169" i="112" a="1"/>
  <c r="D169" i="112" s="1"/>
  <c r="D168" i="112" a="1"/>
  <c r="D168" i="112" s="1"/>
  <c r="D167" i="112" a="1"/>
  <c r="D167" i="112" s="1"/>
  <c r="D164" i="112" a="1"/>
  <c r="D164" i="112" s="1"/>
  <c r="D163" i="112" a="1"/>
  <c r="D163" i="112" s="1"/>
  <c r="D162" i="112" a="1"/>
  <c r="D162" i="112" s="1"/>
  <c r="D161" i="112" a="1"/>
  <c r="D161" i="112" s="1"/>
  <c r="E158" i="112" a="1"/>
  <c r="E158" i="112" s="1"/>
  <c r="D158" i="112" a="1"/>
  <c r="D158" i="112" s="1"/>
  <c r="E157" i="112" a="1"/>
  <c r="E157" i="112" s="1"/>
  <c r="D157" i="112" a="1"/>
  <c r="D157" i="112" s="1"/>
  <c r="E156" i="112" a="1"/>
  <c r="E156" i="112" s="1"/>
  <c r="D156" i="112" a="1"/>
  <c r="D156" i="112" s="1"/>
  <c r="E155" i="112" a="1"/>
  <c r="E155" i="112" s="1"/>
  <c r="D155" i="112" a="1"/>
  <c r="D155" i="112" s="1"/>
  <c r="E154" i="112" a="1"/>
  <c r="E154" i="112" s="1"/>
  <c r="D154" i="112" a="1"/>
  <c r="D154" i="112" s="1"/>
  <c r="D151" i="112" a="1"/>
  <c r="D151" i="112" s="1"/>
  <c r="D150" i="112" a="1"/>
  <c r="D150" i="112" s="1"/>
  <c r="E147" i="112" a="1"/>
  <c r="E147" i="112" s="1"/>
  <c r="D147" i="112" a="1"/>
  <c r="D147" i="112" s="1"/>
  <c r="E146" i="112" a="1"/>
  <c r="E146" i="112" s="1"/>
  <c r="D146" i="112" a="1"/>
  <c r="D146" i="112" s="1"/>
  <c r="E145" i="112" a="1"/>
  <c r="E145" i="112" s="1"/>
  <c r="D145" i="112" a="1"/>
  <c r="D145" i="112" s="1"/>
  <c r="E144" i="112" a="1"/>
  <c r="E144" i="112" s="1"/>
  <c r="D144" i="112" a="1"/>
  <c r="D144" i="112" s="1"/>
  <c r="E143" i="112" a="1"/>
  <c r="E143" i="112" s="1"/>
  <c r="D143" i="112" a="1"/>
  <c r="D143" i="112" s="1"/>
  <c r="D141" i="112" a="1"/>
  <c r="D141" i="112" s="1"/>
  <c r="D140" i="112" a="1"/>
  <c r="D140" i="112" s="1"/>
  <c r="D139" i="112" a="1"/>
  <c r="D139" i="112" s="1"/>
  <c r="E136" i="112" a="1"/>
  <c r="E136" i="112" s="1"/>
  <c r="D136" i="112" a="1"/>
  <c r="D136" i="112" s="1"/>
  <c r="E135" i="112" a="1"/>
  <c r="E135" i="112" s="1"/>
  <c r="D135" i="112" a="1"/>
  <c r="D135" i="112" s="1"/>
  <c r="D133" i="112" a="1"/>
  <c r="D133" i="112" s="1"/>
  <c r="D132" i="112" a="1"/>
  <c r="D132" i="112" s="1"/>
  <c r="E129" i="112" a="1"/>
  <c r="E129" i="112" s="1"/>
  <c r="D129" i="112" a="1"/>
  <c r="D129" i="112" s="1"/>
  <c r="E128" i="112" a="1"/>
  <c r="E128" i="112" s="1"/>
  <c r="D128" i="112" a="1"/>
  <c r="D128" i="112" s="1"/>
  <c r="D125" i="112" a="1"/>
  <c r="D125" i="112" s="1"/>
  <c r="D124" i="112" a="1"/>
  <c r="D124" i="112" s="1"/>
  <c r="G121" i="112" a="1"/>
  <c r="G121" i="112" s="1"/>
  <c r="F121" i="112" a="1"/>
  <c r="F121" i="112" s="1"/>
  <c r="E121" i="112" a="1"/>
  <c r="E121" i="112" s="1"/>
  <c r="D121" i="112" a="1"/>
  <c r="D121" i="112" s="1"/>
  <c r="G120" i="112" a="1"/>
  <c r="G120" i="112" s="1"/>
  <c r="F120" i="112" a="1"/>
  <c r="F120" i="112" s="1"/>
  <c r="E120" i="112" a="1"/>
  <c r="E120" i="112" s="1"/>
  <c r="D120" i="112" a="1"/>
  <c r="D120" i="112" s="1"/>
  <c r="D117" i="112" a="1"/>
  <c r="D117" i="112" s="1"/>
  <c r="D116" i="112" a="1"/>
  <c r="D116" i="112" s="1"/>
  <c r="D115" i="112" a="1"/>
  <c r="D115" i="112" s="1"/>
  <c r="G112" i="112" a="1"/>
  <c r="G112" i="112" s="1"/>
  <c r="F112" i="112" a="1"/>
  <c r="F112" i="112" s="1"/>
  <c r="E112" i="112" a="1"/>
  <c r="E112" i="112" s="1"/>
  <c r="D112" i="112" a="1"/>
  <c r="D112" i="112" s="1"/>
  <c r="G111" i="112" a="1"/>
  <c r="G111" i="112" s="1"/>
  <c r="F111" i="112" a="1"/>
  <c r="F111" i="112" s="1"/>
  <c r="E111" i="112" a="1"/>
  <c r="E111" i="112" s="1"/>
  <c r="D111" i="112" a="1"/>
  <c r="D111" i="112" s="1"/>
  <c r="G110" i="112" a="1"/>
  <c r="G110" i="112" s="1"/>
  <c r="F110" i="112" a="1"/>
  <c r="F110" i="112" s="1"/>
  <c r="E110" i="112" a="1"/>
  <c r="E110" i="112" s="1"/>
  <c r="D110" i="112" a="1"/>
  <c r="D110" i="112" s="1"/>
  <c r="D107" i="112" a="1"/>
  <c r="D107" i="112" s="1"/>
  <c r="D106" i="112" a="1"/>
  <c r="D106" i="112" s="1"/>
  <c r="D105" i="112" a="1"/>
  <c r="D105" i="112" s="1"/>
  <c r="D99" i="112" a="1"/>
  <c r="D99" i="112" s="1"/>
  <c r="S97" i="112" a="1"/>
  <c r="S97" i="112" s="1"/>
  <c r="R97" i="112" a="1"/>
  <c r="R97" i="112" s="1"/>
  <c r="Q97" i="112" a="1"/>
  <c r="Q97" i="112" s="1"/>
  <c r="P97" i="112" a="1"/>
  <c r="P97" i="112" s="1"/>
  <c r="O97" i="112" a="1"/>
  <c r="O97" i="112" s="1"/>
  <c r="N97" i="112" a="1"/>
  <c r="N97" i="112" s="1"/>
  <c r="M97" i="112" a="1"/>
  <c r="M97" i="112" s="1"/>
  <c r="L97" i="112" a="1"/>
  <c r="L97" i="112" s="1"/>
  <c r="K97" i="112" a="1"/>
  <c r="K97" i="112" s="1"/>
  <c r="J97" i="112" a="1"/>
  <c r="J97" i="112" s="1"/>
  <c r="I97" i="112" a="1"/>
  <c r="I97" i="112" s="1"/>
  <c r="H97" i="112" a="1"/>
  <c r="H97" i="112" s="1"/>
  <c r="G97" i="112" a="1"/>
  <c r="G97" i="112" s="1"/>
  <c r="F97" i="112" a="1"/>
  <c r="F97" i="112" s="1"/>
  <c r="E97" i="112" a="1"/>
  <c r="E97" i="112" s="1"/>
  <c r="D97" i="112" a="1"/>
  <c r="D97" i="112" s="1"/>
  <c r="S96" i="112" a="1"/>
  <c r="S96" i="112" s="1"/>
  <c r="R96" i="112" a="1"/>
  <c r="R96" i="112" s="1"/>
  <c r="Q96" i="112" a="1"/>
  <c r="Q96" i="112" s="1"/>
  <c r="P96" i="112" a="1"/>
  <c r="P96" i="112" s="1"/>
  <c r="O96" i="112" a="1"/>
  <c r="O96" i="112" s="1"/>
  <c r="N96" i="112" a="1"/>
  <c r="N96" i="112" s="1"/>
  <c r="M96" i="112" a="1"/>
  <c r="M96" i="112" s="1"/>
  <c r="L96" i="112" a="1"/>
  <c r="L96" i="112" s="1"/>
  <c r="K96" i="112" a="1"/>
  <c r="K96" i="112" s="1"/>
  <c r="J96" i="112" a="1"/>
  <c r="J96" i="112" s="1"/>
  <c r="I96" i="112" a="1"/>
  <c r="I96" i="112" s="1"/>
  <c r="H96" i="112" a="1"/>
  <c r="H96" i="112" s="1"/>
  <c r="G96" i="112" a="1"/>
  <c r="G96" i="112" s="1"/>
  <c r="F96" i="112" a="1"/>
  <c r="F96" i="112" s="1"/>
  <c r="E96" i="112" a="1"/>
  <c r="E96" i="112" s="1"/>
  <c r="D96" i="112" a="1"/>
  <c r="D96" i="112" s="1"/>
  <c r="S95" i="112" a="1"/>
  <c r="S95" i="112" s="1"/>
  <c r="R95" i="112" a="1"/>
  <c r="R95" i="112" s="1"/>
  <c r="Q95" i="112" a="1"/>
  <c r="Q95" i="112" s="1"/>
  <c r="P95" i="112" a="1"/>
  <c r="P95" i="112" s="1"/>
  <c r="O95" i="112" a="1"/>
  <c r="O95" i="112" s="1"/>
  <c r="N95" i="112" a="1"/>
  <c r="N95" i="112" s="1"/>
  <c r="M95" i="112" a="1"/>
  <c r="M95" i="112" s="1"/>
  <c r="L95" i="112" a="1"/>
  <c r="L95" i="112" s="1"/>
  <c r="K95" i="112" a="1"/>
  <c r="K95" i="112" s="1"/>
  <c r="J95" i="112" a="1"/>
  <c r="J95" i="112" s="1"/>
  <c r="I95" i="112" a="1"/>
  <c r="I95" i="112" s="1"/>
  <c r="H95" i="112" a="1"/>
  <c r="H95" i="112" s="1"/>
  <c r="G95" i="112" a="1"/>
  <c r="G95" i="112" s="1"/>
  <c r="F95" i="112" a="1"/>
  <c r="F95" i="112" s="1"/>
  <c r="E95" i="112" a="1"/>
  <c r="E95" i="112" s="1"/>
  <c r="D95" i="112" a="1"/>
  <c r="D95" i="112" s="1"/>
  <c r="S94" i="112" a="1"/>
  <c r="S94" i="112" s="1"/>
  <c r="R94" i="112" a="1"/>
  <c r="R94" i="112" s="1"/>
  <c r="Q94" i="112" a="1"/>
  <c r="Q94" i="112" s="1"/>
  <c r="P94" i="112" a="1"/>
  <c r="P94" i="112" s="1"/>
  <c r="O94" i="112" a="1"/>
  <c r="O94" i="112" s="1"/>
  <c r="N94" i="112" a="1"/>
  <c r="N94" i="112" s="1"/>
  <c r="M94" i="112" a="1"/>
  <c r="M94" i="112" s="1"/>
  <c r="L94" i="112" a="1"/>
  <c r="L94" i="112" s="1"/>
  <c r="K94" i="112" a="1"/>
  <c r="K94" i="112" s="1"/>
  <c r="J94" i="112" a="1"/>
  <c r="J94" i="112" s="1"/>
  <c r="I94" i="112" a="1"/>
  <c r="I94" i="112" s="1"/>
  <c r="H94" i="112" a="1"/>
  <c r="H94" i="112" s="1"/>
  <c r="G94" i="112" a="1"/>
  <c r="G94" i="112" s="1"/>
  <c r="F94" i="112" a="1"/>
  <c r="F94" i="112" s="1"/>
  <c r="E94" i="112" a="1"/>
  <c r="E94" i="112" s="1"/>
  <c r="D94" i="112" a="1"/>
  <c r="D94" i="112" s="1"/>
  <c r="S93" i="112" a="1"/>
  <c r="S93" i="112" s="1"/>
  <c r="R93" i="112" a="1"/>
  <c r="R93" i="112" s="1"/>
  <c r="Q93" i="112" a="1"/>
  <c r="Q93" i="112" s="1"/>
  <c r="P93" i="112" a="1"/>
  <c r="P93" i="112" s="1"/>
  <c r="O93" i="112" a="1"/>
  <c r="O93" i="112" s="1"/>
  <c r="N93" i="112" a="1"/>
  <c r="N93" i="112" s="1"/>
  <c r="M93" i="112" a="1"/>
  <c r="M93" i="112" s="1"/>
  <c r="L93" i="112" a="1"/>
  <c r="L93" i="112" s="1"/>
  <c r="K93" i="112" a="1"/>
  <c r="K93" i="112" s="1"/>
  <c r="J93" i="112" a="1"/>
  <c r="J93" i="112" s="1"/>
  <c r="I93" i="112" a="1"/>
  <c r="I93" i="112" s="1"/>
  <c r="H93" i="112" a="1"/>
  <c r="H93" i="112" s="1"/>
  <c r="G93" i="112" a="1"/>
  <c r="G93" i="112" s="1"/>
  <c r="F93" i="112" a="1"/>
  <c r="F93" i="112" s="1"/>
  <c r="E93" i="112" a="1"/>
  <c r="E93" i="112" s="1"/>
  <c r="D93" i="112" a="1"/>
  <c r="D93" i="112" s="1"/>
  <c r="S92" i="112" a="1"/>
  <c r="S92" i="112" s="1"/>
  <c r="R92" i="112" a="1"/>
  <c r="R92" i="112" s="1"/>
  <c r="Q92" i="112" a="1"/>
  <c r="Q92" i="112" s="1"/>
  <c r="P92" i="112" a="1"/>
  <c r="P92" i="112" s="1"/>
  <c r="O92" i="112" a="1"/>
  <c r="O92" i="112" s="1"/>
  <c r="N92" i="112" a="1"/>
  <c r="N92" i="112" s="1"/>
  <c r="M92" i="112" a="1"/>
  <c r="M92" i="112" s="1"/>
  <c r="L92" i="112" a="1"/>
  <c r="L92" i="112" s="1"/>
  <c r="K92" i="112" a="1"/>
  <c r="K92" i="112" s="1"/>
  <c r="J92" i="112" a="1"/>
  <c r="J92" i="112" s="1"/>
  <c r="I92" i="112" a="1"/>
  <c r="I92" i="112" s="1"/>
  <c r="H92" i="112" a="1"/>
  <c r="H92" i="112" s="1"/>
  <c r="G92" i="112" a="1"/>
  <c r="G92" i="112" s="1"/>
  <c r="F92" i="112" a="1"/>
  <c r="F92" i="112" s="1"/>
  <c r="E92" i="112" a="1"/>
  <c r="E92" i="112" s="1"/>
  <c r="D92" i="112" a="1"/>
  <c r="D92" i="112" s="1"/>
  <c r="S91" i="112" a="1"/>
  <c r="S91" i="112" s="1"/>
  <c r="R91" i="112" a="1"/>
  <c r="R91" i="112" s="1"/>
  <c r="Q91" i="112" a="1"/>
  <c r="Q91" i="112" s="1"/>
  <c r="P91" i="112" a="1"/>
  <c r="P91" i="112" s="1"/>
  <c r="O91" i="112" a="1"/>
  <c r="O91" i="112" s="1"/>
  <c r="N91" i="112" a="1"/>
  <c r="N91" i="112" s="1"/>
  <c r="M91" i="112" a="1"/>
  <c r="M91" i="112" s="1"/>
  <c r="L91" i="112" a="1"/>
  <c r="L91" i="112" s="1"/>
  <c r="K91" i="112" a="1"/>
  <c r="K91" i="112" s="1"/>
  <c r="J91" i="112" a="1"/>
  <c r="J91" i="112" s="1"/>
  <c r="I91" i="112" a="1"/>
  <c r="I91" i="112" s="1"/>
  <c r="H91" i="112" a="1"/>
  <c r="H91" i="112" s="1"/>
  <c r="G91" i="112" a="1"/>
  <c r="G91" i="112" s="1"/>
  <c r="F91" i="112" a="1"/>
  <c r="F91" i="112" s="1"/>
  <c r="E91" i="112" a="1"/>
  <c r="E91" i="112" s="1"/>
  <c r="D91" i="112" a="1"/>
  <c r="D91" i="112" s="1"/>
  <c r="S90" i="112" a="1"/>
  <c r="S90" i="112" s="1"/>
  <c r="R90" i="112" a="1"/>
  <c r="R90" i="112" s="1"/>
  <c r="Q90" i="112" a="1"/>
  <c r="Q90" i="112" s="1"/>
  <c r="P90" i="112" a="1"/>
  <c r="P90" i="112" s="1"/>
  <c r="O90" i="112" a="1"/>
  <c r="O90" i="112" s="1"/>
  <c r="N90" i="112" a="1"/>
  <c r="N90" i="112" s="1"/>
  <c r="M90" i="112" a="1"/>
  <c r="M90" i="112" s="1"/>
  <c r="L90" i="112" a="1"/>
  <c r="L90" i="112" s="1"/>
  <c r="K90" i="112" a="1"/>
  <c r="K90" i="112" s="1"/>
  <c r="J90" i="112" a="1"/>
  <c r="J90" i="112" s="1"/>
  <c r="I90" i="112" a="1"/>
  <c r="I90" i="112" s="1"/>
  <c r="H90" i="112" a="1"/>
  <c r="H90" i="112" s="1"/>
  <c r="G90" i="112" a="1"/>
  <c r="G90" i="112" s="1"/>
  <c r="F90" i="112" a="1"/>
  <c r="F90" i="112" s="1"/>
  <c r="E90" i="112" a="1"/>
  <c r="E90" i="112" s="1"/>
  <c r="D90" i="112" a="1"/>
  <c r="D90" i="112" s="1"/>
  <c r="D83" i="112" a="1"/>
  <c r="D83" i="112" s="1"/>
  <c r="D82" i="112" a="1"/>
  <c r="D82" i="112" s="1"/>
  <c r="D81" i="112" a="1"/>
  <c r="D81" i="112" s="1"/>
  <c r="E77" i="112" a="1"/>
  <c r="E77" i="112" s="1"/>
  <c r="D77" i="112" a="1"/>
  <c r="D77" i="112" s="1"/>
  <c r="E76" i="112" a="1"/>
  <c r="E76" i="112" s="1"/>
  <c r="D76" i="112" a="1"/>
  <c r="D76" i="112" s="1"/>
  <c r="E75" i="112" a="1"/>
  <c r="E75" i="112" s="1"/>
  <c r="D75" i="112" a="1"/>
  <c r="D75" i="112" s="1"/>
  <c r="E74" i="112" a="1"/>
  <c r="E74" i="112" s="1"/>
  <c r="D74" i="112" a="1"/>
  <c r="D74" i="112" s="1"/>
  <c r="E73" i="112" a="1"/>
  <c r="E73" i="112" s="1"/>
  <c r="D73" i="112" a="1"/>
  <c r="D73" i="112" s="1"/>
  <c r="E72" i="112" a="1"/>
  <c r="E72" i="112" s="1"/>
  <c r="D72" i="112" a="1"/>
  <c r="D72" i="112" s="1"/>
  <c r="E71" i="112" a="1"/>
  <c r="E71" i="112" s="1"/>
  <c r="D71" i="112" a="1"/>
  <c r="D71" i="112" s="1"/>
  <c r="E70" i="112" a="1"/>
  <c r="E70" i="112" s="1"/>
  <c r="D70" i="112" a="1"/>
  <c r="D70" i="112" s="1"/>
  <c r="E69" i="112" a="1"/>
  <c r="E69" i="112" s="1"/>
  <c r="D69" i="112" a="1"/>
  <c r="D69" i="112" s="1"/>
  <c r="E68" i="112" a="1"/>
  <c r="E68" i="112" s="1"/>
  <c r="D68" i="112" a="1"/>
  <c r="D68" i="112" s="1"/>
  <c r="E67" i="112" a="1"/>
  <c r="E67" i="112" s="1"/>
  <c r="D67" i="112" a="1"/>
  <c r="D67" i="112" s="1"/>
  <c r="E66" i="112" a="1"/>
  <c r="E66" i="112" s="1"/>
  <c r="D66" i="112" a="1"/>
  <c r="D66" i="112" s="1"/>
  <c r="E65" i="112" a="1"/>
  <c r="E65" i="112" s="1"/>
  <c r="D65" i="112" a="1"/>
  <c r="D65" i="112" s="1"/>
  <c r="E64" i="112" a="1"/>
  <c r="E64" i="112" s="1"/>
  <c r="D64" i="112" a="1"/>
  <c r="D64" i="112" s="1"/>
  <c r="D59" i="112" a="1"/>
  <c r="D59" i="112" s="1"/>
  <c r="D58" i="112" a="1"/>
  <c r="D58" i="112" s="1"/>
  <c r="D57" i="112" a="1"/>
  <c r="D57" i="112" s="1"/>
  <c r="G54" i="112" a="1"/>
  <c r="G54" i="112" s="1"/>
  <c r="F54" i="112" a="1"/>
  <c r="F54" i="112" s="1"/>
  <c r="E54" i="112" a="1"/>
  <c r="E54" i="112" s="1"/>
  <c r="D54" i="112" a="1"/>
  <c r="D54" i="112" s="1"/>
  <c r="G53" i="112" a="1"/>
  <c r="G53" i="112" s="1"/>
  <c r="F53" i="112" a="1"/>
  <c r="F53" i="112" s="1"/>
  <c r="E53" i="112" a="1"/>
  <c r="E53" i="112" s="1"/>
  <c r="D53" i="112" a="1"/>
  <c r="D53" i="112" s="1"/>
  <c r="G52" i="112" a="1"/>
  <c r="G52" i="112" s="1"/>
  <c r="F52" i="112" a="1"/>
  <c r="F52" i="112" s="1"/>
  <c r="E52" i="112" a="1"/>
  <c r="E52" i="112" s="1"/>
  <c r="D52" i="112" a="1"/>
  <c r="D52" i="112" s="1"/>
  <c r="G51" i="112" a="1"/>
  <c r="G51" i="112" s="1"/>
  <c r="F51" i="112" a="1"/>
  <c r="F51" i="112" s="1"/>
  <c r="E51" i="112" a="1"/>
  <c r="E51" i="112" s="1"/>
  <c r="D51" i="112" a="1"/>
  <c r="D51" i="112" s="1"/>
  <c r="G50" i="112" a="1"/>
  <c r="G50" i="112" s="1"/>
  <c r="F50" i="112" a="1"/>
  <c r="F50" i="112" s="1"/>
  <c r="E50" i="112" a="1"/>
  <c r="E50" i="112" s="1"/>
  <c r="D50" i="112" a="1"/>
  <c r="D50" i="112" s="1"/>
  <c r="G49" i="112" a="1"/>
  <c r="G49" i="112" s="1"/>
  <c r="F49" i="112" a="1"/>
  <c r="F49" i="112" s="1"/>
  <c r="E49" i="112" a="1"/>
  <c r="E49" i="112" s="1"/>
  <c r="D49" i="112" a="1"/>
  <c r="D49" i="112" s="1"/>
  <c r="G48" i="112" a="1"/>
  <c r="G48" i="112" s="1"/>
  <c r="F48" i="112" a="1"/>
  <c r="F48" i="112" s="1"/>
  <c r="E48" i="112" a="1"/>
  <c r="E48" i="112" s="1"/>
  <c r="D48" i="112" a="1"/>
  <c r="D48" i="112" s="1"/>
  <c r="D46" i="112"/>
  <c r="D46" i="112" a="1"/>
  <c r="D45" i="112"/>
  <c r="D45" i="112" a="1"/>
  <c r="E43" i="112" a="1"/>
  <c r="E43" i="112" s="1"/>
  <c r="D43" i="112" a="1"/>
  <c r="D43" i="112" s="1"/>
  <c r="E42" i="112" a="1"/>
  <c r="E42" i="112" s="1"/>
  <c r="D42" i="112" a="1"/>
  <c r="D42" i="112" s="1"/>
  <c r="E41" i="112" a="1"/>
  <c r="E41" i="112" s="1"/>
  <c r="D41" i="112" a="1"/>
  <c r="D41" i="112" s="1"/>
  <c r="E40" i="112" a="1"/>
  <c r="E40" i="112" s="1"/>
  <c r="D40" i="112" a="1"/>
  <c r="D40" i="112" s="1"/>
  <c r="E39" i="112" a="1"/>
  <c r="E39" i="112" s="1"/>
  <c r="D39" i="112" a="1"/>
  <c r="D39" i="112" s="1"/>
  <c r="E38" i="112" a="1"/>
  <c r="E38" i="112" s="1"/>
  <c r="D38" i="112" a="1"/>
  <c r="D38" i="112" s="1"/>
  <c r="E37" i="112" a="1"/>
  <c r="E37" i="112" s="1"/>
  <c r="D37" i="112" a="1"/>
  <c r="D37" i="112" s="1"/>
  <c r="D35" i="112" a="1"/>
  <c r="D35" i="112" s="1"/>
  <c r="D34" i="112"/>
  <c r="D34" i="112" a="1"/>
  <c r="D30" i="112" a="1"/>
  <c r="D30" i="112" s="1"/>
  <c r="D29" i="112" a="1"/>
  <c r="D29" i="112" s="1"/>
  <c r="D28" i="112" a="1"/>
  <c r="D28" i="112" s="1"/>
  <c r="D27" i="112" a="1"/>
  <c r="D27" i="112" s="1"/>
  <c r="D26" i="112" a="1"/>
  <c r="D26" i="112" s="1"/>
  <c r="D25" i="112" a="1"/>
  <c r="D25" i="112" s="1"/>
  <c r="D24" i="112" a="1"/>
  <c r="D24" i="112" s="1"/>
  <c r="D23" i="112" a="1"/>
  <c r="D23" i="112" s="1"/>
  <c r="D22" i="112" a="1"/>
  <c r="D22" i="112" s="1"/>
  <c r="D21" i="112" a="1"/>
  <c r="D21" i="112" s="1"/>
  <c r="D19" i="112"/>
  <c r="D19" i="112" a="1"/>
  <c r="D18" i="112"/>
  <c r="D18" i="112" a="1"/>
  <c r="F14" i="112" a="1"/>
  <c r="F14" i="112" s="1"/>
  <c r="E14" i="112" a="1"/>
  <c r="E14" i="112" s="1"/>
  <c r="D14" i="112" a="1"/>
  <c r="D14" i="112" s="1"/>
  <c r="F13" i="112" a="1"/>
  <c r="F13" i="112" s="1"/>
  <c r="E13" i="112" a="1"/>
  <c r="E13" i="112" s="1"/>
  <c r="D13" i="112" a="1"/>
  <c r="D13" i="112" s="1"/>
  <c r="F12" i="112" a="1"/>
  <c r="F12" i="112" s="1"/>
  <c r="E12" i="112" a="1"/>
  <c r="E12" i="112" s="1"/>
  <c r="D12" i="112" a="1"/>
  <c r="D12" i="112" s="1"/>
  <c r="F11" i="112" a="1"/>
  <c r="F11" i="112" s="1"/>
  <c r="E11" i="112" a="1"/>
  <c r="E11" i="112" s="1"/>
  <c r="D11" i="112" a="1"/>
  <c r="D11" i="112" s="1"/>
  <c r="F10" i="112" a="1"/>
  <c r="F10" i="112" s="1"/>
  <c r="E10" i="112" a="1"/>
  <c r="E10" i="112" s="1"/>
  <c r="D10" i="112" a="1"/>
  <c r="D10" i="112" s="1"/>
  <c r="F9" i="112" a="1"/>
  <c r="F9" i="112" s="1"/>
  <c r="E9" i="112" a="1"/>
  <c r="E9" i="112" s="1"/>
  <c r="D9" i="112" a="1"/>
  <c r="D9" i="112" s="1"/>
  <c r="F8" i="112" a="1"/>
  <c r="F8" i="112" s="1"/>
  <c r="E8" i="112" a="1"/>
  <c r="E8" i="112" s="1"/>
  <c r="D8" i="112" a="1"/>
  <c r="D8" i="112" s="1"/>
  <c r="A8" i="112"/>
  <c r="F7" i="112" a="1"/>
  <c r="F7" i="112" s="1"/>
  <c r="E7" i="112" a="1"/>
  <c r="E7" i="112" s="1"/>
  <c r="D7" i="112" a="1"/>
  <c r="D7" i="112" s="1"/>
  <c r="A7" i="112"/>
  <c r="D5" i="112"/>
  <c r="D5" i="112" a="1"/>
  <c r="A3" i="112"/>
  <c r="A8" i="71"/>
  <c r="A7" i="71"/>
  <c r="A3" i="71"/>
  <c r="F50" i="70"/>
  <c r="E29" i="15"/>
  <c r="E13" i="15"/>
  <c r="D10" i="70" s="1"/>
  <c r="A21" i="43"/>
  <c r="A20" i="43"/>
  <c r="A19" i="43"/>
  <c r="A18" i="43"/>
  <c r="A14" i="43"/>
  <c r="A10" i="43"/>
  <c r="A9" i="43"/>
  <c r="A5" i="43"/>
  <c r="A4" i="43"/>
  <c r="A3" i="43"/>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P37" i="69" a="1"/>
  <c r="P37" i="69" s="1"/>
  <c r="M37" i="69" a="1"/>
  <c r="M37" i="69" s="1"/>
  <c r="I64" i="69"/>
  <c r="D75" i="69" s="1"/>
  <c r="I37" i="69"/>
  <c r="D45" i="69" s="1"/>
  <c r="H52" i="112" l="1"/>
  <c r="H48" i="112"/>
  <c r="H50" i="112"/>
  <c r="H54" i="112"/>
  <c r="H53" i="112"/>
  <c r="H49" i="112"/>
  <c r="H51" i="112"/>
  <c r="D24" i="70"/>
  <c r="D28" i="70"/>
  <c r="D29" i="70"/>
  <c r="D25" i="7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F53" i="70" l="1"/>
  <c r="R39" i="69" s="1"/>
  <c r="E53" i="70"/>
  <c r="I39" i="69" s="1"/>
  <c r="E54" i="70"/>
  <c r="I40" i="69" s="1"/>
  <c r="F54" i="70"/>
  <c r="R40" i="69" s="1"/>
  <c r="D56" i="69" a="1"/>
  <c r="D56" i="69" s="1"/>
  <c r="I66" i="69" a="1"/>
  <c r="I66" i="69" s="1"/>
  <c r="I38" i="69" a="1"/>
  <c r="I38" i="69" s="1"/>
  <c r="D30" i="69" a="1"/>
  <c r="D30" i="69" s="1"/>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57" i="69" a="1"/>
  <c r="E8" i="69" a="1"/>
  <c r="E86" i="69" a="1"/>
  <c r="H37" i="70" l="1"/>
  <c r="G37" i="70"/>
  <c r="I41" i="70"/>
  <c r="E37" i="70"/>
  <c r="H41" i="70"/>
  <c r="I37" i="70"/>
  <c r="F37" i="70"/>
  <c r="G41" i="70"/>
  <c r="F41" i="70"/>
  <c r="E41" i="70"/>
  <c r="F40" i="70"/>
  <c r="N19" i="69" s="1"/>
  <c r="N24" i="69" s="1" a="1"/>
  <c r="N24" i="69" s="1"/>
  <c r="N80" i="69" s="1" a="1"/>
  <c r="N80" i="69" s="1"/>
  <c r="I40" i="70"/>
  <c r="Q19" i="69" s="1"/>
  <c r="Q24" i="69" s="1" a="1"/>
  <c r="Q24" i="69" s="1"/>
  <c r="Q80" i="69" s="1" a="1"/>
  <c r="Q80" i="69" s="1"/>
  <c r="E36" i="70"/>
  <c r="D19" i="69" s="1"/>
  <c r="D24" i="69" s="1" a="1"/>
  <c r="D24" i="69" s="1"/>
  <c r="E40" i="70"/>
  <c r="M19" i="69" s="1"/>
  <c r="M24" i="69" s="1" a="1"/>
  <c r="M24" i="69" s="1"/>
  <c r="I36" i="70"/>
  <c r="H19" i="69" s="1"/>
  <c r="G40" i="70"/>
  <c r="O19" i="69" s="1"/>
  <c r="O24" i="69" s="1" a="1"/>
  <c r="O24" i="69" s="1"/>
  <c r="O80" i="69" s="1" a="1"/>
  <c r="O80" i="69" s="1"/>
  <c r="H36" i="70"/>
  <c r="G19" i="69" s="1"/>
  <c r="G36" i="70"/>
  <c r="F19" i="69" s="1"/>
  <c r="F36" i="70"/>
  <c r="E19" i="69" s="1"/>
  <c r="H40" i="70"/>
  <c r="P19" i="69" s="1"/>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M165" i="69"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N170" i="69"/>
  <c r="Q170" i="69"/>
  <c r="O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G18" i="70" l="1"/>
  <c r="F18" i="70"/>
  <c r="E18" i="70"/>
  <c r="G14" i="70"/>
  <c r="F14" i="70"/>
  <c r="E14" i="70"/>
  <c r="F110" i="69"/>
  <c r="E110" i="69"/>
  <c r="G110" i="69"/>
  <c r="H110" i="69"/>
  <c r="D110" i="69"/>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E182" i="69"/>
  <c r="E7" i="13" l="1"/>
  <c r="G184" i="69"/>
  <c r="F7" i="13"/>
  <c r="P184" i="69"/>
  <c r="N187" i="69" s="1" a="1"/>
  <c r="N187" i="69" s="1"/>
  <c r="I7" i="13" s="1"/>
  <c r="I8" i="13" s="1"/>
  <c r="E187" i="69" a="1"/>
  <c r="E187" i="69" s="1"/>
  <c r="H7" i="13" s="1"/>
  <c r="H8" i="13"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8" i="79" s="1"/>
  <c r="D10" i="43" a="1"/>
  <c r="D10" i="43" s="1"/>
  <c r="D8" i="43" a="1"/>
  <c r="D8" i="43" s="1"/>
  <c r="D7" i="43" a="1"/>
  <c r="D7" i="43" s="1"/>
  <c r="D6" i="43" a="1"/>
  <c r="D6" i="43" s="1"/>
  <c r="E8" i="79" l="1"/>
  <c r="D11" i="79"/>
  <c r="D9" i="79"/>
  <c r="E11" i="79"/>
  <c r="E9" i="79"/>
  <c r="D10" i="79"/>
  <c r="E10" i="7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<sst xmlns="http://schemas.openxmlformats.org/spreadsheetml/2006/main" count="590" uniqueCount="304">
  <si>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</si>
  <si>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</si>
  <si>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</si>
  <si>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</si>
  <si>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</si>
  <si>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</si>
  <si>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</si>
  <si>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</si>
  <si>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</si>
  <si>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</si>
  <si>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</si>
  <si>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</si>
  <si>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</si>
  <si>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</si>
  <si>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</si>
  <si>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</si>
  <si>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</si>
  <si>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</si>
  <si>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</si>
  <si>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</si>
  <si>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</si>
  <si>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</si>
  <si>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</si>
  <si>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</si>
  <si>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</si>
  <si>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</si>
  <si>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</si>
  <si>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</si>
  <si>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</si>
  <si>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</si>
  <si>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</si>
  <si>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</si>
  <si>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</si>
  <si>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</si>
  <si>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</si>
  <si>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</si>
  <si>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</si>
  <si>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</si>
  <si>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</si>
  <si>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</si>
  <si>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</si>
  <si>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</si>
  <si>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</si>
  <si>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</si>
  <si>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</si>
  <si>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</si>
  <si>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</si>
  <si>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</si>
  <si>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</si>
  <si>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</si>
  <si>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</si>
  <si>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</si>
  <si>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</si>
  <si>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</si>
  <si>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</si>
  <si>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</si>
  <si>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</si>
  <si>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</si>
  <si>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</si>
  <si>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</si>
  <si>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</si>
  <si>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</si>
  <si>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</si>
  <si>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</si>
  <si>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</si>
  <si>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</si>
  <si>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</si>
  <si>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</si>
  <si>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</si>
  <si>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</si>
  <si>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</si>
  <si>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</si>
  <si>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</si>
  <si>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</si>
  <si>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</si>
  <si>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</si>
  <si>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</si>
  <si>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</si>
  <si>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</si>
  <si>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</si>
  <si>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</si>
  <si>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</si>
  <si>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</si>
  <si>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</si>
  <si>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</si>
  <si>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</si>
  <si>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</si>
  <si>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</si>
  <si>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</si>
  <si>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</si>
  <si>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</si>
  <si>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</si>
  <si>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</si>
  <si>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</si>
  <si>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</si>
  <si>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</si>
  <si>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</si>
  <si>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</si>
  <si>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</si>
  <si>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</si>
  <si>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</si>
  <si>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</si>
  <si>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</si>
  <si>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</si>
  <si>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</si>
  <si>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</si>
  <si>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</si>
  <si>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</si>
  <si>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</si>
  <si>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</si>
  <si>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</si>
  <si>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</si>
  <si>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</si>
  <si>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</si>
  <si>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</si>
  <si>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</si>
  <si>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</si>
  <si>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</si>
  <si>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</si>
  <si>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</si>
  <si>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</si>
  <si>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</si>
  <si>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</si>
  <si>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</si>
  <si>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</si>
  <si>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</si>
  <si>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</si>
  <si>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</si>
  <si>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</si>
  <si>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</si>
  <si>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</si>
  <si>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</si>
  <si>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</si>
  <si>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</si>
  <si>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</si>
  <si>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</si>
  <si>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</si>
  <si>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</si>
  <si>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</si>
  <si>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</si>
  <si>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</si>
  <si>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</si>
  <si>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</si>
  <si>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</si>
  <si>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</si>
  <si>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</si>
  <si>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</si>
  <si>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</si>
  <si>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</si>
  <si>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</si>
  <si>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</si>
  <si>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</si>
  <si>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</si>
  <si>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</si>
  <si>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</si>
  <si>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</si>
  <si>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</si>
  <si>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</si>
  <si>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</si>
  <si>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</si>
  <si>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</si>
  <si>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</si>
  <si>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</si>
  <si>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</si>
  <si>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</si>
  <si>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</si>
  <si>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</si>
  <si>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</si>
  <si>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</si>
  <si>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</si>
  <si>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</si>
  <si>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</si>
  <si>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</si>
  <si>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</si>
  <si>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</si>
  <si>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</si>
  <si>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</si>
  <si>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</si>
  <si>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</si>
  <si>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</si>
  <si>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</si>
  <si>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</si>
  <si>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</si>
  <si>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</si>
  <si>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</si>
  <si>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</si>
  <si>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</si>
  <si>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</si>
  <si>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</si>
  <si>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</si>
  <si>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</si>
  <si>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</si>
  <si>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</si>
  <si>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</si>
  <si>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</si>
  <si>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</si>
  <si>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</si>
  <si>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</si>
  <si>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</si>
  <si>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</si>
  <si>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</si>
  <si>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</si>
  <si>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</si>
  <si>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</si>
  <si>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</si>
  <si>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</si>
  <si>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</si>
  <si>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</si>
  <si>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</si>
  <si>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</si>
  <si>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</si>
  <si>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</si>
  <si>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</si>
  <si>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</si>
  <si>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</si>
  <si>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</si>
  <si>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</si>
  <si>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</si>
  <si>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</si>
  <si>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</si>
  <si>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</si>
  <si>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</si>
  <si>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</si>
  <si>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</si>
  <si>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</si>
  <si>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</si>
  <si>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</si>
  <si>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</si>
  <si>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</si>
  <si>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</si>
  <si>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</si>
  <si>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</si>
  <si>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</si>
  <si>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</si>
  <si>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</si>
  <si>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</si>
  <si>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</si>
  <si>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</si>
  <si>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</si>
  <si>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</si>
  <si>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</si>
  <si>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</si>
  <si>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</si>
  <si>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</si>
  <si>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</si>
  <si>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</si>
  <si>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</si>
  <si>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</si>
  <si>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</si>
  <si>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</si>
  <si>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</si>
  <si>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Livestock classes</t>
  </si>
  <si>
    <t>Table_LivestockClasses_Dairy</t>
  </si>
  <si>
    <t>Livestock class</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</si>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</sst>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1">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xf numFmtId="0" fontId="18" fillId="0" borderId="0" xfId="34"/>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C769E"/>
      <color rgb="FF008000"/>
      <color rgb="FF0D9D96"/>
      <color rgb="FFCC6600"/>
      <color rgb="FFC4434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1" i="1">
                            <a:solidFill>
                              <a:srgbClr val="C00000"/>
                            </a:solidFill>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6"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4"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3"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2"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4C31AD6-8635-4CF8-893C-3B663307234C}" name="Table_LivestockClasses_Dairy" displayName="Table_LivestockClasses_Dairy" ref="L7:L12" totalsRowShown="0">
  <autoFilter ref="L7:L12" xr:uid="{E4C31AD6-8635-4CF8-893C-3B663307234C}">
    <filterColumn colId="0" hiddenButton="1"/>
  </autoFilter>
  <tableColumns count="1">
    <tableColumn id="1" xr3:uid="{C3130FCF-5C39-4259-ADC1-C2908930D6B5}"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4D02629-E912-41F8-8901-7DF42398FAF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5619F18-B19E-40EA-AF87-6D79B1082946}" name="State/Territory">
      <calculatedColumnFormula array="1">Common_InputFunctions.Utility_DisplayArrayInTable(Common_SourceData.Common_SourceData_AustralianStatesTerritories_Data(),Table_AustralianStates[[#Headers],[State/Territory]],0)</calculatedColumnFormula>
    </tableColumn>
    <tableColumn id="2" xr3:uid="{BA3CE1ED-622C-4267-88DC-8D636A8F6AE4}" name="Common Name">
      <calculatedColumnFormula array="1">Common_InputFunctions.Utility_DisplayArrayInTable(Common_SourceData.Common_SourceData_AustralianStatesTerritories_Data(),Table_AustralianStates[[#Headers],[State/Territory]],0)</calculatedColumnFormula>
    </tableColumn>
    <tableColumn id="3" xr3:uid="{AF5B1AE5-F59A-48D7-A3C8-B781EFBDF50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E053713-2D00-4F1C-8BF0-C2A5A193F8D0}" name="Table_WASA4Areas" displayName="Table_WASA4Areas" ref="D20:D30" totalsRowShown="0">
  <autoFilter ref="D20:D30" xr:uid="{5FA81339-C6C8-4D36-BEEA-6C4AEDD9E676}">
    <filterColumn colId="0" hiddenButton="1"/>
  </autoFilter>
  <tableColumns count="1">
    <tableColumn id="1" xr3:uid="{57D33033-C2ED-40FA-B439-0F1B60BD3EA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74D1118-DA87-4E6B-8D70-3EE3F4FD57B6}" name="Table_GWPData" displayName="Table_GWPData" ref="D36:E43" totalsRowShown="0">
  <autoFilter ref="D36:E43" xr:uid="{B8E87A66-3E41-4AD3-925D-01EE21B43D7A}">
    <filterColumn colId="0" hiddenButton="1"/>
    <filterColumn colId="1" hiddenButton="1"/>
  </autoFilter>
  <tableColumns count="2">
    <tableColumn id="1" xr3:uid="{5A790B29-8F7A-4EBD-B198-7FB1A3C06762}" name="Gas">
      <calculatedColumnFormula array="1">Common_InputFunctions.Utility_DisplayArrayInTable(Common_SourceData.Common_SourceData_GWP_Data(), Table_GWPData[[#Headers],[Gas]], 0)</calculatedColumnFormula>
    </tableColumn>
    <tableColumn id="2" xr3:uid="{FB32E316-79BE-469D-872C-0D9F044283C4}"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1F854EC-5D97-493B-8648-6FDCFD79E13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0191304-7F4C-48FB-A391-612105BD8B28}" name="Gas">
      <calculatedColumnFormula array="1">Common_InputFunctions.Utility_DisplayArrayInTable(Common_SourceData.Common_SourceData_ConvertGasElementalToMolecular_Data(),Table_GasToMolecularConversionFactor[[#Headers],[Gas]], 0)</calculatedColumnFormula>
    </tableColumn>
    <tableColumn id="5" xr3:uid="{10CAC5D2-F46D-447F-A9D4-6FF4D5A71B6B}" name="Conversion factor">
      <calculatedColumnFormula array="1">Common_InputFunctions.Utility_DisplayArrayInTable(Common_SourceData.Common_SourceData_ConvertGasElementalToMolecular_Data(),Table_GasToMolecularConversionFactor[[#Headers],[Gas]], 0)</calculatedColumnFormula>
    </tableColumn>
    <tableColumn id="2" xr3:uid="{502D1810-A78B-4547-A491-2B451CCF9A9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B3B8CF5-7169-486D-819B-16D0A99C887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94706B2-3429-4FD9-812C-140207BC61C2}"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C54C743-72B1-42D4-853B-EFFC81164D0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59C691-AC40-4CCA-B35C-CFD78C2E4C9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9E1D7C5-8D2F-4BD4-AD41-A5E67D55D21C}" name="MA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3" xr3:uid="{F51DB94D-293B-4C96-AF7B-F23EFFC88169}" name="MA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4" xr3:uid="{69A84A6B-0614-468D-883A-065AC1C309AD}" name="Frost days per year"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5" xr3:uid="{70B55FBB-C56B-4299-A84F-B56F89FFC7FE}" name="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6" xr3:uid="{C231F7DC-6BBE-42AD-B9DF-D4944211AD9E}" name="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7" xr3:uid="{241C1913-B698-47BE-8D1B-EB8066AB574A}" name="Min temp"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8" xr3:uid="{D5CBAA08-CC8F-4CF1-9ABB-C802EC4BBD37}" name="Max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9" xr3:uid="{11BAB109-DF03-401A-9C24-7429B101BE18}" name="Min rainfall"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0" xr3:uid="{CCF3C75A-B285-49C4-892C-7068170FA4FD}" name="Max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1" xr3:uid="{CE6AEE99-C38F-44FA-871B-75F2307F1F67}" name="Min frost days"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5" xr3:uid="{9E5F2F73-F8F3-43CE-ADDF-084E974EA647}" name="Max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2" xr3:uid="{90612C07-DACC-4373-9E4C-D4AB615A44A8}" name="Min 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6" xr3:uid="{3E3FDCA1-45EA-4B51-810A-C3054F189A56}" name="Max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3" xr3:uid="{ABFE2712-14EC-4E00-A3EF-18BFDC116010}" name="Min 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7" xr3:uid="{9E863024-D091-4CB7-A1E0-32262C5009E7}" name="Max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8E91A8F-4C61-4B7D-B993-A57DB80BF63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BD2B030-4156-459F-AF30-9BAEB721D89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576D2B7-EC3D-416C-B0FF-91FF174BD206}" name="Wet or Dry Zone" totalsRowDxfId="2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75F0122-EDD7-4A1D-8C29-D86E525B9AB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F57F30EA-9758-40A4-A99B-416CDC684951}" name="Temperature Zone">
      <calculatedColumnFormula array="1">Common_InputFunctions.Utility_DisplayArrayInTable(Common_SourceData.Common_SourceData_TemperatureZones_Data(),Table_SourceData_TemperatureZones[[#Headers],[Temperature Zone]],0)</calculatedColumnFormula>
    </tableColumn>
    <tableColumn id="2" xr3:uid="{37593EAD-291F-4CD4-A9CA-A1D08DD99D8A}" name="MAT">
      <calculatedColumnFormula array="1">Common_InputFunctions.Utility_DisplayArrayInTable(Common_SourceData.Common_SourceData_TemperatureZones_Data(),Table_SourceData_TemperatureZones[[#Headers],[Temperature Zone]],0)</calculatedColumnFormula>
    </tableColumn>
    <tableColumn id="3" xr3:uid="{2ED6C20A-A167-4C90-9BF2-6E5E973C7C6F}" name="Min MAT">
      <calculatedColumnFormula array="1">Common_InputFunctions.Utility_DisplayArrayInTable(Common_SourceData.Common_SourceData_TemperatureZones_Data(),Table_SourceData_TemperatureZones[[#Headers],[Temperature Zone]],0)</calculatedColumnFormula>
    </tableColumn>
    <tableColumn id="4" xr3:uid="{9A8C36BD-3718-468F-A2A7-23B9BF13241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ADB83B0-99BD-4717-B980-8F9E8663E33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AB1B627-3DA4-4F6B-8740-88344E61F715}" name="Rainfall Zone">
      <calculatedColumnFormula array="1">Common_InputFunctions.Utility_DisplayArrayInTable(Common_SourceData.Common_SourceData_RainfallZones_Data(),Table_SourceData_RainfallZones[[#Headers],[Rainfall Zone]],0)</calculatedColumnFormula>
    </tableColumn>
    <tableColumn id="2" xr3:uid="{B48A0011-4370-422B-98D1-EA148A1B3224}" name="Annual rainfall">
      <calculatedColumnFormula array="1">Common_InputFunctions.Utility_DisplayArrayInTable(Common_SourceData.Common_SourceData_RainfallZones_Data(),Table_SourceData_RainfallZones[[#Headers],[Rainfall Zone]],0)</calculatedColumnFormula>
    </tableColumn>
    <tableColumn id="3" xr3:uid="{E96A88A3-5A7D-4F52-9760-9F696FCB24B6}" name="Min rainfall">
      <calculatedColumnFormula array="1">Common_InputFunctions.Utility_DisplayArrayInTable(Common_SourceData.Common_SourceData_RainfallZones_Data(),Table_SourceData_RainfallZones[[#Headers],[Rainfall Zone]],0)</calculatedColumnFormula>
    </tableColumn>
    <tableColumn id="4" xr3:uid="{799292FE-8A23-4BF4-9ECD-7C3FEDF14A5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1EF9D46-8727-4FDF-8177-62C5F21CE547}"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3C471DE-861E-4392-ACCE-5E80DCE2903A}" name="Leaching Zone">
      <calculatedColumnFormula array="1">Common_InputFunctions.Utility_DisplayArrayInTable(Common_SourceData.Common_SourceData_LeachingZones_Data(), Table_SourceData_LeachingZones[[#Headers],[Leaching Zone]], 0)</calculatedColumnFormula>
    </tableColumn>
    <tableColumn id="2" xr3:uid="{BC3471D8-C748-4428-9F4E-48C19B6AA76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92C024F-0B81-4CD0-B408-92C4249F0740}"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4B5ADD9-A3E6-4B75-B5F2-B6B4845AEACA}" name="Data source">
      <calculatedColumnFormula array="1">Common_InputFunctions.Utility_DisplayArrayInTable(Common_SourceData.Common_SourceData_DataScores_Scope3_Data(), Table_SourceData_DataScores_Scope3[[#Headers],[Data source]], 0)</calculatedColumnFormula>
    </tableColumn>
    <tableColumn id="2" xr3:uid="{D5F064CC-ED36-4488-AA42-8EF3228B859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F423C12-1DFE-4D0F-B317-B464F78FCCB3}" name="Table_SourceData_FracWET" displayName="Table_SourceData_FracWET" ref="D134:E136" totalsRowShown="0">
  <autoFilter ref="D134:E136" xr:uid="{308E99BE-FE1F-47A4-B2CA-97217277C4E9}">
    <filterColumn colId="0" hiddenButton="1"/>
    <filterColumn colId="1" hiddenButton="1"/>
  </autoFilter>
  <tableColumns count="2">
    <tableColumn id="1" xr3:uid="{D3714B67-D8D4-439D-98F1-8729B044A6D8}" name="Is in leaching zone">
      <calculatedColumnFormula array="1">Common_InputFunctions.Utility_DisplayArrayInTable(Common_SourceData.Common_SourceData_FracWET_Data(),Table_SourceData_FracWET[[#Headers],[Is in leaching zone]],0)</calculatedColumnFormula>
    </tableColumn>
    <tableColumn id="2" xr3:uid="{869F17D9-5786-45E6-A68F-252FA649B4C6}" name="FracWET" dataDxfId="2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1674D50-6C5B-4D13-9BA0-C3A8CAB4948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966B6A5-F4CC-49AC-AA90-41A2115C9743}" name="Production system j">
      <calculatedColumnFormula array="1">Common_InputFunctions.Utility_DisplayArrayInTable(Common_SourceData.Common_SourceData_EFN2O_Data(), Table_SourceData_Common_EFN2O[[#Headers],[Production system j]], 0)</calculatedColumnFormula>
    </tableColumn>
    <tableColumn id="2" xr3:uid="{10ED4B1D-1D98-4E39-85BC-D6B263971674}" name="EFN2O">
      <calculatedColumnFormula array="1">Common_InputFunctions.Utility_DisplayArrayInTable(Common_SourceData.Common_SourceData_EFN2O_Data(), Table_SourceData_Common_EFN2O[[#Headers],[Production system j]], 0)</calculatedColumnFormula>
    </tableColumn>
    <tableColumn id="3" xr3:uid="{0449856F-7A1C-43A3-9720-FE78B64A28A2}" name="Production system only">
      <calculatedColumnFormula array="1">Common_InputFunctions.Utility_DisplayArrayInTable(Common_SourceData.Common_SourceData_EFN2O_Data(), Table_SourceData_Common_EFN2O[[#Headers],[Production system j]], 0)</calculatedColumnFormula>
    </tableColumn>
    <tableColumn id="4" xr3:uid="{C881400D-EA7C-43F3-876D-D351D2D4FCBD}" name="Irrigation method">
      <calculatedColumnFormula array="1">Common_InputFunctions.Utility_DisplayArrayInTable(Common_SourceData.Common_SourceData_EFN2O_Data(), Table_SourceData_Common_EFN2O[[#Headers],[Production system j]], 0)</calculatedColumnFormula>
    </tableColumn>
    <tableColumn id="5" xr3:uid="{454A9C37-BCA0-4A3E-97D8-49B5791C72E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BB85314-2A32-49C7-9830-3388D5FCB71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40564BD-4773-4D3B-B18C-FAF0EDFEF6CD}" name="Irrigation type i">
      <calculatedColumnFormula array="1">Common_InputFunctions.Utility_DisplayArrayInTable(Common_SourceData.Common_SourceData_FracWETIrrigation_Data(), Table_SourceData_FracWETIrrigation[[#Headers],[Irrigation type i]], 0)</calculatedColumnFormula>
    </tableColumn>
    <tableColumn id="2" xr3:uid="{638B57D5-E778-4A33-B53B-6284589DF37B}" name="FracWET" dataDxfId="2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7593CA4-D08E-4A68-BBB5-7F6497DD23E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FE6DCA1-0C14-4057-B2D5-D9137EDFC6F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3B1E1DE-9642-4980-9CAE-20BCC2AB5061}" name="EFPRP" dataDxfId="2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D3ACCC0-5113-49E1-B362-32892D87225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02D7753C-A9D4-4C0F-A50A-1D3B29EA3D15}" name="Month">
      <calculatedColumnFormula array="1">Common_InputFunctions.Utility_DisplayArrayInTable(Common_SourceData.Common_SourceData_MonthsToSeasons_Data(), Table_SourceData_Common_MonthToSeason[[#Headers],[Month]], 0)</calculatedColumnFormula>
    </tableColumn>
    <tableColumn id="2" xr3:uid="{B30FE3B4-743B-4444-9E5E-DEDA51B673AB}" name="Season" dataDxfId="2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2402800-BB09-479F-93A9-F618A8A88E8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A1DD1C5-8163-4B28-AB74-0293DBC7E04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ED0FC4-BAC5-4BAE-8410-AB6A99F7168B}" name="MAT (ºC)"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D7E363B-6252-4329-AB18-55F0BD2D9C1A}" name="Anaerobic lago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03DD494-A52F-4BAA-8027-E780FCB4AA27}" name="Digester / covered lagoons"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99DD533-C85A-4C58-B15A-72CFB230A3D6}" name="Liquid system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7F51E6DF-AD97-478C-AFBD-9BB66AB1608E}" name="Daily spread"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125A338-20BE-4F0D-9622-044A8884F086}" name="Composting (passive windro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B48328F-6C23-428D-A06A-B327B67635E3}" name="Solid storage"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059F3E5D-FF00-45D1-9FB8-4938ED7D247A}" name="Pit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CD3805A-CE21-47AD-B824-0877EEC99941}" name="Deep litter"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3D1A0CB-1209-4A18-AA2E-E1A46D3090E4}" name="Poultry manure with bedding"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F6D7D13-09C1-418B-AB18-33464AF1B784}" name="Poultry manure without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190D71E-99BF-467B-9BF5-7A8A45BA353E}" name="Direct process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5C47416-1D18-4B58-A5F4-7DFB05931801}" name="Direct application"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330B130-5379-4B5C-82E4-132785F8E066}" name="Pasture range and paddock"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997A883A-3897-4344-9580-AE7FB9DB6F47}" name="MAT ra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229D9C7-977F-4BD2-96D0-9CE6B233A436}"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BC80EFA-1F38-4400-9A9D-309999F8640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3A4A53F-1B72-4DAC-875F-9E7830626CFD}" name="EFNi &amp; EFN2Oi" dataDxfId="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88FD8B2-B900-45F3-A406-7A7074CE491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D2BD319C-22B4-4CF2-BF13-28AEDC2A576C}" name="Description" dataDxfId="7" dataCellStyle="Content normal"/>
    <tableColumn id="1" xr3:uid="{B38598A2-70B3-4BC6-A603-37557045FBE3}" name="ID"/>
    <tableColumn id="3" xr3:uid="{D870D321-504F-4766-806C-BAEC967A9B0D}"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6D89CE71-0CD6-4D18-9E6D-0DADCB38AD31}"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46E6B742-EC81-4873-9908-05A82E04B327}" name="Description"/>
    <tableColumn id="2" xr3:uid="{66394DCD-5876-4FB4-80ED-5C7500A63215}" name="ID"/>
    <tableColumn id="3" xr3:uid="{79752253-A12B-40F0-AB9A-282B8B11149C}"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1ACB57D-4643-44DD-8C41-C62584DFCA74}"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13252A14-66CE-4391-A522-7364135DDC42}" name="Description"/>
    <tableColumn id="2" xr3:uid="{85386D19-DB68-4619-B5B3-E66261810605}" name="ID"/>
    <tableColumn id="3" xr3:uid="{17AEC244-A73B-4900-BCCF-C914FE87E904}" name="Score"/>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FDFDC66A-7861-481D-8214-191EA2D34AFB}"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B0A9DFF3-23C2-429F-92EC-86963A808022}" name="Description"/>
    <tableColumn id="2" xr3:uid="{43287FFC-2C8C-418A-AB33-0958A45C3B6C}" name="ID"/>
    <tableColumn id="3" xr3:uid="{22D108AD-40EE-4067-B4AD-4FA5177B6412}" name="Score"/>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printerSettings" Target="../printerSettings/printerSettings3.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 Id="rId22" Type="http://schemas.openxmlformats.org/officeDocument/2006/relationships/table" Target="../tables/table3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5" sqref="A5"/>
    </sheetView>
  </sheetViews>
  <sheetFormatPr defaultRowHeight="15" x14ac:dyDescent="0.25"/>
  <sheetData>
    <row r="1" spans="1:1" x14ac:dyDescent="0.25">
      <c r="A1" t="s">
        <v>254</v>
      </c>
    </row>
    <row r="3" spans="1:1" x14ac:dyDescent="0.25">
      <c r="A3" s="130" t="str">
        <f>HYPERLINK("#'Home'!A1", "Home")</f>
        <v>Home</v>
      </c>
    </row>
    <row r="6" spans="1:1" x14ac:dyDescent="0.25">
      <c r="A6" s="129"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sheetPr>
    <tabColor rgb="FF0C769E"/>
  </sheetPr>
  <dimension ref="A1:AG73"/>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33" ht="30" customHeight="1" x14ac:dyDescent="0.35">
      <c r="A1" s="65" t="e" vm="1">
        <v>#VALUE!</v>
      </c>
      <c r="C1" s="122" t="s">
        <v>214</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100000000000001"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100000000000001"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26" t="s">
        <v>233</v>
      </c>
      <c r="E5" s="126"/>
      <c r="F5" s="126"/>
      <c r="G5" s="126"/>
      <c r="H5" s="126"/>
      <c r="I5" s="105"/>
      <c r="J5" s="89"/>
      <c r="K5" s="89"/>
      <c r="L5" s="89"/>
      <c r="M5" s="89"/>
      <c r="N5" s="89"/>
      <c r="O5" s="89"/>
      <c r="P5" s="85"/>
      <c r="Q5" s="1"/>
      <c r="R5" s="1"/>
      <c r="S5" s="1"/>
      <c r="T5" s="1"/>
      <c r="U5" s="1"/>
      <c r="V5" s="1"/>
      <c r="W5" s="1"/>
    </row>
    <row r="6" spans="1:33" ht="20.100000000000001" customHeight="1" x14ac:dyDescent="0.25">
      <c r="C6" s="1"/>
      <c r="D6" s="127" t="s">
        <v>213</v>
      </c>
      <c r="E6" s="125"/>
      <c r="F6" s="125"/>
      <c r="G6" s="125"/>
      <c r="H6" s="125"/>
      <c r="I6" s="91"/>
      <c r="J6" s="88"/>
      <c r="K6" s="88"/>
      <c r="L6" s="88"/>
      <c r="M6" s="88"/>
      <c r="N6" s="88"/>
      <c r="O6" s="88"/>
      <c r="P6" s="86"/>
      <c r="Q6" s="1"/>
      <c r="R6" s="1"/>
      <c r="S6" s="1"/>
      <c r="T6" s="1"/>
      <c r="U6" s="1"/>
      <c r="V6" s="1"/>
      <c r="W6" s="1"/>
    </row>
    <row r="7" spans="1:33" ht="20.100000000000001" customHeight="1" x14ac:dyDescent="0.25">
      <c r="C7" s="1"/>
      <c r="D7" s="1"/>
      <c r="E7" s="1"/>
      <c r="F7" s="1"/>
      <c r="G7" s="1"/>
      <c r="H7" s="1"/>
      <c r="I7" s="1"/>
      <c r="J7" s="1"/>
      <c r="K7" s="1"/>
      <c r="L7" s="1"/>
      <c r="M7" s="1"/>
      <c r="N7" s="1"/>
      <c r="O7" s="1"/>
      <c r="P7" s="1"/>
      <c r="Q7" s="1"/>
      <c r="R7" s="1"/>
      <c r="S7" s="1"/>
      <c r="T7" s="1"/>
      <c r="U7" s="1"/>
      <c r="V7" s="1"/>
      <c r="W7" s="1"/>
    </row>
    <row r="8" spans="1:33" ht="20.100000000000001" customHeight="1" x14ac:dyDescent="0.25">
      <c r="A8" s="19" t="s">
        <v>0</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8" t="s">
        <v>71</v>
      </c>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3"/>
      <c r="D65" s="23"/>
      <c r="E65" s="23"/>
      <c r="F65" s="23"/>
      <c r="G65" s="23"/>
      <c r="H65" s="23"/>
      <c r="I65" s="23"/>
      <c r="J65" s="23"/>
      <c r="K65" s="23"/>
      <c r="L65" s="23"/>
      <c r="M65" s="23"/>
      <c r="N65" s="23"/>
      <c r="O65" s="23"/>
      <c r="P65" s="23"/>
      <c r="Q65" s="23"/>
      <c r="R65" s="23"/>
      <c r="S65" s="23"/>
      <c r="T65" s="23"/>
      <c r="U65" s="23"/>
      <c r="V65" s="23"/>
      <c r="W65" s="23"/>
    </row>
    <row r="66" spans="3:23" x14ac:dyDescent="0.25">
      <c r="C66" s="23"/>
      <c r="D66" s="23"/>
      <c r="E66" s="23"/>
      <c r="F66" s="23"/>
      <c r="G66" s="23"/>
      <c r="H66" s="23"/>
      <c r="I66" s="23"/>
      <c r="J66" s="23"/>
      <c r="K66" s="23"/>
      <c r="L66" s="23"/>
      <c r="M66" s="23"/>
      <c r="N66" s="23"/>
      <c r="O66" s="23"/>
      <c r="P66" s="23"/>
      <c r="Q66" s="23"/>
      <c r="R66" s="23"/>
      <c r="S66" s="23"/>
      <c r="T66" s="23"/>
      <c r="U66" s="23"/>
      <c r="V66" s="23"/>
      <c r="W66" s="23"/>
    </row>
    <row r="67" spans="3:23" x14ac:dyDescent="0.25">
      <c r="C67" s="23"/>
      <c r="D67" s="23"/>
      <c r="E67" s="23"/>
      <c r="F67" s="23"/>
      <c r="G67" s="23"/>
      <c r="H67" s="23"/>
      <c r="I67" s="23"/>
      <c r="J67" s="23"/>
      <c r="K67" s="23"/>
      <c r="L67" s="23"/>
      <c r="M67" s="23"/>
      <c r="N67" s="23"/>
      <c r="O67" s="23"/>
      <c r="P67" s="23"/>
      <c r="Q67" s="23"/>
      <c r="R67" s="23"/>
      <c r="S67" s="23"/>
      <c r="T67" s="23"/>
      <c r="U67" s="23"/>
      <c r="V67" s="23"/>
      <c r="W67" s="23"/>
    </row>
    <row r="68" spans="3:23" x14ac:dyDescent="0.25">
      <c r="C68" s="23"/>
      <c r="D68" s="23"/>
      <c r="E68" s="23"/>
      <c r="F68" s="23"/>
      <c r="G68" s="23"/>
      <c r="H68" s="23"/>
      <c r="I68" s="23"/>
      <c r="J68" s="23"/>
      <c r="K68" s="23"/>
      <c r="L68" s="23"/>
      <c r="M68" s="23"/>
      <c r="N68" s="23"/>
      <c r="O68" s="23"/>
      <c r="P68" s="23"/>
      <c r="Q68" s="23"/>
      <c r="R68" s="23"/>
      <c r="S68" s="23"/>
      <c r="T68" s="23"/>
      <c r="U68" s="23"/>
      <c r="V68" s="23"/>
      <c r="W68" s="23"/>
    </row>
    <row r="69" spans="3:23" x14ac:dyDescent="0.25">
      <c r="C69" s="23"/>
      <c r="D69" s="23"/>
      <c r="E69" s="23"/>
      <c r="F69" s="23"/>
      <c r="G69" s="23"/>
      <c r="H69" s="23"/>
      <c r="I69" s="23"/>
      <c r="J69" s="23"/>
      <c r="K69" s="23"/>
      <c r="L69" s="23"/>
      <c r="M69" s="23"/>
      <c r="N69" s="23"/>
      <c r="O69" s="23"/>
      <c r="P69" s="23"/>
      <c r="Q69" s="23"/>
      <c r="R69" s="23"/>
      <c r="S69" s="23"/>
      <c r="T69" s="23"/>
      <c r="U69" s="23"/>
      <c r="V69" s="23"/>
      <c r="W69" s="23"/>
    </row>
    <row r="70" spans="3:23" x14ac:dyDescent="0.25">
      <c r="C70" s="23"/>
      <c r="D70" s="23"/>
      <c r="E70" s="23"/>
      <c r="F70" s="23"/>
      <c r="G70" s="23"/>
      <c r="H70" s="23"/>
      <c r="I70" s="23"/>
      <c r="J70" s="23"/>
      <c r="K70" s="23"/>
      <c r="L70" s="23"/>
      <c r="M70" s="23"/>
      <c r="N70" s="23"/>
      <c r="O70" s="23"/>
      <c r="P70" s="23"/>
      <c r="Q70" s="23"/>
      <c r="R70" s="23"/>
      <c r="S70" s="23"/>
      <c r="T70" s="23"/>
      <c r="U70" s="23"/>
      <c r="V70" s="23"/>
      <c r="W70" s="23"/>
    </row>
    <row r="71" spans="3:23" x14ac:dyDescent="0.25">
      <c r="C71" s="23"/>
      <c r="D71" s="23"/>
      <c r="E71" s="23"/>
      <c r="F71" s="23"/>
      <c r="G71" s="23"/>
      <c r="H71" s="23"/>
      <c r="I71" s="23"/>
      <c r="J71" s="23"/>
      <c r="K71" s="23"/>
      <c r="L71" s="23"/>
      <c r="M71" s="23"/>
      <c r="N71" s="23"/>
      <c r="O71" s="23"/>
      <c r="P71" s="23"/>
      <c r="Q71" s="23"/>
      <c r="R71" s="23"/>
      <c r="S71" s="23"/>
      <c r="T71" s="23"/>
      <c r="U71" s="23"/>
      <c r="V71" s="23"/>
      <c r="W71" s="23"/>
    </row>
    <row r="72" spans="3:23" x14ac:dyDescent="0.25">
      <c r="C72" s="23"/>
      <c r="D72" s="23"/>
      <c r="E72" s="23"/>
      <c r="F72" s="23"/>
      <c r="G72" s="23"/>
      <c r="H72" s="23"/>
      <c r="I72" s="23"/>
      <c r="J72" s="23"/>
      <c r="K72" s="23"/>
      <c r="L72" s="23"/>
      <c r="M72" s="23"/>
      <c r="N72" s="23"/>
      <c r="O72" s="23"/>
      <c r="P72" s="23"/>
      <c r="Q72" s="23"/>
      <c r="R72" s="23"/>
      <c r="S72" s="23"/>
      <c r="T72" s="23"/>
      <c r="U72" s="23"/>
      <c r="V72" s="23"/>
      <c r="W72" s="23"/>
    </row>
    <row r="73" spans="3:23" x14ac:dyDescent="0.25">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215</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0" t="str">
        <f>HYPERLINK("#'Results'!A1", "Results")</f>
        <v>Results</v>
      </c>
      <c r="C5" s="23"/>
      <c r="D5" s="27"/>
      <c r="E5" s="28"/>
      <c r="F5" s="28"/>
      <c r="G5" s="28"/>
      <c r="H5" s="25"/>
      <c r="I5" s="23"/>
      <c r="J5" s="23"/>
      <c r="K5" s="23"/>
    </row>
    <row r="6" spans="1:11" ht="20.100000000000001" customHeight="1" x14ac:dyDescent="0.25">
      <c r="C6" s="23"/>
      <c r="D6" s="109" t="s">
        <v>108</v>
      </c>
      <c r="E6" s="109" t="s">
        <v>192</v>
      </c>
      <c r="F6" s="109" t="s">
        <v>193</v>
      </c>
      <c r="G6" s="109" t="s">
        <v>122</v>
      </c>
      <c r="H6" s="109" t="s">
        <v>194</v>
      </c>
      <c r="I6" s="109" t="s">
        <v>195</v>
      </c>
      <c r="J6" s="109" t="s">
        <v>123</v>
      </c>
      <c r="K6" s="23"/>
    </row>
    <row r="7" spans="1:11" ht="20.100000000000001" customHeight="1" x14ac:dyDescent="0.25">
      <c r="C7" s="23"/>
      <c r="D7" s="1" t="s">
        <v>232</v>
      </c>
      <c r="E7" s="107">
        <f>VEERG_3_3_1_1__1_TotalAnnualMethaneFromEntericFermentationVariation_Result_Method1</f>
        <v>32.464682683989999</v>
      </c>
      <c r="F7" s="107">
        <f>VEERG_3_3_1_1__1_TotalAnnualMethaneFromEntericFermentationVariation_Result_Method2</f>
        <v>32.464682683989999</v>
      </c>
      <c r="G7" s="54" t="str">
        <f>'3.3.1.1-2 Enteric Methane'!$F$182</f>
        <v>t CH4</v>
      </c>
      <c r="H7" s="107">
        <f>'3.3.1.1-2 Enteric Methane'!E187</f>
        <v>909.01111515171999</v>
      </c>
      <c r="I7" s="107">
        <f>'3.3.1.1-2 Enteric Methane'!N187</f>
        <v>909.01111515171999</v>
      </c>
      <c r="J7" s="54" t="s">
        <v>190</v>
      </c>
      <c r="K7" s="23"/>
    </row>
    <row r="8" spans="1:11" ht="20.100000000000001" customHeight="1" x14ac:dyDescent="0.3">
      <c r="A8" s="19" t="s">
        <v>0</v>
      </c>
      <c r="C8" s="23"/>
      <c r="D8" s="30" t="s">
        <v>121</v>
      </c>
      <c r="E8" s="24"/>
      <c r="F8" s="24"/>
      <c r="G8" s="30"/>
      <c r="H8" s="108">
        <f>SUM(H7)</f>
        <v>909.01111515171999</v>
      </c>
      <c r="I8" s="108">
        <f>SUM(I7:I7)</f>
        <v>909.01111515171999</v>
      </c>
      <c r="J8" s="103" t="s">
        <v>190</v>
      </c>
      <c r="K8" s="23"/>
    </row>
    <row r="9" spans="1:11" ht="20.100000000000001" customHeight="1" x14ac:dyDescent="0.25">
      <c r="A9" s="17" t="str">
        <f>HYPERLINK("#'Input - Site'!A1", "Site")</f>
        <v>Site</v>
      </c>
      <c r="C9" s="23"/>
      <c r="D9" s="1"/>
      <c r="E9" s="107"/>
      <c r="F9" s="107"/>
      <c r="G9" s="54"/>
      <c r="H9" s="107"/>
      <c r="I9" s="107"/>
      <c r="J9" s="54"/>
      <c r="K9" s="23"/>
    </row>
    <row r="10" spans="1:11" ht="20.100000000000001" customHeight="1" x14ac:dyDescent="0.25">
      <c r="A10" s="17" t="str">
        <f>HYPERLINK("#'Input - Dairy'!A1", "Dairy")</f>
        <v>Dairy</v>
      </c>
      <c r="C10" s="23"/>
      <c r="D10" s="1"/>
      <c r="E10" s="107"/>
      <c r="F10" s="107"/>
      <c r="G10" s="54"/>
      <c r="H10" s="107"/>
      <c r="I10" s="107"/>
      <c r="J10" s="54"/>
      <c r="K10" s="23"/>
    </row>
    <row r="11" spans="1:11" ht="20.100000000000001" customHeight="1" x14ac:dyDescent="0.25">
      <c r="C11" s="23"/>
      <c r="D11" s="107"/>
      <c r="E11" s="107"/>
      <c r="F11" s="107"/>
      <c r="G11" s="107"/>
      <c r="H11" s="107"/>
      <c r="I11" s="107"/>
      <c r="J11" s="107"/>
      <c r="K11" s="23"/>
    </row>
    <row r="12" spans="1:11" ht="20.100000000000001" customHeight="1" x14ac:dyDescent="0.25">
      <c r="C12" s="23"/>
      <c r="D12" s="107"/>
      <c r="E12" s="107"/>
      <c r="F12" s="107"/>
      <c r="G12" s="107"/>
      <c r="H12" s="107"/>
      <c r="I12" s="107"/>
      <c r="J12" s="107"/>
      <c r="K12" s="23"/>
    </row>
    <row r="13" spans="1:11" ht="20.100000000000001" customHeight="1" x14ac:dyDescent="0.25">
      <c r="A13" s="18" t="s">
        <v>71</v>
      </c>
      <c r="C13" s="23"/>
      <c r="D13" s="107"/>
      <c r="E13" s="107"/>
      <c r="F13" s="107"/>
      <c r="G13" s="107"/>
      <c r="H13" s="107"/>
      <c r="I13" s="107"/>
      <c r="J13" s="107"/>
      <c r="K13" s="23"/>
    </row>
    <row r="14" spans="1:11" ht="20.100000000000001" customHeight="1" x14ac:dyDescent="0.25">
      <c r="A14" s="17" t="str">
        <f>HYPERLINK("#'3.3.1.1-2 Enteric Methane'!A1", "3.3.1.1-2 Enteric Methane")</f>
        <v>3.3.1.1-2 Enteric Methane</v>
      </c>
      <c r="C14" s="23"/>
      <c r="D14" s="107"/>
      <c r="E14" s="107"/>
      <c r="F14" s="107"/>
      <c r="G14" s="107"/>
      <c r="H14" s="107"/>
      <c r="I14" s="107"/>
      <c r="J14" s="107"/>
      <c r="K14" s="23"/>
    </row>
    <row r="15" spans="1:11" ht="20.100000000000001" customHeight="1" x14ac:dyDescent="0.25">
      <c r="C15" s="23"/>
      <c r="D15" s="107"/>
      <c r="E15" s="107"/>
      <c r="F15" s="107"/>
      <c r="G15" s="107"/>
      <c r="H15" s="107"/>
      <c r="I15" s="107"/>
      <c r="J15" s="107"/>
      <c r="K15" s="23"/>
    </row>
    <row r="16" spans="1:11" ht="20.100000000000001" customHeight="1" x14ac:dyDescent="0.25">
      <c r="C16" s="23"/>
      <c r="D16" s="1"/>
      <c r="E16" s="1"/>
      <c r="F16" s="1"/>
      <c r="G16" s="1"/>
      <c r="H16" s="1"/>
      <c r="I16" s="1"/>
      <c r="J16" s="1"/>
      <c r="K16" s="23"/>
    </row>
    <row r="17" spans="1:11" ht="20.100000000000001" customHeight="1" x14ac:dyDescent="0.25">
      <c r="A17" s="129" t="s">
        <v>1</v>
      </c>
      <c r="C17" s="23"/>
      <c r="D17" s="1"/>
      <c r="E17" s="1"/>
      <c r="F17" s="1"/>
      <c r="G17" s="1"/>
      <c r="H17" s="1"/>
      <c r="I17" s="1"/>
      <c r="J17" s="1"/>
      <c r="K17" s="23"/>
    </row>
    <row r="18" spans="1:11" ht="20.100000000000001" customHeight="1" x14ac:dyDescent="0.25">
      <c r="A18" s="17" t="str">
        <f>HYPERLINK("#'Constants - Dairy'!A1", "Constants - Dairy")</f>
        <v>Constants - Dairy</v>
      </c>
      <c r="C18" s="23"/>
      <c r="D18" s="1"/>
      <c r="E18" s="1"/>
      <c r="F18" s="1"/>
      <c r="G18" s="1"/>
      <c r="H18" s="1"/>
      <c r="I18" s="1"/>
      <c r="J18" s="1"/>
      <c r="K18" s="23"/>
    </row>
    <row r="19" spans="1:11" ht="20.100000000000001" customHeight="1" x14ac:dyDescent="0.25">
      <c r="A19" s="17" t="str">
        <f>HYPERLINK("#'Constants - Common'!A1", "Constants - Common")</f>
        <v>Constants - Common</v>
      </c>
      <c r="C19" s="23"/>
      <c r="D19" s="1"/>
      <c r="E19" s="1"/>
      <c r="F19" s="1"/>
      <c r="G19" s="1"/>
      <c r="H19" s="1"/>
      <c r="I19" s="1"/>
      <c r="J19" s="1"/>
      <c r="K19" s="23"/>
    </row>
    <row r="20" spans="1:11" ht="20.100000000000001" customHeight="1" x14ac:dyDescent="0.25">
      <c r="A20" s="17" t="str">
        <f>HYPERLINK("#'Constants - Livestock'!A1", "Constants - Livestock")</f>
        <v>Constants - Livestock</v>
      </c>
      <c r="C20" s="23"/>
      <c r="D20" s="1"/>
      <c r="E20" s="1"/>
      <c r="F20" s="1"/>
      <c r="G20" s="1"/>
      <c r="H20" s="1"/>
      <c r="I20" s="1"/>
      <c r="J20" s="1"/>
      <c r="K20" s="23"/>
    </row>
    <row r="21" spans="1:11" ht="20.100000000000001" customHeight="1" x14ac:dyDescent="0.25">
      <c r="A21" s="17" t="str">
        <f>HYPERLINK("#'Acknowledgements'!A1", "Acknowledgements")</f>
        <v>Acknowledgements</v>
      </c>
      <c r="C21" s="23"/>
      <c r="D21" s="1"/>
      <c r="E21" s="1"/>
      <c r="F21" s="1"/>
      <c r="G21" s="1"/>
      <c r="H21" s="1"/>
      <c r="I21" s="1"/>
      <c r="J21" s="1"/>
      <c r="K21" s="23"/>
    </row>
    <row r="22" spans="1:11" ht="20.100000000000001" customHeight="1" x14ac:dyDescent="0.25">
      <c r="C22" s="23"/>
      <c r="D22" s="1"/>
      <c r="E22" s="1"/>
      <c r="F22" s="1"/>
      <c r="G22" s="1"/>
      <c r="H22" s="1"/>
      <c r="I22" s="1"/>
      <c r="J22" s="1"/>
      <c r="K22" s="23"/>
    </row>
    <row r="23" spans="1:11" ht="20.100000000000001" customHeight="1" x14ac:dyDescent="0.25">
      <c r="C23" s="23"/>
      <c r="D23" s="1"/>
      <c r="E23" s="1"/>
      <c r="F23" s="1"/>
      <c r="G23" s="1"/>
      <c r="H23" s="1"/>
      <c r="I23" s="1"/>
      <c r="J23" s="1"/>
      <c r="K23" s="23"/>
    </row>
    <row r="24" spans="1:11" ht="20.100000000000001" customHeight="1" x14ac:dyDescent="0.25">
      <c r="C24" s="23"/>
      <c r="D24" s="1"/>
      <c r="E24" s="1"/>
      <c r="F24" s="1"/>
      <c r="G24" s="1"/>
      <c r="H24" s="25"/>
      <c r="I24" s="23"/>
      <c r="J24" s="23"/>
      <c r="K24" s="23"/>
    </row>
    <row r="25" spans="1:11" ht="20.100000000000001" customHeight="1" x14ac:dyDescent="0.3">
      <c r="C25" s="23"/>
      <c r="D25" s="1"/>
      <c r="E25" s="1"/>
      <c r="F25" s="1"/>
      <c r="G25" s="1"/>
      <c r="H25" s="28"/>
      <c r="I25" s="23"/>
      <c r="J25" s="23"/>
      <c r="K25" s="23"/>
    </row>
    <row r="26" spans="1:11" ht="20.100000000000001" customHeight="1" x14ac:dyDescent="0.25">
      <c r="C26" s="23"/>
      <c r="D26" s="1"/>
      <c r="E26" s="1"/>
      <c r="F26" s="1"/>
      <c r="G26" s="1"/>
      <c r="H26" s="1"/>
      <c r="I26" s="1"/>
      <c r="J26" s="1"/>
      <c r="K26" s="23"/>
    </row>
    <row r="27" spans="1:11" ht="20.100000000000001" customHeight="1" x14ac:dyDescent="0.25">
      <c r="C27" s="23"/>
      <c r="D27" s="1"/>
      <c r="E27" s="1"/>
      <c r="F27" s="1"/>
      <c r="G27" s="1"/>
      <c r="H27" s="1"/>
      <c r="I27" s="1"/>
      <c r="J27" s="23"/>
      <c r="K27" s="23"/>
    </row>
    <row r="28" spans="1:11" ht="20.100000000000001" customHeight="1" x14ac:dyDescent="0.25">
      <c r="C28" s="23"/>
      <c r="D28" s="1"/>
      <c r="E28" s="1"/>
      <c r="F28" s="1"/>
      <c r="G28" s="1"/>
      <c r="H28" s="1"/>
      <c r="I28" s="1"/>
      <c r="J28" s="23"/>
      <c r="K28" s="23"/>
    </row>
    <row r="29" spans="1:11" ht="20.100000000000001" customHeight="1" x14ac:dyDescent="0.25">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06"/>
      <c r="J38" s="106"/>
      <c r="K38" s="23"/>
    </row>
    <row r="39" spans="3:11" ht="20.100000000000001" customHeight="1" x14ac:dyDescent="0.25">
      <c r="C39" s="23"/>
      <c r="D39" s="1"/>
      <c r="E39" s="1"/>
      <c r="F39" s="1"/>
      <c r="G39" s="1"/>
      <c r="H39" s="1"/>
      <c r="I39" s="106"/>
      <c r="J39" s="106"/>
      <c r="K39" s="23"/>
    </row>
    <row r="40" spans="3:11" ht="20.100000000000001" customHeight="1" x14ac:dyDescent="0.25">
      <c r="C40" s="23"/>
      <c r="D40" s="1"/>
      <c r="E40" s="1"/>
      <c r="F40" s="1"/>
      <c r="G40" s="1"/>
      <c r="H40" s="1"/>
      <c r="I40" s="106"/>
      <c r="J40" s="106"/>
      <c r="K40" s="23"/>
    </row>
    <row r="41" spans="3:11" ht="20.100000000000001" customHeight="1" x14ac:dyDescent="0.25">
      <c r="C41" s="23"/>
      <c r="D41" s="1"/>
      <c r="E41" s="1"/>
      <c r="F41" s="1"/>
      <c r="G41" s="1"/>
      <c r="H41" s="1"/>
      <c r="I41" s="106"/>
      <c r="J41" s="106"/>
      <c r="K41" s="23"/>
    </row>
    <row r="42" spans="3:11" ht="20.100000000000001" customHeight="1" x14ac:dyDescent="0.25">
      <c r="C42" s="23"/>
      <c r="D42" s="1"/>
      <c r="E42" s="1"/>
      <c r="F42" s="1"/>
      <c r="G42" s="1"/>
      <c r="H42" s="1"/>
      <c r="I42" s="106"/>
      <c r="J42" s="106"/>
      <c r="K42" s="23"/>
    </row>
    <row r="43" spans="3:11" ht="20.100000000000001" customHeight="1" x14ac:dyDescent="0.25">
      <c r="C43" s="23"/>
      <c r="D43" s="1"/>
      <c r="E43" s="1"/>
      <c r="F43" s="1"/>
      <c r="G43" s="1"/>
      <c r="H43" s="1"/>
      <c r="I43" s="106"/>
      <c r="J43" s="106"/>
      <c r="K43" s="23"/>
    </row>
    <row r="44" spans="3:11" ht="20.100000000000001" customHeight="1" x14ac:dyDescent="0.25">
      <c r="C44" s="23"/>
      <c r="D44" s="1"/>
      <c r="E44" s="1"/>
      <c r="F44" s="1"/>
      <c r="G44" s="1"/>
      <c r="H44" s="1"/>
      <c r="I44" s="106"/>
      <c r="J44" s="106"/>
      <c r="K44" s="23"/>
    </row>
    <row r="45" spans="3:11" ht="20.100000000000001" customHeight="1" x14ac:dyDescent="0.25">
      <c r="C45" s="23"/>
      <c r="D45" s="1"/>
      <c r="E45" s="1"/>
      <c r="F45" s="1"/>
      <c r="G45" s="1"/>
      <c r="H45" s="1"/>
      <c r="I45" s="106"/>
      <c r="J45" s="106"/>
      <c r="K45" s="23"/>
    </row>
    <row r="46" spans="3:11" ht="20.100000000000001" customHeight="1" x14ac:dyDescent="0.25">
      <c r="C46" s="23"/>
      <c r="D46" s="1"/>
      <c r="E46" s="1"/>
      <c r="F46" s="1"/>
      <c r="G46" s="1"/>
      <c r="H46" s="1"/>
      <c r="I46" s="106"/>
      <c r="J46" s="106"/>
      <c r="K46" s="23"/>
    </row>
    <row r="47" spans="3:11" ht="20.100000000000001" customHeight="1" x14ac:dyDescent="0.25">
      <c r="C47" s="23"/>
      <c r="D47" s="1"/>
      <c r="E47" s="1"/>
      <c r="F47" s="1"/>
      <c r="G47" s="1"/>
      <c r="H47" s="1"/>
      <c r="I47" s="106"/>
      <c r="J47" s="106"/>
      <c r="K47" s="23"/>
    </row>
    <row r="48" spans="3:11" ht="20.100000000000001" customHeight="1" x14ac:dyDescent="0.25">
      <c r="C48" s="23"/>
      <c r="D48" s="1"/>
      <c r="E48" s="1"/>
      <c r="F48" s="1"/>
      <c r="G48" s="1"/>
      <c r="H48" s="1"/>
      <c r="I48" s="106"/>
      <c r="J48" s="106"/>
      <c r="K48" s="23"/>
    </row>
    <row r="49" spans="3:11" ht="20.100000000000001" customHeight="1" x14ac:dyDescent="0.25">
      <c r="C49" s="23"/>
      <c r="D49" s="1"/>
      <c r="E49" s="1"/>
      <c r="F49" s="1"/>
      <c r="G49" s="1"/>
      <c r="H49" s="106"/>
      <c r="I49" s="106"/>
      <c r="J49" s="106"/>
      <c r="K49" s="23"/>
    </row>
    <row r="50" spans="3:11" ht="20.100000000000001" customHeight="1" x14ac:dyDescent="0.25">
      <c r="C50" s="23"/>
      <c r="D50" s="1"/>
      <c r="E50" s="1"/>
      <c r="F50" s="1"/>
      <c r="G50" s="1"/>
      <c r="H50" s="106"/>
      <c r="I50" s="106"/>
      <c r="J50" s="106"/>
      <c r="K50" s="23"/>
    </row>
    <row r="51" spans="3:11" ht="20.100000000000001" customHeight="1" x14ac:dyDescent="0.25">
      <c r="C51" s="23"/>
      <c r="D51" s="1"/>
      <c r="E51" s="1"/>
      <c r="F51" s="1"/>
      <c r="G51" s="1"/>
      <c r="H51" s="106"/>
      <c r="I51" s="106"/>
      <c r="J51" s="106"/>
      <c r="K51" s="23"/>
    </row>
    <row r="52" spans="3:11" ht="20.100000000000001" customHeight="1" x14ac:dyDescent="0.25">
      <c r="C52" s="23"/>
      <c r="D52" s="1"/>
      <c r="E52" s="1"/>
      <c r="F52" s="1"/>
      <c r="G52" s="1"/>
      <c r="H52" s="106"/>
      <c r="I52" s="106"/>
      <c r="J52" s="106"/>
      <c r="K52" s="23"/>
    </row>
    <row r="53" spans="3:11" ht="20.100000000000001" customHeight="1" x14ac:dyDescent="0.25">
      <c r="C53" s="23"/>
      <c r="D53" s="1"/>
      <c r="E53" s="1"/>
      <c r="F53" s="1"/>
      <c r="G53" s="1"/>
      <c r="H53" s="106"/>
      <c r="I53" s="106"/>
      <c r="J53" s="106"/>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85</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7"/>
      <c r="D4" s="67"/>
      <c r="E4" s="67"/>
      <c r="F4" s="67"/>
      <c r="G4" s="67"/>
      <c r="H4" s="67"/>
      <c r="I4" s="67"/>
      <c r="J4" s="67"/>
      <c r="K4" s="67"/>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69</v>
      </c>
      <c r="E8" s="34" t="s">
        <v>70</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2" t="s">
        <v>84</v>
      </c>
      <c r="E10" s="90"/>
      <c r="F10" s="93"/>
      <c r="G10" s="87"/>
      <c r="N10" s="44"/>
    </row>
    <row r="11" spans="1:24" ht="20.100000000000001" customHeight="1" x14ac:dyDescent="0.25">
      <c r="A11"/>
      <c r="N11" s="45"/>
    </row>
    <row r="12" spans="1:24" ht="20.100000000000001" customHeight="1" x14ac:dyDescent="0.25">
      <c r="A12"/>
      <c r="D12" s="10" t="s">
        <v>90</v>
      </c>
      <c r="E12" s="63">
        <v>45292</v>
      </c>
      <c r="F12" s="2" t="s">
        <v>67</v>
      </c>
    </row>
    <row r="13" spans="1:24" ht="20.100000000000001" customHeight="1" x14ac:dyDescent="0.25">
      <c r="A13" s="18" t="s">
        <v>71</v>
      </c>
      <c r="D13" s="10" t="s">
        <v>91</v>
      </c>
      <c r="E13" s="68">
        <f>DATE(YEAR(X_Cell_Site_StartDate)+1,MONTH(X_Cell_Site_StartDate),DAY(X_Cell_Site_StartDate))-1</f>
        <v>45657</v>
      </c>
      <c r="F13" s="2" t="s">
        <v>14</v>
      </c>
      <c r="N13" s="39"/>
      <c r="O13" s="39"/>
    </row>
    <row r="14" spans="1:24" ht="20.100000000000001" customHeight="1" x14ac:dyDescent="0.25">
      <c r="A14" s="17" t="str">
        <f>HYPERLINK("#'3.3.1.1-2 Enteric Methane'!A1", "3.3.1.1-2 Enteric Methane")</f>
        <v>3.3.1.1-2 Enteric Methane</v>
      </c>
      <c r="N14" s="39"/>
      <c r="O14" s="39"/>
    </row>
    <row r="15" spans="1:24" ht="20.100000000000001" customHeight="1" x14ac:dyDescent="0.25">
      <c r="A15"/>
      <c r="N15" s="39"/>
      <c r="O15" s="39"/>
    </row>
    <row r="16" spans="1:24" ht="20.100000000000001" customHeight="1" x14ac:dyDescent="0.25">
      <c r="A16"/>
      <c r="D16" s="6" t="s">
        <v>11</v>
      </c>
      <c r="N16" s="39"/>
      <c r="O16" s="39"/>
    </row>
    <row r="17" spans="1:25" ht="20.100000000000001" customHeight="1" x14ac:dyDescent="0.25">
      <c r="A17" s="129" t="s">
        <v>1</v>
      </c>
    </row>
    <row r="18" spans="1:25" ht="20.100000000000001" customHeight="1" x14ac:dyDescent="0.25">
      <c r="A18" s="17" t="str">
        <f>HYPERLINK("#'Constants - Dairy'!A1", "Constants - Dairy")</f>
        <v>Constants - Dairy</v>
      </c>
      <c r="D18" s="94" t="s">
        <v>13</v>
      </c>
      <c r="E18" s="89"/>
      <c r="F18" s="89"/>
      <c r="G18" s="85"/>
    </row>
    <row r="19" spans="1:25" ht="20.100000000000001" customHeight="1" x14ac:dyDescent="0.25">
      <c r="A19" s="17" t="str">
        <f>HYPERLINK("#'Constants - Common'!A1", "Constants - Common")</f>
        <v>Constants - Common</v>
      </c>
      <c r="D19" s="91" t="s">
        <v>68</v>
      </c>
      <c r="E19" s="88"/>
      <c r="F19" s="88"/>
      <c r="G19" s="86"/>
      <c r="N19" s="42"/>
    </row>
    <row r="20" spans="1:25" ht="20.100000000000001" customHeight="1" x14ac:dyDescent="0.25">
      <c r="A20" s="17" t="str">
        <f>HYPERLINK("#'Constants - Livestock'!A1", "Constants - Livestock")</f>
        <v>Constants - Livestock</v>
      </c>
      <c r="D20" s="1"/>
      <c r="E20" s="32"/>
      <c r="F20" s="2"/>
      <c r="N20" s="43"/>
    </row>
    <row r="21" spans="1:25" ht="20.100000000000001" customHeight="1" x14ac:dyDescent="0.25">
      <c r="A21" s="17" t="str">
        <f>HYPERLINK("#'Acknowledgements'!A1", "Acknowledgements")</f>
        <v>Acknowledgements</v>
      </c>
      <c r="D21" s="1" t="s">
        <v>5</v>
      </c>
      <c r="E21" s="41" t="s">
        <v>94</v>
      </c>
      <c r="F21" s="2" t="s">
        <v>8</v>
      </c>
    </row>
    <row r="22" spans="1:25" ht="20.100000000000001" customHeight="1" x14ac:dyDescent="0.25">
      <c r="A22"/>
      <c r="D22" s="1" t="s">
        <v>22</v>
      </c>
      <c r="E22" s="41" t="s">
        <v>31</v>
      </c>
      <c r="F22" s="2" t="s">
        <v>8</v>
      </c>
      <c r="G22" s="1"/>
    </row>
    <row r="23" spans="1:25" ht="20.100000000000001" customHeight="1" x14ac:dyDescent="0.25">
      <c r="A23"/>
      <c r="D23" s="1" t="s">
        <v>6</v>
      </c>
      <c r="E23" s="41" t="s">
        <v>89</v>
      </c>
      <c r="F23" s="2" t="s">
        <v>8</v>
      </c>
    </row>
    <row r="24" spans="1:25" ht="20.100000000000001" customHeight="1" x14ac:dyDescent="0.25">
      <c r="A24"/>
      <c r="D24" s="1" t="s">
        <v>36</v>
      </c>
      <c r="E24" s="34">
        <v>307.7</v>
      </c>
      <c r="F24" s="2" t="s">
        <v>50</v>
      </c>
    </row>
    <row r="25" spans="1:25" ht="20.100000000000001" customHeight="1" x14ac:dyDescent="0.25">
      <c r="A25"/>
      <c r="D25" s="1" t="s">
        <v>58</v>
      </c>
      <c r="E25" s="34">
        <v>18</v>
      </c>
      <c r="F25" s="2" t="s">
        <v>9</v>
      </c>
      <c r="N25" s="43"/>
    </row>
    <row r="26" spans="1:25" ht="20.100000000000001" customHeight="1" x14ac:dyDescent="0.25">
      <c r="A26"/>
      <c r="D26" s="1" t="s">
        <v>59</v>
      </c>
      <c r="E26" s="34">
        <v>601</v>
      </c>
      <c r="F26" s="2" t="s">
        <v>10</v>
      </c>
    </row>
    <row r="27" spans="1:25" ht="20.100000000000001" customHeight="1" x14ac:dyDescent="0.25">
      <c r="A27"/>
      <c r="D27" s="10" t="s">
        <v>60</v>
      </c>
      <c r="E27" s="34">
        <v>1326</v>
      </c>
      <c r="F27" s="2" t="s">
        <v>10</v>
      </c>
    </row>
    <row r="28" spans="1:25" ht="20.100000000000001" customHeight="1" x14ac:dyDescent="0.25">
      <c r="A28"/>
      <c r="D28" s="1" t="s">
        <v>61</v>
      </c>
      <c r="E28" s="34">
        <v>7</v>
      </c>
      <c r="F28" s="2" t="s">
        <v>51</v>
      </c>
    </row>
    <row r="29" spans="1:25" ht="20.100000000000001" customHeight="1" x14ac:dyDescent="0.25">
      <c r="A29"/>
      <c r="D29" s="10" t="s">
        <v>57</v>
      </c>
      <c r="E29" s="52">
        <f>X_Cell_Site_TotalRainfall/X_Cell_Site_PotentialEvapotranspiration</f>
        <v>0.45324283559577677</v>
      </c>
      <c r="F29" s="2"/>
    </row>
    <row r="30" spans="1:25" ht="20.100000000000001" customHeight="1" x14ac:dyDescent="0.25">
      <c r="A30"/>
      <c r="D30" s="10" t="s">
        <v>32</v>
      </c>
      <c r="E30" s="52" t="str">
        <f>Common_InputFunctions.Utility_LookupItemFromMinMax(X_Cell_Site_TotalRainfall,Table_SourceData_RainfallZones[Min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100000000000001" customHeight="1" x14ac:dyDescent="0.25">
      <c r="A31"/>
      <c r="D31" s="1" t="s">
        <v>7</v>
      </c>
      <c r="E31" s="52"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86</v>
      </c>
      <c r="E32" s="52" t="str">
        <f>Common_InputFunctions.Utility_LookupValueInTable(X_Cell_Site_ClimateZone,Table_SourceData_WetDryZones[Climate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49</v>
      </c>
      <c r="E33" s="52" t="str">
        <f>Common_InputFunctions.Utility_LookupItemFromMinMax(X_Cell_Site_AverageTemperature,Table_SourceData_TemperatureZones[Min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100000000000001" customHeight="1" x14ac:dyDescent="0.25">
      <c r="A34"/>
      <c r="J34" s="60"/>
      <c r="K34" s="72"/>
      <c r="L34" s="47"/>
      <c r="M34" s="47"/>
      <c r="N34" s="47"/>
      <c r="O34" s="47"/>
      <c r="P34" s="47"/>
      <c r="Q34" s="47"/>
      <c r="R34" s="47"/>
      <c r="S34" s="47"/>
      <c r="T34" s="47"/>
      <c r="U34" s="47"/>
      <c r="V34" s="47"/>
      <c r="W34" s="47"/>
      <c r="X34" s="47"/>
      <c r="Y34" s="47"/>
    </row>
    <row r="35" spans="1:25" ht="20.100000000000001" customHeight="1" x14ac:dyDescent="0.25">
      <c r="A35"/>
      <c r="J35" s="60"/>
      <c r="K35" s="72"/>
      <c r="L35" s="47"/>
      <c r="M35" s="47"/>
      <c r="N35" s="47"/>
      <c r="O35" s="47"/>
      <c r="P35" s="47"/>
      <c r="Q35" s="47"/>
      <c r="R35" s="47"/>
      <c r="S35" s="47"/>
      <c r="T35" s="47"/>
      <c r="U35" s="47"/>
      <c r="V35" s="47"/>
      <c r="W35" s="47"/>
      <c r="X35" s="47"/>
      <c r="Y35" s="47"/>
    </row>
    <row r="36" spans="1:25" ht="20.100000000000001"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100000000000001"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100000000000001"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100000000000001"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100000000000001"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6"/>
      <c r="E47" s="76"/>
      <c r="F47" s="76"/>
      <c r="G47" s="76"/>
      <c r="H47" s="76"/>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7"/>
      <c r="E51" s="78"/>
      <c r="F51" s="78"/>
      <c r="G51" s="78"/>
      <c r="H51" s="79"/>
    </row>
    <row r="52" spans="1:8" ht="20.100000000000001" customHeight="1" x14ac:dyDescent="0.25">
      <c r="A52"/>
    </row>
    <row r="53" spans="1:8" ht="20.100000000000001" customHeight="1" x14ac:dyDescent="0.25">
      <c r="A53"/>
    </row>
    <row r="54" spans="1:8" ht="20.100000000000001" customHeight="1" x14ac:dyDescent="0.25">
      <c r="A54"/>
      <c r="G54" s="80"/>
    </row>
    <row r="55" spans="1:8" ht="20.100000000000001" customHeight="1" x14ac:dyDescent="0.25">
      <c r="A55"/>
      <c r="D55" s="6"/>
    </row>
    <row r="56" spans="1:8" ht="20.100000000000001" customHeight="1" x14ac:dyDescent="0.25">
      <c r="A56"/>
    </row>
    <row r="57" spans="1:8" ht="20.100000000000001" customHeight="1" x14ac:dyDescent="0.25">
      <c r="A57"/>
      <c r="D57" s="22"/>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59"/>
      <c r="E69" s="59"/>
      <c r="F69" s="59"/>
      <c r="G69" s="59"/>
      <c r="H69" s="59"/>
      <c r="I69" s="59"/>
    </row>
    <row r="70" spans="1:9" ht="20.100000000000001" customHeight="1" x14ac:dyDescent="0.25">
      <c r="A70"/>
      <c r="D70" s="59"/>
      <c r="E70" s="59"/>
      <c r="F70" s="59"/>
      <c r="G70" s="59"/>
      <c r="H70" s="59"/>
      <c r="I70" s="59"/>
    </row>
    <row r="71" spans="1:9" ht="20.100000000000001" customHeight="1" x14ac:dyDescent="0.25">
      <c r="A71"/>
      <c r="D71" s="59"/>
      <c r="E71" s="59"/>
      <c r="F71" s="59"/>
      <c r="G71" s="59"/>
      <c r="H71" s="59"/>
      <c r="I71" s="59"/>
    </row>
    <row r="72" spans="1:9" ht="20.100000000000001" customHeight="1" x14ac:dyDescent="0.25">
      <c r="A72"/>
      <c r="D72" s="59"/>
      <c r="E72" s="59"/>
      <c r="F72" s="59"/>
      <c r="G72" s="59"/>
      <c r="H72" s="59"/>
      <c r="I72" s="5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W178"/>
  <sheetViews>
    <sheetView showGridLines="0" topLeftCell="A2" zoomScaleNormal="100" workbookViewId="0">
      <selection activeCell="G50" sqref="G50"/>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148</v>
      </c>
      <c r="O1" s="56"/>
      <c r="P1" s="56"/>
      <c r="Q1" s="56"/>
      <c r="R1" s="56"/>
      <c r="S1" s="56"/>
      <c r="T1" s="56"/>
      <c r="U1" s="56"/>
      <c r="V1" s="56"/>
      <c r="W1" s="56"/>
    </row>
    <row r="2" spans="1:23" s="9" customFormat="1" ht="20.100000000000001" customHeight="1" x14ac:dyDescent="0.25">
      <c r="A2"/>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95</v>
      </c>
      <c r="N5" s="3"/>
      <c r="R5" s="7"/>
    </row>
    <row r="6" spans="1:23" ht="20.100000000000001" customHeight="1" x14ac:dyDescent="0.25">
      <c r="N6" s="3"/>
      <c r="R6" s="7"/>
    </row>
    <row r="7" spans="1:23" ht="20.100000000000001" customHeight="1" x14ac:dyDescent="0.25">
      <c r="D7" s="1" t="s">
        <v>126</v>
      </c>
      <c r="E7" s="41" t="s">
        <v>162</v>
      </c>
      <c r="F7" s="2" t="s">
        <v>8</v>
      </c>
      <c r="N7" s="3"/>
      <c r="R7" s="7"/>
    </row>
    <row r="8" spans="1:23" ht="20.100000000000001" customHeight="1" x14ac:dyDescent="0.25">
      <c r="A8" s="19" t="s">
        <v>0</v>
      </c>
      <c r="N8" s="3"/>
      <c r="R8" s="7"/>
    </row>
    <row r="9" spans="1:23" ht="20.100000000000001" customHeight="1" x14ac:dyDescent="0.25">
      <c r="A9" s="17" t="str">
        <f>HYPERLINK("#'Input - Site'!A1", "Site")</f>
        <v>Site</v>
      </c>
      <c r="D9" s="62"/>
      <c r="E9" s="40" t="s">
        <v>127</v>
      </c>
      <c r="F9" s="40" t="s">
        <v>144</v>
      </c>
      <c r="G9" s="40" t="s">
        <v>145</v>
      </c>
      <c r="H9" s="40" t="s">
        <v>146</v>
      </c>
      <c r="I9" s="40" t="s">
        <v>147</v>
      </c>
      <c r="R9" s="7"/>
    </row>
    <row r="10" spans="1:23" ht="20.100000000000001"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98">
        <v>100</v>
      </c>
      <c r="F10" s="98">
        <v>100</v>
      </c>
      <c r="G10" s="98">
        <v>100</v>
      </c>
      <c r="H10" s="98">
        <v>100</v>
      </c>
      <c r="I10" s="98">
        <v>100</v>
      </c>
      <c r="J10" s="2" t="s">
        <v>97</v>
      </c>
      <c r="K10" s="2"/>
      <c r="L10" s="2"/>
      <c r="M10" s="2"/>
      <c r="R10" s="7"/>
    </row>
    <row r="11" spans="1:23" ht="20.100000000000001" customHeight="1" x14ac:dyDescent="0.25">
      <c r="R11" s="7"/>
    </row>
    <row r="12" spans="1:23" ht="20.100000000000001" customHeight="1" x14ac:dyDescent="0.25">
      <c r="D12" s="48" t="s">
        <v>159</v>
      </c>
      <c r="R12" s="7"/>
    </row>
    <row r="13" spans="1:23" ht="20.100000000000001" customHeight="1" x14ac:dyDescent="0.25">
      <c r="A13" s="18" t="s">
        <v>71</v>
      </c>
      <c r="D13" s="62" t="s">
        <v>157</v>
      </c>
      <c r="E13" s="40" t="s">
        <v>127</v>
      </c>
      <c r="F13" s="40" t="s">
        <v>144</v>
      </c>
      <c r="G13" s="40" t="s">
        <v>145</v>
      </c>
      <c r="H13" s="40" t="s">
        <v>146</v>
      </c>
      <c r="I13" s="40" t="s">
        <v>147</v>
      </c>
      <c r="R13" s="39"/>
    </row>
    <row r="14" spans="1:23" ht="20.100000000000001" customHeight="1" x14ac:dyDescent="0.25">
      <c r="A14" s="17" t="str">
        <f>HYPERLINK("#'3.3.1.1-2 Enteric Methane'!A1", "3.3.1.1-2 Enteric Methane")</f>
        <v>3.3.1.1-2 Enteric Methane</v>
      </c>
      <c r="D14" s="1" t="s">
        <v>160</v>
      </c>
      <c r="E14" s="52">
        <f>Common_InputFunctions.Utility_LookupValueInTableNumber(X_Cell_Dairy_Breed, Table_SourceData_Dairy_WjCowsHeifers[Breed],Table_SourceData_Dairy_WjCowsHeifers[Milking cows])</f>
        <v>550</v>
      </c>
      <c r="F14" s="52">
        <f>Common_InputFunctions.Utility_LookupValueInTableNumber(X_Cell_Dairy_Breed, Table_SourceData_Dairy_WjCowsHeifers[Breed],Table_SourceData_Dairy_WjCowsHeifers[Heifers &gt; 1])</f>
        <v>380</v>
      </c>
      <c r="G14" s="52">
        <f>Common_InputFunctions.Utility_LookupValueInTableNumber(X_Cell_Dairy_Breed, Table_SourceData_Dairy_WjCowsHeifers[Breed],Table_SourceData_Dairy_WjCowsHeifers[Heifers &lt; 1 (weaned)])</f>
        <v>155</v>
      </c>
      <c r="H14" s="52" cm="1">
        <f t="array" ref="H14">Table_SourceData_Dairy_WjBulls[Bulls &gt; 1]</f>
        <v>600</v>
      </c>
      <c r="I14" s="52" cm="1">
        <f t="array" ref="I14">Table_SourceData_Dairy_WjBulls[Bulls &lt; 1 (weaned)]</f>
        <v>225</v>
      </c>
      <c r="J14" s="2" t="s">
        <v>149</v>
      </c>
      <c r="K14" s="2"/>
      <c r="L14" s="2"/>
      <c r="M14" s="2"/>
      <c r="R14" s="39"/>
    </row>
    <row r="15" spans="1:23" ht="20.100000000000001" customHeight="1" x14ac:dyDescent="0.25">
      <c r="D15" s="1" t="s">
        <v>161</v>
      </c>
      <c r="E15" s="52" cm="1">
        <f t="array" ref="E15">Table_SourceData_Dairy_LWGj[Milking cows]</f>
        <v>1.6E-2</v>
      </c>
      <c r="F15" s="52" cm="1">
        <f t="array" ref="F15">Table_SourceData_Dairy_LWGj[Heifers &gt; 1]</f>
        <v>0.6</v>
      </c>
      <c r="G15" s="52" cm="1">
        <f t="array" ref="G15">Table_SourceData_Dairy_LWGj[Heifers &lt; 1 (weaned)]</f>
        <v>0.56999999999999995</v>
      </c>
      <c r="H15" s="52" cm="1">
        <f t="array" ref="H15">Table_SourceData_Dairy_LWGj[Bulls &gt; 1]</f>
        <v>0.1</v>
      </c>
      <c r="I15" s="52" cm="1">
        <f t="array" ref="I15">Table_SourceData_Dairy_LWGj[Bulls &lt; 1 (weaned)]</f>
        <v>0.8</v>
      </c>
      <c r="J15" s="2" t="s">
        <v>150</v>
      </c>
      <c r="K15" s="2"/>
      <c r="L15" s="2"/>
      <c r="M15" s="2"/>
      <c r="R15" s="39"/>
    </row>
    <row r="16" spans="1:23" ht="20.100000000000001" customHeight="1" x14ac:dyDescent="0.25">
      <c r="R16" s="39"/>
    </row>
    <row r="17" spans="1:18" ht="20.100000000000001" customHeight="1" x14ac:dyDescent="0.25">
      <c r="A17" s="129" t="s">
        <v>1</v>
      </c>
      <c r="D17" s="62" t="s">
        <v>156</v>
      </c>
      <c r="E17" s="40" t="s">
        <v>127</v>
      </c>
      <c r="F17" s="40" t="s">
        <v>144</v>
      </c>
      <c r="G17" s="40" t="s">
        <v>145</v>
      </c>
      <c r="H17" s="40" t="s">
        <v>146</v>
      </c>
      <c r="I17" s="40" t="s">
        <v>147</v>
      </c>
      <c r="R17" s="7"/>
    </row>
    <row r="18" spans="1:18" ht="20.100000000000001" customHeight="1" x14ac:dyDescent="0.25">
      <c r="A18" s="17" t="str">
        <f>HYPERLINK("#'Constants - Dairy'!A1", "Constants - Dairy")</f>
        <v>Constants - Dairy</v>
      </c>
      <c r="D18" s="1" t="s">
        <v>160</v>
      </c>
      <c r="E18" s="64">
        <f>Common_InputFunctions.Utility_LookupValueInTableNumber(X_Cell_Dairy_Breed, Table_SourceData_Dairy_WjCowsHeifers[Breed],Table_SourceData_Dairy_WjCowsHeifers[Milking cows])</f>
        <v>550</v>
      </c>
      <c r="F18" s="64">
        <f>Common_InputFunctions.Utility_LookupValueInTableNumber(X_Cell_Dairy_Breed, Table_SourceData_Dairy_WjCowsHeifers[Breed],Table_SourceData_Dairy_WjCowsHeifers[Heifers &gt; 1])</f>
        <v>380</v>
      </c>
      <c r="G18" s="64">
        <f>Common_InputFunctions.Utility_LookupValueInTableNumber(X_Cell_Dairy_Breed, Table_SourceData_Dairy_WjCowsHeifers[Breed],Table_SourceData_Dairy_WjCowsHeifers[Heifers &lt; 1 (weaned)])</f>
        <v>155</v>
      </c>
      <c r="H18" s="64" cm="1">
        <f t="array" ref="H18">Table_SourceData_Dairy_WjBulls[Bulls &gt; 1]</f>
        <v>600</v>
      </c>
      <c r="I18" s="64" cm="1">
        <f t="array" ref="I18">Table_SourceData_Dairy_WjBulls[Bulls &lt; 1 (weaned)]</f>
        <v>225</v>
      </c>
      <c r="J18" s="2" t="s">
        <v>149</v>
      </c>
      <c r="K18" s="2"/>
      <c r="L18" s="2"/>
      <c r="M18" s="2"/>
      <c r="R18" s="7"/>
    </row>
    <row r="19" spans="1:18" ht="20.100000000000001" customHeight="1" x14ac:dyDescent="0.25">
      <c r="A19" s="17" t="str">
        <f>HYPERLINK("#'Constants - Common'!A1", "Constants - Common")</f>
        <v>Constants - Common</v>
      </c>
      <c r="D19" s="1" t="s">
        <v>161</v>
      </c>
      <c r="E19" s="64" cm="1">
        <f t="array" ref="E19">Table_SourceData_Dairy_LWGj[Milking cows]</f>
        <v>1.6E-2</v>
      </c>
      <c r="F19" s="64" cm="1">
        <f t="array" ref="F19">Table_SourceData_Dairy_LWGj[Heifers &gt; 1]</f>
        <v>0.6</v>
      </c>
      <c r="G19" s="64" cm="1">
        <f t="array" ref="G19">Table_SourceData_Dairy_LWGj[Heifers &lt; 1 (weaned)]</f>
        <v>0.56999999999999995</v>
      </c>
      <c r="H19" s="64" cm="1">
        <f t="array" ref="H19">Table_SourceData_Dairy_LWGj[Bulls &gt; 1]</f>
        <v>0.1</v>
      </c>
      <c r="I19" s="64" cm="1">
        <f t="array" ref="I19">Table_SourceData_Dairy_LWGj[Bulls &lt; 1 (weaned)]</f>
        <v>0.8</v>
      </c>
      <c r="J19" s="2" t="s">
        <v>150</v>
      </c>
      <c r="K19" s="2"/>
      <c r="L19" s="2"/>
      <c r="M19" s="2"/>
      <c r="R19" s="7"/>
    </row>
    <row r="20" spans="1:18" ht="20.100000000000001" customHeight="1" x14ac:dyDescent="0.25">
      <c r="A20" s="17" t="str">
        <f>HYPERLINK("#'Constants - Livestock'!A1", "Constants - Livestock")</f>
        <v>Constants - Livestock</v>
      </c>
      <c r="R20" s="7"/>
    </row>
    <row r="21" spans="1:18" ht="20.100000000000001" customHeight="1" x14ac:dyDescent="0.25">
      <c r="A21" s="17" t="str">
        <f>HYPERLINK("#'Acknowledgements'!A1", "Acknowledgements")</f>
        <v>Acknowledgements</v>
      </c>
      <c r="D21" s="48" t="s">
        <v>96</v>
      </c>
      <c r="R21" s="7"/>
    </row>
    <row r="22" spans="1:18" ht="20.100000000000001" customHeight="1" x14ac:dyDescent="0.25">
      <c r="R22" s="7"/>
    </row>
    <row r="23" spans="1:18" ht="20.100000000000001" customHeight="1" x14ac:dyDescent="0.25">
      <c r="D23" s="62" t="s">
        <v>157</v>
      </c>
      <c r="E23" s="40" t="s">
        <v>127</v>
      </c>
      <c r="F23" s="40" t="s">
        <v>144</v>
      </c>
      <c r="G23" s="40" t="s">
        <v>145</v>
      </c>
      <c r="H23" s="40" t="s">
        <v>146</v>
      </c>
      <c r="I23" s="40" t="s">
        <v>147</v>
      </c>
      <c r="R23" s="7"/>
    </row>
    <row r="24" spans="1:18" ht="20.100000000000001" customHeight="1" x14ac:dyDescent="0.25">
      <c r="D24" s="1" t="str">
        <f>"Average duration of stay between " &amp; TEXT(X_Cell_Site_StartDate, "dd mmm yy") &amp; " and " &amp; TEXT(X_Cell_Site_EndDate, "dd mmm yy") &amp; " weaned livestock"</f>
        <v>Average duration of stay between 01 Jan 24 and 31 Dec 24 weaned livestock</v>
      </c>
      <c r="E24" s="52" cm="1">
        <f t="array" ref="E24">Common_InputFunctions.Utility_LookupValueInTableNumber(E23,Table_SourceData_Dairy_Duration[Animal class j],Table_SourceData_Dairy_Duration[Duration (weaned)])</f>
        <v>365</v>
      </c>
      <c r="F24" s="52" cm="1">
        <f t="array" ref="F24">Common_InputFunctions.Utility_LookupValueInTableNumber(F23,Table_SourceData_Dairy_Duration[Animal class j],Table_SourceData_Dairy_Duration[Duration (weaned)])</f>
        <v>365</v>
      </c>
      <c r="G24" s="52" cm="1">
        <f t="array" ref="G24">Common_InputFunctions.Utility_LookupValueInTableNumber(G23,Table_SourceData_Dairy_Duration[Animal class j],Table_SourceData_Dairy_Duration[Duration (weaned)])</f>
        <v>281</v>
      </c>
      <c r="H24" s="52" cm="1">
        <f t="array" ref="H24">Common_InputFunctions.Utility_LookupValueInTableNumber(H23,Table_SourceData_Dairy_Duration[Animal class j],Table_SourceData_Dairy_Duration[Duration (weaned)])</f>
        <v>365</v>
      </c>
      <c r="I24" s="52" cm="1">
        <f t="array" ref="I24">Common_InputFunctions.Utility_LookupValueInTableNumber(I23,Table_SourceData_Dairy_Duration[Animal class j],Table_SourceData_Dairy_Duration[Duration (weaned)])</f>
        <v>281</v>
      </c>
      <c r="J24" s="2" t="s">
        <v>51</v>
      </c>
      <c r="K24" s="2"/>
      <c r="L24" s="2"/>
      <c r="M24" s="2"/>
      <c r="R24" s="7"/>
    </row>
    <row r="25" spans="1:18" ht="20.100000000000001" customHeight="1" x14ac:dyDescent="0.25">
      <c r="D25" s="1" t="str">
        <f>"Average duration of stay between " &amp; TEXT(X_Cell_Site_StartDate, "dd mmm yy") &amp; " and " &amp; TEXT(X_Cell_Site_EndDate, "dd mmm yy") &amp; " pre-weaned livestock"</f>
        <v>Average duration of stay between 01 Jan 24 and 31 Dec 24 pre-weaned livestock</v>
      </c>
      <c r="E25" s="52" cm="1">
        <f t="array" ref="E25">Common_InputFunctions.Utility_LookupValueInTableNumber(E23,Table_SourceData_Dairy_Duration[Animal class j],Table_SourceData_Dairy_Duration[Duration (pre-weaned)])</f>
        <v>0</v>
      </c>
      <c r="F25" s="52" cm="1">
        <f t="array" ref="F25">Common_InputFunctions.Utility_LookupValueInTableNumber(F23,Table_SourceData_Dairy_Duration[Animal class j],Table_SourceData_Dairy_Duration[Duration (pre-weaned)])</f>
        <v>0</v>
      </c>
      <c r="G25" s="52" cm="1">
        <f t="array" ref="G25">Common_InputFunctions.Utility_LookupValueInTableNumber(G23,Table_SourceData_Dairy_Duration[Animal class j],Table_SourceData_Dairy_Duration[Duration (pre-weaned)])</f>
        <v>84</v>
      </c>
      <c r="H25" s="52" cm="1">
        <f t="array" ref="H25">Common_InputFunctions.Utility_LookupValueInTableNumber(H23,Table_SourceData_Dairy_Duration[Animal class j],Table_SourceData_Dairy_Duration[Duration (pre-weaned)])</f>
        <v>0</v>
      </c>
      <c r="I25" s="52" cm="1">
        <f t="array" ref="I25">Common_InputFunctions.Utility_LookupValueInTableNumber(I23,Table_SourceData_Dairy_Duration[Animal class j],Table_SourceData_Dairy_Duration[Duration (pre-weaned)])</f>
        <v>84</v>
      </c>
      <c r="J25" s="2" t="s">
        <v>51</v>
      </c>
      <c r="K25" s="2"/>
      <c r="L25" s="2"/>
      <c r="M25" s="2"/>
      <c r="R25" s="7"/>
    </row>
    <row r="26" spans="1:18" ht="20.100000000000001" customHeight="1" x14ac:dyDescent="0.25">
      <c r="R26" s="7"/>
    </row>
    <row r="27" spans="1:18" ht="20.100000000000001" customHeight="1" x14ac:dyDescent="0.25">
      <c r="D27" s="62" t="s">
        <v>156</v>
      </c>
      <c r="E27" s="40" t="s">
        <v>127</v>
      </c>
      <c r="F27" s="40" t="s">
        <v>144</v>
      </c>
      <c r="G27" s="40" t="s">
        <v>145</v>
      </c>
      <c r="H27" s="40" t="s">
        <v>146</v>
      </c>
      <c r="I27" s="40" t="s">
        <v>147</v>
      </c>
      <c r="R27" s="7"/>
    </row>
    <row r="28" spans="1:18" ht="20.100000000000001" customHeight="1" x14ac:dyDescent="0.25">
      <c r="D28" s="1" t="str">
        <f>"Average duration of stay between " &amp; TEXT(X_Cell_Site_StartDate, "dd mmm yy") &amp; " and " &amp; TEXT(X_Cell_Site_EndDate, "dd mmm yy") &amp; " weaned livestock"</f>
        <v>Average duration of stay between 01 Jan 24 and 31 Dec 24 weaned livestock</v>
      </c>
      <c r="E28" s="64" cm="1">
        <f t="array" ref="E28">Common_InputFunctions.Utility_LookupValueInTableNumber(E27,Table_SourceData_Dairy_Duration[Animal class j],Table_SourceData_Dairy_Duration[Duration (weaned)])</f>
        <v>365</v>
      </c>
      <c r="F28" s="64" cm="1">
        <f t="array" ref="F28">Common_InputFunctions.Utility_LookupValueInTableNumber(F27,Table_SourceData_Dairy_Duration[Animal class j],Table_SourceData_Dairy_Duration[Duration (weaned)])</f>
        <v>365</v>
      </c>
      <c r="G28" s="64" cm="1">
        <f t="array" ref="G28">Common_InputFunctions.Utility_LookupValueInTableNumber(G27,Table_SourceData_Dairy_Duration[Animal class j],Table_SourceData_Dairy_Duration[Duration (weaned)])</f>
        <v>281</v>
      </c>
      <c r="H28" s="64" cm="1">
        <f t="array" ref="H28">Common_InputFunctions.Utility_LookupValueInTableNumber(H27,Table_SourceData_Dairy_Duration[Animal class j],Table_SourceData_Dairy_Duration[Duration (weaned)])</f>
        <v>365</v>
      </c>
      <c r="I28" s="64" cm="1">
        <f t="array" ref="I28">Common_InputFunctions.Utility_LookupValueInTableNumber(I27,Table_SourceData_Dairy_Duration[Animal class j],Table_SourceData_Dairy_Duration[Duration (weaned)])</f>
        <v>281</v>
      </c>
      <c r="J28" s="2" t="s">
        <v>51</v>
      </c>
      <c r="K28" s="2"/>
      <c r="L28" s="2"/>
      <c r="M28" s="2"/>
      <c r="R28" s="7"/>
    </row>
    <row r="29" spans="1:18" ht="20.100000000000001" customHeight="1" x14ac:dyDescent="0.25">
      <c r="D29" s="1" t="str">
        <f>"Average duration of stay between " &amp; TEXT(X_Cell_Site_StartDate, "dd mmm yy") &amp; " and " &amp; TEXT(X_Cell_Site_EndDate, "dd mmm yy") &amp; " pre-weaned livestock"</f>
        <v>Average duration of stay between 01 Jan 24 and 31 Dec 24 pre-weaned livestock</v>
      </c>
      <c r="E29" s="52">
        <f>365-E28</f>
        <v>0</v>
      </c>
      <c r="F29" s="52">
        <f t="shared" ref="F29:I29" si="0">365-F28</f>
        <v>0</v>
      </c>
      <c r="G29" s="52">
        <f t="shared" si="0"/>
        <v>84</v>
      </c>
      <c r="H29" s="52">
        <f t="shared" si="0"/>
        <v>0</v>
      </c>
      <c r="I29" s="52">
        <f t="shared" si="0"/>
        <v>84</v>
      </c>
      <c r="J29" s="2" t="s">
        <v>51</v>
      </c>
      <c r="K29" s="2"/>
      <c r="L29" s="2"/>
      <c r="M29" s="2"/>
      <c r="R29" s="7"/>
    </row>
    <row r="30" spans="1:18" ht="20.100000000000001" customHeight="1" x14ac:dyDescent="0.25">
      <c r="R30" s="7"/>
    </row>
    <row r="31" spans="1:18" ht="20.100000000000001" customHeight="1" x14ac:dyDescent="0.25">
      <c r="R31" s="7"/>
    </row>
    <row r="32" spans="1:18" ht="20.100000000000001" customHeight="1" x14ac:dyDescent="0.25">
      <c r="C32" s="46"/>
      <c r="D32" s="46"/>
      <c r="E32" s="46"/>
      <c r="F32" s="46"/>
      <c r="G32" s="46"/>
      <c r="H32" s="46"/>
      <c r="I32" s="46"/>
      <c r="J32" s="46"/>
      <c r="K32" s="46"/>
      <c r="L32" s="46"/>
      <c r="M32" s="46"/>
      <c r="N32" s="46"/>
      <c r="R32" s="7"/>
    </row>
    <row r="33" spans="3:18" ht="20.100000000000001" customHeight="1" x14ac:dyDescent="0.25">
      <c r="D33" s="6" t="s">
        <v>158</v>
      </c>
      <c r="R33" s="7"/>
    </row>
    <row r="34" spans="3:18" ht="20.100000000000001" customHeight="1" x14ac:dyDescent="0.25">
      <c r="D34" s="48"/>
      <c r="R34" s="7"/>
    </row>
    <row r="35" spans="3:18" ht="20.100000000000001" customHeight="1" x14ac:dyDescent="0.25">
      <c r="D35" s="62" t="s">
        <v>157</v>
      </c>
      <c r="E35" s="40" t="s">
        <v>127</v>
      </c>
      <c r="F35" s="40" t="s">
        <v>144</v>
      </c>
      <c r="G35" s="40" t="s">
        <v>145</v>
      </c>
      <c r="H35" s="40" t="s">
        <v>146</v>
      </c>
      <c r="I35" s="40" t="s">
        <v>147</v>
      </c>
      <c r="R35" s="7"/>
    </row>
    <row r="36" spans="3:18" ht="20.100000000000001" customHeight="1" x14ac:dyDescent="0.25">
      <c r="D36" s="1" t="s">
        <v>15</v>
      </c>
      <c r="E36" s="52">
        <f>SourceData_Dairy_DryMatterDigestibility_Data</f>
        <v>0.75</v>
      </c>
      <c r="F36" s="52">
        <f>SourceData_Dairy_DryMatterDigestibility_Data</f>
        <v>0.75</v>
      </c>
      <c r="G36" s="52">
        <f>SourceData_Dairy_DryMatterDigestibility_Data</f>
        <v>0.75</v>
      </c>
      <c r="H36" s="52">
        <f>SourceData_Dairy_DryMatterDigestibility_Data</f>
        <v>0.75</v>
      </c>
      <c r="I36" s="52">
        <f>SourceData_Dairy_DryMatterDigestibility_Data</f>
        <v>0.75</v>
      </c>
      <c r="J36" s="2" t="s">
        <v>92</v>
      </c>
      <c r="K36" s="2"/>
      <c r="L36" s="2"/>
      <c r="M36" s="2"/>
      <c r="R36" s="7"/>
    </row>
    <row r="37" spans="3:18" ht="20.100000000000001" customHeight="1" x14ac:dyDescent="0.25">
      <c r="D37" s="1" t="s">
        <v>100</v>
      </c>
      <c r="E37" s="52">
        <f>SourceData_Dairy_CrudeProtein_Data</f>
        <v>0.2</v>
      </c>
      <c r="F37" s="52">
        <f>SourceData_Dairy_CrudeProtein_Data</f>
        <v>0.2</v>
      </c>
      <c r="G37" s="52">
        <f>SourceData_Dairy_CrudeProtein_Data</f>
        <v>0.2</v>
      </c>
      <c r="H37" s="52">
        <f>SourceData_Dairy_CrudeProtein_Data</f>
        <v>0.2</v>
      </c>
      <c r="I37" s="52">
        <f>SourceData_Dairy_CrudeProtein_Data</f>
        <v>0.2</v>
      </c>
      <c r="J37" s="2" t="s">
        <v>92</v>
      </c>
      <c r="K37" s="2"/>
      <c r="L37" s="2"/>
      <c r="M37" s="2"/>
      <c r="R37" s="7"/>
    </row>
    <row r="38" spans="3:18" ht="20.100000000000001" customHeight="1" x14ac:dyDescent="0.25">
      <c r="K38" s="2"/>
      <c r="L38" s="2"/>
      <c r="M38" s="2"/>
      <c r="R38" s="7"/>
    </row>
    <row r="39" spans="3:18" ht="20.100000000000001" customHeight="1" x14ac:dyDescent="0.25">
      <c r="D39" s="62" t="s">
        <v>156</v>
      </c>
      <c r="E39" s="40" t="s">
        <v>127</v>
      </c>
      <c r="F39" s="40" t="s">
        <v>144</v>
      </c>
      <c r="G39" s="40" t="s">
        <v>145</v>
      </c>
      <c r="H39" s="40" t="s">
        <v>146</v>
      </c>
      <c r="I39" s="40" t="s">
        <v>147</v>
      </c>
      <c r="R39" s="7"/>
    </row>
    <row r="40" spans="3:18" ht="20.100000000000001" customHeight="1" x14ac:dyDescent="0.25">
      <c r="D40" s="1" t="s">
        <v>15</v>
      </c>
      <c r="E40" s="64">
        <f>SourceData_Dairy_DryMatterDigestibility_Data</f>
        <v>0.75</v>
      </c>
      <c r="F40" s="64">
        <f>SourceData_Dairy_DryMatterDigestibility_Data</f>
        <v>0.75</v>
      </c>
      <c r="G40" s="64">
        <f>SourceData_Dairy_DryMatterDigestibility_Data</f>
        <v>0.75</v>
      </c>
      <c r="H40" s="64">
        <f>SourceData_Dairy_DryMatterDigestibility_Data</f>
        <v>0.75</v>
      </c>
      <c r="I40" s="64">
        <f>SourceData_Dairy_DryMatterDigestibility_Data</f>
        <v>0.75</v>
      </c>
      <c r="J40" s="2" t="s">
        <v>92</v>
      </c>
      <c r="K40" s="2"/>
      <c r="R40" s="7"/>
    </row>
    <row r="41" spans="3:18" ht="20.100000000000001" customHeight="1" x14ac:dyDescent="0.25">
      <c r="D41" s="1" t="s">
        <v>100</v>
      </c>
      <c r="E41" s="64">
        <f>SourceData_Dairy_CrudeProtein_Data</f>
        <v>0.2</v>
      </c>
      <c r="F41" s="64">
        <f>SourceData_Dairy_CrudeProtein_Data</f>
        <v>0.2</v>
      </c>
      <c r="G41" s="64">
        <f>SourceData_Dairy_CrudeProtein_Data</f>
        <v>0.2</v>
      </c>
      <c r="H41" s="64">
        <f>SourceData_Dairy_CrudeProtein_Data</f>
        <v>0.2</v>
      </c>
      <c r="I41" s="64">
        <f>SourceData_Dairy_CrudeProtein_Data</f>
        <v>0.2</v>
      </c>
      <c r="J41" s="2" t="s">
        <v>92</v>
      </c>
      <c r="K41" s="2"/>
      <c r="L41" s="2"/>
      <c r="M41" s="2"/>
      <c r="R41" s="7"/>
    </row>
    <row r="42" spans="3:18" ht="20.100000000000001" customHeight="1" x14ac:dyDescent="0.25">
      <c r="K42" s="2"/>
      <c r="L42" s="2"/>
      <c r="M42" s="2"/>
      <c r="R42" s="7"/>
    </row>
    <row r="43" spans="3:18" ht="20.100000000000001" customHeight="1" x14ac:dyDescent="0.25">
      <c r="R43" s="7"/>
    </row>
    <row r="44" spans="3:18" ht="20.100000000000001" customHeight="1" x14ac:dyDescent="0.25">
      <c r="C44" s="46"/>
      <c r="D44" s="46"/>
      <c r="E44" s="46"/>
      <c r="F44" s="46"/>
      <c r="G44" s="46"/>
      <c r="H44" s="46"/>
      <c r="I44" s="46"/>
      <c r="J44" s="46"/>
      <c r="K44" s="46"/>
      <c r="L44" s="46"/>
      <c r="M44" s="46"/>
      <c r="N44" s="46"/>
      <c r="R44" s="7"/>
    </row>
    <row r="45" spans="3:18" ht="20.100000000000001" customHeight="1" x14ac:dyDescent="0.25">
      <c r="D45" s="6" t="s">
        <v>151</v>
      </c>
      <c r="E45" s="3"/>
      <c r="F45" s="3"/>
      <c r="G45" s="3"/>
      <c r="H45" s="3"/>
      <c r="I45" s="3"/>
      <c r="J45" s="3"/>
      <c r="K45" s="3"/>
      <c r="L45" s="3"/>
      <c r="M45" s="3"/>
      <c r="R45" s="7"/>
    </row>
    <row r="46" spans="3:18" ht="20.100000000000001" customHeight="1" x14ac:dyDescent="0.25">
      <c r="G46" s="6"/>
      <c r="H46" s="6"/>
      <c r="I46" s="6"/>
      <c r="J46" s="113"/>
      <c r="K46" s="113"/>
      <c r="L46" s="113"/>
      <c r="M46" s="113"/>
      <c r="R46" s="7"/>
    </row>
    <row r="47" spans="3:18" ht="20.100000000000001" customHeight="1" x14ac:dyDescent="0.25">
      <c r="D47" s="1" t="s">
        <v>235</v>
      </c>
      <c r="E47" s="41" t="s">
        <v>248</v>
      </c>
      <c r="F47" s="2" t="s">
        <v>8</v>
      </c>
      <c r="H47" s="3"/>
      <c r="I47" s="3"/>
      <c r="J47" s="3"/>
      <c r="K47" s="3"/>
      <c r="L47" s="3"/>
      <c r="M47" s="3"/>
      <c r="R47" s="7"/>
    </row>
    <row r="48" spans="3:18" ht="20.100000000000001" customHeight="1" x14ac:dyDescent="0.25">
      <c r="R48" s="7"/>
    </row>
    <row r="49" spans="4:18" ht="20.100000000000001" customHeight="1" x14ac:dyDescent="0.25">
      <c r="E49" s="40" t="s">
        <v>127</v>
      </c>
      <c r="R49" s="7"/>
    </row>
    <row r="50" spans="4:18" ht="20.100000000000001" customHeight="1" x14ac:dyDescent="0.25">
      <c r="D50" s="1" t="s">
        <v>152</v>
      </c>
      <c r="E50" s="64">
        <v>20</v>
      </c>
      <c r="F50" s="2" t="str">
        <f>IF(X_Cell_Dairy_MilkProductionUnit="Litres of milk", "litres/head/day", "kg milk solids/head/day")</f>
        <v>litres/head/day</v>
      </c>
      <c r="R50" s="7"/>
    </row>
    <row r="51" spans="4:18" ht="20.100000000000001" customHeight="1" x14ac:dyDescent="0.25">
      <c r="E51" s="6"/>
      <c r="F51" s="6"/>
      <c r="R51" s="7"/>
    </row>
    <row r="52" spans="4:18" ht="20.100000000000001" customHeight="1" x14ac:dyDescent="0.25">
      <c r="D52" s="53" t="s">
        <v>245</v>
      </c>
      <c r="E52" s="40" t="s">
        <v>242</v>
      </c>
      <c r="F52" s="40" t="s">
        <v>243</v>
      </c>
      <c r="R52" s="7"/>
    </row>
    <row r="53" spans="4:18" ht="20.100000000000001" customHeight="1" x14ac:dyDescent="0.25">
      <c r="D53" s="1" t="s">
        <v>240</v>
      </c>
      <c r="E53" s="120">
        <f>SourceData_Dairy_FatContentInMilk_Data/100</f>
        <v>0.04</v>
      </c>
      <c r="F53" s="128">
        <f>SourceData_Dairy_FatContentInMilk_Data/100</f>
        <v>0.04</v>
      </c>
      <c r="G53" s="2" t="s">
        <v>244</v>
      </c>
      <c r="R53" s="7"/>
    </row>
    <row r="54" spans="4:18" ht="20.100000000000001" customHeight="1" x14ac:dyDescent="0.25">
      <c r="D54" s="1" t="s">
        <v>241</v>
      </c>
      <c r="E54" s="120">
        <f>SourceData_Dairy_ProteinContentInMilk_Data/100</f>
        <v>3.3000000000000002E-2</v>
      </c>
      <c r="F54" s="128">
        <f>SourceData_Dairy_ProteinContentInMilk_Data/100</f>
        <v>3.3000000000000002E-2</v>
      </c>
      <c r="G54" s="2" t="s">
        <v>244</v>
      </c>
      <c r="R54" s="7"/>
    </row>
    <row r="55" spans="4:18" ht="20.100000000000001" customHeight="1" x14ac:dyDescent="0.25">
      <c r="R55" s="7"/>
    </row>
    <row r="56" spans="4:18" ht="20.100000000000001" customHeight="1" x14ac:dyDescent="0.25">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2 K42 O43:P43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S275"/>
  <sheetViews>
    <sheetView showGridLines="0" tabSelected="1" topLeftCell="D153" zoomScaleNormal="100" workbookViewId="0">
      <selection activeCell="H171" sqref="H17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216</v>
      </c>
      <c r="K1"/>
    </row>
    <row r="2" spans="1:19" s="9" customFormat="1" ht="20.100000000000001" customHeight="1" x14ac:dyDescent="0.25">
      <c r="A2"/>
      <c r="K2"/>
    </row>
    <row r="3" spans="1:19" ht="20.100000000000001" customHeight="1" x14ac:dyDescent="0.25">
      <c r="A3" s="17" t="str">
        <f>HYPERLINK("#'Home'!A1", "Home")</f>
        <v>Home</v>
      </c>
      <c r="C3" s="4"/>
      <c r="D3" s="4" t="s">
        <v>103</v>
      </c>
      <c r="E3" s="4"/>
      <c r="F3" s="4"/>
      <c r="G3" s="4"/>
      <c r="H3" s="4"/>
      <c r="I3" s="4"/>
      <c r="J3" s="4"/>
      <c r="L3" s="4"/>
      <c r="M3" s="4" t="s">
        <v>104</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D6" s="5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5" t="str" cm="1">
        <f t="array" ref="D7">EntericMethane_Dairy_Equations.VEERG_3_3_1_1__6_MetabolisabilityOfDiet_Source()</f>
        <v>VEERG 2026: 3.3.1.1, Equation (6)</v>
      </c>
    </row>
    <row r="8" spans="1:19" ht="20.100000000000001" customHeight="1" x14ac:dyDescent="0.25">
      <c r="A8" s="19" t="s">
        <v>0</v>
      </c>
      <c r="D8" s="13" t="s">
        <v>23</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Site'!A1", "Site")</f>
        <v>Site</v>
      </c>
    </row>
    <row r="10" spans="1:19" ht="20.100000000000001" customHeight="1" x14ac:dyDescent="0.25">
      <c r="A10" s="17" t="str">
        <f>HYPERLINK("#'Input - Dairy'!A1", "Dairy")</f>
        <v>Dairy</v>
      </c>
    </row>
    <row r="11" spans="1:19" ht="20.100000000000001" customHeight="1" x14ac:dyDescent="0.25">
      <c r="D11" s="53" t="s">
        <v>26</v>
      </c>
      <c r="E11" s="1" t="str" cm="1">
        <f t="array" ref="E11">EntericMethane_Dairy_Equations.VEERG_3_3_1_1__6_MetabolisabilityOfDiet_Variable()</f>
        <v>qm_j</v>
      </c>
    </row>
    <row r="12" spans="1:19" ht="20.100000000000001" customHeight="1" x14ac:dyDescent="0.25">
      <c r="D12" s="53" t="s">
        <v>16</v>
      </c>
      <c r="E12" s="54" t="str" cm="1">
        <f t="array" ref="E12">EntericMethane_Dairy_Equations.VEERG_3_3_1_1__6_MetabolisabilityOfDiet_Unit()</f>
        <v>fraction</v>
      </c>
    </row>
    <row r="13" spans="1:19" ht="20.100000000000001" customHeight="1" x14ac:dyDescent="0.25">
      <c r="A13" s="18" t="s">
        <v>71</v>
      </c>
    </row>
    <row r="14" spans="1:19" ht="20.100000000000001"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100000000000001" customHeight="1" x14ac:dyDescent="0.25"/>
    <row r="16" spans="1:19" ht="20.100000000000001" customHeight="1" x14ac:dyDescent="0.25">
      <c r="D16" s="97" t="s">
        <v>105</v>
      </c>
      <c r="M16" s="97" t="s">
        <v>107</v>
      </c>
    </row>
    <row r="17" spans="1:19" ht="20.100000000000001" customHeight="1" x14ac:dyDescent="0.25">
      <c r="A17" s="129" t="s">
        <v>1</v>
      </c>
      <c r="D17" s="96" t="s">
        <v>106</v>
      </c>
      <c r="M17" s="96" t="s">
        <v>184</v>
      </c>
    </row>
    <row r="18" spans="1:19" ht="20.100000000000001" customHeight="1" x14ac:dyDescent="0.25">
      <c r="A18" s="17" t="str">
        <f>HYPERLINK("#'Constants - Dairy'!A1", "Constants - Dairy")</f>
        <v>Constants - Dairy</v>
      </c>
      <c r="D18" s="40" t="s">
        <v>127</v>
      </c>
      <c r="E18" s="40" t="s">
        <v>144</v>
      </c>
      <c r="F18" s="40" t="s">
        <v>145</v>
      </c>
      <c r="G18" s="40" t="s">
        <v>146</v>
      </c>
      <c r="H18" s="40" t="s">
        <v>147</v>
      </c>
      <c r="M18" s="40" t="s">
        <v>127</v>
      </c>
      <c r="N18" s="40" t="s">
        <v>144</v>
      </c>
      <c r="O18" s="40" t="s">
        <v>145</v>
      </c>
      <c r="P18" s="40" t="s">
        <v>146</v>
      </c>
      <c r="Q18" s="40" t="s">
        <v>147</v>
      </c>
    </row>
    <row r="19" spans="1:19" ht="20.100000000000001"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173</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173</v>
      </c>
    </row>
    <row r="20" spans="1:19" ht="20.100000000000001" customHeight="1" x14ac:dyDescent="0.25">
      <c r="A20" s="17" t="str">
        <f>HYPERLINK("#'Constants - Livestock'!A1", "Constants - Livestock")</f>
        <v>Constants - Livestock</v>
      </c>
    </row>
    <row r="21" spans="1:19" ht="20.100000000000001" customHeight="1" x14ac:dyDescent="0.25">
      <c r="A21" s="17" t="str">
        <f>HYPERLINK("#'Acknowledgements'!A1", "Acknowledgements")</f>
        <v>Acknowledgements</v>
      </c>
      <c r="D21" s="97" t="s">
        <v>174</v>
      </c>
      <c r="M21" s="97" t="s">
        <v>176</v>
      </c>
    </row>
    <row r="22" spans="1:19" ht="20.100000000000001" customHeight="1" x14ac:dyDescent="0.25">
      <c r="D22" s="96" t="s">
        <v>175</v>
      </c>
      <c r="M22" s="96" t="s">
        <v>177</v>
      </c>
    </row>
    <row r="23" spans="1:19" ht="20.100000000000001" customHeight="1" x14ac:dyDescent="0.25">
      <c r="D23" s="51" t="s">
        <v>127</v>
      </c>
      <c r="E23" s="51" t="s">
        <v>144</v>
      </c>
      <c r="F23" s="51" t="s">
        <v>145</v>
      </c>
      <c r="G23" s="51" t="s">
        <v>146</v>
      </c>
      <c r="H23" s="51" t="s">
        <v>147</v>
      </c>
      <c r="M23" s="51" t="s">
        <v>127</v>
      </c>
      <c r="N23" s="51" t="s">
        <v>144</v>
      </c>
      <c r="O23" s="51" t="s">
        <v>145</v>
      </c>
      <c r="P23" s="51" t="s">
        <v>146</v>
      </c>
      <c r="Q23" s="51" t="s">
        <v>147</v>
      </c>
    </row>
    <row r="24" spans="1:19" ht="20.100000000000001"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6"/>
      <c r="D27" s="46"/>
      <c r="E27" s="46"/>
      <c r="F27" s="46"/>
      <c r="G27" s="46"/>
      <c r="H27" s="46"/>
      <c r="I27" s="46"/>
      <c r="J27" s="46"/>
      <c r="L27" s="46"/>
      <c r="M27" s="46"/>
      <c r="N27" s="46"/>
      <c r="O27" s="46"/>
      <c r="P27" s="46"/>
      <c r="Q27" s="46"/>
      <c r="R27" s="46"/>
      <c r="S27" s="46"/>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23</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3" t="s">
        <v>26</v>
      </c>
      <c r="E34" s="1" t="str" cm="1">
        <f t="array" ref="E34">EntericMethane_Dairy_Equations.VEERG_3_3_1_1__5_MilkProductionFromMilkSolids_Variable()</f>
        <v>MP_j</v>
      </c>
    </row>
    <row r="35" spans="4:18" ht="20.100000000000001" customHeight="1" x14ac:dyDescent="0.25">
      <c r="D35" s="53" t="s">
        <v>16</v>
      </c>
      <c r="E35" s="54" t="str" cm="1">
        <f t="array" ref="E35">EntericMethane_Dairy_Equations.VEERG_3_3_1_1__5_MilkProductionFromMilkSolids_Unit()</f>
        <v>L/head/day</v>
      </c>
    </row>
    <row r="36" spans="4:18" ht="20.100000000000001" customHeight="1" x14ac:dyDescent="0.25"/>
    <row r="37" spans="4:18" ht="20.100000000000001"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100000000000001"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100000000000001"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100000000000001"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100000000000001" customHeight="1" x14ac:dyDescent="0.25"/>
    <row r="42" spans="4:18" ht="20.100000000000001" customHeight="1" x14ac:dyDescent="0.25">
      <c r="D42" s="97" t="s">
        <v>236</v>
      </c>
    </row>
    <row r="43" spans="4:18" ht="20.100000000000001" customHeight="1" x14ac:dyDescent="0.25">
      <c r="D43" s="96" t="s">
        <v>237</v>
      </c>
    </row>
    <row r="44" spans="4:18" ht="20.100000000000001" customHeight="1" x14ac:dyDescent="0.25">
      <c r="D44" s="40" t="s">
        <v>127</v>
      </c>
      <c r="E44" s="40" t="s">
        <v>144</v>
      </c>
      <c r="F44" s="40" t="s">
        <v>145</v>
      </c>
      <c r="G44" s="40" t="s">
        <v>146</v>
      </c>
      <c r="H44" s="40" t="s">
        <v>147</v>
      </c>
    </row>
    <row r="45" spans="4:18" ht="20.100000000000001" customHeight="1" x14ac:dyDescent="0.25">
      <c r="D45" s="52">
        <f>IF($I$37="Milk solids", X_Cell_Dairy_MilkProductionAmount, 0)</f>
        <v>0</v>
      </c>
      <c r="E45" s="52">
        <v>0</v>
      </c>
      <c r="F45" s="52">
        <v>0</v>
      </c>
      <c r="G45" s="52">
        <v>0</v>
      </c>
      <c r="H45" s="52">
        <v>0</v>
      </c>
      <c r="I45" s="2" t="s">
        <v>180</v>
      </c>
    </row>
    <row r="46" spans="4:18" ht="20.100000000000001" customHeight="1" x14ac:dyDescent="0.25"/>
    <row r="47" spans="4:18" ht="20.100000000000001" customHeight="1" x14ac:dyDescent="0.25">
      <c r="D47" s="97" t="s">
        <v>238</v>
      </c>
      <c r="M47" s="97" t="s">
        <v>246</v>
      </c>
    </row>
    <row r="48" spans="4:18" ht="20.100000000000001" customHeight="1" x14ac:dyDescent="0.25">
      <c r="D48" s="96" t="s">
        <v>239</v>
      </c>
      <c r="M48" s="96" t="s">
        <v>247</v>
      </c>
    </row>
    <row r="49" spans="3:19" ht="20.100000000000001" customHeight="1" x14ac:dyDescent="0.25">
      <c r="D49" s="51" t="s">
        <v>127</v>
      </c>
      <c r="E49" s="51" t="s">
        <v>144</v>
      </c>
      <c r="F49" s="51" t="s">
        <v>145</v>
      </c>
      <c r="G49" s="51" t="s">
        <v>146</v>
      </c>
      <c r="H49" s="51" t="s">
        <v>147</v>
      </c>
      <c r="M49" s="51" t="s">
        <v>127</v>
      </c>
      <c r="N49" s="51" t="s">
        <v>144</v>
      </c>
      <c r="O49" s="51" t="s">
        <v>145</v>
      </c>
      <c r="P49" s="51" t="s">
        <v>146</v>
      </c>
      <c r="Q49" s="51" t="s">
        <v>147</v>
      </c>
    </row>
    <row r="50" spans="3:19" ht="20.100000000000001" customHeight="1" x14ac:dyDescent="0.25">
      <c r="D50" s="52" cm="1">
        <f t="array" ref="D50">EntericMethane_Dairy_Equations.VEERG_3_3_1_1__5_MilkProductionFromMilkSolids(D45,I39,I40)</f>
        <v>0</v>
      </c>
      <c r="E50" s="52">
        <v>0</v>
      </c>
      <c r="F50" s="52">
        <v>0</v>
      </c>
      <c r="G50" s="52">
        <v>0</v>
      </c>
      <c r="H50" s="52">
        <v>0</v>
      </c>
      <c r="I50" s="2" t="s">
        <v>180</v>
      </c>
      <c r="M50" s="52" cm="1">
        <f t="array" ref="M50">EntericMethane_Dairy_Equations.VEERG_3_3_1_1__5_MilkProductionFromMilkSolids(D45,R39,R40)</f>
        <v>0</v>
      </c>
      <c r="N50" s="52">
        <v>0</v>
      </c>
      <c r="O50" s="52">
        <v>0</v>
      </c>
      <c r="P50" s="52">
        <v>0</v>
      </c>
      <c r="Q50" s="52">
        <v>0</v>
      </c>
      <c r="R50" s="2" t="s">
        <v>180</v>
      </c>
    </row>
    <row r="51" spans="3:19" ht="20.100000000000001" customHeight="1" x14ac:dyDescent="0.25"/>
    <row r="52" spans="3:19" ht="20.100000000000001" customHeight="1" x14ac:dyDescent="0.25"/>
    <row r="53" spans="3:19" ht="20.100000000000001" customHeight="1" x14ac:dyDescent="0.25">
      <c r="C53" s="46"/>
      <c r="D53" s="46"/>
      <c r="E53" s="46"/>
      <c r="F53" s="46"/>
      <c r="G53" s="46"/>
      <c r="H53" s="46"/>
      <c r="I53" s="46"/>
      <c r="J53" s="46"/>
      <c r="L53" s="46"/>
      <c r="M53" s="46"/>
      <c r="N53" s="46"/>
      <c r="O53" s="46"/>
      <c r="P53" s="46"/>
      <c r="Q53" s="46"/>
      <c r="R53" s="46"/>
      <c r="S53" s="46"/>
    </row>
    <row r="54" spans="3:19" ht="20.100000000000001" customHeight="1" x14ac:dyDescent="0.25">
      <c r="D54" s="6" t="str" cm="1">
        <f t="array" ref="D54">EntericMethane_Dairy_Equations.VEERG_3_3_1_1__4_AdditionalIntakeForMilkProduction_Title()</f>
        <v>Additional intake required for milk production</v>
      </c>
    </row>
    <row r="55" spans="3:19" ht="20.100000000000001" customHeight="1" x14ac:dyDescent="0.25">
      <c r="D55" s="5" t="str" cm="1">
        <f t="array" ref="D55">EntericMethane_Dairy_Equations.VEERG_3_3_1_1__4_AdditionalIntakeForMilkProduction_Source()</f>
        <v>VEERG 2026: 3.3.1.1, Equation (4)</v>
      </c>
    </row>
    <row r="56" spans="3:19" ht="20.100000000000001"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100000000000001" customHeight="1" x14ac:dyDescent="0.25">
      <c r="D57" s="13" t="s">
        <v>23</v>
      </c>
      <c r="E57" s="13" t="str" cm="1">
        <f t="array" aca="1" ref="E57" ca="1">Common_InputFunctions.Utility_DisplayFunctionName(D80)</f>
        <v>=EntericMethane_Dairy_Equations.VEERG_3_3_1_1__4_AdditionalIntakeForMilkProduction</v>
      </c>
    </row>
    <row r="58" spans="3:19" ht="20.100000000000001" customHeight="1" x14ac:dyDescent="0.25">
      <c r="D58" s="6"/>
    </row>
    <row r="59" spans="3:19" ht="20.100000000000001" customHeight="1" x14ac:dyDescent="0.25"/>
    <row r="60" spans="3:19" ht="20.100000000000001" customHeight="1" x14ac:dyDescent="0.25"/>
    <row r="61" spans="3:19" ht="20.100000000000001" customHeight="1" x14ac:dyDescent="0.25">
      <c r="D61" s="53" t="s">
        <v>26</v>
      </c>
      <c r="E61" s="1" t="str" cm="1">
        <f t="array" ref="E61">EntericMethane_Dairy_Equations.VEERG_3_3_1_1__4_AdditionalIntakeForMilkProduction_Variable()</f>
        <v>MI_j</v>
      </c>
    </row>
    <row r="62" spans="3:19" ht="20.100000000000001" customHeight="1" x14ac:dyDescent="0.25">
      <c r="D62" s="53" t="s">
        <v>16</v>
      </c>
      <c r="E62" s="54" t="str" cm="1">
        <f t="array" ref="E62">EntericMethane_Dairy_Equations.VEERG_3_3_1_1__4_AdditionalIntakeForMilkProduction_Unit()</f>
        <v>kg DM/head/day</v>
      </c>
    </row>
    <row r="63" spans="3:19" ht="20.100000000000001" customHeight="1" x14ac:dyDescent="0.25"/>
    <row r="64" spans="3:19" ht="20.100000000000001"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100000000000001"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100000000000001"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100000000000001" customHeight="1" x14ac:dyDescent="0.25">
      <c r="D67" s="118" t="str">
        <v>NE</v>
      </c>
      <c r="E67" s="117" t="str">
        <v>net energy</v>
      </c>
      <c r="F67" s="119"/>
      <c r="G67" s="118" t="str">
        <v>MJ net energy/kg milk</v>
      </c>
      <c r="H67" s="114" t="str">
        <v>Constant</v>
      </c>
      <c r="I67" s="118">
        <f>SourceData_Dairy_NetEnergy_Data</f>
        <v>3.0539999999999998</v>
      </c>
    </row>
    <row r="68" spans="4:18" ht="20.100000000000001" customHeight="1" x14ac:dyDescent="0.25">
      <c r="D68" s="118" t="str">
        <v>GEC</v>
      </c>
      <c r="E68" s="117" t="str">
        <v>gross energy content</v>
      </c>
      <c r="F68" s="119"/>
      <c r="G68" s="118" t="str">
        <v>MJ/kgDM</v>
      </c>
      <c r="H68" s="114" t="str">
        <v>Constant</v>
      </c>
      <c r="I68" s="118">
        <f>SourceData_Dairy_GrossEnergyContent_Data</f>
        <v>18.399999999999999</v>
      </c>
    </row>
    <row r="69" spans="4:18" ht="20.100000000000001"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100000000000001"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100000000000001" customHeight="1" x14ac:dyDescent="0.25"/>
    <row r="72" spans="4:18" ht="20.100000000000001" customHeight="1" x14ac:dyDescent="0.25">
      <c r="D72" s="97" t="s">
        <v>183</v>
      </c>
    </row>
    <row r="73" spans="4:18" ht="20.100000000000001" customHeight="1" x14ac:dyDescent="0.25">
      <c r="D73" s="96" t="s">
        <v>151</v>
      </c>
    </row>
    <row r="74" spans="4:18" ht="20.100000000000001" customHeight="1" x14ac:dyDescent="0.25">
      <c r="D74" s="40" t="s">
        <v>127</v>
      </c>
      <c r="E74" s="40" t="s">
        <v>144</v>
      </c>
      <c r="F74" s="40" t="s">
        <v>145</v>
      </c>
      <c r="G74" s="40" t="s">
        <v>146</v>
      </c>
      <c r="H74" s="40" t="s">
        <v>147</v>
      </c>
    </row>
    <row r="75" spans="4:18" ht="20.100000000000001" customHeight="1" x14ac:dyDescent="0.25">
      <c r="D75" s="52">
        <f>IF(I64="Milk solids", 0, X_Cell_Dairy_MilkProductionAmount)</f>
        <v>20</v>
      </c>
      <c r="E75" s="52">
        <v>0</v>
      </c>
      <c r="F75" s="52">
        <v>0</v>
      </c>
      <c r="G75" s="52">
        <v>0</v>
      </c>
      <c r="H75" s="52">
        <v>0</v>
      </c>
      <c r="I75" s="2" t="s">
        <v>180</v>
      </c>
    </row>
    <row r="76" spans="4:18" ht="20.100000000000001" customHeight="1" x14ac:dyDescent="0.25"/>
    <row r="77" spans="4:18" ht="20.100000000000001" customHeight="1" x14ac:dyDescent="0.25">
      <c r="D77" s="97" t="s">
        <v>178</v>
      </c>
      <c r="M77" s="97" t="s">
        <v>181</v>
      </c>
    </row>
    <row r="78" spans="4:18" ht="20.100000000000001" customHeight="1" x14ac:dyDescent="0.25">
      <c r="D78" s="96" t="s">
        <v>179</v>
      </c>
      <c r="M78" s="96" t="s">
        <v>182</v>
      </c>
    </row>
    <row r="79" spans="4:18" ht="20.100000000000001" customHeight="1" x14ac:dyDescent="0.25">
      <c r="D79" s="51" t="s">
        <v>127</v>
      </c>
      <c r="E79" s="51" t="s">
        <v>144</v>
      </c>
      <c r="F79" s="51" t="s">
        <v>145</v>
      </c>
      <c r="G79" s="51" t="s">
        <v>146</v>
      </c>
      <c r="H79" s="51" t="s">
        <v>147</v>
      </c>
      <c r="M79" s="51" t="s">
        <v>127</v>
      </c>
      <c r="N79" s="51" t="s">
        <v>144</v>
      </c>
      <c r="O79" s="51" t="s">
        <v>145</v>
      </c>
      <c r="P79" s="51" t="s">
        <v>146</v>
      </c>
      <c r="Q79" s="51" t="s">
        <v>147</v>
      </c>
    </row>
    <row r="80" spans="4:18" ht="20.100000000000001" customHeight="1" x14ac:dyDescent="0.25">
      <c r="D80" s="52" cm="1">
        <f t="array" ref="D80">EntericMethane_Dairy_Equations.VEERG_3_3_1_1__4_AdditionalIntakeForMilkProduction(IF(I64="Milk solids", D50, D75),$I$67,$I$68,$I$69,D24)</f>
        <v>9.5798721636071917</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9.5798721636071917</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6"/>
      <c r="D83" s="46"/>
      <c r="E83" s="46"/>
      <c r="F83" s="46"/>
      <c r="G83" s="46"/>
      <c r="H83" s="46"/>
      <c r="I83" s="46"/>
      <c r="J83" s="46"/>
      <c r="L83" s="46"/>
      <c r="M83" s="46"/>
      <c r="N83" s="46"/>
      <c r="O83" s="46"/>
      <c r="P83" s="46"/>
      <c r="Q83" s="46"/>
      <c r="R83" s="46"/>
      <c r="S83" s="46"/>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23</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3" t="s">
        <v>26</v>
      </c>
      <c r="E89" s="1" t="str" cm="1">
        <f t="array" ref="E89">EntericMethane_Dairy_Equations.VEERG_3_3_1_1__3_DryMatterFeedIntake_Variable()</f>
        <v>I_j</v>
      </c>
    </row>
    <row r="90" spans="3:19" ht="20.100000000000001" customHeight="1" x14ac:dyDescent="0.25">
      <c r="D90" s="53" t="s">
        <v>16</v>
      </c>
      <c r="E90" s="54" t="str" cm="1">
        <f t="array" ref="E90">EntericMethane_Dairy_Equations.VEERG_3_3_1_1__3_DryMatterFeedIntake_Unit()</f>
        <v>kg DM/head/day</v>
      </c>
    </row>
    <row r="91" spans="3:19" ht="20.100000000000001" customHeight="1" x14ac:dyDescent="0.25"/>
    <row r="92" spans="3:19" ht="20.100000000000001"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100000000000001"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100000000000001"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100000000000001"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100000000000001" customHeight="1" x14ac:dyDescent="0.25"/>
    <row r="97" spans="4:18" ht="20.100000000000001" customHeight="1" x14ac:dyDescent="0.25">
      <c r="D97" s="97" t="s">
        <v>163</v>
      </c>
      <c r="M97" s="97" t="s">
        <v>165</v>
      </c>
    </row>
    <row r="98" spans="4:18" ht="20.100000000000001" customHeight="1" x14ac:dyDescent="0.25">
      <c r="D98" s="96" t="s">
        <v>164</v>
      </c>
      <c r="M98" s="96" t="s">
        <v>166</v>
      </c>
    </row>
    <row r="99" spans="4:18" ht="20.100000000000001" customHeight="1" x14ac:dyDescent="0.25">
      <c r="D99" s="40" t="s">
        <v>127</v>
      </c>
      <c r="E99" s="40" t="s">
        <v>144</v>
      </c>
      <c r="F99" s="40" t="s">
        <v>145</v>
      </c>
      <c r="G99" s="40" t="s">
        <v>146</v>
      </c>
      <c r="H99" s="40" t="s">
        <v>147</v>
      </c>
      <c r="M99" s="40" t="s">
        <v>127</v>
      </c>
      <c r="N99" s="40" t="s">
        <v>144</v>
      </c>
      <c r="O99" s="40" t="s">
        <v>145</v>
      </c>
      <c r="P99" s="40" t="s">
        <v>146</v>
      </c>
      <c r="Q99" s="40" t="s">
        <v>147</v>
      </c>
    </row>
    <row r="100" spans="4:18" ht="20.100000000000001" customHeight="1" x14ac:dyDescent="0.25">
      <c r="D100" s="52">
        <f>'Input - Dairy'!$E$14</f>
        <v>550</v>
      </c>
      <c r="E100" s="52">
        <f>'Input - Dairy'!$F$14</f>
        <v>380</v>
      </c>
      <c r="F100" s="52">
        <f>'Input - Dairy'!$G$14</f>
        <v>155</v>
      </c>
      <c r="G100" s="52">
        <f>'Input - Dairy'!$H$14</f>
        <v>600</v>
      </c>
      <c r="H100" s="52">
        <f>'Input - Dairy'!$I$14</f>
        <v>225</v>
      </c>
      <c r="I100" s="2" t="s">
        <v>149</v>
      </c>
      <c r="M100" s="52">
        <f>'Input - Dairy'!$E$18</f>
        <v>550</v>
      </c>
      <c r="N100" s="52">
        <f>'Input - Dairy'!$F$18</f>
        <v>380</v>
      </c>
      <c r="O100" s="52">
        <f>'Input - Dairy'!$G$18</f>
        <v>155</v>
      </c>
      <c r="P100" s="52">
        <f>'Input - Dairy'!$H$18</f>
        <v>600</v>
      </c>
      <c r="Q100" s="52">
        <f>'Input - Dairy'!$I$18</f>
        <v>225</v>
      </c>
      <c r="R100" s="2" t="s">
        <v>149</v>
      </c>
    </row>
    <row r="101" spans="4:18" ht="20.100000000000001" customHeight="1" x14ac:dyDescent="0.25"/>
    <row r="102" spans="4:18" ht="20.100000000000001" customHeight="1" x14ac:dyDescent="0.25">
      <c r="D102" s="97" t="s">
        <v>167</v>
      </c>
      <c r="M102" s="97" t="s">
        <v>169</v>
      </c>
    </row>
    <row r="103" spans="4:18" ht="20.100000000000001" customHeight="1" x14ac:dyDescent="0.25">
      <c r="D103" s="96" t="s">
        <v>168</v>
      </c>
      <c r="M103" s="96" t="s">
        <v>170</v>
      </c>
    </row>
    <row r="104" spans="4:18" ht="20.100000000000001" customHeight="1" x14ac:dyDescent="0.25">
      <c r="D104" s="40" t="s">
        <v>127</v>
      </c>
      <c r="E104" s="40" t="s">
        <v>144</v>
      </c>
      <c r="F104" s="40" t="s">
        <v>145</v>
      </c>
      <c r="G104" s="40" t="s">
        <v>146</v>
      </c>
      <c r="H104" s="40" t="s">
        <v>147</v>
      </c>
      <c r="M104" s="40" t="s">
        <v>127</v>
      </c>
      <c r="N104" s="40" t="s">
        <v>144</v>
      </c>
      <c r="O104" s="40" t="s">
        <v>145</v>
      </c>
      <c r="P104" s="40" t="s">
        <v>146</v>
      </c>
      <c r="Q104" s="40" t="s">
        <v>147</v>
      </c>
    </row>
    <row r="105" spans="4:18" ht="20.100000000000001" customHeight="1" x14ac:dyDescent="0.25">
      <c r="D105" s="52">
        <f>'Input - Dairy'!$E$15</f>
        <v>1.6E-2</v>
      </c>
      <c r="E105" s="52">
        <f>'Input - Dairy'!$F$15</f>
        <v>0.6</v>
      </c>
      <c r="F105" s="52">
        <f>'Input - Dairy'!$G$15</f>
        <v>0.56999999999999995</v>
      </c>
      <c r="G105" s="52">
        <f>'Input - Dairy'!$H$15</f>
        <v>0.1</v>
      </c>
      <c r="H105" s="52">
        <f>'Input - Dairy'!$I$15</f>
        <v>0.8</v>
      </c>
      <c r="I105" s="2" t="s">
        <v>150</v>
      </c>
      <c r="M105" s="52">
        <f>'Input - Dairy'!$E$19</f>
        <v>1.6E-2</v>
      </c>
      <c r="N105" s="52">
        <f>'Input - Dairy'!$F$19</f>
        <v>0.6</v>
      </c>
      <c r="O105" s="52">
        <f>'Input - Dairy'!$G$19</f>
        <v>0.56999999999999995</v>
      </c>
      <c r="P105" s="52">
        <f>'Input - Dairy'!$H$19</f>
        <v>0.1</v>
      </c>
      <c r="Q105" s="52">
        <f>'Input - Dairy'!$I$19</f>
        <v>0.8</v>
      </c>
      <c r="R105" s="2" t="s">
        <v>150</v>
      </c>
    </row>
    <row r="106" spans="4:18" ht="20.100000000000001" customHeight="1" x14ac:dyDescent="0.25"/>
    <row r="107" spans="4:18" ht="20.100000000000001" customHeight="1" x14ac:dyDescent="0.25">
      <c r="D107" s="97" t="s">
        <v>171</v>
      </c>
    </row>
    <row r="108" spans="4:18" ht="20.100000000000001" customHeight="1" x14ac:dyDescent="0.25">
      <c r="D108" s="96" t="s">
        <v>172</v>
      </c>
    </row>
    <row r="109" spans="4:18" ht="20.100000000000001" customHeight="1" x14ac:dyDescent="0.25">
      <c r="D109" s="51" t="s">
        <v>127</v>
      </c>
      <c r="E109" s="51" t="s">
        <v>144</v>
      </c>
      <c r="F109" s="51" t="s">
        <v>145</v>
      </c>
      <c r="G109" s="51" t="s">
        <v>146</v>
      </c>
      <c r="H109" s="51" t="s">
        <v>147</v>
      </c>
    </row>
    <row r="110" spans="4:18" ht="20.100000000000001" customHeight="1" x14ac:dyDescent="0.25">
      <c r="D110" s="52">
        <f>'Constants - Dairy'!$E$108</f>
        <v>1.1000000000000001</v>
      </c>
      <c r="E110" s="52">
        <f>'Constants - Dairy'!$E$109</f>
        <v>1</v>
      </c>
      <c r="F110" s="52">
        <f>'Constants - Dairy'!$E$109</f>
        <v>1</v>
      </c>
      <c r="G110" s="52">
        <f>'Constants - Dairy'!$E$109</f>
        <v>1</v>
      </c>
      <c r="H110" s="52">
        <f>'Constants - Dairy'!$E$109</f>
        <v>1</v>
      </c>
      <c r="I110" s="2" t="s">
        <v>92</v>
      </c>
    </row>
    <row r="111" spans="4:18" ht="20.100000000000001" customHeight="1" x14ac:dyDescent="0.25"/>
    <row r="112" spans="4:18" ht="20.100000000000001" customHeight="1" x14ac:dyDescent="0.25">
      <c r="D112" s="97" t="s">
        <v>101</v>
      </c>
      <c r="M112" s="97" t="s">
        <v>102</v>
      </c>
    </row>
    <row r="113" spans="3:19" ht="20.100000000000001" customHeight="1" x14ac:dyDescent="0.25">
      <c r="D113" s="96" t="s">
        <v>186</v>
      </c>
      <c r="M113" s="96" t="s">
        <v>185</v>
      </c>
    </row>
    <row r="114" spans="3:19" ht="20.100000000000001" customHeight="1" x14ac:dyDescent="0.25">
      <c r="D114" s="51" t="s">
        <v>127</v>
      </c>
      <c r="E114" s="51" t="s">
        <v>144</v>
      </c>
      <c r="F114" s="51" t="s">
        <v>145</v>
      </c>
      <c r="G114" s="51" t="s">
        <v>146</v>
      </c>
      <c r="H114" s="51" t="s">
        <v>147</v>
      </c>
      <c r="M114" s="51" t="s">
        <v>127</v>
      </c>
      <c r="N114" s="51" t="s">
        <v>144</v>
      </c>
      <c r="O114" s="51" t="s">
        <v>145</v>
      </c>
      <c r="P114" s="51" t="s">
        <v>146</v>
      </c>
      <c r="Q114" s="51" t="s">
        <v>147</v>
      </c>
    </row>
    <row r="115" spans="3:19" ht="20.100000000000001" customHeight="1" x14ac:dyDescent="0.25">
      <c r="D115" s="52" cm="1">
        <f t="array" ref="D115">EntericMethane_Dairy_Equations.VEERG_3_3_1_1__3_DryMatterFeedIntake(D100,D105,D110,D80)</f>
        <v>18.834317684367193</v>
      </c>
      <c r="E115" s="52" cm="1">
        <f t="array" ref="E115">EntericMethane_Dairy_Equations.VEERG_3_3_1_1__3_DryMatterFeedIntake(E100,E105,E110,E80)</f>
        <v>7.4188685375999972</v>
      </c>
      <c r="F115" s="52" cm="1">
        <f t="array" ref="F115">EntericMethane_Dairy_Equations.VEERG_3_3_1_1__3_DryMatterFeedIntake(F100,F105,F110,F80)</f>
        <v>4.0231734662249998</v>
      </c>
      <c r="G115" s="52" cm="1">
        <f t="array" ref="G115">EntericMethane_Dairy_Equations.VEERG_3_3_1_1__3_DryMatterFeedIntake(G100,G105,G110,G80)</f>
        <v>9.0270202499999979</v>
      </c>
      <c r="H115" s="52" cm="1">
        <f t="array" ref="H115">EntericMethane_Dairy_Equations.VEERG_3_3_1_1__3_DryMatterFeedIntake(H100,H105,H110,H80)</f>
        <v>5.4143472656250013</v>
      </c>
      <c r="I115" s="2" t="str">
        <f>$E$90</f>
        <v>kg DM/head/day</v>
      </c>
      <c r="M115" s="52" cm="1">
        <f t="array" ref="M115">EntericMethane_Dairy_Equations.VEERG_3_3_1_1__3_DryMatterFeedIntake(M100,M105,D110,M80)</f>
        <v>18.834317684367193</v>
      </c>
      <c r="N115" s="52" cm="1">
        <f t="array" ref="N115">EntericMethane_Dairy_Equations.VEERG_3_3_1_1__3_DryMatterFeedIntake(N100,N105,E110,N80)</f>
        <v>7.4188685375999972</v>
      </c>
      <c r="O115" s="52" cm="1">
        <f t="array" ref="O115">EntericMethane_Dairy_Equations.VEERG_3_3_1_1__3_DryMatterFeedIntake(O100,O105,F110,O80)</f>
        <v>4.0231734662249998</v>
      </c>
      <c r="P115" s="52" cm="1">
        <f t="array" ref="P115">EntericMethane_Dairy_Equations.VEERG_3_3_1_1__3_DryMatterFeedIntake(P100,P105,G110,P80)</f>
        <v>9.0270202499999979</v>
      </c>
      <c r="Q115" s="52"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6"/>
      <c r="D118" s="46"/>
      <c r="E118" s="46"/>
      <c r="F118" s="46"/>
      <c r="G118" s="46"/>
      <c r="H118" s="46"/>
      <c r="I118" s="46"/>
      <c r="J118" s="46"/>
      <c r="L118" s="46"/>
      <c r="M118" s="46"/>
      <c r="N118" s="46"/>
      <c r="O118" s="46"/>
      <c r="P118" s="46"/>
      <c r="Q118" s="46"/>
      <c r="R118" s="46"/>
      <c r="S118" s="46"/>
    </row>
    <row r="119" spans="3:19" ht="20.100000000000001" customHeight="1" x14ac:dyDescent="0.25">
      <c r="D119" s="48"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23</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3" t="s">
        <v>26</v>
      </c>
      <c r="E124" s="1" t="str" cm="1">
        <f t="array" ref="E124">EntericMethane_Dairy_Equations.VEERG_3_3_1_1__2_DailyEntericMethaneProduction_Variable()</f>
        <v>M_j</v>
      </c>
    </row>
    <row r="125" spans="3:19" ht="20.100000000000001" customHeight="1" x14ac:dyDescent="0.25">
      <c r="D125" s="53" t="s">
        <v>16</v>
      </c>
      <c r="E125" s="54"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100000000000001" customHeight="1" x14ac:dyDescent="0.25"/>
    <row r="129" spans="3:19" ht="20.100000000000001" customHeight="1" x14ac:dyDescent="0.25">
      <c r="D129" s="97" t="s">
        <v>217</v>
      </c>
      <c r="M129" s="97" t="s">
        <v>219</v>
      </c>
    </row>
    <row r="130" spans="3:19" ht="20.100000000000001" customHeight="1" x14ac:dyDescent="0.25">
      <c r="D130" s="96" t="s">
        <v>218</v>
      </c>
      <c r="M130" s="96" t="s">
        <v>220</v>
      </c>
    </row>
    <row r="131" spans="3:19" ht="20.100000000000001" customHeight="1" x14ac:dyDescent="0.25">
      <c r="D131" s="51" t="s">
        <v>127</v>
      </c>
      <c r="E131" s="51" t="s">
        <v>144</v>
      </c>
      <c r="F131" s="51" t="s">
        <v>145</v>
      </c>
      <c r="G131" s="51" t="s">
        <v>146</v>
      </c>
      <c r="H131" s="51" t="s">
        <v>147</v>
      </c>
      <c r="M131" s="51" t="s">
        <v>127</v>
      </c>
      <c r="N131" s="51" t="s">
        <v>144</v>
      </c>
      <c r="O131" s="51" t="s">
        <v>145</v>
      </c>
      <c r="P131" s="51" t="s">
        <v>146</v>
      </c>
      <c r="Q131" s="51" t="s">
        <v>147</v>
      </c>
    </row>
    <row r="132" spans="3:19" ht="20.100000000000001" customHeight="1" x14ac:dyDescent="0.25">
      <c r="D132" s="52" cm="1">
        <f t="array" ref="D132">EntericMethane_Dairy_Equations.VEERG_3_3_1_1__2_DailyEntericMethaneProduction(D115)</f>
        <v>0.38987037606640085</v>
      </c>
      <c r="E132" s="52" cm="1">
        <f t="array" ref="E132">EntericMethane_Dairy_Equations.VEERG_3_3_1_1__2_DailyEntericMethaneProduction(E115)</f>
        <v>0.15357057872831995</v>
      </c>
      <c r="F132" s="52" cm="1">
        <f t="array" ref="F132">EntericMethane_Dairy_Equations.VEERG_3_3_1_1__2_DailyEntericMethaneProduction(F115)</f>
        <v>8.3279690750857505E-2</v>
      </c>
      <c r="G132" s="52" cm="1">
        <f t="array" ref="G132">EntericMethane_Dairy_Equations.VEERG_3_3_1_1__2_DailyEntericMethaneProduction(G115)</f>
        <v>0.18685931917499995</v>
      </c>
      <c r="H132" s="52" cm="1">
        <f t="array" ref="H132">EntericMethane_Dairy_Equations.VEERG_3_3_1_1__2_DailyEntericMethaneProduction(H115)</f>
        <v>0.11207698839843752</v>
      </c>
      <c r="I132" s="2" t="str">
        <f>$E$125</f>
        <v>kg CH4/head/day</v>
      </c>
      <c r="M132" s="52" cm="1">
        <f t="array" ref="M132">EntericMethane_Dairy_Equations.VEERG_3_3_1_1__2_DailyEntericMethaneProduction(M115)</f>
        <v>0.38987037606640085</v>
      </c>
      <c r="N132" s="52" cm="1">
        <f t="array" ref="N132">EntericMethane_Dairy_Equations.VEERG_3_3_1_1__2_DailyEntericMethaneProduction(N115)</f>
        <v>0.15357057872831995</v>
      </c>
      <c r="O132" s="52" cm="1">
        <f t="array" ref="O132">EntericMethane_Dairy_Equations.VEERG_3_3_1_1__2_DailyEntericMethaneProduction(O115)</f>
        <v>8.3279690750857505E-2</v>
      </c>
      <c r="P132" s="52" cm="1">
        <f t="array" ref="P132">EntericMethane_Dairy_Equations.VEERG_3_3_1_1__2_DailyEntericMethaneProduction(P115)</f>
        <v>0.18685931917499995</v>
      </c>
      <c r="Q132" s="52"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6"/>
      <c r="D135" s="46"/>
      <c r="E135" s="46"/>
      <c r="F135" s="46"/>
      <c r="G135" s="46"/>
      <c r="H135" s="46"/>
      <c r="I135" s="46"/>
      <c r="J135" s="46"/>
      <c r="L135" s="46"/>
      <c r="M135" s="46"/>
      <c r="N135" s="46"/>
      <c r="O135" s="46"/>
      <c r="P135" s="46"/>
      <c r="Q135" s="46"/>
      <c r="R135" s="46"/>
      <c r="S135" s="46"/>
    </row>
    <row r="136" spans="3:19" ht="20.100000000000001" customHeight="1" x14ac:dyDescent="0.25">
      <c r="D136" s="4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23</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53" t="s">
        <v>26</v>
      </c>
      <c r="E145" s="1" t="str" cm="1">
        <f t="array" ref="E145">EntericMethane_Dairy_Equations.VEERG_3_3_1_1__1_TotalAnnualMethaneFromEntericFermentation_Variable()</f>
        <v>E_enteric</v>
      </c>
    </row>
    <row r="146" spans="4:9" ht="20.100000000000001" customHeight="1" x14ac:dyDescent="0.25">
      <c r="D146" s="53" t="s">
        <v>16</v>
      </c>
      <c r="E146" s="54"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100000000000001"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100000000000001"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100000000000001"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100000000000001"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100000000000001"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100000000000001"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100000000000001"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100000000000001" customHeight="1" x14ac:dyDescent="0.25"/>
    <row r="157" spans="4:9" ht="20.100000000000001" customHeight="1" x14ac:dyDescent="0.25">
      <c r="D157" s="97" t="s">
        <v>98</v>
      </c>
    </row>
    <row r="158" spans="4:9" ht="20.100000000000001" customHeight="1" x14ac:dyDescent="0.25">
      <c r="D158" s="96" t="s">
        <v>221</v>
      </c>
    </row>
    <row r="159" spans="4:9" ht="20.100000000000001" customHeight="1" x14ac:dyDescent="0.25">
      <c r="D159" s="40" t="s">
        <v>127</v>
      </c>
      <c r="E159" s="40" t="s">
        <v>144</v>
      </c>
      <c r="F159" s="40" t="s">
        <v>145</v>
      </c>
      <c r="G159" s="40" t="s">
        <v>146</v>
      </c>
      <c r="H159" s="40" t="s">
        <v>147</v>
      </c>
    </row>
    <row r="160" spans="4:9" ht="20.100000000000001" customHeight="1" x14ac:dyDescent="0.25">
      <c r="D160" s="52">
        <f>'Input - Dairy'!E10</f>
        <v>100</v>
      </c>
      <c r="E160" s="52">
        <f>'Input - Dairy'!F10</f>
        <v>100</v>
      </c>
      <c r="F160" s="52">
        <f>'Input - Dairy'!G10</f>
        <v>100</v>
      </c>
      <c r="G160" s="52">
        <f>'Input - Dairy'!H10</f>
        <v>100</v>
      </c>
      <c r="H160" s="52">
        <f>'Input - Dairy'!I10</f>
        <v>100</v>
      </c>
      <c r="I160" s="54" t="str">
        <f>$G$148</f>
        <v>head</v>
      </c>
    </row>
    <row r="161" spans="4:18" ht="20.100000000000001" customHeight="1" x14ac:dyDescent="0.25"/>
    <row r="162" spans="4:18" ht="20.100000000000001" customHeight="1" x14ac:dyDescent="0.25">
      <c r="D162" s="97" t="s">
        <v>187</v>
      </c>
      <c r="M162" s="97" t="s">
        <v>188</v>
      </c>
    </row>
    <row r="163" spans="4:18" ht="20.100000000000001" customHeight="1" x14ac:dyDescent="0.25">
      <c r="D163" s="96" t="s">
        <v>222</v>
      </c>
      <c r="M163" s="96" t="s">
        <v>224</v>
      </c>
    </row>
    <row r="164" spans="4:18" ht="20.100000000000001" customHeight="1" x14ac:dyDescent="0.25">
      <c r="D164" s="40" t="s">
        <v>127</v>
      </c>
      <c r="E164" s="40" t="s">
        <v>144</v>
      </c>
      <c r="F164" s="40" t="s">
        <v>145</v>
      </c>
      <c r="G164" s="40" t="s">
        <v>146</v>
      </c>
      <c r="H164" s="40" t="s">
        <v>147</v>
      </c>
      <c r="M164" s="40" t="s">
        <v>127</v>
      </c>
      <c r="N164" s="40" t="s">
        <v>144</v>
      </c>
      <c r="O164" s="40" t="s">
        <v>145</v>
      </c>
      <c r="P164" s="40" t="s">
        <v>146</v>
      </c>
      <c r="Q164" s="40" t="s">
        <v>147</v>
      </c>
    </row>
    <row r="165" spans="4:18" ht="20.100000000000001" customHeight="1" x14ac:dyDescent="0.25">
      <c r="D165" s="52">
        <f>'Input - Dairy'!E24</f>
        <v>365</v>
      </c>
      <c r="E165" s="52">
        <f>'Input - Dairy'!F24</f>
        <v>365</v>
      </c>
      <c r="F165" s="52">
        <f>'Input - Dairy'!G24</f>
        <v>281</v>
      </c>
      <c r="G165" s="52">
        <f>'Input - Dairy'!H24</f>
        <v>365</v>
      </c>
      <c r="H165" s="52">
        <f>'Input - Dairy'!I24</f>
        <v>281</v>
      </c>
      <c r="I165" s="54" t="str">
        <f>$G$150</f>
        <v>days</v>
      </c>
      <c r="M165" s="52">
        <f>'Input - Dairy'!E28</f>
        <v>365</v>
      </c>
      <c r="N165" s="52">
        <f>'Input - Dairy'!F28</f>
        <v>365</v>
      </c>
      <c r="O165" s="52">
        <f>'Input - Dairy'!G28</f>
        <v>281</v>
      </c>
      <c r="P165" s="52">
        <f>'Input - Dairy'!H28</f>
        <v>365</v>
      </c>
      <c r="Q165" s="52">
        <f>'Input - Dairy'!I28</f>
        <v>281</v>
      </c>
      <c r="R165" s="54" t="str">
        <f>$G$150</f>
        <v>days</v>
      </c>
    </row>
    <row r="166" spans="4:18" ht="20.100000000000001" customHeight="1" x14ac:dyDescent="0.25"/>
    <row r="167" spans="4:18" ht="20.100000000000001" customHeight="1" x14ac:dyDescent="0.25">
      <c r="D167" s="97" t="s">
        <v>227</v>
      </c>
      <c r="M167" s="97" t="s">
        <v>225</v>
      </c>
    </row>
    <row r="168" spans="4:18" ht="20.100000000000001" customHeight="1" x14ac:dyDescent="0.25">
      <c r="D168" s="96" t="s">
        <v>223</v>
      </c>
      <c r="M168" s="96" t="s">
        <v>226</v>
      </c>
    </row>
    <row r="169" spans="4:18" ht="20.100000000000001" customHeight="1" x14ac:dyDescent="0.25">
      <c r="D169" s="40" t="s">
        <v>127</v>
      </c>
      <c r="E169" s="40" t="s">
        <v>144</v>
      </c>
      <c r="F169" s="40" t="s">
        <v>145</v>
      </c>
      <c r="G169" s="40" t="s">
        <v>146</v>
      </c>
      <c r="H169" s="40" t="s">
        <v>147</v>
      </c>
      <c r="M169" s="40" t="s">
        <v>127</v>
      </c>
      <c r="N169" s="40" t="s">
        <v>144</v>
      </c>
      <c r="O169" s="40" t="s">
        <v>145</v>
      </c>
      <c r="P169" s="40" t="s">
        <v>146</v>
      </c>
      <c r="Q169" s="40" t="s">
        <v>147</v>
      </c>
    </row>
    <row r="170" spans="4:18" ht="20.100000000000001" customHeight="1" x14ac:dyDescent="0.25">
      <c r="D170" s="52">
        <f>'Input - Dairy'!E25</f>
        <v>0</v>
      </c>
      <c r="E170" s="52">
        <f>'Input - Dairy'!F25</f>
        <v>0</v>
      </c>
      <c r="F170" s="52">
        <f>'Input - Dairy'!G25</f>
        <v>84</v>
      </c>
      <c r="G170" s="52">
        <f>'Input - Dairy'!H25</f>
        <v>0</v>
      </c>
      <c r="H170" s="52">
        <f>'Input - Dairy'!I25</f>
        <v>84</v>
      </c>
      <c r="I170" s="54" t="str">
        <f>$G$150</f>
        <v>days</v>
      </c>
      <c r="M170" s="52">
        <f>'Input - Dairy'!E29</f>
        <v>0</v>
      </c>
      <c r="N170" s="52">
        <f>'Input - Dairy'!F29</f>
        <v>0</v>
      </c>
      <c r="O170" s="52">
        <f>'Input - Dairy'!G29</f>
        <v>84</v>
      </c>
      <c r="P170" s="52">
        <f>'Input - Dairy'!H29</f>
        <v>0</v>
      </c>
      <c r="Q170" s="52">
        <f>'Input - Dairy'!I29</f>
        <v>84</v>
      </c>
      <c r="R170" s="54" t="str">
        <f>$G$150</f>
        <v>days</v>
      </c>
    </row>
    <row r="171" spans="4:18" ht="20.100000000000001" customHeight="1" x14ac:dyDescent="0.25"/>
    <row r="172" spans="4:18" ht="20.100000000000001" customHeight="1" x14ac:dyDescent="0.25">
      <c r="D172" s="97" t="s">
        <v>228</v>
      </c>
    </row>
    <row r="173" spans="4:18" ht="20.100000000000001" customHeight="1" x14ac:dyDescent="0.25">
      <c r="D173" s="96" t="s">
        <v>223</v>
      </c>
    </row>
    <row r="174" spans="4:18" ht="20.100000000000001" customHeight="1" x14ac:dyDescent="0.25">
      <c r="D174" s="51" t="s">
        <v>145</v>
      </c>
      <c r="E174" s="51" t="s">
        <v>147</v>
      </c>
    </row>
    <row r="175" spans="4:18" ht="20.100000000000001" customHeight="1" x14ac:dyDescent="0.25">
      <c r="D175" s="52">
        <f>'Constants - Dairy'!$E$99</f>
        <v>1.7600000000000001E-2</v>
      </c>
      <c r="E175" s="52">
        <f>'Constants - Dairy'!$E$100</f>
        <v>2.0400000000000001E-2</v>
      </c>
      <c r="F175" s="54" t="str">
        <f>G155</f>
        <v>kg CH4/head/day</v>
      </c>
    </row>
    <row r="176" spans="4:18" ht="20.100000000000001" customHeight="1" x14ac:dyDescent="0.25"/>
    <row r="177" spans="1:18" ht="20.100000000000001" customHeight="1" x14ac:dyDescent="0.25">
      <c r="D177" s="97" t="s">
        <v>229</v>
      </c>
      <c r="M177" s="97" t="s">
        <v>229</v>
      </c>
    </row>
    <row r="178" spans="1:18" ht="20.100000000000001" customHeight="1" x14ac:dyDescent="0.25">
      <c r="A178" s="121" t="str">
        <f>HYPERLINK("#A1", "▲ Back to top")</f>
        <v>▲ Back to top</v>
      </c>
      <c r="D178" s="96" t="s">
        <v>230</v>
      </c>
      <c r="M178" s="96" t="s">
        <v>230</v>
      </c>
    </row>
    <row r="179" spans="1:18" ht="20.100000000000001" customHeight="1" x14ac:dyDescent="0.25">
      <c r="D179" s="51" t="s">
        <v>127</v>
      </c>
      <c r="E179" s="51" t="s">
        <v>144</v>
      </c>
      <c r="F179" s="51" t="s">
        <v>145</v>
      </c>
      <c r="G179" s="51" t="s">
        <v>146</v>
      </c>
      <c r="H179" s="51" t="s">
        <v>147</v>
      </c>
      <c r="M179" s="51" t="s">
        <v>127</v>
      </c>
      <c r="N179" s="51" t="s">
        <v>144</v>
      </c>
      <c r="O179" s="51" t="s">
        <v>145</v>
      </c>
      <c r="P179" s="51" t="s">
        <v>146</v>
      </c>
      <c r="Q179" s="51" t="s">
        <v>147</v>
      </c>
    </row>
    <row r="180" spans="1:18" ht="20.100000000000001" customHeight="1" x14ac:dyDescent="0.25">
      <c r="D180" s="52" cm="1">
        <f t="array" ref="D180">EntericMethane_Dairy_Equations.VEERG_3_3_1_1__1_TotalAnnualMethaneFromEntericFermentationVariation(D160,D132,D165,0,0,0,0,0)</f>
        <v>14.230268726423633</v>
      </c>
      <c r="E180" s="52" cm="1">
        <f t="array" ref="E180">EntericMethane_Dairy_Equations.VEERG_3_3_1_1__1_TotalAnnualMethaneFromEntericFermentationVariation(E160,E132,E165,0,0,0,0,0)</f>
        <v>5.6053261235836782</v>
      </c>
      <c r="F180" s="52" cm="1">
        <f t="array" ref="F180">EntericMethane_Dairy_Equations.VEERG_3_3_1_1__1_TotalAnnualMethaneFromEntericFermentationVariation(0,0,0,F160,F132,F165,F170,$D$175)</f>
        <v>2.487999310099096</v>
      </c>
      <c r="G180" s="52" cm="1">
        <f t="array" ref="G180">EntericMethane_Dairy_Equations.VEERG_3_3_1_1__1_TotalAnnualMethaneFromEntericFermentationVariation(G160,G132,G165,0,0,0,0,0)</f>
        <v>6.8203651498874986</v>
      </c>
      <c r="H180" s="52" cm="1">
        <f t="array" ref="H180">EntericMethane_Dairy_Equations.VEERG_3_3_1_1__1_TotalAnnualMethaneFromEntericFermentationVariation(0,0,0,H160,H132,H165,H170,$E$175)</f>
        <v>3.3207233739960946</v>
      </c>
      <c r="I180" s="54" t="str">
        <f>$E$146</f>
        <v>t CH4</v>
      </c>
      <c r="M180" s="52" cm="1">
        <f t="array" ref="M180">EntericMethane_Dairy_Equations.VEERG_3_3_1_1__1_TotalAnnualMethaneFromEntericFermentationVariation(D160,M132,M165,0,0,0,0,0)</f>
        <v>14.230268726423633</v>
      </c>
      <c r="N180" s="52" cm="1">
        <f t="array" ref="N180">EntericMethane_Dairy_Equations.VEERG_3_3_1_1__1_TotalAnnualMethaneFromEntericFermentationVariation(E160,N132,N165,0,0,0,0,0)</f>
        <v>5.6053261235836782</v>
      </c>
      <c r="O180" s="52" cm="1">
        <f t="array" ref="O180">EntericMethane_Dairy_Equations.VEERG_3_3_1_1__1_TotalAnnualMethaneFromEntericFermentationVariation(0,0,0,F160,O132,O165,O170,$D$175)</f>
        <v>2.487999310099096</v>
      </c>
      <c r="P180" s="52" cm="1">
        <f t="array" ref="P180">EntericMethane_Dairy_Equations.VEERG_3_3_1_1__1_TotalAnnualMethaneFromEntericFermentationVariation(G160,P132,P165,0,0,0,0,0)</f>
        <v>6.8203651498874986</v>
      </c>
      <c r="Q180" s="52" cm="1">
        <f t="array" ref="Q180">EntericMethane_Dairy_Equations.VEERG_3_3_1_1__1_TotalAnnualMethaneFromEntericFermentationVariation(0,0,0,H160,Q132,Q165,Q170,$E$175)</f>
        <v>3.3207233739960946</v>
      </c>
      <c r="R180" s="54" t="str">
        <f>$E$146</f>
        <v>t CH4</v>
      </c>
    </row>
    <row r="181" spans="1:18" ht="20.100000000000001" customHeight="1" x14ac:dyDescent="0.25"/>
    <row r="182" spans="1:18" ht="20.100000000000001" customHeight="1" x14ac:dyDescent="0.25">
      <c r="D182" s="99" t="s">
        <v>231</v>
      </c>
      <c r="E182" s="100">
        <f>SUM(D180:H180)</f>
        <v>32.464682683989999</v>
      </c>
      <c r="F182" s="101" t="str">
        <f>$E$146</f>
        <v>t CH4</v>
      </c>
      <c r="M182" s="99" t="s">
        <v>231</v>
      </c>
      <c r="N182" s="100">
        <f>SUM(M180:Q180)</f>
        <v>32.464682683989999</v>
      </c>
      <c r="O182" s="101" t="str">
        <f>$E$146</f>
        <v>t CH4</v>
      </c>
    </row>
    <row r="183" spans="1:18" ht="20.100000000000001" customHeight="1" x14ac:dyDescent="0.25"/>
    <row r="184" spans="1:18" ht="20.100000000000001" customHeight="1" x14ac:dyDescent="0.25">
      <c r="D184" s="57" t="str" cm="1">
        <f t="array" ref="D184:E185">Common_Equations.Common_ConvertCH4ToCO2e_Arguments()</f>
        <v>ECH4</v>
      </c>
      <c r="E184" s="58" t="str">
        <v>Methane emissions (t CH4)</v>
      </c>
      <c r="F184" s="102"/>
      <c r="G184" s="52">
        <f>VEERG_3_3_1_1__1_TotalAnnualMethaneFromEntericFermentationVariation_Result_Method1</f>
        <v>32.464682683989999</v>
      </c>
      <c r="M184" s="57" t="str" cm="1">
        <f t="array" ref="M184:N185">Common_Equations.Common_ConvertCH4ToCO2e_Arguments()</f>
        <v>ECH4</v>
      </c>
      <c r="N184" s="58" t="str">
        <v>Methane emissions (t CH4)</v>
      </c>
      <c r="O184" s="102"/>
      <c r="P184" s="52">
        <f>VEERG_3_3_1_1__1_TotalAnnualMethaneFromEntericFermentationVariation_Result_Method2</f>
        <v>32.464682683989999</v>
      </c>
    </row>
    <row r="185" spans="1:18" ht="20.100000000000001"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100000000000001" customHeight="1" x14ac:dyDescent="0.25"/>
    <row r="187" spans="1:18" ht="20.100000000000001" customHeight="1" x14ac:dyDescent="0.25">
      <c r="D187" s="46" t="s">
        <v>99</v>
      </c>
      <c r="E187" s="46" cm="1">
        <f t="array" ref="E187">Common_Equations.Common_ConvertN2OToCO2e(G184,G185)</f>
        <v>909.01111515171999</v>
      </c>
      <c r="F187" s="103" t="str" cm="1">
        <f t="array" ref="F187">Common_Equations.Common_ConvertN2OToCO2e_Unit()</f>
        <v>t CO2e</v>
      </c>
      <c r="M187" s="46" t="s">
        <v>99</v>
      </c>
      <c r="N187" s="46" cm="1">
        <f t="array" ref="N187">Common_Equations.Common_ConvertN2OToCO2e(P184,P185)</f>
        <v>909.01111515171999</v>
      </c>
      <c r="O187" s="10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1" t="str">
        <f>HYPERLINK("#A1", "▲ Back to top")</f>
        <v>▲ Back to top</v>
      </c>
    </row>
  </sheetData>
  <dataValidations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288"/>
  <sheetViews>
    <sheetView showGridLines="0" zoomScaleNormal="100" workbookViewId="0">
      <selection activeCell="J19" sqref="J1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124</v>
      </c>
      <c r="G5" s="6" t="s">
        <v>125</v>
      </c>
      <c r="J5" s="6" t="s">
        <v>115</v>
      </c>
      <c r="L5" s="6" t="s">
        <v>251</v>
      </c>
      <c r="M5" s="1"/>
    </row>
    <row r="6" spans="1:21" ht="20.100000000000001" customHeight="1" x14ac:dyDescent="0.25">
      <c r="L6" s="1" t="s">
        <v>252</v>
      </c>
      <c r="M6" s="1"/>
    </row>
    <row r="7" spans="1:21" ht="20.100000000000001" customHeight="1" x14ac:dyDescent="0.25">
      <c r="D7" s="95" t="s">
        <v>64</v>
      </c>
      <c r="E7" s="38" t="s">
        <v>75</v>
      </c>
      <c r="G7" s="38" t="s">
        <v>114</v>
      </c>
      <c r="J7" s="38" t="s">
        <v>112</v>
      </c>
      <c r="L7" s="38" t="s">
        <v>253</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116</v>
      </c>
      <c r="L8" s="38" t="s">
        <v>127</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117</v>
      </c>
      <c r="L9" s="38" t="s">
        <v>144</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118</v>
      </c>
      <c r="L10" s="38" t="s">
        <v>145</v>
      </c>
      <c r="M10" s="1"/>
    </row>
    <row r="11" spans="1:21" ht="20.100000000000001" customHeight="1" x14ac:dyDescent="0.25">
      <c r="D11" s="38" t="str">
        <f>'Constants - Common Livestock'!$E$15</f>
        <v>Solid storage</v>
      </c>
      <c r="E11" s="38" t="str">
        <f>'Constants - Common Livestock'!$F$15</f>
        <v>Solid storage (m=4)</v>
      </c>
      <c r="J11" s="1" t="s">
        <v>119</v>
      </c>
      <c r="L11" s="38" t="s">
        <v>146</v>
      </c>
      <c r="M11" s="1"/>
    </row>
    <row r="12" spans="1:21" ht="20.100000000000001" customHeight="1" x14ac:dyDescent="0.25">
      <c r="J12" s="1" t="s">
        <v>120</v>
      </c>
      <c r="L12" s="38" t="s">
        <v>147</v>
      </c>
      <c r="M12" s="1"/>
    </row>
    <row r="13" spans="1:21" ht="20.100000000000001" customHeight="1" x14ac:dyDescent="0.25">
      <c r="A13" s="18" t="s">
        <v>71</v>
      </c>
      <c r="M13" s="1"/>
    </row>
    <row r="14" spans="1:21" ht="20.100000000000001" customHeight="1" x14ac:dyDescent="0.25">
      <c r="A14" s="17" t="str">
        <f>HYPERLINK("#'3.3.1.1-2 Enteric Methane'!A1", "3.3.1.1-2 Enteric Methane")</f>
        <v>3.3.1.1-2 Enteric Methane</v>
      </c>
      <c r="M14" s="1"/>
    </row>
    <row r="15" spans="1:21" ht="20.100000000000001" customHeight="1" x14ac:dyDescent="0.25">
      <c r="M15" s="1"/>
    </row>
    <row r="16" spans="1:21" ht="20.100000000000001" customHeight="1" x14ac:dyDescent="0.25">
      <c r="D16" s="6" t="str" cm="1">
        <f t="array" ref="D16">SourceData_Dairy.SourceData_Dairy_LiveweightCowsAndHeifers_Title()</f>
        <v>Table A.1.3.1: Dairy cattle - Liveweight (kg) - Cows and Heifers (Wj)</v>
      </c>
      <c r="M16" s="1"/>
    </row>
    <row r="17" spans="1:13" ht="20.100000000000001" customHeight="1" x14ac:dyDescent="0.25">
      <c r="A17" s="129" t="s">
        <v>1</v>
      </c>
      <c r="D17" s="5" t="str" cm="1">
        <f t="array" ref="D17">SourceData_Dairy.SourceData_Dairy_LiveweightCowsAndHeifers_Source()</f>
        <v>VEERG 2026: Table A.1.3.1</v>
      </c>
      <c r="M17" s="1"/>
    </row>
    <row r="18" spans="1:13" ht="20.100000000000001" customHeight="1" x14ac:dyDescent="0.25">
      <c r="A18" s="66" t="str">
        <f>HYPERLINK("#'Constants - Dairy'!A1", "Constants - Dairy")</f>
        <v>Constants - Dairy</v>
      </c>
      <c r="D18" s="1" t="str" cm="1">
        <f t="array" ref="D18">SourceData_Dairy.SourceData_Dairy_LiveweightCowsAndHeifers_Variable()</f>
        <v>Wj</v>
      </c>
      <c r="M18" s="1"/>
    </row>
    <row r="19" spans="1:13" ht="20.100000000000001" customHeight="1" x14ac:dyDescent="0.25">
      <c r="A19" s="17" t="str">
        <f>HYPERLINK("#'Constants - Common'!A1", "Constants - Common")</f>
        <v>Constants - Common</v>
      </c>
      <c r="D19" s="54" t="str" cm="1">
        <f t="array" ref="D19">SourceData_Dairy.SourceData_Dairy_LiveweightCowsAndHeifers_Unit()</f>
        <v>kg</v>
      </c>
      <c r="M19" s="1"/>
    </row>
    <row r="20" spans="1:13" ht="20.100000000000001"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HYPERLINK("#'Acknowledgements'!A1", "Acknowledgements")</f>
        <v>Acknowledgements</v>
      </c>
      <c r="D21" s="38" t="s">
        <v>126</v>
      </c>
      <c r="E21" s="38" t="s">
        <v>127</v>
      </c>
      <c r="F21" s="38" t="s">
        <v>128</v>
      </c>
      <c r="G21" s="38" t="s">
        <v>129</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4" t="str" cm="1">
        <f t="array" ref="D37">SourceData_Dairy.SourceData_Dairy_LiveweightBulls_Unit()</f>
        <v>kg</v>
      </c>
      <c r="M37" s="1"/>
    </row>
    <row r="38" spans="4:13" ht="20.100000000000001" customHeight="1" x14ac:dyDescent="0.25">
      <c r="D38" s="38" t="s">
        <v>126</v>
      </c>
      <c r="E38" s="38" t="s">
        <v>131</v>
      </c>
      <c r="F38" s="38" t="s">
        <v>130</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4" t="str" cm="1">
        <f t="array" ref="D45">SourceData_Dairy.SourceData_Dairy_LiveweightGain_Unit()</f>
        <v>kg</v>
      </c>
      <c r="M45" s="1"/>
    </row>
    <row r="46" spans="4:13" ht="20.100000000000001" customHeight="1" x14ac:dyDescent="0.25">
      <c r="D46" s="38" t="s">
        <v>127</v>
      </c>
      <c r="E46" s="38" t="s">
        <v>128</v>
      </c>
      <c r="F46" s="38" t="s">
        <v>129</v>
      </c>
      <c r="G46" s="38" t="s">
        <v>131</v>
      </c>
      <c r="H46" s="38" t="s">
        <v>130</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4" t="str" cm="1">
        <f t="array" ref="D53">SourceData_Dairy.SourceData_Dairy_ReferenceWeights_Unit()</f>
        <v>kg</v>
      </c>
      <c r="M53" s="1"/>
    </row>
    <row r="54" spans="4:13" ht="20.100000000000001" customHeight="1" x14ac:dyDescent="0.25">
      <c r="D54" s="112" t="s">
        <v>127</v>
      </c>
      <c r="E54" s="112" t="s">
        <v>128</v>
      </c>
      <c r="F54" s="112" t="s">
        <v>129</v>
      </c>
      <c r="G54" s="112" t="s">
        <v>131</v>
      </c>
      <c r="H54" s="112" t="s">
        <v>130</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4" t="str" cm="1">
        <f t="array" ref="D61">SourceData_Dairy.SourceData_Dairy_PreWeanedCalves_Unit()</f>
        <v>kg/day</v>
      </c>
      <c r="M61" s="1"/>
    </row>
    <row r="62" spans="4:13" ht="20.100000000000001" customHeight="1" x14ac:dyDescent="0.25">
      <c r="D62" s="38" t="s">
        <v>132</v>
      </c>
      <c r="E62" s="38" t="s">
        <v>133</v>
      </c>
      <c r="F62" s="38" t="s">
        <v>134</v>
      </c>
      <c r="G62" s="38" t="s">
        <v>135</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4" t="str" cm="1">
        <f t="array" ref="D70">SourceData_Dairy.SourceData_Dairy_MCF_Unit()</f>
        <v>fraction</v>
      </c>
      <c r="M70" s="1"/>
    </row>
    <row r="71" spans="4:22" ht="20.100000000000001" customHeight="1" x14ac:dyDescent="0.25">
      <c r="D71" s="55" t="str" cm="1">
        <f t="array" ref="D71">SourceData_Dairy.SourceData_Dairy_MCF_Variation()</f>
        <v>VARIATION OF SOURCE: Added 'NIR reference' column to aid lookup</v>
      </c>
      <c r="M71" s="1"/>
      <c r="V71" s="1"/>
    </row>
    <row r="72" spans="4:22" ht="20.100000000000001" customHeight="1" x14ac:dyDescent="0.25">
      <c r="D72" s="38" t="s">
        <v>93</v>
      </c>
      <c r="E72" s="38" t="s">
        <v>76</v>
      </c>
      <c r="F72" s="38" t="s">
        <v>77</v>
      </c>
      <c r="G72" s="38" t="s">
        <v>78</v>
      </c>
      <c r="H72" s="38" t="s">
        <v>79</v>
      </c>
      <c r="I72" s="38" t="s">
        <v>80</v>
      </c>
      <c r="J72" s="38" t="s">
        <v>81</v>
      </c>
      <c r="K72" s="38" t="s">
        <v>82</v>
      </c>
      <c r="L72" s="38" t="s">
        <v>83</v>
      </c>
      <c r="M72" s="38" t="s">
        <v>143</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4" t="str" cm="1">
        <f t="array" ref="D84">SourceData_Dairy.SourceData_Dairy_NitrousOxideEFsAndFracGASM_Unit()</f>
        <v>kg N2O-N/kg N excreted</v>
      </c>
      <c r="M84" s="1"/>
    </row>
    <row r="85" spans="4:22" ht="20.100000000000001" customHeight="1" x14ac:dyDescent="0.25">
      <c r="D85" s="55" t="str" cm="1">
        <f t="array" ref="D85">SourceData_Dairy.SourceData_Dairy_NitrousOxideEFsAndFracGASM_Variation()</f>
        <v>VARIATION OF SOURCE: Added 'NIR reference' column to aid lookup</v>
      </c>
      <c r="M85" s="1"/>
      <c r="V85" s="1"/>
    </row>
    <row r="86" spans="4:22" ht="20.100000000000001" customHeight="1" x14ac:dyDescent="0.25">
      <c r="D86" s="38" t="s">
        <v>93</v>
      </c>
      <c r="E86" s="38" t="s">
        <v>136</v>
      </c>
      <c r="F86" s="38" t="s">
        <v>137</v>
      </c>
      <c r="G86" s="38" t="s">
        <v>143</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4" t="str" cm="1">
        <f t="array" ref="D97">SourceData_Dairy.SourceData_Dairy_MethaneProductionPreWeanedCalves_Unit()</f>
        <v>kg CH4/head/day</v>
      </c>
      <c r="M97" s="1"/>
    </row>
    <row r="98" spans="4:13" ht="20.100000000000001" customHeight="1" x14ac:dyDescent="0.25">
      <c r="D98" s="38" t="s">
        <v>132</v>
      </c>
      <c r="E98" s="38" t="s">
        <v>138</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4" t="str" cm="1">
        <f t="array" ref="D106">SourceData_Dairy.SourceData_Dairy_IncreasedMetabolicRateMilk_Unit()</f>
        <v/>
      </c>
      <c r="M106" s="1"/>
    </row>
    <row r="107" spans="4:13" ht="20.100000000000001" customHeight="1" x14ac:dyDescent="0.25">
      <c r="D107" s="38" t="s">
        <v>132</v>
      </c>
      <c r="E107" s="38" t="s">
        <v>139</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4" t="str" cm="1">
        <f t="array" ref="D115">SourceData_Dairy.SourceData_Dairy_FractionVolatileSolidsVoidedMMS_Unit()</f>
        <v>fraction</v>
      </c>
      <c r="M115" s="1"/>
      <c r="V115" s="1"/>
    </row>
    <row r="116" spans="4:22" ht="20.100000000000001" customHeight="1" x14ac:dyDescent="0.25">
      <c r="D116" s="38" t="s">
        <v>140</v>
      </c>
      <c r="E116" s="38" t="s">
        <v>113</v>
      </c>
      <c r="F116" s="38" t="s">
        <v>141</v>
      </c>
      <c r="G116" s="38" t="s">
        <v>142</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4" t="str" cm="1">
        <f t="array" ref="D126">SourceData_Dairy.SourceData_Dairy_EFNitrousOxidePerMMS_Unit()</f>
        <v>kg N2O-N/kg N</v>
      </c>
      <c r="M126" s="1"/>
      <c r="V126" s="1"/>
    </row>
    <row r="127" spans="4:22" ht="20.100000000000001" customHeight="1" x14ac:dyDescent="0.25">
      <c r="D127" s="55" t="str" cm="1">
        <f t="array" ref="D127">SourceData_Dairy.SourceData_Dairy_EFNitrousOxidePerMMS_Variation()</f>
        <v>VARIATION OF SOURCE: Added 'NIR reference' column to aid lookup</v>
      </c>
      <c r="M127" s="1"/>
      <c r="V127" s="1"/>
    </row>
    <row r="128" spans="4:22" ht="20.100000000000001" customHeight="1" x14ac:dyDescent="0.25">
      <c r="D128" s="38" t="s">
        <v>93</v>
      </c>
      <c r="E128" s="38" t="s">
        <v>136</v>
      </c>
      <c r="F128" s="38" t="s">
        <v>143</v>
      </c>
      <c r="G128" s="104" t="s">
        <v>155</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4" t="str" cm="1">
        <f t="array" ref="D139">SourceData_Dairy.SourceData_Dairy_DurationOfStay_Unit()</f>
        <v>days</v>
      </c>
      <c r="M139" s="23"/>
    </row>
    <row r="140" spans="4:22" ht="20.100000000000001" customHeight="1" x14ac:dyDescent="0.25">
      <c r="D140" s="55"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132</v>
      </c>
      <c r="E141" s="38" t="s">
        <v>153</v>
      </c>
      <c r="F141" s="38" t="s">
        <v>154</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4" t="str" cm="1">
        <f t="array" ref="D152">SourceData_Dairy.SourceData_Dairy_CrudeProtein_Unit()</f>
        <v>fraction</v>
      </c>
      <c r="M152" s="23"/>
    </row>
    <row r="153" spans="4:13" ht="20.100000000000001" customHeight="1" x14ac:dyDescent="0.25">
      <c r="D153" s="53"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4" t="str" cm="1">
        <f t="array" ref="D159">SourceData_Dairy.SourceData_Dairy_DryMatterDigestibility_Unit()</f>
        <v>fraction</v>
      </c>
      <c r="M159" s="23"/>
    </row>
    <row r="160" spans="4:13" ht="20.100000000000001" customHeight="1" x14ac:dyDescent="0.25">
      <c r="D160" s="53"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4" t="str" cm="1">
        <f t="array" ref="D166">SourceData_Dairy.SourceData_Dairy_NetEnergy_Unit()</f>
        <v>MJ net energy / kg milk</v>
      </c>
      <c r="M166" s="23"/>
    </row>
    <row r="167" spans="1:13" x14ac:dyDescent="0.25">
      <c r="D167" s="53"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4" t="str" cm="1">
        <f t="array" ref="D173">SourceData_Dairy.SourceData_Dairy_GrossEnergyContent_Unit()</f>
        <v>MJ / kgDM</v>
      </c>
      <c r="M173" s="23"/>
    </row>
    <row r="174" spans="1:13" x14ac:dyDescent="0.25">
      <c r="A174" s="121" t="str">
        <f>HYPERLINK("#A1", "▲ Back to top")</f>
        <v>▲ Back to top</v>
      </c>
      <c r="D174" s="53"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4" t="str" cm="1">
        <f t="array" ref="D180">SourceData_Dairy.SourceData_Dairy_EfficiencyOfUseOfMetabolizableEnergy_Unit()</f>
        <v>fraction</v>
      </c>
      <c r="M180" s="23"/>
    </row>
    <row r="181" spans="4:13" x14ac:dyDescent="0.25">
      <c r="D181" s="53"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4" t="str" cm="1">
        <f t="array" ref="D187">SourceData_Dairy.SourceData_Dairy_AshContent_Unit()</f>
        <v>fraction</v>
      </c>
      <c r="M187" s="23"/>
    </row>
    <row r="188" spans="4:13" x14ac:dyDescent="0.25">
      <c r="D188" s="53"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4" t="str" cm="1">
        <f t="array" ref="D194">SourceData_Dairy.SourceData_Dairy_MethaneEmissionsPotential_Unit()</f>
        <v>m3 CH4/kgVS</v>
      </c>
      <c r="M194" s="23"/>
    </row>
    <row r="195" spans="4:13" x14ac:dyDescent="0.25">
      <c r="D195" s="53"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4" t="str" cm="1">
        <f t="array" ref="D201">SourceData_Dairy.SourceData_Dairy_EmissionFactorForLeachingAndRunoff_Unit()</f>
        <v>kg N2O-N/kg N</v>
      </c>
      <c r="M201" s="23"/>
    </row>
    <row r="202" spans="4:13" x14ac:dyDescent="0.25">
      <c r="D202" s="53"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4" t="str" cm="1">
        <f t="array" ref="D208">SourceData_Dairy.SourceData_Dairy_FractionOfNitrogenLostThroughLeachingAndRunoff_Unit()</f>
        <v>Fraction</v>
      </c>
      <c r="M208" s="23"/>
    </row>
    <row r="209" spans="1:13" x14ac:dyDescent="0.25">
      <c r="D209" s="53"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SourceData_Dairy.SourceData_Dairy_FracGASMSoil_Title()</f>
        <v>Fraction of nitrogen volatilized from urine and faeces deposited on pasture</v>
      </c>
      <c r="M211" s="23"/>
    </row>
    <row r="212" spans="1:13" x14ac:dyDescent="0.25">
      <c r="D212" s="5" t="str" cm="1">
        <f t="array" ref="D212">SourceData_Dairy.SourceData_Dairy_FracGASMSoil_Source()</f>
        <v>VEERG 2026: 4.3.2.3 CONSTANTS</v>
      </c>
      <c r="M212" s="23"/>
    </row>
    <row r="213" spans="1:13" x14ac:dyDescent="0.25">
      <c r="D213" s="1" t="str" cm="1">
        <f t="array" ref="D213">SourceData_Dairy.SourceData_Dairy_FracGASMSoil_Variable()</f>
        <v>FracGASMsoil</v>
      </c>
      <c r="M213" s="23"/>
    </row>
    <row r="214" spans="1:13" x14ac:dyDescent="0.25">
      <c r="D214" s="54" t="str" cm="1">
        <f t="array" ref="D214">SourceData_Dairy.SourceData_Dairy_FracGASMSoil_Unit()</f>
        <v>(kg NH3-N + NOx-N)/kg N</v>
      </c>
      <c r="M214" s="23"/>
    </row>
    <row r="215" spans="1:13" x14ac:dyDescent="0.25">
      <c r="A215" s="121" t="str">
        <f>HYPERLINK("#A1", "▲ Back to top")</f>
        <v>▲ Back to top</v>
      </c>
      <c r="D215" s="53" cm="1">
        <f t="array" ref="D215">SourceData_Dairy.SourceData_Dairy_FracGASMSoil_Data()</f>
        <v>0.21</v>
      </c>
      <c r="M215" s="23"/>
    </row>
    <row r="216" spans="1:13" x14ac:dyDescent="0.25">
      <c r="M216" s="23"/>
    </row>
    <row r="217" spans="1:13" ht="23.25" x14ac:dyDescent="0.25">
      <c r="D217" s="6" t="str" cm="1">
        <f t="array" ref="D217">SourceData_Dairy.SourceData_Dairy_FatContentInMilk_Title()</f>
        <v>Fat content in fat and protein corrected milk</v>
      </c>
      <c r="M217" s="23"/>
    </row>
    <row r="218" spans="1:13" x14ac:dyDescent="0.25">
      <c r="D218" s="5" t="str" cm="1">
        <f t="array" ref="D218">SourceData_Dairy.SourceData_Dairy_FatContentInMilk_Source()</f>
        <v>VEERG 2026: 3.3.2.2 DATA (METHOD 1 AND 2 OPTIONS)</v>
      </c>
      <c r="M218" s="23"/>
    </row>
    <row r="219" spans="1:13" x14ac:dyDescent="0.25">
      <c r="D219" s="1" t="str" cm="1">
        <f t="array" ref="D219">SourceData_Dairy.SourceData_Dairy_FatContentInMilk_Variable()</f>
        <v>FC_j</v>
      </c>
      <c r="M219" s="23"/>
    </row>
    <row r="220" spans="1:13" x14ac:dyDescent="0.25">
      <c r="D220" s="54" t="str" cm="1">
        <f t="array" ref="D220">SourceData_Dairy.SourceData_Dairy_FatContentInMilk_Unit()</f>
        <v>percent</v>
      </c>
      <c r="M220" s="23"/>
    </row>
    <row r="221" spans="1:13" x14ac:dyDescent="0.25">
      <c r="D221" s="53" cm="1">
        <f t="array" ref="D221">SourceData_Dairy.SourceData_Dairy_FatContentInMilk_Data()</f>
        <v>4</v>
      </c>
      <c r="M221" s="23"/>
    </row>
    <row r="222" spans="1:13" x14ac:dyDescent="0.25">
      <c r="M222" s="23"/>
    </row>
    <row r="223" spans="1:13" ht="23.25" x14ac:dyDescent="0.25">
      <c r="D223" s="6" t="str" cm="1">
        <f t="array" ref="D223">SourceData_Dairy.SourceData_Dairy_ProteinContentInMilk_Title()</f>
        <v>Protein content in fat and protein corrected milk</v>
      </c>
      <c r="M223" s="23"/>
    </row>
    <row r="224" spans="1:13" x14ac:dyDescent="0.25">
      <c r="D224" s="5" t="str" cm="1">
        <f t="array" ref="D224">SourceData_Dairy.SourceData_Dairy_ProteinContentInMilk_Source()</f>
        <v>VEERG 2026: 3.3.2.2 DATA (METHOD 1 AND 2 OPTIONS)</v>
      </c>
      <c r="M224" s="23"/>
    </row>
    <row r="225" spans="4:13" x14ac:dyDescent="0.25">
      <c r="D225" s="1" t="str" cm="1">
        <f t="array" ref="D225">SourceData_Dairy.SourceData_Dairy_ProteinContentInMilk_Variable()</f>
        <v>PC_j</v>
      </c>
      <c r="M225" s="23"/>
    </row>
    <row r="226" spans="4:13" x14ac:dyDescent="0.25">
      <c r="D226" s="54" t="str" cm="1">
        <f t="array" ref="D226">SourceData_Dairy.SourceData_Dairy_ProteinContentInMilk_Unit()</f>
        <v>percent</v>
      </c>
      <c r="M226" s="23"/>
    </row>
    <row r="227" spans="4:13" x14ac:dyDescent="0.25">
      <c r="D227" s="53" cm="1">
        <f t="array" ref="D227">SourceData_Dairy.SourceData_Dairy_ProteinContentInMilk_Data()</f>
        <v>3.3</v>
      </c>
      <c r="M227" s="23"/>
    </row>
    <row r="228" spans="4:13" x14ac:dyDescent="0.25">
      <c r="M228" s="23"/>
    </row>
    <row r="229" spans="4:13" x14ac:dyDescent="0.25">
      <c r="M229" s="23"/>
    </row>
    <row r="230" spans="4:13" x14ac:dyDescent="0.25">
      <c r="M230" s="23"/>
    </row>
    <row r="231" spans="4:13" x14ac:dyDescent="0.25">
      <c r="M231" s="23"/>
    </row>
    <row r="232" spans="4:13" x14ac:dyDescent="0.25">
      <c r="M232" s="23"/>
    </row>
    <row r="233" spans="4:13" x14ac:dyDescent="0.25">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CBE70-EC66-4C85-BF2A-6BFEB214FDD7}">
  <sheetPr>
    <tabColor theme="2" tint="-0.499984740745262"/>
  </sheetPr>
  <dimension ref="A1:BY297"/>
  <sheetViews>
    <sheetView showGridLines="0"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29" t="s">
        <v>1</v>
      </c>
      <c r="D6" s="38" t="s">
        <v>18</v>
      </c>
      <c r="E6" s="38" t="s">
        <v>19</v>
      </c>
      <c r="F6" s="38" t="s">
        <v>20</v>
      </c>
    </row>
    <row r="7" spans="1:65" ht="20.100000000000001" customHeight="1" x14ac:dyDescent="0.25">
      <c r="A7" s="66" t="str">
        <f>HYPERLINK("#'Constants - Common'!A1", "Constants - Common")</f>
        <v>Constants - Common</v>
      </c>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8" t="s">
        <v>21</v>
      </c>
    </row>
    <row r="21" spans="1:4" ht="20.100000000000001" customHeight="1" x14ac:dyDescent="0.25">
      <c r="A21"/>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24</v>
      </c>
      <c r="E36" s="38" t="s">
        <v>25</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24</v>
      </c>
      <c r="E47" s="38" t="s">
        <v>27</v>
      </c>
      <c r="F47" s="38" t="s">
        <v>28</v>
      </c>
      <c r="G47" s="38" t="s">
        <v>29</v>
      </c>
      <c r="H47" s="38" t="s">
        <v>30</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5" t="str" cm="1">
        <f t="array" ref="D59:D61">"⚠️" &amp; Common_SourceData.Common_SourceData_WetAndDryZones_Variation()</f>
        <v>⚠️VARIATION OF SOURCE DATA:</v>
      </c>
    </row>
    <row r="60" spans="1:8" ht="20.100000000000001" customHeight="1" x14ac:dyDescent="0.25">
      <c r="A60"/>
      <c r="D60" s="55" t="str">
        <v>⚠️Added warm / cool temperate moist / dry - low frost and high temp classes to accommodate climate scenarios excluded by VEERG criteria.</v>
      </c>
    </row>
    <row r="61" spans="1:8" ht="20.100000000000001" customHeight="1" x14ac:dyDescent="0.25">
      <c r="A61"/>
      <c r="D61" s="55" t="str">
        <v>⚠️Fixed typo - Changed 'Fry' to 'Dry'.</v>
      </c>
    </row>
    <row r="62" spans="1:8" ht="20.100000000000001" customHeight="1" x14ac:dyDescent="0.25">
      <c r="A62"/>
    </row>
    <row r="63" spans="1:8" ht="20.100000000000001" customHeight="1" x14ac:dyDescent="0.25">
      <c r="A63"/>
      <c r="D63" s="38" t="s">
        <v>7</v>
      </c>
      <c r="E63" s="38" t="s">
        <v>45</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5" t="str" cm="1">
        <f t="array" ref="D83:D87">"⚠️" &amp; Common_SourceData.Common_SourceData_ClimateZones_Variation()</f>
        <v>⚠️VARIATION OF SOURCE DATA:</v>
      </c>
    </row>
    <row r="84" spans="1:20" ht="20.100000000000001" customHeight="1" x14ac:dyDescent="0.25">
      <c r="A84"/>
      <c r="D84" s="55" t="str">
        <v>⚠️Added warm / cool temperate moist / dry - low frost and high temp classes to accommodate climate scenarios excluded by VEERG criteria.</v>
      </c>
    </row>
    <row r="85" spans="1:20" ht="20.100000000000001" customHeight="1" x14ac:dyDescent="0.25">
      <c r="A85"/>
      <c r="D85" s="55" t="str">
        <v>⚠️Fixed typo in MAT value for warm temperate dry - changed 10 to 11.</v>
      </c>
    </row>
    <row r="86" spans="1:20" ht="20.100000000000001" customHeight="1" x14ac:dyDescent="0.25">
      <c r="A86"/>
      <c r="D86" s="55" t="str">
        <v>⚠️Added min and max columns for MAT, MAP, frost days per year, elevation, MAP:PET to calculate zones from real climate data.</v>
      </c>
    </row>
    <row r="87" spans="1:20" ht="20.100000000000001" customHeight="1" x14ac:dyDescent="0.25">
      <c r="A87"/>
      <c r="D87" s="55" t="str">
        <v>⚠️GAF accepts rainfall as a proxy for precipitation.</v>
      </c>
    </row>
    <row r="88" spans="1:20" ht="20.100000000000001" customHeight="1" x14ac:dyDescent="0.25">
      <c r="A88"/>
    </row>
    <row r="89" spans="1:20" ht="20.100000000000001" customHeight="1" x14ac:dyDescent="0.25">
      <c r="A89"/>
      <c r="D89" s="38" t="s">
        <v>7</v>
      </c>
      <c r="E89" s="38" t="s">
        <v>33</v>
      </c>
      <c r="F89" s="38" t="s">
        <v>34</v>
      </c>
      <c r="G89" s="38" t="s">
        <v>35</v>
      </c>
      <c r="H89" s="38" t="s">
        <v>36</v>
      </c>
      <c r="I89" s="38" t="s">
        <v>37</v>
      </c>
      <c r="J89" s="38" t="s">
        <v>38</v>
      </c>
      <c r="K89" s="38" t="s">
        <v>39</v>
      </c>
      <c r="L89" s="38" t="s">
        <v>40</v>
      </c>
      <c r="M89" s="38" t="s">
        <v>41</v>
      </c>
      <c r="N89" s="38" t="s">
        <v>42</v>
      </c>
      <c r="O89" s="38" t="s">
        <v>46</v>
      </c>
      <c r="P89" s="38" t="s">
        <v>43</v>
      </c>
      <c r="Q89" s="38" t="s">
        <v>47</v>
      </c>
      <c r="R89" s="38" t="s">
        <v>44</v>
      </c>
      <c r="S89" s="38" t="s">
        <v>48</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4" t="str" cm="1">
        <f t="array" ref="D99:D102">Common_SourceData.Common_SourceData_ClimateZones_Appendices()</f>
        <v>Note:</v>
      </c>
    </row>
    <row r="100" spans="1:20" ht="20.100000000000001" customHeight="1" x14ac:dyDescent="0.25">
      <c r="A100"/>
      <c r="D100" s="54" t="str">
        <v>MAT = mean annual temperature</v>
      </c>
    </row>
    <row r="101" spans="1:20" ht="20.100000000000001" customHeight="1" x14ac:dyDescent="0.25">
      <c r="A101"/>
      <c r="D101" s="54" t="str">
        <v>MAP = mean annual precipitation</v>
      </c>
    </row>
    <row r="102" spans="1:20" ht="20.100000000000001" customHeight="1" x14ac:dyDescent="0.25">
      <c r="A102"/>
      <c r="D102" s="54" t="str">
        <v>PET = potential evapotranspiration</v>
      </c>
    </row>
    <row r="103" spans="1:20" ht="20.100000000000001" customHeight="1" x14ac:dyDescent="0.25">
      <c r="A103"/>
      <c r="D103" s="54"/>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52</v>
      </c>
      <c r="E109" s="38" t="s">
        <v>33</v>
      </c>
      <c r="F109" s="38" t="s">
        <v>53</v>
      </c>
      <c r="G109" s="38" t="s">
        <v>54</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55</v>
      </c>
      <c r="E119" s="38" t="s">
        <v>56</v>
      </c>
      <c r="F119" s="38" t="s">
        <v>40</v>
      </c>
      <c r="G119" s="38" t="s">
        <v>41</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62</v>
      </c>
      <c r="E127" s="38" t="s">
        <v>63</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87</v>
      </c>
      <c r="E134" t="s">
        <v>88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189</v>
      </c>
      <c r="E142" s="38" t="s">
        <v>88</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65</v>
      </c>
      <c r="E153" s="38" t="s">
        <v>66</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8" t="s">
        <v>109</v>
      </c>
      <c r="E186" s="38" t="s">
        <v>110</v>
      </c>
      <c r="F186" s="38" t="s">
        <v>111</v>
      </c>
      <c r="G186" s="38" t="s">
        <v>112</v>
      </c>
      <c r="H186" s="38" t="s">
        <v>32</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8" t="s">
        <v>7</v>
      </c>
      <c r="E206" s="38" t="s">
        <v>191</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196</v>
      </c>
      <c r="E212" s="38" t="s">
        <v>197</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49</v>
      </c>
      <c r="E231" s="38" t="s">
        <v>198</v>
      </c>
      <c r="F231" s="37" t="s">
        <v>199</v>
      </c>
      <c r="G231" s="38" t="s">
        <v>200</v>
      </c>
      <c r="H231" s="38" t="s">
        <v>201</v>
      </c>
      <c r="I231" s="38" t="s">
        <v>202</v>
      </c>
      <c r="J231" s="38" t="s">
        <v>203</v>
      </c>
      <c r="K231" s="38" t="s">
        <v>204</v>
      </c>
      <c r="L231" s="38" t="s">
        <v>205</v>
      </c>
      <c r="M231" s="38" t="s">
        <v>206</v>
      </c>
      <c r="N231" s="38" t="s">
        <v>207</v>
      </c>
      <c r="O231" s="38" t="s">
        <v>208</v>
      </c>
      <c r="P231" s="38" t="s">
        <v>209</v>
      </c>
      <c r="Q231" s="38" t="s">
        <v>210</v>
      </c>
      <c r="R231" s="38" t="s">
        <v>211</v>
      </c>
      <c r="S231" s="38" t="s">
        <v>212</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6" x14ac:dyDescent="0.25">
      <c r="D257" s="38" t="s">
        <v>249</v>
      </c>
      <c r="E257" s="38" t="s">
        <v>250</v>
      </c>
    </row>
    <row r="258" spans="4:6"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255</v>
      </c>
    </row>
    <row r="264" spans="4:6" x14ac:dyDescent="0.25">
      <c r="D264" s="1" t="s">
        <v>256</v>
      </c>
    </row>
    <row r="265" spans="4:6" x14ac:dyDescent="0.25">
      <c r="D265" s="38" t="s">
        <v>257</v>
      </c>
      <c r="E265" s="38" t="s">
        <v>258</v>
      </c>
      <c r="F265" s="38" t="s">
        <v>259</v>
      </c>
    </row>
    <row r="266" spans="4:6" x14ac:dyDescent="0.25">
      <c r="D266" s="38" t="s">
        <v>260</v>
      </c>
      <c r="E266" s="38" t="s">
        <v>261</v>
      </c>
      <c r="F266" s="38">
        <v>5</v>
      </c>
    </row>
    <row r="267" spans="4:6" x14ac:dyDescent="0.25">
      <c r="D267" s="38" t="s">
        <v>262</v>
      </c>
      <c r="E267" s="38" t="s">
        <v>263</v>
      </c>
      <c r="F267" s="38">
        <v>4</v>
      </c>
    </row>
    <row r="268" spans="4:6" x14ac:dyDescent="0.25">
      <c r="D268" s="38" t="s">
        <v>264</v>
      </c>
      <c r="E268" s="38" t="s">
        <v>265</v>
      </c>
      <c r="F268" s="38">
        <v>3</v>
      </c>
    </row>
    <row r="269" spans="4:6" x14ac:dyDescent="0.25">
      <c r="D269" s="38" t="s">
        <v>266</v>
      </c>
      <c r="E269" s="38" t="s">
        <v>267</v>
      </c>
      <c r="F269" s="38">
        <v>2</v>
      </c>
    </row>
    <row r="270" spans="4:6" x14ac:dyDescent="0.25">
      <c r="D270" s="38" t="s">
        <v>268</v>
      </c>
      <c r="E270" s="38" t="s">
        <v>269</v>
      </c>
      <c r="F270" s="38">
        <v>1</v>
      </c>
    </row>
    <row r="273" spans="4:6" x14ac:dyDescent="0.25">
      <c r="D273" s="1" t="s">
        <v>270</v>
      </c>
    </row>
    <row r="274" spans="4:6" x14ac:dyDescent="0.25">
      <c r="D274" s="38" t="s">
        <v>257</v>
      </c>
      <c r="E274" s="38" t="s">
        <v>258</v>
      </c>
      <c r="F274" s="38" t="s">
        <v>259</v>
      </c>
    </row>
    <row r="275" spans="4:6" x14ac:dyDescent="0.25">
      <c r="D275" s="38" t="s">
        <v>271</v>
      </c>
      <c r="E275" s="38" t="s">
        <v>272</v>
      </c>
      <c r="F275" s="38">
        <v>5</v>
      </c>
    </row>
    <row r="276" spans="4:6" x14ac:dyDescent="0.25">
      <c r="D276" s="38" t="s">
        <v>273</v>
      </c>
      <c r="E276" s="38" t="s">
        <v>274</v>
      </c>
      <c r="F276" s="38">
        <v>4</v>
      </c>
    </row>
    <row r="277" spans="4:6" x14ac:dyDescent="0.25">
      <c r="D277" s="38" t="s">
        <v>275</v>
      </c>
      <c r="E277" s="38" t="s">
        <v>276</v>
      </c>
      <c r="F277" s="38">
        <v>3</v>
      </c>
    </row>
    <row r="278" spans="4:6" x14ac:dyDescent="0.25">
      <c r="D278" s="38" t="s">
        <v>277</v>
      </c>
      <c r="E278" s="38" t="s">
        <v>278</v>
      </c>
      <c r="F278" s="38">
        <v>2</v>
      </c>
    </row>
    <row r="279" spans="4:6" x14ac:dyDescent="0.25">
      <c r="D279" s="38" t="s">
        <v>279</v>
      </c>
      <c r="E279" s="38" t="s">
        <v>280</v>
      </c>
      <c r="F279" s="38">
        <v>1</v>
      </c>
    </row>
    <row r="282" spans="4:6" x14ac:dyDescent="0.25">
      <c r="D282" s="1" t="s">
        <v>281</v>
      </c>
    </row>
    <row r="283" spans="4:6" x14ac:dyDescent="0.25">
      <c r="D283" s="38" t="s">
        <v>257</v>
      </c>
      <c r="E283" s="38" t="s">
        <v>258</v>
      </c>
      <c r="F283" s="38" t="s">
        <v>259</v>
      </c>
    </row>
    <row r="284" spans="4:6" x14ac:dyDescent="0.25">
      <c r="D284" s="38" t="s">
        <v>282</v>
      </c>
      <c r="E284" s="38" t="s">
        <v>283</v>
      </c>
      <c r="F284" s="38">
        <v>5</v>
      </c>
    </row>
    <row r="285" spans="4:6" x14ac:dyDescent="0.25">
      <c r="D285" s="38" t="s">
        <v>284</v>
      </c>
      <c r="E285" s="38" t="s">
        <v>285</v>
      </c>
      <c r="F285" s="38">
        <v>4</v>
      </c>
    </row>
    <row r="286" spans="4:6" x14ac:dyDescent="0.25">
      <c r="D286" s="38" t="s">
        <v>286</v>
      </c>
      <c r="E286" s="38" t="s">
        <v>287</v>
      </c>
      <c r="F286" s="38">
        <v>3</v>
      </c>
    </row>
    <row r="287" spans="4:6" x14ac:dyDescent="0.25">
      <c r="D287" s="38" t="s">
        <v>288</v>
      </c>
      <c r="E287" s="38" t="s">
        <v>289</v>
      </c>
      <c r="F287" s="38">
        <v>2</v>
      </c>
    </row>
    <row r="288" spans="4:6" x14ac:dyDescent="0.25">
      <c r="D288" s="38" t="s">
        <v>290</v>
      </c>
      <c r="E288" s="38" t="s">
        <v>291</v>
      </c>
      <c r="F288" s="38">
        <v>1</v>
      </c>
    </row>
    <row r="291" spans="4:6" x14ac:dyDescent="0.25">
      <c r="D291" s="1" t="s">
        <v>292</v>
      </c>
    </row>
    <row r="292" spans="4:6" x14ac:dyDescent="0.25">
      <c r="D292" s="38" t="s">
        <v>257</v>
      </c>
      <c r="E292" s="38" t="s">
        <v>258</v>
      </c>
      <c r="F292" s="38" t="s">
        <v>259</v>
      </c>
    </row>
    <row r="293" spans="4:6" x14ac:dyDescent="0.25">
      <c r="D293" s="38" t="s">
        <v>293</v>
      </c>
      <c r="E293" s="38" t="s">
        <v>294</v>
      </c>
      <c r="F293" s="38">
        <v>5</v>
      </c>
    </row>
    <row r="294" spans="4:6" x14ac:dyDescent="0.25">
      <c r="D294" s="38" t="s">
        <v>295</v>
      </c>
      <c r="E294" s="38" t="s">
        <v>296</v>
      </c>
      <c r="F294" s="38">
        <v>4</v>
      </c>
    </row>
    <row r="295" spans="4:6" x14ac:dyDescent="0.25">
      <c r="D295" s="38" t="s">
        <v>297</v>
      </c>
      <c r="E295" s="38" t="s">
        <v>298</v>
      </c>
      <c r="F295" s="38">
        <v>3</v>
      </c>
    </row>
    <row r="296" spans="4:6" x14ac:dyDescent="0.25">
      <c r="D296" s="38" t="s">
        <v>299</v>
      </c>
      <c r="E296" s="38" t="s">
        <v>300</v>
      </c>
      <c r="F296" s="38">
        <v>2</v>
      </c>
    </row>
    <row r="297" spans="4:6" x14ac:dyDescent="0.25">
      <c r="D297" s="38" t="s">
        <v>301</v>
      </c>
      <c r="E297" s="38" t="s">
        <v>302</v>
      </c>
      <c r="F297" s="38">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zoomScaleNormal="100" workbookViewId="0">
      <selection activeCell="A3" sqref="A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73</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G5" s="3"/>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74</v>
      </c>
      <c r="E9" s="38" t="s">
        <v>17</v>
      </c>
      <c r="F9" s="38" t="s">
        <v>75</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71</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29" t="s">
        <v>1</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1" sqref="A21"/>
    </sheetView>
  </sheetViews>
  <sheetFormatPr defaultRowHeight="15" x14ac:dyDescent="0.25"/>
  <sheetData>
    <row r="1" spans="1:1" x14ac:dyDescent="0.25">
      <c r="A1" t="s">
        <v>303</v>
      </c>
    </row>
    <row r="3" spans="1:1" ht="15.75" x14ac:dyDescent="0.25">
      <c r="A3" s="17" t="str">
        <f>HYPERLINK("#'Home'!A1", "Home")</f>
        <v>Home</v>
      </c>
    </row>
    <row r="6" spans="1:1" x14ac:dyDescent="0.25">
      <c r="A6" s="129" t="s">
        <v>1</v>
      </c>
    </row>
    <row r="7" spans="1:1" ht="15.75" x14ac:dyDescent="0.25">
      <c r="A7" s="17" t="str">
        <f>HYPERLINK("#'Constants - Common'!A1", "Constants - Common")</f>
        <v>Constants - Common</v>
      </c>
    </row>
    <row r="8" spans="1:1" ht="15.75" x14ac:dyDescent="0.25">
      <c r="A8"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Common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2026-08-28T03:21:07Z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