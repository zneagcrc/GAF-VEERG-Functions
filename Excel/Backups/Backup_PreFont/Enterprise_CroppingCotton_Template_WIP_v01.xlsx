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37CE8981-2BA5-4F6C-9348-49CEB96E176F}" xr6:coauthVersionLast="47" xr6:coauthVersionMax="47" xr10:uidLastSave="{00000000-0000-0000-0000-000000000000}"/>
  <bookViews>
    <workbookView xWindow="1110" yWindow="465" windowWidth="36330" windowHeight="19485" activeTab="7" xr2:uid="{992023F3-CAB7-4E5B-A348-08D563A0EF40}"/>
  </bookViews>
  <sheets>
    <sheet name="Home" sheetId="71" r:id="rId1"/>
    <sheet name="Results - Activity period" sheetId="13" r:id="rId2"/>
    <sheet name="Results - Product EI" sheetId="80" r:id="rId3"/>
    <sheet name="Input - Site" sheetId="75" r:id="rId4"/>
    <sheet name="Input - Enterprise" sheetId="72" r:id="rId5"/>
    <sheet name="Input - Crop" sheetId="81" r:id="rId6"/>
    <sheet name="Input - Fert Prod System" sheetId="76" r:id="rId7"/>
    <sheet name="Input - Data quality" sheetId="78" r:id="rId8"/>
    <sheet name="Constants - Common" sheetId="79" r:id="rId9"/>
  </sheets>
  <externalReferences>
    <externalReference r:id="rId10"/>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Result_CarbonRemovalsFromPlantings">'Input - Enterprise'!$E$72</definedName>
    <definedName name="Result_EmissionsForWholeProductionCycle_Gross_Method1">'Input - Enterprise'!$E$59</definedName>
    <definedName name="Result_EmissionsForWholeProductionCycle_Gross_Method2">'Input - Enterprise'!$F$59</definedName>
    <definedName name="Result_EmissionsForWholeProductionCycle_Method1">'Input - Enterprise'!$E$59</definedName>
    <definedName name="Result_EmissionsForWholeProductionCycle_Method2">'Input - Enterprise'!$F$59</definedName>
    <definedName name="Result_EmissionsForWholeProductionCycle_Net_Method1">'Input - Enterprise'!$E$83</definedName>
    <definedName name="Result_EmissionsForWholeProductionCycle_Net_Method2">'Input - Enterprise'!$F$83</definedName>
    <definedName name="Result_Enterprise_Gross_Method1">'Results - Activity period'!$E$62</definedName>
    <definedName name="Result_Enterprise_Gross_Method2">'Results - Activity period'!$F$62</definedName>
    <definedName name="Result_Enterprise_Net_Method1">'Results - Activity period'!$E$63</definedName>
    <definedName name="Result_Enterprise_Net_Method2">'Results - Activity period'!$F$63</definedName>
    <definedName name="Result_Enterprise_Removals">'Results - Activity period'!$E$56</definedName>
    <definedName name="Result_Enterprise_Scope1_Method1">'Results - Activity period'!$H$27</definedName>
    <definedName name="Result_Enterprise_Scope1_Method2">'Results - Activity period'!$I$27</definedName>
    <definedName name="Result_Enterprise_Scope2_Method1">'Results - Activity period'!$H$34</definedName>
    <definedName name="Result_Enterprise_Scope2_Method2">'Results - Activity period'!$I$34</definedName>
    <definedName name="Result_Enterprise_Scope3_Method1">'Results - Activity period'!$H$51</definedName>
    <definedName name="Result_Enterprise_Scope3_Method2">'Results - Activity period'!$I$51</definedName>
    <definedName name="X_Cell_BaledHayYield">'Input - Enterprise'!$E$27</definedName>
    <definedName name="X_Cell_Crop_AreaUnderCropping">'Input - Crop'!$E$12</definedName>
    <definedName name="X_Cell_Crop_AverageWeightPerBale">'Input - Crop'!$E$34</definedName>
    <definedName name="X_Cell_Crop_CropPurpose">'Input - Crop'!$E$10</definedName>
    <definedName name="X_Cell_Crop_CropType">'Input - Crop'!$E$9</definedName>
    <definedName name="X_Cell_Crop_PercentResidueBaled">'Input - Crop'!$E$33</definedName>
    <definedName name="X_Cell_Crop_PercentResidueBurned">'Input - Crop'!$E$39</definedName>
    <definedName name="X_Cell_Crop_TotalResidueBaled">'Input - Crop'!$E$36</definedName>
    <definedName name="X_Cell_Enterprise_GrainYield">'Input - Enterprise'!$E$22</definedName>
    <definedName name="X_Cell_Enterprise_PercentGrainSold">'Input - Enterprise'!$E$23</definedName>
    <definedName name="X_Cell_Enterprise_PercentGrainUsedAsFeed">'Input - Enterprise'!$E$24</definedName>
    <definedName name="X_Cell_Enterprise_PercentIncomeFromBaledHaySilage">'Input - Enterprise'!$E$33</definedName>
    <definedName name="X_Cell_Enterprise_PercentIncomeFromGrain">'Input - Enterprise'!$E$32</definedName>
    <definedName name="X_Cell_Enterprise_ProductionTimeframeEnd">'Input - Enterprise'!$E$19</definedName>
    <definedName name="X_Cell_Enterprise_ProductionTimeframeStart">'Input - Enterprise'!$E$18</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PercentBaledHaySold">'Input - Enterprise'!$E$28</definedName>
    <definedName name="X_Cell_PercentBaledHayUsedOnFarm">'Input - Enterprise'!$E$29</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Table_Result_ActivityPeriodEmissions_RowsToCols">'Results - Activity period'!$D$33:$F$38</definedName>
    <definedName name="X_Table_Result_CarbonRemovalsFromPlantings_RowsToCols">'Results - Activity period'!$D$44:$E$49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81" l="1"/>
  <c r="E29" i="81" a="1"/>
  <c r="E29" i="81" s="1"/>
  <c r="E43" i="81" l="1"/>
  <c r="E38" i="81"/>
  <c r="E35" i="81"/>
  <c r="E44" i="81" l="1"/>
  <c r="E48" i="81"/>
  <c r="E50" i="81" s="1"/>
  <c r="E17" i="81" l="1"/>
  <c r="D35" i="81"/>
  <c r="E20" i="81" l="1"/>
  <c r="E25" i="81"/>
  <c r="D10" i="78" l="1"/>
  <c r="D11" i="78"/>
  <c r="D12" i="78"/>
  <c r="D14" i="78"/>
  <c r="D13" i="78"/>
  <c r="J10" i="78"/>
  <c r="D9" i="78"/>
  <c r="J9" i="78"/>
  <c r="D8" i="78"/>
  <c r="D33" i="78"/>
  <c r="F82" i="72" l="1"/>
  <c r="F81" i="72"/>
  <c r="F80" i="72"/>
  <c r="E82" i="72"/>
  <c r="E81" i="72"/>
  <c r="E80" i="72"/>
  <c r="D32" i="78" l="1"/>
  <c r="G56" i="80" l="1"/>
  <c r="G57" i="80" s="1"/>
  <c r="G53" i="80"/>
  <c r="G54" i="80" s="1"/>
  <c r="D39" i="80" l="1"/>
  <c r="D32" i="80"/>
  <c r="D78" i="72" a="1"/>
  <c r="F58" i="72"/>
  <c r="E58" i="72"/>
  <c r="F57" i="72"/>
  <c r="E57" i="72"/>
  <c r="F56" i="72"/>
  <c r="E56" i="72"/>
  <c r="D75" i="72"/>
  <c r="D59" i="13"/>
  <c r="E56" i="13"/>
  <c r="D54" i="13"/>
  <c r="H51" i="13"/>
  <c r="F50" i="13" a="1"/>
  <c r="F50" i="13" s="1"/>
  <c r="I50" i="13" s="1"/>
  <c r="E50" i="13" a="1"/>
  <c r="E50" i="13" s="1"/>
  <c r="H50" i="13" s="1"/>
  <c r="E49" i="13" a="1"/>
  <c r="E49" i="13" s="1"/>
  <c r="F48" i="13" a="1"/>
  <c r="F48" i="13" s="1"/>
  <c r="I48" i="13" s="1"/>
  <c r="E48" i="13" a="1"/>
  <c r="E48" i="13" s="1"/>
  <c r="H48" i="13" s="1"/>
  <c r="E47" i="13" a="1"/>
  <c r="E47" i="13" s="1"/>
  <c r="E46" i="13" a="1"/>
  <c r="E46" i="13" s="1"/>
  <c r="F45" i="13" a="1"/>
  <c r="F45" i="13" s="1"/>
  <c r="I45" i="13" s="1"/>
  <c r="E45" i="13" a="1"/>
  <c r="E45" i="13" s="1"/>
  <c r="H45" i="13" s="1"/>
  <c r="F44" i="13" a="1"/>
  <c r="F44" i="13" s="1"/>
  <c r="I44" i="13" s="1"/>
  <c r="E44" i="13" a="1"/>
  <c r="E44" i="13" s="1"/>
  <c r="H44" i="13" s="1"/>
  <c r="F43" i="13" a="1"/>
  <c r="F43" i="13" s="1"/>
  <c r="I43" i="13" s="1"/>
  <c r="E43" i="13" a="1"/>
  <c r="E43" i="13" s="1"/>
  <c r="H43" i="13" s="1"/>
  <c r="F42" i="13" a="1"/>
  <c r="F42" i="13" s="1"/>
  <c r="I42" i="13" s="1"/>
  <c r="E42" i="13" a="1"/>
  <c r="E42" i="13" s="1"/>
  <c r="H42" i="13" s="1"/>
  <c r="F41" i="13" a="1"/>
  <c r="F41" i="13" s="1"/>
  <c r="I41" i="13" s="1"/>
  <c r="E41" i="13" a="1"/>
  <c r="E41" i="13" s="1"/>
  <c r="H41" i="13" s="1"/>
  <c r="F40" i="13" a="1"/>
  <c r="F40" i="13" s="1"/>
  <c r="E40" i="13" a="1"/>
  <c r="E40" i="13" s="1"/>
  <c r="H40" i="13" s="1"/>
  <c r="I40" i="13" l="1"/>
  <c r="I51" i="13" s="1"/>
  <c r="F79" i="72"/>
  <c r="E79" i="72"/>
  <c r="D78" i="72"/>
  <c r="F46" i="13"/>
  <c r="I46" i="13" s="1"/>
  <c r="H46" i="13"/>
  <c r="F49" i="13"/>
  <c r="I49" i="13" s="1"/>
  <c r="H49" i="13"/>
  <c r="F47" i="13"/>
  <c r="I47" i="13" s="1"/>
  <c r="H47" i="13"/>
  <c r="D47" i="13" l="1" a="1"/>
  <c r="D47" i="13" s="1"/>
  <c r="E33" i="13" a="1"/>
  <c r="E33" i="13" s="1"/>
  <c r="D33" i="13" a="1"/>
  <c r="D33" i="13" s="1"/>
  <c r="E71" i="72"/>
  <c r="E70" i="72"/>
  <c r="D67" i="72" a="1"/>
  <c r="D67" i="72" s="1"/>
  <c r="E67" i="72" s="1"/>
  <c r="D64" i="72"/>
  <c r="D54" i="72" a="1"/>
  <c r="D50" i="72" a="1"/>
  <c r="D50" i="72" s="1"/>
  <c r="D48" i="72"/>
  <c r="G42" i="72"/>
  <c r="D39" i="72"/>
  <c r="J61" i="78"/>
  <c r="J60" i="78"/>
  <c r="J59" i="78"/>
  <c r="J58" i="78"/>
  <c r="J51" i="78"/>
  <c r="J50" i="78"/>
  <c r="J49" i="78"/>
  <c r="J48" i="78"/>
  <c r="J42" i="78"/>
  <c r="J41" i="78"/>
  <c r="J40" i="78"/>
  <c r="J39" i="78"/>
  <c r="J33" i="78"/>
  <c r="J32" i="78"/>
  <c r="J31" i="78"/>
  <c r="J25" i="78"/>
  <c r="J24" i="78"/>
  <c r="J23" i="78"/>
  <c r="J22" i="78"/>
  <c r="J21" i="78"/>
  <c r="J20" i="78"/>
  <c r="J14" i="78"/>
  <c r="J13" i="78"/>
  <c r="J12" i="78"/>
  <c r="J11" i="78"/>
  <c r="J8" i="78"/>
  <c r="D61" i="78"/>
  <c r="D60" i="78"/>
  <c r="D59" i="78"/>
  <c r="D58" i="78"/>
  <c r="D51" i="78"/>
  <c r="D50" i="78"/>
  <c r="D49" i="78"/>
  <c r="D48" i="78"/>
  <c r="D42" i="78"/>
  <c r="D41" i="78"/>
  <c r="D40" i="78"/>
  <c r="D39" i="78"/>
  <c r="D31" i="78"/>
  <c r="D25" i="78"/>
  <c r="D24" i="78"/>
  <c r="D23" i="78"/>
  <c r="D22" i="78"/>
  <c r="D21" i="78"/>
  <c r="D20"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D174" i="79" a="1"/>
  <c r="D174" i="79" s="1"/>
  <c r="D173" i="79" a="1"/>
  <c r="D173" i="79" s="1"/>
  <c r="D170" i="79" a="1"/>
  <c r="D170" i="79" s="1"/>
  <c r="D169" i="79" a="1"/>
  <c r="D169" i="79" s="1"/>
  <c r="D168" i="79" a="1"/>
  <c r="D168" i="79" s="1"/>
  <c r="D167" i="79" a="1"/>
  <c r="D167" i="79" s="1"/>
  <c r="D164" i="79" a="1"/>
  <c r="D164" i="79" s="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A8" i="79"/>
  <c r="F7" i="79" a="1"/>
  <c r="F7" i="79" s="1"/>
  <c r="E7" i="79" a="1"/>
  <c r="E7" i="79" s="1"/>
  <c r="D7" i="79" a="1"/>
  <c r="D7" i="79" s="1"/>
  <c r="A7" i="79"/>
  <c r="D5" i="79" a="1"/>
  <c r="D5" i="79" s="1"/>
  <c r="A3" i="79"/>
  <c r="A8" i="71"/>
  <c r="A7" i="71"/>
  <c r="A3" i="71"/>
  <c r="E55" i="72" l="1"/>
  <c r="F55" i="72"/>
  <c r="J53" i="78"/>
  <c r="F33" i="13"/>
  <c r="I33" i="13" s="1"/>
  <c r="I34" i="13" s="1"/>
  <c r="H33" i="13"/>
  <c r="H34" i="13" s="1"/>
  <c r="J63" i="78"/>
  <c r="J35" i="78"/>
  <c r="J16" i="78"/>
  <c r="J27" i="78"/>
  <c r="J44" i="78"/>
  <c r="D54" i="72"/>
  <c r="E68" i="72"/>
  <c r="E72" i="72" s="1"/>
  <c r="E69" i="72"/>
  <c r="H48" i="79"/>
  <c r="E22" i="75"/>
  <c r="H51" i="79"/>
  <c r="E19" i="75"/>
  <c r="E20" i="75"/>
  <c r="E21" i="75" s="1"/>
  <c r="H53" i="79"/>
  <c r="H50" i="79"/>
  <c r="H54" i="79"/>
  <c r="H52" i="79"/>
  <c r="H49" i="79"/>
  <c r="E8" i="76" a="1"/>
  <c r="E8" i="76" s="1"/>
  <c r="E10" i="76" a="1"/>
  <c r="E10" i="76" s="1"/>
  <c r="E9" i="76" a="1"/>
  <c r="E9" i="76" s="1"/>
  <c r="E65" i="78" l="1"/>
  <c r="F15" i="13" a="1"/>
  <c r="F15" i="13" s="1"/>
  <c r="I15" i="13" s="1" a="1"/>
  <c r="I15" i="13" s="1"/>
  <c r="E15" i="13" a="1"/>
  <c r="E15" i="13" s="1"/>
  <c r="H15" i="13" s="1" a="1"/>
  <c r="H15" i="13" s="1"/>
  <c r="E17" i="13" a="1"/>
  <c r="E17" i="13" s="1"/>
  <c r="E18" i="13" a="1"/>
  <c r="E18" i="13" s="1"/>
  <c r="H18" i="13" s="1" a="1"/>
  <c r="H18" i="13" s="1"/>
  <c r="F16" i="13" a="1"/>
  <c r="F16" i="13" s="1"/>
  <c r="I16" i="13" s="1" a="1"/>
  <c r="I16" i="13" s="1"/>
  <c r="E16" i="13" a="1"/>
  <c r="E16" i="13" s="1"/>
  <c r="H16" i="13" s="1" a="1"/>
  <c r="H16" i="13" s="1"/>
  <c r="F17" i="13" l="1"/>
  <c r="I17" i="13" s="1" a="1"/>
  <c r="I17" i="13" s="1"/>
  <c r="H17" i="13" a="1"/>
  <c r="H17" i="13" s="1"/>
  <c r="F18" i="13"/>
  <c r="I18" i="13" s="1" a="1"/>
  <c r="I18" i="13" s="1"/>
  <c r="E30" i="72" l="1"/>
  <c r="E25" i="72"/>
  <c r="E27" i="72" l="1" a="1"/>
  <c r="E27" i="72" s="1"/>
  <c r="E22" i="72" a="1"/>
  <c r="E22" i="72" s="1"/>
  <c r="F46" i="80" l="1"/>
  <c r="F55" i="80"/>
  <c r="F53" i="80"/>
  <c r="F54" i="80" s="1"/>
  <c r="F44" i="80"/>
  <c r="F58" i="80"/>
  <c r="F49" i="80"/>
  <c r="F47" i="80"/>
  <c r="F56" i="80"/>
  <c r="F57" i="80" s="1"/>
  <c r="E26" i="13" a="1"/>
  <c r="E26" i="13" s="1"/>
  <c r="E25" i="13" a="1"/>
  <c r="E25" i="13" s="1"/>
  <c r="H25" i="13" s="1"/>
  <c r="E24" i="13" a="1"/>
  <c r="E24" i="13" s="1"/>
  <c r="H24" i="13" s="1" a="1"/>
  <c r="H24" i="13" s="1"/>
  <c r="E23" i="13" a="1"/>
  <c r="E23" i="13" s="1"/>
  <c r="E22" i="13" a="1"/>
  <c r="E22" i="13" s="1"/>
  <c r="H22" i="13" s="1"/>
  <c r="E21" i="13" a="1"/>
  <c r="E21" i="13" s="1"/>
  <c r="E20" i="13" a="1"/>
  <c r="E20" i="13" s="1"/>
  <c r="H20" i="13" s="1" a="1"/>
  <c r="H20" i="13" s="1"/>
  <c r="E19" i="13" a="1"/>
  <c r="E19" i="13" s="1"/>
  <c r="H19" i="13" s="1"/>
  <c r="E14" i="13" a="1"/>
  <c r="E14" i="13" s="1"/>
  <c r="H14" i="13" s="1" a="1"/>
  <c r="H14" i="13" s="1"/>
  <c r="E13" i="13" a="1"/>
  <c r="E13" i="13" s="1"/>
  <c r="H13" i="13" s="1" a="1"/>
  <c r="H13" i="13" s="1"/>
  <c r="E12" i="13" a="1"/>
  <c r="E12" i="13" s="1"/>
  <c r="E11" i="13" a="1"/>
  <c r="E11" i="13" s="1"/>
  <c r="H11" i="13" s="1" a="1"/>
  <c r="H11" i="13" s="1"/>
  <c r="E10" i="13" a="1"/>
  <c r="E10" i="13" s="1"/>
  <c r="F10" i="13" s="1"/>
  <c r="I10" i="13" s="1"/>
  <c r="F9" i="13" a="1"/>
  <c r="F9" i="13" s="1"/>
  <c r="I9" i="13" s="1" a="1"/>
  <c r="I9" i="13" s="1"/>
  <c r="E9" i="13" a="1"/>
  <c r="E9" i="13" s="1"/>
  <c r="H9" i="13" s="1" a="1"/>
  <c r="H9" i="13" s="1"/>
  <c r="E13" i="72"/>
  <c r="D4" i="13" s="1"/>
  <c r="E18" i="75"/>
  <c r="A20" i="75"/>
  <c r="A19" i="75"/>
  <c r="A18" i="75"/>
  <c r="A17" i="75"/>
  <c r="A14" i="75"/>
  <c r="A13" i="75"/>
  <c r="A12" i="75"/>
  <c r="A11" i="75"/>
  <c r="A8" i="75"/>
  <c r="A7" i="75"/>
  <c r="A4" i="75"/>
  <c r="A3" i="75"/>
  <c r="E20" i="72"/>
  <c r="F48" i="80" l="1"/>
  <c r="G47" i="80"/>
  <c r="G48" i="80" s="1"/>
  <c r="F45" i="80"/>
  <c r="G44" i="80"/>
  <c r="G45" i="80" s="1"/>
  <c r="F21" i="13"/>
  <c r="I21" i="13" s="1" a="1"/>
  <c r="I21" i="13" s="1"/>
  <c r="H21" i="13" a="1"/>
  <c r="H21" i="13" s="1"/>
  <c r="F23" i="13"/>
  <c r="I23" i="13" s="1" a="1"/>
  <c r="I23" i="13" s="1"/>
  <c r="H23" i="13" a="1"/>
  <c r="H23" i="13" s="1"/>
  <c r="H27" i="13"/>
  <c r="I27" i="13"/>
  <c r="F19" i="13"/>
  <c r="I19" i="13" s="1"/>
  <c r="F25" i="13"/>
  <c r="I25" i="13" s="1"/>
  <c r="F20" i="13"/>
  <c r="I20" i="13" s="1" a="1"/>
  <c r="I20" i="13" s="1"/>
  <c r="H26" i="13"/>
  <c r="F26" i="13"/>
  <c r="I26" i="13" s="1"/>
  <c r="F13" i="13"/>
  <c r="I13" i="13" s="1" a="1"/>
  <c r="I13" i="13" s="1"/>
  <c r="F12" i="13"/>
  <c r="I12" i="13" s="1"/>
  <c r="H12" i="13"/>
  <c r="F14" i="13"/>
  <c r="I14" i="13" s="1" a="1"/>
  <c r="I14" i="13" s="1"/>
  <c r="H10" i="13"/>
  <c r="F22" i="13"/>
  <c r="I22" i="13" s="1"/>
  <c r="F24" i="13"/>
  <c r="I24" i="13" s="1" a="1"/>
  <c r="I24" i="13" s="1"/>
  <c r="F11" i="13"/>
  <c r="I11" i="13" s="1" a="1"/>
  <c r="I11" i="13" s="1"/>
  <c r="E62" i="13" l="1"/>
  <c r="F62" i="13"/>
  <c r="A20" i="13"/>
  <c r="A19" i="13"/>
  <c r="A18" i="13"/>
  <c r="A17" i="13"/>
  <c r="A14" i="13"/>
  <c r="A13" i="13"/>
  <c r="A12" i="13"/>
  <c r="A11" i="13"/>
  <c r="A8" i="13"/>
  <c r="A7" i="13"/>
  <c r="A4" i="13"/>
  <c r="A3" i="13"/>
  <c r="F54" i="72" l="1"/>
  <c r="F63" i="13"/>
  <c r="E63" i="13"/>
  <c r="E54" i="72"/>
  <c r="E78" i="72" l="1"/>
  <c r="E83" i="72" s="1"/>
  <c r="E37" i="80" s="1"/>
  <c r="E59" i="72"/>
  <c r="E36" i="80" s="1"/>
  <c r="F78" i="72"/>
  <c r="F83" i="72" s="1"/>
  <c r="F37" i="80" s="1"/>
  <c r="F59" i="72"/>
  <c r="F36" i="80" s="1"/>
  <c r="H53" i="80" l="1"/>
  <c r="H44" i="80"/>
  <c r="H47" i="80"/>
  <c r="H56" i="80"/>
  <c r="H45" i="80"/>
  <c r="H57" i="80"/>
  <c r="H54" i="80"/>
  <c r="H48" i="80"/>
  <c r="I53" i="80"/>
  <c r="I56" i="80"/>
  <c r="I44" i="80"/>
  <c r="I47" i="80"/>
  <c r="I54" i="80"/>
  <c r="I57" i="80"/>
  <c r="I48" i="80"/>
  <c r="I45" i="8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<sst xmlns="http://schemas.openxmlformats.org/spreadsheetml/2006/main" count="639" uniqueCount="335">
  <si>
    <t>Home</t>
  </si>
  <si>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</si>
  <si>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</si>
  <si>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</si>
  <si>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</si>
  <si>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</si>
  <si>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</si>
  <si>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</si>
  <si>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</si>
  <si>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</si>
  <si>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</si>
  <si>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</si>
  <si>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</si>
  <si>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</si>
  <si>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</si>
  <si>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</si>
  <si>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</si>
  <si>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</si>
  <si>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</si>
  <si>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</si>
  <si>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</si>
  <si>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</si>
  <si>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</si>
  <si>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</si>
  <si>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</si>
  <si>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</si>
  <si>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</si>
  <si>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</si>
  <si>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</si>
  <si>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</si>
  <si>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</si>
  <si>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</si>
  <si>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</si>
  <si>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</si>
  <si>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</si>
  <si>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</si>
  <si>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</si>
  <si>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</si>
  <si>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</si>
  <si>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</si>
  <si>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</si>
  <si>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</si>
  <si>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</si>
  <si>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</si>
  <si>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</si>
  <si>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</si>
  <si>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</si>
  <si>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</si>
  <si>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</si>
  <si>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</si>
  <si>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</si>
  <si>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</si>
  <si>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</si>
  <si>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</si>
  <si>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</si>
  <si>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</si>
  <si>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</si>
  <si>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</si>
  <si>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</si>
  <si>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</si>
  <si>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</si>
  <si>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</si>
  <si>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</si>
  <si>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</si>
  <si>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</si>
  <si>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</si>
  <si>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</si>
  <si>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</si>
  <si>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</si>
  <si>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</si>
  <si>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</si>
  <si>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</si>
  <si>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</si>
  <si>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</si>
  <si>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</si>
  <si>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</si>
  <si>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</si>
  <si>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</si>
  <si>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</si>
  <si>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</si>
  <si>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</si>
  <si>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</si>
  <si>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</si>
  <si>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</si>
  <si>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</si>
  <si>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</si>
  <si>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</si>
  <si>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</si>
  <si>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</si>
  <si>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</si>
  <si>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</si>
  <si>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</si>
  <si>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</si>
  <si>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</si>
  <si>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</si>
  <si>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</si>
  <si>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</si>
  <si>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</si>
  <si>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</si>
  <si>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</si>
  <si>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</si>
  <si>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</si>
  <si>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</si>
  <si>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</si>
  <si>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</si>
  <si>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</si>
  <si>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</si>
  <si>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</si>
  <si>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</si>
  <si>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</si>
  <si>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</si>
  <si>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</si>
  <si>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</si>
  <si>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</si>
  <si>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</si>
  <si>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</si>
  <si>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</si>
  <si>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</si>
  <si>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</si>
  <si>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</si>
  <si>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Emissions intensity (Method 1)</t>
  </si>
  <si>
    <t>Emissions intensity (Method 2)</t>
  </si>
  <si>
    <t>Product type</t>
  </si>
  <si>
    <t>Main product</t>
  </si>
  <si>
    <t>Co-product</t>
  </si>
  <si>
    <t>N/A</t>
  </si>
  <si>
    <t>Residual product</t>
  </si>
  <si>
    <t>CO2 removed attributed to this enterprise</t>
  </si>
  <si>
    <t>t CO2</t>
  </si>
  <si>
    <t>Total emissions for production cycle</t>
  </si>
  <si>
    <t>Total carbon removals for production cycle</t>
  </si>
  <si>
    <t>Method 1</t>
  </si>
  <si>
    <t>Method 2</t>
  </si>
  <si>
    <t>Product</t>
  </si>
  <si>
    <t>5.1.1.1-2 Inorganic fert N2O</t>
  </si>
  <si>
    <t>5.1.1.3-4 Inorganic fert CO2</t>
  </si>
  <si>
    <t>5.2.1.1-2 Organic fert N2O</t>
  </si>
  <si>
    <t>5.3.1.1-2 Lime CO2</t>
  </si>
  <si>
    <t>5.4.1.1-4 Atmos. deposition</t>
  </si>
  <si>
    <t>5.5.1.1-2 Leaching &amp; runoff</t>
  </si>
  <si>
    <t>8.1.1.1-2 Transport fuel CO2</t>
  </si>
  <si>
    <t>8.1.1.1-2 Transport fuel N2O</t>
  </si>
  <si>
    <t>8.1.1.1-2 Transport fuel CH4</t>
  </si>
  <si>
    <t>8.2.1.1-2 Stationary fuel CO2</t>
  </si>
  <si>
    <t>8.2.1.1-2 Stationary fuel CH4</t>
  </si>
  <si>
    <t>8.2.1.1-2 Stationary fuel N2O</t>
  </si>
  <si>
    <t>14.1.1-2 Purchased electricity (Location-based)</t>
  </si>
  <si>
    <t>14.1.1-2 Purchased electricity (Market-based)</t>
  </si>
  <si>
    <t>Input - Enterprise</t>
  </si>
  <si>
    <t>percent</t>
  </si>
  <si>
    <t>Grain yield</t>
  </si>
  <si>
    <t>Percentage of income from grain sold</t>
  </si>
  <si>
    <t>Baled hay/silage yield</t>
  </si>
  <si>
    <t>Percentage of income from baled hay/silage sold</t>
  </si>
  <si>
    <t>Percent grain sold</t>
  </si>
  <si>
    <t>Percent grain used as feed on own farm</t>
  </si>
  <si>
    <t>Percent grain stored and not sold or used</t>
  </si>
  <si>
    <t>Percent baled hay/silage sold</t>
  </si>
  <si>
    <t>Percent baled hay/silage used as feed on own farm</t>
  </si>
  <si>
    <t>Grain used as feed on own farm</t>
  </si>
  <si>
    <t>Baled haysilage used as feed on own farm</t>
  </si>
  <si>
    <t>t co2e/t grain sold</t>
  </si>
  <si>
    <t>t co2e/t baled hay/silage</t>
  </si>
  <si>
    <t>Economic emissions assignment</t>
  </si>
  <si>
    <t>Mass emissions assignment</t>
  </si>
  <si>
    <t>Emissions intestity (Method 1)</t>
  </si>
  <si>
    <t>Emissions intestity (Method 2)</t>
  </si>
  <si>
    <t>Product emissions - Mass</t>
  </si>
  <si>
    <t>Product emissions - Economic</t>
  </si>
  <si>
    <t>Grain sold - excluding removals</t>
  </si>
  <si>
    <t>Grain sold - net emissions</t>
  </si>
  <si>
    <t>Baled hay/silage sold - excluding removals</t>
  </si>
  <si>
    <t>Baled hay/silage sold - net emissions</t>
  </si>
  <si>
    <t>6.3.1.1-2 Leach &amp; runoff (crop)</t>
  </si>
  <si>
    <t>6.1.1.1-2 Crop residue N2O</t>
  </si>
  <si>
    <t>6.4.1.1-2 Residue burning CH4</t>
  </si>
  <si>
    <t>6.4.1.1-2 Residue burning N2O</t>
  </si>
  <si>
    <t>Input - Fertiliser Production System</t>
  </si>
  <si>
    <t>Production system</t>
  </si>
  <si>
    <t>Crop</t>
  </si>
  <si>
    <t>Crop type</t>
  </si>
  <si>
    <t>Area under cropping</t>
  </si>
  <si>
    <t>These inputs are used for fertiliser calculations, and they take their values from the "Input - Crop" sheet. Do not edit these cells.</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</si>
  <si>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</si>
  <si>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</si>
  <si>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</si>
  <si>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</si>
  <si>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</si>
  <si>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</si>
  <si>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</si>
  <si>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</si>
  <si>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</si>
  <si>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</si>
  <si>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</si>
  <si>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</si>
  <si>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</si>
  <si>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</si>
  <si>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</si>
  <si>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</si>
  <si>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</si>
  <si>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</si>
  <si>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</si>
  <si>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</si>
  <si>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</si>
  <si>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</si>
  <si>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</si>
  <si>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</si>
  <si>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</si>
  <si>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</si>
  <si>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</si>
  <si>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</si>
  <si>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</si>
  <si>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</si>
  <si>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</si>
  <si>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</si>
  <si>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</si>
  <si>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</si>
  <si>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</si>
  <si>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</si>
  <si>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</si>
  <si>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</si>
  <si>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</si>
  <si>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</si>
  <si>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</si>
  <si>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</si>
  <si>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</si>
  <si>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</si>
  <si>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</si>
  <si>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</si>
  <si>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</si>
  <si>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</si>
  <si>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</si>
  <si>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</si>
  <si>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</si>
  <si>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User friendly description</t>
  </si>
  <si>
    <t>During this emissions calculation period</t>
  </si>
  <si>
    <t>Within 2 years of this emissions calculation period</t>
  </si>
  <si>
    <t>Within 3 years of this emissions calculation period</t>
  </si>
  <si>
    <t>Within 4 years of this emissions calculation period</t>
  </si>
  <si>
    <t>Unknown, or more than 4 years of this emissions calculation period</t>
  </si>
  <si>
    <t>This location with spatial partitioning</t>
  </si>
  <si>
    <t>This location without spatial partitioning</t>
  </si>
  <si>
    <t>Regional-level data from a government or industry database/survey</t>
  </si>
  <si>
    <t>State-level data from a government or industry database/survey</t>
  </si>
  <si>
    <t>National-level data from a government or industry database/survey</t>
  </si>
  <si>
    <t>Over 90%</t>
  </si>
  <si>
    <t>Between 51% and 90%</t>
  </si>
  <si>
    <t>Between 21% and 50%</t>
  </si>
  <si>
    <t>Less than 20%</t>
  </si>
  <si>
    <t>Unknown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</si>
  <si>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</si>
  <si>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</si>
  <si>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</si>
  <si>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</si>
  <si>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</si>
  <si>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Enterprise</t>
  </si>
  <si>
    <t>Data type</t>
  </si>
  <si>
    <t>When was the data sourced?</t>
  </si>
  <si>
    <t>Where is the data sourced from?</t>
  </si>
  <si>
    <t>How much of the data was from direct samples?</t>
  </si>
  <si>
    <t>Site</t>
  </si>
  <si>
    <t>Fertiliser applications</t>
  </si>
  <si>
    <t>Fuel and electricity</t>
  </si>
  <si>
    <t>Farm input purchases, freight and waste outputs</t>
  </si>
  <si>
    <t>Total data quality score</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</si>
  <si>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</si>
  <si>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</si>
  <si>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</si>
  <si>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</si>
  <si>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</si>
  <si>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</si>
  <si>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</si>
  <si>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Scope 1</t>
  </si>
  <si>
    <t>Scope 2</t>
  </si>
  <si>
    <t>Scope 2 source</t>
  </si>
  <si>
    <t>Total scope 2</t>
  </si>
  <si>
    <t>Scope 3</t>
  </si>
  <si>
    <t>Scope 3 source</t>
  </si>
  <si>
    <t>15.4.1.1 Fertiliser</t>
  </si>
  <si>
    <t>15.5.1.1 Agrichemicals</t>
  </si>
  <si>
    <t>15.6.1.1 Lime</t>
  </si>
  <si>
    <t>15.7.1.1 Services and contractor operations</t>
  </si>
  <si>
    <t>15.10.1.1 Other: Cleaning chemicals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</si>
  <si>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</si>
  <si>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</si>
  <si>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</si>
  <si>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</si>
  <si>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</si>
  <si>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</si>
  <si>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</si>
  <si>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</si>
  <si>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</si>
  <si>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</si>
  <si>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Emissions for production cycle excluding removals</t>
  </si>
  <si>
    <t>Net emissions for production cycle</t>
  </si>
  <si>
    <t>Results - Product emissions intensity</t>
  </si>
  <si>
    <t>Results - Activity period</t>
  </si>
  <si>
    <t>Crop management</t>
  </si>
  <si>
    <t>Area</t>
  </si>
  <si>
    <t>If multiple paddocks were managed in the same way at the same time, you can enter information for them all together.</t>
  </si>
  <si>
    <t>Yield</t>
  </si>
  <si>
    <t>Residue management</t>
  </si>
  <si>
    <t>Baled residue</t>
  </si>
  <si>
    <t>Percentage of residue that was baled</t>
  </si>
  <si>
    <t>Average weight per bale</t>
  </si>
  <si>
    <t>Number of bales</t>
  </si>
  <si>
    <t>Total residue baled</t>
  </si>
  <si>
    <t>Burned residue</t>
  </si>
  <si>
    <t>Percentage of residue that was burned</t>
  </si>
  <si>
    <t>Total residue burned</t>
  </si>
  <si>
    <t>Residue retained on paddocks</t>
  </si>
  <si>
    <t>Cotton</t>
  </si>
  <si>
    <t>Sprinkler irrigation</t>
  </si>
  <si>
    <r>
      <rPr>
        <sz val="12"/>
        <color theme="1" tint="0.34998626667073579"/>
        <rFont val="Times New Roman"/>
        <family val="1"/>
      </rPr>
      <t>←</t>
    </r>
    <r>
      <rPr>
        <i/>
        <sz val="12"/>
        <color theme="1" tint="0.34998626667073579"/>
        <rFont val="Times New Roman"/>
        <family val="1"/>
      </rPr>
      <t xml:space="preserve"> Please select</t>
    </r>
  </si>
  <si>
    <t>Turnout rate</t>
  </si>
  <si>
    <t>Average weight per round module</t>
  </si>
  <si>
    <t>kg / round module</t>
  </si>
  <si>
    <t>round modules</t>
  </si>
  <si>
    <t>Average amount of cottonseed produced per round module</t>
  </si>
  <si>
    <t>lint bales / round module</t>
  </si>
  <si>
    <t>Average weight per lint bale</t>
  </si>
  <si>
    <t>kg / lint bale</t>
  </si>
  <si>
    <t>Total number of round modules</t>
  </si>
  <si>
    <t>round modules / ha</t>
  </si>
  <si>
    <t>Round modules produced per hectare</t>
  </si>
  <si>
    <t>Number of lint bales per round module</t>
  </si>
  <si>
    <t>Residue:crop ratio</t>
  </si>
  <si>
    <t>Tonnes</t>
  </si>
  <si>
    <t>Percent</t>
  </si>
  <si>
    <t>Kilograms</t>
  </si>
  <si>
    <t>Bales</t>
  </si>
  <si>
    <t>hectares</t>
  </si>
  <si>
    <t>Total lint yield</t>
  </si>
  <si>
    <t>Total unprocessed cotton yield (excluding trash)</t>
  </si>
  <si>
    <t>Total cottonseed produced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</si>
</sst>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00000000"/>
  </numFmts>
  <fonts count="5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9"/>
      <color rgb="FF404040"/>
      <name val="Times New Roman"/>
      <family val="1"/>
    </font>
    <font>
      <b/>
      <sz val="16"/>
      <color theme="1" tint="0.24994659260841701"/>
      <name val="Times New Roman"/>
      <family val="1"/>
    </font>
    <font>
      <sz val="16"/>
      <color theme="1" tint="0.24994659260841701"/>
      <name val="Times New Roman"/>
      <family val="1"/>
    </font>
    <font>
      <b/>
      <sz val="20"/>
      <color rgb="FF0C769E"/>
      <name val="Times New Roman"/>
      <family val="1"/>
    </font>
    <font>
      <i/>
      <sz val="16"/>
      <color theme="1" tint="0.34998626667073579"/>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03">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9" fontId="23" fillId="4" borderId="2" xfId="68" applyFont="1" applyFill="1" applyBorder="1" applyAlignment="1">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0" fillId="13" borderId="5" xfId="39">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12" fillId="6" borderId="0" xfId="29">
      <alignment horizontal="center" vertical="center"/>
      <protection locked="0"/>
    </xf>
    <xf numFmtId="0" fontId="39" fillId="0" borderId="0" xfId="66"/>
    <xf numFmtId="0" fontId="50" fillId="9" borderId="4" xfId="34" applyFont="1">
      <alignment horizontal="left" vertical="center" indent="1"/>
    </xf>
    <xf numFmtId="0" fontId="20" fillId="10" borderId="0" xfId="35">
      <alignment horizontal="left" vertical="center" indent="1"/>
    </xf>
    <xf numFmtId="49" fontId="0" fillId="0" borderId="0" xfId="14" applyNumberFormat="1" applyFont="1" applyBorder="1">
      <alignment horizontal="center" vertical="center"/>
    </xf>
    <xf numFmtId="0" fontId="27" fillId="4" borderId="1" xfId="8" applyBorder="1">
      <alignment horizontal="left" vertical="center"/>
    </xf>
    <xf numFmtId="0" fontId="3" fillId="12" borderId="17" xfId="15" applyBorder="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35" fillId="4" borderId="0" xfId="59">
      <alignment horizontal="left" vertical="center"/>
    </xf>
    <xf numFmtId="0" fontId="40" fillId="4" borderId="1" xfId="8" applyFont="1" applyBorder="1">
      <alignment horizontal="left" vertical="center"/>
    </xf>
    <xf numFmtId="0" fontId="6" fillId="4" borderId="1" xfId="53" applyBorder="1">
      <alignment horizontal="left" vertical="center"/>
    </xf>
    <xf numFmtId="0" fontId="53" fillId="0" borderId="0" xfId="32" applyFont="1"/>
    <xf numFmtId="0" fontId="27" fillId="11" borderId="0" xfId="8" applyFill="1">
      <alignment horizontal="left" vertical="center"/>
    </xf>
    <xf numFmtId="0" fontId="52" fillId="4" borderId="0" xfId="8" applyFont="1">
      <alignment horizontal="left" vertical="center"/>
    </xf>
    <xf numFmtId="0" fontId="54" fillId="4" borderId="0" xfId="53" applyFont="1">
      <alignment horizontal="left" vertical="center"/>
    </xf>
    <xf numFmtId="0" fontId="51" fillId="4" borderId="0" xfId="8" applyFont="1">
      <alignment horizontal="left" vertical="center"/>
    </xf>
    <xf numFmtId="0" fontId="54" fillId="4" borderId="1" xfId="53" applyFont="1" applyBorder="1">
      <alignment horizontal="left" vertical="center"/>
    </xf>
    <xf numFmtId="170" fontId="27" fillId="4" borderId="0" xfId="8" applyNumberFormat="1">
      <alignment horizontal="left" vertical="center"/>
    </xf>
    <xf numFmtId="4" fontId="2" fillId="0" borderId="2" xfId="17">
      <alignment horizontal="center" vertical="center"/>
    </xf>
    <xf numFmtId="3" fontId="23" fillId="4" borderId="2" xfId="40">
      <alignment horizontal="center" vertical="center"/>
    </xf>
    <xf numFmtId="10" fontId="2" fillId="0" borderId="2" xfId="16" applyNumberFormat="1">
      <alignment horizontal="center" vertical="center"/>
    </xf>
  </cellXfs>
  <cellStyles count="69">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other" xfId="64" xr:uid="{105BD9DE-B567-4DA0-87E6-C60A0ECC1C65}"/>
  </cellStyles>
  <dxfs count="66">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5"/>
      <tableStyleElement type="headerRow" dxfId="64"/>
      <tableStyleElement type="totalRow" dxfId="63"/>
      <tableStyleElement type="firstColumn" dxfId="62"/>
      <tableStyleElement type="firstRowStripe" dxfId="61"/>
      <tableStyleElement type="secondRowStripe" dxfId="60"/>
    </tableStyle>
    <tableStyle name="Equation table" pivot="0" count="6" xr9:uid="{B247698E-E41D-4CCD-AA0A-C14817E9DE65}">
      <tableStyleElement type="wholeTable" dxfId="59"/>
      <tableStyleElement type="headerRow" dxfId="58"/>
      <tableStyleElement type="totalRow" dxfId="57"/>
      <tableStyleElement type="firstColumn" dxfId="56"/>
      <tableStyleElement type="firstRowStripe" dxfId="55"/>
      <tableStyleElement type="secondRowStripe" dxfId="54"/>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0-64C2-43EC-A71A-E7C288A256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4C2-43EC-A71A-E7C288A256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4C2-43EC-A71A-E7C288A256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4C2-43EC-A71A-E7C288A256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64C2-43EC-A71A-E7C288A256B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64C2-43EC-A71A-E7C288A256B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6-64C2-43EC-A71A-E7C288A256B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64C2-43EC-A71A-E7C288A256B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8-64C2-43EC-A71A-E7C288A256B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64C2-43EC-A71A-E7C288A256B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A-64C2-43EC-A71A-E7C288A256B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64C2-43EC-A71A-E7C288A256B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C-64C2-43EC-A71A-E7C288A256B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64C2-43EC-A71A-E7C288A256B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E-64C2-43EC-A71A-E7C288A256B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64C2-43EC-A71A-E7C288A256B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0-64C2-43EC-A71A-E7C288A256B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64C2-43EC-A71A-E7C288A256BA}"/>
              </c:ext>
            </c:extLst>
          </c:dPt>
          <c:cat>
            <c:strRef>
              <c:f>'Results - Activity period'!$D$9:$D$26</c:f>
              <c:strCache>
                <c:ptCount val="18"/>
                <c:pt idx="0">
                  <c:v>5.1.1.1-2 Inorganic fert N2O</c:v>
                </c:pt>
                <c:pt idx="1">
                  <c:v>5.1.1.3-4 Inorganic fert CO2</c:v>
                </c:pt>
                <c:pt idx="2">
                  <c:v>5.2.1.1-2 Organic fert N2O</c:v>
                </c:pt>
                <c:pt idx="3">
                  <c:v>5.3.1.1-2 Lime CO2</c:v>
                </c:pt>
                <c:pt idx="4">
                  <c:v>5.4.1.1-4 Atmos. deposition</c:v>
                </c:pt>
                <c:pt idx="5">
                  <c:v>5.5.1.1-2 Leaching &amp; runoff</c:v>
                </c:pt>
                <c:pt idx="6">
                  <c:v>6.1.1.1-2 Crop residue N2O</c:v>
                </c:pt>
                <c:pt idx="7">
                  <c:v>6.3.1.1-2 Leach &amp; runoff (crop)</c:v>
                </c:pt>
                <c:pt idx="8">
                  <c:v>6.4.1.1-2 Residue burning N2O</c:v>
                </c:pt>
                <c:pt idx="9">
                  <c:v>6.4.1.1-2 Residue burning CH4</c:v>
                </c:pt>
                <c:pt idx="10">
                  <c:v>8.1.1.1-2 Transport fuel CO2</c:v>
                </c:pt>
                <c:pt idx="11">
                  <c:v>8.1.1.1-2 Transport fuel CH4</c:v>
                </c:pt>
                <c:pt idx="12">
                  <c:v>8.1.1.1-2 Transport fuel N2O</c:v>
                </c:pt>
                <c:pt idx="13">
                  <c:v>8.2.1.1-2 Stationary fuel CO2</c:v>
                </c:pt>
                <c:pt idx="14">
                  <c:v>8.2.1.1-2 Stationary fuel CH4</c:v>
                </c:pt>
                <c:pt idx="15">
                  <c:v>8.2.1.1-2 Stationary fuel N2O</c:v>
                </c:pt>
                <c:pt idx="16">
                  <c:v>14.1.1-2 Purchased electricity (Location-based)</c:v>
                </c:pt>
                <c:pt idx="17">
                  <c:v>14.1.1-2 Purchased electricity (Market-based)</c:v>
                </c:pt>
              </c:strCache>
            </c:strRef>
          </c:cat>
          <c:val>
            <c:numRef>
              <c:f>'Results - Activity period'!$I$9:$I$26</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13-64C2-43EC-A71A-E7C288A256BA}"/>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period'!$D$40:$D$50</c:f>
              <c:strCache>
                <c:ptCount val="11"/>
                <c:pt idx="0">
                  <c:v>15.4.1.1 Fertiliser</c:v>
                </c:pt>
                <c:pt idx="1">
                  <c:v>15.5.1.1 Agrichemicals</c:v>
                </c:pt>
                <c:pt idx="2">
                  <c:v>15.6.1.1 Lime</c:v>
                </c:pt>
                <c:pt idx="3">
                  <c:v>15.7.1.1 Services and contractor operations</c:v>
                </c:pt>
                <c:pt idx="4">
                  <c:v>15.10.1.1 Other: Cleaning chemicals</c:v>
                </c:pt>
                <c:pt idx="5">
                  <c:v>15.10.1.1 Other: Uncategorised</c:v>
                </c:pt>
                <c:pt idx="6">
                  <c:v>15.11.1.1 Fuel</c:v>
                </c:pt>
                <c:pt idx="7">
                  <c:v>#NAME?</c:v>
                </c:pt>
                <c:pt idx="8">
                  <c:v>15.14.1.1 Incoming freight</c:v>
                </c:pt>
                <c:pt idx="9">
                  <c:v>15.13.1.1 Waste sent to treatment facility</c:v>
                </c:pt>
                <c:pt idx="10">
                  <c:v>15.14.1.1 Outgoing freight</c:v>
                </c:pt>
              </c:strCache>
            </c:strRef>
          </c:cat>
          <c:val>
            <c:numRef>
              <c:f>'Results - Activity period'!$I$40:$I$50</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62DD-44E7-A95F-7E5222B2A855}"/>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247650</xdr:colOff>
      <xdr:row>5</xdr:row>
      <xdr:rowOff>114300</xdr:rowOff>
    </xdr:from>
    <xdr:to>
      <xdr:col>16</xdr:col>
      <xdr:colOff>1276351</xdr:colOff>
      <xdr:row>27</xdr:row>
      <xdr:rowOff>104775</xdr:rowOff>
    </xdr:to>
    <xdr:graphicFrame macro="">
      <xdr:nvGraphicFramePr>
        <xdr:cNvPr id="2" name="Chart 1">
          <a:extLst>
            <a:ext uri="{FF2B5EF4-FFF2-40B4-BE49-F238E27FC236}">
              <a16:creationId xmlns:a16="http://schemas.microsoft.com/office/drawing/2014/main" id="{3A344E95-6082-45A2-A851-64587AA66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36</xdr:row>
      <xdr:rowOff>161925</xdr:rowOff>
    </xdr:from>
    <xdr:to>
      <xdr:col>16</xdr:col>
      <xdr:colOff>1104901</xdr:colOff>
      <xdr:row>58</xdr:row>
      <xdr:rowOff>152400</xdr:rowOff>
    </xdr:to>
    <xdr:graphicFrame macro="">
      <xdr:nvGraphicFramePr>
        <xdr:cNvPr id="3" name="Chart 2">
          <a:extLst>
            <a:ext uri="{FF2B5EF4-FFF2-40B4-BE49-F238E27FC236}">
              <a16:creationId xmlns:a16="http://schemas.microsoft.com/office/drawing/2014/main" id="{4C21FA99-C640-465F-AAB2-47EB9C587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45</xdr:row>
      <xdr:rowOff>200025</xdr:rowOff>
    </xdr:from>
    <xdr:to>
      <xdr:col>9</xdr:col>
      <xdr:colOff>1443037</xdr:colOff>
      <xdr:row>57</xdr:row>
      <xdr:rowOff>85725</xdr:rowOff>
    </xdr:to>
    <xdr:graphicFrame macro="">
      <xdr:nvGraphicFramePr>
        <xdr:cNvPr id="2" name="Chart 1">
          <a:extLst>
            <a:ext uri="{FF2B5EF4-FFF2-40B4-BE49-F238E27FC236}">
              <a16:creationId xmlns:a16="http://schemas.microsoft.com/office/drawing/2014/main" id="{561CA646-3BD8-4FFD-B6ED-B2FA1E51F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DF048040-93E8-4701-94EF-7D2C2408321B}"/>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C836697B-E43A-434C-8C38-CED18E17F96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3">
      <xdr:nvSpPr>
        <xdr:cNvPr id="5" name="TextBox 4">
          <a:extLst>
            <a:ext uri="{FF2B5EF4-FFF2-40B4-BE49-F238E27FC236}">
              <a16:creationId xmlns:a16="http://schemas.microsoft.com/office/drawing/2014/main" id="{FEFD1952-3C55-4816-8FE4-E7EF34F67CC4}"/>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3">
      <xdr:nvSpPr>
        <xdr:cNvPr id="6" name="TextBox 5">
          <a:extLst>
            <a:ext uri="{FF2B5EF4-FFF2-40B4-BE49-F238E27FC236}">
              <a16:creationId xmlns:a16="http://schemas.microsoft.com/office/drawing/2014/main" id="{E52E2C5E-EBB6-4960-8003-36766B1393A3}"/>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2333065</xdr:colOff>
      <xdr:row>14</xdr:row>
      <xdr:rowOff>33057</xdr:rowOff>
    </xdr:from>
    <xdr:to>
      <xdr:col>4</xdr:col>
      <xdr:colOff>1237690</xdr:colOff>
      <xdr:row>16</xdr:row>
      <xdr:rowOff>144555</xdr:rowOff>
    </xdr:to>
    <xdr:sp macro="" textlink="$H$45">
      <xdr:nvSpPr>
        <xdr:cNvPr id="7" name="TextBox 6">
          <a:extLst>
            <a:ext uri="{FF2B5EF4-FFF2-40B4-BE49-F238E27FC236}">
              <a16:creationId xmlns:a16="http://schemas.microsoft.com/office/drawing/2014/main" id="{833A8974-87C9-4E79-B489-9A38725AA61E}"/>
            </a:ext>
          </a:extLst>
        </xdr:cNvPr>
        <xdr:cNvSpPr txBox="1"/>
      </xdr:nvSpPr>
      <xdr:spPr>
        <a:xfrm>
          <a:off x="5009590" y="2957232"/>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ECDA9550-94C9-4119-822D-DA304443D385}"/>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49493AFD-208A-4EC9-A8A6-48B189A9D3F6}"/>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E12C55C2-9F89-43C5-95FD-8B0BFFCD3F34}"/>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6D9E463A-9248-4B95-B024-5BE675F6304B}"/>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172AB12A-BA93-494F-BD3D-E035C621A112}"/>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B2AF611D-5085-403C-AA6F-35B20216E8C4}"/>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8408881-CC17-4AA4-956F-95D498006F3D}"/>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6DAF84BF-9C77-403A-891B-9FFD0620D06E}"/>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9DDCEEE4-6758-43CA-9A4F-4BD8CC49FEC8}"/>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7F0ABF75-DFA4-476D-9D6C-89195BE39EB1}"/>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C539287F-B096-47C2-8B87-ED06E2DE07A8}"/>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422FBF15-927C-4FC5-B0BC-0619A4E29552}"/>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D2235FE1-4986-4236-ADD8-EF7B510C5416}"/>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261BE4D0-7E72-4230-8ACA-47762C0C5920}"/>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3</xdr:col>
      <xdr:colOff>9525</xdr:colOff>
      <xdr:row>16</xdr:row>
      <xdr:rowOff>49306</xdr:rowOff>
    </xdr:from>
    <xdr:ext cx="1978747" cy="254493"/>
    <xdr:sp macro="" textlink="">
      <xdr:nvSpPr>
        <xdr:cNvPr id="22" name="TextBox 21">
          <a:extLst>
            <a:ext uri="{FF2B5EF4-FFF2-40B4-BE49-F238E27FC236}">
              <a16:creationId xmlns:a16="http://schemas.microsoft.com/office/drawing/2014/main" id="{9CB97F30-4735-49D1-B115-4E8269067E54}"/>
            </a:ext>
          </a:extLst>
        </xdr:cNvPr>
        <xdr:cNvSpPr txBox="1"/>
      </xdr:nvSpPr>
      <xdr:spPr>
        <a:xfrm>
          <a:off x="268605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1C166702-1A1A-4563-8684-ED77B3E358C0}"/>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97784785-181F-46AC-B3C4-55A3A46C6717}"/>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F718A17E-5AAC-4CD8-8846-2676F26CC911}"/>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1391BBC0-89E5-4868-81CD-5472A82492D9}"/>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D5FE9366-3BFE-4C05-867A-F75650982CA9}"/>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38B64D30-6D2F-48C3-9B60-4390BE526625}"/>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BFBEA725-F1E3-47A3-9D66-D708641C5522}"/>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978747" cy="254493"/>
    <xdr:sp macro="" textlink="">
      <xdr:nvSpPr>
        <xdr:cNvPr id="30" name="TextBox 29">
          <a:extLst>
            <a:ext uri="{FF2B5EF4-FFF2-40B4-BE49-F238E27FC236}">
              <a16:creationId xmlns:a16="http://schemas.microsoft.com/office/drawing/2014/main" id="{1B353C3F-EEA7-4767-9132-E360261D937D}"/>
            </a:ext>
          </a:extLst>
        </xdr:cNvPr>
        <xdr:cNvSpPr txBox="1"/>
      </xdr:nvSpPr>
      <xdr:spPr>
        <a:xfrm>
          <a:off x="500959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5</xdr:col>
      <xdr:colOff>180414</xdr:colOff>
      <xdr:row>16</xdr:row>
      <xdr:rowOff>49306</xdr:rowOff>
    </xdr:from>
    <xdr:ext cx="1978747" cy="254493"/>
    <xdr:sp macro="" textlink="">
      <xdr:nvSpPr>
        <xdr:cNvPr id="31" name="TextBox 30">
          <a:extLst>
            <a:ext uri="{FF2B5EF4-FFF2-40B4-BE49-F238E27FC236}">
              <a16:creationId xmlns:a16="http://schemas.microsoft.com/office/drawing/2014/main" id="{87762194-2B12-44BC-B816-301BBCFA2F7E}"/>
            </a:ext>
          </a:extLst>
        </xdr:cNvPr>
        <xdr:cNvSpPr txBox="1"/>
      </xdr:nvSpPr>
      <xdr:spPr>
        <a:xfrm>
          <a:off x="835286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617444</xdr:colOff>
      <xdr:row>16</xdr:row>
      <xdr:rowOff>49306</xdr:rowOff>
    </xdr:from>
    <xdr:ext cx="1978747" cy="254493"/>
    <xdr:sp macro="" textlink="">
      <xdr:nvSpPr>
        <xdr:cNvPr id="32" name="TextBox 31">
          <a:extLst>
            <a:ext uri="{FF2B5EF4-FFF2-40B4-BE49-F238E27FC236}">
              <a16:creationId xmlns:a16="http://schemas.microsoft.com/office/drawing/2014/main" id="{AAED1EC9-FDD9-4C3D-A636-5F245C7CA707}"/>
            </a:ext>
          </a:extLst>
        </xdr:cNvPr>
        <xdr:cNvSpPr txBox="1"/>
      </xdr:nvSpPr>
      <xdr:spPr>
        <a:xfrm>
          <a:off x="10837769"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9525</xdr:colOff>
      <xdr:row>28</xdr:row>
      <xdr:rowOff>38660</xdr:rowOff>
    </xdr:from>
    <xdr:ext cx="1978747" cy="254493"/>
    <xdr:sp macro="" textlink="">
      <xdr:nvSpPr>
        <xdr:cNvPr id="33" name="TextBox 32">
          <a:extLst>
            <a:ext uri="{FF2B5EF4-FFF2-40B4-BE49-F238E27FC236}">
              <a16:creationId xmlns:a16="http://schemas.microsoft.com/office/drawing/2014/main" id="{014A040B-C88A-4270-8C26-7CA744A8C27B}"/>
            </a:ext>
          </a:extLst>
        </xdr:cNvPr>
        <xdr:cNvSpPr txBox="1"/>
      </xdr:nvSpPr>
      <xdr:spPr>
        <a:xfrm>
          <a:off x="268605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2342590</xdr:colOff>
      <xdr:row>28</xdr:row>
      <xdr:rowOff>38660</xdr:rowOff>
    </xdr:from>
    <xdr:ext cx="1978747" cy="254493"/>
    <xdr:sp macro="" textlink="">
      <xdr:nvSpPr>
        <xdr:cNvPr id="34" name="TextBox 33">
          <a:extLst>
            <a:ext uri="{FF2B5EF4-FFF2-40B4-BE49-F238E27FC236}">
              <a16:creationId xmlns:a16="http://schemas.microsoft.com/office/drawing/2014/main" id="{9BD31057-8DED-461A-B7E7-EF42381BCD2B}"/>
            </a:ext>
          </a:extLst>
        </xdr:cNvPr>
        <xdr:cNvSpPr txBox="1"/>
      </xdr:nvSpPr>
      <xdr:spPr>
        <a:xfrm>
          <a:off x="5019115"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5</xdr:col>
      <xdr:colOff>180414</xdr:colOff>
      <xdr:row>28</xdr:row>
      <xdr:rowOff>38660</xdr:rowOff>
    </xdr:from>
    <xdr:ext cx="1978747" cy="254493"/>
    <xdr:sp macro="" textlink="">
      <xdr:nvSpPr>
        <xdr:cNvPr id="35" name="TextBox 34">
          <a:extLst>
            <a:ext uri="{FF2B5EF4-FFF2-40B4-BE49-F238E27FC236}">
              <a16:creationId xmlns:a16="http://schemas.microsoft.com/office/drawing/2014/main" id="{BDD590EC-73F4-4720-A28D-3D3C84B2383C}"/>
            </a:ext>
          </a:extLst>
        </xdr:cNvPr>
        <xdr:cNvSpPr txBox="1"/>
      </xdr:nvSpPr>
      <xdr:spPr>
        <a:xfrm>
          <a:off x="8352864"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617444</xdr:colOff>
      <xdr:row>28</xdr:row>
      <xdr:rowOff>38660</xdr:rowOff>
    </xdr:from>
    <xdr:ext cx="1978747" cy="254493"/>
    <xdr:sp macro="" textlink="">
      <xdr:nvSpPr>
        <xdr:cNvPr id="36" name="TextBox 35">
          <a:extLst>
            <a:ext uri="{FF2B5EF4-FFF2-40B4-BE49-F238E27FC236}">
              <a16:creationId xmlns:a16="http://schemas.microsoft.com/office/drawing/2014/main" id="{A8DA6287-B255-4E1B-BFDE-A3ABED31B70B}"/>
            </a:ext>
          </a:extLst>
        </xdr:cNvPr>
        <xdr:cNvSpPr txBox="1"/>
      </xdr:nvSpPr>
      <xdr:spPr>
        <a:xfrm>
          <a:off x="1083776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2371165</xdr:colOff>
      <xdr:row>25</xdr:row>
      <xdr:rowOff>155762</xdr:rowOff>
    </xdr:from>
    <xdr:to>
      <xdr:col>4</xdr:col>
      <xdr:colOff>875740</xdr:colOff>
      <xdr:row>28</xdr:row>
      <xdr:rowOff>108696</xdr:rowOff>
    </xdr:to>
    <xdr:sp macro="" textlink="$H$54">
      <xdr:nvSpPr>
        <xdr:cNvPr id="37" name="TextBox 36">
          <a:extLst>
            <a:ext uri="{FF2B5EF4-FFF2-40B4-BE49-F238E27FC236}">
              <a16:creationId xmlns:a16="http://schemas.microsoft.com/office/drawing/2014/main" id="{48B67803-470A-4840-A0B6-AA7EBEFF89C4}"/>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4">
      <xdr:nvSpPr>
        <xdr:cNvPr id="38" name="TextBox 37">
          <a:extLst>
            <a:ext uri="{FF2B5EF4-FFF2-40B4-BE49-F238E27FC236}">
              <a16:creationId xmlns:a16="http://schemas.microsoft.com/office/drawing/2014/main" id="{3CEEF3AD-22FC-4524-8AAC-CB6290746354}"/>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7">
      <xdr:nvSpPr>
        <xdr:cNvPr id="39" name="TextBox 38">
          <a:extLst>
            <a:ext uri="{FF2B5EF4-FFF2-40B4-BE49-F238E27FC236}">
              <a16:creationId xmlns:a16="http://schemas.microsoft.com/office/drawing/2014/main" id="{06A79968-A343-47E9-957F-999EDB875007}"/>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7">
      <xdr:nvSpPr>
        <xdr:cNvPr id="40" name="TextBox 39">
          <a:extLst>
            <a:ext uri="{FF2B5EF4-FFF2-40B4-BE49-F238E27FC236}">
              <a16:creationId xmlns:a16="http://schemas.microsoft.com/office/drawing/2014/main" id="{87FEF128-5F76-4826-ACB9-2CD12AF6BDF3}"/>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6">
      <xdr:nvSpPr>
        <xdr:cNvPr id="41" name="TextBox 40">
          <a:extLst>
            <a:ext uri="{FF2B5EF4-FFF2-40B4-BE49-F238E27FC236}">
              <a16:creationId xmlns:a16="http://schemas.microsoft.com/office/drawing/2014/main" id="{E9FA52E2-575B-4C56-ADCB-73565977DD51}"/>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8F36783-2D83-448C-9BE3-D1653ADA37CE}"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6">
      <xdr:nvSpPr>
        <xdr:cNvPr id="42" name="TextBox 41">
          <a:extLst>
            <a:ext uri="{FF2B5EF4-FFF2-40B4-BE49-F238E27FC236}">
              <a16:creationId xmlns:a16="http://schemas.microsoft.com/office/drawing/2014/main" id="{A85AC178-A8FE-436B-A923-A0DF381EC5F3}"/>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792A2EE-0599-40C6-BEC6-FB928C51F2CA}"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8">
      <xdr:nvSpPr>
        <xdr:cNvPr id="43" name="TextBox 42">
          <a:extLst>
            <a:ext uri="{FF2B5EF4-FFF2-40B4-BE49-F238E27FC236}">
              <a16:creationId xmlns:a16="http://schemas.microsoft.com/office/drawing/2014/main" id="{F03DF4FC-B0C4-4C3C-ABF8-C9A9263AB614}"/>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8">
      <xdr:nvSpPr>
        <xdr:cNvPr id="44" name="TextBox 43">
          <a:extLst>
            <a:ext uri="{FF2B5EF4-FFF2-40B4-BE49-F238E27FC236}">
              <a16:creationId xmlns:a16="http://schemas.microsoft.com/office/drawing/2014/main" id="{B9BC03BE-C840-4A9F-BF3C-E56EF4AE3520}"/>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E20E1D2-2B5C-4DB2-8518-71C3789EC7E5}"/>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4E5FDF6B-386F-464F-89BA-ADBFDA2C3E39}"/>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30A6A9A1-0600-4C2A-BEF9-25BCF7D053B0}"/>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E0BFA7CF-30B9-49C5-94B8-46066A33642A}"/>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8</xdr:col>
      <xdr:colOff>666750</xdr:colOff>
      <xdr:row>10</xdr:row>
      <xdr:rowOff>147552</xdr:rowOff>
    </xdr:from>
    <xdr:to>
      <xdr:col>14</xdr:col>
      <xdr:colOff>282948</xdr:colOff>
      <xdr:row>10</xdr:row>
      <xdr:rowOff>162485</xdr:rowOff>
    </xdr:to>
    <xdr:cxnSp macro="">
      <xdr:nvCxnSpPr>
        <xdr:cNvPr id="49" name="Straight Connector 48">
          <a:extLst>
            <a:ext uri="{FF2B5EF4-FFF2-40B4-BE49-F238E27FC236}">
              <a16:creationId xmlns:a16="http://schemas.microsoft.com/office/drawing/2014/main" id="{FC6F194F-AD0D-42E3-9F8A-F06B07808247}"/>
            </a:ext>
          </a:extLst>
        </xdr:cNvPr>
        <xdr:cNvCxnSpPr/>
      </xdr:nvCxnSpPr>
      <xdr:spPr>
        <a:xfrm flipV="1">
          <a:off x="14982825" y="2271627"/>
          <a:ext cx="1046517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CAA51722-00E3-4D47-B270-7E9443D62D10}"/>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12</xdr:col>
      <xdr:colOff>593912</xdr:colOff>
      <xdr:row>12</xdr:row>
      <xdr:rowOff>150158</xdr:rowOff>
    </xdr:from>
    <xdr:to>
      <xdr:col>14</xdr:col>
      <xdr:colOff>483451</xdr:colOff>
      <xdr:row>14</xdr:row>
      <xdr:rowOff>33056</xdr:rowOff>
    </xdr:to>
    <xdr:sp macro="" textlink="$J$44">
      <xdr:nvSpPr>
        <xdr:cNvPr id="51" name="TextBox 50">
          <a:extLst>
            <a:ext uri="{FF2B5EF4-FFF2-40B4-BE49-F238E27FC236}">
              <a16:creationId xmlns:a16="http://schemas.microsoft.com/office/drawing/2014/main" id="{9A4D89AA-4DAE-42E0-9BBE-15B4511A8DB3}"/>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291CF9D-F346-4E41-9B29-0357F54411D4}"/>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27F6FC0D-7975-4848-94A7-5DA27AAA09B4}"/>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301997</xdr:colOff>
      <xdr:row>12</xdr:row>
      <xdr:rowOff>73958</xdr:rowOff>
    </xdr:to>
    <xdr:cxnSp macro="">
      <xdr:nvCxnSpPr>
        <xdr:cNvPr id="54" name="Straight Connector 53">
          <a:extLst>
            <a:ext uri="{FF2B5EF4-FFF2-40B4-BE49-F238E27FC236}">
              <a16:creationId xmlns:a16="http://schemas.microsoft.com/office/drawing/2014/main" id="{E47C32BA-7C0F-4B0B-8CB8-BCD57BF802FD}"/>
            </a:ext>
          </a:extLst>
        </xdr:cNvPr>
        <xdr:cNvCxnSpPr/>
      </xdr:nvCxnSpPr>
      <xdr:spPr>
        <a:xfrm>
          <a:off x="20616582" y="2598083"/>
          <a:ext cx="485046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C2457FCE-1335-464A-888C-6A753098490A}"/>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B1549C1D-0B81-4337-863B-59058DBE5144}"/>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FE957AF1-3E34-49B8-8284-5F241DD6754F}"/>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8</xdr:col>
      <xdr:colOff>619125</xdr:colOff>
      <xdr:row>16</xdr:row>
      <xdr:rowOff>49306</xdr:rowOff>
    </xdr:from>
    <xdr:ext cx="1978747" cy="254493"/>
    <xdr:sp macro="" textlink="">
      <xdr:nvSpPr>
        <xdr:cNvPr id="58" name="TextBox 57">
          <a:extLst>
            <a:ext uri="{FF2B5EF4-FFF2-40B4-BE49-F238E27FC236}">
              <a16:creationId xmlns:a16="http://schemas.microsoft.com/office/drawing/2014/main" id="{8018A076-4230-44F6-AC4D-B2C611A5CCC6}"/>
            </a:ext>
          </a:extLst>
        </xdr:cNvPr>
        <xdr:cNvSpPr txBox="1"/>
      </xdr:nvSpPr>
      <xdr:spPr>
        <a:xfrm>
          <a:off x="1493520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B5895CE6-9EFB-401A-84F5-D1D08E220504}"/>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8</xdr:col>
      <xdr:colOff>666750</xdr:colOff>
      <xdr:row>22</xdr:row>
      <xdr:rowOff>43269</xdr:rowOff>
    </xdr:from>
    <xdr:to>
      <xdr:col>14</xdr:col>
      <xdr:colOff>330573</xdr:colOff>
      <xdr:row>22</xdr:row>
      <xdr:rowOff>59951</xdr:rowOff>
    </xdr:to>
    <xdr:cxnSp macro="">
      <xdr:nvCxnSpPr>
        <xdr:cNvPr id="60" name="Straight Connector 59">
          <a:extLst>
            <a:ext uri="{FF2B5EF4-FFF2-40B4-BE49-F238E27FC236}">
              <a16:creationId xmlns:a16="http://schemas.microsoft.com/office/drawing/2014/main" id="{31AB1B0E-DA92-4A29-8138-18836AFC625B}"/>
            </a:ext>
          </a:extLst>
        </xdr:cNvPr>
        <xdr:cNvCxnSpPr/>
      </xdr:nvCxnSpPr>
      <xdr:spPr>
        <a:xfrm flipV="1">
          <a:off x="14982825" y="4567644"/>
          <a:ext cx="1051279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052C57AD-F5BE-4024-8EFD-5794965A3B59}"/>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73118114-86B4-4819-B5D7-9A7877CB1111}"/>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9362D316-208B-47AC-8180-818BAB6A9FF0}"/>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340097</xdr:colOff>
      <xdr:row>23</xdr:row>
      <xdr:rowOff>168088</xdr:rowOff>
    </xdr:to>
    <xdr:cxnSp macro="">
      <xdr:nvCxnSpPr>
        <xdr:cNvPr id="64" name="Straight Connector 63">
          <a:extLst>
            <a:ext uri="{FF2B5EF4-FFF2-40B4-BE49-F238E27FC236}">
              <a16:creationId xmlns:a16="http://schemas.microsoft.com/office/drawing/2014/main" id="{410F0CE1-6870-4E52-B057-FDCE7B54B6C7}"/>
            </a:ext>
          </a:extLst>
        </xdr:cNvPr>
        <xdr:cNvCxnSpPr/>
      </xdr:nvCxnSpPr>
      <xdr:spPr>
        <a:xfrm>
          <a:off x="20616582" y="4892488"/>
          <a:ext cx="4888565"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1978747" cy="254493"/>
    <xdr:sp macro="" textlink="">
      <xdr:nvSpPr>
        <xdr:cNvPr id="65" name="TextBox 64">
          <a:extLst>
            <a:ext uri="{FF2B5EF4-FFF2-40B4-BE49-F238E27FC236}">
              <a16:creationId xmlns:a16="http://schemas.microsoft.com/office/drawing/2014/main" id="{07851F2D-4B2D-4D89-9AB3-9F6916A260EA}"/>
            </a:ext>
          </a:extLst>
        </xdr:cNvPr>
        <xdr:cNvSpPr txBox="1"/>
      </xdr:nvSpPr>
      <xdr:spPr>
        <a:xfrm>
          <a:off x="1726770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11</xdr:col>
      <xdr:colOff>156882</xdr:colOff>
      <xdr:row>16</xdr:row>
      <xdr:rowOff>49306</xdr:rowOff>
    </xdr:from>
    <xdr:ext cx="1978747" cy="254493"/>
    <xdr:sp macro="" textlink="">
      <xdr:nvSpPr>
        <xdr:cNvPr id="66" name="TextBox 65">
          <a:extLst>
            <a:ext uri="{FF2B5EF4-FFF2-40B4-BE49-F238E27FC236}">
              <a16:creationId xmlns:a16="http://schemas.microsoft.com/office/drawing/2014/main" id="{52CEC779-E6E8-4985-B92E-43B55A7D33A1}"/>
            </a:ext>
          </a:extLst>
        </xdr:cNvPr>
        <xdr:cNvSpPr txBox="1"/>
      </xdr:nvSpPr>
      <xdr:spPr>
        <a:xfrm>
          <a:off x="20616582"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593912</xdr:colOff>
      <xdr:row>16</xdr:row>
      <xdr:rowOff>49306</xdr:rowOff>
    </xdr:from>
    <xdr:ext cx="1978747" cy="254493"/>
    <xdr:sp macro="" textlink="">
      <xdr:nvSpPr>
        <xdr:cNvPr id="67" name="TextBox 66">
          <a:extLst>
            <a:ext uri="{FF2B5EF4-FFF2-40B4-BE49-F238E27FC236}">
              <a16:creationId xmlns:a16="http://schemas.microsoft.com/office/drawing/2014/main" id="{FAD87E48-EA22-47A6-99BB-D8C013B5CFC9}"/>
            </a:ext>
          </a:extLst>
        </xdr:cNvPr>
        <xdr:cNvSpPr txBox="1"/>
      </xdr:nvSpPr>
      <xdr:spPr>
        <a:xfrm>
          <a:off x="23101487"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8</xdr:col>
      <xdr:colOff>619125</xdr:colOff>
      <xdr:row>28</xdr:row>
      <xdr:rowOff>38660</xdr:rowOff>
    </xdr:from>
    <xdr:ext cx="1978747" cy="254493"/>
    <xdr:sp macro="" textlink="">
      <xdr:nvSpPr>
        <xdr:cNvPr id="68" name="TextBox 67">
          <a:extLst>
            <a:ext uri="{FF2B5EF4-FFF2-40B4-BE49-F238E27FC236}">
              <a16:creationId xmlns:a16="http://schemas.microsoft.com/office/drawing/2014/main" id="{2EAA6F5C-6F7B-40F9-811A-D6E1888403C8}"/>
            </a:ext>
          </a:extLst>
        </xdr:cNvPr>
        <xdr:cNvSpPr txBox="1"/>
      </xdr:nvSpPr>
      <xdr:spPr>
        <a:xfrm>
          <a:off x="1493520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9</xdr:col>
      <xdr:colOff>913279</xdr:colOff>
      <xdr:row>28</xdr:row>
      <xdr:rowOff>38660</xdr:rowOff>
    </xdr:from>
    <xdr:ext cx="1978747" cy="254493"/>
    <xdr:sp macro="" textlink="">
      <xdr:nvSpPr>
        <xdr:cNvPr id="69" name="TextBox 68">
          <a:extLst>
            <a:ext uri="{FF2B5EF4-FFF2-40B4-BE49-F238E27FC236}">
              <a16:creationId xmlns:a16="http://schemas.microsoft.com/office/drawing/2014/main" id="{F9068E14-ACE0-4CAD-AECE-0BFE16200958}"/>
            </a:ext>
          </a:extLst>
        </xdr:cNvPr>
        <xdr:cNvSpPr txBox="1"/>
      </xdr:nvSpPr>
      <xdr:spPr>
        <a:xfrm>
          <a:off x="1727722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11</xdr:col>
      <xdr:colOff>156882</xdr:colOff>
      <xdr:row>28</xdr:row>
      <xdr:rowOff>38660</xdr:rowOff>
    </xdr:from>
    <xdr:ext cx="1978747" cy="254493"/>
    <xdr:sp macro="" textlink="">
      <xdr:nvSpPr>
        <xdr:cNvPr id="70" name="TextBox 69">
          <a:extLst>
            <a:ext uri="{FF2B5EF4-FFF2-40B4-BE49-F238E27FC236}">
              <a16:creationId xmlns:a16="http://schemas.microsoft.com/office/drawing/2014/main" id="{E7C7D547-8ECA-4F8C-8903-C11288BE087A}"/>
            </a:ext>
          </a:extLst>
        </xdr:cNvPr>
        <xdr:cNvSpPr txBox="1"/>
      </xdr:nvSpPr>
      <xdr:spPr>
        <a:xfrm>
          <a:off x="20616582"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660587</xdr:colOff>
      <xdr:row>28</xdr:row>
      <xdr:rowOff>29135</xdr:rowOff>
    </xdr:from>
    <xdr:ext cx="1978747" cy="254493"/>
    <xdr:sp macro="" textlink="">
      <xdr:nvSpPr>
        <xdr:cNvPr id="71" name="TextBox 70">
          <a:extLst>
            <a:ext uri="{FF2B5EF4-FFF2-40B4-BE49-F238E27FC236}">
              <a16:creationId xmlns:a16="http://schemas.microsoft.com/office/drawing/2014/main" id="{D0CF1DF7-7292-4165-8711-509C773EDAE4}"/>
            </a:ext>
          </a:extLst>
        </xdr:cNvPr>
        <xdr:cNvSpPr txBox="1"/>
      </xdr:nvSpPr>
      <xdr:spPr>
        <a:xfrm>
          <a:off x="23168162" y="5753660"/>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9</xdr:col>
      <xdr:colOff>941854</xdr:colOff>
      <xdr:row>25</xdr:row>
      <xdr:rowOff>155762</xdr:rowOff>
    </xdr:from>
    <xdr:to>
      <xdr:col>10</xdr:col>
      <xdr:colOff>852208</xdr:colOff>
      <xdr:row>28</xdr:row>
      <xdr:rowOff>108696</xdr:rowOff>
    </xdr:to>
    <xdr:sp macro="" textlink="$H$57">
      <xdr:nvSpPr>
        <xdr:cNvPr id="72" name="TextBox 71">
          <a:extLst>
            <a:ext uri="{FF2B5EF4-FFF2-40B4-BE49-F238E27FC236}">
              <a16:creationId xmlns:a16="http://schemas.microsoft.com/office/drawing/2014/main" id="{BE557F85-4062-4FB4-81F7-E131505EA05A}"/>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945A79A-D657-45FF-8794-B3F7FE79A7B2}"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7">
      <xdr:nvSpPr>
        <xdr:cNvPr id="73" name="TextBox 72">
          <a:extLst>
            <a:ext uri="{FF2B5EF4-FFF2-40B4-BE49-F238E27FC236}">
              <a16:creationId xmlns:a16="http://schemas.microsoft.com/office/drawing/2014/main" id="{5340FD41-98CA-4985-962A-5C20A0709F81}"/>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0887E06-5564-4610-905A-7D5E4A0E50F4}"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6BD0EE42-F585-4C13-AAF7-12318C248B76}"/>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Grain sold</a:t>
          </a:r>
        </a:p>
      </xdr:txBody>
    </xdr:sp>
    <xdr:clientData/>
  </xdr:twoCellAnchor>
  <xdr:twoCellAnchor editAs="oneCell">
    <xdr:from>
      <xdr:col>3</xdr:col>
      <xdr:colOff>113741</xdr:colOff>
      <xdr:row>4</xdr:row>
      <xdr:rowOff>38099</xdr:rowOff>
    </xdr:from>
    <xdr:to>
      <xdr:col>3</xdr:col>
      <xdr:colOff>954995</xdr:colOff>
      <xdr:row>8</xdr:row>
      <xdr:rowOff>31938</xdr:rowOff>
    </xdr:to>
    <xdr:pic>
      <xdr:nvPicPr>
        <xdr:cNvPr id="75" name="Picture 74">
          <a:extLst>
            <a:ext uri="{FF2B5EF4-FFF2-40B4-BE49-F238E27FC236}">
              <a16:creationId xmlns:a16="http://schemas.microsoft.com/office/drawing/2014/main" id="{41686E1C-36A9-46FC-8A08-B582578594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6954" r="6954"/>
        <a:stretch/>
      </xdr:blipFill>
      <xdr:spPr>
        <a:xfrm>
          <a:off x="2790266" y="962024"/>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73E500E2-B4D1-4864-A07B-FBF77636D6FB}"/>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Baled hay/silage sold</a:t>
          </a:r>
        </a:p>
      </xdr:txBody>
    </xdr:sp>
    <xdr:clientData/>
  </xdr:twoCellAnchor>
  <xdr:twoCellAnchor editAs="oneCell">
    <xdr:from>
      <xdr:col>8</xdr:col>
      <xdr:colOff>660061</xdr:colOff>
      <xdr:row>4</xdr:row>
      <xdr:rowOff>0</xdr:rowOff>
    </xdr:from>
    <xdr:to>
      <xdr:col>8</xdr:col>
      <xdr:colOff>1587703</xdr:colOff>
      <xdr:row>8</xdr:row>
      <xdr:rowOff>79562</xdr:rowOff>
    </xdr:to>
    <xdr:pic>
      <xdr:nvPicPr>
        <xdr:cNvPr id="77" name="Picture 76">
          <a:extLst>
            <a:ext uri="{FF2B5EF4-FFF2-40B4-BE49-F238E27FC236}">
              <a16:creationId xmlns:a16="http://schemas.microsoft.com/office/drawing/2014/main" id="{6343A88A-2BC3-499D-9EA4-DBB1221D27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l="4962" r="4962"/>
        <a:stretch/>
      </xdr:blipFill>
      <xdr:spPr>
        <a:xfrm flipH="1">
          <a:off x="14976136" y="923925"/>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45</xdr:row>
      <xdr:rowOff>200025</xdr:rowOff>
    </xdr:from>
    <xdr:to>
      <xdr:col>9</xdr:col>
      <xdr:colOff>1443037</xdr:colOff>
      <xdr:row>57</xdr:row>
      <xdr:rowOff>85725</xdr:rowOff>
    </xdr:to>
    <xdr:graphicFrame macro="">
      <xdr:nvGraphicFramePr>
        <xdr:cNvPr id="78" name="Chart 77">
          <a:extLst>
            <a:ext uri="{FF2B5EF4-FFF2-40B4-BE49-F238E27FC236}">
              <a16:creationId xmlns:a16="http://schemas.microsoft.com/office/drawing/2014/main" id="{B75969F5-751C-42DC-8FFF-18B00DECC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6_AgriculturalResidue_WIP_v04.xlsx" TargetMode="External"/><Relationship Id="rId2" Type="http://schemas.openxmlformats.org/officeDocument/2006/relationships/externalLinkPath" Target="file:///C:\htdocs\zneagcrc\GAF-VEERG-Functions\Excel\6_AgriculturalResidue_WIP_v04.xlsx" TargetMode="External"/><Relationship Id="rId1" Type="http://schemas.openxmlformats.org/officeDocument/2006/relationships/externalLinkPath" Target="/htdocs/zneagcrc/GAF-VEERG-Functions/Excel/6_AgriculturalResidue_WIP_v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ome"/>
      <sheetName val="Overview"/>
      <sheetName val="Results"/>
      <sheetName val="Input - Site"/>
      <sheetName val="Input - Crop"/>
      <sheetName val="Input - Pasture"/>
      <sheetName val="6.1.1.1-2 Crop residue N2O"/>
      <sheetName val="6.2.1.1-2 Pasture residue N2O"/>
      <sheetName val="6.3.1.1-2 Leaching and runoff"/>
      <sheetName val="6.3.1.1-2 Leach runoff crop"/>
      <sheetName val="6.3.1.1-2 Leach runoff pasture"/>
      <sheetName val="6.4.1.1-2 Residue burning"/>
      <sheetName val="Constants - Ag Residue"/>
      <sheetName val="Constants - Comm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8">
          <cell r="D8" t="str">
            <v>Cash grain crop</v>
          </cell>
          <cell r="E8" t="str">
            <v>grain</v>
          </cell>
          <cell r="F8" t="str">
            <v>yield</v>
          </cell>
          <cell r="G8" t="str">
            <v>harvest</v>
          </cell>
        </row>
        <row r="9">
          <cell r="D9" t="str">
            <v>Cash crop for hay/silage</v>
          </cell>
          <cell r="E9" t="str">
            <v>above ground biomass</v>
          </cell>
          <cell r="F9" t="str">
            <v>yield</v>
          </cell>
          <cell r="G9" t="str">
            <v>harvest</v>
          </cell>
        </row>
        <row r="10">
          <cell r="D10" t="str">
            <v>Cover crop</v>
          </cell>
          <cell r="E10" t="str">
            <v>above ground biomass</v>
          </cell>
          <cell r="F10" t="str">
            <v>mass</v>
          </cell>
          <cell r="G10" t="str">
            <v>end of crop cycle</v>
          </cell>
        </row>
      </sheetData>
      <sheetData sheetId="13"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23F9A9-894D-4DDA-8C25-E7DAC6870038}" name="Table_Input_Enterprise_PlantingRemovals" displayName="Table_Input_Enterprise_PlantingRemovals" ref="D41:G42" totalsRowShown="0">
  <autoFilter ref="D41:G42" xr:uid="{F023F9A9-894D-4DDA-8C25-E7DAC6870038}"/>
  <tableColumns count="4">
    <tableColumn id="1" xr3:uid="{8F8E4361-8257-4137-8EDC-59B7213402A5}" name="Planting name" dataCellStyle="Input text"/>
    <tableColumn id="2" xr3:uid="{DD40DC10-E06A-4FC1-8C41-EA8FB38A2523}" name="Total removed CO2" dataCellStyle="Input number general"/>
    <tableColumn id="3" xr3:uid="{136E6C57-B7EE-4EB6-9579-D117B756EBEA}" name="Percent allocated to this enterprise" dataCellStyle="Input percent"/>
    <tableColumn id="4" xr3:uid="{D192E6A4-99D9-4CC9-AC9D-975914BE3CEB}"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28A77-AAF0-4E4B-B3B6-548B8379325D}" name="Table_Input_DataQuality_Enterprise" displayName="Table_Input_DataQuality_Enterprise" ref="D7:J14" totalsRowShown="0" headerRowCellStyle="Input table column header">
  <autoFilter ref="D7:J14" xr:uid="{A9228A77-AAF0-4E4B-B3B6-548B8379325D}"/>
  <tableColumns count="7">
    <tableColumn id="1" xr3:uid="{D973B6CD-DC02-4FB9-BC72-C7D59E0878F5}" name="Data type" dataCellStyle="Content normal"/>
    <tableColumn id="2" xr3:uid="{8628A244-7FCA-4923-B809-B69CE86B5CDE}" name="When was the data sourced?" dataCellStyle="Input select"/>
    <tableColumn id="3" xr3:uid="{FAD9C63D-6E32-48F0-8A23-222E15F46B11}" name="Where is the data sourced from?" dataCellStyle="Input select"/>
    <tableColumn id="4" xr3:uid="{5EDBE82F-7B3C-458A-8638-8F86879CF287}" name="How much of the data was from direct samples?" dataCellStyle="Input select"/>
    <tableColumn id="5" xr3:uid="{58811FFB-FE3A-4DD8-BE53-E8CB588BCB77}" name="Notes" dataDxfId="53"/>
    <tableColumn id="6" xr3:uid="{1219F6AC-7C79-4EDD-8C55-F7A78277AE3F}" name="Evidence files" dataDxfId="52"/>
    <tableColumn id="7" xr3:uid="{A201D4C4-5F18-4228-8444-52A30734BB16}" name="Score" dataCellStyle="Input number general calculated">
      <calculatedColumnFormula>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EAFF54-6A37-4172-83F2-4CF40A8CE922}" name="Table_Input_DataQuality_Site" displayName="Table_Input_DataQuality_Site" ref="D19:J25" totalsRowShown="0" headerRowCellStyle="Input table column header">
  <autoFilter ref="D19:J25" xr:uid="{14EAFF54-6A37-4172-83F2-4CF40A8CE922}"/>
  <tableColumns count="7">
    <tableColumn id="1" xr3:uid="{77CE9F47-8CFA-4692-926E-40DA38A1B418}" name="Data type" dataCellStyle="Content normal"/>
    <tableColumn id="2" xr3:uid="{0E7A6865-A484-4EA8-BE54-5D641629A627}" name="When was the data sourced?" dataCellStyle="Input select"/>
    <tableColumn id="3" xr3:uid="{3E8C7762-D226-4D20-9E9C-87D78E3C44EB}" name="Where is the data sourced from?" dataCellStyle="Input select"/>
    <tableColumn id="4" xr3:uid="{4BFD5FBC-8263-4629-836C-DDA0F8DB50DF}" name="How much of the data was from direct samples?" dataCellStyle="Input select"/>
    <tableColumn id="5" xr3:uid="{E8075AB8-A4A6-48D2-A746-36F9CD68017F}" name="Notes" dataDxfId="51"/>
    <tableColumn id="6" xr3:uid="{73F97399-8A3B-4EFB-9481-CBD7CB1C44EB}" name="Evidence files" dataDxfId="50"/>
    <tableColumn id="7" xr3:uid="{5C3D4C29-1D29-4869-8E15-91152F19AFCD}" name="Score" dataCellStyle="Input number general calculated">
      <calculatedColumnFormula>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9F3E1E-E80D-4491-B5B5-2B0458B11142}" name="Table_Input_DataQuality_PastureManagement" displayName="Table_Input_DataQuality_PastureManagement" ref="D30:J33" totalsRowShown="0" headerRowCellStyle="Input table column header">
  <autoFilter ref="D30:J33" xr:uid="{E59F3E1E-E80D-4491-B5B5-2B0458B11142}"/>
  <tableColumns count="7">
    <tableColumn id="1" xr3:uid="{07B7AEAC-42D5-4F2A-9254-E28170F20541}" name="Data type" dataCellStyle="Content normal"/>
    <tableColumn id="2" xr3:uid="{F15C1AF3-5D79-4EFF-A7BC-85CD71AF8BCF}" name="When was the data sourced?" dataCellStyle="Input select"/>
    <tableColumn id="3" xr3:uid="{E627CA70-3484-4F31-AEDF-45A8D9B88D5B}" name="Where is the data sourced from?" dataCellStyle="Input select"/>
    <tableColumn id="4" xr3:uid="{17EAABE4-C534-43AF-A841-58EDEBD26AB6}" name="How much of the data was from direct samples?" dataCellStyle="Input select"/>
    <tableColumn id="5" xr3:uid="{179CA6A6-4732-423D-BA28-31ED41FEC488}" name="Notes" dataDxfId="49"/>
    <tableColumn id="6" xr3:uid="{865FA280-4A36-4101-BD09-20356916B4D5}" name="Evidence files" dataDxfId="48"/>
    <tableColumn id="7" xr3:uid="{399918FC-2F3F-431B-90D1-3CF016CF6FB7}" name="Score" dataCellStyle="Input number general calculated">
      <calculatedColumnFormula>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3D1E6C-FF7F-4D22-8D4B-093B5FC76F99}" name="Table_Input_DataQuality_FertiliserApplications" displayName="Table_Input_DataQuality_FertiliserApplications" ref="D38:J42" totalsRowShown="0" headerRowCellStyle="Input table column header">
  <autoFilter ref="D38:J42" xr:uid="{9C3D1E6C-FF7F-4D22-8D4B-093B5FC76F99}"/>
  <tableColumns count="7">
    <tableColumn id="1" xr3:uid="{56FDEC71-E0C9-4D04-A9A0-6CC0FF1B2B4D}" name="Data type" dataCellStyle="Content normal"/>
    <tableColumn id="2" xr3:uid="{D6C96F63-36E8-4824-8C95-BC4F6A076292}" name="When was the data sourced?" dataCellStyle="Input select"/>
    <tableColumn id="3" xr3:uid="{6D6CAE5E-4461-40B3-B8DC-047E72C1E057}" name="Where is the data sourced from?" dataCellStyle="Input select"/>
    <tableColumn id="4" xr3:uid="{1CF6EB6B-3987-44BA-AF58-FE9F4194D42F}" name="How much of the data was from direct samples?" dataCellStyle="Input select"/>
    <tableColumn id="5" xr3:uid="{2217AC95-A768-492F-A36E-74569D5596D4}" name="Notes" dataDxfId="47"/>
    <tableColumn id="6" xr3:uid="{410620E5-5948-4B74-B5C6-B017CD8C09FE}" name="Evidence files" dataDxfId="46"/>
    <tableColumn id="7" xr3:uid="{D000D4F8-1A71-478C-A273-A9B02C735D2D}" name="Score" dataCellStyle="Input number general calculated">
      <calculatedColumnFormula>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CC3CF1-FC3F-4295-9CAA-23D9BE9805DD}" name="Table_Input_DataQuality_FuelElectricity" displayName="Table_Input_DataQuality_FuelElectricity" ref="D47:J51" totalsRowShown="0" headerRowCellStyle="Input table column header">
  <autoFilter ref="D47:J51" xr:uid="{23CC3CF1-FC3F-4295-9CAA-23D9BE9805DD}"/>
  <tableColumns count="7">
    <tableColumn id="1" xr3:uid="{FF68AAD8-CA28-48F0-919A-B5EE00EEC959}" name="Data type" dataCellStyle="Content normal"/>
    <tableColumn id="2" xr3:uid="{BC53EBA0-F074-453F-8CEB-CA1F6ECC908D}" name="When was the data sourced?" dataCellStyle="Input select"/>
    <tableColumn id="3" xr3:uid="{443C80E7-5900-4A26-A586-B5571F50B9F7}" name="Where is the data sourced from?" dataCellStyle="Input select"/>
    <tableColumn id="4" xr3:uid="{C01B1081-DB35-4821-8766-E86DBB122E80}" name="How much of the data was from direct samples?" dataCellStyle="Input select"/>
    <tableColumn id="5" xr3:uid="{A1104D67-6CCD-4845-87B4-822F83200DD9}" name="Notes" dataDxfId="45"/>
    <tableColumn id="6" xr3:uid="{690D112F-6792-478E-99EE-B77B520B2164}" name="Evidence files" dataDxfId="44"/>
    <tableColumn id="7" xr3:uid="{6CAA4E36-3A57-4A0B-8F59-4A9A9900E954}"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86FF9E-0D3A-4B3C-AA24-5C854A47B3EC}" name="Table_Input_DataQuality_FarmInputsFreightWaste" displayName="Table_Input_DataQuality_FarmInputsFreightWaste" ref="D57:J61" totalsRowShown="0" headerRowCellStyle="Input table column header">
  <autoFilter ref="D57:J61" xr:uid="{3686FF9E-0D3A-4B3C-AA24-5C854A47B3EC}"/>
  <tableColumns count="7">
    <tableColumn id="1" xr3:uid="{C51E7368-348D-4A43-9E3F-127769A67275}" name="Data type" dataCellStyle="Content normal"/>
    <tableColumn id="2" xr3:uid="{4E3BAE35-86E5-4F71-98DC-491AD05B9B47}" name="When was the data sourced?" dataCellStyle="Input select"/>
    <tableColumn id="3" xr3:uid="{27B2AE81-8632-4140-9460-9C99650189CD}" name="Where is the data sourced from?" dataCellStyle="Input select"/>
    <tableColumn id="4" xr3:uid="{9C973ECC-975D-44BC-8B9B-BFC0C605F944}" name="How much of the data was from direct samples?" dataCellStyle="Input select"/>
    <tableColumn id="5" xr3:uid="{F255A018-D1E3-4FA7-9B50-4726EC2E2E56}" name="Notes" dataDxfId="43"/>
    <tableColumn id="6" xr3:uid="{16D79CDB-80AA-4F28-B5E0-282205F97C41}" name="Evidence files" dataDxfId="42"/>
    <tableColumn id="7" xr3:uid="{73A8FFE4-648C-4FC3-BBE0-724E1B5D1A5A}"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DAB1B-E2E2-457B-8EC2-85C9E6034F9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41EDE3A-D4F1-463C-A1A1-6E6DC3810C83}" name="State/Territory">
      <calculatedColumnFormula array="1">Common_InputFunctions.Utility_DisplayArrayInTable(Common_SourceData.Common_SourceData_AustralianStatesTerritories_Data(),Table_AustralianStates[[#Headers],[State/Territory]],0)</calculatedColumnFormula>
    </tableColumn>
    <tableColumn id="2" xr3:uid="{28E996F7-E11C-4718-9A56-505885A3261B}" name="Common Name">
      <calculatedColumnFormula array="1">Common_InputFunctions.Utility_DisplayArrayInTable(Common_SourceData.Common_SourceData_AustralianStatesTerritories_Data(),Table_AustralianStates[[#Headers],[State/Territory]],0)</calculatedColumnFormula>
    </tableColumn>
    <tableColumn id="3" xr3:uid="{124BB972-AB3E-4499-BB37-7BE00370D5A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9C2B9C-EA53-43CC-83C9-86D15CCC8F80}" name="Table_WASA4Areas" displayName="Table_WASA4Areas" ref="D20:D30" totalsRowShown="0">
  <autoFilter ref="D20:D30" xr:uid="{5FA81339-C6C8-4D36-BEEA-6C4AEDD9E676}">
    <filterColumn colId="0" hiddenButton="1"/>
  </autoFilter>
  <tableColumns count="1">
    <tableColumn id="1" xr3:uid="{052BF038-B042-499D-B26B-ACB38C3026C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267EB44-489E-4C0E-B82F-5E051FE9BF4A}" name="Table_GWPData" displayName="Table_GWPData" ref="D36:E43" totalsRowShown="0">
  <autoFilter ref="D36:E43" xr:uid="{B8E87A66-3E41-4AD3-925D-01EE21B43D7A}">
    <filterColumn colId="0" hiddenButton="1"/>
    <filterColumn colId="1" hiddenButton="1"/>
  </autoFilter>
  <tableColumns count="2">
    <tableColumn id="1" xr3:uid="{2EA1B09C-EFB1-43EC-8CCD-0AD2E14B783C}" name="Gas">
      <calculatedColumnFormula array="1">Common_InputFunctions.Utility_DisplayArrayInTable(Common_SourceData.Common_SourceData_GWP_Data(), Table_GWPData[[#Headers],[Gas]], 0)</calculatedColumnFormula>
    </tableColumn>
    <tableColumn id="2" xr3:uid="{D5BC830A-D63B-42AE-AB9F-A4B78D260F6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4797D9-5E87-4C9E-A5E2-FE5FDB03DDA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A151FC8-3695-4719-A4EF-7D04EC031B31}" name="Gas">
      <calculatedColumnFormula array="1">Common_InputFunctions.Utility_DisplayArrayInTable(Common_SourceData.Common_SourceData_ConvertGasElementalToMolecular_Data(),Table_GasToMolecularConversionFactor[[#Headers],[Gas]], 0)</calculatedColumnFormula>
    </tableColumn>
    <tableColumn id="5" xr3:uid="{C5A54C07-D112-4D55-AF20-931C32D3D04D}" name="Conversion factor">
      <calculatedColumnFormula array="1">Common_InputFunctions.Utility_DisplayArrayInTable(Common_SourceData.Common_SourceData_ConvertGasElementalToMolecular_Data(),Table_GasToMolecularConversionFactor[[#Headers],[Gas]], 0)</calculatedColumnFormula>
    </tableColumn>
    <tableColumn id="2" xr3:uid="{E068EBC3-E598-409A-A232-E6C5BCE51A4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F9871F0-4365-41D5-B3FE-1693C79370F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50E8067-6E8A-45AD-9E1A-D6A8EEC2056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CF9E070-EC5E-422A-AE63-360FA7300FD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292125F-3A0F-4FB3-9096-9A6C09064CE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D91884A-B7CC-43A5-89E2-EB9ADAD79B74}" name="MAT"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3" xr3:uid="{B580D36E-E641-4419-A5E9-56AD94FD9711}" name="MA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4" xr3:uid="{0CE926DB-8FBB-46DD-B2F5-74DB63757391}" name="Frost days per year"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5" xr3:uid="{47751D32-289E-4A5A-90B8-231DD67C9832}" name="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6" xr3:uid="{4F949F03-6B35-4E94-829B-0336C4645775}" name="MAP:PET"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7" xr3:uid="{3FBCB33B-842D-41D5-AD5F-83D615C11114}" name="Min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8" xr3:uid="{C2619C9C-0794-4F06-A862-63A4C3CA66EC}" name="Max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9" xr3:uid="{FAF7977F-60AC-4F2F-AA73-CCFEA07FF532}" name="Min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0" xr3:uid="{D90DF110-8E64-41CE-9DF1-5AD24AE94500}" name="Max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1" xr3:uid="{1226E44E-433A-4C43-A126-43AC4AD90613}" name="Min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5" xr3:uid="{39232AE3-3382-4B1D-A883-69EAEC386BCA}" name="Max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2" xr3:uid="{59F4DDE6-C7E7-4BB5-BB18-F669A3EE8FF3}" name="Min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6" xr3:uid="{72A56AAE-52D9-45B2-A13B-93D81D4FB64C}" name="Max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3" xr3:uid="{EE7B4570-E79C-43AD-A951-1CDFABFAAADA}" name="Min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7" xr3:uid="{A609D4ED-0384-43E1-9D16-AE8544F53232}" name="Max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B6ABB3D-00EB-4F67-B55C-B508EAA963D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CF489C9-0C88-4CCB-A29C-4C5E0A70649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5DEBDB4-D8D7-40B9-83B3-DA303173B97A}" name="Wet or Dry Zone" totalsRowDxfId="2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3EE2944-F83E-4446-B64E-48FA3FE70F7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D46E4B8-878F-4360-99A1-6CE0E4A5E003}" name="Temperature Zone">
      <calculatedColumnFormula array="1">Common_InputFunctions.Utility_DisplayArrayInTable(Common_SourceData.Common_SourceData_TemperatureZones_Data(),Table_SourceData_TemperatureZones[[#Headers],[Temperature Zone]],0)</calculatedColumnFormula>
    </tableColumn>
    <tableColumn id="2" xr3:uid="{932495B2-C13E-4102-A127-9F5124B82CF5}" name="MAT">
      <calculatedColumnFormula array="1">Common_InputFunctions.Utility_DisplayArrayInTable(Common_SourceData.Common_SourceData_TemperatureZones_Data(),Table_SourceData_TemperatureZones[[#Headers],[Temperature Zone]],0)</calculatedColumnFormula>
    </tableColumn>
    <tableColumn id="3" xr3:uid="{F82B298A-282C-4596-A446-8DF92BDC6128}" name="Min MAT">
      <calculatedColumnFormula array="1">Common_InputFunctions.Utility_DisplayArrayInTable(Common_SourceData.Common_SourceData_TemperatureZones_Data(),Table_SourceData_TemperatureZones[[#Headers],[Temperature Zone]],0)</calculatedColumnFormula>
    </tableColumn>
    <tableColumn id="4" xr3:uid="{B4E9480A-A0F0-4B00-ADC0-4B48A0BE56B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380F265-B880-4441-BD8C-DA4A3D7D096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D3146BF-5F3C-4544-85A3-255604FC5EA1}" name="Rainfall Zone">
      <calculatedColumnFormula array="1">Common_InputFunctions.Utility_DisplayArrayInTable(Common_SourceData.Common_SourceData_RainfallZones_Data(),Table_SourceData_RainfallZones[[#Headers],[Rainfall Zone]],0)</calculatedColumnFormula>
    </tableColumn>
    <tableColumn id="2" xr3:uid="{FF1BCB7D-96C0-4CBD-B2D8-67F056D138E8}" name="Annual rainfall">
      <calculatedColumnFormula array="1">Common_InputFunctions.Utility_DisplayArrayInTable(Common_SourceData.Common_SourceData_RainfallZones_Data(),Table_SourceData_RainfallZones[[#Headers],[Rainfall Zone]],0)</calculatedColumnFormula>
    </tableColumn>
    <tableColumn id="3" xr3:uid="{366380E1-365A-4FFC-8CDF-20279E5243C1}" name="Min rainfall">
      <calculatedColumnFormula array="1">Common_InputFunctions.Utility_DisplayArrayInTable(Common_SourceData.Common_SourceData_RainfallZones_Data(),Table_SourceData_RainfallZones[[#Headers],[Rainfall Zone]],0)</calculatedColumnFormula>
    </tableColumn>
    <tableColumn id="4" xr3:uid="{9FF04DBF-5494-4944-A10B-F1873331455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31591D-D840-4C63-B843-7E7AB936311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5582C67-7F1A-4CB9-81A7-806C7922D294}" name="Leaching Zone">
      <calculatedColumnFormula array="1">Common_InputFunctions.Utility_DisplayArrayInTable(Common_SourceData.Common_SourceData_LeachingZones_Data(), Table_SourceData_LeachingZones[[#Headers],[Leaching Zone]], 0)</calculatedColumnFormula>
    </tableColumn>
    <tableColumn id="2" xr3:uid="{FF42B095-B4EA-47C0-A4CE-2C18113997C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9071B43-84C5-4A9B-AC56-87E088211B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9B94965-E9CF-461F-974A-9D878EA9BE16}" name="Data source">
      <calculatedColumnFormula array="1">Common_InputFunctions.Utility_DisplayArrayInTable(Common_SourceData.Common_SourceData_DataScores_Scope3_Data(), Table_SourceData_DataScores_Scope3[[#Headers],[Data source]], 0)</calculatedColumnFormula>
    </tableColumn>
    <tableColumn id="2" xr3:uid="{A47D2B04-79A0-439E-8055-16F2C7A1BBF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518494-8C9E-4786-94D1-C5716A0FA1E2}" name="Table_SourceData_FracWET" displayName="Table_SourceData_FracWET" ref="D134:E136" totalsRowShown="0">
  <autoFilter ref="D134:E136" xr:uid="{308E99BE-FE1F-47A4-B2CA-97217277C4E9}">
    <filterColumn colId="0" hiddenButton="1"/>
    <filterColumn colId="1" hiddenButton="1"/>
  </autoFilter>
  <tableColumns count="2">
    <tableColumn id="1" xr3:uid="{22C2C6AE-DA6F-4ADB-859F-88523E4E47DC}" name="Is in leaching zone">
      <calculatedColumnFormula array="1">Common_InputFunctions.Utility_DisplayArrayInTable(Common_SourceData.Common_SourceData_FracWET_Data(),Table_SourceData_FracWET[[#Headers],[Is in leaching zone]],0)</calculatedColumnFormula>
    </tableColumn>
    <tableColumn id="2" xr3:uid="{961AE704-9742-40C1-9D0C-522CDADB57B4}" name="FracWET" dataDxfId="2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30FF5B-D32A-4E20-8001-BEC538B5ADB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579B01-6791-4441-A783-A578EA998185}" name="Production system j">
      <calculatedColumnFormula array="1">Common_InputFunctions.Utility_DisplayArrayInTable(Common_SourceData.Common_SourceData_EFN2O_Data(), Table_SourceData_Common_EFN2O[[#Headers],[Production system j]], 0)</calculatedColumnFormula>
    </tableColumn>
    <tableColumn id="2" xr3:uid="{951BC42C-328B-45C5-8A5E-DEC49F0A7633}" name="EFN2O">
      <calculatedColumnFormula array="1">Common_InputFunctions.Utility_DisplayArrayInTable(Common_SourceData.Common_SourceData_EFN2O_Data(), Table_SourceData_Common_EFN2O[[#Headers],[Production system j]], 0)</calculatedColumnFormula>
    </tableColumn>
    <tableColumn id="3" xr3:uid="{8C5AD5F0-605F-405F-BC1E-6F6960ECDAF1}" name="Production system only">
      <calculatedColumnFormula array="1">Common_InputFunctions.Utility_DisplayArrayInTable(Common_SourceData.Common_SourceData_EFN2O_Data(), Table_SourceData_Common_EFN2O[[#Headers],[Production system j]], 0)</calculatedColumnFormula>
    </tableColumn>
    <tableColumn id="4" xr3:uid="{3C9492A3-4106-4C7B-9209-216C3BE40055}" name="Irrigation method">
      <calculatedColumnFormula array="1">Common_InputFunctions.Utility_DisplayArrayInTable(Common_SourceData.Common_SourceData_EFN2O_Data(), Table_SourceData_Common_EFN2O[[#Headers],[Production system j]], 0)</calculatedColumnFormula>
    </tableColumn>
    <tableColumn id="5" xr3:uid="{70FBD27E-C4BC-4A2A-9757-D59BA4C8C67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2BFD65A-21D6-4297-B99D-D0D42176D76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9B8C9C0-487C-456F-A38C-2227312F423D}" name="Irrigation type i">
      <calculatedColumnFormula array="1">Common_InputFunctions.Utility_DisplayArrayInTable(Common_SourceData.Common_SourceData_FracWETIrrigation_Data(), Table_SourceData_FracWETIrrigation[[#Headers],[Irrigation type i]], 0)</calculatedColumnFormula>
    </tableColumn>
    <tableColumn id="2" xr3:uid="{76FEBB52-4BA8-4878-ABD5-A1D385C9CBB2}" name="FracWET" dataDxfId="2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F89208A-A2F1-4521-BFB3-FD49A86DCF3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3194017-8420-4A75-BF58-D94E8E366F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7689A4-5F79-4DC6-AEDA-BD27AA7735DE}" name="EFPRP" dataDxfId="2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C6B72B8-D330-4DFF-B354-ADB4E9F1BE8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FA27088-5584-4432-9EBF-9CC908BB3F73}" name="Month">
      <calculatedColumnFormula array="1">Common_InputFunctions.Utility_DisplayArrayInTable(Common_SourceData.Common_SourceData_MonthsToSeasons_Data(), Table_SourceData_Common_MonthToSeason[[#Headers],[Month]], 0)</calculatedColumnFormula>
    </tableColumn>
    <tableColumn id="2" xr3:uid="{562A242E-2C18-4700-B87C-BF0E6D72E55D}" name="Season" dataDxfId="2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15BB5D5-D7B7-49C7-8998-F0613D37DA0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C03558-7821-48FC-BA43-9E83FD9DD21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E651B1E-905B-4999-A25B-F342CDE64E0F}" name="MAT (ºC)"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270A2A-6E0B-40B1-8BF5-FD175022D5E5}" name="Anaerobic lago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1E38317-525E-4A5B-86A6-35AD41B903A1}" name="Digester / covered lagoon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17EAE1F-F1D4-4ECA-B2BF-27F27C0B710C}" name="Liquid system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D7C0588-F29D-41D2-A4F1-2B6AE80CCB2F}" name="Daily spread"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D7D514E-D604-458B-8BB0-C81C5E0B188D}" name="Composting (passive windrow)"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7536CDB-8030-4364-AAA8-EF005F5E86F7}" name="Solid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345CB6-1C20-4DB9-BB29-CB0010CAD450}" name="Pit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24CEA8D-4055-4FCC-9831-B9F593B59067}" name="Deep litter"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E546694-46BB-4C32-9C9E-789A7FB89886}" name="Poultry manure with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2DFD68D-580C-4C50-B683-5DD09E98F6BA}" name="Poultry manure without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5502853-37BF-4EF6-8B81-BFA61AB1A883}" name="Direct process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4B91790-27EC-4CF9-8F1E-156D88349580}" name="Direct application"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B2BAB32-A63B-41E1-BE03-B2A6435DA45E}" name="Pasture range and paddock"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52E7C0B-2A2F-4D94-B3EE-F55684FCD251}" name="MAT raw"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7ABB6EE-804C-4EDC-AFDE-C9586C36A97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72554FB-5647-43EE-81BE-BD170F3983C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E3B7306-38E5-41D5-9D76-8FDBDD9AE302}" name="EFNi &amp; EFN2Oi" dataDxfId="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FCF4F82-9E1B-4FB1-927B-5EDFE80502DA}"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67CB5F21-5858-42C0-820C-FA4341C92233}" name="User friendly description" dataDxfId="5" dataCellStyle="Content normal"/>
    <tableColumn id="2" xr3:uid="{A467D3D2-FAE8-4B4F-AD2F-273B449008EF}" name="Description" dataDxfId="4" dataCellStyle="Content normal"/>
    <tableColumn id="1" xr3:uid="{0177D8A5-3CAD-4019-91CC-E9E92C7CD148}" name="ID"/>
    <tableColumn id="3" xr3:uid="{D129B7D0-4F30-40BA-A6A7-54FEE1CB39A7}" name="Score"/>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86AF9B4-7499-497E-86B5-6690E450DDAE}"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E3087997-1A71-41E6-95DA-00D25217CB77}" name="User friendly description" dataDxfId="3" dataCellStyle="Content normal"/>
    <tableColumn id="1" xr3:uid="{76CE025C-B272-4023-B793-440DED678242}" name="Description"/>
    <tableColumn id="2" xr3:uid="{7F57D207-1D4F-4A28-8836-C5DC431E1625}" name="ID"/>
    <tableColumn id="3" xr3:uid="{559F6435-AB23-47A3-B30E-D5E467BA68A8}" name="Score"/>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3E91645-F61A-4118-8970-B7814D138119}"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DF638216-436F-4C10-B75A-DAAFFCC99904}" name="User friendly description" dataDxfId="2" dataCellStyle="Content normal"/>
    <tableColumn id="1" xr3:uid="{349901AD-9801-4819-B144-89B773FED959}" name="Description"/>
    <tableColumn id="2" xr3:uid="{BBC89306-46D2-4929-8947-68EE38366C09}" name="ID"/>
    <tableColumn id="3" xr3:uid="{865818AA-73D1-46C8-89D3-B389E9CADD7C}" name="Score"/>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D68B119-42F4-4131-8EB1-5EF9ED33597F}"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BA23F989-3F7E-4E10-B48D-200333055957}" name="User friendly description" dataDxfId="1" dataCellStyle="Content normal"/>
    <tableColumn id="1" xr3:uid="{55A1F1EC-210E-48D2-BED8-03D5FB58A9A5}" name="Description"/>
    <tableColumn id="2" xr3:uid="{4F17639D-3869-4472-8F9F-1819280657B0}" name="ID"/>
    <tableColumn id="3" xr3:uid="{77FE4131-90F7-4C8B-929C-08DA8DF35F1C}"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4.xml"/><Relationship Id="rId13" Type="http://schemas.openxmlformats.org/officeDocument/2006/relationships/table" Target="../tables/table19.xml"/><Relationship Id="rId18" Type="http://schemas.openxmlformats.org/officeDocument/2006/relationships/table" Target="../tables/table24.xml"/><Relationship Id="rId3" Type="http://schemas.openxmlformats.org/officeDocument/2006/relationships/table" Target="../tables/table9.xml"/><Relationship Id="rId21" Type="http://schemas.openxmlformats.org/officeDocument/2006/relationships/table" Target="../tables/table27.xml"/><Relationship Id="rId7" Type="http://schemas.openxmlformats.org/officeDocument/2006/relationships/table" Target="../tables/table13.xml"/><Relationship Id="rId12" Type="http://schemas.openxmlformats.org/officeDocument/2006/relationships/table" Target="../tables/table18.xml"/><Relationship Id="rId17" Type="http://schemas.openxmlformats.org/officeDocument/2006/relationships/table" Target="../tables/table23.xml"/><Relationship Id="rId2" Type="http://schemas.openxmlformats.org/officeDocument/2006/relationships/table" Target="../tables/table8.xml"/><Relationship Id="rId16" Type="http://schemas.openxmlformats.org/officeDocument/2006/relationships/table" Target="../tables/table22.xml"/><Relationship Id="rId20" Type="http://schemas.openxmlformats.org/officeDocument/2006/relationships/table" Target="../tables/table26.xml"/><Relationship Id="rId1" Type="http://schemas.openxmlformats.org/officeDocument/2006/relationships/printerSettings" Target="../printerSettings/printerSettings2.bin"/><Relationship Id="rId6" Type="http://schemas.openxmlformats.org/officeDocument/2006/relationships/table" Target="../tables/table12.xml"/><Relationship Id="rId11" Type="http://schemas.openxmlformats.org/officeDocument/2006/relationships/table" Target="../tables/table17.xml"/><Relationship Id="rId5" Type="http://schemas.openxmlformats.org/officeDocument/2006/relationships/table" Target="../tables/table11.xml"/><Relationship Id="rId15" Type="http://schemas.openxmlformats.org/officeDocument/2006/relationships/table" Target="../tables/table21.xml"/><Relationship Id="rId10" Type="http://schemas.openxmlformats.org/officeDocument/2006/relationships/table" Target="../tables/table16.xml"/><Relationship Id="rId19" Type="http://schemas.openxmlformats.org/officeDocument/2006/relationships/table" Target="../tables/table25.xml"/><Relationship Id="rId4" Type="http://schemas.openxmlformats.org/officeDocument/2006/relationships/table" Target="../tables/table10.xml"/><Relationship Id="rId9" Type="http://schemas.openxmlformats.org/officeDocument/2006/relationships/table" Target="../tables/table15.xml"/><Relationship Id="rId14" Type="http://schemas.openxmlformats.org/officeDocument/2006/relationships/table" Target="../tables/table20.xml"/><Relationship Id="rId22"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heetViews>
  <sheetFormatPr defaultRowHeight="15" x14ac:dyDescent="0.25"/>
  <sheetData>
    <row r="1" spans="1:1" x14ac:dyDescent="0.25">
      <c r="A1" t="s">
        <v>0</v>
      </c>
    </row>
    <row r="3" spans="1:1" x14ac:dyDescent="0.25">
      <c r="A3" s="82" t="str">
        <f>HYPERLINK("#'Home'!A1", "Home")</f>
        <v>Home</v>
      </c>
    </row>
    <row r="6" spans="1:1" x14ac:dyDescent="0.25">
      <c r="A6" s="83" t="s">
        <v>2</v>
      </c>
    </row>
    <row r="7" spans="1:1" ht="15.75" x14ac:dyDescent="0.25">
      <c r="A7" s="5" t="str">
        <f>HYPERLINK("#'Constants - Common'!A1", "Constants - Common")</f>
        <v>Constants - Common</v>
      </c>
    </row>
    <row r="8" spans="1:1" ht="15.75" x14ac:dyDescent="0.25">
      <c r="A8"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topLeftCell="A31" zoomScaleNormal="100" workbookViewId="0">
      <selection activeCell="E52" sqref="E52"/>
    </sheetView>
  </sheetViews>
  <sheetFormatPr defaultRowHeight="15.75" x14ac:dyDescent="0.25"/>
  <cols>
    <col min="1" max="1" width="30.7109375" customWidth="1"/>
    <col min="2" max="2" width="2.7109375" customWidth="1"/>
    <col min="3" max="3" width="2.7109375" style="1" customWidth="1"/>
    <col min="4" max="4" width="78.42578125" style="1" customWidth="1"/>
    <col min="5" max="10" width="30.7109375" style="1" customWidth="1"/>
    <col min="11" max="11" width="4.7109375" style="1" customWidth="1"/>
    <col min="12" max="12" width="4.7109375" customWidth="1"/>
    <col min="13" max="26" width="28.7109375" customWidth="1"/>
  </cols>
  <sheetData>
    <row r="1" spans="1:11" ht="30" customHeight="1" x14ac:dyDescent="0.35">
      <c r="A1" s="11" t="e" vm="1">
        <v>#VALUE!</v>
      </c>
      <c r="C1" s="93" t="s">
        <v>296</v>
      </c>
      <c r="D1" s="93"/>
      <c r="E1" s="93"/>
      <c r="F1" s="93"/>
      <c r="G1" s="93"/>
      <c r="H1" s="93"/>
      <c r="I1" s="93"/>
      <c r="J1" s="93"/>
      <c r="K1" s="93"/>
    </row>
    <row r="2" spans="1:11" ht="20.100000000000001" customHeight="1" x14ac:dyDescent="0.25">
      <c r="A2" s="3"/>
      <c r="C2" s="3"/>
      <c r="D2" s="3"/>
      <c r="E2" s="3"/>
      <c r="F2" s="3"/>
      <c r="G2" s="3"/>
      <c r="H2" s="3"/>
      <c r="I2" s="3"/>
      <c r="J2" s="3"/>
      <c r="K2" s="3"/>
    </row>
    <row r="3" spans="1:11" ht="20.100000000000001" customHeight="1" x14ac:dyDescent="0.25">
      <c r="A3" s="5" t="str">
        <f>HYPERLINK("#'Home'!A1", "Home")</f>
        <v>Home</v>
      </c>
      <c r="C3" s="94"/>
      <c r="D3" s="94"/>
      <c r="E3" s="94"/>
      <c r="F3" s="94"/>
      <c r="G3" s="94"/>
      <c r="H3" s="94"/>
      <c r="I3" s="94"/>
      <c r="J3" s="94"/>
      <c r="K3" s="94"/>
    </row>
    <row r="4" spans="1:11" ht="20.100000000000001" customHeight="1" x14ac:dyDescent="0.25">
      <c r="A4" s="5" t="str">
        <f>HYPERLINK("#'Results'!A1", "Results")</f>
        <v>Results</v>
      </c>
      <c r="D4" s="2" t="str">
        <f>"Emissions breakdown for activities running between " &amp; TEXT(X_Cell_Site_StartDate, "dd mmmm yyyy") &amp; " and " &amp; TEXT('Input - Enterprise'!E13, "dd mmmm yyyy")</f>
        <v>Emissions breakdown for activities running between 01 January 2025 and 31 December 2025</v>
      </c>
    </row>
    <row r="5" spans="1:11" ht="20.100000000000001" customHeight="1" x14ac:dyDescent="0.25">
      <c r="A5" s="4"/>
    </row>
    <row r="6" spans="1:11" ht="20.100000000000001" customHeight="1" x14ac:dyDescent="0.25">
      <c r="A6" s="8" t="s">
        <v>1</v>
      </c>
      <c r="D6" s="80" t="s">
        <v>272</v>
      </c>
    </row>
    <row r="7" spans="1:11" ht="20.100000000000001" customHeight="1" x14ac:dyDescent="0.25">
      <c r="A7" s="5" t="str">
        <f>HYPERLINK("#'Input - Site'!A1", "Site")</f>
        <v>Site</v>
      </c>
    </row>
    <row r="8" spans="1:11" ht="20.100000000000001" customHeight="1" x14ac:dyDescent="0.25">
      <c r="A8" s="5" t="str">
        <f>HYPERLINK("#'Input - Pasture Beef'!A1", "Pasture Beef")</f>
        <v>Pasture Beef</v>
      </c>
      <c r="D8" s="12" t="s">
        <v>4</v>
      </c>
      <c r="E8" s="12" t="s">
        <v>9</v>
      </c>
      <c r="F8" s="12" t="s">
        <v>10</v>
      </c>
      <c r="G8" s="12" t="s">
        <v>6</v>
      </c>
      <c r="H8" s="12" t="s">
        <v>11</v>
      </c>
      <c r="I8" s="12" t="s">
        <v>12</v>
      </c>
      <c r="J8" s="12"/>
    </row>
    <row r="9" spans="1:11" ht="20.100000000000001" customHeight="1" x14ac:dyDescent="0.25">
      <c r="A9" s="5"/>
      <c r="D9" s="1" t="s">
        <v>134</v>
      </c>
      <c r="E9" s="1" t="e" cm="1">
        <f t="array" ref="E9">VEERG_5_1_1_1__1_InorganicFertiliserApplicationN2OEmissions_Result_Method1</f>
        <v>#NAME?</v>
      </c>
      <c r="F9" s="1" t="e" cm="1">
        <f t="array" ref="F9">VEERG_5_1_1_1__1_InorganicFertiliserApplicationN2OEmissions_Result_Method2</f>
        <v>#NAME?</v>
      </c>
      <c r="G9" s="10" t="s">
        <v>13</v>
      </c>
      <c r="H9" s="1" t="e" cm="1">
        <f t="array" ref="H9">Common_Equations.Common_ConvertN2OToCO2e(E9,_xlfn.XLOOKUP("N2O", Table_GWPData[Gas],Table_GWPData[CO2-e factor]))</f>
        <v>#NAME?</v>
      </c>
      <c r="I9" s="1" t="e" cm="1">
        <f t="array" ref="I9">Common_Equations.Common_ConvertN2OToCO2e(F9,_xlfn.XLOOKUP("N2O", Table_GWPData[Gas],Table_GWPData[CO2-e factor]))</f>
        <v>#NAME?</v>
      </c>
      <c r="J9" s="10" t="s">
        <v>8</v>
      </c>
    </row>
    <row r="10" spans="1:11" ht="20.100000000000001" customHeight="1" x14ac:dyDescent="0.25">
      <c r="A10" s="7" t="s">
        <v>3</v>
      </c>
      <c r="D10" s="1" t="s">
        <v>135</v>
      </c>
      <c r="E10" s="1" t="e" cm="1">
        <f t="array" ref="E10">VEERG_5_1_1_3__1_InorganicFertiliserApplicationCO2Emissions_Result_Method1</f>
        <v>#NAME?</v>
      </c>
      <c r="F10" s="1" t="e">
        <f>E10</f>
        <v>#NAME?</v>
      </c>
      <c r="G10" s="10" t="s">
        <v>128</v>
      </c>
      <c r="H10" s="1" t="e">
        <f>E10</f>
        <v>#NAME?</v>
      </c>
      <c r="I10" s="1" t="e">
        <f>F10</f>
        <v>#NAME?</v>
      </c>
      <c r="J10" s="10" t="s">
        <v>8</v>
      </c>
    </row>
    <row r="11" spans="1:11" ht="20.100000000000001" customHeight="1" x14ac:dyDescent="0.25">
      <c r="A11" s="5" t="str">
        <f>HYPERLINK("#'4.2.1.1-2 Methane'!A1", "4.2.1.1-2 Methane")</f>
        <v>4.2.1.1-2 Methane</v>
      </c>
      <c r="D11" s="1" t="s">
        <v>136</v>
      </c>
      <c r="E11" s="1" t="e" cm="1">
        <f t="array" ref="E11">VEERG_5_2_1_1__2_MassOfNitrogenInOrganicFertiliser_Result_Method1</f>
        <v>#NAME?</v>
      </c>
      <c r="F11" s="1" t="e">
        <f>E11</f>
        <v>#NAME?</v>
      </c>
      <c r="G11" s="10" t="s">
        <v>13</v>
      </c>
      <c r="H11" s="1" t="e" cm="1">
        <f t="array" ref="H11">Common_Equations.Common_ConvertN2OToCO2e(E11,_xlfn.XLOOKUP("N2O", Table_GWPData[Gas],Table_GWPData[CO2-e factor]))</f>
        <v>#NAME?</v>
      </c>
      <c r="I11" s="1" t="e" cm="1">
        <f t="array" ref="I11">Common_Equations.Common_ConvertN2OToCO2e(F11,_xlfn.XLOOKUP("N2O", Table_GWPData[Gas],Table_GWPData[CO2-e factor]))</f>
        <v>#NAME?</v>
      </c>
      <c r="J11" s="10" t="s">
        <v>8</v>
      </c>
    </row>
    <row r="12" spans="1:11" ht="20.100000000000001" customHeight="1" x14ac:dyDescent="0.25">
      <c r="A12" s="5" t="str">
        <f>HYPERLINK("#'4.2.1.3-4 Soil direct N2O'!A1", "4.2.1.3-4 Soil direct N2O")</f>
        <v>4.2.1.3-4 Soil direct N2O</v>
      </c>
      <c r="D12" s="1" t="s">
        <v>137</v>
      </c>
      <c r="E12" s="1" t="e" cm="1">
        <f t="array" ref="E12">VEERG_5_3_1_1__1_LimeApplicationCO2Emissions_Result_Method1</f>
        <v>#NAME?</v>
      </c>
      <c r="F12" s="1" t="e">
        <f>E12</f>
        <v>#NAME?</v>
      </c>
      <c r="G12" s="10" t="s">
        <v>128</v>
      </c>
      <c r="H12" s="1" t="e">
        <f>E12</f>
        <v>#NAME?</v>
      </c>
      <c r="I12" s="1" t="e">
        <f>F12</f>
        <v>#NAME?</v>
      </c>
      <c r="J12" s="10" t="s">
        <v>8</v>
      </c>
    </row>
    <row r="13" spans="1:11" ht="20.100000000000001" customHeight="1" x14ac:dyDescent="0.25">
      <c r="A13" s="5" t="str">
        <f>HYPERLINK("#'4.2.1.5-6 Soil Atmos Dep'!A1", "4.2.1.5-6 Soil atm. deposition")</f>
        <v>4.2.1.5-6 Soil atm. deposition</v>
      </c>
      <c r="D13" s="1" t="s">
        <v>138</v>
      </c>
      <c r="E13" s="1" t="e" cm="1">
        <f t="array" ref="E13">VEERG_5_4_1_3__1_OrganicFertiliserAtmosphericDepositionN2OEmissions_Result_Method1</f>
        <v>#NAME?</v>
      </c>
      <c r="F13" s="1" t="e">
        <f>E13</f>
        <v>#NAME?</v>
      </c>
      <c r="G13" s="10" t="s">
        <v>13</v>
      </c>
      <c r="H13" s="1" t="e" cm="1">
        <f t="array" ref="H13">Common_Equations.Common_ConvertN2OToCO2e(E13,_xlfn.XLOOKUP("N2O", Table_GWPData[Gas],Table_GWPData[CO2-e factor]))</f>
        <v>#NAME?</v>
      </c>
      <c r="I13" s="1" t="e" cm="1">
        <f t="array" ref="I13">Common_Equations.Common_ConvertN2OToCO2e(F13,_xlfn.XLOOKUP("N2O", Table_GWPData[Gas],Table_GWPData[CO2-e factor]))</f>
        <v>#NAME?</v>
      </c>
      <c r="J13" s="10" t="s">
        <v>8</v>
      </c>
    </row>
    <row r="14" spans="1:11" ht="20.100000000000001" customHeight="1" x14ac:dyDescent="0.25">
      <c r="A14" s="5" t="str">
        <f>HYPERLINK("#'4.2.1.7-8 Soil leach runoff'!A1", "4.2.1.7-8 Soil leach &amp; runoff")</f>
        <v>4.2.1.7-8 Soil leach &amp; runoff</v>
      </c>
      <c r="D14" s="1" t="s">
        <v>139</v>
      </c>
      <c r="E14" s="1" t="e" cm="1">
        <f t="array" ref="E14">VEERG_5_5_1_1__1_FertiliserLeachingAndRunoffN2OEmissions_result_Method1</f>
        <v>#NAME?</v>
      </c>
      <c r="F14" s="1" t="e">
        <f>E14</f>
        <v>#NAME?</v>
      </c>
      <c r="G14" s="10" t="s">
        <v>13</v>
      </c>
      <c r="H14" s="1" t="e" cm="1">
        <f t="array" ref="H14">Common_Equations.Common_ConvertN2OToCO2e(E14,_xlfn.XLOOKUP("N2O", Table_GWPData[Gas],Table_GWPData[CO2-e factor]))</f>
        <v>#NAME?</v>
      </c>
      <c r="I14" s="1" t="e" cm="1">
        <f t="array" ref="I14">Common_Equations.Common_ConvertN2OToCO2e(F14,_xlfn.XLOOKUP("N2O", Table_GWPData[Gas],Table_GWPData[CO2-e factor]))</f>
        <v>#NAME?</v>
      </c>
      <c r="J14" s="10" t="s">
        <v>8</v>
      </c>
    </row>
    <row r="15" spans="1:11" ht="20.100000000000001" customHeight="1" x14ac:dyDescent="0.25">
      <c r="A15" s="5"/>
      <c r="D15" s="1" t="s">
        <v>174</v>
      </c>
      <c r="E15" s="1" t="e" cm="1">
        <f t="array" ref="E15">VEERG_6_1_1_1__1__NitrousOxideEmissionsFromCropResidues_Result_Method1</f>
        <v>#NAME?</v>
      </c>
      <c r="F15" s="1" t="e" cm="1">
        <f t="array" ref="F15">VEERG_6_1_1_1__1__NitrousOxideEmissionsFromCropResidues_Result_Method2</f>
        <v>#NAME?</v>
      </c>
      <c r="G15" s="10" t="s">
        <v>13</v>
      </c>
      <c r="H15" s="1" t="e" cm="1">
        <f t="array" ref="H15">Common_Equations.Common_ConvertN2OToCO2e(E15,_xlfn.XLOOKUP("N2O", Table_GWPData[Gas],Table_GWPData[CO2-e factor]))</f>
        <v>#NAME?</v>
      </c>
      <c r="I15" s="1" t="e" cm="1">
        <f t="array" ref="I15">Common_Equations.Common_ConvertN2OToCO2e(F15,_xlfn.XLOOKUP("N2O", Table_GWPData[Gas],Table_GWPData[CO2-e factor]))</f>
        <v>#NAME?</v>
      </c>
      <c r="J15" s="10" t="s">
        <v>8</v>
      </c>
    </row>
    <row r="16" spans="1:11" ht="20.100000000000001" customHeight="1" x14ac:dyDescent="0.25">
      <c r="A16" s="6" t="s">
        <v>2</v>
      </c>
      <c r="D16" s="1" t="s">
        <v>173</v>
      </c>
      <c r="E16" s="1" t="e" cm="1">
        <f t="array" ref="E16">VEERG_6_3_1_1__1__LeachingAndRunoffEmissionsCropAndPastureResidue_CropOnly_Result_Method1</f>
        <v>#NAME?</v>
      </c>
      <c r="F16" s="1" t="e" cm="1">
        <f t="array" ref="F16">VEERG_6_3_1_1__1__LeachingAndRunoffEmissionsCropAndPastureResidue_CropOnly_Result_Method2</f>
        <v>#NAME?</v>
      </c>
      <c r="G16" s="10" t="s">
        <v>13</v>
      </c>
      <c r="H16" s="1" t="e" cm="1">
        <f t="array" ref="H16">Common_Equations.Common_ConvertN2OToCO2e(E16,_xlfn.XLOOKUP("N2O", Table_GWPData[Gas],Table_GWPData[CO2-e factor]))</f>
        <v>#NAME?</v>
      </c>
      <c r="I16" s="1" t="e" cm="1">
        <f t="array" ref="I16">Common_Equations.Common_ConvertN2OToCO2e(F16,_xlfn.XLOOKUP("N2O", Table_GWPData[Gas],Table_GWPData[CO2-e factor]))</f>
        <v>#NAME?</v>
      </c>
      <c r="J16" s="10" t="s">
        <v>8</v>
      </c>
    </row>
    <row r="17" spans="1:10" ht="20.100000000000001" customHeight="1" x14ac:dyDescent="0.25">
      <c r="A17" s="5" t="str">
        <f>HYPERLINK("#'Constants - Pasture Beef'!A1", "Constants - Pasture Beef")</f>
        <v>Constants - Pasture Beef</v>
      </c>
      <c r="D17" s="1" t="s">
        <v>176</v>
      </c>
      <c r="E17" s="1" t="e" cm="1">
        <f t="array" ref="E17">VEERG_6_4_1_1__2__NitrousOxideEmissionsFromBurningOfCropResidues_Result_Method1</f>
        <v>#NAME?</v>
      </c>
      <c r="F17" s="1" t="e">
        <f t="shared" ref="F17:F22" si="0">E17</f>
        <v>#NAME?</v>
      </c>
      <c r="G17" s="10" t="s">
        <v>13</v>
      </c>
      <c r="H17" s="1" t="e" cm="1">
        <f t="array" ref="H17">Common_Equations.Common_ConvertN2OToCO2e(E17,_xlfn.XLOOKUP("N2O", Table_GWPData[Gas],Table_GWPData[CO2-e factor]))</f>
        <v>#NAME?</v>
      </c>
      <c r="I17" s="1" t="e" cm="1">
        <f t="array" ref="I17">Common_Equations.Common_ConvertN2OToCO2e(F17,_xlfn.XLOOKUP("N2O", Table_GWPData[Gas],Table_GWPData[CO2-e factor]))</f>
        <v>#NAME?</v>
      </c>
      <c r="J17" s="10" t="s">
        <v>8</v>
      </c>
    </row>
    <row r="18" spans="1:10" ht="20.100000000000001" customHeight="1" x14ac:dyDescent="0.25">
      <c r="A18" s="5" t="str">
        <f>HYPERLINK("#'Constants - Livestock'!A1", "Constants - Livestock")</f>
        <v>Constants - Livestock</v>
      </c>
      <c r="D18" s="1" t="s">
        <v>175</v>
      </c>
      <c r="E18" s="1" t="e" cm="1">
        <f t="array" ref="E18">VEERG_6_4_1_1__1__MethaneEmissionsFromBurningOfCropResidues_Result_Method1</f>
        <v>#NAME?</v>
      </c>
      <c r="F18" s="1" t="e">
        <f t="shared" si="0"/>
        <v>#NAME?</v>
      </c>
      <c r="G18" s="10" t="s">
        <v>7</v>
      </c>
      <c r="H18" s="1" t="e" cm="1">
        <f t="array" ref="H18">Common_Equations.Common_ConvertCH4ToCO2e(E18,_xlfn.XLOOKUP("CH4", Table_GWPData[Gas],Table_GWPData[CO2-e factor]))</f>
        <v>#NAME?</v>
      </c>
      <c r="I18" s="1" t="e" cm="1">
        <f t="array" ref="I18">Common_Equations.Common_ConvertCH4ToCO2e(F18,_xlfn.XLOOKUP("CH4", Table_GWPData[Gas],Table_GWPData[CO2-e factor]))</f>
        <v>#NAME?</v>
      </c>
      <c r="J18" s="10" t="s">
        <v>8</v>
      </c>
    </row>
    <row r="19" spans="1:10" ht="20.100000000000001" customHeight="1" x14ac:dyDescent="0.25">
      <c r="A19" s="5" t="str">
        <f>HYPERLINK("#'Constants - Common'!A1", "Constants - Common")</f>
        <v>Constants - Common</v>
      </c>
      <c r="D19" s="1" t="s">
        <v>140</v>
      </c>
      <c r="E19" s="1" t="e" cm="1">
        <f t="array" ref="E19">VEERG_8_1_1_1__1_FuelCombustionTransport_Result_CO2</f>
        <v>#NAME?</v>
      </c>
      <c r="F19" s="1" t="e">
        <f t="shared" si="0"/>
        <v>#NAME?</v>
      </c>
      <c r="G19" s="10" t="s">
        <v>128</v>
      </c>
      <c r="H19" s="1" t="e">
        <f>E19</f>
        <v>#NAME?</v>
      </c>
      <c r="I19" s="1" t="e">
        <f>F19</f>
        <v>#NAME?</v>
      </c>
      <c r="J19" s="10" t="s">
        <v>8</v>
      </c>
    </row>
    <row r="20" spans="1:10" ht="20.100000000000001" customHeight="1" x14ac:dyDescent="0.25">
      <c r="A20" s="5" t="str">
        <f>HYPERLINK("#'Acknowledgements'!A1", "Acknowledgements")</f>
        <v>Acknowledgements</v>
      </c>
      <c r="D20" s="1" t="s">
        <v>142</v>
      </c>
      <c r="E20" s="1" t="e" cm="1">
        <f t="array" ref="E20">VEERG_8_1_1_1__1_FuelCombustionTransport_Result_CH4</f>
        <v>#NAME?</v>
      </c>
      <c r="F20" s="1" t="e">
        <f t="shared" si="0"/>
        <v>#NAME?</v>
      </c>
      <c r="G20" s="10" t="s">
        <v>7</v>
      </c>
      <c r="H20" s="1" t="e" cm="1">
        <f t="array" ref="H20">Common_Equations.Common_ConvertCH4ToCO2e(E20,_xlfn.XLOOKUP("CH4", Table_GWPData[Gas],Table_GWPData[CO2-e factor]))</f>
        <v>#NAME?</v>
      </c>
      <c r="I20" s="1" t="e" cm="1">
        <f t="array" ref="I20">Common_Equations.Common_ConvertCH4ToCO2e(F20,_xlfn.XLOOKUP("CH4", Table_GWPData[Gas],Table_GWPData[CO2-e factor]))</f>
        <v>#NAME?</v>
      </c>
      <c r="J20" s="10" t="s">
        <v>8</v>
      </c>
    </row>
    <row r="21" spans="1:10" ht="20.100000000000001" customHeight="1" x14ac:dyDescent="0.25">
      <c r="D21" s="1" t="s">
        <v>141</v>
      </c>
      <c r="E21" s="1" t="e" cm="1">
        <f t="array" ref="E21">VEERG_8_1_1_1__1_FuelCombustionTransport_Result_N2O</f>
        <v>#NAME?</v>
      </c>
      <c r="F21" s="1" t="e">
        <f t="shared" si="0"/>
        <v>#NAME?</v>
      </c>
      <c r="G21" s="10" t="s">
        <v>13</v>
      </c>
      <c r="H21" s="1" t="e" cm="1">
        <f t="array" ref="H21">Common_Equations.Common_ConvertN2OToCO2e(E21,_xlfn.XLOOKUP("N2O", Table_GWPData[Gas],Table_GWPData[CO2-e factor]))</f>
        <v>#NAME?</v>
      </c>
      <c r="I21" s="1" t="e" cm="1">
        <f t="array" ref="I21">Common_Equations.Common_ConvertN2OToCO2e(F21,_xlfn.XLOOKUP("N2O", Table_GWPData[Gas],Table_GWPData[CO2-e factor]))</f>
        <v>#NAME?</v>
      </c>
      <c r="J21" s="10" t="s">
        <v>8</v>
      </c>
    </row>
    <row r="22" spans="1:10" ht="20.100000000000001" customHeight="1" x14ac:dyDescent="0.25">
      <c r="A22" s="5"/>
      <c r="D22" s="1" t="s">
        <v>143</v>
      </c>
      <c r="E22" s="1" t="e" cm="1">
        <f t="array" ref="E22">VEERG_8_2_1_1__1_FuelCombustionStationary_Result_CO2</f>
        <v>#NAME?</v>
      </c>
      <c r="F22" s="1" t="e">
        <f t="shared" si="0"/>
        <v>#NAME?</v>
      </c>
      <c r="G22" s="10" t="s">
        <v>128</v>
      </c>
      <c r="H22" s="1" t="e">
        <f>E22</f>
        <v>#NAME?</v>
      </c>
      <c r="I22" s="1" t="e">
        <f>F22</f>
        <v>#NAME?</v>
      </c>
      <c r="J22" s="10" t="s">
        <v>8</v>
      </c>
    </row>
    <row r="23" spans="1:10" ht="20.100000000000001" customHeight="1" x14ac:dyDescent="0.25">
      <c r="A23" s="5"/>
      <c r="D23" s="1" t="s">
        <v>144</v>
      </c>
      <c r="E23" s="1" t="e" cm="1">
        <f t="array" ref="E23">VEERG_8_2_1_1__1_FuelCombustionStationary_Result_CH4</f>
        <v>#NAME?</v>
      </c>
      <c r="F23" s="1" t="e">
        <f t="shared" ref="F23:F26" si="1">E23</f>
        <v>#NAME?</v>
      </c>
      <c r="G23" s="10" t="s">
        <v>7</v>
      </c>
      <c r="H23" s="1" t="e" cm="1">
        <f t="array" ref="H23">Common_Equations.Common_ConvertCH4ToCO2e(E23,_xlfn.XLOOKUP("CH4", Table_GWPData[Gas],Table_GWPData[CO2-e factor]))</f>
        <v>#NAME?</v>
      </c>
      <c r="I23" s="1" t="e" cm="1">
        <f t="array" ref="I23">Common_Equations.Common_ConvertCH4ToCO2e(F23,_xlfn.XLOOKUP("CH4", Table_GWPData[Gas],Table_GWPData[CO2-e factor]))</f>
        <v>#NAME?</v>
      </c>
      <c r="J23" s="10" t="s">
        <v>8</v>
      </c>
    </row>
    <row r="24" spans="1:10" ht="20.100000000000001" customHeight="1" x14ac:dyDescent="0.25">
      <c r="A24" s="5"/>
      <c r="D24" s="1" t="s">
        <v>145</v>
      </c>
      <c r="E24" s="1" t="e" cm="1">
        <f t="array" ref="E24">VEERG_8_2_1_1__1_FuelCombustionStationary_Result_N2O</f>
        <v>#NAME?</v>
      </c>
      <c r="F24" s="1" t="e">
        <f t="shared" si="1"/>
        <v>#NAME?</v>
      </c>
      <c r="G24" s="10" t="s">
        <v>13</v>
      </c>
      <c r="H24" s="1" t="e" cm="1">
        <f t="array" ref="H24">Common_Equations.Common_ConvertN2OToCO2e(E24,_xlfn.XLOOKUP("N2O", Table_GWPData[Gas],Table_GWPData[CO2-e factor]))</f>
        <v>#NAME?</v>
      </c>
      <c r="I24" s="1" t="e" cm="1">
        <f t="array" ref="I24">Common_Equations.Common_ConvertN2OToCO2e(F24,_xlfn.XLOOKUP("N2O", Table_GWPData[Gas],Table_GWPData[CO2-e factor]))</f>
        <v>#NAME?</v>
      </c>
      <c r="J24" s="10" t="s">
        <v>8</v>
      </c>
    </row>
    <row r="25" spans="1:10" ht="20.100000000000001" customHeight="1" x14ac:dyDescent="0.25">
      <c r="D25" s="1" t="s">
        <v>146</v>
      </c>
      <c r="E25" s="1" t="e" cm="1">
        <f t="array" ref="E25">VEERG_14_1_1__1_LocationBasedScopeElectricityEmissions_Result_Method1</f>
        <v>#NAME?</v>
      </c>
      <c r="F25" s="1" t="e">
        <f t="shared" si="1"/>
        <v>#NAME?</v>
      </c>
      <c r="G25" s="10" t="s">
        <v>8</v>
      </c>
      <c r="H25" s="1" t="e">
        <f>E25</f>
        <v>#NAME?</v>
      </c>
      <c r="I25" s="1" t="e">
        <f>F25</f>
        <v>#NAME?</v>
      </c>
      <c r="J25" s="10" t="s">
        <v>8</v>
      </c>
    </row>
    <row r="26" spans="1:10" ht="20.100000000000001" customHeight="1" x14ac:dyDescent="0.25">
      <c r="D26" s="1" t="s">
        <v>147</v>
      </c>
      <c r="E26" s="1" t="e" cm="1">
        <f t="array" ref="E26">VEERG_14_1_2__1_MarketBasedScopeElectricityEmissionsVariation_Result_Method1</f>
        <v>#NAME?</v>
      </c>
      <c r="F26" s="1" t="e">
        <f t="shared" si="1"/>
        <v>#NAME?</v>
      </c>
      <c r="G26" s="10" t="s">
        <v>8</v>
      </c>
      <c r="H26" s="1" t="e">
        <f>E26</f>
        <v>#NAME?</v>
      </c>
      <c r="I26" s="1" t="e">
        <f>F26</f>
        <v>#NAME?</v>
      </c>
      <c r="J26" s="10" t="s">
        <v>8</v>
      </c>
    </row>
    <row r="27" spans="1:10" ht="20.100000000000001" customHeight="1" x14ac:dyDescent="0.25">
      <c r="D27" s="88" t="s">
        <v>5</v>
      </c>
      <c r="E27" s="89"/>
      <c r="F27" s="89"/>
      <c r="G27" s="89"/>
      <c r="H27" s="88" t="e">
        <f>SUM(H9:H26)</f>
        <v>#NAME?</v>
      </c>
      <c r="I27" s="88" t="e">
        <f>SUM(I9:I26)</f>
        <v>#NAME?</v>
      </c>
      <c r="J27" s="98" t="s">
        <v>8</v>
      </c>
    </row>
    <row r="28" spans="1:10" ht="20.100000000000001" customHeight="1" x14ac:dyDescent="0.25"/>
    <row r="29" spans="1:10" ht="20.100000000000001" customHeight="1" x14ac:dyDescent="0.25"/>
    <row r="30" spans="1:10" ht="20.100000000000001" customHeight="1" x14ac:dyDescent="0.25">
      <c r="D30" s="80" t="s">
        <v>273</v>
      </c>
    </row>
    <row r="31" spans="1:10" ht="20.100000000000001" customHeight="1" x14ac:dyDescent="0.25"/>
    <row r="32" spans="1:10" ht="20.100000000000001" customHeight="1" x14ac:dyDescent="0.25">
      <c r="D32" s="12" t="s">
        <v>274</v>
      </c>
      <c r="E32" s="12" t="s">
        <v>9</v>
      </c>
      <c r="F32" s="12" t="s">
        <v>10</v>
      </c>
      <c r="G32" s="12" t="s">
        <v>6</v>
      </c>
      <c r="H32" s="12" t="s">
        <v>11</v>
      </c>
      <c r="I32" s="12" t="s">
        <v>12</v>
      </c>
      <c r="J32" s="12"/>
    </row>
    <row r="33" spans="4:10" ht="20.100000000000001" customHeight="1" x14ac:dyDescent="0.25">
      <c r="D33" s="1" t="e" cm="1">
        <f t="array" ref="D33">"14.1.1-2 Purchased electricity " &amp; IF(X_Cell_Electricity_CalculationMethod="Location-based (simpler)", "(Location-based)", "(Market-based)")</f>
        <v>#NAME?</v>
      </c>
      <c r="E33" s="1" t="e" cm="1">
        <f t="array" ref="E33">IF(X_Cell_Electricity_CalculationMethod="Location-based (simpler)", VEERG_14_1_1__1_LocationBasedScopeElectricityEmissions_Result_Method1, VEERG_14_1_2__1_MarketBasedScopeElectricityEmissionsVariation_Result_Method1)</f>
        <v>#NAME?</v>
      </c>
      <c r="F33" s="1" t="e">
        <f>E33</f>
        <v>#NAME?</v>
      </c>
      <c r="G33" s="10" t="s">
        <v>8</v>
      </c>
      <c r="H33" s="1" t="e">
        <f>E33</f>
        <v>#NAME?</v>
      </c>
      <c r="I33" s="1" t="e">
        <f>F33</f>
        <v>#NAME?</v>
      </c>
      <c r="J33" s="10" t="s">
        <v>8</v>
      </c>
    </row>
    <row r="34" spans="4:10" ht="20.100000000000001" customHeight="1" x14ac:dyDescent="0.25">
      <c r="D34" s="88" t="s">
        <v>275</v>
      </c>
      <c r="E34" s="89"/>
      <c r="F34" s="89"/>
      <c r="G34" s="89"/>
      <c r="H34" s="88" t="e">
        <f>SUM(H33:H33)</f>
        <v>#NAME?</v>
      </c>
      <c r="I34" s="88" t="e">
        <f>SUM(I33:I33)</f>
        <v>#NAME?</v>
      </c>
      <c r="J34" s="98" t="s">
        <v>8</v>
      </c>
    </row>
    <row r="35" spans="4:10" ht="20.100000000000001" customHeight="1" x14ac:dyDescent="0.25"/>
    <row r="36" spans="4:10" ht="20.100000000000001" customHeight="1" x14ac:dyDescent="0.25"/>
    <row r="37" spans="4:10" ht="20.100000000000001" customHeight="1" x14ac:dyDescent="0.25">
      <c r="D37" s="80" t="s">
        <v>276</v>
      </c>
    </row>
    <row r="38" spans="4:10" ht="20.100000000000001" customHeight="1" x14ac:dyDescent="0.25"/>
    <row r="39" spans="4:10" ht="20.100000000000001" customHeight="1" x14ac:dyDescent="0.25">
      <c r="D39" s="12" t="s">
        <v>277</v>
      </c>
      <c r="E39" s="12" t="s">
        <v>9</v>
      </c>
      <c r="F39" s="12" t="s">
        <v>10</v>
      </c>
      <c r="G39" s="12" t="s">
        <v>6</v>
      </c>
      <c r="H39" s="12" t="s">
        <v>11</v>
      </c>
      <c r="I39" s="12" t="s">
        <v>12</v>
      </c>
      <c r="J39" s="12"/>
    </row>
    <row r="40" spans="4:10" ht="20.100000000000001" customHeight="1" x14ac:dyDescent="0.25">
      <c r="D40" s="1" t="s">
        <v>278</v>
      </c>
      <c r="E40" s="1" t="e" cm="1">
        <f t="array" ref="E40">VEERG_15_4_1_1__2_EmissionsFromPurchasedFertiliserComponentsVariation_Result_Method1</f>
        <v>#NAME?</v>
      </c>
      <c r="F40" s="1" t="e" cm="1">
        <f t="array" ref="F40">VEERG_15_4_1_1__2_EmissionsFromPurchasedFertiliserComponentsVariation_Result_Method2</f>
        <v>#NAME?</v>
      </c>
      <c r="G40" s="10" t="s">
        <v>8</v>
      </c>
      <c r="H40" s="1" t="e">
        <f t="shared" ref="H40:H47" si="2">E40</f>
        <v>#NAME?</v>
      </c>
      <c r="I40" s="1" t="e">
        <f t="shared" ref="I40:I50" si="3">F40</f>
        <v>#NAME?</v>
      </c>
      <c r="J40" s="10" t="s">
        <v>8</v>
      </c>
    </row>
    <row r="41" spans="4:10" ht="20.100000000000001" customHeight="1" x14ac:dyDescent="0.25">
      <c r="D41" s="1" t="s">
        <v>279</v>
      </c>
      <c r="E41" s="1" t="e" cm="1">
        <f t="array" ref="E41">VEERG_15_5_1_1__1_EmissionsFromPurchasedAgrichemicals_Result_Method1</f>
        <v>#NAME?</v>
      </c>
      <c r="F41" s="1" t="e" cm="1">
        <f t="array" ref="F41">VEERG_15_5_1_1__1_EmissionsFromPurchasedAgrichemicals_Result_Method2</f>
        <v>#NAME?</v>
      </c>
      <c r="G41" s="10" t="s">
        <v>8</v>
      </c>
      <c r="H41" s="1" t="e">
        <f t="shared" si="2"/>
        <v>#NAME?</v>
      </c>
      <c r="I41" s="1" t="e">
        <f t="shared" si="3"/>
        <v>#NAME?</v>
      </c>
      <c r="J41" s="10" t="s">
        <v>8</v>
      </c>
    </row>
    <row r="42" spans="4:10" ht="20.100000000000001" customHeight="1" x14ac:dyDescent="0.25">
      <c r="D42" s="1" t="s">
        <v>280</v>
      </c>
      <c r="E42" s="1" t="e" cm="1">
        <f t="array" ref="E42">VEERG_15_6_1_1__1_EmissionsFromPurchasedLime_Result_Method1</f>
        <v>#NAME?</v>
      </c>
      <c r="F42" s="1" t="e" cm="1">
        <f t="array" ref="F42">VEERG_15_6_1_1__1_EmissionsFromPurchasedLime_Result_Method2</f>
        <v>#NAME?</v>
      </c>
      <c r="G42" s="10" t="s">
        <v>8</v>
      </c>
      <c r="H42" s="1" t="e">
        <f t="shared" si="2"/>
        <v>#NAME?</v>
      </c>
      <c r="I42" s="1" t="e">
        <f t="shared" si="3"/>
        <v>#NAME?</v>
      </c>
      <c r="J42" s="10" t="s">
        <v>8</v>
      </c>
    </row>
    <row r="43" spans="4:10" ht="20.100000000000001" customHeight="1" x14ac:dyDescent="0.25">
      <c r="D43" s="1" t="s">
        <v>281</v>
      </c>
      <c r="E43" s="1" t="e" cm="1">
        <f t="array" ref="E43">VEERG_15_7_1_1__1_EmissionsFromPurchasedServices_Result_Method1</f>
        <v>#NAME?</v>
      </c>
      <c r="F43" s="1" t="e" cm="1">
        <f t="array" ref="F43">VEERG_15_7_1_1__1_EmissionsFromPurchasedServices_Result_Method2</f>
        <v>#NAME?</v>
      </c>
      <c r="G43" s="10" t="s">
        <v>8</v>
      </c>
      <c r="H43" s="1" t="e">
        <f t="shared" si="2"/>
        <v>#NAME?</v>
      </c>
      <c r="I43" s="1" t="e">
        <f t="shared" si="3"/>
        <v>#NAME?</v>
      </c>
      <c r="J43" s="10" t="s">
        <v>8</v>
      </c>
    </row>
    <row r="44" spans="4:10" ht="20.100000000000001" customHeight="1" x14ac:dyDescent="0.25">
      <c r="D44" s="1" t="s">
        <v>282</v>
      </c>
      <c r="E44" s="1" t="e" cm="1">
        <f t="array" ref="E44">VEERG_15_10_1_1__1_OtherPurchasedGoodsAndServices_CleaningChemicals_Result_Method1</f>
        <v>#NAME?</v>
      </c>
      <c r="F44" s="1" t="e" cm="1">
        <f t="array" ref="F44">VEERG_15_10_1_1__1_OtherPurchasedGoodsAndServices_CleaningChemicals_Result_Method2</f>
        <v>#NAME?</v>
      </c>
      <c r="G44" s="10" t="s">
        <v>8</v>
      </c>
      <c r="H44" s="1" t="e">
        <f t="shared" si="2"/>
        <v>#NAME?</v>
      </c>
      <c r="I44" s="1" t="e">
        <f t="shared" si="3"/>
        <v>#NAME?</v>
      </c>
      <c r="J44" s="10" t="s">
        <v>8</v>
      </c>
    </row>
    <row r="45" spans="4:10" ht="20.100000000000001" customHeight="1" x14ac:dyDescent="0.25">
      <c r="D45" s="1" t="s">
        <v>283</v>
      </c>
      <c r="E45" s="1" t="e" cm="1">
        <f t="array" ref="E45">VEERG_15_10_1_1__1_OtherPurchasedGoodsAndServices_Uncategorised_Result_Method1</f>
        <v>#NAME?</v>
      </c>
      <c r="F45" s="1" t="e" cm="1">
        <f t="array" ref="F45">VEERG_15_10_1_1__1_OtherPurchasedGoodsAndServices_Uncategorised_Result_Method2</f>
        <v>#NAME?</v>
      </c>
      <c r="G45" s="10" t="s">
        <v>8</v>
      </c>
      <c r="H45" s="1" t="e">
        <f t="shared" si="2"/>
        <v>#NAME?</v>
      </c>
      <c r="I45" s="1" t="e">
        <f t="shared" si="3"/>
        <v>#NAME?</v>
      </c>
      <c r="J45" s="10" t="s">
        <v>8</v>
      </c>
    </row>
    <row r="46" spans="4:10" ht="20.100000000000001" customHeight="1" x14ac:dyDescent="0.25">
      <c r="D46" s="1" t="s">
        <v>284</v>
      </c>
      <c r="E46" s="1" t="e" cm="1">
        <f t="array" ref="E46">VEERG_15_11_1_1__1_TotalUpstreamEmissionsFromFuel_Result</f>
        <v>#NAME?</v>
      </c>
      <c r="F46" s="1" t="e">
        <f>E46</f>
        <v>#NAME?</v>
      </c>
      <c r="G46" s="10" t="s">
        <v>8</v>
      </c>
      <c r="H46" s="1" t="e">
        <f t="shared" si="2"/>
        <v>#NAME?</v>
      </c>
      <c r="I46" s="1" t="e">
        <f t="shared" si="3"/>
        <v>#NAME?</v>
      </c>
      <c r="J46" s="10" t="s">
        <v>8</v>
      </c>
    </row>
    <row r="47" spans="4:10" ht="20.100000000000001" customHeight="1" x14ac:dyDescent="0.25">
      <c r="D47" s="1" t="e" cm="1">
        <f t="array" ref="D47">"15.12.1.1 Purchased electricity " &amp; IF(X_Cell_Electricity_CalculationMethod="Location-based (simpler)", "(Location-based)", "(Market-based)")</f>
        <v>#NAME?</v>
      </c>
      <c r="E47" s="1" t="e" cm="1">
        <f t="array" ref="E47">IF(X_Cell_Electricity_CalculationMethod="Location-based (simpler)", VEERG_15_12_1_1__1_UpstreamPurchasedElectricityLocationBased_Result, VEERG_15_12_1_1__1_UpstreamPurchasedElectricityMarketBased_Result)</f>
        <v>#NAME?</v>
      </c>
      <c r="F47" s="1" t="e">
        <f>E47</f>
        <v>#NAME?</v>
      </c>
      <c r="G47" s="10" t="s">
        <v>8</v>
      </c>
      <c r="H47" s="1" t="e">
        <f t="shared" si="2"/>
        <v>#NAME?</v>
      </c>
      <c r="I47" s="1" t="e">
        <f t="shared" si="3"/>
        <v>#NAME?</v>
      </c>
      <c r="J47" s="10" t="s">
        <v>8</v>
      </c>
    </row>
    <row r="48" spans="4:10" ht="20.100000000000001" customHeight="1" x14ac:dyDescent="0.25">
      <c r="D48" s="1" t="s">
        <v>285</v>
      </c>
      <c r="E48" s="1" t="e" cm="1">
        <f t="array" ref="E48">VEERG_15_14_1_1__1_EmbeddedEmissionsFromUpstreamFreight_Incoming_Result_Method1</f>
        <v>#NAME?</v>
      </c>
      <c r="F48" s="1" t="e" cm="1">
        <f t="array" ref="F48">VEERG_15_14_1_1__1_EmbeddedEmissionsFromUpstreamFreight_Incoming_Result_Method2</f>
        <v>#NAME?</v>
      </c>
      <c r="G48" s="10" t="s">
        <v>8</v>
      </c>
      <c r="H48" s="1" t="e">
        <f>E48</f>
        <v>#NAME?</v>
      </c>
      <c r="I48" s="1" t="e">
        <f t="shared" si="3"/>
        <v>#NAME?</v>
      </c>
      <c r="J48" s="10" t="s">
        <v>8</v>
      </c>
    </row>
    <row r="49" spans="4:10" ht="20.100000000000001" customHeight="1" x14ac:dyDescent="0.25">
      <c r="D49" s="1" t="s">
        <v>286</v>
      </c>
      <c r="E49" s="1" t="e" cm="1">
        <f t="array" ref="E49">VEERG_10_1_1_1__1_EmissionsFromWasteManagement_Scope3_Result_Method1</f>
        <v>#NAME?</v>
      </c>
      <c r="F49" s="1" t="e">
        <f>E49</f>
        <v>#NAME?</v>
      </c>
      <c r="G49" s="10" t="s">
        <v>8</v>
      </c>
      <c r="H49" s="1" t="e">
        <f t="shared" ref="H49:H50" si="4">E49</f>
        <v>#NAME?</v>
      </c>
      <c r="I49" s="1" t="e">
        <f t="shared" si="3"/>
        <v>#NAME?</v>
      </c>
      <c r="J49" s="10" t="s">
        <v>8</v>
      </c>
    </row>
    <row r="50" spans="4:10" ht="20.100000000000001" customHeight="1" x14ac:dyDescent="0.25">
      <c r="D50" s="1" t="s">
        <v>287</v>
      </c>
      <c r="E50" s="1" t="e" cm="1">
        <f t="array" ref="E50">VEERG_15_14_1_1__1_EmbeddedEmissionsFromUpstreamFreight_Outgoing_Result_Method1</f>
        <v>#NAME?</v>
      </c>
      <c r="F50" s="1" t="e" cm="1">
        <f t="array" ref="F50">VEERG_15_14_1_1__1_EmbeddedEmissionsFromUpstreamFreight_Outgoing_Result_Method2</f>
        <v>#NAME?</v>
      </c>
      <c r="G50" s="10" t="s">
        <v>8</v>
      </c>
      <c r="H50" s="1" t="e">
        <f t="shared" si="4"/>
        <v>#NAME?</v>
      </c>
      <c r="I50" s="1" t="e">
        <f t="shared" si="3"/>
        <v>#NAME?</v>
      </c>
      <c r="J50" s="10" t="s">
        <v>8</v>
      </c>
    </row>
    <row r="51" spans="4:10" ht="20.100000000000001" customHeight="1" x14ac:dyDescent="0.25">
      <c r="D51" s="88" t="s">
        <v>288</v>
      </c>
      <c r="E51" s="89"/>
      <c r="F51" s="89"/>
      <c r="G51" s="89"/>
      <c r="H51" s="88" t="e">
        <f>SUM(H40:H50)</f>
        <v>#NAME?</v>
      </c>
      <c r="I51" s="88" t="e">
        <f>SUM(I40:I50)</f>
        <v>#NAME?</v>
      </c>
      <c r="J51" s="98" t="s">
        <v>8</v>
      </c>
    </row>
    <row r="52" spans="4:10" ht="20.100000000000001" customHeight="1" x14ac:dyDescent="0.25"/>
    <row r="53" spans="4:10" ht="20.100000000000001" customHeight="1" x14ac:dyDescent="0.25"/>
    <row r="54" spans="4:10" ht="20.100000000000001" customHeight="1" x14ac:dyDescent="0.25">
      <c r="D54" s="80" t="str">
        <f>"Carbon removals from plantings for the activity period " &amp; TEXT(X_Cell_Site_StartDate, "d mmmm yyyy") &amp; " and " &amp; TEXT(X_Cell_Site_EndDate, "d mmmm yyyy")</f>
        <v>Carbon removals from plantings for the activity period 1 January 2025 and 31 December 2025</v>
      </c>
    </row>
    <row r="55" spans="4:10" ht="20.100000000000001" customHeight="1" x14ac:dyDescent="0.25"/>
    <row r="56" spans="4:10" ht="20.100000000000001" customHeight="1" x14ac:dyDescent="0.25">
      <c r="D56" s="88" t="s">
        <v>289</v>
      </c>
      <c r="E56" s="89">
        <f>SUM(Table_Input_Enterprise_PlantingRemovals[Removal allocated to this enterprise])</f>
        <v>0</v>
      </c>
      <c r="F56" s="98" t="s">
        <v>128</v>
      </c>
    </row>
    <row r="57" spans="4:10" ht="20.100000000000001" customHeight="1" x14ac:dyDescent="0.25"/>
    <row r="58" spans="4:10" ht="20.100000000000001" customHeight="1" x14ac:dyDescent="0.25"/>
    <row r="59" spans="4:10" ht="20.100000000000001" customHeight="1" x14ac:dyDescent="0.25">
      <c r="D59" s="80" t="str">
        <f>"Net emissions for the activity period " &amp; TEXT(X_Cell_Site_StartDate, "d mmmm yyyy") &amp; " and " &amp; TEXT(X_Cell_Site_EndDate, "d mmmm yyyy")</f>
        <v>Net emissions for the activity period 1 January 2025 and 31 December 2025</v>
      </c>
    </row>
    <row r="60" spans="4:10" ht="20.100000000000001" customHeight="1" x14ac:dyDescent="0.25"/>
    <row r="61" spans="4:10" ht="20.100000000000001" customHeight="1" x14ac:dyDescent="0.25">
      <c r="D61" s="12"/>
      <c r="E61" s="12" t="s">
        <v>131</v>
      </c>
      <c r="F61" s="12" t="s">
        <v>132</v>
      </c>
      <c r="G61" s="12"/>
    </row>
    <row r="62" spans="4:10" ht="20.100000000000001" customHeight="1" x14ac:dyDescent="0.25">
      <c r="D62" s="97" t="s">
        <v>290</v>
      </c>
      <c r="E62" s="95" t="e">
        <f>Result_Enterprise_Scope1_Method1+Result_Enterprise_Scope2_Method1+Result_Enterprise_Scope3_Method1</f>
        <v>#NAME?</v>
      </c>
      <c r="F62" s="95" t="e">
        <f>Result_Enterprise_Scope1_Method2+Result_Enterprise_Scope2_Method2+Result_Enterprise_Scope3_Method2</f>
        <v>#NAME?</v>
      </c>
      <c r="G62" s="96" t="s">
        <v>291</v>
      </c>
    </row>
    <row r="63" spans="4:10" ht="20.100000000000001" customHeight="1" x14ac:dyDescent="0.25">
      <c r="D63" s="97" t="s">
        <v>292</v>
      </c>
      <c r="E63" s="95" t="e">
        <f>Result_Enterprise_Gross_Method1-Result_Enterprise_Removals</f>
        <v>#NAME?</v>
      </c>
      <c r="F63" s="95" t="e">
        <f>Result_Enterprise_Gross_Method2-Result_Enterprise_Removals</f>
        <v>#NAME?</v>
      </c>
      <c r="G63" s="96" t="s">
        <v>291</v>
      </c>
    </row>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C70A-3829-41AD-8C72-9BB34460C4F5}">
  <sheetPr>
    <tabColor rgb="FF0C769E"/>
  </sheetPr>
  <dimension ref="A1:N58"/>
  <sheetViews>
    <sheetView showGridLines="0" topLeftCell="A27" workbookViewId="0">
      <selection activeCell="E36" sqref="E36"/>
    </sheetView>
  </sheetViews>
  <sheetFormatPr defaultRowHeight="15.75" x14ac:dyDescent="0.25"/>
  <cols>
    <col min="1" max="1" width="30.7109375" customWidth="1"/>
    <col min="2" max="2" width="4.7109375" customWidth="1"/>
    <col min="3" max="3" width="4.7109375" style="1" customWidth="1"/>
    <col min="4" max="4" width="51.7109375" style="1" customWidth="1"/>
    <col min="5" max="13" width="30.7109375" style="1" customWidth="1"/>
    <col min="14" max="14" width="9.140625" style="1"/>
  </cols>
  <sheetData>
    <row r="1" spans="1:14" s="93" customFormat="1" ht="25.5" x14ac:dyDescent="0.35">
      <c r="A1" s="11" t="e" vm="1">
        <v>#VALUE!</v>
      </c>
      <c r="C1" s="93" t="s">
        <v>295</v>
      </c>
    </row>
    <row r="2" spans="1:14" s="3" customFormat="1" x14ac:dyDescent="0.25"/>
    <row r="3" spans="1:14" x14ac:dyDescent="0.25">
      <c r="C3" s="94"/>
      <c r="D3" s="94"/>
      <c r="E3" s="94"/>
      <c r="F3" s="94"/>
      <c r="G3" s="94"/>
      <c r="H3" s="94"/>
      <c r="I3" s="94"/>
      <c r="J3" s="94"/>
      <c r="K3" s="94"/>
      <c r="L3" s="94"/>
      <c r="M3" s="94"/>
      <c r="N3" s="94"/>
    </row>
    <row r="32" spans="4:4" ht="23.25" x14ac:dyDescent="0.25">
      <c r="D32" s="2" t="str">
        <f>"Emissions for whole production cycle running between " &amp; TEXT(X_Cell_Enterprise_ProductionTimeframeStart, "d mmmm yyyy") &amp; " and " &amp; TEXT(X_Cell_Enterprise_ProductionTimeframeEnd, "d mmmm yyyy")</f>
        <v>Emissions for whole production cycle running between 1 November 2025 and 31 March 2026</v>
      </c>
    </row>
    <row r="35" spans="4:10" x14ac:dyDescent="0.25">
      <c r="D35" s="12"/>
      <c r="E35" s="12" t="s">
        <v>131</v>
      </c>
      <c r="F35" s="12" t="s">
        <v>132</v>
      </c>
      <c r="G35" s="12"/>
    </row>
    <row r="36" spans="4:10" x14ac:dyDescent="0.25">
      <c r="D36" s="78" t="s">
        <v>293</v>
      </c>
      <c r="E36" s="1" t="e">
        <f>Result_EmissionsForWholeProductionCycle_Gross_Method1</f>
        <v>#NAME?</v>
      </c>
      <c r="F36" s="1" t="e">
        <f>Result_EmissionsForWholeProductionCycle_Gross_Method2</f>
        <v>#NAME?</v>
      </c>
      <c r="G36" s="10" t="s">
        <v>8</v>
      </c>
    </row>
    <row r="37" spans="4:10" x14ac:dyDescent="0.25">
      <c r="D37" s="78" t="s">
        <v>294</v>
      </c>
      <c r="E37" s="1" t="e">
        <f>Result_EmissionsForWholeProductionCycle_Net_Method1</f>
        <v>#NAME?</v>
      </c>
      <c r="F37" s="1" t="e">
        <f>Result_EmissionsForWholeProductionCycle_Net_Method2</f>
        <v>#NAME?</v>
      </c>
      <c r="G37" s="10" t="s">
        <v>8</v>
      </c>
    </row>
    <row r="39" spans="4:10" ht="23.25" x14ac:dyDescent="0.25">
      <c r="D39"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2025 and 31 March 2026</v>
      </c>
    </row>
    <row r="42" spans="4:10" x14ac:dyDescent="0.25">
      <c r="D42" s="1" t="s">
        <v>167</v>
      </c>
    </row>
    <row r="43" spans="4:10" x14ac:dyDescent="0.25">
      <c r="D43" s="12" t="s">
        <v>133</v>
      </c>
      <c r="E43" s="12" t="s">
        <v>122</v>
      </c>
      <c r="F43" s="12" t="s">
        <v>118</v>
      </c>
      <c r="G43" s="12" t="s">
        <v>164</v>
      </c>
      <c r="H43" s="12" t="s">
        <v>120</v>
      </c>
      <c r="I43" s="12" t="s">
        <v>121</v>
      </c>
      <c r="J43" s="12" t="s">
        <v>119</v>
      </c>
    </row>
    <row r="44" spans="4:10" x14ac:dyDescent="0.25">
      <c r="D44" s="1" t="s">
        <v>169</v>
      </c>
      <c r="E44" s="1" t="s">
        <v>123</v>
      </c>
      <c r="F44" s="1">
        <f>X_Cell_Enterprise_GrainYield*X_Cell_Enterprise_PercentGrainSold</f>
        <v>0</v>
      </c>
      <c r="G44" s="1" t="e">
        <f>F44/(F44+F47)</f>
        <v>#DIV/0!</v>
      </c>
      <c r="H44" s="1" t="e">
        <f>(E36/F44)*G44</f>
        <v>#NAME?</v>
      </c>
      <c r="I44" s="1" t="e">
        <f>(F36/F44)*G44</f>
        <v>#NAME?</v>
      </c>
      <c r="J44" s="10" t="s">
        <v>161</v>
      </c>
    </row>
    <row r="45" spans="4:10" x14ac:dyDescent="0.25">
      <c r="D45" s="1" t="s">
        <v>170</v>
      </c>
      <c r="E45" s="1" t="s">
        <v>123</v>
      </c>
      <c r="F45" s="1">
        <f>F44</f>
        <v>0</v>
      </c>
      <c r="G45" s="1" t="e">
        <f>G44</f>
        <v>#DIV/0!</v>
      </c>
      <c r="H45" s="1" t="e">
        <f>(E37/F45)*G45</f>
        <v>#NAME?</v>
      </c>
      <c r="I45" s="1" t="e">
        <f>(F37/F45)*G45</f>
        <v>#NAME?</v>
      </c>
      <c r="J45" s="10" t="s">
        <v>161</v>
      </c>
    </row>
    <row r="46" spans="4:10" x14ac:dyDescent="0.25">
      <c r="D46" s="1" t="s">
        <v>159</v>
      </c>
      <c r="E46" s="1" t="s">
        <v>126</v>
      </c>
      <c r="F46" s="1">
        <f>X_Cell_Enterprise_GrainYield*X_Cell_Enterprise_PercentGrainUsedAsFeed</f>
        <v>0</v>
      </c>
      <c r="G46" s="1" t="s">
        <v>125</v>
      </c>
      <c r="H46" s="1" t="s">
        <v>125</v>
      </c>
      <c r="I46" s="1" t="s">
        <v>125</v>
      </c>
      <c r="J46" s="10"/>
    </row>
    <row r="47" spans="4:10" x14ac:dyDescent="0.25">
      <c r="D47" s="1" t="s">
        <v>171</v>
      </c>
      <c r="E47" s="1" t="s">
        <v>124</v>
      </c>
      <c r="F47" s="1">
        <f>X_Cell_BaledHayYield*X_Cell_PercentBaledHaySold</f>
        <v>0</v>
      </c>
      <c r="G47" s="1" t="e">
        <f>F47/(F44+F47)</f>
        <v>#DIV/0!</v>
      </c>
      <c r="H47" s="1" t="e">
        <f>(E36/F47)*G47</f>
        <v>#NAME?</v>
      </c>
      <c r="I47" s="1" t="e">
        <f>(F36/F47)*G47</f>
        <v>#NAME?</v>
      </c>
      <c r="J47" s="10" t="s">
        <v>162</v>
      </c>
    </row>
    <row r="48" spans="4:10" x14ac:dyDescent="0.25">
      <c r="D48" s="1" t="s">
        <v>172</v>
      </c>
      <c r="E48" s="1" t="s">
        <v>124</v>
      </c>
      <c r="F48" s="1">
        <f>F47</f>
        <v>0</v>
      </c>
      <c r="G48" s="1" t="e">
        <f>G47</f>
        <v>#DIV/0!</v>
      </c>
      <c r="H48" s="99" t="e">
        <f>(E37/F48)*G48</f>
        <v>#NAME?</v>
      </c>
      <c r="I48" s="99" t="e">
        <f>(F37/F48)*G48</f>
        <v>#NAME?</v>
      </c>
      <c r="J48" s="10" t="s">
        <v>162</v>
      </c>
    </row>
    <row r="49" spans="4:10" x14ac:dyDescent="0.25">
      <c r="D49" s="1" t="s">
        <v>160</v>
      </c>
      <c r="E49" s="1" t="s">
        <v>126</v>
      </c>
      <c r="F49" s="1">
        <f>X_Cell_BaledHayYield*X_Cell_PercentBaledHayUsedOnFarm</f>
        <v>0</v>
      </c>
      <c r="G49" s="1" t="s">
        <v>125</v>
      </c>
      <c r="H49" s="1" t="s">
        <v>125</v>
      </c>
      <c r="I49" s="1" t="s">
        <v>125</v>
      </c>
      <c r="J49" s="10"/>
    </row>
    <row r="51" spans="4:10" x14ac:dyDescent="0.25">
      <c r="D51" s="1" t="s">
        <v>168</v>
      </c>
    </row>
    <row r="52" spans="4:10" x14ac:dyDescent="0.25">
      <c r="D52" s="12" t="s">
        <v>133</v>
      </c>
      <c r="E52" s="12" t="s">
        <v>122</v>
      </c>
      <c r="F52" s="12" t="s">
        <v>118</v>
      </c>
      <c r="G52" s="12" t="s">
        <v>163</v>
      </c>
      <c r="H52" s="12" t="s">
        <v>165</v>
      </c>
      <c r="I52" s="12" t="s">
        <v>166</v>
      </c>
      <c r="J52" s="12" t="s">
        <v>119</v>
      </c>
    </row>
    <row r="53" spans="4:10" x14ac:dyDescent="0.25">
      <c r="D53" s="1" t="s">
        <v>169</v>
      </c>
      <c r="E53" s="1" t="s">
        <v>123</v>
      </c>
      <c r="F53" s="1">
        <f>X_Cell_Enterprise_GrainYield*X_Cell_Enterprise_PercentGrainSold</f>
        <v>0</v>
      </c>
      <c r="G53" s="1">
        <f>X_Cell_Enterprise_PercentIncomeFromGrain</f>
        <v>0.8</v>
      </c>
      <c r="H53" s="1" t="e">
        <f>E36*G53/F53</f>
        <v>#NAME?</v>
      </c>
      <c r="I53" s="1" t="e">
        <f>F36*G53/F53</f>
        <v>#NAME?</v>
      </c>
      <c r="J53" s="10" t="s">
        <v>161</v>
      </c>
    </row>
    <row r="54" spans="4:10" x14ac:dyDescent="0.25">
      <c r="D54" s="1" t="s">
        <v>170</v>
      </c>
      <c r="E54" s="1" t="s">
        <v>123</v>
      </c>
      <c r="F54" s="1">
        <f>F53</f>
        <v>0</v>
      </c>
      <c r="G54" s="1">
        <f>G53</f>
        <v>0.8</v>
      </c>
      <c r="H54" s="1" t="e">
        <f>E37*G54/F54</f>
        <v>#NAME?</v>
      </c>
      <c r="I54" s="1" t="e">
        <f>F37*G54/F54</f>
        <v>#NAME?</v>
      </c>
      <c r="J54" s="10" t="s">
        <v>161</v>
      </c>
    </row>
    <row r="55" spans="4:10" x14ac:dyDescent="0.25">
      <c r="D55" s="1" t="s">
        <v>159</v>
      </c>
      <c r="E55" s="1" t="s">
        <v>126</v>
      </c>
      <c r="F55" s="1">
        <f>X_Cell_Enterprise_GrainYield*X_Cell_Enterprise_PercentGrainUsedAsFeed</f>
        <v>0</v>
      </c>
      <c r="G55" s="1" t="s">
        <v>125</v>
      </c>
      <c r="H55" s="1" t="s">
        <v>125</v>
      </c>
      <c r="I55" s="1" t="s">
        <v>125</v>
      </c>
      <c r="J55" s="10"/>
    </row>
    <row r="56" spans="4:10" x14ac:dyDescent="0.25">
      <c r="D56" s="1" t="s">
        <v>171</v>
      </c>
      <c r="E56" s="1" t="s">
        <v>124</v>
      </c>
      <c r="F56" s="1">
        <f>X_Cell_BaledHayYield*X_Cell_PercentBaledHaySold</f>
        <v>0</v>
      </c>
      <c r="G56" s="1">
        <f>X_Cell_Enterprise_PercentIncomeFromGrain</f>
        <v>0.8</v>
      </c>
      <c r="H56" s="1" t="e">
        <f>E36*G56/F56</f>
        <v>#NAME?</v>
      </c>
      <c r="I56" s="1" t="e">
        <f>F36*G56/F56</f>
        <v>#NAME?</v>
      </c>
      <c r="J56" s="10" t="s">
        <v>162</v>
      </c>
    </row>
    <row r="57" spans="4:10" x14ac:dyDescent="0.25">
      <c r="D57" s="1" t="s">
        <v>172</v>
      </c>
      <c r="E57" s="1" t="s">
        <v>124</v>
      </c>
      <c r="F57" s="1">
        <f>F56</f>
        <v>0</v>
      </c>
      <c r="G57" s="1">
        <f>G56</f>
        <v>0.8</v>
      </c>
      <c r="H57" s="1" t="e">
        <f>E37*G57/F57</f>
        <v>#NAME?</v>
      </c>
      <c r="I57" s="1" t="e">
        <f>F37*G57/F57</f>
        <v>#NAME?</v>
      </c>
      <c r="J57" s="10" t="s">
        <v>162</v>
      </c>
    </row>
    <row r="58" spans="4:10" x14ac:dyDescent="0.25">
      <c r="D58" s="1" t="s">
        <v>160</v>
      </c>
      <c r="E58" s="1" t="s">
        <v>126</v>
      </c>
      <c r="F58" s="1">
        <f>X_Cell_BaledHayYield*X_Cell_PercentBaledHayUsedOnFarm</f>
        <v>0</v>
      </c>
      <c r="G58" s="1" t="s">
        <v>125</v>
      </c>
      <c r="H58" s="1" t="s">
        <v>125</v>
      </c>
      <c r="I58" s="1" t="s">
        <v>125</v>
      </c>
      <c r="J58" s="1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15"/>
  <sheetViews>
    <sheetView showGridLines="0" zoomScaleNormal="100" workbookViewId="0">
      <selection activeCell="E34" sqref="E34"/>
    </sheetView>
  </sheetViews>
  <sheetFormatPr defaultColWidth="9.140625" defaultRowHeight="15.75" x14ac:dyDescent="0.25"/>
  <cols>
    <col min="1" max="1" width="30.7109375" style="4" customWidth="1"/>
    <col min="2" max="2" width="4.7109375" style="23" customWidth="1"/>
    <col min="3" max="3" width="4.7109375" style="26" customWidth="1"/>
    <col min="4" max="4" width="60.7109375" style="26" customWidth="1"/>
    <col min="5" max="5" width="50.7109375" style="26" customWidth="1"/>
    <col min="6" max="11" width="28.7109375" style="26" customWidth="1"/>
    <col min="12" max="25" width="28.7109375" style="23" customWidth="1"/>
    <col min="26" max="27" width="9.140625" style="23"/>
    <col min="28" max="16384" width="9.140625" style="26"/>
  </cols>
  <sheetData>
    <row r="1" spans="1:24" s="23" customFormat="1" ht="30" customHeight="1" x14ac:dyDescent="0.35">
      <c r="A1" s="11" t="e" vm="1">
        <v>#VALUE!</v>
      </c>
      <c r="C1" s="29" t="s">
        <v>87</v>
      </c>
    </row>
    <row r="2" spans="1:24" s="23" customFormat="1" ht="20.100000000000001" customHeight="1" x14ac:dyDescent="0.25">
      <c r="A2" s="3"/>
      <c r="C2" s="3"/>
      <c r="D2" s="3"/>
      <c r="E2" s="3"/>
      <c r="F2" s="3"/>
      <c r="G2" s="3"/>
      <c r="H2" s="3"/>
      <c r="I2" s="3"/>
      <c r="J2" s="3"/>
    </row>
    <row r="3" spans="1:24" ht="20.100000000000001" customHeight="1" x14ac:dyDescent="0.25">
      <c r="A3" s="5" t="str">
        <f>HYPERLINK("#'Home'!A1", "Home")</f>
        <v>Home</v>
      </c>
      <c r="C3" s="30"/>
      <c r="D3" s="30"/>
      <c r="E3" s="30"/>
      <c r="F3" s="30"/>
      <c r="G3" s="30"/>
      <c r="H3" s="30"/>
      <c r="I3" s="30"/>
      <c r="J3" s="30"/>
      <c r="K3" s="30"/>
      <c r="M3" s="25"/>
      <c r="N3" s="25"/>
      <c r="O3" s="25"/>
      <c r="P3" s="25"/>
      <c r="Q3" s="25"/>
      <c r="R3" s="25"/>
      <c r="S3" s="25"/>
      <c r="T3" s="25"/>
      <c r="U3" s="25"/>
      <c r="V3" s="25"/>
      <c r="W3" s="25"/>
      <c r="X3" s="25"/>
    </row>
    <row r="4" spans="1:24" ht="20.100000000000001" customHeight="1" x14ac:dyDescent="0.25">
      <c r="A4" s="5" t="str">
        <f>HYPERLINK("#'Results'!A1", "Results")</f>
        <v>Results</v>
      </c>
      <c r="C4" s="31"/>
      <c r="D4" s="31"/>
      <c r="E4" s="31"/>
      <c r="F4" s="31"/>
      <c r="G4" s="31"/>
      <c r="H4" s="31"/>
      <c r="I4" s="31"/>
      <c r="J4" s="31"/>
      <c r="K4" s="31"/>
    </row>
    <row r="5" spans="1:24" ht="20.100000000000001" customHeight="1" x14ac:dyDescent="0.25">
      <c r="D5" s="2" t="s">
        <v>96</v>
      </c>
      <c r="N5" s="32"/>
    </row>
    <row r="6" spans="1:24" ht="20.100000000000001" customHeight="1" x14ac:dyDescent="0.25">
      <c r="A6" s="8" t="s">
        <v>1</v>
      </c>
      <c r="N6" s="34"/>
    </row>
    <row r="7" spans="1:24" ht="20.100000000000001" customHeight="1" x14ac:dyDescent="0.25">
      <c r="A7" s="5" t="str">
        <f>HYPERLINK("#'Input - Site'!A1", "Site")</f>
        <v>Site</v>
      </c>
      <c r="D7" s="44" t="s">
        <v>97</v>
      </c>
      <c r="E7" s="45"/>
      <c r="F7" s="45"/>
      <c r="G7" s="46"/>
    </row>
    <row r="8" spans="1:24" ht="20.100000000000001" customHeight="1" x14ac:dyDescent="0.25">
      <c r="A8" s="5" t="str">
        <f>HYPERLINK("#'Input - Pasture Beef'!A1", "Pasture Beef")</f>
        <v>Pasture Beef</v>
      </c>
      <c r="D8" s="47" t="s">
        <v>98</v>
      </c>
      <c r="E8" s="48"/>
      <c r="F8" s="48"/>
      <c r="G8" s="49"/>
    </row>
    <row r="9" spans="1:24" ht="20.100000000000001" customHeight="1" x14ac:dyDescent="0.25">
      <c r="A9" s="5"/>
      <c r="D9" s="1"/>
      <c r="E9" s="50"/>
      <c r="F9" s="17"/>
      <c r="N9" s="36"/>
    </row>
    <row r="10" spans="1:24" ht="20.100000000000001" customHeight="1" x14ac:dyDescent="0.25">
      <c r="A10" s="7" t="s">
        <v>3</v>
      </c>
      <c r="D10" s="1" t="s">
        <v>99</v>
      </c>
      <c r="E10" s="14" t="s">
        <v>100</v>
      </c>
      <c r="F10" s="17" t="s">
        <v>101</v>
      </c>
      <c r="N10" s="36"/>
    </row>
    <row r="11" spans="1:24" ht="20.100000000000001" customHeight="1" x14ac:dyDescent="0.25">
      <c r="A11" s="5" t="str">
        <f>HYPERLINK("#'4.2.1.1-2 Methane'!A1", "4.2.1.1-2 Methane")</f>
        <v>4.2.1.1-2 Methane</v>
      </c>
      <c r="D11" s="1" t="s">
        <v>102</v>
      </c>
      <c r="E11" s="14" t="s">
        <v>103</v>
      </c>
      <c r="F11" s="17" t="s">
        <v>101</v>
      </c>
      <c r="G11" s="1"/>
      <c r="N11" s="41"/>
    </row>
    <row r="12" spans="1:24" ht="20.100000000000001" customHeight="1" x14ac:dyDescent="0.25">
      <c r="A12" s="5" t="str">
        <f>HYPERLINK("#'4.2.1.3-4 Soil direct N2O'!A1", "4.2.1.3-4 Soil direct N2O")</f>
        <v>4.2.1.3-4 Soil direct N2O</v>
      </c>
      <c r="D12" s="1" t="s">
        <v>104</v>
      </c>
      <c r="E12" s="14" t="s">
        <v>105</v>
      </c>
      <c r="F12" s="17" t="s">
        <v>101</v>
      </c>
    </row>
    <row r="13" spans="1:24" ht="20.100000000000001" customHeight="1" x14ac:dyDescent="0.25">
      <c r="A13" s="5" t="str">
        <f>HYPERLINK("#'4.2.1.5-6 Soil Atmos Dep'!A1", "4.2.1.5-6 Soil atm. deposition")</f>
        <v>4.2.1.5-6 Soil atm. deposition</v>
      </c>
      <c r="D13" s="1" t="s">
        <v>37</v>
      </c>
      <c r="E13" s="35">
        <v>307.7</v>
      </c>
      <c r="F13" s="17" t="s">
        <v>106</v>
      </c>
      <c r="N13" s="43"/>
      <c r="O13" s="43"/>
    </row>
    <row r="14" spans="1:24" ht="20.100000000000001" customHeight="1" x14ac:dyDescent="0.25">
      <c r="A14" s="5" t="str">
        <f>HYPERLINK("#'4.2.1.7-8 Soil leach runoff'!A1", "4.2.1.7-8 Soil leach &amp; runoff")</f>
        <v>4.2.1.7-8 Soil leach &amp; runoff</v>
      </c>
      <c r="D14" s="1" t="s">
        <v>107</v>
      </c>
      <c r="E14" s="35">
        <v>18</v>
      </c>
      <c r="F14" s="17" t="s">
        <v>108</v>
      </c>
      <c r="N14" s="43"/>
      <c r="O14" s="43"/>
    </row>
    <row r="15" spans="1:24" ht="20.100000000000001" customHeight="1" x14ac:dyDescent="0.25">
      <c r="A15" s="5"/>
      <c r="D15" s="1" t="s">
        <v>109</v>
      </c>
      <c r="E15" s="35">
        <v>601</v>
      </c>
      <c r="F15" s="17" t="s">
        <v>110</v>
      </c>
      <c r="N15" s="43"/>
      <c r="O15" s="43"/>
    </row>
    <row r="16" spans="1:24" ht="20.100000000000001" customHeight="1" x14ac:dyDescent="0.25">
      <c r="A16" s="6" t="s">
        <v>2</v>
      </c>
      <c r="D16" s="13" t="s">
        <v>111</v>
      </c>
      <c r="E16" s="35">
        <v>1326</v>
      </c>
      <c r="F16" s="17" t="s">
        <v>110</v>
      </c>
      <c r="N16" s="43"/>
      <c r="O16" s="43"/>
    </row>
    <row r="17" spans="1:25" ht="20.100000000000001" customHeight="1" x14ac:dyDescent="0.25">
      <c r="A17" s="5" t="str">
        <f>HYPERLINK("#'Constants - Pasture Beef'!A1", "Constants - Pasture Beef")</f>
        <v>Constants - Pasture Beef</v>
      </c>
      <c r="D17" s="1" t="s">
        <v>112</v>
      </c>
      <c r="E17" s="35">
        <v>7</v>
      </c>
      <c r="F17" s="17" t="s">
        <v>113</v>
      </c>
    </row>
    <row r="18" spans="1:25" ht="20.100000000000001" customHeight="1" x14ac:dyDescent="0.25">
      <c r="A18" s="5" t="str">
        <f>HYPERLINK("#'Constants - Livestock'!A1", "Constants - Livestock")</f>
        <v>Constants - Livestock</v>
      </c>
      <c r="D18" s="13" t="s">
        <v>114</v>
      </c>
      <c r="E18" s="16">
        <f>E15/E16</f>
        <v>0.45324283559577677</v>
      </c>
      <c r="F18" s="17"/>
    </row>
    <row r="19" spans="1:25" ht="20.100000000000001" customHeight="1" x14ac:dyDescent="0.25">
      <c r="A19" s="5" t="str">
        <f>HYPERLINK("#'Constants - Common'!A1", "Constants - Common")</f>
        <v>Constants - Common</v>
      </c>
      <c r="D19" s="13" t="s">
        <v>65</v>
      </c>
      <c r="E19" s="16" t="str">
        <f>Common_InputFunctions.Utility_LookupItemFromMinMax(E15,Table_SourceData_RainfallZones[Min rainfall],Table_SourceData_RainfallZones[Max rainfall],Table_SourceData_RainfallZones[Rainfall Zone])</f>
        <v>High rainfall</v>
      </c>
      <c r="G19" s="51"/>
      <c r="N19" s="32"/>
    </row>
    <row r="20" spans="1:25" ht="20.100000000000001" customHeight="1" x14ac:dyDescent="0.25">
      <c r="A20" s="5" t="str">
        <f>HYPERLINK("#'Acknowledgements'!A1", "Acknowledgements")</f>
        <v>Acknowledgements</v>
      </c>
      <c r="D20" s="1" t="s">
        <v>32</v>
      </c>
      <c r="E20" s="16"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50"/>
      <c r="N20" s="34"/>
    </row>
    <row r="21" spans="1:25" ht="20.100000000000001" customHeight="1" x14ac:dyDescent="0.25">
      <c r="A21"/>
      <c r="D21" s="1" t="s">
        <v>115</v>
      </c>
      <c r="E21" s="16" t="str">
        <f>Common_InputFunctions.Utility_LookupValueInTable($E$20,Table_SourceData_WetDryZones[Climate zone],Table_SourceData_WetDryZones[Wet or Dry Zone])</f>
        <v>Dry climate zone</v>
      </c>
      <c r="F21" s="1"/>
      <c r="G21" s="50"/>
    </row>
    <row r="22" spans="1:25" ht="20.100000000000001" customHeight="1" x14ac:dyDescent="0.25">
      <c r="A22" s="5"/>
      <c r="D22" s="1" t="s">
        <v>69</v>
      </c>
      <c r="E22" s="16" t="str">
        <f>Common_InputFunctions.Utility_LookupItemFromMinMax(E14,Table_SourceData_TemperatureZones[Min MAT],Table_SourceData_TemperatureZones[Max MAT],Table_SourceData_TemperatureZones[Temperature Zone])</f>
        <v>Temperate</v>
      </c>
      <c r="G22" s="54"/>
    </row>
    <row r="23" spans="1:25" ht="20.100000000000001" customHeight="1" x14ac:dyDescent="0.25">
      <c r="A23" s="5"/>
    </row>
    <row r="24" spans="1:25" ht="20.100000000000001" customHeight="1" x14ac:dyDescent="0.25">
      <c r="A24" s="5"/>
    </row>
    <row r="25" spans="1:25" ht="20.100000000000001" customHeight="1" x14ac:dyDescent="0.25">
      <c r="A25"/>
      <c r="N25" s="34"/>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52"/>
      <c r="M30" s="52"/>
      <c r="N30" s="52"/>
      <c r="O30" s="52"/>
      <c r="P30" s="52"/>
      <c r="Q30" s="52"/>
      <c r="R30" s="52"/>
      <c r="S30" s="52"/>
      <c r="T30" s="52"/>
      <c r="U30" s="52"/>
      <c r="V30" s="52"/>
      <c r="W30" s="52"/>
      <c r="X30" s="52"/>
      <c r="Y30" s="52"/>
    </row>
    <row r="31" spans="1:25" ht="20.100000000000001" customHeight="1" x14ac:dyDescent="0.25">
      <c r="A31"/>
      <c r="L31" s="53"/>
      <c r="M31" s="53"/>
      <c r="N31" s="53"/>
      <c r="O31" s="53"/>
      <c r="P31" s="53"/>
      <c r="Q31" s="53"/>
      <c r="R31" s="53"/>
      <c r="S31" s="53"/>
      <c r="T31" s="53"/>
      <c r="U31" s="53"/>
      <c r="V31" s="53"/>
      <c r="W31" s="53"/>
      <c r="X31" s="53"/>
      <c r="Y31" s="53"/>
    </row>
    <row r="32" spans="1:25" ht="20.100000000000001" customHeight="1" x14ac:dyDescent="0.25">
      <c r="A32"/>
      <c r="L32" s="53"/>
      <c r="M32" s="53"/>
      <c r="N32" s="53"/>
      <c r="O32" s="53"/>
      <c r="P32" s="53"/>
      <c r="Q32" s="53"/>
      <c r="R32" s="53"/>
      <c r="S32" s="53"/>
      <c r="T32" s="53"/>
      <c r="U32" s="53"/>
      <c r="V32" s="53"/>
      <c r="W32" s="53"/>
      <c r="X32" s="53"/>
      <c r="Y32" s="53"/>
    </row>
    <row r="33" spans="1:25" ht="20.100000000000001" customHeight="1" x14ac:dyDescent="0.25">
      <c r="A33"/>
      <c r="L33" s="53"/>
      <c r="M33" s="53"/>
      <c r="N33" s="53"/>
      <c r="O33" s="53"/>
      <c r="P33" s="53"/>
      <c r="Q33" s="53"/>
      <c r="R33" s="53"/>
      <c r="S33" s="53"/>
      <c r="T33" s="53"/>
      <c r="U33" s="53"/>
      <c r="V33" s="53"/>
      <c r="W33" s="53"/>
      <c r="X33" s="53"/>
      <c r="Y33" s="53"/>
    </row>
    <row r="34" spans="1:25" ht="20.100000000000001" customHeight="1" x14ac:dyDescent="0.25">
      <c r="A34"/>
      <c r="J34" s="55"/>
      <c r="K34" s="56"/>
      <c r="L34" s="53"/>
      <c r="M34" s="53"/>
      <c r="N34" s="53"/>
      <c r="O34" s="53"/>
      <c r="P34" s="53"/>
      <c r="Q34" s="53"/>
      <c r="R34" s="53"/>
      <c r="S34" s="53"/>
      <c r="T34" s="53"/>
      <c r="U34" s="53"/>
      <c r="V34" s="53"/>
      <c r="W34" s="53"/>
      <c r="X34" s="53"/>
      <c r="Y34" s="53"/>
    </row>
    <row r="35" spans="1:25" ht="20.100000000000001" customHeight="1" x14ac:dyDescent="0.25">
      <c r="A35"/>
      <c r="J35" s="55"/>
      <c r="K35" s="56"/>
      <c r="L35" s="53"/>
      <c r="M35" s="53"/>
      <c r="N35" s="53"/>
      <c r="O35" s="53"/>
      <c r="P35" s="53"/>
      <c r="Q35" s="53"/>
      <c r="R35" s="53"/>
      <c r="S35" s="53"/>
      <c r="T35" s="53"/>
      <c r="U35" s="53"/>
      <c r="V35" s="53"/>
      <c r="W35" s="53"/>
      <c r="X35" s="53"/>
      <c r="Y35" s="53"/>
    </row>
    <row r="36" spans="1:25" ht="20.100000000000001" customHeight="1" x14ac:dyDescent="0.25">
      <c r="A36"/>
      <c r="D36" s="57"/>
      <c r="E36" s="57"/>
      <c r="F36" s="58"/>
      <c r="G36" s="55"/>
      <c r="H36" s="55"/>
      <c r="I36" s="59"/>
      <c r="J36" s="55"/>
      <c r="K36" s="56"/>
      <c r="L36" s="53"/>
      <c r="M36" s="53"/>
      <c r="N36" s="53"/>
      <c r="O36" s="53"/>
      <c r="P36" s="53"/>
      <c r="Q36" s="53"/>
      <c r="R36" s="53"/>
      <c r="S36" s="53"/>
      <c r="T36" s="53"/>
      <c r="U36" s="53"/>
      <c r="V36" s="53"/>
      <c r="W36" s="53"/>
      <c r="X36" s="53"/>
      <c r="Y36" s="53"/>
    </row>
    <row r="37" spans="1:25" ht="20.100000000000001" customHeight="1" x14ac:dyDescent="0.25">
      <c r="A37"/>
      <c r="D37" s="57"/>
      <c r="E37" s="57"/>
      <c r="F37" s="58"/>
      <c r="G37" s="55"/>
      <c r="H37" s="55"/>
      <c r="I37" s="59"/>
      <c r="J37" s="55"/>
      <c r="K37" s="56"/>
      <c r="L37" s="53"/>
      <c r="M37" s="53"/>
      <c r="N37" s="53"/>
      <c r="O37" s="53"/>
      <c r="P37" s="53"/>
      <c r="Q37" s="53"/>
      <c r="R37" s="53"/>
      <c r="S37" s="53"/>
      <c r="T37" s="53"/>
      <c r="U37" s="53"/>
      <c r="V37" s="53"/>
      <c r="W37" s="53"/>
      <c r="X37" s="53"/>
      <c r="Y37" s="53"/>
    </row>
    <row r="38" spans="1:25" ht="20.100000000000001" customHeight="1" x14ac:dyDescent="0.25">
      <c r="A38"/>
      <c r="D38" s="57"/>
      <c r="E38" s="57"/>
      <c r="F38" s="58"/>
      <c r="G38" s="55"/>
      <c r="H38" s="55"/>
      <c r="I38" s="59"/>
      <c r="J38" s="55"/>
      <c r="K38" s="56"/>
      <c r="L38" s="53"/>
      <c r="M38" s="53"/>
      <c r="N38" s="53"/>
      <c r="O38" s="53"/>
      <c r="P38" s="53"/>
      <c r="Q38" s="53"/>
      <c r="R38" s="53"/>
      <c r="S38" s="53"/>
      <c r="T38" s="53"/>
      <c r="U38" s="53"/>
      <c r="V38" s="53"/>
      <c r="W38" s="53"/>
      <c r="X38" s="53"/>
      <c r="Y38" s="53"/>
    </row>
    <row r="39" spans="1:25" ht="20.100000000000001" customHeight="1" x14ac:dyDescent="0.25">
      <c r="A39"/>
      <c r="D39" s="57"/>
      <c r="E39" s="57"/>
      <c r="F39" s="58"/>
      <c r="G39" s="55"/>
      <c r="H39" s="55"/>
      <c r="I39" s="59"/>
      <c r="J39" s="55"/>
      <c r="K39" s="56"/>
      <c r="L39" s="53"/>
      <c r="M39" s="53"/>
      <c r="N39" s="53"/>
      <c r="O39" s="53"/>
      <c r="P39" s="53"/>
      <c r="Q39" s="53"/>
      <c r="R39" s="53"/>
      <c r="S39" s="53"/>
      <c r="T39" s="53"/>
      <c r="U39" s="53"/>
      <c r="V39" s="53"/>
      <c r="W39" s="53"/>
      <c r="X39" s="53"/>
      <c r="Y39" s="53"/>
    </row>
    <row r="40" spans="1:25" ht="20.100000000000001" customHeight="1" x14ac:dyDescent="0.25">
      <c r="A40"/>
      <c r="D40" s="60"/>
      <c r="E40" s="60"/>
      <c r="F40" s="60"/>
      <c r="G40" s="61"/>
      <c r="H40" s="62"/>
      <c r="I40" s="62"/>
      <c r="J40" s="62"/>
      <c r="K40" s="62"/>
      <c r="L40" s="63"/>
      <c r="M40" s="63"/>
      <c r="N40" s="63"/>
      <c r="O40" s="63"/>
      <c r="P40" s="63"/>
      <c r="Q40" s="63"/>
      <c r="R40" s="63"/>
      <c r="S40" s="63"/>
      <c r="T40" s="63"/>
      <c r="U40" s="63"/>
      <c r="V40" s="63"/>
      <c r="W40" s="63"/>
      <c r="X40" s="63"/>
      <c r="Y40" s="6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2"/>
    </row>
    <row r="46" spans="1:25" ht="20.100000000000001" customHeight="1" x14ac:dyDescent="0.25">
      <c r="D46" s="2"/>
    </row>
    <row r="47" spans="1:25" ht="20.100000000000001" customHeight="1" x14ac:dyDescent="0.25">
      <c r="D47" s="64"/>
      <c r="E47" s="64"/>
      <c r="F47" s="64"/>
      <c r="G47" s="64"/>
      <c r="H47" s="64"/>
    </row>
    <row r="48" spans="1:25" ht="20.100000000000001" customHeight="1" x14ac:dyDescent="0.25">
      <c r="D48" s="65"/>
      <c r="E48" s="65"/>
      <c r="F48" s="66"/>
      <c r="G48" s="66"/>
      <c r="H48" s="65"/>
    </row>
    <row r="49" spans="4:8" ht="20.100000000000001" customHeight="1" x14ac:dyDescent="0.25">
      <c r="D49" s="65"/>
      <c r="E49" s="65"/>
      <c r="F49" s="66"/>
      <c r="G49" s="66"/>
      <c r="H49" s="65"/>
    </row>
    <row r="50" spans="4:8" ht="20.100000000000001" customHeight="1" x14ac:dyDescent="0.25">
      <c r="D50" s="65"/>
      <c r="E50" s="65"/>
      <c r="F50" s="66"/>
      <c r="G50" s="66"/>
      <c r="H50" s="65"/>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2"/>
    </row>
    <row r="56" spans="4:8" ht="20.100000000000001" customHeight="1" x14ac:dyDescent="0.25"/>
    <row r="57" spans="4:8" ht="20.100000000000001" customHeight="1" x14ac:dyDescent="0.25">
      <c r="D57" s="71"/>
      <c r="F57" s="72"/>
    </row>
    <row r="58" spans="4:8" ht="20.100000000000001" customHeight="1" x14ac:dyDescent="0.25">
      <c r="D58" s="1"/>
      <c r="E58" s="73"/>
    </row>
    <row r="59" spans="4:8" ht="20.100000000000001" customHeight="1" x14ac:dyDescent="0.25">
      <c r="D59" s="1"/>
      <c r="E59" s="73"/>
    </row>
    <row r="60" spans="4:8" ht="20.100000000000001" customHeight="1" x14ac:dyDescent="0.25">
      <c r="D60" s="1"/>
      <c r="E60" s="74"/>
    </row>
    <row r="61" spans="4:8" ht="20.100000000000001" customHeight="1" x14ac:dyDescent="0.25">
      <c r="D61" s="1"/>
    </row>
    <row r="62" spans="4:8" ht="20.100000000000001" customHeight="1" x14ac:dyDescent="0.25"/>
    <row r="63" spans="4:8" ht="20.100000000000001" customHeight="1" x14ac:dyDescent="0.25">
      <c r="D63" s="71"/>
    </row>
    <row r="64" spans="4:8" ht="20.100000000000001" customHeight="1" x14ac:dyDescent="0.25">
      <c r="D64" s="1"/>
      <c r="E64" s="73"/>
    </row>
    <row r="65" spans="4:9" ht="20.100000000000001" customHeight="1" x14ac:dyDescent="0.25">
      <c r="D65" s="1"/>
      <c r="E65" s="73"/>
    </row>
    <row r="66" spans="4:9" ht="20.100000000000001" customHeight="1" x14ac:dyDescent="0.25">
      <c r="D66" s="1"/>
      <c r="E66" s="74"/>
    </row>
    <row r="67" spans="4:9" ht="20.100000000000001" customHeight="1" x14ac:dyDescent="0.25"/>
    <row r="68" spans="4:9" ht="20.100000000000001" customHeight="1" x14ac:dyDescent="0.25"/>
    <row r="69" spans="4:9" ht="20.100000000000001" customHeight="1" x14ac:dyDescent="0.25">
      <c r="D69" s="75"/>
      <c r="E69" s="75"/>
      <c r="F69" s="75"/>
      <c r="G69" s="75"/>
      <c r="H69" s="75"/>
      <c r="I69" s="75"/>
    </row>
    <row r="70" spans="4:9" ht="20.100000000000001" customHeight="1" x14ac:dyDescent="0.25">
      <c r="D70" s="75"/>
      <c r="E70" s="75"/>
      <c r="F70" s="75"/>
      <c r="G70" s="75"/>
      <c r="H70" s="75"/>
      <c r="I70" s="75"/>
    </row>
    <row r="71" spans="4:9" ht="20.100000000000001" customHeight="1" x14ac:dyDescent="0.25">
      <c r="D71" s="75"/>
      <c r="E71" s="75"/>
      <c r="F71" s="75"/>
      <c r="G71" s="75"/>
      <c r="H71" s="75"/>
      <c r="I71" s="75"/>
    </row>
    <row r="72" spans="4:9" ht="20.100000000000001" customHeight="1" x14ac:dyDescent="0.25">
      <c r="D72" s="75"/>
      <c r="E72" s="75"/>
      <c r="F72" s="75"/>
      <c r="G72" s="75"/>
      <c r="H72" s="75"/>
      <c r="I72" s="75"/>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6"/>
    </row>
    <row r="79" spans="4:9" ht="20.100000000000001" customHeight="1" x14ac:dyDescent="0.25">
      <c r="D79" s="76"/>
    </row>
    <row r="80" spans="4:9" ht="20.100000000000001" customHeight="1" x14ac:dyDescent="0.25">
      <c r="D80" s="76"/>
    </row>
    <row r="81" spans="4:4" ht="20.100000000000001" customHeight="1" x14ac:dyDescent="0.25">
      <c r="D81" s="76"/>
    </row>
    <row r="82" spans="4:4" ht="20.100000000000001" customHeight="1" x14ac:dyDescent="0.25">
      <c r="D82" s="7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C1:J83"/>
  <sheetViews>
    <sheetView showGridLines="0" zoomScaleNormal="100" workbookViewId="0">
      <selection activeCell="E59" sqref="E59"/>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3:10" ht="25.5" x14ac:dyDescent="0.35">
      <c r="C1" s="29" t="s">
        <v>148</v>
      </c>
      <c r="D1" s="23"/>
      <c r="E1" s="23"/>
      <c r="F1" s="23"/>
      <c r="G1" s="23"/>
      <c r="H1" s="23"/>
      <c r="I1" s="23"/>
      <c r="J1" s="23"/>
    </row>
    <row r="2" spans="3:10" x14ac:dyDescent="0.25">
      <c r="C2" s="3"/>
      <c r="D2" s="3"/>
      <c r="E2" s="3"/>
      <c r="F2" s="3"/>
      <c r="G2" s="3"/>
      <c r="H2" s="3"/>
      <c r="I2" s="3"/>
      <c r="J2" s="3"/>
    </row>
    <row r="3" spans="3:10" ht="20.25" x14ac:dyDescent="0.25">
      <c r="C3" s="30"/>
      <c r="D3" s="30"/>
      <c r="E3" s="30"/>
      <c r="F3" s="30"/>
      <c r="G3" s="30"/>
      <c r="H3" s="30"/>
      <c r="I3" s="30"/>
      <c r="J3" s="30"/>
    </row>
    <row r="5" spans="3:10" ht="23.25" x14ac:dyDescent="0.25">
      <c r="D5" s="2" t="s">
        <v>88</v>
      </c>
      <c r="E5" s="26"/>
      <c r="F5" s="26"/>
      <c r="G5" s="26"/>
    </row>
    <row r="6" spans="3:10" x14ac:dyDescent="0.25">
      <c r="D6" s="33"/>
      <c r="E6" s="26"/>
      <c r="F6" s="26"/>
      <c r="G6" s="26"/>
    </row>
    <row r="7" spans="3:10" x14ac:dyDescent="0.25">
      <c r="D7" s="1" t="s">
        <v>89</v>
      </c>
      <c r="E7" s="35" t="s">
        <v>90</v>
      </c>
      <c r="F7" s="17"/>
      <c r="G7" s="26"/>
    </row>
    <row r="8" spans="3:10" x14ac:dyDescent="0.25">
      <c r="D8" s="13" t="s">
        <v>91</v>
      </c>
      <c r="E8" s="35" t="s">
        <v>92</v>
      </c>
      <c r="F8" s="26"/>
      <c r="G8" s="26"/>
    </row>
    <row r="9" spans="3:10" x14ac:dyDescent="0.25">
      <c r="D9" s="26"/>
      <c r="E9" s="26"/>
      <c r="F9" s="26"/>
      <c r="G9" s="26"/>
    </row>
    <row r="10" spans="3:10" x14ac:dyDescent="0.25">
      <c r="D10" s="37" t="s">
        <v>93</v>
      </c>
      <c r="E10" s="38"/>
      <c r="F10" s="39"/>
      <c r="G10" s="40"/>
    </row>
    <row r="11" spans="3:10" x14ac:dyDescent="0.25">
      <c r="D11" s="26"/>
      <c r="E11" s="26"/>
      <c r="F11" s="26"/>
      <c r="G11" s="26"/>
    </row>
    <row r="12" spans="3:10" x14ac:dyDescent="0.25">
      <c r="D12" s="13" t="s">
        <v>17</v>
      </c>
      <c r="E12" s="15">
        <v>45658</v>
      </c>
      <c r="F12" s="17" t="s">
        <v>94</v>
      </c>
      <c r="G12" s="26"/>
    </row>
    <row r="13" spans="3:10" x14ac:dyDescent="0.25">
      <c r="D13" s="13" t="s">
        <v>18</v>
      </c>
      <c r="E13" s="42">
        <f>DATE(YEAR(E12)+1,MONTH(E12),DAY(E12))-1</f>
        <v>46022</v>
      </c>
      <c r="F13" s="17" t="s">
        <v>95</v>
      </c>
      <c r="G13" s="26"/>
    </row>
    <row r="14" spans="3:10" x14ac:dyDescent="0.25">
      <c r="F14" s="26"/>
      <c r="G14" s="26"/>
    </row>
    <row r="16" spans="3:10" ht="23.25" x14ac:dyDescent="0.25">
      <c r="D16" s="2" t="s">
        <v>19</v>
      </c>
    </row>
    <row r="18" spans="4:6" x14ac:dyDescent="0.25">
      <c r="D18" s="1" t="s">
        <v>14</v>
      </c>
      <c r="E18" s="15">
        <v>45962</v>
      </c>
      <c r="F18" s="17" t="s">
        <v>94</v>
      </c>
    </row>
    <row r="19" spans="4:6" x14ac:dyDescent="0.25">
      <c r="D19" s="1" t="s">
        <v>15</v>
      </c>
      <c r="E19" s="15">
        <v>46112</v>
      </c>
      <c r="F19" s="17" t="s">
        <v>94</v>
      </c>
    </row>
    <row r="20" spans="4:6" x14ac:dyDescent="0.25">
      <c r="D20" s="1" t="s">
        <v>16</v>
      </c>
      <c r="E20" s="16">
        <f>DATEDIF(E18,E19+1,"m")</f>
        <v>5</v>
      </c>
      <c r="F20" s="17" t="s">
        <v>117</v>
      </c>
    </row>
    <row r="22" spans="4:6" x14ac:dyDescent="0.25">
      <c r="D22" s="1" t="s">
        <v>150</v>
      </c>
      <c r="E22" s="79" cm="1">
        <f t="array" ref="E22">IF(X_Cell_Crop_CropPurpose = "Cash grain crop", X_Cell_Crop_TotalProductionOfCrop, 0)</f>
        <v>0</v>
      </c>
      <c r="F22" s="17" t="s">
        <v>20</v>
      </c>
    </row>
    <row r="23" spans="4:6" x14ac:dyDescent="0.25">
      <c r="D23" s="1" t="s">
        <v>154</v>
      </c>
      <c r="E23" s="19">
        <v>0.1</v>
      </c>
      <c r="F23" s="17" t="s">
        <v>149</v>
      </c>
    </row>
    <row r="24" spans="4:6" x14ac:dyDescent="0.25">
      <c r="D24" s="1" t="s">
        <v>155</v>
      </c>
      <c r="E24" s="19">
        <v>0.1</v>
      </c>
      <c r="F24" s="17" t="s">
        <v>149</v>
      </c>
    </row>
    <row r="25" spans="4:6" x14ac:dyDescent="0.25">
      <c r="D25" s="1" t="s">
        <v>156</v>
      </c>
      <c r="E25" s="20">
        <f>100%-E23-E24</f>
        <v>0.8</v>
      </c>
      <c r="F25" s="17" t="s">
        <v>149</v>
      </c>
    </row>
    <row r="27" spans="4:6" x14ac:dyDescent="0.25">
      <c r="D27" s="1" t="s">
        <v>152</v>
      </c>
      <c r="E27" s="79" cm="1">
        <f t="array" ref="E27">X_Cell_Crop_TotalResidueBaled</f>
        <v>0</v>
      </c>
      <c r="F27" s="17" t="s">
        <v>20</v>
      </c>
    </row>
    <row r="28" spans="4:6" x14ac:dyDescent="0.25">
      <c r="D28" s="1" t="s">
        <v>157</v>
      </c>
      <c r="E28" s="19">
        <v>0.2</v>
      </c>
      <c r="F28" s="17" t="s">
        <v>149</v>
      </c>
    </row>
    <row r="29" spans="4:6" x14ac:dyDescent="0.25">
      <c r="D29" s="1" t="s">
        <v>158</v>
      </c>
      <c r="E29" s="19">
        <v>0.1</v>
      </c>
      <c r="F29" s="17" t="s">
        <v>149</v>
      </c>
    </row>
    <row r="30" spans="4:6" x14ac:dyDescent="0.25">
      <c r="D30" s="1" t="s">
        <v>156</v>
      </c>
      <c r="E30" s="20">
        <f>100%-E28-E29</f>
        <v>0.70000000000000007</v>
      </c>
      <c r="F30" s="17" t="s">
        <v>149</v>
      </c>
    </row>
    <row r="32" spans="4:6" x14ac:dyDescent="0.25">
      <c r="D32" s="1" t="s">
        <v>151</v>
      </c>
      <c r="E32" s="19">
        <v>0.8</v>
      </c>
      <c r="F32" s="17" t="s">
        <v>149</v>
      </c>
    </row>
    <row r="33" spans="4:7" x14ac:dyDescent="0.25">
      <c r="D33" s="1" t="s">
        <v>153</v>
      </c>
      <c r="E33" s="19">
        <v>0.2</v>
      </c>
      <c r="F33" s="17" t="s">
        <v>149</v>
      </c>
    </row>
    <row r="36" spans="4:7" ht="23.25" x14ac:dyDescent="0.25">
      <c r="D36" s="2" t="s">
        <v>265</v>
      </c>
    </row>
    <row r="39" spans="4:7" ht="18.75" x14ac:dyDescent="0.25">
      <c r="D39" s="80" t="str">
        <f>"Carbon captured from " &amp; TEXT(X_Cell_Site_StartDate, "d mmmm yyyy") &amp; " to " &amp; TEXT(X_Cell_Site_EndDate, "d, mmmm, yyyy") &amp; " from environmental plantings"</f>
        <v>Carbon captured from 1 January 2025 to 31, December, 2025 from environmental plantings</v>
      </c>
    </row>
    <row r="41" spans="4:7" x14ac:dyDescent="0.25">
      <c r="D41" s="21" t="s">
        <v>266</v>
      </c>
      <c r="E41" s="21" t="s">
        <v>267</v>
      </c>
      <c r="F41" s="21" t="s">
        <v>268</v>
      </c>
      <c r="G41" s="81" t="s">
        <v>269</v>
      </c>
    </row>
    <row r="42" spans="4:7" x14ac:dyDescent="0.25">
      <c r="D42" s="35"/>
      <c r="E42" s="77"/>
      <c r="F42" s="19"/>
      <c r="G42" s="1">
        <f>Table_Input_Enterprise_PlantingRemovals[[#This Row],[Total removed CO2]]*Table_Input_Enterprise_PlantingRemovals[[#This Row],[Percent allocated to this enterprise]]</f>
        <v>0</v>
      </c>
    </row>
    <row r="46" spans="4:7" ht="23.25" x14ac:dyDescent="0.25">
      <c r="D46" s="2" t="s">
        <v>270</v>
      </c>
    </row>
    <row r="48" spans="4:7" ht="18.75" x14ac:dyDescent="0.25">
      <c r="D48" s="80"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2025 to 31 March 2026</v>
      </c>
    </row>
    <row r="50" spans="4:7" x14ac:dyDescent="0.25">
      <c r="D50" s="90" t="str" cm="1">
        <f t="array" ref="D50">"There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2 emissions calculation periods that need to be completed before total product emissions can be determined.</v>
      </c>
    </row>
    <row r="51" spans="4:7" x14ac:dyDescent="0.25">
      <c r="D51" s="1" t="s">
        <v>271</v>
      </c>
    </row>
    <row r="53" spans="4:7" x14ac:dyDescent="0.25">
      <c r="D53" s="81" t="s">
        <v>116</v>
      </c>
      <c r="E53" s="81" t="s">
        <v>11</v>
      </c>
      <c r="F53" s="81" t="s">
        <v>12</v>
      </c>
    </row>
    <row r="54" spans="4:7" x14ac:dyDescent="0.25">
      <c r="D54" s="1" t="str" cm="1">
        <f t="array" ref="D54:D55">Common_InputFunctions.getOverlappingReportingPeriods(X_Cell_Enterprise_ProductionTimeframeStart,X_Cell_Enterprise_ProductionTimeframeEnd,X_Cell_Site_StartDate)</f>
        <v>01 Jan 2025 to 31 Dec 2025 (This reporting cycle)</v>
      </c>
      <c r="E54" s="77" t="e">
        <f>IF(ISBLANK($D54), 0, IF(ISNUMBER(SEARCH("reporting", $D54)), Result_Enterprise_Gross_Method1, "Enter value"))</f>
        <v>#NAME?</v>
      </c>
      <c r="F54" s="77" t="e">
        <f>IF(ISBLANK($D54), 0, IF(ISNUMBER(SEARCH("reporting", $D54)), Result_Enterprise_Gross_Method2, "Enter value"))</f>
        <v>#NAME?</v>
      </c>
      <c r="G54" s="10" t="s">
        <v>8</v>
      </c>
    </row>
    <row r="55" spans="4:7" x14ac:dyDescent="0.25">
      <c r="D55" s="1" t="str">
        <v>01 Jan 2026 to 31 Dec 2026</v>
      </c>
      <c r="E55" s="77" t="str">
        <f>IF(ISBLANK($D55), 0, IF(ISNUMBER(SEARCH("reporting", $D55)), Result_Enterprise_Gross_Method1, "Enter value"))</f>
        <v>Enter value</v>
      </c>
      <c r="F55" s="77" t="str">
        <f>IF(ISBLANK($D55), 0, IF(ISNUMBER(SEARCH("reporting", $D55)), Result_Enterprise_Gross_Method2, "Enter value"))</f>
        <v>Enter value</v>
      </c>
      <c r="G55" s="10" t="s">
        <v>8</v>
      </c>
    </row>
    <row r="56" spans="4:7" x14ac:dyDescent="0.25">
      <c r="E56" s="77">
        <f>IF(ISBLANK($D56), 0, IF(ISNUMBER(SEARCH("reporting", $D56)), Result_Enterprise_Gross_Method1, "Enter value"))</f>
        <v>0</v>
      </c>
      <c r="F56" s="77">
        <f>IF(ISBLANK($D56), 0, IF(ISNUMBER(SEARCH("reporting", $D56)), Result_Enterprise_Gross_Method2, "Enter value"))</f>
        <v>0</v>
      </c>
      <c r="G56" s="10" t="s">
        <v>8</v>
      </c>
    </row>
    <row r="57" spans="4:7" x14ac:dyDescent="0.25">
      <c r="E57" s="77">
        <f>IF(ISBLANK($D57), 0, IF(ISNUMBER(SEARCH("reporting", $D57)), Result_Enterprise_Gross_Method1, "Enter value"))</f>
        <v>0</v>
      </c>
      <c r="F57" s="77">
        <f>IF(ISBLANK($D57), 0, IF(ISNUMBER(SEARCH("reporting", $D57)), Result_Enterprise_Gross_Method2, "Enter value"))</f>
        <v>0</v>
      </c>
      <c r="G57" s="10" t="s">
        <v>8</v>
      </c>
    </row>
    <row r="58" spans="4:7" x14ac:dyDescent="0.25">
      <c r="E58" s="77">
        <f>IF(ISBLANK($D58), 0, IF(ISNUMBER(SEARCH("reporting", $D58)), Result_Enterprise_Gross_Method1, "Enter value"))</f>
        <v>0</v>
      </c>
      <c r="F58" s="77">
        <f>IF(ISBLANK($D58), 0, IF(ISNUMBER(SEARCH("reporting", $D58)), Result_Enterprise_Gross_Method2, "Enter value"))</f>
        <v>0</v>
      </c>
      <c r="G58" s="10" t="s">
        <v>8</v>
      </c>
    </row>
    <row r="59" spans="4:7" x14ac:dyDescent="0.25">
      <c r="D59" s="91" t="s">
        <v>129</v>
      </c>
      <c r="E59" s="86" t="e">
        <f>SUM(E54:E58)</f>
        <v>#NAME?</v>
      </c>
      <c r="F59" s="86" t="e">
        <f>SUM(F54:F58)</f>
        <v>#NAME?</v>
      </c>
      <c r="G59" s="92" t="s">
        <v>8</v>
      </c>
    </row>
    <row r="64" spans="4:7" ht="18.75" x14ac:dyDescent="0.25">
      <c r="D64" s="80"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2025 and 31 March 2026</v>
      </c>
    </row>
    <row r="66" spans="4:7" x14ac:dyDescent="0.25">
      <c r="D66" s="81" t="s">
        <v>116</v>
      </c>
      <c r="E66" s="81" t="s">
        <v>127</v>
      </c>
      <c r="F66" s="81"/>
    </row>
    <row r="67" spans="4:7" x14ac:dyDescent="0.25">
      <c r="D67" s="1" t="str" cm="1">
        <f t="array" ref="D67:D68">Common_InputFunctions.getOverlappingReportingPeriods(X_Cell_Enterprise_ProductionTimeframeStart,X_Cell_Enterprise_ProductionTimeframeEnd,X_Cell_Site_StartDate)</f>
        <v>01 Jan 2025 to 31 Dec 2025 (This reporting cycle)</v>
      </c>
      <c r="E67" s="77">
        <f>IF(ISBLANK($D67), 0, IF(ISNUMBER(SEARCH("reporting", $D67)), SUM(Table_Input_Enterprise_PlantingRemovals[Removal allocated to this enterprise]), "Enter value"))</f>
        <v>0</v>
      </c>
      <c r="F67" s="10" t="s">
        <v>128</v>
      </c>
    </row>
    <row r="68" spans="4:7" x14ac:dyDescent="0.25">
      <c r="D68" s="1" t="str">
        <v>01 Jan 2026 to 31 Dec 2026</v>
      </c>
      <c r="E68" s="77" t="str">
        <f>IF(ISBLANK($D68), 0, IF(ISNUMBER(SEARCH("reporting", $D68)), SUM(Table_Input_Enterprise_PlantingRemovals[Removal allocated to this enterprise]), "Enter value"))</f>
        <v>Enter value</v>
      </c>
      <c r="F68" s="10" t="s">
        <v>128</v>
      </c>
    </row>
    <row r="69" spans="4:7" x14ac:dyDescent="0.25">
      <c r="E69" s="77">
        <f>IF(ISBLANK($D69), 0, IF(ISNUMBER(SEARCH("reporting", $D69)), SUM(Table_Input_Enterprise_PlantingRemovals[Removal allocated to this enterprise]), "Enter value"))</f>
        <v>0</v>
      </c>
      <c r="F69" s="10" t="s">
        <v>128</v>
      </c>
    </row>
    <row r="70" spans="4:7" x14ac:dyDescent="0.25">
      <c r="E70" s="77">
        <f>IF(ISBLANK($D70), 0, IF(ISNUMBER(SEARCH("reporting", $D70)), SUM(Table_Input_Enterprise_PlantingRemovals[Removal allocated to this enterprise]), "Enter value"))</f>
        <v>0</v>
      </c>
      <c r="F70" s="10" t="s">
        <v>128</v>
      </c>
    </row>
    <row r="71" spans="4:7" x14ac:dyDescent="0.25">
      <c r="E71" s="77">
        <f>IF(ISBLANK($D71), 0, IF(ISNUMBER(SEARCH("reporting", $D71)), SUM(Table_Input_Enterprise_PlantingRemovals[Removal allocated to this enterprise]), "Enter value"))</f>
        <v>0</v>
      </c>
      <c r="F71" s="10" t="s">
        <v>128</v>
      </c>
    </row>
    <row r="72" spans="4:7" x14ac:dyDescent="0.25">
      <c r="D72" s="91" t="s">
        <v>130</v>
      </c>
      <c r="E72" s="86">
        <f>SUM(E67:E71)</f>
        <v>0</v>
      </c>
      <c r="F72" s="92" t="s">
        <v>128</v>
      </c>
    </row>
    <row r="75" spans="4:7" ht="18.75" x14ac:dyDescent="0.25">
      <c r="D75" s="80"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2025 to 31 March 2026</v>
      </c>
    </row>
    <row r="77" spans="4:7" x14ac:dyDescent="0.25">
      <c r="D77" s="81" t="s">
        <v>116</v>
      </c>
      <c r="E77" s="81" t="s">
        <v>11</v>
      </c>
      <c r="F77" s="81" t="s">
        <v>12</v>
      </c>
    </row>
    <row r="78" spans="4:7" x14ac:dyDescent="0.25">
      <c r="D78" s="1" t="str" cm="1">
        <f t="array" ref="D78:D79">Common_InputFunctions.getOverlappingReportingPeriods(X_Cell_Enterprise_ProductionTimeframeStart,X_Cell_Enterprise_ProductionTimeframeEnd,X_Cell_Site_StartDate)</f>
        <v>01 Jan 2025 to 31 Dec 2025 (This reporting cycle)</v>
      </c>
      <c r="E78" s="77" t="e">
        <f>IF(ISBLANK($D78), 0, IF(ISNUMBER(SEARCH("reporting", $D78)), E54-$E$67, "Enter value"))</f>
        <v>#NAME?</v>
      </c>
      <c r="F78" s="77" t="e">
        <f>IF(ISBLANK($D78), 0, IF(ISNUMBER(SEARCH("reporting", $D78)), F54-$E$67, "Enter value"))</f>
        <v>#NAME?</v>
      </c>
      <c r="G78" s="10" t="s">
        <v>8</v>
      </c>
    </row>
    <row r="79" spans="4:7" x14ac:dyDescent="0.25">
      <c r="D79" s="1" t="str">
        <v>01 Jan 2026 to 31 Dec 2026</v>
      </c>
      <c r="E79" s="77" t="str">
        <f>IF(ISBLANK($D79), 0, IF(ISNUMBER(SEARCH("reporting", $D79)), E55-$E$68, "Enter value"))</f>
        <v>Enter value</v>
      </c>
      <c r="F79" s="77" t="str">
        <f>IF(ISBLANK($D79), 0, IF(ISNUMBER(SEARCH("reporting", $D79)), F55-$E$68, "Enter value"))</f>
        <v>Enter value</v>
      </c>
      <c r="G79" s="10" t="s">
        <v>8</v>
      </c>
    </row>
    <row r="80" spans="4:7" x14ac:dyDescent="0.25">
      <c r="E80" s="77">
        <f>IF(ISBLANK($D80), 0, IF(ISNUMBER(SEARCH("reporting", $D80)), E56-$E$69, "Enter value"))</f>
        <v>0</v>
      </c>
      <c r="F80" s="77">
        <f>IF(ISBLANK($D80), 0, IF(ISNUMBER(SEARCH("reporting", $D80)), F56-$E$69, "Enter value"))</f>
        <v>0</v>
      </c>
      <c r="G80" s="10" t="s">
        <v>8</v>
      </c>
    </row>
    <row r="81" spans="4:7" x14ac:dyDescent="0.25">
      <c r="E81" s="77">
        <f>IF(ISBLANK($D81), 0, IF(ISNUMBER(SEARCH("reporting", $D81)), E57-$E$70, "Enter value"))</f>
        <v>0</v>
      </c>
      <c r="F81" s="77">
        <f>IF(ISBLANK($D81), 0, IF(ISNUMBER(SEARCH("reporting", $D81)), F57-$E$70, "Enter value"))</f>
        <v>0</v>
      </c>
      <c r="G81" s="10" t="s">
        <v>8</v>
      </c>
    </row>
    <row r="82" spans="4:7" x14ac:dyDescent="0.25">
      <c r="E82" s="77">
        <f>IF(ISBLANK($D82), 0, IF(ISNUMBER(SEARCH("reporting", $D82)), E58-$E$71, "Enter value"))</f>
        <v>0</v>
      </c>
      <c r="F82" s="77">
        <f>IF(ISBLANK($D82), 0, IF(ISNUMBER(SEARCH("reporting", $D82)), F58-$E$71, "Enter value"))</f>
        <v>0</v>
      </c>
      <c r="G82" s="10" t="s">
        <v>8</v>
      </c>
    </row>
    <row r="83" spans="4:7" x14ac:dyDescent="0.25">
      <c r="D83" s="91" t="s">
        <v>129</v>
      </c>
      <c r="E83" s="86" t="e">
        <f>SUM(E78:E82)</f>
        <v>#NAME?</v>
      </c>
      <c r="F83" s="86" t="e">
        <f>SUM(F78:F82)</f>
        <v>#NAME?</v>
      </c>
      <c r="G83" s="92" t="s">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58B0-3547-450A-B366-699B2B08FF33}">
  <sheetPr>
    <tabColor rgb="FFCC6600"/>
  </sheetPr>
  <dimension ref="C1:K59"/>
  <sheetViews>
    <sheetView topLeftCell="A7" workbookViewId="0">
      <selection activeCell="E29" sqref="E29"/>
    </sheetView>
  </sheetViews>
  <sheetFormatPr defaultRowHeight="15.75" x14ac:dyDescent="0.25"/>
  <cols>
    <col min="1" max="1" width="30.7109375" customWidth="1"/>
    <col min="2" max="2" width="4.7109375" customWidth="1"/>
    <col min="3" max="3" width="4.7109375" style="1" customWidth="1"/>
    <col min="4" max="4" width="59.5703125" style="1" customWidth="1"/>
    <col min="5" max="10" width="30.7109375" style="1" customWidth="1"/>
    <col min="11" max="11" width="4.7109375" style="1" customWidth="1"/>
    <col min="12" max="12" width="30.7109375" customWidth="1"/>
  </cols>
  <sheetData>
    <row r="1" spans="3:11" s="11" customFormat="1" ht="25.5" x14ac:dyDescent="0.35"/>
    <row r="2" spans="3:11" s="3" customFormat="1" ht="20.100000000000001" customHeight="1" x14ac:dyDescent="0.25"/>
    <row r="3" spans="3:11" ht="20.100000000000001" customHeight="1" x14ac:dyDescent="0.25">
      <c r="C3" s="30"/>
      <c r="D3" s="30"/>
      <c r="E3" s="30"/>
      <c r="F3" s="30"/>
      <c r="G3" s="30"/>
      <c r="H3" s="30"/>
      <c r="I3" s="30"/>
      <c r="J3" s="30"/>
      <c r="K3" s="30"/>
    </row>
    <row r="4" spans="3:11" ht="20.100000000000001" customHeight="1" x14ac:dyDescent="0.25"/>
    <row r="5" spans="3:11" ht="20.100000000000001" customHeight="1" x14ac:dyDescent="0.25">
      <c r="D5" s="2" t="s">
        <v>298</v>
      </c>
    </row>
    <row r="6" spans="3:11" ht="20.100000000000001" customHeight="1" x14ac:dyDescent="0.25"/>
    <row r="7" spans="3:11" ht="20.100000000000001" customHeight="1" x14ac:dyDescent="0.25">
      <c r="D7" s="71" t="s">
        <v>299</v>
      </c>
      <c r="E7" s="71"/>
      <c r="F7" s="71"/>
    </row>
    <row r="8" spans="3:11" ht="20.100000000000001" customHeight="1" x14ac:dyDescent="0.25"/>
    <row r="9" spans="3:11" ht="20.100000000000001" customHeight="1" x14ac:dyDescent="0.25">
      <c r="D9" s="1" t="s">
        <v>180</v>
      </c>
      <c r="E9" s="16" t="s">
        <v>311</v>
      </c>
    </row>
    <row r="10" spans="3:11" ht="20.100000000000001" customHeight="1" x14ac:dyDescent="0.25">
      <c r="D10" s="13" t="s">
        <v>64</v>
      </c>
      <c r="E10" s="14" t="s">
        <v>312</v>
      </c>
      <c r="F10" s="17" t="s">
        <v>313</v>
      </c>
    </row>
    <row r="11" spans="3:11" ht="20.100000000000001" customHeight="1" x14ac:dyDescent="0.25"/>
    <row r="12" spans="3:11" ht="20.100000000000001" customHeight="1" x14ac:dyDescent="0.25">
      <c r="D12" s="1" t="s">
        <v>181</v>
      </c>
      <c r="E12" s="100">
        <v>1000</v>
      </c>
      <c r="F12" s="17" t="s">
        <v>331</v>
      </c>
    </row>
    <row r="13" spans="3:11" ht="20.100000000000001" customHeight="1" x14ac:dyDescent="0.25"/>
    <row r="14" spans="3:11" ht="20.100000000000001" customHeight="1" x14ac:dyDescent="0.25">
      <c r="D14" s="2" t="s">
        <v>300</v>
      </c>
    </row>
    <row r="15" spans="3:11" ht="20.100000000000001" customHeight="1" x14ac:dyDescent="0.25"/>
    <row r="16" spans="3:11" ht="20.100000000000001" customHeight="1" x14ac:dyDescent="0.25">
      <c r="D16" s="1" t="s">
        <v>324</v>
      </c>
      <c r="E16" s="77">
        <v>2</v>
      </c>
      <c r="F16" s="17" t="s">
        <v>323</v>
      </c>
    </row>
    <row r="17" spans="4:6" ht="20.100000000000001" customHeight="1" x14ac:dyDescent="0.25">
      <c r="D17" s="1" t="s">
        <v>322</v>
      </c>
      <c r="E17" s="16">
        <f>X_Cell_Crop_AreaUnderCropping*E16</f>
        <v>2000</v>
      </c>
      <c r="F17" s="17" t="s">
        <v>317</v>
      </c>
    </row>
    <row r="18" spans="4:6" ht="20.100000000000001" customHeight="1" x14ac:dyDescent="0.25">
      <c r="D18" s="1" t="s">
        <v>325</v>
      </c>
      <c r="E18" s="77">
        <v>4.41</v>
      </c>
      <c r="F18" s="17" t="s">
        <v>319</v>
      </c>
    </row>
    <row r="19" spans="4:6" ht="20.100000000000001" customHeight="1" x14ac:dyDescent="0.25">
      <c r="D19" s="1" t="s">
        <v>320</v>
      </c>
      <c r="E19" s="77">
        <v>227</v>
      </c>
      <c r="F19" s="17" t="s">
        <v>321</v>
      </c>
    </row>
    <row r="20" spans="4:6" ht="20.100000000000001" customHeight="1" x14ac:dyDescent="0.25">
      <c r="D20" s="1" t="s">
        <v>332</v>
      </c>
      <c r="E20" s="16">
        <f>(E17*E18)*E19*10^-3</f>
        <v>2002.14</v>
      </c>
      <c r="F20" s="17" t="s">
        <v>20</v>
      </c>
    </row>
    <row r="21" spans="4:6" ht="20.100000000000001" customHeight="1" x14ac:dyDescent="0.25">
      <c r="D21" s="1" t="s">
        <v>314</v>
      </c>
      <c r="E21" s="102">
        <v>0.41839999999999999</v>
      </c>
      <c r="F21" s="17" t="s">
        <v>149</v>
      </c>
    </row>
    <row r="22" spans="4:6" ht="20.100000000000001" customHeight="1" x14ac:dyDescent="0.25">
      <c r="D22" s="1" t="s">
        <v>315</v>
      </c>
      <c r="E22" s="16">
        <f>(E19*E18)/E21</f>
        <v>2392.6147227533461</v>
      </c>
      <c r="F22" s="17" t="s">
        <v>316</v>
      </c>
    </row>
    <row r="23" spans="4:6" ht="20.100000000000001" customHeight="1" x14ac:dyDescent="0.25"/>
    <row r="24" spans="4:6" ht="20.100000000000001" customHeight="1" x14ac:dyDescent="0.25">
      <c r="D24" s="1" t="s">
        <v>318</v>
      </c>
      <c r="E24" s="77">
        <v>250</v>
      </c>
      <c r="F24" s="17" t="s">
        <v>316</v>
      </c>
    </row>
    <row r="25" spans="4:6" ht="20.100000000000001" customHeight="1" x14ac:dyDescent="0.25">
      <c r="D25" s="1" t="s">
        <v>334</v>
      </c>
      <c r="E25" s="16">
        <f>E24*E17*10^-3</f>
        <v>500</v>
      </c>
      <c r="F25" s="17" t="s">
        <v>20</v>
      </c>
    </row>
    <row r="26" spans="4:6" ht="20.100000000000001" customHeight="1" x14ac:dyDescent="0.25"/>
    <row r="27" spans="4:6" ht="20.100000000000001" customHeight="1" x14ac:dyDescent="0.25">
      <c r="D27" s="1" t="s">
        <v>333</v>
      </c>
    </row>
    <row r="28" spans="4:6" ht="20.100000000000001" customHeight="1" x14ac:dyDescent="0.25">
      <c r="D28" s="78"/>
    </row>
    <row r="29" spans="4:6" ht="20.100000000000001" customHeight="1" x14ac:dyDescent="0.25">
      <c r="D29" s="1" t="s">
        <v>326</v>
      </c>
      <c r="E29" s="16" cm="1">
        <f t="array" ref="E29">Common_InputFunctions.Utility_LookupValueInTableNumber(X_Cell_Crop_CropType, [1]!Table_SourceData_CropAttributes[Crop type],[1]!Table_SourceData_CropAttributes[Residue: Crop ratio])</f>
        <v>1.9</v>
      </c>
    </row>
    <row r="30" spans="4:6" ht="20.100000000000001" customHeight="1" x14ac:dyDescent="0.25">
      <c r="D30" s="90"/>
    </row>
    <row r="31" spans="4:6" ht="20.100000000000001" customHeight="1" x14ac:dyDescent="0.25">
      <c r="D31" s="90"/>
    </row>
    <row r="32" spans="4:6" ht="20.100000000000001" customHeight="1" x14ac:dyDescent="0.25"/>
    <row r="33" spans="4:6" ht="20.100000000000001" customHeight="1" x14ac:dyDescent="0.25">
      <c r="D33" s="2" t="s">
        <v>301</v>
      </c>
    </row>
    <row r="34" spans="4:6" ht="20.100000000000001" customHeight="1" x14ac:dyDescent="0.25"/>
    <row r="35" spans="4:6" ht="20.100000000000001" customHeight="1" x14ac:dyDescent="0.25">
      <c r="D35" s="1" t="e">
        <f>"Residue after " &amp; VLOOKUP(X_Cell_Crop_CropPurpose,'[1]Constants - Ag Residue'!D8:G10, 4, FALSE)</f>
        <v>#N/A</v>
      </c>
      <c r="E35" s="16">
        <f>E29*X_Cell_Crop_AreaUnderCropping</f>
        <v>1900</v>
      </c>
      <c r="F35" s="17" t="s">
        <v>327</v>
      </c>
    </row>
    <row r="36" spans="4:6" ht="20.100000000000001" customHeight="1" x14ac:dyDescent="0.25"/>
    <row r="37" spans="4:6" ht="20.100000000000001" customHeight="1" x14ac:dyDescent="0.25">
      <c r="D37" s="80" t="s">
        <v>302</v>
      </c>
    </row>
    <row r="38" spans="4:6" ht="20.100000000000001" customHeight="1" x14ac:dyDescent="0.25">
      <c r="D38" s="1" t="s">
        <v>303</v>
      </c>
      <c r="E38" s="16">
        <f>E28*X_Cell_Crop_AreaUnderCropping</f>
        <v>0</v>
      </c>
      <c r="F38" s="17" t="s">
        <v>328</v>
      </c>
    </row>
    <row r="39" spans="4:6" ht="20.100000000000001" customHeight="1" x14ac:dyDescent="0.25">
      <c r="D39" s="1" t="s">
        <v>304</v>
      </c>
      <c r="F39" s="17" t="s">
        <v>329</v>
      </c>
    </row>
    <row r="40" spans="4:6" ht="20.100000000000001" customHeight="1" x14ac:dyDescent="0.25">
      <c r="D40" s="78" t="s">
        <v>305</v>
      </c>
      <c r="F40" s="17" t="s">
        <v>330</v>
      </c>
    </row>
    <row r="41" spans="4:6" ht="20.100000000000001" customHeight="1" x14ac:dyDescent="0.25">
      <c r="D41" s="78" t="s">
        <v>306</v>
      </c>
      <c r="E41" s="19">
        <v>0.11</v>
      </c>
      <c r="F41" s="17" t="s">
        <v>327</v>
      </c>
    </row>
    <row r="42" spans="4:6" ht="20.100000000000001" customHeight="1" x14ac:dyDescent="0.25">
      <c r="E42" s="77">
        <v>60</v>
      </c>
    </row>
    <row r="43" spans="4:6" ht="20.100000000000001" customHeight="1" x14ac:dyDescent="0.25">
      <c r="D43" s="80" t="s">
        <v>307</v>
      </c>
      <c r="E43" s="101">
        <f>IFERROR((X_Cell_Crop_TotalResidueBaled*10^3)/X_Cell_Crop_AverageWeightPerBale, 0)</f>
        <v>0</v>
      </c>
    </row>
    <row r="44" spans="4:6" ht="20.100000000000001" customHeight="1" x14ac:dyDescent="0.25">
      <c r="D44" s="1" t="s">
        <v>308</v>
      </c>
      <c r="E44" s="16">
        <f>E38*X_Cell_Crop_PercentResidueBaled</f>
        <v>0</v>
      </c>
      <c r="F44" s="17" t="s">
        <v>328</v>
      </c>
    </row>
    <row r="45" spans="4:6" ht="20.100000000000001" customHeight="1" x14ac:dyDescent="0.25">
      <c r="D45" s="1" t="s">
        <v>309</v>
      </c>
      <c r="F45" s="17" t="s">
        <v>327</v>
      </c>
    </row>
    <row r="46" spans="4:6" ht="20.100000000000001" customHeight="1" x14ac:dyDescent="0.25"/>
    <row r="47" spans="4:6" ht="20.100000000000001" customHeight="1" x14ac:dyDescent="0.25">
      <c r="D47" s="1" t="s">
        <v>310</v>
      </c>
      <c r="E47" s="19">
        <v>0.3</v>
      </c>
      <c r="F47" s="17" t="s">
        <v>327</v>
      </c>
    </row>
    <row r="48" spans="4:6" ht="20.100000000000001" customHeight="1" x14ac:dyDescent="0.25">
      <c r="E48" s="16">
        <f>E38*X_Cell_Crop_PercentResidueBurned</f>
        <v>0</v>
      </c>
    </row>
    <row r="49" spans="5:5" ht="20.100000000000001" customHeight="1" x14ac:dyDescent="0.25"/>
    <row r="50" spans="5:5" ht="20.100000000000001" customHeight="1" x14ac:dyDescent="0.25">
      <c r="E50" s="16">
        <f>E38-X_Cell_Crop_TotalResidueBaled-E48</f>
        <v>0</v>
      </c>
    </row>
    <row r="51" spans="5:5" ht="20.100000000000001" customHeight="1" x14ac:dyDescent="0.25"/>
    <row r="52" spans="5:5" ht="20.100000000000001" customHeight="1" x14ac:dyDescent="0.25"/>
    <row r="53" spans="5:5" ht="20.100000000000001" customHeight="1" x14ac:dyDescent="0.25"/>
    <row r="54" spans="5:5" ht="20.100000000000001" customHeight="1" x14ac:dyDescent="0.25"/>
    <row r="55" spans="5:5" ht="20.100000000000001" customHeight="1" x14ac:dyDescent="0.25"/>
    <row r="56" spans="5:5" ht="20.100000000000001" customHeight="1" x14ac:dyDescent="0.25"/>
    <row r="57" spans="5:5" ht="20.100000000000001" customHeight="1" x14ac:dyDescent="0.25"/>
    <row r="58" spans="5:5" ht="20.100000000000001" customHeight="1" x14ac:dyDescent="0.25"/>
    <row r="59" spans="5:5" ht="20.100000000000001" customHeight="1" x14ac:dyDescent="0.25"/>
  </sheetData>
  <conditionalFormatting sqref="F47">
    <cfRule type="cellIs" dxfId="0" priority="1" operator="lessThan">
      <formula>0</formula>
    </cfRule>
  </conditionalFormatting>
  <dataValidations count="1">
    <dataValidation type="list" allowBlank="1" showInputMessage="1" showErrorMessage="1" sqref="E10" xr:uid="{17671CC9-537C-4730-851C-300987B94431}">
      <formula1>INDIRECT("Table_SourceData_Fertiliser_IrrigationMethods[Irrigation method]")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198B5-7ECE-40EA-8499-B24C208F76C0}">
  <sheetPr>
    <tabColor rgb="FFCC6600"/>
  </sheetPr>
  <dimension ref="A1:K10"/>
  <sheetViews>
    <sheetView showGridLines="0" zoomScaleNormal="100" workbookViewId="0">
      <selection activeCell="E23" sqref="E23"/>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s>
  <sheetData>
    <row r="1" spans="1:11" s="11" customFormat="1" ht="25.5" x14ac:dyDescent="0.35">
      <c r="A1" s="11" t="e" vm="1">
        <v>#VALUE!</v>
      </c>
      <c r="C1" s="11" t="s">
        <v>177</v>
      </c>
    </row>
    <row r="2" spans="1:11" s="3" customFormat="1" x14ac:dyDescent="0.25"/>
    <row r="3" spans="1:11" ht="20.25" x14ac:dyDescent="0.25">
      <c r="C3" s="30"/>
      <c r="D3" s="30"/>
      <c r="E3" s="30"/>
      <c r="F3" s="30"/>
      <c r="G3" s="30"/>
      <c r="H3" s="30"/>
      <c r="I3" s="30"/>
      <c r="J3" s="30"/>
      <c r="K3" s="30"/>
    </row>
    <row r="5" spans="1:11" x14ac:dyDescent="0.25">
      <c r="D5" s="71" t="s">
        <v>182</v>
      </c>
      <c r="E5" s="71"/>
      <c r="F5" s="71"/>
      <c r="G5" s="71"/>
    </row>
    <row r="6" spans="1:11" x14ac:dyDescent="0.25">
      <c r="F6" s="17"/>
    </row>
    <row r="7" spans="1:11" x14ac:dyDescent="0.25">
      <c r="D7" s="1" t="s">
        <v>178</v>
      </c>
      <c r="E7" s="16" t="s">
        <v>179</v>
      </c>
      <c r="F7" s="17"/>
    </row>
    <row r="8" spans="1:11" x14ac:dyDescent="0.25">
      <c r="D8" s="1" t="s">
        <v>180</v>
      </c>
      <c r="E8" s="16" t="str" cm="1">
        <f t="array" ref="E8">_xlfn.IFS(X_Cell_Crop_CropType="Maize", "Maize", X_Cell_Crop_CropType="Cotton", "Cotton", TRUE, "Grains")</f>
        <v>Cotton</v>
      </c>
      <c r="F8" s="17"/>
    </row>
    <row r="9" spans="1:11" x14ac:dyDescent="0.25">
      <c r="D9" s="1" t="s">
        <v>64</v>
      </c>
      <c r="E9" s="16" t="e" cm="1">
        <f t="array" ref="E9">X_Cell_Crop_IrrigationMethod</f>
        <v>#NAME?</v>
      </c>
    </row>
    <row r="10" spans="1:11" x14ac:dyDescent="0.25">
      <c r="D10" s="1" t="s">
        <v>181</v>
      </c>
      <c r="E10" s="16" cm="1">
        <f t="array" ref="E10">X_Cell_Crop_AreaUnderCropping</f>
        <v>1000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6CAE-AEA5-40D0-AB61-E3C60BCDF82A}">
  <sheetPr>
    <tabColor rgb="FFCC6600"/>
  </sheetPr>
  <dimension ref="C1:M65"/>
  <sheetViews>
    <sheetView showGridLines="0" tabSelected="1" topLeftCell="A8" zoomScaleNormal="100" workbookViewId="0">
      <selection activeCell="E14" sqref="E14"/>
    </sheetView>
  </sheetViews>
  <sheetFormatPr defaultRowHeight="15.75" x14ac:dyDescent="0.25"/>
  <cols>
    <col min="1" max="1" width="30.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3:13" s="11" customFormat="1" ht="25.5" x14ac:dyDescent="0.35">
      <c r="C1" s="11" t="s">
        <v>183</v>
      </c>
    </row>
    <row r="2" spans="3:13" s="3" customFormat="1" x14ac:dyDescent="0.25"/>
    <row r="3" spans="3:13" ht="20.25" x14ac:dyDescent="0.25">
      <c r="C3" s="30"/>
      <c r="D3" s="30"/>
      <c r="E3" s="30"/>
      <c r="F3" s="30"/>
      <c r="G3" s="30"/>
      <c r="H3" s="30"/>
      <c r="I3" s="30"/>
      <c r="J3" s="30"/>
      <c r="K3" s="30"/>
      <c r="L3" s="30"/>
      <c r="M3" s="30"/>
    </row>
    <row r="5" spans="3:13" ht="23.25" x14ac:dyDescent="0.25">
      <c r="D5" s="2" t="s">
        <v>255</v>
      </c>
    </row>
    <row r="7" spans="3:13" x14ac:dyDescent="0.25">
      <c r="D7" s="81" t="s">
        <v>256</v>
      </c>
      <c r="E7" s="81" t="s">
        <v>257</v>
      </c>
      <c r="F7" s="81" t="s">
        <v>258</v>
      </c>
      <c r="G7" s="81" t="s">
        <v>259</v>
      </c>
      <c r="H7" s="81" t="s">
        <v>184</v>
      </c>
      <c r="I7" s="81" t="s">
        <v>185</v>
      </c>
      <c r="J7" s="81" t="s">
        <v>186</v>
      </c>
    </row>
    <row r="8" spans="3:13" x14ac:dyDescent="0.25">
      <c r="D8" s="1" t="str">
        <f>"Unprocessed cotton yield"</f>
        <v>Unprocessed cotton yield</v>
      </c>
      <c r="E8" s="14" t="s">
        <v>235</v>
      </c>
      <c r="F8" s="14" t="s">
        <v>240</v>
      </c>
      <c r="G8" s="14" t="s">
        <v>245</v>
      </c>
      <c r="H8" s="85"/>
      <c r="I8" s="85"/>
      <c r="J8"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3:13" x14ac:dyDescent="0.25">
      <c r="D9" s="1" t="str">
        <f>"Processed cotton lint yield"</f>
        <v>Processed cotton lint yield</v>
      </c>
      <c r="E9" s="14"/>
      <c r="F9" s="14"/>
      <c r="G9" s="14"/>
      <c r="H9" s="85"/>
      <c r="I9" s="85"/>
      <c r="J9"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0" spans="3:13" x14ac:dyDescent="0.25">
      <c r="D10" s="1" t="str">
        <f>"Cottonseed yield"</f>
        <v>Cottonseed yield</v>
      </c>
      <c r="E10" s="14"/>
      <c r="F10" s="14"/>
      <c r="G10" s="14"/>
      <c r="H10" s="85"/>
      <c r="I10" s="85"/>
      <c r="J10"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1" spans="3:13" x14ac:dyDescent="0.25">
      <c r="D11" s="1" t="str">
        <f>"Cotton lint sold"</f>
        <v>Cotton lint sold</v>
      </c>
      <c r="E11" s="14" t="s">
        <v>236</v>
      </c>
      <c r="F11" s="14" t="s">
        <v>241</v>
      </c>
      <c r="G11" s="14" t="s">
        <v>246</v>
      </c>
      <c r="H11" s="85"/>
      <c r="I11" s="85"/>
      <c r="J11"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2" spans="3:13" x14ac:dyDescent="0.25">
      <c r="D12" s="1" t="str">
        <f>"Cottonseed sold"</f>
        <v>Cottonseed sold</v>
      </c>
      <c r="E12" s="14" t="s">
        <v>237</v>
      </c>
      <c r="F12" s="14" t="s">
        <v>242</v>
      </c>
      <c r="G12" s="14" t="s">
        <v>246</v>
      </c>
      <c r="H12" s="85"/>
      <c r="I12" s="85"/>
      <c r="J12"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3" spans="3:13" x14ac:dyDescent="0.25">
      <c r="D13" s="1" t="str">
        <f>"Percent income from cotton lint sold"</f>
        <v>Percent income from cotton lint sold</v>
      </c>
      <c r="E13" s="14" t="s">
        <v>239</v>
      </c>
      <c r="F13" s="14" t="s">
        <v>244</v>
      </c>
      <c r="G13" s="14" t="s">
        <v>249</v>
      </c>
      <c r="H13" s="85"/>
      <c r="I13" s="85"/>
      <c r="J13"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4" spans="3:13" x14ac:dyDescent="0.25">
      <c r="D14" s="1" t="str">
        <f>"Percent income from cotton seed sold"</f>
        <v>Percent income from cotton seed sold</v>
      </c>
      <c r="E14" s="14" t="s">
        <v>236</v>
      </c>
      <c r="F14" s="14" t="s">
        <v>241</v>
      </c>
      <c r="G14" s="14" t="s">
        <v>245</v>
      </c>
      <c r="H14" s="85"/>
      <c r="I14" s="85"/>
      <c r="J14"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13</v>
      </c>
    </row>
    <row r="16" spans="3:13" x14ac:dyDescent="0.25">
      <c r="J16" s="86">
        <f>SUM(Table_Input_DataQuality_Enterprise[Score])</f>
        <v>53</v>
      </c>
    </row>
    <row r="17" spans="4:10" ht="23.25" x14ac:dyDescent="0.25">
      <c r="D17" s="2" t="s">
        <v>260</v>
      </c>
    </row>
    <row r="19" spans="4:10" x14ac:dyDescent="0.25">
      <c r="D19" s="81" t="s">
        <v>256</v>
      </c>
      <c r="E19" s="81" t="s">
        <v>257</v>
      </c>
      <c r="F19" s="81" t="s">
        <v>258</v>
      </c>
      <c r="G19" s="81" t="s">
        <v>259</v>
      </c>
      <c r="H19" s="81" t="s">
        <v>184</v>
      </c>
      <c r="I19" s="81" t="s">
        <v>185</v>
      </c>
      <c r="J19" s="81" t="s">
        <v>186</v>
      </c>
    </row>
    <row r="20" spans="4:10" x14ac:dyDescent="0.25">
      <c r="D20" s="1" t="str">
        <f>"Leaching zone"</f>
        <v>Leaching zone</v>
      </c>
      <c r="E20" s="14" t="s">
        <v>236</v>
      </c>
      <c r="F20" s="14" t="s">
        <v>242</v>
      </c>
      <c r="G20" s="14" t="s">
        <v>245</v>
      </c>
      <c r="H20" s="85"/>
      <c r="I20" s="85"/>
      <c r="J20"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4:10" x14ac:dyDescent="0.25">
      <c r="D21" s="1" t="str">
        <f>"Elevation"</f>
        <v>Elevation</v>
      </c>
      <c r="E21" s="14" t="s">
        <v>236</v>
      </c>
      <c r="F21" s="14" t="s">
        <v>242</v>
      </c>
      <c r="G21" s="14" t="s">
        <v>245</v>
      </c>
      <c r="H21" s="85"/>
      <c r="I21" s="85"/>
      <c r="J21"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2" spans="4:10" x14ac:dyDescent="0.25">
      <c r="D22" s="1" t="str">
        <f>"Average temperature for reporting period"</f>
        <v>Average temperature for reporting period</v>
      </c>
      <c r="E22" s="14" t="s">
        <v>236</v>
      </c>
      <c r="F22" s="14" t="s">
        <v>242</v>
      </c>
      <c r="G22" s="14" t="s">
        <v>245</v>
      </c>
      <c r="H22" s="85"/>
      <c r="I22" s="85"/>
      <c r="J22"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3" spans="4:10" x14ac:dyDescent="0.25">
      <c r="D23" s="1" t="str">
        <f>"Total rainfall for reporting period"</f>
        <v>Total rainfall for reporting period</v>
      </c>
      <c r="E23" s="14" t="s">
        <v>235</v>
      </c>
      <c r="F23" s="14" t="s">
        <v>241</v>
      </c>
      <c r="G23" s="14" t="s">
        <v>245</v>
      </c>
      <c r="H23" s="85"/>
      <c r="I23" s="85"/>
      <c r="J23"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4" spans="4:10" x14ac:dyDescent="0.25">
      <c r="D24" s="1" t="str">
        <f>"Potential evapotranspiration for reporting period"</f>
        <v>Potential evapotranspiration for reporting period</v>
      </c>
      <c r="E24" s="14" t="s">
        <v>236</v>
      </c>
      <c r="F24" s="14" t="s">
        <v>242</v>
      </c>
      <c r="G24" s="14" t="s">
        <v>245</v>
      </c>
      <c r="H24" s="85"/>
      <c r="I24" s="85"/>
      <c r="J24"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5" spans="4:10" x14ac:dyDescent="0.25">
      <c r="D25" s="1" t="str">
        <f>"Number of frost days for reporting period"</f>
        <v>Number of frost days for reporting period</v>
      </c>
      <c r="E25" s="87" t="s">
        <v>237</v>
      </c>
      <c r="F25" s="87" t="s">
        <v>242</v>
      </c>
      <c r="G25" s="87" t="s">
        <v>245</v>
      </c>
      <c r="H25" s="85"/>
      <c r="I25" s="85"/>
      <c r="J25"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7" spans="4:10" x14ac:dyDescent="0.25">
      <c r="J27" s="86">
        <f>SUM(Table_Input_DataQuality_Site[Score])</f>
        <v>73</v>
      </c>
    </row>
    <row r="28" spans="4:10" ht="23.25" x14ac:dyDescent="0.25">
      <c r="D28" s="2" t="s">
        <v>297</v>
      </c>
    </row>
    <row r="30" spans="4:10" x14ac:dyDescent="0.25">
      <c r="D30" s="81" t="s">
        <v>256</v>
      </c>
      <c r="E30" s="81" t="s">
        <v>257</v>
      </c>
      <c r="F30" s="81" t="s">
        <v>258</v>
      </c>
      <c r="G30" s="81" t="s">
        <v>259</v>
      </c>
      <c r="H30" s="81" t="s">
        <v>184</v>
      </c>
      <c r="I30" s="81" t="s">
        <v>185</v>
      </c>
      <c r="J30" s="81" t="s">
        <v>186</v>
      </c>
    </row>
    <row r="31" spans="4:10" x14ac:dyDescent="0.25">
      <c r="D31" s="1" t="str">
        <f>"Irrigation method"</f>
        <v>Irrigation method</v>
      </c>
      <c r="E31" s="14" t="s">
        <v>235</v>
      </c>
      <c r="F31" s="14" t="s">
        <v>241</v>
      </c>
      <c r="G31" s="14" t="s">
        <v>245</v>
      </c>
      <c r="H31" s="85"/>
      <c r="I31" s="85"/>
      <c r="J31"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2" spans="4:10" x14ac:dyDescent="0.25">
      <c r="D32" s="1" t="str">
        <f>"Area under cropping"</f>
        <v>Area under cropping</v>
      </c>
      <c r="E32" s="14" t="s">
        <v>235</v>
      </c>
      <c r="F32" s="14" t="s">
        <v>241</v>
      </c>
      <c r="G32" s="14" t="s">
        <v>245</v>
      </c>
      <c r="H32" s="85"/>
      <c r="I32" s="85"/>
      <c r="J32"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3" spans="4:10" x14ac:dyDescent="0.25">
      <c r="D33" s="1" t="str">
        <f>"Residue management"</f>
        <v>Residue management</v>
      </c>
      <c r="E33" s="14" t="s">
        <v>235</v>
      </c>
      <c r="F33" s="14" t="s">
        <v>241</v>
      </c>
      <c r="G33" s="14" t="s">
        <v>245</v>
      </c>
      <c r="H33" s="85"/>
      <c r="I33" s="85"/>
      <c r="J33"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5" spans="4:10" x14ac:dyDescent="0.25">
      <c r="J35" s="86">
        <f>SUM(Table_Input_DataQuality_PastureManagement[Score])</f>
        <v>42</v>
      </c>
    </row>
    <row r="36" spans="4:10" ht="23.25" x14ac:dyDescent="0.25">
      <c r="D36" s="2" t="s">
        <v>261</v>
      </c>
    </row>
    <row r="38" spans="4:10" x14ac:dyDescent="0.25">
      <c r="D38" s="81" t="s">
        <v>256</v>
      </c>
      <c r="E38" s="81" t="s">
        <v>257</v>
      </c>
      <c r="F38" s="81" t="s">
        <v>258</v>
      </c>
      <c r="G38" s="81" t="s">
        <v>259</v>
      </c>
      <c r="H38" s="81" t="s">
        <v>184</v>
      </c>
      <c r="I38" s="81" t="s">
        <v>185</v>
      </c>
      <c r="J38" s="81" t="s">
        <v>186</v>
      </c>
    </row>
    <row r="39" spans="4:10" x14ac:dyDescent="0.25">
      <c r="D39" s="1" t="str">
        <f>"Branded inorganic fertiliser applications"</f>
        <v>Branded inorganic fertiliser applications</v>
      </c>
      <c r="E39" s="14" t="s">
        <v>235</v>
      </c>
      <c r="F39" s="14" t="s">
        <v>241</v>
      </c>
      <c r="G39" s="14" t="s">
        <v>246</v>
      </c>
      <c r="H39" s="85"/>
      <c r="I39" s="85"/>
      <c r="J39"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13</v>
      </c>
    </row>
    <row r="40" spans="4:10" x14ac:dyDescent="0.25">
      <c r="D40" s="1" t="str">
        <f>"Custom inorganic fertiliser blend applications"</f>
        <v>Custom inorganic fertiliser blend applications</v>
      </c>
      <c r="E40" s="14" t="s">
        <v>235</v>
      </c>
      <c r="F40" s="14" t="s">
        <v>241</v>
      </c>
      <c r="G40" s="14" t="s">
        <v>245</v>
      </c>
      <c r="H40" s="85"/>
      <c r="I40" s="85"/>
      <c r="J40"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1" spans="4:10" x14ac:dyDescent="0.25">
      <c r="D41" s="1" t="str">
        <f>"Lime applications"</f>
        <v>Lime applications</v>
      </c>
      <c r="E41" s="14" t="s">
        <v>235</v>
      </c>
      <c r="F41" s="14" t="s">
        <v>241</v>
      </c>
      <c r="G41" s="14" t="s">
        <v>245</v>
      </c>
      <c r="H41" s="85"/>
      <c r="I41" s="85"/>
      <c r="J41"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2" spans="4:10" x14ac:dyDescent="0.25">
      <c r="D42" s="1" t="str">
        <f>"Organic fertiliser applications"</f>
        <v>Organic fertiliser applications</v>
      </c>
      <c r="E42" s="14" t="s">
        <v>235</v>
      </c>
      <c r="F42" s="14" t="s">
        <v>241</v>
      </c>
      <c r="G42" s="14" t="s">
        <v>245</v>
      </c>
      <c r="H42" s="85"/>
      <c r="I42" s="85"/>
      <c r="J42"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4" spans="4:10" x14ac:dyDescent="0.25">
      <c r="J44" s="86">
        <f>SUM(Table_Input_DataQuality_FertiliserApplications[Score])</f>
        <v>55</v>
      </c>
    </row>
    <row r="45" spans="4:10" ht="23.25" x14ac:dyDescent="0.25">
      <c r="D45" s="2" t="s">
        <v>262</v>
      </c>
    </row>
    <row r="47" spans="4:10" x14ac:dyDescent="0.25">
      <c r="D47" s="81" t="s">
        <v>256</v>
      </c>
      <c r="E47" s="81" t="s">
        <v>257</v>
      </c>
      <c r="F47" s="81" t="s">
        <v>258</v>
      </c>
      <c r="G47" s="81" t="s">
        <v>259</v>
      </c>
      <c r="H47" s="81" t="s">
        <v>184</v>
      </c>
      <c r="I47" s="81" t="s">
        <v>185</v>
      </c>
      <c r="J47" s="81" t="s">
        <v>186</v>
      </c>
    </row>
    <row r="48" spans="4:10" x14ac:dyDescent="0.25">
      <c r="D48" s="1" t="str">
        <f>"Fuel purchases"</f>
        <v>Fuel purchases</v>
      </c>
      <c r="E48" s="14" t="s">
        <v>235</v>
      </c>
      <c r="F48" s="14" t="s">
        <v>241</v>
      </c>
      <c r="G48" s="14" t="s">
        <v>246</v>
      </c>
      <c r="H48" s="85"/>
      <c r="I48" s="85"/>
      <c r="J48"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49" spans="4:10" x14ac:dyDescent="0.25">
      <c r="D49" s="1" t="str">
        <f>"Fuel consumption"</f>
        <v>Fuel consumption</v>
      </c>
      <c r="E49" s="14" t="s">
        <v>235</v>
      </c>
      <c r="F49" s="14" t="s">
        <v>241</v>
      </c>
      <c r="G49" s="14" t="s">
        <v>245</v>
      </c>
      <c r="H49" s="85"/>
      <c r="I49" s="85"/>
      <c r="J49"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0" spans="4:10" x14ac:dyDescent="0.25">
      <c r="D50" s="1" t="str">
        <f>"Electricity consumption"</f>
        <v>Electricity consumption</v>
      </c>
      <c r="E50" s="14" t="s">
        <v>235</v>
      </c>
      <c r="F50" s="14" t="s">
        <v>241</v>
      </c>
      <c r="G50" s="14" t="s">
        <v>245</v>
      </c>
      <c r="H50" s="85"/>
      <c r="I50" s="85"/>
      <c r="J50"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1" spans="4:10" x14ac:dyDescent="0.25">
      <c r="D51" s="1" t="str">
        <f>"Electricity generation"</f>
        <v>Electricity generation</v>
      </c>
      <c r="E51" s="14" t="s">
        <v>235</v>
      </c>
      <c r="F51" s="14" t="s">
        <v>241</v>
      </c>
      <c r="G51" s="14" t="s">
        <v>245</v>
      </c>
      <c r="H51" s="85"/>
      <c r="I51" s="85"/>
      <c r="J51"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3" spans="4:10" x14ac:dyDescent="0.25">
      <c r="J53" s="86">
        <f>SUM(Table_Input_DataQuality_FuelElectricity[Score])</f>
        <v>55</v>
      </c>
    </row>
    <row r="55" spans="4:10" ht="23.25" x14ac:dyDescent="0.25">
      <c r="D55" s="2" t="s">
        <v>263</v>
      </c>
    </row>
    <row r="57" spans="4:10" x14ac:dyDescent="0.25">
      <c r="D57" s="81" t="s">
        <v>256</v>
      </c>
      <c r="E57" s="81" t="s">
        <v>257</v>
      </c>
      <c r="F57" s="81" t="s">
        <v>258</v>
      </c>
      <c r="G57" s="81" t="s">
        <v>259</v>
      </c>
      <c r="H57" s="81" t="s">
        <v>184</v>
      </c>
      <c r="I57" s="81" t="s">
        <v>185</v>
      </c>
      <c r="J57" s="81" t="s">
        <v>186</v>
      </c>
    </row>
    <row r="58" spans="4:10" x14ac:dyDescent="0.25">
      <c r="D58" s="1" t="str">
        <f>"Farm input purchases"</f>
        <v>Farm input purchases</v>
      </c>
      <c r="E58" s="14" t="s">
        <v>235</v>
      </c>
      <c r="F58" s="14" t="s">
        <v>241</v>
      </c>
      <c r="G58" s="14" t="s">
        <v>246</v>
      </c>
      <c r="H58" s="85"/>
      <c r="I58" s="85"/>
      <c r="J58"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59" spans="4:10" x14ac:dyDescent="0.25">
      <c r="D59" s="1" t="str">
        <f>"Inbound freight use"</f>
        <v>Inbound freight use</v>
      </c>
      <c r="E59" s="14" t="s">
        <v>235</v>
      </c>
      <c r="F59" s="14" t="s">
        <v>241</v>
      </c>
      <c r="G59" s="14" t="s">
        <v>245</v>
      </c>
      <c r="H59" s="85"/>
      <c r="I59" s="85"/>
      <c r="J59"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0" spans="4:10" x14ac:dyDescent="0.25">
      <c r="D60" s="1" t="str">
        <f>"Outbound freight use"</f>
        <v>Outbound freight use</v>
      </c>
      <c r="E60" s="14" t="s">
        <v>235</v>
      </c>
      <c r="F60" s="14" t="s">
        <v>241</v>
      </c>
      <c r="G60" s="14" t="s">
        <v>245</v>
      </c>
      <c r="H60" s="85"/>
      <c r="I60" s="85"/>
      <c r="J60"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1" spans="4:10" x14ac:dyDescent="0.25">
      <c r="D61" s="1" t="str">
        <f>"Solid waste generation and treatment"</f>
        <v>Solid waste generation and treatment</v>
      </c>
      <c r="E61" s="14" t="s">
        <v>235</v>
      </c>
      <c r="F61" s="14" t="s">
        <v>241</v>
      </c>
      <c r="G61" s="14" t="s">
        <v>245</v>
      </c>
      <c r="H61" s="85"/>
      <c r="I61" s="85"/>
      <c r="J61"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3" spans="4:10" x14ac:dyDescent="0.25">
      <c r="J63" s="86">
        <f>SUM(Table_Input_DataQuality_FarmInputsFreightWaste[Score])</f>
        <v>55</v>
      </c>
    </row>
    <row r="65" spans="4:5" ht="20.25" x14ac:dyDescent="0.25">
      <c r="D65" s="88" t="s">
        <v>264</v>
      </c>
      <c r="E65" s="89" t="str">
        <f>(J16+J27+J35+J44+J53+J63)&amp;" out of "&amp;((COUNT(Table_Input_DataQuality_Enterprise[Score])*15)+(COUNT(Table_Input_DataQuality_Site[Score])*15)+(COUNT(Table_Input_DataQuality_PastureManagement[Score])*15)+(COUNT(Table_Input_DataQuality_FertiliserApplications[Score])*15)+(COUNT(Table_Input_DataQuality_FuelElectricity[Score])*15)+(COUNT(Table_Input_DataQuality_FarmInputsFreightWaste[Score])*15))</f>
        <v>333 out of 420</v>
      </c>
    </row>
  </sheetData>
  <dataValidations count="3">
    <dataValidation type="list" allowBlank="1" showInputMessage="1" showErrorMessage="1" sqref="G20:G25 G39:G42 G48:G51 G58:G61 G31:G33 G8:G14" xr:uid="{97D978E2-EFFF-4D26-AA9B-97907606C063}">
      <formula1>INDIRECT("Table_SourceData_DataQuality_SampleSize[User friendly description]")</formula1>
    </dataValidation>
    <dataValidation type="list" allowBlank="1" showInputMessage="1" showErrorMessage="1" sqref="E20:E25 E39:E42 E48:E51 E58:E61 E31:E33 E8:E14" xr:uid="{6365A925-6C5F-4576-82C6-82C3A3309F18}">
      <formula1>INDIRECT("Table_SourceData_DataQuality_TemporalRepresentativeness[User friendly description]")</formula1>
    </dataValidation>
    <dataValidation type="list" allowBlank="1" showInputMessage="1" showErrorMessage="1" sqref="F20:F25 F39:F42 F48:F51 F58:F61 F31:F33 F8:F14" xr:uid="{2FC31694-CF14-4E83-AB3B-0D117C874273}">
      <formula1>INDIRECT("Table_SourceData_DataQuality_SpatialRepresentativeness[User friendly description]")</formula1>
    </dataValidation>
  </dataValidations>
  <pageMargins left="0.7" right="0.7" top="0.75" bottom="0.75" header="0.3" footer="0.3"/>
  <tableParts count="6">
    <tablePart r:id="rId1"/>
    <tablePart r:id="rId2"/>
    <tablePart r:id="rId3"/>
    <tablePart r:id="rId4"/>
    <tablePart r:id="rId5"/>
    <tablePart r:id="rId6"/>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DE85-228C-483C-8D62-5D3027BF032E}">
  <sheetPr>
    <tabColor theme="2" tint="-0.499984740745262"/>
  </sheetPr>
  <dimension ref="A1:BY297"/>
  <sheetViews>
    <sheetView showGridLines="0" topLeftCell="A265" zoomScaleNormal="100" workbookViewId="0">
      <selection activeCell="D292" sqref="D292:D297"/>
    </sheetView>
  </sheetViews>
  <sheetFormatPr defaultColWidth="9.140625" defaultRowHeight="15.75" x14ac:dyDescent="0.25"/>
  <cols>
    <col min="1" max="1" width="30.7109375" style="23" customWidth="1"/>
    <col min="2" max="2" width="2.7109375" style="23"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3" customWidth="1"/>
    <col min="34" max="39" width="21.85546875" style="23" customWidth="1"/>
    <col min="40" max="44" width="20.7109375" style="23" customWidth="1"/>
    <col min="45" max="65" width="9.140625" style="23"/>
    <col min="66" max="16384" width="9.140625" style="26"/>
  </cols>
  <sheetData>
    <row r="1" spans="1:65" s="22" customFormat="1" ht="30" customHeight="1" x14ac:dyDescent="0.35">
      <c r="A1" s="22" t="e" vm="1">
        <v>#VALUE!</v>
      </c>
      <c r="C1" s="22" t="s">
        <v>21</v>
      </c>
    </row>
    <row r="2" spans="1:65" s="3" customFormat="1" ht="20.100000000000001" customHeight="1" x14ac:dyDescent="0.25">
      <c r="A2"/>
    </row>
    <row r="3" spans="1:65" ht="20.100000000000001" customHeight="1" x14ac:dyDescent="0.25">
      <c r="A3" s="5" t="str">
        <f>HYPERLINK("#'Home'!A1", "Home")</f>
        <v>Home</v>
      </c>
      <c r="C3" s="24"/>
      <c r="D3" s="24"/>
      <c r="E3" s="24"/>
      <c r="F3" s="24"/>
      <c r="G3" s="24"/>
      <c r="H3" s="24"/>
      <c r="I3" s="24"/>
      <c r="J3" s="24"/>
      <c r="K3" s="24"/>
      <c r="L3" s="24"/>
      <c r="M3" s="24"/>
      <c r="N3" s="24"/>
      <c r="O3" s="24"/>
      <c r="P3" s="24"/>
      <c r="Q3" s="24"/>
      <c r="R3" s="24"/>
      <c r="S3" s="24"/>
      <c r="T3" s="24"/>
      <c r="U3" s="24"/>
      <c r="V3" s="25"/>
      <c r="W3" s="25"/>
    </row>
    <row r="4" spans="1:65" ht="20.100000000000001" customHeight="1" x14ac:dyDescent="0.25">
      <c r="A4"/>
      <c r="BM4" s="26"/>
    </row>
    <row r="5" spans="1:65" ht="20.100000000000001" customHeight="1" x14ac:dyDescent="0.25">
      <c r="A5"/>
      <c r="D5" s="2" t="str" cm="1">
        <f t="array" ref="D5">Common_SourceData.Common_SourceData_AustralianStatesTerritories_Title()</f>
        <v>Australian states and territories</v>
      </c>
      <c r="BM5" s="26"/>
    </row>
    <row r="6" spans="1:65" ht="20.100000000000001" customHeight="1" x14ac:dyDescent="0.25">
      <c r="A6" s="83" t="s">
        <v>2</v>
      </c>
      <c r="D6" s="21" t="s">
        <v>22</v>
      </c>
      <c r="E6" s="21" t="s">
        <v>23</v>
      </c>
      <c r="F6" s="21" t="s">
        <v>24</v>
      </c>
    </row>
    <row r="7" spans="1:65" ht="20.100000000000001" customHeight="1" x14ac:dyDescent="0.25">
      <c r="A7" s="84" t="str">
        <f>HYPERLINK("#'Constants - Common'!A1", "Constants - Common")</f>
        <v>Constants - Common</v>
      </c>
      <c r="D7" s="21" t="str" cm="1">
        <f t="array" ref="D7">Common_InputFunctions.Utility_DisplayArrayInTable(Common_SourceData.Common_SourceData_AustralianStatesTerritories_Data(),Table_AustralianStates[[#Headers],[State/Territory]],0)</f>
        <v>New South Wales</v>
      </c>
      <c r="E7" s="21" t="str" cm="1">
        <f t="array" ref="E7">Common_InputFunctions.Utility_DisplayArrayInTable(Common_SourceData.Common_SourceData_AustralianStatesTerritories_Data(),Table_AustralianStates[[#Headers],[State/Territory]],0)</f>
        <v>New South Wales</v>
      </c>
      <c r="F7" s="21" t="str" cm="1">
        <f t="array" ref="F7">Common_InputFunctions.Utility_DisplayArrayInTable(Common_SourceData.Common_SourceData_AustralianStatesTerritories_Data(),Table_AustralianStates[[#Headers],[State/Territory]],0)</f>
        <v>NSW</v>
      </c>
    </row>
    <row r="8" spans="1:65" ht="20.100000000000001" customHeight="1" x14ac:dyDescent="0.25">
      <c r="A8" s="5" t="str">
        <f>HYPERLINK("#'Acknowledgements'!A1", "Acknowledgements")</f>
        <v>Acknowledgements</v>
      </c>
      <c r="D8" s="21" t="str" cm="1">
        <f t="array" ref="D8">Common_InputFunctions.Utility_DisplayArrayInTable(Common_SourceData.Common_SourceData_AustralianStatesTerritories_Data(),Table_AustralianStates[[#Headers],[State/Territory]],0)</f>
        <v>Australian Capital Territory</v>
      </c>
      <c r="E8" s="21" t="str" cm="1">
        <f t="array" ref="E8">Common_InputFunctions.Utility_DisplayArrayInTable(Common_SourceData.Common_SourceData_AustralianStatesTerritories_Data(),Table_AustralianStates[[#Headers],[State/Territory]],0)</f>
        <v>ACT</v>
      </c>
      <c r="F8" s="21" t="str" cm="1">
        <f t="array" ref="F8">Common_InputFunctions.Utility_DisplayArrayInTable(Common_SourceData.Common_SourceData_AustralianStatesTerritories_Data(),Table_AustralianStates[[#Headers],[State/Territory]],0)</f>
        <v>ACT</v>
      </c>
    </row>
    <row r="9" spans="1:65" ht="20.100000000000001" customHeight="1" x14ac:dyDescent="0.25">
      <c r="A9"/>
      <c r="D9" s="21" t="str" cm="1">
        <f t="array" ref="D9">Common_InputFunctions.Utility_DisplayArrayInTable(Common_SourceData.Common_SourceData_AustralianStatesTerritories_Data(),Table_AustralianStates[[#Headers],[State/Territory]],0)</f>
        <v>Victoria</v>
      </c>
      <c r="E9" s="21" t="str" cm="1">
        <f t="array" ref="E9">Common_InputFunctions.Utility_DisplayArrayInTable(Common_SourceData.Common_SourceData_AustralianStatesTerritories_Data(),Table_AustralianStates[[#Headers],[State/Territory]],0)</f>
        <v>Victoria</v>
      </c>
      <c r="F9" s="21"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1" t="str" cm="1">
        <f t="array" ref="D10">Common_InputFunctions.Utility_DisplayArrayInTable(Common_SourceData.Common_SourceData_AustralianStatesTerritories_Data(),Table_AustralianStates[[#Headers],[State/Territory]],0)</f>
        <v>Queensland</v>
      </c>
      <c r="E10" s="21" t="str" cm="1">
        <f t="array" ref="E10">Common_InputFunctions.Utility_DisplayArrayInTable(Common_SourceData.Common_SourceData_AustralianStatesTerritories_Data(),Table_AustralianStates[[#Headers],[State/Territory]],0)</f>
        <v>Queensland</v>
      </c>
      <c r="F10" s="21"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1" t="str" cm="1">
        <f t="array" ref="D11">Common_InputFunctions.Utility_DisplayArrayInTable(Common_SourceData.Common_SourceData_AustralianStatesTerritories_Data(),Table_AustralianStates[[#Headers],[State/Territory]],0)</f>
        <v>South Australia</v>
      </c>
      <c r="E11" s="21" t="str" cm="1">
        <f t="array" ref="E11">Common_InputFunctions.Utility_DisplayArrayInTable(Common_SourceData.Common_SourceData_AustralianStatesTerritories_Data(),Table_AustralianStates[[#Headers],[State/Territory]],0)</f>
        <v>South Australia</v>
      </c>
      <c r="F11" s="21" t="str" cm="1">
        <f t="array" ref="F11">Common_InputFunctions.Utility_DisplayArrayInTable(Common_SourceData.Common_SourceData_AustralianStatesTerritories_Data(),Table_AustralianStates[[#Headers],[State/Territory]],0)</f>
        <v>SA</v>
      </c>
      <c r="BM11" s="26"/>
    </row>
    <row r="12" spans="1:65" ht="20.100000000000001" customHeight="1" x14ac:dyDescent="0.25">
      <c r="A12"/>
      <c r="D12" s="21" t="str" cm="1">
        <f t="array" ref="D12">Common_InputFunctions.Utility_DisplayArrayInTable(Common_SourceData.Common_SourceData_AustralianStatesTerritories_Data(),Table_AustralianStates[[#Headers],[State/Territory]],0)</f>
        <v>Western Australia</v>
      </c>
      <c r="E12" s="21" t="str" cm="1">
        <f t="array" ref="E12">Common_InputFunctions.Utility_DisplayArrayInTable(Common_SourceData.Common_SourceData_AustralianStatesTerritories_Data(),Table_AustralianStates[[#Headers],[State/Territory]],0)</f>
        <v>Western Australia</v>
      </c>
      <c r="F12" s="21" t="str" cm="1">
        <f t="array" ref="F12">Common_InputFunctions.Utility_DisplayArrayInTable(Common_SourceData.Common_SourceData_AustralianStatesTerritories_Data(),Table_AustralianStates[[#Headers],[State/Territory]],0)</f>
        <v>WA</v>
      </c>
      <c r="BM12" s="26"/>
    </row>
    <row r="13" spans="1:65" ht="20.100000000000001" customHeight="1" x14ac:dyDescent="0.25">
      <c r="A13"/>
      <c r="D13" s="21" t="str" cm="1">
        <f t="array" ref="D13">Common_InputFunctions.Utility_DisplayArrayInTable(Common_SourceData.Common_SourceData_AustralianStatesTerritories_Data(),Table_AustralianStates[[#Headers],[State/Territory]],0)</f>
        <v>Tasmania</v>
      </c>
      <c r="E13" s="21" t="str" cm="1">
        <f t="array" ref="E13">Common_InputFunctions.Utility_DisplayArrayInTable(Common_SourceData.Common_SourceData_AustralianStatesTerritories_Data(),Table_AustralianStates[[#Headers],[State/Territory]],0)</f>
        <v>Tasmania</v>
      </c>
      <c r="F13" s="21"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1" t="str" cm="1">
        <f t="array" ref="D14">Common_InputFunctions.Utility_DisplayArrayInTable(Common_SourceData.Common_SourceData_AustralianStatesTerritories_Data(),Table_AustralianStates[[#Headers],[State/Territory]],0)</f>
        <v>Northern Territory</v>
      </c>
      <c r="E14" s="21" t="str" cm="1">
        <f t="array" ref="E14">Common_InputFunctions.Utility_DisplayArrayInTable(Common_SourceData.Common_SourceData_AustralianStatesTerritories_Data(),Table_AustralianStates[[#Headers],[State/Territory]],0)</f>
        <v>Northern Territory</v>
      </c>
      <c r="F14" s="21"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2" t="str" cm="1">
        <f t="array" ref="D18">Common_SourceData.Common_SourceData_WASA4Areas_Title()</f>
        <v>ABS Statistcal Areas Level 4 - Western Australia</v>
      </c>
    </row>
    <row r="19" spans="1:4" ht="20.100000000000001" customHeight="1" x14ac:dyDescent="0.25">
      <c r="A19"/>
      <c r="D19" s="18" t="str" cm="1">
        <f t="array" ref="D19">Common_SourceData.Common_SourceData_WASA4Areas_Source()</f>
        <v>Australian Bureau of Statistics (ABS) - Statistical Areas Level 2 - 2021 - Shapefile</v>
      </c>
    </row>
    <row r="20" spans="1:4" ht="20.100000000000001" customHeight="1" x14ac:dyDescent="0.25">
      <c r="A20"/>
      <c r="D20" s="21" t="s">
        <v>25</v>
      </c>
    </row>
    <row r="21" spans="1:4" ht="20.100000000000001" customHeight="1" x14ac:dyDescent="0.25">
      <c r="A21"/>
      <c r="D21" s="21" t="str" cm="1">
        <f t="array" ref="D21">Common_InputFunctions.Utility_DisplayArrayInTable(Common_SourceData.Common_SourceData_WASA4Areas_Data(), Table_WASA4Areas[[#Headers],[SA 4 Name]], 0)</f>
        <v>Bunbury</v>
      </c>
    </row>
    <row r="22" spans="1:4" ht="20.100000000000001" customHeight="1" x14ac:dyDescent="0.25">
      <c r="A22"/>
      <c r="D22" s="21" t="str" cm="1">
        <f t="array" ref="D22">Common_InputFunctions.Utility_DisplayArrayInTable(Common_SourceData.Common_SourceData_WASA4Areas_Data(), Table_WASA4Areas[[#Headers],[SA 4 Name]], 0)</f>
        <v>Mandurah</v>
      </c>
    </row>
    <row r="23" spans="1:4" ht="20.100000000000001" customHeight="1" x14ac:dyDescent="0.25">
      <c r="A23"/>
      <c r="D23" s="21" t="str" cm="1">
        <f t="array" ref="D23">Common_InputFunctions.Utility_DisplayArrayInTable(Common_SourceData.Common_SourceData_WASA4Areas_Data(), Table_WASA4Areas[[#Headers],[SA 4 Name]], 0)</f>
        <v>Perth - Inner</v>
      </c>
    </row>
    <row r="24" spans="1:4" ht="20.100000000000001" customHeight="1" x14ac:dyDescent="0.25">
      <c r="A24"/>
      <c r="D24" s="21" t="str" cm="1">
        <f t="array" ref="D24">Common_InputFunctions.Utility_DisplayArrayInTable(Common_SourceData.Common_SourceData_WASA4Areas_Data(), Table_WASA4Areas[[#Headers],[SA 4 Name]], 0)</f>
        <v>Perth - North East</v>
      </c>
    </row>
    <row r="25" spans="1:4" ht="20.100000000000001" customHeight="1" x14ac:dyDescent="0.25">
      <c r="A25"/>
      <c r="D25" s="21" t="str" cm="1">
        <f t="array" ref="D25">Common_InputFunctions.Utility_DisplayArrayInTable(Common_SourceData.Common_SourceData_WASA4Areas_Data(), Table_WASA4Areas[[#Headers],[SA 4 Name]], 0)</f>
        <v>Perth - North West</v>
      </c>
    </row>
    <row r="26" spans="1:4" ht="20.100000000000001" customHeight="1" x14ac:dyDescent="0.25">
      <c r="A26"/>
      <c r="D26" s="21" t="str" cm="1">
        <f t="array" ref="D26">Common_InputFunctions.Utility_DisplayArrayInTable(Common_SourceData.Common_SourceData_WASA4Areas_Data(), Table_WASA4Areas[[#Headers],[SA 4 Name]], 0)</f>
        <v>Perth - South East</v>
      </c>
    </row>
    <row r="27" spans="1:4" ht="20.100000000000001" customHeight="1" x14ac:dyDescent="0.25">
      <c r="A27"/>
      <c r="D27" s="21" t="str" cm="1">
        <f t="array" ref="D27">Common_InputFunctions.Utility_DisplayArrayInTable(Common_SourceData.Common_SourceData_WASA4Areas_Data(), Table_WASA4Areas[[#Headers],[SA 4 Name]], 0)</f>
        <v>Perth - South West</v>
      </c>
    </row>
    <row r="28" spans="1:4" ht="20.100000000000001" customHeight="1" x14ac:dyDescent="0.25">
      <c r="A28"/>
      <c r="D28" s="21"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1"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1"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2" t="str" cm="1">
        <f t="array" ref="D34">Common_SourceData.Common_SourceData_GWP_Title()</f>
        <v>Global warming potential for greenhouse gases</v>
      </c>
    </row>
    <row r="35" spans="1:8" ht="20.100000000000001" customHeight="1" x14ac:dyDescent="0.25">
      <c r="A35"/>
      <c r="D35" s="18" t="str" cm="1">
        <f t="array" ref="D35">Common_SourceData.Common_SourceData_GWP_Source()</f>
        <v>XXXXXXX</v>
      </c>
    </row>
    <row r="36" spans="1:8" ht="20.100000000000001" customHeight="1" x14ac:dyDescent="0.25">
      <c r="A36"/>
      <c r="D36" s="21" t="s">
        <v>26</v>
      </c>
      <c r="E36" s="21" t="s">
        <v>27</v>
      </c>
    </row>
    <row r="37" spans="1:8" ht="20.100000000000001" customHeight="1" x14ac:dyDescent="0.25">
      <c r="A37"/>
      <c r="D37" s="21" t="str" cm="1">
        <f t="array" ref="D37">Common_InputFunctions.Utility_DisplayArrayInTable(Common_SourceData.Common_SourceData_GWP_Data(), Table_GWPData[[#Headers],[Gas]], 0)</f>
        <v>CO2</v>
      </c>
      <c r="E37" s="21" cm="1">
        <f t="array" ref="E37">Common_InputFunctions.Utility_DisplayArrayInTable(Common_SourceData.Common_SourceData_GWP_Data(), Table_GWPData[[#Headers],[Gas]], 0)</f>
        <v>1</v>
      </c>
    </row>
    <row r="38" spans="1:8" ht="20.100000000000001" customHeight="1" x14ac:dyDescent="0.25">
      <c r="A38"/>
      <c r="D38" s="21" t="str" cm="1">
        <f t="array" ref="D38">Common_InputFunctions.Utility_DisplayArrayInTable(Common_SourceData.Common_SourceData_GWP_Data(), Table_GWPData[[#Headers],[Gas]], 0)</f>
        <v>CH4</v>
      </c>
      <c r="E38" s="21" cm="1">
        <f t="array" ref="E38">Common_InputFunctions.Utility_DisplayArrayInTable(Common_SourceData.Common_SourceData_GWP_Data(), Table_GWPData[[#Headers],[Gas]], 0)</f>
        <v>28</v>
      </c>
    </row>
    <row r="39" spans="1:8" ht="20.100000000000001" customHeight="1" x14ac:dyDescent="0.25">
      <c r="A39"/>
      <c r="D39" s="21" t="str" cm="1">
        <f t="array" ref="D39">Common_InputFunctions.Utility_DisplayArrayInTable(Common_SourceData.Common_SourceData_GWP_Data(), Table_GWPData[[#Headers],[Gas]], 0)</f>
        <v>N2O</v>
      </c>
      <c r="E39" s="21" cm="1">
        <f t="array" ref="E39">Common_InputFunctions.Utility_DisplayArrayInTable(Common_SourceData.Common_SourceData_GWP_Data(), Table_GWPData[[#Headers],[Gas]], 0)</f>
        <v>265</v>
      </c>
    </row>
    <row r="40" spans="1:8" ht="20.100000000000001" customHeight="1" x14ac:dyDescent="0.25">
      <c r="A40"/>
      <c r="D40" s="21" t="str" cm="1">
        <f t="array" ref="D40">Common_InputFunctions.Utility_DisplayArrayInTable(Common_SourceData.Common_SourceData_GWP_Data(), Table_GWPData[[#Headers],[Gas]], 0)</f>
        <v>CF4</v>
      </c>
      <c r="E40" s="21" cm="1">
        <f t="array" ref="E40">Common_InputFunctions.Utility_DisplayArrayInTable(Common_SourceData.Common_SourceData_GWP_Data(), Table_GWPData[[#Headers],[Gas]], 0)</f>
        <v>6630</v>
      </c>
    </row>
    <row r="41" spans="1:8" ht="20.100000000000001" customHeight="1" x14ac:dyDescent="0.25">
      <c r="A41"/>
      <c r="D41" s="21" t="str" cm="1">
        <f t="array" ref="D41">Common_InputFunctions.Utility_DisplayArrayInTable(Common_SourceData.Common_SourceData_GWP_Data(), Table_GWPData[[#Headers],[Gas]], 0)</f>
        <v>C2F6</v>
      </c>
      <c r="E41" s="21" cm="1">
        <f t="array" ref="E41">Common_InputFunctions.Utility_DisplayArrayInTable(Common_SourceData.Common_SourceData_GWP_Data(), Table_GWPData[[#Headers],[Gas]], 0)</f>
        <v>12200</v>
      </c>
    </row>
    <row r="42" spans="1:8" ht="20.100000000000001" customHeight="1" x14ac:dyDescent="0.25">
      <c r="A42"/>
      <c r="D42" s="21" t="str" cm="1">
        <f t="array" ref="D42">Common_InputFunctions.Utility_DisplayArrayInTable(Common_SourceData.Common_SourceData_GWP_Data(), Table_GWPData[[#Headers],[Gas]], 0)</f>
        <v>SF6</v>
      </c>
      <c r="E42" s="21" cm="1">
        <f t="array" ref="E42">Common_InputFunctions.Utility_DisplayArrayInTable(Common_SourceData.Common_SourceData_GWP_Data(), Table_GWPData[[#Headers],[Gas]], 0)</f>
        <v>22800</v>
      </c>
    </row>
    <row r="43" spans="1:8" ht="20.100000000000001" customHeight="1" x14ac:dyDescent="0.25">
      <c r="A43"/>
      <c r="D43" s="21" t="str" cm="1">
        <f t="array" ref="D43">Common_InputFunctions.Utility_DisplayArrayInTable(Common_SourceData.Common_SourceData_GWP_Data(), Table_GWPData[[#Headers],[Gas]], 0)</f>
        <v>NF3</v>
      </c>
      <c r="E43" s="21"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2" t="str" cm="1">
        <f t="array" ref="D45">Common_SourceData.Common_SourceData_ConvertGasElementalToMolecular_Title()</f>
        <v>Factor to convert elemental mass of gas to molecular mass</v>
      </c>
    </row>
    <row r="46" spans="1:8" ht="20.100000000000001" customHeight="1" x14ac:dyDescent="0.25">
      <c r="A46"/>
      <c r="D46" s="18" t="str" cm="1">
        <f t="array" ref="D46">Common_SourceData.Common_SourceData_ConvertGasElementalToMolecular_Source()</f>
        <v>XXXXXXX</v>
      </c>
    </row>
    <row r="47" spans="1:8" ht="20.100000000000001" customHeight="1" x14ac:dyDescent="0.25">
      <c r="A47"/>
      <c r="D47" s="21" t="s">
        <v>26</v>
      </c>
      <c r="E47" s="21" t="s">
        <v>28</v>
      </c>
      <c r="F47" s="21" t="s">
        <v>29</v>
      </c>
      <c r="G47" s="21" t="s">
        <v>30</v>
      </c>
      <c r="H47" s="21" t="s">
        <v>31</v>
      </c>
    </row>
    <row r="48" spans="1:8" ht="20.100000000000001" customHeight="1" x14ac:dyDescent="0.25">
      <c r="A48"/>
      <c r="D48" s="21" t="str" cm="1">
        <f t="array" ref="D48">Common_InputFunctions.Utility_DisplayArrayInTable(Common_SourceData.Common_SourceData_ConvertGasElementalToMolecular_Data(),Table_GasToMolecularConversionFactor[[#Headers],[Gas]], 0)</f>
        <v>CO2</v>
      </c>
      <c r="E48" s="21" t="str" cm="1">
        <f t="array" ref="E48">Common_InputFunctions.Utility_DisplayArrayInTable(Common_SourceData.Common_SourceData_ConvertGasElementalToMolecular_Data(),Table_GasToMolecularConversionFactor[[#Headers],[Gas]], 0)</f>
        <v>44/12</v>
      </c>
      <c r="F48" s="21" cm="1">
        <f t="array" ref="F48">Common_InputFunctions.Utility_DisplayArrayInTable(Common_SourceData.Common_SourceData_ConvertGasElementalToMolecular_Data(),Table_GasToMolecularConversionFactor[[#Headers],[Gas]], 0)</f>
        <v>44</v>
      </c>
      <c r="G48" s="21" cm="1">
        <f t="array" ref="G48">Common_InputFunctions.Utility_DisplayArrayInTable(Common_SourceData.Common_SourceData_ConvertGasElementalToMolecular_Data(),Table_GasToMolecularConversionFactor[[#Headers],[Gas]], 0)</f>
        <v>12</v>
      </c>
      <c r="H48" s="21">
        <f>Table_GasToMolecularConversionFactor[[#This Row],[Conversion factor 1]]/Table_GasToMolecularConversionFactor[[#This Row],[Conversion factor 2]]</f>
        <v>3.6666666666666665</v>
      </c>
    </row>
    <row r="49" spans="1:8" ht="20.100000000000001" customHeight="1" x14ac:dyDescent="0.25">
      <c r="A49"/>
      <c r="D49" s="21" t="str" cm="1">
        <f t="array" ref="D49">Common_InputFunctions.Utility_DisplayArrayInTable(Common_SourceData.Common_SourceData_ConvertGasElementalToMolecular_Data(),Table_GasToMolecularConversionFactor[[#Headers],[Gas]], 0)</f>
        <v>CH4</v>
      </c>
      <c r="E49" s="21" t="str" cm="1">
        <f t="array" ref="E49">Common_InputFunctions.Utility_DisplayArrayInTable(Common_SourceData.Common_SourceData_ConvertGasElementalToMolecular_Data(),Table_GasToMolecularConversionFactor[[#Headers],[Gas]], 0)</f>
        <v>16/12</v>
      </c>
      <c r="F49" s="21" cm="1">
        <f t="array" ref="F49">Common_InputFunctions.Utility_DisplayArrayInTable(Common_SourceData.Common_SourceData_ConvertGasElementalToMolecular_Data(),Table_GasToMolecularConversionFactor[[#Headers],[Gas]], 0)</f>
        <v>16</v>
      </c>
      <c r="G49" s="21" cm="1">
        <f t="array" ref="G49">Common_InputFunctions.Utility_DisplayArrayInTable(Common_SourceData.Common_SourceData_ConvertGasElementalToMolecular_Data(),Table_GasToMolecularConversionFactor[[#Headers],[Gas]], 0)</f>
        <v>12</v>
      </c>
      <c r="H49" s="21">
        <f>Table_GasToMolecularConversionFactor[[#This Row],[Conversion factor 1]]/Table_GasToMolecularConversionFactor[[#This Row],[Conversion factor 2]]</f>
        <v>1.3333333333333333</v>
      </c>
    </row>
    <row r="50" spans="1:8" ht="20.100000000000001" customHeight="1" x14ac:dyDescent="0.25">
      <c r="A50"/>
      <c r="D50" s="21" t="str" cm="1">
        <f t="array" ref="D50">Common_InputFunctions.Utility_DisplayArrayInTable(Common_SourceData.Common_SourceData_ConvertGasElementalToMolecular_Data(),Table_GasToMolecularConversionFactor[[#Headers],[Gas]], 0)</f>
        <v>N2O</v>
      </c>
      <c r="E50" s="21" t="str" cm="1">
        <f t="array" ref="E50">Common_InputFunctions.Utility_DisplayArrayInTable(Common_SourceData.Common_SourceData_ConvertGasElementalToMolecular_Data(),Table_GasToMolecularConversionFactor[[#Headers],[Gas]], 0)</f>
        <v>44/28</v>
      </c>
      <c r="F50" s="21" cm="1">
        <f t="array" ref="F50">Common_InputFunctions.Utility_DisplayArrayInTable(Common_SourceData.Common_SourceData_ConvertGasElementalToMolecular_Data(),Table_GasToMolecularConversionFactor[[#Headers],[Gas]], 0)</f>
        <v>44</v>
      </c>
      <c r="G50" s="21" cm="1">
        <f t="array" ref="G50">Common_InputFunctions.Utility_DisplayArrayInTable(Common_SourceData.Common_SourceData_ConvertGasElementalToMolecular_Data(),Table_GasToMolecularConversionFactor[[#Headers],[Gas]], 0)</f>
        <v>28</v>
      </c>
      <c r="H50" s="21">
        <f>Table_GasToMolecularConversionFactor[[#This Row],[Conversion factor 1]]/Table_GasToMolecularConversionFactor[[#This Row],[Conversion factor 2]]</f>
        <v>1.5714285714285714</v>
      </c>
    </row>
    <row r="51" spans="1:8" ht="20.100000000000001" customHeight="1" x14ac:dyDescent="0.25">
      <c r="A51"/>
      <c r="D51" s="21" t="str" cm="1">
        <f t="array" ref="D51">Common_InputFunctions.Utility_DisplayArrayInTable(Common_SourceData.Common_SourceData_ConvertGasElementalToMolecular_Data(),Table_GasToMolecularConversionFactor[[#Headers],[Gas]], 0)</f>
        <v>Nox</v>
      </c>
      <c r="E51" s="21" t="str" cm="1">
        <f t="array" ref="E51">Common_InputFunctions.Utility_DisplayArrayInTable(Common_SourceData.Common_SourceData_ConvertGasElementalToMolecular_Data(),Table_GasToMolecularConversionFactor[[#Headers],[Gas]], 0)</f>
        <v>46/14</v>
      </c>
      <c r="F51" s="21" cm="1">
        <f t="array" ref="F51">Common_InputFunctions.Utility_DisplayArrayInTable(Common_SourceData.Common_SourceData_ConvertGasElementalToMolecular_Data(),Table_GasToMolecularConversionFactor[[#Headers],[Gas]], 0)</f>
        <v>46</v>
      </c>
      <c r="G51" s="21" cm="1">
        <f t="array" ref="G51">Common_InputFunctions.Utility_DisplayArrayInTable(Common_SourceData.Common_SourceData_ConvertGasElementalToMolecular_Data(),Table_GasToMolecularConversionFactor[[#Headers],[Gas]], 0)</f>
        <v>14</v>
      </c>
      <c r="H51" s="21">
        <f>Table_GasToMolecularConversionFactor[[#This Row],[Conversion factor 1]]/Table_GasToMolecularConversionFactor[[#This Row],[Conversion factor 2]]</f>
        <v>3.2857142857142856</v>
      </c>
    </row>
    <row r="52" spans="1:8" ht="20.100000000000001" customHeight="1" x14ac:dyDescent="0.25">
      <c r="A52"/>
      <c r="D52" s="21" t="str" cm="1">
        <f t="array" ref="D52">Common_InputFunctions.Utility_DisplayArrayInTable(Common_SourceData.Common_SourceData_ConvertGasElementalToMolecular_Data(),Table_GasToMolecularConversionFactor[[#Headers],[Gas]], 0)</f>
        <v>CO</v>
      </c>
      <c r="E52" s="21" t="str" cm="1">
        <f t="array" ref="E52">Common_InputFunctions.Utility_DisplayArrayInTable(Common_SourceData.Common_SourceData_ConvertGasElementalToMolecular_Data(),Table_GasToMolecularConversionFactor[[#Headers],[Gas]], 0)</f>
        <v>28/12</v>
      </c>
      <c r="F52" s="21" cm="1">
        <f t="array" ref="F52">Common_InputFunctions.Utility_DisplayArrayInTable(Common_SourceData.Common_SourceData_ConvertGasElementalToMolecular_Data(),Table_GasToMolecularConversionFactor[[#Headers],[Gas]], 0)</f>
        <v>28</v>
      </c>
      <c r="G52" s="21" cm="1">
        <f t="array" ref="G52">Common_InputFunctions.Utility_DisplayArrayInTable(Common_SourceData.Common_SourceData_ConvertGasElementalToMolecular_Data(),Table_GasToMolecularConversionFactor[[#Headers],[Gas]], 0)</f>
        <v>12</v>
      </c>
      <c r="H52" s="21">
        <f>Table_GasToMolecularConversionFactor[[#This Row],[Conversion factor 1]]/Table_GasToMolecularConversionFactor[[#This Row],[Conversion factor 2]]</f>
        <v>2.3333333333333335</v>
      </c>
    </row>
    <row r="53" spans="1:8" ht="20.100000000000001" customHeight="1" x14ac:dyDescent="0.25">
      <c r="A53"/>
      <c r="D53" s="21" t="str" cm="1">
        <f t="array" ref="D53">Common_InputFunctions.Utility_DisplayArrayInTable(Common_SourceData.Common_SourceData_ConvertGasElementalToMolecular_Data(),Table_GasToMolecularConversionFactor[[#Headers],[Gas]], 0)</f>
        <v>CO2 Lime</v>
      </c>
      <c r="E53" s="21" t="str" cm="1">
        <f t="array" ref="E53">Common_InputFunctions.Utility_DisplayArrayInTable(Common_SourceData.Common_SourceData_ConvertGasElementalToMolecular_Data(),Table_GasToMolecularConversionFactor[[#Headers],[Gas]], 0)</f>
        <v>44/12</v>
      </c>
      <c r="F53" s="21" cm="1">
        <f t="array" ref="F53">Common_InputFunctions.Utility_DisplayArrayInTable(Common_SourceData.Common_SourceData_ConvertGasElementalToMolecular_Data(),Table_GasToMolecularConversionFactor[[#Headers],[Gas]], 0)</f>
        <v>44</v>
      </c>
      <c r="G53" s="21" cm="1">
        <f t="array" ref="G53">Common_InputFunctions.Utility_DisplayArrayInTable(Common_SourceData.Common_SourceData_ConvertGasElementalToMolecular_Data(),Table_GasToMolecularConversionFactor[[#Headers],[Gas]], 0)</f>
        <v>12</v>
      </c>
      <c r="H53" s="21">
        <f>Table_GasToMolecularConversionFactor[[#This Row],[Conversion factor 1]]/Table_GasToMolecularConversionFactor[[#This Row],[Conversion factor 2]]</f>
        <v>3.6666666666666665</v>
      </c>
    </row>
    <row r="54" spans="1:8" ht="20.100000000000001" customHeight="1" x14ac:dyDescent="0.25">
      <c r="A54"/>
      <c r="D54" s="21" t="str" cm="1">
        <f t="array" ref="D54">Common_InputFunctions.Utility_DisplayArrayInTable(Common_SourceData.Common_SourceData_ConvertGasElementalToMolecular_Data(),Table_GasToMolecularConversionFactor[[#Headers],[Gas]], 0)</f>
        <v>NMVOC</v>
      </c>
      <c r="E54" s="21" t="str" cm="1">
        <f t="array" ref="E54">Common_InputFunctions.Utility_DisplayArrayInTable(Common_SourceData.Common_SourceData_ConvertGasElementalToMolecular_Data(),Table_GasToMolecularConversionFactor[[#Headers],[Gas]], 0)</f>
        <v>14/12</v>
      </c>
      <c r="F54" s="21" cm="1">
        <f t="array" ref="F54">Common_InputFunctions.Utility_DisplayArrayInTable(Common_SourceData.Common_SourceData_ConvertGasElementalToMolecular_Data(),Table_GasToMolecularConversionFactor[[#Headers],[Gas]], 0)</f>
        <v>14</v>
      </c>
      <c r="G54" s="21" cm="1">
        <f t="array" ref="G54">Common_InputFunctions.Utility_DisplayArrayInTable(Common_SourceData.Common_SourceData_ConvertGasElementalToMolecular_Data(),Table_GasToMolecularConversionFactor[[#Headers],[Gas]], 0)</f>
        <v>12</v>
      </c>
      <c r="H54" s="21">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2" t="str" cm="1">
        <f t="array" ref="D57">Common_SourceData.Common_SourceData_WetAndDryZones_Title()</f>
        <v>VEERG Australian wet and dry zones</v>
      </c>
    </row>
    <row r="58" spans="1:8" ht="20.100000000000001" customHeight="1" x14ac:dyDescent="0.25">
      <c r="A58"/>
      <c r="D58" s="18" t="str" cm="1">
        <f t="array" ref="D58">Common_SourceData.Common_SourceData_WetAndDryZones_Source()</f>
        <v>VEERG 2026: Table 1.2: Translating climate zones to wet and dry zones</v>
      </c>
    </row>
    <row r="59" spans="1:8" ht="20.100000000000001" customHeight="1" x14ac:dyDescent="0.25">
      <c r="A59"/>
      <c r="D59" s="27" t="str" cm="1">
        <f t="array" ref="D59:D61">"⚠️" &amp; Common_SourceData.Common_SourceData_WetAndDryZones_Variation()</f>
        <v>⚠️VARIATION OF SOURCE DATA:</v>
      </c>
    </row>
    <row r="60" spans="1:8" ht="20.100000000000001" customHeight="1" x14ac:dyDescent="0.25">
      <c r="A60"/>
      <c r="D60" s="27" t="str">
        <v>⚠️Added warm / cool temperate moist / dry - low frost and high temp classes to accommodate climate scenarios excluded by VEERG criteria.</v>
      </c>
    </row>
    <row r="61" spans="1:8" ht="20.100000000000001" customHeight="1" x14ac:dyDescent="0.25">
      <c r="A61"/>
      <c r="D61" s="27" t="str">
        <v>⚠️Fixed typo - Changed 'Fry' to 'Dry'.</v>
      </c>
    </row>
    <row r="62" spans="1:8" ht="20.100000000000001" customHeight="1" x14ac:dyDescent="0.25">
      <c r="A62"/>
    </row>
    <row r="63" spans="1:8" ht="20.100000000000001" customHeight="1" x14ac:dyDescent="0.25">
      <c r="A63"/>
      <c r="D63" s="21" t="s">
        <v>32</v>
      </c>
      <c r="E63" s="21" t="s">
        <v>33</v>
      </c>
    </row>
    <row r="64" spans="1:8" ht="20.100000000000001" customHeight="1" x14ac:dyDescent="0.25">
      <c r="A64"/>
      <c r="D64" s="21" t="str" cm="1">
        <f t="array" ref="D64">Common_InputFunctions.Utility_DisplayArrayInTable(Common_SourceData.Common_SourceData_WetAndDryZones_Data(), Table_SourceData_WetDryZones[[#Headers],[Climate zone]], 0)</f>
        <v>Tropical montane</v>
      </c>
      <c r="E64" s="21"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1" t="str" cm="1">
        <f t="array" ref="D65">Common_InputFunctions.Utility_DisplayArrayInTable(Common_SourceData.Common_SourceData_WetAndDryZones_Data(), Table_SourceData_WetDryZones[[#Headers],[Climate zone]], 0)</f>
        <v>Tropical wet</v>
      </c>
      <c r="E65" s="21"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1" t="str" cm="1">
        <f t="array" ref="D66">Common_InputFunctions.Utility_DisplayArrayInTable(Common_SourceData.Common_SourceData_WetAndDryZones_Data(), Table_SourceData_WetDryZones[[#Headers],[Climate zone]], 0)</f>
        <v>Tropical moist</v>
      </c>
      <c r="E66" s="21"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1" t="str" cm="1">
        <f t="array" ref="D67">Common_InputFunctions.Utility_DisplayArrayInTable(Common_SourceData.Common_SourceData_WetAndDryZones_Data(), Table_SourceData_WetDryZones[[#Headers],[Climate zone]], 0)</f>
        <v>Tropical dry</v>
      </c>
      <c r="E67" s="21"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1" t="str" cm="1">
        <f t="array" ref="D68">Common_InputFunctions.Utility_DisplayArrayInTable(Common_SourceData.Common_SourceData_WetAndDryZones_Data(), Table_SourceData_WetDryZones[[#Headers],[Climate zone]], 0)</f>
        <v>Warm temperate moist</v>
      </c>
      <c r="E68" s="21"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1" t="str" cm="1">
        <f t="array" ref="D69">Common_InputFunctions.Utility_DisplayArrayInTable(Common_SourceData.Common_SourceData_WetAndDryZones_Data(), Table_SourceData_WetDryZones[[#Headers],[Climate zone]], 0)</f>
        <v>Warm temperate dry</v>
      </c>
      <c r="E69" s="21"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1" t="str" cm="1">
        <f t="array" ref="D70">Common_InputFunctions.Utility_DisplayArrayInTable(Common_SourceData.Common_SourceData_WetAndDryZones_Data(), Table_SourceData_WetDryZones[[#Headers],[Climate zone]], 0)</f>
        <v>Cool temperate moist</v>
      </c>
      <c r="E70" s="21"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1" t="str" cm="1">
        <f t="array" ref="D71">Common_InputFunctions.Utility_DisplayArrayInTable(Common_SourceData.Common_SourceData_WetAndDryZones_Data(), Table_SourceData_WetDryZones[[#Headers],[Climate zone]], 0)</f>
        <v>Cool temperate dry</v>
      </c>
      <c r="E71" s="21"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1" t="str" cm="1">
        <f t="array" ref="D72">Common_InputFunctions.Utility_DisplayArrayInTable(Common_SourceData.Common_SourceData_WetAndDryZones_Data(), Table_SourceData_WetDryZones[[#Headers],[Climate zone]], 0)</f>
        <v>Warm temperate moist - low frost</v>
      </c>
      <c r="E72" s="21"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1" t="str" cm="1">
        <f t="array" ref="D73">Common_InputFunctions.Utility_DisplayArrayInTable(Common_SourceData.Common_SourceData_WetAndDryZones_Data(), Table_SourceData_WetDryZones[[#Headers],[Climate zone]], 0)</f>
        <v>Warm temperate dry - low frost</v>
      </c>
      <c r="E73" s="21"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1" t="str" cm="1">
        <f t="array" ref="D74">Common_InputFunctions.Utility_DisplayArrayInTable(Common_SourceData.Common_SourceData_WetAndDryZones_Data(), Table_SourceData_WetDryZones[[#Headers],[Climate zone]], 0)</f>
        <v>Warm temperate moist - high temp</v>
      </c>
      <c r="E74" s="21"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1" t="str" cm="1">
        <f t="array" ref="D75">Common_InputFunctions.Utility_DisplayArrayInTable(Common_SourceData.Common_SourceData_WetAndDryZones_Data(), Table_SourceData_WetDryZones[[#Headers],[Climate zone]], 0)</f>
        <v>Warm temperate dry - high temp</v>
      </c>
      <c r="E75" s="21"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1" t="str" cm="1">
        <f t="array" ref="D76">Common_InputFunctions.Utility_DisplayArrayInTable(Common_SourceData.Common_SourceData_WetAndDryZones_Data(), Table_SourceData_WetDryZones[[#Headers],[Climate zone]], 0)</f>
        <v>Cool temperate moist - low frost</v>
      </c>
      <c r="E76" s="21"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1" t="str" cm="1">
        <f t="array" ref="D77">Common_InputFunctions.Utility_DisplayArrayInTable(Common_SourceData.Common_SourceData_WetAndDryZones_Data(), Table_SourceData_WetDryZones[[#Headers],[Climate zone]], 0)</f>
        <v>Cool temperate dry - low frost</v>
      </c>
      <c r="E77" s="21"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18" t="str" cm="1">
        <f t="array" ref="D82">Common_SourceData.Common_SourceData_ClimateZones_Source()</f>
        <v>VEERG 2026: Table 1.3: Climate and Rainfall zone classifications and definitions</v>
      </c>
    </row>
    <row r="83" spans="1:20" ht="20.100000000000001" customHeight="1" x14ac:dyDescent="0.25">
      <c r="A83"/>
      <c r="D83" s="27" t="str" cm="1">
        <f t="array" ref="D83:D87">"⚠️" &amp; Common_SourceData.Common_SourceData_ClimateZones_Variation()</f>
        <v>⚠️VARIATION OF SOURCE DATA:</v>
      </c>
    </row>
    <row r="84" spans="1:20" ht="20.100000000000001" customHeight="1" x14ac:dyDescent="0.25">
      <c r="A84"/>
      <c r="D84" s="27" t="str">
        <v>⚠️Added warm / cool temperate moist / dry - low frost and high temp classes to accommodate climate scenarios excluded by VEERG criteria.</v>
      </c>
    </row>
    <row r="85" spans="1:20" ht="20.100000000000001" customHeight="1" x14ac:dyDescent="0.25">
      <c r="A85"/>
      <c r="D85" s="27" t="str">
        <v>⚠️Fixed typo in MAT value for warm temperate dry - changed 10 to 11.</v>
      </c>
    </row>
    <row r="86" spans="1:20" ht="20.100000000000001" customHeight="1" x14ac:dyDescent="0.25">
      <c r="A86"/>
      <c r="D86" s="27" t="str">
        <v>⚠️Added min and max columns for MAT, MAP, frost days per year, elevation, MAP:PET to calculate zones from real climate data.</v>
      </c>
    </row>
    <row r="87" spans="1:20" ht="20.100000000000001" customHeight="1" x14ac:dyDescent="0.25">
      <c r="A87"/>
      <c r="D87" s="27" t="str">
        <v>⚠️GAF accepts rainfall as a proxy for precipitation.</v>
      </c>
    </row>
    <row r="88" spans="1:20" ht="20.100000000000001" customHeight="1" x14ac:dyDescent="0.25">
      <c r="A88"/>
    </row>
    <row r="89" spans="1:20" ht="20.100000000000001" customHeight="1" x14ac:dyDescent="0.25">
      <c r="A89"/>
      <c r="D89" s="21" t="s">
        <v>32</v>
      </c>
      <c r="E89" s="21" t="s">
        <v>34</v>
      </c>
      <c r="F89" s="21" t="s">
        <v>35</v>
      </c>
      <c r="G89" s="21" t="s">
        <v>36</v>
      </c>
      <c r="H89" s="21" t="s">
        <v>37</v>
      </c>
      <c r="I89" s="21" t="s">
        <v>38</v>
      </c>
      <c r="J89" s="21" t="s">
        <v>39</v>
      </c>
      <c r="K89" s="21" t="s">
        <v>40</v>
      </c>
      <c r="L89" s="21" t="s">
        <v>41</v>
      </c>
      <c r="M89" s="21" t="s">
        <v>42</v>
      </c>
      <c r="N89" s="21" t="s">
        <v>43</v>
      </c>
      <c r="O89" s="21" t="s">
        <v>44</v>
      </c>
      <c r="P89" s="21" t="s">
        <v>45</v>
      </c>
      <c r="Q89" s="21" t="s">
        <v>46</v>
      </c>
      <c r="R89" s="21" t="s">
        <v>47</v>
      </c>
      <c r="S89" s="21" t="s">
        <v>48</v>
      </c>
      <c r="T89" s="21"/>
    </row>
    <row r="90" spans="1:20" ht="20.100000000000001" customHeight="1" x14ac:dyDescent="0.25">
      <c r="A90"/>
      <c r="D90" s="21" t="str" cm="1">
        <f t="array" ref="D90">Common_InputFunctions.Utility_DisplayArrayInTable(Common_SourceData.Common_SourceData_ClimateZones_Data(), Table_SourceData_ClimateZones[[#Headers],[Climate zone]], 0)</f>
        <v>Tropical montane</v>
      </c>
      <c r="E90" s="21" t="str" cm="1">
        <f t="array" ref="E90">Common_InputFunctions.Utility_DisplayArrayInTable(Common_SourceData.Common_SourceData_ClimateZones_Data(), Table_SourceData_ClimateZones[[#Headers],[Climate zone]], 0)</f>
        <v>&gt; 18 C</v>
      </c>
      <c r="F90" s="21" t="str" cm="1">
        <f t="array" ref="F90">Common_InputFunctions.Utility_DisplayArrayInTable(Common_SourceData.Common_SourceData_ClimateZones_Data(), Table_SourceData_ClimateZones[[#Headers],[Climate zone]], 0)</f>
        <v>Any</v>
      </c>
      <c r="G90" s="21" t="str" cm="1">
        <f t="array" ref="G90">Common_InputFunctions.Utility_DisplayArrayInTable(Common_SourceData.Common_SourceData_ClimateZones_Data(), Table_SourceData_ClimateZones[[#Headers],[Climate zone]], 0)</f>
        <v>≤ 7</v>
      </c>
      <c r="H90" s="21" t="str" cm="1">
        <f t="array" ref="H90">Common_InputFunctions.Utility_DisplayArrayInTable(Common_SourceData.Common_SourceData_ClimateZones_Data(), Table_SourceData_ClimateZones[[#Headers],[Climate zone]], 0)</f>
        <v>&gt; 1000 m</v>
      </c>
      <c r="I90" s="21" t="str" cm="1">
        <f t="array" ref="I90">Common_InputFunctions.Utility_DisplayArrayInTable(Common_SourceData.Common_SourceData_ClimateZones_Data(), Table_SourceData_ClimateZones[[#Headers],[Climate zone]], 0)</f>
        <v>Any</v>
      </c>
      <c r="J90" s="21" cm="1">
        <f t="array" ref="J90">Common_InputFunctions.Utility_DisplayArrayInTable(Common_SourceData.Common_SourceData_ClimateZones_Data(), Table_SourceData_ClimateZones[[#Headers],[Climate zone]], 0)</f>
        <v>18.001000000000001</v>
      </c>
      <c r="K90" s="21" cm="1">
        <f t="array" ref="K90">Common_InputFunctions.Utility_DisplayArrayInTable(Common_SourceData.Common_SourceData_ClimateZones_Data(), Table_SourceData_ClimateZones[[#Headers],[Climate zone]], 0)</f>
        <v>999999</v>
      </c>
      <c r="L90" s="21" cm="1">
        <f t="array" ref="L90">Common_InputFunctions.Utility_DisplayArrayInTable(Common_SourceData.Common_SourceData_ClimateZones_Data(), Table_SourceData_ClimateZones[[#Headers],[Climate zone]], 0)</f>
        <v>-999999</v>
      </c>
      <c r="M90" s="21" cm="1">
        <f t="array" ref="M90">Common_InputFunctions.Utility_DisplayArrayInTable(Common_SourceData.Common_SourceData_ClimateZones_Data(), Table_SourceData_ClimateZones[[#Headers],[Climate zone]], 0)</f>
        <v>999999</v>
      </c>
      <c r="N90" s="21" cm="1">
        <f t="array" ref="N90">Common_InputFunctions.Utility_DisplayArrayInTable(Common_SourceData.Common_SourceData_ClimateZones_Data(), Table_SourceData_ClimateZones[[#Headers],[Climate zone]], 0)</f>
        <v>-999999</v>
      </c>
      <c r="O90" s="21" cm="1">
        <f t="array" ref="O90">Common_InputFunctions.Utility_DisplayArrayInTable(Common_SourceData.Common_SourceData_ClimateZones_Data(), Table_SourceData_ClimateZones[[#Headers],[Climate zone]], 0)</f>
        <v>7</v>
      </c>
      <c r="P90" s="21" cm="1">
        <f t="array" ref="P90">Common_InputFunctions.Utility_DisplayArrayInTable(Common_SourceData.Common_SourceData_ClimateZones_Data(), Table_SourceData_ClimateZones[[#Headers],[Climate zone]], 0)</f>
        <v>1000</v>
      </c>
      <c r="Q90" s="21" cm="1">
        <f t="array" ref="Q90">Common_InputFunctions.Utility_DisplayArrayInTable(Common_SourceData.Common_SourceData_ClimateZones_Data(), Table_SourceData_ClimateZones[[#Headers],[Climate zone]], 0)</f>
        <v>999999</v>
      </c>
      <c r="R90" s="21" cm="1">
        <f t="array" ref="R90">Common_InputFunctions.Utility_DisplayArrayInTable(Common_SourceData.Common_SourceData_ClimateZones_Data(), Table_SourceData_ClimateZones[[#Headers],[Climate zone]], 0)</f>
        <v>-999999</v>
      </c>
      <c r="S90" s="21" cm="1">
        <f t="array" ref="S90">Common_InputFunctions.Utility_DisplayArrayInTable(Common_SourceData.Common_SourceData_ClimateZones_Data(), Table_SourceData_ClimateZones[[#Headers],[Climate zone]], 0)</f>
        <v>999999</v>
      </c>
      <c r="T90" s="21"/>
    </row>
    <row r="91" spans="1:20" ht="20.100000000000001" customHeight="1" x14ac:dyDescent="0.25">
      <c r="A91"/>
      <c r="D91" s="21" t="str" cm="1">
        <f t="array" ref="D91">Common_InputFunctions.Utility_DisplayArrayInTable(Common_SourceData.Common_SourceData_ClimateZones_Data(), Table_SourceData_ClimateZones[[#Headers],[Climate zone]], 0)</f>
        <v>Tropical wet</v>
      </c>
      <c r="E91" s="21" t="str" cm="1">
        <f t="array" ref="E91">Common_InputFunctions.Utility_DisplayArrayInTable(Common_SourceData.Common_SourceData_ClimateZones_Data(), Table_SourceData_ClimateZones[[#Headers],[Climate zone]], 0)</f>
        <v>&gt; 18 C</v>
      </c>
      <c r="F91" s="21" t="str" cm="1">
        <f t="array" ref="F91">Common_InputFunctions.Utility_DisplayArrayInTable(Common_SourceData.Common_SourceData_ClimateZones_Data(), Table_SourceData_ClimateZones[[#Headers],[Climate zone]], 0)</f>
        <v>&gt; 2000 mm</v>
      </c>
      <c r="G91" s="21" t="str" cm="1">
        <f t="array" ref="G91">Common_InputFunctions.Utility_DisplayArrayInTable(Common_SourceData.Common_SourceData_ClimateZones_Data(), Table_SourceData_ClimateZones[[#Headers],[Climate zone]], 0)</f>
        <v>≤ 7</v>
      </c>
      <c r="H91" s="21" t="str" cm="1">
        <f t="array" ref="H91">Common_InputFunctions.Utility_DisplayArrayInTable(Common_SourceData.Common_SourceData_ClimateZones_Data(), Table_SourceData_ClimateZones[[#Headers],[Climate zone]], 0)</f>
        <v>≤ 1000 m</v>
      </c>
      <c r="I91" s="21" t="str" cm="1">
        <f t="array" ref="I91">Common_InputFunctions.Utility_DisplayArrayInTable(Common_SourceData.Common_SourceData_ClimateZones_Data(), Table_SourceData_ClimateZones[[#Headers],[Climate zone]], 0)</f>
        <v>Any</v>
      </c>
      <c r="J91" s="21" cm="1">
        <f t="array" ref="J91">Common_InputFunctions.Utility_DisplayArrayInTable(Common_SourceData.Common_SourceData_ClimateZones_Data(), Table_SourceData_ClimateZones[[#Headers],[Climate zone]], 0)</f>
        <v>18.001000000000001</v>
      </c>
      <c r="K91" s="21" cm="1">
        <f t="array" ref="K91">Common_InputFunctions.Utility_DisplayArrayInTable(Common_SourceData.Common_SourceData_ClimateZones_Data(), Table_SourceData_ClimateZones[[#Headers],[Climate zone]], 0)</f>
        <v>999999</v>
      </c>
      <c r="L91" s="21" cm="1">
        <f t="array" ref="L91">Common_InputFunctions.Utility_DisplayArrayInTable(Common_SourceData.Common_SourceData_ClimateZones_Data(), Table_SourceData_ClimateZones[[#Headers],[Climate zone]], 0)</f>
        <v>2000.001</v>
      </c>
      <c r="M91" s="21" cm="1">
        <f t="array" ref="M91">Common_InputFunctions.Utility_DisplayArrayInTable(Common_SourceData.Common_SourceData_ClimateZones_Data(), Table_SourceData_ClimateZones[[#Headers],[Climate zone]], 0)</f>
        <v>999999</v>
      </c>
      <c r="N91" s="21" cm="1">
        <f t="array" ref="N91">Common_InputFunctions.Utility_DisplayArrayInTable(Common_SourceData.Common_SourceData_ClimateZones_Data(), Table_SourceData_ClimateZones[[#Headers],[Climate zone]], 0)</f>
        <v>-999999</v>
      </c>
      <c r="O91" s="21" cm="1">
        <f t="array" ref="O91">Common_InputFunctions.Utility_DisplayArrayInTable(Common_SourceData.Common_SourceData_ClimateZones_Data(), Table_SourceData_ClimateZones[[#Headers],[Climate zone]], 0)</f>
        <v>7</v>
      </c>
      <c r="P91" s="21" cm="1">
        <f t="array" ref="P91">Common_InputFunctions.Utility_DisplayArrayInTable(Common_SourceData.Common_SourceData_ClimateZones_Data(), Table_SourceData_ClimateZones[[#Headers],[Climate zone]], 0)</f>
        <v>-999999</v>
      </c>
      <c r="Q91" s="21" cm="1">
        <f t="array" ref="Q91">Common_InputFunctions.Utility_DisplayArrayInTable(Common_SourceData.Common_SourceData_ClimateZones_Data(), Table_SourceData_ClimateZones[[#Headers],[Climate zone]], 0)</f>
        <v>999.99900000000002</v>
      </c>
      <c r="R91" s="21" cm="1">
        <f t="array" ref="R91">Common_InputFunctions.Utility_DisplayArrayInTable(Common_SourceData.Common_SourceData_ClimateZones_Data(), Table_SourceData_ClimateZones[[#Headers],[Climate zone]], 0)</f>
        <v>-999999</v>
      </c>
      <c r="S91" s="21" cm="1">
        <f t="array" ref="S91">Common_InputFunctions.Utility_DisplayArrayInTable(Common_SourceData.Common_SourceData_ClimateZones_Data(), Table_SourceData_ClimateZones[[#Headers],[Climate zone]], 0)</f>
        <v>999999</v>
      </c>
      <c r="T91" s="21"/>
    </row>
    <row r="92" spans="1:20" ht="20.100000000000001" customHeight="1" x14ac:dyDescent="0.25">
      <c r="A92"/>
      <c r="D92" s="21" t="str" cm="1">
        <f t="array" ref="D92">Common_InputFunctions.Utility_DisplayArrayInTable(Common_SourceData.Common_SourceData_ClimateZones_Data(), Table_SourceData_ClimateZones[[#Headers],[Climate zone]], 0)</f>
        <v>Tropical moist</v>
      </c>
      <c r="E92" s="21" t="str" cm="1">
        <f t="array" ref="E92">Common_InputFunctions.Utility_DisplayArrayInTable(Common_SourceData.Common_SourceData_ClimateZones_Data(), Table_SourceData_ClimateZones[[#Headers],[Climate zone]], 0)</f>
        <v>&gt; 18 C</v>
      </c>
      <c r="F92" s="21" t="str" cm="1">
        <f t="array" ref="F92">Common_InputFunctions.Utility_DisplayArrayInTable(Common_SourceData.Common_SourceData_ClimateZones_Data(), Table_SourceData_ClimateZones[[#Headers],[Climate zone]], 0)</f>
        <v>&gt; 1000 mm - ≤ 2000 mm</v>
      </c>
      <c r="G92" s="21" t="str" cm="1">
        <f t="array" ref="G92">Common_InputFunctions.Utility_DisplayArrayInTable(Common_SourceData.Common_SourceData_ClimateZones_Data(), Table_SourceData_ClimateZones[[#Headers],[Climate zone]], 0)</f>
        <v>≤ 7</v>
      </c>
      <c r="H92" s="21" t="str" cm="1">
        <f t="array" ref="H92">Common_InputFunctions.Utility_DisplayArrayInTable(Common_SourceData.Common_SourceData_ClimateZones_Data(), Table_SourceData_ClimateZones[[#Headers],[Climate zone]], 0)</f>
        <v>≤ 1000 m</v>
      </c>
      <c r="I92" s="21" t="str" cm="1">
        <f t="array" ref="I92">Common_InputFunctions.Utility_DisplayArrayInTable(Common_SourceData.Common_SourceData_ClimateZones_Data(), Table_SourceData_ClimateZones[[#Headers],[Climate zone]], 0)</f>
        <v>Any</v>
      </c>
      <c r="J92" s="21" cm="1">
        <f t="array" ref="J92">Common_InputFunctions.Utility_DisplayArrayInTable(Common_SourceData.Common_SourceData_ClimateZones_Data(), Table_SourceData_ClimateZones[[#Headers],[Climate zone]], 0)</f>
        <v>18.001000000000001</v>
      </c>
      <c r="K92" s="21" cm="1">
        <f t="array" ref="K92">Common_InputFunctions.Utility_DisplayArrayInTable(Common_SourceData.Common_SourceData_ClimateZones_Data(), Table_SourceData_ClimateZones[[#Headers],[Climate zone]], 0)</f>
        <v>999999</v>
      </c>
      <c r="L92" s="21" cm="1">
        <f t="array" ref="L92">Common_InputFunctions.Utility_DisplayArrayInTable(Common_SourceData.Common_SourceData_ClimateZones_Data(), Table_SourceData_ClimateZones[[#Headers],[Climate zone]], 0)</f>
        <v>1000.001</v>
      </c>
      <c r="M92" s="21" cm="1">
        <f t="array" ref="M92">Common_InputFunctions.Utility_DisplayArrayInTable(Common_SourceData.Common_SourceData_ClimateZones_Data(), Table_SourceData_ClimateZones[[#Headers],[Climate zone]], 0)</f>
        <v>2000</v>
      </c>
      <c r="N92" s="21" cm="1">
        <f t="array" ref="N92">Common_InputFunctions.Utility_DisplayArrayInTable(Common_SourceData.Common_SourceData_ClimateZones_Data(), Table_SourceData_ClimateZones[[#Headers],[Climate zone]], 0)</f>
        <v>-999999</v>
      </c>
      <c r="O92" s="21" cm="1">
        <f t="array" ref="O92">Common_InputFunctions.Utility_DisplayArrayInTable(Common_SourceData.Common_SourceData_ClimateZones_Data(), Table_SourceData_ClimateZones[[#Headers],[Climate zone]], 0)</f>
        <v>7</v>
      </c>
      <c r="P92" s="21" cm="1">
        <f t="array" ref="P92">Common_InputFunctions.Utility_DisplayArrayInTable(Common_SourceData.Common_SourceData_ClimateZones_Data(), Table_SourceData_ClimateZones[[#Headers],[Climate zone]], 0)</f>
        <v>-999999</v>
      </c>
      <c r="Q92" s="21" cm="1">
        <f t="array" ref="Q92">Common_InputFunctions.Utility_DisplayArrayInTable(Common_SourceData.Common_SourceData_ClimateZones_Data(), Table_SourceData_ClimateZones[[#Headers],[Climate zone]], 0)</f>
        <v>999.99900000000002</v>
      </c>
      <c r="R92" s="21" cm="1">
        <f t="array" ref="R92">Common_InputFunctions.Utility_DisplayArrayInTable(Common_SourceData.Common_SourceData_ClimateZones_Data(), Table_SourceData_ClimateZones[[#Headers],[Climate zone]], 0)</f>
        <v>-999999</v>
      </c>
      <c r="S92" s="21" cm="1">
        <f t="array" ref="S92">Common_InputFunctions.Utility_DisplayArrayInTable(Common_SourceData.Common_SourceData_ClimateZones_Data(), Table_SourceData_ClimateZones[[#Headers],[Climate zone]], 0)</f>
        <v>999999</v>
      </c>
      <c r="T92" s="21"/>
    </row>
    <row r="93" spans="1:20" ht="20.100000000000001" customHeight="1" x14ac:dyDescent="0.25">
      <c r="A93"/>
      <c r="D93" s="21" t="str" cm="1">
        <f t="array" ref="D93">Common_InputFunctions.Utility_DisplayArrayInTable(Common_SourceData.Common_SourceData_ClimateZones_Data(), Table_SourceData_ClimateZones[[#Headers],[Climate zone]], 0)</f>
        <v>Tropical dry</v>
      </c>
      <c r="E93" s="21" t="str" cm="1">
        <f t="array" ref="E93">Common_InputFunctions.Utility_DisplayArrayInTable(Common_SourceData.Common_SourceData_ClimateZones_Data(), Table_SourceData_ClimateZones[[#Headers],[Climate zone]], 0)</f>
        <v>&gt; 18 C</v>
      </c>
      <c r="F93" s="21" t="str" cm="1">
        <f t="array" ref="F93">Common_InputFunctions.Utility_DisplayArrayInTable(Common_SourceData.Common_SourceData_ClimateZones_Data(), Table_SourceData_ClimateZones[[#Headers],[Climate zone]], 0)</f>
        <v>≤ 1000 mm</v>
      </c>
      <c r="G93" s="21" t="str" cm="1">
        <f t="array" ref="G93">Common_InputFunctions.Utility_DisplayArrayInTable(Common_SourceData.Common_SourceData_ClimateZones_Data(), Table_SourceData_ClimateZones[[#Headers],[Climate zone]], 0)</f>
        <v>≤ 7</v>
      </c>
      <c r="H93" s="21" t="str" cm="1">
        <f t="array" ref="H93">Common_InputFunctions.Utility_DisplayArrayInTable(Common_SourceData.Common_SourceData_ClimateZones_Data(), Table_SourceData_ClimateZones[[#Headers],[Climate zone]], 0)</f>
        <v>≤ 1000 m</v>
      </c>
      <c r="I93" s="21" t="str" cm="1">
        <f t="array" ref="I93">Common_InputFunctions.Utility_DisplayArrayInTable(Common_SourceData.Common_SourceData_ClimateZones_Data(), Table_SourceData_ClimateZones[[#Headers],[Climate zone]], 0)</f>
        <v>Any</v>
      </c>
      <c r="J93" s="21" cm="1">
        <f t="array" ref="J93">Common_InputFunctions.Utility_DisplayArrayInTable(Common_SourceData.Common_SourceData_ClimateZones_Data(), Table_SourceData_ClimateZones[[#Headers],[Climate zone]], 0)</f>
        <v>18.001000000000001</v>
      </c>
      <c r="K93" s="21" cm="1">
        <f t="array" ref="K93">Common_InputFunctions.Utility_DisplayArrayInTable(Common_SourceData.Common_SourceData_ClimateZones_Data(), Table_SourceData_ClimateZones[[#Headers],[Climate zone]], 0)</f>
        <v>999999</v>
      </c>
      <c r="L93" s="21" cm="1">
        <f t="array" ref="L93">Common_InputFunctions.Utility_DisplayArrayInTable(Common_SourceData.Common_SourceData_ClimateZones_Data(), Table_SourceData_ClimateZones[[#Headers],[Climate zone]], 0)</f>
        <v>-999999</v>
      </c>
      <c r="M93" s="21" cm="1">
        <f t="array" ref="M93">Common_InputFunctions.Utility_DisplayArrayInTable(Common_SourceData.Common_SourceData_ClimateZones_Data(), Table_SourceData_ClimateZones[[#Headers],[Climate zone]], 0)</f>
        <v>1000</v>
      </c>
      <c r="N93" s="21" cm="1">
        <f t="array" ref="N93">Common_InputFunctions.Utility_DisplayArrayInTable(Common_SourceData.Common_SourceData_ClimateZones_Data(), Table_SourceData_ClimateZones[[#Headers],[Climate zone]], 0)</f>
        <v>-999999</v>
      </c>
      <c r="O93" s="21" cm="1">
        <f t="array" ref="O93">Common_InputFunctions.Utility_DisplayArrayInTable(Common_SourceData.Common_SourceData_ClimateZones_Data(), Table_SourceData_ClimateZones[[#Headers],[Climate zone]], 0)</f>
        <v>7</v>
      </c>
      <c r="P93" s="21" cm="1">
        <f t="array" ref="P93">Common_InputFunctions.Utility_DisplayArrayInTable(Common_SourceData.Common_SourceData_ClimateZones_Data(), Table_SourceData_ClimateZones[[#Headers],[Climate zone]], 0)</f>
        <v>-999999</v>
      </c>
      <c r="Q93" s="21" cm="1">
        <f t="array" ref="Q93">Common_InputFunctions.Utility_DisplayArrayInTable(Common_SourceData.Common_SourceData_ClimateZones_Data(), Table_SourceData_ClimateZones[[#Headers],[Climate zone]], 0)</f>
        <v>999.99900000000002</v>
      </c>
      <c r="R93" s="21" cm="1">
        <f t="array" ref="R93">Common_InputFunctions.Utility_DisplayArrayInTable(Common_SourceData.Common_SourceData_ClimateZones_Data(), Table_SourceData_ClimateZones[[#Headers],[Climate zone]], 0)</f>
        <v>-999999</v>
      </c>
      <c r="S93" s="21" cm="1">
        <f t="array" ref="S93">Common_InputFunctions.Utility_DisplayArrayInTable(Common_SourceData.Common_SourceData_ClimateZones_Data(), Table_SourceData_ClimateZones[[#Headers],[Climate zone]], 0)</f>
        <v>999999</v>
      </c>
      <c r="T93" s="21"/>
    </row>
    <row r="94" spans="1:20" ht="20.100000000000001" customHeight="1" x14ac:dyDescent="0.25">
      <c r="A94"/>
      <c r="D94" s="21" t="str" cm="1">
        <f t="array" ref="D94">Common_InputFunctions.Utility_DisplayArrayInTable(Common_SourceData.Common_SourceData_ClimateZones_Data(), Table_SourceData_ClimateZones[[#Headers],[Climate zone]], 0)</f>
        <v>Warm temperate moist</v>
      </c>
      <c r="E94" s="21" t="str" cm="1">
        <f t="array" ref="E94">Common_InputFunctions.Utility_DisplayArrayInTable(Common_SourceData.Common_SourceData_ClimateZones_Data(), Table_SourceData_ClimateZones[[#Headers],[Climate zone]], 0)</f>
        <v>&gt; 10 C</v>
      </c>
      <c r="F94" s="21" t="str" cm="1">
        <f t="array" ref="F94">Common_InputFunctions.Utility_DisplayArrayInTable(Common_SourceData.Common_SourceData_ClimateZones_Data(), Table_SourceData_ClimateZones[[#Headers],[Climate zone]], 0)</f>
        <v>Any</v>
      </c>
      <c r="G94" s="21" t="str" cm="1">
        <f t="array" ref="G94">Common_InputFunctions.Utility_DisplayArrayInTable(Common_SourceData.Common_SourceData_ClimateZones_Data(), Table_SourceData_ClimateZones[[#Headers],[Climate zone]], 0)</f>
        <v>Any</v>
      </c>
      <c r="H94" s="21" t="str" cm="1">
        <f t="array" ref="H94">Common_InputFunctions.Utility_DisplayArrayInTable(Common_SourceData.Common_SourceData_ClimateZones_Data(), Table_SourceData_ClimateZones[[#Headers],[Climate zone]], 0)</f>
        <v>Any</v>
      </c>
      <c r="I94" s="21" t="str" cm="1">
        <f t="array" ref="I94">Common_InputFunctions.Utility_DisplayArrayInTable(Common_SourceData.Common_SourceData_ClimateZones_Data(), Table_SourceData_ClimateZones[[#Headers],[Climate zone]], 0)</f>
        <v>&gt; 1</v>
      </c>
      <c r="J94" s="21" cm="1">
        <f t="array" ref="J94">Common_InputFunctions.Utility_DisplayArrayInTable(Common_SourceData.Common_SourceData_ClimateZones_Data(), Table_SourceData_ClimateZones[[#Headers],[Climate zone]], 0)</f>
        <v>10.000999999999999</v>
      </c>
      <c r="K94" s="21" cm="1">
        <f t="array" ref="K94">Common_InputFunctions.Utility_DisplayArrayInTable(Common_SourceData.Common_SourceData_ClimateZones_Data(), Table_SourceData_ClimateZones[[#Headers],[Climate zone]], 0)</f>
        <v>999999</v>
      </c>
      <c r="L94" s="21" cm="1">
        <f t="array" ref="L94">Common_InputFunctions.Utility_DisplayArrayInTable(Common_SourceData.Common_SourceData_ClimateZones_Data(), Table_SourceData_ClimateZones[[#Headers],[Climate zone]], 0)</f>
        <v>-999999</v>
      </c>
      <c r="M94" s="21" cm="1">
        <f t="array" ref="M94">Common_InputFunctions.Utility_DisplayArrayInTable(Common_SourceData.Common_SourceData_ClimateZones_Data(), Table_SourceData_ClimateZones[[#Headers],[Climate zone]], 0)</f>
        <v>999999</v>
      </c>
      <c r="N94" s="21" cm="1">
        <f t="array" ref="N94">Common_InputFunctions.Utility_DisplayArrayInTable(Common_SourceData.Common_SourceData_ClimateZones_Data(), Table_SourceData_ClimateZones[[#Headers],[Climate zone]], 0)</f>
        <v>-999999</v>
      </c>
      <c r="O94" s="21" cm="1">
        <f t="array" ref="O94">Common_InputFunctions.Utility_DisplayArrayInTable(Common_SourceData.Common_SourceData_ClimateZones_Data(), Table_SourceData_ClimateZones[[#Headers],[Climate zone]], 0)</f>
        <v>999999</v>
      </c>
      <c r="P94" s="21" cm="1">
        <f t="array" ref="P94">Common_InputFunctions.Utility_DisplayArrayInTable(Common_SourceData.Common_SourceData_ClimateZones_Data(), Table_SourceData_ClimateZones[[#Headers],[Climate zone]], 0)</f>
        <v>-999999</v>
      </c>
      <c r="Q94" s="21" cm="1">
        <f t="array" ref="Q94">Common_InputFunctions.Utility_DisplayArrayInTable(Common_SourceData.Common_SourceData_ClimateZones_Data(), Table_SourceData_ClimateZones[[#Headers],[Climate zone]], 0)</f>
        <v>999999</v>
      </c>
      <c r="R94" s="21" cm="1">
        <f t="array" ref="R94">Common_InputFunctions.Utility_DisplayArrayInTable(Common_SourceData.Common_SourceData_ClimateZones_Data(), Table_SourceData_ClimateZones[[#Headers],[Climate zone]], 0)</f>
        <v>1.0009999999999999</v>
      </c>
      <c r="S94" s="21" cm="1">
        <f t="array" ref="S94">Common_InputFunctions.Utility_DisplayArrayInTable(Common_SourceData.Common_SourceData_ClimateZones_Data(), Table_SourceData_ClimateZones[[#Headers],[Climate zone]], 0)</f>
        <v>999999</v>
      </c>
      <c r="T94" s="21"/>
    </row>
    <row r="95" spans="1:20" ht="20.100000000000001" customHeight="1" x14ac:dyDescent="0.25">
      <c r="A95"/>
      <c r="D95" s="21" t="str" cm="1">
        <f t="array" ref="D95">Common_InputFunctions.Utility_DisplayArrayInTable(Common_SourceData.Common_SourceData_ClimateZones_Data(), Table_SourceData_ClimateZones[[#Headers],[Climate zone]], 0)</f>
        <v>Warm temperate dry</v>
      </c>
      <c r="E95" s="21" t="str" cm="1">
        <f t="array" ref="E95">Common_InputFunctions.Utility_DisplayArrayInTable(Common_SourceData.Common_SourceData_ClimateZones_Data(), Table_SourceData_ClimateZones[[#Headers],[Climate zone]], 0)</f>
        <v>&gt; 10 C</v>
      </c>
      <c r="F95" s="21" t="str" cm="1">
        <f t="array" ref="F95">Common_InputFunctions.Utility_DisplayArrayInTable(Common_SourceData.Common_SourceData_ClimateZones_Data(), Table_SourceData_ClimateZones[[#Headers],[Climate zone]], 0)</f>
        <v>Any</v>
      </c>
      <c r="G95" s="21" t="str" cm="1">
        <f t="array" ref="G95">Common_InputFunctions.Utility_DisplayArrayInTable(Common_SourceData.Common_SourceData_ClimateZones_Data(), Table_SourceData_ClimateZones[[#Headers],[Climate zone]], 0)</f>
        <v>Any</v>
      </c>
      <c r="H95" s="21" t="str" cm="1">
        <f t="array" ref="H95">Common_InputFunctions.Utility_DisplayArrayInTable(Common_SourceData.Common_SourceData_ClimateZones_Data(), Table_SourceData_ClimateZones[[#Headers],[Climate zone]], 0)</f>
        <v>Any</v>
      </c>
      <c r="I95" s="21" t="str" cm="1">
        <f t="array" ref="I95">Common_InputFunctions.Utility_DisplayArrayInTable(Common_SourceData.Common_SourceData_ClimateZones_Data(), Table_SourceData_ClimateZones[[#Headers],[Climate zone]], 0)</f>
        <v>≤ 1</v>
      </c>
      <c r="J95" s="21" cm="1">
        <f t="array" ref="J95">Common_InputFunctions.Utility_DisplayArrayInTable(Common_SourceData.Common_SourceData_ClimateZones_Data(), Table_SourceData_ClimateZones[[#Headers],[Climate zone]], 0)</f>
        <v>10.000999999999999</v>
      </c>
      <c r="K95" s="21" cm="1">
        <f t="array" ref="K95">Common_InputFunctions.Utility_DisplayArrayInTable(Common_SourceData.Common_SourceData_ClimateZones_Data(), Table_SourceData_ClimateZones[[#Headers],[Climate zone]], 0)</f>
        <v>999999</v>
      </c>
      <c r="L95" s="21" cm="1">
        <f t="array" ref="L95">Common_InputFunctions.Utility_DisplayArrayInTable(Common_SourceData.Common_SourceData_ClimateZones_Data(), Table_SourceData_ClimateZones[[#Headers],[Climate zone]], 0)</f>
        <v>-999999</v>
      </c>
      <c r="M95" s="21" cm="1">
        <f t="array" ref="M95">Common_InputFunctions.Utility_DisplayArrayInTable(Common_SourceData.Common_SourceData_ClimateZones_Data(), Table_SourceData_ClimateZones[[#Headers],[Climate zone]], 0)</f>
        <v>999999</v>
      </c>
      <c r="N95" s="21" cm="1">
        <f t="array" ref="N95">Common_InputFunctions.Utility_DisplayArrayInTable(Common_SourceData.Common_SourceData_ClimateZones_Data(), Table_SourceData_ClimateZones[[#Headers],[Climate zone]], 0)</f>
        <v>-999999</v>
      </c>
      <c r="O95" s="21" cm="1">
        <f t="array" ref="O95">Common_InputFunctions.Utility_DisplayArrayInTable(Common_SourceData.Common_SourceData_ClimateZones_Data(), Table_SourceData_ClimateZones[[#Headers],[Climate zone]], 0)</f>
        <v>999999</v>
      </c>
      <c r="P95" s="21" cm="1">
        <f t="array" ref="P95">Common_InputFunctions.Utility_DisplayArrayInTable(Common_SourceData.Common_SourceData_ClimateZones_Data(), Table_SourceData_ClimateZones[[#Headers],[Climate zone]], 0)</f>
        <v>-999999</v>
      </c>
      <c r="Q95" s="21" cm="1">
        <f t="array" ref="Q95">Common_InputFunctions.Utility_DisplayArrayInTable(Common_SourceData.Common_SourceData_ClimateZones_Data(), Table_SourceData_ClimateZones[[#Headers],[Climate zone]], 0)</f>
        <v>999999</v>
      </c>
      <c r="R95" s="21" cm="1">
        <f t="array" ref="R95">Common_InputFunctions.Utility_DisplayArrayInTable(Common_SourceData.Common_SourceData_ClimateZones_Data(), Table_SourceData_ClimateZones[[#Headers],[Climate zone]], 0)</f>
        <v>-999999</v>
      </c>
      <c r="S95" s="21" cm="1">
        <f t="array" ref="S95">Common_InputFunctions.Utility_DisplayArrayInTable(Common_SourceData.Common_SourceData_ClimateZones_Data(), Table_SourceData_ClimateZones[[#Headers],[Climate zone]], 0)</f>
        <v>1</v>
      </c>
      <c r="T95" s="21"/>
    </row>
    <row r="96" spans="1:20" ht="20.100000000000001" customHeight="1" x14ac:dyDescent="0.25">
      <c r="A96"/>
      <c r="D96" s="21" t="str" cm="1">
        <f t="array" ref="D96">Common_InputFunctions.Utility_DisplayArrayInTable(Common_SourceData.Common_SourceData_ClimateZones_Data(), Table_SourceData_ClimateZones[[#Headers],[Climate zone]], 0)</f>
        <v>Cool temperate moist</v>
      </c>
      <c r="E96" s="21" t="str" cm="1">
        <f t="array" ref="E96">Common_InputFunctions.Utility_DisplayArrayInTable(Common_SourceData.Common_SourceData_ClimateZones_Data(), Table_SourceData_ClimateZones[[#Headers],[Climate zone]], 0)</f>
        <v>&gt; 0 C - ≤ 10 C</v>
      </c>
      <c r="F96" s="21" t="str" cm="1">
        <f t="array" ref="F96">Common_InputFunctions.Utility_DisplayArrayInTable(Common_SourceData.Common_SourceData_ClimateZones_Data(), Table_SourceData_ClimateZones[[#Headers],[Climate zone]], 0)</f>
        <v>Any</v>
      </c>
      <c r="G96" s="21" t="str" cm="1">
        <f t="array" ref="G96">Common_InputFunctions.Utility_DisplayArrayInTable(Common_SourceData.Common_SourceData_ClimateZones_Data(), Table_SourceData_ClimateZones[[#Headers],[Climate zone]], 0)</f>
        <v>Any</v>
      </c>
      <c r="H96" s="21" t="str" cm="1">
        <f t="array" ref="H96">Common_InputFunctions.Utility_DisplayArrayInTable(Common_SourceData.Common_SourceData_ClimateZones_Data(), Table_SourceData_ClimateZones[[#Headers],[Climate zone]], 0)</f>
        <v>Any</v>
      </c>
      <c r="I96" s="21" t="str" cm="1">
        <f t="array" ref="I96">Common_InputFunctions.Utility_DisplayArrayInTable(Common_SourceData.Common_SourceData_ClimateZones_Data(), Table_SourceData_ClimateZones[[#Headers],[Climate zone]], 0)</f>
        <v>&gt; 1</v>
      </c>
      <c r="J96" s="21" cm="1">
        <f t="array" ref="J96">Common_InputFunctions.Utility_DisplayArrayInTable(Common_SourceData.Common_SourceData_ClimateZones_Data(), Table_SourceData_ClimateZones[[#Headers],[Climate zone]], 0)</f>
        <v>-999999</v>
      </c>
      <c r="K96" s="21" cm="1">
        <f t="array" ref="K96">Common_InputFunctions.Utility_DisplayArrayInTable(Common_SourceData.Common_SourceData_ClimateZones_Data(), Table_SourceData_ClimateZones[[#Headers],[Climate zone]], 0)</f>
        <v>10</v>
      </c>
      <c r="L96" s="21" cm="1">
        <f t="array" ref="L96">Common_InputFunctions.Utility_DisplayArrayInTable(Common_SourceData.Common_SourceData_ClimateZones_Data(), Table_SourceData_ClimateZones[[#Headers],[Climate zone]], 0)</f>
        <v>-999999</v>
      </c>
      <c r="M96" s="21" cm="1">
        <f t="array" ref="M96">Common_InputFunctions.Utility_DisplayArrayInTable(Common_SourceData.Common_SourceData_ClimateZones_Data(), Table_SourceData_ClimateZones[[#Headers],[Climate zone]], 0)</f>
        <v>999999</v>
      </c>
      <c r="N96" s="21" cm="1">
        <f t="array" ref="N96">Common_InputFunctions.Utility_DisplayArrayInTable(Common_SourceData.Common_SourceData_ClimateZones_Data(), Table_SourceData_ClimateZones[[#Headers],[Climate zone]], 0)</f>
        <v>-999999</v>
      </c>
      <c r="O96" s="21" cm="1">
        <f t="array" ref="O96">Common_InputFunctions.Utility_DisplayArrayInTable(Common_SourceData.Common_SourceData_ClimateZones_Data(), Table_SourceData_ClimateZones[[#Headers],[Climate zone]], 0)</f>
        <v>999999</v>
      </c>
      <c r="P96" s="21" cm="1">
        <f t="array" ref="P96">Common_InputFunctions.Utility_DisplayArrayInTable(Common_SourceData.Common_SourceData_ClimateZones_Data(), Table_SourceData_ClimateZones[[#Headers],[Climate zone]], 0)</f>
        <v>-999999</v>
      </c>
      <c r="Q96" s="21" cm="1">
        <f t="array" ref="Q96">Common_InputFunctions.Utility_DisplayArrayInTable(Common_SourceData.Common_SourceData_ClimateZones_Data(), Table_SourceData_ClimateZones[[#Headers],[Climate zone]], 0)</f>
        <v>999999</v>
      </c>
      <c r="R96" s="21" cm="1">
        <f t="array" ref="R96">Common_InputFunctions.Utility_DisplayArrayInTable(Common_SourceData.Common_SourceData_ClimateZones_Data(), Table_SourceData_ClimateZones[[#Headers],[Climate zone]], 0)</f>
        <v>1.0009999999999999</v>
      </c>
      <c r="S96" s="21" cm="1">
        <f t="array" ref="S96">Common_InputFunctions.Utility_DisplayArrayInTable(Common_SourceData.Common_SourceData_ClimateZones_Data(), Table_SourceData_ClimateZones[[#Headers],[Climate zone]], 0)</f>
        <v>999999</v>
      </c>
      <c r="T96" s="21"/>
    </row>
    <row r="97" spans="1:20" ht="20.100000000000001" customHeight="1" x14ac:dyDescent="0.25">
      <c r="A97"/>
      <c r="D97" s="21" t="str" cm="1">
        <f t="array" ref="D97">Common_InputFunctions.Utility_DisplayArrayInTable(Common_SourceData.Common_SourceData_ClimateZones_Data(), Table_SourceData_ClimateZones[[#Headers],[Climate zone]], 0)</f>
        <v>Cool temperate dry</v>
      </c>
      <c r="E97" s="21" t="str" cm="1">
        <f t="array" ref="E97">Common_InputFunctions.Utility_DisplayArrayInTable(Common_SourceData.Common_SourceData_ClimateZones_Data(), Table_SourceData_ClimateZones[[#Headers],[Climate zone]], 0)</f>
        <v>&gt; 0 C - ≤ 10 C</v>
      </c>
      <c r="F97" s="21" t="str" cm="1">
        <f t="array" ref="F97">Common_InputFunctions.Utility_DisplayArrayInTable(Common_SourceData.Common_SourceData_ClimateZones_Data(), Table_SourceData_ClimateZones[[#Headers],[Climate zone]], 0)</f>
        <v>Any</v>
      </c>
      <c r="G97" s="21" t="str" cm="1">
        <f t="array" ref="G97">Common_InputFunctions.Utility_DisplayArrayInTable(Common_SourceData.Common_SourceData_ClimateZones_Data(), Table_SourceData_ClimateZones[[#Headers],[Climate zone]], 0)</f>
        <v>Any</v>
      </c>
      <c r="H97" s="21" t="str" cm="1">
        <f t="array" ref="H97">Common_InputFunctions.Utility_DisplayArrayInTable(Common_SourceData.Common_SourceData_ClimateZones_Data(), Table_SourceData_ClimateZones[[#Headers],[Climate zone]], 0)</f>
        <v>Any</v>
      </c>
      <c r="I97" s="21" t="str" cm="1">
        <f t="array" ref="I97">Common_InputFunctions.Utility_DisplayArrayInTable(Common_SourceData.Common_SourceData_ClimateZones_Data(), Table_SourceData_ClimateZones[[#Headers],[Climate zone]], 0)</f>
        <v>≤ 1</v>
      </c>
      <c r="J97" s="21" cm="1">
        <f t="array" ref="J97">Common_InputFunctions.Utility_DisplayArrayInTable(Common_SourceData.Common_SourceData_ClimateZones_Data(), Table_SourceData_ClimateZones[[#Headers],[Climate zone]], 0)</f>
        <v>-999999</v>
      </c>
      <c r="K97" s="21" cm="1">
        <f t="array" ref="K97">Common_InputFunctions.Utility_DisplayArrayInTable(Common_SourceData.Common_SourceData_ClimateZones_Data(), Table_SourceData_ClimateZones[[#Headers],[Climate zone]], 0)</f>
        <v>10</v>
      </c>
      <c r="L97" s="21" cm="1">
        <f t="array" ref="L97">Common_InputFunctions.Utility_DisplayArrayInTable(Common_SourceData.Common_SourceData_ClimateZones_Data(), Table_SourceData_ClimateZones[[#Headers],[Climate zone]], 0)</f>
        <v>-999999</v>
      </c>
      <c r="M97" s="21" cm="1">
        <f t="array" ref="M97">Common_InputFunctions.Utility_DisplayArrayInTable(Common_SourceData.Common_SourceData_ClimateZones_Data(), Table_SourceData_ClimateZones[[#Headers],[Climate zone]], 0)</f>
        <v>999999</v>
      </c>
      <c r="N97" s="21" cm="1">
        <f t="array" ref="N97">Common_InputFunctions.Utility_DisplayArrayInTable(Common_SourceData.Common_SourceData_ClimateZones_Data(), Table_SourceData_ClimateZones[[#Headers],[Climate zone]], 0)</f>
        <v>-999999</v>
      </c>
      <c r="O97" s="21" cm="1">
        <f t="array" ref="O97">Common_InputFunctions.Utility_DisplayArrayInTable(Common_SourceData.Common_SourceData_ClimateZones_Data(), Table_SourceData_ClimateZones[[#Headers],[Climate zone]], 0)</f>
        <v>999999</v>
      </c>
      <c r="P97" s="21" cm="1">
        <f t="array" ref="P97">Common_InputFunctions.Utility_DisplayArrayInTable(Common_SourceData.Common_SourceData_ClimateZones_Data(), Table_SourceData_ClimateZones[[#Headers],[Climate zone]], 0)</f>
        <v>-999999</v>
      </c>
      <c r="Q97" s="21" cm="1">
        <f t="array" ref="Q97">Common_InputFunctions.Utility_DisplayArrayInTable(Common_SourceData.Common_SourceData_ClimateZones_Data(), Table_SourceData_ClimateZones[[#Headers],[Climate zone]], 0)</f>
        <v>999999</v>
      </c>
      <c r="R97" s="21" cm="1">
        <f t="array" ref="R97">Common_InputFunctions.Utility_DisplayArrayInTable(Common_SourceData.Common_SourceData_ClimateZones_Data(), Table_SourceData_ClimateZones[[#Headers],[Climate zone]], 0)</f>
        <v>-999999</v>
      </c>
      <c r="S97" s="21" cm="1">
        <f t="array" ref="S97">Common_InputFunctions.Utility_DisplayArrayInTable(Common_SourceData.Common_SourceData_ClimateZones_Data(), Table_SourceData_ClimateZones[[#Headers],[Climate zone]], 0)</f>
        <v>1</v>
      </c>
      <c r="T97" s="21"/>
    </row>
    <row r="98" spans="1:20" ht="20.100000000000001" customHeight="1" x14ac:dyDescent="0.25">
      <c r="A98"/>
    </row>
    <row r="99" spans="1:20" ht="20.100000000000001" customHeight="1" x14ac:dyDescent="0.25">
      <c r="A99"/>
      <c r="D99" s="10" t="str" cm="1">
        <f t="array" ref="D99:D102">Common_SourceData.Common_SourceData_ClimateZones_Appendices()</f>
        <v>Note:</v>
      </c>
    </row>
    <row r="100" spans="1:20" ht="20.100000000000001" customHeight="1" x14ac:dyDescent="0.25">
      <c r="A100"/>
      <c r="D100" s="10" t="str">
        <v>MAT = mean annual temperature</v>
      </c>
    </row>
    <row r="101" spans="1:20" ht="20.100000000000001" customHeight="1" x14ac:dyDescent="0.25">
      <c r="A101"/>
      <c r="D101" s="10" t="str">
        <v>MAP = mean annual precipitation</v>
      </c>
    </row>
    <row r="102" spans="1:20" ht="20.100000000000001" customHeight="1" x14ac:dyDescent="0.25">
      <c r="A102"/>
      <c r="D102" s="10" t="str">
        <v>PET = potential evapotranspiration</v>
      </c>
    </row>
    <row r="103" spans="1:20" ht="20.100000000000001" customHeight="1" x14ac:dyDescent="0.25">
      <c r="A103"/>
      <c r="D103" s="10"/>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18" t="str" cm="1">
        <f t="array" ref="D106">Common_SourceData.Common_SourceData_TemperatureZones_Source()</f>
        <v>VEERG 2026: Table 1.3: Climate and Rainfall zone classifications and definitions</v>
      </c>
    </row>
    <row r="107" spans="1:20" ht="20.100000000000001" customHeight="1" x14ac:dyDescent="0.25">
      <c r="A107"/>
      <c r="D107" s="27"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1" t="s">
        <v>49</v>
      </c>
      <c r="E109" s="21" t="s">
        <v>34</v>
      </c>
      <c r="F109" s="21" t="s">
        <v>50</v>
      </c>
      <c r="G109" s="21" t="s">
        <v>51</v>
      </c>
    </row>
    <row r="110" spans="1:20" ht="20.100000000000001" customHeight="1" x14ac:dyDescent="0.25">
      <c r="A110"/>
      <c r="D110" s="21" t="str" cm="1">
        <f t="array" ref="D110">Common_InputFunctions.Utility_DisplayArrayInTable(Common_SourceData.Common_SourceData_TemperatureZones_Data(),Table_SourceData_TemperatureZones[[#Headers],[Temperature Zone]],0)</f>
        <v>Warm</v>
      </c>
      <c r="E110" s="21" t="str" cm="1">
        <f t="array" ref="E110">Common_InputFunctions.Utility_DisplayArrayInTable(Common_SourceData.Common_SourceData_TemperatureZones_Data(),Table_SourceData_TemperatureZones[[#Headers],[Temperature Zone]],0)</f>
        <v>≥ 26 C</v>
      </c>
      <c r="F110" s="21" cm="1">
        <f t="array" ref="F110">Common_InputFunctions.Utility_DisplayArrayInTable(Common_SourceData.Common_SourceData_TemperatureZones_Data(),Table_SourceData_TemperatureZones[[#Headers],[Temperature Zone]],0)</f>
        <v>26</v>
      </c>
      <c r="G110" s="21"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1" t="str" cm="1">
        <f t="array" ref="D111">Common_InputFunctions.Utility_DisplayArrayInTable(Common_SourceData.Common_SourceData_TemperatureZones_Data(),Table_SourceData_TemperatureZones[[#Headers],[Temperature Zone]],0)</f>
        <v>Temperate</v>
      </c>
      <c r="E111" s="21" t="str" cm="1">
        <f t="array" ref="E111">Common_InputFunctions.Utility_DisplayArrayInTable(Common_SourceData.Common_SourceData_TemperatureZones_Data(),Table_SourceData_TemperatureZones[[#Headers],[Temperature Zone]],0)</f>
        <v>15 - 25 C</v>
      </c>
      <c r="F111" s="21" cm="1">
        <f t="array" ref="F111">Common_InputFunctions.Utility_DisplayArrayInTable(Common_SourceData.Common_SourceData_TemperatureZones_Data(),Table_SourceData_TemperatureZones[[#Headers],[Temperature Zone]],0)</f>
        <v>15</v>
      </c>
      <c r="G111" s="21"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1" t="str" cm="1">
        <f t="array" ref="D112">Common_InputFunctions.Utility_DisplayArrayInTable(Common_SourceData.Common_SourceData_TemperatureZones_Data(),Table_SourceData_TemperatureZones[[#Headers],[Temperature Zone]],0)</f>
        <v>Cool</v>
      </c>
      <c r="E112" s="21" t="str" cm="1">
        <f t="array" ref="E112">Common_InputFunctions.Utility_DisplayArrayInTable(Common_SourceData.Common_SourceData_TemperatureZones_Data(),Table_SourceData_TemperatureZones[[#Headers],[Temperature Zone]],0)</f>
        <v>≤ 14 C</v>
      </c>
      <c r="F112" s="21" cm="1">
        <f t="array" ref="F112">Common_InputFunctions.Utility_DisplayArrayInTable(Common_SourceData.Common_SourceData_TemperatureZones_Data(),Table_SourceData_TemperatureZones[[#Headers],[Temperature Zone]],0)</f>
        <v>-999999</v>
      </c>
      <c r="G112" s="21"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23"/>
    </row>
    <row r="116" spans="1:66" ht="20.100000000000001" customHeight="1" x14ac:dyDescent="0.25">
      <c r="A116"/>
      <c r="D116" s="18" t="str" cm="1">
        <f t="array" ref="D116">Common_SourceData.Common_SourceData_RainfallZones_Source()</f>
        <v>VEERG 2026: Table 1.3: Climate and Rainfall zone classifications and definitions</v>
      </c>
      <c r="BN116" s="23"/>
    </row>
    <row r="117" spans="1:66" ht="20.100000000000001" customHeight="1" x14ac:dyDescent="0.25">
      <c r="A117"/>
      <c r="D117" s="27" t="str" cm="1">
        <f t="array" ref="D117">"⚠️" &amp; Common_SourceData.Common_SourceData_RainfallZones_Variation()</f>
        <v>⚠️VARIATION OF SOURCE DATA: Added extra Rainfall min and Rainfall max columns to calculate zone from real rainfall data.</v>
      </c>
      <c r="BN117" s="23"/>
    </row>
    <row r="118" spans="1:66" ht="20.100000000000001" customHeight="1" x14ac:dyDescent="0.25">
      <c r="A118"/>
      <c r="BN118" s="23"/>
    </row>
    <row r="119" spans="1:66" ht="20.100000000000001" customHeight="1" x14ac:dyDescent="0.25">
      <c r="A119"/>
      <c r="D119" s="21" t="s">
        <v>52</v>
      </c>
      <c r="E119" s="21" t="s">
        <v>53</v>
      </c>
      <c r="F119" s="21" t="s">
        <v>41</v>
      </c>
      <c r="G119" s="21" t="s">
        <v>42</v>
      </c>
      <c r="BN119" s="23"/>
    </row>
    <row r="120" spans="1:66" ht="20.100000000000001" customHeight="1" x14ac:dyDescent="0.25">
      <c r="A120"/>
      <c r="D120" s="21" t="str" cm="1">
        <f t="array" ref="D120">Common_InputFunctions.Utility_DisplayArrayInTable(Common_SourceData.Common_SourceData_RainfallZones_Data(),Table_SourceData_RainfallZones[[#Headers],[Rainfall Zone]],0)</f>
        <v>High rainfall</v>
      </c>
      <c r="E120" s="21" t="str" cm="1">
        <f t="array" ref="E120">Common_InputFunctions.Utility_DisplayArrayInTable(Common_SourceData.Common_SourceData_RainfallZones_Data(),Table_SourceData_RainfallZones[[#Headers],[Rainfall Zone]],0)</f>
        <v>Annual rainfall &gt; 600mm</v>
      </c>
      <c r="F120" s="21" cm="1">
        <f t="array" ref="F120">Common_InputFunctions.Utility_DisplayArrayInTable(Common_SourceData.Common_SourceData_RainfallZones_Data(),Table_SourceData_RainfallZones[[#Headers],[Rainfall Zone]],0)</f>
        <v>600.00099999999998</v>
      </c>
      <c r="G120" s="21" cm="1">
        <f t="array" ref="G120">Common_InputFunctions.Utility_DisplayArrayInTable(Common_SourceData.Common_SourceData_RainfallZones_Data(),Table_SourceData_RainfallZones[[#Headers],[Rainfall Zone]],0)</f>
        <v>999999</v>
      </c>
      <c r="BN120" s="23"/>
    </row>
    <row r="121" spans="1:66" ht="20.100000000000001" customHeight="1" x14ac:dyDescent="0.25">
      <c r="A121"/>
      <c r="D121" s="21" t="str" cm="1">
        <f t="array" ref="D121">Common_InputFunctions.Utility_DisplayArrayInTable(Common_SourceData.Common_SourceData_RainfallZones_Data(),Table_SourceData_RainfallZones[[#Headers],[Rainfall Zone]],0)</f>
        <v>Low rainfall</v>
      </c>
      <c r="E121" s="21" t="str" cm="1">
        <f t="array" ref="E121">Common_InputFunctions.Utility_DisplayArrayInTable(Common_SourceData.Common_SourceData_RainfallZones_Data(),Table_SourceData_RainfallZones[[#Headers],[Rainfall Zone]],0)</f>
        <v>Annual rainfall ≤ 600mm</v>
      </c>
      <c r="F121" s="21" cm="1">
        <f t="array" ref="F121">Common_InputFunctions.Utility_DisplayArrayInTable(Common_SourceData.Common_SourceData_RainfallZones_Data(),Table_SourceData_RainfallZones[[#Headers],[Rainfall Zone]],0)</f>
        <v>-999999</v>
      </c>
      <c r="G121" s="21" cm="1">
        <f t="array" ref="G121">Common_InputFunctions.Utility_DisplayArrayInTable(Common_SourceData.Common_SourceData_RainfallZones_Data(),Table_SourceData_RainfallZones[[#Headers],[Rainfall Zone]],0)</f>
        <v>600</v>
      </c>
      <c r="BN121" s="23"/>
    </row>
    <row r="122" spans="1:66" ht="20.100000000000001" customHeight="1" x14ac:dyDescent="0.25">
      <c r="A122"/>
      <c r="BN122" s="23"/>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18"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1" t="s">
        <v>54</v>
      </c>
      <c r="E127" s="21" t="s">
        <v>55</v>
      </c>
    </row>
    <row r="128" spans="1:66" ht="20.100000000000001" customHeight="1" x14ac:dyDescent="0.25">
      <c r="A128"/>
      <c r="D128" s="21" t="str" cm="1">
        <f t="array" ref="D128">Common_InputFunctions.Utility_DisplayArrayInTable(Common_SourceData.Common_SourceData_LeachingZones_Data(), Table_SourceData_LeachingZones[[#Headers],[Leaching Zone]], 0)</f>
        <v>Leaching occurs</v>
      </c>
      <c r="E128" s="21"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1" t="str" cm="1">
        <f t="array" ref="D129">Common_InputFunctions.Utility_DisplayArrayInTable(Common_SourceData.Common_SourceData_LeachingZones_Data(), Table_SourceData_LeachingZones[[#Headers],[Leaching Zone]], 0)</f>
        <v>Leaching does not occur</v>
      </c>
      <c r="E129" s="21"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9"/>
    </row>
    <row r="133" spans="1:77" ht="20.100000000000001" customHeight="1" x14ac:dyDescent="0.25">
      <c r="A133"/>
      <c r="D133" s="18" t="str" cm="1">
        <f t="array" ref="D133">Common_SourceData.Common_SourceData_FracWET_Source()</f>
        <v>VEERG 2026:5.5.2.3 Constant Parameters</v>
      </c>
      <c r="E133" s="9"/>
    </row>
    <row r="134" spans="1:77" ht="20.100000000000001" customHeight="1" x14ac:dyDescent="0.25">
      <c r="A134"/>
      <c r="D134" t="s">
        <v>56</v>
      </c>
      <c r="E134" t="s">
        <v>57</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1"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23"/>
      <c r="BO138" s="23"/>
      <c r="BP138" s="23"/>
      <c r="BQ138" s="23"/>
      <c r="BR138" s="23"/>
      <c r="BS138" s="23"/>
      <c r="BT138" s="23"/>
      <c r="BU138" s="23"/>
      <c r="BV138" s="23"/>
      <c r="BW138" s="23"/>
      <c r="BX138" s="23"/>
      <c r="BY138" s="23"/>
    </row>
    <row r="139" spans="1:77" ht="20.100000000000001" customHeight="1" x14ac:dyDescent="0.25">
      <c r="A139"/>
      <c r="D139" s="2" t="str" cm="1">
        <f t="array" ref="D139">Common_SourceData.Common_SourceData_FracWETIrrigation_Title()</f>
        <v>FracWET for irrigation types</v>
      </c>
      <c r="BN139" s="23"/>
      <c r="BO139" s="23"/>
      <c r="BP139" s="23"/>
      <c r="BQ139" s="23"/>
      <c r="BR139" s="23"/>
      <c r="BS139" s="23"/>
      <c r="BT139" s="23"/>
      <c r="BU139" s="23"/>
      <c r="BV139" s="23"/>
      <c r="BW139" s="23"/>
      <c r="BX139" s="23"/>
      <c r="BY139" s="23"/>
    </row>
    <row r="140" spans="1:77" ht="20.100000000000001" customHeight="1" x14ac:dyDescent="0.25">
      <c r="A140"/>
      <c r="D140" s="18" t="str" cm="1">
        <f t="array" ref="D140">Common_SourceData.Common_SourceData_FracWETIrrigation_Source()</f>
        <v>VEERG 2026: Chapter 1, section 1.8.2 Leaching, climate and rainfall zones</v>
      </c>
      <c r="BN140" s="23"/>
      <c r="BO140" s="23"/>
      <c r="BP140" s="23"/>
      <c r="BQ140" s="23"/>
      <c r="BR140" s="23"/>
      <c r="BS140" s="23"/>
      <c r="BT140" s="23"/>
      <c r="BU140" s="23"/>
      <c r="BV140" s="23"/>
      <c r="BW140" s="23"/>
      <c r="BX140" s="23"/>
      <c r="BY140" s="23"/>
    </row>
    <row r="141" spans="1:77" ht="20.100000000000001" customHeight="1" x14ac:dyDescent="0.25">
      <c r="A141"/>
      <c r="D141" s="27" t="str" cm="1">
        <f t="array" ref="D141">Common_SourceData.Common_SourceData_FracWETIrrigation_Variation()</f>
        <v>VARIATION FROM SOURCE DATA: Table created based on VEERG text 'Areas are subject to leaching (i.e., in the leaching zone) when... the land is irrigated (except drip irrigation).'</v>
      </c>
      <c r="BN141" s="23"/>
    </row>
    <row r="142" spans="1:77" ht="20.100000000000001" customHeight="1" x14ac:dyDescent="0.25">
      <c r="A142"/>
      <c r="D142" s="21" t="s">
        <v>58</v>
      </c>
      <c r="E142" s="21" t="s">
        <v>57</v>
      </c>
      <c r="BN142" s="23"/>
    </row>
    <row r="143" spans="1:77" ht="20.100000000000001" customHeight="1" x14ac:dyDescent="0.25">
      <c r="A143"/>
      <c r="D143" s="21" t="str" cm="1">
        <f t="array" ref="D143">Common_InputFunctions.Utility_DisplayArrayInTable(Common_SourceData.Common_SourceData_FracWETIrrigation_Data(), Table_SourceData_FracWETIrrigation[[#Headers],[Irrigation type i]], 0)</f>
        <v>Not irrigated</v>
      </c>
      <c r="E143" s="21" cm="1">
        <f t="array" ref="E143">Common_InputFunctions.Utility_DisplayArrayInTable(Common_SourceData.Common_SourceData_FracWETIrrigation_Data(), Table_SourceData_FracWETIrrigation[[#Headers],[Irrigation type i]], 0)</f>
        <v>0</v>
      </c>
      <c r="BN143" s="23"/>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1" cm="1">
        <f t="array" ref="E144">Common_InputFunctions.Utility_DisplayArrayInTable(Common_SourceData.Common_SourceData_FracWETIrrigation_Data(), Table_SourceData_FracWETIrrigation[[#Headers],[Irrigation type i]], 0)</f>
        <v>0</v>
      </c>
      <c r="BN144" s="23"/>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1" cm="1">
        <f t="array" ref="E145">Common_InputFunctions.Utility_DisplayArrayInTable(Common_SourceData.Common_SourceData_FracWETIrrigation_Data(), Table_SourceData_FracWETIrrigation[[#Headers],[Irrigation type i]], 0)</f>
        <v>1</v>
      </c>
      <c r="BN145" s="23"/>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1" cm="1">
        <f t="array" ref="E146">Common_InputFunctions.Utility_DisplayArrayInTable(Common_SourceData.Common_SourceData_FracWETIrrigation_Data(), Table_SourceData_FracWETIrrigation[[#Headers],[Irrigation type i]], 0)</f>
        <v>1</v>
      </c>
      <c r="BN146" s="23"/>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1" cm="1">
        <f t="array" ref="E147">Common_InputFunctions.Utility_DisplayArrayInTable(Common_SourceData.Common_SourceData_FracWETIrrigation_Data(), Table_SourceData_FracWETIrrigation[[#Headers],[Irrigation type i]], 0)</f>
        <v>1</v>
      </c>
      <c r="BN147" s="23"/>
    </row>
    <row r="148" spans="1:66" ht="20.100000000000001" customHeight="1" x14ac:dyDescent="0.25">
      <c r="A148"/>
      <c r="BN148" s="23"/>
    </row>
    <row r="149" spans="1:66" ht="20.100000000000001" customHeight="1" x14ac:dyDescent="0.25">
      <c r="A149"/>
      <c r="BN149" s="23"/>
    </row>
    <row r="150" spans="1:66" ht="20.100000000000001" customHeight="1" x14ac:dyDescent="0.25">
      <c r="A150"/>
      <c r="D150" s="2" t="str" cm="1">
        <f t="array" ref="D150">Common_SourceData.Common_SourceData_DataScores_Scope3_Title()</f>
        <v>Australian data scores for scope 3</v>
      </c>
      <c r="BN150" s="23"/>
    </row>
    <row r="151" spans="1:66" ht="20.100000000000001" customHeight="1" x14ac:dyDescent="0.25">
      <c r="A151"/>
      <c r="D151" s="18" t="str" cm="1">
        <f t="array" ref="D151">Common_SourceData.Common_SourceData_DataScores_Scope3_Source()</f>
        <v>VEERG 2026: XXXXXXXX</v>
      </c>
      <c r="BN151" s="23"/>
    </row>
    <row r="152" spans="1:66" ht="20.100000000000001" customHeight="1" x14ac:dyDescent="0.25">
      <c r="A152"/>
      <c r="BN152" s="23"/>
    </row>
    <row r="153" spans="1:66" ht="20.100000000000001" customHeight="1" x14ac:dyDescent="0.25">
      <c r="A153"/>
      <c r="D153" s="21" t="s">
        <v>59</v>
      </c>
      <c r="E153" s="21" t="s">
        <v>60</v>
      </c>
      <c r="BC153" s="26"/>
      <c r="BD153" s="26"/>
      <c r="BE153" s="26"/>
      <c r="BF153" s="26"/>
      <c r="BG153" s="26"/>
      <c r="BH153" s="26"/>
      <c r="BI153" s="26"/>
      <c r="BJ153" s="26"/>
      <c r="BK153" s="26"/>
      <c r="BL153" s="26"/>
      <c r="BM153" s="26"/>
    </row>
    <row r="154" spans="1:66" ht="20.100000000000001" customHeight="1" x14ac:dyDescent="0.25">
      <c r="A154"/>
      <c r="D154" s="21" t="str" cm="1">
        <f t="array" ref="D154">Common_InputFunctions.Utility_DisplayArrayInTable(Common_SourceData.Common_SourceData_DataScores_Scope3_Data(), Table_SourceData_DataScores_Scope3[[#Headers],[Data source]], 0)</f>
        <v>International scope 3 database</v>
      </c>
      <c r="E154" s="21" cm="1">
        <f t="array" ref="E154">Common_InputFunctions.Utility_DisplayArrayInTable(Common_SourceData.Common_SourceData_DataScores_Scope3_Data(), Table_SourceData_DataScores_Scope3[[#Headers],[Data source]], 0)</f>
        <v>1</v>
      </c>
      <c r="BC154" s="26"/>
      <c r="BD154" s="26"/>
      <c r="BE154" s="26"/>
      <c r="BF154" s="26"/>
      <c r="BG154" s="26"/>
      <c r="BH154" s="26"/>
      <c r="BI154" s="26"/>
      <c r="BJ154" s="26"/>
      <c r="BK154" s="26"/>
      <c r="BL154" s="26"/>
      <c r="BM154" s="26"/>
    </row>
    <row r="155" spans="1:66" ht="20.100000000000001" customHeight="1" x14ac:dyDescent="0.25">
      <c r="A155"/>
      <c r="D155" s="21" t="str" cm="1">
        <f t="array" ref="D155">Common_InputFunctions.Utility_DisplayArrayInTable(Common_SourceData.Common_SourceData_DataScores_Scope3_Data(), Table_SourceData_DataScores_Scope3[[#Headers],[Data source]], 0)</f>
        <v>Australian scope 3 database</v>
      </c>
      <c r="E155" s="21" cm="1">
        <f t="array" ref="E155">Common_InputFunctions.Utility_DisplayArrayInTable(Common_SourceData.Common_SourceData_DataScores_Scope3_Data(), Table_SourceData_DataScores_Scope3[[#Headers],[Data source]], 0)</f>
        <v>2</v>
      </c>
      <c r="BC155" s="26"/>
      <c r="BD155" s="26"/>
      <c r="BE155" s="26"/>
      <c r="BF155" s="26"/>
      <c r="BG155" s="26"/>
      <c r="BH155" s="26"/>
      <c r="BI155" s="26"/>
      <c r="BJ155" s="26"/>
      <c r="BK155" s="26"/>
      <c r="BL155" s="26"/>
      <c r="BM155" s="26"/>
    </row>
    <row r="156" spans="1:66" ht="20.100000000000001" customHeight="1" x14ac:dyDescent="0.25">
      <c r="A156"/>
      <c r="D156" s="21" t="str" cm="1">
        <f t="array" ref="D156">Common_InputFunctions.Utility_DisplayArrayInTable(Common_SourceData.Common_SourceData_DataScores_Scope3_Data(), Table_SourceData_DataScores_Scope3[[#Headers],[Data source]], 0)</f>
        <v>State or regional scope 3 database</v>
      </c>
      <c r="E156" s="21"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1" t="str" cm="1">
        <f t="array" ref="D157">Common_InputFunctions.Utility_DisplayArrayInTable(Common_SourceData.Common_SourceData_DataScores_Scope3_Data(), Table_SourceData_DataScores_Scope3[[#Headers],[Data source]], 0)</f>
        <v>Emissions intensity calculated from approved method</v>
      </c>
      <c r="E157" s="21"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1" t="str" cm="1">
        <f t="array" ref="D158">Common_InputFunctions.Utility_DisplayArrayInTable(Common_SourceData.Common_SourceData_DataScores_Scope3_Data(), Table_SourceData_DataScores_Scope3[[#Headers],[Data source]], 0)</f>
        <v>Verified credential matching ISO14067</v>
      </c>
      <c r="E158" s="21"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9"/>
    </row>
    <row r="162" spans="4:68" ht="20.100000000000001" customHeight="1" x14ac:dyDescent="0.25">
      <c r="D162" s="18" t="str" cm="1">
        <f t="array" ref="D162">Common_SourceData.Common_SourceData_FracLEACH_Source()</f>
        <v>VEERG 2026:5.5.2.3 Constant Parameters</v>
      </c>
      <c r="E162" s="9"/>
    </row>
    <row r="163" spans="4:68" ht="20.100000000000001" customHeight="1" x14ac:dyDescent="0.25">
      <c r="D163" s="18" t="str" cm="1">
        <f t="array" ref="D163">Common_SourceData.Common_SourceData_FracLEACH_NIRReference()</f>
        <v>National Inventory Report Volume 1: Leaching and runoff (3.D.b.2)</v>
      </c>
      <c r="E163" s="9"/>
    </row>
    <row r="164" spans="4:68" ht="20.100000000000001" customHeight="1" x14ac:dyDescent="0.25">
      <c r="D164" s="9" t="str" cm="1">
        <f t="array" ref="D164:E164">Common_SourceData.Common_SourceData_FracLEACH_Data()</f>
        <v>FracLEACH</v>
      </c>
      <c r="E164" s="9">
        <v>0.24</v>
      </c>
    </row>
    <row r="165" spans="4:68" ht="20.100000000000001" customHeight="1" x14ac:dyDescent="0.25">
      <c r="BN165" s="23"/>
      <c r="BO165" s="23"/>
      <c r="BP165" s="23"/>
    </row>
    <row r="166" spans="4:68" ht="20.100000000000001" customHeight="1" x14ac:dyDescent="0.25">
      <c r="BN166" s="23"/>
      <c r="BO166" s="23"/>
      <c r="BP166" s="23"/>
    </row>
    <row r="167" spans="4:68" ht="20.100000000000001" customHeight="1" x14ac:dyDescent="0.25">
      <c r="D167" s="2" t="str" cm="1">
        <f t="array" ref="D167">Common_SourceData.Common_SourceData_EFleach_Title()</f>
        <v>Emission factor for nitrogen leaching and runoff</v>
      </c>
      <c r="BN167" s="23"/>
      <c r="BO167" s="23"/>
      <c r="BP167" s="23"/>
    </row>
    <row r="168" spans="4:68" ht="20.100000000000001" customHeight="1" x14ac:dyDescent="0.25">
      <c r="D168" s="18" t="str" cm="1">
        <f t="array" ref="D168">Common_SourceData.Common_SourceData_EFleach_Source()</f>
        <v>VEERG 2026:5.5.2.3 Constant Parameters</v>
      </c>
      <c r="BN168" s="23"/>
      <c r="BO168" s="23"/>
      <c r="BP168" s="23"/>
    </row>
    <row r="169" spans="4:68" ht="20.100000000000001" customHeight="1" x14ac:dyDescent="0.25">
      <c r="D169" s="18" t="str" cm="1">
        <f t="array" ref="D169">Common_SourceData.Common_SourceData_EFleach_NIRReference()</f>
        <v>National Inventory Report Volume 1: Equation 3.D.B_10</v>
      </c>
      <c r="BN169" s="23"/>
      <c r="BO169" s="23"/>
      <c r="BP169" s="23"/>
    </row>
    <row r="170" spans="4:68" ht="20.100000000000001" customHeight="1" x14ac:dyDescent="0.25">
      <c r="D170" s="1" t="str" cm="1">
        <f t="array" ref="D170:E170">Common_SourceData.Common_SourceData_EFleach_Data()</f>
        <v>EFleach</v>
      </c>
      <c r="E170" s="1">
        <v>1.0999999999999999E-2</v>
      </c>
      <c r="BN170" s="23"/>
      <c r="BO170" s="23"/>
      <c r="BP170" s="23"/>
    </row>
    <row r="171" spans="4:68" ht="20.100000000000001" customHeight="1" x14ac:dyDescent="0.25">
      <c r="BN171" s="23"/>
      <c r="BO171" s="23"/>
      <c r="BP171" s="23"/>
    </row>
    <row r="172" spans="4:68" ht="20.100000000000001" customHeight="1" x14ac:dyDescent="0.25">
      <c r="BN172" s="23"/>
      <c r="BO172" s="23"/>
      <c r="BP172" s="23"/>
    </row>
    <row r="173" spans="4:68" ht="20.100000000000001" customHeight="1" x14ac:dyDescent="0.25">
      <c r="D173" s="2" t="str" cm="1">
        <f t="array" ref="D173">Common_SourceData.Common_SourceData_DensityOfMethane_Title()</f>
        <v>p = density of methane</v>
      </c>
      <c r="BN173" s="23"/>
      <c r="BO173" s="23"/>
      <c r="BP173" s="23"/>
    </row>
    <row r="174" spans="4:68" ht="20.100000000000001" customHeight="1" x14ac:dyDescent="0.25">
      <c r="D174" s="18" t="str" cm="1">
        <f t="array" ref="D174">Common_SourceData.Common_SourceData_DensityOfMethane_Source()</f>
        <v>National Inventory Report 2023 Volume 1: Equations 3.B.1a_2, 3.B.1c_2, 3.B.3_1, 3.B.4g_2</v>
      </c>
      <c r="BN174" s="23"/>
      <c r="BO174" s="23"/>
      <c r="BP174" s="23"/>
    </row>
    <row r="175" spans="4:68" ht="20.100000000000001" customHeight="1" x14ac:dyDescent="0.25">
      <c r="D175" s="1" cm="1">
        <f t="array" ref="D175">Common_SourceData.Common_SourceData_DensityOfMethane_Data()</f>
        <v>0.6784</v>
      </c>
      <c r="E175" s="10" t="str" cm="1">
        <f t="array" ref="E175">Common_SourceData.Common_SourceData_DensityOfMethane_Unit()</f>
        <v>kg/m3</v>
      </c>
      <c r="BN175" s="23"/>
      <c r="BO175" s="23"/>
      <c r="BP175" s="23"/>
    </row>
    <row r="176" spans="4:68" ht="20.100000000000001" customHeight="1" x14ac:dyDescent="0.25">
      <c r="BN176" s="23"/>
      <c r="BO176" s="23"/>
      <c r="BP176" s="23"/>
    </row>
    <row r="177" spans="4:68" ht="20.100000000000001" customHeight="1" x14ac:dyDescent="0.25">
      <c r="BN177" s="23"/>
      <c r="BO177" s="23"/>
      <c r="BP177" s="23"/>
    </row>
    <row r="178" spans="4:68" ht="20.100000000000001" customHeight="1" x14ac:dyDescent="0.25">
      <c r="D178" s="2" t="str" cm="1">
        <f t="array" ref="D178">Common_SourceData.Common_SourceData_EFN2O_Title()</f>
        <v>Nitrous oxide emission factors for inorganic fertiliser application</v>
      </c>
      <c r="BN178" s="23"/>
      <c r="BO178" s="23"/>
      <c r="BP178" s="23"/>
    </row>
    <row r="179" spans="4:68" ht="20.100000000000001" customHeight="1" x14ac:dyDescent="0.25">
      <c r="D179" s="18" t="str" cm="1">
        <f t="array" ref="D179">Common_SourceData.Common_SourceData_EFN2O_Source()</f>
        <v>VEERG 2026: Table A.2.2.1</v>
      </c>
      <c r="BN179" s="23"/>
      <c r="BO179" s="23"/>
      <c r="BP179" s="23"/>
    </row>
    <row r="180" spans="4:68" ht="20.100000000000001" customHeight="1" x14ac:dyDescent="0.25">
      <c r="D180" s="10" t="str" cm="1">
        <f t="array" ref="D180">Common_SourceData.Common_SourceData_EFN2O_Unit()</f>
        <v>(kg N2O-N / kg N</v>
      </c>
    </row>
    <row r="181" spans="4:68" ht="20.100000000000001" customHeight="1" x14ac:dyDescent="0.25">
      <c r="D181" s="27" t="str" cm="1">
        <f t="array" ref="D181:D185">Common_SourceData.Common_SourceData_EFN2O_Variation()</f>
        <v>VARIATION OF SOURCE DATA:</v>
      </c>
    </row>
    <row r="182" spans="4:68" ht="20.100000000000001" customHeight="1" x14ac:dyDescent="0.25">
      <c r="D182" s="27" t="str">
        <v>Removed duplicate 'Aquaculture' row.</v>
      </c>
    </row>
    <row r="183" spans="4:68" ht="20.100000000000001" customHeight="1" x14ac:dyDescent="0.25">
      <c r="D183" s="27" t="str">
        <v>Removed asterisks to aid lookup.</v>
      </c>
    </row>
    <row r="184" spans="4:68" ht="20.100000000000001" customHeight="1" x14ac:dyDescent="0.25">
      <c r="D184" s="27" t="str">
        <v>Added 'production system only', 'rainfall zone' and 'irrigation method' columns to aid lookup.</v>
      </c>
    </row>
    <row r="185" spans="4:68" ht="20.100000000000001" customHeight="1" x14ac:dyDescent="0.25">
      <c r="D185" s="27" t="str">
        <v>Duplicated 'non-irrigated pasture' row with same EF for low and high rainfall zones to aid lookup.</v>
      </c>
    </row>
    <row r="186" spans="4:68" ht="20.100000000000001" customHeight="1" x14ac:dyDescent="0.25">
      <c r="D186" s="21" t="s">
        <v>61</v>
      </c>
      <c r="E186" s="21" t="s">
        <v>62</v>
      </c>
      <c r="F186" s="21" t="s">
        <v>63</v>
      </c>
      <c r="G186" s="21" t="s">
        <v>64</v>
      </c>
      <c r="H186" s="21" t="s">
        <v>65</v>
      </c>
    </row>
    <row r="187" spans="4:68" ht="20.100000000000001" customHeight="1" x14ac:dyDescent="0.25">
      <c r="D187" s="21" t="str" cm="1">
        <f t="array" ref="D187">Common_InputFunctions.Utility_DisplayArrayInTable(Common_SourceData.Common_SourceData_EFN2O_Data(), Table_SourceData_Common_EFN2O[[#Headers],[Production system j]], 0)</f>
        <v>Irrigated pasture</v>
      </c>
      <c r="E187" s="21" cm="1">
        <f t="array" ref="E187">Common_InputFunctions.Utility_DisplayArrayInTable(Common_SourceData.Common_SourceData_EFN2O_Data(), Table_SourceData_Common_EFN2O[[#Headers],[Production system j]], 0)</f>
        <v>5.8999999999999999E-3</v>
      </c>
      <c r="F187" s="21" t="str" cm="1">
        <f t="array" ref="F187">Common_InputFunctions.Utility_DisplayArrayInTable(Common_SourceData.Common_SourceData_EFN2O_Data(), Table_SourceData_Common_EFN2O[[#Headers],[Production system j]], 0)</f>
        <v>Pasture</v>
      </c>
      <c r="G187" s="21" t="str" cm="1">
        <f t="array" ref="G187">Common_InputFunctions.Utility_DisplayArrayInTable(Common_SourceData.Common_SourceData_EFN2O_Data(), Table_SourceData_Common_EFN2O[[#Headers],[Production system j]], 0)</f>
        <v>Any</v>
      </c>
      <c r="H187" s="21" t="str" cm="1">
        <f t="array" ref="H187">Common_InputFunctions.Utility_DisplayArrayInTable(Common_SourceData.Common_SourceData_EFN2O_Data(), Table_SourceData_Common_EFN2O[[#Headers],[Production system j]], 0)</f>
        <v>Any</v>
      </c>
    </row>
    <row r="188" spans="4:68" ht="20.100000000000001" customHeight="1" x14ac:dyDescent="0.25">
      <c r="D188" s="21" t="str" cm="1">
        <f t="array" ref="D188">Common_InputFunctions.Utility_DisplayArrayInTable(Common_SourceData.Common_SourceData_EFN2O_Data(), Table_SourceData_Common_EFN2O[[#Headers],[Production system j]], 0)</f>
        <v>Irrigated crop</v>
      </c>
      <c r="E188" s="21" cm="1">
        <f t="array" ref="E188">Common_InputFunctions.Utility_DisplayArrayInTable(Common_SourceData.Common_SourceData_EFN2O_Data(), Table_SourceData_Common_EFN2O[[#Headers],[Production system j]], 0)</f>
        <v>7.0000000000000001E-3</v>
      </c>
      <c r="F188" s="21" t="str" cm="1">
        <f t="array" ref="F188">Common_InputFunctions.Utility_DisplayArrayInTable(Common_SourceData.Common_SourceData_EFN2O_Data(), Table_SourceData_Common_EFN2O[[#Headers],[Production system j]], 0)</f>
        <v>Crop</v>
      </c>
      <c r="G188" s="21" t="str" cm="1">
        <f t="array" ref="G188">Common_InputFunctions.Utility_DisplayArrayInTable(Common_SourceData.Common_SourceData_EFN2O_Data(), Table_SourceData_Common_EFN2O[[#Headers],[Production system j]], 0)</f>
        <v>Any</v>
      </c>
      <c r="H188" s="21" t="str" cm="1">
        <f t="array" ref="H188">Common_InputFunctions.Utility_DisplayArrayInTable(Common_SourceData.Common_SourceData_EFN2O_Data(), Table_SourceData_Common_EFN2O[[#Headers],[Production system j]], 0)</f>
        <v>Any</v>
      </c>
    </row>
    <row r="189" spans="4:68" ht="20.100000000000001" customHeight="1" x14ac:dyDescent="0.25">
      <c r="D189" s="21" t="str" cm="1">
        <f t="array" ref="D189">Common_InputFunctions.Utility_DisplayArrayInTable(Common_SourceData.Common_SourceData_EFN2O_Data(), Table_SourceData_Common_EFN2O[[#Headers],[Production system j]], 0)</f>
        <v>Non-irrigated pasture</v>
      </c>
      <c r="E189" s="21" cm="1">
        <f t="array" ref="E189">Common_InputFunctions.Utility_DisplayArrayInTable(Common_SourceData.Common_SourceData_EFN2O_Data(), Table_SourceData_Common_EFN2O[[#Headers],[Production system j]], 0)</f>
        <v>1.8E-3</v>
      </c>
      <c r="F189" s="21" t="str" cm="1">
        <f t="array" ref="F189">Common_InputFunctions.Utility_DisplayArrayInTable(Common_SourceData.Common_SourceData_EFN2O_Data(), Table_SourceData_Common_EFN2O[[#Headers],[Production system j]], 0)</f>
        <v>Pasture</v>
      </c>
      <c r="G189" s="21" t="str" cm="1">
        <f t="array" ref="G189">Common_InputFunctions.Utility_DisplayArrayInTable(Common_SourceData.Common_SourceData_EFN2O_Data(), Table_SourceData_Common_EFN2O[[#Headers],[Production system j]], 0)</f>
        <v>Not irrigated</v>
      </c>
      <c r="H189" s="21"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1" t="str" cm="1">
        <f t="array" ref="D190">Common_InputFunctions.Utility_DisplayArrayInTable(Common_SourceData.Common_SourceData_EFN2O_Data(), Table_SourceData_Common_EFN2O[[#Headers],[Production system j]], 0)</f>
        <v>Non-irrigated pasture</v>
      </c>
      <c r="E190" s="21" cm="1">
        <f t="array" ref="E190">Common_InputFunctions.Utility_DisplayArrayInTable(Common_SourceData.Common_SourceData_EFN2O_Data(), Table_SourceData_Common_EFN2O[[#Headers],[Production system j]], 0)</f>
        <v>1.8E-3</v>
      </c>
      <c r="F190" s="21" t="str" cm="1">
        <f t="array" ref="F190">Common_InputFunctions.Utility_DisplayArrayInTable(Common_SourceData.Common_SourceData_EFN2O_Data(), Table_SourceData_Common_EFN2O[[#Headers],[Production system j]], 0)</f>
        <v>Pasture</v>
      </c>
      <c r="G190" s="21" t="str" cm="1">
        <f t="array" ref="G190">Common_InputFunctions.Utility_DisplayArrayInTable(Common_SourceData.Common_SourceData_EFN2O_Data(), Table_SourceData_Common_EFN2O[[#Headers],[Production system j]], 0)</f>
        <v>Not irrigated</v>
      </c>
      <c r="H190" s="21"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1" t="str" cm="1">
        <f t="array" ref="D191">Common_InputFunctions.Utility_DisplayArrayInTable(Common_SourceData.Common_SourceData_EFN2O_Data(), Table_SourceData_Common_EFN2O[[#Headers],[Production system j]], 0)</f>
        <v>Non-irrigated crop (low rainfall)</v>
      </c>
      <c r="E191" s="21" cm="1">
        <f t="array" ref="E191">Common_InputFunctions.Utility_DisplayArrayInTable(Common_SourceData.Common_SourceData_EFN2O_Data(), Table_SourceData_Common_EFN2O[[#Headers],[Production system j]], 0)</f>
        <v>2.8999999999999998E-3</v>
      </c>
      <c r="F191" s="21" t="str" cm="1">
        <f t="array" ref="F191">Common_InputFunctions.Utility_DisplayArrayInTable(Common_SourceData.Common_SourceData_EFN2O_Data(), Table_SourceData_Common_EFN2O[[#Headers],[Production system j]], 0)</f>
        <v>Crop</v>
      </c>
      <c r="G191" s="21" t="str" cm="1">
        <f t="array" ref="G191">Common_InputFunctions.Utility_DisplayArrayInTable(Common_SourceData.Common_SourceData_EFN2O_Data(), Table_SourceData_Common_EFN2O[[#Headers],[Production system j]], 0)</f>
        <v>Not irrigated</v>
      </c>
      <c r="H191" s="21"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1" t="str" cm="1">
        <f t="array" ref="D192">Common_InputFunctions.Utility_DisplayArrayInTable(Common_SourceData.Common_SourceData_EFN2O_Data(), Table_SourceData_Common_EFN2O[[#Headers],[Production system j]], 0)</f>
        <v>Non-irrigated crop (high rainfall)</v>
      </c>
      <c r="E192" s="21" cm="1">
        <f t="array" ref="E192">Common_InputFunctions.Utility_DisplayArrayInTable(Common_SourceData.Common_SourceData_EFN2O_Data(), Table_SourceData_Common_EFN2O[[#Headers],[Production system j]], 0)</f>
        <v>8.0000000000000002E-3</v>
      </c>
      <c r="F192" s="21" t="str" cm="1">
        <f t="array" ref="F192">Common_InputFunctions.Utility_DisplayArrayInTable(Common_SourceData.Common_SourceData_EFN2O_Data(), Table_SourceData_Common_EFN2O[[#Headers],[Production system j]], 0)</f>
        <v>Crop</v>
      </c>
      <c r="G192" s="21" t="str" cm="1">
        <f t="array" ref="G192">Common_InputFunctions.Utility_DisplayArrayInTable(Common_SourceData.Common_SourceData_EFN2O_Data(), Table_SourceData_Common_EFN2O[[#Headers],[Production system j]], 0)</f>
        <v>Not irrigated</v>
      </c>
      <c r="H192" s="21"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1" t="str" cm="1">
        <f t="array" ref="D193">Common_InputFunctions.Utility_DisplayArrayInTable(Common_SourceData.Common_SourceData_EFN2O_Data(), Table_SourceData_Common_EFN2O[[#Headers],[Production system j]], 0)</f>
        <v>Sugar</v>
      </c>
      <c r="E193" s="21" cm="1">
        <f t="array" ref="E193">Common_InputFunctions.Utility_DisplayArrayInTable(Common_SourceData.Common_SourceData_EFN2O_Data(), Table_SourceData_Common_EFN2O[[#Headers],[Production system j]], 0)</f>
        <v>1.9900000000000001E-2</v>
      </c>
      <c r="F193" s="21" t="str" cm="1">
        <f t="array" ref="F193">Common_InputFunctions.Utility_DisplayArrayInTable(Common_SourceData.Common_SourceData_EFN2O_Data(), Table_SourceData_Common_EFN2O[[#Headers],[Production system j]], 0)</f>
        <v>Sugar</v>
      </c>
      <c r="G193" s="21" t="str" cm="1">
        <f t="array" ref="G193">Common_InputFunctions.Utility_DisplayArrayInTable(Common_SourceData.Common_SourceData_EFN2O_Data(), Table_SourceData_Common_EFN2O[[#Headers],[Production system j]], 0)</f>
        <v>Any</v>
      </c>
      <c r="H193" s="21" t="str" cm="1">
        <f t="array" ref="H193">Common_InputFunctions.Utility_DisplayArrayInTable(Common_SourceData.Common_SourceData_EFN2O_Data(), Table_SourceData_Common_EFN2O[[#Headers],[Production system j]], 0)</f>
        <v>Any</v>
      </c>
    </row>
    <row r="194" spans="4:8" ht="20.100000000000001" customHeight="1" x14ac:dyDescent="0.25">
      <c r="D194" s="21" t="str" cm="1">
        <f t="array" ref="D194">Common_InputFunctions.Utility_DisplayArrayInTable(Common_SourceData.Common_SourceData_EFN2O_Data(), Table_SourceData_Common_EFN2O[[#Headers],[Production system j]], 0)</f>
        <v>Cotton</v>
      </c>
      <c r="E194" s="21" cm="1">
        <f t="array" ref="E194">Common_InputFunctions.Utility_DisplayArrayInTable(Common_SourceData.Common_SourceData_EFN2O_Data(), Table_SourceData_Common_EFN2O[[#Headers],[Production system j]], 0)</f>
        <v>5.3E-3</v>
      </c>
      <c r="F194" s="21" t="str" cm="1">
        <f t="array" ref="F194">Common_InputFunctions.Utility_DisplayArrayInTable(Common_SourceData.Common_SourceData_EFN2O_Data(), Table_SourceData_Common_EFN2O[[#Headers],[Production system j]], 0)</f>
        <v>Cotton</v>
      </c>
      <c r="G194" s="21" t="str" cm="1">
        <f t="array" ref="G194">Common_InputFunctions.Utility_DisplayArrayInTable(Common_SourceData.Common_SourceData_EFN2O_Data(), Table_SourceData_Common_EFN2O[[#Headers],[Production system j]], 0)</f>
        <v>Any</v>
      </c>
      <c r="H194" s="21" t="str" cm="1">
        <f t="array" ref="H194">Common_InputFunctions.Utility_DisplayArrayInTable(Common_SourceData.Common_SourceData_EFN2O_Data(), Table_SourceData_Common_EFN2O[[#Headers],[Production system j]], 0)</f>
        <v>Any</v>
      </c>
    </row>
    <row r="195" spans="4:8" ht="20.100000000000001" customHeight="1" x14ac:dyDescent="0.25">
      <c r="D195" s="21" t="str" cm="1">
        <f t="array" ref="D195">Common_InputFunctions.Utility_DisplayArrayInTable(Common_SourceData.Common_SourceData_EFN2O_Data(), Table_SourceData_Common_EFN2O[[#Headers],[Production system j]], 0)</f>
        <v>Horticultural crops</v>
      </c>
      <c r="E195" s="21" cm="1">
        <f t="array" ref="E195">Common_InputFunctions.Utility_DisplayArrayInTable(Common_SourceData.Common_SourceData_EFN2O_Data(), Table_SourceData_Common_EFN2O[[#Headers],[Production system j]], 0)</f>
        <v>6.4000000000000003E-3</v>
      </c>
      <c r="F195" s="21" t="str" cm="1">
        <f t="array" ref="F195">Common_InputFunctions.Utility_DisplayArrayInTable(Common_SourceData.Common_SourceData_EFN2O_Data(), Table_SourceData_Common_EFN2O[[#Headers],[Production system j]], 0)</f>
        <v>Horticultural crops</v>
      </c>
      <c r="G195" s="21" t="str" cm="1">
        <f t="array" ref="G195">Common_InputFunctions.Utility_DisplayArrayInTable(Common_SourceData.Common_SourceData_EFN2O_Data(), Table_SourceData_Common_EFN2O[[#Headers],[Production system j]], 0)</f>
        <v>Any</v>
      </c>
      <c r="H195" s="21" t="str" cm="1">
        <f t="array" ref="H195">Common_InputFunctions.Utility_DisplayArrayInTable(Common_SourceData.Common_SourceData_EFN2O_Data(), Table_SourceData_Common_EFN2O[[#Headers],[Production system j]], 0)</f>
        <v>Any</v>
      </c>
    </row>
    <row r="196" spans="4:8" ht="20.100000000000001" customHeight="1" x14ac:dyDescent="0.25">
      <c r="D196" s="21" t="str" cm="1">
        <f t="array" ref="D196">Common_InputFunctions.Utility_DisplayArrayInTable(Common_SourceData.Common_SourceData_EFN2O_Data(), Table_SourceData_Common_EFN2O[[#Headers],[Production system j]], 0)</f>
        <v>Rice (continuous flooding)</v>
      </c>
      <c r="E196" s="21" cm="1">
        <f t="array" ref="E196">Common_InputFunctions.Utility_DisplayArrayInTable(Common_SourceData.Common_SourceData_EFN2O_Data(), Table_SourceData_Common_EFN2O[[#Headers],[Production system j]], 0)</f>
        <v>3.0000000000000001E-3</v>
      </c>
      <c r="F196" s="21" t="str" cm="1">
        <f t="array" ref="F196">Common_InputFunctions.Utility_DisplayArrayInTable(Common_SourceData.Common_SourceData_EFN2O_Data(), Table_SourceData_Common_EFN2O[[#Headers],[Production system j]], 0)</f>
        <v>Rice</v>
      </c>
      <c r="G196" s="21" t="str" cm="1">
        <f t="array" ref="G196">Common_InputFunctions.Utility_DisplayArrayInTable(Common_SourceData.Common_SourceData_EFN2O_Data(), Table_SourceData_Common_EFN2O[[#Headers],[Production system j]], 0)</f>
        <v>Continuous flooding</v>
      </c>
      <c r="H196" s="21" t="str" cm="1">
        <f t="array" ref="H196">Common_InputFunctions.Utility_DisplayArrayInTable(Common_SourceData.Common_SourceData_EFN2O_Data(), Table_SourceData_Common_EFN2O[[#Headers],[Production system j]], 0)</f>
        <v>Any</v>
      </c>
    </row>
    <row r="197" spans="4:8" x14ac:dyDescent="0.25">
      <c r="D197" s="21" t="str" cm="1">
        <f t="array" ref="D197">Common_InputFunctions.Utility_DisplayArrayInTable(Common_SourceData.Common_SourceData_EFN2O_Data(), Table_SourceData_Common_EFN2O[[#Headers],[Production system j]], 0)</f>
        <v>Rice (single and multiple drainage, or alternate wetting and drying)</v>
      </c>
      <c r="E197" s="21" cm="1">
        <f t="array" ref="E197">Common_InputFunctions.Utility_DisplayArrayInTable(Common_SourceData.Common_SourceData_EFN2O_Data(), Table_SourceData_Common_EFN2O[[#Headers],[Production system j]], 0)</f>
        <v>5.0000000000000001E-3</v>
      </c>
      <c r="F197" s="21" t="str" cm="1">
        <f t="array" ref="F197">Common_InputFunctions.Utility_DisplayArrayInTable(Common_SourceData.Common_SourceData_EFN2O_Data(), Table_SourceData_Common_EFN2O[[#Headers],[Production system j]], 0)</f>
        <v>Rice</v>
      </c>
      <c r="G197" s="21" t="str" cm="1">
        <f t="array" ref="G197">Common_InputFunctions.Utility_DisplayArrayInTable(Common_SourceData.Common_SourceData_EFN2O_Data(), Table_SourceData_Common_EFN2O[[#Headers],[Production system j]], 0)</f>
        <v>Single and multiple drainage, or alternate wetting and drying</v>
      </c>
      <c r="H197" s="21" t="str" cm="1">
        <f t="array" ref="H197">Common_InputFunctions.Utility_DisplayArrayInTable(Common_SourceData.Common_SourceData_EFN2O_Data(), Table_SourceData_Common_EFN2O[[#Headers],[Production system j]], 0)</f>
        <v>Any</v>
      </c>
    </row>
    <row r="198" spans="4:8" x14ac:dyDescent="0.25">
      <c r="D198" s="21" t="str" cm="1">
        <f t="array" ref="D198">Common_InputFunctions.Utility_DisplayArrayInTable(Common_SourceData.Common_SourceData_EFN2O_Data(), Table_SourceData_Common_EFN2O[[#Headers],[Production system j]], 0)</f>
        <v>Aquaculture</v>
      </c>
      <c r="E198" s="21" cm="1">
        <f t="array" ref="E198">Common_InputFunctions.Utility_DisplayArrayInTable(Common_SourceData.Common_SourceData_EFN2O_Data(), Table_SourceData_Common_EFN2O[[#Headers],[Production system j]], 0)</f>
        <v>2.5999999999999999E-3</v>
      </c>
      <c r="F198" s="21" t="str" cm="1">
        <f t="array" ref="F198">Common_InputFunctions.Utility_DisplayArrayInTable(Common_SourceData.Common_SourceData_EFN2O_Data(), Table_SourceData_Common_EFN2O[[#Headers],[Production system j]], 0)</f>
        <v>Aquaculture</v>
      </c>
      <c r="G198" s="21" t="str" cm="1">
        <f t="array" ref="G198">Common_InputFunctions.Utility_DisplayArrayInTable(Common_SourceData.Common_SourceData_EFN2O_Data(), Table_SourceData_Common_EFN2O[[#Headers],[Production system j]], 0)</f>
        <v>Any</v>
      </c>
      <c r="H198" s="21" t="str" cm="1">
        <f t="array" ref="H198">Common_InputFunctions.Utility_DisplayArrayInTable(Common_SourceData.Common_SourceData_EFN2O_Data(), Table_SourceData_Common_EFN2O[[#Headers],[Production system j]], 0)</f>
        <v>Any</v>
      </c>
    </row>
    <row r="199" spans="4:8" x14ac:dyDescent="0.25">
      <c r="D199" s="21" t="str" cm="1">
        <f t="array" ref="D199">Common_InputFunctions.Utility_DisplayArrayInTable(Common_SourceData.Common_SourceData_EFN2O_Data(), Table_SourceData_Common_EFN2O[[#Headers],[Production system j]], 0)</f>
        <v>Forestry</v>
      </c>
      <c r="E199" s="21" cm="1">
        <f t="array" ref="E199">Common_InputFunctions.Utility_DisplayArrayInTable(Common_SourceData.Common_SourceData_EFN2O_Data(), Table_SourceData_Common_EFN2O[[#Headers],[Production system j]], 0)</f>
        <v>1.8E-3</v>
      </c>
      <c r="F199" s="21" t="str" cm="1">
        <f t="array" ref="F199">Common_InputFunctions.Utility_DisplayArrayInTable(Common_SourceData.Common_SourceData_EFN2O_Data(), Table_SourceData_Common_EFN2O[[#Headers],[Production system j]], 0)</f>
        <v>Forestry</v>
      </c>
      <c r="G199" s="21" t="str" cm="1">
        <f t="array" ref="G199">Common_InputFunctions.Utility_DisplayArrayInTable(Common_SourceData.Common_SourceData_EFN2O_Data(), Table_SourceData_Common_EFN2O[[#Headers],[Production system j]], 0)</f>
        <v>Any</v>
      </c>
      <c r="H199" s="21"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18" t="str" cm="1">
        <f t="array" ref="D203">Common_SourceData.Common_SourceData_EFPastureRangeAndPaddock_Source()</f>
        <v>VEERG 2026: Table A.2.2.2</v>
      </c>
    </row>
    <row r="204" spans="4:8" x14ac:dyDescent="0.25">
      <c r="D204" s="27" t="str" cm="1">
        <f t="array" ref="D204">Common_SourceData.Common_SourceData_EFPastureRangeAndPaddock_Variation()</f>
        <v>VARIATION FROM SOURCE DATA: Changed 'Dry climate zones' to singular 'Dry climate zone' to aid lookup.</v>
      </c>
    </row>
    <row r="205" spans="4:8" x14ac:dyDescent="0.25">
      <c r="D205" s="10" t="str" cm="1">
        <f t="array" ref="D205">Common_SourceData.Common_SourceData_EFPastureRangeAndPaddock_Unit()</f>
        <v>kg N2O - N / kg N</v>
      </c>
    </row>
    <row r="206" spans="4:8" x14ac:dyDescent="0.25">
      <c r="D206" s="21" t="s">
        <v>32</v>
      </c>
      <c r="E206" s="21" t="s">
        <v>66</v>
      </c>
    </row>
    <row r="207" spans="4:8" x14ac:dyDescent="0.25">
      <c r="D207" s="21" t="str" cm="1">
        <f t="array" ref="D207">Common_InputFunctions.Utility_DisplayArrayInTable(Common_SourceData.Common_SourceData_EFPastureRangeAndPaddock_Data(), Table_SourceData_EFPastureRangeAndPaddock[[#Headers],[Climate zone]], 0)</f>
        <v>Wet climate zone</v>
      </c>
      <c r="E207" s="21"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1"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1" t="s">
        <v>67</v>
      </c>
      <c r="E212" s="21" t="s">
        <v>68</v>
      </c>
    </row>
    <row r="213" spans="4:5" x14ac:dyDescent="0.25">
      <c r="D213" s="21" t="str" cm="1">
        <f t="array" ref="D213">Common_InputFunctions.Utility_DisplayArrayInTable(Common_SourceData.Common_SourceData_MonthsToSeasons_Data(), Table_SourceData_Common_MonthToSeason[[#Headers],[Month]], 0)</f>
        <v>January</v>
      </c>
      <c r="E213" s="21"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1"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1"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1"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1"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1"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1"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1"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1"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1"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1"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1"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18" t="str" cm="1">
        <f t="array" ref="D228">Common_SourceData.Common_SourceData_MCFTemperatureZone_Source()</f>
        <v>VEERG 2026: Table A.1.8.1</v>
      </c>
    </row>
    <row r="229" spans="4:19" x14ac:dyDescent="0.25">
      <c r="D229" s="27"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1" t="s">
        <v>69</v>
      </c>
      <c r="E231" s="21" t="s">
        <v>70</v>
      </c>
      <c r="F231" s="28" t="s">
        <v>71</v>
      </c>
      <c r="G231" s="21" t="s">
        <v>72</v>
      </c>
      <c r="H231" s="21" t="s">
        <v>73</v>
      </c>
      <c r="I231" s="21" t="s">
        <v>74</v>
      </c>
      <c r="J231" s="21" t="s">
        <v>75</v>
      </c>
      <c r="K231" s="21" t="s">
        <v>76</v>
      </c>
      <c r="L231" s="21" t="s">
        <v>77</v>
      </c>
      <c r="M231" s="21" t="s">
        <v>78</v>
      </c>
      <c r="N231" s="21" t="s">
        <v>79</v>
      </c>
      <c r="O231" s="21" t="s">
        <v>80</v>
      </c>
      <c r="P231" s="21" t="s">
        <v>81</v>
      </c>
      <c r="Q231" s="21" t="s">
        <v>82</v>
      </c>
      <c r="R231" s="21" t="s">
        <v>83</v>
      </c>
      <c r="S231" s="21" t="s">
        <v>84</v>
      </c>
    </row>
    <row r="232" spans="4:19" x14ac:dyDescent="0.25">
      <c r="D232" s="21" t="str" cm="1">
        <f t="array" ref="D232">Common_InputFunctions.Utility_DisplayArrayInTable(Common_SourceData.Common_SourceData_MCFTemperatureZone_Data(),Table_SourceData_Common_MCFTemperatureZone[[#Headers],[Temperature zone]],0)</f>
        <v>Cool</v>
      </c>
      <c r="E232" s="21" t="str" cm="1">
        <f t="array" ref="E232">Common_InputFunctions.Utility_DisplayArrayInTable(Common_SourceData.Common_SourceData_MCFTemperatureZone_Data(),Table_SourceData_Common_MCFTemperatureZone[[#Headers],[Temperature zone]],0)</f>
        <v>≤10</v>
      </c>
      <c r="F232" s="21" cm="1">
        <f t="array" ref="F232">Common_InputFunctions.Utility_DisplayArrayInTable(Common_SourceData.Common_SourceData_MCFTemperatureZone_Data(),Table_SourceData_Common_MCFTemperatureZone[[#Headers],[Temperature zone]],0)</f>
        <v>0.66</v>
      </c>
      <c r="G232" s="21" cm="1">
        <f t="array" ref="G232">Common_InputFunctions.Utility_DisplayArrayInTable(Common_SourceData.Common_SourceData_MCFTemperatureZone_Data(),Table_SourceData_Common_MCFTemperatureZone[[#Headers],[Temperature zone]],0)</f>
        <v>0.1</v>
      </c>
      <c r="H232" s="21" cm="1">
        <f t="array" ref="H232">Common_InputFunctions.Utility_DisplayArrayInTable(Common_SourceData.Common_SourceData_MCFTemperatureZone_Data(),Table_SourceData_Common_MCFTemperatureZone[[#Headers],[Temperature zone]],0)</f>
        <v>0.1</v>
      </c>
      <c r="I232" s="21" cm="1">
        <f t="array" ref="I232">Common_InputFunctions.Utility_DisplayArrayInTable(Common_SourceData.Common_SourceData_MCFTemperatureZone_Data(),Table_SourceData_Common_MCFTemperatureZone[[#Headers],[Temperature zone]],0)</f>
        <v>1E-3</v>
      </c>
      <c r="J232" s="21" cm="1">
        <f t="array" ref="J232">Common_InputFunctions.Utility_DisplayArrayInTable(Common_SourceData.Common_SourceData_MCFTemperatureZone_Data(),Table_SourceData_Common_MCFTemperatureZone[[#Headers],[Temperature zone]],0)</f>
        <v>5.0000000000000001E-3</v>
      </c>
      <c r="K232" s="21" cm="1">
        <f t="array" ref="K232">Common_InputFunctions.Utility_DisplayArrayInTable(Common_SourceData.Common_SourceData_MCFTemperatureZone_Data(),Table_SourceData_Common_MCFTemperatureZone[[#Headers],[Temperature zone]],0)</f>
        <v>0.02</v>
      </c>
      <c r="L232" s="21" cm="1">
        <f t="array" ref="L232">Common_InputFunctions.Utility_DisplayArrayInTable(Common_SourceData.Common_SourceData_MCFTemperatureZone_Data(),Table_SourceData_Common_MCFTemperatureZone[[#Headers],[Temperature zone]],0)</f>
        <v>0.03</v>
      </c>
      <c r="M232" s="21" cm="1">
        <f t="array" ref="M232">Common_InputFunctions.Utility_DisplayArrayInTable(Common_SourceData.Common_SourceData_MCFTemperatureZone_Data(),Table_SourceData_Common_MCFTemperatureZone[[#Headers],[Temperature zone]],0)</f>
        <v>0.04</v>
      </c>
      <c r="N232" s="21" cm="1">
        <f t="array" ref="N232">Common_InputFunctions.Utility_DisplayArrayInTable(Common_SourceData.Common_SourceData_MCFTemperatureZone_Data(),Table_SourceData_Common_MCFTemperatureZone[[#Headers],[Temperature zone]],0)</f>
        <v>1.4999999999999999E-2</v>
      </c>
      <c r="O232" s="21" cm="1">
        <f t="array" ref="O232">Common_InputFunctions.Utility_DisplayArrayInTable(Common_SourceData.Common_SourceData_MCFTemperatureZone_Data(),Table_SourceData_Common_MCFTemperatureZone[[#Headers],[Temperature zone]],0)</f>
        <v>1.4999999999999999E-2</v>
      </c>
      <c r="P232" s="21" cm="1">
        <f t="array" ref="P232">Common_InputFunctions.Utility_DisplayArrayInTable(Common_SourceData.Common_SourceData_MCFTemperatureZone_Data(),Table_SourceData_Common_MCFTemperatureZone[[#Headers],[Temperature zone]],0)</f>
        <v>0</v>
      </c>
      <c r="Q232" s="21" cm="1">
        <f t="array" ref="Q232">Common_InputFunctions.Utility_DisplayArrayInTable(Common_SourceData.Common_SourceData_MCFTemperatureZone_Data(),Table_SourceData_Common_MCFTemperatureZone[[#Headers],[Temperature zone]],0)</f>
        <v>0</v>
      </c>
      <c r="R232" s="21" cm="1">
        <f t="array" ref="R232">Common_InputFunctions.Utility_DisplayArrayInTable(Common_SourceData.Common_SourceData_MCFTemperatureZone_Data(),Table_SourceData_Common_MCFTemperatureZone[[#Headers],[Temperature zone]],0)</f>
        <v>4.7000000000000002E-3</v>
      </c>
      <c r="S232" s="21"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1" cm="1">
        <f t="array" ref="E233">Common_InputFunctions.Utility_DisplayArrayInTable(Common_SourceData.Common_SourceData_MCFTemperatureZone_Data(),Table_SourceData_Common_MCFTemperatureZone[[#Headers],[Temperature zone]],0)</f>
        <v>11</v>
      </c>
      <c r="F233" s="21" cm="1">
        <f t="array" ref="F233">Common_InputFunctions.Utility_DisplayArrayInTable(Common_SourceData.Common_SourceData_MCFTemperatureZone_Data(),Table_SourceData_Common_MCFTemperatureZone[[#Headers],[Temperature zone]],0)</f>
        <v>0.68</v>
      </c>
      <c r="G233" s="21" cm="1">
        <f t="array" ref="G233">Common_InputFunctions.Utility_DisplayArrayInTable(Common_SourceData.Common_SourceData_MCFTemperatureZone_Data(),Table_SourceData_Common_MCFTemperatureZone[[#Headers],[Temperature zone]],0)</f>
        <v>0.1</v>
      </c>
      <c r="H233" s="21" cm="1">
        <f t="array" ref="H233">Common_InputFunctions.Utility_DisplayArrayInTable(Common_SourceData.Common_SourceData_MCFTemperatureZone_Data(),Table_SourceData_Common_MCFTemperatureZone[[#Headers],[Temperature zone]],0)</f>
        <v>0.11</v>
      </c>
      <c r="I233" s="21" cm="1">
        <f t="array" ref="I233">Common_InputFunctions.Utility_DisplayArrayInTable(Common_SourceData.Common_SourceData_MCFTemperatureZone_Data(),Table_SourceData_Common_MCFTemperatureZone[[#Headers],[Temperature zone]],0)</f>
        <v>1E-3</v>
      </c>
      <c r="J233" s="21" cm="1">
        <f t="array" ref="J233">Common_InputFunctions.Utility_DisplayArrayInTable(Common_SourceData.Common_SourceData_MCFTemperatureZone_Data(),Table_SourceData_Common_MCFTemperatureZone[[#Headers],[Temperature zone]],0)</f>
        <v>5.0000000000000001E-3</v>
      </c>
      <c r="K233" s="21" cm="1">
        <f t="array" ref="K233">Common_InputFunctions.Utility_DisplayArrayInTable(Common_SourceData.Common_SourceData_MCFTemperatureZone_Data(),Table_SourceData_Common_MCFTemperatureZone[[#Headers],[Temperature zone]],0)</f>
        <v>0.02</v>
      </c>
      <c r="L233" s="21" cm="1">
        <f t="array" ref="L233">Common_InputFunctions.Utility_DisplayArrayInTable(Common_SourceData.Common_SourceData_MCFTemperatureZone_Data(),Table_SourceData_Common_MCFTemperatureZone[[#Headers],[Temperature zone]],0)</f>
        <v>0.03</v>
      </c>
      <c r="M233" s="21" cm="1">
        <f t="array" ref="M233">Common_InputFunctions.Utility_DisplayArrayInTable(Common_SourceData.Common_SourceData_MCFTemperatureZone_Data(),Table_SourceData_Common_MCFTemperatureZone[[#Headers],[Temperature zone]],0)</f>
        <v>0.04</v>
      </c>
      <c r="N233" s="21" cm="1">
        <f t="array" ref="N233">Common_InputFunctions.Utility_DisplayArrayInTable(Common_SourceData.Common_SourceData_MCFTemperatureZone_Data(),Table_SourceData_Common_MCFTemperatureZone[[#Headers],[Temperature zone]],0)</f>
        <v>1.4999999999999999E-2</v>
      </c>
      <c r="O233" s="21" cm="1">
        <f t="array" ref="O233">Common_InputFunctions.Utility_DisplayArrayInTable(Common_SourceData.Common_SourceData_MCFTemperatureZone_Data(),Table_SourceData_Common_MCFTemperatureZone[[#Headers],[Temperature zone]],0)</f>
        <v>1.4999999999999999E-2</v>
      </c>
      <c r="P233" s="21" cm="1">
        <f t="array" ref="P233">Common_InputFunctions.Utility_DisplayArrayInTable(Common_SourceData.Common_SourceData_MCFTemperatureZone_Data(),Table_SourceData_Common_MCFTemperatureZone[[#Headers],[Temperature zone]],0)</f>
        <v>0</v>
      </c>
      <c r="Q233" s="21" cm="1">
        <f t="array" ref="Q233">Common_InputFunctions.Utility_DisplayArrayInTable(Common_SourceData.Common_SourceData_MCFTemperatureZone_Data(),Table_SourceData_Common_MCFTemperatureZone[[#Headers],[Temperature zone]],0)</f>
        <v>0</v>
      </c>
      <c r="R233" s="21" cm="1">
        <f t="array" ref="R233">Common_InputFunctions.Utility_DisplayArrayInTable(Common_SourceData.Common_SourceData_MCFTemperatureZone_Data(),Table_SourceData_Common_MCFTemperatureZone[[#Headers],[Temperature zone]],0)</f>
        <v>4.7000000000000002E-3</v>
      </c>
      <c r="S233" s="21"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1" cm="1">
        <f t="array" ref="E234">Common_InputFunctions.Utility_DisplayArrayInTable(Common_SourceData.Common_SourceData_MCFTemperatureZone_Data(),Table_SourceData_Common_MCFTemperatureZone[[#Headers],[Temperature zone]],0)</f>
        <v>12</v>
      </c>
      <c r="F234" s="21" cm="1">
        <f t="array" ref="F234">Common_InputFunctions.Utility_DisplayArrayInTable(Common_SourceData.Common_SourceData_MCFTemperatureZone_Data(),Table_SourceData_Common_MCFTemperatureZone[[#Headers],[Temperature zone]],0)</f>
        <v>0.7</v>
      </c>
      <c r="G234" s="21" cm="1">
        <f t="array" ref="G234">Common_InputFunctions.Utility_DisplayArrayInTable(Common_SourceData.Common_SourceData_MCFTemperatureZone_Data(),Table_SourceData_Common_MCFTemperatureZone[[#Headers],[Temperature zone]],0)</f>
        <v>0.1</v>
      </c>
      <c r="H234" s="21" cm="1">
        <f t="array" ref="H234">Common_InputFunctions.Utility_DisplayArrayInTable(Common_SourceData.Common_SourceData_MCFTemperatureZone_Data(),Table_SourceData_Common_MCFTemperatureZone[[#Headers],[Temperature zone]],0)</f>
        <v>0.13</v>
      </c>
      <c r="I234" s="21" cm="1">
        <f t="array" ref="I234">Common_InputFunctions.Utility_DisplayArrayInTable(Common_SourceData.Common_SourceData_MCFTemperatureZone_Data(),Table_SourceData_Common_MCFTemperatureZone[[#Headers],[Temperature zone]],0)</f>
        <v>1E-3</v>
      </c>
      <c r="J234" s="21" cm="1">
        <f t="array" ref="J234">Common_InputFunctions.Utility_DisplayArrayInTable(Common_SourceData.Common_SourceData_MCFTemperatureZone_Data(),Table_SourceData_Common_MCFTemperatureZone[[#Headers],[Temperature zone]],0)</f>
        <v>5.0000000000000001E-3</v>
      </c>
      <c r="K234" s="21" cm="1">
        <f t="array" ref="K234">Common_InputFunctions.Utility_DisplayArrayInTable(Common_SourceData.Common_SourceData_MCFTemperatureZone_Data(),Table_SourceData_Common_MCFTemperatureZone[[#Headers],[Temperature zone]],0)</f>
        <v>0.02</v>
      </c>
      <c r="L234" s="21" cm="1">
        <f t="array" ref="L234">Common_InputFunctions.Utility_DisplayArrayInTable(Common_SourceData.Common_SourceData_MCFTemperatureZone_Data(),Table_SourceData_Common_MCFTemperatureZone[[#Headers],[Temperature zone]],0)</f>
        <v>0.03</v>
      </c>
      <c r="M234" s="21" cm="1">
        <f t="array" ref="M234">Common_InputFunctions.Utility_DisplayArrayInTable(Common_SourceData.Common_SourceData_MCFTemperatureZone_Data(),Table_SourceData_Common_MCFTemperatureZone[[#Headers],[Temperature zone]],0)</f>
        <v>0.04</v>
      </c>
      <c r="N234" s="21" cm="1">
        <f t="array" ref="N234">Common_InputFunctions.Utility_DisplayArrayInTable(Common_SourceData.Common_SourceData_MCFTemperatureZone_Data(),Table_SourceData_Common_MCFTemperatureZone[[#Headers],[Temperature zone]],0)</f>
        <v>1.4999999999999999E-2</v>
      </c>
      <c r="O234" s="21" cm="1">
        <f t="array" ref="O234">Common_InputFunctions.Utility_DisplayArrayInTable(Common_SourceData.Common_SourceData_MCFTemperatureZone_Data(),Table_SourceData_Common_MCFTemperatureZone[[#Headers],[Temperature zone]],0)</f>
        <v>1.4999999999999999E-2</v>
      </c>
      <c r="P234" s="21" cm="1">
        <f t="array" ref="P234">Common_InputFunctions.Utility_DisplayArrayInTable(Common_SourceData.Common_SourceData_MCFTemperatureZone_Data(),Table_SourceData_Common_MCFTemperatureZone[[#Headers],[Temperature zone]],0)</f>
        <v>0</v>
      </c>
      <c r="Q234" s="21" cm="1">
        <f t="array" ref="Q234">Common_InputFunctions.Utility_DisplayArrayInTable(Common_SourceData.Common_SourceData_MCFTemperatureZone_Data(),Table_SourceData_Common_MCFTemperatureZone[[#Headers],[Temperature zone]],0)</f>
        <v>0</v>
      </c>
      <c r="R234" s="21" cm="1">
        <f t="array" ref="R234">Common_InputFunctions.Utility_DisplayArrayInTable(Common_SourceData.Common_SourceData_MCFTemperatureZone_Data(),Table_SourceData_Common_MCFTemperatureZone[[#Headers],[Temperature zone]],0)</f>
        <v>4.7000000000000002E-3</v>
      </c>
      <c r="S234" s="21"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1" cm="1">
        <f t="array" ref="E235">Common_InputFunctions.Utility_DisplayArrayInTable(Common_SourceData.Common_SourceData_MCFTemperatureZone_Data(),Table_SourceData_Common_MCFTemperatureZone[[#Headers],[Temperature zone]],0)</f>
        <v>13</v>
      </c>
      <c r="F235" s="21" cm="1">
        <f t="array" ref="F235">Common_InputFunctions.Utility_DisplayArrayInTable(Common_SourceData.Common_SourceData_MCFTemperatureZone_Data(),Table_SourceData_Common_MCFTemperatureZone[[#Headers],[Temperature zone]],0)</f>
        <v>0.71</v>
      </c>
      <c r="G235" s="21" cm="1">
        <f t="array" ref="G235">Common_InputFunctions.Utility_DisplayArrayInTable(Common_SourceData.Common_SourceData_MCFTemperatureZone_Data(),Table_SourceData_Common_MCFTemperatureZone[[#Headers],[Temperature zone]],0)</f>
        <v>0.1</v>
      </c>
      <c r="H235" s="21" cm="1">
        <f t="array" ref="H235">Common_InputFunctions.Utility_DisplayArrayInTable(Common_SourceData.Common_SourceData_MCFTemperatureZone_Data(),Table_SourceData_Common_MCFTemperatureZone[[#Headers],[Temperature zone]],0)</f>
        <v>0.14000000000000001</v>
      </c>
      <c r="I235" s="21" cm="1">
        <f t="array" ref="I235">Common_InputFunctions.Utility_DisplayArrayInTable(Common_SourceData.Common_SourceData_MCFTemperatureZone_Data(),Table_SourceData_Common_MCFTemperatureZone[[#Headers],[Temperature zone]],0)</f>
        <v>1E-3</v>
      </c>
      <c r="J235" s="21" cm="1">
        <f t="array" ref="J235">Common_InputFunctions.Utility_DisplayArrayInTable(Common_SourceData.Common_SourceData_MCFTemperatureZone_Data(),Table_SourceData_Common_MCFTemperatureZone[[#Headers],[Temperature zone]],0)</f>
        <v>5.0000000000000001E-3</v>
      </c>
      <c r="K235" s="21" cm="1">
        <f t="array" ref="K235">Common_InputFunctions.Utility_DisplayArrayInTable(Common_SourceData.Common_SourceData_MCFTemperatureZone_Data(),Table_SourceData_Common_MCFTemperatureZone[[#Headers],[Temperature zone]],0)</f>
        <v>0.02</v>
      </c>
      <c r="L235" s="21" cm="1">
        <f t="array" ref="L235">Common_InputFunctions.Utility_DisplayArrayInTable(Common_SourceData.Common_SourceData_MCFTemperatureZone_Data(),Table_SourceData_Common_MCFTemperatureZone[[#Headers],[Temperature zone]],0)</f>
        <v>0.03</v>
      </c>
      <c r="M235" s="21" cm="1">
        <f t="array" ref="M235">Common_InputFunctions.Utility_DisplayArrayInTable(Common_SourceData.Common_SourceData_MCFTemperatureZone_Data(),Table_SourceData_Common_MCFTemperatureZone[[#Headers],[Temperature zone]],0)</f>
        <v>0.04</v>
      </c>
      <c r="N235" s="21" cm="1">
        <f t="array" ref="N235">Common_InputFunctions.Utility_DisplayArrayInTable(Common_SourceData.Common_SourceData_MCFTemperatureZone_Data(),Table_SourceData_Common_MCFTemperatureZone[[#Headers],[Temperature zone]],0)</f>
        <v>1.4999999999999999E-2</v>
      </c>
      <c r="O235" s="21" cm="1">
        <f t="array" ref="O235">Common_InputFunctions.Utility_DisplayArrayInTable(Common_SourceData.Common_SourceData_MCFTemperatureZone_Data(),Table_SourceData_Common_MCFTemperatureZone[[#Headers],[Temperature zone]],0)</f>
        <v>1.4999999999999999E-2</v>
      </c>
      <c r="P235" s="21" cm="1">
        <f t="array" ref="P235">Common_InputFunctions.Utility_DisplayArrayInTable(Common_SourceData.Common_SourceData_MCFTemperatureZone_Data(),Table_SourceData_Common_MCFTemperatureZone[[#Headers],[Temperature zone]],0)</f>
        <v>0</v>
      </c>
      <c r="Q235" s="21" cm="1">
        <f t="array" ref="Q235">Common_InputFunctions.Utility_DisplayArrayInTable(Common_SourceData.Common_SourceData_MCFTemperatureZone_Data(),Table_SourceData_Common_MCFTemperatureZone[[#Headers],[Temperature zone]],0)</f>
        <v>0</v>
      </c>
      <c r="R235" s="21" cm="1">
        <f t="array" ref="R235">Common_InputFunctions.Utility_DisplayArrayInTable(Common_SourceData.Common_SourceData_MCFTemperatureZone_Data(),Table_SourceData_Common_MCFTemperatureZone[[#Headers],[Temperature zone]],0)</f>
        <v>4.7000000000000002E-3</v>
      </c>
      <c r="S235" s="21"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1" cm="1">
        <f t="array" ref="E236">Common_InputFunctions.Utility_DisplayArrayInTable(Common_SourceData.Common_SourceData_MCFTemperatureZone_Data(),Table_SourceData_Common_MCFTemperatureZone[[#Headers],[Temperature zone]],0)</f>
        <v>14</v>
      </c>
      <c r="F236" s="21" cm="1">
        <f t="array" ref="F236">Common_InputFunctions.Utility_DisplayArrayInTable(Common_SourceData.Common_SourceData_MCFTemperatureZone_Data(),Table_SourceData_Common_MCFTemperatureZone[[#Headers],[Temperature zone]],0)</f>
        <v>0.73</v>
      </c>
      <c r="G236" s="21" cm="1">
        <f t="array" ref="G236">Common_InputFunctions.Utility_DisplayArrayInTable(Common_SourceData.Common_SourceData_MCFTemperatureZone_Data(),Table_SourceData_Common_MCFTemperatureZone[[#Headers],[Temperature zone]],0)</f>
        <v>0.1</v>
      </c>
      <c r="H236" s="21" cm="1">
        <f t="array" ref="H236">Common_InputFunctions.Utility_DisplayArrayInTable(Common_SourceData.Common_SourceData_MCFTemperatureZone_Data(),Table_SourceData_Common_MCFTemperatureZone[[#Headers],[Temperature zone]],0)</f>
        <v>0.15</v>
      </c>
      <c r="I236" s="21" cm="1">
        <f t="array" ref="I236">Common_InputFunctions.Utility_DisplayArrayInTable(Common_SourceData.Common_SourceData_MCFTemperatureZone_Data(),Table_SourceData_Common_MCFTemperatureZone[[#Headers],[Temperature zone]],0)</f>
        <v>1E-3</v>
      </c>
      <c r="J236" s="21" cm="1">
        <f t="array" ref="J236">Common_InputFunctions.Utility_DisplayArrayInTable(Common_SourceData.Common_SourceData_MCFTemperatureZone_Data(),Table_SourceData_Common_MCFTemperatureZone[[#Headers],[Temperature zone]],0)</f>
        <v>5.0000000000000001E-3</v>
      </c>
      <c r="K236" s="21" cm="1">
        <f t="array" ref="K236">Common_InputFunctions.Utility_DisplayArrayInTable(Common_SourceData.Common_SourceData_MCFTemperatureZone_Data(),Table_SourceData_Common_MCFTemperatureZone[[#Headers],[Temperature zone]],0)</f>
        <v>0.02</v>
      </c>
      <c r="L236" s="21" cm="1">
        <f t="array" ref="L236">Common_InputFunctions.Utility_DisplayArrayInTable(Common_SourceData.Common_SourceData_MCFTemperatureZone_Data(),Table_SourceData_Common_MCFTemperatureZone[[#Headers],[Temperature zone]],0)</f>
        <v>0.03</v>
      </c>
      <c r="M236" s="21" cm="1">
        <f t="array" ref="M236">Common_InputFunctions.Utility_DisplayArrayInTable(Common_SourceData.Common_SourceData_MCFTemperatureZone_Data(),Table_SourceData_Common_MCFTemperatureZone[[#Headers],[Temperature zone]],0)</f>
        <v>0.04</v>
      </c>
      <c r="N236" s="21" cm="1">
        <f t="array" ref="N236">Common_InputFunctions.Utility_DisplayArrayInTable(Common_SourceData.Common_SourceData_MCFTemperatureZone_Data(),Table_SourceData_Common_MCFTemperatureZone[[#Headers],[Temperature zone]],0)</f>
        <v>1.4999999999999999E-2</v>
      </c>
      <c r="O236" s="21" cm="1">
        <f t="array" ref="O236">Common_InputFunctions.Utility_DisplayArrayInTable(Common_SourceData.Common_SourceData_MCFTemperatureZone_Data(),Table_SourceData_Common_MCFTemperatureZone[[#Headers],[Temperature zone]],0)</f>
        <v>1.4999999999999999E-2</v>
      </c>
      <c r="P236" s="21" cm="1">
        <f t="array" ref="P236">Common_InputFunctions.Utility_DisplayArrayInTable(Common_SourceData.Common_SourceData_MCFTemperatureZone_Data(),Table_SourceData_Common_MCFTemperatureZone[[#Headers],[Temperature zone]],0)</f>
        <v>0</v>
      </c>
      <c r="Q236" s="21" cm="1">
        <f t="array" ref="Q236">Common_InputFunctions.Utility_DisplayArrayInTable(Common_SourceData.Common_SourceData_MCFTemperatureZone_Data(),Table_SourceData_Common_MCFTemperatureZone[[#Headers],[Temperature zone]],0)</f>
        <v>0</v>
      </c>
      <c r="R236" s="21" cm="1">
        <f t="array" ref="R236">Common_InputFunctions.Utility_DisplayArrayInTable(Common_SourceData.Common_SourceData_MCFTemperatureZone_Data(),Table_SourceData_Common_MCFTemperatureZone[[#Headers],[Temperature zone]],0)</f>
        <v>4.7000000000000002E-3</v>
      </c>
      <c r="S236" s="21"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1" cm="1">
        <f t="array" ref="E237">Common_InputFunctions.Utility_DisplayArrayInTable(Common_SourceData.Common_SourceData_MCFTemperatureZone_Data(),Table_SourceData_Common_MCFTemperatureZone[[#Headers],[Temperature zone]],0)</f>
        <v>15</v>
      </c>
      <c r="F237" s="21" cm="1">
        <f t="array" ref="F237">Common_InputFunctions.Utility_DisplayArrayInTable(Common_SourceData.Common_SourceData_MCFTemperatureZone_Data(),Table_SourceData_Common_MCFTemperatureZone[[#Headers],[Temperature zone]],0)</f>
        <v>0.74</v>
      </c>
      <c r="G237" s="21" cm="1">
        <f t="array" ref="G237">Common_InputFunctions.Utility_DisplayArrayInTable(Common_SourceData.Common_SourceData_MCFTemperatureZone_Data(),Table_SourceData_Common_MCFTemperatureZone[[#Headers],[Temperature zone]],0)</f>
        <v>0.1</v>
      </c>
      <c r="H237" s="21" cm="1">
        <f t="array" ref="H237">Common_InputFunctions.Utility_DisplayArrayInTable(Common_SourceData.Common_SourceData_MCFTemperatureZone_Data(),Table_SourceData_Common_MCFTemperatureZone[[#Headers],[Temperature zone]],0)</f>
        <v>0.17</v>
      </c>
      <c r="I237" s="21" cm="1">
        <f t="array" ref="I237">Common_InputFunctions.Utility_DisplayArrayInTable(Common_SourceData.Common_SourceData_MCFTemperatureZone_Data(),Table_SourceData_Common_MCFTemperatureZone[[#Headers],[Temperature zone]],0)</f>
        <v>5.0000000000000001E-3</v>
      </c>
      <c r="J237" s="21" cm="1">
        <f t="array" ref="J237">Common_InputFunctions.Utility_DisplayArrayInTable(Common_SourceData.Common_SourceData_MCFTemperatureZone_Data(),Table_SourceData_Common_MCFTemperatureZone[[#Headers],[Temperature zone]],0)</f>
        <v>0.01</v>
      </c>
      <c r="K237" s="21" cm="1">
        <f t="array" ref="K237">Common_InputFunctions.Utility_DisplayArrayInTable(Common_SourceData.Common_SourceData_MCFTemperatureZone_Data(),Table_SourceData_Common_MCFTemperatureZone[[#Headers],[Temperature zone]],0)</f>
        <v>0.02</v>
      </c>
      <c r="L237" s="21" cm="1">
        <f t="array" ref="L237">Common_InputFunctions.Utility_DisplayArrayInTable(Common_SourceData.Common_SourceData_MCFTemperatureZone_Data(),Table_SourceData_Common_MCFTemperatureZone[[#Headers],[Temperature zone]],0)</f>
        <v>0.03</v>
      </c>
      <c r="M237" s="21" cm="1">
        <f t="array" ref="M237">Common_InputFunctions.Utility_DisplayArrayInTable(Common_SourceData.Common_SourceData_MCFTemperatureZone_Data(),Table_SourceData_Common_MCFTemperatureZone[[#Headers],[Temperature zone]],0)</f>
        <v>0.04</v>
      </c>
      <c r="N237" s="21" cm="1">
        <f t="array" ref="N237">Common_InputFunctions.Utility_DisplayArrayInTable(Common_SourceData.Common_SourceData_MCFTemperatureZone_Data(),Table_SourceData_Common_MCFTemperatureZone[[#Headers],[Temperature zone]],0)</f>
        <v>1.4999999999999999E-2</v>
      </c>
      <c r="O237" s="21" cm="1">
        <f t="array" ref="O237">Common_InputFunctions.Utility_DisplayArrayInTable(Common_SourceData.Common_SourceData_MCFTemperatureZone_Data(),Table_SourceData_Common_MCFTemperatureZone[[#Headers],[Temperature zone]],0)</f>
        <v>1.4999999999999999E-2</v>
      </c>
      <c r="P237" s="21" cm="1">
        <f t="array" ref="P237">Common_InputFunctions.Utility_DisplayArrayInTable(Common_SourceData.Common_SourceData_MCFTemperatureZone_Data(),Table_SourceData_Common_MCFTemperatureZone[[#Headers],[Temperature zone]],0)</f>
        <v>0</v>
      </c>
      <c r="Q237" s="21" cm="1">
        <f t="array" ref="Q237">Common_InputFunctions.Utility_DisplayArrayInTable(Common_SourceData.Common_SourceData_MCFTemperatureZone_Data(),Table_SourceData_Common_MCFTemperatureZone[[#Headers],[Temperature zone]],0)</f>
        <v>0</v>
      </c>
      <c r="R237" s="21" cm="1">
        <f t="array" ref="R237">Common_InputFunctions.Utility_DisplayArrayInTable(Common_SourceData.Common_SourceData_MCFTemperatureZone_Data(),Table_SourceData_Common_MCFTemperatureZone[[#Headers],[Temperature zone]],0)</f>
        <v>4.7000000000000002E-3</v>
      </c>
      <c r="S237" s="21"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1" cm="1">
        <f t="array" ref="E238">Common_InputFunctions.Utility_DisplayArrayInTable(Common_SourceData.Common_SourceData_MCFTemperatureZone_Data(),Table_SourceData_Common_MCFTemperatureZone[[#Headers],[Temperature zone]],0)</f>
        <v>16</v>
      </c>
      <c r="F238" s="21" cm="1">
        <f t="array" ref="F238">Common_InputFunctions.Utility_DisplayArrayInTable(Common_SourceData.Common_SourceData_MCFTemperatureZone_Data(),Table_SourceData_Common_MCFTemperatureZone[[#Headers],[Temperature zone]],0)</f>
        <v>0.75</v>
      </c>
      <c r="G238" s="21" cm="1">
        <f t="array" ref="G238">Common_InputFunctions.Utility_DisplayArrayInTable(Common_SourceData.Common_SourceData_MCFTemperatureZone_Data(),Table_SourceData_Common_MCFTemperatureZone[[#Headers],[Temperature zone]],0)</f>
        <v>0.1</v>
      </c>
      <c r="H238" s="21" cm="1">
        <f t="array" ref="H238">Common_InputFunctions.Utility_DisplayArrayInTable(Common_SourceData.Common_SourceData_MCFTemperatureZone_Data(),Table_SourceData_Common_MCFTemperatureZone[[#Headers],[Temperature zone]],0)</f>
        <v>0.18</v>
      </c>
      <c r="I238" s="21" cm="1">
        <f t="array" ref="I238">Common_InputFunctions.Utility_DisplayArrayInTable(Common_SourceData.Common_SourceData_MCFTemperatureZone_Data(),Table_SourceData_Common_MCFTemperatureZone[[#Headers],[Temperature zone]],0)</f>
        <v>5.0000000000000001E-3</v>
      </c>
      <c r="J238" s="21" cm="1">
        <f t="array" ref="J238">Common_InputFunctions.Utility_DisplayArrayInTable(Common_SourceData.Common_SourceData_MCFTemperatureZone_Data(),Table_SourceData_Common_MCFTemperatureZone[[#Headers],[Temperature zone]],0)</f>
        <v>0.01</v>
      </c>
      <c r="K238" s="21" cm="1">
        <f t="array" ref="K238">Common_InputFunctions.Utility_DisplayArrayInTable(Common_SourceData.Common_SourceData_MCFTemperatureZone_Data(),Table_SourceData_Common_MCFTemperatureZone[[#Headers],[Temperature zone]],0)</f>
        <v>0.02</v>
      </c>
      <c r="L238" s="21" cm="1">
        <f t="array" ref="L238">Common_InputFunctions.Utility_DisplayArrayInTable(Common_SourceData.Common_SourceData_MCFTemperatureZone_Data(),Table_SourceData_Common_MCFTemperatureZone[[#Headers],[Temperature zone]],0)</f>
        <v>0.03</v>
      </c>
      <c r="M238" s="21" cm="1">
        <f t="array" ref="M238">Common_InputFunctions.Utility_DisplayArrayInTable(Common_SourceData.Common_SourceData_MCFTemperatureZone_Data(),Table_SourceData_Common_MCFTemperatureZone[[#Headers],[Temperature zone]],0)</f>
        <v>0.04</v>
      </c>
      <c r="N238" s="21" cm="1">
        <f t="array" ref="N238">Common_InputFunctions.Utility_DisplayArrayInTable(Common_SourceData.Common_SourceData_MCFTemperatureZone_Data(),Table_SourceData_Common_MCFTemperatureZone[[#Headers],[Temperature zone]],0)</f>
        <v>1.4999999999999999E-2</v>
      </c>
      <c r="O238" s="21" cm="1">
        <f t="array" ref="O238">Common_InputFunctions.Utility_DisplayArrayInTable(Common_SourceData.Common_SourceData_MCFTemperatureZone_Data(),Table_SourceData_Common_MCFTemperatureZone[[#Headers],[Temperature zone]],0)</f>
        <v>1.4999999999999999E-2</v>
      </c>
      <c r="P238" s="21" cm="1">
        <f t="array" ref="P238">Common_InputFunctions.Utility_DisplayArrayInTable(Common_SourceData.Common_SourceData_MCFTemperatureZone_Data(),Table_SourceData_Common_MCFTemperatureZone[[#Headers],[Temperature zone]],0)</f>
        <v>0</v>
      </c>
      <c r="Q238" s="21" cm="1">
        <f t="array" ref="Q238">Common_InputFunctions.Utility_DisplayArrayInTable(Common_SourceData.Common_SourceData_MCFTemperatureZone_Data(),Table_SourceData_Common_MCFTemperatureZone[[#Headers],[Temperature zone]],0)</f>
        <v>0</v>
      </c>
      <c r="R238" s="21" cm="1">
        <f t="array" ref="R238">Common_InputFunctions.Utility_DisplayArrayInTable(Common_SourceData.Common_SourceData_MCFTemperatureZone_Data(),Table_SourceData_Common_MCFTemperatureZone[[#Headers],[Temperature zone]],0)</f>
        <v>4.7000000000000002E-3</v>
      </c>
      <c r="S238" s="21"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1" cm="1">
        <f t="array" ref="E239">Common_InputFunctions.Utility_DisplayArrayInTable(Common_SourceData.Common_SourceData_MCFTemperatureZone_Data(),Table_SourceData_Common_MCFTemperatureZone[[#Headers],[Temperature zone]],0)</f>
        <v>17</v>
      </c>
      <c r="F239" s="21" cm="1">
        <f t="array" ref="F239">Common_InputFunctions.Utility_DisplayArrayInTable(Common_SourceData.Common_SourceData_MCFTemperatureZone_Data(),Table_SourceData_Common_MCFTemperatureZone[[#Headers],[Temperature zone]],0)</f>
        <v>0.76</v>
      </c>
      <c r="G239" s="21" cm="1">
        <f t="array" ref="G239">Common_InputFunctions.Utility_DisplayArrayInTable(Common_SourceData.Common_SourceData_MCFTemperatureZone_Data(),Table_SourceData_Common_MCFTemperatureZone[[#Headers],[Temperature zone]],0)</f>
        <v>0.1</v>
      </c>
      <c r="H239" s="21" cm="1">
        <f t="array" ref="H239">Common_InputFunctions.Utility_DisplayArrayInTable(Common_SourceData.Common_SourceData_MCFTemperatureZone_Data(),Table_SourceData_Common_MCFTemperatureZone[[#Headers],[Temperature zone]],0)</f>
        <v>0.2</v>
      </c>
      <c r="I239" s="21" cm="1">
        <f t="array" ref="I239">Common_InputFunctions.Utility_DisplayArrayInTable(Common_SourceData.Common_SourceData_MCFTemperatureZone_Data(),Table_SourceData_Common_MCFTemperatureZone[[#Headers],[Temperature zone]],0)</f>
        <v>5.0000000000000001E-3</v>
      </c>
      <c r="J239" s="21" cm="1">
        <f t="array" ref="J239">Common_InputFunctions.Utility_DisplayArrayInTable(Common_SourceData.Common_SourceData_MCFTemperatureZone_Data(),Table_SourceData_Common_MCFTemperatureZone[[#Headers],[Temperature zone]],0)</f>
        <v>0.01</v>
      </c>
      <c r="K239" s="21" cm="1">
        <f t="array" ref="K239">Common_InputFunctions.Utility_DisplayArrayInTable(Common_SourceData.Common_SourceData_MCFTemperatureZone_Data(),Table_SourceData_Common_MCFTemperatureZone[[#Headers],[Temperature zone]],0)</f>
        <v>0.02</v>
      </c>
      <c r="L239" s="21" cm="1">
        <f t="array" ref="L239">Common_InputFunctions.Utility_DisplayArrayInTable(Common_SourceData.Common_SourceData_MCFTemperatureZone_Data(),Table_SourceData_Common_MCFTemperatureZone[[#Headers],[Temperature zone]],0)</f>
        <v>0.03</v>
      </c>
      <c r="M239" s="21" cm="1">
        <f t="array" ref="M239">Common_InputFunctions.Utility_DisplayArrayInTable(Common_SourceData.Common_SourceData_MCFTemperatureZone_Data(),Table_SourceData_Common_MCFTemperatureZone[[#Headers],[Temperature zone]],0)</f>
        <v>0.04</v>
      </c>
      <c r="N239" s="21" cm="1">
        <f t="array" ref="N239">Common_InputFunctions.Utility_DisplayArrayInTable(Common_SourceData.Common_SourceData_MCFTemperatureZone_Data(),Table_SourceData_Common_MCFTemperatureZone[[#Headers],[Temperature zone]],0)</f>
        <v>1.4999999999999999E-2</v>
      </c>
      <c r="O239" s="21" cm="1">
        <f t="array" ref="O239">Common_InputFunctions.Utility_DisplayArrayInTable(Common_SourceData.Common_SourceData_MCFTemperatureZone_Data(),Table_SourceData_Common_MCFTemperatureZone[[#Headers],[Temperature zone]],0)</f>
        <v>1.4999999999999999E-2</v>
      </c>
      <c r="P239" s="21" cm="1">
        <f t="array" ref="P239">Common_InputFunctions.Utility_DisplayArrayInTable(Common_SourceData.Common_SourceData_MCFTemperatureZone_Data(),Table_SourceData_Common_MCFTemperatureZone[[#Headers],[Temperature zone]],0)</f>
        <v>0</v>
      </c>
      <c r="Q239" s="21" cm="1">
        <f t="array" ref="Q239">Common_InputFunctions.Utility_DisplayArrayInTable(Common_SourceData.Common_SourceData_MCFTemperatureZone_Data(),Table_SourceData_Common_MCFTemperatureZone[[#Headers],[Temperature zone]],0)</f>
        <v>0</v>
      </c>
      <c r="R239" s="21" cm="1">
        <f t="array" ref="R239">Common_InputFunctions.Utility_DisplayArrayInTable(Common_SourceData.Common_SourceData_MCFTemperatureZone_Data(),Table_SourceData_Common_MCFTemperatureZone[[#Headers],[Temperature zone]],0)</f>
        <v>4.7000000000000002E-3</v>
      </c>
      <c r="S239" s="21"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1" cm="1">
        <f t="array" ref="E240">Common_InputFunctions.Utility_DisplayArrayInTable(Common_SourceData.Common_SourceData_MCFTemperatureZone_Data(),Table_SourceData_Common_MCFTemperatureZone[[#Headers],[Temperature zone]],0)</f>
        <v>18</v>
      </c>
      <c r="F240" s="21" cm="1">
        <f t="array" ref="F240">Common_InputFunctions.Utility_DisplayArrayInTable(Common_SourceData.Common_SourceData_MCFTemperatureZone_Data(),Table_SourceData_Common_MCFTemperatureZone[[#Headers],[Temperature zone]],0)</f>
        <v>0.77</v>
      </c>
      <c r="G240" s="21" cm="1">
        <f t="array" ref="G240">Common_InputFunctions.Utility_DisplayArrayInTable(Common_SourceData.Common_SourceData_MCFTemperatureZone_Data(),Table_SourceData_Common_MCFTemperatureZone[[#Headers],[Temperature zone]],0)</f>
        <v>0.1</v>
      </c>
      <c r="H240" s="21" cm="1">
        <f t="array" ref="H240">Common_InputFunctions.Utility_DisplayArrayInTable(Common_SourceData.Common_SourceData_MCFTemperatureZone_Data(),Table_SourceData_Common_MCFTemperatureZone[[#Headers],[Temperature zone]],0)</f>
        <v>0.22</v>
      </c>
      <c r="I240" s="21" cm="1">
        <f t="array" ref="I240">Common_InputFunctions.Utility_DisplayArrayInTable(Common_SourceData.Common_SourceData_MCFTemperatureZone_Data(),Table_SourceData_Common_MCFTemperatureZone[[#Headers],[Temperature zone]],0)</f>
        <v>5.0000000000000001E-3</v>
      </c>
      <c r="J240" s="21" cm="1">
        <f t="array" ref="J240">Common_InputFunctions.Utility_DisplayArrayInTable(Common_SourceData.Common_SourceData_MCFTemperatureZone_Data(),Table_SourceData_Common_MCFTemperatureZone[[#Headers],[Temperature zone]],0)</f>
        <v>0.01</v>
      </c>
      <c r="K240" s="21" cm="1">
        <f t="array" ref="K240">Common_InputFunctions.Utility_DisplayArrayInTable(Common_SourceData.Common_SourceData_MCFTemperatureZone_Data(),Table_SourceData_Common_MCFTemperatureZone[[#Headers],[Temperature zone]],0)</f>
        <v>0.02</v>
      </c>
      <c r="L240" s="21" cm="1">
        <f t="array" ref="L240">Common_InputFunctions.Utility_DisplayArrayInTable(Common_SourceData.Common_SourceData_MCFTemperatureZone_Data(),Table_SourceData_Common_MCFTemperatureZone[[#Headers],[Temperature zone]],0)</f>
        <v>0.03</v>
      </c>
      <c r="M240" s="21" cm="1">
        <f t="array" ref="M240">Common_InputFunctions.Utility_DisplayArrayInTable(Common_SourceData.Common_SourceData_MCFTemperatureZone_Data(),Table_SourceData_Common_MCFTemperatureZone[[#Headers],[Temperature zone]],0)</f>
        <v>0.04</v>
      </c>
      <c r="N240" s="21" cm="1">
        <f t="array" ref="N240">Common_InputFunctions.Utility_DisplayArrayInTable(Common_SourceData.Common_SourceData_MCFTemperatureZone_Data(),Table_SourceData_Common_MCFTemperatureZone[[#Headers],[Temperature zone]],0)</f>
        <v>1.4999999999999999E-2</v>
      </c>
      <c r="O240" s="21" cm="1">
        <f t="array" ref="O240">Common_InputFunctions.Utility_DisplayArrayInTable(Common_SourceData.Common_SourceData_MCFTemperatureZone_Data(),Table_SourceData_Common_MCFTemperatureZone[[#Headers],[Temperature zone]],0)</f>
        <v>1.4999999999999999E-2</v>
      </c>
      <c r="P240" s="21" cm="1">
        <f t="array" ref="P240">Common_InputFunctions.Utility_DisplayArrayInTable(Common_SourceData.Common_SourceData_MCFTemperatureZone_Data(),Table_SourceData_Common_MCFTemperatureZone[[#Headers],[Temperature zone]],0)</f>
        <v>0</v>
      </c>
      <c r="Q240" s="21" cm="1">
        <f t="array" ref="Q240">Common_InputFunctions.Utility_DisplayArrayInTable(Common_SourceData.Common_SourceData_MCFTemperatureZone_Data(),Table_SourceData_Common_MCFTemperatureZone[[#Headers],[Temperature zone]],0)</f>
        <v>0</v>
      </c>
      <c r="R240" s="21" cm="1">
        <f t="array" ref="R240">Common_InputFunctions.Utility_DisplayArrayInTable(Common_SourceData.Common_SourceData_MCFTemperatureZone_Data(),Table_SourceData_Common_MCFTemperatureZone[[#Headers],[Temperature zone]],0)</f>
        <v>4.7000000000000002E-3</v>
      </c>
      <c r="S240" s="21"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1" cm="1">
        <f t="array" ref="E241">Common_InputFunctions.Utility_DisplayArrayInTable(Common_SourceData.Common_SourceData_MCFTemperatureZone_Data(),Table_SourceData_Common_MCFTemperatureZone[[#Headers],[Temperature zone]],0)</f>
        <v>19</v>
      </c>
      <c r="F241" s="21" cm="1">
        <f t="array" ref="F241">Common_InputFunctions.Utility_DisplayArrayInTable(Common_SourceData.Common_SourceData_MCFTemperatureZone_Data(),Table_SourceData_Common_MCFTemperatureZone[[#Headers],[Temperature zone]],0)</f>
        <v>0.77</v>
      </c>
      <c r="G241" s="21" cm="1">
        <f t="array" ref="G241">Common_InputFunctions.Utility_DisplayArrayInTable(Common_SourceData.Common_SourceData_MCFTemperatureZone_Data(),Table_SourceData_Common_MCFTemperatureZone[[#Headers],[Temperature zone]],0)</f>
        <v>0.1</v>
      </c>
      <c r="H241" s="21" cm="1">
        <f t="array" ref="H241">Common_InputFunctions.Utility_DisplayArrayInTable(Common_SourceData.Common_SourceData_MCFTemperatureZone_Data(),Table_SourceData_Common_MCFTemperatureZone[[#Headers],[Temperature zone]],0)</f>
        <v>0.24</v>
      </c>
      <c r="I241" s="21" cm="1">
        <f t="array" ref="I241">Common_InputFunctions.Utility_DisplayArrayInTable(Common_SourceData.Common_SourceData_MCFTemperatureZone_Data(),Table_SourceData_Common_MCFTemperatureZone[[#Headers],[Temperature zone]],0)</f>
        <v>5.0000000000000001E-3</v>
      </c>
      <c r="J241" s="21" cm="1">
        <f t="array" ref="J241">Common_InputFunctions.Utility_DisplayArrayInTable(Common_SourceData.Common_SourceData_MCFTemperatureZone_Data(),Table_SourceData_Common_MCFTemperatureZone[[#Headers],[Temperature zone]],0)</f>
        <v>0.01</v>
      </c>
      <c r="K241" s="21" cm="1">
        <f t="array" ref="K241">Common_InputFunctions.Utility_DisplayArrayInTable(Common_SourceData.Common_SourceData_MCFTemperatureZone_Data(),Table_SourceData_Common_MCFTemperatureZone[[#Headers],[Temperature zone]],0)</f>
        <v>0.02</v>
      </c>
      <c r="L241" s="21" cm="1">
        <f t="array" ref="L241">Common_InputFunctions.Utility_DisplayArrayInTable(Common_SourceData.Common_SourceData_MCFTemperatureZone_Data(),Table_SourceData_Common_MCFTemperatureZone[[#Headers],[Temperature zone]],0)</f>
        <v>0.03</v>
      </c>
      <c r="M241" s="21" cm="1">
        <f t="array" ref="M241">Common_InputFunctions.Utility_DisplayArrayInTable(Common_SourceData.Common_SourceData_MCFTemperatureZone_Data(),Table_SourceData_Common_MCFTemperatureZone[[#Headers],[Temperature zone]],0)</f>
        <v>0.04</v>
      </c>
      <c r="N241" s="21" cm="1">
        <f t="array" ref="N241">Common_InputFunctions.Utility_DisplayArrayInTable(Common_SourceData.Common_SourceData_MCFTemperatureZone_Data(),Table_SourceData_Common_MCFTemperatureZone[[#Headers],[Temperature zone]],0)</f>
        <v>1.4999999999999999E-2</v>
      </c>
      <c r="O241" s="21" cm="1">
        <f t="array" ref="O241">Common_InputFunctions.Utility_DisplayArrayInTable(Common_SourceData.Common_SourceData_MCFTemperatureZone_Data(),Table_SourceData_Common_MCFTemperatureZone[[#Headers],[Temperature zone]],0)</f>
        <v>1.4999999999999999E-2</v>
      </c>
      <c r="P241" s="21" cm="1">
        <f t="array" ref="P241">Common_InputFunctions.Utility_DisplayArrayInTable(Common_SourceData.Common_SourceData_MCFTemperatureZone_Data(),Table_SourceData_Common_MCFTemperatureZone[[#Headers],[Temperature zone]],0)</f>
        <v>0</v>
      </c>
      <c r="Q241" s="21" cm="1">
        <f t="array" ref="Q241">Common_InputFunctions.Utility_DisplayArrayInTable(Common_SourceData.Common_SourceData_MCFTemperatureZone_Data(),Table_SourceData_Common_MCFTemperatureZone[[#Headers],[Temperature zone]],0)</f>
        <v>0</v>
      </c>
      <c r="R241" s="21" cm="1">
        <f t="array" ref="R241">Common_InputFunctions.Utility_DisplayArrayInTable(Common_SourceData.Common_SourceData_MCFTemperatureZone_Data(),Table_SourceData_Common_MCFTemperatureZone[[#Headers],[Temperature zone]],0)</f>
        <v>4.7000000000000002E-3</v>
      </c>
      <c r="S241" s="21"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1" cm="1">
        <f t="array" ref="E242">Common_InputFunctions.Utility_DisplayArrayInTable(Common_SourceData.Common_SourceData_MCFTemperatureZone_Data(),Table_SourceData_Common_MCFTemperatureZone[[#Headers],[Temperature zone]],0)</f>
        <v>20</v>
      </c>
      <c r="F242" s="21" cm="1">
        <f t="array" ref="F242">Common_InputFunctions.Utility_DisplayArrayInTable(Common_SourceData.Common_SourceData_MCFTemperatureZone_Data(),Table_SourceData_Common_MCFTemperatureZone[[#Headers],[Temperature zone]],0)</f>
        <v>0.78</v>
      </c>
      <c r="G242" s="21" cm="1">
        <f t="array" ref="G242">Common_InputFunctions.Utility_DisplayArrayInTable(Common_SourceData.Common_SourceData_MCFTemperatureZone_Data(),Table_SourceData_Common_MCFTemperatureZone[[#Headers],[Temperature zone]],0)</f>
        <v>0.1</v>
      </c>
      <c r="H242" s="21" cm="1">
        <f t="array" ref="H242">Common_InputFunctions.Utility_DisplayArrayInTable(Common_SourceData.Common_SourceData_MCFTemperatureZone_Data(),Table_SourceData_Common_MCFTemperatureZone[[#Headers],[Temperature zone]],0)</f>
        <v>0.26</v>
      </c>
      <c r="I242" s="21" cm="1">
        <f t="array" ref="I242">Common_InputFunctions.Utility_DisplayArrayInTable(Common_SourceData.Common_SourceData_MCFTemperatureZone_Data(),Table_SourceData_Common_MCFTemperatureZone[[#Headers],[Temperature zone]],0)</f>
        <v>5.0000000000000001E-3</v>
      </c>
      <c r="J242" s="21" cm="1">
        <f t="array" ref="J242">Common_InputFunctions.Utility_DisplayArrayInTable(Common_SourceData.Common_SourceData_MCFTemperatureZone_Data(),Table_SourceData_Common_MCFTemperatureZone[[#Headers],[Temperature zone]],0)</f>
        <v>0.01</v>
      </c>
      <c r="K242" s="21" cm="1">
        <f t="array" ref="K242">Common_InputFunctions.Utility_DisplayArrayInTable(Common_SourceData.Common_SourceData_MCFTemperatureZone_Data(),Table_SourceData_Common_MCFTemperatureZone[[#Headers],[Temperature zone]],0)</f>
        <v>0.02</v>
      </c>
      <c r="L242" s="21" cm="1">
        <f t="array" ref="L242">Common_InputFunctions.Utility_DisplayArrayInTable(Common_SourceData.Common_SourceData_MCFTemperatureZone_Data(),Table_SourceData_Common_MCFTemperatureZone[[#Headers],[Temperature zone]],0)</f>
        <v>0.03</v>
      </c>
      <c r="M242" s="21" cm="1">
        <f t="array" ref="M242">Common_InputFunctions.Utility_DisplayArrayInTable(Common_SourceData.Common_SourceData_MCFTemperatureZone_Data(),Table_SourceData_Common_MCFTemperatureZone[[#Headers],[Temperature zone]],0)</f>
        <v>0.04</v>
      </c>
      <c r="N242" s="21" cm="1">
        <f t="array" ref="N242">Common_InputFunctions.Utility_DisplayArrayInTable(Common_SourceData.Common_SourceData_MCFTemperatureZone_Data(),Table_SourceData_Common_MCFTemperatureZone[[#Headers],[Temperature zone]],0)</f>
        <v>1.4999999999999999E-2</v>
      </c>
      <c r="O242" s="21" cm="1">
        <f t="array" ref="O242">Common_InputFunctions.Utility_DisplayArrayInTable(Common_SourceData.Common_SourceData_MCFTemperatureZone_Data(),Table_SourceData_Common_MCFTemperatureZone[[#Headers],[Temperature zone]],0)</f>
        <v>1.4999999999999999E-2</v>
      </c>
      <c r="P242" s="21" cm="1">
        <f t="array" ref="P242">Common_InputFunctions.Utility_DisplayArrayInTable(Common_SourceData.Common_SourceData_MCFTemperatureZone_Data(),Table_SourceData_Common_MCFTemperatureZone[[#Headers],[Temperature zone]],0)</f>
        <v>0</v>
      </c>
      <c r="Q242" s="21" cm="1">
        <f t="array" ref="Q242">Common_InputFunctions.Utility_DisplayArrayInTable(Common_SourceData.Common_SourceData_MCFTemperatureZone_Data(),Table_SourceData_Common_MCFTemperatureZone[[#Headers],[Temperature zone]],0)</f>
        <v>0</v>
      </c>
      <c r="R242" s="21" cm="1">
        <f t="array" ref="R242">Common_InputFunctions.Utility_DisplayArrayInTable(Common_SourceData.Common_SourceData_MCFTemperatureZone_Data(),Table_SourceData_Common_MCFTemperatureZone[[#Headers],[Temperature zone]],0)</f>
        <v>4.7000000000000002E-3</v>
      </c>
      <c r="S242" s="21"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1" cm="1">
        <f t="array" ref="E243">Common_InputFunctions.Utility_DisplayArrayInTable(Common_SourceData.Common_SourceData_MCFTemperatureZone_Data(),Table_SourceData_Common_MCFTemperatureZone[[#Headers],[Temperature zone]],0)</f>
        <v>21</v>
      </c>
      <c r="F243" s="21" cm="1">
        <f t="array" ref="F243">Common_InputFunctions.Utility_DisplayArrayInTable(Common_SourceData.Common_SourceData_MCFTemperatureZone_Data(),Table_SourceData_Common_MCFTemperatureZone[[#Headers],[Temperature zone]],0)</f>
        <v>0.78</v>
      </c>
      <c r="G243" s="21" cm="1">
        <f t="array" ref="G243">Common_InputFunctions.Utility_DisplayArrayInTable(Common_SourceData.Common_SourceData_MCFTemperatureZone_Data(),Table_SourceData_Common_MCFTemperatureZone[[#Headers],[Temperature zone]],0)</f>
        <v>0.1</v>
      </c>
      <c r="H243" s="21" cm="1">
        <f t="array" ref="H243">Common_InputFunctions.Utility_DisplayArrayInTable(Common_SourceData.Common_SourceData_MCFTemperatureZone_Data(),Table_SourceData_Common_MCFTemperatureZone[[#Headers],[Temperature zone]],0)</f>
        <v>0.28999999999999998</v>
      </c>
      <c r="I243" s="21" cm="1">
        <f t="array" ref="I243">Common_InputFunctions.Utility_DisplayArrayInTable(Common_SourceData.Common_SourceData_MCFTemperatureZone_Data(),Table_SourceData_Common_MCFTemperatureZone[[#Headers],[Temperature zone]],0)</f>
        <v>5.0000000000000001E-3</v>
      </c>
      <c r="J243" s="21" cm="1">
        <f t="array" ref="J243">Common_InputFunctions.Utility_DisplayArrayInTable(Common_SourceData.Common_SourceData_MCFTemperatureZone_Data(),Table_SourceData_Common_MCFTemperatureZone[[#Headers],[Temperature zone]],0)</f>
        <v>0.01</v>
      </c>
      <c r="K243" s="21" cm="1">
        <f t="array" ref="K243">Common_InputFunctions.Utility_DisplayArrayInTable(Common_SourceData.Common_SourceData_MCFTemperatureZone_Data(),Table_SourceData_Common_MCFTemperatureZone[[#Headers],[Temperature zone]],0)</f>
        <v>0.02</v>
      </c>
      <c r="L243" s="21" cm="1">
        <f t="array" ref="L243">Common_InputFunctions.Utility_DisplayArrayInTable(Common_SourceData.Common_SourceData_MCFTemperatureZone_Data(),Table_SourceData_Common_MCFTemperatureZone[[#Headers],[Temperature zone]],0)</f>
        <v>0.03</v>
      </c>
      <c r="M243" s="21" cm="1">
        <f t="array" ref="M243">Common_InputFunctions.Utility_DisplayArrayInTable(Common_SourceData.Common_SourceData_MCFTemperatureZone_Data(),Table_SourceData_Common_MCFTemperatureZone[[#Headers],[Temperature zone]],0)</f>
        <v>0.04</v>
      </c>
      <c r="N243" s="21" cm="1">
        <f t="array" ref="N243">Common_InputFunctions.Utility_DisplayArrayInTable(Common_SourceData.Common_SourceData_MCFTemperatureZone_Data(),Table_SourceData_Common_MCFTemperatureZone[[#Headers],[Temperature zone]],0)</f>
        <v>1.4999999999999999E-2</v>
      </c>
      <c r="O243" s="21" cm="1">
        <f t="array" ref="O243">Common_InputFunctions.Utility_DisplayArrayInTable(Common_SourceData.Common_SourceData_MCFTemperatureZone_Data(),Table_SourceData_Common_MCFTemperatureZone[[#Headers],[Temperature zone]],0)</f>
        <v>1.4999999999999999E-2</v>
      </c>
      <c r="P243" s="21" cm="1">
        <f t="array" ref="P243">Common_InputFunctions.Utility_DisplayArrayInTable(Common_SourceData.Common_SourceData_MCFTemperatureZone_Data(),Table_SourceData_Common_MCFTemperatureZone[[#Headers],[Temperature zone]],0)</f>
        <v>0</v>
      </c>
      <c r="Q243" s="21" cm="1">
        <f t="array" ref="Q243">Common_InputFunctions.Utility_DisplayArrayInTable(Common_SourceData.Common_SourceData_MCFTemperatureZone_Data(),Table_SourceData_Common_MCFTemperatureZone[[#Headers],[Temperature zone]],0)</f>
        <v>0</v>
      </c>
      <c r="R243" s="21" cm="1">
        <f t="array" ref="R243">Common_InputFunctions.Utility_DisplayArrayInTable(Common_SourceData.Common_SourceData_MCFTemperatureZone_Data(),Table_SourceData_Common_MCFTemperatureZone[[#Headers],[Temperature zone]],0)</f>
        <v>4.7000000000000002E-3</v>
      </c>
      <c r="S243" s="21"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1" cm="1">
        <f t="array" ref="E244">Common_InputFunctions.Utility_DisplayArrayInTable(Common_SourceData.Common_SourceData_MCFTemperatureZone_Data(),Table_SourceData_Common_MCFTemperatureZone[[#Headers],[Temperature zone]],0)</f>
        <v>22</v>
      </c>
      <c r="F244" s="21" cm="1">
        <f t="array" ref="F244">Common_InputFunctions.Utility_DisplayArrayInTable(Common_SourceData.Common_SourceData_MCFTemperatureZone_Data(),Table_SourceData_Common_MCFTemperatureZone[[#Headers],[Temperature zone]],0)</f>
        <v>0.78</v>
      </c>
      <c r="G244" s="21" cm="1">
        <f t="array" ref="G244">Common_InputFunctions.Utility_DisplayArrayInTable(Common_SourceData.Common_SourceData_MCFTemperatureZone_Data(),Table_SourceData_Common_MCFTemperatureZone[[#Headers],[Temperature zone]],0)</f>
        <v>0.1</v>
      </c>
      <c r="H244" s="21" cm="1">
        <f t="array" ref="H244">Common_InputFunctions.Utility_DisplayArrayInTable(Common_SourceData.Common_SourceData_MCFTemperatureZone_Data(),Table_SourceData_Common_MCFTemperatureZone[[#Headers],[Temperature zone]],0)</f>
        <v>0.31</v>
      </c>
      <c r="I244" s="21" cm="1">
        <f t="array" ref="I244">Common_InputFunctions.Utility_DisplayArrayInTable(Common_SourceData.Common_SourceData_MCFTemperatureZone_Data(),Table_SourceData_Common_MCFTemperatureZone[[#Headers],[Temperature zone]],0)</f>
        <v>5.0000000000000001E-3</v>
      </c>
      <c r="J244" s="21" cm="1">
        <f t="array" ref="J244">Common_InputFunctions.Utility_DisplayArrayInTable(Common_SourceData.Common_SourceData_MCFTemperatureZone_Data(),Table_SourceData_Common_MCFTemperatureZone[[#Headers],[Temperature zone]],0)</f>
        <v>0.01</v>
      </c>
      <c r="K244" s="21" cm="1">
        <f t="array" ref="K244">Common_InputFunctions.Utility_DisplayArrayInTable(Common_SourceData.Common_SourceData_MCFTemperatureZone_Data(),Table_SourceData_Common_MCFTemperatureZone[[#Headers],[Temperature zone]],0)</f>
        <v>0.02</v>
      </c>
      <c r="L244" s="21" cm="1">
        <f t="array" ref="L244">Common_InputFunctions.Utility_DisplayArrayInTable(Common_SourceData.Common_SourceData_MCFTemperatureZone_Data(),Table_SourceData_Common_MCFTemperatureZone[[#Headers],[Temperature zone]],0)</f>
        <v>0.03</v>
      </c>
      <c r="M244" s="21" cm="1">
        <f t="array" ref="M244">Common_InputFunctions.Utility_DisplayArrayInTable(Common_SourceData.Common_SourceData_MCFTemperatureZone_Data(),Table_SourceData_Common_MCFTemperatureZone[[#Headers],[Temperature zone]],0)</f>
        <v>0.04</v>
      </c>
      <c r="N244" s="21" cm="1">
        <f t="array" ref="N244">Common_InputFunctions.Utility_DisplayArrayInTable(Common_SourceData.Common_SourceData_MCFTemperatureZone_Data(),Table_SourceData_Common_MCFTemperatureZone[[#Headers],[Temperature zone]],0)</f>
        <v>1.4999999999999999E-2</v>
      </c>
      <c r="O244" s="21" cm="1">
        <f t="array" ref="O244">Common_InputFunctions.Utility_DisplayArrayInTable(Common_SourceData.Common_SourceData_MCFTemperatureZone_Data(),Table_SourceData_Common_MCFTemperatureZone[[#Headers],[Temperature zone]],0)</f>
        <v>1.4999999999999999E-2</v>
      </c>
      <c r="P244" s="21" cm="1">
        <f t="array" ref="P244">Common_InputFunctions.Utility_DisplayArrayInTable(Common_SourceData.Common_SourceData_MCFTemperatureZone_Data(),Table_SourceData_Common_MCFTemperatureZone[[#Headers],[Temperature zone]],0)</f>
        <v>0</v>
      </c>
      <c r="Q244" s="21" cm="1">
        <f t="array" ref="Q244">Common_InputFunctions.Utility_DisplayArrayInTable(Common_SourceData.Common_SourceData_MCFTemperatureZone_Data(),Table_SourceData_Common_MCFTemperatureZone[[#Headers],[Temperature zone]],0)</f>
        <v>0</v>
      </c>
      <c r="R244" s="21" cm="1">
        <f t="array" ref="R244">Common_InputFunctions.Utility_DisplayArrayInTable(Common_SourceData.Common_SourceData_MCFTemperatureZone_Data(),Table_SourceData_Common_MCFTemperatureZone[[#Headers],[Temperature zone]],0)</f>
        <v>4.7000000000000002E-3</v>
      </c>
      <c r="S244" s="21"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1" cm="1">
        <f t="array" ref="E245">Common_InputFunctions.Utility_DisplayArrayInTable(Common_SourceData.Common_SourceData_MCFTemperatureZone_Data(),Table_SourceData_Common_MCFTemperatureZone[[#Headers],[Temperature zone]],0)</f>
        <v>23</v>
      </c>
      <c r="F245" s="21" cm="1">
        <f t="array" ref="F245">Common_InputFunctions.Utility_DisplayArrayInTable(Common_SourceData.Common_SourceData_MCFTemperatureZone_Data(),Table_SourceData_Common_MCFTemperatureZone[[#Headers],[Temperature zone]],0)</f>
        <v>0.79</v>
      </c>
      <c r="G245" s="21" cm="1">
        <f t="array" ref="G245">Common_InputFunctions.Utility_DisplayArrayInTable(Common_SourceData.Common_SourceData_MCFTemperatureZone_Data(),Table_SourceData_Common_MCFTemperatureZone[[#Headers],[Temperature zone]],0)</f>
        <v>0.1</v>
      </c>
      <c r="H245" s="21" cm="1">
        <f t="array" ref="H245">Common_InputFunctions.Utility_DisplayArrayInTable(Common_SourceData.Common_SourceData_MCFTemperatureZone_Data(),Table_SourceData_Common_MCFTemperatureZone[[#Headers],[Temperature zone]],0)</f>
        <v>0.34</v>
      </c>
      <c r="I245" s="21" cm="1">
        <f t="array" ref="I245">Common_InputFunctions.Utility_DisplayArrayInTable(Common_SourceData.Common_SourceData_MCFTemperatureZone_Data(),Table_SourceData_Common_MCFTemperatureZone[[#Headers],[Temperature zone]],0)</f>
        <v>5.0000000000000001E-3</v>
      </c>
      <c r="J245" s="21" cm="1">
        <f t="array" ref="J245">Common_InputFunctions.Utility_DisplayArrayInTable(Common_SourceData.Common_SourceData_MCFTemperatureZone_Data(),Table_SourceData_Common_MCFTemperatureZone[[#Headers],[Temperature zone]],0)</f>
        <v>0.01</v>
      </c>
      <c r="K245" s="21" cm="1">
        <f t="array" ref="K245">Common_InputFunctions.Utility_DisplayArrayInTable(Common_SourceData.Common_SourceData_MCFTemperatureZone_Data(),Table_SourceData_Common_MCFTemperatureZone[[#Headers],[Temperature zone]],0)</f>
        <v>0.02</v>
      </c>
      <c r="L245" s="21" cm="1">
        <f t="array" ref="L245">Common_InputFunctions.Utility_DisplayArrayInTable(Common_SourceData.Common_SourceData_MCFTemperatureZone_Data(),Table_SourceData_Common_MCFTemperatureZone[[#Headers],[Temperature zone]],0)</f>
        <v>0.03</v>
      </c>
      <c r="M245" s="21" cm="1">
        <f t="array" ref="M245">Common_InputFunctions.Utility_DisplayArrayInTable(Common_SourceData.Common_SourceData_MCFTemperatureZone_Data(),Table_SourceData_Common_MCFTemperatureZone[[#Headers],[Temperature zone]],0)</f>
        <v>0.04</v>
      </c>
      <c r="N245" s="21" cm="1">
        <f t="array" ref="N245">Common_InputFunctions.Utility_DisplayArrayInTable(Common_SourceData.Common_SourceData_MCFTemperatureZone_Data(),Table_SourceData_Common_MCFTemperatureZone[[#Headers],[Temperature zone]],0)</f>
        <v>1.4999999999999999E-2</v>
      </c>
      <c r="O245" s="21" cm="1">
        <f t="array" ref="O245">Common_InputFunctions.Utility_DisplayArrayInTable(Common_SourceData.Common_SourceData_MCFTemperatureZone_Data(),Table_SourceData_Common_MCFTemperatureZone[[#Headers],[Temperature zone]],0)</f>
        <v>1.4999999999999999E-2</v>
      </c>
      <c r="P245" s="21" cm="1">
        <f t="array" ref="P245">Common_InputFunctions.Utility_DisplayArrayInTable(Common_SourceData.Common_SourceData_MCFTemperatureZone_Data(),Table_SourceData_Common_MCFTemperatureZone[[#Headers],[Temperature zone]],0)</f>
        <v>0</v>
      </c>
      <c r="Q245" s="21" cm="1">
        <f t="array" ref="Q245">Common_InputFunctions.Utility_DisplayArrayInTable(Common_SourceData.Common_SourceData_MCFTemperatureZone_Data(),Table_SourceData_Common_MCFTemperatureZone[[#Headers],[Temperature zone]],0)</f>
        <v>0</v>
      </c>
      <c r="R245" s="21" cm="1">
        <f t="array" ref="R245">Common_InputFunctions.Utility_DisplayArrayInTable(Common_SourceData.Common_SourceData_MCFTemperatureZone_Data(),Table_SourceData_Common_MCFTemperatureZone[[#Headers],[Temperature zone]],0)</f>
        <v>4.7000000000000002E-3</v>
      </c>
      <c r="S245" s="21"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1" cm="1">
        <f t="array" ref="E246">Common_InputFunctions.Utility_DisplayArrayInTable(Common_SourceData.Common_SourceData_MCFTemperatureZone_Data(),Table_SourceData_Common_MCFTemperatureZone[[#Headers],[Temperature zone]],0)</f>
        <v>24</v>
      </c>
      <c r="F246" s="21" cm="1">
        <f t="array" ref="F246">Common_InputFunctions.Utility_DisplayArrayInTable(Common_SourceData.Common_SourceData_MCFTemperatureZone_Data(),Table_SourceData_Common_MCFTemperatureZone[[#Headers],[Temperature zone]],0)</f>
        <v>0.79</v>
      </c>
      <c r="G246" s="21" cm="1">
        <f t="array" ref="G246">Common_InputFunctions.Utility_DisplayArrayInTable(Common_SourceData.Common_SourceData_MCFTemperatureZone_Data(),Table_SourceData_Common_MCFTemperatureZone[[#Headers],[Temperature zone]],0)</f>
        <v>0.1</v>
      </c>
      <c r="H246" s="21" cm="1">
        <f t="array" ref="H246">Common_InputFunctions.Utility_DisplayArrayInTable(Common_SourceData.Common_SourceData_MCFTemperatureZone_Data(),Table_SourceData_Common_MCFTemperatureZone[[#Headers],[Temperature zone]],0)</f>
        <v>0.37</v>
      </c>
      <c r="I246" s="21" cm="1">
        <f t="array" ref="I246">Common_InputFunctions.Utility_DisplayArrayInTable(Common_SourceData.Common_SourceData_MCFTemperatureZone_Data(),Table_SourceData_Common_MCFTemperatureZone[[#Headers],[Temperature zone]],0)</f>
        <v>5.0000000000000001E-3</v>
      </c>
      <c r="J246" s="21" cm="1">
        <f t="array" ref="J246">Common_InputFunctions.Utility_DisplayArrayInTable(Common_SourceData.Common_SourceData_MCFTemperatureZone_Data(),Table_SourceData_Common_MCFTemperatureZone[[#Headers],[Temperature zone]],0)</f>
        <v>0.01</v>
      </c>
      <c r="K246" s="21" cm="1">
        <f t="array" ref="K246">Common_InputFunctions.Utility_DisplayArrayInTable(Common_SourceData.Common_SourceData_MCFTemperatureZone_Data(),Table_SourceData_Common_MCFTemperatureZone[[#Headers],[Temperature zone]],0)</f>
        <v>0.02</v>
      </c>
      <c r="L246" s="21" cm="1">
        <f t="array" ref="L246">Common_InputFunctions.Utility_DisplayArrayInTable(Common_SourceData.Common_SourceData_MCFTemperatureZone_Data(),Table_SourceData_Common_MCFTemperatureZone[[#Headers],[Temperature zone]],0)</f>
        <v>0.03</v>
      </c>
      <c r="M246" s="21" cm="1">
        <f t="array" ref="M246">Common_InputFunctions.Utility_DisplayArrayInTable(Common_SourceData.Common_SourceData_MCFTemperatureZone_Data(),Table_SourceData_Common_MCFTemperatureZone[[#Headers],[Temperature zone]],0)</f>
        <v>0.04</v>
      </c>
      <c r="N246" s="21" cm="1">
        <f t="array" ref="N246">Common_InputFunctions.Utility_DisplayArrayInTable(Common_SourceData.Common_SourceData_MCFTemperatureZone_Data(),Table_SourceData_Common_MCFTemperatureZone[[#Headers],[Temperature zone]],0)</f>
        <v>1.4999999999999999E-2</v>
      </c>
      <c r="O246" s="21" cm="1">
        <f t="array" ref="O246">Common_InputFunctions.Utility_DisplayArrayInTable(Common_SourceData.Common_SourceData_MCFTemperatureZone_Data(),Table_SourceData_Common_MCFTemperatureZone[[#Headers],[Temperature zone]],0)</f>
        <v>1.4999999999999999E-2</v>
      </c>
      <c r="P246" s="21" cm="1">
        <f t="array" ref="P246">Common_InputFunctions.Utility_DisplayArrayInTable(Common_SourceData.Common_SourceData_MCFTemperatureZone_Data(),Table_SourceData_Common_MCFTemperatureZone[[#Headers],[Temperature zone]],0)</f>
        <v>0</v>
      </c>
      <c r="Q246" s="21" cm="1">
        <f t="array" ref="Q246">Common_InputFunctions.Utility_DisplayArrayInTable(Common_SourceData.Common_SourceData_MCFTemperatureZone_Data(),Table_SourceData_Common_MCFTemperatureZone[[#Headers],[Temperature zone]],0)</f>
        <v>0</v>
      </c>
      <c r="R246" s="21" cm="1">
        <f t="array" ref="R246">Common_InputFunctions.Utility_DisplayArrayInTable(Common_SourceData.Common_SourceData_MCFTemperatureZone_Data(),Table_SourceData_Common_MCFTemperatureZone[[#Headers],[Temperature zone]],0)</f>
        <v>4.7000000000000002E-3</v>
      </c>
      <c r="S246" s="21"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1" cm="1">
        <f t="array" ref="E247">Common_InputFunctions.Utility_DisplayArrayInTable(Common_SourceData.Common_SourceData_MCFTemperatureZone_Data(),Table_SourceData_Common_MCFTemperatureZone[[#Headers],[Temperature zone]],0)</f>
        <v>25</v>
      </c>
      <c r="F247" s="21" cm="1">
        <f t="array" ref="F247">Common_InputFunctions.Utility_DisplayArrayInTable(Common_SourceData.Common_SourceData_MCFTemperatureZone_Data(),Table_SourceData_Common_MCFTemperatureZone[[#Headers],[Temperature zone]],0)</f>
        <v>0.79</v>
      </c>
      <c r="G247" s="21" cm="1">
        <f t="array" ref="G247">Common_InputFunctions.Utility_DisplayArrayInTable(Common_SourceData.Common_SourceData_MCFTemperatureZone_Data(),Table_SourceData_Common_MCFTemperatureZone[[#Headers],[Temperature zone]],0)</f>
        <v>0.1</v>
      </c>
      <c r="H247" s="21" cm="1">
        <f t="array" ref="H247">Common_InputFunctions.Utility_DisplayArrayInTable(Common_SourceData.Common_SourceData_MCFTemperatureZone_Data(),Table_SourceData_Common_MCFTemperatureZone[[#Headers],[Temperature zone]],0)</f>
        <v>0.41</v>
      </c>
      <c r="I247" s="21" cm="1">
        <f t="array" ref="I247">Common_InputFunctions.Utility_DisplayArrayInTable(Common_SourceData.Common_SourceData_MCFTemperatureZone_Data(),Table_SourceData_Common_MCFTemperatureZone[[#Headers],[Temperature zone]],0)</f>
        <v>5.0000000000000001E-3</v>
      </c>
      <c r="J247" s="21" cm="1">
        <f t="array" ref="J247">Common_InputFunctions.Utility_DisplayArrayInTable(Common_SourceData.Common_SourceData_MCFTemperatureZone_Data(),Table_SourceData_Common_MCFTemperatureZone[[#Headers],[Temperature zone]],0)</f>
        <v>0.01</v>
      </c>
      <c r="K247" s="21" cm="1">
        <f t="array" ref="K247">Common_InputFunctions.Utility_DisplayArrayInTable(Common_SourceData.Common_SourceData_MCFTemperatureZone_Data(),Table_SourceData_Common_MCFTemperatureZone[[#Headers],[Temperature zone]],0)</f>
        <v>0.02</v>
      </c>
      <c r="L247" s="21" cm="1">
        <f t="array" ref="L247">Common_InputFunctions.Utility_DisplayArrayInTable(Common_SourceData.Common_SourceData_MCFTemperatureZone_Data(),Table_SourceData_Common_MCFTemperatureZone[[#Headers],[Temperature zone]],0)</f>
        <v>0.03</v>
      </c>
      <c r="M247" s="21" cm="1">
        <f t="array" ref="M247">Common_InputFunctions.Utility_DisplayArrayInTable(Common_SourceData.Common_SourceData_MCFTemperatureZone_Data(),Table_SourceData_Common_MCFTemperatureZone[[#Headers],[Temperature zone]],0)</f>
        <v>0.04</v>
      </c>
      <c r="N247" s="21" cm="1">
        <f t="array" ref="N247">Common_InputFunctions.Utility_DisplayArrayInTable(Common_SourceData.Common_SourceData_MCFTemperatureZone_Data(),Table_SourceData_Common_MCFTemperatureZone[[#Headers],[Temperature zone]],0)</f>
        <v>1.4999999999999999E-2</v>
      </c>
      <c r="O247" s="21" cm="1">
        <f t="array" ref="O247">Common_InputFunctions.Utility_DisplayArrayInTable(Common_SourceData.Common_SourceData_MCFTemperatureZone_Data(),Table_SourceData_Common_MCFTemperatureZone[[#Headers],[Temperature zone]],0)</f>
        <v>1.4999999999999999E-2</v>
      </c>
      <c r="P247" s="21" cm="1">
        <f t="array" ref="P247">Common_InputFunctions.Utility_DisplayArrayInTable(Common_SourceData.Common_SourceData_MCFTemperatureZone_Data(),Table_SourceData_Common_MCFTemperatureZone[[#Headers],[Temperature zone]],0)</f>
        <v>0</v>
      </c>
      <c r="Q247" s="21" cm="1">
        <f t="array" ref="Q247">Common_InputFunctions.Utility_DisplayArrayInTable(Common_SourceData.Common_SourceData_MCFTemperatureZone_Data(),Table_SourceData_Common_MCFTemperatureZone[[#Headers],[Temperature zone]],0)</f>
        <v>0</v>
      </c>
      <c r="R247" s="21" cm="1">
        <f t="array" ref="R247">Common_InputFunctions.Utility_DisplayArrayInTable(Common_SourceData.Common_SourceData_MCFTemperatureZone_Data(),Table_SourceData_Common_MCFTemperatureZone[[#Headers],[Temperature zone]],0)</f>
        <v>4.7000000000000002E-3</v>
      </c>
      <c r="S247" s="21"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1" cm="1">
        <f t="array" ref="E248">Common_InputFunctions.Utility_DisplayArrayInTable(Common_SourceData.Common_SourceData_MCFTemperatureZone_Data(),Table_SourceData_Common_MCFTemperatureZone[[#Headers],[Temperature zone]],0)</f>
        <v>26</v>
      </c>
      <c r="F248" s="21" cm="1">
        <f t="array" ref="F248">Common_InputFunctions.Utility_DisplayArrayInTable(Common_SourceData.Common_SourceData_MCFTemperatureZone_Data(),Table_SourceData_Common_MCFTemperatureZone[[#Headers],[Temperature zone]],0)</f>
        <v>0.79</v>
      </c>
      <c r="G248" s="21" cm="1">
        <f t="array" ref="G248">Common_InputFunctions.Utility_DisplayArrayInTable(Common_SourceData.Common_SourceData_MCFTemperatureZone_Data(),Table_SourceData_Common_MCFTemperatureZone[[#Headers],[Temperature zone]],0)</f>
        <v>0.1</v>
      </c>
      <c r="H248" s="21" cm="1">
        <f t="array" ref="H248">Common_InputFunctions.Utility_DisplayArrayInTable(Common_SourceData.Common_SourceData_MCFTemperatureZone_Data(),Table_SourceData_Common_MCFTemperatureZone[[#Headers],[Temperature zone]],0)</f>
        <v>0.44</v>
      </c>
      <c r="I248" s="21" cm="1">
        <f t="array" ref="I248">Common_InputFunctions.Utility_DisplayArrayInTable(Common_SourceData.Common_SourceData_MCFTemperatureZone_Data(),Table_SourceData_Common_MCFTemperatureZone[[#Headers],[Temperature zone]],0)</f>
        <v>0.01</v>
      </c>
      <c r="J248" s="21" cm="1">
        <f t="array" ref="J248">Common_InputFunctions.Utility_DisplayArrayInTable(Common_SourceData.Common_SourceData_MCFTemperatureZone_Data(),Table_SourceData_Common_MCFTemperatureZone[[#Headers],[Temperature zone]],0)</f>
        <v>1.4999999999999999E-2</v>
      </c>
      <c r="K248" s="21" cm="1">
        <f t="array" ref="K248">Common_InputFunctions.Utility_DisplayArrayInTable(Common_SourceData.Common_SourceData_MCFTemperatureZone_Data(),Table_SourceData_Common_MCFTemperatureZone[[#Headers],[Temperature zone]],0)</f>
        <v>0.02</v>
      </c>
      <c r="L248" s="21" cm="1">
        <f t="array" ref="L248">Common_InputFunctions.Utility_DisplayArrayInTable(Common_SourceData.Common_SourceData_MCFTemperatureZone_Data(),Table_SourceData_Common_MCFTemperatureZone[[#Headers],[Temperature zone]],0)</f>
        <v>0.03</v>
      </c>
      <c r="M248" s="21" cm="1">
        <f t="array" ref="M248">Common_InputFunctions.Utility_DisplayArrayInTable(Common_SourceData.Common_SourceData_MCFTemperatureZone_Data(),Table_SourceData_Common_MCFTemperatureZone[[#Headers],[Temperature zone]],0)</f>
        <v>0.04</v>
      </c>
      <c r="N248" s="21" cm="1">
        <f t="array" ref="N248">Common_InputFunctions.Utility_DisplayArrayInTable(Common_SourceData.Common_SourceData_MCFTemperatureZone_Data(),Table_SourceData_Common_MCFTemperatureZone[[#Headers],[Temperature zone]],0)</f>
        <v>1.4999999999999999E-2</v>
      </c>
      <c r="O248" s="21" cm="1">
        <f t="array" ref="O248">Common_InputFunctions.Utility_DisplayArrayInTable(Common_SourceData.Common_SourceData_MCFTemperatureZone_Data(),Table_SourceData_Common_MCFTemperatureZone[[#Headers],[Temperature zone]],0)</f>
        <v>1.4999999999999999E-2</v>
      </c>
      <c r="P248" s="21" cm="1">
        <f t="array" ref="P248">Common_InputFunctions.Utility_DisplayArrayInTable(Common_SourceData.Common_SourceData_MCFTemperatureZone_Data(),Table_SourceData_Common_MCFTemperatureZone[[#Headers],[Temperature zone]],0)</f>
        <v>0</v>
      </c>
      <c r="Q248" s="21" cm="1">
        <f t="array" ref="Q248">Common_InputFunctions.Utility_DisplayArrayInTable(Common_SourceData.Common_SourceData_MCFTemperatureZone_Data(),Table_SourceData_Common_MCFTemperatureZone[[#Headers],[Temperature zone]],0)</f>
        <v>0</v>
      </c>
      <c r="R248" s="21" cm="1">
        <f t="array" ref="R248">Common_InputFunctions.Utility_DisplayArrayInTable(Common_SourceData.Common_SourceData_MCFTemperatureZone_Data(),Table_SourceData_Common_MCFTemperatureZone[[#Headers],[Temperature zone]],0)</f>
        <v>4.7000000000000002E-3</v>
      </c>
      <c r="S248" s="21"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1" cm="1">
        <f t="array" ref="E249">Common_InputFunctions.Utility_DisplayArrayInTable(Common_SourceData.Common_SourceData_MCFTemperatureZone_Data(),Table_SourceData_Common_MCFTemperatureZone[[#Headers],[Temperature zone]],0)</f>
        <v>27</v>
      </c>
      <c r="F249" s="21" cm="1">
        <f t="array" ref="F249">Common_InputFunctions.Utility_DisplayArrayInTable(Common_SourceData.Common_SourceData_MCFTemperatureZone_Data(),Table_SourceData_Common_MCFTemperatureZone[[#Headers],[Temperature zone]],0)</f>
        <v>0.8</v>
      </c>
      <c r="G249" s="21" cm="1">
        <f t="array" ref="G249">Common_InputFunctions.Utility_DisplayArrayInTable(Common_SourceData.Common_SourceData_MCFTemperatureZone_Data(),Table_SourceData_Common_MCFTemperatureZone[[#Headers],[Temperature zone]],0)</f>
        <v>0.1</v>
      </c>
      <c r="H249" s="21" cm="1">
        <f t="array" ref="H249">Common_InputFunctions.Utility_DisplayArrayInTable(Common_SourceData.Common_SourceData_MCFTemperatureZone_Data(),Table_SourceData_Common_MCFTemperatureZone[[#Headers],[Temperature zone]],0)</f>
        <v>0.48</v>
      </c>
      <c r="I249" s="21" cm="1">
        <f t="array" ref="I249">Common_InputFunctions.Utility_DisplayArrayInTable(Common_SourceData.Common_SourceData_MCFTemperatureZone_Data(),Table_SourceData_Common_MCFTemperatureZone[[#Headers],[Temperature zone]],0)</f>
        <v>0.01</v>
      </c>
      <c r="J249" s="21" cm="1">
        <f t="array" ref="J249">Common_InputFunctions.Utility_DisplayArrayInTable(Common_SourceData.Common_SourceData_MCFTemperatureZone_Data(),Table_SourceData_Common_MCFTemperatureZone[[#Headers],[Temperature zone]],0)</f>
        <v>1.4999999999999999E-2</v>
      </c>
      <c r="K249" s="21" cm="1">
        <f t="array" ref="K249">Common_InputFunctions.Utility_DisplayArrayInTable(Common_SourceData.Common_SourceData_MCFTemperatureZone_Data(),Table_SourceData_Common_MCFTemperatureZone[[#Headers],[Temperature zone]],0)</f>
        <v>0.02</v>
      </c>
      <c r="L249" s="21" cm="1">
        <f t="array" ref="L249">Common_InputFunctions.Utility_DisplayArrayInTable(Common_SourceData.Common_SourceData_MCFTemperatureZone_Data(),Table_SourceData_Common_MCFTemperatureZone[[#Headers],[Temperature zone]],0)</f>
        <v>0.03</v>
      </c>
      <c r="M249" s="21" cm="1">
        <f t="array" ref="M249">Common_InputFunctions.Utility_DisplayArrayInTable(Common_SourceData.Common_SourceData_MCFTemperatureZone_Data(),Table_SourceData_Common_MCFTemperatureZone[[#Headers],[Temperature zone]],0)</f>
        <v>0.04</v>
      </c>
      <c r="N249" s="21" cm="1">
        <f t="array" ref="N249">Common_InputFunctions.Utility_DisplayArrayInTable(Common_SourceData.Common_SourceData_MCFTemperatureZone_Data(),Table_SourceData_Common_MCFTemperatureZone[[#Headers],[Temperature zone]],0)</f>
        <v>1.4999999999999999E-2</v>
      </c>
      <c r="O249" s="21" cm="1">
        <f t="array" ref="O249">Common_InputFunctions.Utility_DisplayArrayInTable(Common_SourceData.Common_SourceData_MCFTemperatureZone_Data(),Table_SourceData_Common_MCFTemperatureZone[[#Headers],[Temperature zone]],0)</f>
        <v>1.4999999999999999E-2</v>
      </c>
      <c r="P249" s="21" cm="1">
        <f t="array" ref="P249">Common_InputFunctions.Utility_DisplayArrayInTable(Common_SourceData.Common_SourceData_MCFTemperatureZone_Data(),Table_SourceData_Common_MCFTemperatureZone[[#Headers],[Temperature zone]],0)</f>
        <v>0</v>
      </c>
      <c r="Q249" s="21" cm="1">
        <f t="array" ref="Q249">Common_InputFunctions.Utility_DisplayArrayInTable(Common_SourceData.Common_SourceData_MCFTemperatureZone_Data(),Table_SourceData_Common_MCFTemperatureZone[[#Headers],[Temperature zone]],0)</f>
        <v>0</v>
      </c>
      <c r="R249" s="21" cm="1">
        <f t="array" ref="R249">Common_InputFunctions.Utility_DisplayArrayInTable(Common_SourceData.Common_SourceData_MCFTemperatureZone_Data(),Table_SourceData_Common_MCFTemperatureZone[[#Headers],[Temperature zone]],0)</f>
        <v>4.7000000000000002E-3</v>
      </c>
      <c r="S249" s="21"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1" t="str" cm="1">
        <f t="array" ref="E250">Common_InputFunctions.Utility_DisplayArrayInTable(Common_SourceData.Common_SourceData_MCFTemperatureZone_Data(),Table_SourceData_Common_MCFTemperatureZone[[#Headers],[Temperature zone]],0)</f>
        <v>≥28</v>
      </c>
      <c r="F250" s="21" cm="1">
        <f t="array" ref="F250">Common_InputFunctions.Utility_DisplayArrayInTable(Common_SourceData.Common_SourceData_MCFTemperatureZone_Data(),Table_SourceData_Common_MCFTemperatureZone[[#Headers],[Temperature zone]],0)</f>
        <v>0.8</v>
      </c>
      <c r="G250" s="21" cm="1">
        <f t="array" ref="G250">Common_InputFunctions.Utility_DisplayArrayInTable(Common_SourceData.Common_SourceData_MCFTemperatureZone_Data(),Table_SourceData_Common_MCFTemperatureZone[[#Headers],[Temperature zone]],0)</f>
        <v>0.1</v>
      </c>
      <c r="H250" s="21" cm="1">
        <f t="array" ref="H250">Common_InputFunctions.Utility_DisplayArrayInTable(Common_SourceData.Common_SourceData_MCFTemperatureZone_Data(),Table_SourceData_Common_MCFTemperatureZone[[#Headers],[Temperature zone]],0)</f>
        <v>0.5</v>
      </c>
      <c r="I250" s="21" cm="1">
        <f t="array" ref="I250">Common_InputFunctions.Utility_DisplayArrayInTable(Common_SourceData.Common_SourceData_MCFTemperatureZone_Data(),Table_SourceData_Common_MCFTemperatureZone[[#Headers],[Temperature zone]],0)</f>
        <v>0.01</v>
      </c>
      <c r="J250" s="21" cm="1">
        <f t="array" ref="J250">Common_InputFunctions.Utility_DisplayArrayInTable(Common_SourceData.Common_SourceData_MCFTemperatureZone_Data(),Table_SourceData_Common_MCFTemperatureZone[[#Headers],[Temperature zone]],0)</f>
        <v>1.4999999999999999E-2</v>
      </c>
      <c r="K250" s="21" cm="1">
        <f t="array" ref="K250">Common_InputFunctions.Utility_DisplayArrayInTable(Common_SourceData.Common_SourceData_MCFTemperatureZone_Data(),Table_SourceData_Common_MCFTemperatureZone[[#Headers],[Temperature zone]],0)</f>
        <v>0.02</v>
      </c>
      <c r="L250" s="21" cm="1">
        <f t="array" ref="L250">Common_InputFunctions.Utility_DisplayArrayInTable(Common_SourceData.Common_SourceData_MCFTemperatureZone_Data(),Table_SourceData_Common_MCFTemperatureZone[[#Headers],[Temperature zone]],0)</f>
        <v>0.03</v>
      </c>
      <c r="M250" s="21" cm="1">
        <f t="array" ref="M250">Common_InputFunctions.Utility_DisplayArrayInTable(Common_SourceData.Common_SourceData_MCFTemperatureZone_Data(),Table_SourceData_Common_MCFTemperatureZone[[#Headers],[Temperature zone]],0)</f>
        <v>0.04</v>
      </c>
      <c r="N250" s="21" cm="1">
        <f t="array" ref="N250">Common_InputFunctions.Utility_DisplayArrayInTable(Common_SourceData.Common_SourceData_MCFTemperatureZone_Data(),Table_SourceData_Common_MCFTemperatureZone[[#Headers],[Temperature zone]],0)</f>
        <v>1.4999999999999999E-2</v>
      </c>
      <c r="O250" s="21" cm="1">
        <f t="array" ref="O250">Common_InputFunctions.Utility_DisplayArrayInTable(Common_SourceData.Common_SourceData_MCFTemperatureZone_Data(),Table_SourceData_Common_MCFTemperatureZone[[#Headers],[Temperature zone]],0)</f>
        <v>1.4999999999999999E-2</v>
      </c>
      <c r="P250" s="21" cm="1">
        <f t="array" ref="P250">Common_InputFunctions.Utility_DisplayArrayInTable(Common_SourceData.Common_SourceData_MCFTemperatureZone_Data(),Table_SourceData_Common_MCFTemperatureZone[[#Headers],[Temperature zone]],0)</f>
        <v>0</v>
      </c>
      <c r="Q250" s="21" cm="1">
        <f t="array" ref="Q250">Common_InputFunctions.Utility_DisplayArrayInTable(Common_SourceData.Common_SourceData_MCFTemperatureZone_Data(),Table_SourceData_Common_MCFTemperatureZone[[#Headers],[Temperature zone]],0)</f>
        <v>0</v>
      </c>
      <c r="R250" s="21" cm="1">
        <f t="array" ref="R250">Common_InputFunctions.Utility_DisplayArrayInTable(Common_SourceData.Common_SourceData_MCFTemperatureZone_Data(),Table_SourceData_Common_MCFTemperatureZone[[#Headers],[Temperature zone]],0)</f>
        <v>4.7000000000000002E-3</v>
      </c>
      <c r="S250" s="21"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18"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0" t="str" cm="1">
        <f t="array" ref="D256">Common_SourceData.Common_SourceData_EFOrganicFertiliserAndCropResidues_Unit()</f>
        <v>kg N2O - N / kg N</v>
      </c>
    </row>
    <row r="257" spans="4:66" x14ac:dyDescent="0.25">
      <c r="D257" s="21" t="s">
        <v>85</v>
      </c>
      <c r="E257" s="21" t="s">
        <v>86</v>
      </c>
    </row>
    <row r="258" spans="4:66" x14ac:dyDescent="0.25">
      <c r="D258" s="21" t="str" cm="1">
        <f t="array" ref="D258">Common_InputFunctions.Utility_DisplayArrayInTable(Common_SourceData.Common_SourceData_EFOrganicFertiliserAndCropResidues_Data(), Table_SourceData_Common_EFOrganicFertCropResidues[[#Headers],[Climate Zone]], 0)</f>
        <v>Wet climate zone</v>
      </c>
      <c r="E258" s="21" cm="1">
        <f t="array" ref="E258">Common_InputFunctions.Utility_DisplayArrayInTable(Common_SourceData.Common_SourceData_EFOrganicFertiliserAndCropResidues_Data(), Table_SourceData_Common_EFOrganicFertCropResidues[[#Headers],[Climate Zone]], 0)</f>
        <v>6.0000000000000001E-3</v>
      </c>
    </row>
    <row r="259" spans="4:6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1" cm="1">
        <f t="array" ref="E259">Common_InputFunctions.Utility_DisplayArrayInTable(Common_SourceData.Common_SourceData_EFOrganicFertiliserAndCropResidues_Data(), Table_SourceData_Common_EFOrganicFertCropResidues[[#Headers],[Climate Zone]], 0)</f>
        <v>5.0000000000000001E-3</v>
      </c>
    </row>
    <row r="263" spans="4:66" ht="23.25" x14ac:dyDescent="0.25">
      <c r="D263" s="2" t="s">
        <v>190</v>
      </c>
    </row>
    <row r="264" spans="4:66" x14ac:dyDescent="0.25">
      <c r="D264" s="1" t="s">
        <v>191</v>
      </c>
    </row>
    <row r="265" spans="4:66" x14ac:dyDescent="0.25">
      <c r="D265" s="21" t="s">
        <v>234</v>
      </c>
      <c r="E265" s="21" t="s">
        <v>192</v>
      </c>
      <c r="F265" s="21" t="s">
        <v>193</v>
      </c>
      <c r="G265" s="21" t="s">
        <v>186</v>
      </c>
      <c r="V265" s="1"/>
      <c r="BN265" s="23"/>
    </row>
    <row r="266" spans="4:66" x14ac:dyDescent="0.25">
      <c r="D266" s="21" t="s">
        <v>235</v>
      </c>
      <c r="E266" s="21" t="s">
        <v>194</v>
      </c>
      <c r="F266" s="21" t="s">
        <v>195</v>
      </c>
      <c r="G266" s="21">
        <v>5</v>
      </c>
      <c r="V266" s="1"/>
      <c r="BN266" s="23"/>
    </row>
    <row r="267" spans="4:66" x14ac:dyDescent="0.25">
      <c r="D267" s="21" t="s">
        <v>236</v>
      </c>
      <c r="E267" s="21" t="s">
        <v>196</v>
      </c>
      <c r="F267" s="21" t="s">
        <v>187</v>
      </c>
      <c r="G267" s="21">
        <v>4</v>
      </c>
      <c r="V267" s="1"/>
      <c r="BN267" s="23"/>
    </row>
    <row r="268" spans="4:66" x14ac:dyDescent="0.25">
      <c r="D268" s="21" t="s">
        <v>237</v>
      </c>
      <c r="E268" s="21" t="s">
        <v>197</v>
      </c>
      <c r="F268" s="21" t="s">
        <v>198</v>
      </c>
      <c r="G268" s="21">
        <v>3</v>
      </c>
      <c r="V268" s="1"/>
      <c r="BN268" s="23"/>
    </row>
    <row r="269" spans="4:66" x14ac:dyDescent="0.25">
      <c r="D269" s="21" t="s">
        <v>238</v>
      </c>
      <c r="E269" s="21" t="s">
        <v>199</v>
      </c>
      <c r="F269" s="21" t="s">
        <v>200</v>
      </c>
      <c r="G269" s="21">
        <v>2</v>
      </c>
      <c r="V269" s="1"/>
      <c r="BN269" s="23"/>
    </row>
    <row r="270" spans="4:66" x14ac:dyDescent="0.25">
      <c r="D270" s="21" t="s">
        <v>239</v>
      </c>
      <c r="E270" s="21" t="s">
        <v>201</v>
      </c>
      <c r="F270" s="21" t="s">
        <v>202</v>
      </c>
      <c r="G270" s="21">
        <v>1</v>
      </c>
      <c r="V270" s="1"/>
      <c r="BN270" s="23"/>
    </row>
    <row r="273" spans="4:66" x14ac:dyDescent="0.25">
      <c r="D273" s="1" t="s">
        <v>203</v>
      </c>
    </row>
    <row r="274" spans="4:66" x14ac:dyDescent="0.25">
      <c r="D274" s="21" t="s">
        <v>234</v>
      </c>
      <c r="E274" s="21" t="s">
        <v>192</v>
      </c>
      <c r="F274" s="21" t="s">
        <v>193</v>
      </c>
      <c r="G274" s="21" t="s">
        <v>186</v>
      </c>
      <c r="V274" s="1"/>
      <c r="BN274" s="23"/>
    </row>
    <row r="275" spans="4:66" x14ac:dyDescent="0.25">
      <c r="D275" s="21" t="s">
        <v>240</v>
      </c>
      <c r="E275" s="21" t="s">
        <v>204</v>
      </c>
      <c r="F275" s="21" t="s">
        <v>188</v>
      </c>
      <c r="G275" s="21">
        <v>5</v>
      </c>
      <c r="V275" s="1"/>
      <c r="BN275" s="23"/>
    </row>
    <row r="276" spans="4:66" x14ac:dyDescent="0.25">
      <c r="D276" s="21" t="s">
        <v>241</v>
      </c>
      <c r="E276" s="21" t="s">
        <v>205</v>
      </c>
      <c r="F276" s="21" t="s">
        <v>206</v>
      </c>
      <c r="G276" s="21">
        <v>4</v>
      </c>
      <c r="V276" s="1"/>
      <c r="BN276" s="23"/>
    </row>
    <row r="277" spans="4:66" x14ac:dyDescent="0.25">
      <c r="D277" s="21" t="s">
        <v>242</v>
      </c>
      <c r="E277" s="21" t="s">
        <v>207</v>
      </c>
      <c r="F277" s="21" t="s">
        <v>208</v>
      </c>
      <c r="G277" s="21">
        <v>3</v>
      </c>
      <c r="V277" s="1"/>
      <c r="BN277" s="23"/>
    </row>
    <row r="278" spans="4:66" x14ac:dyDescent="0.25">
      <c r="D278" s="21" t="s">
        <v>243</v>
      </c>
      <c r="E278" s="21" t="s">
        <v>209</v>
      </c>
      <c r="F278" s="21" t="s">
        <v>210</v>
      </c>
      <c r="G278" s="21">
        <v>2</v>
      </c>
      <c r="V278" s="1"/>
      <c r="BN278" s="23"/>
    </row>
    <row r="279" spans="4:66" x14ac:dyDescent="0.25">
      <c r="D279" s="21" t="s">
        <v>244</v>
      </c>
      <c r="E279" s="21" t="s">
        <v>211</v>
      </c>
      <c r="F279" s="21" t="s">
        <v>212</v>
      </c>
      <c r="G279" s="21">
        <v>1</v>
      </c>
      <c r="V279" s="1"/>
      <c r="BN279" s="23"/>
    </row>
    <row r="282" spans="4:66" x14ac:dyDescent="0.25">
      <c r="D282" s="1" t="s">
        <v>213</v>
      </c>
    </row>
    <row r="283" spans="4:66" x14ac:dyDescent="0.25">
      <c r="D283" s="21" t="s">
        <v>234</v>
      </c>
      <c r="E283" s="21" t="s">
        <v>192</v>
      </c>
      <c r="F283" s="21" t="s">
        <v>193</v>
      </c>
      <c r="G283" s="21" t="s">
        <v>186</v>
      </c>
      <c r="V283" s="1"/>
      <c r="BN283" s="23"/>
    </row>
    <row r="284" spans="4:66" x14ac:dyDescent="0.25">
      <c r="D284" s="21" t="s">
        <v>245</v>
      </c>
      <c r="E284" s="21" t="s">
        <v>214</v>
      </c>
      <c r="F284" s="21" t="s">
        <v>215</v>
      </c>
      <c r="G284" s="21">
        <v>5</v>
      </c>
      <c r="V284" s="1"/>
      <c r="BN284" s="23"/>
    </row>
    <row r="285" spans="4:66" x14ac:dyDescent="0.25">
      <c r="D285" s="21" t="s">
        <v>246</v>
      </c>
      <c r="E285" s="21" t="s">
        <v>216</v>
      </c>
      <c r="F285" s="21" t="s">
        <v>217</v>
      </c>
      <c r="G285" s="21">
        <v>4</v>
      </c>
      <c r="V285" s="1"/>
      <c r="BN285" s="23"/>
    </row>
    <row r="286" spans="4:66" x14ac:dyDescent="0.25">
      <c r="D286" s="21" t="s">
        <v>247</v>
      </c>
      <c r="E286" s="21" t="s">
        <v>218</v>
      </c>
      <c r="F286" s="21" t="s">
        <v>189</v>
      </c>
      <c r="G286" s="21">
        <v>3</v>
      </c>
      <c r="V286" s="1"/>
      <c r="BN286" s="23"/>
    </row>
    <row r="287" spans="4:66" x14ac:dyDescent="0.25">
      <c r="D287" s="21" t="s">
        <v>248</v>
      </c>
      <c r="E287" s="21" t="s">
        <v>219</v>
      </c>
      <c r="F287" s="21" t="s">
        <v>220</v>
      </c>
      <c r="G287" s="21">
        <v>2</v>
      </c>
      <c r="V287" s="1"/>
      <c r="BN287" s="23"/>
    </row>
    <row r="288" spans="4:66" x14ac:dyDescent="0.25">
      <c r="D288" s="21" t="s">
        <v>249</v>
      </c>
      <c r="E288" s="21" t="s">
        <v>221</v>
      </c>
      <c r="F288" s="21" t="s">
        <v>222</v>
      </c>
      <c r="G288" s="21">
        <v>1</v>
      </c>
      <c r="V288" s="1"/>
      <c r="BN288" s="23"/>
    </row>
    <row r="291" spans="4:66" x14ac:dyDescent="0.25">
      <c r="D291" s="1" t="s">
        <v>223</v>
      </c>
    </row>
    <row r="292" spans="4:66" x14ac:dyDescent="0.25">
      <c r="D292" s="21" t="s">
        <v>234</v>
      </c>
      <c r="E292" s="21" t="s">
        <v>192</v>
      </c>
      <c r="F292" s="21" t="s">
        <v>193</v>
      </c>
      <c r="G292" s="21" t="s">
        <v>186</v>
      </c>
      <c r="V292" s="1"/>
      <c r="BN292" s="23"/>
    </row>
    <row r="293" spans="4:66" x14ac:dyDescent="0.25">
      <c r="D293" s="21" t="s">
        <v>250</v>
      </c>
      <c r="E293" s="21" t="s">
        <v>224</v>
      </c>
      <c r="F293" s="21" t="s">
        <v>225</v>
      </c>
      <c r="G293" s="21">
        <v>5</v>
      </c>
      <c r="V293" s="1"/>
      <c r="BN293" s="23"/>
    </row>
    <row r="294" spans="4:66" x14ac:dyDescent="0.25">
      <c r="D294" s="21" t="s">
        <v>251</v>
      </c>
      <c r="E294" s="21" t="s">
        <v>226</v>
      </c>
      <c r="F294" s="21" t="s">
        <v>227</v>
      </c>
      <c r="G294" s="21">
        <v>4</v>
      </c>
      <c r="V294" s="1"/>
      <c r="BN294" s="23"/>
    </row>
    <row r="295" spans="4:66" x14ac:dyDescent="0.25">
      <c r="D295" s="21" t="s">
        <v>252</v>
      </c>
      <c r="E295" s="21" t="s">
        <v>228</v>
      </c>
      <c r="F295" s="21" t="s">
        <v>229</v>
      </c>
      <c r="G295" s="21">
        <v>3</v>
      </c>
      <c r="V295" s="1"/>
      <c r="BN295" s="23"/>
    </row>
    <row r="296" spans="4:66" x14ac:dyDescent="0.25">
      <c r="D296" s="21" t="s">
        <v>253</v>
      </c>
      <c r="E296" s="21" t="s">
        <v>230</v>
      </c>
      <c r="F296" s="21" t="s">
        <v>231</v>
      </c>
      <c r="G296" s="21">
        <v>2</v>
      </c>
      <c r="V296" s="1"/>
      <c r="BN296" s="23"/>
    </row>
    <row r="297" spans="4:66" x14ac:dyDescent="0.25">
      <c r="D297" s="21" t="s">
        <v>254</v>
      </c>
      <c r="E297" s="21" t="s">
        <v>232</v>
      </c>
      <c r="F297" s="21" t="s">
        <v>233</v>
      </c>
      <c r="G297" s="21">
        <v>1</v>
      </c>
      <c r="V297" s="1"/>
      <c r="BN297" s="23"/>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z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0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Q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F0ALAAiAHAAcgBvAGoAZQBjAHQATgBhAG0AZQBzACIAOgBb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59</vt:i4>
      </vt:variant>
    </vt:vector>
  </HeadingPairs>
  <TitlesOfParts>
    <vt:vector size="68" baseType="lpstr">
      <vt:lpstr>Home</vt:lpstr>
      <vt:lpstr>Results - Activity period</vt:lpstr>
      <vt:lpstr>Results - Product EI</vt:lpstr>
      <vt:lpstr>Input - Site</vt:lpstr>
      <vt:lpstr>Input - Enterprise</vt:lpstr>
      <vt:lpstr>Input - Crop</vt:lpstr>
      <vt:lpstr>Input - Fert Prod System</vt:lpstr>
      <vt:lpstr>Input - Data quality</vt:lpstr>
      <vt:lpstr>Constants - Common</vt:lpstr>
      <vt:lpstr>Common_SourceData_DensityOfMethane_Data</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X_Cell_BaledHayYield</vt:lpstr>
      <vt:lpstr>X_Cell_Crop_AreaUnderCropping</vt:lpstr>
      <vt:lpstr>X_Cell_Crop_AverageWeightPerBale</vt:lpstr>
      <vt:lpstr>X_Cell_Crop_CropPurpose</vt:lpstr>
      <vt:lpstr>X_Cell_Crop_CropType</vt:lpstr>
      <vt:lpstr>X_Cell_Crop_PercentResidueBaled</vt:lpstr>
      <vt:lpstr>X_Cell_Crop_PercentResidueBurned</vt:lpstr>
      <vt:lpstr>X_Cell_Crop_TotalResidueBaled</vt:lpstr>
      <vt:lpstr>X_Cell_Enterprise_GrainYield</vt:lpstr>
      <vt:lpstr>X_Cell_Enterprise_PercentGrainSold</vt:lpstr>
      <vt:lpstr>X_Cell_Enterprise_PercentGrainUsedAsFeed</vt:lpstr>
      <vt:lpstr>X_Cell_Enterprise_PercentIncomeFromBaledHaySilage</vt:lpstr>
      <vt:lpstr>X_Cell_Enterprise_PercentIncomeFromGrain</vt:lpstr>
      <vt:lpstr>X_Cell_Enterprise_ProductionTimeframeEnd</vt:lpstr>
      <vt:lpstr>X_Cell_Enterprise_ProductionTimeframeStart</vt:lpstr>
      <vt:lpstr>X_Cell_Fertiliser_AreaUnderCropping</vt:lpstr>
      <vt:lpstr>X_Cell_Fertiliser_CropType</vt:lpstr>
      <vt:lpstr>X_Cell_Fertiliser_IrrigationMethod</vt:lpstr>
      <vt:lpstr>X_Cell_Fertiliser_ProductionSystem</vt:lpstr>
      <vt:lpstr>X_Cell_PercentBaledHaySold</vt:lpstr>
      <vt:lpstr>X_Cell_PercentBaledHayUsedOnFarm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2026-09-02T07:26:12Z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