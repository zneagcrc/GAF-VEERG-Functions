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htdocs\zneagcrc\GAF-VEERG-Functions\Excel\Enterprises\"/>
    </mc:Choice>
  </mc:AlternateContent>
  <xr:revisionPtr revIDLastSave="0" documentId="13_ncr:1_{E7F744B8-BD9B-4AAA-A7C5-BF3406B1F1B2}" xr6:coauthVersionLast="47" xr6:coauthVersionMax="47" xr10:uidLastSave="{00000000-0000-0000-0000-000000000000}"/>
  <bookViews>
    <workbookView xWindow="1200" yWindow="360" windowWidth="36330" windowHeight="19485" firstSheet="1" activeTab="4" xr2:uid="{992023F3-CAB7-4E5B-A348-08D563A0EF40}"/>
  </bookViews>
  <sheets>
    <sheet name="Home" sheetId="71" r:id="rId1"/>
    <sheet name="Results - Activity period" sheetId="13" r:id="rId2"/>
    <sheet name="Results - Product EI" sheetId="81" r:id="rId3"/>
    <sheet name="Input - Site" sheetId="75" r:id="rId4"/>
    <sheet name="Input - Enterprise" sheetId="72" r:id="rId5"/>
    <sheet name="Input - Fert Prod System" sheetId="76" r:id="rId6"/>
    <sheet name="Input - Livestock sales" sheetId="77" r:id="rId7"/>
    <sheet name="Input - Data quality" sheetId="78" r:id="rId8"/>
    <sheet name="Constants - Common" sheetId="79" r:id="rId9"/>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_xlpm.rows, IF(_xlpm.n = 0, "", _xlfn.HSTACK(_xlpm.startsText &amp; " to " &amp; _xlpm.endsText &amp; _xlpm.tag)), _xlpm.rows))</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[0]!Common_InputFunctions.Utility_GetArrayTableRowStartNumber(_xlpm.TableheaderCell, _xlpm.RowsBetweenHeaderandArray), COLUMN() - [0]!Common_InputFunctions.Utility_GetArrayTableColumnStartNumber(_xlpm.TableheaderCell)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TwoColumns">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8">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8">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8">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8">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8">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Result_CarbonRemovalsFromPlantings">'Input - Enterprise'!$E$73</definedName>
    <definedName name="Result_EmissionsForWholeProductionCycle_Gross_Method1">'Input - Enterprise'!$E$60</definedName>
    <definedName name="Result_EmissionsForWholeProductionCycle_Gross_Method2">'Input - Enterprise'!$F$60</definedName>
    <definedName name="Result_EmissionsForWholeProductionCycle_Net_Method1">'Input - Enterprise'!$E$84</definedName>
    <definedName name="Result_EmissionsForWholeProductionCycle_Net_Method2">'Input - Enterprise'!$F$84</definedName>
    <definedName name="Result_Enterprise_Gross_Method1">'Results - Activity period'!$E$67</definedName>
    <definedName name="Result_Enterprise_Gross_Method2">'Results - Activity period'!$F$67</definedName>
    <definedName name="Result_Enterprise_Net_Method1">'Results - Activity period'!$E$68</definedName>
    <definedName name="Result_Enterprise_Net_Method2">'Results - Activity period'!$F$68</definedName>
    <definedName name="Result_Enterprise_Removals">'Results - Activity period'!$E$61</definedName>
    <definedName name="Result_Enterprise_Scope1_Method1">'Results - Activity period'!$H$28</definedName>
    <definedName name="Result_Enterprise_Scope1_Method2">'Results - Activity period'!$I$28</definedName>
    <definedName name="Result_Enterprise_Scope2_Method1">'Results - Activity period'!$H$35</definedName>
    <definedName name="Result_Enterprise_Scope2_Method2">'Results - Activity period'!$I$35</definedName>
    <definedName name="Result_Enterprise_Scope3_Method1">'Results - Activity period'!$H$56</definedName>
    <definedName name="Result_Enterprise_Scope3_Method2">'Results - Activity period'!$I$56</definedName>
    <definedName name="Result_NetEmissions_Method1">'Results - Product EI'!$E$37</definedName>
    <definedName name="Result_NetEmissions_Method2">'Results - Product EI'!$F$37</definedName>
    <definedName name="X_Cell_Enteprise_LiveweightGrown_Method1">'Input - Enterprise'!$E$23</definedName>
    <definedName name="X_Cell_Enteprise_LiveweightGrown_Method2">'Input - Enterprise'!$E$24</definedName>
    <definedName name="X_Cell_Enteprise_ManureProduced_Method1">'Input - Enterprise'!$E$25</definedName>
    <definedName name="X_Cell_Enteprise_ManureProduced_Method2">'Input - Enterprise'!$E$26</definedName>
    <definedName name="X_Cell_Enteprise_PercentIncomeFromLiveweight">'Input - Enterprise'!$E$31</definedName>
    <definedName name="X_Cell_Enteprise_PercentIncomeFromManure">'Input - Enterprise'!$E$32</definedName>
    <definedName name="X_Cell_Enteprise_PercentManureAppliedAsFertiliserOwnFarm">'Input - Enterprise'!$E$28</definedName>
    <definedName name="X_Cell_Enteprise_PercentManureAppliedAsWaste">'Input - Enterprise'!$E$29</definedName>
    <definedName name="X_Cell_Enteprise_PercentManureSold">'Input - Enterprise'!$E$27</definedName>
    <definedName name="X_Cell_Enterprise_LiveweightSold">'Input - Enterprise'!$E$22</definedName>
    <definedName name="X_Cell_Enterprise_ProductionTimeframeEnd">'Input - Enterprise'!$E$19</definedName>
    <definedName name="X_Cell_Enterprise_ProductionTimeframeLength">'Input - Enterprise'!$E$20</definedName>
    <definedName name="X_Cell_Enterprise_ProductionTimeframeStart">'Input - Enterprise'!$E$18</definedName>
    <definedName name="X_Cell_Fertiliser_AreaUnderCropping">'Input - Fert Prod System'!$E$10</definedName>
    <definedName name="X_Cell_Fertiliser_CropType">'Input - Fert Prod System'!$E$8</definedName>
    <definedName name="X_Cell_Fertiliser_IrrigationMethod">'Input - Fert Prod System'!$E$9</definedName>
    <definedName name="X_Cell_Fertiliser_ProductionSystem">'Input - Fert Prod System'!$E$7</definedName>
    <definedName name="X_Cell_Site_AverageTemperature">'Input - Site'!$E$14</definedName>
    <definedName name="X_Cell_Site_ClimateZone">'Input - Site'!$E$20</definedName>
    <definedName name="X_Cell_Site_Elevation">'Input - Site'!$E$13</definedName>
    <definedName name="X_Cell_Site_EndDate">'Input - Enterprise'!$E$13</definedName>
    <definedName name="X_Cell_Site_FarmName">'Input - Enterprise'!$E$7</definedName>
    <definedName name="X_Cell_Site_FrostDays">'Input - Site'!$E$17</definedName>
    <definedName name="X_Cell_Site_LeachingZone">'Input - Site'!$E$12</definedName>
    <definedName name="X_Cell_Site_MapPetRatio">'Input - Site'!$E$18</definedName>
    <definedName name="X_Cell_Site_PotentialEvapotranspiration">'Input - Site'!$E$16</definedName>
    <definedName name="X_Cell_Site_RainfallZone">'Input - Site'!$E$19</definedName>
    <definedName name="X_Cell_Site_Region">'Input - Site'!$E$11</definedName>
    <definedName name="X_Cell_Site_ReportingEntityName">'Input - Enterprise'!$E$8</definedName>
    <definedName name="X_Cell_Site_StartDate">'Input - Enterprise'!$E$12</definedName>
    <definedName name="X_Cell_Site_State">'Input - Site'!$E$10</definedName>
    <definedName name="X_Cell_Site_TemperatureZone">'Input - Site'!$E$22</definedName>
    <definedName name="X_Cell_Site_TotalRainfall">'Input - Site'!$E$15</definedName>
    <definedName name="X_Cell_Site_WetOrDryClimateZone">'Input - Site'!$E$21</definedName>
    <definedName name="X_ResultsTable_ActivityPeriod_Scope1">'Results - Activity period'!$D$8:$J$34</definedName>
    <definedName name="X_Table_Result_ActivityPeriodEmissions_RowsToCols">'Input - Enterprise'!$D$54:$F$59</definedName>
    <definedName name="X_Table_Result_CarbonRemovalsFromPlantings_RowsToCols">'Input - Enterprise'!$D$67:$E$72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7" i="81" l="1"/>
  <c r="E37" i="81"/>
  <c r="F83" i="72"/>
  <c r="F82" i="72"/>
  <c r="F81" i="72"/>
  <c r="F80" i="72"/>
  <c r="F79" i="72"/>
  <c r="E83" i="72"/>
  <c r="E82" i="72"/>
  <c r="E81" i="72"/>
  <c r="E79" i="72"/>
  <c r="E80" i="72"/>
  <c r="D79" i="72" a="1"/>
  <c r="D76" i="72"/>
  <c r="D79" i="78"/>
  <c r="J79" i="78"/>
  <c r="D79" i="72" l="1"/>
  <c r="I9" i="13" a="1"/>
  <c r="I9" i="13" s="1"/>
  <c r="I40" i="13"/>
  <c r="D80" i="78"/>
  <c r="D78" i="78"/>
  <c r="D77" i="78"/>
  <c r="D76" i="78"/>
  <c r="D69" i="78"/>
  <c r="D68" i="78"/>
  <c r="D67" i="78"/>
  <c r="D66" i="78"/>
  <c r="D60" i="78"/>
  <c r="D59" i="78"/>
  <c r="D58" i="78"/>
  <c r="D57" i="78"/>
  <c r="D51" i="78"/>
  <c r="D50" i="78"/>
  <c r="D49" i="78"/>
  <c r="D48" i="78"/>
  <c r="D47" i="78"/>
  <c r="D41" i="78"/>
  <c r="D40" i="78"/>
  <c r="D39" i="78"/>
  <c r="D38" i="78"/>
  <c r="D37" i="78"/>
  <c r="D36" i="78"/>
  <c r="D35" i="78"/>
  <c r="D34" i="78"/>
  <c r="D33" i="78"/>
  <c r="D32" i="78"/>
  <c r="D31" i="78"/>
  <c r="D30" i="78"/>
  <c r="D24" i="78"/>
  <c r="D23" i="78"/>
  <c r="D22" i="78"/>
  <c r="D21" i="78"/>
  <c r="D20" i="78"/>
  <c r="D19" i="78"/>
  <c r="D13" i="78"/>
  <c r="D12" i="78"/>
  <c r="D11" i="78"/>
  <c r="D10" i="78"/>
  <c r="D9" i="78"/>
  <c r="D8" i="78"/>
  <c r="E36" i="81"/>
  <c r="F84" i="72" l="1"/>
  <c r="E84" i="72"/>
  <c r="E68" i="13"/>
  <c r="E67" i="13"/>
  <c r="F44" i="81"/>
  <c r="G44" i="81"/>
  <c r="E52" i="13" a="1"/>
  <c r="E52" i="13" s="1"/>
  <c r="D52" i="13" a="1"/>
  <c r="D52" i="13"/>
  <c r="G60" i="81"/>
  <c r="H54" i="81"/>
  <c r="H52" i="81"/>
  <c r="F60" i="81"/>
  <c r="G48" i="81"/>
  <c r="G56" i="81" s="1"/>
  <c r="G46" i="81"/>
  <c r="G47" i="81" s="1"/>
  <c r="G55" i="81" s="1"/>
  <c r="F48" i="81"/>
  <c r="F46" i="81"/>
  <c r="D34" i="13" a="1"/>
  <c r="D34" i="13" s="1"/>
  <c r="E34" i="13" a="1"/>
  <c r="E34" i="13" s="1"/>
  <c r="F34" i="13" s="1"/>
  <c r="G54" i="81" l="1"/>
  <c r="I46" i="81"/>
  <c r="I47" i="81" s="1"/>
  <c r="I44" i="81"/>
  <c r="I45" i="81" s="1"/>
  <c r="G52" i="81"/>
  <c r="G45" i="81"/>
  <c r="G53" i="81" s="1"/>
  <c r="I47" i="13" l="1"/>
  <c r="I42" i="13"/>
  <c r="H54" i="13"/>
  <c r="H48" i="13"/>
  <c r="H42" i="13"/>
  <c r="F55" i="13" a="1"/>
  <c r="F55" i="13" s="1"/>
  <c r="I55" i="13" s="1"/>
  <c r="E55" i="13" a="1"/>
  <c r="E55" i="13" s="1"/>
  <c r="H55" i="13" s="1"/>
  <c r="F53" i="13" a="1"/>
  <c r="F53" i="13" s="1"/>
  <c r="I53" i="13" s="1"/>
  <c r="E53" i="13" a="1"/>
  <c r="E53" i="13"/>
  <c r="H53" i="13" s="1"/>
  <c r="E54" i="13" a="1"/>
  <c r="E54" i="13" s="1"/>
  <c r="F54" i="13" s="1"/>
  <c r="I54" i="13" s="1"/>
  <c r="F52" i="13"/>
  <c r="I52" i="13" s="1"/>
  <c r="E51" i="13" a="1"/>
  <c r="E51" i="13" s="1"/>
  <c r="F51" i="13" s="1"/>
  <c r="I51" i="13" s="1"/>
  <c r="F50" i="13" a="1"/>
  <c r="F50" i="13" s="1"/>
  <c r="I50" i="13" s="1"/>
  <c r="E50" i="13" a="1"/>
  <c r="E50" i="13"/>
  <c r="H50" i="13" s="1"/>
  <c r="F49" i="13" a="1"/>
  <c r="F49" i="13" s="1"/>
  <c r="I49" i="13" s="1"/>
  <c r="E49" i="13" a="1"/>
  <c r="E49" i="13" s="1"/>
  <c r="H49" i="13" s="1"/>
  <c r="F48" i="13" a="1"/>
  <c r="F48" i="13" s="1"/>
  <c r="I48" i="13" s="1"/>
  <c r="E48" i="13" a="1"/>
  <c r="E48" i="13" s="1"/>
  <c r="F47" i="13" a="1"/>
  <c r="F47" i="13" s="1"/>
  <c r="E47" i="13" a="1"/>
  <c r="E47" i="13"/>
  <c r="H47" i="13" s="1"/>
  <c r="F46" i="13" a="1"/>
  <c r="F46" i="13" s="1"/>
  <c r="I46" i="13" s="1"/>
  <c r="E46" i="13" a="1"/>
  <c r="E46" i="13" s="1"/>
  <c r="H46" i="13" s="1"/>
  <c r="F45" i="13" a="1"/>
  <c r="F45" i="13"/>
  <c r="I45" i="13" s="1"/>
  <c r="E45" i="13" a="1"/>
  <c r="E45" i="13" s="1"/>
  <c r="H45" i="13" s="1"/>
  <c r="F44" i="13" a="1"/>
  <c r="F44" i="13" s="1"/>
  <c r="I44" i="13" s="1"/>
  <c r="E44" i="13" a="1"/>
  <c r="E44" i="13" s="1"/>
  <c r="H44" i="13" s="1"/>
  <c r="F43" i="13" a="1"/>
  <c r="F43" i="13" s="1"/>
  <c r="I43" i="13" s="1"/>
  <c r="E43" i="13" a="1"/>
  <c r="E43" i="13" s="1"/>
  <c r="H43" i="13" s="1"/>
  <c r="F42" i="13" a="1"/>
  <c r="F42" i="13" s="1"/>
  <c r="E42" i="13" a="1"/>
  <c r="E42" i="13" s="1"/>
  <c r="F41" i="13" a="1"/>
  <c r="F41" i="13"/>
  <c r="I41" i="13" s="1"/>
  <c r="E41" i="13" a="1"/>
  <c r="E41" i="13" s="1"/>
  <c r="H41" i="13" s="1"/>
  <c r="F40" i="13" a="1"/>
  <c r="F40" i="13"/>
  <c r="I56" i="13" s="1"/>
  <c r="E40" i="13" a="1"/>
  <c r="E40" i="13"/>
  <c r="H40" i="13" s="1"/>
  <c r="H56" i="13" s="1"/>
  <c r="H52" i="13" l="1"/>
  <c r="H51" i="13"/>
  <c r="D64" i="13"/>
  <c r="D32" i="81"/>
  <c r="D40" i="81"/>
  <c r="F56" i="81"/>
  <c r="H55" i="81"/>
  <c r="F54" i="81"/>
  <c r="H53" i="81"/>
  <c r="F47" i="81"/>
  <c r="F55" i="81" s="1"/>
  <c r="H46" i="81"/>
  <c r="H47" i="81" s="1"/>
  <c r="F45" i="81"/>
  <c r="F53" i="81" s="1"/>
  <c r="D4" i="13"/>
  <c r="D59" i="13"/>
  <c r="E72" i="72"/>
  <c r="E71" i="72"/>
  <c r="E70" i="72"/>
  <c r="G43" i="72"/>
  <c r="E69" i="72" s="1"/>
  <c r="D49" i="72"/>
  <c r="D65" i="72"/>
  <c r="D68" i="72" a="1"/>
  <c r="D51" i="72" a="1"/>
  <c r="D51" i="72" s="1"/>
  <c r="D55" i="72" a="1"/>
  <c r="E58" i="72"/>
  <c r="F58" i="72"/>
  <c r="E59" i="72"/>
  <c r="F59" i="72"/>
  <c r="J80" i="78"/>
  <c r="J78" i="78"/>
  <c r="J77" i="78"/>
  <c r="J76" i="78"/>
  <c r="J69" i="78"/>
  <c r="J68" i="78"/>
  <c r="J67" i="78"/>
  <c r="J66" i="78"/>
  <c r="J71" i="78" s="1"/>
  <c r="J82" i="78" l="1"/>
  <c r="E61" i="13"/>
  <c r="H44" i="81"/>
  <c r="H45" i="81" s="1"/>
  <c r="F52" i="81"/>
  <c r="D68" i="72"/>
  <c r="F57" i="72"/>
  <c r="E57" i="72"/>
  <c r="D55" i="72"/>
  <c r="J8" i="78"/>
  <c r="J15" i="78" s="1"/>
  <c r="J60" i="78"/>
  <c r="J59" i="78"/>
  <c r="J58" i="78"/>
  <c r="J62" i="78" s="1"/>
  <c r="J57" i="78"/>
  <c r="J47" i="78"/>
  <c r="J51" i="78"/>
  <c r="J53" i="78" s="1"/>
  <c r="J50" i="78"/>
  <c r="J49" i="78"/>
  <c r="J48" i="78"/>
  <c r="J31" i="78"/>
  <c r="J41" i="78"/>
  <c r="J40" i="78"/>
  <c r="J39" i="78"/>
  <c r="J38" i="78"/>
  <c r="J37" i="78"/>
  <c r="J36" i="78"/>
  <c r="J35" i="78"/>
  <c r="J34" i="78"/>
  <c r="J33" i="78"/>
  <c r="J32" i="78"/>
  <c r="J30" i="78"/>
  <c r="J19" i="78"/>
  <c r="J24" i="78"/>
  <c r="J23" i="78"/>
  <c r="J22" i="78"/>
  <c r="J21" i="78"/>
  <c r="J20" i="78"/>
  <c r="J26" i="78" s="1"/>
  <c r="J9" i="78"/>
  <c r="J13" i="78"/>
  <c r="J12" i="78"/>
  <c r="J11" i="78"/>
  <c r="J10" i="78"/>
  <c r="E259" i="79" a="1"/>
  <c r="E259" i="79" s="1"/>
  <c r="D259" i="79" a="1"/>
  <c r="D259" i="79" s="1"/>
  <c r="E258" i="79" a="1"/>
  <c r="E258" i="79" s="1"/>
  <c r="D258" i="79" a="1"/>
  <c r="D258" i="79" s="1"/>
  <c r="D256" i="79" a="1"/>
  <c r="D256" i="79" s="1"/>
  <c r="D255" i="79" a="1"/>
  <c r="D255" i="79" s="1"/>
  <c r="D254" i="79" a="1"/>
  <c r="D254" i="79" s="1"/>
  <c r="D253" i="79" a="1"/>
  <c r="D253" i="79" s="1"/>
  <c r="S250" i="79" a="1"/>
  <c r="S250" i="79" s="1"/>
  <c r="R250" i="79" a="1"/>
  <c r="R250" i="79" s="1"/>
  <c r="Q250" i="79" a="1"/>
  <c r="Q250" i="79" s="1"/>
  <c r="P250" i="79" a="1"/>
  <c r="P250" i="79" s="1"/>
  <c r="O250" i="79" a="1"/>
  <c r="O250" i="79" s="1"/>
  <c r="N250" i="79" a="1"/>
  <c r="N250" i="79" s="1"/>
  <c r="M250" i="79" a="1"/>
  <c r="M250" i="79" s="1"/>
  <c r="L250" i="79" a="1"/>
  <c r="L250" i="79" s="1"/>
  <c r="K250" i="79" a="1"/>
  <c r="K250" i="79" s="1"/>
  <c r="J250" i="79" a="1"/>
  <c r="J250" i="79" s="1"/>
  <c r="I250" i="79" a="1"/>
  <c r="I250" i="79" s="1"/>
  <c r="H250" i="79" a="1"/>
  <c r="H250" i="79" s="1"/>
  <c r="G250" i="79" a="1"/>
  <c r="G250" i="79" s="1"/>
  <c r="F250" i="79" a="1"/>
  <c r="F250" i="79" s="1"/>
  <c r="E250" i="79" a="1"/>
  <c r="E250" i="79" s="1"/>
  <c r="D250" i="79" a="1"/>
  <c r="D250" i="79" s="1"/>
  <c r="S249" i="79" a="1"/>
  <c r="S249" i="79" s="1"/>
  <c r="R249" i="79" a="1"/>
  <c r="R249" i="79" s="1"/>
  <c r="Q249" i="79" a="1"/>
  <c r="Q249" i="79" s="1"/>
  <c r="P249" i="79" a="1"/>
  <c r="P249" i="79" s="1"/>
  <c r="O249" i="79" a="1"/>
  <c r="O249" i="79" s="1"/>
  <c r="N249" i="79" a="1"/>
  <c r="N249" i="79" s="1"/>
  <c r="M249" i="79" a="1"/>
  <c r="M249" i="79" s="1"/>
  <c r="L249" i="79" a="1"/>
  <c r="L249" i="79" s="1"/>
  <c r="K249" i="79" a="1"/>
  <c r="K249" i="79" s="1"/>
  <c r="J249" i="79" a="1"/>
  <c r="J249" i="79" s="1"/>
  <c r="I249" i="79" a="1"/>
  <c r="I249" i="79" s="1"/>
  <c r="H249" i="79" a="1"/>
  <c r="H249" i="79" s="1"/>
  <c r="G249" i="79" a="1"/>
  <c r="G249" i="79" s="1"/>
  <c r="F249" i="79" a="1"/>
  <c r="F249" i="79" s="1"/>
  <c r="E249" i="79" a="1"/>
  <c r="E249" i="79" s="1"/>
  <c r="D249" i="79" a="1"/>
  <c r="D249" i="79" s="1"/>
  <c r="S248" i="79" a="1"/>
  <c r="S248" i="79" s="1"/>
  <c r="R248" i="79" a="1"/>
  <c r="R248" i="79" s="1"/>
  <c r="Q248" i="79" a="1"/>
  <c r="Q248" i="79" s="1"/>
  <c r="P248" i="79" a="1"/>
  <c r="P248" i="79" s="1"/>
  <c r="O248" i="79" a="1"/>
  <c r="O248" i="79" s="1"/>
  <c r="N248" i="79" a="1"/>
  <c r="N248" i="79" s="1"/>
  <c r="M248" i="79" a="1"/>
  <c r="M248" i="79" s="1"/>
  <c r="L248" i="79" a="1"/>
  <c r="L248" i="79" s="1"/>
  <c r="K248" i="79" a="1"/>
  <c r="K248" i="79" s="1"/>
  <c r="J248" i="79" a="1"/>
  <c r="J248" i="79" s="1"/>
  <c r="I248" i="79" a="1"/>
  <c r="I248" i="79" s="1"/>
  <c r="H248" i="79" a="1"/>
  <c r="H248" i="79" s="1"/>
  <c r="G248" i="79" a="1"/>
  <c r="G248" i="79" s="1"/>
  <c r="F248" i="79" a="1"/>
  <c r="F248" i="79" s="1"/>
  <c r="E248" i="79" a="1"/>
  <c r="E248" i="79" s="1"/>
  <c r="D248" i="79" a="1"/>
  <c r="D248" i="79" s="1"/>
  <c r="S247" i="79" a="1"/>
  <c r="S247" i="79" s="1"/>
  <c r="R247" i="79" a="1"/>
  <c r="R247" i="79" s="1"/>
  <c r="Q247" i="79" a="1"/>
  <c r="Q247" i="79" s="1"/>
  <c r="P247" i="79" a="1"/>
  <c r="P247" i="79" s="1"/>
  <c r="O247" i="79" a="1"/>
  <c r="O247" i="79" s="1"/>
  <c r="N247" i="79" a="1"/>
  <c r="N247" i="79" s="1"/>
  <c r="M247" i="79" a="1"/>
  <c r="M247" i="79" s="1"/>
  <c r="L247" i="79" a="1"/>
  <c r="L247" i="79" s="1"/>
  <c r="K247" i="79" a="1"/>
  <c r="K247" i="79" s="1"/>
  <c r="J247" i="79" a="1"/>
  <c r="J247" i="79" s="1"/>
  <c r="I247" i="79" a="1"/>
  <c r="I247" i="79" s="1"/>
  <c r="H247" i="79" a="1"/>
  <c r="H247" i="79" s="1"/>
  <c r="G247" i="79" a="1"/>
  <c r="G247" i="79" s="1"/>
  <c r="F247" i="79" a="1"/>
  <c r="F247" i="79" s="1"/>
  <c r="E247" i="79" a="1"/>
  <c r="E247" i="79" s="1"/>
  <c r="D247" i="79" a="1"/>
  <c r="D247" i="79" s="1"/>
  <c r="S246" i="79" a="1"/>
  <c r="S246" i="79" s="1"/>
  <c r="R246" i="79" a="1"/>
  <c r="R246" i="79" s="1"/>
  <c r="Q246" i="79" a="1"/>
  <c r="Q246" i="79" s="1"/>
  <c r="P246" i="79" a="1"/>
  <c r="P246" i="79" s="1"/>
  <c r="O246" i="79" a="1"/>
  <c r="O246" i="79" s="1"/>
  <c r="N246" i="79" a="1"/>
  <c r="N246" i="79" s="1"/>
  <c r="M246" i="79" a="1"/>
  <c r="M246" i="79" s="1"/>
  <c r="L246" i="79" a="1"/>
  <c r="L246" i="79" s="1"/>
  <c r="K246" i="79" a="1"/>
  <c r="K246" i="79" s="1"/>
  <c r="J246" i="79" a="1"/>
  <c r="J246" i="79" s="1"/>
  <c r="I246" i="79" a="1"/>
  <c r="I246" i="79" s="1"/>
  <c r="H246" i="79" a="1"/>
  <c r="H246" i="79" s="1"/>
  <c r="G246" i="79" a="1"/>
  <c r="G246" i="79" s="1"/>
  <c r="F246" i="79" a="1"/>
  <c r="F246" i="79" s="1"/>
  <c r="E246" i="79" a="1"/>
  <c r="E246" i="79" s="1"/>
  <c r="D246" i="79" a="1"/>
  <c r="D246" i="79" s="1"/>
  <c r="S245" i="79" a="1"/>
  <c r="S245" i="79" s="1"/>
  <c r="R245" i="79" a="1"/>
  <c r="R245" i="79" s="1"/>
  <c r="Q245" i="79" a="1"/>
  <c r="Q245" i="79" s="1"/>
  <c r="P245" i="79" a="1"/>
  <c r="P245" i="79" s="1"/>
  <c r="O245" i="79" a="1"/>
  <c r="O245" i="79" s="1"/>
  <c r="N245" i="79" a="1"/>
  <c r="N245" i="79" s="1"/>
  <c r="M245" i="79" a="1"/>
  <c r="M245" i="79" s="1"/>
  <c r="L245" i="79" a="1"/>
  <c r="L245" i="79" s="1"/>
  <c r="K245" i="79" a="1"/>
  <c r="K245" i="79" s="1"/>
  <c r="J245" i="79" a="1"/>
  <c r="J245" i="79" s="1"/>
  <c r="I245" i="79" a="1"/>
  <c r="I245" i="79" s="1"/>
  <c r="H245" i="79" a="1"/>
  <c r="H245" i="79" s="1"/>
  <c r="G245" i="79" a="1"/>
  <c r="G245" i="79" s="1"/>
  <c r="F245" i="79" a="1"/>
  <c r="F245" i="79" s="1"/>
  <c r="E245" i="79" a="1"/>
  <c r="E245" i="79" s="1"/>
  <c r="D245" i="79" a="1"/>
  <c r="D245" i="79" s="1"/>
  <c r="S244" i="79" a="1"/>
  <c r="S244" i="79" s="1"/>
  <c r="R244" i="79" a="1"/>
  <c r="R244" i="79" s="1"/>
  <c r="Q244" i="79" a="1"/>
  <c r="Q244" i="79" s="1"/>
  <c r="P244" i="79" a="1"/>
  <c r="P244" i="79" s="1"/>
  <c r="O244" i="79" a="1"/>
  <c r="O244" i="79" s="1"/>
  <c r="N244" i="79" a="1"/>
  <c r="N244" i="79" s="1"/>
  <c r="M244" i="79" a="1"/>
  <c r="M244" i="79" s="1"/>
  <c r="L244" i="79" a="1"/>
  <c r="L244" i="79" s="1"/>
  <c r="K244" i="79" a="1"/>
  <c r="K244" i="79" s="1"/>
  <c r="J244" i="79" a="1"/>
  <c r="J244" i="79" s="1"/>
  <c r="I244" i="79" a="1"/>
  <c r="I244" i="79" s="1"/>
  <c r="H244" i="79" a="1"/>
  <c r="H244" i="79" s="1"/>
  <c r="G244" i="79" a="1"/>
  <c r="G244" i="79" s="1"/>
  <c r="F244" i="79" a="1"/>
  <c r="F244" i="79" s="1"/>
  <c r="E244" i="79" a="1"/>
  <c r="E244" i="79" s="1"/>
  <c r="D244" i="79" a="1"/>
  <c r="D244" i="79" s="1"/>
  <c r="S243" i="79" a="1"/>
  <c r="S243" i="79" s="1"/>
  <c r="R243" i="79" a="1"/>
  <c r="R243" i="79" s="1"/>
  <c r="Q243" i="79" a="1"/>
  <c r="Q243" i="79" s="1"/>
  <c r="P243" i="79" a="1"/>
  <c r="P243" i="79" s="1"/>
  <c r="O243" i="79" a="1"/>
  <c r="O243" i="79" s="1"/>
  <c r="N243" i="79" a="1"/>
  <c r="N243" i="79" s="1"/>
  <c r="M243" i="79" a="1"/>
  <c r="M243" i="79" s="1"/>
  <c r="L243" i="79" a="1"/>
  <c r="L243" i="79" s="1"/>
  <c r="K243" i="79" a="1"/>
  <c r="K243" i="79" s="1"/>
  <c r="J243" i="79" a="1"/>
  <c r="J243" i="79" s="1"/>
  <c r="I243" i="79" a="1"/>
  <c r="I243" i="79" s="1"/>
  <c r="H243" i="79" a="1"/>
  <c r="H243" i="79" s="1"/>
  <c r="G243" i="79" a="1"/>
  <c r="G243" i="79" s="1"/>
  <c r="F243" i="79" a="1"/>
  <c r="F243" i="79" s="1"/>
  <c r="E243" i="79" a="1"/>
  <c r="E243" i="79" s="1"/>
  <c r="D243" i="79" a="1"/>
  <c r="D243" i="79" s="1"/>
  <c r="S242" i="79" a="1"/>
  <c r="S242" i="79" s="1"/>
  <c r="R242" i="79" a="1"/>
  <c r="R242" i="79" s="1"/>
  <c r="Q242" i="79" a="1"/>
  <c r="Q242" i="79" s="1"/>
  <c r="P242" i="79" a="1"/>
  <c r="P242" i="79" s="1"/>
  <c r="O242" i="79" a="1"/>
  <c r="O242" i="79" s="1"/>
  <c r="N242" i="79" a="1"/>
  <c r="N242" i="79" s="1"/>
  <c r="M242" i="79" a="1"/>
  <c r="M242" i="79" s="1"/>
  <c r="L242" i="79" a="1"/>
  <c r="L242" i="79" s="1"/>
  <c r="K242" i="79" a="1"/>
  <c r="K242" i="79" s="1"/>
  <c r="J242" i="79" a="1"/>
  <c r="J242" i="79" s="1"/>
  <c r="I242" i="79" a="1"/>
  <c r="I242" i="79" s="1"/>
  <c r="H242" i="79" a="1"/>
  <c r="H242" i="79" s="1"/>
  <c r="G242" i="79" a="1"/>
  <c r="G242" i="79" s="1"/>
  <c r="F242" i="79" a="1"/>
  <c r="F242" i="79" s="1"/>
  <c r="E242" i="79" a="1"/>
  <c r="E242" i="79" s="1"/>
  <c r="D242" i="79" a="1"/>
  <c r="D242" i="79" s="1"/>
  <c r="S241" i="79" a="1"/>
  <c r="S241" i="79" s="1"/>
  <c r="R241" i="79" a="1"/>
  <c r="R241" i="79" s="1"/>
  <c r="Q241" i="79" a="1"/>
  <c r="Q241" i="79" s="1"/>
  <c r="P241" i="79" a="1"/>
  <c r="P241" i="79" s="1"/>
  <c r="O241" i="79" a="1"/>
  <c r="O241" i="79" s="1"/>
  <c r="N241" i="79" a="1"/>
  <c r="N241" i="79" s="1"/>
  <c r="M241" i="79" a="1"/>
  <c r="M241" i="79" s="1"/>
  <c r="L241" i="79" a="1"/>
  <c r="L241" i="79" s="1"/>
  <c r="K241" i="79" a="1"/>
  <c r="K241" i="79" s="1"/>
  <c r="J241" i="79" a="1"/>
  <c r="J241" i="79" s="1"/>
  <c r="I241" i="79" a="1"/>
  <c r="I241" i="79" s="1"/>
  <c r="H241" i="79" a="1"/>
  <c r="H241" i="79" s="1"/>
  <c r="G241" i="79" a="1"/>
  <c r="G241" i="79" s="1"/>
  <c r="F241" i="79" a="1"/>
  <c r="F241" i="79" s="1"/>
  <c r="E241" i="79" a="1"/>
  <c r="E241" i="79" s="1"/>
  <c r="D241" i="79" a="1"/>
  <c r="D241" i="79" s="1"/>
  <c r="S240" i="79" a="1"/>
  <c r="S240" i="79" s="1"/>
  <c r="R240" i="79" a="1"/>
  <c r="R240" i="79" s="1"/>
  <c r="Q240" i="79" a="1"/>
  <c r="Q240" i="79" s="1"/>
  <c r="P240" i="79" a="1"/>
  <c r="P240" i="79" s="1"/>
  <c r="O240" i="79" a="1"/>
  <c r="O240" i="79" s="1"/>
  <c r="N240" i="79" a="1"/>
  <c r="N240" i="79" s="1"/>
  <c r="M240" i="79" a="1"/>
  <c r="M240" i="79" s="1"/>
  <c r="L240" i="79" a="1"/>
  <c r="L240" i="79" s="1"/>
  <c r="K240" i="79" a="1"/>
  <c r="K240" i="79" s="1"/>
  <c r="J240" i="79" a="1"/>
  <c r="J240" i="79" s="1"/>
  <c r="I240" i="79" a="1"/>
  <c r="I240" i="79" s="1"/>
  <c r="H240" i="79" a="1"/>
  <c r="H240" i="79" s="1"/>
  <c r="G240" i="79" a="1"/>
  <c r="G240" i="79" s="1"/>
  <c r="F240" i="79" a="1"/>
  <c r="F240" i="79" s="1"/>
  <c r="E240" i="79" a="1"/>
  <c r="E240" i="79" s="1"/>
  <c r="D240" i="79" a="1"/>
  <c r="D240" i="79" s="1"/>
  <c r="S239" i="79" a="1"/>
  <c r="S239" i="79" s="1"/>
  <c r="R239" i="79" a="1"/>
  <c r="R239" i="79" s="1"/>
  <c r="Q239" i="79" a="1"/>
  <c r="Q239" i="79" s="1"/>
  <c r="P239" i="79" a="1"/>
  <c r="P239" i="79" s="1"/>
  <c r="O239" i="79" a="1"/>
  <c r="O239" i="79" s="1"/>
  <c r="N239" i="79" a="1"/>
  <c r="N239" i="79" s="1"/>
  <c r="M239" i="79" a="1"/>
  <c r="M239" i="79" s="1"/>
  <c r="L239" i="79" a="1"/>
  <c r="L239" i="79" s="1"/>
  <c r="K239" i="79" a="1"/>
  <c r="K239" i="79" s="1"/>
  <c r="J239" i="79" a="1"/>
  <c r="J239" i="79" s="1"/>
  <c r="I239" i="79" a="1"/>
  <c r="I239" i="79" s="1"/>
  <c r="H239" i="79" a="1"/>
  <c r="H239" i="79" s="1"/>
  <c r="G239" i="79" a="1"/>
  <c r="G239" i="79" s="1"/>
  <c r="F239" i="79" a="1"/>
  <c r="F239" i="79" s="1"/>
  <c r="E239" i="79" a="1"/>
  <c r="E239" i="79" s="1"/>
  <c r="D239" i="79" a="1"/>
  <c r="D239" i="79" s="1"/>
  <c r="S238" i="79" a="1"/>
  <c r="S238" i="79" s="1"/>
  <c r="R238" i="79" a="1"/>
  <c r="R238" i="79" s="1"/>
  <c r="Q238" i="79" a="1"/>
  <c r="Q238" i="79" s="1"/>
  <c r="P238" i="79" a="1"/>
  <c r="P238" i="79" s="1"/>
  <c r="O238" i="79" a="1"/>
  <c r="O238" i="79" s="1"/>
  <c r="N238" i="79" a="1"/>
  <c r="N238" i="79" s="1"/>
  <c r="M238" i="79" a="1"/>
  <c r="M238" i="79" s="1"/>
  <c r="L238" i="79" a="1"/>
  <c r="L238" i="79" s="1"/>
  <c r="K238" i="79" a="1"/>
  <c r="K238" i="79" s="1"/>
  <c r="J238" i="79" a="1"/>
  <c r="J238" i="79" s="1"/>
  <c r="I238" i="79" a="1"/>
  <c r="I238" i="79" s="1"/>
  <c r="H238" i="79" a="1"/>
  <c r="H238" i="79" s="1"/>
  <c r="G238" i="79" a="1"/>
  <c r="G238" i="79" s="1"/>
  <c r="F238" i="79" a="1"/>
  <c r="F238" i="79" s="1"/>
  <c r="E238" i="79" a="1"/>
  <c r="E238" i="79" s="1"/>
  <c r="D238" i="79" a="1"/>
  <c r="D238" i="79" s="1"/>
  <c r="S237" i="79" a="1"/>
  <c r="S237" i="79" s="1"/>
  <c r="R237" i="79" a="1"/>
  <c r="R237" i="79" s="1"/>
  <c r="Q237" i="79" a="1"/>
  <c r="Q237" i="79" s="1"/>
  <c r="P237" i="79" a="1"/>
  <c r="P237" i="79" s="1"/>
  <c r="O237" i="79" a="1"/>
  <c r="O237" i="79" s="1"/>
  <c r="N237" i="79" a="1"/>
  <c r="N237" i="79" s="1"/>
  <c r="M237" i="79" a="1"/>
  <c r="M237" i="79" s="1"/>
  <c r="L237" i="79" a="1"/>
  <c r="L237" i="79" s="1"/>
  <c r="K237" i="79" a="1"/>
  <c r="K237" i="79" s="1"/>
  <c r="J237" i="79" a="1"/>
  <c r="J237" i="79" s="1"/>
  <c r="I237" i="79" a="1"/>
  <c r="I237" i="79" s="1"/>
  <c r="H237" i="79" a="1"/>
  <c r="H237" i="79" s="1"/>
  <c r="G237" i="79" a="1"/>
  <c r="G237" i="79" s="1"/>
  <c r="F237" i="79" a="1"/>
  <c r="F237" i="79" s="1"/>
  <c r="E237" i="79" a="1"/>
  <c r="E237" i="79" s="1"/>
  <c r="D237" i="79" a="1"/>
  <c r="D237" i="79" s="1"/>
  <c r="S236" i="79" a="1"/>
  <c r="S236" i="79" s="1"/>
  <c r="R236" i="79" a="1"/>
  <c r="R236" i="79" s="1"/>
  <c r="Q236" i="79" a="1"/>
  <c r="Q236" i="79" s="1"/>
  <c r="P236" i="79" a="1"/>
  <c r="P236" i="79" s="1"/>
  <c r="O236" i="79" a="1"/>
  <c r="O236" i="79" s="1"/>
  <c r="N236" i="79" a="1"/>
  <c r="N236" i="79" s="1"/>
  <c r="M236" i="79" a="1"/>
  <c r="M236" i="79" s="1"/>
  <c r="L236" i="79" a="1"/>
  <c r="L236" i="79" s="1"/>
  <c r="K236" i="79" a="1"/>
  <c r="K236" i="79" s="1"/>
  <c r="J236" i="79" a="1"/>
  <c r="J236" i="79" s="1"/>
  <c r="I236" i="79" a="1"/>
  <c r="I236" i="79" s="1"/>
  <c r="H236" i="79" a="1"/>
  <c r="H236" i="79" s="1"/>
  <c r="G236" i="79" a="1"/>
  <c r="G236" i="79" s="1"/>
  <c r="F236" i="79" a="1"/>
  <c r="F236" i="79" s="1"/>
  <c r="E236" i="79" a="1"/>
  <c r="E236" i="79" s="1"/>
  <c r="D236" i="79" a="1"/>
  <c r="D236" i="79" s="1"/>
  <c r="S235" i="79" a="1"/>
  <c r="S235" i="79" s="1"/>
  <c r="R235" i="79" a="1"/>
  <c r="R235" i="79" s="1"/>
  <c r="Q235" i="79" a="1"/>
  <c r="Q235" i="79" s="1"/>
  <c r="P235" i="79" a="1"/>
  <c r="P235" i="79" s="1"/>
  <c r="O235" i="79" a="1"/>
  <c r="O235" i="79" s="1"/>
  <c r="N235" i="79" a="1"/>
  <c r="N235" i="79" s="1"/>
  <c r="M235" i="79" a="1"/>
  <c r="M235" i="79" s="1"/>
  <c r="L235" i="79" a="1"/>
  <c r="L235" i="79" s="1"/>
  <c r="K235" i="79" a="1"/>
  <c r="K235" i="79" s="1"/>
  <c r="J235" i="79" a="1"/>
  <c r="J235" i="79" s="1"/>
  <c r="I235" i="79" a="1"/>
  <c r="I235" i="79" s="1"/>
  <c r="H235" i="79" a="1"/>
  <c r="H235" i="79" s="1"/>
  <c r="G235" i="79" a="1"/>
  <c r="G235" i="79" s="1"/>
  <c r="F235" i="79" a="1"/>
  <c r="F235" i="79" s="1"/>
  <c r="E235" i="79" a="1"/>
  <c r="E235" i="79" s="1"/>
  <c r="D235" i="79" a="1"/>
  <c r="D235" i="79" s="1"/>
  <c r="S234" i="79" a="1"/>
  <c r="S234" i="79" s="1"/>
  <c r="R234" i="79" a="1"/>
  <c r="R234" i="79" s="1"/>
  <c r="Q234" i="79" a="1"/>
  <c r="Q234" i="79" s="1"/>
  <c r="P234" i="79" a="1"/>
  <c r="P234" i="79" s="1"/>
  <c r="O234" i="79" a="1"/>
  <c r="O234" i="79" s="1"/>
  <c r="N234" i="79" a="1"/>
  <c r="N234" i="79" s="1"/>
  <c r="M234" i="79" a="1"/>
  <c r="M234" i="79" s="1"/>
  <c r="L234" i="79" a="1"/>
  <c r="L234" i="79" s="1"/>
  <c r="K234" i="79" a="1"/>
  <c r="K234" i="79" s="1"/>
  <c r="J234" i="79" a="1"/>
  <c r="J234" i="79" s="1"/>
  <c r="I234" i="79" a="1"/>
  <c r="I234" i="79" s="1"/>
  <c r="H234" i="79" a="1"/>
  <c r="H234" i="79" s="1"/>
  <c r="G234" i="79" a="1"/>
  <c r="G234" i="79" s="1"/>
  <c r="F234" i="79" a="1"/>
  <c r="F234" i="79" s="1"/>
  <c r="E234" i="79" a="1"/>
  <c r="E234" i="79" s="1"/>
  <c r="D234" i="79" a="1"/>
  <c r="D234" i="79" s="1"/>
  <c r="S233" i="79" a="1"/>
  <c r="S233" i="79" s="1"/>
  <c r="R233" i="79" a="1"/>
  <c r="R233" i="79" s="1"/>
  <c r="Q233" i="79" a="1"/>
  <c r="Q233" i="79" s="1"/>
  <c r="P233" i="79" a="1"/>
  <c r="P233" i="79" s="1"/>
  <c r="O233" i="79" a="1"/>
  <c r="O233" i="79" s="1"/>
  <c r="N233" i="79" a="1"/>
  <c r="N233" i="79" s="1"/>
  <c r="M233" i="79" a="1"/>
  <c r="M233" i="79" s="1"/>
  <c r="L233" i="79" a="1"/>
  <c r="L233" i="79" s="1"/>
  <c r="K233" i="79" a="1"/>
  <c r="K233" i="79" s="1"/>
  <c r="J233" i="79" a="1"/>
  <c r="J233" i="79" s="1"/>
  <c r="I233" i="79" a="1"/>
  <c r="I233" i="79" s="1"/>
  <c r="H233" i="79" a="1"/>
  <c r="H233" i="79" s="1"/>
  <c r="G233" i="79" a="1"/>
  <c r="G233" i="79" s="1"/>
  <c r="F233" i="79" a="1"/>
  <c r="F233" i="79" s="1"/>
  <c r="E233" i="79" a="1"/>
  <c r="E233" i="79" s="1"/>
  <c r="D233" i="79" a="1"/>
  <c r="D233" i="79" s="1"/>
  <c r="S232" i="79" a="1"/>
  <c r="S232" i="79" s="1"/>
  <c r="R232" i="79" a="1"/>
  <c r="R232" i="79" s="1"/>
  <c r="Q232" i="79" a="1"/>
  <c r="Q232" i="79" s="1"/>
  <c r="P232" i="79" a="1"/>
  <c r="P232" i="79" s="1"/>
  <c r="O232" i="79" a="1"/>
  <c r="O232" i="79" s="1"/>
  <c r="N232" i="79" a="1"/>
  <c r="N232" i="79" s="1"/>
  <c r="M232" i="79" a="1"/>
  <c r="M232" i="79" s="1"/>
  <c r="L232" i="79" a="1"/>
  <c r="L232" i="79" s="1"/>
  <c r="K232" i="79" a="1"/>
  <c r="K232" i="79" s="1"/>
  <c r="J232" i="79" a="1"/>
  <c r="J232" i="79" s="1"/>
  <c r="I232" i="79" a="1"/>
  <c r="I232" i="79" s="1"/>
  <c r="H232" i="79" a="1"/>
  <c r="H232" i="79" s="1"/>
  <c r="G232" i="79" a="1"/>
  <c r="G232" i="79" s="1"/>
  <c r="F232" i="79" a="1"/>
  <c r="F232" i="79" s="1"/>
  <c r="E232" i="79" a="1"/>
  <c r="E232" i="79" s="1"/>
  <c r="D232" i="79" a="1"/>
  <c r="D232" i="79" s="1"/>
  <c r="D229" i="79" a="1"/>
  <c r="D229" i="79" s="1"/>
  <c r="D228" i="79" a="1"/>
  <c r="D228" i="79" s="1"/>
  <c r="D227" i="79" a="1"/>
  <c r="D227" i="79" s="1"/>
  <c r="E224" i="79" a="1"/>
  <c r="E224" i="79" s="1"/>
  <c r="D224" i="79" a="1"/>
  <c r="D224" i="79" s="1"/>
  <c r="E223" i="79" a="1"/>
  <c r="E223" i="79" s="1"/>
  <c r="D223" i="79" a="1"/>
  <c r="D223" i="79" s="1"/>
  <c r="E222" i="79" a="1"/>
  <c r="E222" i="79" s="1"/>
  <c r="D222" i="79" a="1"/>
  <c r="D222" i="79" s="1"/>
  <c r="E221" i="79" a="1"/>
  <c r="E221" i="79" s="1"/>
  <c r="D221" i="79" a="1"/>
  <c r="D221" i="79" s="1"/>
  <c r="E220" i="79" a="1"/>
  <c r="E220" i="79" s="1"/>
  <c r="D220" i="79" a="1"/>
  <c r="D220" i="79" s="1"/>
  <c r="E219" i="79" a="1"/>
  <c r="E219" i="79" s="1"/>
  <c r="D219" i="79" a="1"/>
  <c r="D219" i="79" s="1"/>
  <c r="E218" i="79" a="1"/>
  <c r="E218" i="79" s="1"/>
  <c r="D218" i="79" a="1"/>
  <c r="D218" i="79" s="1"/>
  <c r="E217" i="79" a="1"/>
  <c r="E217" i="79" s="1"/>
  <c r="D217" i="79" a="1"/>
  <c r="D217" i="79" s="1"/>
  <c r="E216" i="79" a="1"/>
  <c r="E216" i="79" s="1"/>
  <c r="D216" i="79" a="1"/>
  <c r="D216" i="79" s="1"/>
  <c r="E215" i="79" a="1"/>
  <c r="E215" i="79" s="1"/>
  <c r="D215" i="79" a="1"/>
  <c r="D215" i="79" s="1"/>
  <c r="E214" i="79" a="1"/>
  <c r="E214" i="79" s="1"/>
  <c r="D214" i="79" a="1"/>
  <c r="D214" i="79" s="1"/>
  <c r="E213" i="79" a="1"/>
  <c r="E213" i="79" s="1"/>
  <c r="D213" i="79" a="1"/>
  <c r="D213" i="79" s="1"/>
  <c r="D211" i="79" a="1"/>
  <c r="D211" i="79" s="1"/>
  <c r="E208" i="79" a="1"/>
  <c r="E208" i="79" s="1"/>
  <c r="D208" i="79" a="1"/>
  <c r="D208" i="79" s="1"/>
  <c r="E207" i="79" a="1"/>
  <c r="E207" i="79" s="1"/>
  <c r="D207" i="79" a="1"/>
  <c r="D207" i="79" s="1"/>
  <c r="D205" i="79" a="1"/>
  <c r="D205" i="79" s="1"/>
  <c r="D204" i="79" a="1"/>
  <c r="D204" i="79" s="1"/>
  <c r="D203" i="79" a="1"/>
  <c r="D203" i="79" s="1"/>
  <c r="D202" i="79" a="1"/>
  <c r="D202" i="79" s="1"/>
  <c r="H199" i="79" a="1"/>
  <c r="H199" i="79" s="1"/>
  <c r="G199" i="79" a="1"/>
  <c r="G199" i="79" s="1"/>
  <c r="F199" i="79" a="1"/>
  <c r="F199" i="79" s="1"/>
  <c r="E199" i="79" a="1"/>
  <c r="E199" i="79" s="1"/>
  <c r="D199" i="79" a="1"/>
  <c r="D199" i="79" s="1"/>
  <c r="H198" i="79" a="1"/>
  <c r="H198" i="79" s="1"/>
  <c r="G198" i="79" a="1"/>
  <c r="G198" i="79" s="1"/>
  <c r="F198" i="79" a="1"/>
  <c r="F198" i="79" s="1"/>
  <c r="E198" i="79" a="1"/>
  <c r="E198" i="79" s="1"/>
  <c r="D198" i="79" a="1"/>
  <c r="D198" i="79" s="1"/>
  <c r="H197" i="79" a="1"/>
  <c r="H197" i="79" s="1"/>
  <c r="G197" i="79" a="1"/>
  <c r="G197" i="79" s="1"/>
  <c r="F197" i="79" a="1"/>
  <c r="F197" i="79" s="1"/>
  <c r="E197" i="79" a="1"/>
  <c r="E197" i="79" s="1"/>
  <c r="D197" i="79" a="1"/>
  <c r="D197" i="79" s="1"/>
  <c r="H196" i="79" a="1"/>
  <c r="H196" i="79" s="1"/>
  <c r="G196" i="79" a="1"/>
  <c r="G196" i="79" s="1"/>
  <c r="F196" i="79" a="1"/>
  <c r="F196" i="79" s="1"/>
  <c r="E196" i="79" a="1"/>
  <c r="E196" i="79" s="1"/>
  <c r="D196" i="79" a="1"/>
  <c r="D196" i="79" s="1"/>
  <c r="H195" i="79" a="1"/>
  <c r="H195" i="79" s="1"/>
  <c r="G195" i="79" a="1"/>
  <c r="G195" i="79" s="1"/>
  <c r="F195" i="79" a="1"/>
  <c r="F195" i="79" s="1"/>
  <c r="E195" i="79" a="1"/>
  <c r="E195" i="79" s="1"/>
  <c r="D195" i="79" a="1"/>
  <c r="D195" i="79" s="1"/>
  <c r="H194" i="79" a="1"/>
  <c r="H194" i="79" s="1"/>
  <c r="G194" i="79" a="1"/>
  <c r="G194" i="79" s="1"/>
  <c r="F194" i="79" a="1"/>
  <c r="F194" i="79" s="1"/>
  <c r="E194" i="79" a="1"/>
  <c r="E194" i="79" s="1"/>
  <c r="D194" i="79" a="1"/>
  <c r="D194" i="79" s="1"/>
  <c r="H193" i="79" a="1"/>
  <c r="H193" i="79" s="1"/>
  <c r="G193" i="79" a="1"/>
  <c r="G193" i="79" s="1"/>
  <c r="F193" i="79" a="1"/>
  <c r="F193" i="79" s="1"/>
  <c r="E193" i="79" a="1"/>
  <c r="E193" i="79" s="1"/>
  <c r="D193" i="79" a="1"/>
  <c r="D193" i="79" s="1"/>
  <c r="H192" i="79" a="1"/>
  <c r="H192" i="79" s="1"/>
  <c r="G192" i="79" a="1"/>
  <c r="G192" i="79" s="1"/>
  <c r="F192" i="79" a="1"/>
  <c r="F192" i="79" s="1"/>
  <c r="E192" i="79" a="1"/>
  <c r="E192" i="79" s="1"/>
  <c r="D192" i="79" a="1"/>
  <c r="D192" i="79" s="1"/>
  <c r="H191" i="79" a="1"/>
  <c r="H191" i="79" s="1"/>
  <c r="G191" i="79" a="1"/>
  <c r="G191" i="79" s="1"/>
  <c r="F191" i="79" a="1"/>
  <c r="F191" i="79" s="1"/>
  <c r="E191" i="79" a="1"/>
  <c r="E191" i="79" s="1"/>
  <c r="D191" i="79" a="1"/>
  <c r="D191" i="79" s="1"/>
  <c r="H190" i="79" a="1"/>
  <c r="H190" i="79" s="1"/>
  <c r="G190" i="79" a="1"/>
  <c r="G190" i="79" s="1"/>
  <c r="F190" i="79" a="1"/>
  <c r="F190" i="79" s="1"/>
  <c r="E190" i="79" a="1"/>
  <c r="E190" i="79" s="1"/>
  <c r="D190" i="79" a="1"/>
  <c r="D190" i="79" s="1"/>
  <c r="H189" i="79" a="1"/>
  <c r="H189" i="79" s="1"/>
  <c r="G189" i="79" a="1"/>
  <c r="G189" i="79" s="1"/>
  <c r="F189" i="79" a="1"/>
  <c r="F189" i="79" s="1"/>
  <c r="E189" i="79" a="1"/>
  <c r="E189" i="79" s="1"/>
  <c r="D189" i="79" a="1"/>
  <c r="D189" i="79" s="1"/>
  <c r="H188" i="79" a="1"/>
  <c r="H188" i="79" s="1"/>
  <c r="G188" i="79" a="1"/>
  <c r="G188" i="79" s="1"/>
  <c r="F188" i="79" a="1"/>
  <c r="F188" i="79" s="1"/>
  <c r="E188" i="79" a="1"/>
  <c r="E188" i="79" s="1"/>
  <c r="D188" i="79" a="1"/>
  <c r="D188" i="79" s="1"/>
  <c r="H187" i="79" a="1"/>
  <c r="H187" i="79" s="1"/>
  <c r="G187" i="79" a="1"/>
  <c r="G187" i="79" s="1"/>
  <c r="F187" i="79" a="1"/>
  <c r="F187" i="79" s="1"/>
  <c r="E187" i="79" a="1"/>
  <c r="E187" i="79" s="1"/>
  <c r="D187" i="79" a="1"/>
  <c r="D187" i="79" s="1"/>
  <c r="D181" i="79" a="1"/>
  <c r="D181" i="79" s="1"/>
  <c r="D180" i="79" a="1"/>
  <c r="D180" i="79" s="1"/>
  <c r="D179" i="79" a="1"/>
  <c r="D179" i="79" s="1"/>
  <c r="D178" i="79" a="1"/>
  <c r="D178" i="79" s="1"/>
  <c r="E175" i="79" a="1"/>
  <c r="E175" i="79" s="1"/>
  <c r="D175" i="79" a="1"/>
  <c r="D175" i="79" s="1"/>
  <c r="D174" i="79" a="1"/>
  <c r="D174" i="79" s="1"/>
  <c r="D173" i="79" a="1"/>
  <c r="D173" i="79" s="1"/>
  <c r="D170" i="79" a="1"/>
  <c r="D170" i="79" s="1"/>
  <c r="D169" i="79" a="1"/>
  <c r="D169" i="79" s="1"/>
  <c r="D168" i="79" a="1"/>
  <c r="D168" i="79" s="1"/>
  <c r="D167" i="79" a="1"/>
  <c r="D167" i="79" s="1"/>
  <c r="D164" i="79" a="1"/>
  <c r="D164" i="79" s="1"/>
  <c r="D163" i="79" a="1"/>
  <c r="D163" i="79" s="1"/>
  <c r="D162" i="79" a="1"/>
  <c r="D162" i="79" s="1"/>
  <c r="D161" i="79" a="1"/>
  <c r="D161" i="79" s="1"/>
  <c r="E158" i="79" a="1"/>
  <c r="E158" i="79" s="1"/>
  <c r="D158" i="79" a="1"/>
  <c r="D158" i="79" s="1"/>
  <c r="E157" i="79" a="1"/>
  <c r="E157" i="79" s="1"/>
  <c r="D157" i="79" a="1"/>
  <c r="D157" i="79" s="1"/>
  <c r="E156" i="79" a="1"/>
  <c r="E156" i="79" s="1"/>
  <c r="D156" i="79" a="1"/>
  <c r="D156" i="79" s="1"/>
  <c r="E155" i="79" a="1"/>
  <c r="E155" i="79" s="1"/>
  <c r="D155" i="79" a="1"/>
  <c r="D155" i="79" s="1"/>
  <c r="E154" i="79" a="1"/>
  <c r="E154" i="79" s="1"/>
  <c r="D154" i="79" a="1"/>
  <c r="D154" i="79" s="1"/>
  <c r="D151" i="79" a="1"/>
  <c r="D151" i="79" s="1"/>
  <c r="D150" i="79" a="1"/>
  <c r="D150" i="79" s="1"/>
  <c r="E147" i="79" a="1"/>
  <c r="E147" i="79" s="1"/>
  <c r="D147" i="79" a="1"/>
  <c r="D147" i="79" s="1"/>
  <c r="E146" i="79" a="1"/>
  <c r="E146" i="79" s="1"/>
  <c r="D146" i="79" a="1"/>
  <c r="D146" i="79" s="1"/>
  <c r="E145" i="79" a="1"/>
  <c r="E145" i="79" s="1"/>
  <c r="D145" i="79" a="1"/>
  <c r="D145" i="79" s="1"/>
  <c r="E144" i="79" a="1"/>
  <c r="E144" i="79" s="1"/>
  <c r="D144" i="79" a="1"/>
  <c r="D144" i="79" s="1"/>
  <c r="E143" i="79" a="1"/>
  <c r="E143" i="79" s="1"/>
  <c r="D143" i="79" a="1"/>
  <c r="D143" i="79" s="1"/>
  <c r="D141" i="79" a="1"/>
  <c r="D141" i="79" s="1"/>
  <c r="D140" i="79" a="1"/>
  <c r="D140" i="79" s="1"/>
  <c r="D139" i="79" a="1"/>
  <c r="D139" i="79" s="1"/>
  <c r="E136" i="79" a="1"/>
  <c r="E136" i="79" s="1"/>
  <c r="D136" i="79" a="1"/>
  <c r="D136" i="79" s="1"/>
  <c r="E135" i="79" a="1"/>
  <c r="E135" i="79" s="1"/>
  <c r="D135" i="79" a="1"/>
  <c r="D135" i="79" s="1"/>
  <c r="D133" i="79" a="1"/>
  <c r="D133" i="79" s="1"/>
  <c r="D132" i="79" a="1"/>
  <c r="D132" i="79" s="1"/>
  <c r="E129" i="79" a="1"/>
  <c r="E129" i="79" s="1"/>
  <c r="D129" i="79" a="1"/>
  <c r="D129" i="79" s="1"/>
  <c r="E128" i="79" a="1"/>
  <c r="E128" i="79" s="1"/>
  <c r="D128" i="79" a="1"/>
  <c r="D128" i="79" s="1"/>
  <c r="D125" i="79" a="1"/>
  <c r="D125" i="79" s="1"/>
  <c r="D124" i="79" a="1"/>
  <c r="D124" i="79" s="1"/>
  <c r="G121" i="79" a="1"/>
  <c r="G121" i="79" s="1"/>
  <c r="F121" i="79" a="1"/>
  <c r="F121" i="79" s="1"/>
  <c r="E121" i="79" a="1"/>
  <c r="E121" i="79" s="1"/>
  <c r="D121" i="79" a="1"/>
  <c r="D121" i="79" s="1"/>
  <c r="G120" i="79" a="1"/>
  <c r="G120" i="79" s="1"/>
  <c r="F120" i="79" a="1"/>
  <c r="F120" i="79" s="1"/>
  <c r="E120" i="79" a="1"/>
  <c r="E120" i="79" s="1"/>
  <c r="D120" i="79" a="1"/>
  <c r="D120" i="79" s="1"/>
  <c r="D117" i="79" a="1"/>
  <c r="D117" i="79" s="1"/>
  <c r="D116" i="79" a="1"/>
  <c r="D116" i="79" s="1"/>
  <c r="D115" i="79" a="1"/>
  <c r="D115" i="79" s="1"/>
  <c r="G112" i="79" a="1"/>
  <c r="G112" i="79" s="1"/>
  <c r="F112" i="79" a="1"/>
  <c r="F112" i="79" s="1"/>
  <c r="E112" i="79" a="1"/>
  <c r="E112" i="79" s="1"/>
  <c r="D112" i="79" a="1"/>
  <c r="D112" i="79" s="1"/>
  <c r="G111" i="79" a="1"/>
  <c r="G111" i="79" s="1"/>
  <c r="F111" i="79" a="1"/>
  <c r="F111" i="79" s="1"/>
  <c r="E111" i="79" a="1"/>
  <c r="E111" i="79" s="1"/>
  <c r="D111" i="79" a="1"/>
  <c r="D111" i="79" s="1"/>
  <c r="G110" i="79" a="1"/>
  <c r="G110" i="79" s="1"/>
  <c r="F110" i="79" a="1"/>
  <c r="F110" i="79" s="1"/>
  <c r="E110" i="79" a="1"/>
  <c r="E110" i="79" s="1"/>
  <c r="D110" i="79" a="1"/>
  <c r="D110" i="79" s="1"/>
  <c r="D107" i="79" a="1"/>
  <c r="D107" i="79" s="1"/>
  <c r="D106" i="79" a="1"/>
  <c r="D106" i="79" s="1"/>
  <c r="D105" i="79" a="1"/>
  <c r="D105" i="79" s="1"/>
  <c r="D99" i="79" a="1"/>
  <c r="D99" i="79" s="1"/>
  <c r="S97" i="79" a="1"/>
  <c r="S97" i="79" s="1"/>
  <c r="R97" i="79" a="1"/>
  <c r="R97" i="79" s="1"/>
  <c r="Q97" i="79" a="1"/>
  <c r="Q97" i="79" s="1"/>
  <c r="P97" i="79" a="1"/>
  <c r="P97" i="79" s="1"/>
  <c r="O97" i="79" a="1"/>
  <c r="O97" i="79" s="1"/>
  <c r="N97" i="79" a="1"/>
  <c r="N97" i="79" s="1"/>
  <c r="M97" i="79" a="1"/>
  <c r="M97" i="79" s="1"/>
  <c r="L97" i="79" a="1"/>
  <c r="L97" i="79" s="1"/>
  <c r="K97" i="79" a="1"/>
  <c r="K97" i="79" s="1"/>
  <c r="J97" i="79" a="1"/>
  <c r="J97" i="79" s="1"/>
  <c r="I97" i="79" a="1"/>
  <c r="I97" i="79" s="1"/>
  <c r="H97" i="79" a="1"/>
  <c r="H97" i="79" s="1"/>
  <c r="G97" i="79" a="1"/>
  <c r="G97" i="79" s="1"/>
  <c r="F97" i="79" a="1"/>
  <c r="F97" i="79" s="1"/>
  <c r="E97" i="79" a="1"/>
  <c r="E97" i="79" s="1"/>
  <c r="D97" i="79" a="1"/>
  <c r="D97" i="79" s="1"/>
  <c r="S96" i="79" a="1"/>
  <c r="S96" i="79" s="1"/>
  <c r="R96" i="79" a="1"/>
  <c r="R96" i="79" s="1"/>
  <c r="Q96" i="79" a="1"/>
  <c r="Q96" i="79" s="1"/>
  <c r="P96" i="79" a="1"/>
  <c r="P96" i="79" s="1"/>
  <c r="O96" i="79" a="1"/>
  <c r="O96" i="79" s="1"/>
  <c r="N96" i="79" a="1"/>
  <c r="N96" i="79" s="1"/>
  <c r="M96" i="79" a="1"/>
  <c r="M96" i="79" s="1"/>
  <c r="L96" i="79" a="1"/>
  <c r="L96" i="79" s="1"/>
  <c r="K96" i="79" a="1"/>
  <c r="K96" i="79" s="1"/>
  <c r="J96" i="79" a="1"/>
  <c r="J96" i="79" s="1"/>
  <c r="I96" i="79" a="1"/>
  <c r="I96" i="79" s="1"/>
  <c r="H96" i="79" a="1"/>
  <c r="H96" i="79" s="1"/>
  <c r="G96" i="79" a="1"/>
  <c r="G96" i="79" s="1"/>
  <c r="F96" i="79" a="1"/>
  <c r="F96" i="79" s="1"/>
  <c r="E96" i="79" a="1"/>
  <c r="E96" i="79" s="1"/>
  <c r="D96" i="79" a="1"/>
  <c r="D96" i="79" s="1"/>
  <c r="S95" i="79" a="1"/>
  <c r="S95" i="79" s="1"/>
  <c r="R95" i="79" a="1"/>
  <c r="R95" i="79" s="1"/>
  <c r="Q95" i="79" a="1"/>
  <c r="Q95" i="79" s="1"/>
  <c r="P95" i="79" a="1"/>
  <c r="P95" i="79" s="1"/>
  <c r="O95" i="79" a="1"/>
  <c r="O95" i="79" s="1"/>
  <c r="N95" i="79" a="1"/>
  <c r="N95" i="79" s="1"/>
  <c r="M95" i="79" a="1"/>
  <c r="M95" i="79" s="1"/>
  <c r="L95" i="79" a="1"/>
  <c r="L95" i="79" s="1"/>
  <c r="K95" i="79" a="1"/>
  <c r="K95" i="79" s="1"/>
  <c r="J95" i="79" a="1"/>
  <c r="J95" i="79" s="1"/>
  <c r="I95" i="79" a="1"/>
  <c r="I95" i="79" s="1"/>
  <c r="H95" i="79" a="1"/>
  <c r="H95" i="79" s="1"/>
  <c r="G95" i="79" a="1"/>
  <c r="G95" i="79" s="1"/>
  <c r="F95" i="79" a="1"/>
  <c r="F95" i="79" s="1"/>
  <c r="E95" i="79" a="1"/>
  <c r="E95" i="79" s="1"/>
  <c r="D95" i="79" a="1"/>
  <c r="D95" i="79" s="1"/>
  <c r="S94" i="79" a="1"/>
  <c r="S94" i="79" s="1"/>
  <c r="R94" i="79" a="1"/>
  <c r="R94" i="79" s="1"/>
  <c r="Q94" i="79" a="1"/>
  <c r="Q94" i="79" s="1"/>
  <c r="P94" i="79" a="1"/>
  <c r="P94" i="79" s="1"/>
  <c r="O94" i="79" a="1"/>
  <c r="O94" i="79" s="1"/>
  <c r="N94" i="79" a="1"/>
  <c r="N94" i="79" s="1"/>
  <c r="M94" i="79" a="1"/>
  <c r="M94" i="79" s="1"/>
  <c r="L94" i="79" a="1"/>
  <c r="L94" i="79" s="1"/>
  <c r="K94" i="79" a="1"/>
  <c r="K94" i="79" s="1"/>
  <c r="J94" i="79" a="1"/>
  <c r="J94" i="79" s="1"/>
  <c r="I94" i="79" a="1"/>
  <c r="I94" i="79" s="1"/>
  <c r="H94" i="79" a="1"/>
  <c r="H94" i="79" s="1"/>
  <c r="G94" i="79" a="1"/>
  <c r="G94" i="79" s="1"/>
  <c r="F94" i="79" a="1"/>
  <c r="F94" i="79" s="1"/>
  <c r="E94" i="79" a="1"/>
  <c r="E94" i="79" s="1"/>
  <c r="D94" i="79" a="1"/>
  <c r="D94" i="79" s="1"/>
  <c r="S93" i="79" a="1"/>
  <c r="S93" i="79" s="1"/>
  <c r="R93" i="79" a="1"/>
  <c r="R93" i="79" s="1"/>
  <c r="Q93" i="79" a="1"/>
  <c r="Q93" i="79" s="1"/>
  <c r="P93" i="79" a="1"/>
  <c r="P93" i="79" s="1"/>
  <c r="O93" i="79" a="1"/>
  <c r="O93"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S92" i="79" a="1"/>
  <c r="S92" i="79" s="1"/>
  <c r="R92" i="79" a="1"/>
  <c r="R92" i="79" s="1"/>
  <c r="Q92" i="79" a="1"/>
  <c r="Q92" i="79" s="1"/>
  <c r="P92" i="79" a="1"/>
  <c r="P92" i="79" s="1"/>
  <c r="O92" i="79" a="1"/>
  <c r="O92"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S91" i="79" a="1"/>
  <c r="S91" i="79" s="1"/>
  <c r="R91" i="79" a="1"/>
  <c r="R91" i="79" s="1"/>
  <c r="Q91" i="79" a="1"/>
  <c r="Q91" i="79" s="1"/>
  <c r="P91" i="79" a="1"/>
  <c r="P91" i="79" s="1"/>
  <c r="O91" i="79" a="1"/>
  <c r="O91"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S90" i="79" a="1"/>
  <c r="S90" i="79" s="1"/>
  <c r="R90" i="79" a="1"/>
  <c r="R90" i="79" s="1"/>
  <c r="Q90" i="79" a="1"/>
  <c r="Q90" i="79" s="1"/>
  <c r="P90" i="79" a="1"/>
  <c r="P90" i="79" s="1"/>
  <c r="O90" i="79" a="1"/>
  <c r="O90"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D83" i="79" a="1"/>
  <c r="D83" i="79" s="1"/>
  <c r="D82" i="79" a="1"/>
  <c r="D82" i="79" s="1"/>
  <c r="D81" i="79" a="1"/>
  <c r="D81" i="79" s="1"/>
  <c r="E77" i="79" a="1"/>
  <c r="E77" i="79" s="1"/>
  <c r="D77" i="79" a="1"/>
  <c r="D77" i="79" s="1"/>
  <c r="E76" i="79" a="1"/>
  <c r="E76" i="79" s="1"/>
  <c r="D76" i="79" a="1"/>
  <c r="D76" i="79" s="1"/>
  <c r="E75" i="79" a="1"/>
  <c r="E75" i="79" s="1"/>
  <c r="D75" i="79" a="1"/>
  <c r="D75" i="79" s="1"/>
  <c r="E74" i="79" a="1"/>
  <c r="E74" i="79" s="1"/>
  <c r="D74" i="79" a="1"/>
  <c r="D74" i="79" s="1"/>
  <c r="E73" i="79" a="1"/>
  <c r="E73" i="79" s="1"/>
  <c r="D73" i="79" a="1"/>
  <c r="D73" i="79" s="1"/>
  <c r="E72" i="79" a="1"/>
  <c r="E72" i="79" s="1"/>
  <c r="D72" i="79" a="1"/>
  <c r="D72" i="79" s="1"/>
  <c r="E71" i="79" a="1"/>
  <c r="E71" i="79" s="1"/>
  <c r="D71" i="79" a="1"/>
  <c r="D71" i="79" s="1"/>
  <c r="E70" i="79" a="1"/>
  <c r="E70" i="79" s="1"/>
  <c r="D70" i="79" a="1"/>
  <c r="D70" i="79" s="1"/>
  <c r="E69" i="79" a="1"/>
  <c r="E69" i="79" s="1"/>
  <c r="D69" i="79" a="1"/>
  <c r="D69" i="79" s="1"/>
  <c r="E68" i="79" a="1"/>
  <c r="E68" i="79" s="1"/>
  <c r="D68" i="79" a="1"/>
  <c r="D68" i="79" s="1"/>
  <c r="E67" i="79" a="1"/>
  <c r="E67" i="79" s="1"/>
  <c r="D67" i="79" a="1"/>
  <c r="D67" i="79" s="1"/>
  <c r="E66" i="79" a="1"/>
  <c r="E66" i="79" s="1"/>
  <c r="D66" i="79" a="1"/>
  <c r="D66" i="79" s="1"/>
  <c r="E65" i="79" a="1"/>
  <c r="E65" i="79" s="1"/>
  <c r="D65" i="79" a="1"/>
  <c r="D65" i="79" s="1"/>
  <c r="E64" i="79" a="1"/>
  <c r="E64" i="79" s="1"/>
  <c r="D64" i="79" a="1"/>
  <c r="D64" i="79" s="1"/>
  <c r="D59" i="79" a="1"/>
  <c r="D59" i="79" s="1"/>
  <c r="D58" i="79" a="1"/>
  <c r="D58" i="79" s="1"/>
  <c r="D57" i="79" a="1"/>
  <c r="D57" i="79" s="1"/>
  <c r="G54" i="79" a="1"/>
  <c r="G54" i="79" s="1"/>
  <c r="F54" i="79" a="1"/>
  <c r="F54" i="79" s="1"/>
  <c r="E54" i="79" a="1"/>
  <c r="E54" i="79" s="1"/>
  <c r="D54" i="79" a="1"/>
  <c r="D54" i="79" s="1"/>
  <c r="G53" i="79" a="1"/>
  <c r="G53" i="79" s="1"/>
  <c r="F53" i="79" a="1"/>
  <c r="F53" i="79" s="1"/>
  <c r="E53" i="79" a="1"/>
  <c r="E53" i="79" s="1"/>
  <c r="D53" i="79" a="1"/>
  <c r="D53" i="79" s="1"/>
  <c r="G52" i="79" a="1"/>
  <c r="G52" i="79" s="1"/>
  <c r="F52" i="79" a="1"/>
  <c r="F52" i="79" s="1"/>
  <c r="E52" i="79" a="1"/>
  <c r="E52" i="79" s="1"/>
  <c r="D52" i="79" a="1"/>
  <c r="D52" i="79" s="1"/>
  <c r="G51" i="79" a="1"/>
  <c r="G51" i="79" s="1"/>
  <c r="F51" i="79" a="1"/>
  <c r="F51" i="79" s="1"/>
  <c r="E51" i="79" a="1"/>
  <c r="E51" i="79" s="1"/>
  <c r="D51" i="79" a="1"/>
  <c r="D51" i="79" s="1"/>
  <c r="G50" i="79" a="1"/>
  <c r="G50" i="79" s="1"/>
  <c r="F50" i="79" a="1"/>
  <c r="F50" i="79" s="1"/>
  <c r="E50" i="79" a="1"/>
  <c r="E50" i="79" s="1"/>
  <c r="D50" i="79" a="1"/>
  <c r="D50" i="79" s="1"/>
  <c r="G49" i="79" a="1"/>
  <c r="G49" i="79" s="1"/>
  <c r="F49" i="79" a="1"/>
  <c r="F49" i="79" s="1"/>
  <c r="E49" i="79" a="1"/>
  <c r="E49" i="79" s="1"/>
  <c r="D49" i="79" a="1"/>
  <c r="D49" i="79" s="1"/>
  <c r="G48" i="79" a="1"/>
  <c r="G48" i="79" s="1"/>
  <c r="F48" i="79" a="1"/>
  <c r="F48" i="79" s="1"/>
  <c r="E48" i="79" a="1"/>
  <c r="E48" i="79" s="1"/>
  <c r="D48" i="79" a="1"/>
  <c r="D48" i="79" s="1"/>
  <c r="D46" i="79" a="1"/>
  <c r="D46" i="79" s="1"/>
  <c r="D45" i="79" a="1"/>
  <c r="D45" i="79" s="1"/>
  <c r="E43" i="79" a="1"/>
  <c r="E43" i="79" s="1"/>
  <c r="D43" i="79" a="1"/>
  <c r="D43" i="79" s="1"/>
  <c r="E42" i="79" a="1"/>
  <c r="E42" i="79" s="1"/>
  <c r="D42" i="79" a="1"/>
  <c r="D42" i="79" s="1"/>
  <c r="E41" i="79" a="1"/>
  <c r="E41" i="79" s="1"/>
  <c r="D41" i="79" a="1"/>
  <c r="D41" i="79" s="1"/>
  <c r="E40" i="79" a="1"/>
  <c r="E40" i="79" s="1"/>
  <c r="D40" i="79" a="1"/>
  <c r="D40" i="79" s="1"/>
  <c r="E39" i="79" a="1"/>
  <c r="E39" i="79" s="1"/>
  <c r="D39" i="79" a="1"/>
  <c r="D39" i="79" s="1"/>
  <c r="E38" i="79" a="1"/>
  <c r="E38" i="79" s="1"/>
  <c r="D38" i="79" a="1"/>
  <c r="D38" i="79" s="1"/>
  <c r="E37" i="79" a="1"/>
  <c r="E37" i="79" s="1"/>
  <c r="D37" i="79" a="1"/>
  <c r="D37" i="79" s="1"/>
  <c r="D35" i="79" a="1"/>
  <c r="D35" i="79" s="1"/>
  <c r="D34" i="79" a="1"/>
  <c r="D34" i="79" s="1"/>
  <c r="D30" i="79" a="1"/>
  <c r="D30" i="79" s="1"/>
  <c r="D29" i="79" a="1"/>
  <c r="D29" i="79" s="1"/>
  <c r="D28" i="79" a="1"/>
  <c r="D28" i="79" s="1"/>
  <c r="D27" i="79" a="1"/>
  <c r="D27" i="79" s="1"/>
  <c r="D26" i="79" a="1"/>
  <c r="D26" i="79" s="1"/>
  <c r="D25" i="79" a="1"/>
  <c r="D25" i="79" s="1"/>
  <c r="D24" i="79" a="1"/>
  <c r="D24" i="79" s="1"/>
  <c r="D23" i="79" a="1"/>
  <c r="D23" i="79" s="1"/>
  <c r="D22" i="79" a="1"/>
  <c r="D22" i="79" s="1"/>
  <c r="D21" i="79" a="1"/>
  <c r="D21" i="79" s="1"/>
  <c r="D19" i="79" a="1"/>
  <c r="D19" i="79" s="1"/>
  <c r="D18" i="79" a="1"/>
  <c r="D18" i="79" s="1"/>
  <c r="F14" i="79" a="1"/>
  <c r="F14" i="79" s="1"/>
  <c r="E14" i="79" a="1"/>
  <c r="E14" i="79" s="1"/>
  <c r="D14" i="79" a="1"/>
  <c r="D14" i="79" s="1"/>
  <c r="F13" i="79" a="1"/>
  <c r="F13" i="79" s="1"/>
  <c r="E13" i="79" a="1"/>
  <c r="E13" i="79" s="1"/>
  <c r="D13" i="79" a="1"/>
  <c r="D13" i="79" s="1"/>
  <c r="F12" i="79" a="1"/>
  <c r="F12" i="79" s="1"/>
  <c r="E12" i="79" a="1"/>
  <c r="E12" i="79" s="1"/>
  <c r="D12" i="79" a="1"/>
  <c r="D12" i="79" s="1"/>
  <c r="F11" i="79" a="1"/>
  <c r="F11" i="79" s="1"/>
  <c r="E11" i="79" a="1"/>
  <c r="E11" i="79" s="1"/>
  <c r="D11" i="79" a="1"/>
  <c r="D11" i="79" s="1"/>
  <c r="F10" i="79" a="1"/>
  <c r="F10" i="79" s="1"/>
  <c r="E10" i="79" a="1"/>
  <c r="E10" i="79" s="1"/>
  <c r="D10" i="79" a="1"/>
  <c r="D10" i="79" s="1"/>
  <c r="F9" i="79" a="1"/>
  <c r="F9" i="79" s="1"/>
  <c r="E9" i="79" a="1"/>
  <c r="E9" i="79" s="1"/>
  <c r="D9" i="79" a="1"/>
  <c r="D9" i="79" s="1"/>
  <c r="F8" i="79" a="1"/>
  <c r="F8" i="79" s="1"/>
  <c r="E8" i="79" a="1"/>
  <c r="E8" i="79" s="1"/>
  <c r="D8" i="79" a="1"/>
  <c r="D8" i="79" s="1"/>
  <c r="A8" i="79"/>
  <c r="F7" i="79" a="1"/>
  <c r="F7" i="79" s="1"/>
  <c r="E7" i="79" a="1"/>
  <c r="E7" i="79" s="1"/>
  <c r="D7" i="79" a="1"/>
  <c r="D7" i="79" s="1"/>
  <c r="A7" i="79"/>
  <c r="D5" i="79" a="1"/>
  <c r="D5" i="79" s="1"/>
  <c r="A3" i="79"/>
  <c r="A8" i="71"/>
  <c r="A7" i="71"/>
  <c r="A3" i="71"/>
  <c r="J43" i="78" l="1"/>
  <c r="E84" i="78"/>
  <c r="E68" i="72"/>
  <c r="E73" i="72" s="1"/>
  <c r="E55" i="72"/>
  <c r="F55" i="72"/>
  <c r="H48" i="79"/>
  <c r="H52" i="79"/>
  <c r="E22" i="75"/>
  <c r="E20" i="75"/>
  <c r="E21" i="75" s="1"/>
  <c r="E19" i="75"/>
  <c r="H50" i="79"/>
  <c r="H54" i="79"/>
  <c r="H49" i="79"/>
  <c r="H53" i="79"/>
  <c r="H51" i="79"/>
  <c r="E22" i="72"/>
  <c r="I16" i="77" l="1"/>
  <c r="I15" i="77"/>
  <c r="I14" i="77"/>
  <c r="I13" i="77"/>
  <c r="I12" i="77"/>
  <c r="I11" i="77"/>
  <c r="I10" i="77"/>
  <c r="I9" i="77"/>
  <c r="I8" i="77"/>
  <c r="I7" i="77"/>
  <c r="E10" i="76" a="1"/>
  <c r="E10" i="76" s="1"/>
  <c r="E9" i="76" a="1"/>
  <c r="E9" i="76" s="1"/>
  <c r="E29" i="72" l="1"/>
  <c r="E9" i="13" l="1" a="1"/>
  <c r="E9" i="13" s="1"/>
  <c r="H9" i="13" s="1" a="1"/>
  <c r="H9" i="13" s="1"/>
  <c r="H28" i="13" s="1"/>
  <c r="F13" i="13" a="1"/>
  <c r="F13" i="13" s="1"/>
  <c r="I13" i="13" s="1" a="1"/>
  <c r="I13" i="13" s="1"/>
  <c r="E13" i="13" a="1"/>
  <c r="E13" i="13" s="1"/>
  <c r="H13" i="13" s="1" a="1"/>
  <c r="H13" i="13" s="1"/>
  <c r="F12" i="13" a="1"/>
  <c r="F12" i="13" s="1"/>
  <c r="I12" i="13" s="1" a="1"/>
  <c r="I12" i="13" s="1"/>
  <c r="E12" i="13" a="1"/>
  <c r="E12" i="13" s="1"/>
  <c r="H12" i="13" s="1" a="1"/>
  <c r="H12" i="13" s="1"/>
  <c r="F11" i="13" a="1"/>
  <c r="F11" i="13" s="1"/>
  <c r="I11" i="13" s="1" a="1"/>
  <c r="I11" i="13" s="1"/>
  <c r="E11" i="13" a="1"/>
  <c r="E11" i="13" s="1"/>
  <c r="H11" i="13" s="1" a="1"/>
  <c r="H11" i="13" s="1"/>
  <c r="F10" i="13" a="1"/>
  <c r="F10" i="13" s="1"/>
  <c r="I10" i="13" s="1" a="1"/>
  <c r="I10" i="13" s="1"/>
  <c r="E10" i="13" a="1"/>
  <c r="E10" i="13" s="1"/>
  <c r="H10" i="13" s="1" a="1"/>
  <c r="H10" i="13" s="1"/>
  <c r="H34" i="13"/>
  <c r="H35" i="13" s="1"/>
  <c r="E27" i="13" a="1"/>
  <c r="E27" i="13" s="1"/>
  <c r="H27" i="13" s="1" a="1"/>
  <c r="H27" i="13" s="1"/>
  <c r="E26" i="13" a="1"/>
  <c r="E26" i="13" s="1"/>
  <c r="E25" i="13" a="1"/>
  <c r="E25" i="13" s="1"/>
  <c r="H25" i="13" s="1"/>
  <c r="E24" i="13" a="1"/>
  <c r="E24" i="13" s="1"/>
  <c r="E23" i="13" a="1"/>
  <c r="E23" i="13" s="1"/>
  <c r="H23" i="13" s="1" a="1"/>
  <c r="H23" i="13" s="1"/>
  <c r="E22" i="13" a="1"/>
  <c r="E22" i="13" s="1"/>
  <c r="H22" i="13" s="1"/>
  <c r="F21" i="13" a="1"/>
  <c r="F21" i="13" s="1"/>
  <c r="I21" i="13" s="1" a="1"/>
  <c r="I21" i="13" s="1"/>
  <c r="E21" i="13" a="1"/>
  <c r="E21" i="13" s="1"/>
  <c r="H21" i="13" s="1" a="1"/>
  <c r="H21" i="13" s="1"/>
  <c r="F20" i="13" a="1"/>
  <c r="F20" i="13" s="1"/>
  <c r="I20" i="13" s="1" a="1"/>
  <c r="I20" i="13" s="1"/>
  <c r="E20" i="13" a="1"/>
  <c r="E20" i="13" s="1"/>
  <c r="H20" i="13" s="1" a="1"/>
  <c r="H20" i="13" s="1"/>
  <c r="E19" i="13" a="1"/>
  <c r="E19" i="13" s="1"/>
  <c r="H19" i="13" s="1" a="1"/>
  <c r="H19" i="13" s="1"/>
  <c r="E18" i="13" a="1"/>
  <c r="E18" i="13" s="1"/>
  <c r="H18" i="13" s="1" a="1"/>
  <c r="H18" i="13" s="1"/>
  <c r="E17" i="13" a="1"/>
  <c r="E17" i="13" s="1"/>
  <c r="E16" i="13" a="1"/>
  <c r="E16" i="13" s="1"/>
  <c r="H16" i="13" s="1" a="1"/>
  <c r="H16" i="13" s="1"/>
  <c r="E15" i="13" a="1"/>
  <c r="E15" i="13" s="1"/>
  <c r="F15" i="13" s="1"/>
  <c r="I15" i="13" s="1"/>
  <c r="F14" i="13" a="1"/>
  <c r="F14" i="13" s="1"/>
  <c r="I14" i="13" s="1" a="1"/>
  <c r="I14" i="13" s="1"/>
  <c r="E14" i="13" a="1"/>
  <c r="E14" i="13" s="1"/>
  <c r="H14" i="13" s="1" a="1"/>
  <c r="H14" i="13" s="1"/>
  <c r="F9" i="13" a="1"/>
  <c r="F9" i="13" s="1"/>
  <c r="I28" i="13" s="1"/>
  <c r="F67" i="13" s="1"/>
  <c r="F68" i="13" s="1"/>
  <c r="E13" i="72"/>
  <c r="E18" i="75"/>
  <c r="A20" i="75"/>
  <c r="A19" i="75"/>
  <c r="A18" i="75"/>
  <c r="A17" i="75"/>
  <c r="A14" i="75"/>
  <c r="A13" i="75"/>
  <c r="A12" i="75"/>
  <c r="A11" i="75"/>
  <c r="A8" i="75"/>
  <c r="A7" i="75"/>
  <c r="A4" i="75"/>
  <c r="A3" i="75"/>
  <c r="E20" i="72"/>
  <c r="D40" i="72" l="1"/>
  <c r="F23" i="13"/>
  <c r="I23" i="13" s="1" a="1"/>
  <c r="I23" i="13" s="1"/>
  <c r="F24" i="13"/>
  <c r="I24" i="13" s="1" a="1"/>
  <c r="I24" i="13" s="1"/>
  <c r="H24" i="13" a="1"/>
  <c r="H24" i="13" s="1"/>
  <c r="F26" i="13"/>
  <c r="I26" i="13" s="1" a="1"/>
  <c r="I26" i="13" s="1"/>
  <c r="H26" i="13" a="1"/>
  <c r="H26" i="13" s="1"/>
  <c r="F18" i="13"/>
  <c r="I18" i="13" s="1" a="1"/>
  <c r="I18" i="13" s="1"/>
  <c r="I34" i="13"/>
  <c r="I35" i="13" s="1"/>
  <c r="F22" i="13"/>
  <c r="I22" i="13" s="1"/>
  <c r="F17" i="13"/>
  <c r="I17" i="13" s="1"/>
  <c r="H17" i="13"/>
  <c r="F19" i="13"/>
  <c r="I19" i="13" s="1" a="1"/>
  <c r="I19" i="13" s="1"/>
  <c r="H15" i="13"/>
  <c r="F25" i="13"/>
  <c r="I25" i="13" s="1"/>
  <c r="F27" i="13"/>
  <c r="I27" i="13" s="1" a="1"/>
  <c r="I27" i="13" s="1"/>
  <c r="F16" i="13"/>
  <c r="I16" i="13" s="1" a="1"/>
  <c r="I16" i="13" s="1"/>
  <c r="E56" i="72" l="1"/>
  <c r="E60" i="72" s="1"/>
  <c r="F56" i="72"/>
  <c r="F60" i="72" s="1"/>
  <c r="A20" i="13"/>
  <c r="A19" i="13"/>
  <c r="A18" i="13"/>
  <c r="A17" i="13"/>
  <c r="A14" i="13"/>
  <c r="A13" i="13"/>
  <c r="A12" i="13"/>
  <c r="A11" i="13"/>
  <c r="A8" i="13"/>
  <c r="A7" i="13"/>
  <c r="A4" i="13"/>
  <c r="A3" i="13"/>
  <c r="F36" i="81" l="1"/>
  <c r="K54" i="81"/>
  <c r="K44" i="81"/>
  <c r="K46" i="81"/>
  <c r="K52" i="81"/>
  <c r="J44" i="81"/>
  <c r="J52" i="81"/>
  <c r="J46" i="81"/>
  <c r="J54" i="81"/>
  <c r="K60" i="81" l="1"/>
  <c r="J60" i="81"/>
  <c r="K55" i="81"/>
  <c r="K53" i="81"/>
  <c r="K47" i="81"/>
  <c r="K45" i="81"/>
  <c r="J55" i="81"/>
  <c r="J53" i="81"/>
  <c r="J47" i="81"/>
  <c r="J45" i="8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0"/>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<sst xmlns="http://schemas.openxmlformats.org/spreadsheetml/2006/main" count="681" uniqueCount="321">
  <si>
    <t>Home</t>
  </si>
  <si>
    <t>INPUTS</t>
  </si>
  <si>
    <t>APPENDICES</t>
  </si>
  <si>
    <t>CALCULATIONS</t>
  </si>
  <si>
    <t>Scope 1 source</t>
  </si>
  <si>
    <t>GHG Unit</t>
  </si>
  <si>
    <t>t CH4</t>
  </si>
  <si>
    <t>t CO2e</t>
  </si>
  <si>
    <t>GHG emissions method 1</t>
  </si>
  <si>
    <t>GHG emissions method 2</t>
  </si>
  <si>
    <t>CO2-e emissions method 1</t>
  </si>
  <si>
    <t>CO2-e emissions method 2</t>
  </si>
  <si>
    <t>4.2.1.1-2 Manure methane</t>
  </si>
  <si>
    <t>t N2O</t>
  </si>
  <si>
    <t>4.2.1.3-4 Soil direct N2O</t>
  </si>
  <si>
    <t>4.2.1.5-6 Soil atmospheric deposition</t>
  </si>
  <si>
    <t>4.2.1.7-8 Soil leaching and runoff</t>
  </si>
  <si>
    <t>Production timeframe start</t>
  </si>
  <si>
    <t>Production timeframe end</t>
  </si>
  <si>
    <t>Production timeframe length</t>
  </si>
  <si>
    <t>Emissions calculation period start date</t>
  </si>
  <si>
    <t>Emissions calculation period end date</t>
  </si>
  <si>
    <t>Production</t>
  </si>
  <si>
    <t>Liveweight sold</t>
  </si>
  <si>
    <t>Liveweight grown - method 1</t>
  </si>
  <si>
    <t>Liveweight grown - method 2</t>
  </si>
  <si>
    <t>Percent manure sold</t>
  </si>
  <si>
    <t>Percent manure applied as fertiliser on own farm</t>
  </si>
  <si>
    <t>Percent manure applied to soil with no purpose (as waste)</t>
  </si>
  <si>
    <t>tonnes</t>
  </si>
  <si>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</si>
  <si>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</si>
  <si>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</si>
  <si>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</si>
  <si>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</si>
  <si>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</si>
  <si>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</si>
  <si>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</si>
  <si>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</si>
  <si>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</si>
  <si>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</si>
  <si>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</si>
  <si>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</si>
  <si>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</si>
  <si>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</si>
  <si>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</si>
  <si>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</si>
  <si>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</si>
  <si>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</si>
  <si>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</si>
  <si>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</si>
  <si>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</si>
  <si>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</si>
  <si>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</si>
  <si>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</si>
  <si>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</si>
  <si>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</si>
  <si>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</si>
  <si>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</si>
  <si>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</si>
  <si>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</si>
  <si>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</si>
  <si>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</si>
  <si>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</si>
  <si>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</si>
  <si>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</si>
  <si>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</si>
  <si>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</si>
  <si>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</si>
  <si>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</si>
  <si>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</si>
  <si>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</si>
  <si>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</si>
  <si>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</si>
  <si>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</si>
  <si>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</si>
  <si>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</si>
  <si>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</si>
  <si>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</si>
  <si>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</si>
  <si>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</si>
  <si>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</si>
  <si>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</si>
  <si>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</si>
  <si>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</si>
  <si>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</si>
  <si>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</si>
  <si>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</si>
  <si>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</si>
  <si>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</si>
  <si>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</si>
  <si>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</si>
  <si>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</si>
  <si>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</si>
  <si>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</si>
  <si>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</si>
  <si>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</si>
  <si>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</si>
  <si>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</si>
  <si>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</si>
  <si>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</si>
  <si>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</si>
  <si>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</si>
  <si>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r>
      <rPr>
        <sz val="12"/>
        <color theme="1" tint="0.34998626667073579"/>
        <rFont val="Times New Roman"/>
        <family val="1"/>
      </rPr>
      <t xml:space="preserve">← </t>
    </r>
    <r>
      <rPr>
        <i/>
        <sz val="12"/>
        <color theme="1" tint="0.34998626667073579"/>
        <rFont val="Times New Roman"/>
        <family val="1"/>
      </rPr>
      <t>DD/MM/YYYY or DD Month YYYY</t>
    </r>
  </si>
  <si>
    <r>
      <rPr>
        <sz val="12"/>
        <color theme="1" tint="0.34998626667073579"/>
        <rFont val="Times New Roman"/>
        <family val="1"/>
      </rPr>
      <t xml:space="preserve">← </t>
    </r>
    <r>
      <rPr>
        <i/>
        <sz val="12"/>
        <color theme="1" tint="0.34998626667073579"/>
        <rFont val="Times New Roman"/>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</si>
  <si>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</si>
  <si>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</si>
  <si>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</si>
  <si>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</si>
  <si>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Western Australia</t>
  </si>
  <si>
    <r>
      <rPr>
        <sz val="12"/>
        <color theme="1" tint="0.34998626667073579"/>
        <rFont val="Times New Roman"/>
        <family val="1"/>
      </rPr>
      <t xml:space="preserve">← </t>
    </r>
    <r>
      <rPr>
        <i/>
        <sz val="12"/>
        <color theme="1" tint="0.34998626667073579"/>
        <rFont val="Times New Roman"/>
        <family val="1"/>
      </rPr>
      <t>Please select</t>
    </r>
  </si>
  <si>
    <t>Region (ABS Statistical area level 4) if state is WA</t>
  </si>
  <si>
    <t>Western Australia - Outback (South)</t>
  </si>
  <si>
    <t>Leaching zone</t>
  </si>
  <si>
    <t>NO - Not in leaching zone</t>
  </si>
  <si>
    <t>Meters</t>
  </si>
  <si>
    <t>Average temperature for reporting period</t>
  </si>
  <si>
    <t>Degrees celsius</t>
  </si>
  <si>
    <t>Total rainfall for reporting period</t>
  </si>
  <si>
    <t>Millimetres</t>
  </si>
  <si>
    <t>Potential evapotranspiration for reporting period</t>
  </si>
  <si>
    <t>Number of frost days for reporting period</t>
  </si>
  <si>
    <t>Days</t>
  </si>
  <si>
    <t>MAP:PET ratio</t>
  </si>
  <si>
    <t>Wet or dry climate zone</t>
  </si>
  <si>
    <t>Emissions calculation cycle</t>
  </si>
  <si>
    <t>Months</t>
  </si>
  <si>
    <t>Unit</t>
  </si>
  <si>
    <t>t co2e/t liveweight sold</t>
  </si>
  <si>
    <t>t co2e/t manure</t>
  </si>
  <si>
    <t>Emissions intensity (Method 1)</t>
  </si>
  <si>
    <t>Emissions intensity (Method 2)</t>
  </si>
  <si>
    <t>Product type</t>
  </si>
  <si>
    <t>Main product</t>
  </si>
  <si>
    <t>Co-product</t>
  </si>
  <si>
    <t>Manure used as fertiliser on own farm</t>
  </si>
  <si>
    <t>N/A</t>
  </si>
  <si>
    <t>Residual product</t>
  </si>
  <si>
    <t>CO2 removed attributed to this enterprise</t>
  </si>
  <si>
    <t>t CO2</t>
  </si>
  <si>
    <t>Total emissions for production cycle</t>
  </si>
  <si>
    <t>Total carbon removals for production cycle</t>
  </si>
  <si>
    <t>Method 1</t>
  </si>
  <si>
    <t>Method 2</t>
  </si>
  <si>
    <t>Liveweight grown - Method 1</t>
  </si>
  <si>
    <t>Product</t>
  </si>
  <si>
    <t>t co2e/t liveweight grown</t>
  </si>
  <si>
    <t>3.2.1.1-2 Enteric methane</t>
  </si>
  <si>
    <t>5.1.1.1-2 Inorganic fert N2O</t>
  </si>
  <si>
    <t>5.1.1.3-4 Inorganic fert CO2</t>
  </si>
  <si>
    <t>5.2.1.1-2 Organic fert N2O</t>
  </si>
  <si>
    <t>5.3.1.1-2 Lime CO2</t>
  </si>
  <si>
    <t>5.4.1.1-4 Atmos. deposition</t>
  </si>
  <si>
    <t>5.5.1.1-2 Leaching &amp; runoff</t>
  </si>
  <si>
    <t>6.2.1.1-2 Pasture residue N2O</t>
  </si>
  <si>
    <t>6.3.1.1-2 Leach &amp; runoff (pasture)</t>
  </si>
  <si>
    <t>8.1.1.1-2 Transport fuel CO2</t>
  </si>
  <si>
    <t>8.1.1.1-2 Transport fuel N2O</t>
  </si>
  <si>
    <t>8.1.1.1-2 Transport fuel CH4</t>
  </si>
  <si>
    <t>8.2.1.1-2 Stationary fuel CO2</t>
  </si>
  <si>
    <t>8.2.1.1-2 Stationary fuel CH4</t>
  </si>
  <si>
    <t>8.2.1.1-2 Stationary fuel N2O</t>
  </si>
  <si>
    <t>Input - Enterprise</t>
  </si>
  <si>
    <t>percent</t>
  </si>
  <si>
    <t>Manure produced - method 1</t>
  </si>
  <si>
    <t>Manure produced - method 2</t>
  </si>
  <si>
    <t>Percentage of income from liveweight sold</t>
  </si>
  <si>
    <t>Percentage of income from manure sold</t>
  </si>
  <si>
    <t>=SUM(Enterprise_PastureBeef_InputFunctions.multiplyCorrespondingCells('Input - Pasture Beef'!X_Table_PastureBeef_Head_Method1, 'Input - Pasture Beef'!X_Table_PastureBeef_Duration_Method1, 'Input - Pasture Beef'!X_Table_PastureBeef_LiveweightGain_Method1))*10^-3</t>
  </si>
  <si>
    <t>=SUM(Enterprise_PastureBeef_InputFunctions.multiplyCorrespondingCells('Input - Pasture Beef'!X_Table_PastureBeef_Head_Method2, 'Input - Pasture Beef'!X_Table_PastureBeef_Duration_Method2, 'Input - Pasture Beef'!X_Table_PastureBeef_LiveweightGain_Method2))*10^-3</t>
  </si>
  <si>
    <t>=SUM(Enterprise_PastureBeef_InputFunctions.multiplyCorrespondingCells('Input - Pasture Beef'!X_Table_PastureBeef_Head_Method2, 'Input - Pasture Beef'!X_Table_PastureBeef_Duration_Method2, M2_Table_VS_j_k_l))*10^-3</t>
  </si>
  <si>
    <t>=SUM(Enterprise_PastureBeef_InputFunctions.multiplyCorrespondingCells('Input - Pasture Beef'!X_Table_PastureBeef_Head_Method1, 'Input - Pasture Beef'!X_Table_PastureBeef_Duration_Method1, '4.2.1.1-2 Methane'!M1_Table_VS_j_k_l))*10^-3</t>
  </si>
  <si>
    <t>Product emissions - Mass</t>
  </si>
  <si>
    <t>Product emissions - Economic</t>
  </si>
  <si>
    <t>Economic emissions assignment</t>
  </si>
  <si>
    <t>Emissions per tonne liveweight grown</t>
  </si>
  <si>
    <t>Liveweight sold - excluding removals</t>
  </si>
  <si>
    <t>Liveweight sold - net emissions</t>
  </si>
  <si>
    <t>Manure sold - excluding removals</t>
  </si>
  <si>
    <t>Manure sold - net emissions</t>
  </si>
  <si>
    <t>Input - Fertiliser Production System</t>
  </si>
  <si>
    <t>Production system</t>
  </si>
  <si>
    <t>Crop type</t>
  </si>
  <si>
    <t>Area under cropping</t>
  </si>
  <si>
    <t>Pasture</t>
  </si>
  <si>
    <t>These inputs are used for fertiliser calculations, and they take their values from the "Input - Pasture" sheet. Do not edit these cells.</t>
  </si>
  <si>
    <t>Input - Livestock sales</t>
  </si>
  <si>
    <t>⚠️ Livestock sales are not automatically reflected in the duration and head tables - you will need to manually adjust head count and average liveweight</t>
  </si>
  <si>
    <t>Transaction name</t>
  </si>
  <si>
    <t>Class (select)</t>
  </si>
  <si>
    <t>Sale date</t>
  </si>
  <si>
    <t>Head sold</t>
  </si>
  <si>
    <t>Average weight per head (kg)</t>
  </si>
  <si>
    <t>Total liveweight sold</t>
  </si>
  <si>
    <t>Bulls &gt; 1 year</t>
  </si>
  <si>
    <t>Input - Data quality</t>
  </si>
  <si>
    <t>Notes</t>
  </si>
  <si>
    <t>Evidence files</t>
  </si>
  <si>
    <t>Score</t>
  </si>
  <si>
    <t>TR4</t>
  </si>
  <si>
    <t>SR5</t>
  </si>
  <si>
    <t>SS3</t>
  </si>
  <si>
    <t>Data quality scoring</t>
  </si>
  <si>
    <t>Table_SourceData_DataQuality_TemporalRepresentativeness</t>
  </si>
  <si>
    <t>Description</t>
  </si>
  <si>
    <t>ID</t>
  </si>
  <si>
    <t>Data collected covers the time-period for which emissions are being estimated  </t>
  </si>
  <si>
    <t>TR5</t>
  </si>
  <si>
    <t>Data collected represents activities that occurred within 2 years of the time-period being assessed  </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</si>
  <si>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</si>
  <si>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</si>
  <si>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</si>
  <si>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</si>
  <si>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</si>
  <si>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</si>
  <si>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</si>
  <si>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</si>
  <si>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</si>
  <si>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</si>
  <si>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</si>
  <si>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</si>
  <si>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</si>
  <si>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</si>
  <si>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</si>
  <si>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</si>
  <si>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</si>
  <si>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</si>
  <si>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</si>
  <si>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</si>
  <si>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</si>
  <si>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</si>
  <si>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</si>
  <si>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</si>
  <si>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</si>
  <si>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</si>
  <si>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</si>
  <si>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</si>
  <si>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</si>
  <si>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</si>
  <si>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</si>
  <si>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</si>
  <si>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</si>
  <si>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</si>
  <si>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</si>
  <si>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</si>
  <si>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</si>
  <si>
    <t>Enterprise</t>
  </si>
  <si>
    <t>When was the data sourced?</t>
  </si>
  <si>
    <t>Where is the data sourced from?</t>
  </si>
  <si>
    <t>How much of the data was from direct samples?</t>
  </si>
  <si>
    <t>During this emissions calculation period</t>
  </si>
  <si>
    <t>This location without spatial partitioning</t>
  </si>
  <si>
    <t>Over 90%</t>
  </si>
  <si>
    <t>Between 21% and 50%</t>
  </si>
  <si>
    <t>Regional-level data from a government or industry database/survey</t>
  </si>
  <si>
    <t>Between 51% and 90%</t>
  </si>
  <si>
    <t>Site</t>
  </si>
  <si>
    <t>Within 2 years of this emissions calculation period</t>
  </si>
  <si>
    <t>Within 3 years of this emissions calculation period</t>
  </si>
  <si>
    <t>Pasture Beef</t>
  </si>
  <si>
    <t>Less than 20%</t>
  </si>
  <si>
    <t>Unknown</t>
  </si>
  <si>
    <t>Pasture management</t>
  </si>
  <si>
    <t>State-level data from a government or industry database/survey</t>
  </si>
  <si>
    <t>Fertiliser applications</t>
  </si>
  <si>
    <t>This location with spatial partitioning</t>
  </si>
  <si>
    <t>National-level data from a government or industry database/survey</t>
  </si>
  <si>
    <t>Within 4 years of this emissions calculation period</t>
  </si>
  <si>
    <t>Unknown, or more than 4 years of this emissions calculation period</t>
  </si>
  <si>
    <t>User friendly description</t>
  </si>
  <si>
    <t>Verified report complying to ISO14067 2018 or GHG Protocol Lifecycle Accounting and Reporting Standard</t>
  </si>
  <si>
    <t>Report consistent with ISO14067 2018, GHG Protocol Lifecycle Accounting and Reporting Standard or this tool</t>
  </si>
  <si>
    <t>Regional-level database</t>
  </si>
  <si>
    <t>National-level database</t>
  </si>
  <si>
    <t>Geographically generic database</t>
  </si>
  <si>
    <t>Data type</t>
  </si>
  <si>
    <t>Fuel and electricity</t>
  </si>
  <si>
    <t>Farm input purchases, freight and waste outputs</t>
  </si>
  <si>
    <t>Total data quality score</t>
  </si>
  <si>
    <t>Results - Product emissions intensity</t>
  </si>
  <si>
    <t>Results - Activity period</t>
  </si>
  <si>
    <t>Net emissions for production cycle</t>
  </si>
  <si>
    <t>Planting name</t>
  </si>
  <si>
    <t>Total removed CO2</t>
  </si>
  <si>
    <t>Percent allocated to this enterprise</t>
  </si>
  <si>
    <t>Enter the method 1 and 2 CO2e emissions (excluding removals) from previous emissions calculation periods if applicable.</t>
  </si>
  <si>
    <t>Removal allocated to this enterprise</t>
  </si>
  <si>
    <t>Carbon removals</t>
  </si>
  <si>
    <t>Production cycle emissions and removals</t>
  </si>
  <si>
    <t>Emissions for production cycle excluding removals</t>
  </si>
  <si>
    <t>Total removals</t>
  </si>
  <si>
    <t>Total net emissions</t>
  </si>
  <si>
    <t>t CO2-e</t>
  </si>
  <si>
    <t>Total scope 1</t>
  </si>
  <si>
    <t>Scope 2</t>
  </si>
  <si>
    <t>Scope 2 source</t>
  </si>
  <si>
    <t>Total scope 2</t>
  </si>
  <si>
    <t>Scope 1</t>
  </si>
  <si>
    <t>Scope 3</t>
  </si>
  <si>
    <t>Scope 3 source</t>
  </si>
  <si>
    <t>15.1.1.1 Purchased livestock</t>
  </si>
  <si>
    <t>15.2.1.1 Purchased feed</t>
  </si>
  <si>
    <t>15.3.1.1 Mineral supplements</t>
  </si>
  <si>
    <t>15.4.1.1 Fertiliser</t>
  </si>
  <si>
    <t>15.5.1.1 Agrichemicals</t>
  </si>
  <si>
    <t>15.6.1.1 Lime</t>
  </si>
  <si>
    <t>15.7.1.1 Services and contractor operations</t>
  </si>
  <si>
    <t>15.10.1.1 Other: Cleaning chemicals</t>
  </si>
  <si>
    <t>15.10.1.1 Other: Pharmacy chemicals</t>
  </si>
  <si>
    <t>15.10.1.1 Other: Miscellaneous</t>
  </si>
  <si>
    <t>15.10.1.1 Other: Uncategorised</t>
  </si>
  <si>
    <t>15.11.1.1 Fuel</t>
  </si>
  <si>
    <t>15.14.1.1 Incoming freight</t>
  </si>
  <si>
    <t>15.13.1.1 Waste sent to treatment facility</t>
  </si>
  <si>
    <t>15.14.1.1 Outgoing freight</t>
  </si>
  <si>
    <t>Total scope 3</t>
  </si>
  <si>
    <t>Amount in tonnes (Method 1)</t>
  </si>
  <si>
    <t>Amount in tonnes (Method 2)</t>
  </si>
  <si>
    <t>Mass emissions assignment (Method 1)</t>
  </si>
  <si>
    <t>Mass emissions assignment (Method 2)</t>
  </si>
  <si>
    <t>Total emissions excluding removals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</si>
</sst>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C09]dd\-mmmm\-yyyy;@"/>
    <numFmt numFmtId="168" formatCode="#,##0.000000"/>
    <numFmt numFmtId="169" formatCode="_-* #,##0_-;\-* #,##0_-;_-* &quot;-&quot;??_-;_-@_-"/>
    <numFmt numFmtId="170" formatCode="[$-F800]dddd\,\ mmmm\ dd\,\ yyyy"/>
  </numFmts>
  <fonts count="55"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11"/>
      <color theme="1" tint="0.499984740745262"/>
      <name val="Times New Roman"/>
      <family val="1"/>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
      <u/>
      <sz val="11"/>
      <color theme="10"/>
      <name val="Times New Roman"/>
      <family val="2"/>
      <scheme val="minor"/>
    </font>
    <font>
      <b/>
      <sz val="12"/>
      <color theme="1" tint="0.24994659260841701"/>
      <name val="Times New Roman"/>
      <family val="1"/>
    </font>
    <font>
      <i/>
      <sz val="10"/>
      <color theme="1" tint="0.34998626667073579"/>
      <name val="Times New Roman"/>
      <family val="1"/>
    </font>
    <font>
      <b/>
      <sz val="12"/>
      <color rgb="FF0070C0"/>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sz val="11"/>
      <color rgb="FF242424"/>
      <name val="Consolas"/>
      <family val="3"/>
    </font>
    <font>
      <sz val="9"/>
      <color rgb="FF404040"/>
      <name val="Times New Roman"/>
      <family val="1"/>
    </font>
    <font>
      <b/>
      <sz val="16"/>
      <color theme="1" tint="0.24994659260841701"/>
      <name val="Times New Roman"/>
      <family val="1"/>
    </font>
    <font>
      <sz val="16"/>
      <color theme="1" tint="0.24994659260841701"/>
      <name val="Times New Roman"/>
      <family val="1"/>
    </font>
    <font>
      <b/>
      <sz val="20"/>
      <color rgb="FF0C769E"/>
      <name val="Times New Roman"/>
      <family val="1"/>
    </font>
    <font>
      <i/>
      <sz val="16"/>
      <color theme="1" tint="0.34998626667073579"/>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DCECD0"/>
        <bgColor indexed="64"/>
      </patternFill>
    </fill>
    <fill>
      <patternFill patternType="solid">
        <fgColor theme="9" tint="0.59999389629810485"/>
        <bgColor indexed="64"/>
      </patternFill>
    </fill>
  </fills>
  <borders count="18">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
      <left style="thin">
        <color theme="0" tint="-0.34998626667073579"/>
      </left>
      <right style="thin">
        <color theme="0" tint="-0.34998626667073579"/>
      </right>
      <top style="thin">
        <color theme="0" tint="-0.34998626667073579"/>
      </top>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5" fillId="4" borderId="0">
      <alignment horizontal="left" vertical="center"/>
    </xf>
    <xf numFmtId="0" fontId="29" fillId="4" borderId="0">
      <alignment vertical="center"/>
    </xf>
    <xf numFmtId="0" fontId="3" fillId="4" borderId="0">
      <alignment horizontal="left" vertical="center"/>
    </xf>
    <xf numFmtId="0" fontId="27"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1" fillId="0" borderId="0">
      <alignment horizontal="left" vertical="center" indent="2"/>
    </xf>
    <xf numFmtId="0" fontId="30" fillId="13" borderId="5">
      <alignment horizontal="left" vertical="center"/>
    </xf>
    <xf numFmtId="3" fontId="23" fillId="4" borderId="2">
      <alignment horizontal="center" vertical="center"/>
    </xf>
    <xf numFmtId="167" fontId="2" fillId="0" borderId="2">
      <alignment horizontal="center" vertical="center"/>
    </xf>
    <xf numFmtId="0" fontId="24" fillId="0" borderId="0"/>
    <xf numFmtId="0" fontId="9" fillId="0" borderId="0"/>
    <xf numFmtId="0" fontId="24" fillId="0" borderId="0"/>
    <xf numFmtId="166" fontId="23" fillId="4" borderId="2">
      <alignment horizontal="center" vertical="center"/>
    </xf>
    <xf numFmtId="4" fontId="23" fillId="4" borderId="2">
      <alignment horizontal="center" vertical="center"/>
    </xf>
    <xf numFmtId="0" fontId="34" fillId="4" borderId="0">
      <alignment horizontal="left" vertical="center"/>
    </xf>
    <xf numFmtId="0" fontId="26" fillId="4" borderId="0" applyNumberFormat="0">
      <alignment horizontal="center" vertical="center"/>
    </xf>
    <xf numFmtId="165" fontId="23" fillId="4" borderId="2">
      <alignment horizontal="center" vertical="center"/>
    </xf>
    <xf numFmtId="0" fontId="22" fillId="4" borderId="0">
      <alignment horizontal="left" vertical="center"/>
    </xf>
    <xf numFmtId="168" fontId="23" fillId="4" borderId="2">
      <alignment horizontal="center" vertical="center"/>
    </xf>
    <xf numFmtId="0" fontId="23" fillId="4" borderId="2">
      <alignment horizontal="center" vertical="center"/>
    </xf>
    <xf numFmtId="0" fontId="6" fillId="4" borderId="0">
      <alignment horizontal="left" vertical="center"/>
    </xf>
    <xf numFmtId="0" fontId="28" fillId="4" borderId="0">
      <alignment horizontal="left" vertical="center"/>
    </xf>
    <xf numFmtId="0" fontId="9" fillId="0" borderId="0"/>
    <xf numFmtId="0" fontId="2" fillId="0" borderId="2">
      <alignment horizontal="center" vertical="center"/>
    </xf>
    <xf numFmtId="0" fontId="32" fillId="4" borderId="0">
      <alignment horizontal="left" vertical="center"/>
    </xf>
    <xf numFmtId="0" fontId="33" fillId="4" borderId="0">
      <alignment horizontal="left" vertical="center"/>
    </xf>
    <xf numFmtId="0" fontId="35" fillId="4" borderId="0">
      <alignment horizontal="left" vertical="center"/>
    </xf>
    <xf numFmtId="0" fontId="31" fillId="11" borderId="0">
      <alignment horizontal="center" vertical="center"/>
    </xf>
    <xf numFmtId="0" fontId="20" fillId="11" borderId="0">
      <alignment horizontal="left" vertical="center" indent="1"/>
    </xf>
    <xf numFmtId="0" fontId="36" fillId="4" borderId="2">
      <alignment horizontal="left" vertical="center"/>
    </xf>
    <xf numFmtId="0" fontId="23" fillId="4" borderId="2">
      <alignment horizontal="left" vertical="center"/>
    </xf>
    <xf numFmtId="0" fontId="37" fillId="14" borderId="2">
      <alignment horizontal="center" vertical="center"/>
    </xf>
    <xf numFmtId="0" fontId="38" fillId="15" borderId="2">
      <alignment horizontal="center" vertical="center"/>
    </xf>
    <xf numFmtId="0" fontId="39" fillId="0" borderId="0" applyNumberFormat="0" applyFill="0" applyBorder="0" applyAlignment="0" applyProtection="0"/>
    <xf numFmtId="43" fontId="9" fillId="0" borderId="0" applyFont="0" applyFill="0" applyBorder="0" applyAlignment="0" applyProtection="0"/>
    <xf numFmtId="9" fontId="9" fillId="0" borderId="0" applyFont="0" applyFill="0" applyBorder="0" applyAlignment="0" applyProtection="0"/>
  </cellStyleXfs>
  <cellXfs count="100">
    <xf numFmtId="0" fontId="0" fillId="0" borderId="0" xfId="0"/>
    <xf numFmtId="0" fontId="27" fillId="4" borderId="0" xfId="8">
      <alignment horizontal="left" vertical="center"/>
    </xf>
    <xf numFmtId="0" fontId="25" fillId="4" borderId="0" xfId="5">
      <alignment horizontal="left" vertical="center"/>
    </xf>
    <xf numFmtId="0" fontId="1" fillId="0" borderId="0" xfId="3">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7" fillId="9" borderId="4" xfId="34">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0" fillId="4" borderId="0" xfId="0" applyFill="1"/>
    <xf numFmtId="0" fontId="6" fillId="4" borderId="0" xfId="53">
      <alignment horizontal="left" vertical="center"/>
    </xf>
    <xf numFmtId="0" fontId="10" fillId="0" borderId="0" xfId="32"/>
    <xf numFmtId="0" fontId="31" fillId="11" borderId="0" xfId="60">
      <alignment horizontal="center" vertical="center"/>
    </xf>
    <xf numFmtId="0" fontId="2" fillId="4" borderId="0" xfId="7" applyFont="1">
      <alignment horizontal="left" vertical="center"/>
    </xf>
    <xf numFmtId="0" fontId="3" fillId="12" borderId="2" xfId="15">
      <alignment horizontal="center" vertical="center"/>
    </xf>
    <xf numFmtId="167" fontId="2" fillId="0" borderId="2" xfId="41">
      <alignment horizontal="center" vertical="center"/>
    </xf>
    <xf numFmtId="0" fontId="23" fillId="4" borderId="2" xfId="52">
      <alignment horizontal="center" vertical="center"/>
    </xf>
    <xf numFmtId="0" fontId="6" fillId="4" borderId="0" xfId="12">
      <alignment horizontal="left" vertical="center" indent="1"/>
    </xf>
    <xf numFmtId="0" fontId="29" fillId="4" borderId="0" xfId="6">
      <alignment vertical="center"/>
    </xf>
    <xf numFmtId="9" fontId="2" fillId="0" borderId="2" xfId="16">
      <alignment horizontal="center" vertical="center"/>
    </xf>
    <xf numFmtId="9" fontId="23" fillId="4" borderId="2" xfId="68" applyFont="1" applyFill="1" applyBorder="1" applyAlignment="1">
      <alignment horizontal="center" vertical="center"/>
    </xf>
    <xf numFmtId="0" fontId="0" fillId="0" borderId="0" xfId="8" applyFont="1" applyFill="1">
      <alignment horizontal="left" vertical="center"/>
    </xf>
    <xf numFmtId="0" fontId="4" fillId="0" borderId="0" xfId="2"/>
    <xf numFmtId="0" fontId="3" fillId="0" borderId="0" xfId="7" applyFill="1">
      <alignment horizontal="left" vertical="center"/>
    </xf>
    <xf numFmtId="0" fontId="16" fillId="3" borderId="0" xfId="4">
      <alignment vertical="center"/>
    </xf>
    <xf numFmtId="0" fontId="16" fillId="0" borderId="0" xfId="4" applyFill="1">
      <alignment vertical="center"/>
    </xf>
    <xf numFmtId="0" fontId="3" fillId="4" borderId="0" xfId="7">
      <alignment horizontal="left" vertical="center"/>
    </xf>
    <xf numFmtId="0" fontId="28" fillId="4" borderId="0" xfId="54">
      <alignment horizontal="left" vertical="center"/>
    </xf>
    <xf numFmtId="0" fontId="0" fillId="0" borderId="0" xfId="7" applyFont="1" applyFill="1">
      <alignment horizontal="left" vertical="center"/>
    </xf>
    <xf numFmtId="0" fontId="10" fillId="0" borderId="0" xfId="2" applyFont="1"/>
    <xf numFmtId="0" fontId="16" fillId="7" borderId="0" xfId="31">
      <alignment vertical="center"/>
    </xf>
    <xf numFmtId="0" fontId="3" fillId="4" borderId="6" xfId="7" applyBorder="1">
      <alignment horizontal="left" vertical="center"/>
    </xf>
    <xf numFmtId="0" fontId="25" fillId="0" borderId="0" xfId="5" applyFill="1">
      <alignment horizontal="left" vertical="center"/>
    </xf>
    <xf numFmtId="0" fontId="11" fillId="4" borderId="0" xfId="30">
      <alignment vertical="center"/>
    </xf>
    <xf numFmtId="0" fontId="29" fillId="0" borderId="0" xfId="6" applyFill="1">
      <alignment vertical="center"/>
    </xf>
    <xf numFmtId="0" fontId="2" fillId="0" borderId="2" xfId="14">
      <alignment horizontal="center" vertical="center"/>
    </xf>
    <xf numFmtId="0" fontId="27" fillId="0" borderId="0" xfId="8" applyFill="1">
      <alignment horizontal="left" vertical="center"/>
    </xf>
    <xf numFmtId="0" fontId="30" fillId="13" borderId="7" xfId="39" applyBorder="1">
      <alignment horizontal="left" vertical="center"/>
    </xf>
    <xf numFmtId="0" fontId="30" fillId="13" borderId="8" xfId="39" applyBorder="1">
      <alignment horizontal="left" vertical="center"/>
    </xf>
    <xf numFmtId="0" fontId="30" fillId="13" borderId="9" xfId="39" applyBorder="1">
      <alignment horizontal="left" vertical="center"/>
    </xf>
    <xf numFmtId="0" fontId="30" fillId="13" borderId="10" xfId="39" applyBorder="1">
      <alignment horizontal="left" vertical="center"/>
    </xf>
    <xf numFmtId="0" fontId="41" fillId="0" borderId="0" xfId="12" applyFont="1" applyFill="1" applyAlignment="1">
      <alignment horizontal="left" vertical="center"/>
    </xf>
    <xf numFmtId="166" fontId="23" fillId="4" borderId="2" xfId="40" applyNumberFormat="1">
      <alignment horizontal="center" vertical="center"/>
    </xf>
    <xf numFmtId="0" fontId="2" fillId="0" borderId="0" xfId="7" applyFont="1" applyFill="1">
      <alignment horizontal="left" vertical="center"/>
    </xf>
    <xf numFmtId="0" fontId="42" fillId="13" borderId="11" xfId="39" applyFont="1" applyBorder="1">
      <alignment horizontal="left" vertical="center"/>
    </xf>
    <xf numFmtId="0" fontId="30" fillId="13" borderId="12" xfId="39" applyBorder="1">
      <alignment horizontal="left" vertical="center"/>
    </xf>
    <xf numFmtId="0" fontId="30" fillId="13" borderId="13" xfId="39" applyBorder="1">
      <alignment horizontal="left" vertical="center"/>
    </xf>
    <xf numFmtId="0" fontId="30" fillId="13" borderId="14" xfId="39" applyBorder="1">
      <alignment horizontal="left" vertical="center"/>
    </xf>
    <xf numFmtId="0" fontId="30" fillId="13" borderId="15" xfId="39" applyBorder="1">
      <alignment horizontal="left" vertical="center"/>
    </xf>
    <xf numFmtId="0" fontId="30" fillId="13" borderId="16" xfId="39" applyBorder="1">
      <alignment horizontal="left" vertical="center"/>
    </xf>
    <xf numFmtId="4" fontId="2" fillId="4" borderId="0" xfId="17" applyFill="1" applyBorder="1">
      <alignment horizontal="center" vertical="center"/>
    </xf>
    <xf numFmtId="0" fontId="12" fillId="4" borderId="0" xfId="29" applyFill="1">
      <alignment horizontal="center" vertical="center"/>
      <protection locked="0"/>
    </xf>
    <xf numFmtId="0" fontId="43" fillId="0" borderId="0" xfId="0" applyFont="1" applyAlignment="1" applyProtection="1">
      <alignment horizontal="center" vertical="center"/>
      <protection locked="0"/>
    </xf>
    <xf numFmtId="4" fontId="44" fillId="0" borderId="0" xfId="17" applyFont="1" applyBorder="1">
      <alignment horizontal="center" vertical="center"/>
    </xf>
    <xf numFmtId="164" fontId="8" fillId="4" borderId="0" xfId="26" applyBorder="1">
      <alignment horizontal="center" vertical="center"/>
    </xf>
    <xf numFmtId="4" fontId="44" fillId="4" borderId="0" xfId="17" applyFont="1" applyFill="1" applyBorder="1">
      <alignment horizontal="center" vertical="center"/>
    </xf>
    <xf numFmtId="0" fontId="44" fillId="4" borderId="0" xfId="12" applyFont="1" applyAlignment="1">
      <alignment horizontal="center" vertical="center"/>
    </xf>
    <xf numFmtId="0" fontId="44" fillId="4" borderId="0" xfId="8" applyFont="1" applyAlignment="1">
      <alignment horizontal="center" vertical="center"/>
    </xf>
    <xf numFmtId="166" fontId="44" fillId="4" borderId="0" xfId="8" applyNumberFormat="1" applyFont="1" applyAlignment="1">
      <alignment horizontal="center" vertical="center"/>
    </xf>
    <xf numFmtId="9" fontId="44" fillId="4" borderId="0" xfId="68" applyFont="1" applyFill="1" applyBorder="1" applyAlignment="1">
      <alignment horizontal="center" vertical="center"/>
    </xf>
    <xf numFmtId="0" fontId="45" fillId="4" borderId="0" xfId="0" applyFont="1" applyFill="1" applyAlignment="1">
      <alignment horizontal="center" vertical="center"/>
    </xf>
    <xf numFmtId="0" fontId="45" fillId="4" borderId="0" xfId="0" applyFont="1" applyFill="1"/>
    <xf numFmtId="0" fontId="44" fillId="4" borderId="0" xfId="0" applyFont="1" applyFill="1"/>
    <xf numFmtId="0" fontId="44" fillId="0" borderId="0" xfId="0" applyFont="1"/>
    <xf numFmtId="0" fontId="46" fillId="4" borderId="0" xfId="7" applyFont="1" applyAlignment="1">
      <alignment horizontal="center" vertical="center"/>
    </xf>
    <xf numFmtId="0" fontId="47" fillId="4" borderId="0" xfId="7" applyFont="1" applyAlignment="1">
      <alignment horizontal="center" vertical="center"/>
    </xf>
    <xf numFmtId="166" fontId="47" fillId="4" borderId="0" xfId="7" applyNumberFormat="1" applyFont="1" applyAlignment="1">
      <alignment horizontal="center" vertical="center"/>
    </xf>
    <xf numFmtId="0" fontId="47" fillId="4" borderId="0" xfId="0" applyFont="1" applyFill="1" applyAlignment="1">
      <alignment horizontal="center" vertical="center"/>
    </xf>
    <xf numFmtId="0" fontId="48" fillId="4" borderId="0" xfId="0" applyFont="1" applyFill="1" applyAlignment="1">
      <alignment horizontal="center" vertical="center"/>
    </xf>
    <xf numFmtId="0" fontId="48" fillId="4" borderId="0" xfId="0" applyFont="1" applyFill="1" applyAlignment="1">
      <alignment horizontal="left" vertical="center"/>
    </xf>
    <xf numFmtId="14" fontId="3" fillId="4" borderId="0" xfId="7" applyNumberFormat="1">
      <alignment horizontal="left" vertical="center"/>
    </xf>
    <xf numFmtId="0" fontId="30" fillId="13" borderId="5" xfId="39">
      <alignment horizontal="left" vertical="center"/>
    </xf>
    <xf numFmtId="0" fontId="39" fillId="4" borderId="0" xfId="66" applyFill="1" applyBorder="1"/>
    <xf numFmtId="166" fontId="2" fillId="4" borderId="0" xfId="18" applyNumberFormat="1" applyFill="1" applyBorder="1">
      <alignment horizontal="center" vertical="center"/>
    </xf>
    <xf numFmtId="169" fontId="3" fillId="4" borderId="0" xfId="67" applyNumberFormat="1" applyFont="1" applyFill="1" applyBorder="1" applyAlignment="1">
      <alignment horizontal="center" vertical="center"/>
    </xf>
    <xf numFmtId="0" fontId="0" fillId="4" borderId="0" xfId="7" applyFont="1">
      <alignment horizontal="left" vertical="center"/>
    </xf>
    <xf numFmtId="0" fontId="49" fillId="4" borderId="0" xfId="0" applyFont="1" applyFill="1"/>
    <xf numFmtId="0" fontId="2" fillId="0" borderId="2" xfId="56">
      <alignment horizontal="center" vertical="center"/>
    </xf>
    <xf numFmtId="0" fontId="40" fillId="4" borderId="0" xfId="8" applyFont="1">
      <alignment horizontal="left" vertical="center"/>
    </xf>
    <xf numFmtId="0" fontId="23" fillId="4" borderId="2" xfId="52" quotePrefix="1">
      <alignment horizontal="center" vertical="center"/>
    </xf>
    <xf numFmtId="0" fontId="34" fillId="4" borderId="0" xfId="47">
      <alignment horizontal="left" vertical="center"/>
    </xf>
    <xf numFmtId="0" fontId="35" fillId="4" borderId="0" xfId="59">
      <alignment horizontal="left" vertical="center"/>
    </xf>
    <xf numFmtId="170" fontId="0" fillId="0" borderId="0" xfId="8" applyNumberFormat="1" applyFont="1" applyFill="1">
      <alignment horizontal="left" vertical="center"/>
    </xf>
    <xf numFmtId="0" fontId="12" fillId="6" borderId="0" xfId="29">
      <alignment horizontal="center" vertical="center"/>
      <protection locked="0"/>
    </xf>
    <xf numFmtId="49" fontId="0" fillId="0" borderId="0" xfId="14" applyNumberFormat="1" applyFont="1" applyBorder="1">
      <alignment horizontal="center" vertical="center"/>
    </xf>
    <xf numFmtId="0" fontId="3" fillId="12" borderId="17" xfId="15" applyBorder="1">
      <alignment horizontal="center" vertical="center"/>
    </xf>
    <xf numFmtId="0" fontId="39" fillId="0" borderId="0" xfId="66"/>
    <xf numFmtId="0" fontId="50" fillId="9" borderId="4" xfId="34" applyFont="1">
      <alignment horizontal="left" vertical="center" indent="1"/>
    </xf>
    <xf numFmtId="0" fontId="20" fillId="10" borderId="0" xfId="35">
      <alignment horizontal="left" vertical="center" indent="1"/>
    </xf>
    <xf numFmtId="0" fontId="27" fillId="4" borderId="1" xfId="8" applyBorder="1">
      <alignment horizontal="left" vertical="center"/>
    </xf>
    <xf numFmtId="0" fontId="51" fillId="4" borderId="0" xfId="8" applyFont="1">
      <alignment horizontal="left" vertical="center"/>
    </xf>
    <xf numFmtId="0" fontId="52" fillId="4" borderId="0" xfId="8" applyFont="1">
      <alignment horizontal="left" vertical="center"/>
    </xf>
    <xf numFmtId="0" fontId="51" fillId="4" borderId="1" xfId="8" applyFont="1" applyBorder="1">
      <alignment horizontal="left" vertical="center"/>
    </xf>
    <xf numFmtId="0" fontId="52" fillId="4" borderId="1" xfId="8" applyFont="1" applyBorder="1">
      <alignment horizontal="left" vertical="center"/>
    </xf>
    <xf numFmtId="0" fontId="53" fillId="0" borderId="0" xfId="32" applyFont="1"/>
    <xf numFmtId="0" fontId="40" fillId="4" borderId="1" xfId="8" applyFont="1" applyBorder="1">
      <alignment horizontal="left" vertical="center"/>
    </xf>
    <xf numFmtId="0" fontId="6" fillId="4" borderId="1" xfId="53" applyBorder="1">
      <alignment horizontal="left" vertical="center"/>
    </xf>
    <xf numFmtId="0" fontId="54" fillId="4" borderId="1" xfId="53" applyFont="1" applyBorder="1">
      <alignment horizontal="left" vertical="center"/>
    </xf>
    <xf numFmtId="0" fontId="54" fillId="4" borderId="0" xfId="53" applyFont="1">
      <alignment horizontal="left" vertical="center"/>
    </xf>
    <xf numFmtId="0" fontId="27" fillId="11" borderId="0" xfId="8" applyFill="1">
      <alignment horizontal="left" vertical="center"/>
    </xf>
  </cellXfs>
  <cellStyles count="69">
    <cellStyle name="Alert" xfId="59" xr:uid="{34EFE908-8095-4010-8F93-8CFE88055637}"/>
    <cellStyle name="Arguments" xfId="63" xr:uid="{D74147AB-B374-43DE-928A-C20FDAA7023A}"/>
    <cellStyle name="Arguments hyperlink" xfId="62" xr:uid="{E9A63CA8-EB4E-4FD6-930A-AD1711340AFB}"/>
    <cellStyle name="Block heading" xfId="5" xr:uid="{74527274-3B4A-494A-B37C-EA50686E114C}"/>
    <cellStyle name="Block subheading" xfId="47" xr:uid="{34E62905-A3E0-4883-B81A-BDB58FC88DA7}"/>
    <cellStyle name="Code" xfId="24" xr:uid="{99B3520F-01DD-4F8E-A8D0-24EAA04E90EB}"/>
    <cellStyle name="Comma" xfId="67" builtinId="3"/>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66" builtinId="8"/>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68" builtinId="5"/>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5" xr:uid="{69904D21-1566-4CAB-9A42-C86AC6535120}"/>
    <cellStyle name="Variable type other" xfId="64" xr:uid="{105BD9DE-B567-4DA0-87E6-C60A0ECC1C65}"/>
  </cellStyles>
  <dxfs count="68">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numFmt numFmtId="170" formatCode="[$-F800]dddd\,\ mmmm\ dd\,\ yyyy"/>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67"/>
      <tableStyleElement type="headerRow" dxfId="66"/>
      <tableStyleElement type="totalRow" dxfId="65"/>
      <tableStyleElement type="firstColumn" dxfId="64"/>
      <tableStyleElement type="firstRowStripe" dxfId="63"/>
      <tableStyleElement type="secondRowStripe" dxfId="62"/>
    </tableStyle>
    <tableStyle name="Equation table" pivot="0" count="6" xr9:uid="{B247698E-E41D-4CCD-AA0A-C14817E9DE65}">
      <tableStyleElement type="wholeTable" dxfId="61"/>
      <tableStyleElement type="headerRow" dxfId="60"/>
      <tableStyleElement type="totalRow" dxfId="59"/>
      <tableStyleElement type="firstColumn" dxfId="58"/>
      <tableStyleElement type="firstRowStripe" dxfId="57"/>
      <tableStyleElement type="secondRowStripe" dxfId="56"/>
    </tableStyle>
    <tableStyle name="Table Style 1" pivot="0" count="0" xr9:uid="{97B370DB-5463-4A31-9160-5A96BD6A559D}"/>
  </tableStyles>
  <colors>
    <mruColors>
      <color rgb="FF0C769E"/>
      <color rgb="FFCC6600"/>
      <color rgb="FFC44340"/>
      <color rgb="FF008000"/>
      <color rgb="FFFFCCCC"/>
      <color rgb="FFC4433F"/>
      <color rgb="FFE9F2FB"/>
      <color rgb="FF183C1B"/>
      <color rgb="FFB2D498"/>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 Id="rId22" Type="http://schemas.openxmlformats.org/officeDocument/2006/relationships/customXml" Target="../customXml/item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Scope 1 sources CO2-e: Method 2</a:t>
            </a:r>
          </a:p>
        </c:rich>
      </c:tx>
      <c:overlay val="0"/>
      <c:spPr>
        <a:noFill/>
        <a:ln>
          <a:noFill/>
        </a:ln>
        <a:effectLst/>
      </c:spPr>
    </c:title>
    <c:autoTitleDeleted val="0"/>
    <c:plotArea>
      <c:layout/>
      <c:ofPieChart>
        <c:ofPieType val="bar"/>
        <c:varyColors val="1"/>
        <c:ser>
          <c:idx val="1"/>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73-1931-495F-914F-43EC2EA99D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74-1931-495F-914F-43EC2EA99D0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75-1931-495F-914F-43EC2EA99D0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76-1931-495F-914F-43EC2EA99D0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77-1931-495F-914F-43EC2EA99D0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78-1931-495F-914F-43EC2EA99D0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79-1931-495F-914F-43EC2EA99D0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7A-1931-495F-914F-43EC2EA99D04}"/>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7B-1931-495F-914F-43EC2EA99D04}"/>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7C-1931-495F-914F-43EC2EA99D04}"/>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7D-1931-495F-914F-43EC2EA99D04}"/>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7E-1931-495F-914F-43EC2EA99D04}"/>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7F-1931-495F-914F-43EC2EA99D04}"/>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80-1931-495F-914F-43EC2EA99D04}"/>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81-1931-495F-914F-43EC2EA99D04}"/>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82-1931-495F-914F-43EC2EA99D04}"/>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83-1931-495F-914F-43EC2EA99D04}"/>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84-1931-495F-914F-43EC2EA99D04}"/>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85-1931-495F-914F-43EC2EA99D04}"/>
              </c:ext>
            </c:extLst>
          </c:dPt>
          <c:cat>
            <c:strRef>
              <c:f>'Results - Activity period'!$D$9:$D$27</c:f>
              <c:strCache>
                <c:ptCount val="19"/>
                <c:pt idx="0">
                  <c:v>3.2.1.1-2 Enteric methane</c:v>
                </c:pt>
                <c:pt idx="1">
                  <c:v>4.2.1.1-2 Manure methane</c:v>
                </c:pt>
                <c:pt idx="2">
                  <c:v>4.2.1.3-4 Soil direct N2O</c:v>
                </c:pt>
                <c:pt idx="3">
                  <c:v>4.2.1.5-6 Soil atmospheric deposition</c:v>
                </c:pt>
                <c:pt idx="4">
                  <c:v>4.2.1.7-8 Soil leaching and runoff</c:v>
                </c:pt>
                <c:pt idx="5">
                  <c:v>5.1.1.1-2 Inorganic fert N2O</c:v>
                </c:pt>
                <c:pt idx="6">
                  <c:v>5.1.1.3-4 Inorganic fert CO2</c:v>
                </c:pt>
                <c:pt idx="7">
                  <c:v>5.2.1.1-2 Organic fert N2O</c:v>
                </c:pt>
                <c:pt idx="8">
                  <c:v>5.3.1.1-2 Lime CO2</c:v>
                </c:pt>
                <c:pt idx="9">
                  <c:v>5.4.1.1-4 Atmos. deposition</c:v>
                </c:pt>
                <c:pt idx="10">
                  <c:v>5.5.1.1-2 Leaching &amp; runoff</c:v>
                </c:pt>
                <c:pt idx="11">
                  <c:v>6.2.1.1-2 Pasture residue N2O</c:v>
                </c:pt>
                <c:pt idx="12">
                  <c:v>6.3.1.1-2 Leach &amp; runoff (pasture)</c:v>
                </c:pt>
                <c:pt idx="13">
                  <c:v>8.1.1.1-2 Transport fuel CO2</c:v>
                </c:pt>
                <c:pt idx="14">
                  <c:v>8.1.1.1-2 Transport fuel CH4</c:v>
                </c:pt>
                <c:pt idx="15">
                  <c:v>8.1.1.1-2 Transport fuel N2O</c:v>
                </c:pt>
                <c:pt idx="16">
                  <c:v>8.2.1.1-2 Stationary fuel CO2</c:v>
                </c:pt>
                <c:pt idx="17">
                  <c:v>8.2.1.1-2 Stationary fuel CH4</c:v>
                </c:pt>
                <c:pt idx="18">
                  <c:v>8.2.1.1-2 Stationary fuel N2O</c:v>
                </c:pt>
              </c:strCache>
            </c:strRef>
          </c:cat>
          <c:val>
            <c:numRef>
              <c:f>'Results - Activity period'!$I$9:$I$27</c:f>
              <c:numCache>
                <c:formatCode>General</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val>
          <c:extLst>
            <c:ext xmlns:c16="http://schemas.microsoft.com/office/drawing/2014/chart" uri="{C3380CC4-5D6E-409C-BE32-E72D297353CC}">
              <c16:uniqueId val="{00000072-1931-495F-914F-43EC2EA99D04}"/>
            </c:ext>
          </c:extLst>
        </c:ser>
        <c:dLbls>
          <c:showLegendKey val="0"/>
          <c:showVal val="0"/>
          <c:showCatName val="0"/>
          <c:showSerName val="0"/>
          <c:showPercent val="0"/>
          <c:showBubbleSize val="0"/>
          <c:showLeaderLines val="1"/>
        </c:dLbls>
        <c:gapWidth val="150"/>
        <c:splitType val="percent"/>
        <c:splitPos val="10"/>
        <c:secondPieSize val="75"/>
        <c:serLines>
          <c:spPr>
            <a:ln w="9525" cap="flat" cmpd="sng" algn="ctr">
              <a:solidFill>
                <a:schemeClr val="tx1">
                  <a:lumMod val="35000"/>
                  <a:lumOff val="65000"/>
                </a:schemeClr>
              </a:solidFill>
              <a:round/>
            </a:ln>
            <a:effectLst/>
          </c:spPr>
        </c:serLines>
      </c:ofPieChart>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Scope 3 sources CO2-e: Method 2</a:t>
            </a:r>
          </a:p>
        </c:rich>
      </c:tx>
      <c:overlay val="0"/>
      <c:spPr>
        <a:noFill/>
        <a:ln>
          <a:noFill/>
        </a:ln>
        <a:effectLst/>
      </c:spPr>
    </c:title>
    <c:autoTitleDeleted val="0"/>
    <c:plotArea>
      <c:layout/>
      <c:ofPieChart>
        <c:ofPieType val="bar"/>
        <c:varyColors val="1"/>
        <c:ser>
          <c:idx val="1"/>
          <c:order val="0"/>
          <c:cat>
            <c:strRef>
              <c:f>'Results - Activity period'!$D$40:$D$55</c:f>
              <c:strCache>
                <c:ptCount val="16"/>
                <c:pt idx="0">
                  <c:v>15.1.1.1 Purchased livestock</c:v>
                </c:pt>
                <c:pt idx="1">
                  <c:v>15.2.1.1 Purchased feed</c:v>
                </c:pt>
                <c:pt idx="2">
                  <c:v>15.3.1.1 Mineral supplements</c:v>
                </c:pt>
                <c:pt idx="3">
                  <c:v>15.4.1.1 Fertiliser</c:v>
                </c:pt>
                <c:pt idx="4">
                  <c:v>15.5.1.1 Agrichemicals</c:v>
                </c:pt>
                <c:pt idx="5">
                  <c:v>15.6.1.1 Lime</c:v>
                </c:pt>
                <c:pt idx="6">
                  <c:v>15.7.1.1 Services and contractor operations</c:v>
                </c:pt>
                <c:pt idx="7">
                  <c:v>15.10.1.1 Other: Cleaning chemicals</c:v>
                </c:pt>
                <c:pt idx="8">
                  <c:v>15.10.1.1 Other: Pharmacy chemicals</c:v>
                </c:pt>
                <c:pt idx="9">
                  <c:v>15.10.1.1 Other: Miscellaneous</c:v>
                </c:pt>
                <c:pt idx="10">
                  <c:v>15.10.1.1 Other: Uncategorised</c:v>
                </c:pt>
                <c:pt idx="11">
                  <c:v>15.11.1.1 Fuel</c:v>
                </c:pt>
                <c:pt idx="12">
                  <c:v>#NAME?</c:v>
                </c:pt>
                <c:pt idx="13">
                  <c:v>15.14.1.1 Incoming freight</c:v>
                </c:pt>
                <c:pt idx="14">
                  <c:v>15.13.1.1 Waste sent to treatment facility</c:v>
                </c:pt>
                <c:pt idx="15">
                  <c:v>15.14.1.1 Outgoing freight</c:v>
                </c:pt>
              </c:strCache>
            </c:strRef>
          </c:cat>
          <c:val>
            <c:numRef>
              <c:f>'Results - Activity period'!$I$40:$I$55</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13-76F7-427B-BDC4-2570E48F9B6C}"/>
            </c:ext>
          </c:extLst>
        </c:ser>
        <c:dLbls>
          <c:showLegendKey val="0"/>
          <c:showVal val="0"/>
          <c:showCatName val="0"/>
          <c:showSerName val="0"/>
          <c:showPercent val="0"/>
          <c:showBubbleSize val="0"/>
          <c:showLeaderLines val="1"/>
        </c:dLbls>
        <c:gapWidth val="150"/>
        <c:splitType val="percent"/>
        <c:splitPos val="10"/>
        <c:secondPieSize val="75"/>
        <c:serLines>
          <c:spPr>
            <a:ln w="9525" cap="flat" cmpd="sng" algn="ctr">
              <a:solidFill>
                <a:schemeClr val="tx1">
                  <a:lumMod val="35000"/>
                  <a:lumOff val="65000"/>
                </a:schemeClr>
              </a:solidFill>
              <a:round/>
            </a:ln>
            <a:effectLst/>
          </c:spPr>
        </c:serLines>
      </c:ofPieChart>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11</xdr:col>
      <xdr:colOff>523875</xdr:colOff>
      <xdr:row>4</xdr:row>
      <xdr:rowOff>238125</xdr:rowOff>
    </xdr:from>
    <xdr:to>
      <xdr:col>15</xdr:col>
      <xdr:colOff>1552576</xdr:colOff>
      <xdr:row>26</xdr:row>
      <xdr:rowOff>228600</xdr:rowOff>
    </xdr:to>
    <xdr:graphicFrame macro="">
      <xdr:nvGraphicFramePr>
        <xdr:cNvPr id="2" name="Chart 1">
          <a:extLst>
            <a:ext uri="{FF2B5EF4-FFF2-40B4-BE49-F238E27FC236}">
              <a16:creationId xmlns:a16="http://schemas.microsoft.com/office/drawing/2014/main" id="{A7409717-2EFC-463A-A70D-B9AC90D882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352425</xdr:colOff>
      <xdr:row>36</xdr:row>
      <xdr:rowOff>38100</xdr:rowOff>
    </xdr:from>
    <xdr:to>
      <xdr:col>15</xdr:col>
      <xdr:colOff>1381126</xdr:colOff>
      <xdr:row>58</xdr:row>
      <xdr:rowOff>28575</xdr:rowOff>
    </xdr:to>
    <xdr:graphicFrame macro="">
      <xdr:nvGraphicFramePr>
        <xdr:cNvPr id="3" name="Chart 2">
          <a:extLst>
            <a:ext uri="{FF2B5EF4-FFF2-40B4-BE49-F238E27FC236}">
              <a16:creationId xmlns:a16="http://schemas.microsoft.com/office/drawing/2014/main" id="{2CF9A32C-68FD-4795-A841-7E9D5A3620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143998</xdr:rowOff>
    </xdr:from>
    <xdr:to>
      <xdr:col>3</xdr:col>
      <xdr:colOff>1866340</xdr:colOff>
      <xdr:row>17</xdr:row>
      <xdr:rowOff>12328</xdr:rowOff>
    </xdr:to>
    <xdr:sp macro="" textlink="$J$44">
      <xdr:nvSpPr>
        <xdr:cNvPr id="78" name="TextBox 77">
          <a:extLst>
            <a:ext uri="{FF2B5EF4-FFF2-40B4-BE49-F238E27FC236}">
              <a16:creationId xmlns:a16="http://schemas.microsoft.com/office/drawing/2014/main" id="{6324C0BC-FC67-4402-A63D-0965B4F33211}"/>
            </a:ext>
          </a:extLst>
        </xdr:cNvPr>
        <xdr:cNvSpPr txBox="1"/>
      </xdr:nvSpPr>
      <xdr:spPr>
        <a:xfrm>
          <a:off x="2678206" y="3091145"/>
          <a:ext cx="1866340" cy="47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fld id="{BE25C2B2-0BD3-425F-A499-8DEB98E49F87}" type="TxLink">
            <a:rPr lang="en-US" sz="2800" b="1" i="0" u="none" strike="noStrike">
              <a:solidFill>
                <a:srgbClr val="0C769E"/>
              </a:solidFill>
              <a:latin typeface="Times New Roman"/>
              <a:cs typeface="Times New Roman"/>
            </a:rPr>
            <a:pPr/>
            <a:t>#NAME?</a:t>
          </a:fld>
          <a:endParaRPr lang="en-AU" sz="2800" b="1">
            <a:solidFill>
              <a:srgbClr val="0C769E"/>
            </a:solidFill>
          </a:endParaRPr>
        </a:p>
      </xdr:txBody>
    </xdr:sp>
    <xdr:clientData/>
  </xdr:twoCellAnchor>
  <xdr:twoCellAnchor>
    <xdr:from>
      <xdr:col>4</xdr:col>
      <xdr:colOff>1666314</xdr:colOff>
      <xdr:row>14</xdr:row>
      <xdr:rowOff>115423</xdr:rowOff>
    </xdr:from>
    <xdr:to>
      <xdr:col>5</xdr:col>
      <xdr:colOff>1526240</xdr:colOff>
      <xdr:row>17</xdr:row>
      <xdr:rowOff>12328</xdr:rowOff>
    </xdr:to>
    <xdr:sp macro="" textlink="$K$44">
      <xdr:nvSpPr>
        <xdr:cNvPr id="79" name="TextBox 78">
          <a:extLst>
            <a:ext uri="{FF2B5EF4-FFF2-40B4-BE49-F238E27FC236}">
              <a16:creationId xmlns:a16="http://schemas.microsoft.com/office/drawing/2014/main" id="{0D26667F-1D20-477C-90C8-27211090339F}"/>
            </a:ext>
          </a:extLst>
        </xdr:cNvPr>
        <xdr:cNvSpPr txBox="1"/>
      </xdr:nvSpPr>
      <xdr:spPr>
        <a:xfrm>
          <a:off x="8345020" y="3062570"/>
          <a:ext cx="1910602" cy="50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E1CF640B-5306-48D2-B952-88A44FBEE044}"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3</xdr:col>
      <xdr:colOff>0</xdr:colOff>
      <xdr:row>26</xdr:row>
      <xdr:rowOff>8407</xdr:rowOff>
    </xdr:from>
    <xdr:to>
      <xdr:col>3</xdr:col>
      <xdr:colOff>1952065</xdr:colOff>
      <xdr:row>28</xdr:row>
      <xdr:rowOff>158005</xdr:rowOff>
    </xdr:to>
    <xdr:sp macro="" textlink="$J$52">
      <xdr:nvSpPr>
        <xdr:cNvPr id="80" name="TextBox 79">
          <a:extLst>
            <a:ext uri="{FF2B5EF4-FFF2-40B4-BE49-F238E27FC236}">
              <a16:creationId xmlns:a16="http://schemas.microsoft.com/office/drawing/2014/main" id="{CB177A42-2220-44BE-81E6-CC98FE5B4538}"/>
            </a:ext>
          </a:extLst>
        </xdr:cNvPr>
        <xdr:cNvSpPr txBox="1"/>
      </xdr:nvSpPr>
      <xdr:spPr>
        <a:xfrm>
          <a:off x="2678206" y="5376025"/>
          <a:ext cx="1952065"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12C616B-A256-4412-8E07-9A9AFDDE19C8}"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4</xdr:col>
      <xdr:colOff>1666314</xdr:colOff>
      <xdr:row>26</xdr:row>
      <xdr:rowOff>36982</xdr:rowOff>
    </xdr:from>
    <xdr:to>
      <xdr:col>5</xdr:col>
      <xdr:colOff>1592915</xdr:colOff>
      <xdr:row>28</xdr:row>
      <xdr:rowOff>138955</xdr:rowOff>
    </xdr:to>
    <xdr:sp macro="" textlink="$K$52">
      <xdr:nvSpPr>
        <xdr:cNvPr id="81" name="TextBox 80">
          <a:extLst>
            <a:ext uri="{FF2B5EF4-FFF2-40B4-BE49-F238E27FC236}">
              <a16:creationId xmlns:a16="http://schemas.microsoft.com/office/drawing/2014/main" id="{DBAD4E3A-70B6-4842-B5A7-07CF5430DBDF}"/>
            </a:ext>
          </a:extLst>
        </xdr:cNvPr>
        <xdr:cNvSpPr txBox="1"/>
      </xdr:nvSpPr>
      <xdr:spPr>
        <a:xfrm>
          <a:off x="8345020" y="5404600"/>
          <a:ext cx="197727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85D4D86-42B2-4B88-81D8-F406E4392F0C}"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3</xdr:col>
      <xdr:colOff>2323540</xdr:colOff>
      <xdr:row>14</xdr:row>
      <xdr:rowOff>105898</xdr:rowOff>
    </xdr:from>
    <xdr:to>
      <xdr:col>4</xdr:col>
      <xdr:colOff>675715</xdr:colOff>
      <xdr:row>17</xdr:row>
      <xdr:rowOff>12328</xdr:rowOff>
    </xdr:to>
    <xdr:sp macro="" textlink="$J$45">
      <xdr:nvSpPr>
        <xdr:cNvPr id="82" name="TextBox 81">
          <a:extLst>
            <a:ext uri="{FF2B5EF4-FFF2-40B4-BE49-F238E27FC236}">
              <a16:creationId xmlns:a16="http://schemas.microsoft.com/office/drawing/2014/main" id="{4DFA1D84-8CB2-4FF6-B396-5EB6038F7F8C}"/>
            </a:ext>
          </a:extLst>
        </xdr:cNvPr>
        <xdr:cNvSpPr txBox="1"/>
      </xdr:nvSpPr>
      <xdr:spPr>
        <a:xfrm>
          <a:off x="5001746" y="3053045"/>
          <a:ext cx="2352675" cy="51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12CB6A43-519A-4BE9-9BAA-F4B8A2722440}"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6</xdr:col>
      <xdr:colOff>49866</xdr:colOff>
      <xdr:row>14</xdr:row>
      <xdr:rowOff>134473</xdr:rowOff>
    </xdr:from>
    <xdr:to>
      <xdr:col>6</xdr:col>
      <xdr:colOff>1957668</xdr:colOff>
      <xdr:row>17</xdr:row>
      <xdr:rowOff>12328</xdr:rowOff>
    </xdr:to>
    <xdr:sp macro="" textlink="$K$45">
      <xdr:nvSpPr>
        <xdr:cNvPr id="83" name="TextBox 82">
          <a:extLst>
            <a:ext uri="{FF2B5EF4-FFF2-40B4-BE49-F238E27FC236}">
              <a16:creationId xmlns:a16="http://schemas.microsoft.com/office/drawing/2014/main" id="{10441D10-2492-43F9-94EF-AD0503103E39}"/>
            </a:ext>
          </a:extLst>
        </xdr:cNvPr>
        <xdr:cNvSpPr txBox="1"/>
      </xdr:nvSpPr>
      <xdr:spPr>
        <a:xfrm>
          <a:off x="10829925" y="3081620"/>
          <a:ext cx="1907802" cy="482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BFB47873-57C9-4A6B-8346-5DDEF9E8D242}"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3</xdr:col>
      <xdr:colOff>0</xdr:colOff>
      <xdr:row>13</xdr:row>
      <xdr:rowOff>24655</xdr:rowOff>
    </xdr:from>
    <xdr:to>
      <xdr:col>3</xdr:col>
      <xdr:colOff>1532965</xdr:colOff>
      <xdr:row>14</xdr:row>
      <xdr:rowOff>105897</xdr:rowOff>
    </xdr:to>
    <xdr:sp macro="" textlink="$J$44">
      <xdr:nvSpPr>
        <xdr:cNvPr id="84" name="TextBox 83">
          <a:extLst>
            <a:ext uri="{FF2B5EF4-FFF2-40B4-BE49-F238E27FC236}">
              <a16:creationId xmlns:a16="http://schemas.microsoft.com/office/drawing/2014/main" id="{D65B372C-9529-42C4-AFC1-F40E336721BE}"/>
            </a:ext>
          </a:extLst>
        </xdr:cNvPr>
        <xdr:cNvSpPr txBox="1"/>
      </xdr:nvSpPr>
      <xdr:spPr>
        <a:xfrm>
          <a:off x="2678206" y="2770096"/>
          <a:ext cx="1532965"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Excluding removals</a:t>
          </a:r>
          <a:endParaRPr lang="en-AU" sz="1200" b="1">
            <a:solidFill>
              <a:srgbClr val="0C769E"/>
            </a:solidFill>
          </a:endParaRPr>
        </a:p>
      </xdr:txBody>
    </xdr:sp>
    <xdr:clientData/>
  </xdr:twoCellAnchor>
  <xdr:twoCellAnchor>
    <xdr:from>
      <xdr:col>3</xdr:col>
      <xdr:colOff>2323540</xdr:colOff>
      <xdr:row>13</xdr:row>
      <xdr:rowOff>24655</xdr:rowOff>
    </xdr:from>
    <xdr:to>
      <xdr:col>4</xdr:col>
      <xdr:colOff>895268</xdr:colOff>
      <xdr:row>14</xdr:row>
      <xdr:rowOff>105897</xdr:rowOff>
    </xdr:to>
    <xdr:sp macro="" textlink="$J$44">
      <xdr:nvSpPr>
        <xdr:cNvPr id="85" name="TextBox 84">
          <a:extLst>
            <a:ext uri="{FF2B5EF4-FFF2-40B4-BE49-F238E27FC236}">
              <a16:creationId xmlns:a16="http://schemas.microsoft.com/office/drawing/2014/main" id="{205AAFFD-D024-43E7-B739-5E50A03C4C17}"/>
            </a:ext>
          </a:extLst>
        </xdr:cNvPr>
        <xdr:cNvSpPr txBox="1"/>
      </xdr:nvSpPr>
      <xdr:spPr>
        <a:xfrm>
          <a:off x="5001746" y="2770096"/>
          <a:ext cx="2572228"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Including</a:t>
          </a:r>
          <a:r>
            <a:rPr lang="en-US" sz="1200" b="1" i="0" u="none" strike="noStrike" baseline="0">
              <a:solidFill>
                <a:srgbClr val="0C769E"/>
              </a:solidFill>
              <a:latin typeface="Times New Roman"/>
              <a:cs typeface="Times New Roman"/>
            </a:rPr>
            <a:t> removals (</a:t>
          </a:r>
          <a:r>
            <a:rPr lang="en-US" sz="1200" b="1" i="0" u="none" strike="noStrike">
              <a:solidFill>
                <a:srgbClr val="0C769E"/>
              </a:solidFill>
              <a:latin typeface="Times New Roman"/>
              <a:cs typeface="Times New Roman"/>
            </a:rPr>
            <a:t>Net emissions)</a:t>
          </a:r>
          <a:endParaRPr lang="en-AU" sz="1200" b="1">
            <a:solidFill>
              <a:srgbClr val="0C769E"/>
            </a:solidFill>
          </a:endParaRPr>
        </a:p>
      </xdr:txBody>
    </xdr:sp>
    <xdr:clientData/>
  </xdr:twoCellAnchor>
  <xdr:twoCellAnchor>
    <xdr:from>
      <xdr:col>3</xdr:col>
      <xdr:colOff>0</xdr:colOff>
      <xdr:row>11</xdr:row>
      <xdr:rowOff>49869</xdr:rowOff>
    </xdr:from>
    <xdr:to>
      <xdr:col>3</xdr:col>
      <xdr:colOff>1532965</xdr:colOff>
      <xdr:row>12</xdr:row>
      <xdr:rowOff>131110</xdr:rowOff>
    </xdr:to>
    <xdr:sp macro="" textlink="$J$44">
      <xdr:nvSpPr>
        <xdr:cNvPr id="86" name="TextBox 85">
          <a:extLst>
            <a:ext uri="{FF2B5EF4-FFF2-40B4-BE49-F238E27FC236}">
              <a16:creationId xmlns:a16="http://schemas.microsoft.com/office/drawing/2014/main" id="{2972A808-84E3-4357-B78C-5B8D3D579AE1}"/>
            </a:ext>
          </a:extLst>
        </xdr:cNvPr>
        <xdr:cNvSpPr txBox="1"/>
      </xdr:nvSpPr>
      <xdr:spPr>
        <a:xfrm>
          <a:off x="2678206" y="2391898"/>
          <a:ext cx="1532965"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1</a:t>
          </a:r>
          <a:endParaRPr lang="en-AU" sz="1200" b="0">
            <a:solidFill>
              <a:schemeClr val="bg2">
                <a:lumMod val="50000"/>
              </a:schemeClr>
            </a:solidFill>
          </a:endParaRPr>
        </a:p>
      </xdr:txBody>
    </xdr:sp>
    <xdr:clientData/>
  </xdr:twoCellAnchor>
  <xdr:twoCellAnchor>
    <xdr:from>
      <xdr:col>3</xdr:col>
      <xdr:colOff>38100</xdr:colOff>
      <xdr:row>9</xdr:row>
      <xdr:rowOff>56032</xdr:rowOff>
    </xdr:from>
    <xdr:to>
      <xdr:col>3</xdr:col>
      <xdr:colOff>2218765</xdr:colOff>
      <xdr:row>11</xdr:row>
      <xdr:rowOff>21294</xdr:rowOff>
    </xdr:to>
    <xdr:sp macro="" textlink="">
      <xdr:nvSpPr>
        <xdr:cNvPr id="87" name="TextBox 86">
          <a:extLst>
            <a:ext uri="{FF2B5EF4-FFF2-40B4-BE49-F238E27FC236}">
              <a16:creationId xmlns:a16="http://schemas.microsoft.com/office/drawing/2014/main" id="{47E34C48-5D90-4E62-A2F6-40E64C953A02}"/>
            </a:ext>
          </a:extLst>
        </xdr:cNvPr>
        <xdr:cNvSpPr txBox="1"/>
      </xdr:nvSpPr>
      <xdr:spPr>
        <a:xfrm>
          <a:off x="2716306" y="1994650"/>
          <a:ext cx="2180665" cy="3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solidFill>
                <a:srgbClr val="0C769E"/>
              </a:solidFill>
            </a:rPr>
            <a:t>Mass allocation</a:t>
          </a:r>
        </a:p>
      </xdr:txBody>
    </xdr:sp>
    <xdr:clientData/>
  </xdr:twoCellAnchor>
  <xdr:twoCellAnchor>
    <xdr:from>
      <xdr:col>3</xdr:col>
      <xdr:colOff>47625</xdr:colOff>
      <xdr:row>11</xdr:row>
      <xdr:rowOff>25411</xdr:rowOff>
    </xdr:from>
    <xdr:to>
      <xdr:col>7</xdr:col>
      <xdr:colOff>379319</xdr:colOff>
      <xdr:row>11</xdr:row>
      <xdr:rowOff>40344</xdr:rowOff>
    </xdr:to>
    <xdr:cxnSp macro="">
      <xdr:nvCxnSpPr>
        <xdr:cNvPr id="88" name="Straight Connector 87">
          <a:extLst>
            <a:ext uri="{FF2B5EF4-FFF2-40B4-BE49-F238E27FC236}">
              <a16:creationId xmlns:a16="http://schemas.microsoft.com/office/drawing/2014/main" id="{0CEE1C48-3375-4BA3-961D-85051EDC2980}"/>
            </a:ext>
          </a:extLst>
        </xdr:cNvPr>
        <xdr:cNvCxnSpPr/>
      </xdr:nvCxnSpPr>
      <xdr:spPr>
        <a:xfrm flipV="1">
          <a:off x="2725831" y="2367440"/>
          <a:ext cx="10484223" cy="1493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1666314</xdr:colOff>
      <xdr:row>13</xdr:row>
      <xdr:rowOff>24655</xdr:rowOff>
    </xdr:from>
    <xdr:to>
      <xdr:col>5</xdr:col>
      <xdr:colOff>1154765</xdr:colOff>
      <xdr:row>14</xdr:row>
      <xdr:rowOff>105897</xdr:rowOff>
    </xdr:to>
    <xdr:sp macro="" textlink="$J$44">
      <xdr:nvSpPr>
        <xdr:cNvPr id="89" name="TextBox 88">
          <a:extLst>
            <a:ext uri="{FF2B5EF4-FFF2-40B4-BE49-F238E27FC236}">
              <a16:creationId xmlns:a16="http://schemas.microsoft.com/office/drawing/2014/main" id="{DFC460AF-9379-4449-9C0A-7B2F11C0397D}"/>
            </a:ext>
          </a:extLst>
        </xdr:cNvPr>
        <xdr:cNvSpPr txBox="1"/>
      </xdr:nvSpPr>
      <xdr:spPr>
        <a:xfrm>
          <a:off x="8345020" y="2770096"/>
          <a:ext cx="15391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Excluding removals</a:t>
          </a:r>
          <a:endParaRPr lang="en-AU" sz="1200" b="1">
            <a:solidFill>
              <a:srgbClr val="0C769E"/>
            </a:solidFill>
          </a:endParaRPr>
        </a:p>
      </xdr:txBody>
    </xdr:sp>
    <xdr:clientData/>
  </xdr:twoCellAnchor>
  <xdr:twoCellAnchor>
    <xdr:from>
      <xdr:col>6</xdr:col>
      <xdr:colOff>49866</xdr:colOff>
      <xdr:row>13</xdr:row>
      <xdr:rowOff>24655</xdr:rowOff>
    </xdr:from>
    <xdr:to>
      <xdr:col>7</xdr:col>
      <xdr:colOff>579822</xdr:colOff>
      <xdr:row>14</xdr:row>
      <xdr:rowOff>105897</xdr:rowOff>
    </xdr:to>
    <xdr:sp macro="" textlink="$J$44">
      <xdr:nvSpPr>
        <xdr:cNvPr id="90" name="TextBox 89">
          <a:extLst>
            <a:ext uri="{FF2B5EF4-FFF2-40B4-BE49-F238E27FC236}">
              <a16:creationId xmlns:a16="http://schemas.microsoft.com/office/drawing/2014/main" id="{A7555654-AC40-4A20-8C7C-5472B92143A7}"/>
            </a:ext>
          </a:extLst>
        </xdr:cNvPr>
        <xdr:cNvSpPr txBox="1"/>
      </xdr:nvSpPr>
      <xdr:spPr>
        <a:xfrm>
          <a:off x="10829925" y="2770096"/>
          <a:ext cx="2580632"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Including</a:t>
          </a:r>
          <a:r>
            <a:rPr lang="en-US" sz="1200" b="1" i="0" u="none" strike="noStrike" baseline="0">
              <a:solidFill>
                <a:srgbClr val="0C769E"/>
              </a:solidFill>
              <a:latin typeface="Times New Roman"/>
              <a:cs typeface="Times New Roman"/>
            </a:rPr>
            <a:t> removals (</a:t>
          </a:r>
          <a:r>
            <a:rPr lang="en-US" sz="1200" b="1" i="0" u="none" strike="noStrike">
              <a:solidFill>
                <a:srgbClr val="0C769E"/>
              </a:solidFill>
              <a:latin typeface="Times New Roman"/>
              <a:cs typeface="Times New Roman"/>
            </a:rPr>
            <a:t>Net emissions)</a:t>
          </a:r>
          <a:endParaRPr lang="en-AU" sz="1200" b="1">
            <a:solidFill>
              <a:srgbClr val="0C769E"/>
            </a:solidFill>
          </a:endParaRPr>
        </a:p>
      </xdr:txBody>
    </xdr:sp>
    <xdr:clientData/>
  </xdr:twoCellAnchor>
  <xdr:twoCellAnchor>
    <xdr:from>
      <xdr:col>4</xdr:col>
      <xdr:colOff>1666314</xdr:colOff>
      <xdr:row>11</xdr:row>
      <xdr:rowOff>49869</xdr:rowOff>
    </xdr:from>
    <xdr:to>
      <xdr:col>5</xdr:col>
      <xdr:colOff>1154765</xdr:colOff>
      <xdr:row>12</xdr:row>
      <xdr:rowOff>131110</xdr:rowOff>
    </xdr:to>
    <xdr:sp macro="" textlink="$J$44">
      <xdr:nvSpPr>
        <xdr:cNvPr id="91" name="TextBox 90">
          <a:extLst>
            <a:ext uri="{FF2B5EF4-FFF2-40B4-BE49-F238E27FC236}">
              <a16:creationId xmlns:a16="http://schemas.microsoft.com/office/drawing/2014/main" id="{1B097AE8-6BFD-4333-B0EB-FC56C2962059}"/>
            </a:ext>
          </a:extLst>
        </xdr:cNvPr>
        <xdr:cNvSpPr txBox="1"/>
      </xdr:nvSpPr>
      <xdr:spPr>
        <a:xfrm>
          <a:off x="8345020" y="2391898"/>
          <a:ext cx="15391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2</a:t>
          </a:r>
          <a:endParaRPr lang="en-AU" sz="1200" b="0">
            <a:solidFill>
              <a:schemeClr val="bg2">
                <a:lumMod val="50000"/>
              </a:schemeClr>
            </a:solidFill>
          </a:endParaRPr>
        </a:p>
      </xdr:txBody>
    </xdr:sp>
    <xdr:clientData/>
  </xdr:twoCellAnchor>
  <xdr:twoCellAnchor>
    <xdr:from>
      <xdr:col>3</xdr:col>
      <xdr:colOff>0</xdr:colOff>
      <xdr:row>12</xdr:row>
      <xdr:rowOff>150161</xdr:rowOff>
    </xdr:from>
    <xdr:to>
      <xdr:col>4</xdr:col>
      <xdr:colOff>866215</xdr:colOff>
      <xdr:row>12</xdr:row>
      <xdr:rowOff>150161</xdr:rowOff>
    </xdr:to>
    <xdr:cxnSp macro="">
      <xdr:nvCxnSpPr>
        <xdr:cNvPr id="92" name="Straight Connector 91">
          <a:extLst>
            <a:ext uri="{FF2B5EF4-FFF2-40B4-BE49-F238E27FC236}">
              <a16:creationId xmlns:a16="http://schemas.microsoft.com/office/drawing/2014/main" id="{515B2240-CF6B-434A-8E39-66B030531D7A}"/>
            </a:ext>
          </a:extLst>
        </xdr:cNvPr>
        <xdr:cNvCxnSpPr/>
      </xdr:nvCxnSpPr>
      <xdr:spPr>
        <a:xfrm>
          <a:off x="2678206" y="2693896"/>
          <a:ext cx="4866715"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1666314</xdr:colOff>
      <xdr:row>12</xdr:row>
      <xdr:rowOff>150161</xdr:rowOff>
    </xdr:from>
    <xdr:to>
      <xdr:col>7</xdr:col>
      <xdr:colOff>398368</xdr:colOff>
      <xdr:row>12</xdr:row>
      <xdr:rowOff>150161</xdr:rowOff>
    </xdr:to>
    <xdr:cxnSp macro="">
      <xdr:nvCxnSpPr>
        <xdr:cNvPr id="93" name="Straight Connector 92">
          <a:extLst>
            <a:ext uri="{FF2B5EF4-FFF2-40B4-BE49-F238E27FC236}">
              <a16:creationId xmlns:a16="http://schemas.microsoft.com/office/drawing/2014/main" id="{5BE13F51-936B-49C8-A80F-AF6384A70483}"/>
            </a:ext>
          </a:extLst>
        </xdr:cNvPr>
        <xdr:cNvCxnSpPr/>
      </xdr:nvCxnSpPr>
      <xdr:spPr>
        <a:xfrm>
          <a:off x="8345020" y="2693896"/>
          <a:ext cx="48840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0</xdr:colOff>
      <xdr:row>24</xdr:row>
      <xdr:rowOff>101976</xdr:rowOff>
    </xdr:from>
    <xdr:to>
      <xdr:col>3</xdr:col>
      <xdr:colOff>1532965</xdr:colOff>
      <xdr:row>25</xdr:row>
      <xdr:rowOff>181537</xdr:rowOff>
    </xdr:to>
    <xdr:sp macro="" textlink="$J$44">
      <xdr:nvSpPr>
        <xdr:cNvPr id="94" name="TextBox 93">
          <a:extLst>
            <a:ext uri="{FF2B5EF4-FFF2-40B4-BE49-F238E27FC236}">
              <a16:creationId xmlns:a16="http://schemas.microsoft.com/office/drawing/2014/main" id="{8ADB1D82-4B8C-48B4-A263-128CFD77FBCA}"/>
            </a:ext>
          </a:extLst>
        </xdr:cNvPr>
        <xdr:cNvSpPr txBox="1"/>
      </xdr:nvSpPr>
      <xdr:spPr>
        <a:xfrm>
          <a:off x="2678206" y="5066182"/>
          <a:ext cx="1532965"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Excluding removals</a:t>
          </a:r>
          <a:endParaRPr lang="en-AU" sz="1200" b="1">
            <a:solidFill>
              <a:srgbClr val="4F4789"/>
            </a:solidFill>
          </a:endParaRPr>
        </a:p>
      </xdr:txBody>
    </xdr:sp>
    <xdr:clientData/>
  </xdr:twoCellAnchor>
  <xdr:twoCellAnchor>
    <xdr:from>
      <xdr:col>3</xdr:col>
      <xdr:colOff>2408787</xdr:colOff>
      <xdr:row>24</xdr:row>
      <xdr:rowOff>101976</xdr:rowOff>
    </xdr:from>
    <xdr:to>
      <xdr:col>4</xdr:col>
      <xdr:colOff>980515</xdr:colOff>
      <xdr:row>25</xdr:row>
      <xdr:rowOff>181537</xdr:rowOff>
    </xdr:to>
    <xdr:sp macro="" textlink="$J$44">
      <xdr:nvSpPr>
        <xdr:cNvPr id="95" name="TextBox 94">
          <a:extLst>
            <a:ext uri="{FF2B5EF4-FFF2-40B4-BE49-F238E27FC236}">
              <a16:creationId xmlns:a16="http://schemas.microsoft.com/office/drawing/2014/main" id="{051442B9-C9B2-4861-B5C5-BF3F6DDB8602}"/>
            </a:ext>
          </a:extLst>
        </xdr:cNvPr>
        <xdr:cNvSpPr txBox="1"/>
      </xdr:nvSpPr>
      <xdr:spPr>
        <a:xfrm>
          <a:off x="5086993" y="5066182"/>
          <a:ext cx="2572228"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Including</a:t>
          </a:r>
          <a:r>
            <a:rPr lang="en-US" sz="1200" b="1" i="0" u="none" strike="noStrike" baseline="0">
              <a:solidFill>
                <a:srgbClr val="4F4789"/>
              </a:solidFill>
              <a:latin typeface="Times New Roman"/>
              <a:cs typeface="Times New Roman"/>
            </a:rPr>
            <a:t> removals (</a:t>
          </a:r>
          <a:r>
            <a:rPr lang="en-US" sz="1200" b="1" i="0" u="none" strike="noStrike">
              <a:solidFill>
                <a:srgbClr val="4F4789"/>
              </a:solidFill>
              <a:latin typeface="Times New Roman"/>
              <a:cs typeface="Times New Roman"/>
            </a:rPr>
            <a:t>Net emissions)</a:t>
          </a:r>
          <a:endParaRPr lang="en-AU" sz="1200" b="1">
            <a:solidFill>
              <a:srgbClr val="4F4789"/>
            </a:solidFill>
          </a:endParaRPr>
        </a:p>
      </xdr:txBody>
    </xdr:sp>
    <xdr:clientData/>
  </xdr:twoCellAnchor>
  <xdr:twoCellAnchor>
    <xdr:from>
      <xdr:col>3</xdr:col>
      <xdr:colOff>0</xdr:colOff>
      <xdr:row>22</xdr:row>
      <xdr:rowOff>128870</xdr:rowOff>
    </xdr:from>
    <xdr:to>
      <xdr:col>3</xdr:col>
      <xdr:colOff>1532965</xdr:colOff>
      <xdr:row>24</xdr:row>
      <xdr:rowOff>5044</xdr:rowOff>
    </xdr:to>
    <xdr:sp macro="" textlink="$J$44">
      <xdr:nvSpPr>
        <xdr:cNvPr id="96" name="TextBox 95">
          <a:extLst>
            <a:ext uri="{FF2B5EF4-FFF2-40B4-BE49-F238E27FC236}">
              <a16:creationId xmlns:a16="http://schemas.microsoft.com/office/drawing/2014/main" id="{07E5EDC8-C6D4-49ED-9FD8-4E72EA16C5E9}"/>
            </a:ext>
          </a:extLst>
        </xdr:cNvPr>
        <xdr:cNvSpPr txBox="1"/>
      </xdr:nvSpPr>
      <xdr:spPr>
        <a:xfrm>
          <a:off x="2678206" y="4689664"/>
          <a:ext cx="1532965"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1</a:t>
          </a:r>
          <a:endParaRPr lang="en-AU" sz="1200" b="0">
            <a:solidFill>
              <a:schemeClr val="bg2">
                <a:lumMod val="50000"/>
              </a:schemeClr>
            </a:solidFill>
          </a:endParaRPr>
        </a:p>
      </xdr:txBody>
    </xdr:sp>
    <xdr:clientData/>
  </xdr:twoCellAnchor>
  <xdr:oneCellAnchor>
    <xdr:from>
      <xdr:col>3</xdr:col>
      <xdr:colOff>0</xdr:colOff>
      <xdr:row>16</xdr:row>
      <xdr:rowOff>118785</xdr:rowOff>
    </xdr:from>
    <xdr:ext cx="1978747" cy="254493"/>
    <xdr:sp macro="" textlink="">
      <xdr:nvSpPr>
        <xdr:cNvPr id="97" name="TextBox 96">
          <a:extLst>
            <a:ext uri="{FF2B5EF4-FFF2-40B4-BE49-F238E27FC236}">
              <a16:creationId xmlns:a16="http://schemas.microsoft.com/office/drawing/2014/main" id="{74F57209-8D04-4DB7-987B-A078967A1A1B}"/>
            </a:ext>
          </a:extLst>
        </xdr:cNvPr>
        <xdr:cNvSpPr txBox="1"/>
      </xdr:nvSpPr>
      <xdr:spPr>
        <a:xfrm>
          <a:off x="2678206" y="3469344"/>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twoCellAnchor>
    <xdr:from>
      <xdr:col>3</xdr:col>
      <xdr:colOff>38100</xdr:colOff>
      <xdr:row>20</xdr:row>
      <xdr:rowOff>135033</xdr:rowOff>
    </xdr:from>
    <xdr:to>
      <xdr:col>3</xdr:col>
      <xdr:colOff>2218765</xdr:colOff>
      <xdr:row>22</xdr:row>
      <xdr:rowOff>98614</xdr:rowOff>
    </xdr:to>
    <xdr:sp macro="" textlink="">
      <xdr:nvSpPr>
        <xdr:cNvPr id="98" name="TextBox 97">
          <a:extLst>
            <a:ext uri="{FF2B5EF4-FFF2-40B4-BE49-F238E27FC236}">
              <a16:creationId xmlns:a16="http://schemas.microsoft.com/office/drawing/2014/main" id="{F9F6E8D7-844A-41CC-92D5-F1D50209A017}"/>
            </a:ext>
          </a:extLst>
        </xdr:cNvPr>
        <xdr:cNvSpPr txBox="1"/>
      </xdr:nvSpPr>
      <xdr:spPr>
        <a:xfrm>
          <a:off x="2716306" y="4292415"/>
          <a:ext cx="2180665" cy="366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solidFill>
                <a:srgbClr val="4F4789"/>
              </a:solidFill>
            </a:rPr>
            <a:t>Economic allocation</a:t>
          </a:r>
        </a:p>
      </xdr:txBody>
    </xdr:sp>
    <xdr:clientData/>
  </xdr:twoCellAnchor>
  <xdr:twoCellAnchor>
    <xdr:from>
      <xdr:col>3</xdr:col>
      <xdr:colOff>47625</xdr:colOff>
      <xdr:row>22</xdr:row>
      <xdr:rowOff>102663</xdr:rowOff>
    </xdr:from>
    <xdr:to>
      <xdr:col>7</xdr:col>
      <xdr:colOff>426944</xdr:colOff>
      <xdr:row>22</xdr:row>
      <xdr:rowOff>119345</xdr:rowOff>
    </xdr:to>
    <xdr:cxnSp macro="">
      <xdr:nvCxnSpPr>
        <xdr:cNvPr id="99" name="Straight Connector 98">
          <a:extLst>
            <a:ext uri="{FF2B5EF4-FFF2-40B4-BE49-F238E27FC236}">
              <a16:creationId xmlns:a16="http://schemas.microsoft.com/office/drawing/2014/main" id="{E4550A14-CA77-4AAA-8A4A-741BD64263DA}"/>
            </a:ext>
          </a:extLst>
        </xdr:cNvPr>
        <xdr:cNvCxnSpPr/>
      </xdr:nvCxnSpPr>
      <xdr:spPr>
        <a:xfrm flipV="1">
          <a:off x="2725831" y="4663457"/>
          <a:ext cx="10531848" cy="16682"/>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1666314</xdr:colOff>
      <xdr:row>24</xdr:row>
      <xdr:rowOff>101976</xdr:rowOff>
    </xdr:from>
    <xdr:to>
      <xdr:col>5</xdr:col>
      <xdr:colOff>1154765</xdr:colOff>
      <xdr:row>25</xdr:row>
      <xdr:rowOff>181537</xdr:rowOff>
    </xdr:to>
    <xdr:sp macro="" textlink="$J$44">
      <xdr:nvSpPr>
        <xdr:cNvPr id="100" name="TextBox 99">
          <a:extLst>
            <a:ext uri="{FF2B5EF4-FFF2-40B4-BE49-F238E27FC236}">
              <a16:creationId xmlns:a16="http://schemas.microsoft.com/office/drawing/2014/main" id="{8BF43C3A-8C1D-4E7F-940B-F95819B22421}"/>
            </a:ext>
          </a:extLst>
        </xdr:cNvPr>
        <xdr:cNvSpPr txBox="1"/>
      </xdr:nvSpPr>
      <xdr:spPr>
        <a:xfrm>
          <a:off x="8345020" y="5066182"/>
          <a:ext cx="15391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Excluding removals</a:t>
          </a:r>
          <a:endParaRPr lang="en-AU" sz="1200" b="1">
            <a:solidFill>
              <a:srgbClr val="4F4789"/>
            </a:solidFill>
          </a:endParaRPr>
        </a:p>
      </xdr:txBody>
    </xdr:sp>
    <xdr:clientData/>
  </xdr:twoCellAnchor>
  <xdr:twoCellAnchor>
    <xdr:from>
      <xdr:col>6</xdr:col>
      <xdr:colOff>49866</xdr:colOff>
      <xdr:row>24</xdr:row>
      <xdr:rowOff>101976</xdr:rowOff>
    </xdr:from>
    <xdr:to>
      <xdr:col>7</xdr:col>
      <xdr:colOff>579822</xdr:colOff>
      <xdr:row>25</xdr:row>
      <xdr:rowOff>181537</xdr:rowOff>
    </xdr:to>
    <xdr:sp macro="" textlink="$J$44">
      <xdr:nvSpPr>
        <xdr:cNvPr id="101" name="TextBox 100">
          <a:extLst>
            <a:ext uri="{FF2B5EF4-FFF2-40B4-BE49-F238E27FC236}">
              <a16:creationId xmlns:a16="http://schemas.microsoft.com/office/drawing/2014/main" id="{2C10772E-DD3A-4BAF-B36F-28A4B97AF469}"/>
            </a:ext>
          </a:extLst>
        </xdr:cNvPr>
        <xdr:cNvSpPr txBox="1"/>
      </xdr:nvSpPr>
      <xdr:spPr>
        <a:xfrm>
          <a:off x="10829925" y="5066182"/>
          <a:ext cx="2580632"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Including</a:t>
          </a:r>
          <a:r>
            <a:rPr lang="en-US" sz="1200" b="1" i="0" u="none" strike="noStrike" baseline="0">
              <a:solidFill>
                <a:srgbClr val="4F4789"/>
              </a:solidFill>
              <a:latin typeface="Times New Roman"/>
              <a:cs typeface="Times New Roman"/>
            </a:rPr>
            <a:t> removals (</a:t>
          </a:r>
          <a:r>
            <a:rPr lang="en-US" sz="1200" b="1" i="0" u="none" strike="noStrike">
              <a:solidFill>
                <a:srgbClr val="4F4789"/>
              </a:solidFill>
              <a:latin typeface="Times New Roman"/>
              <a:cs typeface="Times New Roman"/>
            </a:rPr>
            <a:t>Net emissions)</a:t>
          </a:r>
          <a:endParaRPr lang="en-AU" sz="1200" b="1">
            <a:solidFill>
              <a:srgbClr val="4F4789"/>
            </a:solidFill>
          </a:endParaRPr>
        </a:p>
      </xdr:txBody>
    </xdr:sp>
    <xdr:clientData/>
  </xdr:twoCellAnchor>
  <xdr:twoCellAnchor>
    <xdr:from>
      <xdr:col>4</xdr:col>
      <xdr:colOff>1666314</xdr:colOff>
      <xdr:row>22</xdr:row>
      <xdr:rowOff>128870</xdr:rowOff>
    </xdr:from>
    <xdr:to>
      <xdr:col>5</xdr:col>
      <xdr:colOff>1154765</xdr:colOff>
      <xdr:row>24</xdr:row>
      <xdr:rowOff>5044</xdr:rowOff>
    </xdr:to>
    <xdr:sp macro="" textlink="$J$44">
      <xdr:nvSpPr>
        <xdr:cNvPr id="102" name="TextBox 101">
          <a:extLst>
            <a:ext uri="{FF2B5EF4-FFF2-40B4-BE49-F238E27FC236}">
              <a16:creationId xmlns:a16="http://schemas.microsoft.com/office/drawing/2014/main" id="{21F1BAC9-A1BF-493E-8C57-D819BB045F9D}"/>
            </a:ext>
          </a:extLst>
        </xdr:cNvPr>
        <xdr:cNvSpPr txBox="1"/>
      </xdr:nvSpPr>
      <xdr:spPr>
        <a:xfrm>
          <a:off x="8345020" y="4689664"/>
          <a:ext cx="15391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2</a:t>
          </a:r>
          <a:endParaRPr lang="en-AU" sz="1200" b="0">
            <a:solidFill>
              <a:schemeClr val="bg2">
                <a:lumMod val="50000"/>
              </a:schemeClr>
            </a:solidFill>
          </a:endParaRPr>
        </a:p>
      </xdr:txBody>
    </xdr:sp>
    <xdr:clientData/>
  </xdr:twoCellAnchor>
  <xdr:twoCellAnchor>
    <xdr:from>
      <xdr:col>3</xdr:col>
      <xdr:colOff>0</xdr:colOff>
      <xdr:row>24</xdr:row>
      <xdr:rowOff>24095</xdr:rowOff>
    </xdr:from>
    <xdr:to>
      <xdr:col>4</xdr:col>
      <xdr:colOff>894790</xdr:colOff>
      <xdr:row>24</xdr:row>
      <xdr:rowOff>24095</xdr:rowOff>
    </xdr:to>
    <xdr:cxnSp macro="">
      <xdr:nvCxnSpPr>
        <xdr:cNvPr id="103" name="Straight Connector 102">
          <a:extLst>
            <a:ext uri="{FF2B5EF4-FFF2-40B4-BE49-F238E27FC236}">
              <a16:creationId xmlns:a16="http://schemas.microsoft.com/office/drawing/2014/main" id="{116B0BCA-4E23-46CE-9AF1-B13CBB354EB7}"/>
            </a:ext>
          </a:extLst>
        </xdr:cNvPr>
        <xdr:cNvCxnSpPr/>
      </xdr:nvCxnSpPr>
      <xdr:spPr>
        <a:xfrm>
          <a:off x="2678206" y="4988301"/>
          <a:ext cx="4895290"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1666314</xdr:colOff>
      <xdr:row>24</xdr:row>
      <xdr:rowOff>24095</xdr:rowOff>
    </xdr:from>
    <xdr:to>
      <xdr:col>7</xdr:col>
      <xdr:colOff>436468</xdr:colOff>
      <xdr:row>24</xdr:row>
      <xdr:rowOff>24095</xdr:rowOff>
    </xdr:to>
    <xdr:cxnSp macro="">
      <xdr:nvCxnSpPr>
        <xdr:cNvPr id="104" name="Straight Connector 103">
          <a:extLst>
            <a:ext uri="{FF2B5EF4-FFF2-40B4-BE49-F238E27FC236}">
              <a16:creationId xmlns:a16="http://schemas.microsoft.com/office/drawing/2014/main" id="{71B71B52-D44C-4926-B949-90F4D2325CB5}"/>
            </a:ext>
          </a:extLst>
        </xdr:cNvPr>
        <xdr:cNvCxnSpPr/>
      </xdr:nvCxnSpPr>
      <xdr:spPr>
        <a:xfrm>
          <a:off x="8345020" y="4988301"/>
          <a:ext cx="4922183"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xdr:col>
      <xdr:colOff>2323540</xdr:colOff>
      <xdr:row>16</xdr:row>
      <xdr:rowOff>118785</xdr:rowOff>
    </xdr:from>
    <xdr:ext cx="1978747" cy="254493"/>
    <xdr:sp macro="" textlink="">
      <xdr:nvSpPr>
        <xdr:cNvPr id="105" name="TextBox 104">
          <a:extLst>
            <a:ext uri="{FF2B5EF4-FFF2-40B4-BE49-F238E27FC236}">
              <a16:creationId xmlns:a16="http://schemas.microsoft.com/office/drawing/2014/main" id="{E1A05E49-6C68-4EFE-89B7-3040A7A1ED8F}"/>
            </a:ext>
          </a:extLst>
        </xdr:cNvPr>
        <xdr:cNvSpPr txBox="1"/>
      </xdr:nvSpPr>
      <xdr:spPr>
        <a:xfrm>
          <a:off x="5001746" y="3469344"/>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4</xdr:col>
      <xdr:colOff>1666314</xdr:colOff>
      <xdr:row>16</xdr:row>
      <xdr:rowOff>118785</xdr:rowOff>
    </xdr:from>
    <xdr:ext cx="1978747" cy="254493"/>
    <xdr:sp macro="" textlink="">
      <xdr:nvSpPr>
        <xdr:cNvPr id="106" name="TextBox 105">
          <a:extLst>
            <a:ext uri="{FF2B5EF4-FFF2-40B4-BE49-F238E27FC236}">
              <a16:creationId xmlns:a16="http://schemas.microsoft.com/office/drawing/2014/main" id="{58932CEC-AA0D-4863-ADBE-EB6D854221D5}"/>
            </a:ext>
          </a:extLst>
        </xdr:cNvPr>
        <xdr:cNvSpPr txBox="1"/>
      </xdr:nvSpPr>
      <xdr:spPr>
        <a:xfrm>
          <a:off x="8345020" y="3469344"/>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6</xdr:col>
      <xdr:colOff>49866</xdr:colOff>
      <xdr:row>16</xdr:row>
      <xdr:rowOff>118785</xdr:rowOff>
    </xdr:from>
    <xdr:ext cx="1978747" cy="254493"/>
    <xdr:sp macro="" textlink="">
      <xdr:nvSpPr>
        <xdr:cNvPr id="107" name="TextBox 106">
          <a:extLst>
            <a:ext uri="{FF2B5EF4-FFF2-40B4-BE49-F238E27FC236}">
              <a16:creationId xmlns:a16="http://schemas.microsoft.com/office/drawing/2014/main" id="{EBBAE93E-8D8D-401B-BB50-3157E39D783D}"/>
            </a:ext>
          </a:extLst>
        </xdr:cNvPr>
        <xdr:cNvSpPr txBox="1"/>
      </xdr:nvSpPr>
      <xdr:spPr>
        <a:xfrm>
          <a:off x="10829925" y="3469344"/>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3</xdr:col>
      <xdr:colOff>0</xdr:colOff>
      <xdr:row>28</xdr:row>
      <xdr:rowOff>87969</xdr:rowOff>
    </xdr:from>
    <xdr:ext cx="1978747" cy="254493"/>
    <xdr:sp macro="" textlink="">
      <xdr:nvSpPr>
        <xdr:cNvPr id="108" name="TextBox 107">
          <a:extLst>
            <a:ext uri="{FF2B5EF4-FFF2-40B4-BE49-F238E27FC236}">
              <a16:creationId xmlns:a16="http://schemas.microsoft.com/office/drawing/2014/main" id="{4A38E562-A13E-4C8B-80AD-B39CF1FEECE2}"/>
            </a:ext>
          </a:extLst>
        </xdr:cNvPr>
        <xdr:cNvSpPr txBox="1"/>
      </xdr:nvSpPr>
      <xdr:spPr>
        <a:xfrm>
          <a:off x="2678206" y="5858998"/>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3</xdr:col>
      <xdr:colOff>2333065</xdr:colOff>
      <xdr:row>28</xdr:row>
      <xdr:rowOff>87969</xdr:rowOff>
    </xdr:from>
    <xdr:ext cx="1978747" cy="254493"/>
    <xdr:sp macro="" textlink="">
      <xdr:nvSpPr>
        <xdr:cNvPr id="109" name="TextBox 108">
          <a:extLst>
            <a:ext uri="{FF2B5EF4-FFF2-40B4-BE49-F238E27FC236}">
              <a16:creationId xmlns:a16="http://schemas.microsoft.com/office/drawing/2014/main" id="{57055F1F-1A5E-4F33-9836-0605F0CF493B}"/>
            </a:ext>
          </a:extLst>
        </xdr:cNvPr>
        <xdr:cNvSpPr txBox="1"/>
      </xdr:nvSpPr>
      <xdr:spPr>
        <a:xfrm>
          <a:off x="5011271" y="5858998"/>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4</xdr:col>
      <xdr:colOff>1666314</xdr:colOff>
      <xdr:row>28</xdr:row>
      <xdr:rowOff>87969</xdr:rowOff>
    </xdr:from>
    <xdr:ext cx="1978747" cy="254493"/>
    <xdr:sp macro="" textlink="">
      <xdr:nvSpPr>
        <xdr:cNvPr id="110" name="TextBox 109">
          <a:extLst>
            <a:ext uri="{FF2B5EF4-FFF2-40B4-BE49-F238E27FC236}">
              <a16:creationId xmlns:a16="http://schemas.microsoft.com/office/drawing/2014/main" id="{0255C1BA-EF45-4B88-B5FA-A52375BACDC8}"/>
            </a:ext>
          </a:extLst>
        </xdr:cNvPr>
        <xdr:cNvSpPr txBox="1"/>
      </xdr:nvSpPr>
      <xdr:spPr>
        <a:xfrm>
          <a:off x="8345020" y="5858998"/>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6</xdr:col>
      <xdr:colOff>49866</xdr:colOff>
      <xdr:row>28</xdr:row>
      <xdr:rowOff>87969</xdr:rowOff>
    </xdr:from>
    <xdr:ext cx="1978747" cy="254493"/>
    <xdr:sp macro="" textlink="">
      <xdr:nvSpPr>
        <xdr:cNvPr id="111" name="TextBox 110">
          <a:extLst>
            <a:ext uri="{FF2B5EF4-FFF2-40B4-BE49-F238E27FC236}">
              <a16:creationId xmlns:a16="http://schemas.microsoft.com/office/drawing/2014/main" id="{1FE74972-27B6-4F77-BF8B-FD910771357E}"/>
            </a:ext>
          </a:extLst>
        </xdr:cNvPr>
        <xdr:cNvSpPr txBox="1"/>
      </xdr:nvSpPr>
      <xdr:spPr>
        <a:xfrm>
          <a:off x="10829925" y="5858998"/>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twoCellAnchor>
    <xdr:from>
      <xdr:col>3</xdr:col>
      <xdr:colOff>2361640</xdr:colOff>
      <xdr:row>26</xdr:row>
      <xdr:rowOff>8407</xdr:rowOff>
    </xdr:from>
    <xdr:to>
      <xdr:col>4</xdr:col>
      <xdr:colOff>313765</xdr:colOff>
      <xdr:row>28</xdr:row>
      <xdr:rowOff>158005</xdr:rowOff>
    </xdr:to>
    <xdr:sp macro="" textlink="$J$53">
      <xdr:nvSpPr>
        <xdr:cNvPr id="112" name="TextBox 111">
          <a:extLst>
            <a:ext uri="{FF2B5EF4-FFF2-40B4-BE49-F238E27FC236}">
              <a16:creationId xmlns:a16="http://schemas.microsoft.com/office/drawing/2014/main" id="{DFE9DD5D-C807-4E3C-B113-9A9665AA0ED7}"/>
            </a:ext>
          </a:extLst>
        </xdr:cNvPr>
        <xdr:cNvSpPr txBox="1"/>
      </xdr:nvSpPr>
      <xdr:spPr>
        <a:xfrm>
          <a:off x="5039846" y="5376025"/>
          <a:ext cx="1952625"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8B8ADE77-8739-4C42-8C9D-E087028DA258}"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5</xdr:col>
      <xdr:colOff>1983440</xdr:colOff>
      <xdr:row>26</xdr:row>
      <xdr:rowOff>36982</xdr:rowOff>
    </xdr:from>
    <xdr:to>
      <xdr:col>6</xdr:col>
      <xdr:colOff>1910042</xdr:colOff>
      <xdr:row>28</xdr:row>
      <xdr:rowOff>138955</xdr:rowOff>
    </xdr:to>
    <xdr:sp macro="" textlink="$K$53">
      <xdr:nvSpPr>
        <xdr:cNvPr id="113" name="TextBox 112">
          <a:extLst>
            <a:ext uri="{FF2B5EF4-FFF2-40B4-BE49-F238E27FC236}">
              <a16:creationId xmlns:a16="http://schemas.microsoft.com/office/drawing/2014/main" id="{419A6354-03AF-4EBF-8FCB-0A0986B37ED9}"/>
            </a:ext>
          </a:extLst>
        </xdr:cNvPr>
        <xdr:cNvSpPr txBox="1"/>
      </xdr:nvSpPr>
      <xdr:spPr>
        <a:xfrm>
          <a:off x="10712822" y="5404600"/>
          <a:ext cx="1977279"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F9A87D5F-A637-4BA0-BFE4-996CA0B467D5}"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8</xdr:col>
      <xdr:colOff>45944</xdr:colOff>
      <xdr:row>14</xdr:row>
      <xdr:rowOff>143998</xdr:rowOff>
    </xdr:from>
    <xdr:to>
      <xdr:col>8</xdr:col>
      <xdr:colOff>1915646</xdr:colOff>
      <xdr:row>17</xdr:row>
      <xdr:rowOff>12328</xdr:rowOff>
    </xdr:to>
    <xdr:sp macro="" textlink="$J$46">
      <xdr:nvSpPr>
        <xdr:cNvPr id="114" name="TextBox 113">
          <a:extLst>
            <a:ext uri="{FF2B5EF4-FFF2-40B4-BE49-F238E27FC236}">
              <a16:creationId xmlns:a16="http://schemas.microsoft.com/office/drawing/2014/main" id="{8D23E85A-1551-466C-89C3-E43491BE5CAF}"/>
            </a:ext>
          </a:extLst>
        </xdr:cNvPr>
        <xdr:cNvSpPr txBox="1"/>
      </xdr:nvSpPr>
      <xdr:spPr>
        <a:xfrm>
          <a:off x="14927356" y="3091145"/>
          <a:ext cx="1869702" cy="47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1924562D-F9FD-4007-A893-9658B36EA5E8}"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10</xdr:col>
      <xdr:colOff>1625973</xdr:colOff>
      <xdr:row>14</xdr:row>
      <xdr:rowOff>115423</xdr:rowOff>
    </xdr:from>
    <xdr:to>
      <xdr:col>11</xdr:col>
      <xdr:colOff>1485899</xdr:colOff>
      <xdr:row>17</xdr:row>
      <xdr:rowOff>12328</xdr:rowOff>
    </xdr:to>
    <xdr:sp macro="" textlink="$K$46">
      <xdr:nvSpPr>
        <xdr:cNvPr id="115" name="TextBox 114">
          <a:extLst>
            <a:ext uri="{FF2B5EF4-FFF2-40B4-BE49-F238E27FC236}">
              <a16:creationId xmlns:a16="http://schemas.microsoft.com/office/drawing/2014/main" id="{6B36214C-B628-4654-A200-F3A9EB05DF59}"/>
            </a:ext>
          </a:extLst>
        </xdr:cNvPr>
        <xdr:cNvSpPr txBox="1"/>
      </xdr:nvSpPr>
      <xdr:spPr>
        <a:xfrm>
          <a:off x="20608738" y="3062570"/>
          <a:ext cx="1910602" cy="50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9178CED4-C7B4-4572-B5FF-C2C28E3FD695}"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8</xdr:col>
      <xdr:colOff>45944</xdr:colOff>
      <xdr:row>26</xdr:row>
      <xdr:rowOff>8407</xdr:rowOff>
    </xdr:from>
    <xdr:to>
      <xdr:col>8</xdr:col>
      <xdr:colOff>2001371</xdr:colOff>
      <xdr:row>28</xdr:row>
      <xdr:rowOff>158005</xdr:rowOff>
    </xdr:to>
    <xdr:sp macro="" textlink="$J$54">
      <xdr:nvSpPr>
        <xdr:cNvPr id="116" name="TextBox 115">
          <a:extLst>
            <a:ext uri="{FF2B5EF4-FFF2-40B4-BE49-F238E27FC236}">
              <a16:creationId xmlns:a16="http://schemas.microsoft.com/office/drawing/2014/main" id="{8A36ADE4-E119-4EFB-A8A8-78CF4CC921CA}"/>
            </a:ext>
          </a:extLst>
        </xdr:cNvPr>
        <xdr:cNvSpPr txBox="1"/>
      </xdr:nvSpPr>
      <xdr:spPr>
        <a:xfrm>
          <a:off x="14927356" y="5376025"/>
          <a:ext cx="1955427"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47E4CB1C-EDB4-4181-B8C4-5B02C43CACE3}"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10</xdr:col>
      <xdr:colOff>1625973</xdr:colOff>
      <xdr:row>26</xdr:row>
      <xdr:rowOff>36982</xdr:rowOff>
    </xdr:from>
    <xdr:to>
      <xdr:col>11</xdr:col>
      <xdr:colOff>1552574</xdr:colOff>
      <xdr:row>28</xdr:row>
      <xdr:rowOff>138955</xdr:rowOff>
    </xdr:to>
    <xdr:sp macro="" textlink="$K$54">
      <xdr:nvSpPr>
        <xdr:cNvPr id="117" name="TextBox 116">
          <a:extLst>
            <a:ext uri="{FF2B5EF4-FFF2-40B4-BE49-F238E27FC236}">
              <a16:creationId xmlns:a16="http://schemas.microsoft.com/office/drawing/2014/main" id="{688A9E86-FE5E-4A29-9549-30D647EA49E3}"/>
            </a:ext>
          </a:extLst>
        </xdr:cNvPr>
        <xdr:cNvSpPr txBox="1"/>
      </xdr:nvSpPr>
      <xdr:spPr>
        <a:xfrm>
          <a:off x="20608738" y="5404600"/>
          <a:ext cx="197727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52E2C27E-76F6-4365-A748-3D63EC144A1C}"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9</xdr:col>
      <xdr:colOff>327772</xdr:colOff>
      <xdr:row>14</xdr:row>
      <xdr:rowOff>105898</xdr:rowOff>
    </xdr:from>
    <xdr:to>
      <xdr:col>10</xdr:col>
      <xdr:colOff>635374</xdr:colOff>
      <xdr:row>17</xdr:row>
      <xdr:rowOff>12328</xdr:rowOff>
    </xdr:to>
    <xdr:sp macro="" textlink="$J$47">
      <xdr:nvSpPr>
        <xdr:cNvPr id="118" name="TextBox 117">
          <a:extLst>
            <a:ext uri="{FF2B5EF4-FFF2-40B4-BE49-F238E27FC236}">
              <a16:creationId xmlns:a16="http://schemas.microsoft.com/office/drawing/2014/main" id="{46207EBB-51C6-4AB4-B45D-51865CD26131}"/>
            </a:ext>
          </a:extLst>
        </xdr:cNvPr>
        <xdr:cNvSpPr txBox="1"/>
      </xdr:nvSpPr>
      <xdr:spPr>
        <a:xfrm>
          <a:off x="17259860" y="3053045"/>
          <a:ext cx="2358279" cy="51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7ECA65A0-CBD7-46CD-8C95-E7E852DDA32D}"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12</xdr:col>
      <xdr:colOff>9525</xdr:colOff>
      <xdr:row>14</xdr:row>
      <xdr:rowOff>134473</xdr:rowOff>
    </xdr:from>
    <xdr:to>
      <xdr:col>15</xdr:col>
      <xdr:colOff>374277</xdr:colOff>
      <xdr:row>17</xdr:row>
      <xdr:rowOff>12328</xdr:rowOff>
    </xdr:to>
    <xdr:sp macro="" textlink="$K$47">
      <xdr:nvSpPr>
        <xdr:cNvPr id="119" name="TextBox 118">
          <a:extLst>
            <a:ext uri="{FF2B5EF4-FFF2-40B4-BE49-F238E27FC236}">
              <a16:creationId xmlns:a16="http://schemas.microsoft.com/office/drawing/2014/main" id="{630561FE-D650-4C9A-9197-C883F661A7F5}"/>
            </a:ext>
          </a:extLst>
        </xdr:cNvPr>
        <xdr:cNvSpPr txBox="1"/>
      </xdr:nvSpPr>
      <xdr:spPr>
        <a:xfrm>
          <a:off x="23093643" y="3081620"/>
          <a:ext cx="1888752" cy="482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76248843-A903-4882-925A-19F5BC60ACE3}"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8</xdr:col>
      <xdr:colOff>45944</xdr:colOff>
      <xdr:row>13</xdr:row>
      <xdr:rowOff>24655</xdr:rowOff>
    </xdr:from>
    <xdr:to>
      <xdr:col>8</xdr:col>
      <xdr:colOff>1582271</xdr:colOff>
      <xdr:row>14</xdr:row>
      <xdr:rowOff>105897</xdr:rowOff>
    </xdr:to>
    <xdr:sp macro="" textlink="$J$44">
      <xdr:nvSpPr>
        <xdr:cNvPr id="120" name="TextBox 119">
          <a:extLst>
            <a:ext uri="{FF2B5EF4-FFF2-40B4-BE49-F238E27FC236}">
              <a16:creationId xmlns:a16="http://schemas.microsoft.com/office/drawing/2014/main" id="{F652D104-9279-4EEA-8BA4-CBAFA8E316DA}"/>
            </a:ext>
          </a:extLst>
        </xdr:cNvPr>
        <xdr:cNvSpPr txBox="1"/>
      </xdr:nvSpPr>
      <xdr:spPr>
        <a:xfrm>
          <a:off x="14927356" y="2770096"/>
          <a:ext cx="15363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Excluding removals</a:t>
          </a:r>
          <a:endParaRPr lang="en-AU" sz="1200" b="1">
            <a:solidFill>
              <a:srgbClr val="0C769E"/>
            </a:solidFill>
          </a:endParaRPr>
        </a:p>
      </xdr:txBody>
    </xdr:sp>
    <xdr:clientData/>
  </xdr:twoCellAnchor>
  <xdr:twoCellAnchor>
    <xdr:from>
      <xdr:col>9</xdr:col>
      <xdr:colOff>327772</xdr:colOff>
      <xdr:row>13</xdr:row>
      <xdr:rowOff>24655</xdr:rowOff>
    </xdr:from>
    <xdr:to>
      <xdr:col>10</xdr:col>
      <xdr:colOff>854927</xdr:colOff>
      <xdr:row>14</xdr:row>
      <xdr:rowOff>105897</xdr:rowOff>
    </xdr:to>
    <xdr:sp macro="" textlink="$J$44">
      <xdr:nvSpPr>
        <xdr:cNvPr id="121" name="TextBox 120">
          <a:extLst>
            <a:ext uri="{FF2B5EF4-FFF2-40B4-BE49-F238E27FC236}">
              <a16:creationId xmlns:a16="http://schemas.microsoft.com/office/drawing/2014/main" id="{1A523E42-5959-411B-91B2-CD5FBBDCD4BB}"/>
            </a:ext>
          </a:extLst>
        </xdr:cNvPr>
        <xdr:cNvSpPr txBox="1"/>
      </xdr:nvSpPr>
      <xdr:spPr>
        <a:xfrm>
          <a:off x="17259860" y="2770096"/>
          <a:ext cx="2577832"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Including</a:t>
          </a:r>
          <a:r>
            <a:rPr lang="en-US" sz="1200" b="1" i="0" u="none" strike="noStrike" baseline="0">
              <a:solidFill>
                <a:srgbClr val="0C769E"/>
              </a:solidFill>
              <a:latin typeface="Times New Roman"/>
              <a:cs typeface="Times New Roman"/>
            </a:rPr>
            <a:t> removals (</a:t>
          </a:r>
          <a:r>
            <a:rPr lang="en-US" sz="1200" b="1" i="0" u="none" strike="noStrike">
              <a:solidFill>
                <a:srgbClr val="0C769E"/>
              </a:solidFill>
              <a:latin typeface="Times New Roman"/>
              <a:cs typeface="Times New Roman"/>
            </a:rPr>
            <a:t>Net emissions)</a:t>
          </a:r>
          <a:endParaRPr lang="en-AU" sz="1200" b="1">
            <a:solidFill>
              <a:srgbClr val="0C769E"/>
            </a:solidFill>
          </a:endParaRPr>
        </a:p>
      </xdr:txBody>
    </xdr:sp>
    <xdr:clientData/>
  </xdr:twoCellAnchor>
  <xdr:twoCellAnchor>
    <xdr:from>
      <xdr:col>8</xdr:col>
      <xdr:colOff>45944</xdr:colOff>
      <xdr:row>11</xdr:row>
      <xdr:rowOff>49869</xdr:rowOff>
    </xdr:from>
    <xdr:to>
      <xdr:col>8</xdr:col>
      <xdr:colOff>1582271</xdr:colOff>
      <xdr:row>12</xdr:row>
      <xdr:rowOff>131110</xdr:rowOff>
    </xdr:to>
    <xdr:sp macro="" textlink="$J$44">
      <xdr:nvSpPr>
        <xdr:cNvPr id="122" name="TextBox 121">
          <a:extLst>
            <a:ext uri="{FF2B5EF4-FFF2-40B4-BE49-F238E27FC236}">
              <a16:creationId xmlns:a16="http://schemas.microsoft.com/office/drawing/2014/main" id="{F91187E7-1A1D-4EA5-849D-E2765865D938}"/>
            </a:ext>
          </a:extLst>
        </xdr:cNvPr>
        <xdr:cNvSpPr txBox="1"/>
      </xdr:nvSpPr>
      <xdr:spPr>
        <a:xfrm>
          <a:off x="14927356" y="2391898"/>
          <a:ext cx="15363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1</a:t>
          </a:r>
          <a:endParaRPr lang="en-AU" sz="1200" b="0">
            <a:solidFill>
              <a:schemeClr val="bg2">
                <a:lumMod val="50000"/>
              </a:schemeClr>
            </a:solidFill>
          </a:endParaRPr>
        </a:p>
      </xdr:txBody>
    </xdr:sp>
    <xdr:clientData/>
  </xdr:twoCellAnchor>
  <xdr:twoCellAnchor>
    <xdr:from>
      <xdr:col>8</xdr:col>
      <xdr:colOff>84044</xdr:colOff>
      <xdr:row>9</xdr:row>
      <xdr:rowOff>56032</xdr:rowOff>
    </xdr:from>
    <xdr:to>
      <xdr:col>9</xdr:col>
      <xdr:colOff>222997</xdr:colOff>
      <xdr:row>11</xdr:row>
      <xdr:rowOff>21294</xdr:rowOff>
    </xdr:to>
    <xdr:sp macro="" textlink="">
      <xdr:nvSpPr>
        <xdr:cNvPr id="123" name="TextBox 122">
          <a:extLst>
            <a:ext uri="{FF2B5EF4-FFF2-40B4-BE49-F238E27FC236}">
              <a16:creationId xmlns:a16="http://schemas.microsoft.com/office/drawing/2014/main" id="{326A35EF-CA77-49AE-B070-FA2610529BD9}"/>
            </a:ext>
          </a:extLst>
        </xdr:cNvPr>
        <xdr:cNvSpPr txBox="1"/>
      </xdr:nvSpPr>
      <xdr:spPr>
        <a:xfrm>
          <a:off x="14965456" y="1994650"/>
          <a:ext cx="2189629" cy="3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solidFill>
                <a:srgbClr val="0C769E"/>
              </a:solidFill>
            </a:rPr>
            <a:t>Mass allocation</a:t>
          </a:r>
        </a:p>
      </xdr:txBody>
    </xdr:sp>
    <xdr:clientData/>
  </xdr:twoCellAnchor>
  <xdr:twoCellAnchor>
    <xdr:from>
      <xdr:col>8</xdr:col>
      <xdr:colOff>93569</xdr:colOff>
      <xdr:row>11</xdr:row>
      <xdr:rowOff>25411</xdr:rowOff>
    </xdr:from>
    <xdr:to>
      <xdr:col>16</xdr:col>
      <xdr:colOff>226919</xdr:colOff>
      <xdr:row>11</xdr:row>
      <xdr:rowOff>40344</xdr:rowOff>
    </xdr:to>
    <xdr:cxnSp macro="">
      <xdr:nvCxnSpPr>
        <xdr:cNvPr id="124" name="Straight Connector 123">
          <a:extLst>
            <a:ext uri="{FF2B5EF4-FFF2-40B4-BE49-F238E27FC236}">
              <a16:creationId xmlns:a16="http://schemas.microsoft.com/office/drawing/2014/main" id="{06F86255-B5A1-4161-A507-6DE598D64103}"/>
            </a:ext>
          </a:extLst>
        </xdr:cNvPr>
        <xdr:cNvCxnSpPr/>
      </xdr:nvCxnSpPr>
      <xdr:spPr>
        <a:xfrm flipV="1">
          <a:off x="14974981" y="2367440"/>
          <a:ext cx="10465173" cy="1493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1625973</xdr:colOff>
      <xdr:row>13</xdr:row>
      <xdr:rowOff>24655</xdr:rowOff>
    </xdr:from>
    <xdr:to>
      <xdr:col>11</xdr:col>
      <xdr:colOff>1114424</xdr:colOff>
      <xdr:row>14</xdr:row>
      <xdr:rowOff>105897</xdr:rowOff>
    </xdr:to>
    <xdr:sp macro="" textlink="$J$44">
      <xdr:nvSpPr>
        <xdr:cNvPr id="125" name="TextBox 124">
          <a:extLst>
            <a:ext uri="{FF2B5EF4-FFF2-40B4-BE49-F238E27FC236}">
              <a16:creationId xmlns:a16="http://schemas.microsoft.com/office/drawing/2014/main" id="{E88C761D-F269-4353-B8DC-B2A6D09F5913}"/>
            </a:ext>
          </a:extLst>
        </xdr:cNvPr>
        <xdr:cNvSpPr txBox="1"/>
      </xdr:nvSpPr>
      <xdr:spPr>
        <a:xfrm>
          <a:off x="20608738" y="2770096"/>
          <a:ext cx="15391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Excluding removals</a:t>
          </a:r>
          <a:endParaRPr lang="en-AU" sz="1200" b="1">
            <a:solidFill>
              <a:srgbClr val="0C769E"/>
            </a:solidFill>
          </a:endParaRPr>
        </a:p>
      </xdr:txBody>
    </xdr:sp>
    <xdr:clientData/>
  </xdr:twoCellAnchor>
  <xdr:twoCellAnchor>
    <xdr:from>
      <xdr:col>12</xdr:col>
      <xdr:colOff>9525</xdr:colOff>
      <xdr:row>13</xdr:row>
      <xdr:rowOff>24655</xdr:rowOff>
    </xdr:from>
    <xdr:to>
      <xdr:col>16</xdr:col>
      <xdr:colOff>427422</xdr:colOff>
      <xdr:row>14</xdr:row>
      <xdr:rowOff>105897</xdr:rowOff>
    </xdr:to>
    <xdr:sp macro="" textlink="$J$44">
      <xdr:nvSpPr>
        <xdr:cNvPr id="126" name="TextBox 125">
          <a:extLst>
            <a:ext uri="{FF2B5EF4-FFF2-40B4-BE49-F238E27FC236}">
              <a16:creationId xmlns:a16="http://schemas.microsoft.com/office/drawing/2014/main" id="{3FDD7D2E-DF03-4E15-8D64-C35336FB69E9}"/>
            </a:ext>
          </a:extLst>
        </xdr:cNvPr>
        <xdr:cNvSpPr txBox="1"/>
      </xdr:nvSpPr>
      <xdr:spPr>
        <a:xfrm>
          <a:off x="23093643" y="2770096"/>
          <a:ext cx="2547014"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Including</a:t>
          </a:r>
          <a:r>
            <a:rPr lang="en-US" sz="1200" b="1" i="0" u="none" strike="noStrike" baseline="0">
              <a:solidFill>
                <a:srgbClr val="0C769E"/>
              </a:solidFill>
              <a:latin typeface="Times New Roman"/>
              <a:cs typeface="Times New Roman"/>
            </a:rPr>
            <a:t> removals (</a:t>
          </a:r>
          <a:r>
            <a:rPr lang="en-US" sz="1200" b="1" i="0" u="none" strike="noStrike">
              <a:solidFill>
                <a:srgbClr val="0C769E"/>
              </a:solidFill>
              <a:latin typeface="Times New Roman"/>
              <a:cs typeface="Times New Roman"/>
            </a:rPr>
            <a:t>Net emissions)</a:t>
          </a:r>
          <a:endParaRPr lang="en-AU" sz="1200" b="1">
            <a:solidFill>
              <a:srgbClr val="0C769E"/>
            </a:solidFill>
          </a:endParaRPr>
        </a:p>
      </xdr:txBody>
    </xdr:sp>
    <xdr:clientData/>
  </xdr:twoCellAnchor>
  <xdr:twoCellAnchor>
    <xdr:from>
      <xdr:col>10</xdr:col>
      <xdr:colOff>1625973</xdr:colOff>
      <xdr:row>11</xdr:row>
      <xdr:rowOff>49869</xdr:rowOff>
    </xdr:from>
    <xdr:to>
      <xdr:col>11</xdr:col>
      <xdr:colOff>1114424</xdr:colOff>
      <xdr:row>12</xdr:row>
      <xdr:rowOff>131110</xdr:rowOff>
    </xdr:to>
    <xdr:sp macro="" textlink="$J$44">
      <xdr:nvSpPr>
        <xdr:cNvPr id="127" name="TextBox 126">
          <a:extLst>
            <a:ext uri="{FF2B5EF4-FFF2-40B4-BE49-F238E27FC236}">
              <a16:creationId xmlns:a16="http://schemas.microsoft.com/office/drawing/2014/main" id="{8DD443D0-877D-4B48-A6F9-9EFB161C93B0}"/>
            </a:ext>
          </a:extLst>
        </xdr:cNvPr>
        <xdr:cNvSpPr txBox="1"/>
      </xdr:nvSpPr>
      <xdr:spPr>
        <a:xfrm>
          <a:off x="20608738" y="2391898"/>
          <a:ext cx="15391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2</a:t>
          </a:r>
          <a:endParaRPr lang="en-AU" sz="1200" b="0">
            <a:solidFill>
              <a:schemeClr val="bg2">
                <a:lumMod val="50000"/>
              </a:schemeClr>
            </a:solidFill>
          </a:endParaRPr>
        </a:p>
      </xdr:txBody>
    </xdr:sp>
    <xdr:clientData/>
  </xdr:twoCellAnchor>
  <xdr:twoCellAnchor>
    <xdr:from>
      <xdr:col>8</xdr:col>
      <xdr:colOff>45944</xdr:colOff>
      <xdr:row>12</xdr:row>
      <xdr:rowOff>150161</xdr:rowOff>
    </xdr:from>
    <xdr:to>
      <xdr:col>10</xdr:col>
      <xdr:colOff>825874</xdr:colOff>
      <xdr:row>12</xdr:row>
      <xdr:rowOff>150161</xdr:rowOff>
    </xdr:to>
    <xdr:cxnSp macro="">
      <xdr:nvCxnSpPr>
        <xdr:cNvPr id="128" name="Straight Connector 127">
          <a:extLst>
            <a:ext uri="{FF2B5EF4-FFF2-40B4-BE49-F238E27FC236}">
              <a16:creationId xmlns:a16="http://schemas.microsoft.com/office/drawing/2014/main" id="{593D5B16-E085-43C5-90AD-DDF60874425E}"/>
            </a:ext>
          </a:extLst>
        </xdr:cNvPr>
        <xdr:cNvCxnSpPr/>
      </xdr:nvCxnSpPr>
      <xdr:spPr>
        <a:xfrm>
          <a:off x="14927356" y="2693896"/>
          <a:ext cx="48812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1625973</xdr:colOff>
      <xdr:row>12</xdr:row>
      <xdr:rowOff>150161</xdr:rowOff>
    </xdr:from>
    <xdr:to>
      <xdr:col>16</xdr:col>
      <xdr:colOff>245968</xdr:colOff>
      <xdr:row>12</xdr:row>
      <xdr:rowOff>150161</xdr:rowOff>
    </xdr:to>
    <xdr:cxnSp macro="">
      <xdr:nvCxnSpPr>
        <xdr:cNvPr id="129" name="Straight Connector 128">
          <a:extLst>
            <a:ext uri="{FF2B5EF4-FFF2-40B4-BE49-F238E27FC236}">
              <a16:creationId xmlns:a16="http://schemas.microsoft.com/office/drawing/2014/main" id="{2AB571DF-5C5B-42FD-A159-BF16300413E4}"/>
            </a:ext>
          </a:extLst>
        </xdr:cNvPr>
        <xdr:cNvCxnSpPr/>
      </xdr:nvCxnSpPr>
      <xdr:spPr>
        <a:xfrm>
          <a:off x="20608738" y="2693896"/>
          <a:ext cx="4850465"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45944</xdr:colOff>
      <xdr:row>24</xdr:row>
      <xdr:rowOff>101976</xdr:rowOff>
    </xdr:from>
    <xdr:to>
      <xdr:col>8</xdr:col>
      <xdr:colOff>1582271</xdr:colOff>
      <xdr:row>25</xdr:row>
      <xdr:rowOff>181537</xdr:rowOff>
    </xdr:to>
    <xdr:sp macro="" textlink="$J$44">
      <xdr:nvSpPr>
        <xdr:cNvPr id="130" name="TextBox 129">
          <a:extLst>
            <a:ext uri="{FF2B5EF4-FFF2-40B4-BE49-F238E27FC236}">
              <a16:creationId xmlns:a16="http://schemas.microsoft.com/office/drawing/2014/main" id="{0DA019AB-003E-473D-81BF-43411D2DD9F4}"/>
            </a:ext>
          </a:extLst>
        </xdr:cNvPr>
        <xdr:cNvSpPr txBox="1"/>
      </xdr:nvSpPr>
      <xdr:spPr>
        <a:xfrm>
          <a:off x="14927356" y="5066182"/>
          <a:ext cx="15363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Excluding removals</a:t>
          </a:r>
          <a:endParaRPr lang="en-AU" sz="1200" b="1">
            <a:solidFill>
              <a:srgbClr val="4F4789"/>
            </a:solidFill>
          </a:endParaRPr>
        </a:p>
      </xdr:txBody>
    </xdr:sp>
    <xdr:clientData/>
  </xdr:twoCellAnchor>
  <xdr:twoCellAnchor>
    <xdr:from>
      <xdr:col>9</xdr:col>
      <xdr:colOff>413019</xdr:colOff>
      <xdr:row>24</xdr:row>
      <xdr:rowOff>101976</xdr:rowOff>
    </xdr:from>
    <xdr:to>
      <xdr:col>10</xdr:col>
      <xdr:colOff>940174</xdr:colOff>
      <xdr:row>25</xdr:row>
      <xdr:rowOff>181537</xdr:rowOff>
    </xdr:to>
    <xdr:sp macro="" textlink="$J$44">
      <xdr:nvSpPr>
        <xdr:cNvPr id="131" name="TextBox 130">
          <a:extLst>
            <a:ext uri="{FF2B5EF4-FFF2-40B4-BE49-F238E27FC236}">
              <a16:creationId xmlns:a16="http://schemas.microsoft.com/office/drawing/2014/main" id="{4C6F196D-619D-46FB-8FE0-04B90593A643}"/>
            </a:ext>
          </a:extLst>
        </xdr:cNvPr>
        <xdr:cNvSpPr txBox="1"/>
      </xdr:nvSpPr>
      <xdr:spPr>
        <a:xfrm>
          <a:off x="17345107" y="5066182"/>
          <a:ext cx="2577832"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Including</a:t>
          </a:r>
          <a:r>
            <a:rPr lang="en-US" sz="1200" b="1" i="0" u="none" strike="noStrike" baseline="0">
              <a:solidFill>
                <a:srgbClr val="4F4789"/>
              </a:solidFill>
              <a:latin typeface="Times New Roman"/>
              <a:cs typeface="Times New Roman"/>
            </a:rPr>
            <a:t> removals (</a:t>
          </a:r>
          <a:r>
            <a:rPr lang="en-US" sz="1200" b="1" i="0" u="none" strike="noStrike">
              <a:solidFill>
                <a:srgbClr val="4F4789"/>
              </a:solidFill>
              <a:latin typeface="Times New Roman"/>
              <a:cs typeface="Times New Roman"/>
            </a:rPr>
            <a:t>Net emissions)</a:t>
          </a:r>
          <a:endParaRPr lang="en-AU" sz="1200" b="1">
            <a:solidFill>
              <a:srgbClr val="4F4789"/>
            </a:solidFill>
          </a:endParaRPr>
        </a:p>
      </xdr:txBody>
    </xdr:sp>
    <xdr:clientData/>
  </xdr:twoCellAnchor>
  <xdr:twoCellAnchor>
    <xdr:from>
      <xdr:col>8</xdr:col>
      <xdr:colOff>45944</xdr:colOff>
      <xdr:row>22</xdr:row>
      <xdr:rowOff>128870</xdr:rowOff>
    </xdr:from>
    <xdr:to>
      <xdr:col>8</xdr:col>
      <xdr:colOff>1582271</xdr:colOff>
      <xdr:row>24</xdr:row>
      <xdr:rowOff>5044</xdr:rowOff>
    </xdr:to>
    <xdr:sp macro="" textlink="$J$44">
      <xdr:nvSpPr>
        <xdr:cNvPr id="132" name="TextBox 131">
          <a:extLst>
            <a:ext uri="{FF2B5EF4-FFF2-40B4-BE49-F238E27FC236}">
              <a16:creationId xmlns:a16="http://schemas.microsoft.com/office/drawing/2014/main" id="{A02BABC0-5DAF-49A3-B783-F2AFC0ADBF08}"/>
            </a:ext>
          </a:extLst>
        </xdr:cNvPr>
        <xdr:cNvSpPr txBox="1"/>
      </xdr:nvSpPr>
      <xdr:spPr>
        <a:xfrm>
          <a:off x="14927356" y="4689664"/>
          <a:ext cx="15363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1</a:t>
          </a:r>
          <a:endParaRPr lang="en-AU" sz="1200" b="0">
            <a:solidFill>
              <a:schemeClr val="bg2">
                <a:lumMod val="50000"/>
              </a:schemeClr>
            </a:solidFill>
          </a:endParaRPr>
        </a:p>
      </xdr:txBody>
    </xdr:sp>
    <xdr:clientData/>
  </xdr:twoCellAnchor>
  <xdr:oneCellAnchor>
    <xdr:from>
      <xdr:col>8</xdr:col>
      <xdr:colOff>45944</xdr:colOff>
      <xdr:row>16</xdr:row>
      <xdr:rowOff>118785</xdr:rowOff>
    </xdr:from>
    <xdr:ext cx="1978747" cy="254493"/>
    <xdr:sp macro="" textlink="">
      <xdr:nvSpPr>
        <xdr:cNvPr id="133" name="TextBox 132">
          <a:extLst>
            <a:ext uri="{FF2B5EF4-FFF2-40B4-BE49-F238E27FC236}">
              <a16:creationId xmlns:a16="http://schemas.microsoft.com/office/drawing/2014/main" id="{5BEAE6F4-A469-4529-BD18-DF188FC38E0C}"/>
            </a:ext>
          </a:extLst>
        </xdr:cNvPr>
        <xdr:cNvSpPr txBox="1"/>
      </xdr:nvSpPr>
      <xdr:spPr>
        <a:xfrm>
          <a:off x="14927356" y="3469344"/>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twoCellAnchor>
    <xdr:from>
      <xdr:col>8</xdr:col>
      <xdr:colOff>84044</xdr:colOff>
      <xdr:row>20</xdr:row>
      <xdr:rowOff>135033</xdr:rowOff>
    </xdr:from>
    <xdr:to>
      <xdr:col>9</xdr:col>
      <xdr:colOff>222997</xdr:colOff>
      <xdr:row>22</xdr:row>
      <xdr:rowOff>98614</xdr:rowOff>
    </xdr:to>
    <xdr:sp macro="" textlink="">
      <xdr:nvSpPr>
        <xdr:cNvPr id="134" name="TextBox 133">
          <a:extLst>
            <a:ext uri="{FF2B5EF4-FFF2-40B4-BE49-F238E27FC236}">
              <a16:creationId xmlns:a16="http://schemas.microsoft.com/office/drawing/2014/main" id="{713370C2-2091-48AA-A49A-F396F8D6BB6A}"/>
            </a:ext>
          </a:extLst>
        </xdr:cNvPr>
        <xdr:cNvSpPr txBox="1"/>
      </xdr:nvSpPr>
      <xdr:spPr>
        <a:xfrm>
          <a:off x="14965456" y="4292415"/>
          <a:ext cx="2189629" cy="366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solidFill>
                <a:srgbClr val="4F4789"/>
              </a:solidFill>
            </a:rPr>
            <a:t>Economic allocation</a:t>
          </a:r>
        </a:p>
      </xdr:txBody>
    </xdr:sp>
    <xdr:clientData/>
  </xdr:twoCellAnchor>
  <xdr:twoCellAnchor>
    <xdr:from>
      <xdr:col>8</xdr:col>
      <xdr:colOff>93569</xdr:colOff>
      <xdr:row>22</xdr:row>
      <xdr:rowOff>102663</xdr:rowOff>
    </xdr:from>
    <xdr:to>
      <xdr:col>16</xdr:col>
      <xdr:colOff>274544</xdr:colOff>
      <xdr:row>22</xdr:row>
      <xdr:rowOff>119345</xdr:rowOff>
    </xdr:to>
    <xdr:cxnSp macro="">
      <xdr:nvCxnSpPr>
        <xdr:cNvPr id="135" name="Straight Connector 134">
          <a:extLst>
            <a:ext uri="{FF2B5EF4-FFF2-40B4-BE49-F238E27FC236}">
              <a16:creationId xmlns:a16="http://schemas.microsoft.com/office/drawing/2014/main" id="{57950CED-40BA-47D5-92A1-594ACE6748DD}"/>
            </a:ext>
          </a:extLst>
        </xdr:cNvPr>
        <xdr:cNvCxnSpPr/>
      </xdr:nvCxnSpPr>
      <xdr:spPr>
        <a:xfrm flipV="1">
          <a:off x="14974981" y="4663457"/>
          <a:ext cx="10512798" cy="16682"/>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1625973</xdr:colOff>
      <xdr:row>24</xdr:row>
      <xdr:rowOff>101976</xdr:rowOff>
    </xdr:from>
    <xdr:to>
      <xdr:col>11</xdr:col>
      <xdr:colOff>1114424</xdr:colOff>
      <xdr:row>25</xdr:row>
      <xdr:rowOff>181537</xdr:rowOff>
    </xdr:to>
    <xdr:sp macro="" textlink="$J$44">
      <xdr:nvSpPr>
        <xdr:cNvPr id="136" name="TextBox 135">
          <a:extLst>
            <a:ext uri="{FF2B5EF4-FFF2-40B4-BE49-F238E27FC236}">
              <a16:creationId xmlns:a16="http://schemas.microsoft.com/office/drawing/2014/main" id="{C9C942F3-303F-48CA-A130-672026B5F0BA}"/>
            </a:ext>
          </a:extLst>
        </xdr:cNvPr>
        <xdr:cNvSpPr txBox="1"/>
      </xdr:nvSpPr>
      <xdr:spPr>
        <a:xfrm>
          <a:off x="20608738" y="5066182"/>
          <a:ext cx="15391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Excluding removals</a:t>
          </a:r>
          <a:endParaRPr lang="en-AU" sz="1200" b="1">
            <a:solidFill>
              <a:srgbClr val="4F4789"/>
            </a:solidFill>
          </a:endParaRPr>
        </a:p>
      </xdr:txBody>
    </xdr:sp>
    <xdr:clientData/>
  </xdr:twoCellAnchor>
  <xdr:twoCellAnchor>
    <xdr:from>
      <xdr:col>12</xdr:col>
      <xdr:colOff>76200</xdr:colOff>
      <xdr:row>24</xdr:row>
      <xdr:rowOff>92451</xdr:rowOff>
    </xdr:from>
    <xdr:to>
      <xdr:col>16</xdr:col>
      <xdr:colOff>494097</xdr:colOff>
      <xdr:row>25</xdr:row>
      <xdr:rowOff>172012</xdr:rowOff>
    </xdr:to>
    <xdr:sp macro="" textlink="$J$44">
      <xdr:nvSpPr>
        <xdr:cNvPr id="137" name="TextBox 136">
          <a:extLst>
            <a:ext uri="{FF2B5EF4-FFF2-40B4-BE49-F238E27FC236}">
              <a16:creationId xmlns:a16="http://schemas.microsoft.com/office/drawing/2014/main" id="{AE95A3F3-6351-400B-B0B7-C591991FF9A7}"/>
            </a:ext>
          </a:extLst>
        </xdr:cNvPr>
        <xdr:cNvSpPr txBox="1"/>
      </xdr:nvSpPr>
      <xdr:spPr>
        <a:xfrm>
          <a:off x="23160318" y="5056657"/>
          <a:ext cx="2547014"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Including</a:t>
          </a:r>
          <a:r>
            <a:rPr lang="en-US" sz="1200" b="1" i="0" u="none" strike="noStrike" baseline="0">
              <a:solidFill>
                <a:srgbClr val="4F4789"/>
              </a:solidFill>
              <a:latin typeface="Times New Roman"/>
              <a:cs typeface="Times New Roman"/>
            </a:rPr>
            <a:t> removals (</a:t>
          </a:r>
          <a:r>
            <a:rPr lang="en-US" sz="1200" b="1" i="0" u="none" strike="noStrike">
              <a:solidFill>
                <a:srgbClr val="4F4789"/>
              </a:solidFill>
              <a:latin typeface="Times New Roman"/>
              <a:cs typeface="Times New Roman"/>
            </a:rPr>
            <a:t>Net emissions)</a:t>
          </a:r>
          <a:endParaRPr lang="en-AU" sz="1200" b="1">
            <a:solidFill>
              <a:srgbClr val="4F4789"/>
            </a:solidFill>
          </a:endParaRPr>
        </a:p>
      </xdr:txBody>
    </xdr:sp>
    <xdr:clientData/>
  </xdr:twoCellAnchor>
  <xdr:twoCellAnchor>
    <xdr:from>
      <xdr:col>10</xdr:col>
      <xdr:colOff>1625973</xdr:colOff>
      <xdr:row>22</xdr:row>
      <xdr:rowOff>128870</xdr:rowOff>
    </xdr:from>
    <xdr:to>
      <xdr:col>11</xdr:col>
      <xdr:colOff>1114424</xdr:colOff>
      <xdr:row>24</xdr:row>
      <xdr:rowOff>5044</xdr:rowOff>
    </xdr:to>
    <xdr:sp macro="" textlink="$J$44">
      <xdr:nvSpPr>
        <xdr:cNvPr id="138" name="TextBox 137">
          <a:extLst>
            <a:ext uri="{FF2B5EF4-FFF2-40B4-BE49-F238E27FC236}">
              <a16:creationId xmlns:a16="http://schemas.microsoft.com/office/drawing/2014/main" id="{5053AE32-979E-4913-909F-0061D38A4654}"/>
            </a:ext>
          </a:extLst>
        </xdr:cNvPr>
        <xdr:cNvSpPr txBox="1"/>
      </xdr:nvSpPr>
      <xdr:spPr>
        <a:xfrm>
          <a:off x="20608738" y="4689664"/>
          <a:ext cx="15391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2</a:t>
          </a:r>
          <a:endParaRPr lang="en-AU" sz="1200" b="0">
            <a:solidFill>
              <a:schemeClr val="bg2">
                <a:lumMod val="50000"/>
              </a:schemeClr>
            </a:solidFill>
          </a:endParaRPr>
        </a:p>
      </xdr:txBody>
    </xdr:sp>
    <xdr:clientData/>
  </xdr:twoCellAnchor>
  <xdr:twoCellAnchor>
    <xdr:from>
      <xdr:col>8</xdr:col>
      <xdr:colOff>45944</xdr:colOff>
      <xdr:row>24</xdr:row>
      <xdr:rowOff>24095</xdr:rowOff>
    </xdr:from>
    <xdr:to>
      <xdr:col>10</xdr:col>
      <xdr:colOff>854449</xdr:colOff>
      <xdr:row>24</xdr:row>
      <xdr:rowOff>24095</xdr:rowOff>
    </xdr:to>
    <xdr:cxnSp macro="">
      <xdr:nvCxnSpPr>
        <xdr:cNvPr id="139" name="Straight Connector 138">
          <a:extLst>
            <a:ext uri="{FF2B5EF4-FFF2-40B4-BE49-F238E27FC236}">
              <a16:creationId xmlns:a16="http://schemas.microsoft.com/office/drawing/2014/main" id="{1C551705-F718-4730-98AE-F113C19CCA9B}"/>
            </a:ext>
          </a:extLst>
        </xdr:cNvPr>
        <xdr:cNvCxnSpPr/>
      </xdr:nvCxnSpPr>
      <xdr:spPr>
        <a:xfrm>
          <a:off x="14927356" y="4988301"/>
          <a:ext cx="4909858"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1625973</xdr:colOff>
      <xdr:row>24</xdr:row>
      <xdr:rowOff>24095</xdr:rowOff>
    </xdr:from>
    <xdr:to>
      <xdr:col>16</xdr:col>
      <xdr:colOff>284068</xdr:colOff>
      <xdr:row>24</xdr:row>
      <xdr:rowOff>24095</xdr:rowOff>
    </xdr:to>
    <xdr:cxnSp macro="">
      <xdr:nvCxnSpPr>
        <xdr:cNvPr id="140" name="Straight Connector 139">
          <a:extLst>
            <a:ext uri="{FF2B5EF4-FFF2-40B4-BE49-F238E27FC236}">
              <a16:creationId xmlns:a16="http://schemas.microsoft.com/office/drawing/2014/main" id="{A957B890-811D-439D-B3C0-8C3ECDF0EF99}"/>
            </a:ext>
          </a:extLst>
        </xdr:cNvPr>
        <xdr:cNvCxnSpPr/>
      </xdr:nvCxnSpPr>
      <xdr:spPr>
        <a:xfrm>
          <a:off x="20608738" y="4988301"/>
          <a:ext cx="4888565"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9</xdr:col>
      <xdr:colOff>327772</xdr:colOff>
      <xdr:row>16</xdr:row>
      <xdr:rowOff>118785</xdr:rowOff>
    </xdr:from>
    <xdr:ext cx="1978747" cy="254493"/>
    <xdr:sp macro="" textlink="">
      <xdr:nvSpPr>
        <xdr:cNvPr id="141" name="TextBox 140">
          <a:extLst>
            <a:ext uri="{FF2B5EF4-FFF2-40B4-BE49-F238E27FC236}">
              <a16:creationId xmlns:a16="http://schemas.microsoft.com/office/drawing/2014/main" id="{35672F5B-FDA1-4729-93CE-4E5E4B0055CD}"/>
            </a:ext>
          </a:extLst>
        </xdr:cNvPr>
        <xdr:cNvSpPr txBox="1"/>
      </xdr:nvSpPr>
      <xdr:spPr>
        <a:xfrm>
          <a:off x="17259860" y="3469344"/>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10</xdr:col>
      <xdr:colOff>1625973</xdr:colOff>
      <xdr:row>16</xdr:row>
      <xdr:rowOff>118785</xdr:rowOff>
    </xdr:from>
    <xdr:ext cx="1978747" cy="254493"/>
    <xdr:sp macro="" textlink="">
      <xdr:nvSpPr>
        <xdr:cNvPr id="142" name="TextBox 141">
          <a:extLst>
            <a:ext uri="{FF2B5EF4-FFF2-40B4-BE49-F238E27FC236}">
              <a16:creationId xmlns:a16="http://schemas.microsoft.com/office/drawing/2014/main" id="{EB5DC473-4D15-45DE-B500-7AA129D4879C}"/>
            </a:ext>
          </a:extLst>
        </xdr:cNvPr>
        <xdr:cNvSpPr txBox="1"/>
      </xdr:nvSpPr>
      <xdr:spPr>
        <a:xfrm>
          <a:off x="20608738" y="3469344"/>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12</xdr:col>
      <xdr:colOff>9525</xdr:colOff>
      <xdr:row>16</xdr:row>
      <xdr:rowOff>118785</xdr:rowOff>
    </xdr:from>
    <xdr:ext cx="1978747" cy="254493"/>
    <xdr:sp macro="" textlink="">
      <xdr:nvSpPr>
        <xdr:cNvPr id="143" name="TextBox 142">
          <a:extLst>
            <a:ext uri="{FF2B5EF4-FFF2-40B4-BE49-F238E27FC236}">
              <a16:creationId xmlns:a16="http://schemas.microsoft.com/office/drawing/2014/main" id="{553A661D-9D5D-469E-A8C5-CCD6D3B7F8A3}"/>
            </a:ext>
          </a:extLst>
        </xdr:cNvPr>
        <xdr:cNvSpPr txBox="1"/>
      </xdr:nvSpPr>
      <xdr:spPr>
        <a:xfrm>
          <a:off x="23093643" y="3469344"/>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8</xdr:col>
      <xdr:colOff>45944</xdr:colOff>
      <xdr:row>28</xdr:row>
      <xdr:rowOff>87969</xdr:rowOff>
    </xdr:from>
    <xdr:ext cx="1978747" cy="254493"/>
    <xdr:sp macro="" textlink="">
      <xdr:nvSpPr>
        <xdr:cNvPr id="144" name="TextBox 143">
          <a:extLst>
            <a:ext uri="{FF2B5EF4-FFF2-40B4-BE49-F238E27FC236}">
              <a16:creationId xmlns:a16="http://schemas.microsoft.com/office/drawing/2014/main" id="{E0FE7C28-F96F-4355-A72F-E3EE4FDE5F93}"/>
            </a:ext>
          </a:extLst>
        </xdr:cNvPr>
        <xdr:cNvSpPr txBox="1"/>
      </xdr:nvSpPr>
      <xdr:spPr>
        <a:xfrm>
          <a:off x="14927356" y="5858998"/>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9</xdr:col>
      <xdr:colOff>337297</xdr:colOff>
      <xdr:row>28</xdr:row>
      <xdr:rowOff>87969</xdr:rowOff>
    </xdr:from>
    <xdr:ext cx="1978747" cy="254493"/>
    <xdr:sp macro="" textlink="">
      <xdr:nvSpPr>
        <xdr:cNvPr id="145" name="TextBox 144">
          <a:extLst>
            <a:ext uri="{FF2B5EF4-FFF2-40B4-BE49-F238E27FC236}">
              <a16:creationId xmlns:a16="http://schemas.microsoft.com/office/drawing/2014/main" id="{909997E3-9706-4CF2-ADF6-6A2F31B395A2}"/>
            </a:ext>
          </a:extLst>
        </xdr:cNvPr>
        <xdr:cNvSpPr txBox="1"/>
      </xdr:nvSpPr>
      <xdr:spPr>
        <a:xfrm>
          <a:off x="17269385" y="5858998"/>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10</xdr:col>
      <xdr:colOff>1625973</xdr:colOff>
      <xdr:row>28</xdr:row>
      <xdr:rowOff>87969</xdr:rowOff>
    </xdr:from>
    <xdr:ext cx="1978747" cy="254493"/>
    <xdr:sp macro="" textlink="">
      <xdr:nvSpPr>
        <xdr:cNvPr id="146" name="TextBox 145">
          <a:extLst>
            <a:ext uri="{FF2B5EF4-FFF2-40B4-BE49-F238E27FC236}">
              <a16:creationId xmlns:a16="http://schemas.microsoft.com/office/drawing/2014/main" id="{501ACC80-136B-4033-BB9E-6965D0E7FC12}"/>
            </a:ext>
          </a:extLst>
        </xdr:cNvPr>
        <xdr:cNvSpPr txBox="1"/>
      </xdr:nvSpPr>
      <xdr:spPr>
        <a:xfrm>
          <a:off x="20608738" y="5858998"/>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12</xdr:col>
      <xdr:colOff>76200</xdr:colOff>
      <xdr:row>28</xdr:row>
      <xdr:rowOff>78444</xdr:rowOff>
    </xdr:from>
    <xdr:ext cx="1978747" cy="254493"/>
    <xdr:sp macro="" textlink="">
      <xdr:nvSpPr>
        <xdr:cNvPr id="147" name="TextBox 146">
          <a:extLst>
            <a:ext uri="{FF2B5EF4-FFF2-40B4-BE49-F238E27FC236}">
              <a16:creationId xmlns:a16="http://schemas.microsoft.com/office/drawing/2014/main" id="{A366835D-14D3-4260-8FCF-4521760D197F}"/>
            </a:ext>
          </a:extLst>
        </xdr:cNvPr>
        <xdr:cNvSpPr txBox="1"/>
      </xdr:nvSpPr>
      <xdr:spPr>
        <a:xfrm>
          <a:off x="23160318" y="5849473"/>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twoCellAnchor>
    <xdr:from>
      <xdr:col>9</xdr:col>
      <xdr:colOff>365872</xdr:colOff>
      <xdr:row>26</xdr:row>
      <xdr:rowOff>8407</xdr:rowOff>
    </xdr:from>
    <xdr:to>
      <xdr:col>10</xdr:col>
      <xdr:colOff>273424</xdr:colOff>
      <xdr:row>28</xdr:row>
      <xdr:rowOff>158005</xdr:rowOff>
    </xdr:to>
    <xdr:sp macro="" textlink="$J$55">
      <xdr:nvSpPr>
        <xdr:cNvPr id="148" name="TextBox 147">
          <a:extLst>
            <a:ext uri="{FF2B5EF4-FFF2-40B4-BE49-F238E27FC236}">
              <a16:creationId xmlns:a16="http://schemas.microsoft.com/office/drawing/2014/main" id="{6D21AB22-5675-4795-A71A-43DB36D24CCB}"/>
            </a:ext>
          </a:extLst>
        </xdr:cNvPr>
        <xdr:cNvSpPr txBox="1"/>
      </xdr:nvSpPr>
      <xdr:spPr>
        <a:xfrm>
          <a:off x="17297960" y="5376025"/>
          <a:ext cx="1958229"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CB7BF3CE-0316-4BA7-A0BD-943D37538344}"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12</xdr:col>
      <xdr:colOff>66674</xdr:colOff>
      <xdr:row>26</xdr:row>
      <xdr:rowOff>27457</xdr:rowOff>
    </xdr:from>
    <xdr:to>
      <xdr:col>15</xdr:col>
      <xdr:colOff>498101</xdr:colOff>
      <xdr:row>28</xdr:row>
      <xdr:rowOff>129430</xdr:rowOff>
    </xdr:to>
    <xdr:sp macro="" textlink="$K$55">
      <xdr:nvSpPr>
        <xdr:cNvPr id="149" name="TextBox 148">
          <a:extLst>
            <a:ext uri="{FF2B5EF4-FFF2-40B4-BE49-F238E27FC236}">
              <a16:creationId xmlns:a16="http://schemas.microsoft.com/office/drawing/2014/main" id="{B797EABB-6975-451A-A50B-63C69175BAE7}"/>
            </a:ext>
          </a:extLst>
        </xdr:cNvPr>
        <xdr:cNvSpPr txBox="1"/>
      </xdr:nvSpPr>
      <xdr:spPr>
        <a:xfrm>
          <a:off x="23150792" y="5395075"/>
          <a:ext cx="195542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50191ECC-A3E9-4A88-BA70-A94CDD98CFD4}"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3</xdr:col>
      <xdr:colOff>1056715</xdr:colOff>
      <xdr:row>5</xdr:row>
      <xdr:rowOff>148481</xdr:rowOff>
    </xdr:from>
    <xdr:to>
      <xdr:col>4</xdr:col>
      <xdr:colOff>551890</xdr:colOff>
      <xdr:row>7</xdr:row>
      <xdr:rowOff>127190</xdr:rowOff>
    </xdr:to>
    <xdr:sp macro="" textlink="">
      <xdr:nvSpPr>
        <xdr:cNvPr id="150" name="TextBox 149">
          <a:extLst>
            <a:ext uri="{FF2B5EF4-FFF2-40B4-BE49-F238E27FC236}">
              <a16:creationId xmlns:a16="http://schemas.microsoft.com/office/drawing/2014/main" id="{4FAAC798-3702-4E1F-B3A5-37D62A165ADA}"/>
            </a:ext>
          </a:extLst>
        </xdr:cNvPr>
        <xdr:cNvSpPr txBox="1"/>
      </xdr:nvSpPr>
      <xdr:spPr>
        <a:xfrm>
          <a:off x="3734921" y="1280275"/>
          <a:ext cx="3495675" cy="382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2000"/>
            <a:t>Liveweight sold</a:t>
          </a:r>
        </a:p>
      </xdr:txBody>
    </xdr:sp>
    <xdr:clientData/>
  </xdr:twoCellAnchor>
  <xdr:twoCellAnchor editAs="oneCell">
    <xdr:from>
      <xdr:col>3</xdr:col>
      <xdr:colOff>104216</xdr:colOff>
      <xdr:row>4</xdr:row>
      <xdr:rowOff>127749</xdr:rowOff>
    </xdr:from>
    <xdr:to>
      <xdr:col>3</xdr:col>
      <xdr:colOff>945470</xdr:colOff>
      <xdr:row>8</xdr:row>
      <xdr:rowOff>114864</xdr:rowOff>
    </xdr:to>
    <xdr:pic>
      <xdr:nvPicPr>
        <xdr:cNvPr id="151" name="Picture 150">
          <a:extLst>
            <a:ext uri="{FF2B5EF4-FFF2-40B4-BE49-F238E27FC236}">
              <a16:creationId xmlns:a16="http://schemas.microsoft.com/office/drawing/2014/main" id="{87B3CDEE-84F8-4C4F-9819-68D7813DE7B3}"/>
            </a:ext>
          </a:extLst>
        </xdr:cNvPr>
        <xdr:cNvPicPr>
          <a:picLocks noChangeAspect="1"/>
        </xdr:cNvPicPr>
      </xdr:nvPicPr>
      <xdr:blipFill>
        <a:blip xmlns:r="http://schemas.openxmlformats.org/officeDocument/2006/relationships" r:embed="rId1"/>
        <a:stretch>
          <a:fillRect/>
        </a:stretch>
      </xdr:blipFill>
      <xdr:spPr>
        <a:xfrm>
          <a:off x="2782422" y="1057837"/>
          <a:ext cx="841254" cy="793939"/>
        </a:xfrm>
        <a:prstGeom prst="ellipse">
          <a:avLst/>
        </a:prstGeom>
        <a:ln w="38100" cap="rnd">
          <a:solidFill>
            <a:srgbClr val="333333"/>
          </a:solidFill>
        </a:ln>
        <a:effectLst>
          <a:outerShdw blurRad="50800" dist="38100" dir="5400000" algn="t" rotWithShape="0">
            <a:prstClr val="black">
              <a:alpha val="40000"/>
            </a:prst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8</xdr:col>
      <xdr:colOff>1096496</xdr:colOff>
      <xdr:row>5</xdr:row>
      <xdr:rowOff>129431</xdr:rowOff>
    </xdr:from>
    <xdr:to>
      <xdr:col>10</xdr:col>
      <xdr:colOff>502024</xdr:colOff>
      <xdr:row>7</xdr:row>
      <xdr:rowOff>108140</xdr:rowOff>
    </xdr:to>
    <xdr:sp macro="" textlink="">
      <xdr:nvSpPr>
        <xdr:cNvPr id="152" name="TextBox 151">
          <a:extLst>
            <a:ext uri="{FF2B5EF4-FFF2-40B4-BE49-F238E27FC236}">
              <a16:creationId xmlns:a16="http://schemas.microsoft.com/office/drawing/2014/main" id="{22A64615-A9A4-4B7F-8E54-00964343F931}"/>
            </a:ext>
          </a:extLst>
        </xdr:cNvPr>
        <xdr:cNvSpPr txBox="1"/>
      </xdr:nvSpPr>
      <xdr:spPr>
        <a:xfrm>
          <a:off x="15977908" y="1261225"/>
          <a:ext cx="3506881" cy="382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2000"/>
            <a:t>Manure sold</a:t>
          </a:r>
        </a:p>
      </xdr:txBody>
    </xdr:sp>
    <xdr:clientData/>
  </xdr:twoCellAnchor>
  <xdr:twoCellAnchor editAs="oneCell">
    <xdr:from>
      <xdr:col>8</xdr:col>
      <xdr:colOff>86880</xdr:colOff>
      <xdr:row>4</xdr:row>
      <xdr:rowOff>89650</xdr:rowOff>
    </xdr:from>
    <xdr:to>
      <xdr:col>8</xdr:col>
      <xdr:colOff>1014522</xdr:colOff>
      <xdr:row>8</xdr:row>
      <xdr:rowOff>162488</xdr:rowOff>
    </xdr:to>
    <xdr:pic>
      <xdr:nvPicPr>
        <xdr:cNvPr id="153" name="Picture 152">
          <a:extLst>
            <a:ext uri="{FF2B5EF4-FFF2-40B4-BE49-F238E27FC236}">
              <a16:creationId xmlns:a16="http://schemas.microsoft.com/office/drawing/2014/main" id="{778A5294-029E-4960-AF2B-639326DC3A3D}"/>
            </a:ext>
          </a:extLst>
        </xdr:cNvPr>
        <xdr:cNvPicPr>
          <a:picLocks noChangeAspect="1"/>
        </xdr:cNvPicPr>
      </xdr:nvPicPr>
      <xdr:blipFill>
        <a:blip xmlns:r="http://schemas.openxmlformats.org/officeDocument/2006/relationships" r:embed="rId2"/>
        <a:stretch>
          <a:fillRect/>
        </a:stretch>
      </xdr:blipFill>
      <xdr:spPr>
        <a:xfrm flipH="1">
          <a:off x="14968292" y="1019738"/>
          <a:ext cx="927642" cy="879662"/>
        </a:xfrm>
        <a:prstGeom prst="ellipse">
          <a:avLst/>
        </a:prstGeom>
        <a:ln w="38100" cap="rnd">
          <a:solidFill>
            <a:srgbClr val="333333"/>
          </a:solidFill>
        </a:ln>
        <a:effectLst>
          <a:outerShdw blurRad="50800" dist="38100" dir="5400000" algn="t" rotWithShape="0">
            <a:prstClr val="black">
              <a:alpha val="40000"/>
            </a:prstClr>
          </a:outerShdw>
        </a:effectLst>
        <a:scene3d>
          <a:camera prst="orthographicFront"/>
          <a:lightRig rig="contrasting" dir="t">
            <a:rot lat="0" lon="0" rev="3000000"/>
          </a:lightRig>
        </a:scene3d>
        <a:sp3d contourW="7620">
          <a:bevelT w="95250" h="31750"/>
          <a:contourClr>
            <a:srgbClr val="333333"/>
          </a:contourClr>
        </a:sp3d>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CA9186A-F894-44A1-92E2-026D072DBE7B}" name="Table_Input_Enterprise_PlantingRemovals" displayName="Table_Input_Enterprise_PlantingRemovals" ref="D42:G43" totalsRowShown="0">
  <autoFilter ref="D42:G43" xr:uid="{CCA9186A-F894-44A1-92E2-026D072DBE7B}">
    <filterColumn colId="0" hiddenButton="1"/>
    <filterColumn colId="1" hiddenButton="1"/>
    <filterColumn colId="2" hiddenButton="1"/>
    <filterColumn colId="3" hiddenButton="1"/>
  </autoFilter>
  <tableColumns count="4">
    <tableColumn id="1" xr3:uid="{4A775515-F650-4B30-A8B0-D7D74288FF30}" name="Planting name" dataCellStyle="Input text"/>
    <tableColumn id="2" xr3:uid="{B0B4C384-B6EE-448B-920F-69C8F0DB66FB}" name="Total removed CO2" dataCellStyle="Input number general"/>
    <tableColumn id="3" xr3:uid="{39D3B94F-5152-431B-AFDA-259DCFD08C0D}" name="Percent allocated to this enterprise" dataCellStyle="Input percent"/>
    <tableColumn id="4" xr3:uid="{B9127AF7-9350-405E-97D4-92DB7D5C0ACA}" name="Removal allocated to this enterprise" dataCellStyle="Content normal">
      <calculatedColumnFormula>Table_Input_Enterprise_PlantingRemovals[[#This Row],[Total removed CO2]]*Table_Input_Enterprise_PlantingRemovals[[#This Row],[Percent allocated to this enterprise]]</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1E1097-C0F0-4392-9D6D-AFBC08E76915}" name="Table_Input_LivestockSales" displayName="Table_Input_LivestockSales" ref="D6:I16" totalsRowShown="0">
  <autoFilter ref="D6:I16" xr:uid="{AD1E1097-C0F0-4392-9D6D-AFBC08E76915}">
    <filterColumn colId="0" hiddenButton="1"/>
    <filterColumn colId="1" hiddenButton="1"/>
    <filterColumn colId="2" hiddenButton="1"/>
    <filterColumn colId="3" hiddenButton="1"/>
    <filterColumn colId="4" hiddenButton="1"/>
    <filterColumn colId="5" hiddenButton="1"/>
  </autoFilter>
  <tableColumns count="6">
    <tableColumn id="6" xr3:uid="{AA15C232-0159-49C9-9C71-A58F1014C954}" name="Transaction name" dataCellStyle="Input text"/>
    <tableColumn id="1" xr3:uid="{307E53B0-061F-49DD-93DB-42CB4B98DC79}" name="Class (select)" dataCellStyle="Input select"/>
    <tableColumn id="2" xr3:uid="{B15D3E20-6E9D-4B6A-BEA5-0FEB6F59B21E}" name="Sale date" dataDxfId="41"/>
    <tableColumn id="3" xr3:uid="{C5AEDAD3-0B4A-4687-BC64-AC557A3FF821}" name="Head sold"/>
    <tableColumn id="4" xr3:uid="{428F255F-E5B9-46BA-8DB0-EA08A490546B}" name="Average weight per head (kg)"/>
    <tableColumn id="5" xr3:uid="{7EF1E984-68AB-4D27-831E-2DB7800A94D1}" name="Total liveweight sold" dataCellStyle="Input number general calculated">
      <calculatedColumnFormula>G7*H7</calculatedColumnFormula>
    </tableColumn>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8FE180D-09B2-462D-A75A-30AF5B040FF4}" name="Table_Input_DataQuality_Enterprise" displayName="Table_Input_DataQuality_Enterprise" ref="D7:J13" totalsRowShown="0" headerRowCellStyle="Input table column header">
  <autoFilter ref="D7:J13" xr:uid="{28FE180D-09B2-462D-A75A-30AF5B040FF4}"/>
  <tableColumns count="7">
    <tableColumn id="1" xr3:uid="{6891E09C-6D96-4827-89BC-323C45FF3013}" name="Data type" dataCellStyle="Content normal"/>
    <tableColumn id="2" xr3:uid="{68DFCF87-A6F7-4A80-91D7-A13481A1F22D}" name="When was the data sourced?" dataCellStyle="Input select"/>
    <tableColumn id="3" xr3:uid="{A40C00E6-56F7-4C78-BC6A-867F905FFAD9}" name="Where is the data sourced from?" dataCellStyle="Input select"/>
    <tableColumn id="4" xr3:uid="{4EEABB96-25B2-45E4-B55D-CC84B263097B}" name="How much of the data was from direct samples?" dataCellStyle="Input select"/>
    <tableColumn id="5" xr3:uid="{312AABBA-BFD5-4266-9524-F923958169B2}" name="Notes" dataDxfId="55"/>
    <tableColumn id="6" xr3:uid="{11350DC8-38DD-4ED1-9576-EFE00DF98F4A}" name="Evidence files" dataDxfId="54"/>
    <tableColumn id="7" xr3:uid="{CE5261A6-B4FC-4B62-A6AC-54C6FAAD82CB}" name="Score" dataCellStyle="Input number general calculated">
      <calculatedColumnFormula>IFERROR(_xlfn.XLOOKUP(Table_Input_DataQuality_Enterprise[[#This Row],[When was the data sourced?]],#REF!,#REF!)+_xlfn.XLOOKUP(Table_Input_DataQuality_Enterprise[[#This Row],[Where is the data sourced from?]],#REF!,#REF!)+_xlfn.XLOOKUP(Table_Input_DataQuality_Enterprise[[#This Row],[How much of the data was from direct samples?]],#REF!,#REF!), 0)</calculatedColumnFormula>
    </tableColumn>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2C575DA4-A4D3-41A2-B085-8B83737CAEC6}" name="Table_Input_DataQuality_Site" displayName="Table_Input_DataQuality_Site" ref="D18:J24" totalsRowShown="0" headerRowCellStyle="Input table column header">
  <autoFilter ref="D18:J24" xr:uid="{2C575DA4-A4D3-41A2-B085-8B83737CAEC6}"/>
  <tableColumns count="7">
    <tableColumn id="1" xr3:uid="{F4C76991-9400-47EC-8B69-3E0378128164}" name="Data type" dataCellStyle="Content normal"/>
    <tableColumn id="2" xr3:uid="{1143E7AA-62A8-44F3-B5BF-BE2379B4B905}" name="When was the data sourced?" dataCellStyle="Input select"/>
    <tableColumn id="3" xr3:uid="{828C0D88-9EF8-44A0-A6D3-0BE733D06B61}" name="Where is the data sourced from?" dataCellStyle="Input select"/>
    <tableColumn id="4" xr3:uid="{F8C7296B-21A2-4BA8-804A-1A97D5DE5C58}" name="How much of the data was from direct samples?" dataCellStyle="Input select"/>
    <tableColumn id="5" xr3:uid="{54570952-48C1-47E8-B45A-471C0BA7AD1C}" name="Notes" dataDxfId="53"/>
    <tableColumn id="6" xr3:uid="{AB44CE99-224A-437D-A5B1-932D9C46AAB8}" name="Evidence files" dataDxfId="52"/>
    <tableColumn id="7" xr3:uid="{1FE786EC-0690-4DC1-8777-E78069DC2895}" name="Score" dataCellStyle="Input number general calculated">
      <calculatedColumnFormula>IFERROR(_xlfn.XLOOKUP(Table_Input_DataQuality_Site[[#This Row],[When was the data sourced?]],#REF!,#REF!)+_xlfn.XLOOKUP(Table_Input_DataQuality_Site[[#This Row],[Where is the data sourced from?]],#REF!,#REF!)+_xlfn.XLOOKUP(Table_Input_DataQuality_Site[[#This Row],[How much of the data was from direct samples?]],#REF!,#REF!), 0)</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2DAF9A96-F977-441F-8621-B54D31D9D7F8}" name="Table_Input_DataQuality_PastureBeef" displayName="Table_Input_DataQuality_PastureBeef" ref="D29:J41" totalsRowShown="0" headerRowCellStyle="Input table column header">
  <autoFilter ref="D29:J41" xr:uid="{2DAF9A96-F977-441F-8621-B54D31D9D7F8}"/>
  <tableColumns count="7">
    <tableColumn id="1" xr3:uid="{7410CAF1-A32D-4D20-9E8D-20497565EE6C}" name="Data type" dataCellStyle="Content normal"/>
    <tableColumn id="2" xr3:uid="{AC0AD7C7-1285-46C1-8760-677E5A7A447B}" name="When was the data sourced?" dataCellStyle="Input select"/>
    <tableColumn id="3" xr3:uid="{E7C35A28-6D7F-443C-BE27-871888F6021C}" name="Where is the data sourced from?" dataCellStyle="Input select"/>
    <tableColumn id="4" xr3:uid="{7CE87797-11C2-4242-9B92-06262C7B78FB}" name="How much of the data was from direct samples?" dataCellStyle="Input select"/>
    <tableColumn id="5" xr3:uid="{FDAFFFA7-0A46-4B10-B5C5-9C9D3BF63530}" name="Notes" dataDxfId="51"/>
    <tableColumn id="6" xr3:uid="{8407DCE3-2C71-4594-89B2-6C5DC5A27F02}" name="Evidence files" dataDxfId="50"/>
    <tableColumn id="7" xr3:uid="{55D19874-2970-424B-BFAA-72F0A3A76D94}" name="Score" dataCellStyle="Input number general calculated">
      <calculatedColumnFormula>IFERROR(_xlfn.XLOOKUP(Table_Input_DataQuality_PastureBeef[[#This Row],[When was the data sourced?]],#REF!,#REF!)+_xlfn.XLOOKUP(Table_Input_DataQuality_PastureBeef[[#This Row],[Where is the data sourced from?]],#REF!,#REF!)+_xlfn.XLOOKUP(Table_Input_DataQuality_PastureBeef[[#This Row],[How much of the data was from direct samples?]],#REF!,#REF!), 0)</calculatedColumnFormula>
    </tableColumn>
  </tableColumns>
  <tableStyleInfo name="Editable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311B488B-482B-4D1F-B574-EC6A7C2A7963}" name="Table_Input_DataQuality_PastureManagement" displayName="Table_Input_DataQuality_PastureManagement" ref="D46:J51" totalsRowShown="0" headerRowCellStyle="Input table column header">
  <autoFilter ref="D46:J51" xr:uid="{311B488B-482B-4D1F-B574-EC6A7C2A7963}"/>
  <tableColumns count="7">
    <tableColumn id="1" xr3:uid="{1FF92347-2C85-4DFF-AD7B-1165C35BB5F4}" name="Data type" dataCellStyle="Content normal"/>
    <tableColumn id="2" xr3:uid="{1A35F5F3-7B50-427A-974B-341C1D9579E5}" name="When was the data sourced?" dataCellStyle="Input select"/>
    <tableColumn id="3" xr3:uid="{43931A0A-B807-40B1-9CFF-AB3981E9BF81}" name="Where is the data sourced from?" dataCellStyle="Input select"/>
    <tableColumn id="4" xr3:uid="{085426B4-0983-452B-ABF3-4650427E6FB2}" name="How much of the data was from direct samples?" dataCellStyle="Input select"/>
    <tableColumn id="5" xr3:uid="{540CDA6F-B045-4E43-B004-48C29A66E6C7}" name="Notes" dataDxfId="49"/>
    <tableColumn id="6" xr3:uid="{4E8DFB0B-42BF-4238-AE47-4694D0ABF414}" name="Evidence files" dataDxfId="48"/>
    <tableColumn id="7" xr3:uid="{99FD6CF0-B6A4-43E3-9E7B-C0828CA99963}" name="Score" dataCellStyle="Input number general calculated">
      <calculatedColumnFormula>IFERROR(_xlfn.XLOOKUP(Table_Input_DataQuality_PastureManagement[[#This Row],[When was the data sourced?]],#REF!,#REF!)+_xlfn.XLOOKUP(Table_Input_DataQuality_PastureManagement[[#This Row],[Where is the data sourced from?]],#REF!,#REF!)+_xlfn.XLOOKUP(Table_Input_DataQuality_PastureManagement[[#This Row],[How much of the data was from direct samples?]],#REF!,#REF!), 0)</calculatedColumnFormula>
    </tableColumn>
  </tableColumns>
  <tableStyleInfo name="Editable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934DC06-981B-4CDD-9E4F-DD2783BC3739}" name="Table_Input_DataQuality_FertiliserApplications" displayName="Table_Input_DataQuality_FertiliserApplications" ref="D56:J60" totalsRowShown="0" headerRowCellStyle="Input table column header">
  <autoFilter ref="D56:J60" xr:uid="{A934DC06-981B-4CDD-9E4F-DD2783BC3739}"/>
  <tableColumns count="7">
    <tableColumn id="1" xr3:uid="{C0D29A74-4487-4BD6-B5EC-A6090FC2A710}" name="Data type" dataCellStyle="Content normal"/>
    <tableColumn id="2" xr3:uid="{69E55B12-88FD-4BFF-856B-A38450A42351}" name="When was the data sourced?" dataCellStyle="Input select"/>
    <tableColumn id="3" xr3:uid="{B055C1AD-6B83-432C-9F45-11C649F30314}" name="Where is the data sourced from?" dataCellStyle="Input select"/>
    <tableColumn id="4" xr3:uid="{BF029F0D-7D8D-4D09-A265-6DD56CC2395F}" name="How much of the data was from direct samples?" dataCellStyle="Input select"/>
    <tableColumn id="5" xr3:uid="{719E0D1E-E7A3-4744-BEE9-0CDED15EECF4}" name="Notes" dataDxfId="47"/>
    <tableColumn id="6" xr3:uid="{59BA769D-6DE0-45F8-9AE4-CE630F78ADD3}" name="Evidence files" dataDxfId="46"/>
    <tableColumn id="7" xr3:uid="{AAA07962-65D6-499A-961F-5DA90E26C83A}" name="Score" dataCellStyle="Input number general calculated">
      <calculatedColumnFormula>IFERROR(_xlfn.XLOOKUP(Table_Input_DataQuality_FertiliserApplications[[#This Row],[When was the data sourced?]],#REF!,#REF!)+_xlfn.XLOOKUP(Table_Input_DataQuality_FertiliserApplications[[#This Row],[Where is the data sourced from?]],#REF!,#REF!)+_xlfn.XLOOKUP(Table_Input_DataQuality_FertiliserApplications[[#This Row],[How much of the data was from direct samples?]],#REF!,#REF!), 0)</calculatedColumnFormula>
    </tableColumn>
  </tableColumns>
  <tableStyleInfo name="Editable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9A539BB-F05B-4456-BA41-5371F02C7A22}" name="Table_Input_DataQuality_FuelElectricity" displayName="Table_Input_DataQuality_FuelElectricity" ref="D65:J69" totalsRowShown="0" headerRowCellStyle="Input table column header">
  <autoFilter ref="D65:J69" xr:uid="{19A539BB-F05B-4456-BA41-5371F02C7A22}"/>
  <tableColumns count="7">
    <tableColumn id="1" xr3:uid="{6A7C792A-607C-4FD4-96D7-7504D4E4B802}" name="Data type" dataCellStyle="Content normal"/>
    <tableColumn id="2" xr3:uid="{52C64A20-79AA-4425-85FA-8095D6843A30}" name="When was the data sourced?" dataCellStyle="Input select"/>
    <tableColumn id="3" xr3:uid="{1CB192FD-80D3-400C-BB36-D4F7EF70D27C}" name="Where is the data sourced from?" dataCellStyle="Input select"/>
    <tableColumn id="4" xr3:uid="{3B9B8CC5-F3E8-4E1A-8F68-1416E7572F47}" name="How much of the data was from direct samples?" dataCellStyle="Input select"/>
    <tableColumn id="5" xr3:uid="{008AC1CB-FE9D-4303-9F4F-22C168CC47A0}" name="Notes" dataDxfId="45"/>
    <tableColumn id="6" xr3:uid="{5014AEED-6FC3-4D88-9D37-146835135CBE}" name="Evidence files" dataDxfId="44"/>
    <tableColumn id="7" xr3:uid="{1B5A6979-2182-4CA3-8C33-274D46A3229F}" name="Score" dataCellStyle="Input number general calculated">
      <calculatedColumnFormula>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673E621-7DB1-4295-9961-C61CC800B135}" name="Table_Input_DataQuality_FarmInputsFreightWaste" displayName="Table_Input_DataQuality_FarmInputsFreightWaste" ref="D75:J80" totalsRowShown="0" headerRowCellStyle="Input table column header">
  <autoFilter ref="D75:J80" xr:uid="{B673E621-7DB1-4295-9961-C61CC800B135}"/>
  <tableColumns count="7">
    <tableColumn id="1" xr3:uid="{25477CEA-09D1-4F2E-858D-E5B2B52CA880}" name="Data type" dataCellStyle="Content normal"/>
    <tableColumn id="2" xr3:uid="{8C7E7881-1860-4180-B538-825A80D47FF5}" name="When was the data sourced?" dataCellStyle="Input select"/>
    <tableColumn id="3" xr3:uid="{27F48332-E1B6-4C4D-BBAA-CBFB23977161}" name="Where is the data sourced from?" dataCellStyle="Input select"/>
    <tableColumn id="4" xr3:uid="{BBFCE3B0-5D6C-410D-9626-0A3427B2279C}" name="How much of the data was from direct samples?" dataCellStyle="Input select"/>
    <tableColumn id="5" xr3:uid="{6F18E8CD-2E03-497F-AEA7-2F9200F34478}" name="Notes" dataDxfId="43"/>
    <tableColumn id="6" xr3:uid="{A8148FCB-F76E-4E6E-A140-C2F5CA96A211}" name="Evidence files" dataDxfId="42"/>
    <tableColumn id="7" xr3:uid="{80B2DAE6-FCD5-49CC-8620-FFFC3957CF38}" name="Score" dataCellStyle="Input number general calculated">
      <calculatedColumnFormula>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C720952-9573-49DC-AE17-42B5E4717C73}"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FC6BB80F-2FBD-4189-9CFF-6AB5D66A7738}" name="State/Territory">
      <calculatedColumnFormula array="1">Common_InputFunctions.Utility_DisplayArrayInTable(Common_SourceData.Common_SourceData_AustralianStatesTerritories_Data(),Table_AustralianStates[[#Headers],[State/Territory]],0)</calculatedColumnFormula>
    </tableColumn>
    <tableColumn id="2" xr3:uid="{0C42CDB9-C65B-407F-867C-B8581218C179}" name="Common Name">
      <calculatedColumnFormula array="1">Common_InputFunctions.Utility_DisplayArrayInTable(Common_SourceData.Common_SourceData_AustralianStatesTerritories_Data(),Table_AustralianStates[[#Headers],[State/Territory]],0)</calculatedColumnFormula>
    </tableColumn>
    <tableColumn id="3" xr3:uid="{393D1B98-31B0-48DC-BEE3-2D1FF09DAD54}"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A5347D19-8517-44DD-A1D0-08213C68A9AD}" name="Table_WASA4Areas" displayName="Table_WASA4Areas" ref="D20:D30" totalsRowShown="0">
  <autoFilter ref="D20:D30" xr:uid="{5FA81339-C6C8-4D36-BEEA-6C4AEDD9E676}">
    <filterColumn colId="0" hiddenButton="1"/>
  </autoFilter>
  <tableColumns count="1">
    <tableColumn id="1" xr3:uid="{B79AC01B-AD9D-42AB-AE54-83A8143EDB25}"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843446F9-8BAA-41C9-9D82-4D4B2E3388F4}" name="Table_GWPData" displayName="Table_GWPData" ref="D36:E43" totalsRowShown="0">
  <autoFilter ref="D36:E43" xr:uid="{B8E87A66-3E41-4AD3-925D-01EE21B43D7A}">
    <filterColumn colId="0" hiddenButton="1"/>
    <filterColumn colId="1" hiddenButton="1"/>
  </autoFilter>
  <tableColumns count="2">
    <tableColumn id="1" xr3:uid="{3B2AA825-0B55-4971-BB6C-BE8CA13C072B}" name="Gas">
      <calculatedColumnFormula array="1">Common_InputFunctions.Utility_DisplayArrayInTable(Common_SourceData.Common_SourceData_GWP_Data(), Table_GWPData[[#Headers],[Gas]], 0)</calculatedColumnFormula>
    </tableColumn>
    <tableColumn id="2" xr3:uid="{91B57224-483E-453D-8C90-2289203554CB}"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E82ED490-9500-460F-B609-3C1110E2B69A}"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9B93A9B8-28D8-4CC1-BCA3-DBC30FFF7CC8}" name="Gas">
      <calculatedColumnFormula array="1">Common_InputFunctions.Utility_DisplayArrayInTable(Common_SourceData.Common_SourceData_ConvertGasElementalToMolecular_Data(),Table_GasToMolecularConversionFactor[[#Headers],[Gas]], 0)</calculatedColumnFormula>
    </tableColumn>
    <tableColumn id="5" xr3:uid="{3A0B26F5-7F8E-4633-B799-B9F17383CD69}" name="Conversion factor">
      <calculatedColumnFormula array="1">Common_InputFunctions.Utility_DisplayArrayInTable(Common_SourceData.Common_SourceData_ConvertGasElementalToMolecular_Data(),Table_GasToMolecularConversionFactor[[#Headers],[Gas]], 0)</calculatedColumnFormula>
    </tableColumn>
    <tableColumn id="2" xr3:uid="{AF072F9B-4B19-411A-9998-A3D08C62C429}" name="Conversion factor 1">
      <calculatedColumnFormula array="1">Common_InputFunctions.Utility_DisplayArrayInTable(Common_SourceData.Common_SourceData_ConvertGasElementalToMolecular_Data(),Table_GasToMolecularConversionFactor[[#Headers],[Gas]], 0)</calculatedColumnFormula>
    </tableColumn>
    <tableColumn id="3" xr3:uid="{020CDD08-9BCA-4B6F-B811-FDAD125373BD}" name="Conversion factor 2">
      <calculatedColumnFormula array="1">Common_InputFunctions.Utility_DisplayArrayInTable(Common_SourceData.Common_SourceData_ConvertGasElementalToMolecular_Data(),Table_GasToMolecularConversionFactor[[#Headers],[Gas]], 0)</calculatedColumnFormula>
    </tableColumn>
    <tableColumn id="4" xr3:uid="{414E2E0C-882D-4C71-9209-12865667B0BE}"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9EC03F0C-FF22-407F-9796-8168294B5EEC}"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38BB8466-D7CA-45B4-AC88-D0751E36E8E6}"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4C1C41D4-653F-4E49-A6A7-F05E5236EF25}" name="MAT"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3" xr3:uid="{5379A94F-0EDF-4426-9BFA-DAED807DA7C1}" name="MAP"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4" xr3:uid="{E6A06D4F-4AAA-4F0C-A247-F00F53686281}" name="Frost days per year"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5" xr3:uid="{08EBF8F6-53FE-4006-A4C0-B098DC45673D}" name="Elevation"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6" xr3:uid="{BCB4110B-8D19-4649-B51F-2612B4C23752}" name="MAP:PET"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7" xr3:uid="{B42B2105-CFEB-4AEB-8E2F-43F80732FDA0}" name="Min temp"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8" xr3:uid="{B73F0F92-06DA-4E97-8F81-DF24FF23C6AE}" name="Max tem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9" xr3:uid="{CD8AF126-C330-4BBD-AEF8-CD0E4D054E3D}" name="Min rainfall"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10" xr3:uid="{532985AB-0B3A-47DF-B0D6-F257A88ADB07}" name="Max rainfall"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11" xr3:uid="{75116F98-219B-4E23-B88C-05E5BE44A8C8}" name="Min frost days"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15" xr3:uid="{EB3A0B83-1556-4A52-B561-F1C477FE82A3}" name="Max frost days"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12" xr3:uid="{A0C8EF52-24EB-49B7-A21E-AE71B166B735}" name="Min elevation"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16" xr3:uid="{3D0F61E1-59E6-4B05-80AC-67F9B04BF0B0}" name="Max elevation"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3" xr3:uid="{E1D367ED-4C69-451C-A4C2-A7D9D04C2C00}" name="Min MAP:PET"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7" xr3:uid="{A16257E5-CB70-4141-ADFC-9F07F40D4D6E}" name="Max MAP:PET" totalsRowDxfId="26"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3B1FBBD1-DF6D-4ABA-9661-65271F24FFF7}"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08989BD9-AEF4-497A-9908-F768654AAB37}"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0A19B872-FB37-48B8-9489-88BEBF884297}" name="Wet or Dry Zone" totalsRowDxfId="25"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35C3254F-969E-4F23-BFEE-B8B2D8E7D6CB}"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739EA7CD-71E1-4988-984B-15DB8D0DE01A}" name="Temperature Zone">
      <calculatedColumnFormula array="1">Common_InputFunctions.Utility_DisplayArrayInTable(Common_SourceData.Common_SourceData_TemperatureZones_Data(),Table_SourceData_TemperatureZones[[#Headers],[Temperature Zone]],0)</calculatedColumnFormula>
    </tableColumn>
    <tableColumn id="2" xr3:uid="{D9D81061-255F-491A-8C85-8C6425E90E49}" name="MAT">
      <calculatedColumnFormula array="1">Common_InputFunctions.Utility_DisplayArrayInTable(Common_SourceData.Common_SourceData_TemperatureZones_Data(),Table_SourceData_TemperatureZones[[#Headers],[Temperature Zone]],0)</calculatedColumnFormula>
    </tableColumn>
    <tableColumn id="3" xr3:uid="{116CB086-2F02-436C-BE8C-4F10687F05A2}" name="Min MAT">
      <calculatedColumnFormula array="1">Common_InputFunctions.Utility_DisplayArrayInTable(Common_SourceData.Common_SourceData_TemperatureZones_Data(),Table_SourceData_TemperatureZones[[#Headers],[Temperature Zone]],0)</calculatedColumnFormula>
    </tableColumn>
    <tableColumn id="4" xr3:uid="{175827B5-1C09-4025-B7A6-78EA00E8A220}"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D7E4EC19-12EC-4534-BA6E-FF6E8E989128}"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68236EFA-AD23-4F28-8BB9-36AD6FB48737}" name="Rainfall Zone">
      <calculatedColumnFormula array="1">Common_InputFunctions.Utility_DisplayArrayInTable(Common_SourceData.Common_SourceData_RainfallZones_Data(),Table_SourceData_RainfallZones[[#Headers],[Rainfall Zone]],0)</calculatedColumnFormula>
    </tableColumn>
    <tableColumn id="2" xr3:uid="{053CE2E4-656E-4DF0-80E9-713C86453636}" name="Annual rainfall">
      <calculatedColumnFormula array="1">Common_InputFunctions.Utility_DisplayArrayInTable(Common_SourceData.Common_SourceData_RainfallZones_Data(),Table_SourceData_RainfallZones[[#Headers],[Rainfall Zone]],0)</calculatedColumnFormula>
    </tableColumn>
    <tableColumn id="3" xr3:uid="{6ABAD44B-42E6-49C9-9D06-E4D927E3FC2D}" name="Min rainfall">
      <calculatedColumnFormula array="1">Common_InputFunctions.Utility_DisplayArrayInTable(Common_SourceData.Common_SourceData_RainfallZones_Data(),Table_SourceData_RainfallZones[[#Headers],[Rainfall Zone]],0)</calculatedColumnFormula>
    </tableColumn>
    <tableColumn id="4" xr3:uid="{8128E778-32A6-40F5-B3FF-A36C733C0FD2}"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2F183465-FC50-4283-BE83-5B1A778BA6BC}"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5258EA5E-29F0-4F71-9EF2-63A68C24D6E6}" name="Leaching Zone">
      <calculatedColumnFormula array="1">Common_InputFunctions.Utility_DisplayArrayInTable(Common_SourceData.Common_SourceData_LeachingZones_Data(), Table_SourceData_LeachingZones[[#Headers],[Leaching Zone]], 0)</calculatedColumnFormula>
    </tableColumn>
    <tableColumn id="2" xr3:uid="{16A007DF-3E06-4D5C-99FC-2FA1A74E7958}"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CAE32112-65CD-4D1B-A9A2-15A68D32007C}"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9CB32AE6-7894-4FCA-9F6C-07F05AB46621}" name="Data source">
      <calculatedColumnFormula array="1">Common_InputFunctions.Utility_DisplayArrayInTable(Common_SourceData.Common_SourceData_DataScores_Scope3_Data(), Table_SourceData_DataScores_Scope3[[#Headers],[Data source]], 0)</calculatedColumnFormula>
    </tableColumn>
    <tableColumn id="2" xr3:uid="{85604825-49E8-43B9-909C-18E46E7DEC29}"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672BBF5D-DA92-4264-AD9D-9F5CFFF15CAA}" name="Table_SourceData_FracWET" displayName="Table_SourceData_FracWET" ref="D134:E136" totalsRowShown="0">
  <autoFilter ref="D134:E136" xr:uid="{308E99BE-FE1F-47A4-B2CA-97217277C4E9}">
    <filterColumn colId="0" hiddenButton="1"/>
    <filterColumn colId="1" hiddenButton="1"/>
  </autoFilter>
  <tableColumns count="2">
    <tableColumn id="1" xr3:uid="{CF98DBD3-9591-417B-965C-0B525EC6DBAE}" name="Is in leaching zone">
      <calculatedColumnFormula array="1">Common_InputFunctions.Utility_DisplayArrayInTable(Common_SourceData.Common_SourceData_FracWET_Data(),Table_SourceData_FracWET[[#Headers],[Is in leaching zone]],0)</calculatedColumnFormula>
    </tableColumn>
    <tableColumn id="2" xr3:uid="{5336914D-9858-44A0-8BB8-74081214E619}" name="FracWET" dataDxfId="24">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A018488E-2D7D-439C-B8D2-56CA39859E5D}"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EA639D26-E0EC-42F1-AA33-B27EA51FDEC7}" name="Production system j">
      <calculatedColumnFormula array="1">Common_InputFunctions.Utility_DisplayArrayInTable(Common_SourceData.Common_SourceData_EFN2O_Data(), Table_SourceData_Common_EFN2O[[#Headers],[Production system j]], 0)</calculatedColumnFormula>
    </tableColumn>
    <tableColumn id="2" xr3:uid="{A9523266-7CD1-4931-9A5C-A497FD079104}" name="EFN2O">
      <calculatedColumnFormula array="1">Common_InputFunctions.Utility_DisplayArrayInTable(Common_SourceData.Common_SourceData_EFN2O_Data(), Table_SourceData_Common_EFN2O[[#Headers],[Production system j]], 0)</calculatedColumnFormula>
    </tableColumn>
    <tableColumn id="3" xr3:uid="{5D50F0E2-2A38-4AB7-9374-699B662BC3E8}" name="Production system only">
      <calculatedColumnFormula array="1">Common_InputFunctions.Utility_DisplayArrayInTable(Common_SourceData.Common_SourceData_EFN2O_Data(), Table_SourceData_Common_EFN2O[[#Headers],[Production system j]], 0)</calculatedColumnFormula>
    </tableColumn>
    <tableColumn id="4" xr3:uid="{00101D00-D208-4EC9-8026-CD6B2675535F}" name="Irrigation method">
      <calculatedColumnFormula array="1">Common_InputFunctions.Utility_DisplayArrayInTable(Common_SourceData.Common_SourceData_EFN2O_Data(), Table_SourceData_Common_EFN2O[[#Headers],[Production system j]], 0)</calculatedColumnFormula>
    </tableColumn>
    <tableColumn id="5" xr3:uid="{F756819C-2D33-45FF-B6CB-8674C3BC3A7B}"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A13356D3-62E2-43A6-B994-DF33A725CC92}"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82CF089F-9220-4CAC-9C36-4B26C49BA6D7}" name="Irrigation type i">
      <calculatedColumnFormula array="1">Common_InputFunctions.Utility_DisplayArrayInTable(Common_SourceData.Common_SourceData_FracWETIrrigation_Data(), Table_SourceData_FracWETIrrigation[[#Headers],[Irrigation type i]], 0)</calculatedColumnFormula>
    </tableColumn>
    <tableColumn id="2" xr3:uid="{F21CFD53-D797-4F63-871C-90B319E85125}" name="FracWET" dataDxfId="23"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C2BC3359-B887-4B92-BA60-37C0DF4B4828}"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E28C5760-728E-4EE9-AFCB-5C464A6A1273}"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F2F4118D-7FF1-4279-9E30-379764DA8CBD}" name="EFPRP" dataDxfId="22"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C27A6E9A-B90C-453F-809E-9BF272D1F902}"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3CB58693-2CD1-4651-AFBC-81E165DF5F4B}" name="Month">
      <calculatedColumnFormula array="1">Common_InputFunctions.Utility_DisplayArrayInTable(Common_SourceData.Common_SourceData_MonthsToSeasons_Data(), Table_SourceData_Common_MonthToSeason[[#Headers],[Month]], 0)</calculatedColumnFormula>
    </tableColumn>
    <tableColumn id="2" xr3:uid="{E2330CF6-9F69-47B0-88DB-D3C86E1928ED}" name="Season" dataDxfId="21"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63FDB8C6-8199-4079-A733-9CABFC45C778}"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E1F7059D-1B40-4000-8EBB-FAFE398EB870}"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DAEC9A89-0D07-41DF-86F4-B26E31E88835}" name="MAT (ºC)"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D6F91884-5AF4-447A-8520-68A37028F0F0}" name="Anaerobic lagoon"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25B15192-3151-43E0-97CA-541421A207F6}" name="Digester / covered lagoons"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1598F438-3373-4E2C-8BF3-CB86BAEB79C0}" name="Liquid systems"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DF6AD1AB-0114-4923-B5EF-4DCE74757E4C}" name="Daily spread"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1FD3FE3A-59E1-4EE8-A27D-E212869F1CAD}" name="Composting (passive windrow)"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16D44CDF-4B93-4D5F-BEC5-B67FBB794EB6}" name="Solid storage"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9FC413AF-8D15-4345-BAD0-EEE54875709E}" name="Pit storage"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B790608F-2E65-437F-8796-CC39216C5B45}" name="Deep litter"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D2EC7D1A-E957-4AB9-8493-A794424A2347}" name="Poultry manure with bedding"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C945446A-E7FC-48E3-9216-2B02178DD373}" name="Poultry manure without bedding"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EB0473E9-EA83-4451-9EFA-5B9B54991D93}" name="Direct processing"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F2C54652-DFAC-452A-8C36-450CDF488E63}" name="Direct application"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785298AB-9442-4C84-B82C-B84C6E9730EE}" name="Pasture range and paddock"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AB2CE94B-AD18-40F0-A08E-BDB803D88F8F}" name="MAT raw"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37485C14-9323-435F-B0B7-47C0D0D95379}"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41406DCD-6ABE-4B56-BF50-D3BC23E19416}"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971BCC44-6C22-4C4F-915C-2193AD5D8685}" name="EFNi &amp; EFN2Oi" dataDxfId="5"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D650809D-8099-4FBA-B745-76E447C33E18}" name="Table_SourceData_DataQuality_TemporalRepresentativeness" displayName="Table_SourceData_DataQuality_TemporalRepresentativeness" ref="D265:G270" totalsRowShown="0">
  <autoFilter ref="D265:G270" xr:uid="{9AD44602-D2F2-4D97-923C-A32E98F8C17A}">
    <filterColumn colId="0" hiddenButton="1"/>
    <filterColumn colId="1" hiddenButton="1"/>
    <filterColumn colId="2" hiddenButton="1"/>
    <filterColumn colId="3" hiddenButton="1"/>
  </autoFilter>
  <tableColumns count="4">
    <tableColumn id="4" xr3:uid="{FC6515F2-F743-4534-9BA5-E78D8E2F4021}" name="User friendly description" dataDxfId="4" dataCellStyle="Content normal"/>
    <tableColumn id="2" xr3:uid="{FB5C0130-8C56-4920-AC12-9A8601CC1D07}" name="Description" dataDxfId="3" dataCellStyle="Content normal"/>
    <tableColumn id="1" xr3:uid="{0A459D12-E751-4E2E-8CE5-4EF42557A83B}" name="ID"/>
    <tableColumn id="3" xr3:uid="{A0E1B015-C463-41C0-A994-92DCD94CC175}" name="Score"/>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2D28BB68-385A-4176-892F-EF130CB60F30}" name="Table_SourceData_DataQuality_SpatialRepresentativeness" displayName="Table_SourceData_DataQuality_SpatialRepresentativeness" ref="D274:G279" totalsRowShown="0">
  <autoFilter ref="D274:G279" xr:uid="{95094D65-3E0E-45CE-A3F4-F41E74C11901}">
    <filterColumn colId="0" hiddenButton="1"/>
    <filterColumn colId="1" hiddenButton="1"/>
    <filterColumn colId="2" hiddenButton="1"/>
    <filterColumn colId="3" hiddenButton="1"/>
  </autoFilter>
  <tableColumns count="4">
    <tableColumn id="4" xr3:uid="{84845BE1-D964-448F-8FDA-ADC321E2D81D}" name="User friendly description" dataDxfId="2" dataCellStyle="Content normal"/>
    <tableColumn id="1" xr3:uid="{34EC183C-370B-4DFE-9065-4F9ACAA38F60}" name="Description"/>
    <tableColumn id="2" xr3:uid="{107DA8AE-2247-4881-880C-EEBC8C15B8B3}" name="ID"/>
    <tableColumn id="3" xr3:uid="{AA26A711-CA9E-45E6-A092-5D0A4E1B94B8}" name="Score"/>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3011D9C8-D9BF-4EC1-8EE4-9FD3825918F4}" name="Table_SourceData_DataQuality_SampleSize" displayName="Table_SourceData_DataQuality_SampleSize" ref="D283:G288" totalsRowShown="0">
  <autoFilter ref="D283:G288" xr:uid="{DE8F748C-E65A-4AA2-81BB-D28A432CF334}">
    <filterColumn colId="0" hiddenButton="1"/>
    <filterColumn colId="1" hiddenButton="1"/>
    <filterColumn colId="2" hiddenButton="1"/>
    <filterColumn colId="3" hiddenButton="1"/>
  </autoFilter>
  <tableColumns count="4">
    <tableColumn id="4" xr3:uid="{BA922920-2934-4E0E-AE24-99194D9AB260}" name="User friendly description" dataDxfId="1" dataCellStyle="Content normal"/>
    <tableColumn id="1" xr3:uid="{BFFF9069-1343-490C-B526-48F6B2753CEC}" name="Description"/>
    <tableColumn id="2" xr3:uid="{BD5206D4-06B4-453B-8520-FEAEDFA43CF6}" name="ID"/>
    <tableColumn id="3" xr3:uid="{C6F41987-4496-4931-B11B-073A5D1BCE2E}" name="Score"/>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47FCB4AD-32D8-44C1-AD86-01B250CA056A}" name="Table_SourceData_DataQuality_Scope3" displayName="Table_SourceData_DataQuality_Scope3" ref="D292:G297" totalsRowShown="0">
  <autoFilter ref="D292:G297" xr:uid="{43A1C4DA-75D1-45DF-BA9A-1798C2CC5A4B}">
    <filterColumn colId="0" hiddenButton="1"/>
    <filterColumn colId="1" hiddenButton="1"/>
    <filterColumn colId="2" hiddenButton="1"/>
    <filterColumn colId="3" hiddenButton="1"/>
  </autoFilter>
  <tableColumns count="4">
    <tableColumn id="4" xr3:uid="{A94E71AD-9B2C-4435-97A1-F274F1BE2322}" name="User friendly description" dataDxfId="0" dataCellStyle="Content normal"/>
    <tableColumn id="1" xr3:uid="{A275EC0A-2497-4B55-93B7-86FE5C31EA4B}" name="Description"/>
    <tableColumn id="2" xr3:uid="{040B03E7-03D1-4742-A40A-05FC6DF73B1F}" name="ID"/>
    <tableColumn id="3" xr3:uid="{3189ACBE-E25E-4F4A-A8F4-71E3D4EB3829}" name="Score"/>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6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3" Type="http://schemas.openxmlformats.org/officeDocument/2006/relationships/table" Target="../tables/table5.xml"/><Relationship Id="rId7" Type="http://schemas.openxmlformats.org/officeDocument/2006/relationships/table" Target="../tables/table9.xml"/><Relationship Id="rId2" Type="http://schemas.openxmlformats.org/officeDocument/2006/relationships/table" Target="../tables/table4.xml"/><Relationship Id="rId1" Type="http://schemas.openxmlformats.org/officeDocument/2006/relationships/table" Target="../tables/table3.xml"/><Relationship Id="rId6" Type="http://schemas.openxmlformats.org/officeDocument/2006/relationships/table" Target="../tables/table8.xml"/><Relationship Id="rId5" Type="http://schemas.openxmlformats.org/officeDocument/2006/relationships/table" Target="../tables/table7.xml"/><Relationship Id="rId4" Type="http://schemas.openxmlformats.org/officeDocument/2006/relationships/table" Target="../tables/table6.xml"/></Relationships>
</file>

<file path=xl/worksheets/_rels/sheet9.xml.rels><?xml version="1.0" encoding="UTF-8" standalone="yes"?>
<Relationships xmlns="http://schemas.openxmlformats.org/package/2006/relationships"><Relationship Id="rId8" Type="http://schemas.openxmlformats.org/officeDocument/2006/relationships/table" Target="../tables/table16.xml"/><Relationship Id="rId13" Type="http://schemas.openxmlformats.org/officeDocument/2006/relationships/table" Target="../tables/table21.xml"/><Relationship Id="rId18" Type="http://schemas.openxmlformats.org/officeDocument/2006/relationships/table" Target="../tables/table26.xml"/><Relationship Id="rId3" Type="http://schemas.openxmlformats.org/officeDocument/2006/relationships/table" Target="../tables/table11.xml"/><Relationship Id="rId21" Type="http://schemas.openxmlformats.org/officeDocument/2006/relationships/table" Target="../tables/table29.xml"/><Relationship Id="rId7" Type="http://schemas.openxmlformats.org/officeDocument/2006/relationships/table" Target="../tables/table15.xml"/><Relationship Id="rId12" Type="http://schemas.openxmlformats.org/officeDocument/2006/relationships/table" Target="../tables/table20.xml"/><Relationship Id="rId17" Type="http://schemas.openxmlformats.org/officeDocument/2006/relationships/table" Target="../tables/table25.xml"/><Relationship Id="rId2" Type="http://schemas.openxmlformats.org/officeDocument/2006/relationships/table" Target="../tables/table10.xml"/><Relationship Id="rId16" Type="http://schemas.openxmlformats.org/officeDocument/2006/relationships/table" Target="../tables/table24.xml"/><Relationship Id="rId20" Type="http://schemas.openxmlformats.org/officeDocument/2006/relationships/table" Target="../tables/table28.xml"/><Relationship Id="rId1" Type="http://schemas.openxmlformats.org/officeDocument/2006/relationships/printerSettings" Target="../printerSettings/printerSettings2.bin"/><Relationship Id="rId6" Type="http://schemas.openxmlformats.org/officeDocument/2006/relationships/table" Target="../tables/table14.xml"/><Relationship Id="rId11" Type="http://schemas.openxmlformats.org/officeDocument/2006/relationships/table" Target="../tables/table19.xml"/><Relationship Id="rId5" Type="http://schemas.openxmlformats.org/officeDocument/2006/relationships/table" Target="../tables/table13.xml"/><Relationship Id="rId15" Type="http://schemas.openxmlformats.org/officeDocument/2006/relationships/table" Target="../tables/table23.xml"/><Relationship Id="rId10" Type="http://schemas.openxmlformats.org/officeDocument/2006/relationships/table" Target="../tables/table18.xml"/><Relationship Id="rId19" Type="http://schemas.openxmlformats.org/officeDocument/2006/relationships/table" Target="../tables/table27.xml"/><Relationship Id="rId4" Type="http://schemas.openxmlformats.org/officeDocument/2006/relationships/table" Target="../tables/table12.xml"/><Relationship Id="rId9" Type="http://schemas.openxmlformats.org/officeDocument/2006/relationships/table" Target="../tables/table17.xml"/><Relationship Id="rId14" Type="http://schemas.openxmlformats.org/officeDocument/2006/relationships/table" Target="../tables/table22.xml"/><Relationship Id="rId22" Type="http://schemas.openxmlformats.org/officeDocument/2006/relationships/table" Target="../tables/table3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sheetPr>
    <tabColor rgb="FF0C769E"/>
  </sheetPr>
  <dimension ref="A1:A8"/>
  <sheetViews>
    <sheetView zoomScaleNormal="100" workbookViewId="0"/>
  </sheetViews>
  <sheetFormatPr defaultRowHeight="15" x14ac:dyDescent="0.25"/>
  <sheetData>
    <row r="1" spans="1:1" x14ac:dyDescent="0.25">
      <c r="A1" t="s">
        <v>0</v>
      </c>
    </row>
    <row r="3" spans="1:1" x14ac:dyDescent="0.25">
      <c r="A3" s="86" t="str">
        <f>HYPERLINK("#'Home'!A1", "Home")</f>
        <v>Home</v>
      </c>
    </row>
    <row r="6" spans="1:1" x14ac:dyDescent="0.25">
      <c r="A6" s="87" t="s">
        <v>2</v>
      </c>
    </row>
    <row r="7" spans="1:1" ht="15.75" x14ac:dyDescent="0.25">
      <c r="A7" s="5" t="str">
        <f>HYPERLINK("#'Constants - Common'!A1", "Constants - Common")</f>
        <v>Constants - Common</v>
      </c>
    </row>
    <row r="8" spans="1:1" ht="15.75" x14ac:dyDescent="0.25">
      <c r="A8" s="5"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tabColor rgb="FF0C769E"/>
    <pageSetUpPr autoPageBreaks="0"/>
  </sheetPr>
  <dimension ref="A1:K75"/>
  <sheetViews>
    <sheetView showGridLines="0" topLeftCell="A20" zoomScaleNormal="100" workbookViewId="0">
      <selection activeCell="I9" sqref="I9"/>
    </sheetView>
  </sheetViews>
  <sheetFormatPr defaultRowHeight="15.75" x14ac:dyDescent="0.25"/>
  <cols>
    <col min="1" max="1" width="30.7109375" customWidth="1"/>
    <col min="2" max="2" width="2.7109375" customWidth="1"/>
    <col min="3" max="3" width="2.7109375" style="1" customWidth="1"/>
    <col min="4" max="4" width="78.42578125" style="1" customWidth="1"/>
    <col min="5" max="10" width="30.7109375" style="1" customWidth="1"/>
    <col min="11" max="11" width="7.42578125" style="1" customWidth="1"/>
    <col min="12" max="26" width="28.7109375" customWidth="1"/>
  </cols>
  <sheetData>
    <row r="1" spans="1:11" s="11" customFormat="1" ht="30" customHeight="1" x14ac:dyDescent="0.35">
      <c r="A1" s="11" t="e" vm="1">
        <v>#VALUE!</v>
      </c>
      <c r="C1" s="94" t="s">
        <v>280</v>
      </c>
      <c r="D1" s="94"/>
      <c r="E1" s="94"/>
      <c r="F1" s="94"/>
      <c r="G1" s="94"/>
      <c r="H1" s="94"/>
      <c r="I1" s="94"/>
      <c r="J1" s="94"/>
      <c r="K1" s="94"/>
    </row>
    <row r="2" spans="1:11" s="3" customFormat="1" ht="20.100000000000001" customHeight="1" x14ac:dyDescent="0.25"/>
    <row r="3" spans="1:11" ht="20.100000000000001" customHeight="1" x14ac:dyDescent="0.25">
      <c r="A3" s="5" t="str">
        <f>HYPERLINK("#'Home'!A1", "Home")</f>
        <v>Home</v>
      </c>
    </row>
    <row r="4" spans="1:11" ht="20.100000000000001" customHeight="1" x14ac:dyDescent="0.25">
      <c r="A4" s="5" t="str">
        <f>HYPERLINK("#'Results'!A1", "Results")</f>
        <v>Results</v>
      </c>
      <c r="D4" s="2" t="str">
        <f>"Emissions breakdown for activities running between " &amp; TEXT(X_Cell_Site_StartDate, "d mmmm yyyy") &amp; " and " &amp; TEXT(X_Cell_Site_EndDate, "d mmmm yyyy")</f>
        <v>Emissions breakdown for activities running between 1 January 2024 and 31 December 2024</v>
      </c>
    </row>
    <row r="5" spans="1:11" ht="20.100000000000001" customHeight="1" x14ac:dyDescent="0.25">
      <c r="A5" s="4"/>
    </row>
    <row r="6" spans="1:11" ht="20.100000000000001" customHeight="1" x14ac:dyDescent="0.25">
      <c r="A6" s="8" t="s">
        <v>1</v>
      </c>
      <c r="D6" s="80" t="s">
        <v>297</v>
      </c>
    </row>
    <row r="7" spans="1:11" ht="20.100000000000001" customHeight="1" x14ac:dyDescent="0.25">
      <c r="A7" s="5" t="str">
        <f>HYPERLINK("#'Input - Site'!A1", "Site")</f>
        <v>Site</v>
      </c>
    </row>
    <row r="8" spans="1:11" ht="20.100000000000001" customHeight="1" x14ac:dyDescent="0.25">
      <c r="A8" s="5" t="str">
        <f>HYPERLINK("#'Input - Pasture Beef'!A1", "Pasture Beef")</f>
        <v>Pasture Beef</v>
      </c>
      <c r="D8" s="12" t="s">
        <v>4</v>
      </c>
      <c r="E8" s="12" t="s">
        <v>8</v>
      </c>
      <c r="F8" s="12" t="s">
        <v>9</v>
      </c>
      <c r="G8" s="12" t="s">
        <v>5</v>
      </c>
      <c r="H8" s="12" t="s">
        <v>10</v>
      </c>
      <c r="I8" s="12" t="s">
        <v>11</v>
      </c>
      <c r="J8" s="12"/>
    </row>
    <row r="9" spans="1:11" ht="20.100000000000001" customHeight="1" x14ac:dyDescent="0.25">
      <c r="A9" s="5"/>
      <c r="D9" s="1" t="s">
        <v>147</v>
      </c>
      <c r="E9" s="1" t="e" cm="1">
        <f t="array" ref="E9">VEERG_3_2_1_1__1_TotalAnnualMethaneFromEntericFermentation_Result_Method1</f>
        <v>#NAME?</v>
      </c>
      <c r="F9" s="1" t="e" cm="1">
        <f t="array" ref="F9">VEERG_3_2_1_1__1_TotalAnnualMethaneFromEntericFermentation_Result_Method2</f>
        <v>#NAME?</v>
      </c>
      <c r="G9" s="10" t="s">
        <v>6</v>
      </c>
      <c r="H9" s="1" t="e" cm="1">
        <f t="array" ref="H9">Common_Equations.Common_ConvertCH4ToCO2e(E9,_xlfn.XLOOKUP("CH4", Table_GWPData[Gas],Table_GWPData[CO2-e factor]))</f>
        <v>#NAME?</v>
      </c>
      <c r="I9" s="1" t="e" cm="1">
        <f t="array" ref="I9">Common_Equations.Common_ConvertCH4ToCO2e(F9,_xlfn.XLOOKUP("CH4", Table_GWPData[Gas],Table_GWPData[CO2-e factor]))</f>
        <v>#NAME?</v>
      </c>
      <c r="J9" s="10" t="s">
        <v>7</v>
      </c>
    </row>
    <row r="10" spans="1:11" ht="20.100000000000001" customHeight="1" x14ac:dyDescent="0.25">
      <c r="A10" s="7" t="s">
        <v>3</v>
      </c>
      <c r="D10" s="1" t="s">
        <v>12</v>
      </c>
      <c r="E10" s="1" t="e" cm="1">
        <f t="array" ref="E10">VEERG_4_2_1_1__1_TotalAnnualMethaneProductionFromManureManagement_Result_Method1</f>
        <v>#NAME?</v>
      </c>
      <c r="F10" s="1" t="e" cm="1">
        <f t="array" ref="F10">VEERG_4_2_1_1__1_TotalAnnualMethaneProductionFromManureManagement_Result_Method2</f>
        <v>#NAME?</v>
      </c>
      <c r="G10" s="10" t="s">
        <v>6</v>
      </c>
      <c r="H10" s="1" t="e" cm="1">
        <f t="array" ref="H10">Common_Equations.Common_ConvertCH4ToCO2e(E10,_xlfn.XLOOKUP("CH4", Table_GWPData[Gas],Table_GWPData[CO2-e factor]))</f>
        <v>#NAME?</v>
      </c>
      <c r="I10" s="1" t="e" cm="1">
        <f t="array" ref="I10">Common_Equations.Common_ConvertCH4ToCO2e(F10,_xlfn.XLOOKUP("CH4", Table_GWPData[Gas],Table_GWPData[CO2-e factor]))</f>
        <v>#NAME?</v>
      </c>
      <c r="J10" s="10" t="s">
        <v>7</v>
      </c>
    </row>
    <row r="11" spans="1:11" ht="20.100000000000001" customHeight="1" x14ac:dyDescent="0.25">
      <c r="A11" s="5" t="str">
        <f>HYPERLINK("#'4.2.1.1-2 Methane'!A1", "4.2.1.1-2 Methane")</f>
        <v>4.2.1.1-2 Methane</v>
      </c>
      <c r="D11" s="1" t="s">
        <v>14</v>
      </c>
      <c r="E11" s="1" t="e" cm="1">
        <f t="array" ref="E11">VEERG_4_2_1_3__1_DirectNitrousOxideEmissionsOnPasture_Result_Method1</f>
        <v>#NAME?</v>
      </c>
      <c r="F11" s="1" t="e" cm="1">
        <f t="array" ref="F11">VEERG_4_2_1_3__1_DirectNitrousOxideEmissionsOnPasture_Result_Method2</f>
        <v>#NAME?</v>
      </c>
      <c r="G11" s="10" t="s">
        <v>13</v>
      </c>
      <c r="H11" s="1" t="e" cm="1">
        <f t="array" ref="H11">Common_Equations.Common_ConvertN2OToCO2e(E11,_xlfn.XLOOKUP("N2O", Table_GWPData[Gas],Table_GWPData[CO2-e factor]))</f>
        <v>#NAME?</v>
      </c>
      <c r="I11" s="1" t="e" cm="1">
        <f t="array" ref="I11">Common_Equations.Common_ConvertN2OToCO2e(F11,_xlfn.XLOOKUP("N2O", Table_GWPData[Gas],Table_GWPData[CO2-e factor]))</f>
        <v>#NAME?</v>
      </c>
      <c r="J11" s="10" t="s">
        <v>7</v>
      </c>
    </row>
    <row r="12" spans="1:11" ht="20.100000000000001" customHeight="1" x14ac:dyDescent="0.25">
      <c r="A12" s="5" t="str">
        <f>HYPERLINK("#'4.2.1.3-4 Soil direct N2O'!A1", "4.2.1.3-4 Soil direct N2O")</f>
        <v>4.2.1.3-4 Soil direct N2O</v>
      </c>
      <c r="D12" s="1" t="s">
        <v>15</v>
      </c>
      <c r="E12" s="1" t="e" cm="1">
        <f t="array" ref="E12">VEERG_4_2_1_5__1_AtmosphericDepositionEmissionsFromUrineAndDungOnPasture_Result_Method1</f>
        <v>#NAME?</v>
      </c>
      <c r="F12" s="1" t="e" cm="1">
        <f t="array" ref="F12">VEERG_4_2_1_5__1_AtmosphericDepositionEmissionsFromUrineAndDungOnPasture_Result_Method2</f>
        <v>#NAME?</v>
      </c>
      <c r="G12" s="10" t="s">
        <v>13</v>
      </c>
      <c r="H12" s="1" t="e" cm="1">
        <f t="array" ref="H12">Common_Equations.Common_ConvertN2OToCO2e(E12,_xlfn.XLOOKUP("N2O", Table_GWPData[Gas],Table_GWPData[CO2-e factor]))</f>
        <v>#NAME?</v>
      </c>
      <c r="I12" s="1" t="e" cm="1">
        <f t="array" ref="I12">Common_Equations.Common_ConvertN2OToCO2e(F12,_xlfn.XLOOKUP("N2O", Table_GWPData[Gas],Table_GWPData[CO2-e factor]))</f>
        <v>#NAME?</v>
      </c>
      <c r="J12" s="10" t="s">
        <v>7</v>
      </c>
    </row>
    <row r="13" spans="1:11" ht="20.100000000000001" customHeight="1" x14ac:dyDescent="0.25">
      <c r="A13" s="5" t="str">
        <f>HYPERLINK("#'4.2.1.5-6 Soil Atmos Dep'!A1", "4.2.1.5-6 Soil atm. deposition")</f>
        <v>4.2.1.5-6 Soil atm. deposition</v>
      </c>
      <c r="D13" s="1" t="s">
        <v>16</v>
      </c>
      <c r="E13" s="1" t="e" cm="1">
        <f t="array" ref="E13">VEERG_4_2_1_7__1_LeachingAndRunoffEmissionsFromUrineAndDungOnPasture_Result_Method1</f>
        <v>#NAME?</v>
      </c>
      <c r="F13" s="1" t="e" cm="1">
        <f t="array" ref="F13">VEERG_4_2_1_7__1_LeachingAndRunoffEmissionsFromUrineAndDungOnPasture_Result_Method2</f>
        <v>#NAME?</v>
      </c>
      <c r="G13" s="10" t="s">
        <v>13</v>
      </c>
      <c r="H13" s="1" t="e" cm="1">
        <f t="array" ref="H13">Common_Equations.Common_ConvertN2OToCO2e(E13,_xlfn.XLOOKUP("N2O", Table_GWPData[Gas],Table_GWPData[CO2-e factor]))</f>
        <v>#NAME?</v>
      </c>
      <c r="I13" s="1" t="e" cm="1">
        <f t="array" ref="I13">Common_Equations.Common_ConvertN2OToCO2e(F13,_xlfn.XLOOKUP("N2O", Table_GWPData[Gas],Table_GWPData[CO2-e factor]))</f>
        <v>#NAME?</v>
      </c>
      <c r="J13" s="10" t="s">
        <v>7</v>
      </c>
    </row>
    <row r="14" spans="1:11" ht="20.100000000000001" customHeight="1" x14ac:dyDescent="0.25">
      <c r="A14" s="5" t="str">
        <f>HYPERLINK("#'4.2.1.7-8 Soil leach runoff'!A1", "4.2.1.7-8 Soil leach &amp; runoff")</f>
        <v>4.2.1.7-8 Soil leach &amp; runoff</v>
      </c>
      <c r="D14" s="1" t="s">
        <v>148</v>
      </c>
      <c r="E14" s="1" t="e" cm="1">
        <f t="array" ref="E14">VEERG_5_1_1_1__1_InorganicFertiliserApplicationN2OEmissions_Result_Method1</f>
        <v>#NAME?</v>
      </c>
      <c r="F14" s="1" t="e" cm="1">
        <f t="array" ref="F14">VEERG_5_1_1_1__1_InorganicFertiliserApplicationN2OEmissions_Result_Method2</f>
        <v>#NAME?</v>
      </c>
      <c r="G14" s="10" t="s">
        <v>13</v>
      </c>
      <c r="H14" s="1" t="e" cm="1">
        <f t="array" ref="H14">Common_Equations.Common_ConvertN2OToCO2e(E14,_xlfn.XLOOKUP("N2O", Table_GWPData[Gas],Table_GWPData[CO2-e factor]))</f>
        <v>#NAME?</v>
      </c>
      <c r="I14" s="1" t="e" cm="1">
        <f t="array" ref="I14">Common_Equations.Common_ConvertN2OToCO2e(F14,_xlfn.XLOOKUP("N2O", Table_GWPData[Gas],Table_GWPData[CO2-e factor]))</f>
        <v>#NAME?</v>
      </c>
      <c r="J14" s="10" t="s">
        <v>7</v>
      </c>
    </row>
    <row r="15" spans="1:11" ht="20.100000000000001" customHeight="1" x14ac:dyDescent="0.25">
      <c r="A15" s="5"/>
      <c r="D15" s="1" t="s">
        <v>149</v>
      </c>
      <c r="E15" s="1" t="e" cm="1">
        <f t="array" ref="E15">VEERG_5_1_1_3__1_InorganicFertiliserApplicationCO2Emissions_Result_Method1</f>
        <v>#NAME?</v>
      </c>
      <c r="F15" s="1" t="e">
        <f>E15</f>
        <v>#NAME?</v>
      </c>
      <c r="G15" s="10" t="s">
        <v>139</v>
      </c>
      <c r="H15" s="1" t="e">
        <f>E15</f>
        <v>#NAME?</v>
      </c>
      <c r="I15" s="1" t="e">
        <f>F15</f>
        <v>#NAME?</v>
      </c>
      <c r="J15" s="10" t="s">
        <v>7</v>
      </c>
    </row>
    <row r="16" spans="1:11" ht="20.100000000000001" customHeight="1" x14ac:dyDescent="0.25">
      <c r="A16" s="6" t="s">
        <v>2</v>
      </c>
      <c r="D16" s="1" t="s">
        <v>150</v>
      </c>
      <c r="E16" s="1" t="e" cm="1">
        <f t="array" ref="E16">VEERG_5_2_1_1__2_MassOfNitrogenInOrganicFertiliser_Result_Method1</f>
        <v>#NAME?</v>
      </c>
      <c r="F16" s="1" t="e">
        <f>E16</f>
        <v>#NAME?</v>
      </c>
      <c r="G16" s="10" t="s">
        <v>13</v>
      </c>
      <c r="H16" s="1" t="e" cm="1">
        <f t="array" ref="H16">Common_Equations.Common_ConvertN2OToCO2e(E16,_xlfn.XLOOKUP("N2O", Table_GWPData[Gas],Table_GWPData[CO2-e factor]))</f>
        <v>#NAME?</v>
      </c>
      <c r="I16" s="1" t="e" cm="1">
        <f t="array" ref="I16">Common_Equations.Common_ConvertN2OToCO2e(F16,_xlfn.XLOOKUP("N2O", Table_GWPData[Gas],Table_GWPData[CO2-e factor]))</f>
        <v>#NAME?</v>
      </c>
      <c r="J16" s="10" t="s">
        <v>7</v>
      </c>
    </row>
    <row r="17" spans="1:10" ht="20.100000000000001" customHeight="1" x14ac:dyDescent="0.25">
      <c r="A17" s="5" t="str">
        <f>HYPERLINK("#'Constants - Pasture Beef'!A1", "Constants - Pasture Beef")</f>
        <v>Constants - Pasture Beef</v>
      </c>
      <c r="D17" s="1" t="s">
        <v>151</v>
      </c>
      <c r="E17" s="1" t="e" cm="1">
        <f t="array" ref="E17">VEERG_5_3_1_1__1_LimeApplicationCO2Emissions_Result_Method1</f>
        <v>#NAME?</v>
      </c>
      <c r="F17" s="1" t="e">
        <f>E17</f>
        <v>#NAME?</v>
      </c>
      <c r="G17" s="10" t="s">
        <v>139</v>
      </c>
      <c r="H17" s="1" t="e">
        <f>E17</f>
        <v>#NAME?</v>
      </c>
      <c r="I17" s="1" t="e">
        <f>F17</f>
        <v>#NAME?</v>
      </c>
      <c r="J17" s="10" t="s">
        <v>7</v>
      </c>
    </row>
    <row r="18" spans="1:10" ht="20.100000000000001" customHeight="1" x14ac:dyDescent="0.25">
      <c r="A18" s="5" t="str">
        <f>HYPERLINK("#'Constants - Livestock'!A1", "Constants - Livestock")</f>
        <v>Constants - Livestock</v>
      </c>
      <c r="D18" s="1" t="s">
        <v>152</v>
      </c>
      <c r="E18" s="1" t="e" cm="1">
        <f t="array" ref="E18">VEERG_5_4_1_3__1_OrganicFertiliserAtmosphericDepositionN2OEmissions_Result_Method1</f>
        <v>#NAME?</v>
      </c>
      <c r="F18" s="1" t="e">
        <f>E18</f>
        <v>#NAME?</v>
      </c>
      <c r="G18" s="10" t="s">
        <v>13</v>
      </c>
      <c r="H18" s="1" t="e" cm="1">
        <f t="array" ref="H18">Common_Equations.Common_ConvertN2OToCO2e(E18,_xlfn.XLOOKUP("N2O", Table_GWPData[Gas],Table_GWPData[CO2-e factor]))</f>
        <v>#NAME?</v>
      </c>
      <c r="I18" s="1" t="e" cm="1">
        <f t="array" ref="I18">Common_Equations.Common_ConvertN2OToCO2e(F18,_xlfn.XLOOKUP("N2O", Table_GWPData[Gas],Table_GWPData[CO2-e factor]))</f>
        <v>#NAME?</v>
      </c>
      <c r="J18" s="10" t="s">
        <v>7</v>
      </c>
    </row>
    <row r="19" spans="1:10" ht="20.100000000000001" customHeight="1" x14ac:dyDescent="0.25">
      <c r="A19" s="5" t="str">
        <f>HYPERLINK("#'Constants - Common'!A1", "Constants - Common")</f>
        <v>Constants - Common</v>
      </c>
      <c r="D19" s="1" t="s">
        <v>153</v>
      </c>
      <c r="E19" s="1" t="e" cm="1">
        <f t="array" ref="E19">VEERG_5_5_1_1__1_FertiliserLeachingAndRunoffN2OEmissions_result_Method1</f>
        <v>#NAME?</v>
      </c>
      <c r="F19" s="1" t="e">
        <f>E19</f>
        <v>#NAME?</v>
      </c>
      <c r="G19" s="10" t="s">
        <v>13</v>
      </c>
      <c r="H19" s="1" t="e" cm="1">
        <f t="array" ref="H19">Common_Equations.Common_ConvertN2OToCO2e(E19,_xlfn.XLOOKUP("N2O", Table_GWPData[Gas],Table_GWPData[CO2-e factor]))</f>
        <v>#NAME?</v>
      </c>
      <c r="I19" s="1" t="e" cm="1">
        <f t="array" ref="I19">Common_Equations.Common_ConvertN2OToCO2e(F19,_xlfn.XLOOKUP("N2O", Table_GWPData[Gas],Table_GWPData[CO2-e factor]))</f>
        <v>#NAME?</v>
      </c>
      <c r="J19" s="10" t="s">
        <v>7</v>
      </c>
    </row>
    <row r="20" spans="1:10" ht="20.100000000000001" customHeight="1" x14ac:dyDescent="0.25">
      <c r="A20" s="5" t="str">
        <f>HYPERLINK("#'Acknowledgements'!A1", "Acknowledgements")</f>
        <v>Acknowledgements</v>
      </c>
      <c r="D20" s="1" t="s">
        <v>154</v>
      </c>
      <c r="E20" s="1" t="e" cm="1">
        <f t="array" ref="E20">VEERG_6_2_1_1__1__NitrousOxideEmissionsFromPastureResidues_Result_Method1</f>
        <v>#NAME?</v>
      </c>
      <c r="F20" s="1" t="e" cm="1">
        <f t="array" ref="F20">VEERG_6_2_1_1__1__NitrousOxideEmissionsFromPastureResidues_Result_Method2</f>
        <v>#NAME?</v>
      </c>
      <c r="G20" s="10" t="s">
        <v>13</v>
      </c>
      <c r="H20" s="1" t="e" cm="1">
        <f t="array" ref="H20">Common_Equations.Common_ConvertN2OToCO2e(E20,_xlfn.XLOOKUP("N2O", Table_GWPData[Gas],Table_GWPData[CO2-e factor]))</f>
        <v>#NAME?</v>
      </c>
      <c r="I20" s="1" t="e" cm="1">
        <f t="array" ref="I20">Common_Equations.Common_ConvertN2OToCO2e(F20,_xlfn.XLOOKUP("N2O", Table_GWPData[Gas],Table_GWPData[CO2-e factor]))</f>
        <v>#NAME?</v>
      </c>
      <c r="J20" s="10" t="s">
        <v>7</v>
      </c>
    </row>
    <row r="21" spans="1:10" ht="20.100000000000001" customHeight="1" x14ac:dyDescent="0.25">
      <c r="D21" s="1" t="s">
        <v>155</v>
      </c>
      <c r="E21" s="1" t="e" cm="1">
        <f t="array" ref="E21">VEERG_6_3_1_1__1__LeachingAndRunoffEmissionsCropAndPastureResidue_PastureOnly_Result_Method1</f>
        <v>#NAME?</v>
      </c>
      <c r="F21" s="1" t="e" cm="1">
        <f t="array" ref="F21">VEERG_6_3_1_1__1__LeachingAndRunoffEmissionsCropAndPastureResidue_PastureOnly_Result_Method2</f>
        <v>#NAME?</v>
      </c>
      <c r="G21" s="10" t="s">
        <v>13</v>
      </c>
      <c r="H21" s="1" t="e" cm="1">
        <f t="array" ref="H21">Common_Equations.Common_ConvertN2OToCO2e(E21,_xlfn.XLOOKUP("N2O", Table_GWPData[Gas],Table_GWPData[CO2-e factor]))</f>
        <v>#NAME?</v>
      </c>
      <c r="I21" s="1" t="e" cm="1">
        <f t="array" ref="I21">Common_Equations.Common_ConvertN2OToCO2e(F21,_xlfn.XLOOKUP("N2O", Table_GWPData[Gas],Table_GWPData[CO2-e factor]))</f>
        <v>#NAME?</v>
      </c>
      <c r="J21" s="10" t="s">
        <v>7</v>
      </c>
    </row>
    <row r="22" spans="1:10" ht="20.100000000000001" customHeight="1" x14ac:dyDescent="0.25">
      <c r="A22" s="5"/>
      <c r="D22" s="1" t="s">
        <v>156</v>
      </c>
      <c r="E22" s="1" t="e" cm="1">
        <f t="array" ref="E22">VEERG_8_1_1_1__1_FuelCombustionTransport_Result_CO2</f>
        <v>#NAME?</v>
      </c>
      <c r="F22" s="1" t="e">
        <f>E22</f>
        <v>#NAME?</v>
      </c>
      <c r="G22" s="10" t="s">
        <v>139</v>
      </c>
      <c r="H22" s="1" t="e">
        <f>E22</f>
        <v>#NAME?</v>
      </c>
      <c r="I22" s="1" t="e">
        <f>F22</f>
        <v>#NAME?</v>
      </c>
      <c r="J22" s="10" t="s">
        <v>7</v>
      </c>
    </row>
    <row r="23" spans="1:10" ht="20.100000000000001" customHeight="1" x14ac:dyDescent="0.25">
      <c r="A23" s="5"/>
      <c r="D23" s="1" t="s">
        <v>158</v>
      </c>
      <c r="E23" s="1" t="e" cm="1">
        <f t="array" ref="E23">VEERG_8_1_1_1__1_FuelCombustionTransport_Result_CH4</f>
        <v>#NAME?</v>
      </c>
      <c r="F23" s="1" t="e">
        <f>E23</f>
        <v>#NAME?</v>
      </c>
      <c r="G23" s="10" t="s">
        <v>6</v>
      </c>
      <c r="H23" s="1" t="e" cm="1">
        <f t="array" ref="H23">Common_Equations.Common_ConvertCH4ToCO2e(E23,_xlfn.XLOOKUP("CH4", Table_GWPData[Gas],Table_GWPData[CO2-e factor]))</f>
        <v>#NAME?</v>
      </c>
      <c r="I23" s="1" t="e" cm="1">
        <f t="array" ref="I23">Common_Equations.Common_ConvertCH4ToCO2e(F23,_xlfn.XLOOKUP("CH4", Table_GWPData[Gas],Table_GWPData[CO2-e factor]))</f>
        <v>#NAME?</v>
      </c>
      <c r="J23" s="10" t="s">
        <v>7</v>
      </c>
    </row>
    <row r="24" spans="1:10" ht="20.100000000000001" customHeight="1" x14ac:dyDescent="0.25">
      <c r="A24" s="5"/>
      <c r="D24" s="1" t="s">
        <v>157</v>
      </c>
      <c r="E24" s="1" t="e" cm="1">
        <f t="array" ref="E24">VEERG_8_1_1_1__1_FuelCombustionTransport_Result_N2O</f>
        <v>#NAME?</v>
      </c>
      <c r="F24" s="1" t="e">
        <f>E24</f>
        <v>#NAME?</v>
      </c>
      <c r="G24" s="10" t="s">
        <v>13</v>
      </c>
      <c r="H24" s="1" t="e" cm="1">
        <f t="array" ref="H24">Common_Equations.Common_ConvertN2OToCO2e(E24,_xlfn.XLOOKUP("N2O", Table_GWPData[Gas],Table_GWPData[CO2-e factor]))</f>
        <v>#NAME?</v>
      </c>
      <c r="I24" s="1" t="e" cm="1">
        <f t="array" ref="I24">Common_Equations.Common_ConvertN2OToCO2e(F24,_xlfn.XLOOKUP("N2O", Table_GWPData[Gas],Table_GWPData[CO2-e factor]))</f>
        <v>#NAME?</v>
      </c>
      <c r="J24" s="10" t="s">
        <v>7</v>
      </c>
    </row>
    <row r="25" spans="1:10" ht="20.100000000000001" customHeight="1" x14ac:dyDescent="0.25">
      <c r="D25" s="1" t="s">
        <v>159</v>
      </c>
      <c r="E25" s="1" t="e" cm="1">
        <f t="array" ref="E25">VEERG_8_2_1_1__1_FuelCombustionStationary_Result_CO2</f>
        <v>#NAME?</v>
      </c>
      <c r="F25" s="1" t="e">
        <f>E25</f>
        <v>#NAME?</v>
      </c>
      <c r="G25" s="10" t="s">
        <v>139</v>
      </c>
      <c r="H25" s="1" t="e">
        <f>E25</f>
        <v>#NAME?</v>
      </c>
      <c r="I25" s="1" t="e">
        <f>F25</f>
        <v>#NAME?</v>
      </c>
      <c r="J25" s="10" t="s">
        <v>7</v>
      </c>
    </row>
    <row r="26" spans="1:10" ht="20.100000000000001" customHeight="1" x14ac:dyDescent="0.25">
      <c r="D26" s="1" t="s">
        <v>160</v>
      </c>
      <c r="E26" s="1" t="e" cm="1">
        <f t="array" ref="E26">VEERG_8_2_1_1__1_FuelCombustionStationary_Result_CH4</f>
        <v>#NAME?</v>
      </c>
      <c r="F26" s="1" t="e">
        <f t="shared" ref="F26:F27" si="0">E26</f>
        <v>#NAME?</v>
      </c>
      <c r="G26" s="10" t="s">
        <v>6</v>
      </c>
      <c r="H26" s="1" t="e" cm="1">
        <f t="array" ref="H26">Common_Equations.Common_ConvertCH4ToCO2e(E26,_xlfn.XLOOKUP("CH4", Table_GWPData[Gas],Table_GWPData[CO2-e factor]))</f>
        <v>#NAME?</v>
      </c>
      <c r="I26" s="1" t="e" cm="1">
        <f t="array" ref="I26">Common_Equations.Common_ConvertCH4ToCO2e(F26,_xlfn.XLOOKUP("CH4", Table_GWPData[Gas],Table_GWPData[CO2-e factor]))</f>
        <v>#NAME?</v>
      </c>
      <c r="J26" s="10" t="s">
        <v>7</v>
      </c>
    </row>
    <row r="27" spans="1:10" ht="20.100000000000001" customHeight="1" x14ac:dyDescent="0.25">
      <c r="D27" s="1" t="s">
        <v>161</v>
      </c>
      <c r="E27" s="1" t="e" cm="1">
        <f t="array" ref="E27">VEERG_8_2_1_1__1_FuelCombustionStationary_Result_N2O</f>
        <v>#NAME?</v>
      </c>
      <c r="F27" s="1" t="e">
        <f t="shared" si="0"/>
        <v>#NAME?</v>
      </c>
      <c r="G27" s="10" t="s">
        <v>13</v>
      </c>
      <c r="H27" s="1" t="e" cm="1">
        <f t="array" ref="H27">Common_Equations.Common_ConvertN2OToCO2e(E27,_xlfn.XLOOKUP("N2O", Table_GWPData[Gas],Table_GWPData[CO2-e factor]))</f>
        <v>#NAME?</v>
      </c>
      <c r="I27" s="1" t="e" cm="1">
        <f t="array" ref="I27">Common_Equations.Common_ConvertN2OToCO2e(F27,_xlfn.XLOOKUP("N2O", Table_GWPData[Gas],Table_GWPData[CO2-e factor]))</f>
        <v>#NAME?</v>
      </c>
      <c r="J27" s="10" t="s">
        <v>7</v>
      </c>
    </row>
    <row r="28" spans="1:10" ht="20.100000000000001" customHeight="1" x14ac:dyDescent="0.25">
      <c r="D28" s="92" t="s">
        <v>293</v>
      </c>
      <c r="E28" s="93"/>
      <c r="F28" s="93"/>
      <c r="G28" s="93"/>
      <c r="H28" s="92" t="e">
        <f>SUM(H9:H27)</f>
        <v>#NAME?</v>
      </c>
      <c r="I28" s="92" t="e">
        <f>SUM(I9:I27)</f>
        <v>#NAME?</v>
      </c>
      <c r="J28" s="97" t="s">
        <v>7</v>
      </c>
    </row>
    <row r="29" spans="1:10" ht="20.100000000000001" customHeight="1" x14ac:dyDescent="0.25"/>
    <row r="30" spans="1:10" ht="20.100000000000001" customHeight="1" x14ac:dyDescent="0.25"/>
    <row r="31" spans="1:10" ht="20.100000000000001" customHeight="1" x14ac:dyDescent="0.25">
      <c r="D31" s="80" t="s">
        <v>294</v>
      </c>
    </row>
    <row r="32" spans="1:10" ht="20.100000000000001" customHeight="1" x14ac:dyDescent="0.25"/>
    <row r="33" spans="4:10" ht="20.100000000000001" customHeight="1" x14ac:dyDescent="0.25">
      <c r="D33" s="12" t="s">
        <v>295</v>
      </c>
      <c r="E33" s="12" t="s">
        <v>8</v>
      </c>
      <c r="F33" s="12" t="s">
        <v>9</v>
      </c>
      <c r="G33" s="12" t="s">
        <v>5</v>
      </c>
      <c r="H33" s="12" t="s">
        <v>10</v>
      </c>
      <c r="I33" s="12" t="s">
        <v>11</v>
      </c>
      <c r="J33" s="12"/>
    </row>
    <row r="34" spans="4:10" ht="20.100000000000001" customHeight="1" x14ac:dyDescent="0.25">
      <c r="D34" s="1" t="e" cm="1">
        <f t="array" ref="D34">"14.1.1-2 Purchased electricity " &amp; IF(X_Cell_Electricity_CalculationMethod="Location-based (simpler)", "(Location-based)", "(Market-based)")</f>
        <v>#NAME?</v>
      </c>
      <c r="E34" s="1" t="e" cm="1">
        <f t="array" ref="E34">IF(X_Cell_Electricity_CalculationMethod="Location-based (simpler)", VEERG_14_1_1__1_LocationBasedScopeElectricityEmissions_Result_Method1, VEERG_14_1_2__1_MarketBasedScopeElectricityEmissionsVariation_Result_Method1)</f>
        <v>#NAME?</v>
      </c>
      <c r="F34" s="1" t="e">
        <f>E34</f>
        <v>#NAME?</v>
      </c>
      <c r="G34" s="10" t="s">
        <v>7</v>
      </c>
      <c r="H34" s="1" t="e">
        <f>E34</f>
        <v>#NAME?</v>
      </c>
      <c r="I34" s="1" t="e">
        <f>F34</f>
        <v>#NAME?</v>
      </c>
      <c r="J34" s="10" t="s">
        <v>7</v>
      </c>
    </row>
    <row r="35" spans="4:10" ht="20.100000000000001" customHeight="1" x14ac:dyDescent="0.25">
      <c r="D35" s="92" t="s">
        <v>296</v>
      </c>
      <c r="E35" s="93"/>
      <c r="F35" s="93"/>
      <c r="G35" s="93"/>
      <c r="H35" s="92" t="e">
        <f>SUM(H34:H34)</f>
        <v>#NAME?</v>
      </c>
      <c r="I35" s="92" t="e">
        <f>SUM(I34:I34)</f>
        <v>#NAME?</v>
      </c>
      <c r="J35" s="97" t="s">
        <v>7</v>
      </c>
    </row>
    <row r="36" spans="4:10" ht="20.100000000000001" customHeight="1" x14ac:dyDescent="0.25"/>
    <row r="37" spans="4:10" ht="20.100000000000001" customHeight="1" x14ac:dyDescent="0.25"/>
    <row r="38" spans="4:10" ht="20.100000000000001" customHeight="1" x14ac:dyDescent="0.25">
      <c r="D38" s="80" t="s">
        <v>298</v>
      </c>
    </row>
    <row r="39" spans="4:10" ht="20.100000000000001" customHeight="1" x14ac:dyDescent="0.25">
      <c r="D39" s="12" t="s">
        <v>299</v>
      </c>
      <c r="E39" s="12" t="s">
        <v>8</v>
      </c>
      <c r="F39" s="12" t="s">
        <v>9</v>
      </c>
      <c r="G39" s="12" t="s">
        <v>5</v>
      </c>
      <c r="H39" s="12" t="s">
        <v>10</v>
      </c>
      <c r="I39" s="12" t="s">
        <v>11</v>
      </c>
      <c r="J39" s="12"/>
    </row>
    <row r="40" spans="4:10" ht="20.100000000000001" customHeight="1" x14ac:dyDescent="0.25">
      <c r="D40" s="1" t="s">
        <v>300</v>
      </c>
      <c r="E40" s="1" t="e" cm="1">
        <f t="array" ref="E40">VEERG_15_1_1_1__1_EmissionsFromPurchasedLivestock_Result_Method1</f>
        <v>#NAME?</v>
      </c>
      <c r="F40" s="1" t="e" cm="1">
        <f t="array" ref="F40">VEERG_15_1_1_1__1_EmissionsFromPurchasedLivestock_Result_Method2</f>
        <v>#NAME?</v>
      </c>
      <c r="G40" s="10" t="s">
        <v>7</v>
      </c>
      <c r="H40" s="1" t="e">
        <f>E40</f>
        <v>#NAME?</v>
      </c>
      <c r="I40" s="1" t="e">
        <f t="shared" ref="I40:I52" si="1">F40</f>
        <v>#NAME?</v>
      </c>
      <c r="J40" s="10" t="s">
        <v>7</v>
      </c>
    </row>
    <row r="41" spans="4:10" ht="20.100000000000001" customHeight="1" x14ac:dyDescent="0.25">
      <c r="D41" s="1" t="s">
        <v>301</v>
      </c>
      <c r="E41" s="1" t="e" cm="1">
        <f t="array" ref="E41">VEERG_15_2_1_1__1_EmissionsFromPurchasedFeed_Result_Method1</f>
        <v>#NAME?</v>
      </c>
      <c r="F41" s="1" t="e" cm="1">
        <f t="array" ref="F41">VEERG_15_2_1_1__1_EmissionsFromPurchasedFeed_Result_Method2</f>
        <v>#NAME?</v>
      </c>
      <c r="G41" s="10" t="s">
        <v>7</v>
      </c>
      <c r="H41" s="1" t="e">
        <f t="shared" ref="H41:H52" si="2">E41</f>
        <v>#NAME?</v>
      </c>
      <c r="I41" s="1" t="e">
        <f t="shared" si="1"/>
        <v>#NAME?</v>
      </c>
      <c r="J41" s="10" t="s">
        <v>7</v>
      </c>
    </row>
    <row r="42" spans="4:10" ht="20.100000000000001" customHeight="1" x14ac:dyDescent="0.25">
      <c r="D42" s="1" t="s">
        <v>302</v>
      </c>
      <c r="E42" s="1" t="e" cm="1">
        <f t="array" ref="E42">VEERG_15_3_1_1__1_EmissionsFromPurchasedMineralSupplements_Result_Method1</f>
        <v>#NAME?</v>
      </c>
      <c r="F42" s="1" t="e" cm="1">
        <f t="array" ref="F42">VEERG_15_3_1_1__1_EmissionsFromPurchasedMineralSupplements_Result_Method2</f>
        <v>#NAME?</v>
      </c>
      <c r="G42" s="10" t="s">
        <v>7</v>
      </c>
      <c r="H42" s="1" t="e">
        <f t="shared" si="2"/>
        <v>#NAME?</v>
      </c>
      <c r="I42" s="1" t="e">
        <f t="shared" si="1"/>
        <v>#NAME?</v>
      </c>
      <c r="J42" s="10" t="s">
        <v>7</v>
      </c>
    </row>
    <row r="43" spans="4:10" ht="20.100000000000001" customHeight="1" x14ac:dyDescent="0.25">
      <c r="D43" s="1" t="s">
        <v>303</v>
      </c>
      <c r="E43" s="1" t="e" cm="1">
        <f t="array" ref="E43">VEERG_15_4_1_1__2_EmissionsFromPurchasedFertiliserComponentsVariation_Result_Method1</f>
        <v>#NAME?</v>
      </c>
      <c r="F43" s="1" t="e" cm="1">
        <f t="array" ref="F43">VEERG_15_4_1_1__2_EmissionsFromPurchasedFertiliserComponentsVariation_Result_Method2</f>
        <v>#NAME?</v>
      </c>
      <c r="G43" s="10" t="s">
        <v>7</v>
      </c>
      <c r="H43" s="1" t="e">
        <f t="shared" si="2"/>
        <v>#NAME?</v>
      </c>
      <c r="I43" s="1" t="e">
        <f t="shared" si="1"/>
        <v>#NAME?</v>
      </c>
      <c r="J43" s="10" t="s">
        <v>7</v>
      </c>
    </row>
    <row r="44" spans="4:10" ht="20.100000000000001" customHeight="1" x14ac:dyDescent="0.25">
      <c r="D44" s="1" t="s">
        <v>304</v>
      </c>
      <c r="E44" s="1" t="e" cm="1">
        <f t="array" ref="E44">VEERG_15_5_1_1__1_EmissionsFromPurchasedAgrichemicals_Result_Method1</f>
        <v>#NAME?</v>
      </c>
      <c r="F44" s="1" t="e" cm="1">
        <f t="array" ref="F44">VEERG_15_5_1_1__1_EmissionsFromPurchasedAgrichemicals_Result_Method2</f>
        <v>#NAME?</v>
      </c>
      <c r="G44" s="10" t="s">
        <v>7</v>
      </c>
      <c r="H44" s="1" t="e">
        <f t="shared" si="2"/>
        <v>#NAME?</v>
      </c>
      <c r="I44" s="1" t="e">
        <f t="shared" si="1"/>
        <v>#NAME?</v>
      </c>
      <c r="J44" s="10" t="s">
        <v>7</v>
      </c>
    </row>
    <row r="45" spans="4:10" ht="20.100000000000001" customHeight="1" x14ac:dyDescent="0.25">
      <c r="D45" s="1" t="s">
        <v>305</v>
      </c>
      <c r="E45" s="1" t="e" cm="1">
        <f t="array" ref="E45">VEERG_15_6_1_1__1_EmissionsFromPurchasedLime_Result_Method1</f>
        <v>#NAME?</v>
      </c>
      <c r="F45" s="1" t="e" cm="1">
        <f t="array" ref="F45">VEERG_15_6_1_1__1_EmissionsFromPurchasedLime_Result_Method2</f>
        <v>#NAME?</v>
      </c>
      <c r="G45" s="10" t="s">
        <v>7</v>
      </c>
      <c r="H45" s="1" t="e">
        <f t="shared" si="2"/>
        <v>#NAME?</v>
      </c>
      <c r="I45" s="1" t="e">
        <f t="shared" si="1"/>
        <v>#NAME?</v>
      </c>
      <c r="J45" s="10" t="s">
        <v>7</v>
      </c>
    </row>
    <row r="46" spans="4:10" ht="20.100000000000001" customHeight="1" x14ac:dyDescent="0.25">
      <c r="D46" s="1" t="s">
        <v>306</v>
      </c>
      <c r="E46" s="1" t="e" cm="1">
        <f t="array" ref="E46">VEERG_15_7_1_1__1_EmissionsFromPurchasedServices_Result_Method1</f>
        <v>#NAME?</v>
      </c>
      <c r="F46" s="1" t="e" cm="1">
        <f t="array" ref="F46">VEERG_15_7_1_1__1_EmissionsFromPurchasedServices_Result_Method2</f>
        <v>#NAME?</v>
      </c>
      <c r="G46" s="10" t="s">
        <v>7</v>
      </c>
      <c r="H46" s="1" t="e">
        <f t="shared" si="2"/>
        <v>#NAME?</v>
      </c>
      <c r="I46" s="1" t="e">
        <f t="shared" si="1"/>
        <v>#NAME?</v>
      </c>
      <c r="J46" s="10" t="s">
        <v>7</v>
      </c>
    </row>
    <row r="47" spans="4:10" ht="20.100000000000001" customHeight="1" x14ac:dyDescent="0.25">
      <c r="D47" s="1" t="s">
        <v>307</v>
      </c>
      <c r="E47" s="1" t="e" cm="1">
        <f t="array" ref="E47">VEERG_15_10_1_1__1_OtherPurchasedGoodsAndServices_CleaningChemicals_Result_Method1</f>
        <v>#NAME?</v>
      </c>
      <c r="F47" s="1" t="e" cm="1">
        <f t="array" ref="F47">VEERG_15_10_1_1__1_OtherPurchasedGoodsAndServices_CleaningChemicals_Result_Method2</f>
        <v>#NAME?</v>
      </c>
      <c r="G47" s="10" t="s">
        <v>7</v>
      </c>
      <c r="H47" s="1" t="e">
        <f t="shared" si="2"/>
        <v>#NAME?</v>
      </c>
      <c r="I47" s="1" t="e">
        <f t="shared" si="1"/>
        <v>#NAME?</v>
      </c>
      <c r="J47" s="10" t="s">
        <v>7</v>
      </c>
    </row>
    <row r="48" spans="4:10" ht="20.100000000000001" customHeight="1" x14ac:dyDescent="0.25">
      <c r="D48" s="1" t="s">
        <v>308</v>
      </c>
      <c r="E48" s="1" t="e" cm="1">
        <f t="array" ref="E48">VEERG_15_10_1_1__1_OtherPurchasedGoodsAndServices_PharmacyChemicals_Result_Method1</f>
        <v>#NAME?</v>
      </c>
      <c r="F48" s="1" t="e" cm="1">
        <f t="array" ref="F48">VEERG_15_10_1_1__1_OtherPurchasedGoodsAndServices_PharmacyChemicals_Result_Method2</f>
        <v>#NAME?</v>
      </c>
      <c r="G48" s="10" t="s">
        <v>7</v>
      </c>
      <c r="H48" s="1" t="e">
        <f t="shared" si="2"/>
        <v>#NAME?</v>
      </c>
      <c r="I48" s="1" t="e">
        <f t="shared" si="1"/>
        <v>#NAME?</v>
      </c>
      <c r="J48" s="10" t="s">
        <v>7</v>
      </c>
    </row>
    <row r="49" spans="4:10" ht="20.100000000000001" customHeight="1" x14ac:dyDescent="0.25">
      <c r="D49" s="1" t="s">
        <v>309</v>
      </c>
      <c r="E49" s="1" t="e" cm="1">
        <f t="array" ref="E49">VEERG_15_10_1_1__1_OtherPurchasedGoodsAndServices_Misc_Result_Method1</f>
        <v>#NAME?</v>
      </c>
      <c r="F49" s="1" t="e" cm="1">
        <f t="array" ref="F49">VEERG_15_10_1_1__1_OtherPurchasedGoodsAndServices_Misc_Result_Method2</f>
        <v>#NAME?</v>
      </c>
      <c r="G49" s="10" t="s">
        <v>7</v>
      </c>
      <c r="H49" s="1" t="e">
        <f t="shared" si="2"/>
        <v>#NAME?</v>
      </c>
      <c r="I49" s="1" t="e">
        <f t="shared" si="1"/>
        <v>#NAME?</v>
      </c>
      <c r="J49" s="10" t="s">
        <v>7</v>
      </c>
    </row>
    <row r="50" spans="4:10" ht="20.100000000000001" customHeight="1" x14ac:dyDescent="0.25">
      <c r="D50" s="1" t="s">
        <v>310</v>
      </c>
      <c r="E50" s="1" t="e" cm="1">
        <f t="array" ref="E50">VEERG_15_10_1_1__1_OtherPurchasedGoodsAndServices_Uncategorised_Result_Method1</f>
        <v>#NAME?</v>
      </c>
      <c r="F50" s="1" t="e" cm="1">
        <f t="array" ref="F50">VEERG_15_10_1_1__1_OtherPurchasedGoodsAndServices_Uncategorised_Result_Method2</f>
        <v>#NAME?</v>
      </c>
      <c r="G50" s="10" t="s">
        <v>7</v>
      </c>
      <c r="H50" s="1" t="e">
        <f t="shared" si="2"/>
        <v>#NAME?</v>
      </c>
      <c r="I50" s="1" t="e">
        <f t="shared" si="1"/>
        <v>#NAME?</v>
      </c>
      <c r="J50" s="10" t="s">
        <v>7</v>
      </c>
    </row>
    <row r="51" spans="4:10" ht="20.100000000000001" customHeight="1" x14ac:dyDescent="0.25">
      <c r="D51" s="1" t="s">
        <v>311</v>
      </c>
      <c r="E51" s="1" t="e" cm="1">
        <f t="array" ref="E51">VEERG_15_11_1_1__1_TotalUpstreamEmissionsFromFuel_Result</f>
        <v>#NAME?</v>
      </c>
      <c r="F51" s="1" t="e">
        <f>E51</f>
        <v>#NAME?</v>
      </c>
      <c r="G51" s="10" t="s">
        <v>7</v>
      </c>
      <c r="H51" s="1" t="e">
        <f t="shared" si="2"/>
        <v>#NAME?</v>
      </c>
      <c r="I51" s="1" t="e">
        <f t="shared" si="1"/>
        <v>#NAME?</v>
      </c>
      <c r="J51" s="10" t="s">
        <v>7</v>
      </c>
    </row>
    <row r="52" spans="4:10" ht="20.100000000000001" customHeight="1" x14ac:dyDescent="0.25">
      <c r="D52" s="1" t="e" cm="1">
        <f t="array" ref="D52">"15.12.1.1 Purchased electricity " &amp; IF(X_Cell_Electricity_CalculationMethod="Location-based (simpler)", "(Location-based)", "(Market-based)")</f>
        <v>#NAME?</v>
      </c>
      <c r="E52" s="1" t="e" cm="1">
        <f t="array" ref="E52">IF(X_Cell_Electricity_CalculationMethod="Location-based (simpler)", VEERG_15_12_1_1__1_UpstreamPurchasedElectricityLocationBased_Result, VEERG_15_12_1_1__1_UpstreamPurchasedElectricityMarketBased_Result)</f>
        <v>#NAME?</v>
      </c>
      <c r="F52" s="1" t="e">
        <f>E52</f>
        <v>#NAME?</v>
      </c>
      <c r="G52" s="10" t="s">
        <v>7</v>
      </c>
      <c r="H52" s="1" t="e">
        <f t="shared" si="2"/>
        <v>#NAME?</v>
      </c>
      <c r="I52" s="1" t="e">
        <f t="shared" si="1"/>
        <v>#NAME?</v>
      </c>
      <c r="J52" s="10" t="s">
        <v>7</v>
      </c>
    </row>
    <row r="53" spans="4:10" ht="20.100000000000001" customHeight="1" x14ac:dyDescent="0.25">
      <c r="D53" s="1" t="s">
        <v>312</v>
      </c>
      <c r="E53" s="1" t="e" cm="1">
        <f t="array" ref="E53">VEERG_15_14_1_1__1_EmbeddedEmissionsFromUpstreamFreight_Incoming_Result_Method1</f>
        <v>#NAME?</v>
      </c>
      <c r="F53" s="1" t="e" cm="1">
        <f t="array" ref="F53">VEERG_15_14_1_1__1_EmbeddedEmissionsFromUpstreamFreight_Incoming_Result_Method2</f>
        <v>#NAME?</v>
      </c>
      <c r="G53" s="10" t="s">
        <v>7</v>
      </c>
      <c r="H53" s="1" t="e">
        <f>E53</f>
        <v>#NAME?</v>
      </c>
      <c r="I53" s="1" t="e">
        <f>F53</f>
        <v>#NAME?</v>
      </c>
      <c r="J53" s="10" t="s">
        <v>7</v>
      </c>
    </row>
    <row r="54" spans="4:10" ht="20.100000000000001" customHeight="1" x14ac:dyDescent="0.25">
      <c r="D54" s="1" t="s">
        <v>313</v>
      </c>
      <c r="E54" s="1" t="e" cm="1">
        <f t="array" ref="E54">VEERG_10_1_1_1__1_EmissionsFromWasteManagement_Scope3_Result_Method1</f>
        <v>#NAME?</v>
      </c>
      <c r="F54" s="1" t="e">
        <f>E54</f>
        <v>#NAME?</v>
      </c>
      <c r="G54" s="10" t="s">
        <v>7</v>
      </c>
      <c r="H54" s="1" t="e">
        <f t="shared" ref="H54:H55" si="3">E54</f>
        <v>#NAME?</v>
      </c>
      <c r="I54" s="1" t="e">
        <f t="shared" ref="I54:I55" si="4">F54</f>
        <v>#NAME?</v>
      </c>
      <c r="J54" s="10" t="s">
        <v>7</v>
      </c>
    </row>
    <row r="55" spans="4:10" ht="20.100000000000001" customHeight="1" x14ac:dyDescent="0.25">
      <c r="D55" s="1" t="s">
        <v>314</v>
      </c>
      <c r="E55" s="1" t="e" cm="1">
        <f t="array" ref="E55">VEERG_15_14_1_1__1_EmbeddedEmissionsFromUpstreamFreight_Outgoing_Result_Method1</f>
        <v>#NAME?</v>
      </c>
      <c r="F55" s="1" t="e" cm="1">
        <f t="array" ref="F55">VEERG_15_14_1_1__1_EmbeddedEmissionsFromUpstreamFreight_Outgoing_Result_Method2</f>
        <v>#NAME?</v>
      </c>
      <c r="G55" s="10" t="s">
        <v>7</v>
      </c>
      <c r="H55" s="1" t="e">
        <f t="shared" si="3"/>
        <v>#NAME?</v>
      </c>
      <c r="I55" s="1" t="e">
        <f t="shared" si="4"/>
        <v>#NAME?</v>
      </c>
      <c r="J55" s="10" t="s">
        <v>7</v>
      </c>
    </row>
    <row r="56" spans="4:10" ht="20.100000000000001" customHeight="1" x14ac:dyDescent="0.25">
      <c r="D56" s="92" t="s">
        <v>315</v>
      </c>
      <c r="E56" s="93"/>
      <c r="F56" s="93"/>
      <c r="G56" s="93"/>
      <c r="H56" s="92" t="e">
        <f>SUM(H40:H55)</f>
        <v>#NAME?</v>
      </c>
      <c r="I56" s="92" t="e">
        <f>SUM(I40:I55)</f>
        <v>#NAME?</v>
      </c>
      <c r="J56" s="97" t="s">
        <v>7</v>
      </c>
    </row>
    <row r="57" spans="4:10" ht="20.100000000000001" customHeight="1" x14ac:dyDescent="0.25"/>
    <row r="58" spans="4:10" ht="20.100000000000001" customHeight="1" x14ac:dyDescent="0.25"/>
    <row r="59" spans="4:10" ht="20.100000000000001" customHeight="1" x14ac:dyDescent="0.25">
      <c r="D59" s="80" t="str">
        <f>"Carbon removals from plantings for the activity period " &amp; TEXT(X_Cell_Site_StartDate, "d mmmm yyyy") &amp; " and " &amp; TEXT(X_Cell_Site_EndDate, "d mmmm yyyy")</f>
        <v>Carbon removals from plantings for the activity period 1 January 2024 and 31 December 2024</v>
      </c>
    </row>
    <row r="60" spans="4:10" ht="20.100000000000001" customHeight="1" x14ac:dyDescent="0.25"/>
    <row r="61" spans="4:10" ht="20.100000000000001" customHeight="1" x14ac:dyDescent="0.25">
      <c r="D61" s="92" t="s">
        <v>290</v>
      </c>
      <c r="E61" s="93">
        <f>SUM(Table_Input_Enterprise_PlantingRemovals[Removal allocated to this enterprise])</f>
        <v>0</v>
      </c>
      <c r="F61" s="97" t="s">
        <v>139</v>
      </c>
    </row>
    <row r="62" spans="4:10" ht="20.100000000000001" customHeight="1" x14ac:dyDescent="0.25"/>
    <row r="63" spans="4:10" ht="20.100000000000001" customHeight="1" x14ac:dyDescent="0.25"/>
    <row r="64" spans="4:10" ht="20.100000000000001" customHeight="1" x14ac:dyDescent="0.25">
      <c r="D64" s="80" t="str">
        <f>"Net emissions for the activity period " &amp; TEXT(X_Cell_Site_StartDate, "d mmmm yyyy") &amp; " and " &amp; TEXT(X_Cell_Site_EndDate, "d mmmm yyyy")</f>
        <v>Net emissions for the activity period 1 January 2024 and 31 December 2024</v>
      </c>
    </row>
    <row r="65" spans="4:7" ht="20.100000000000001" customHeight="1" x14ac:dyDescent="0.25"/>
    <row r="66" spans="4:7" ht="20.100000000000001" customHeight="1" x14ac:dyDescent="0.25">
      <c r="D66" s="12"/>
      <c r="E66" s="12" t="s">
        <v>142</v>
      </c>
      <c r="F66" s="12" t="s">
        <v>143</v>
      </c>
    </row>
    <row r="67" spans="4:7" ht="20.100000000000001" customHeight="1" x14ac:dyDescent="0.25">
      <c r="D67" s="90" t="s">
        <v>320</v>
      </c>
      <c r="E67" s="91" t="e">
        <f>Result_Enterprise_Scope1_Method1+Result_Enterprise_Scope2_Method1+Result_Enterprise_Scope3_Method1</f>
        <v>#NAME?</v>
      </c>
      <c r="F67" s="91" t="e">
        <f>Result_Enterprise_Scope1_Method2+Result_Enterprise_Scope2_Method2+Result_Enterprise_Scope3_Method2</f>
        <v>#NAME?</v>
      </c>
      <c r="G67" s="98" t="s">
        <v>292</v>
      </c>
    </row>
    <row r="68" spans="4:7" ht="20.100000000000001" customHeight="1" x14ac:dyDescent="0.25">
      <c r="D68" s="90" t="s">
        <v>291</v>
      </c>
      <c r="E68" s="91" t="e">
        <f>Result_Enterprise_Gross_Method1-Result_Enterprise_Removals</f>
        <v>#NAME?</v>
      </c>
      <c r="F68" s="91" t="e">
        <f>Result_Enterprise_Gross_Method2-Result_Enterprise_Removals</f>
        <v>#NAME?</v>
      </c>
      <c r="G68" s="98" t="s">
        <v>292</v>
      </c>
    </row>
    <row r="69" spans="4:7" ht="20.100000000000001" customHeight="1" x14ac:dyDescent="0.25"/>
    <row r="70" spans="4:7" ht="20.100000000000001" customHeight="1" x14ac:dyDescent="0.25"/>
    <row r="71" spans="4:7" ht="20.100000000000001" customHeight="1" x14ac:dyDescent="0.25"/>
    <row r="72" spans="4:7" ht="20.100000000000001" customHeight="1" x14ac:dyDescent="0.25"/>
    <row r="73" spans="4:7" ht="20.100000000000001" customHeight="1" x14ac:dyDescent="0.25"/>
    <row r="74" spans="4:7" ht="20.100000000000001" customHeight="1" x14ac:dyDescent="0.25"/>
    <row r="75" spans="4:7" ht="20.100000000000001" customHeight="1" x14ac:dyDescent="0.25"/>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3731B-2C8B-468C-A81B-20D996BF6F6B}">
  <sheetPr>
    <tabColor rgb="FF0C769E"/>
  </sheetPr>
  <dimension ref="C1:R60"/>
  <sheetViews>
    <sheetView showGridLines="0" topLeftCell="A12" zoomScale="85" zoomScaleNormal="85" workbookViewId="0">
      <selection activeCell="F38" sqref="F38"/>
    </sheetView>
  </sheetViews>
  <sheetFormatPr defaultRowHeight="15.75" x14ac:dyDescent="0.25"/>
  <cols>
    <col min="1" max="1" width="30.7109375" customWidth="1"/>
    <col min="2" max="2" width="4.7109375" customWidth="1"/>
    <col min="3" max="3" width="4.7109375" style="1" customWidth="1"/>
    <col min="4" max="4" width="60" style="1" customWidth="1"/>
    <col min="5" max="12" width="30.7109375" style="1" customWidth="1"/>
    <col min="13" max="13" width="4.7109375" style="1" customWidth="1"/>
    <col min="14" max="18" width="9.140625" style="1"/>
  </cols>
  <sheetData>
    <row r="1" spans="3:18" s="94" customFormat="1" ht="25.5" x14ac:dyDescent="0.35">
      <c r="C1" s="94" t="s">
        <v>279</v>
      </c>
    </row>
    <row r="2" spans="3:18" s="3" customFormat="1" x14ac:dyDescent="0.25"/>
    <row r="3" spans="3:18" x14ac:dyDescent="0.25">
      <c r="C3" s="99"/>
      <c r="D3" s="99"/>
      <c r="E3" s="99"/>
      <c r="F3" s="99"/>
      <c r="G3" s="99"/>
      <c r="H3" s="99"/>
      <c r="I3" s="99"/>
      <c r="J3" s="99"/>
      <c r="K3" s="99"/>
      <c r="L3" s="99"/>
      <c r="M3" s="99"/>
      <c r="N3" s="99"/>
      <c r="O3" s="99"/>
      <c r="P3" s="99"/>
      <c r="Q3" s="99"/>
      <c r="R3" s="99"/>
    </row>
    <row r="32" spans="4:4" ht="23.25" x14ac:dyDescent="0.25">
      <c r="D32" s="2" t="str">
        <f>"Emissions for whole production cycle running between " &amp; TEXT(X_Cell_Enterprise_ProductionTimeframeStart, "d mmmm yyyy") &amp; " and " &amp; TEXT(X_Cell_Enterprise_ProductionTimeframeEnd, "d mmmm yyyy")</f>
        <v>Emissions for whole production cycle running between 1 November 2023 and 31 March 2025</v>
      </c>
    </row>
    <row r="35" spans="4:12" x14ac:dyDescent="0.25">
      <c r="D35" s="12"/>
      <c r="E35" s="12" t="s">
        <v>142</v>
      </c>
      <c r="F35" s="12" t="s">
        <v>143</v>
      </c>
      <c r="G35" s="12"/>
    </row>
    <row r="36" spans="4:12" x14ac:dyDescent="0.25">
      <c r="D36" s="78" t="s">
        <v>289</v>
      </c>
      <c r="E36" s="1" t="e">
        <f>Result_EmissionsForWholeProductionCycle_Gross_Method1</f>
        <v>#NAME?</v>
      </c>
      <c r="F36" s="1" t="e">
        <f>Result_EmissionsForWholeProductionCycle_Gross_Method2</f>
        <v>#NAME?</v>
      </c>
      <c r="G36" s="10" t="s">
        <v>7</v>
      </c>
    </row>
    <row r="37" spans="4:12" x14ac:dyDescent="0.25">
      <c r="D37" s="78" t="s">
        <v>281</v>
      </c>
      <c r="E37" s="1" t="e">
        <f>Result_EmissionsForWholeProductionCycle_Net_Method1</f>
        <v>#NAME?</v>
      </c>
      <c r="F37" s="1" t="e">
        <f>Result_EmissionsForWholeProductionCycle_Net_Method2</f>
        <v>#NAME?</v>
      </c>
      <c r="G37" s="10" t="s">
        <v>7</v>
      </c>
    </row>
    <row r="39" spans="4:12" x14ac:dyDescent="0.25">
      <c r="D39" s="89"/>
      <c r="E39" s="89"/>
      <c r="F39" s="89"/>
      <c r="G39" s="89"/>
      <c r="H39" s="89"/>
      <c r="I39" s="89"/>
      <c r="J39" s="89"/>
    </row>
    <row r="40" spans="4:12" ht="23.25" x14ac:dyDescent="0.25">
      <c r="D40" s="2" t="str">
        <f>"Product emissions intensity for whole production cycle running between " &amp; TEXT(X_Cell_Enterprise_ProductionTimeframeStart, "d mmmm yyyy") &amp; " and " &amp; TEXT(X_Cell_Enterprise_ProductionTimeframeEnd, "d mmmm yyyy")</f>
        <v>Product emissions intensity for whole production cycle running between 1 November 2023 and 31 March 2025</v>
      </c>
    </row>
    <row r="42" spans="4:12" ht="18.75" x14ac:dyDescent="0.25">
      <c r="D42" s="80" t="s">
        <v>172</v>
      </c>
    </row>
    <row r="43" spans="4:12" x14ac:dyDescent="0.25">
      <c r="D43" s="12" t="s">
        <v>145</v>
      </c>
      <c r="E43" s="12" t="s">
        <v>132</v>
      </c>
      <c r="F43" s="12" t="s">
        <v>316</v>
      </c>
      <c r="G43" s="12" t="s">
        <v>317</v>
      </c>
      <c r="H43" s="12" t="s">
        <v>318</v>
      </c>
      <c r="I43" s="12" t="s">
        <v>319</v>
      </c>
      <c r="J43" s="12" t="s">
        <v>130</v>
      </c>
      <c r="K43" s="12" t="s">
        <v>131</v>
      </c>
      <c r="L43" s="12" t="s">
        <v>127</v>
      </c>
    </row>
    <row r="44" spans="4:12" x14ac:dyDescent="0.25">
      <c r="D44" s="1" t="s">
        <v>176</v>
      </c>
      <c r="E44" s="1" t="s">
        <v>133</v>
      </c>
      <c r="F44" s="1">
        <f>X_Cell_Enterprise_LiveweightSold</f>
        <v>5</v>
      </c>
      <c r="G44" s="1">
        <f>X_Cell_Enterprise_LiveweightSold</f>
        <v>5</v>
      </c>
      <c r="H44" s="1" t="e">
        <f>F44/(F44+F46)</f>
        <v>#VALUE!</v>
      </c>
      <c r="I44" s="1" t="e">
        <f>G44/(G44+G46)</f>
        <v>#VALUE!</v>
      </c>
      <c r="J44" s="1" t="e">
        <f>(Result_EmissionsForWholeProductionCycle_Gross_Method1/F44)*H44</f>
        <v>#NAME?</v>
      </c>
      <c r="K44" s="1" t="e">
        <f>(Result_EmissionsForWholeProductionCycle_Gross_Method2/G44)*I44</f>
        <v>#NAME?</v>
      </c>
      <c r="L44" s="10" t="s">
        <v>128</v>
      </c>
    </row>
    <row r="45" spans="4:12" x14ac:dyDescent="0.25">
      <c r="D45" s="1" t="s">
        <v>177</v>
      </c>
      <c r="E45" s="1" t="s">
        <v>133</v>
      </c>
      <c r="F45" s="1">
        <f>F44</f>
        <v>5</v>
      </c>
      <c r="G45" s="1">
        <f>G44</f>
        <v>5</v>
      </c>
      <c r="H45" s="1" t="e">
        <f>H44</f>
        <v>#VALUE!</v>
      </c>
      <c r="I45" s="1" t="e">
        <f>I44</f>
        <v>#VALUE!</v>
      </c>
      <c r="J45" s="1" t="e">
        <f>(Result_NetEmissions_Method1/F45)*H45</f>
        <v>#NAME?</v>
      </c>
      <c r="K45" s="1" t="e">
        <f>(Result_NetEmissions_Method2/G45)*I45</f>
        <v>#NAME?</v>
      </c>
      <c r="L45" s="10" t="s">
        <v>128</v>
      </c>
    </row>
    <row r="46" spans="4:12" x14ac:dyDescent="0.25">
      <c r="D46" s="1" t="s">
        <v>178</v>
      </c>
      <c r="E46" s="1" t="s">
        <v>134</v>
      </c>
      <c r="F46" s="1" t="e">
        <f>X_Cell_Enteprise_ManureProduced_Method1*X_Cell_Enteprise_PercentManureSold</f>
        <v>#VALUE!</v>
      </c>
      <c r="G46" s="1" t="e">
        <f>X_Cell_Enteprise_ManureProduced_Method2*X_Cell_Enteprise_PercentManureSold</f>
        <v>#VALUE!</v>
      </c>
      <c r="H46" s="1" t="e">
        <f>F46/(F44+F46)</f>
        <v>#VALUE!</v>
      </c>
      <c r="I46" s="1" t="e">
        <f>G46/(G44+G46)</f>
        <v>#VALUE!</v>
      </c>
      <c r="J46" s="1" t="e">
        <f>(Result_EmissionsForWholeProductionCycle_Gross_Method1/F46)*H46</f>
        <v>#NAME?</v>
      </c>
      <c r="K46" s="1" t="e">
        <f>(Result_EmissionsForWholeProductionCycle_Gross_Method2/G46)*I46</f>
        <v>#NAME?</v>
      </c>
      <c r="L46" s="10" t="s">
        <v>129</v>
      </c>
    </row>
    <row r="47" spans="4:12" x14ac:dyDescent="0.25">
      <c r="D47" s="1" t="s">
        <v>179</v>
      </c>
      <c r="E47" s="1" t="s">
        <v>134</v>
      </c>
      <c r="F47" s="1" t="e">
        <f>F46</f>
        <v>#VALUE!</v>
      </c>
      <c r="G47" s="1" t="e">
        <f>G46</f>
        <v>#VALUE!</v>
      </c>
      <c r="H47" s="1" t="e">
        <f>H46</f>
        <v>#VALUE!</v>
      </c>
      <c r="I47" s="1" t="e">
        <f>I46</f>
        <v>#VALUE!</v>
      </c>
      <c r="J47" s="1" t="e">
        <f>(Result_NetEmissions_Method1/F47)*H47</f>
        <v>#NAME?</v>
      </c>
      <c r="K47" s="1" t="e">
        <f>(Result_NetEmissions_Method2/G47)*I47</f>
        <v>#NAME?</v>
      </c>
      <c r="L47" s="10" t="s">
        <v>129</v>
      </c>
    </row>
    <row r="48" spans="4:12" x14ac:dyDescent="0.25">
      <c r="D48" s="1" t="s">
        <v>135</v>
      </c>
      <c r="E48" s="1" t="s">
        <v>137</v>
      </c>
      <c r="F48" s="1" t="e">
        <f>X_Cell_Enteprise_ManureProduced_Method1*X_Cell_Enteprise_PercentManureAppliedAsFertiliserOwnFarm</f>
        <v>#VALUE!</v>
      </c>
      <c r="G48" s="1" t="e">
        <f>X_Cell_Enteprise_ManureProduced_Method2*X_Cell_Enteprise_PercentManureAppliedAsFertiliserOwnFarm</f>
        <v>#VALUE!</v>
      </c>
      <c r="H48" s="1" t="s">
        <v>136</v>
      </c>
      <c r="I48" s="1" t="s">
        <v>136</v>
      </c>
      <c r="J48" s="1" t="s">
        <v>136</v>
      </c>
      <c r="K48" s="1" t="s">
        <v>136</v>
      </c>
      <c r="L48" s="10"/>
    </row>
    <row r="50" spans="4:12" ht="18.75" x14ac:dyDescent="0.25">
      <c r="D50" s="80" t="s">
        <v>173</v>
      </c>
    </row>
    <row r="51" spans="4:12" x14ac:dyDescent="0.25">
      <c r="D51" s="12" t="s">
        <v>145</v>
      </c>
      <c r="E51" s="12" t="s">
        <v>132</v>
      </c>
      <c r="F51" s="12" t="s">
        <v>316</v>
      </c>
      <c r="G51" s="12" t="s">
        <v>317</v>
      </c>
      <c r="H51" s="12" t="s">
        <v>174</v>
      </c>
      <c r="I51" s="12"/>
      <c r="J51" s="12" t="s">
        <v>130</v>
      </c>
      <c r="K51" s="12" t="s">
        <v>131</v>
      </c>
      <c r="L51" s="12" t="s">
        <v>127</v>
      </c>
    </row>
    <row r="52" spans="4:12" x14ac:dyDescent="0.25">
      <c r="D52" s="1" t="s">
        <v>176</v>
      </c>
      <c r="E52" s="1" t="s">
        <v>133</v>
      </c>
      <c r="F52" s="1">
        <f t="shared" ref="F52:G56" si="0">F44</f>
        <v>5</v>
      </c>
      <c r="G52" s="1">
        <f t="shared" si="0"/>
        <v>5</v>
      </c>
      <c r="H52" s="1">
        <f>X_Cell_Enteprise_PercentIncomeFromLiveweight</f>
        <v>0.8</v>
      </c>
      <c r="J52" s="1" t="e">
        <f>(Result_EmissionsForWholeProductionCycle_Gross_Method1/F52)*H52</f>
        <v>#NAME?</v>
      </c>
      <c r="K52" s="1" t="e">
        <f>(Result_EmissionsForWholeProductionCycle_Gross_Method2/G52)*H52</f>
        <v>#NAME?</v>
      </c>
      <c r="L52" s="10" t="s">
        <v>128</v>
      </c>
    </row>
    <row r="53" spans="4:12" x14ac:dyDescent="0.25">
      <c r="D53" s="1" t="s">
        <v>177</v>
      </c>
      <c r="E53" s="1" t="s">
        <v>133</v>
      </c>
      <c r="F53" s="1">
        <f t="shared" si="0"/>
        <v>5</v>
      </c>
      <c r="G53" s="1">
        <f t="shared" si="0"/>
        <v>5</v>
      </c>
      <c r="H53" s="1">
        <f>H52</f>
        <v>0.8</v>
      </c>
      <c r="J53" s="1" t="e">
        <f>(Result_NetEmissions_Method1/F53)*H53</f>
        <v>#NAME?</v>
      </c>
      <c r="K53" s="1" t="e">
        <f>(Result_NetEmissions_Method2/G53)*H53</f>
        <v>#NAME?</v>
      </c>
      <c r="L53" s="10" t="s">
        <v>128</v>
      </c>
    </row>
    <row r="54" spans="4:12" x14ac:dyDescent="0.25">
      <c r="D54" s="1" t="s">
        <v>178</v>
      </c>
      <c r="E54" s="1" t="s">
        <v>134</v>
      </c>
      <c r="F54" s="1" t="e">
        <f t="shared" si="0"/>
        <v>#VALUE!</v>
      </c>
      <c r="G54" s="1" t="e">
        <f t="shared" si="0"/>
        <v>#VALUE!</v>
      </c>
      <c r="H54" s="1">
        <f>X_Cell_Enteprise_PercentIncomeFromManure</f>
        <v>0.2</v>
      </c>
      <c r="J54" s="1" t="e">
        <f>(Result_EmissionsForWholeProductionCycle_Gross_Method1/F54)*H54</f>
        <v>#NAME?</v>
      </c>
      <c r="K54" s="1" t="e">
        <f>(Result_EmissionsForWholeProductionCycle_Gross_Method2/G54)*H54</f>
        <v>#NAME?</v>
      </c>
      <c r="L54" s="10" t="s">
        <v>129</v>
      </c>
    </row>
    <row r="55" spans="4:12" x14ac:dyDescent="0.25">
      <c r="D55" s="1" t="s">
        <v>179</v>
      </c>
      <c r="E55" s="1" t="s">
        <v>134</v>
      </c>
      <c r="F55" s="1" t="e">
        <f t="shared" si="0"/>
        <v>#VALUE!</v>
      </c>
      <c r="G55" s="1" t="e">
        <f t="shared" si="0"/>
        <v>#VALUE!</v>
      </c>
      <c r="H55" s="1">
        <f>H54</f>
        <v>0.2</v>
      </c>
      <c r="J55" s="1" t="e">
        <f>(Result_NetEmissions_Method1/F55)*H55</f>
        <v>#NAME?</v>
      </c>
      <c r="K55" s="1" t="e">
        <f>(Result_NetEmissions_Method2/G55)*H55</f>
        <v>#NAME?</v>
      </c>
      <c r="L55" s="10" t="s">
        <v>129</v>
      </c>
    </row>
    <row r="56" spans="4:12" x14ac:dyDescent="0.25">
      <c r="D56" s="1" t="s">
        <v>135</v>
      </c>
      <c r="E56" s="1" t="s">
        <v>137</v>
      </c>
      <c r="F56" s="1" t="e">
        <f t="shared" si="0"/>
        <v>#VALUE!</v>
      </c>
      <c r="G56" s="1" t="e">
        <f t="shared" si="0"/>
        <v>#VALUE!</v>
      </c>
      <c r="H56" s="1" t="s">
        <v>136</v>
      </c>
      <c r="J56" s="1" t="s">
        <v>136</v>
      </c>
      <c r="K56" s="1" t="s">
        <v>136</v>
      </c>
      <c r="L56" s="10"/>
    </row>
    <row r="58" spans="4:12" ht="18.75" x14ac:dyDescent="0.25">
      <c r="D58" s="80" t="s">
        <v>175</v>
      </c>
    </row>
    <row r="59" spans="4:12" x14ac:dyDescent="0.25">
      <c r="D59" s="12" t="s">
        <v>145</v>
      </c>
      <c r="E59" s="12" t="s">
        <v>132</v>
      </c>
      <c r="F59" s="12" t="s">
        <v>316</v>
      </c>
      <c r="G59" s="12" t="s">
        <v>317</v>
      </c>
      <c r="H59" s="12"/>
      <c r="I59" s="12"/>
      <c r="J59" s="12" t="s">
        <v>130</v>
      </c>
      <c r="K59" s="12" t="s">
        <v>131</v>
      </c>
      <c r="L59" s="12" t="s">
        <v>127</v>
      </c>
    </row>
    <row r="60" spans="4:12" x14ac:dyDescent="0.25">
      <c r="D60" s="1" t="s">
        <v>144</v>
      </c>
      <c r="E60" s="1" t="s">
        <v>136</v>
      </c>
      <c r="F60" s="1" t="str">
        <f>X_Cell_Enteprise_LiveweightGrown_Method1</f>
        <v>=SUM(Enterprise_PastureBeef_InputFunctions.multiplyCorrespondingCells('Input - Pasture Beef'!X_Table_PastureBeef_Head_Method1, 'Input - Pasture Beef'!X_Table_PastureBeef_Duration_Method1, 'Input - Pasture Beef'!X_Table_PastureBeef_LiveweightGain_Method1))*10^-3</v>
      </c>
      <c r="G60" s="1" t="str">
        <f>X_Cell_Enteprise_LiveweightGrown_Method2</f>
        <v>=SUM(Enterprise_PastureBeef_InputFunctions.multiplyCorrespondingCells('Input - Pasture Beef'!X_Table_PastureBeef_Head_Method2, 'Input - Pasture Beef'!X_Table_PastureBeef_Duration_Method2, 'Input - Pasture Beef'!X_Table_PastureBeef_LiveweightGain_Method2))*10^-3</v>
      </c>
      <c r="J60" s="1" t="e">
        <f>Result_NetEmissions_Method1/F60</f>
        <v>#NAME?</v>
      </c>
      <c r="K60" s="1" t="e">
        <f>Result_NetEmissions_Method1/G60</f>
        <v>#NAME?</v>
      </c>
      <c r="L60" s="10" t="s">
        <v>146</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91D62-75BF-4814-B1FA-242161A163DA}">
  <sheetPr>
    <tabColor rgb="FFCC6600"/>
    <pageSetUpPr autoPageBreaks="0"/>
  </sheetPr>
  <dimension ref="A1:AA115"/>
  <sheetViews>
    <sheetView showGridLines="0" zoomScaleNormal="100" workbookViewId="0">
      <selection activeCell="E34" sqref="E34"/>
    </sheetView>
  </sheetViews>
  <sheetFormatPr defaultColWidth="9.140625" defaultRowHeight="15.75" x14ac:dyDescent="0.25"/>
  <cols>
    <col min="1" max="1" width="30.7109375" style="4" customWidth="1"/>
    <col min="2" max="2" width="4.7109375" style="23" customWidth="1"/>
    <col min="3" max="3" width="4.7109375" style="26" customWidth="1"/>
    <col min="4" max="4" width="60.7109375" style="26" customWidth="1"/>
    <col min="5" max="5" width="50.7109375" style="26" customWidth="1"/>
    <col min="6" max="11" width="28.7109375" style="26" customWidth="1"/>
    <col min="12" max="25" width="28.7109375" style="23" customWidth="1"/>
    <col min="26" max="27" width="9.140625" style="23"/>
    <col min="28" max="16384" width="9.140625" style="26"/>
  </cols>
  <sheetData>
    <row r="1" spans="1:24" s="23" customFormat="1" ht="30" customHeight="1" x14ac:dyDescent="0.35">
      <c r="A1" s="11" t="e" vm="1">
        <v>#VALUE!</v>
      </c>
      <c r="C1" s="29" t="s">
        <v>96</v>
      </c>
    </row>
    <row r="2" spans="1:24" s="23" customFormat="1" ht="20.100000000000001" customHeight="1" x14ac:dyDescent="0.25">
      <c r="A2" s="3"/>
      <c r="C2" s="3"/>
      <c r="D2" s="3"/>
      <c r="E2" s="3"/>
      <c r="F2" s="3"/>
      <c r="G2" s="3"/>
      <c r="H2" s="3"/>
      <c r="I2" s="3"/>
      <c r="J2" s="3"/>
    </row>
    <row r="3" spans="1:24" ht="20.100000000000001" customHeight="1" x14ac:dyDescent="0.25">
      <c r="A3" s="5" t="str">
        <f>HYPERLINK("#'Home'!A1", "Home")</f>
        <v>Home</v>
      </c>
      <c r="C3" s="30"/>
      <c r="D3" s="30"/>
      <c r="E3" s="30"/>
      <c r="F3" s="30"/>
      <c r="G3" s="30"/>
      <c r="H3" s="30"/>
      <c r="I3" s="30"/>
      <c r="J3" s="30"/>
      <c r="K3" s="30"/>
      <c r="M3" s="25"/>
      <c r="N3" s="25"/>
      <c r="O3" s="25"/>
      <c r="P3" s="25"/>
      <c r="Q3" s="25"/>
      <c r="R3" s="25"/>
      <c r="S3" s="25"/>
      <c r="T3" s="25"/>
      <c r="U3" s="25"/>
      <c r="V3" s="25"/>
      <c r="W3" s="25"/>
      <c r="X3" s="25"/>
    </row>
    <row r="4" spans="1:24" ht="20.100000000000001" customHeight="1" x14ac:dyDescent="0.25">
      <c r="A4" s="5" t="str">
        <f>HYPERLINK("#'Results'!A1", "Results")</f>
        <v>Results</v>
      </c>
      <c r="C4" s="31"/>
      <c r="D4" s="31"/>
      <c r="E4" s="31"/>
      <c r="F4" s="31"/>
      <c r="G4" s="31"/>
      <c r="H4" s="31"/>
      <c r="I4" s="31"/>
      <c r="J4" s="31"/>
      <c r="K4" s="31"/>
    </row>
    <row r="5" spans="1:24" ht="20.100000000000001" customHeight="1" x14ac:dyDescent="0.25">
      <c r="D5" s="2" t="s">
        <v>105</v>
      </c>
      <c r="N5" s="32"/>
    </row>
    <row r="6" spans="1:24" ht="20.100000000000001" customHeight="1" x14ac:dyDescent="0.25">
      <c r="A6" s="8" t="s">
        <v>1</v>
      </c>
      <c r="N6" s="34"/>
    </row>
    <row r="7" spans="1:24" ht="20.100000000000001" customHeight="1" x14ac:dyDescent="0.25">
      <c r="A7" s="5" t="str">
        <f>HYPERLINK("#'Input - Site'!A1", "Site")</f>
        <v>Site</v>
      </c>
      <c r="D7" s="44" t="s">
        <v>106</v>
      </c>
      <c r="E7" s="45"/>
      <c r="F7" s="45"/>
      <c r="G7" s="46"/>
    </row>
    <row r="8" spans="1:24" ht="20.100000000000001" customHeight="1" x14ac:dyDescent="0.25">
      <c r="A8" s="5" t="str">
        <f>HYPERLINK("#'Input - Pasture Beef'!A1", "Pasture Beef")</f>
        <v>Pasture Beef</v>
      </c>
      <c r="D8" s="47" t="s">
        <v>107</v>
      </c>
      <c r="E8" s="48"/>
      <c r="F8" s="48"/>
      <c r="G8" s="49"/>
    </row>
    <row r="9" spans="1:24" ht="20.100000000000001" customHeight="1" x14ac:dyDescent="0.25">
      <c r="A9" s="5"/>
      <c r="D9" s="1"/>
      <c r="E9" s="50"/>
      <c r="F9" s="17"/>
      <c r="N9" s="36"/>
    </row>
    <row r="10" spans="1:24" ht="20.100000000000001" customHeight="1" x14ac:dyDescent="0.25">
      <c r="A10" s="7" t="s">
        <v>3</v>
      </c>
      <c r="D10" s="1" t="s">
        <v>108</v>
      </c>
      <c r="E10" s="14" t="s">
        <v>109</v>
      </c>
      <c r="F10" s="17" t="s">
        <v>110</v>
      </c>
      <c r="N10" s="36"/>
    </row>
    <row r="11" spans="1:24" ht="20.100000000000001" customHeight="1" x14ac:dyDescent="0.25">
      <c r="A11" s="5" t="str">
        <f>HYPERLINK("#'4.2.1.1-2 Methane'!A1", "4.2.1.1-2 Methane")</f>
        <v>4.2.1.1-2 Methane</v>
      </c>
      <c r="D11" s="1" t="s">
        <v>111</v>
      </c>
      <c r="E11" s="14" t="s">
        <v>112</v>
      </c>
      <c r="F11" s="17" t="s">
        <v>110</v>
      </c>
      <c r="G11" s="1"/>
      <c r="N11" s="41"/>
    </row>
    <row r="12" spans="1:24" ht="20.100000000000001" customHeight="1" x14ac:dyDescent="0.25">
      <c r="A12" s="5" t="str">
        <f>HYPERLINK("#'4.2.1.3-4 Soil direct N2O'!A1", "4.2.1.3-4 Soil direct N2O")</f>
        <v>4.2.1.3-4 Soil direct N2O</v>
      </c>
      <c r="D12" s="1" t="s">
        <v>113</v>
      </c>
      <c r="E12" s="14" t="s">
        <v>114</v>
      </c>
      <c r="F12" s="17" t="s">
        <v>110</v>
      </c>
    </row>
    <row r="13" spans="1:24" ht="20.100000000000001" customHeight="1" x14ac:dyDescent="0.25">
      <c r="A13" s="5" t="str">
        <f>HYPERLINK("#'4.2.1.5-6 Soil Atmos Dep'!A1", "4.2.1.5-6 Soil atm. deposition")</f>
        <v>4.2.1.5-6 Soil atm. deposition</v>
      </c>
      <c r="D13" s="1" t="s">
        <v>46</v>
      </c>
      <c r="E13" s="35">
        <v>307.7</v>
      </c>
      <c r="F13" s="17" t="s">
        <v>115</v>
      </c>
      <c r="N13" s="43"/>
      <c r="O13" s="43"/>
    </row>
    <row r="14" spans="1:24" ht="20.100000000000001" customHeight="1" x14ac:dyDescent="0.25">
      <c r="A14" s="5" t="str">
        <f>HYPERLINK("#'4.2.1.7-8 Soil leach runoff'!A1", "4.2.1.7-8 Soil leach &amp; runoff")</f>
        <v>4.2.1.7-8 Soil leach &amp; runoff</v>
      </c>
      <c r="D14" s="1" t="s">
        <v>116</v>
      </c>
      <c r="E14" s="35">
        <v>18</v>
      </c>
      <c r="F14" s="17" t="s">
        <v>117</v>
      </c>
      <c r="N14" s="43"/>
      <c r="O14" s="43"/>
    </row>
    <row r="15" spans="1:24" ht="20.100000000000001" customHeight="1" x14ac:dyDescent="0.25">
      <c r="A15" s="5"/>
      <c r="D15" s="1" t="s">
        <v>118</v>
      </c>
      <c r="E15" s="35">
        <v>601</v>
      </c>
      <c r="F15" s="17" t="s">
        <v>119</v>
      </c>
      <c r="N15" s="43"/>
      <c r="O15" s="43"/>
    </row>
    <row r="16" spans="1:24" ht="20.100000000000001" customHeight="1" x14ac:dyDescent="0.25">
      <c r="A16" s="6" t="s">
        <v>2</v>
      </c>
      <c r="D16" s="13" t="s">
        <v>120</v>
      </c>
      <c r="E16" s="35">
        <v>1326</v>
      </c>
      <c r="F16" s="17" t="s">
        <v>119</v>
      </c>
      <c r="N16" s="43"/>
      <c r="O16" s="43"/>
    </row>
    <row r="17" spans="1:25" ht="20.100000000000001" customHeight="1" x14ac:dyDescent="0.25">
      <c r="A17" s="5" t="str">
        <f>HYPERLINK("#'Constants - Pasture Beef'!A1", "Constants - Pasture Beef")</f>
        <v>Constants - Pasture Beef</v>
      </c>
      <c r="D17" s="1" t="s">
        <v>121</v>
      </c>
      <c r="E17" s="35">
        <v>7</v>
      </c>
      <c r="F17" s="17" t="s">
        <v>122</v>
      </c>
    </row>
    <row r="18" spans="1:25" ht="20.100000000000001" customHeight="1" x14ac:dyDescent="0.25">
      <c r="A18" s="5" t="str">
        <f>HYPERLINK("#'Constants - Livestock'!A1", "Constants - Livestock")</f>
        <v>Constants - Livestock</v>
      </c>
      <c r="D18" s="13" t="s">
        <v>123</v>
      </c>
      <c r="E18" s="16">
        <f>E15/E16</f>
        <v>0.45324283559577677</v>
      </c>
      <c r="F18" s="17"/>
    </row>
    <row r="19" spans="1:25" ht="20.100000000000001" customHeight="1" x14ac:dyDescent="0.25">
      <c r="A19" s="5" t="str">
        <f>HYPERLINK("#'Constants - Common'!A1", "Constants - Common")</f>
        <v>Constants - Common</v>
      </c>
      <c r="D19" s="13" t="s">
        <v>74</v>
      </c>
      <c r="E19" s="16" t="str">
        <f>Common_InputFunctions.Utility_LookupItemFromMinMax(E15,Table_SourceData_RainfallZones[Min rainfall],Table_SourceData_RainfallZones[Max rainfall],Table_SourceData_RainfallZones[Rainfall Zone])</f>
        <v>High rainfall</v>
      </c>
      <c r="G19" s="51"/>
      <c r="N19" s="32"/>
    </row>
    <row r="20" spans="1:25" ht="20.100000000000001" customHeight="1" x14ac:dyDescent="0.25">
      <c r="A20" s="5" t="str">
        <f>HYPERLINK("#'Acknowledgements'!A1", "Acknowledgements")</f>
        <v>Acknowledgements</v>
      </c>
      <c r="D20" s="1" t="s">
        <v>41</v>
      </c>
      <c r="E20" s="16" t="str">
        <f>Common_InputFunctions.Utility_GetClimateZone(E14,E15,E17,E13,E18,Table_SourceData_ClimateZones[Min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20" s="1"/>
      <c r="G20" s="50"/>
      <c r="N20" s="34"/>
    </row>
    <row r="21" spans="1:25" ht="20.100000000000001" customHeight="1" x14ac:dyDescent="0.25">
      <c r="A21"/>
      <c r="D21" s="1" t="s">
        <v>124</v>
      </c>
      <c r="E21" s="16" t="str">
        <f>Common_InputFunctions.Utility_LookupValueInTable($E$20,Table_SourceData_WetDryZones[Climate zone],Table_SourceData_WetDryZones[Wet or Dry Zone])</f>
        <v>Dry climate zone</v>
      </c>
      <c r="F21" s="1"/>
      <c r="G21" s="50"/>
    </row>
    <row r="22" spans="1:25" ht="20.100000000000001" customHeight="1" x14ac:dyDescent="0.25">
      <c r="A22" s="5"/>
      <c r="D22" s="1" t="s">
        <v>78</v>
      </c>
      <c r="E22" s="16" t="str">
        <f>Common_InputFunctions.Utility_LookupItemFromMinMax(E14,Table_SourceData_TemperatureZones[Min MAT],Table_SourceData_TemperatureZones[Max MAT],Table_SourceData_TemperatureZones[Temperature Zone])</f>
        <v>Temperate</v>
      </c>
      <c r="G22" s="54"/>
    </row>
    <row r="23" spans="1:25" ht="20.100000000000001" customHeight="1" x14ac:dyDescent="0.25">
      <c r="A23" s="5"/>
    </row>
    <row r="24" spans="1:25" ht="20.100000000000001" customHeight="1" x14ac:dyDescent="0.25">
      <c r="A24" s="5"/>
    </row>
    <row r="25" spans="1:25" ht="20.100000000000001" customHeight="1" x14ac:dyDescent="0.25">
      <c r="A25"/>
      <c r="N25" s="34"/>
    </row>
    <row r="26" spans="1:25" ht="20.100000000000001" customHeight="1" x14ac:dyDescent="0.25">
      <c r="A26"/>
    </row>
    <row r="27" spans="1:25" ht="20.100000000000001" customHeight="1" x14ac:dyDescent="0.25">
      <c r="A27"/>
    </row>
    <row r="28" spans="1:25" ht="20.100000000000001" customHeight="1" x14ac:dyDescent="0.25">
      <c r="A28"/>
    </row>
    <row r="29" spans="1:25" ht="20.100000000000001" customHeight="1" x14ac:dyDescent="0.25">
      <c r="A29"/>
    </row>
    <row r="30" spans="1:25" ht="20.100000000000001" customHeight="1" x14ac:dyDescent="0.25">
      <c r="A30"/>
      <c r="L30" s="52"/>
      <c r="M30" s="52"/>
      <c r="N30" s="52"/>
      <c r="O30" s="52"/>
      <c r="P30" s="52"/>
      <c r="Q30" s="52"/>
      <c r="R30" s="52"/>
      <c r="S30" s="52"/>
      <c r="T30" s="52"/>
      <c r="U30" s="52"/>
      <c r="V30" s="52"/>
      <c r="W30" s="52"/>
      <c r="X30" s="52"/>
      <c r="Y30" s="52"/>
    </row>
    <row r="31" spans="1:25" ht="20.100000000000001" customHeight="1" x14ac:dyDescent="0.25">
      <c r="A31"/>
      <c r="L31" s="53"/>
      <c r="M31" s="53"/>
      <c r="N31" s="53"/>
      <c r="O31" s="53"/>
      <c r="P31" s="53"/>
      <c r="Q31" s="53"/>
      <c r="R31" s="53"/>
      <c r="S31" s="53"/>
      <c r="T31" s="53"/>
      <c r="U31" s="53"/>
      <c r="V31" s="53"/>
      <c r="W31" s="53"/>
      <c r="X31" s="53"/>
      <c r="Y31" s="53"/>
    </row>
    <row r="32" spans="1:25" ht="20.100000000000001" customHeight="1" x14ac:dyDescent="0.25">
      <c r="A32"/>
      <c r="L32" s="53"/>
      <c r="M32" s="53"/>
      <c r="N32" s="53"/>
      <c r="O32" s="53"/>
      <c r="P32" s="53"/>
      <c r="Q32" s="53"/>
      <c r="R32" s="53"/>
      <c r="S32" s="53"/>
      <c r="T32" s="53"/>
      <c r="U32" s="53"/>
      <c r="V32" s="53"/>
      <c r="W32" s="53"/>
      <c r="X32" s="53"/>
      <c r="Y32" s="53"/>
    </row>
    <row r="33" spans="1:25" ht="20.100000000000001" customHeight="1" x14ac:dyDescent="0.25">
      <c r="A33"/>
      <c r="L33" s="53"/>
      <c r="M33" s="53"/>
      <c r="N33" s="53"/>
      <c r="O33" s="53"/>
      <c r="P33" s="53"/>
      <c r="Q33" s="53"/>
      <c r="R33" s="53"/>
      <c r="S33" s="53"/>
      <c r="T33" s="53"/>
      <c r="U33" s="53"/>
      <c r="V33" s="53"/>
      <c r="W33" s="53"/>
      <c r="X33" s="53"/>
      <c r="Y33" s="53"/>
    </row>
    <row r="34" spans="1:25" ht="20.100000000000001" customHeight="1" x14ac:dyDescent="0.25">
      <c r="A34"/>
      <c r="J34" s="55"/>
      <c r="K34" s="56"/>
      <c r="L34" s="53"/>
      <c r="M34" s="53"/>
      <c r="N34" s="53"/>
      <c r="O34" s="53"/>
      <c r="P34" s="53"/>
      <c r="Q34" s="53"/>
      <c r="R34" s="53"/>
      <c r="S34" s="53"/>
      <c r="T34" s="53"/>
      <c r="U34" s="53"/>
      <c r="V34" s="53"/>
      <c r="W34" s="53"/>
      <c r="X34" s="53"/>
      <c r="Y34" s="53"/>
    </row>
    <row r="35" spans="1:25" ht="20.100000000000001" customHeight="1" x14ac:dyDescent="0.25">
      <c r="A35"/>
      <c r="J35" s="55"/>
      <c r="K35" s="56"/>
      <c r="L35" s="53"/>
      <c r="M35" s="53"/>
      <c r="N35" s="53"/>
      <c r="O35" s="53"/>
      <c r="P35" s="53"/>
      <c r="Q35" s="53"/>
      <c r="R35" s="53"/>
      <c r="S35" s="53"/>
      <c r="T35" s="53"/>
      <c r="U35" s="53"/>
      <c r="V35" s="53"/>
      <c r="W35" s="53"/>
      <c r="X35" s="53"/>
      <c r="Y35" s="53"/>
    </row>
    <row r="36" spans="1:25" ht="20.100000000000001" customHeight="1" x14ac:dyDescent="0.25">
      <c r="A36"/>
      <c r="D36" s="57"/>
      <c r="E36" s="57"/>
      <c r="F36" s="58"/>
      <c r="G36" s="55"/>
      <c r="H36" s="55"/>
      <c r="I36" s="59"/>
      <c r="J36" s="55"/>
      <c r="K36" s="56"/>
      <c r="L36" s="53"/>
      <c r="M36" s="53"/>
      <c r="N36" s="53"/>
      <c r="O36" s="53"/>
      <c r="P36" s="53"/>
      <c r="Q36" s="53"/>
      <c r="R36" s="53"/>
      <c r="S36" s="53"/>
      <c r="T36" s="53"/>
      <c r="U36" s="53"/>
      <c r="V36" s="53"/>
      <c r="W36" s="53"/>
      <c r="X36" s="53"/>
      <c r="Y36" s="53"/>
    </row>
    <row r="37" spans="1:25" ht="20.100000000000001" customHeight="1" x14ac:dyDescent="0.25">
      <c r="A37"/>
      <c r="D37" s="57"/>
      <c r="E37" s="57"/>
      <c r="F37" s="58"/>
      <c r="G37" s="55"/>
      <c r="H37" s="55"/>
      <c r="I37" s="59"/>
      <c r="J37" s="55"/>
      <c r="K37" s="56"/>
      <c r="L37" s="53"/>
      <c r="M37" s="53"/>
      <c r="N37" s="53"/>
      <c r="O37" s="53"/>
      <c r="P37" s="53"/>
      <c r="Q37" s="53"/>
      <c r="R37" s="53"/>
      <c r="S37" s="53"/>
      <c r="T37" s="53"/>
      <c r="U37" s="53"/>
      <c r="V37" s="53"/>
      <c r="W37" s="53"/>
      <c r="X37" s="53"/>
      <c r="Y37" s="53"/>
    </row>
    <row r="38" spans="1:25" ht="20.100000000000001" customHeight="1" x14ac:dyDescent="0.25">
      <c r="A38"/>
      <c r="D38" s="57"/>
      <c r="E38" s="57"/>
      <c r="F38" s="58"/>
      <c r="G38" s="55"/>
      <c r="H38" s="55"/>
      <c r="I38" s="59"/>
      <c r="J38" s="55"/>
      <c r="K38" s="56"/>
      <c r="L38" s="53"/>
      <c r="M38" s="53"/>
      <c r="N38" s="53"/>
      <c r="O38" s="53"/>
      <c r="P38" s="53"/>
      <c r="Q38" s="53"/>
      <c r="R38" s="53"/>
      <c r="S38" s="53"/>
      <c r="T38" s="53"/>
      <c r="U38" s="53"/>
      <c r="V38" s="53"/>
      <c r="W38" s="53"/>
      <c r="X38" s="53"/>
      <c r="Y38" s="53"/>
    </row>
    <row r="39" spans="1:25" ht="20.100000000000001" customHeight="1" x14ac:dyDescent="0.25">
      <c r="A39"/>
      <c r="D39" s="57"/>
      <c r="E39" s="57"/>
      <c r="F39" s="58"/>
      <c r="G39" s="55"/>
      <c r="H39" s="55"/>
      <c r="I39" s="59"/>
      <c r="J39" s="55"/>
      <c r="K39" s="56"/>
      <c r="L39" s="53"/>
      <c r="M39" s="53"/>
      <c r="N39" s="53"/>
      <c r="O39" s="53"/>
      <c r="P39" s="53"/>
      <c r="Q39" s="53"/>
      <c r="R39" s="53"/>
      <c r="S39" s="53"/>
      <c r="T39" s="53"/>
      <c r="U39" s="53"/>
      <c r="V39" s="53"/>
      <c r="W39" s="53"/>
      <c r="X39" s="53"/>
      <c r="Y39" s="53"/>
    </row>
    <row r="40" spans="1:25" ht="20.100000000000001" customHeight="1" x14ac:dyDescent="0.25">
      <c r="A40"/>
      <c r="D40" s="60"/>
      <c r="E40" s="60"/>
      <c r="F40" s="60"/>
      <c r="G40" s="61"/>
      <c r="H40" s="62"/>
      <c r="I40" s="62"/>
      <c r="J40" s="62"/>
      <c r="K40" s="62"/>
      <c r="L40" s="63"/>
      <c r="M40" s="63"/>
      <c r="N40" s="63"/>
      <c r="O40" s="63"/>
      <c r="P40" s="63"/>
      <c r="Q40" s="63"/>
      <c r="R40" s="63"/>
      <c r="S40" s="63"/>
      <c r="T40" s="63"/>
      <c r="U40" s="63"/>
      <c r="V40" s="63"/>
      <c r="W40" s="63"/>
      <c r="X40" s="63"/>
      <c r="Y40" s="63"/>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2"/>
    </row>
    <row r="46" spans="1:25" ht="20.100000000000001" customHeight="1" x14ac:dyDescent="0.25">
      <c r="D46" s="2"/>
    </row>
    <row r="47" spans="1:25" ht="20.100000000000001" customHeight="1" x14ac:dyDescent="0.25">
      <c r="D47" s="64"/>
      <c r="E47" s="64"/>
      <c r="F47" s="64"/>
      <c r="G47" s="64"/>
      <c r="H47" s="64"/>
    </row>
    <row r="48" spans="1:25" ht="20.100000000000001" customHeight="1" x14ac:dyDescent="0.25">
      <c r="D48" s="65"/>
      <c r="E48" s="65"/>
      <c r="F48" s="66"/>
      <c r="G48" s="66"/>
      <c r="H48" s="65"/>
    </row>
    <row r="49" spans="4:8" ht="20.100000000000001" customHeight="1" x14ac:dyDescent="0.25">
      <c r="D49" s="65"/>
      <c r="E49" s="65"/>
      <c r="F49" s="66"/>
      <c r="G49" s="66"/>
      <c r="H49" s="65"/>
    </row>
    <row r="50" spans="4:8" ht="20.100000000000001" customHeight="1" x14ac:dyDescent="0.25">
      <c r="D50" s="65"/>
      <c r="E50" s="65"/>
      <c r="F50" s="66"/>
      <c r="G50" s="66"/>
      <c r="H50" s="65"/>
    </row>
    <row r="51" spans="4:8" ht="20.100000000000001" customHeight="1" x14ac:dyDescent="0.25">
      <c r="D51" s="67"/>
      <c r="E51" s="68"/>
      <c r="F51" s="68"/>
      <c r="G51" s="68"/>
      <c r="H51" s="69"/>
    </row>
    <row r="52" spans="4:8" ht="20.100000000000001" customHeight="1" x14ac:dyDescent="0.25"/>
    <row r="53" spans="4:8" ht="20.100000000000001" customHeight="1" x14ac:dyDescent="0.25"/>
    <row r="54" spans="4:8" ht="20.100000000000001" customHeight="1" x14ac:dyDescent="0.25">
      <c r="G54" s="70"/>
    </row>
    <row r="55" spans="4:8" ht="20.100000000000001" customHeight="1" x14ac:dyDescent="0.25">
      <c r="D55" s="2"/>
    </row>
    <row r="56" spans="4:8" ht="20.100000000000001" customHeight="1" x14ac:dyDescent="0.25"/>
    <row r="57" spans="4:8" ht="20.100000000000001" customHeight="1" x14ac:dyDescent="0.25">
      <c r="D57" s="71"/>
      <c r="F57" s="72"/>
    </row>
    <row r="58" spans="4:8" ht="20.100000000000001" customHeight="1" x14ac:dyDescent="0.25">
      <c r="D58" s="1"/>
      <c r="E58" s="73"/>
    </row>
    <row r="59" spans="4:8" ht="20.100000000000001" customHeight="1" x14ac:dyDescent="0.25">
      <c r="D59" s="1"/>
      <c r="E59" s="73"/>
    </row>
    <row r="60" spans="4:8" ht="20.100000000000001" customHeight="1" x14ac:dyDescent="0.25">
      <c r="D60" s="1"/>
      <c r="E60" s="74"/>
    </row>
    <row r="61" spans="4:8" ht="20.100000000000001" customHeight="1" x14ac:dyDescent="0.25">
      <c r="D61" s="1"/>
    </row>
    <row r="62" spans="4:8" ht="20.100000000000001" customHeight="1" x14ac:dyDescent="0.25"/>
    <row r="63" spans="4:8" ht="20.100000000000001" customHeight="1" x14ac:dyDescent="0.25">
      <c r="D63" s="71"/>
    </row>
    <row r="64" spans="4:8" ht="20.100000000000001" customHeight="1" x14ac:dyDescent="0.25">
      <c r="D64" s="1"/>
      <c r="E64" s="73"/>
    </row>
    <row r="65" spans="4:9" ht="20.100000000000001" customHeight="1" x14ac:dyDescent="0.25">
      <c r="D65" s="1"/>
      <c r="E65" s="73"/>
    </row>
    <row r="66" spans="4:9" ht="20.100000000000001" customHeight="1" x14ac:dyDescent="0.25">
      <c r="D66" s="1"/>
      <c r="E66" s="74"/>
    </row>
    <row r="67" spans="4:9" ht="20.100000000000001" customHeight="1" x14ac:dyDescent="0.25"/>
    <row r="68" spans="4:9" ht="20.100000000000001" customHeight="1" x14ac:dyDescent="0.25"/>
    <row r="69" spans="4:9" ht="20.100000000000001" customHeight="1" x14ac:dyDescent="0.25">
      <c r="D69" s="75"/>
      <c r="E69" s="75"/>
      <c r="F69" s="75"/>
      <c r="G69" s="75"/>
      <c r="H69" s="75"/>
      <c r="I69" s="75"/>
    </row>
    <row r="70" spans="4:9" ht="20.100000000000001" customHeight="1" x14ac:dyDescent="0.25">
      <c r="D70" s="75"/>
      <c r="E70" s="75"/>
      <c r="F70" s="75"/>
      <c r="G70" s="75"/>
      <c r="H70" s="75"/>
      <c r="I70" s="75"/>
    </row>
    <row r="71" spans="4:9" ht="20.100000000000001" customHeight="1" x14ac:dyDescent="0.25">
      <c r="D71" s="75"/>
      <c r="E71" s="75"/>
      <c r="F71" s="75"/>
      <c r="G71" s="75"/>
      <c r="H71" s="75"/>
      <c r="I71" s="75"/>
    </row>
    <row r="72" spans="4:9" ht="20.100000000000001" customHeight="1" x14ac:dyDescent="0.25">
      <c r="D72" s="75"/>
      <c r="E72" s="75"/>
      <c r="F72" s="75"/>
      <c r="G72" s="75"/>
      <c r="H72" s="75"/>
      <c r="I72" s="75"/>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76"/>
    </row>
    <row r="79" spans="4:9" ht="20.100000000000001" customHeight="1" x14ac:dyDescent="0.25">
      <c r="D79" s="76"/>
    </row>
    <row r="80" spans="4:9" ht="20.100000000000001" customHeight="1" x14ac:dyDescent="0.25">
      <c r="D80" s="76"/>
    </row>
    <row r="81" spans="4:4" ht="20.100000000000001" customHeight="1" x14ac:dyDescent="0.25">
      <c r="D81" s="76"/>
    </row>
    <row r="82" spans="4:4" ht="20.100000000000001" customHeight="1" x14ac:dyDescent="0.25">
      <c r="D82" s="76"/>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dataValidations count="4">
    <dataValidation type="list" allowBlank="1" showInputMessage="1" showErrorMessage="1" sqref="E12" xr:uid="{620909BD-05B7-4260-BB85-4888DFAEE1F3}">
      <formula1>"YES - In leaching zone, NO - Not in leaching zone"</formula1>
    </dataValidation>
    <dataValidation type="list" allowBlank="1" showInputMessage="1" showErrorMessage="1" sqref="G36:G39" xr:uid="{FC4F355F-8194-44E7-BAB7-2E788D632391}">
      <formula1>$D$41:$D$43</formula1>
    </dataValidation>
    <dataValidation type="list" allowBlank="1" showInputMessage="1" showErrorMessage="1" sqref="E11" xr:uid="{674A5993-80C6-40F8-9C7E-8360EE985D6D}">
      <formula1>INDIRECT("Table_WASA4Areas[SA 4 Name]")</formula1>
    </dataValidation>
    <dataValidation type="list" allowBlank="1" showInputMessage="1" showErrorMessage="1" sqref="E10" xr:uid="{3E5D42A7-7A09-4510-8DDD-588AA6407F0E}">
      <formula1>INDIRECT("Table_AustralianStates[Common Name]")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171F5-957D-4D10-AA21-0CE17EC217CD}">
  <sheetPr>
    <tabColor rgb="FFCC6600"/>
  </sheetPr>
  <dimension ref="C1:J84"/>
  <sheetViews>
    <sheetView showGridLines="0" tabSelected="1" topLeftCell="A51" zoomScaleNormal="100" workbookViewId="0">
      <selection activeCell="E69" sqref="E69"/>
      <extLst>
        <ext xmlns:xlsdti="http://schemas.microsoft.com/office/spreadsheetml/2023/showDataTypeIcons" uri="{77bfe23e-c014-4d31-8a63-9c772dbf06b6}">
          <xlsdti:showDataTypeIcons visible="0"/>
        </ext>
      </extLst>
    </sheetView>
  </sheetViews>
  <sheetFormatPr defaultRowHeight="15.75" x14ac:dyDescent="0.25"/>
  <cols>
    <col min="1" max="1" width="30.7109375" customWidth="1"/>
    <col min="2" max="2" width="4.7109375" customWidth="1"/>
    <col min="3" max="3" width="4.7109375" style="1" customWidth="1"/>
    <col min="4" max="4" width="69.28515625" style="1" customWidth="1"/>
    <col min="5" max="5" width="30.7109375" style="1" customWidth="1"/>
    <col min="6" max="6" width="36.28515625" style="1" customWidth="1"/>
    <col min="7" max="7" width="36.140625" style="1" customWidth="1"/>
    <col min="8" max="9" width="30.7109375" style="1" customWidth="1"/>
    <col min="10" max="10" width="4.7109375" style="1" customWidth="1"/>
    <col min="11" max="11" width="30.7109375" customWidth="1"/>
  </cols>
  <sheetData>
    <row r="1" spans="3:10" ht="25.5" x14ac:dyDescent="0.35">
      <c r="C1" s="29" t="s">
        <v>162</v>
      </c>
      <c r="D1" s="23"/>
      <c r="E1" s="23"/>
      <c r="F1" s="23"/>
      <c r="G1" s="23"/>
      <c r="H1" s="23"/>
      <c r="I1" s="23"/>
      <c r="J1" s="23"/>
    </row>
    <row r="2" spans="3:10" x14ac:dyDescent="0.25">
      <c r="C2" s="3"/>
      <c r="D2" s="3"/>
      <c r="E2" s="3"/>
      <c r="F2" s="3"/>
      <c r="G2" s="3"/>
      <c r="H2" s="3"/>
      <c r="I2" s="3"/>
      <c r="J2" s="3"/>
    </row>
    <row r="3" spans="3:10" ht="20.25" x14ac:dyDescent="0.25">
      <c r="C3" s="30"/>
      <c r="D3" s="30"/>
      <c r="E3" s="30"/>
      <c r="F3" s="30"/>
      <c r="G3" s="30"/>
      <c r="H3" s="30"/>
      <c r="I3" s="30"/>
      <c r="J3" s="30"/>
    </row>
    <row r="5" spans="3:10" ht="23.25" x14ac:dyDescent="0.25">
      <c r="D5" s="2" t="s">
        <v>97</v>
      </c>
      <c r="E5" s="26"/>
      <c r="F5" s="26"/>
      <c r="G5" s="26"/>
    </row>
    <row r="6" spans="3:10" x14ac:dyDescent="0.25">
      <c r="D6" s="33"/>
      <c r="E6" s="26"/>
      <c r="F6" s="26"/>
      <c r="G6" s="26"/>
    </row>
    <row r="7" spans="3:10" x14ac:dyDescent="0.25">
      <c r="D7" s="1" t="s">
        <v>98</v>
      </c>
      <c r="E7" s="35" t="s">
        <v>99</v>
      </c>
      <c r="F7" s="17"/>
      <c r="G7" s="26"/>
    </row>
    <row r="8" spans="3:10" x14ac:dyDescent="0.25">
      <c r="D8" s="13" t="s">
        <v>100</v>
      </c>
      <c r="E8" s="35" t="s">
        <v>101</v>
      </c>
      <c r="F8" s="26"/>
      <c r="G8" s="26"/>
    </row>
    <row r="9" spans="3:10" x14ac:dyDescent="0.25">
      <c r="D9" s="26"/>
      <c r="E9" s="26"/>
      <c r="F9" s="26"/>
      <c r="G9" s="26"/>
    </row>
    <row r="10" spans="3:10" x14ac:dyDescent="0.25">
      <c r="D10" s="37" t="s">
        <v>102</v>
      </c>
      <c r="E10" s="38"/>
      <c r="F10" s="39"/>
      <c r="G10" s="40"/>
    </row>
    <row r="11" spans="3:10" x14ac:dyDescent="0.25">
      <c r="D11" s="26"/>
      <c r="E11" s="26"/>
      <c r="F11" s="26"/>
      <c r="G11" s="26"/>
    </row>
    <row r="12" spans="3:10" x14ac:dyDescent="0.25">
      <c r="D12" s="13" t="s">
        <v>20</v>
      </c>
      <c r="E12" s="15">
        <v>45292</v>
      </c>
      <c r="F12" s="17" t="s">
        <v>103</v>
      </c>
      <c r="G12" s="26"/>
    </row>
    <row r="13" spans="3:10" x14ac:dyDescent="0.25">
      <c r="D13" s="13" t="s">
        <v>21</v>
      </c>
      <c r="E13" s="42">
        <f>DATE(YEAR(E12)+1,MONTH(E12),DAY(E12))-1</f>
        <v>45657</v>
      </c>
      <c r="F13" s="17" t="s">
        <v>104</v>
      </c>
      <c r="G13" s="26"/>
    </row>
    <row r="14" spans="3:10" x14ac:dyDescent="0.25">
      <c r="F14" s="26"/>
      <c r="G14" s="26"/>
    </row>
    <row r="16" spans="3:10" ht="23.25" x14ac:dyDescent="0.25">
      <c r="D16" s="2" t="s">
        <v>22</v>
      </c>
    </row>
    <row r="18" spans="4:7" x14ac:dyDescent="0.25">
      <c r="D18" s="1" t="s">
        <v>17</v>
      </c>
      <c r="E18" s="15">
        <v>45231</v>
      </c>
      <c r="F18" s="17" t="s">
        <v>103</v>
      </c>
    </row>
    <row r="19" spans="4:7" x14ac:dyDescent="0.25">
      <c r="D19" s="1" t="s">
        <v>18</v>
      </c>
      <c r="E19" s="15">
        <v>45747</v>
      </c>
      <c r="F19" s="17" t="s">
        <v>103</v>
      </c>
    </row>
    <row r="20" spans="4:7" x14ac:dyDescent="0.25">
      <c r="D20" s="1" t="s">
        <v>19</v>
      </c>
      <c r="E20" s="16">
        <f>DATEDIF(E18,E19+1,"m")</f>
        <v>17</v>
      </c>
      <c r="F20" s="17" t="s">
        <v>126</v>
      </c>
    </row>
    <row r="22" spans="4:7" x14ac:dyDescent="0.25">
      <c r="D22" s="1" t="s">
        <v>23</v>
      </c>
      <c r="E22" s="79">
        <f>SUM(Table_Input_LivestockSales[Total liveweight sold])*10^-3</f>
        <v>5</v>
      </c>
      <c r="G22" s="17" t="s">
        <v>29</v>
      </c>
    </row>
    <row r="23" spans="4:7" x14ac:dyDescent="0.25">
      <c r="D23" s="1" t="s">
        <v>24</v>
      </c>
      <c r="E23" s="79" t="s">
        <v>168</v>
      </c>
      <c r="G23" s="17" t="s">
        <v>29</v>
      </c>
    </row>
    <row r="24" spans="4:7" x14ac:dyDescent="0.25">
      <c r="D24" s="1" t="s">
        <v>25</v>
      </c>
      <c r="E24" s="79" t="s">
        <v>169</v>
      </c>
      <c r="G24" s="17" t="s">
        <v>29</v>
      </c>
    </row>
    <row r="25" spans="4:7" x14ac:dyDescent="0.25">
      <c r="D25" s="1" t="s">
        <v>164</v>
      </c>
      <c r="E25" s="79" t="s">
        <v>171</v>
      </c>
      <c r="G25" s="17" t="s">
        <v>29</v>
      </c>
    </row>
    <row r="26" spans="4:7" x14ac:dyDescent="0.25">
      <c r="D26" s="1" t="s">
        <v>165</v>
      </c>
      <c r="E26" s="79" t="s">
        <v>170</v>
      </c>
      <c r="G26" s="17" t="s">
        <v>29</v>
      </c>
    </row>
    <row r="27" spans="4:7" x14ac:dyDescent="0.25">
      <c r="D27" s="1" t="s">
        <v>26</v>
      </c>
      <c r="E27" s="19">
        <v>0.1</v>
      </c>
      <c r="G27" s="17" t="s">
        <v>163</v>
      </c>
    </row>
    <row r="28" spans="4:7" x14ac:dyDescent="0.25">
      <c r="D28" s="1" t="s">
        <v>27</v>
      </c>
      <c r="E28" s="19">
        <v>0.2</v>
      </c>
      <c r="G28" s="17" t="s">
        <v>163</v>
      </c>
    </row>
    <row r="29" spans="4:7" x14ac:dyDescent="0.25">
      <c r="D29" s="1" t="s">
        <v>28</v>
      </c>
      <c r="E29" s="20">
        <f>100%-E27-E28</f>
        <v>0.7</v>
      </c>
      <c r="G29" s="17" t="s">
        <v>163</v>
      </c>
    </row>
    <row r="31" spans="4:7" x14ac:dyDescent="0.25">
      <c r="D31" s="1" t="s">
        <v>166</v>
      </c>
      <c r="E31" s="19">
        <v>0.8</v>
      </c>
      <c r="G31" s="17" t="s">
        <v>163</v>
      </c>
    </row>
    <row r="32" spans="4:7" x14ac:dyDescent="0.25">
      <c r="D32" s="1" t="s">
        <v>167</v>
      </c>
      <c r="E32" s="19">
        <v>0.2</v>
      </c>
      <c r="G32" s="17" t="s">
        <v>163</v>
      </c>
    </row>
    <row r="37" spans="4:7" ht="23.25" x14ac:dyDescent="0.25">
      <c r="D37" s="2" t="s">
        <v>287</v>
      </c>
    </row>
    <row r="40" spans="4:7" ht="18.75" x14ac:dyDescent="0.25">
      <c r="D40" s="80" t="str">
        <f>"Carbon captured from " &amp; TEXT(X_Cell_Site_StartDate, "d mmmm yyyy") &amp; " to " &amp; TEXT(X_Cell_Site_EndDate, "d, mmmm, yyyy") &amp; " from environmental plantings"</f>
        <v>Carbon captured from 1 January 2024 to 31, December, 2024 from environmental plantings</v>
      </c>
    </row>
    <row r="42" spans="4:7" x14ac:dyDescent="0.25">
      <c r="D42" s="21" t="s">
        <v>282</v>
      </c>
      <c r="E42" s="21" t="s">
        <v>283</v>
      </c>
      <c r="F42" s="21" t="s">
        <v>284</v>
      </c>
      <c r="G42" s="83" t="s">
        <v>286</v>
      </c>
    </row>
    <row r="43" spans="4:7" x14ac:dyDescent="0.25">
      <c r="D43" s="35"/>
      <c r="E43" s="77"/>
      <c r="F43" s="19"/>
      <c r="G43" s="1">
        <f>Table_Input_Enterprise_PlantingRemovals[[#This Row],[Total removed CO2]]*Table_Input_Enterprise_PlantingRemovals[[#This Row],[Percent allocated to this enterprise]]</f>
        <v>0</v>
      </c>
    </row>
    <row r="47" spans="4:7" ht="23.25" x14ac:dyDescent="0.25">
      <c r="D47" s="2" t="s">
        <v>288</v>
      </c>
    </row>
    <row r="49" spans="4:7" ht="18.75" x14ac:dyDescent="0.25">
      <c r="D49" s="80" t="str">
        <f>"Gross emissions from other activity periods in the production timeframe " &amp; TEXT(X_Cell_Enterprise_ProductionTimeframeStart, "d mmmm yyyy") &amp; " to " &amp; TEXT(X_Cell_Enterprise_ProductionTimeframeEnd, "d mmmm yyyy")</f>
        <v>Gross emissions from other activity periods in the production timeframe 1 November 2023 to 31 March 2025</v>
      </c>
    </row>
    <row r="51" spans="4:7" x14ac:dyDescent="0.25">
      <c r="D51" s="81" t="str" cm="1">
        <f t="array" ref="D51">"There are " &amp; Common_InputFunctions.getOverlappingReportingCycles(X_Cell_Enterprise_ProductionTimeframeStart,X_Cell_Enterprise_ProductionTimeframeEnd,X_Cell_Site_StartDate) &amp; " emissions calculation periods that need to be completed before total product emissions can be determined."</f>
        <v>There are 3 emissions calculation periods that need to be completed before total product emissions can be determined.</v>
      </c>
    </row>
    <row r="52" spans="4:7" x14ac:dyDescent="0.25">
      <c r="D52" s="1" t="s">
        <v>285</v>
      </c>
    </row>
    <row r="54" spans="4:7" x14ac:dyDescent="0.25">
      <c r="D54" s="83" t="s">
        <v>125</v>
      </c>
      <c r="E54" s="83" t="s">
        <v>10</v>
      </c>
      <c r="F54" s="83" t="s">
        <v>11</v>
      </c>
    </row>
    <row r="55" spans="4:7" x14ac:dyDescent="0.25">
      <c r="D55" s="1" t="str" cm="1">
        <f t="array" ref="D55:D57">Common_InputFunctions.getOverlappingReportingPeriods(X_Cell_Enterprise_ProductionTimeframeStart,X_Cell_Enterprise_ProductionTimeframeEnd,X_Cell_Site_StartDate)</f>
        <v>01 Jan 2023 to 31 Dec 2023</v>
      </c>
      <c r="E55" s="77" t="str">
        <f>IF(ISBLANK($D55), 0, IF(ISNUMBER(SEARCH("reporting", $D55)), Result_Enterprise_Scope1_Method1, "Enter value"))</f>
        <v>Enter value</v>
      </c>
      <c r="F55" s="77" t="str">
        <f>IF(ISBLANK($D55), 0, IF(ISNUMBER(SEARCH("reporting", $D55)), Result_Enterprise_Scope1_Method2, "Enter value"))</f>
        <v>Enter value</v>
      </c>
      <c r="G55" s="10" t="s">
        <v>7</v>
      </c>
    </row>
    <row r="56" spans="4:7" x14ac:dyDescent="0.25">
      <c r="D56" s="1" t="str">
        <v>01 Jan 2024 to 31 Dec 2024 (This reporting cycle)</v>
      </c>
      <c r="E56" s="77" t="e">
        <f>IF(ISBLANK($D56), 0, IF(ISNUMBER(SEARCH("reporting", $D56)), Result_Enterprise_Scope1_Method1, "Enter value"))</f>
        <v>#NAME?</v>
      </c>
      <c r="F56" s="77" t="e">
        <f>IF(ISBLANK($D56), 0, IF(ISNUMBER(SEARCH("reporting", $D56)), Result_Enterprise_Scope1_Method2, "Enter value"))</f>
        <v>#NAME?</v>
      </c>
      <c r="G56" s="10" t="s">
        <v>7</v>
      </c>
    </row>
    <row r="57" spans="4:7" x14ac:dyDescent="0.25">
      <c r="D57" s="1" t="str">
        <v>01 Jan 2025 to 31 Dec 2025</v>
      </c>
      <c r="E57" s="77" t="str">
        <f>IF(ISBLANK($D57), 0, IF(ISNUMBER(SEARCH("reporting", $D57)), Result_Enterprise_Scope1_Method1, "Enter value"))</f>
        <v>Enter value</v>
      </c>
      <c r="F57" s="77" t="str">
        <f>IF(ISBLANK($D57), 0, IF(ISNUMBER(SEARCH("reporting", $D57)), Result_Enterprise_Scope1_Method2, "Enter value"))</f>
        <v>Enter value</v>
      </c>
      <c r="G57" s="10" t="s">
        <v>7</v>
      </c>
    </row>
    <row r="58" spans="4:7" x14ac:dyDescent="0.25">
      <c r="E58" s="77">
        <f>IF(ISBLANK($D58), 0, IF(ISNUMBER(SEARCH("reporting", $D58)), Result_Enterprise_Scope1_Method1, "Enter value"))</f>
        <v>0</v>
      </c>
      <c r="F58" s="77">
        <f>IF(ISBLANK($D58), 0, IF(ISNUMBER(SEARCH("reporting", $D58)), Result_Enterprise_Scope1_Method2, "Enter value"))</f>
        <v>0</v>
      </c>
      <c r="G58" s="10" t="s">
        <v>7</v>
      </c>
    </row>
    <row r="59" spans="4:7" x14ac:dyDescent="0.25">
      <c r="E59" s="77">
        <f>IF(ISBLANK($D59), 0, IF(ISNUMBER(SEARCH("reporting", $D59)), Result_Enterprise_Scope1_Method1, "Enter value"))</f>
        <v>0</v>
      </c>
      <c r="F59" s="77">
        <f>IF(ISBLANK($D59), 0, IF(ISNUMBER(SEARCH("reporting", $D59)), Result_Enterprise_Scope1_Method2, "Enter value"))</f>
        <v>0</v>
      </c>
      <c r="G59" s="10" t="s">
        <v>7</v>
      </c>
    </row>
    <row r="60" spans="4:7" x14ac:dyDescent="0.25">
      <c r="D60" s="95" t="s">
        <v>140</v>
      </c>
      <c r="E60" s="89" t="e">
        <f>SUM(E55:E59)</f>
        <v>#NAME?</v>
      </c>
      <c r="F60" s="89" t="e">
        <f>SUM(F55:F59)</f>
        <v>#NAME?</v>
      </c>
      <c r="G60" s="96" t="s">
        <v>7</v>
      </c>
    </row>
    <row r="65" spans="4:7" ht="18.75" x14ac:dyDescent="0.25">
      <c r="D65" s="80" t="str">
        <f>"Carbon removals from environmental plantings for whole production cycle running between " &amp; TEXT(X_Cell_Enterprise_ProductionTimeframeStart, "d mmmm yyyy") &amp; " and " &amp; TEXT(X_Cell_Enterprise_ProductionTimeframeEnd, "d mmmm yyyy")</f>
        <v>Carbon removals from environmental plantings for whole production cycle running between 1 November 2023 and 31 March 2025</v>
      </c>
    </row>
    <row r="67" spans="4:7" x14ac:dyDescent="0.25">
      <c r="D67" s="83" t="s">
        <v>125</v>
      </c>
      <c r="E67" s="83" t="s">
        <v>138</v>
      </c>
      <c r="F67" s="83"/>
    </row>
    <row r="68" spans="4:7" x14ac:dyDescent="0.25">
      <c r="D68" s="1" t="str" cm="1">
        <f t="array" ref="D68:D70">Common_InputFunctions.getOverlappingReportingPeriods(X_Cell_Enterprise_ProductionTimeframeStart,X_Cell_Enterprise_ProductionTimeframeEnd,X_Cell_Site_StartDate)</f>
        <v>01 Jan 2023 to 31 Dec 2023</v>
      </c>
      <c r="E68" s="77" t="str">
        <f>IF(ISBLANK($D68), 0, IF(ISNUMBER(SEARCH("reporting", $D68)), SUM(Table_Input_Enterprise_PlantingRemovals[Removal allocated to this enterprise]), "Enter value"))</f>
        <v>Enter value</v>
      </c>
      <c r="F68" s="10" t="s">
        <v>139</v>
      </c>
    </row>
    <row r="69" spans="4:7" x14ac:dyDescent="0.25">
      <c r="D69" s="1" t="str">
        <v>01 Jan 2024 to 31 Dec 2024 (This reporting cycle)</v>
      </c>
      <c r="E69" s="77">
        <f>IF(ISBLANK($D69), 0, IF(ISNUMBER(SEARCH("reporting", $D69)), SUM(Table_Input_Enterprise_PlantingRemovals[Removal allocated to this enterprise]), "Enter value"))</f>
        <v>0</v>
      </c>
      <c r="F69" s="10" t="s">
        <v>139</v>
      </c>
    </row>
    <row r="70" spans="4:7" x14ac:dyDescent="0.25">
      <c r="D70" s="1" t="str">
        <v>01 Jan 2025 to 31 Dec 2025</v>
      </c>
      <c r="E70" s="77" t="str">
        <f>IF(ISBLANK($D70), 0, IF(ISNUMBER(SEARCH("reporting", $D70)), SUM(Table_Input_Enterprise_PlantingRemovals[Removal allocated to this enterprise]), "Enter value"))</f>
        <v>Enter value</v>
      </c>
      <c r="F70" s="10" t="s">
        <v>139</v>
      </c>
    </row>
    <row r="71" spans="4:7" x14ac:dyDescent="0.25">
      <c r="E71" s="77">
        <f>IF(ISBLANK($D71), 0, IF(ISNUMBER(SEARCH("reporting", $D71)), SUM(Table_Input_Enterprise_PlantingRemovals[Removal allocated to this enterprise]), "Enter value"))</f>
        <v>0</v>
      </c>
      <c r="F71" s="10" t="s">
        <v>139</v>
      </c>
    </row>
    <row r="72" spans="4:7" x14ac:dyDescent="0.25">
      <c r="E72" s="77">
        <f>IF(ISBLANK($D72), 0, IF(ISNUMBER(SEARCH("reporting", $D72)), SUM(Table_Input_Enterprise_PlantingRemovals[Removal allocated to this enterprise]), "Enter value"))</f>
        <v>0</v>
      </c>
      <c r="F72" s="10" t="s">
        <v>139</v>
      </c>
    </row>
    <row r="73" spans="4:7" x14ac:dyDescent="0.25">
      <c r="D73" s="95" t="s">
        <v>141</v>
      </c>
      <c r="E73" s="89">
        <f>SUM(E68:E72)</f>
        <v>0</v>
      </c>
      <c r="F73" s="96" t="s">
        <v>139</v>
      </c>
    </row>
    <row r="76" spans="4:7" ht="18.75" x14ac:dyDescent="0.25">
      <c r="D76" s="80" t="str">
        <f>"Net emissions from other activity periods in the production timeframe " &amp; TEXT(X_Cell_Enterprise_ProductionTimeframeStart, "d mmmm yyyy") &amp; " to " &amp; TEXT(X_Cell_Enterprise_ProductionTimeframeEnd, "d mmmm yyyy")</f>
        <v>Net emissions from other activity periods in the production timeframe 1 November 2023 to 31 March 2025</v>
      </c>
    </row>
    <row r="78" spans="4:7" x14ac:dyDescent="0.25">
      <c r="D78" s="83" t="s">
        <v>125</v>
      </c>
      <c r="E78" s="83" t="s">
        <v>10</v>
      </c>
      <c r="F78" s="83" t="s">
        <v>11</v>
      </c>
    </row>
    <row r="79" spans="4:7" x14ac:dyDescent="0.25">
      <c r="D79" s="1" t="str" cm="1">
        <f t="array" ref="D79:D81">Common_InputFunctions.getOverlappingReportingPeriods(X_Cell_Enterprise_ProductionTimeframeStart,X_Cell_Enterprise_ProductionTimeframeEnd,X_Cell_Site_StartDate)</f>
        <v>01 Jan 2023 to 31 Dec 2023</v>
      </c>
      <c r="E79" s="77" t="str">
        <f>IF(ISBLANK($D79), 0, IF(ISNUMBER(SEARCH("reporting", $D79)), E55-$E$68, "Enter value"))</f>
        <v>Enter value</v>
      </c>
      <c r="F79" s="77" t="str">
        <f>IF(ISBLANK($D79), 0, IF(ISNUMBER(SEARCH("reporting", $D79)), F55-$E$68, "Enter value"))</f>
        <v>Enter value</v>
      </c>
      <c r="G79" s="10" t="s">
        <v>7</v>
      </c>
    </row>
    <row r="80" spans="4:7" x14ac:dyDescent="0.25">
      <c r="D80" s="1" t="str">
        <v>01 Jan 2024 to 31 Dec 2024 (This reporting cycle)</v>
      </c>
      <c r="E80" s="77" t="e">
        <f>IF(ISBLANK($D80), 0, IF(ISNUMBER(SEARCH("reporting", $D80)), E56-$E$69, "Enter value"))</f>
        <v>#NAME?</v>
      </c>
      <c r="F80" s="77" t="e">
        <f>IF(ISBLANK($D80), 0, IF(ISNUMBER(SEARCH("reporting", $D80)), F56-$E$69, "Enter value"))</f>
        <v>#NAME?</v>
      </c>
      <c r="G80" s="10" t="s">
        <v>7</v>
      </c>
    </row>
    <row r="81" spans="4:7" x14ac:dyDescent="0.25">
      <c r="D81" s="1" t="str">
        <v>01 Jan 2025 to 31 Dec 2025</v>
      </c>
      <c r="E81" s="77" t="str">
        <f>IF(ISBLANK($D81), 0, IF(ISNUMBER(SEARCH("reporting", $D81)), E57-$E$70, "Enter value"))</f>
        <v>Enter value</v>
      </c>
      <c r="F81" s="77" t="str">
        <f>IF(ISBLANK($D81), 0, IF(ISNUMBER(SEARCH("reporting", $D81)), F57-$E$70, "Enter value"))</f>
        <v>Enter value</v>
      </c>
      <c r="G81" s="10" t="s">
        <v>7</v>
      </c>
    </row>
    <row r="82" spans="4:7" x14ac:dyDescent="0.25">
      <c r="E82" s="77">
        <f>IF(ISBLANK($D82), 0, IF(ISNUMBER(SEARCH("reporting", $D82)), E58-$E$71, "Enter value"))</f>
        <v>0</v>
      </c>
      <c r="F82" s="77">
        <f>IF(ISBLANK($D82), 0, IF(ISNUMBER(SEARCH("reporting", $D82)), F58-$E$71, "Enter value"))</f>
        <v>0</v>
      </c>
      <c r="G82" s="10" t="s">
        <v>7</v>
      </c>
    </row>
    <row r="83" spans="4:7" x14ac:dyDescent="0.25">
      <c r="E83" s="77">
        <f>IF(ISBLANK($D83), 0, IF(ISNUMBER(SEARCH("reporting", $D83)), E59-$E$72, "Enter value"))</f>
        <v>0</v>
      </c>
      <c r="F83" s="77">
        <f>IF(ISBLANK($D83), 0, IF(ISNUMBER(SEARCH("reporting", $D83)), F59-$E$72, "Enter value"))</f>
        <v>0</v>
      </c>
      <c r="G83" s="10" t="s">
        <v>7</v>
      </c>
    </row>
    <row r="84" spans="4:7" x14ac:dyDescent="0.25">
      <c r="D84" s="95" t="s">
        <v>140</v>
      </c>
      <c r="E84" s="89" t="e">
        <f>SUM(E79:E83)</f>
        <v>#NAME?</v>
      </c>
      <c r="F84" s="89" t="e">
        <f>SUM(F79:F83)</f>
        <v>#NAME?</v>
      </c>
      <c r="G84" s="96" t="s">
        <v>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CDB01-675B-437E-9BE1-C7A5D3E87BF1}">
  <sheetPr>
    <tabColor rgb="FFCC6600"/>
  </sheetPr>
  <dimension ref="A1:K10"/>
  <sheetViews>
    <sheetView showGridLines="0" zoomScaleNormal="100" workbookViewId="0"/>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s>
  <sheetData>
    <row r="1" spans="1:11" s="11" customFormat="1" ht="25.5" x14ac:dyDescent="0.35">
      <c r="A1" s="11" t="e" vm="1">
        <v>#VALUE!</v>
      </c>
      <c r="C1" s="11" t="s">
        <v>180</v>
      </c>
    </row>
    <row r="2" spans="1:11" s="3" customFormat="1" x14ac:dyDescent="0.25"/>
    <row r="3" spans="1:11" ht="20.25" x14ac:dyDescent="0.25">
      <c r="C3" s="30"/>
      <c r="D3" s="30"/>
      <c r="E3" s="30"/>
      <c r="F3" s="30"/>
      <c r="G3" s="30"/>
      <c r="H3" s="30"/>
      <c r="I3" s="30"/>
      <c r="J3" s="30"/>
      <c r="K3" s="30"/>
    </row>
    <row r="5" spans="1:11" x14ac:dyDescent="0.25">
      <c r="D5" s="71" t="s">
        <v>185</v>
      </c>
      <c r="E5" s="71"/>
      <c r="F5" s="71"/>
      <c r="G5" s="71"/>
    </row>
    <row r="6" spans="1:11" x14ac:dyDescent="0.25">
      <c r="F6" s="17"/>
    </row>
    <row r="7" spans="1:11" x14ac:dyDescent="0.25">
      <c r="D7" s="1" t="s">
        <v>181</v>
      </c>
      <c r="E7" s="16" t="s">
        <v>184</v>
      </c>
      <c r="F7" s="17"/>
    </row>
    <row r="8" spans="1:11" x14ac:dyDescent="0.25">
      <c r="D8" s="1" t="s">
        <v>182</v>
      </c>
      <c r="E8" s="16" t="s">
        <v>184</v>
      </c>
      <c r="F8" s="17"/>
    </row>
    <row r="9" spans="1:11" x14ac:dyDescent="0.25">
      <c r="D9" s="1" t="s">
        <v>73</v>
      </c>
      <c r="E9" s="16" t="e" cm="1">
        <f t="array" ref="E9">X_Cell_Pasture_IrrigationMethod</f>
        <v>#NAME?</v>
      </c>
    </row>
    <row r="10" spans="1:11" x14ac:dyDescent="0.25">
      <c r="D10" s="1" t="s">
        <v>183</v>
      </c>
      <c r="E10" s="16" t="e" cm="1">
        <f t="array" ref="E10">X_Cell_Pasture_AreaUnderPasture</f>
        <v>#NAME?</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D25AD-9AE3-44A6-90A7-1DB424260FEF}">
  <sheetPr>
    <tabColor rgb="FFCC6600"/>
  </sheetPr>
  <dimension ref="A1:M16"/>
  <sheetViews>
    <sheetView showGridLines="0" zoomScaleNormal="100" workbookViewId="0">
      <selection activeCell="H12" sqref="H12"/>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4.7109375" style="1" customWidth="1"/>
  </cols>
  <sheetData>
    <row r="1" spans="1:13" s="11" customFormat="1" ht="25.5" x14ac:dyDescent="0.35">
      <c r="A1" s="11" t="e" vm="1">
        <v>#VALUE!</v>
      </c>
      <c r="C1" s="11" t="s">
        <v>186</v>
      </c>
    </row>
    <row r="2" spans="1:13" s="3" customFormat="1" x14ac:dyDescent="0.25"/>
    <row r="3" spans="1:13" ht="20.25" x14ac:dyDescent="0.25">
      <c r="C3" s="30"/>
      <c r="D3" s="30"/>
      <c r="E3" s="30"/>
      <c r="F3" s="30"/>
      <c r="G3" s="30"/>
      <c r="H3" s="30"/>
      <c r="I3" s="30"/>
      <c r="J3" s="30"/>
      <c r="K3" s="30"/>
      <c r="L3" s="30"/>
      <c r="M3" s="30"/>
    </row>
    <row r="5" spans="1:13" x14ac:dyDescent="0.25">
      <c r="D5" s="81" t="s">
        <v>187</v>
      </c>
    </row>
    <row r="6" spans="1:13" x14ac:dyDescent="0.25">
      <c r="D6" s="21" t="s">
        <v>188</v>
      </c>
      <c r="E6" s="21" t="s">
        <v>189</v>
      </c>
      <c r="F6" s="21" t="s">
        <v>190</v>
      </c>
      <c r="G6" s="21" t="s">
        <v>191</v>
      </c>
      <c r="H6" s="21" t="s">
        <v>192</v>
      </c>
      <c r="I6" s="21" t="s">
        <v>193</v>
      </c>
    </row>
    <row r="7" spans="1:13" x14ac:dyDescent="0.25">
      <c r="D7" s="35"/>
      <c r="E7" s="14" t="s">
        <v>194</v>
      </c>
      <c r="F7" s="82">
        <v>45566</v>
      </c>
      <c r="G7" s="21">
        <v>10</v>
      </c>
      <c r="H7" s="21">
        <v>500</v>
      </c>
      <c r="I7" s="16">
        <f t="shared" ref="I7:I16" si="0">G7*H7</f>
        <v>5000</v>
      </c>
    </row>
    <row r="8" spans="1:13" x14ac:dyDescent="0.25">
      <c r="D8" s="35"/>
      <c r="E8" s="14"/>
      <c r="F8" s="82"/>
      <c r="G8" s="21"/>
      <c r="H8" s="21"/>
      <c r="I8" s="16">
        <f t="shared" si="0"/>
        <v>0</v>
      </c>
    </row>
    <row r="9" spans="1:13" x14ac:dyDescent="0.25">
      <c r="D9" s="35"/>
      <c r="E9" s="14"/>
      <c r="F9" s="82"/>
      <c r="G9" s="21"/>
      <c r="H9" s="21"/>
      <c r="I9" s="16">
        <f t="shared" si="0"/>
        <v>0</v>
      </c>
    </row>
    <row r="10" spans="1:13" x14ac:dyDescent="0.25">
      <c r="D10" s="35"/>
      <c r="E10" s="14"/>
      <c r="F10" s="82"/>
      <c r="G10" s="21"/>
      <c r="H10" s="21"/>
      <c r="I10" s="16">
        <f t="shared" si="0"/>
        <v>0</v>
      </c>
    </row>
    <row r="11" spans="1:13" x14ac:dyDescent="0.25">
      <c r="D11" s="35"/>
      <c r="E11" s="14"/>
      <c r="F11" s="82"/>
      <c r="G11" s="21"/>
      <c r="H11" s="21"/>
      <c r="I11" s="16">
        <f t="shared" si="0"/>
        <v>0</v>
      </c>
    </row>
    <row r="12" spans="1:13" x14ac:dyDescent="0.25">
      <c r="D12" s="35"/>
      <c r="E12" s="14"/>
      <c r="F12" s="82"/>
      <c r="G12" s="21"/>
      <c r="H12" s="21"/>
      <c r="I12" s="16">
        <f t="shared" si="0"/>
        <v>0</v>
      </c>
    </row>
    <row r="13" spans="1:13" x14ac:dyDescent="0.25">
      <c r="D13" s="35"/>
      <c r="E13" s="14"/>
      <c r="F13" s="82"/>
      <c r="G13" s="21"/>
      <c r="H13" s="21"/>
      <c r="I13" s="16">
        <f t="shared" si="0"/>
        <v>0</v>
      </c>
    </row>
    <row r="14" spans="1:13" x14ac:dyDescent="0.25">
      <c r="D14" s="35"/>
      <c r="E14" s="14"/>
      <c r="F14" s="82"/>
      <c r="G14" s="21"/>
      <c r="H14" s="21"/>
      <c r="I14" s="16">
        <f t="shared" si="0"/>
        <v>0</v>
      </c>
    </row>
    <row r="15" spans="1:13" x14ac:dyDescent="0.25">
      <c r="D15" s="35"/>
      <c r="E15" s="14"/>
      <c r="F15" s="82"/>
      <c r="G15" s="21"/>
      <c r="H15" s="21"/>
      <c r="I15" s="16">
        <f t="shared" si="0"/>
        <v>0</v>
      </c>
    </row>
    <row r="16" spans="1:13" x14ac:dyDescent="0.25">
      <c r="D16" s="35"/>
      <c r="E16" s="14"/>
      <c r="F16" s="82"/>
      <c r="G16" s="21"/>
      <c r="H16" s="21"/>
      <c r="I16" s="16">
        <f t="shared" si="0"/>
        <v>0</v>
      </c>
    </row>
  </sheetData>
  <dataValidations count="1">
    <dataValidation type="list" allowBlank="1" showInputMessage="1" showErrorMessage="1" sqref="E7:E16" xr:uid="{0E55E714-DF79-4C4F-9167-29562056E30A}">
      <formula1>INDIRECT("Table_LivestockClasses_Beefcattle[Livestock class]")</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5A635-C926-4C02-B86C-072EC0457B83}">
  <sheetPr>
    <tabColor rgb="FFCC6600"/>
  </sheetPr>
  <dimension ref="C1:K84"/>
  <sheetViews>
    <sheetView showGridLines="0" topLeftCell="A40" zoomScaleNormal="100" workbookViewId="0">
      <selection activeCell="D81" sqref="D81"/>
    </sheetView>
  </sheetViews>
  <sheetFormatPr defaultRowHeight="15.75" x14ac:dyDescent="0.25"/>
  <cols>
    <col min="1" max="1" width="30.7109375" customWidth="1"/>
    <col min="2" max="2" width="4.7109375" customWidth="1"/>
    <col min="3" max="3" width="4.7109375" style="1" customWidth="1"/>
    <col min="4" max="4" width="49" style="1" customWidth="1"/>
    <col min="5" max="5" width="66.140625" style="1" customWidth="1"/>
    <col min="6" max="6" width="71.5703125" style="1" customWidth="1"/>
    <col min="7" max="7" width="55.5703125" style="1" customWidth="1"/>
    <col min="8" max="8" width="101.28515625" style="1" customWidth="1"/>
    <col min="9" max="9" width="74.5703125" style="1" customWidth="1"/>
    <col min="10" max="10" width="30.7109375" style="1" customWidth="1"/>
    <col min="11" max="11" width="4.7109375" style="1" customWidth="1"/>
    <col min="12" max="12" width="30.7109375" customWidth="1"/>
  </cols>
  <sheetData>
    <row r="1" spans="3:11" s="11" customFormat="1" ht="25.5" x14ac:dyDescent="0.35">
      <c r="C1" s="11" t="s">
        <v>195</v>
      </c>
    </row>
    <row r="2" spans="3:11" s="3" customFormat="1" x14ac:dyDescent="0.25"/>
    <row r="3" spans="3:11" ht="20.25" x14ac:dyDescent="0.25">
      <c r="C3" s="30"/>
      <c r="D3" s="30"/>
      <c r="E3" s="30"/>
      <c r="F3" s="30"/>
      <c r="G3" s="30"/>
      <c r="H3" s="30"/>
      <c r="I3" s="30"/>
      <c r="J3" s="30"/>
      <c r="K3" s="30"/>
    </row>
    <row r="5" spans="3:11" ht="23.25" x14ac:dyDescent="0.25">
      <c r="D5" s="2" t="s">
        <v>246</v>
      </c>
    </row>
    <row r="7" spans="3:11" x14ac:dyDescent="0.25">
      <c r="D7" s="83" t="s">
        <v>275</v>
      </c>
      <c r="E7" s="83" t="s">
        <v>247</v>
      </c>
      <c r="F7" s="83" t="s">
        <v>248</v>
      </c>
      <c r="G7" s="83" t="s">
        <v>249</v>
      </c>
      <c r="H7" s="83" t="s">
        <v>196</v>
      </c>
      <c r="I7" s="83" t="s">
        <v>197</v>
      </c>
      <c r="J7" s="83" t="s">
        <v>198</v>
      </c>
    </row>
    <row r="8" spans="3:11" x14ac:dyDescent="0.25">
      <c r="D8" s="1" t="str">
        <f>"Liveweight sold"</f>
        <v>Liveweight sold</v>
      </c>
      <c r="E8" s="14" t="s">
        <v>250</v>
      </c>
      <c r="F8" s="14" t="s">
        <v>265</v>
      </c>
      <c r="G8" s="14" t="s">
        <v>252</v>
      </c>
      <c r="H8" s="84"/>
      <c r="I8" s="84"/>
      <c r="J8" s="16">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15</v>
      </c>
    </row>
    <row r="9" spans="3:11" x14ac:dyDescent="0.25">
      <c r="D9" s="1" t="str">
        <f>"Liveweight grown"</f>
        <v>Liveweight grown</v>
      </c>
      <c r="E9" s="14" t="s">
        <v>257</v>
      </c>
      <c r="F9" s="14" t="s">
        <v>251</v>
      </c>
      <c r="G9" s="14" t="s">
        <v>255</v>
      </c>
      <c r="H9" s="84"/>
      <c r="I9" s="84"/>
      <c r="J9" s="16">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12</v>
      </c>
    </row>
    <row r="10" spans="3:11" x14ac:dyDescent="0.25">
      <c r="D10" s="1" t="str">
        <f>"Manure produced"</f>
        <v>Manure produced</v>
      </c>
      <c r="E10" s="14" t="s">
        <v>258</v>
      </c>
      <c r="F10" s="14" t="s">
        <v>254</v>
      </c>
      <c r="G10" s="14" t="s">
        <v>255</v>
      </c>
      <c r="H10" s="84"/>
      <c r="I10" s="84"/>
      <c r="J10" s="16">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10</v>
      </c>
    </row>
    <row r="11" spans="3:11" x14ac:dyDescent="0.25">
      <c r="D11" s="1" t="str">
        <f>"Manure sold"</f>
        <v>Manure sold</v>
      </c>
      <c r="E11" s="14" t="s">
        <v>267</v>
      </c>
      <c r="F11" s="14" t="s">
        <v>263</v>
      </c>
      <c r="G11" s="14" t="s">
        <v>260</v>
      </c>
      <c r="H11" s="84"/>
      <c r="I11" s="84"/>
      <c r="J11" s="16">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6</v>
      </c>
    </row>
    <row r="12" spans="3:11" x14ac:dyDescent="0.25">
      <c r="D12" s="1" t="str">
        <f>"Percent income from liveweight sold"</f>
        <v>Percent income from liveweight sold</v>
      </c>
      <c r="E12" s="14" t="s">
        <v>268</v>
      </c>
      <c r="F12" s="14" t="s">
        <v>266</v>
      </c>
      <c r="G12" s="14" t="s">
        <v>261</v>
      </c>
      <c r="H12" s="84"/>
      <c r="I12" s="84"/>
      <c r="J12" s="16">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3</v>
      </c>
    </row>
    <row r="13" spans="3:11" x14ac:dyDescent="0.25">
      <c r="D13" s="1" t="str">
        <f>"Percent income from manure sold"</f>
        <v>Percent income from manure sold</v>
      </c>
      <c r="E13" s="14" t="s">
        <v>250</v>
      </c>
      <c r="F13" s="14" t="s">
        <v>251</v>
      </c>
      <c r="G13" s="14" t="s">
        <v>252</v>
      </c>
      <c r="H13" s="84"/>
      <c r="I13" s="84"/>
      <c r="J13" s="16">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14</v>
      </c>
    </row>
    <row r="15" spans="3:11" x14ac:dyDescent="0.25">
      <c r="J15" s="89">
        <f>SUM(Table_Input_DataQuality_Enterprise[Score])</f>
        <v>60</v>
      </c>
    </row>
    <row r="16" spans="3:11" ht="23.25" x14ac:dyDescent="0.25">
      <c r="D16" s="2" t="s">
        <v>256</v>
      </c>
    </row>
    <row r="18" spans="4:10" x14ac:dyDescent="0.25">
      <c r="D18" s="83" t="s">
        <v>275</v>
      </c>
      <c r="E18" s="83" t="s">
        <v>247</v>
      </c>
      <c r="F18" s="83" t="s">
        <v>248</v>
      </c>
      <c r="G18" s="83" t="s">
        <v>249</v>
      </c>
      <c r="H18" s="83" t="s">
        <v>196</v>
      </c>
      <c r="I18" s="83" t="s">
        <v>197</v>
      </c>
      <c r="J18" s="83" t="s">
        <v>198</v>
      </c>
    </row>
    <row r="19" spans="4:10" x14ac:dyDescent="0.25">
      <c r="D19" s="1" t="str">
        <f>"Leaching zone"</f>
        <v>Leaching zone</v>
      </c>
      <c r="E19" s="14" t="s">
        <v>257</v>
      </c>
      <c r="F19" s="14" t="s">
        <v>254</v>
      </c>
      <c r="G19" s="14" t="s">
        <v>252</v>
      </c>
      <c r="H19" s="84"/>
      <c r="I19" s="84"/>
      <c r="J19" s="16">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0" spans="4:10" x14ac:dyDescent="0.25">
      <c r="D20" s="1" t="str">
        <f>"Elevation"</f>
        <v>Elevation</v>
      </c>
      <c r="E20" s="14" t="s">
        <v>257</v>
      </c>
      <c r="F20" s="14" t="s">
        <v>254</v>
      </c>
      <c r="G20" s="14" t="s">
        <v>252</v>
      </c>
      <c r="H20" s="84"/>
      <c r="I20" s="84"/>
      <c r="J20" s="16">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1" spans="4:10" x14ac:dyDescent="0.25">
      <c r="D21" s="1" t="str">
        <f>"Average temperature for reporting period"</f>
        <v>Average temperature for reporting period</v>
      </c>
      <c r="E21" s="14" t="s">
        <v>257</v>
      </c>
      <c r="F21" s="14" t="s">
        <v>254</v>
      </c>
      <c r="G21" s="14" t="s">
        <v>252</v>
      </c>
      <c r="H21" s="84"/>
      <c r="I21" s="84"/>
      <c r="J21" s="16">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2" spans="4:10" x14ac:dyDescent="0.25">
      <c r="D22" s="1" t="str">
        <f>"Total rainfall for reporting period"</f>
        <v>Total rainfall for reporting period</v>
      </c>
      <c r="E22" s="14" t="s">
        <v>250</v>
      </c>
      <c r="F22" s="14" t="s">
        <v>251</v>
      </c>
      <c r="G22" s="14" t="s">
        <v>252</v>
      </c>
      <c r="H22" s="84"/>
      <c r="I22" s="84"/>
      <c r="J22" s="16">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14</v>
      </c>
    </row>
    <row r="23" spans="4:10" x14ac:dyDescent="0.25">
      <c r="D23" s="1" t="str">
        <f>"Potential evapotranspiration for reporting period"</f>
        <v>Potential evapotranspiration for reporting period</v>
      </c>
      <c r="E23" s="14" t="s">
        <v>257</v>
      </c>
      <c r="F23" s="14" t="s">
        <v>254</v>
      </c>
      <c r="G23" s="14" t="s">
        <v>252</v>
      </c>
      <c r="H23" s="84"/>
      <c r="I23" s="84"/>
      <c r="J23" s="16">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4" spans="4:10" x14ac:dyDescent="0.25">
      <c r="D24" s="1" t="str">
        <f>"Number of frost days for reporting period"</f>
        <v>Number of frost days for reporting period</v>
      </c>
      <c r="E24" s="85" t="s">
        <v>258</v>
      </c>
      <c r="F24" s="85" t="s">
        <v>254</v>
      </c>
      <c r="G24" s="85" t="s">
        <v>252</v>
      </c>
      <c r="H24" s="84"/>
      <c r="I24" s="84"/>
      <c r="J24" s="16">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11</v>
      </c>
    </row>
    <row r="26" spans="4:10" x14ac:dyDescent="0.25">
      <c r="J26" s="89">
        <f>SUM(Table_Input_DataQuality_Site[Score])</f>
        <v>73</v>
      </c>
    </row>
    <row r="27" spans="4:10" ht="23.25" x14ac:dyDescent="0.25">
      <c r="D27" s="2" t="s">
        <v>259</v>
      </c>
    </row>
    <row r="29" spans="4:10" x14ac:dyDescent="0.25">
      <c r="D29" s="83" t="s">
        <v>275</v>
      </c>
      <c r="E29" s="83" t="s">
        <v>247</v>
      </c>
      <c r="F29" s="83" t="s">
        <v>248</v>
      </c>
      <c r="G29" s="83" t="s">
        <v>249</v>
      </c>
      <c r="H29" s="83" t="s">
        <v>196</v>
      </c>
      <c r="I29" s="83" t="s">
        <v>197</v>
      </c>
      <c r="J29" s="83" t="s">
        <v>198</v>
      </c>
    </row>
    <row r="30" spans="4:10" x14ac:dyDescent="0.25">
      <c r="D30" s="1" t="str">
        <f>"Livestock production region"</f>
        <v>Livestock production region</v>
      </c>
      <c r="E30" s="14" t="s">
        <v>250</v>
      </c>
      <c r="F30" s="14" t="s">
        <v>254</v>
      </c>
      <c r="G30" s="14" t="s">
        <v>252</v>
      </c>
      <c r="H30" s="84"/>
      <c r="I30" s="84"/>
      <c r="J30" s="16">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13</v>
      </c>
    </row>
    <row r="31" spans="4:10" x14ac:dyDescent="0.25">
      <c r="D31" s="1" t="str">
        <f>"Cattle breed"</f>
        <v>Cattle breed</v>
      </c>
      <c r="E31" s="14" t="s">
        <v>250</v>
      </c>
      <c r="F31" s="14" t="s">
        <v>251</v>
      </c>
      <c r="G31" s="14" t="s">
        <v>252</v>
      </c>
      <c r="H31" s="84"/>
      <c r="I31" s="84"/>
      <c r="J31" s="16">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14</v>
      </c>
    </row>
    <row r="32" spans="4:10" x14ac:dyDescent="0.25">
      <c r="D32" s="1" t="str">
        <f>"Head count"</f>
        <v>Head count</v>
      </c>
      <c r="E32" s="14" t="s">
        <v>250</v>
      </c>
      <c r="F32" s="14" t="s">
        <v>251</v>
      </c>
      <c r="G32" s="14" t="s">
        <v>255</v>
      </c>
      <c r="H32" s="84"/>
      <c r="I32" s="84"/>
      <c r="J32" s="16">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13</v>
      </c>
    </row>
    <row r="33" spans="4:10" x14ac:dyDescent="0.25">
      <c r="D33" s="1" t="str">
        <f>"Liveweight"</f>
        <v>Liveweight</v>
      </c>
      <c r="E33" s="14" t="s">
        <v>250</v>
      </c>
      <c r="F33" s="14" t="s">
        <v>251</v>
      </c>
      <c r="G33" s="14" t="s">
        <v>253</v>
      </c>
      <c r="H33" s="84"/>
      <c r="I33" s="84"/>
      <c r="J33" s="16">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12</v>
      </c>
    </row>
    <row r="34" spans="4:10" x14ac:dyDescent="0.25">
      <c r="D34" s="1" t="str">
        <f>"Liveweight gain"</f>
        <v>Liveweight gain</v>
      </c>
      <c r="E34" s="14" t="s">
        <v>250</v>
      </c>
      <c r="F34" s="14" t="s">
        <v>251</v>
      </c>
      <c r="G34" s="14" t="s">
        <v>260</v>
      </c>
      <c r="H34" s="84"/>
      <c r="I34" s="84"/>
      <c r="J34" s="16">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11</v>
      </c>
    </row>
    <row r="35" spans="4:10" x14ac:dyDescent="0.25">
      <c r="D35" s="1" t="str">
        <f>"Dry matter digestibility of diet"</f>
        <v>Dry matter digestibility of diet</v>
      </c>
      <c r="E35" s="14" t="s">
        <v>250</v>
      </c>
      <c r="F35" s="85" t="s">
        <v>254</v>
      </c>
      <c r="G35" s="85" t="s">
        <v>261</v>
      </c>
      <c r="H35" s="84"/>
      <c r="I35" s="84"/>
      <c r="J35" s="16">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9</v>
      </c>
    </row>
    <row r="36" spans="4:10" x14ac:dyDescent="0.25">
      <c r="D36" s="1" t="str">
        <f>"Crude protein in diet"</f>
        <v>Crude protein in diet</v>
      </c>
      <c r="E36" s="14" t="s">
        <v>250</v>
      </c>
      <c r="F36" s="85" t="s">
        <v>254</v>
      </c>
      <c r="G36" s="85" t="s">
        <v>261</v>
      </c>
      <c r="H36" s="84"/>
      <c r="I36" s="84"/>
      <c r="J36" s="16">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9</v>
      </c>
    </row>
    <row r="37" spans="4:10" x14ac:dyDescent="0.25">
      <c r="D37" s="1" t="str">
        <f>"Livestock access to water bodies"</f>
        <v>Livestock access to water bodies</v>
      </c>
      <c r="E37" s="14" t="s">
        <v>250</v>
      </c>
      <c r="F37" s="85" t="s">
        <v>251</v>
      </c>
      <c r="G37" s="85" t="s">
        <v>252</v>
      </c>
      <c r="H37" s="84"/>
      <c r="I37" s="84"/>
      <c r="J37" s="16">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14</v>
      </c>
    </row>
    <row r="38" spans="4:10" x14ac:dyDescent="0.25">
      <c r="D38" s="1" t="str">
        <f>"Calving timing"</f>
        <v>Calving timing</v>
      </c>
      <c r="E38" s="14" t="s">
        <v>250</v>
      </c>
      <c r="F38" s="85" t="s">
        <v>251</v>
      </c>
      <c r="G38" s="85" t="s">
        <v>255</v>
      </c>
      <c r="H38" s="84"/>
      <c r="I38" s="84"/>
      <c r="J38" s="16">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13</v>
      </c>
    </row>
    <row r="39" spans="4:10" x14ac:dyDescent="0.25">
      <c r="D39" s="1" t="str">
        <f>"Calving rates"</f>
        <v>Calving rates</v>
      </c>
      <c r="E39" s="14" t="s">
        <v>250</v>
      </c>
      <c r="F39" s="85" t="s">
        <v>251</v>
      </c>
      <c r="G39" s="85" t="s">
        <v>255</v>
      </c>
      <c r="H39" s="84"/>
      <c r="I39" s="84"/>
      <c r="J39" s="16">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13</v>
      </c>
    </row>
    <row r="40" spans="4:10" x14ac:dyDescent="0.25">
      <c r="D40" s="1" t="str">
        <f>"Livestock sales"</f>
        <v>Livestock sales</v>
      </c>
      <c r="E40" s="14" t="s">
        <v>250</v>
      </c>
      <c r="F40" s="85" t="s">
        <v>251</v>
      </c>
      <c r="G40" s="85" t="s">
        <v>252</v>
      </c>
      <c r="H40" s="84"/>
      <c r="I40" s="84"/>
      <c r="J40" s="16">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14</v>
      </c>
    </row>
    <row r="41" spans="4:10" x14ac:dyDescent="0.25">
      <c r="D41" s="1" t="str">
        <f>"Livestock purchases"</f>
        <v>Livestock purchases</v>
      </c>
      <c r="E41" s="14" t="s">
        <v>250</v>
      </c>
      <c r="F41" s="85" t="s">
        <v>251</v>
      </c>
      <c r="G41" s="85" t="s">
        <v>252</v>
      </c>
      <c r="H41" s="84"/>
      <c r="I41" s="84"/>
      <c r="J41" s="16">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14</v>
      </c>
    </row>
    <row r="43" spans="4:10" x14ac:dyDescent="0.25">
      <c r="J43" s="89">
        <f>SUM(Table_Input_DataQuality_PastureBeef[Score])</f>
        <v>149</v>
      </c>
    </row>
    <row r="44" spans="4:10" ht="23.25" x14ac:dyDescent="0.25">
      <c r="D44" s="2" t="s">
        <v>262</v>
      </c>
    </row>
    <row r="46" spans="4:10" x14ac:dyDescent="0.25">
      <c r="D46" s="83" t="s">
        <v>275</v>
      </c>
      <c r="E46" s="83" t="s">
        <v>247</v>
      </c>
      <c r="F46" s="83" t="s">
        <v>248</v>
      </c>
      <c r="G46" s="83" t="s">
        <v>249</v>
      </c>
      <c r="H46" s="83" t="s">
        <v>196</v>
      </c>
      <c r="I46" s="83" t="s">
        <v>197</v>
      </c>
      <c r="J46" s="83" t="s">
        <v>198</v>
      </c>
    </row>
    <row r="47" spans="4:10" x14ac:dyDescent="0.25">
      <c r="D47" s="1" t="str">
        <f>"Pasture type"</f>
        <v>Pasture type</v>
      </c>
      <c r="E47" s="14" t="s">
        <v>250</v>
      </c>
      <c r="F47" s="14" t="s">
        <v>251</v>
      </c>
      <c r="G47" s="14" t="s">
        <v>252</v>
      </c>
      <c r="H47" s="84"/>
      <c r="I47" s="84"/>
      <c r="J47" s="16">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48" spans="4:10" x14ac:dyDescent="0.25">
      <c r="D48" s="1" t="str">
        <f>"Irrigation method"</f>
        <v>Irrigation method</v>
      </c>
      <c r="E48" s="14" t="s">
        <v>250</v>
      </c>
      <c r="F48" s="14" t="s">
        <v>251</v>
      </c>
      <c r="G48" s="14" t="s">
        <v>252</v>
      </c>
      <c r="H48" s="84"/>
      <c r="I48" s="84"/>
      <c r="J48" s="16">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49" spans="4:10" x14ac:dyDescent="0.25">
      <c r="D49" s="1" t="str">
        <f>"Area under pasture"</f>
        <v>Area under pasture</v>
      </c>
      <c r="E49" s="14" t="s">
        <v>250</v>
      </c>
      <c r="F49" s="14" t="s">
        <v>251</v>
      </c>
      <c r="G49" s="14" t="s">
        <v>252</v>
      </c>
      <c r="H49" s="84"/>
      <c r="I49" s="84"/>
      <c r="J49" s="16">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50" spans="4:10" x14ac:dyDescent="0.25">
      <c r="D50" s="1" t="str">
        <f>"Pasture yield"</f>
        <v>Pasture yield</v>
      </c>
      <c r="E50" s="14" t="s">
        <v>250</v>
      </c>
      <c r="F50" s="14" t="s">
        <v>263</v>
      </c>
      <c r="G50" s="14" t="s">
        <v>261</v>
      </c>
      <c r="H50" s="84"/>
      <c r="I50" s="84"/>
      <c r="J50" s="16">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8</v>
      </c>
    </row>
    <row r="51" spans="4:10" x14ac:dyDescent="0.25">
      <c r="D51" s="1" t="str">
        <f>"Area of pasture renewed or removed"</f>
        <v>Area of pasture renewed or removed</v>
      </c>
      <c r="E51" s="14" t="s">
        <v>250</v>
      </c>
      <c r="F51" s="14" t="s">
        <v>251</v>
      </c>
      <c r="G51" s="14" t="s">
        <v>252</v>
      </c>
      <c r="H51" s="84"/>
      <c r="I51" s="84"/>
      <c r="J51" s="16">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53" spans="4:10" x14ac:dyDescent="0.25">
      <c r="J53" s="89">
        <f>SUM(Table_Input_DataQuality_PastureManagement[Score])</f>
        <v>64</v>
      </c>
    </row>
    <row r="54" spans="4:10" ht="23.25" x14ac:dyDescent="0.25">
      <c r="D54" s="2" t="s">
        <v>264</v>
      </c>
    </row>
    <row r="56" spans="4:10" x14ac:dyDescent="0.25">
      <c r="D56" s="83" t="s">
        <v>275</v>
      </c>
      <c r="E56" s="83" t="s">
        <v>247</v>
      </c>
      <c r="F56" s="83" t="s">
        <v>248</v>
      </c>
      <c r="G56" s="83" t="s">
        <v>249</v>
      </c>
      <c r="H56" s="83" t="s">
        <v>196</v>
      </c>
      <c r="I56" s="83" t="s">
        <v>197</v>
      </c>
      <c r="J56" s="83" t="s">
        <v>198</v>
      </c>
    </row>
    <row r="57" spans="4:10" x14ac:dyDescent="0.25">
      <c r="D57" s="1" t="str">
        <f>"Branded inorganic fertiliser applications"</f>
        <v>Branded inorganic fertiliser applications</v>
      </c>
      <c r="E57" s="14" t="s">
        <v>250</v>
      </c>
      <c r="F57" s="14" t="s">
        <v>251</v>
      </c>
      <c r="G57" s="14" t="s">
        <v>255</v>
      </c>
      <c r="H57" s="84"/>
      <c r="I57" s="84"/>
      <c r="J57" s="16">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13</v>
      </c>
    </row>
    <row r="58" spans="4:10" x14ac:dyDescent="0.25">
      <c r="D58" s="1" t="str">
        <f>"Custom inorganic fertiliser blend applications"</f>
        <v>Custom inorganic fertiliser blend applications</v>
      </c>
      <c r="E58" s="14" t="s">
        <v>250</v>
      </c>
      <c r="F58" s="14" t="s">
        <v>251</v>
      </c>
      <c r="G58" s="14" t="s">
        <v>252</v>
      </c>
      <c r="H58" s="84"/>
      <c r="I58" s="84"/>
      <c r="J58" s="16">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14</v>
      </c>
    </row>
    <row r="59" spans="4:10" x14ac:dyDescent="0.25">
      <c r="D59" s="1" t="str">
        <f>"Lime applications"</f>
        <v>Lime applications</v>
      </c>
      <c r="E59" s="14" t="s">
        <v>250</v>
      </c>
      <c r="F59" s="14" t="s">
        <v>251</v>
      </c>
      <c r="G59" s="14" t="s">
        <v>252</v>
      </c>
      <c r="H59" s="84"/>
      <c r="I59" s="84"/>
      <c r="J59" s="16">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14</v>
      </c>
    </row>
    <row r="60" spans="4:10" x14ac:dyDescent="0.25">
      <c r="D60" s="1" t="str">
        <f>"Organic fertiliser applications"</f>
        <v>Organic fertiliser applications</v>
      </c>
      <c r="E60" s="14" t="s">
        <v>250</v>
      </c>
      <c r="F60" s="14" t="s">
        <v>251</v>
      </c>
      <c r="G60" s="14" t="s">
        <v>252</v>
      </c>
      <c r="H60" s="84"/>
      <c r="I60" s="84"/>
      <c r="J60" s="16">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14</v>
      </c>
    </row>
    <row r="62" spans="4:10" x14ac:dyDescent="0.25">
      <c r="J62" s="89">
        <f>SUM(Table_Input_DataQuality_FertiliserApplications[Score])</f>
        <v>55</v>
      </c>
    </row>
    <row r="63" spans="4:10" ht="23.25" x14ac:dyDescent="0.25">
      <c r="D63" s="2" t="s">
        <v>276</v>
      </c>
    </row>
    <row r="65" spans="4:10" x14ac:dyDescent="0.25">
      <c r="D65" s="83" t="s">
        <v>275</v>
      </c>
      <c r="E65" s="83" t="s">
        <v>247</v>
      </c>
      <c r="F65" s="83" t="s">
        <v>248</v>
      </c>
      <c r="G65" s="83" t="s">
        <v>249</v>
      </c>
      <c r="H65" s="83" t="s">
        <v>196</v>
      </c>
      <c r="I65" s="83" t="s">
        <v>197</v>
      </c>
      <c r="J65" s="83" t="s">
        <v>198</v>
      </c>
    </row>
    <row r="66" spans="4:10" x14ac:dyDescent="0.25">
      <c r="D66" s="1" t="str">
        <f>"Fuel purchases"</f>
        <v>Fuel purchases</v>
      </c>
      <c r="E66" s="14" t="s">
        <v>250</v>
      </c>
      <c r="F66" s="14" t="s">
        <v>251</v>
      </c>
      <c r="G66" s="14" t="s">
        <v>255</v>
      </c>
      <c r="H66" s="84"/>
      <c r="I66" s="84"/>
      <c r="J66" s="16">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13</v>
      </c>
    </row>
    <row r="67" spans="4:10" x14ac:dyDescent="0.25">
      <c r="D67" s="1" t="str">
        <f>"Fuel consumption"</f>
        <v>Fuel consumption</v>
      </c>
      <c r="E67" s="14" t="s">
        <v>250</v>
      </c>
      <c r="F67" s="14" t="s">
        <v>251</v>
      </c>
      <c r="G67" s="14" t="s">
        <v>252</v>
      </c>
      <c r="H67" s="84"/>
      <c r="I67" s="84"/>
      <c r="J67" s="16">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68" spans="4:10" x14ac:dyDescent="0.25">
      <c r="D68" s="1" t="str">
        <f>"Electricity consumption"</f>
        <v>Electricity consumption</v>
      </c>
      <c r="E68" s="14" t="s">
        <v>250</v>
      </c>
      <c r="F68" s="14" t="s">
        <v>251</v>
      </c>
      <c r="G68" s="14" t="s">
        <v>252</v>
      </c>
      <c r="H68" s="84"/>
      <c r="I68" s="84"/>
      <c r="J68" s="16">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69" spans="4:10" x14ac:dyDescent="0.25">
      <c r="D69" s="1" t="str">
        <f>"Electricity generation"</f>
        <v>Electricity generation</v>
      </c>
      <c r="E69" s="14" t="s">
        <v>250</v>
      </c>
      <c r="F69" s="14" t="s">
        <v>251</v>
      </c>
      <c r="G69" s="14" t="s">
        <v>252</v>
      </c>
      <c r="H69" s="84"/>
      <c r="I69" s="84"/>
      <c r="J69" s="16">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71" spans="4:10" x14ac:dyDescent="0.25">
      <c r="J71" s="89">
        <f>SUM(Table_Input_DataQuality_FuelElectricity[Score])</f>
        <v>55</v>
      </c>
    </row>
    <row r="73" spans="4:10" ht="23.25" x14ac:dyDescent="0.25">
      <c r="D73" s="2" t="s">
        <v>277</v>
      </c>
    </row>
    <row r="75" spans="4:10" x14ac:dyDescent="0.25">
      <c r="D75" s="83" t="s">
        <v>275</v>
      </c>
      <c r="E75" s="83" t="s">
        <v>247</v>
      </c>
      <c r="F75" s="83" t="s">
        <v>248</v>
      </c>
      <c r="G75" s="83" t="s">
        <v>249</v>
      </c>
      <c r="H75" s="83" t="s">
        <v>196</v>
      </c>
      <c r="I75" s="83" t="s">
        <v>197</v>
      </c>
      <c r="J75" s="83" t="s">
        <v>198</v>
      </c>
    </row>
    <row r="76" spans="4:10" x14ac:dyDescent="0.25">
      <c r="D76" s="1" t="str">
        <f>"Farm input purchases"</f>
        <v>Farm input purchases</v>
      </c>
      <c r="E76" s="14" t="s">
        <v>250</v>
      </c>
      <c r="F76" s="14" t="s">
        <v>251</v>
      </c>
      <c r="G76" s="14" t="s">
        <v>255</v>
      </c>
      <c r="H76" s="84"/>
      <c r="I76" s="84"/>
      <c r="J76" s="16">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13</v>
      </c>
    </row>
    <row r="77" spans="4:10" x14ac:dyDescent="0.25">
      <c r="D77" s="1" t="str">
        <f>"Inbound freight use"</f>
        <v>Inbound freight use</v>
      </c>
      <c r="E77" s="14" t="s">
        <v>250</v>
      </c>
      <c r="F77" s="14" t="s">
        <v>251</v>
      </c>
      <c r="G77" s="14" t="s">
        <v>252</v>
      </c>
      <c r="H77" s="84"/>
      <c r="I77" s="84"/>
      <c r="J77" s="16">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78" spans="4:10" x14ac:dyDescent="0.25">
      <c r="D78" s="1" t="str">
        <f>"Outbound freight use"</f>
        <v>Outbound freight use</v>
      </c>
      <c r="E78" s="14" t="s">
        <v>250</v>
      </c>
      <c r="F78" s="14" t="s">
        <v>251</v>
      </c>
      <c r="G78" s="14" t="s">
        <v>252</v>
      </c>
      <c r="H78" s="84"/>
      <c r="I78" s="84"/>
      <c r="J78" s="16">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79" spans="4:10" x14ac:dyDescent="0.25">
      <c r="D79" s="1" t="str">
        <f>"Use of contractors and service providers"</f>
        <v>Use of contractors and service providers</v>
      </c>
      <c r="E79" s="14"/>
      <c r="F79" s="14"/>
      <c r="G79" s="14"/>
      <c r="H79" s="84"/>
      <c r="I79" s="84"/>
      <c r="J79" s="16">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0</v>
      </c>
    </row>
    <row r="80" spans="4:10" x14ac:dyDescent="0.25">
      <c r="D80" s="1" t="str">
        <f>"Solid waste generation and treatment"</f>
        <v>Solid waste generation and treatment</v>
      </c>
      <c r="E80" s="14" t="s">
        <v>250</v>
      </c>
      <c r="F80" s="14" t="s">
        <v>251</v>
      </c>
      <c r="G80" s="14" t="s">
        <v>252</v>
      </c>
      <c r="H80" s="84"/>
      <c r="I80" s="84"/>
      <c r="J80" s="16">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82" spans="4:10" x14ac:dyDescent="0.25">
      <c r="J82" s="89">
        <f>SUM(Table_Input_DataQuality_FarmInputsFreightWaste[Score])</f>
        <v>55</v>
      </c>
    </row>
    <row r="84" spans="4:10" ht="20.25" x14ac:dyDescent="0.25">
      <c r="D84" s="92" t="s">
        <v>278</v>
      </c>
      <c r="E84" s="93" t="str">
        <f>(J15+J26+J43+J53+J62+J71+J82)&amp;" out of "&amp;((COUNT(Table_Input_DataQuality_Enterprise[Score])*15)+(COUNT(Table_Input_DataQuality_Site[Score])*15)+(COUNT(Table_Input_DataQuality_PastureBeef[Score])*15)+(COUNT(Table_Input_DataQuality_PastureManagement[Score])*15)+(COUNT(Table_Input_DataQuality_FertiliserApplications[Score])*15)+(COUNT(Table_Input_DataQuality_FuelElectricity[Score])*15)+(COUNT(Table_Input_DataQuality_FarmInputsFreightWaste[Score])*15))</f>
        <v>511 out of 630</v>
      </c>
    </row>
  </sheetData>
  <dataValidations count="3">
    <dataValidation type="list" allowBlank="1" showInputMessage="1" showErrorMessage="1" sqref="F8:F13 F19:F24 F30:F41 F47:F51 F57:F60 F66:F69 F76:F80" xr:uid="{7A41F482-9DC2-427F-BD67-9E7030E9FA1D}">
      <formula1>INDIRECT("Table_SourceData_DataQuality_SpatialRepresentativeness[User friendly description]")</formula1>
    </dataValidation>
    <dataValidation type="list" allowBlank="1" showInputMessage="1" showErrorMessage="1" sqref="E8:E13 E19:E24 E30:E41 E47:E51 E57:E60 E66:E69 E76:E80" xr:uid="{A2F79B94-E5F1-44B9-A20F-B6166F7EA291}">
      <formula1>INDIRECT("Table_SourceData_DataQuality_TemporalRepresentativeness[User friendly description]")</formula1>
    </dataValidation>
    <dataValidation type="list" allowBlank="1" showInputMessage="1" showErrorMessage="1" sqref="G8:G13 G19:G24 G30:G41 G47:G51 G57:G60 G66:G69 G76:G80" xr:uid="{BA67DDE5-AE35-4EC9-9563-5791102272E4}">
      <formula1>INDIRECT("Table_SourceData_DataQuality_SampleSize[User friendly description]")</formula1>
    </dataValidation>
  </dataValidations>
  <pageMargins left="0.7" right="0.7" top="0.75" bottom="0.75" header="0.3" footer="0.3"/>
  <tableParts count="7">
    <tablePart r:id="rId1"/>
    <tablePart r:id="rId2"/>
    <tablePart r:id="rId3"/>
    <tablePart r:id="rId4"/>
    <tablePart r:id="rId5"/>
    <tablePart r:id="rId6"/>
    <tablePart r:id="rId7"/>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7E50F-045B-4C69-94CD-4E9D79138947}">
  <sheetPr>
    <tabColor theme="2" tint="-0.499984740745262"/>
  </sheetPr>
  <dimension ref="A1:BY297"/>
  <sheetViews>
    <sheetView showGridLines="0" topLeftCell="A259" zoomScaleNormal="100" workbookViewId="0">
      <selection activeCell="I276" sqref="I276"/>
    </sheetView>
  </sheetViews>
  <sheetFormatPr defaultColWidth="9.140625" defaultRowHeight="15.75" x14ac:dyDescent="0.25"/>
  <cols>
    <col min="1" max="1" width="30.7109375" style="23" customWidth="1"/>
    <col min="2" max="2" width="2.7109375" style="23"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23" customWidth="1"/>
    <col min="34" max="39" width="21.85546875" style="23" customWidth="1"/>
    <col min="40" max="44" width="20.7109375" style="23" customWidth="1"/>
    <col min="45" max="65" width="9.140625" style="23"/>
    <col min="66" max="16384" width="9.140625" style="26"/>
  </cols>
  <sheetData>
    <row r="1" spans="1:65" s="22" customFormat="1" ht="30" customHeight="1" x14ac:dyDescent="0.35">
      <c r="A1" s="22" t="e" vm="1">
        <v>#VALUE!</v>
      </c>
      <c r="C1" s="22" t="s">
        <v>30</v>
      </c>
    </row>
    <row r="2" spans="1:65" s="3" customFormat="1" ht="20.100000000000001" customHeight="1" x14ac:dyDescent="0.25">
      <c r="A2"/>
    </row>
    <row r="3" spans="1:65" ht="20.100000000000001" customHeight="1" x14ac:dyDescent="0.25">
      <c r="A3" s="5" t="str">
        <f>HYPERLINK("#'Home'!A1", "Home")</f>
        <v>Home</v>
      </c>
      <c r="C3" s="24"/>
      <c r="D3" s="24"/>
      <c r="E3" s="24"/>
      <c r="F3" s="24"/>
      <c r="G3" s="24"/>
      <c r="H3" s="24"/>
      <c r="I3" s="24"/>
      <c r="J3" s="24"/>
      <c r="K3" s="24"/>
      <c r="L3" s="24"/>
      <c r="M3" s="24"/>
      <c r="N3" s="24"/>
      <c r="O3" s="24"/>
      <c r="P3" s="24"/>
      <c r="Q3" s="24"/>
      <c r="R3" s="24"/>
      <c r="S3" s="24"/>
      <c r="T3" s="24"/>
      <c r="U3" s="24"/>
      <c r="V3" s="25"/>
      <c r="W3" s="25"/>
    </row>
    <row r="4" spans="1:65" ht="20.100000000000001" customHeight="1" x14ac:dyDescent="0.25">
      <c r="A4"/>
      <c r="BM4" s="26"/>
    </row>
    <row r="5" spans="1:65" ht="20.100000000000001" customHeight="1" x14ac:dyDescent="0.25">
      <c r="A5"/>
      <c r="D5" s="2" t="str" cm="1">
        <f t="array" ref="D5">Common_SourceData.Common_SourceData_AustralianStatesTerritories_Title()</f>
        <v>Australian states and territories</v>
      </c>
      <c r="BM5" s="26"/>
    </row>
    <row r="6" spans="1:65" ht="20.100000000000001" customHeight="1" x14ac:dyDescent="0.25">
      <c r="A6" s="87" t="s">
        <v>2</v>
      </c>
      <c r="D6" s="21" t="s">
        <v>31</v>
      </c>
      <c r="E6" s="21" t="s">
        <v>32</v>
      </c>
      <c r="F6" s="21" t="s">
        <v>33</v>
      </c>
    </row>
    <row r="7" spans="1:65" ht="20.100000000000001" customHeight="1" x14ac:dyDescent="0.25">
      <c r="A7" s="88" t="str">
        <f>HYPERLINK("#'Constants - Common'!A1", "Constants - Common")</f>
        <v>Constants - Common</v>
      </c>
      <c r="D7" s="21" t="str" cm="1">
        <f t="array" ref="D7">Common_InputFunctions.Utility_DisplayArrayInTable(Common_SourceData.Common_SourceData_AustralianStatesTerritories_Data(),Table_AustralianStates[[#Headers],[State/Territory]],0)</f>
        <v>New South Wales</v>
      </c>
      <c r="E7" s="21" t="str" cm="1">
        <f t="array" ref="E7">Common_InputFunctions.Utility_DisplayArrayInTable(Common_SourceData.Common_SourceData_AustralianStatesTerritories_Data(),Table_AustralianStates[[#Headers],[State/Territory]],0)</f>
        <v>New South Wales</v>
      </c>
      <c r="F7" s="21" t="str" cm="1">
        <f t="array" ref="F7">Common_InputFunctions.Utility_DisplayArrayInTable(Common_SourceData.Common_SourceData_AustralianStatesTerritories_Data(),Table_AustralianStates[[#Headers],[State/Territory]],0)</f>
        <v>NSW</v>
      </c>
    </row>
    <row r="8" spans="1:65" ht="20.100000000000001" customHeight="1" x14ac:dyDescent="0.25">
      <c r="A8" s="5" t="str">
        <f>HYPERLINK("#'Acknowledgements'!A1", "Acknowledgements")</f>
        <v>Acknowledgements</v>
      </c>
      <c r="D8" s="21" t="str" cm="1">
        <f t="array" ref="D8">Common_InputFunctions.Utility_DisplayArrayInTable(Common_SourceData.Common_SourceData_AustralianStatesTerritories_Data(),Table_AustralianStates[[#Headers],[State/Territory]],0)</f>
        <v>Australian Capital Territory</v>
      </c>
      <c r="E8" s="21" t="str" cm="1">
        <f t="array" ref="E8">Common_InputFunctions.Utility_DisplayArrayInTable(Common_SourceData.Common_SourceData_AustralianStatesTerritories_Data(),Table_AustralianStates[[#Headers],[State/Territory]],0)</f>
        <v>ACT</v>
      </c>
      <c r="F8" s="21" t="str" cm="1">
        <f t="array" ref="F8">Common_InputFunctions.Utility_DisplayArrayInTable(Common_SourceData.Common_SourceData_AustralianStatesTerritories_Data(),Table_AustralianStates[[#Headers],[State/Territory]],0)</f>
        <v>ACT</v>
      </c>
    </row>
    <row r="9" spans="1:65" ht="20.100000000000001" customHeight="1" x14ac:dyDescent="0.25">
      <c r="A9"/>
      <c r="D9" s="21" t="str" cm="1">
        <f t="array" ref="D9">Common_InputFunctions.Utility_DisplayArrayInTable(Common_SourceData.Common_SourceData_AustralianStatesTerritories_Data(),Table_AustralianStates[[#Headers],[State/Territory]],0)</f>
        <v>Victoria</v>
      </c>
      <c r="E9" s="21" t="str" cm="1">
        <f t="array" ref="E9">Common_InputFunctions.Utility_DisplayArrayInTable(Common_SourceData.Common_SourceData_AustralianStatesTerritories_Data(),Table_AustralianStates[[#Headers],[State/Territory]],0)</f>
        <v>Victoria</v>
      </c>
      <c r="F9" s="21"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21" t="str" cm="1">
        <f t="array" ref="D10">Common_InputFunctions.Utility_DisplayArrayInTable(Common_SourceData.Common_SourceData_AustralianStatesTerritories_Data(),Table_AustralianStates[[#Headers],[State/Territory]],0)</f>
        <v>Queensland</v>
      </c>
      <c r="E10" s="21" t="str" cm="1">
        <f t="array" ref="E10">Common_InputFunctions.Utility_DisplayArrayInTable(Common_SourceData.Common_SourceData_AustralianStatesTerritories_Data(),Table_AustralianStates[[#Headers],[State/Territory]],0)</f>
        <v>Queensland</v>
      </c>
      <c r="F10" s="21"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21" t="str" cm="1">
        <f t="array" ref="D11">Common_InputFunctions.Utility_DisplayArrayInTable(Common_SourceData.Common_SourceData_AustralianStatesTerritories_Data(),Table_AustralianStates[[#Headers],[State/Territory]],0)</f>
        <v>South Australia</v>
      </c>
      <c r="E11" s="21" t="str" cm="1">
        <f t="array" ref="E11">Common_InputFunctions.Utility_DisplayArrayInTable(Common_SourceData.Common_SourceData_AustralianStatesTerritories_Data(),Table_AustralianStates[[#Headers],[State/Territory]],0)</f>
        <v>South Australia</v>
      </c>
      <c r="F11" s="21" t="str" cm="1">
        <f t="array" ref="F11">Common_InputFunctions.Utility_DisplayArrayInTable(Common_SourceData.Common_SourceData_AustralianStatesTerritories_Data(),Table_AustralianStates[[#Headers],[State/Territory]],0)</f>
        <v>SA</v>
      </c>
      <c r="BM11" s="26"/>
    </row>
    <row r="12" spans="1:65" ht="20.100000000000001" customHeight="1" x14ac:dyDescent="0.25">
      <c r="A12"/>
      <c r="D12" s="21" t="str" cm="1">
        <f t="array" ref="D12">Common_InputFunctions.Utility_DisplayArrayInTable(Common_SourceData.Common_SourceData_AustralianStatesTerritories_Data(),Table_AustralianStates[[#Headers],[State/Territory]],0)</f>
        <v>Western Australia</v>
      </c>
      <c r="E12" s="21" t="str" cm="1">
        <f t="array" ref="E12">Common_InputFunctions.Utility_DisplayArrayInTable(Common_SourceData.Common_SourceData_AustralianStatesTerritories_Data(),Table_AustralianStates[[#Headers],[State/Territory]],0)</f>
        <v>Western Australia</v>
      </c>
      <c r="F12" s="21" t="str" cm="1">
        <f t="array" ref="F12">Common_InputFunctions.Utility_DisplayArrayInTable(Common_SourceData.Common_SourceData_AustralianStatesTerritories_Data(),Table_AustralianStates[[#Headers],[State/Territory]],0)</f>
        <v>WA</v>
      </c>
      <c r="BM12" s="26"/>
    </row>
    <row r="13" spans="1:65" ht="20.100000000000001" customHeight="1" x14ac:dyDescent="0.25">
      <c r="A13"/>
      <c r="D13" s="21" t="str" cm="1">
        <f t="array" ref="D13">Common_InputFunctions.Utility_DisplayArrayInTable(Common_SourceData.Common_SourceData_AustralianStatesTerritories_Data(),Table_AustralianStates[[#Headers],[State/Territory]],0)</f>
        <v>Tasmania</v>
      </c>
      <c r="E13" s="21" t="str" cm="1">
        <f t="array" ref="E13">Common_InputFunctions.Utility_DisplayArrayInTable(Common_SourceData.Common_SourceData_AustralianStatesTerritories_Data(),Table_AustralianStates[[#Headers],[State/Territory]],0)</f>
        <v>Tasmania</v>
      </c>
      <c r="F13" s="21"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21" t="str" cm="1">
        <f t="array" ref="D14">Common_InputFunctions.Utility_DisplayArrayInTable(Common_SourceData.Common_SourceData_AustralianStatesTerritories_Data(),Table_AustralianStates[[#Headers],[State/Territory]],0)</f>
        <v>Northern Territory</v>
      </c>
      <c r="E14" s="21" t="str" cm="1">
        <f t="array" ref="E14">Common_InputFunctions.Utility_DisplayArrayInTable(Common_SourceData.Common_SourceData_AustralianStatesTerritories_Data(),Table_AustralianStates[[#Headers],[State/Territory]],0)</f>
        <v>Northern Territory</v>
      </c>
      <c r="F14" s="21"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2" t="str" cm="1">
        <f t="array" ref="D18">Common_SourceData.Common_SourceData_WASA4Areas_Title()</f>
        <v>ABS Statistcal Areas Level 4 - Western Australia</v>
      </c>
    </row>
    <row r="19" spans="1:4" ht="20.100000000000001" customHeight="1" x14ac:dyDescent="0.25">
      <c r="A19"/>
      <c r="D19" s="18" t="str" cm="1">
        <f t="array" ref="D19">Common_SourceData.Common_SourceData_WASA4Areas_Source()</f>
        <v>Australian Bureau of Statistics (ABS) - Statistical Areas Level 2 - 2021 - Shapefile</v>
      </c>
    </row>
    <row r="20" spans="1:4" ht="20.100000000000001" customHeight="1" x14ac:dyDescent="0.25">
      <c r="A20"/>
      <c r="D20" s="21" t="s">
        <v>34</v>
      </c>
    </row>
    <row r="21" spans="1:4" ht="20.100000000000001" customHeight="1" x14ac:dyDescent="0.25">
      <c r="A21"/>
      <c r="D21" s="21" t="str" cm="1">
        <f t="array" ref="D21">Common_InputFunctions.Utility_DisplayArrayInTable(Common_SourceData.Common_SourceData_WASA4Areas_Data(), Table_WASA4Areas[[#Headers],[SA 4 Name]], 0)</f>
        <v>Bunbury</v>
      </c>
    </row>
    <row r="22" spans="1:4" ht="20.100000000000001" customHeight="1" x14ac:dyDescent="0.25">
      <c r="A22"/>
      <c r="D22" s="21" t="str" cm="1">
        <f t="array" ref="D22">Common_InputFunctions.Utility_DisplayArrayInTable(Common_SourceData.Common_SourceData_WASA4Areas_Data(), Table_WASA4Areas[[#Headers],[SA 4 Name]], 0)</f>
        <v>Mandurah</v>
      </c>
    </row>
    <row r="23" spans="1:4" ht="20.100000000000001" customHeight="1" x14ac:dyDescent="0.25">
      <c r="A23"/>
      <c r="D23" s="21" t="str" cm="1">
        <f t="array" ref="D23">Common_InputFunctions.Utility_DisplayArrayInTable(Common_SourceData.Common_SourceData_WASA4Areas_Data(), Table_WASA4Areas[[#Headers],[SA 4 Name]], 0)</f>
        <v>Perth - Inner</v>
      </c>
    </row>
    <row r="24" spans="1:4" ht="20.100000000000001" customHeight="1" x14ac:dyDescent="0.25">
      <c r="A24"/>
      <c r="D24" s="21" t="str" cm="1">
        <f t="array" ref="D24">Common_InputFunctions.Utility_DisplayArrayInTable(Common_SourceData.Common_SourceData_WASA4Areas_Data(), Table_WASA4Areas[[#Headers],[SA 4 Name]], 0)</f>
        <v>Perth - North East</v>
      </c>
    </row>
    <row r="25" spans="1:4" ht="20.100000000000001" customHeight="1" x14ac:dyDescent="0.25">
      <c r="A25"/>
      <c r="D25" s="21" t="str" cm="1">
        <f t="array" ref="D25">Common_InputFunctions.Utility_DisplayArrayInTable(Common_SourceData.Common_SourceData_WASA4Areas_Data(), Table_WASA4Areas[[#Headers],[SA 4 Name]], 0)</f>
        <v>Perth - North West</v>
      </c>
    </row>
    <row r="26" spans="1:4" ht="20.100000000000001" customHeight="1" x14ac:dyDescent="0.25">
      <c r="A26"/>
      <c r="D26" s="21" t="str" cm="1">
        <f t="array" ref="D26">Common_InputFunctions.Utility_DisplayArrayInTable(Common_SourceData.Common_SourceData_WASA4Areas_Data(), Table_WASA4Areas[[#Headers],[SA 4 Name]], 0)</f>
        <v>Perth - South East</v>
      </c>
    </row>
    <row r="27" spans="1:4" ht="20.100000000000001" customHeight="1" x14ac:dyDescent="0.25">
      <c r="A27"/>
      <c r="D27" s="21" t="str" cm="1">
        <f t="array" ref="D27">Common_InputFunctions.Utility_DisplayArrayInTable(Common_SourceData.Common_SourceData_WASA4Areas_Data(), Table_WASA4Areas[[#Headers],[SA 4 Name]], 0)</f>
        <v>Perth - South West</v>
      </c>
    </row>
    <row r="28" spans="1:4" ht="20.100000000000001" customHeight="1" x14ac:dyDescent="0.25">
      <c r="A28"/>
      <c r="D28" s="21"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21"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21"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2" t="str" cm="1">
        <f t="array" ref="D34">Common_SourceData.Common_SourceData_GWP_Title()</f>
        <v>Global warming potential for greenhouse gases</v>
      </c>
    </row>
    <row r="35" spans="1:8" ht="20.100000000000001" customHeight="1" x14ac:dyDescent="0.25">
      <c r="A35"/>
      <c r="D35" s="18" t="str" cm="1">
        <f t="array" ref="D35">Common_SourceData.Common_SourceData_GWP_Source()</f>
        <v>XXXXXXX</v>
      </c>
    </row>
    <row r="36" spans="1:8" ht="20.100000000000001" customHeight="1" x14ac:dyDescent="0.25">
      <c r="A36"/>
      <c r="D36" s="21" t="s">
        <v>35</v>
      </c>
      <c r="E36" s="21" t="s">
        <v>36</v>
      </c>
    </row>
    <row r="37" spans="1:8" ht="20.100000000000001" customHeight="1" x14ac:dyDescent="0.25">
      <c r="A37"/>
      <c r="D37" s="21" t="str" cm="1">
        <f t="array" ref="D37">Common_InputFunctions.Utility_DisplayArrayInTable(Common_SourceData.Common_SourceData_GWP_Data(), Table_GWPData[[#Headers],[Gas]], 0)</f>
        <v>CO2</v>
      </c>
      <c r="E37" s="21" cm="1">
        <f t="array" ref="E37">Common_InputFunctions.Utility_DisplayArrayInTable(Common_SourceData.Common_SourceData_GWP_Data(), Table_GWPData[[#Headers],[Gas]], 0)</f>
        <v>1</v>
      </c>
    </row>
    <row r="38" spans="1:8" ht="20.100000000000001" customHeight="1" x14ac:dyDescent="0.25">
      <c r="A38"/>
      <c r="D38" s="21" t="str" cm="1">
        <f t="array" ref="D38">Common_InputFunctions.Utility_DisplayArrayInTable(Common_SourceData.Common_SourceData_GWP_Data(), Table_GWPData[[#Headers],[Gas]], 0)</f>
        <v>CH4</v>
      </c>
      <c r="E38" s="21" cm="1">
        <f t="array" ref="E38">Common_InputFunctions.Utility_DisplayArrayInTable(Common_SourceData.Common_SourceData_GWP_Data(), Table_GWPData[[#Headers],[Gas]], 0)</f>
        <v>28</v>
      </c>
    </row>
    <row r="39" spans="1:8" ht="20.100000000000001" customHeight="1" x14ac:dyDescent="0.25">
      <c r="A39"/>
      <c r="D39" s="21" t="str" cm="1">
        <f t="array" ref="D39">Common_InputFunctions.Utility_DisplayArrayInTable(Common_SourceData.Common_SourceData_GWP_Data(), Table_GWPData[[#Headers],[Gas]], 0)</f>
        <v>N2O</v>
      </c>
      <c r="E39" s="21" cm="1">
        <f t="array" ref="E39">Common_InputFunctions.Utility_DisplayArrayInTable(Common_SourceData.Common_SourceData_GWP_Data(), Table_GWPData[[#Headers],[Gas]], 0)</f>
        <v>265</v>
      </c>
    </row>
    <row r="40" spans="1:8" ht="20.100000000000001" customHeight="1" x14ac:dyDescent="0.25">
      <c r="A40"/>
      <c r="D40" s="21" t="str" cm="1">
        <f t="array" ref="D40">Common_InputFunctions.Utility_DisplayArrayInTable(Common_SourceData.Common_SourceData_GWP_Data(), Table_GWPData[[#Headers],[Gas]], 0)</f>
        <v>CF4</v>
      </c>
      <c r="E40" s="21" cm="1">
        <f t="array" ref="E40">Common_InputFunctions.Utility_DisplayArrayInTable(Common_SourceData.Common_SourceData_GWP_Data(), Table_GWPData[[#Headers],[Gas]], 0)</f>
        <v>6630</v>
      </c>
    </row>
    <row r="41" spans="1:8" ht="20.100000000000001" customHeight="1" x14ac:dyDescent="0.25">
      <c r="A41"/>
      <c r="D41" s="21" t="str" cm="1">
        <f t="array" ref="D41">Common_InputFunctions.Utility_DisplayArrayInTable(Common_SourceData.Common_SourceData_GWP_Data(), Table_GWPData[[#Headers],[Gas]], 0)</f>
        <v>C2F6</v>
      </c>
      <c r="E41" s="21" cm="1">
        <f t="array" ref="E41">Common_InputFunctions.Utility_DisplayArrayInTable(Common_SourceData.Common_SourceData_GWP_Data(), Table_GWPData[[#Headers],[Gas]], 0)</f>
        <v>12200</v>
      </c>
    </row>
    <row r="42" spans="1:8" ht="20.100000000000001" customHeight="1" x14ac:dyDescent="0.25">
      <c r="A42"/>
      <c r="D42" s="21" t="str" cm="1">
        <f t="array" ref="D42">Common_InputFunctions.Utility_DisplayArrayInTable(Common_SourceData.Common_SourceData_GWP_Data(), Table_GWPData[[#Headers],[Gas]], 0)</f>
        <v>SF6</v>
      </c>
      <c r="E42" s="21" cm="1">
        <f t="array" ref="E42">Common_InputFunctions.Utility_DisplayArrayInTable(Common_SourceData.Common_SourceData_GWP_Data(), Table_GWPData[[#Headers],[Gas]], 0)</f>
        <v>22800</v>
      </c>
    </row>
    <row r="43" spans="1:8" ht="20.100000000000001" customHeight="1" x14ac:dyDescent="0.25">
      <c r="A43"/>
      <c r="D43" s="21" t="str" cm="1">
        <f t="array" ref="D43">Common_InputFunctions.Utility_DisplayArrayInTable(Common_SourceData.Common_SourceData_GWP_Data(), Table_GWPData[[#Headers],[Gas]], 0)</f>
        <v>NF3</v>
      </c>
      <c r="E43" s="21"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2" t="str" cm="1">
        <f t="array" ref="D45">Common_SourceData.Common_SourceData_ConvertGasElementalToMolecular_Title()</f>
        <v>Factor to convert elemental mass of gas to molecular mass</v>
      </c>
    </row>
    <row r="46" spans="1:8" ht="20.100000000000001" customHeight="1" x14ac:dyDescent="0.25">
      <c r="A46"/>
      <c r="D46" s="18" t="str" cm="1">
        <f t="array" ref="D46">Common_SourceData.Common_SourceData_ConvertGasElementalToMolecular_Source()</f>
        <v>XXXXXXX</v>
      </c>
    </row>
    <row r="47" spans="1:8" ht="20.100000000000001" customHeight="1" x14ac:dyDescent="0.25">
      <c r="A47"/>
      <c r="D47" s="21" t="s">
        <v>35</v>
      </c>
      <c r="E47" s="21" t="s">
        <v>37</v>
      </c>
      <c r="F47" s="21" t="s">
        <v>38</v>
      </c>
      <c r="G47" s="21" t="s">
        <v>39</v>
      </c>
      <c r="H47" s="21" t="s">
        <v>40</v>
      </c>
    </row>
    <row r="48" spans="1:8" ht="20.100000000000001" customHeight="1" x14ac:dyDescent="0.25">
      <c r="A48"/>
      <c r="D48" s="21" t="str" cm="1">
        <f t="array" ref="D48">Common_InputFunctions.Utility_DisplayArrayInTable(Common_SourceData.Common_SourceData_ConvertGasElementalToMolecular_Data(),Table_GasToMolecularConversionFactor[[#Headers],[Gas]], 0)</f>
        <v>CO2</v>
      </c>
      <c r="E48" s="21" t="str" cm="1">
        <f t="array" ref="E48">Common_InputFunctions.Utility_DisplayArrayInTable(Common_SourceData.Common_SourceData_ConvertGasElementalToMolecular_Data(),Table_GasToMolecularConversionFactor[[#Headers],[Gas]], 0)</f>
        <v>44/12</v>
      </c>
      <c r="F48" s="21" cm="1">
        <f t="array" ref="F48">Common_InputFunctions.Utility_DisplayArrayInTable(Common_SourceData.Common_SourceData_ConvertGasElementalToMolecular_Data(),Table_GasToMolecularConversionFactor[[#Headers],[Gas]], 0)</f>
        <v>44</v>
      </c>
      <c r="G48" s="21" cm="1">
        <f t="array" ref="G48">Common_InputFunctions.Utility_DisplayArrayInTable(Common_SourceData.Common_SourceData_ConvertGasElementalToMolecular_Data(),Table_GasToMolecularConversionFactor[[#Headers],[Gas]], 0)</f>
        <v>12</v>
      </c>
      <c r="H48" s="21">
        <f>Table_GasToMolecularConversionFactor[[#This Row],[Conversion factor 1]]/Table_GasToMolecularConversionFactor[[#This Row],[Conversion factor 2]]</f>
        <v>3.6666666666666665</v>
      </c>
    </row>
    <row r="49" spans="1:8" ht="20.100000000000001" customHeight="1" x14ac:dyDescent="0.25">
      <c r="A49"/>
      <c r="D49" s="21" t="str" cm="1">
        <f t="array" ref="D49">Common_InputFunctions.Utility_DisplayArrayInTable(Common_SourceData.Common_SourceData_ConvertGasElementalToMolecular_Data(),Table_GasToMolecularConversionFactor[[#Headers],[Gas]], 0)</f>
        <v>CH4</v>
      </c>
      <c r="E49" s="21" t="str" cm="1">
        <f t="array" ref="E49">Common_InputFunctions.Utility_DisplayArrayInTable(Common_SourceData.Common_SourceData_ConvertGasElementalToMolecular_Data(),Table_GasToMolecularConversionFactor[[#Headers],[Gas]], 0)</f>
        <v>16/12</v>
      </c>
      <c r="F49" s="21" cm="1">
        <f t="array" ref="F49">Common_InputFunctions.Utility_DisplayArrayInTable(Common_SourceData.Common_SourceData_ConvertGasElementalToMolecular_Data(),Table_GasToMolecularConversionFactor[[#Headers],[Gas]], 0)</f>
        <v>16</v>
      </c>
      <c r="G49" s="21" cm="1">
        <f t="array" ref="G49">Common_InputFunctions.Utility_DisplayArrayInTable(Common_SourceData.Common_SourceData_ConvertGasElementalToMolecular_Data(),Table_GasToMolecularConversionFactor[[#Headers],[Gas]], 0)</f>
        <v>12</v>
      </c>
      <c r="H49" s="21">
        <f>Table_GasToMolecularConversionFactor[[#This Row],[Conversion factor 1]]/Table_GasToMolecularConversionFactor[[#This Row],[Conversion factor 2]]</f>
        <v>1.3333333333333333</v>
      </c>
    </row>
    <row r="50" spans="1:8" ht="20.100000000000001" customHeight="1" x14ac:dyDescent="0.25">
      <c r="A50"/>
      <c r="D50" s="21" t="str" cm="1">
        <f t="array" ref="D50">Common_InputFunctions.Utility_DisplayArrayInTable(Common_SourceData.Common_SourceData_ConvertGasElementalToMolecular_Data(),Table_GasToMolecularConversionFactor[[#Headers],[Gas]], 0)</f>
        <v>N2O</v>
      </c>
      <c r="E50" s="21" t="str" cm="1">
        <f t="array" ref="E50">Common_InputFunctions.Utility_DisplayArrayInTable(Common_SourceData.Common_SourceData_ConvertGasElementalToMolecular_Data(),Table_GasToMolecularConversionFactor[[#Headers],[Gas]], 0)</f>
        <v>44/28</v>
      </c>
      <c r="F50" s="21" cm="1">
        <f t="array" ref="F50">Common_InputFunctions.Utility_DisplayArrayInTable(Common_SourceData.Common_SourceData_ConvertGasElementalToMolecular_Data(),Table_GasToMolecularConversionFactor[[#Headers],[Gas]], 0)</f>
        <v>44</v>
      </c>
      <c r="G50" s="21" cm="1">
        <f t="array" ref="G50">Common_InputFunctions.Utility_DisplayArrayInTable(Common_SourceData.Common_SourceData_ConvertGasElementalToMolecular_Data(),Table_GasToMolecularConversionFactor[[#Headers],[Gas]], 0)</f>
        <v>28</v>
      </c>
      <c r="H50" s="21">
        <f>Table_GasToMolecularConversionFactor[[#This Row],[Conversion factor 1]]/Table_GasToMolecularConversionFactor[[#This Row],[Conversion factor 2]]</f>
        <v>1.5714285714285714</v>
      </c>
    </row>
    <row r="51" spans="1:8" ht="20.100000000000001" customHeight="1" x14ac:dyDescent="0.25">
      <c r="A51"/>
      <c r="D51" s="21" t="str" cm="1">
        <f t="array" ref="D51">Common_InputFunctions.Utility_DisplayArrayInTable(Common_SourceData.Common_SourceData_ConvertGasElementalToMolecular_Data(),Table_GasToMolecularConversionFactor[[#Headers],[Gas]], 0)</f>
        <v>Nox</v>
      </c>
      <c r="E51" s="21" t="str" cm="1">
        <f t="array" ref="E51">Common_InputFunctions.Utility_DisplayArrayInTable(Common_SourceData.Common_SourceData_ConvertGasElementalToMolecular_Data(),Table_GasToMolecularConversionFactor[[#Headers],[Gas]], 0)</f>
        <v>46/14</v>
      </c>
      <c r="F51" s="21" cm="1">
        <f t="array" ref="F51">Common_InputFunctions.Utility_DisplayArrayInTable(Common_SourceData.Common_SourceData_ConvertGasElementalToMolecular_Data(),Table_GasToMolecularConversionFactor[[#Headers],[Gas]], 0)</f>
        <v>46</v>
      </c>
      <c r="G51" s="21" cm="1">
        <f t="array" ref="G51">Common_InputFunctions.Utility_DisplayArrayInTable(Common_SourceData.Common_SourceData_ConvertGasElementalToMolecular_Data(),Table_GasToMolecularConversionFactor[[#Headers],[Gas]], 0)</f>
        <v>14</v>
      </c>
      <c r="H51" s="21">
        <f>Table_GasToMolecularConversionFactor[[#This Row],[Conversion factor 1]]/Table_GasToMolecularConversionFactor[[#This Row],[Conversion factor 2]]</f>
        <v>3.2857142857142856</v>
      </c>
    </row>
    <row r="52" spans="1:8" ht="20.100000000000001" customHeight="1" x14ac:dyDescent="0.25">
      <c r="A52"/>
      <c r="D52" s="21" t="str" cm="1">
        <f t="array" ref="D52">Common_InputFunctions.Utility_DisplayArrayInTable(Common_SourceData.Common_SourceData_ConvertGasElementalToMolecular_Data(),Table_GasToMolecularConversionFactor[[#Headers],[Gas]], 0)</f>
        <v>CO</v>
      </c>
      <c r="E52" s="21" t="str" cm="1">
        <f t="array" ref="E52">Common_InputFunctions.Utility_DisplayArrayInTable(Common_SourceData.Common_SourceData_ConvertGasElementalToMolecular_Data(),Table_GasToMolecularConversionFactor[[#Headers],[Gas]], 0)</f>
        <v>28/12</v>
      </c>
      <c r="F52" s="21" cm="1">
        <f t="array" ref="F52">Common_InputFunctions.Utility_DisplayArrayInTable(Common_SourceData.Common_SourceData_ConvertGasElementalToMolecular_Data(),Table_GasToMolecularConversionFactor[[#Headers],[Gas]], 0)</f>
        <v>28</v>
      </c>
      <c r="G52" s="21" cm="1">
        <f t="array" ref="G52">Common_InputFunctions.Utility_DisplayArrayInTable(Common_SourceData.Common_SourceData_ConvertGasElementalToMolecular_Data(),Table_GasToMolecularConversionFactor[[#Headers],[Gas]], 0)</f>
        <v>12</v>
      </c>
      <c r="H52" s="21">
        <f>Table_GasToMolecularConversionFactor[[#This Row],[Conversion factor 1]]/Table_GasToMolecularConversionFactor[[#This Row],[Conversion factor 2]]</f>
        <v>2.3333333333333335</v>
      </c>
    </row>
    <row r="53" spans="1:8" ht="20.100000000000001" customHeight="1" x14ac:dyDescent="0.25">
      <c r="A53"/>
      <c r="D53" s="21" t="str" cm="1">
        <f t="array" ref="D53">Common_InputFunctions.Utility_DisplayArrayInTable(Common_SourceData.Common_SourceData_ConvertGasElementalToMolecular_Data(),Table_GasToMolecularConversionFactor[[#Headers],[Gas]], 0)</f>
        <v>CO2 Lime</v>
      </c>
      <c r="E53" s="21" t="str" cm="1">
        <f t="array" ref="E53">Common_InputFunctions.Utility_DisplayArrayInTable(Common_SourceData.Common_SourceData_ConvertGasElementalToMolecular_Data(),Table_GasToMolecularConversionFactor[[#Headers],[Gas]], 0)</f>
        <v>44/12</v>
      </c>
      <c r="F53" s="21" cm="1">
        <f t="array" ref="F53">Common_InputFunctions.Utility_DisplayArrayInTable(Common_SourceData.Common_SourceData_ConvertGasElementalToMolecular_Data(),Table_GasToMolecularConversionFactor[[#Headers],[Gas]], 0)</f>
        <v>44</v>
      </c>
      <c r="G53" s="21" cm="1">
        <f t="array" ref="G53">Common_InputFunctions.Utility_DisplayArrayInTable(Common_SourceData.Common_SourceData_ConvertGasElementalToMolecular_Data(),Table_GasToMolecularConversionFactor[[#Headers],[Gas]], 0)</f>
        <v>12</v>
      </c>
      <c r="H53" s="21">
        <f>Table_GasToMolecularConversionFactor[[#This Row],[Conversion factor 1]]/Table_GasToMolecularConversionFactor[[#This Row],[Conversion factor 2]]</f>
        <v>3.6666666666666665</v>
      </c>
    </row>
    <row r="54" spans="1:8" ht="20.100000000000001" customHeight="1" x14ac:dyDescent="0.25">
      <c r="A54"/>
      <c r="D54" s="21" t="str" cm="1">
        <f t="array" ref="D54">Common_InputFunctions.Utility_DisplayArrayInTable(Common_SourceData.Common_SourceData_ConvertGasElementalToMolecular_Data(),Table_GasToMolecularConversionFactor[[#Headers],[Gas]], 0)</f>
        <v>NMVOC</v>
      </c>
      <c r="E54" s="21" t="str" cm="1">
        <f t="array" ref="E54">Common_InputFunctions.Utility_DisplayArrayInTable(Common_SourceData.Common_SourceData_ConvertGasElementalToMolecular_Data(),Table_GasToMolecularConversionFactor[[#Headers],[Gas]], 0)</f>
        <v>14/12</v>
      </c>
      <c r="F54" s="21" cm="1">
        <f t="array" ref="F54">Common_InputFunctions.Utility_DisplayArrayInTable(Common_SourceData.Common_SourceData_ConvertGasElementalToMolecular_Data(),Table_GasToMolecularConversionFactor[[#Headers],[Gas]], 0)</f>
        <v>14</v>
      </c>
      <c r="G54" s="21" cm="1">
        <f t="array" ref="G54">Common_InputFunctions.Utility_DisplayArrayInTable(Common_SourceData.Common_SourceData_ConvertGasElementalToMolecular_Data(),Table_GasToMolecularConversionFactor[[#Headers],[Gas]], 0)</f>
        <v>12</v>
      </c>
      <c r="H54" s="21">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2" t="str" cm="1">
        <f t="array" ref="D57">Common_SourceData.Common_SourceData_WetAndDryZones_Title()</f>
        <v>VEERG Australian wet and dry zones</v>
      </c>
    </row>
    <row r="58" spans="1:8" ht="20.100000000000001" customHeight="1" x14ac:dyDescent="0.25">
      <c r="A58"/>
      <c r="D58" s="18" t="str" cm="1">
        <f t="array" ref="D58">Common_SourceData.Common_SourceData_WetAndDryZones_Source()</f>
        <v>VEERG 2026: Table 1.2: Translating climate zones to wet and dry zones</v>
      </c>
    </row>
    <row r="59" spans="1:8" ht="20.100000000000001" customHeight="1" x14ac:dyDescent="0.25">
      <c r="A59"/>
      <c r="D59" s="27" t="str" cm="1">
        <f t="array" ref="D59:D61">"⚠️" &amp; Common_SourceData.Common_SourceData_WetAndDryZones_Variation()</f>
        <v>⚠️VARIATION OF SOURCE DATA:</v>
      </c>
    </row>
    <row r="60" spans="1:8" ht="20.100000000000001" customHeight="1" x14ac:dyDescent="0.25">
      <c r="A60"/>
      <c r="D60" s="27" t="str">
        <v>⚠️Added warm / cool temperate moist / dry - low frost and high temp classes to accommodate climate scenarios excluded by VEERG criteria.</v>
      </c>
    </row>
    <row r="61" spans="1:8" ht="20.100000000000001" customHeight="1" x14ac:dyDescent="0.25">
      <c r="A61"/>
      <c r="D61" s="27" t="str">
        <v>⚠️Fixed typo - Changed 'Fry' to 'Dry'.</v>
      </c>
    </row>
    <row r="62" spans="1:8" ht="20.100000000000001" customHeight="1" x14ac:dyDescent="0.25">
      <c r="A62"/>
    </row>
    <row r="63" spans="1:8" ht="20.100000000000001" customHeight="1" x14ac:dyDescent="0.25">
      <c r="A63"/>
      <c r="D63" s="21" t="s">
        <v>41</v>
      </c>
      <c r="E63" s="21" t="s">
        <v>42</v>
      </c>
    </row>
    <row r="64" spans="1:8" ht="20.100000000000001" customHeight="1" x14ac:dyDescent="0.25">
      <c r="A64"/>
      <c r="D64" s="21" t="str" cm="1">
        <f t="array" ref="D64">Common_InputFunctions.Utility_DisplayArrayInTable(Common_SourceData.Common_SourceData_WetAndDryZones_Data(), Table_SourceData_WetDryZones[[#Headers],[Climate zone]], 0)</f>
        <v>Tropical montane</v>
      </c>
      <c r="E64" s="21"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21" t="str" cm="1">
        <f t="array" ref="D65">Common_InputFunctions.Utility_DisplayArrayInTable(Common_SourceData.Common_SourceData_WetAndDryZones_Data(), Table_SourceData_WetDryZones[[#Headers],[Climate zone]], 0)</f>
        <v>Tropical wet</v>
      </c>
      <c r="E65" s="21"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21" t="str" cm="1">
        <f t="array" ref="D66">Common_InputFunctions.Utility_DisplayArrayInTable(Common_SourceData.Common_SourceData_WetAndDryZones_Data(), Table_SourceData_WetDryZones[[#Headers],[Climate zone]], 0)</f>
        <v>Tropical moist</v>
      </c>
      <c r="E66" s="21"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21" t="str" cm="1">
        <f t="array" ref="D67">Common_InputFunctions.Utility_DisplayArrayInTable(Common_SourceData.Common_SourceData_WetAndDryZones_Data(), Table_SourceData_WetDryZones[[#Headers],[Climate zone]], 0)</f>
        <v>Tropical dry</v>
      </c>
      <c r="E67" s="21"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21" t="str" cm="1">
        <f t="array" ref="D68">Common_InputFunctions.Utility_DisplayArrayInTable(Common_SourceData.Common_SourceData_WetAndDryZones_Data(), Table_SourceData_WetDryZones[[#Headers],[Climate zone]], 0)</f>
        <v>Warm temperate moist</v>
      </c>
      <c r="E68" s="21"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21" t="str" cm="1">
        <f t="array" ref="D69">Common_InputFunctions.Utility_DisplayArrayInTable(Common_SourceData.Common_SourceData_WetAndDryZones_Data(), Table_SourceData_WetDryZones[[#Headers],[Climate zone]], 0)</f>
        <v>Warm temperate dry</v>
      </c>
      <c r="E69" s="21"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21" t="str" cm="1">
        <f t="array" ref="D70">Common_InputFunctions.Utility_DisplayArrayInTable(Common_SourceData.Common_SourceData_WetAndDryZones_Data(), Table_SourceData_WetDryZones[[#Headers],[Climate zone]], 0)</f>
        <v>Cool temperate moist</v>
      </c>
      <c r="E70" s="21"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21" t="str" cm="1">
        <f t="array" ref="D71">Common_InputFunctions.Utility_DisplayArrayInTable(Common_SourceData.Common_SourceData_WetAndDryZones_Data(), Table_SourceData_WetDryZones[[#Headers],[Climate zone]], 0)</f>
        <v>Cool temperate dry</v>
      </c>
      <c r="E71" s="21"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21" t="str" cm="1">
        <f t="array" ref="D72">Common_InputFunctions.Utility_DisplayArrayInTable(Common_SourceData.Common_SourceData_WetAndDryZones_Data(), Table_SourceData_WetDryZones[[#Headers],[Climate zone]], 0)</f>
        <v>Warm temperate moist - low frost</v>
      </c>
      <c r="E72" s="21"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21" t="str" cm="1">
        <f t="array" ref="D73">Common_InputFunctions.Utility_DisplayArrayInTable(Common_SourceData.Common_SourceData_WetAndDryZones_Data(), Table_SourceData_WetDryZones[[#Headers],[Climate zone]], 0)</f>
        <v>Warm temperate dry - low frost</v>
      </c>
      <c r="E73" s="21"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21" t="str" cm="1">
        <f t="array" ref="D74">Common_InputFunctions.Utility_DisplayArrayInTable(Common_SourceData.Common_SourceData_WetAndDryZones_Data(), Table_SourceData_WetDryZones[[#Headers],[Climate zone]], 0)</f>
        <v>Warm temperate moist - high temp</v>
      </c>
      <c r="E74" s="21"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21" t="str" cm="1">
        <f t="array" ref="D75">Common_InputFunctions.Utility_DisplayArrayInTable(Common_SourceData.Common_SourceData_WetAndDryZones_Data(), Table_SourceData_WetDryZones[[#Headers],[Climate zone]], 0)</f>
        <v>Warm temperate dry - high temp</v>
      </c>
      <c r="E75" s="21"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21" t="str" cm="1">
        <f t="array" ref="D76">Common_InputFunctions.Utility_DisplayArrayInTable(Common_SourceData.Common_SourceData_WetAndDryZones_Data(), Table_SourceData_WetDryZones[[#Headers],[Climate zone]], 0)</f>
        <v>Cool temperate moist - low frost</v>
      </c>
      <c r="E76" s="21"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21" t="str" cm="1">
        <f t="array" ref="D77">Common_InputFunctions.Utility_DisplayArrayInTable(Common_SourceData.Common_SourceData_WetAndDryZones_Data(), Table_SourceData_WetDryZones[[#Headers],[Climate zone]], 0)</f>
        <v>Cool temperate dry - low frost</v>
      </c>
      <c r="E77" s="21"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2" t="str" cm="1">
        <f t="array" ref="D81">Common_SourceData.Common_SourceData_ClimateZones_Title()</f>
        <v>VEERG Australian climate zones</v>
      </c>
    </row>
    <row r="82" spans="1:20" ht="20.100000000000001" customHeight="1" x14ac:dyDescent="0.25">
      <c r="A82"/>
      <c r="D82" s="18" t="str" cm="1">
        <f t="array" ref="D82">Common_SourceData.Common_SourceData_ClimateZones_Source()</f>
        <v>VEERG 2026: Table 1.3: Climate and Rainfall zone classifications and definitions</v>
      </c>
    </row>
    <row r="83" spans="1:20" ht="20.100000000000001" customHeight="1" x14ac:dyDescent="0.25">
      <c r="A83"/>
      <c r="D83" s="27" t="str" cm="1">
        <f t="array" ref="D83:D87">"⚠️" &amp; Common_SourceData.Common_SourceData_ClimateZones_Variation()</f>
        <v>⚠️VARIATION OF SOURCE DATA:</v>
      </c>
    </row>
    <row r="84" spans="1:20" ht="20.100000000000001" customHeight="1" x14ac:dyDescent="0.25">
      <c r="A84"/>
      <c r="D84" s="27" t="str">
        <v>⚠️Added warm / cool temperate moist / dry - low frost and high temp classes to accommodate climate scenarios excluded by VEERG criteria.</v>
      </c>
    </row>
    <row r="85" spans="1:20" ht="20.100000000000001" customHeight="1" x14ac:dyDescent="0.25">
      <c r="A85"/>
      <c r="D85" s="27" t="str">
        <v>⚠️Fixed typo in MAT value for warm temperate dry - changed 10 to 11.</v>
      </c>
    </row>
    <row r="86" spans="1:20" ht="20.100000000000001" customHeight="1" x14ac:dyDescent="0.25">
      <c r="A86"/>
      <c r="D86" s="27" t="str">
        <v>⚠️Added min and max columns for MAT, MAP, frost days per year, elevation, MAP:PET to calculate zones from real climate data.</v>
      </c>
    </row>
    <row r="87" spans="1:20" ht="20.100000000000001" customHeight="1" x14ac:dyDescent="0.25">
      <c r="A87"/>
      <c r="D87" s="27" t="str">
        <v>⚠️GAF accepts rainfall as a proxy for precipitation.</v>
      </c>
    </row>
    <row r="88" spans="1:20" ht="20.100000000000001" customHeight="1" x14ac:dyDescent="0.25">
      <c r="A88"/>
    </row>
    <row r="89" spans="1:20" ht="20.100000000000001" customHeight="1" x14ac:dyDescent="0.25">
      <c r="A89"/>
      <c r="D89" s="21" t="s">
        <v>41</v>
      </c>
      <c r="E89" s="21" t="s">
        <v>43</v>
      </c>
      <c r="F89" s="21" t="s">
        <v>44</v>
      </c>
      <c r="G89" s="21" t="s">
        <v>45</v>
      </c>
      <c r="H89" s="21" t="s">
        <v>46</v>
      </c>
      <c r="I89" s="21" t="s">
        <v>47</v>
      </c>
      <c r="J89" s="21" t="s">
        <v>48</v>
      </c>
      <c r="K89" s="21" t="s">
        <v>49</v>
      </c>
      <c r="L89" s="21" t="s">
        <v>50</v>
      </c>
      <c r="M89" s="21" t="s">
        <v>51</v>
      </c>
      <c r="N89" s="21" t="s">
        <v>52</v>
      </c>
      <c r="O89" s="21" t="s">
        <v>53</v>
      </c>
      <c r="P89" s="21" t="s">
        <v>54</v>
      </c>
      <c r="Q89" s="21" t="s">
        <v>55</v>
      </c>
      <c r="R89" s="21" t="s">
        <v>56</v>
      </c>
      <c r="S89" s="21" t="s">
        <v>57</v>
      </c>
      <c r="T89" s="21"/>
    </row>
    <row r="90" spans="1:20" ht="20.100000000000001" customHeight="1" x14ac:dyDescent="0.25">
      <c r="A90"/>
      <c r="D90" s="21" t="str" cm="1">
        <f t="array" ref="D90">Common_InputFunctions.Utility_DisplayArrayInTable(Common_SourceData.Common_SourceData_ClimateZones_Data(), Table_SourceData_ClimateZones[[#Headers],[Climate zone]], 0)</f>
        <v>Tropical montane</v>
      </c>
      <c r="E90" s="21" t="str" cm="1">
        <f t="array" ref="E90">Common_InputFunctions.Utility_DisplayArrayInTable(Common_SourceData.Common_SourceData_ClimateZones_Data(), Table_SourceData_ClimateZones[[#Headers],[Climate zone]], 0)</f>
        <v>&gt; 18 C</v>
      </c>
      <c r="F90" s="21" t="str" cm="1">
        <f t="array" ref="F90">Common_InputFunctions.Utility_DisplayArrayInTable(Common_SourceData.Common_SourceData_ClimateZones_Data(), Table_SourceData_ClimateZones[[#Headers],[Climate zone]], 0)</f>
        <v>Any</v>
      </c>
      <c r="G90" s="21" t="str" cm="1">
        <f t="array" ref="G90">Common_InputFunctions.Utility_DisplayArrayInTable(Common_SourceData.Common_SourceData_ClimateZones_Data(), Table_SourceData_ClimateZones[[#Headers],[Climate zone]], 0)</f>
        <v>≤ 7</v>
      </c>
      <c r="H90" s="21" t="str" cm="1">
        <f t="array" ref="H90">Common_InputFunctions.Utility_DisplayArrayInTable(Common_SourceData.Common_SourceData_ClimateZones_Data(), Table_SourceData_ClimateZones[[#Headers],[Climate zone]], 0)</f>
        <v>&gt; 1000 m</v>
      </c>
      <c r="I90" s="21" t="str" cm="1">
        <f t="array" ref="I90">Common_InputFunctions.Utility_DisplayArrayInTable(Common_SourceData.Common_SourceData_ClimateZones_Data(), Table_SourceData_ClimateZones[[#Headers],[Climate zone]], 0)</f>
        <v>Any</v>
      </c>
      <c r="J90" s="21" cm="1">
        <f t="array" ref="J90">Common_InputFunctions.Utility_DisplayArrayInTable(Common_SourceData.Common_SourceData_ClimateZones_Data(), Table_SourceData_ClimateZones[[#Headers],[Climate zone]], 0)</f>
        <v>18.001000000000001</v>
      </c>
      <c r="K90" s="21" cm="1">
        <f t="array" ref="K90">Common_InputFunctions.Utility_DisplayArrayInTable(Common_SourceData.Common_SourceData_ClimateZones_Data(), Table_SourceData_ClimateZones[[#Headers],[Climate zone]], 0)</f>
        <v>999999</v>
      </c>
      <c r="L90" s="21" cm="1">
        <f t="array" ref="L90">Common_InputFunctions.Utility_DisplayArrayInTable(Common_SourceData.Common_SourceData_ClimateZones_Data(), Table_SourceData_ClimateZones[[#Headers],[Climate zone]], 0)</f>
        <v>-999999</v>
      </c>
      <c r="M90" s="21" cm="1">
        <f t="array" ref="M90">Common_InputFunctions.Utility_DisplayArrayInTable(Common_SourceData.Common_SourceData_ClimateZones_Data(), Table_SourceData_ClimateZones[[#Headers],[Climate zone]], 0)</f>
        <v>999999</v>
      </c>
      <c r="N90" s="21" cm="1">
        <f t="array" ref="N90">Common_InputFunctions.Utility_DisplayArrayInTable(Common_SourceData.Common_SourceData_ClimateZones_Data(), Table_SourceData_ClimateZones[[#Headers],[Climate zone]], 0)</f>
        <v>-999999</v>
      </c>
      <c r="O90" s="21" cm="1">
        <f t="array" ref="O90">Common_InputFunctions.Utility_DisplayArrayInTable(Common_SourceData.Common_SourceData_ClimateZones_Data(), Table_SourceData_ClimateZones[[#Headers],[Climate zone]], 0)</f>
        <v>7</v>
      </c>
      <c r="P90" s="21" cm="1">
        <f t="array" ref="P90">Common_InputFunctions.Utility_DisplayArrayInTable(Common_SourceData.Common_SourceData_ClimateZones_Data(), Table_SourceData_ClimateZones[[#Headers],[Climate zone]], 0)</f>
        <v>1000</v>
      </c>
      <c r="Q90" s="21" cm="1">
        <f t="array" ref="Q90">Common_InputFunctions.Utility_DisplayArrayInTable(Common_SourceData.Common_SourceData_ClimateZones_Data(), Table_SourceData_ClimateZones[[#Headers],[Climate zone]], 0)</f>
        <v>999999</v>
      </c>
      <c r="R90" s="21" cm="1">
        <f t="array" ref="R90">Common_InputFunctions.Utility_DisplayArrayInTable(Common_SourceData.Common_SourceData_ClimateZones_Data(), Table_SourceData_ClimateZones[[#Headers],[Climate zone]], 0)</f>
        <v>-999999</v>
      </c>
      <c r="S90" s="21" cm="1">
        <f t="array" ref="S90">Common_InputFunctions.Utility_DisplayArrayInTable(Common_SourceData.Common_SourceData_ClimateZones_Data(), Table_SourceData_ClimateZones[[#Headers],[Climate zone]], 0)</f>
        <v>999999</v>
      </c>
      <c r="T90" s="21"/>
    </row>
    <row r="91" spans="1:20" ht="20.100000000000001" customHeight="1" x14ac:dyDescent="0.25">
      <c r="A91"/>
      <c r="D91" s="21" t="str" cm="1">
        <f t="array" ref="D91">Common_InputFunctions.Utility_DisplayArrayInTable(Common_SourceData.Common_SourceData_ClimateZones_Data(), Table_SourceData_ClimateZones[[#Headers],[Climate zone]], 0)</f>
        <v>Tropical wet</v>
      </c>
      <c r="E91" s="21" t="str" cm="1">
        <f t="array" ref="E91">Common_InputFunctions.Utility_DisplayArrayInTable(Common_SourceData.Common_SourceData_ClimateZones_Data(), Table_SourceData_ClimateZones[[#Headers],[Climate zone]], 0)</f>
        <v>&gt; 18 C</v>
      </c>
      <c r="F91" s="21" t="str" cm="1">
        <f t="array" ref="F91">Common_InputFunctions.Utility_DisplayArrayInTable(Common_SourceData.Common_SourceData_ClimateZones_Data(), Table_SourceData_ClimateZones[[#Headers],[Climate zone]], 0)</f>
        <v>&gt; 2000 mm</v>
      </c>
      <c r="G91" s="21" t="str" cm="1">
        <f t="array" ref="G91">Common_InputFunctions.Utility_DisplayArrayInTable(Common_SourceData.Common_SourceData_ClimateZones_Data(), Table_SourceData_ClimateZones[[#Headers],[Climate zone]], 0)</f>
        <v>≤ 7</v>
      </c>
      <c r="H91" s="21" t="str" cm="1">
        <f t="array" ref="H91">Common_InputFunctions.Utility_DisplayArrayInTable(Common_SourceData.Common_SourceData_ClimateZones_Data(), Table_SourceData_ClimateZones[[#Headers],[Climate zone]], 0)</f>
        <v>≤ 1000 m</v>
      </c>
      <c r="I91" s="21" t="str" cm="1">
        <f t="array" ref="I91">Common_InputFunctions.Utility_DisplayArrayInTable(Common_SourceData.Common_SourceData_ClimateZones_Data(), Table_SourceData_ClimateZones[[#Headers],[Climate zone]], 0)</f>
        <v>Any</v>
      </c>
      <c r="J91" s="21" cm="1">
        <f t="array" ref="J91">Common_InputFunctions.Utility_DisplayArrayInTable(Common_SourceData.Common_SourceData_ClimateZones_Data(), Table_SourceData_ClimateZones[[#Headers],[Climate zone]], 0)</f>
        <v>18.001000000000001</v>
      </c>
      <c r="K91" s="21" cm="1">
        <f t="array" ref="K91">Common_InputFunctions.Utility_DisplayArrayInTable(Common_SourceData.Common_SourceData_ClimateZones_Data(), Table_SourceData_ClimateZones[[#Headers],[Climate zone]], 0)</f>
        <v>999999</v>
      </c>
      <c r="L91" s="21" cm="1">
        <f t="array" ref="L91">Common_InputFunctions.Utility_DisplayArrayInTable(Common_SourceData.Common_SourceData_ClimateZones_Data(), Table_SourceData_ClimateZones[[#Headers],[Climate zone]], 0)</f>
        <v>2000.001</v>
      </c>
      <c r="M91" s="21" cm="1">
        <f t="array" ref="M91">Common_InputFunctions.Utility_DisplayArrayInTable(Common_SourceData.Common_SourceData_ClimateZones_Data(), Table_SourceData_ClimateZones[[#Headers],[Climate zone]], 0)</f>
        <v>999999</v>
      </c>
      <c r="N91" s="21" cm="1">
        <f t="array" ref="N91">Common_InputFunctions.Utility_DisplayArrayInTable(Common_SourceData.Common_SourceData_ClimateZones_Data(), Table_SourceData_ClimateZones[[#Headers],[Climate zone]], 0)</f>
        <v>-999999</v>
      </c>
      <c r="O91" s="21" cm="1">
        <f t="array" ref="O91">Common_InputFunctions.Utility_DisplayArrayInTable(Common_SourceData.Common_SourceData_ClimateZones_Data(), Table_SourceData_ClimateZones[[#Headers],[Climate zone]], 0)</f>
        <v>7</v>
      </c>
      <c r="P91" s="21" cm="1">
        <f t="array" ref="P91">Common_InputFunctions.Utility_DisplayArrayInTable(Common_SourceData.Common_SourceData_ClimateZones_Data(), Table_SourceData_ClimateZones[[#Headers],[Climate zone]], 0)</f>
        <v>-999999</v>
      </c>
      <c r="Q91" s="21" cm="1">
        <f t="array" ref="Q91">Common_InputFunctions.Utility_DisplayArrayInTable(Common_SourceData.Common_SourceData_ClimateZones_Data(), Table_SourceData_ClimateZones[[#Headers],[Climate zone]], 0)</f>
        <v>999.99900000000002</v>
      </c>
      <c r="R91" s="21" cm="1">
        <f t="array" ref="R91">Common_InputFunctions.Utility_DisplayArrayInTable(Common_SourceData.Common_SourceData_ClimateZones_Data(), Table_SourceData_ClimateZones[[#Headers],[Climate zone]], 0)</f>
        <v>-999999</v>
      </c>
      <c r="S91" s="21" cm="1">
        <f t="array" ref="S91">Common_InputFunctions.Utility_DisplayArrayInTable(Common_SourceData.Common_SourceData_ClimateZones_Data(), Table_SourceData_ClimateZones[[#Headers],[Climate zone]], 0)</f>
        <v>999999</v>
      </c>
      <c r="T91" s="21"/>
    </row>
    <row r="92" spans="1:20" ht="20.100000000000001" customHeight="1" x14ac:dyDescent="0.25">
      <c r="A92"/>
      <c r="D92" s="21" t="str" cm="1">
        <f t="array" ref="D92">Common_InputFunctions.Utility_DisplayArrayInTable(Common_SourceData.Common_SourceData_ClimateZones_Data(), Table_SourceData_ClimateZones[[#Headers],[Climate zone]], 0)</f>
        <v>Tropical moist</v>
      </c>
      <c r="E92" s="21" t="str" cm="1">
        <f t="array" ref="E92">Common_InputFunctions.Utility_DisplayArrayInTable(Common_SourceData.Common_SourceData_ClimateZones_Data(), Table_SourceData_ClimateZones[[#Headers],[Climate zone]], 0)</f>
        <v>&gt; 18 C</v>
      </c>
      <c r="F92" s="21" t="str" cm="1">
        <f t="array" ref="F92">Common_InputFunctions.Utility_DisplayArrayInTable(Common_SourceData.Common_SourceData_ClimateZones_Data(), Table_SourceData_ClimateZones[[#Headers],[Climate zone]], 0)</f>
        <v>&gt; 1000 mm - ≤ 2000 mm</v>
      </c>
      <c r="G92" s="21" t="str" cm="1">
        <f t="array" ref="G92">Common_InputFunctions.Utility_DisplayArrayInTable(Common_SourceData.Common_SourceData_ClimateZones_Data(), Table_SourceData_ClimateZones[[#Headers],[Climate zone]], 0)</f>
        <v>≤ 7</v>
      </c>
      <c r="H92" s="21" t="str" cm="1">
        <f t="array" ref="H92">Common_InputFunctions.Utility_DisplayArrayInTable(Common_SourceData.Common_SourceData_ClimateZones_Data(), Table_SourceData_ClimateZones[[#Headers],[Climate zone]], 0)</f>
        <v>≤ 1000 m</v>
      </c>
      <c r="I92" s="21" t="str" cm="1">
        <f t="array" ref="I92">Common_InputFunctions.Utility_DisplayArrayInTable(Common_SourceData.Common_SourceData_ClimateZones_Data(), Table_SourceData_ClimateZones[[#Headers],[Climate zone]], 0)</f>
        <v>Any</v>
      </c>
      <c r="J92" s="21" cm="1">
        <f t="array" ref="J92">Common_InputFunctions.Utility_DisplayArrayInTable(Common_SourceData.Common_SourceData_ClimateZones_Data(), Table_SourceData_ClimateZones[[#Headers],[Climate zone]], 0)</f>
        <v>18.001000000000001</v>
      </c>
      <c r="K92" s="21" cm="1">
        <f t="array" ref="K92">Common_InputFunctions.Utility_DisplayArrayInTable(Common_SourceData.Common_SourceData_ClimateZones_Data(), Table_SourceData_ClimateZones[[#Headers],[Climate zone]], 0)</f>
        <v>999999</v>
      </c>
      <c r="L92" s="21" cm="1">
        <f t="array" ref="L92">Common_InputFunctions.Utility_DisplayArrayInTable(Common_SourceData.Common_SourceData_ClimateZones_Data(), Table_SourceData_ClimateZones[[#Headers],[Climate zone]], 0)</f>
        <v>1000.001</v>
      </c>
      <c r="M92" s="21" cm="1">
        <f t="array" ref="M92">Common_InputFunctions.Utility_DisplayArrayInTable(Common_SourceData.Common_SourceData_ClimateZones_Data(), Table_SourceData_ClimateZones[[#Headers],[Climate zone]], 0)</f>
        <v>2000</v>
      </c>
      <c r="N92" s="21" cm="1">
        <f t="array" ref="N92">Common_InputFunctions.Utility_DisplayArrayInTable(Common_SourceData.Common_SourceData_ClimateZones_Data(), Table_SourceData_ClimateZones[[#Headers],[Climate zone]], 0)</f>
        <v>-999999</v>
      </c>
      <c r="O92" s="21" cm="1">
        <f t="array" ref="O92">Common_InputFunctions.Utility_DisplayArrayInTable(Common_SourceData.Common_SourceData_ClimateZones_Data(), Table_SourceData_ClimateZones[[#Headers],[Climate zone]], 0)</f>
        <v>7</v>
      </c>
      <c r="P92" s="21" cm="1">
        <f t="array" ref="P92">Common_InputFunctions.Utility_DisplayArrayInTable(Common_SourceData.Common_SourceData_ClimateZones_Data(), Table_SourceData_ClimateZones[[#Headers],[Climate zone]], 0)</f>
        <v>-999999</v>
      </c>
      <c r="Q92" s="21" cm="1">
        <f t="array" ref="Q92">Common_InputFunctions.Utility_DisplayArrayInTable(Common_SourceData.Common_SourceData_ClimateZones_Data(), Table_SourceData_ClimateZones[[#Headers],[Climate zone]], 0)</f>
        <v>999.99900000000002</v>
      </c>
      <c r="R92" s="21" cm="1">
        <f t="array" ref="R92">Common_InputFunctions.Utility_DisplayArrayInTable(Common_SourceData.Common_SourceData_ClimateZones_Data(), Table_SourceData_ClimateZones[[#Headers],[Climate zone]], 0)</f>
        <v>-999999</v>
      </c>
      <c r="S92" s="21" cm="1">
        <f t="array" ref="S92">Common_InputFunctions.Utility_DisplayArrayInTable(Common_SourceData.Common_SourceData_ClimateZones_Data(), Table_SourceData_ClimateZones[[#Headers],[Climate zone]], 0)</f>
        <v>999999</v>
      </c>
      <c r="T92" s="21"/>
    </row>
    <row r="93" spans="1:20" ht="20.100000000000001" customHeight="1" x14ac:dyDescent="0.25">
      <c r="A93"/>
      <c r="D93" s="21" t="str" cm="1">
        <f t="array" ref="D93">Common_InputFunctions.Utility_DisplayArrayInTable(Common_SourceData.Common_SourceData_ClimateZones_Data(), Table_SourceData_ClimateZones[[#Headers],[Climate zone]], 0)</f>
        <v>Tropical dry</v>
      </c>
      <c r="E93" s="21" t="str" cm="1">
        <f t="array" ref="E93">Common_InputFunctions.Utility_DisplayArrayInTable(Common_SourceData.Common_SourceData_ClimateZones_Data(), Table_SourceData_ClimateZones[[#Headers],[Climate zone]], 0)</f>
        <v>&gt; 18 C</v>
      </c>
      <c r="F93" s="21" t="str" cm="1">
        <f t="array" ref="F93">Common_InputFunctions.Utility_DisplayArrayInTable(Common_SourceData.Common_SourceData_ClimateZones_Data(), Table_SourceData_ClimateZones[[#Headers],[Climate zone]], 0)</f>
        <v>≤ 1000 mm</v>
      </c>
      <c r="G93" s="21" t="str" cm="1">
        <f t="array" ref="G93">Common_InputFunctions.Utility_DisplayArrayInTable(Common_SourceData.Common_SourceData_ClimateZones_Data(), Table_SourceData_ClimateZones[[#Headers],[Climate zone]], 0)</f>
        <v>≤ 7</v>
      </c>
      <c r="H93" s="21" t="str" cm="1">
        <f t="array" ref="H93">Common_InputFunctions.Utility_DisplayArrayInTable(Common_SourceData.Common_SourceData_ClimateZones_Data(), Table_SourceData_ClimateZones[[#Headers],[Climate zone]], 0)</f>
        <v>≤ 1000 m</v>
      </c>
      <c r="I93" s="21" t="str" cm="1">
        <f t="array" ref="I93">Common_InputFunctions.Utility_DisplayArrayInTable(Common_SourceData.Common_SourceData_ClimateZones_Data(), Table_SourceData_ClimateZones[[#Headers],[Climate zone]], 0)</f>
        <v>Any</v>
      </c>
      <c r="J93" s="21" cm="1">
        <f t="array" ref="J93">Common_InputFunctions.Utility_DisplayArrayInTable(Common_SourceData.Common_SourceData_ClimateZones_Data(), Table_SourceData_ClimateZones[[#Headers],[Climate zone]], 0)</f>
        <v>18.001000000000001</v>
      </c>
      <c r="K93" s="21" cm="1">
        <f t="array" ref="K93">Common_InputFunctions.Utility_DisplayArrayInTable(Common_SourceData.Common_SourceData_ClimateZones_Data(), Table_SourceData_ClimateZones[[#Headers],[Climate zone]], 0)</f>
        <v>999999</v>
      </c>
      <c r="L93" s="21" cm="1">
        <f t="array" ref="L93">Common_InputFunctions.Utility_DisplayArrayInTable(Common_SourceData.Common_SourceData_ClimateZones_Data(), Table_SourceData_ClimateZones[[#Headers],[Climate zone]], 0)</f>
        <v>-999999</v>
      </c>
      <c r="M93" s="21" cm="1">
        <f t="array" ref="M93">Common_InputFunctions.Utility_DisplayArrayInTable(Common_SourceData.Common_SourceData_ClimateZones_Data(), Table_SourceData_ClimateZones[[#Headers],[Climate zone]], 0)</f>
        <v>1000</v>
      </c>
      <c r="N93" s="21" cm="1">
        <f t="array" ref="N93">Common_InputFunctions.Utility_DisplayArrayInTable(Common_SourceData.Common_SourceData_ClimateZones_Data(), Table_SourceData_ClimateZones[[#Headers],[Climate zone]], 0)</f>
        <v>-999999</v>
      </c>
      <c r="O93" s="21" cm="1">
        <f t="array" ref="O93">Common_InputFunctions.Utility_DisplayArrayInTable(Common_SourceData.Common_SourceData_ClimateZones_Data(), Table_SourceData_ClimateZones[[#Headers],[Climate zone]], 0)</f>
        <v>7</v>
      </c>
      <c r="P93" s="21" cm="1">
        <f t="array" ref="P93">Common_InputFunctions.Utility_DisplayArrayInTable(Common_SourceData.Common_SourceData_ClimateZones_Data(), Table_SourceData_ClimateZones[[#Headers],[Climate zone]], 0)</f>
        <v>-999999</v>
      </c>
      <c r="Q93" s="21" cm="1">
        <f t="array" ref="Q93">Common_InputFunctions.Utility_DisplayArrayInTable(Common_SourceData.Common_SourceData_ClimateZones_Data(), Table_SourceData_ClimateZones[[#Headers],[Climate zone]], 0)</f>
        <v>999.99900000000002</v>
      </c>
      <c r="R93" s="21" cm="1">
        <f t="array" ref="R93">Common_InputFunctions.Utility_DisplayArrayInTable(Common_SourceData.Common_SourceData_ClimateZones_Data(), Table_SourceData_ClimateZones[[#Headers],[Climate zone]], 0)</f>
        <v>-999999</v>
      </c>
      <c r="S93" s="21" cm="1">
        <f t="array" ref="S93">Common_InputFunctions.Utility_DisplayArrayInTable(Common_SourceData.Common_SourceData_ClimateZones_Data(), Table_SourceData_ClimateZones[[#Headers],[Climate zone]], 0)</f>
        <v>999999</v>
      </c>
      <c r="T93" s="21"/>
    </row>
    <row r="94" spans="1:20" ht="20.100000000000001" customHeight="1" x14ac:dyDescent="0.25">
      <c r="A94"/>
      <c r="D94" s="21" t="str" cm="1">
        <f t="array" ref="D94">Common_InputFunctions.Utility_DisplayArrayInTable(Common_SourceData.Common_SourceData_ClimateZones_Data(), Table_SourceData_ClimateZones[[#Headers],[Climate zone]], 0)</f>
        <v>Warm temperate moist</v>
      </c>
      <c r="E94" s="21" t="str" cm="1">
        <f t="array" ref="E94">Common_InputFunctions.Utility_DisplayArrayInTable(Common_SourceData.Common_SourceData_ClimateZones_Data(), Table_SourceData_ClimateZones[[#Headers],[Climate zone]], 0)</f>
        <v>&gt; 10 C</v>
      </c>
      <c r="F94" s="21" t="str" cm="1">
        <f t="array" ref="F94">Common_InputFunctions.Utility_DisplayArrayInTable(Common_SourceData.Common_SourceData_ClimateZones_Data(), Table_SourceData_ClimateZones[[#Headers],[Climate zone]], 0)</f>
        <v>Any</v>
      </c>
      <c r="G94" s="21" t="str" cm="1">
        <f t="array" ref="G94">Common_InputFunctions.Utility_DisplayArrayInTable(Common_SourceData.Common_SourceData_ClimateZones_Data(), Table_SourceData_ClimateZones[[#Headers],[Climate zone]], 0)</f>
        <v>Any</v>
      </c>
      <c r="H94" s="21" t="str" cm="1">
        <f t="array" ref="H94">Common_InputFunctions.Utility_DisplayArrayInTable(Common_SourceData.Common_SourceData_ClimateZones_Data(), Table_SourceData_ClimateZones[[#Headers],[Climate zone]], 0)</f>
        <v>Any</v>
      </c>
      <c r="I94" s="21" t="str" cm="1">
        <f t="array" ref="I94">Common_InputFunctions.Utility_DisplayArrayInTable(Common_SourceData.Common_SourceData_ClimateZones_Data(), Table_SourceData_ClimateZones[[#Headers],[Climate zone]], 0)</f>
        <v>&gt; 1</v>
      </c>
      <c r="J94" s="21" cm="1">
        <f t="array" ref="J94">Common_InputFunctions.Utility_DisplayArrayInTable(Common_SourceData.Common_SourceData_ClimateZones_Data(), Table_SourceData_ClimateZones[[#Headers],[Climate zone]], 0)</f>
        <v>10.000999999999999</v>
      </c>
      <c r="K94" s="21" cm="1">
        <f t="array" ref="K94">Common_InputFunctions.Utility_DisplayArrayInTable(Common_SourceData.Common_SourceData_ClimateZones_Data(), Table_SourceData_ClimateZones[[#Headers],[Climate zone]], 0)</f>
        <v>999999</v>
      </c>
      <c r="L94" s="21" cm="1">
        <f t="array" ref="L94">Common_InputFunctions.Utility_DisplayArrayInTable(Common_SourceData.Common_SourceData_ClimateZones_Data(), Table_SourceData_ClimateZones[[#Headers],[Climate zone]], 0)</f>
        <v>-999999</v>
      </c>
      <c r="M94" s="21" cm="1">
        <f t="array" ref="M94">Common_InputFunctions.Utility_DisplayArrayInTable(Common_SourceData.Common_SourceData_ClimateZones_Data(), Table_SourceData_ClimateZones[[#Headers],[Climate zone]], 0)</f>
        <v>999999</v>
      </c>
      <c r="N94" s="21" cm="1">
        <f t="array" ref="N94">Common_InputFunctions.Utility_DisplayArrayInTable(Common_SourceData.Common_SourceData_ClimateZones_Data(), Table_SourceData_ClimateZones[[#Headers],[Climate zone]], 0)</f>
        <v>-999999</v>
      </c>
      <c r="O94" s="21" cm="1">
        <f t="array" ref="O94">Common_InputFunctions.Utility_DisplayArrayInTable(Common_SourceData.Common_SourceData_ClimateZones_Data(), Table_SourceData_ClimateZones[[#Headers],[Climate zone]], 0)</f>
        <v>999999</v>
      </c>
      <c r="P94" s="21" cm="1">
        <f t="array" ref="P94">Common_InputFunctions.Utility_DisplayArrayInTable(Common_SourceData.Common_SourceData_ClimateZones_Data(), Table_SourceData_ClimateZones[[#Headers],[Climate zone]], 0)</f>
        <v>-999999</v>
      </c>
      <c r="Q94" s="21" cm="1">
        <f t="array" ref="Q94">Common_InputFunctions.Utility_DisplayArrayInTable(Common_SourceData.Common_SourceData_ClimateZones_Data(), Table_SourceData_ClimateZones[[#Headers],[Climate zone]], 0)</f>
        <v>999999</v>
      </c>
      <c r="R94" s="21" cm="1">
        <f t="array" ref="R94">Common_InputFunctions.Utility_DisplayArrayInTable(Common_SourceData.Common_SourceData_ClimateZones_Data(), Table_SourceData_ClimateZones[[#Headers],[Climate zone]], 0)</f>
        <v>1.0009999999999999</v>
      </c>
      <c r="S94" s="21" cm="1">
        <f t="array" ref="S94">Common_InputFunctions.Utility_DisplayArrayInTable(Common_SourceData.Common_SourceData_ClimateZones_Data(), Table_SourceData_ClimateZones[[#Headers],[Climate zone]], 0)</f>
        <v>999999</v>
      </c>
      <c r="T94" s="21"/>
    </row>
    <row r="95" spans="1:20" ht="20.100000000000001" customHeight="1" x14ac:dyDescent="0.25">
      <c r="A95"/>
      <c r="D95" s="21" t="str" cm="1">
        <f t="array" ref="D95">Common_InputFunctions.Utility_DisplayArrayInTable(Common_SourceData.Common_SourceData_ClimateZones_Data(), Table_SourceData_ClimateZones[[#Headers],[Climate zone]], 0)</f>
        <v>Warm temperate dry</v>
      </c>
      <c r="E95" s="21" t="str" cm="1">
        <f t="array" ref="E95">Common_InputFunctions.Utility_DisplayArrayInTable(Common_SourceData.Common_SourceData_ClimateZones_Data(), Table_SourceData_ClimateZones[[#Headers],[Climate zone]], 0)</f>
        <v>&gt; 10 C</v>
      </c>
      <c r="F95" s="21" t="str" cm="1">
        <f t="array" ref="F95">Common_InputFunctions.Utility_DisplayArrayInTable(Common_SourceData.Common_SourceData_ClimateZones_Data(), Table_SourceData_ClimateZones[[#Headers],[Climate zone]], 0)</f>
        <v>Any</v>
      </c>
      <c r="G95" s="21" t="str" cm="1">
        <f t="array" ref="G95">Common_InputFunctions.Utility_DisplayArrayInTable(Common_SourceData.Common_SourceData_ClimateZones_Data(), Table_SourceData_ClimateZones[[#Headers],[Climate zone]], 0)</f>
        <v>Any</v>
      </c>
      <c r="H95" s="21" t="str" cm="1">
        <f t="array" ref="H95">Common_InputFunctions.Utility_DisplayArrayInTable(Common_SourceData.Common_SourceData_ClimateZones_Data(), Table_SourceData_ClimateZones[[#Headers],[Climate zone]], 0)</f>
        <v>Any</v>
      </c>
      <c r="I95" s="21" t="str" cm="1">
        <f t="array" ref="I95">Common_InputFunctions.Utility_DisplayArrayInTable(Common_SourceData.Common_SourceData_ClimateZones_Data(), Table_SourceData_ClimateZones[[#Headers],[Climate zone]], 0)</f>
        <v>≤ 1</v>
      </c>
      <c r="J95" s="21" cm="1">
        <f t="array" ref="J95">Common_InputFunctions.Utility_DisplayArrayInTable(Common_SourceData.Common_SourceData_ClimateZones_Data(), Table_SourceData_ClimateZones[[#Headers],[Climate zone]], 0)</f>
        <v>10.000999999999999</v>
      </c>
      <c r="K95" s="21" cm="1">
        <f t="array" ref="K95">Common_InputFunctions.Utility_DisplayArrayInTable(Common_SourceData.Common_SourceData_ClimateZones_Data(), Table_SourceData_ClimateZones[[#Headers],[Climate zone]], 0)</f>
        <v>999999</v>
      </c>
      <c r="L95" s="21" cm="1">
        <f t="array" ref="L95">Common_InputFunctions.Utility_DisplayArrayInTable(Common_SourceData.Common_SourceData_ClimateZones_Data(), Table_SourceData_ClimateZones[[#Headers],[Climate zone]], 0)</f>
        <v>-999999</v>
      </c>
      <c r="M95" s="21" cm="1">
        <f t="array" ref="M95">Common_InputFunctions.Utility_DisplayArrayInTable(Common_SourceData.Common_SourceData_ClimateZones_Data(), Table_SourceData_ClimateZones[[#Headers],[Climate zone]], 0)</f>
        <v>999999</v>
      </c>
      <c r="N95" s="21" cm="1">
        <f t="array" ref="N95">Common_InputFunctions.Utility_DisplayArrayInTable(Common_SourceData.Common_SourceData_ClimateZones_Data(), Table_SourceData_ClimateZones[[#Headers],[Climate zone]], 0)</f>
        <v>-999999</v>
      </c>
      <c r="O95" s="21" cm="1">
        <f t="array" ref="O95">Common_InputFunctions.Utility_DisplayArrayInTable(Common_SourceData.Common_SourceData_ClimateZones_Data(), Table_SourceData_ClimateZones[[#Headers],[Climate zone]], 0)</f>
        <v>999999</v>
      </c>
      <c r="P95" s="21" cm="1">
        <f t="array" ref="P95">Common_InputFunctions.Utility_DisplayArrayInTable(Common_SourceData.Common_SourceData_ClimateZones_Data(), Table_SourceData_ClimateZones[[#Headers],[Climate zone]], 0)</f>
        <v>-999999</v>
      </c>
      <c r="Q95" s="21" cm="1">
        <f t="array" ref="Q95">Common_InputFunctions.Utility_DisplayArrayInTable(Common_SourceData.Common_SourceData_ClimateZones_Data(), Table_SourceData_ClimateZones[[#Headers],[Climate zone]], 0)</f>
        <v>999999</v>
      </c>
      <c r="R95" s="21" cm="1">
        <f t="array" ref="R95">Common_InputFunctions.Utility_DisplayArrayInTable(Common_SourceData.Common_SourceData_ClimateZones_Data(), Table_SourceData_ClimateZones[[#Headers],[Climate zone]], 0)</f>
        <v>-999999</v>
      </c>
      <c r="S95" s="21" cm="1">
        <f t="array" ref="S95">Common_InputFunctions.Utility_DisplayArrayInTable(Common_SourceData.Common_SourceData_ClimateZones_Data(), Table_SourceData_ClimateZones[[#Headers],[Climate zone]], 0)</f>
        <v>1</v>
      </c>
      <c r="T95" s="21"/>
    </row>
    <row r="96" spans="1:20" ht="20.100000000000001" customHeight="1" x14ac:dyDescent="0.25">
      <c r="A96"/>
      <c r="D96" s="21" t="str" cm="1">
        <f t="array" ref="D96">Common_InputFunctions.Utility_DisplayArrayInTable(Common_SourceData.Common_SourceData_ClimateZones_Data(), Table_SourceData_ClimateZones[[#Headers],[Climate zone]], 0)</f>
        <v>Cool temperate moist</v>
      </c>
      <c r="E96" s="21" t="str" cm="1">
        <f t="array" ref="E96">Common_InputFunctions.Utility_DisplayArrayInTable(Common_SourceData.Common_SourceData_ClimateZones_Data(), Table_SourceData_ClimateZones[[#Headers],[Climate zone]], 0)</f>
        <v>&gt; 0 C - ≤ 10 C</v>
      </c>
      <c r="F96" s="21" t="str" cm="1">
        <f t="array" ref="F96">Common_InputFunctions.Utility_DisplayArrayInTable(Common_SourceData.Common_SourceData_ClimateZones_Data(), Table_SourceData_ClimateZones[[#Headers],[Climate zone]], 0)</f>
        <v>Any</v>
      </c>
      <c r="G96" s="21" t="str" cm="1">
        <f t="array" ref="G96">Common_InputFunctions.Utility_DisplayArrayInTable(Common_SourceData.Common_SourceData_ClimateZones_Data(), Table_SourceData_ClimateZones[[#Headers],[Climate zone]], 0)</f>
        <v>Any</v>
      </c>
      <c r="H96" s="21" t="str" cm="1">
        <f t="array" ref="H96">Common_InputFunctions.Utility_DisplayArrayInTable(Common_SourceData.Common_SourceData_ClimateZones_Data(), Table_SourceData_ClimateZones[[#Headers],[Climate zone]], 0)</f>
        <v>Any</v>
      </c>
      <c r="I96" s="21" t="str" cm="1">
        <f t="array" ref="I96">Common_InputFunctions.Utility_DisplayArrayInTable(Common_SourceData.Common_SourceData_ClimateZones_Data(), Table_SourceData_ClimateZones[[#Headers],[Climate zone]], 0)</f>
        <v>&gt; 1</v>
      </c>
      <c r="J96" s="21" cm="1">
        <f t="array" ref="J96">Common_InputFunctions.Utility_DisplayArrayInTable(Common_SourceData.Common_SourceData_ClimateZones_Data(), Table_SourceData_ClimateZones[[#Headers],[Climate zone]], 0)</f>
        <v>-999999</v>
      </c>
      <c r="K96" s="21" cm="1">
        <f t="array" ref="K96">Common_InputFunctions.Utility_DisplayArrayInTable(Common_SourceData.Common_SourceData_ClimateZones_Data(), Table_SourceData_ClimateZones[[#Headers],[Climate zone]], 0)</f>
        <v>10</v>
      </c>
      <c r="L96" s="21" cm="1">
        <f t="array" ref="L96">Common_InputFunctions.Utility_DisplayArrayInTable(Common_SourceData.Common_SourceData_ClimateZones_Data(), Table_SourceData_ClimateZones[[#Headers],[Climate zone]], 0)</f>
        <v>-999999</v>
      </c>
      <c r="M96" s="21" cm="1">
        <f t="array" ref="M96">Common_InputFunctions.Utility_DisplayArrayInTable(Common_SourceData.Common_SourceData_ClimateZones_Data(), Table_SourceData_ClimateZones[[#Headers],[Climate zone]], 0)</f>
        <v>999999</v>
      </c>
      <c r="N96" s="21" cm="1">
        <f t="array" ref="N96">Common_InputFunctions.Utility_DisplayArrayInTable(Common_SourceData.Common_SourceData_ClimateZones_Data(), Table_SourceData_ClimateZones[[#Headers],[Climate zone]], 0)</f>
        <v>-999999</v>
      </c>
      <c r="O96" s="21" cm="1">
        <f t="array" ref="O96">Common_InputFunctions.Utility_DisplayArrayInTable(Common_SourceData.Common_SourceData_ClimateZones_Data(), Table_SourceData_ClimateZones[[#Headers],[Climate zone]], 0)</f>
        <v>999999</v>
      </c>
      <c r="P96" s="21" cm="1">
        <f t="array" ref="P96">Common_InputFunctions.Utility_DisplayArrayInTable(Common_SourceData.Common_SourceData_ClimateZones_Data(), Table_SourceData_ClimateZones[[#Headers],[Climate zone]], 0)</f>
        <v>-999999</v>
      </c>
      <c r="Q96" s="21" cm="1">
        <f t="array" ref="Q96">Common_InputFunctions.Utility_DisplayArrayInTable(Common_SourceData.Common_SourceData_ClimateZones_Data(), Table_SourceData_ClimateZones[[#Headers],[Climate zone]], 0)</f>
        <v>999999</v>
      </c>
      <c r="R96" s="21" cm="1">
        <f t="array" ref="R96">Common_InputFunctions.Utility_DisplayArrayInTable(Common_SourceData.Common_SourceData_ClimateZones_Data(), Table_SourceData_ClimateZones[[#Headers],[Climate zone]], 0)</f>
        <v>1.0009999999999999</v>
      </c>
      <c r="S96" s="21" cm="1">
        <f t="array" ref="S96">Common_InputFunctions.Utility_DisplayArrayInTable(Common_SourceData.Common_SourceData_ClimateZones_Data(), Table_SourceData_ClimateZones[[#Headers],[Climate zone]], 0)</f>
        <v>999999</v>
      </c>
      <c r="T96" s="21"/>
    </row>
    <row r="97" spans="1:20" ht="20.100000000000001" customHeight="1" x14ac:dyDescent="0.25">
      <c r="A97"/>
      <c r="D97" s="21" t="str" cm="1">
        <f t="array" ref="D97">Common_InputFunctions.Utility_DisplayArrayInTable(Common_SourceData.Common_SourceData_ClimateZones_Data(), Table_SourceData_ClimateZones[[#Headers],[Climate zone]], 0)</f>
        <v>Cool temperate dry</v>
      </c>
      <c r="E97" s="21" t="str" cm="1">
        <f t="array" ref="E97">Common_InputFunctions.Utility_DisplayArrayInTable(Common_SourceData.Common_SourceData_ClimateZones_Data(), Table_SourceData_ClimateZones[[#Headers],[Climate zone]], 0)</f>
        <v>&gt; 0 C - ≤ 10 C</v>
      </c>
      <c r="F97" s="21" t="str" cm="1">
        <f t="array" ref="F97">Common_InputFunctions.Utility_DisplayArrayInTable(Common_SourceData.Common_SourceData_ClimateZones_Data(), Table_SourceData_ClimateZones[[#Headers],[Climate zone]], 0)</f>
        <v>Any</v>
      </c>
      <c r="G97" s="21" t="str" cm="1">
        <f t="array" ref="G97">Common_InputFunctions.Utility_DisplayArrayInTable(Common_SourceData.Common_SourceData_ClimateZones_Data(), Table_SourceData_ClimateZones[[#Headers],[Climate zone]], 0)</f>
        <v>Any</v>
      </c>
      <c r="H97" s="21" t="str" cm="1">
        <f t="array" ref="H97">Common_InputFunctions.Utility_DisplayArrayInTable(Common_SourceData.Common_SourceData_ClimateZones_Data(), Table_SourceData_ClimateZones[[#Headers],[Climate zone]], 0)</f>
        <v>Any</v>
      </c>
      <c r="I97" s="21" t="str" cm="1">
        <f t="array" ref="I97">Common_InputFunctions.Utility_DisplayArrayInTable(Common_SourceData.Common_SourceData_ClimateZones_Data(), Table_SourceData_ClimateZones[[#Headers],[Climate zone]], 0)</f>
        <v>≤ 1</v>
      </c>
      <c r="J97" s="21" cm="1">
        <f t="array" ref="J97">Common_InputFunctions.Utility_DisplayArrayInTable(Common_SourceData.Common_SourceData_ClimateZones_Data(), Table_SourceData_ClimateZones[[#Headers],[Climate zone]], 0)</f>
        <v>-999999</v>
      </c>
      <c r="K97" s="21" cm="1">
        <f t="array" ref="K97">Common_InputFunctions.Utility_DisplayArrayInTable(Common_SourceData.Common_SourceData_ClimateZones_Data(), Table_SourceData_ClimateZones[[#Headers],[Climate zone]], 0)</f>
        <v>10</v>
      </c>
      <c r="L97" s="21" cm="1">
        <f t="array" ref="L97">Common_InputFunctions.Utility_DisplayArrayInTable(Common_SourceData.Common_SourceData_ClimateZones_Data(), Table_SourceData_ClimateZones[[#Headers],[Climate zone]], 0)</f>
        <v>-999999</v>
      </c>
      <c r="M97" s="21" cm="1">
        <f t="array" ref="M97">Common_InputFunctions.Utility_DisplayArrayInTable(Common_SourceData.Common_SourceData_ClimateZones_Data(), Table_SourceData_ClimateZones[[#Headers],[Climate zone]], 0)</f>
        <v>999999</v>
      </c>
      <c r="N97" s="21" cm="1">
        <f t="array" ref="N97">Common_InputFunctions.Utility_DisplayArrayInTable(Common_SourceData.Common_SourceData_ClimateZones_Data(), Table_SourceData_ClimateZones[[#Headers],[Climate zone]], 0)</f>
        <v>-999999</v>
      </c>
      <c r="O97" s="21" cm="1">
        <f t="array" ref="O97">Common_InputFunctions.Utility_DisplayArrayInTable(Common_SourceData.Common_SourceData_ClimateZones_Data(), Table_SourceData_ClimateZones[[#Headers],[Climate zone]], 0)</f>
        <v>999999</v>
      </c>
      <c r="P97" s="21" cm="1">
        <f t="array" ref="P97">Common_InputFunctions.Utility_DisplayArrayInTable(Common_SourceData.Common_SourceData_ClimateZones_Data(), Table_SourceData_ClimateZones[[#Headers],[Climate zone]], 0)</f>
        <v>-999999</v>
      </c>
      <c r="Q97" s="21" cm="1">
        <f t="array" ref="Q97">Common_InputFunctions.Utility_DisplayArrayInTable(Common_SourceData.Common_SourceData_ClimateZones_Data(), Table_SourceData_ClimateZones[[#Headers],[Climate zone]], 0)</f>
        <v>999999</v>
      </c>
      <c r="R97" s="21" cm="1">
        <f t="array" ref="R97">Common_InputFunctions.Utility_DisplayArrayInTable(Common_SourceData.Common_SourceData_ClimateZones_Data(), Table_SourceData_ClimateZones[[#Headers],[Climate zone]], 0)</f>
        <v>-999999</v>
      </c>
      <c r="S97" s="21" cm="1">
        <f t="array" ref="S97">Common_InputFunctions.Utility_DisplayArrayInTable(Common_SourceData.Common_SourceData_ClimateZones_Data(), Table_SourceData_ClimateZones[[#Headers],[Climate zone]], 0)</f>
        <v>1</v>
      </c>
      <c r="T97" s="21"/>
    </row>
    <row r="98" spans="1:20" ht="20.100000000000001" customHeight="1" x14ac:dyDescent="0.25">
      <c r="A98"/>
    </row>
    <row r="99" spans="1:20" ht="20.100000000000001" customHeight="1" x14ac:dyDescent="0.25">
      <c r="A99"/>
      <c r="D99" s="10" t="str" cm="1">
        <f t="array" ref="D99:D102">Common_SourceData.Common_SourceData_ClimateZones_Appendices()</f>
        <v>Note:</v>
      </c>
    </row>
    <row r="100" spans="1:20" ht="20.100000000000001" customHeight="1" x14ac:dyDescent="0.25">
      <c r="A100"/>
      <c r="D100" s="10" t="str">
        <v>MAT = mean annual temperature</v>
      </c>
    </row>
    <row r="101" spans="1:20" ht="20.100000000000001" customHeight="1" x14ac:dyDescent="0.25">
      <c r="A101"/>
      <c r="D101" s="10" t="str">
        <v>MAP = mean annual precipitation</v>
      </c>
    </row>
    <row r="102" spans="1:20" ht="20.100000000000001" customHeight="1" x14ac:dyDescent="0.25">
      <c r="A102"/>
      <c r="D102" s="10" t="str">
        <v>PET = potential evapotranspiration</v>
      </c>
    </row>
    <row r="103" spans="1:20" ht="20.100000000000001" customHeight="1" x14ac:dyDescent="0.25">
      <c r="A103"/>
      <c r="D103" s="10"/>
    </row>
    <row r="104" spans="1:20" ht="20.100000000000001" customHeight="1" x14ac:dyDescent="0.25">
      <c r="A104"/>
    </row>
    <row r="105" spans="1:20" ht="20.100000000000001" customHeight="1" x14ac:dyDescent="0.25">
      <c r="A105"/>
      <c r="D105" s="2" t="str" cm="1">
        <f t="array" ref="D105">Common_SourceData.Common_SourceData_TemperatureZones_Title()</f>
        <v>VEERG Australian temperature zones</v>
      </c>
    </row>
    <row r="106" spans="1:20" ht="20.100000000000001" customHeight="1" x14ac:dyDescent="0.25">
      <c r="A106"/>
      <c r="D106" s="18" t="str" cm="1">
        <f t="array" ref="D106">Common_SourceData.Common_SourceData_TemperatureZones_Source()</f>
        <v>VEERG 2026: Table 1.3: Climate and Rainfall zone classifications and definitions</v>
      </c>
    </row>
    <row r="107" spans="1:20" ht="20.100000000000001" customHeight="1" x14ac:dyDescent="0.25">
      <c r="A107"/>
      <c r="D107" s="27"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21" t="s">
        <v>58</v>
      </c>
      <c r="E109" s="21" t="s">
        <v>43</v>
      </c>
      <c r="F109" s="21" t="s">
        <v>59</v>
      </c>
      <c r="G109" s="21" t="s">
        <v>60</v>
      </c>
    </row>
    <row r="110" spans="1:20" ht="20.100000000000001" customHeight="1" x14ac:dyDescent="0.25">
      <c r="A110"/>
      <c r="D110" s="21" t="str" cm="1">
        <f t="array" ref="D110">Common_InputFunctions.Utility_DisplayArrayInTable(Common_SourceData.Common_SourceData_TemperatureZones_Data(),Table_SourceData_TemperatureZones[[#Headers],[Temperature Zone]],0)</f>
        <v>Warm</v>
      </c>
      <c r="E110" s="21" t="str" cm="1">
        <f t="array" ref="E110">Common_InputFunctions.Utility_DisplayArrayInTable(Common_SourceData.Common_SourceData_TemperatureZones_Data(),Table_SourceData_TemperatureZones[[#Headers],[Temperature Zone]],0)</f>
        <v>≥ 26 C</v>
      </c>
      <c r="F110" s="21" cm="1">
        <f t="array" ref="F110">Common_InputFunctions.Utility_DisplayArrayInTable(Common_SourceData.Common_SourceData_TemperatureZones_Data(),Table_SourceData_TemperatureZones[[#Headers],[Temperature Zone]],0)</f>
        <v>26</v>
      </c>
      <c r="G110" s="21"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21" t="str" cm="1">
        <f t="array" ref="D111">Common_InputFunctions.Utility_DisplayArrayInTable(Common_SourceData.Common_SourceData_TemperatureZones_Data(),Table_SourceData_TemperatureZones[[#Headers],[Temperature Zone]],0)</f>
        <v>Temperate</v>
      </c>
      <c r="E111" s="21" t="str" cm="1">
        <f t="array" ref="E111">Common_InputFunctions.Utility_DisplayArrayInTable(Common_SourceData.Common_SourceData_TemperatureZones_Data(),Table_SourceData_TemperatureZones[[#Headers],[Temperature Zone]],0)</f>
        <v>15 - 25 C</v>
      </c>
      <c r="F111" s="21" cm="1">
        <f t="array" ref="F111">Common_InputFunctions.Utility_DisplayArrayInTable(Common_SourceData.Common_SourceData_TemperatureZones_Data(),Table_SourceData_TemperatureZones[[#Headers],[Temperature Zone]],0)</f>
        <v>15</v>
      </c>
      <c r="G111" s="21"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21" t="str" cm="1">
        <f t="array" ref="D112">Common_InputFunctions.Utility_DisplayArrayInTable(Common_SourceData.Common_SourceData_TemperatureZones_Data(),Table_SourceData_TemperatureZones[[#Headers],[Temperature Zone]],0)</f>
        <v>Cool</v>
      </c>
      <c r="E112" s="21" t="str" cm="1">
        <f t="array" ref="E112">Common_InputFunctions.Utility_DisplayArrayInTable(Common_SourceData.Common_SourceData_TemperatureZones_Data(),Table_SourceData_TemperatureZones[[#Headers],[Temperature Zone]],0)</f>
        <v>≤ 14 C</v>
      </c>
      <c r="F112" s="21" cm="1">
        <f t="array" ref="F112">Common_InputFunctions.Utility_DisplayArrayInTable(Common_SourceData.Common_SourceData_TemperatureZones_Data(),Table_SourceData_TemperatureZones[[#Headers],[Temperature Zone]],0)</f>
        <v>-999999</v>
      </c>
      <c r="G112" s="21"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2" t="str" cm="1">
        <f t="array" ref="D115">Common_SourceData.Common_SourceData_RainfallZones_Title()</f>
        <v>VEERG Australian rainfall zones</v>
      </c>
      <c r="BN115" s="23"/>
    </row>
    <row r="116" spans="1:66" ht="20.100000000000001" customHeight="1" x14ac:dyDescent="0.25">
      <c r="A116"/>
      <c r="D116" s="18" t="str" cm="1">
        <f t="array" ref="D116">Common_SourceData.Common_SourceData_RainfallZones_Source()</f>
        <v>VEERG 2026: Table 1.3: Climate and Rainfall zone classifications and definitions</v>
      </c>
      <c r="BN116" s="23"/>
    </row>
    <row r="117" spans="1:66" ht="20.100000000000001" customHeight="1" x14ac:dyDescent="0.25">
      <c r="A117"/>
      <c r="D117" s="27" t="str" cm="1">
        <f t="array" ref="D117">"⚠️" &amp; Common_SourceData.Common_SourceData_RainfallZones_Variation()</f>
        <v>⚠️VARIATION OF SOURCE DATA: Added extra Rainfall min and Rainfall max columns to calculate zone from real rainfall data.</v>
      </c>
      <c r="BN117" s="23"/>
    </row>
    <row r="118" spans="1:66" ht="20.100000000000001" customHeight="1" x14ac:dyDescent="0.25">
      <c r="A118"/>
      <c r="BN118" s="23"/>
    </row>
    <row r="119" spans="1:66" ht="20.100000000000001" customHeight="1" x14ac:dyDescent="0.25">
      <c r="A119"/>
      <c r="D119" s="21" t="s">
        <v>61</v>
      </c>
      <c r="E119" s="21" t="s">
        <v>62</v>
      </c>
      <c r="F119" s="21" t="s">
        <v>50</v>
      </c>
      <c r="G119" s="21" t="s">
        <v>51</v>
      </c>
      <c r="BN119" s="23"/>
    </row>
    <row r="120" spans="1:66" ht="20.100000000000001" customHeight="1" x14ac:dyDescent="0.25">
      <c r="A120"/>
      <c r="D120" s="21" t="str" cm="1">
        <f t="array" ref="D120">Common_InputFunctions.Utility_DisplayArrayInTable(Common_SourceData.Common_SourceData_RainfallZones_Data(),Table_SourceData_RainfallZones[[#Headers],[Rainfall Zone]],0)</f>
        <v>High rainfall</v>
      </c>
      <c r="E120" s="21" t="str" cm="1">
        <f t="array" ref="E120">Common_InputFunctions.Utility_DisplayArrayInTable(Common_SourceData.Common_SourceData_RainfallZones_Data(),Table_SourceData_RainfallZones[[#Headers],[Rainfall Zone]],0)</f>
        <v>Annual rainfall &gt; 600mm</v>
      </c>
      <c r="F120" s="21" cm="1">
        <f t="array" ref="F120">Common_InputFunctions.Utility_DisplayArrayInTable(Common_SourceData.Common_SourceData_RainfallZones_Data(),Table_SourceData_RainfallZones[[#Headers],[Rainfall Zone]],0)</f>
        <v>600.00099999999998</v>
      </c>
      <c r="G120" s="21" cm="1">
        <f t="array" ref="G120">Common_InputFunctions.Utility_DisplayArrayInTable(Common_SourceData.Common_SourceData_RainfallZones_Data(),Table_SourceData_RainfallZones[[#Headers],[Rainfall Zone]],0)</f>
        <v>999999</v>
      </c>
      <c r="BN120" s="23"/>
    </row>
    <row r="121" spans="1:66" ht="20.100000000000001" customHeight="1" x14ac:dyDescent="0.25">
      <c r="A121"/>
      <c r="D121" s="21" t="str" cm="1">
        <f t="array" ref="D121">Common_InputFunctions.Utility_DisplayArrayInTable(Common_SourceData.Common_SourceData_RainfallZones_Data(),Table_SourceData_RainfallZones[[#Headers],[Rainfall Zone]],0)</f>
        <v>Low rainfall</v>
      </c>
      <c r="E121" s="21" t="str" cm="1">
        <f t="array" ref="E121">Common_InputFunctions.Utility_DisplayArrayInTable(Common_SourceData.Common_SourceData_RainfallZones_Data(),Table_SourceData_RainfallZones[[#Headers],[Rainfall Zone]],0)</f>
        <v>Annual rainfall ≤ 600mm</v>
      </c>
      <c r="F121" s="21" cm="1">
        <f t="array" ref="F121">Common_InputFunctions.Utility_DisplayArrayInTable(Common_SourceData.Common_SourceData_RainfallZones_Data(),Table_SourceData_RainfallZones[[#Headers],[Rainfall Zone]],0)</f>
        <v>-999999</v>
      </c>
      <c r="G121" s="21" cm="1">
        <f t="array" ref="G121">Common_InputFunctions.Utility_DisplayArrayInTable(Common_SourceData.Common_SourceData_RainfallZones_Data(),Table_SourceData_RainfallZones[[#Headers],[Rainfall Zone]],0)</f>
        <v>600</v>
      </c>
      <c r="BN121" s="23"/>
    </row>
    <row r="122" spans="1:66" ht="20.100000000000001" customHeight="1" x14ac:dyDescent="0.25">
      <c r="A122"/>
      <c r="BN122" s="23"/>
    </row>
    <row r="123" spans="1:66" ht="20.100000000000001" customHeight="1" x14ac:dyDescent="0.25">
      <c r="A123"/>
    </row>
    <row r="124" spans="1:66" ht="20.100000000000001" customHeight="1" x14ac:dyDescent="0.25">
      <c r="A124"/>
      <c r="D124" s="2" t="str" cm="1">
        <f t="array" ref="D124">Common_SourceData.Common_SourceData_LeachingZones_Title()</f>
        <v>VEERG Australian leaching zones</v>
      </c>
    </row>
    <row r="125" spans="1:66" ht="20.100000000000001" customHeight="1" x14ac:dyDescent="0.25">
      <c r="A125"/>
      <c r="D125" s="18"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21" t="s">
        <v>63</v>
      </c>
      <c r="E127" s="21" t="s">
        <v>64</v>
      </c>
    </row>
    <row r="128" spans="1:66" ht="20.100000000000001" customHeight="1" x14ac:dyDescent="0.25">
      <c r="A128"/>
      <c r="D128" s="21" t="str" cm="1">
        <f t="array" ref="D128">Common_InputFunctions.Utility_DisplayArrayInTable(Common_SourceData.Common_SourceData_LeachingZones_Data(), Table_SourceData_LeachingZones[[#Headers],[Leaching Zone]], 0)</f>
        <v>Leaching occurs</v>
      </c>
      <c r="E128" s="21"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21" t="str" cm="1">
        <f t="array" ref="D129">Common_InputFunctions.Utility_DisplayArrayInTable(Common_SourceData.Common_SourceData_LeachingZones_Data(), Table_SourceData_LeachingZones[[#Headers],[Leaching Zone]], 0)</f>
        <v>Leaching does not occur</v>
      </c>
      <c r="E129" s="21"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2" t="str" cm="1">
        <f t="array" ref="D132">Common_SourceData.Common_SourceData_FracWET_Title()</f>
        <v>Fraction of N that is available for leaching and runoff</v>
      </c>
      <c r="E132" s="9"/>
    </row>
    <row r="133" spans="1:77" ht="20.100000000000001" customHeight="1" x14ac:dyDescent="0.25">
      <c r="A133"/>
      <c r="D133" s="18" t="str" cm="1">
        <f t="array" ref="D133">Common_SourceData.Common_SourceData_FracWET_Source()</f>
        <v>VEERG 2026:5.5.2.3 Constant Parameters</v>
      </c>
      <c r="E133" s="9"/>
    </row>
    <row r="134" spans="1:77" ht="20.100000000000001" customHeight="1" x14ac:dyDescent="0.25">
      <c r="A134"/>
      <c r="D134" t="s">
        <v>65</v>
      </c>
      <c r="E134" t="s">
        <v>66</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21"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23"/>
      <c r="BO138" s="23"/>
      <c r="BP138" s="23"/>
      <c r="BQ138" s="23"/>
      <c r="BR138" s="23"/>
      <c r="BS138" s="23"/>
      <c r="BT138" s="23"/>
      <c r="BU138" s="23"/>
      <c r="BV138" s="23"/>
      <c r="BW138" s="23"/>
      <c r="BX138" s="23"/>
      <c r="BY138" s="23"/>
    </row>
    <row r="139" spans="1:77" ht="20.100000000000001" customHeight="1" x14ac:dyDescent="0.25">
      <c r="A139"/>
      <c r="D139" s="2" t="str" cm="1">
        <f t="array" ref="D139">Common_SourceData.Common_SourceData_FracWETIrrigation_Title()</f>
        <v>FracWET for irrigation types</v>
      </c>
      <c r="BN139" s="23"/>
      <c r="BO139" s="23"/>
      <c r="BP139" s="23"/>
      <c r="BQ139" s="23"/>
      <c r="BR139" s="23"/>
      <c r="BS139" s="23"/>
      <c r="BT139" s="23"/>
      <c r="BU139" s="23"/>
      <c r="BV139" s="23"/>
      <c r="BW139" s="23"/>
      <c r="BX139" s="23"/>
      <c r="BY139" s="23"/>
    </row>
    <row r="140" spans="1:77" ht="20.100000000000001" customHeight="1" x14ac:dyDescent="0.25">
      <c r="A140"/>
      <c r="D140" s="18" t="str" cm="1">
        <f t="array" ref="D140">Common_SourceData.Common_SourceData_FracWETIrrigation_Source()</f>
        <v>VEERG 2026: Chapter 1, section 1.8.2 Leaching, climate and rainfall zones</v>
      </c>
      <c r="BN140" s="23"/>
      <c r="BO140" s="23"/>
      <c r="BP140" s="23"/>
      <c r="BQ140" s="23"/>
      <c r="BR140" s="23"/>
      <c r="BS140" s="23"/>
      <c r="BT140" s="23"/>
      <c r="BU140" s="23"/>
      <c r="BV140" s="23"/>
      <c r="BW140" s="23"/>
      <c r="BX140" s="23"/>
      <c r="BY140" s="23"/>
    </row>
    <row r="141" spans="1:77" ht="20.100000000000001" customHeight="1" x14ac:dyDescent="0.25">
      <c r="A141"/>
      <c r="D141" s="27" t="str" cm="1">
        <f t="array" ref="D141">Common_SourceData.Common_SourceData_FracWETIrrigation_Variation()</f>
        <v>VARIATION FROM SOURCE DATA: Table created based on VEERG text 'Areas are subject to leaching (i.e., in the leaching zone) when... the land is irrigated (except drip irrigation).'</v>
      </c>
      <c r="BN141" s="23"/>
    </row>
    <row r="142" spans="1:77" ht="20.100000000000001" customHeight="1" x14ac:dyDescent="0.25">
      <c r="A142"/>
      <c r="D142" s="21" t="s">
        <v>67</v>
      </c>
      <c r="E142" s="21" t="s">
        <v>66</v>
      </c>
      <c r="BN142" s="23"/>
    </row>
    <row r="143" spans="1:77" ht="20.100000000000001" customHeight="1" x14ac:dyDescent="0.25">
      <c r="A143"/>
      <c r="D143" s="21" t="str" cm="1">
        <f t="array" ref="D143">Common_InputFunctions.Utility_DisplayArrayInTable(Common_SourceData.Common_SourceData_FracWETIrrigation_Data(), Table_SourceData_FracWETIrrigation[[#Headers],[Irrigation type i]], 0)</f>
        <v>Not irrigated</v>
      </c>
      <c r="E143" s="21" cm="1">
        <f t="array" ref="E143">Common_InputFunctions.Utility_DisplayArrayInTable(Common_SourceData.Common_SourceData_FracWETIrrigation_Data(), Table_SourceData_FracWETIrrigation[[#Headers],[Irrigation type i]], 0)</f>
        <v>0</v>
      </c>
      <c r="BN143" s="23"/>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21" cm="1">
        <f t="array" ref="E144">Common_InputFunctions.Utility_DisplayArrayInTable(Common_SourceData.Common_SourceData_FracWETIrrigation_Data(), Table_SourceData_FracWETIrrigation[[#Headers],[Irrigation type i]], 0)</f>
        <v>0</v>
      </c>
      <c r="BN144" s="23"/>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21" cm="1">
        <f t="array" ref="E145">Common_InputFunctions.Utility_DisplayArrayInTable(Common_SourceData.Common_SourceData_FracWETIrrigation_Data(), Table_SourceData_FracWETIrrigation[[#Headers],[Irrigation type i]], 0)</f>
        <v>1</v>
      </c>
      <c r="BN145" s="23"/>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21" cm="1">
        <f t="array" ref="E146">Common_InputFunctions.Utility_DisplayArrayInTable(Common_SourceData.Common_SourceData_FracWETIrrigation_Data(), Table_SourceData_FracWETIrrigation[[#Headers],[Irrigation type i]], 0)</f>
        <v>1</v>
      </c>
      <c r="BN146" s="23"/>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21" cm="1">
        <f t="array" ref="E147">Common_InputFunctions.Utility_DisplayArrayInTable(Common_SourceData.Common_SourceData_FracWETIrrigation_Data(), Table_SourceData_FracWETIrrigation[[#Headers],[Irrigation type i]], 0)</f>
        <v>1</v>
      </c>
      <c r="BN147" s="23"/>
    </row>
    <row r="148" spans="1:66" ht="20.100000000000001" customHeight="1" x14ac:dyDescent="0.25">
      <c r="A148"/>
      <c r="BN148" s="23"/>
    </row>
    <row r="149" spans="1:66" ht="20.100000000000001" customHeight="1" x14ac:dyDescent="0.25">
      <c r="A149"/>
      <c r="BN149" s="23"/>
    </row>
    <row r="150" spans="1:66" ht="20.100000000000001" customHeight="1" x14ac:dyDescent="0.25">
      <c r="A150"/>
      <c r="D150" s="2" t="str" cm="1">
        <f t="array" ref="D150">Common_SourceData.Common_SourceData_DataScores_Scope3_Title()</f>
        <v>Australian data scores for scope 3</v>
      </c>
      <c r="BN150" s="23"/>
    </row>
    <row r="151" spans="1:66" ht="20.100000000000001" customHeight="1" x14ac:dyDescent="0.25">
      <c r="A151"/>
      <c r="D151" s="18" t="str" cm="1">
        <f t="array" ref="D151">Common_SourceData.Common_SourceData_DataScores_Scope3_Source()</f>
        <v>VEERG 2026: XXXXXXXX</v>
      </c>
      <c r="BN151" s="23"/>
    </row>
    <row r="152" spans="1:66" ht="20.100000000000001" customHeight="1" x14ac:dyDescent="0.25">
      <c r="A152"/>
      <c r="BN152" s="23"/>
    </row>
    <row r="153" spans="1:66" ht="20.100000000000001" customHeight="1" x14ac:dyDescent="0.25">
      <c r="A153"/>
      <c r="D153" s="21" t="s">
        <v>68</v>
      </c>
      <c r="E153" s="21" t="s">
        <v>69</v>
      </c>
      <c r="BC153" s="26"/>
      <c r="BD153" s="26"/>
      <c r="BE153" s="26"/>
      <c r="BF153" s="26"/>
      <c r="BG153" s="26"/>
      <c r="BH153" s="26"/>
      <c r="BI153" s="26"/>
      <c r="BJ153" s="26"/>
      <c r="BK153" s="26"/>
      <c r="BL153" s="26"/>
      <c r="BM153" s="26"/>
    </row>
    <row r="154" spans="1:66" ht="20.100000000000001" customHeight="1" x14ac:dyDescent="0.25">
      <c r="A154"/>
      <c r="D154" s="21" t="str" cm="1">
        <f t="array" ref="D154">Common_InputFunctions.Utility_DisplayArrayInTable(Common_SourceData.Common_SourceData_DataScores_Scope3_Data(), Table_SourceData_DataScores_Scope3[[#Headers],[Data source]], 0)</f>
        <v>International scope 3 database</v>
      </c>
      <c r="E154" s="21" cm="1">
        <f t="array" ref="E154">Common_InputFunctions.Utility_DisplayArrayInTable(Common_SourceData.Common_SourceData_DataScores_Scope3_Data(), Table_SourceData_DataScores_Scope3[[#Headers],[Data source]], 0)</f>
        <v>1</v>
      </c>
      <c r="BC154" s="26"/>
      <c r="BD154" s="26"/>
      <c r="BE154" s="26"/>
      <c r="BF154" s="26"/>
      <c r="BG154" s="26"/>
      <c r="BH154" s="26"/>
      <c r="BI154" s="26"/>
      <c r="BJ154" s="26"/>
      <c r="BK154" s="26"/>
      <c r="BL154" s="26"/>
      <c r="BM154" s="26"/>
    </row>
    <row r="155" spans="1:66" ht="20.100000000000001" customHeight="1" x14ac:dyDescent="0.25">
      <c r="A155"/>
      <c r="D155" s="21" t="str" cm="1">
        <f t="array" ref="D155">Common_InputFunctions.Utility_DisplayArrayInTable(Common_SourceData.Common_SourceData_DataScores_Scope3_Data(), Table_SourceData_DataScores_Scope3[[#Headers],[Data source]], 0)</f>
        <v>Australian scope 3 database</v>
      </c>
      <c r="E155" s="21" cm="1">
        <f t="array" ref="E155">Common_InputFunctions.Utility_DisplayArrayInTable(Common_SourceData.Common_SourceData_DataScores_Scope3_Data(), Table_SourceData_DataScores_Scope3[[#Headers],[Data source]], 0)</f>
        <v>2</v>
      </c>
      <c r="BC155" s="26"/>
      <c r="BD155" s="26"/>
      <c r="BE155" s="26"/>
      <c r="BF155" s="26"/>
      <c r="BG155" s="26"/>
      <c r="BH155" s="26"/>
      <c r="BI155" s="26"/>
      <c r="BJ155" s="26"/>
      <c r="BK155" s="26"/>
      <c r="BL155" s="26"/>
      <c r="BM155" s="26"/>
    </row>
    <row r="156" spans="1:66" ht="20.100000000000001" customHeight="1" x14ac:dyDescent="0.25">
      <c r="A156"/>
      <c r="D156" s="21" t="str" cm="1">
        <f t="array" ref="D156">Common_InputFunctions.Utility_DisplayArrayInTable(Common_SourceData.Common_SourceData_DataScores_Scope3_Data(), Table_SourceData_DataScores_Scope3[[#Headers],[Data source]], 0)</f>
        <v>State or regional scope 3 database</v>
      </c>
      <c r="E156" s="21"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21" t="str" cm="1">
        <f t="array" ref="D157">Common_InputFunctions.Utility_DisplayArrayInTable(Common_SourceData.Common_SourceData_DataScores_Scope3_Data(), Table_SourceData_DataScores_Scope3[[#Headers],[Data source]], 0)</f>
        <v>Emissions intensity calculated from approved method</v>
      </c>
      <c r="E157" s="21"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21" t="str" cm="1">
        <f t="array" ref="D158">Common_InputFunctions.Utility_DisplayArrayInTable(Common_SourceData.Common_SourceData_DataScores_Scope3_Data(), Table_SourceData_DataScores_Scope3[[#Headers],[Data source]], 0)</f>
        <v>Verified credential matching ISO14067</v>
      </c>
      <c r="E158" s="21"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2" t="str" cm="1">
        <f t="array" ref="D161">Common_SourceData.Common_SourceData_FracLEACH_Title()</f>
        <v>Fraction of N that is available for leaching and runoff</v>
      </c>
      <c r="E161" s="9"/>
    </row>
    <row r="162" spans="4:68" ht="20.100000000000001" customHeight="1" x14ac:dyDescent="0.25">
      <c r="D162" s="18" t="str" cm="1">
        <f t="array" ref="D162">Common_SourceData.Common_SourceData_FracLEACH_Source()</f>
        <v>VEERG 2026:5.5.2.3 Constant Parameters</v>
      </c>
      <c r="E162" s="9"/>
    </row>
    <row r="163" spans="4:68" ht="20.100000000000001" customHeight="1" x14ac:dyDescent="0.25">
      <c r="D163" s="18" t="str" cm="1">
        <f t="array" ref="D163">Common_SourceData.Common_SourceData_FracLEACH_NIRReference()</f>
        <v>National Inventory Report Volume 1: Leaching and runoff (3.D.b.2)</v>
      </c>
      <c r="E163" s="9"/>
    </row>
    <row r="164" spans="4:68" ht="20.100000000000001" customHeight="1" x14ac:dyDescent="0.25">
      <c r="D164" s="9" t="str" cm="1">
        <f t="array" ref="D164:E164">Common_SourceData.Common_SourceData_FracLEACH_Data()</f>
        <v>FracLEACH</v>
      </c>
      <c r="E164" s="9">
        <v>0.24</v>
      </c>
    </row>
    <row r="165" spans="4:68" ht="20.100000000000001" customHeight="1" x14ac:dyDescent="0.25">
      <c r="BN165" s="23"/>
      <c r="BO165" s="23"/>
      <c r="BP165" s="23"/>
    </row>
    <row r="166" spans="4:68" ht="20.100000000000001" customHeight="1" x14ac:dyDescent="0.25">
      <c r="BN166" s="23"/>
      <c r="BO166" s="23"/>
      <c r="BP166" s="23"/>
    </row>
    <row r="167" spans="4:68" ht="20.100000000000001" customHeight="1" x14ac:dyDescent="0.25">
      <c r="D167" s="2" t="str" cm="1">
        <f t="array" ref="D167">Common_SourceData.Common_SourceData_EFleach_Title()</f>
        <v>Emission factor for nitrogen leaching and runoff</v>
      </c>
      <c r="BN167" s="23"/>
      <c r="BO167" s="23"/>
      <c r="BP167" s="23"/>
    </row>
    <row r="168" spans="4:68" ht="20.100000000000001" customHeight="1" x14ac:dyDescent="0.25">
      <c r="D168" s="18" t="str" cm="1">
        <f t="array" ref="D168">Common_SourceData.Common_SourceData_EFleach_Source()</f>
        <v>VEERG 2026:5.5.2.3 Constant Parameters</v>
      </c>
      <c r="BN168" s="23"/>
      <c r="BO168" s="23"/>
      <c r="BP168" s="23"/>
    </row>
    <row r="169" spans="4:68" ht="20.100000000000001" customHeight="1" x14ac:dyDescent="0.25">
      <c r="D169" s="18" t="str" cm="1">
        <f t="array" ref="D169">Common_SourceData.Common_SourceData_EFleach_NIRReference()</f>
        <v>National Inventory Report Volume 1: Equation 3.D.B_10</v>
      </c>
      <c r="BN169" s="23"/>
      <c r="BO169" s="23"/>
      <c r="BP169" s="23"/>
    </row>
    <row r="170" spans="4:68" ht="20.100000000000001" customHeight="1" x14ac:dyDescent="0.25">
      <c r="D170" s="1" t="str" cm="1">
        <f t="array" ref="D170:E170">Common_SourceData.Common_SourceData_EFleach_Data()</f>
        <v>EFleach</v>
      </c>
      <c r="E170" s="1">
        <v>1.0999999999999999E-2</v>
      </c>
      <c r="BN170" s="23"/>
      <c r="BO170" s="23"/>
      <c r="BP170" s="23"/>
    </row>
    <row r="171" spans="4:68" ht="20.100000000000001" customHeight="1" x14ac:dyDescent="0.25">
      <c r="BN171" s="23"/>
      <c r="BO171" s="23"/>
      <c r="BP171" s="23"/>
    </row>
    <row r="172" spans="4:68" ht="20.100000000000001" customHeight="1" x14ac:dyDescent="0.25">
      <c r="BN172" s="23"/>
      <c r="BO172" s="23"/>
      <c r="BP172" s="23"/>
    </row>
    <row r="173" spans="4:68" ht="20.100000000000001" customHeight="1" x14ac:dyDescent="0.25">
      <c r="D173" s="2" t="str" cm="1">
        <f t="array" ref="D173">Common_SourceData.Common_SourceData_DensityOfMethane_Title()</f>
        <v>p = density of methane</v>
      </c>
      <c r="BN173" s="23"/>
      <c r="BO173" s="23"/>
      <c r="BP173" s="23"/>
    </row>
    <row r="174" spans="4:68" ht="20.100000000000001" customHeight="1" x14ac:dyDescent="0.25">
      <c r="D174" s="18" t="str" cm="1">
        <f t="array" ref="D174">Common_SourceData.Common_SourceData_DensityOfMethane_Source()</f>
        <v>National Inventory Report 2023 Volume 1: Equations 3.B.1a_2, 3.B.1c_2, 3.B.3_1, 3.B.4g_2</v>
      </c>
      <c r="BN174" s="23"/>
      <c r="BO174" s="23"/>
      <c r="BP174" s="23"/>
    </row>
    <row r="175" spans="4:68" ht="20.100000000000001" customHeight="1" x14ac:dyDescent="0.25">
      <c r="D175" s="1" cm="1">
        <f t="array" ref="D175">Common_SourceData.Common_SourceData_DensityOfMethane_Data()</f>
        <v>0.6784</v>
      </c>
      <c r="E175" s="10" t="str" cm="1">
        <f t="array" ref="E175">Common_SourceData.Common_SourceData_DensityOfMethane_Unit()</f>
        <v>kg/m3</v>
      </c>
      <c r="BN175" s="23"/>
      <c r="BO175" s="23"/>
      <c r="BP175" s="23"/>
    </row>
    <row r="176" spans="4:68" ht="20.100000000000001" customHeight="1" x14ac:dyDescent="0.25">
      <c r="BN176" s="23"/>
      <c r="BO176" s="23"/>
      <c r="BP176" s="23"/>
    </row>
    <row r="177" spans="4:68" ht="20.100000000000001" customHeight="1" x14ac:dyDescent="0.25">
      <c r="BN177" s="23"/>
      <c r="BO177" s="23"/>
      <c r="BP177" s="23"/>
    </row>
    <row r="178" spans="4:68" ht="20.100000000000001" customHeight="1" x14ac:dyDescent="0.25">
      <c r="D178" s="2" t="str" cm="1">
        <f t="array" ref="D178">Common_SourceData.Common_SourceData_EFN2O_Title()</f>
        <v>Nitrous oxide emission factors for inorganic fertiliser application</v>
      </c>
      <c r="BN178" s="23"/>
      <c r="BO178" s="23"/>
      <c r="BP178" s="23"/>
    </row>
    <row r="179" spans="4:68" ht="20.100000000000001" customHeight="1" x14ac:dyDescent="0.25">
      <c r="D179" s="18" t="str" cm="1">
        <f t="array" ref="D179">Common_SourceData.Common_SourceData_EFN2O_Source()</f>
        <v>VEERG 2026: Table A.2.2.1</v>
      </c>
      <c r="BN179" s="23"/>
      <c r="BO179" s="23"/>
      <c r="BP179" s="23"/>
    </row>
    <row r="180" spans="4:68" ht="20.100000000000001" customHeight="1" x14ac:dyDescent="0.25">
      <c r="D180" s="10" t="str" cm="1">
        <f t="array" ref="D180">Common_SourceData.Common_SourceData_EFN2O_Unit()</f>
        <v>(kg N2O-N / kg N</v>
      </c>
    </row>
    <row r="181" spans="4:68" ht="20.100000000000001" customHeight="1" x14ac:dyDescent="0.25">
      <c r="D181" s="27" t="str" cm="1">
        <f t="array" ref="D181:D185">Common_SourceData.Common_SourceData_EFN2O_Variation()</f>
        <v>VARIATION OF SOURCE DATA:</v>
      </c>
    </row>
    <row r="182" spans="4:68" ht="20.100000000000001" customHeight="1" x14ac:dyDescent="0.25">
      <c r="D182" s="27" t="str">
        <v>Removed duplicate 'Aquaculture' row.</v>
      </c>
    </row>
    <row r="183" spans="4:68" ht="20.100000000000001" customHeight="1" x14ac:dyDescent="0.25">
      <c r="D183" s="27" t="str">
        <v>Removed asterisks to aid lookup.</v>
      </c>
    </row>
    <row r="184" spans="4:68" ht="20.100000000000001" customHeight="1" x14ac:dyDescent="0.25">
      <c r="D184" s="27" t="str">
        <v>Added 'production system only', 'rainfall zone' and 'irrigation method' columns to aid lookup.</v>
      </c>
    </row>
    <row r="185" spans="4:68" ht="20.100000000000001" customHeight="1" x14ac:dyDescent="0.25">
      <c r="D185" s="27" t="str">
        <v>Duplicated 'non-irrigated pasture' row with same EF for low and high rainfall zones to aid lookup.</v>
      </c>
    </row>
    <row r="186" spans="4:68" ht="20.100000000000001" customHeight="1" x14ac:dyDescent="0.25">
      <c r="D186" s="21" t="s">
        <v>70</v>
      </c>
      <c r="E186" s="21" t="s">
        <v>71</v>
      </c>
      <c r="F186" s="21" t="s">
        <v>72</v>
      </c>
      <c r="G186" s="21" t="s">
        <v>73</v>
      </c>
      <c r="H186" s="21" t="s">
        <v>74</v>
      </c>
    </row>
    <row r="187" spans="4:68" ht="20.100000000000001" customHeight="1" x14ac:dyDescent="0.25">
      <c r="D187" s="21" t="str" cm="1">
        <f t="array" ref="D187">Common_InputFunctions.Utility_DisplayArrayInTable(Common_SourceData.Common_SourceData_EFN2O_Data(), Table_SourceData_Common_EFN2O[[#Headers],[Production system j]], 0)</f>
        <v>Irrigated pasture</v>
      </c>
      <c r="E187" s="21" cm="1">
        <f t="array" ref="E187">Common_InputFunctions.Utility_DisplayArrayInTable(Common_SourceData.Common_SourceData_EFN2O_Data(), Table_SourceData_Common_EFN2O[[#Headers],[Production system j]], 0)</f>
        <v>5.8999999999999999E-3</v>
      </c>
      <c r="F187" s="21" t="str" cm="1">
        <f t="array" ref="F187">Common_InputFunctions.Utility_DisplayArrayInTable(Common_SourceData.Common_SourceData_EFN2O_Data(), Table_SourceData_Common_EFN2O[[#Headers],[Production system j]], 0)</f>
        <v>Pasture</v>
      </c>
      <c r="G187" s="21" t="str" cm="1">
        <f t="array" ref="G187">Common_InputFunctions.Utility_DisplayArrayInTable(Common_SourceData.Common_SourceData_EFN2O_Data(), Table_SourceData_Common_EFN2O[[#Headers],[Production system j]], 0)</f>
        <v>Any</v>
      </c>
      <c r="H187" s="21" t="str" cm="1">
        <f t="array" ref="H187">Common_InputFunctions.Utility_DisplayArrayInTable(Common_SourceData.Common_SourceData_EFN2O_Data(), Table_SourceData_Common_EFN2O[[#Headers],[Production system j]], 0)</f>
        <v>Any</v>
      </c>
    </row>
    <row r="188" spans="4:68" ht="20.100000000000001" customHeight="1" x14ac:dyDescent="0.25">
      <c r="D188" s="21" t="str" cm="1">
        <f t="array" ref="D188">Common_InputFunctions.Utility_DisplayArrayInTable(Common_SourceData.Common_SourceData_EFN2O_Data(), Table_SourceData_Common_EFN2O[[#Headers],[Production system j]], 0)</f>
        <v>Irrigated crop</v>
      </c>
      <c r="E188" s="21" cm="1">
        <f t="array" ref="E188">Common_InputFunctions.Utility_DisplayArrayInTable(Common_SourceData.Common_SourceData_EFN2O_Data(), Table_SourceData_Common_EFN2O[[#Headers],[Production system j]], 0)</f>
        <v>7.0000000000000001E-3</v>
      </c>
      <c r="F188" s="21" t="str" cm="1">
        <f t="array" ref="F188">Common_InputFunctions.Utility_DisplayArrayInTable(Common_SourceData.Common_SourceData_EFN2O_Data(), Table_SourceData_Common_EFN2O[[#Headers],[Production system j]], 0)</f>
        <v>Crop</v>
      </c>
      <c r="G188" s="21" t="str" cm="1">
        <f t="array" ref="G188">Common_InputFunctions.Utility_DisplayArrayInTable(Common_SourceData.Common_SourceData_EFN2O_Data(), Table_SourceData_Common_EFN2O[[#Headers],[Production system j]], 0)</f>
        <v>Any</v>
      </c>
      <c r="H188" s="21" t="str" cm="1">
        <f t="array" ref="H188">Common_InputFunctions.Utility_DisplayArrayInTable(Common_SourceData.Common_SourceData_EFN2O_Data(), Table_SourceData_Common_EFN2O[[#Headers],[Production system j]], 0)</f>
        <v>Any</v>
      </c>
    </row>
    <row r="189" spans="4:68" ht="20.100000000000001" customHeight="1" x14ac:dyDescent="0.25">
      <c r="D189" s="21" t="str" cm="1">
        <f t="array" ref="D189">Common_InputFunctions.Utility_DisplayArrayInTable(Common_SourceData.Common_SourceData_EFN2O_Data(), Table_SourceData_Common_EFN2O[[#Headers],[Production system j]], 0)</f>
        <v>Non-irrigated pasture</v>
      </c>
      <c r="E189" s="21" cm="1">
        <f t="array" ref="E189">Common_InputFunctions.Utility_DisplayArrayInTable(Common_SourceData.Common_SourceData_EFN2O_Data(), Table_SourceData_Common_EFN2O[[#Headers],[Production system j]], 0)</f>
        <v>1.8E-3</v>
      </c>
      <c r="F189" s="21" t="str" cm="1">
        <f t="array" ref="F189">Common_InputFunctions.Utility_DisplayArrayInTable(Common_SourceData.Common_SourceData_EFN2O_Data(), Table_SourceData_Common_EFN2O[[#Headers],[Production system j]], 0)</f>
        <v>Pasture</v>
      </c>
      <c r="G189" s="21" t="str" cm="1">
        <f t="array" ref="G189">Common_InputFunctions.Utility_DisplayArrayInTable(Common_SourceData.Common_SourceData_EFN2O_Data(), Table_SourceData_Common_EFN2O[[#Headers],[Production system j]], 0)</f>
        <v>Not irrigated</v>
      </c>
      <c r="H189" s="21" t="str" cm="1">
        <f t="array" ref="H189">Common_InputFunctions.Utility_DisplayArrayInTable(Common_SourceData.Common_SourceData_EFN2O_Data(), Table_SourceData_Common_EFN2O[[#Headers],[Production system j]], 0)</f>
        <v>Low rainfall</v>
      </c>
    </row>
    <row r="190" spans="4:68" ht="20.100000000000001" customHeight="1" x14ac:dyDescent="0.25">
      <c r="D190" s="21" t="str" cm="1">
        <f t="array" ref="D190">Common_InputFunctions.Utility_DisplayArrayInTable(Common_SourceData.Common_SourceData_EFN2O_Data(), Table_SourceData_Common_EFN2O[[#Headers],[Production system j]], 0)</f>
        <v>Non-irrigated pasture</v>
      </c>
      <c r="E190" s="21" cm="1">
        <f t="array" ref="E190">Common_InputFunctions.Utility_DisplayArrayInTable(Common_SourceData.Common_SourceData_EFN2O_Data(), Table_SourceData_Common_EFN2O[[#Headers],[Production system j]], 0)</f>
        <v>1.8E-3</v>
      </c>
      <c r="F190" s="21" t="str" cm="1">
        <f t="array" ref="F190">Common_InputFunctions.Utility_DisplayArrayInTable(Common_SourceData.Common_SourceData_EFN2O_Data(), Table_SourceData_Common_EFN2O[[#Headers],[Production system j]], 0)</f>
        <v>Pasture</v>
      </c>
      <c r="G190" s="21" t="str" cm="1">
        <f t="array" ref="G190">Common_InputFunctions.Utility_DisplayArrayInTable(Common_SourceData.Common_SourceData_EFN2O_Data(), Table_SourceData_Common_EFN2O[[#Headers],[Production system j]], 0)</f>
        <v>Not irrigated</v>
      </c>
      <c r="H190" s="21"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21" t="str" cm="1">
        <f t="array" ref="D191">Common_InputFunctions.Utility_DisplayArrayInTable(Common_SourceData.Common_SourceData_EFN2O_Data(), Table_SourceData_Common_EFN2O[[#Headers],[Production system j]], 0)</f>
        <v>Non-irrigated crop (low rainfall)</v>
      </c>
      <c r="E191" s="21" cm="1">
        <f t="array" ref="E191">Common_InputFunctions.Utility_DisplayArrayInTable(Common_SourceData.Common_SourceData_EFN2O_Data(), Table_SourceData_Common_EFN2O[[#Headers],[Production system j]], 0)</f>
        <v>2.8999999999999998E-3</v>
      </c>
      <c r="F191" s="21" t="str" cm="1">
        <f t="array" ref="F191">Common_InputFunctions.Utility_DisplayArrayInTable(Common_SourceData.Common_SourceData_EFN2O_Data(), Table_SourceData_Common_EFN2O[[#Headers],[Production system j]], 0)</f>
        <v>Crop</v>
      </c>
      <c r="G191" s="21" t="str" cm="1">
        <f t="array" ref="G191">Common_InputFunctions.Utility_DisplayArrayInTable(Common_SourceData.Common_SourceData_EFN2O_Data(), Table_SourceData_Common_EFN2O[[#Headers],[Production system j]], 0)</f>
        <v>Not irrigated</v>
      </c>
      <c r="H191" s="21" t="str" cm="1">
        <f t="array" ref="H191">Common_InputFunctions.Utility_DisplayArrayInTable(Common_SourceData.Common_SourceData_EFN2O_Data(), Table_SourceData_Common_EFN2O[[#Headers],[Production system j]], 0)</f>
        <v>Low rainfall</v>
      </c>
    </row>
    <row r="192" spans="4:68" ht="20.100000000000001" customHeight="1" x14ac:dyDescent="0.25">
      <c r="D192" s="21" t="str" cm="1">
        <f t="array" ref="D192">Common_InputFunctions.Utility_DisplayArrayInTable(Common_SourceData.Common_SourceData_EFN2O_Data(), Table_SourceData_Common_EFN2O[[#Headers],[Production system j]], 0)</f>
        <v>Non-irrigated crop (high rainfall)</v>
      </c>
      <c r="E192" s="21" cm="1">
        <f t="array" ref="E192">Common_InputFunctions.Utility_DisplayArrayInTable(Common_SourceData.Common_SourceData_EFN2O_Data(), Table_SourceData_Common_EFN2O[[#Headers],[Production system j]], 0)</f>
        <v>8.0000000000000002E-3</v>
      </c>
      <c r="F192" s="21" t="str" cm="1">
        <f t="array" ref="F192">Common_InputFunctions.Utility_DisplayArrayInTable(Common_SourceData.Common_SourceData_EFN2O_Data(), Table_SourceData_Common_EFN2O[[#Headers],[Production system j]], 0)</f>
        <v>Crop</v>
      </c>
      <c r="G192" s="21" t="str" cm="1">
        <f t="array" ref="G192">Common_InputFunctions.Utility_DisplayArrayInTable(Common_SourceData.Common_SourceData_EFN2O_Data(), Table_SourceData_Common_EFN2O[[#Headers],[Production system j]], 0)</f>
        <v>Not irrigated</v>
      </c>
      <c r="H192" s="21" t="str" cm="1">
        <f t="array" ref="H192">Common_InputFunctions.Utility_DisplayArrayInTable(Common_SourceData.Common_SourceData_EFN2O_Data(), Table_SourceData_Common_EFN2O[[#Headers],[Production system j]], 0)</f>
        <v>High rainfall</v>
      </c>
    </row>
    <row r="193" spans="4:8" ht="20.100000000000001" customHeight="1" x14ac:dyDescent="0.25">
      <c r="D193" s="21" t="str" cm="1">
        <f t="array" ref="D193">Common_InputFunctions.Utility_DisplayArrayInTable(Common_SourceData.Common_SourceData_EFN2O_Data(), Table_SourceData_Common_EFN2O[[#Headers],[Production system j]], 0)</f>
        <v>Sugar</v>
      </c>
      <c r="E193" s="21" cm="1">
        <f t="array" ref="E193">Common_InputFunctions.Utility_DisplayArrayInTable(Common_SourceData.Common_SourceData_EFN2O_Data(), Table_SourceData_Common_EFN2O[[#Headers],[Production system j]], 0)</f>
        <v>1.9900000000000001E-2</v>
      </c>
      <c r="F193" s="21" t="str" cm="1">
        <f t="array" ref="F193">Common_InputFunctions.Utility_DisplayArrayInTable(Common_SourceData.Common_SourceData_EFN2O_Data(), Table_SourceData_Common_EFN2O[[#Headers],[Production system j]], 0)</f>
        <v>Sugar</v>
      </c>
      <c r="G193" s="21" t="str" cm="1">
        <f t="array" ref="G193">Common_InputFunctions.Utility_DisplayArrayInTable(Common_SourceData.Common_SourceData_EFN2O_Data(), Table_SourceData_Common_EFN2O[[#Headers],[Production system j]], 0)</f>
        <v>Any</v>
      </c>
      <c r="H193" s="21" t="str" cm="1">
        <f t="array" ref="H193">Common_InputFunctions.Utility_DisplayArrayInTable(Common_SourceData.Common_SourceData_EFN2O_Data(), Table_SourceData_Common_EFN2O[[#Headers],[Production system j]], 0)</f>
        <v>Any</v>
      </c>
    </row>
    <row r="194" spans="4:8" ht="20.100000000000001" customHeight="1" x14ac:dyDescent="0.25">
      <c r="D194" s="21" t="str" cm="1">
        <f t="array" ref="D194">Common_InputFunctions.Utility_DisplayArrayInTable(Common_SourceData.Common_SourceData_EFN2O_Data(), Table_SourceData_Common_EFN2O[[#Headers],[Production system j]], 0)</f>
        <v>Cotton</v>
      </c>
      <c r="E194" s="21" cm="1">
        <f t="array" ref="E194">Common_InputFunctions.Utility_DisplayArrayInTable(Common_SourceData.Common_SourceData_EFN2O_Data(), Table_SourceData_Common_EFN2O[[#Headers],[Production system j]], 0)</f>
        <v>5.3E-3</v>
      </c>
      <c r="F194" s="21" t="str" cm="1">
        <f t="array" ref="F194">Common_InputFunctions.Utility_DisplayArrayInTable(Common_SourceData.Common_SourceData_EFN2O_Data(), Table_SourceData_Common_EFN2O[[#Headers],[Production system j]], 0)</f>
        <v>Cotton</v>
      </c>
      <c r="G194" s="21" t="str" cm="1">
        <f t="array" ref="G194">Common_InputFunctions.Utility_DisplayArrayInTable(Common_SourceData.Common_SourceData_EFN2O_Data(), Table_SourceData_Common_EFN2O[[#Headers],[Production system j]], 0)</f>
        <v>Any</v>
      </c>
      <c r="H194" s="21" t="str" cm="1">
        <f t="array" ref="H194">Common_InputFunctions.Utility_DisplayArrayInTable(Common_SourceData.Common_SourceData_EFN2O_Data(), Table_SourceData_Common_EFN2O[[#Headers],[Production system j]], 0)</f>
        <v>Any</v>
      </c>
    </row>
    <row r="195" spans="4:8" ht="20.100000000000001" customHeight="1" x14ac:dyDescent="0.25">
      <c r="D195" s="21" t="str" cm="1">
        <f t="array" ref="D195">Common_InputFunctions.Utility_DisplayArrayInTable(Common_SourceData.Common_SourceData_EFN2O_Data(), Table_SourceData_Common_EFN2O[[#Headers],[Production system j]], 0)</f>
        <v>Horticultural crops</v>
      </c>
      <c r="E195" s="21" cm="1">
        <f t="array" ref="E195">Common_InputFunctions.Utility_DisplayArrayInTable(Common_SourceData.Common_SourceData_EFN2O_Data(), Table_SourceData_Common_EFN2O[[#Headers],[Production system j]], 0)</f>
        <v>6.4000000000000003E-3</v>
      </c>
      <c r="F195" s="21" t="str" cm="1">
        <f t="array" ref="F195">Common_InputFunctions.Utility_DisplayArrayInTable(Common_SourceData.Common_SourceData_EFN2O_Data(), Table_SourceData_Common_EFN2O[[#Headers],[Production system j]], 0)</f>
        <v>Horticultural crops</v>
      </c>
      <c r="G195" s="21" t="str" cm="1">
        <f t="array" ref="G195">Common_InputFunctions.Utility_DisplayArrayInTable(Common_SourceData.Common_SourceData_EFN2O_Data(), Table_SourceData_Common_EFN2O[[#Headers],[Production system j]], 0)</f>
        <v>Any</v>
      </c>
      <c r="H195" s="21" t="str" cm="1">
        <f t="array" ref="H195">Common_InputFunctions.Utility_DisplayArrayInTable(Common_SourceData.Common_SourceData_EFN2O_Data(), Table_SourceData_Common_EFN2O[[#Headers],[Production system j]], 0)</f>
        <v>Any</v>
      </c>
    </row>
    <row r="196" spans="4:8" ht="20.100000000000001" customHeight="1" x14ac:dyDescent="0.25">
      <c r="D196" s="21" t="str" cm="1">
        <f t="array" ref="D196">Common_InputFunctions.Utility_DisplayArrayInTable(Common_SourceData.Common_SourceData_EFN2O_Data(), Table_SourceData_Common_EFN2O[[#Headers],[Production system j]], 0)</f>
        <v>Rice (continuous flooding)</v>
      </c>
      <c r="E196" s="21" cm="1">
        <f t="array" ref="E196">Common_InputFunctions.Utility_DisplayArrayInTable(Common_SourceData.Common_SourceData_EFN2O_Data(), Table_SourceData_Common_EFN2O[[#Headers],[Production system j]], 0)</f>
        <v>3.0000000000000001E-3</v>
      </c>
      <c r="F196" s="21" t="str" cm="1">
        <f t="array" ref="F196">Common_InputFunctions.Utility_DisplayArrayInTable(Common_SourceData.Common_SourceData_EFN2O_Data(), Table_SourceData_Common_EFN2O[[#Headers],[Production system j]], 0)</f>
        <v>Rice</v>
      </c>
      <c r="G196" s="21" t="str" cm="1">
        <f t="array" ref="G196">Common_InputFunctions.Utility_DisplayArrayInTable(Common_SourceData.Common_SourceData_EFN2O_Data(), Table_SourceData_Common_EFN2O[[#Headers],[Production system j]], 0)</f>
        <v>Continuous flooding</v>
      </c>
      <c r="H196" s="21" t="str" cm="1">
        <f t="array" ref="H196">Common_InputFunctions.Utility_DisplayArrayInTable(Common_SourceData.Common_SourceData_EFN2O_Data(), Table_SourceData_Common_EFN2O[[#Headers],[Production system j]], 0)</f>
        <v>Any</v>
      </c>
    </row>
    <row r="197" spans="4:8" x14ac:dyDescent="0.25">
      <c r="D197" s="21" t="str" cm="1">
        <f t="array" ref="D197">Common_InputFunctions.Utility_DisplayArrayInTable(Common_SourceData.Common_SourceData_EFN2O_Data(), Table_SourceData_Common_EFN2O[[#Headers],[Production system j]], 0)</f>
        <v>Rice (single and multiple drainage, or alternate wetting and drying)</v>
      </c>
      <c r="E197" s="21" cm="1">
        <f t="array" ref="E197">Common_InputFunctions.Utility_DisplayArrayInTable(Common_SourceData.Common_SourceData_EFN2O_Data(), Table_SourceData_Common_EFN2O[[#Headers],[Production system j]], 0)</f>
        <v>5.0000000000000001E-3</v>
      </c>
      <c r="F197" s="21" t="str" cm="1">
        <f t="array" ref="F197">Common_InputFunctions.Utility_DisplayArrayInTable(Common_SourceData.Common_SourceData_EFN2O_Data(), Table_SourceData_Common_EFN2O[[#Headers],[Production system j]], 0)</f>
        <v>Rice</v>
      </c>
      <c r="G197" s="21" t="str" cm="1">
        <f t="array" ref="G197">Common_InputFunctions.Utility_DisplayArrayInTable(Common_SourceData.Common_SourceData_EFN2O_Data(), Table_SourceData_Common_EFN2O[[#Headers],[Production system j]], 0)</f>
        <v>Single and multiple drainage, or alternate wetting and drying</v>
      </c>
      <c r="H197" s="21" t="str" cm="1">
        <f t="array" ref="H197">Common_InputFunctions.Utility_DisplayArrayInTable(Common_SourceData.Common_SourceData_EFN2O_Data(), Table_SourceData_Common_EFN2O[[#Headers],[Production system j]], 0)</f>
        <v>Any</v>
      </c>
    </row>
    <row r="198" spans="4:8" x14ac:dyDescent="0.25">
      <c r="D198" s="21" t="str" cm="1">
        <f t="array" ref="D198">Common_InputFunctions.Utility_DisplayArrayInTable(Common_SourceData.Common_SourceData_EFN2O_Data(), Table_SourceData_Common_EFN2O[[#Headers],[Production system j]], 0)</f>
        <v>Aquaculture</v>
      </c>
      <c r="E198" s="21" cm="1">
        <f t="array" ref="E198">Common_InputFunctions.Utility_DisplayArrayInTable(Common_SourceData.Common_SourceData_EFN2O_Data(), Table_SourceData_Common_EFN2O[[#Headers],[Production system j]], 0)</f>
        <v>2.5999999999999999E-3</v>
      </c>
      <c r="F198" s="21" t="str" cm="1">
        <f t="array" ref="F198">Common_InputFunctions.Utility_DisplayArrayInTable(Common_SourceData.Common_SourceData_EFN2O_Data(), Table_SourceData_Common_EFN2O[[#Headers],[Production system j]], 0)</f>
        <v>Aquaculture</v>
      </c>
      <c r="G198" s="21" t="str" cm="1">
        <f t="array" ref="G198">Common_InputFunctions.Utility_DisplayArrayInTable(Common_SourceData.Common_SourceData_EFN2O_Data(), Table_SourceData_Common_EFN2O[[#Headers],[Production system j]], 0)</f>
        <v>Any</v>
      </c>
      <c r="H198" s="21" t="str" cm="1">
        <f t="array" ref="H198">Common_InputFunctions.Utility_DisplayArrayInTable(Common_SourceData.Common_SourceData_EFN2O_Data(), Table_SourceData_Common_EFN2O[[#Headers],[Production system j]], 0)</f>
        <v>Any</v>
      </c>
    </row>
    <row r="199" spans="4:8" x14ac:dyDescent="0.25">
      <c r="D199" s="21" t="str" cm="1">
        <f t="array" ref="D199">Common_InputFunctions.Utility_DisplayArrayInTable(Common_SourceData.Common_SourceData_EFN2O_Data(), Table_SourceData_Common_EFN2O[[#Headers],[Production system j]], 0)</f>
        <v>Forestry</v>
      </c>
      <c r="E199" s="21" cm="1">
        <f t="array" ref="E199">Common_InputFunctions.Utility_DisplayArrayInTable(Common_SourceData.Common_SourceData_EFN2O_Data(), Table_SourceData_Common_EFN2O[[#Headers],[Production system j]], 0)</f>
        <v>1.8E-3</v>
      </c>
      <c r="F199" s="21" t="str" cm="1">
        <f t="array" ref="F199">Common_InputFunctions.Utility_DisplayArrayInTable(Common_SourceData.Common_SourceData_EFN2O_Data(), Table_SourceData_Common_EFN2O[[#Headers],[Production system j]], 0)</f>
        <v>Forestry</v>
      </c>
      <c r="G199" s="21" t="str" cm="1">
        <f t="array" ref="G199">Common_InputFunctions.Utility_DisplayArrayInTable(Common_SourceData.Common_SourceData_EFN2O_Data(), Table_SourceData_Common_EFN2O[[#Headers],[Production system j]], 0)</f>
        <v>Any</v>
      </c>
      <c r="H199" s="21" t="str" cm="1">
        <f t="array" ref="H199">Common_InputFunctions.Utility_DisplayArrayInTable(Common_SourceData.Common_SourceData_EFN2O_Data(), Table_SourceData_Common_EFN2O[[#Headers],[Production system j]], 0)</f>
        <v>Any</v>
      </c>
    </row>
    <row r="202" spans="4:8" ht="23.25" x14ac:dyDescent="0.25">
      <c r="D202" s="2" t="str" cm="1">
        <f t="array" ref="D202">Common_SourceData.Common_SourceData_EFPastureRangeAndPaddock_Title()</f>
        <v>Emission factor for urine and dung deposited on pasture, range or paddock</v>
      </c>
    </row>
    <row r="203" spans="4:8" x14ac:dyDescent="0.25">
      <c r="D203" s="18" t="str" cm="1">
        <f t="array" ref="D203">Common_SourceData.Common_SourceData_EFPastureRangeAndPaddock_Source()</f>
        <v>VEERG 2026: Table A.2.2.2</v>
      </c>
    </row>
    <row r="204" spans="4:8" x14ac:dyDescent="0.25">
      <c r="D204" s="27" t="str" cm="1">
        <f t="array" ref="D204">Common_SourceData.Common_SourceData_EFPastureRangeAndPaddock_Variation()</f>
        <v>VARIATION FROM SOURCE DATA: Changed 'Dry climate zones' to singular 'Dry climate zone' to aid lookup.</v>
      </c>
    </row>
    <row r="205" spans="4:8" x14ac:dyDescent="0.25">
      <c r="D205" s="10" t="str" cm="1">
        <f t="array" ref="D205">Common_SourceData.Common_SourceData_EFPastureRangeAndPaddock_Unit()</f>
        <v>kg N2O - N / kg N</v>
      </c>
    </row>
    <row r="206" spans="4:8" x14ac:dyDescent="0.25">
      <c r="D206" s="21" t="s">
        <v>41</v>
      </c>
      <c r="E206" s="21" t="s">
        <v>75</v>
      </c>
    </row>
    <row r="207" spans="4:8" x14ac:dyDescent="0.25">
      <c r="D207" s="21" t="str" cm="1">
        <f t="array" ref="D207">Common_InputFunctions.Utility_DisplayArrayInTable(Common_SourceData.Common_SourceData_EFPastureRangeAndPaddock_Data(), Table_SourceData_EFPastureRangeAndPaddock[[#Headers],[Climate zone]], 0)</f>
        <v>Wet climate zone</v>
      </c>
      <c r="E207" s="21"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21"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21" t="s">
        <v>76</v>
      </c>
      <c r="E212" s="21" t="s">
        <v>77</v>
      </c>
    </row>
    <row r="213" spans="4:5" x14ac:dyDescent="0.25">
      <c r="D213" s="21" t="str" cm="1">
        <f t="array" ref="D213">Common_InputFunctions.Utility_DisplayArrayInTable(Common_SourceData.Common_SourceData_MonthsToSeasons_Data(), Table_SourceData_Common_MonthToSeason[[#Headers],[Month]], 0)</f>
        <v>January</v>
      </c>
      <c r="E213" s="21"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21"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21"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21"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21"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21"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21"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21"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21"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21"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21"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21" t="str" cm="1">
        <f t="array" ref="E224">Common_InputFunctions.Utility_DisplayArrayInTable(Common_SourceData.Common_SourceData_MonthsToSeasons_Data(), Table_SourceData_Common_MonthToSeason[[#Headers],[Month]], 0)</f>
        <v>Summer</v>
      </c>
    </row>
    <row r="227" spans="4:19" ht="23.25" x14ac:dyDescent="0.25">
      <c r="D227" s="2" t="str" cm="1">
        <f t="array" ref="D227">Common_SourceData.Common_SourceData_MCFTemperatureZone_Title()</f>
        <v>Manure Management – Methane conversion factor per temperature zone (fraction) (MCFim)</v>
      </c>
    </row>
    <row r="228" spans="4:19" x14ac:dyDescent="0.25">
      <c r="D228" s="18" t="str" cm="1">
        <f t="array" ref="D228">Common_SourceData.Common_SourceData_MCFTemperatureZone_Source()</f>
        <v>VEERG 2026: Table A.1.8.1</v>
      </c>
    </row>
    <row r="229" spans="4:19" x14ac:dyDescent="0.25">
      <c r="D229" s="27"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21" t="s">
        <v>78</v>
      </c>
      <c r="E231" s="21" t="s">
        <v>79</v>
      </c>
      <c r="F231" s="28" t="s">
        <v>80</v>
      </c>
      <c r="G231" s="21" t="s">
        <v>81</v>
      </c>
      <c r="H231" s="21" t="s">
        <v>82</v>
      </c>
      <c r="I231" s="21" t="s">
        <v>83</v>
      </c>
      <c r="J231" s="21" t="s">
        <v>84</v>
      </c>
      <c r="K231" s="21" t="s">
        <v>85</v>
      </c>
      <c r="L231" s="21" t="s">
        <v>86</v>
      </c>
      <c r="M231" s="21" t="s">
        <v>87</v>
      </c>
      <c r="N231" s="21" t="s">
        <v>88</v>
      </c>
      <c r="O231" s="21" t="s">
        <v>89</v>
      </c>
      <c r="P231" s="21" t="s">
        <v>90</v>
      </c>
      <c r="Q231" s="21" t="s">
        <v>91</v>
      </c>
      <c r="R231" s="21" t="s">
        <v>92</v>
      </c>
      <c r="S231" s="21" t="s">
        <v>93</v>
      </c>
    </row>
    <row r="232" spans="4:19" x14ac:dyDescent="0.25">
      <c r="D232" s="21" t="str" cm="1">
        <f t="array" ref="D232">Common_InputFunctions.Utility_DisplayArrayInTable(Common_SourceData.Common_SourceData_MCFTemperatureZone_Data(),Table_SourceData_Common_MCFTemperatureZone[[#Headers],[Temperature zone]],0)</f>
        <v>Cool</v>
      </c>
      <c r="E232" s="21" t="str" cm="1">
        <f t="array" ref="E232">Common_InputFunctions.Utility_DisplayArrayInTable(Common_SourceData.Common_SourceData_MCFTemperatureZone_Data(),Table_SourceData_Common_MCFTemperatureZone[[#Headers],[Temperature zone]],0)</f>
        <v>≤10</v>
      </c>
      <c r="F232" s="21" cm="1">
        <f t="array" ref="F232">Common_InputFunctions.Utility_DisplayArrayInTable(Common_SourceData.Common_SourceData_MCFTemperatureZone_Data(),Table_SourceData_Common_MCFTemperatureZone[[#Headers],[Temperature zone]],0)</f>
        <v>0.66</v>
      </c>
      <c r="G232" s="21" cm="1">
        <f t="array" ref="G232">Common_InputFunctions.Utility_DisplayArrayInTable(Common_SourceData.Common_SourceData_MCFTemperatureZone_Data(),Table_SourceData_Common_MCFTemperatureZone[[#Headers],[Temperature zone]],0)</f>
        <v>0.1</v>
      </c>
      <c r="H232" s="21" cm="1">
        <f t="array" ref="H232">Common_InputFunctions.Utility_DisplayArrayInTable(Common_SourceData.Common_SourceData_MCFTemperatureZone_Data(),Table_SourceData_Common_MCFTemperatureZone[[#Headers],[Temperature zone]],0)</f>
        <v>0.1</v>
      </c>
      <c r="I232" s="21" cm="1">
        <f t="array" ref="I232">Common_InputFunctions.Utility_DisplayArrayInTable(Common_SourceData.Common_SourceData_MCFTemperatureZone_Data(),Table_SourceData_Common_MCFTemperatureZone[[#Headers],[Temperature zone]],0)</f>
        <v>1E-3</v>
      </c>
      <c r="J232" s="21" cm="1">
        <f t="array" ref="J232">Common_InputFunctions.Utility_DisplayArrayInTable(Common_SourceData.Common_SourceData_MCFTemperatureZone_Data(),Table_SourceData_Common_MCFTemperatureZone[[#Headers],[Temperature zone]],0)</f>
        <v>5.0000000000000001E-3</v>
      </c>
      <c r="K232" s="21" cm="1">
        <f t="array" ref="K232">Common_InputFunctions.Utility_DisplayArrayInTable(Common_SourceData.Common_SourceData_MCFTemperatureZone_Data(),Table_SourceData_Common_MCFTemperatureZone[[#Headers],[Temperature zone]],0)</f>
        <v>0.02</v>
      </c>
      <c r="L232" s="21" cm="1">
        <f t="array" ref="L232">Common_InputFunctions.Utility_DisplayArrayInTable(Common_SourceData.Common_SourceData_MCFTemperatureZone_Data(),Table_SourceData_Common_MCFTemperatureZone[[#Headers],[Temperature zone]],0)</f>
        <v>0.03</v>
      </c>
      <c r="M232" s="21" cm="1">
        <f t="array" ref="M232">Common_InputFunctions.Utility_DisplayArrayInTable(Common_SourceData.Common_SourceData_MCFTemperatureZone_Data(),Table_SourceData_Common_MCFTemperatureZone[[#Headers],[Temperature zone]],0)</f>
        <v>0.04</v>
      </c>
      <c r="N232" s="21" cm="1">
        <f t="array" ref="N232">Common_InputFunctions.Utility_DisplayArrayInTable(Common_SourceData.Common_SourceData_MCFTemperatureZone_Data(),Table_SourceData_Common_MCFTemperatureZone[[#Headers],[Temperature zone]],0)</f>
        <v>1.4999999999999999E-2</v>
      </c>
      <c r="O232" s="21" cm="1">
        <f t="array" ref="O232">Common_InputFunctions.Utility_DisplayArrayInTable(Common_SourceData.Common_SourceData_MCFTemperatureZone_Data(),Table_SourceData_Common_MCFTemperatureZone[[#Headers],[Temperature zone]],0)</f>
        <v>1.4999999999999999E-2</v>
      </c>
      <c r="P232" s="21" cm="1">
        <f t="array" ref="P232">Common_InputFunctions.Utility_DisplayArrayInTable(Common_SourceData.Common_SourceData_MCFTemperatureZone_Data(),Table_SourceData_Common_MCFTemperatureZone[[#Headers],[Temperature zone]],0)</f>
        <v>0</v>
      </c>
      <c r="Q232" s="21" cm="1">
        <f t="array" ref="Q232">Common_InputFunctions.Utility_DisplayArrayInTable(Common_SourceData.Common_SourceData_MCFTemperatureZone_Data(),Table_SourceData_Common_MCFTemperatureZone[[#Headers],[Temperature zone]],0)</f>
        <v>0</v>
      </c>
      <c r="R232" s="21" cm="1">
        <f t="array" ref="R232">Common_InputFunctions.Utility_DisplayArrayInTable(Common_SourceData.Common_SourceData_MCFTemperatureZone_Data(),Table_SourceData_Common_MCFTemperatureZone[[#Headers],[Temperature zone]],0)</f>
        <v>4.7000000000000002E-3</v>
      </c>
      <c r="S232" s="21"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21" cm="1">
        <f t="array" ref="E233">Common_InputFunctions.Utility_DisplayArrayInTable(Common_SourceData.Common_SourceData_MCFTemperatureZone_Data(),Table_SourceData_Common_MCFTemperatureZone[[#Headers],[Temperature zone]],0)</f>
        <v>11</v>
      </c>
      <c r="F233" s="21" cm="1">
        <f t="array" ref="F233">Common_InputFunctions.Utility_DisplayArrayInTable(Common_SourceData.Common_SourceData_MCFTemperatureZone_Data(),Table_SourceData_Common_MCFTemperatureZone[[#Headers],[Temperature zone]],0)</f>
        <v>0.68</v>
      </c>
      <c r="G233" s="21" cm="1">
        <f t="array" ref="G233">Common_InputFunctions.Utility_DisplayArrayInTable(Common_SourceData.Common_SourceData_MCFTemperatureZone_Data(),Table_SourceData_Common_MCFTemperatureZone[[#Headers],[Temperature zone]],0)</f>
        <v>0.1</v>
      </c>
      <c r="H233" s="21" cm="1">
        <f t="array" ref="H233">Common_InputFunctions.Utility_DisplayArrayInTable(Common_SourceData.Common_SourceData_MCFTemperatureZone_Data(),Table_SourceData_Common_MCFTemperatureZone[[#Headers],[Temperature zone]],0)</f>
        <v>0.11</v>
      </c>
      <c r="I233" s="21" cm="1">
        <f t="array" ref="I233">Common_InputFunctions.Utility_DisplayArrayInTable(Common_SourceData.Common_SourceData_MCFTemperatureZone_Data(),Table_SourceData_Common_MCFTemperatureZone[[#Headers],[Temperature zone]],0)</f>
        <v>1E-3</v>
      </c>
      <c r="J233" s="21" cm="1">
        <f t="array" ref="J233">Common_InputFunctions.Utility_DisplayArrayInTable(Common_SourceData.Common_SourceData_MCFTemperatureZone_Data(),Table_SourceData_Common_MCFTemperatureZone[[#Headers],[Temperature zone]],0)</f>
        <v>5.0000000000000001E-3</v>
      </c>
      <c r="K233" s="21" cm="1">
        <f t="array" ref="K233">Common_InputFunctions.Utility_DisplayArrayInTable(Common_SourceData.Common_SourceData_MCFTemperatureZone_Data(),Table_SourceData_Common_MCFTemperatureZone[[#Headers],[Temperature zone]],0)</f>
        <v>0.02</v>
      </c>
      <c r="L233" s="21" cm="1">
        <f t="array" ref="L233">Common_InputFunctions.Utility_DisplayArrayInTable(Common_SourceData.Common_SourceData_MCFTemperatureZone_Data(),Table_SourceData_Common_MCFTemperatureZone[[#Headers],[Temperature zone]],0)</f>
        <v>0.03</v>
      </c>
      <c r="M233" s="21" cm="1">
        <f t="array" ref="M233">Common_InputFunctions.Utility_DisplayArrayInTable(Common_SourceData.Common_SourceData_MCFTemperatureZone_Data(),Table_SourceData_Common_MCFTemperatureZone[[#Headers],[Temperature zone]],0)</f>
        <v>0.04</v>
      </c>
      <c r="N233" s="21" cm="1">
        <f t="array" ref="N233">Common_InputFunctions.Utility_DisplayArrayInTable(Common_SourceData.Common_SourceData_MCFTemperatureZone_Data(),Table_SourceData_Common_MCFTemperatureZone[[#Headers],[Temperature zone]],0)</f>
        <v>1.4999999999999999E-2</v>
      </c>
      <c r="O233" s="21" cm="1">
        <f t="array" ref="O233">Common_InputFunctions.Utility_DisplayArrayInTable(Common_SourceData.Common_SourceData_MCFTemperatureZone_Data(),Table_SourceData_Common_MCFTemperatureZone[[#Headers],[Temperature zone]],0)</f>
        <v>1.4999999999999999E-2</v>
      </c>
      <c r="P233" s="21" cm="1">
        <f t="array" ref="P233">Common_InputFunctions.Utility_DisplayArrayInTable(Common_SourceData.Common_SourceData_MCFTemperatureZone_Data(),Table_SourceData_Common_MCFTemperatureZone[[#Headers],[Temperature zone]],0)</f>
        <v>0</v>
      </c>
      <c r="Q233" s="21" cm="1">
        <f t="array" ref="Q233">Common_InputFunctions.Utility_DisplayArrayInTable(Common_SourceData.Common_SourceData_MCFTemperatureZone_Data(),Table_SourceData_Common_MCFTemperatureZone[[#Headers],[Temperature zone]],0)</f>
        <v>0</v>
      </c>
      <c r="R233" s="21" cm="1">
        <f t="array" ref="R233">Common_InputFunctions.Utility_DisplayArrayInTable(Common_SourceData.Common_SourceData_MCFTemperatureZone_Data(),Table_SourceData_Common_MCFTemperatureZone[[#Headers],[Temperature zone]],0)</f>
        <v>4.7000000000000002E-3</v>
      </c>
      <c r="S233" s="21"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21" cm="1">
        <f t="array" ref="E234">Common_InputFunctions.Utility_DisplayArrayInTable(Common_SourceData.Common_SourceData_MCFTemperatureZone_Data(),Table_SourceData_Common_MCFTemperatureZone[[#Headers],[Temperature zone]],0)</f>
        <v>12</v>
      </c>
      <c r="F234" s="21" cm="1">
        <f t="array" ref="F234">Common_InputFunctions.Utility_DisplayArrayInTable(Common_SourceData.Common_SourceData_MCFTemperatureZone_Data(),Table_SourceData_Common_MCFTemperatureZone[[#Headers],[Temperature zone]],0)</f>
        <v>0.7</v>
      </c>
      <c r="G234" s="21" cm="1">
        <f t="array" ref="G234">Common_InputFunctions.Utility_DisplayArrayInTable(Common_SourceData.Common_SourceData_MCFTemperatureZone_Data(),Table_SourceData_Common_MCFTemperatureZone[[#Headers],[Temperature zone]],0)</f>
        <v>0.1</v>
      </c>
      <c r="H234" s="21" cm="1">
        <f t="array" ref="H234">Common_InputFunctions.Utility_DisplayArrayInTable(Common_SourceData.Common_SourceData_MCFTemperatureZone_Data(),Table_SourceData_Common_MCFTemperatureZone[[#Headers],[Temperature zone]],0)</f>
        <v>0.13</v>
      </c>
      <c r="I234" s="21" cm="1">
        <f t="array" ref="I234">Common_InputFunctions.Utility_DisplayArrayInTable(Common_SourceData.Common_SourceData_MCFTemperatureZone_Data(),Table_SourceData_Common_MCFTemperatureZone[[#Headers],[Temperature zone]],0)</f>
        <v>1E-3</v>
      </c>
      <c r="J234" s="21" cm="1">
        <f t="array" ref="J234">Common_InputFunctions.Utility_DisplayArrayInTable(Common_SourceData.Common_SourceData_MCFTemperatureZone_Data(),Table_SourceData_Common_MCFTemperatureZone[[#Headers],[Temperature zone]],0)</f>
        <v>5.0000000000000001E-3</v>
      </c>
      <c r="K234" s="21" cm="1">
        <f t="array" ref="K234">Common_InputFunctions.Utility_DisplayArrayInTable(Common_SourceData.Common_SourceData_MCFTemperatureZone_Data(),Table_SourceData_Common_MCFTemperatureZone[[#Headers],[Temperature zone]],0)</f>
        <v>0.02</v>
      </c>
      <c r="L234" s="21" cm="1">
        <f t="array" ref="L234">Common_InputFunctions.Utility_DisplayArrayInTable(Common_SourceData.Common_SourceData_MCFTemperatureZone_Data(),Table_SourceData_Common_MCFTemperatureZone[[#Headers],[Temperature zone]],0)</f>
        <v>0.03</v>
      </c>
      <c r="M234" s="21" cm="1">
        <f t="array" ref="M234">Common_InputFunctions.Utility_DisplayArrayInTable(Common_SourceData.Common_SourceData_MCFTemperatureZone_Data(),Table_SourceData_Common_MCFTemperatureZone[[#Headers],[Temperature zone]],0)</f>
        <v>0.04</v>
      </c>
      <c r="N234" s="21" cm="1">
        <f t="array" ref="N234">Common_InputFunctions.Utility_DisplayArrayInTable(Common_SourceData.Common_SourceData_MCFTemperatureZone_Data(),Table_SourceData_Common_MCFTemperatureZone[[#Headers],[Temperature zone]],0)</f>
        <v>1.4999999999999999E-2</v>
      </c>
      <c r="O234" s="21" cm="1">
        <f t="array" ref="O234">Common_InputFunctions.Utility_DisplayArrayInTable(Common_SourceData.Common_SourceData_MCFTemperatureZone_Data(),Table_SourceData_Common_MCFTemperatureZone[[#Headers],[Temperature zone]],0)</f>
        <v>1.4999999999999999E-2</v>
      </c>
      <c r="P234" s="21" cm="1">
        <f t="array" ref="P234">Common_InputFunctions.Utility_DisplayArrayInTable(Common_SourceData.Common_SourceData_MCFTemperatureZone_Data(),Table_SourceData_Common_MCFTemperatureZone[[#Headers],[Temperature zone]],0)</f>
        <v>0</v>
      </c>
      <c r="Q234" s="21" cm="1">
        <f t="array" ref="Q234">Common_InputFunctions.Utility_DisplayArrayInTable(Common_SourceData.Common_SourceData_MCFTemperatureZone_Data(),Table_SourceData_Common_MCFTemperatureZone[[#Headers],[Temperature zone]],0)</f>
        <v>0</v>
      </c>
      <c r="R234" s="21" cm="1">
        <f t="array" ref="R234">Common_InputFunctions.Utility_DisplayArrayInTable(Common_SourceData.Common_SourceData_MCFTemperatureZone_Data(),Table_SourceData_Common_MCFTemperatureZone[[#Headers],[Temperature zone]],0)</f>
        <v>4.7000000000000002E-3</v>
      </c>
      <c r="S234" s="21"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21" cm="1">
        <f t="array" ref="E235">Common_InputFunctions.Utility_DisplayArrayInTable(Common_SourceData.Common_SourceData_MCFTemperatureZone_Data(),Table_SourceData_Common_MCFTemperatureZone[[#Headers],[Temperature zone]],0)</f>
        <v>13</v>
      </c>
      <c r="F235" s="21" cm="1">
        <f t="array" ref="F235">Common_InputFunctions.Utility_DisplayArrayInTable(Common_SourceData.Common_SourceData_MCFTemperatureZone_Data(),Table_SourceData_Common_MCFTemperatureZone[[#Headers],[Temperature zone]],0)</f>
        <v>0.71</v>
      </c>
      <c r="G235" s="21" cm="1">
        <f t="array" ref="G235">Common_InputFunctions.Utility_DisplayArrayInTable(Common_SourceData.Common_SourceData_MCFTemperatureZone_Data(),Table_SourceData_Common_MCFTemperatureZone[[#Headers],[Temperature zone]],0)</f>
        <v>0.1</v>
      </c>
      <c r="H235" s="21" cm="1">
        <f t="array" ref="H235">Common_InputFunctions.Utility_DisplayArrayInTable(Common_SourceData.Common_SourceData_MCFTemperatureZone_Data(),Table_SourceData_Common_MCFTemperatureZone[[#Headers],[Temperature zone]],0)</f>
        <v>0.14000000000000001</v>
      </c>
      <c r="I235" s="21" cm="1">
        <f t="array" ref="I235">Common_InputFunctions.Utility_DisplayArrayInTable(Common_SourceData.Common_SourceData_MCFTemperatureZone_Data(),Table_SourceData_Common_MCFTemperatureZone[[#Headers],[Temperature zone]],0)</f>
        <v>1E-3</v>
      </c>
      <c r="J235" s="21" cm="1">
        <f t="array" ref="J235">Common_InputFunctions.Utility_DisplayArrayInTable(Common_SourceData.Common_SourceData_MCFTemperatureZone_Data(),Table_SourceData_Common_MCFTemperatureZone[[#Headers],[Temperature zone]],0)</f>
        <v>5.0000000000000001E-3</v>
      </c>
      <c r="K235" s="21" cm="1">
        <f t="array" ref="K235">Common_InputFunctions.Utility_DisplayArrayInTable(Common_SourceData.Common_SourceData_MCFTemperatureZone_Data(),Table_SourceData_Common_MCFTemperatureZone[[#Headers],[Temperature zone]],0)</f>
        <v>0.02</v>
      </c>
      <c r="L235" s="21" cm="1">
        <f t="array" ref="L235">Common_InputFunctions.Utility_DisplayArrayInTable(Common_SourceData.Common_SourceData_MCFTemperatureZone_Data(),Table_SourceData_Common_MCFTemperatureZone[[#Headers],[Temperature zone]],0)</f>
        <v>0.03</v>
      </c>
      <c r="M235" s="21" cm="1">
        <f t="array" ref="M235">Common_InputFunctions.Utility_DisplayArrayInTable(Common_SourceData.Common_SourceData_MCFTemperatureZone_Data(),Table_SourceData_Common_MCFTemperatureZone[[#Headers],[Temperature zone]],0)</f>
        <v>0.04</v>
      </c>
      <c r="N235" s="21" cm="1">
        <f t="array" ref="N235">Common_InputFunctions.Utility_DisplayArrayInTable(Common_SourceData.Common_SourceData_MCFTemperatureZone_Data(),Table_SourceData_Common_MCFTemperatureZone[[#Headers],[Temperature zone]],0)</f>
        <v>1.4999999999999999E-2</v>
      </c>
      <c r="O235" s="21" cm="1">
        <f t="array" ref="O235">Common_InputFunctions.Utility_DisplayArrayInTable(Common_SourceData.Common_SourceData_MCFTemperatureZone_Data(),Table_SourceData_Common_MCFTemperatureZone[[#Headers],[Temperature zone]],0)</f>
        <v>1.4999999999999999E-2</v>
      </c>
      <c r="P235" s="21" cm="1">
        <f t="array" ref="P235">Common_InputFunctions.Utility_DisplayArrayInTable(Common_SourceData.Common_SourceData_MCFTemperatureZone_Data(),Table_SourceData_Common_MCFTemperatureZone[[#Headers],[Temperature zone]],0)</f>
        <v>0</v>
      </c>
      <c r="Q235" s="21" cm="1">
        <f t="array" ref="Q235">Common_InputFunctions.Utility_DisplayArrayInTable(Common_SourceData.Common_SourceData_MCFTemperatureZone_Data(),Table_SourceData_Common_MCFTemperatureZone[[#Headers],[Temperature zone]],0)</f>
        <v>0</v>
      </c>
      <c r="R235" s="21" cm="1">
        <f t="array" ref="R235">Common_InputFunctions.Utility_DisplayArrayInTable(Common_SourceData.Common_SourceData_MCFTemperatureZone_Data(),Table_SourceData_Common_MCFTemperatureZone[[#Headers],[Temperature zone]],0)</f>
        <v>4.7000000000000002E-3</v>
      </c>
      <c r="S235" s="21"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21" cm="1">
        <f t="array" ref="E236">Common_InputFunctions.Utility_DisplayArrayInTable(Common_SourceData.Common_SourceData_MCFTemperatureZone_Data(),Table_SourceData_Common_MCFTemperatureZone[[#Headers],[Temperature zone]],0)</f>
        <v>14</v>
      </c>
      <c r="F236" s="21" cm="1">
        <f t="array" ref="F236">Common_InputFunctions.Utility_DisplayArrayInTable(Common_SourceData.Common_SourceData_MCFTemperatureZone_Data(),Table_SourceData_Common_MCFTemperatureZone[[#Headers],[Temperature zone]],0)</f>
        <v>0.73</v>
      </c>
      <c r="G236" s="21" cm="1">
        <f t="array" ref="G236">Common_InputFunctions.Utility_DisplayArrayInTable(Common_SourceData.Common_SourceData_MCFTemperatureZone_Data(),Table_SourceData_Common_MCFTemperatureZone[[#Headers],[Temperature zone]],0)</f>
        <v>0.1</v>
      </c>
      <c r="H236" s="21" cm="1">
        <f t="array" ref="H236">Common_InputFunctions.Utility_DisplayArrayInTable(Common_SourceData.Common_SourceData_MCFTemperatureZone_Data(),Table_SourceData_Common_MCFTemperatureZone[[#Headers],[Temperature zone]],0)</f>
        <v>0.15</v>
      </c>
      <c r="I236" s="21" cm="1">
        <f t="array" ref="I236">Common_InputFunctions.Utility_DisplayArrayInTable(Common_SourceData.Common_SourceData_MCFTemperatureZone_Data(),Table_SourceData_Common_MCFTemperatureZone[[#Headers],[Temperature zone]],0)</f>
        <v>1E-3</v>
      </c>
      <c r="J236" s="21" cm="1">
        <f t="array" ref="J236">Common_InputFunctions.Utility_DisplayArrayInTable(Common_SourceData.Common_SourceData_MCFTemperatureZone_Data(),Table_SourceData_Common_MCFTemperatureZone[[#Headers],[Temperature zone]],0)</f>
        <v>5.0000000000000001E-3</v>
      </c>
      <c r="K236" s="21" cm="1">
        <f t="array" ref="K236">Common_InputFunctions.Utility_DisplayArrayInTable(Common_SourceData.Common_SourceData_MCFTemperatureZone_Data(),Table_SourceData_Common_MCFTemperatureZone[[#Headers],[Temperature zone]],0)</f>
        <v>0.02</v>
      </c>
      <c r="L236" s="21" cm="1">
        <f t="array" ref="L236">Common_InputFunctions.Utility_DisplayArrayInTable(Common_SourceData.Common_SourceData_MCFTemperatureZone_Data(),Table_SourceData_Common_MCFTemperatureZone[[#Headers],[Temperature zone]],0)</f>
        <v>0.03</v>
      </c>
      <c r="M236" s="21" cm="1">
        <f t="array" ref="M236">Common_InputFunctions.Utility_DisplayArrayInTable(Common_SourceData.Common_SourceData_MCFTemperatureZone_Data(),Table_SourceData_Common_MCFTemperatureZone[[#Headers],[Temperature zone]],0)</f>
        <v>0.04</v>
      </c>
      <c r="N236" s="21" cm="1">
        <f t="array" ref="N236">Common_InputFunctions.Utility_DisplayArrayInTable(Common_SourceData.Common_SourceData_MCFTemperatureZone_Data(),Table_SourceData_Common_MCFTemperatureZone[[#Headers],[Temperature zone]],0)</f>
        <v>1.4999999999999999E-2</v>
      </c>
      <c r="O236" s="21" cm="1">
        <f t="array" ref="O236">Common_InputFunctions.Utility_DisplayArrayInTable(Common_SourceData.Common_SourceData_MCFTemperatureZone_Data(),Table_SourceData_Common_MCFTemperatureZone[[#Headers],[Temperature zone]],0)</f>
        <v>1.4999999999999999E-2</v>
      </c>
      <c r="P236" s="21" cm="1">
        <f t="array" ref="P236">Common_InputFunctions.Utility_DisplayArrayInTable(Common_SourceData.Common_SourceData_MCFTemperatureZone_Data(),Table_SourceData_Common_MCFTemperatureZone[[#Headers],[Temperature zone]],0)</f>
        <v>0</v>
      </c>
      <c r="Q236" s="21" cm="1">
        <f t="array" ref="Q236">Common_InputFunctions.Utility_DisplayArrayInTable(Common_SourceData.Common_SourceData_MCFTemperatureZone_Data(),Table_SourceData_Common_MCFTemperatureZone[[#Headers],[Temperature zone]],0)</f>
        <v>0</v>
      </c>
      <c r="R236" s="21" cm="1">
        <f t="array" ref="R236">Common_InputFunctions.Utility_DisplayArrayInTable(Common_SourceData.Common_SourceData_MCFTemperatureZone_Data(),Table_SourceData_Common_MCFTemperatureZone[[#Headers],[Temperature zone]],0)</f>
        <v>4.7000000000000002E-3</v>
      </c>
      <c r="S236" s="21"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21" cm="1">
        <f t="array" ref="E237">Common_InputFunctions.Utility_DisplayArrayInTable(Common_SourceData.Common_SourceData_MCFTemperatureZone_Data(),Table_SourceData_Common_MCFTemperatureZone[[#Headers],[Temperature zone]],0)</f>
        <v>15</v>
      </c>
      <c r="F237" s="21" cm="1">
        <f t="array" ref="F237">Common_InputFunctions.Utility_DisplayArrayInTable(Common_SourceData.Common_SourceData_MCFTemperatureZone_Data(),Table_SourceData_Common_MCFTemperatureZone[[#Headers],[Temperature zone]],0)</f>
        <v>0.74</v>
      </c>
      <c r="G237" s="21" cm="1">
        <f t="array" ref="G237">Common_InputFunctions.Utility_DisplayArrayInTable(Common_SourceData.Common_SourceData_MCFTemperatureZone_Data(),Table_SourceData_Common_MCFTemperatureZone[[#Headers],[Temperature zone]],0)</f>
        <v>0.1</v>
      </c>
      <c r="H237" s="21" cm="1">
        <f t="array" ref="H237">Common_InputFunctions.Utility_DisplayArrayInTable(Common_SourceData.Common_SourceData_MCFTemperatureZone_Data(),Table_SourceData_Common_MCFTemperatureZone[[#Headers],[Temperature zone]],0)</f>
        <v>0.17</v>
      </c>
      <c r="I237" s="21" cm="1">
        <f t="array" ref="I237">Common_InputFunctions.Utility_DisplayArrayInTable(Common_SourceData.Common_SourceData_MCFTemperatureZone_Data(),Table_SourceData_Common_MCFTemperatureZone[[#Headers],[Temperature zone]],0)</f>
        <v>5.0000000000000001E-3</v>
      </c>
      <c r="J237" s="21" cm="1">
        <f t="array" ref="J237">Common_InputFunctions.Utility_DisplayArrayInTable(Common_SourceData.Common_SourceData_MCFTemperatureZone_Data(),Table_SourceData_Common_MCFTemperatureZone[[#Headers],[Temperature zone]],0)</f>
        <v>0.01</v>
      </c>
      <c r="K237" s="21" cm="1">
        <f t="array" ref="K237">Common_InputFunctions.Utility_DisplayArrayInTable(Common_SourceData.Common_SourceData_MCFTemperatureZone_Data(),Table_SourceData_Common_MCFTemperatureZone[[#Headers],[Temperature zone]],0)</f>
        <v>0.02</v>
      </c>
      <c r="L237" s="21" cm="1">
        <f t="array" ref="L237">Common_InputFunctions.Utility_DisplayArrayInTable(Common_SourceData.Common_SourceData_MCFTemperatureZone_Data(),Table_SourceData_Common_MCFTemperatureZone[[#Headers],[Temperature zone]],0)</f>
        <v>0.03</v>
      </c>
      <c r="M237" s="21" cm="1">
        <f t="array" ref="M237">Common_InputFunctions.Utility_DisplayArrayInTable(Common_SourceData.Common_SourceData_MCFTemperatureZone_Data(),Table_SourceData_Common_MCFTemperatureZone[[#Headers],[Temperature zone]],0)</f>
        <v>0.04</v>
      </c>
      <c r="N237" s="21" cm="1">
        <f t="array" ref="N237">Common_InputFunctions.Utility_DisplayArrayInTable(Common_SourceData.Common_SourceData_MCFTemperatureZone_Data(),Table_SourceData_Common_MCFTemperatureZone[[#Headers],[Temperature zone]],0)</f>
        <v>1.4999999999999999E-2</v>
      </c>
      <c r="O237" s="21" cm="1">
        <f t="array" ref="O237">Common_InputFunctions.Utility_DisplayArrayInTable(Common_SourceData.Common_SourceData_MCFTemperatureZone_Data(),Table_SourceData_Common_MCFTemperatureZone[[#Headers],[Temperature zone]],0)</f>
        <v>1.4999999999999999E-2</v>
      </c>
      <c r="P237" s="21" cm="1">
        <f t="array" ref="P237">Common_InputFunctions.Utility_DisplayArrayInTable(Common_SourceData.Common_SourceData_MCFTemperatureZone_Data(),Table_SourceData_Common_MCFTemperatureZone[[#Headers],[Temperature zone]],0)</f>
        <v>0</v>
      </c>
      <c r="Q237" s="21" cm="1">
        <f t="array" ref="Q237">Common_InputFunctions.Utility_DisplayArrayInTable(Common_SourceData.Common_SourceData_MCFTemperatureZone_Data(),Table_SourceData_Common_MCFTemperatureZone[[#Headers],[Temperature zone]],0)</f>
        <v>0</v>
      </c>
      <c r="R237" s="21" cm="1">
        <f t="array" ref="R237">Common_InputFunctions.Utility_DisplayArrayInTable(Common_SourceData.Common_SourceData_MCFTemperatureZone_Data(),Table_SourceData_Common_MCFTemperatureZone[[#Headers],[Temperature zone]],0)</f>
        <v>4.7000000000000002E-3</v>
      </c>
      <c r="S237" s="21"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21" cm="1">
        <f t="array" ref="E238">Common_InputFunctions.Utility_DisplayArrayInTable(Common_SourceData.Common_SourceData_MCFTemperatureZone_Data(),Table_SourceData_Common_MCFTemperatureZone[[#Headers],[Temperature zone]],0)</f>
        <v>16</v>
      </c>
      <c r="F238" s="21" cm="1">
        <f t="array" ref="F238">Common_InputFunctions.Utility_DisplayArrayInTable(Common_SourceData.Common_SourceData_MCFTemperatureZone_Data(),Table_SourceData_Common_MCFTemperatureZone[[#Headers],[Temperature zone]],0)</f>
        <v>0.75</v>
      </c>
      <c r="G238" s="21" cm="1">
        <f t="array" ref="G238">Common_InputFunctions.Utility_DisplayArrayInTable(Common_SourceData.Common_SourceData_MCFTemperatureZone_Data(),Table_SourceData_Common_MCFTemperatureZone[[#Headers],[Temperature zone]],0)</f>
        <v>0.1</v>
      </c>
      <c r="H238" s="21" cm="1">
        <f t="array" ref="H238">Common_InputFunctions.Utility_DisplayArrayInTable(Common_SourceData.Common_SourceData_MCFTemperatureZone_Data(),Table_SourceData_Common_MCFTemperatureZone[[#Headers],[Temperature zone]],0)</f>
        <v>0.18</v>
      </c>
      <c r="I238" s="21" cm="1">
        <f t="array" ref="I238">Common_InputFunctions.Utility_DisplayArrayInTable(Common_SourceData.Common_SourceData_MCFTemperatureZone_Data(),Table_SourceData_Common_MCFTemperatureZone[[#Headers],[Temperature zone]],0)</f>
        <v>5.0000000000000001E-3</v>
      </c>
      <c r="J238" s="21" cm="1">
        <f t="array" ref="J238">Common_InputFunctions.Utility_DisplayArrayInTable(Common_SourceData.Common_SourceData_MCFTemperatureZone_Data(),Table_SourceData_Common_MCFTemperatureZone[[#Headers],[Temperature zone]],0)</f>
        <v>0.01</v>
      </c>
      <c r="K238" s="21" cm="1">
        <f t="array" ref="K238">Common_InputFunctions.Utility_DisplayArrayInTable(Common_SourceData.Common_SourceData_MCFTemperatureZone_Data(),Table_SourceData_Common_MCFTemperatureZone[[#Headers],[Temperature zone]],0)</f>
        <v>0.02</v>
      </c>
      <c r="L238" s="21" cm="1">
        <f t="array" ref="L238">Common_InputFunctions.Utility_DisplayArrayInTable(Common_SourceData.Common_SourceData_MCFTemperatureZone_Data(),Table_SourceData_Common_MCFTemperatureZone[[#Headers],[Temperature zone]],0)</f>
        <v>0.03</v>
      </c>
      <c r="M238" s="21" cm="1">
        <f t="array" ref="M238">Common_InputFunctions.Utility_DisplayArrayInTable(Common_SourceData.Common_SourceData_MCFTemperatureZone_Data(),Table_SourceData_Common_MCFTemperatureZone[[#Headers],[Temperature zone]],0)</f>
        <v>0.04</v>
      </c>
      <c r="N238" s="21" cm="1">
        <f t="array" ref="N238">Common_InputFunctions.Utility_DisplayArrayInTable(Common_SourceData.Common_SourceData_MCFTemperatureZone_Data(),Table_SourceData_Common_MCFTemperatureZone[[#Headers],[Temperature zone]],0)</f>
        <v>1.4999999999999999E-2</v>
      </c>
      <c r="O238" s="21" cm="1">
        <f t="array" ref="O238">Common_InputFunctions.Utility_DisplayArrayInTable(Common_SourceData.Common_SourceData_MCFTemperatureZone_Data(),Table_SourceData_Common_MCFTemperatureZone[[#Headers],[Temperature zone]],0)</f>
        <v>1.4999999999999999E-2</v>
      </c>
      <c r="P238" s="21" cm="1">
        <f t="array" ref="P238">Common_InputFunctions.Utility_DisplayArrayInTable(Common_SourceData.Common_SourceData_MCFTemperatureZone_Data(),Table_SourceData_Common_MCFTemperatureZone[[#Headers],[Temperature zone]],0)</f>
        <v>0</v>
      </c>
      <c r="Q238" s="21" cm="1">
        <f t="array" ref="Q238">Common_InputFunctions.Utility_DisplayArrayInTable(Common_SourceData.Common_SourceData_MCFTemperatureZone_Data(),Table_SourceData_Common_MCFTemperatureZone[[#Headers],[Temperature zone]],0)</f>
        <v>0</v>
      </c>
      <c r="R238" s="21" cm="1">
        <f t="array" ref="R238">Common_InputFunctions.Utility_DisplayArrayInTable(Common_SourceData.Common_SourceData_MCFTemperatureZone_Data(),Table_SourceData_Common_MCFTemperatureZone[[#Headers],[Temperature zone]],0)</f>
        <v>4.7000000000000002E-3</v>
      </c>
      <c r="S238" s="21"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21" cm="1">
        <f t="array" ref="E239">Common_InputFunctions.Utility_DisplayArrayInTable(Common_SourceData.Common_SourceData_MCFTemperatureZone_Data(),Table_SourceData_Common_MCFTemperatureZone[[#Headers],[Temperature zone]],0)</f>
        <v>17</v>
      </c>
      <c r="F239" s="21" cm="1">
        <f t="array" ref="F239">Common_InputFunctions.Utility_DisplayArrayInTable(Common_SourceData.Common_SourceData_MCFTemperatureZone_Data(),Table_SourceData_Common_MCFTemperatureZone[[#Headers],[Temperature zone]],0)</f>
        <v>0.76</v>
      </c>
      <c r="G239" s="21" cm="1">
        <f t="array" ref="G239">Common_InputFunctions.Utility_DisplayArrayInTable(Common_SourceData.Common_SourceData_MCFTemperatureZone_Data(),Table_SourceData_Common_MCFTemperatureZone[[#Headers],[Temperature zone]],0)</f>
        <v>0.1</v>
      </c>
      <c r="H239" s="21" cm="1">
        <f t="array" ref="H239">Common_InputFunctions.Utility_DisplayArrayInTable(Common_SourceData.Common_SourceData_MCFTemperatureZone_Data(),Table_SourceData_Common_MCFTemperatureZone[[#Headers],[Temperature zone]],0)</f>
        <v>0.2</v>
      </c>
      <c r="I239" s="21" cm="1">
        <f t="array" ref="I239">Common_InputFunctions.Utility_DisplayArrayInTable(Common_SourceData.Common_SourceData_MCFTemperatureZone_Data(),Table_SourceData_Common_MCFTemperatureZone[[#Headers],[Temperature zone]],0)</f>
        <v>5.0000000000000001E-3</v>
      </c>
      <c r="J239" s="21" cm="1">
        <f t="array" ref="J239">Common_InputFunctions.Utility_DisplayArrayInTable(Common_SourceData.Common_SourceData_MCFTemperatureZone_Data(),Table_SourceData_Common_MCFTemperatureZone[[#Headers],[Temperature zone]],0)</f>
        <v>0.01</v>
      </c>
      <c r="K239" s="21" cm="1">
        <f t="array" ref="K239">Common_InputFunctions.Utility_DisplayArrayInTable(Common_SourceData.Common_SourceData_MCFTemperatureZone_Data(),Table_SourceData_Common_MCFTemperatureZone[[#Headers],[Temperature zone]],0)</f>
        <v>0.02</v>
      </c>
      <c r="L239" s="21" cm="1">
        <f t="array" ref="L239">Common_InputFunctions.Utility_DisplayArrayInTable(Common_SourceData.Common_SourceData_MCFTemperatureZone_Data(),Table_SourceData_Common_MCFTemperatureZone[[#Headers],[Temperature zone]],0)</f>
        <v>0.03</v>
      </c>
      <c r="M239" s="21" cm="1">
        <f t="array" ref="M239">Common_InputFunctions.Utility_DisplayArrayInTable(Common_SourceData.Common_SourceData_MCFTemperatureZone_Data(),Table_SourceData_Common_MCFTemperatureZone[[#Headers],[Temperature zone]],0)</f>
        <v>0.04</v>
      </c>
      <c r="N239" s="21" cm="1">
        <f t="array" ref="N239">Common_InputFunctions.Utility_DisplayArrayInTable(Common_SourceData.Common_SourceData_MCFTemperatureZone_Data(),Table_SourceData_Common_MCFTemperatureZone[[#Headers],[Temperature zone]],0)</f>
        <v>1.4999999999999999E-2</v>
      </c>
      <c r="O239" s="21" cm="1">
        <f t="array" ref="O239">Common_InputFunctions.Utility_DisplayArrayInTable(Common_SourceData.Common_SourceData_MCFTemperatureZone_Data(),Table_SourceData_Common_MCFTemperatureZone[[#Headers],[Temperature zone]],0)</f>
        <v>1.4999999999999999E-2</v>
      </c>
      <c r="P239" s="21" cm="1">
        <f t="array" ref="P239">Common_InputFunctions.Utility_DisplayArrayInTable(Common_SourceData.Common_SourceData_MCFTemperatureZone_Data(),Table_SourceData_Common_MCFTemperatureZone[[#Headers],[Temperature zone]],0)</f>
        <v>0</v>
      </c>
      <c r="Q239" s="21" cm="1">
        <f t="array" ref="Q239">Common_InputFunctions.Utility_DisplayArrayInTable(Common_SourceData.Common_SourceData_MCFTemperatureZone_Data(),Table_SourceData_Common_MCFTemperatureZone[[#Headers],[Temperature zone]],0)</f>
        <v>0</v>
      </c>
      <c r="R239" s="21" cm="1">
        <f t="array" ref="R239">Common_InputFunctions.Utility_DisplayArrayInTable(Common_SourceData.Common_SourceData_MCFTemperatureZone_Data(),Table_SourceData_Common_MCFTemperatureZone[[#Headers],[Temperature zone]],0)</f>
        <v>4.7000000000000002E-3</v>
      </c>
      <c r="S239" s="21"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21" cm="1">
        <f t="array" ref="E240">Common_InputFunctions.Utility_DisplayArrayInTable(Common_SourceData.Common_SourceData_MCFTemperatureZone_Data(),Table_SourceData_Common_MCFTemperatureZone[[#Headers],[Temperature zone]],0)</f>
        <v>18</v>
      </c>
      <c r="F240" s="21" cm="1">
        <f t="array" ref="F240">Common_InputFunctions.Utility_DisplayArrayInTable(Common_SourceData.Common_SourceData_MCFTemperatureZone_Data(),Table_SourceData_Common_MCFTemperatureZone[[#Headers],[Temperature zone]],0)</f>
        <v>0.77</v>
      </c>
      <c r="G240" s="21" cm="1">
        <f t="array" ref="G240">Common_InputFunctions.Utility_DisplayArrayInTable(Common_SourceData.Common_SourceData_MCFTemperatureZone_Data(),Table_SourceData_Common_MCFTemperatureZone[[#Headers],[Temperature zone]],0)</f>
        <v>0.1</v>
      </c>
      <c r="H240" s="21" cm="1">
        <f t="array" ref="H240">Common_InputFunctions.Utility_DisplayArrayInTable(Common_SourceData.Common_SourceData_MCFTemperatureZone_Data(),Table_SourceData_Common_MCFTemperatureZone[[#Headers],[Temperature zone]],0)</f>
        <v>0.22</v>
      </c>
      <c r="I240" s="21" cm="1">
        <f t="array" ref="I240">Common_InputFunctions.Utility_DisplayArrayInTable(Common_SourceData.Common_SourceData_MCFTemperatureZone_Data(),Table_SourceData_Common_MCFTemperatureZone[[#Headers],[Temperature zone]],0)</f>
        <v>5.0000000000000001E-3</v>
      </c>
      <c r="J240" s="21" cm="1">
        <f t="array" ref="J240">Common_InputFunctions.Utility_DisplayArrayInTable(Common_SourceData.Common_SourceData_MCFTemperatureZone_Data(),Table_SourceData_Common_MCFTemperatureZone[[#Headers],[Temperature zone]],0)</f>
        <v>0.01</v>
      </c>
      <c r="K240" s="21" cm="1">
        <f t="array" ref="K240">Common_InputFunctions.Utility_DisplayArrayInTable(Common_SourceData.Common_SourceData_MCFTemperatureZone_Data(),Table_SourceData_Common_MCFTemperatureZone[[#Headers],[Temperature zone]],0)</f>
        <v>0.02</v>
      </c>
      <c r="L240" s="21" cm="1">
        <f t="array" ref="L240">Common_InputFunctions.Utility_DisplayArrayInTable(Common_SourceData.Common_SourceData_MCFTemperatureZone_Data(),Table_SourceData_Common_MCFTemperatureZone[[#Headers],[Temperature zone]],0)</f>
        <v>0.03</v>
      </c>
      <c r="M240" s="21" cm="1">
        <f t="array" ref="M240">Common_InputFunctions.Utility_DisplayArrayInTable(Common_SourceData.Common_SourceData_MCFTemperatureZone_Data(),Table_SourceData_Common_MCFTemperatureZone[[#Headers],[Temperature zone]],0)</f>
        <v>0.04</v>
      </c>
      <c r="N240" s="21" cm="1">
        <f t="array" ref="N240">Common_InputFunctions.Utility_DisplayArrayInTable(Common_SourceData.Common_SourceData_MCFTemperatureZone_Data(),Table_SourceData_Common_MCFTemperatureZone[[#Headers],[Temperature zone]],0)</f>
        <v>1.4999999999999999E-2</v>
      </c>
      <c r="O240" s="21" cm="1">
        <f t="array" ref="O240">Common_InputFunctions.Utility_DisplayArrayInTable(Common_SourceData.Common_SourceData_MCFTemperatureZone_Data(),Table_SourceData_Common_MCFTemperatureZone[[#Headers],[Temperature zone]],0)</f>
        <v>1.4999999999999999E-2</v>
      </c>
      <c r="P240" s="21" cm="1">
        <f t="array" ref="P240">Common_InputFunctions.Utility_DisplayArrayInTable(Common_SourceData.Common_SourceData_MCFTemperatureZone_Data(),Table_SourceData_Common_MCFTemperatureZone[[#Headers],[Temperature zone]],0)</f>
        <v>0</v>
      </c>
      <c r="Q240" s="21" cm="1">
        <f t="array" ref="Q240">Common_InputFunctions.Utility_DisplayArrayInTable(Common_SourceData.Common_SourceData_MCFTemperatureZone_Data(),Table_SourceData_Common_MCFTemperatureZone[[#Headers],[Temperature zone]],0)</f>
        <v>0</v>
      </c>
      <c r="R240" s="21" cm="1">
        <f t="array" ref="R240">Common_InputFunctions.Utility_DisplayArrayInTable(Common_SourceData.Common_SourceData_MCFTemperatureZone_Data(),Table_SourceData_Common_MCFTemperatureZone[[#Headers],[Temperature zone]],0)</f>
        <v>4.7000000000000002E-3</v>
      </c>
      <c r="S240" s="21"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21" cm="1">
        <f t="array" ref="E241">Common_InputFunctions.Utility_DisplayArrayInTable(Common_SourceData.Common_SourceData_MCFTemperatureZone_Data(),Table_SourceData_Common_MCFTemperatureZone[[#Headers],[Temperature zone]],0)</f>
        <v>19</v>
      </c>
      <c r="F241" s="21" cm="1">
        <f t="array" ref="F241">Common_InputFunctions.Utility_DisplayArrayInTable(Common_SourceData.Common_SourceData_MCFTemperatureZone_Data(),Table_SourceData_Common_MCFTemperatureZone[[#Headers],[Temperature zone]],0)</f>
        <v>0.77</v>
      </c>
      <c r="G241" s="21" cm="1">
        <f t="array" ref="G241">Common_InputFunctions.Utility_DisplayArrayInTable(Common_SourceData.Common_SourceData_MCFTemperatureZone_Data(),Table_SourceData_Common_MCFTemperatureZone[[#Headers],[Temperature zone]],0)</f>
        <v>0.1</v>
      </c>
      <c r="H241" s="21" cm="1">
        <f t="array" ref="H241">Common_InputFunctions.Utility_DisplayArrayInTable(Common_SourceData.Common_SourceData_MCFTemperatureZone_Data(),Table_SourceData_Common_MCFTemperatureZone[[#Headers],[Temperature zone]],0)</f>
        <v>0.24</v>
      </c>
      <c r="I241" s="21" cm="1">
        <f t="array" ref="I241">Common_InputFunctions.Utility_DisplayArrayInTable(Common_SourceData.Common_SourceData_MCFTemperatureZone_Data(),Table_SourceData_Common_MCFTemperatureZone[[#Headers],[Temperature zone]],0)</f>
        <v>5.0000000000000001E-3</v>
      </c>
      <c r="J241" s="21" cm="1">
        <f t="array" ref="J241">Common_InputFunctions.Utility_DisplayArrayInTable(Common_SourceData.Common_SourceData_MCFTemperatureZone_Data(),Table_SourceData_Common_MCFTemperatureZone[[#Headers],[Temperature zone]],0)</f>
        <v>0.01</v>
      </c>
      <c r="K241" s="21" cm="1">
        <f t="array" ref="K241">Common_InputFunctions.Utility_DisplayArrayInTable(Common_SourceData.Common_SourceData_MCFTemperatureZone_Data(),Table_SourceData_Common_MCFTemperatureZone[[#Headers],[Temperature zone]],0)</f>
        <v>0.02</v>
      </c>
      <c r="L241" s="21" cm="1">
        <f t="array" ref="L241">Common_InputFunctions.Utility_DisplayArrayInTable(Common_SourceData.Common_SourceData_MCFTemperatureZone_Data(),Table_SourceData_Common_MCFTemperatureZone[[#Headers],[Temperature zone]],0)</f>
        <v>0.03</v>
      </c>
      <c r="M241" s="21" cm="1">
        <f t="array" ref="M241">Common_InputFunctions.Utility_DisplayArrayInTable(Common_SourceData.Common_SourceData_MCFTemperatureZone_Data(),Table_SourceData_Common_MCFTemperatureZone[[#Headers],[Temperature zone]],0)</f>
        <v>0.04</v>
      </c>
      <c r="N241" s="21" cm="1">
        <f t="array" ref="N241">Common_InputFunctions.Utility_DisplayArrayInTable(Common_SourceData.Common_SourceData_MCFTemperatureZone_Data(),Table_SourceData_Common_MCFTemperatureZone[[#Headers],[Temperature zone]],0)</f>
        <v>1.4999999999999999E-2</v>
      </c>
      <c r="O241" s="21" cm="1">
        <f t="array" ref="O241">Common_InputFunctions.Utility_DisplayArrayInTable(Common_SourceData.Common_SourceData_MCFTemperatureZone_Data(),Table_SourceData_Common_MCFTemperatureZone[[#Headers],[Temperature zone]],0)</f>
        <v>1.4999999999999999E-2</v>
      </c>
      <c r="P241" s="21" cm="1">
        <f t="array" ref="P241">Common_InputFunctions.Utility_DisplayArrayInTable(Common_SourceData.Common_SourceData_MCFTemperatureZone_Data(),Table_SourceData_Common_MCFTemperatureZone[[#Headers],[Temperature zone]],0)</f>
        <v>0</v>
      </c>
      <c r="Q241" s="21" cm="1">
        <f t="array" ref="Q241">Common_InputFunctions.Utility_DisplayArrayInTable(Common_SourceData.Common_SourceData_MCFTemperatureZone_Data(),Table_SourceData_Common_MCFTemperatureZone[[#Headers],[Temperature zone]],0)</f>
        <v>0</v>
      </c>
      <c r="R241" s="21" cm="1">
        <f t="array" ref="R241">Common_InputFunctions.Utility_DisplayArrayInTable(Common_SourceData.Common_SourceData_MCFTemperatureZone_Data(),Table_SourceData_Common_MCFTemperatureZone[[#Headers],[Temperature zone]],0)</f>
        <v>4.7000000000000002E-3</v>
      </c>
      <c r="S241" s="21"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21" cm="1">
        <f t="array" ref="E242">Common_InputFunctions.Utility_DisplayArrayInTable(Common_SourceData.Common_SourceData_MCFTemperatureZone_Data(),Table_SourceData_Common_MCFTemperatureZone[[#Headers],[Temperature zone]],0)</f>
        <v>20</v>
      </c>
      <c r="F242" s="21" cm="1">
        <f t="array" ref="F242">Common_InputFunctions.Utility_DisplayArrayInTable(Common_SourceData.Common_SourceData_MCFTemperatureZone_Data(),Table_SourceData_Common_MCFTemperatureZone[[#Headers],[Temperature zone]],0)</f>
        <v>0.78</v>
      </c>
      <c r="G242" s="21" cm="1">
        <f t="array" ref="G242">Common_InputFunctions.Utility_DisplayArrayInTable(Common_SourceData.Common_SourceData_MCFTemperatureZone_Data(),Table_SourceData_Common_MCFTemperatureZone[[#Headers],[Temperature zone]],0)</f>
        <v>0.1</v>
      </c>
      <c r="H242" s="21" cm="1">
        <f t="array" ref="H242">Common_InputFunctions.Utility_DisplayArrayInTable(Common_SourceData.Common_SourceData_MCFTemperatureZone_Data(),Table_SourceData_Common_MCFTemperatureZone[[#Headers],[Temperature zone]],0)</f>
        <v>0.26</v>
      </c>
      <c r="I242" s="21" cm="1">
        <f t="array" ref="I242">Common_InputFunctions.Utility_DisplayArrayInTable(Common_SourceData.Common_SourceData_MCFTemperatureZone_Data(),Table_SourceData_Common_MCFTemperatureZone[[#Headers],[Temperature zone]],0)</f>
        <v>5.0000000000000001E-3</v>
      </c>
      <c r="J242" s="21" cm="1">
        <f t="array" ref="J242">Common_InputFunctions.Utility_DisplayArrayInTable(Common_SourceData.Common_SourceData_MCFTemperatureZone_Data(),Table_SourceData_Common_MCFTemperatureZone[[#Headers],[Temperature zone]],0)</f>
        <v>0.01</v>
      </c>
      <c r="K242" s="21" cm="1">
        <f t="array" ref="K242">Common_InputFunctions.Utility_DisplayArrayInTable(Common_SourceData.Common_SourceData_MCFTemperatureZone_Data(),Table_SourceData_Common_MCFTemperatureZone[[#Headers],[Temperature zone]],0)</f>
        <v>0.02</v>
      </c>
      <c r="L242" s="21" cm="1">
        <f t="array" ref="L242">Common_InputFunctions.Utility_DisplayArrayInTable(Common_SourceData.Common_SourceData_MCFTemperatureZone_Data(),Table_SourceData_Common_MCFTemperatureZone[[#Headers],[Temperature zone]],0)</f>
        <v>0.03</v>
      </c>
      <c r="M242" s="21" cm="1">
        <f t="array" ref="M242">Common_InputFunctions.Utility_DisplayArrayInTable(Common_SourceData.Common_SourceData_MCFTemperatureZone_Data(),Table_SourceData_Common_MCFTemperatureZone[[#Headers],[Temperature zone]],0)</f>
        <v>0.04</v>
      </c>
      <c r="N242" s="21" cm="1">
        <f t="array" ref="N242">Common_InputFunctions.Utility_DisplayArrayInTable(Common_SourceData.Common_SourceData_MCFTemperatureZone_Data(),Table_SourceData_Common_MCFTemperatureZone[[#Headers],[Temperature zone]],0)</f>
        <v>1.4999999999999999E-2</v>
      </c>
      <c r="O242" s="21" cm="1">
        <f t="array" ref="O242">Common_InputFunctions.Utility_DisplayArrayInTable(Common_SourceData.Common_SourceData_MCFTemperatureZone_Data(),Table_SourceData_Common_MCFTemperatureZone[[#Headers],[Temperature zone]],0)</f>
        <v>1.4999999999999999E-2</v>
      </c>
      <c r="P242" s="21" cm="1">
        <f t="array" ref="P242">Common_InputFunctions.Utility_DisplayArrayInTable(Common_SourceData.Common_SourceData_MCFTemperatureZone_Data(),Table_SourceData_Common_MCFTemperatureZone[[#Headers],[Temperature zone]],0)</f>
        <v>0</v>
      </c>
      <c r="Q242" s="21" cm="1">
        <f t="array" ref="Q242">Common_InputFunctions.Utility_DisplayArrayInTable(Common_SourceData.Common_SourceData_MCFTemperatureZone_Data(),Table_SourceData_Common_MCFTemperatureZone[[#Headers],[Temperature zone]],0)</f>
        <v>0</v>
      </c>
      <c r="R242" s="21" cm="1">
        <f t="array" ref="R242">Common_InputFunctions.Utility_DisplayArrayInTable(Common_SourceData.Common_SourceData_MCFTemperatureZone_Data(),Table_SourceData_Common_MCFTemperatureZone[[#Headers],[Temperature zone]],0)</f>
        <v>4.7000000000000002E-3</v>
      </c>
      <c r="S242" s="21"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21" cm="1">
        <f t="array" ref="E243">Common_InputFunctions.Utility_DisplayArrayInTable(Common_SourceData.Common_SourceData_MCFTemperatureZone_Data(),Table_SourceData_Common_MCFTemperatureZone[[#Headers],[Temperature zone]],0)</f>
        <v>21</v>
      </c>
      <c r="F243" s="21" cm="1">
        <f t="array" ref="F243">Common_InputFunctions.Utility_DisplayArrayInTable(Common_SourceData.Common_SourceData_MCFTemperatureZone_Data(),Table_SourceData_Common_MCFTemperatureZone[[#Headers],[Temperature zone]],0)</f>
        <v>0.78</v>
      </c>
      <c r="G243" s="21" cm="1">
        <f t="array" ref="G243">Common_InputFunctions.Utility_DisplayArrayInTable(Common_SourceData.Common_SourceData_MCFTemperatureZone_Data(),Table_SourceData_Common_MCFTemperatureZone[[#Headers],[Temperature zone]],0)</f>
        <v>0.1</v>
      </c>
      <c r="H243" s="21" cm="1">
        <f t="array" ref="H243">Common_InputFunctions.Utility_DisplayArrayInTable(Common_SourceData.Common_SourceData_MCFTemperatureZone_Data(),Table_SourceData_Common_MCFTemperatureZone[[#Headers],[Temperature zone]],0)</f>
        <v>0.28999999999999998</v>
      </c>
      <c r="I243" s="21" cm="1">
        <f t="array" ref="I243">Common_InputFunctions.Utility_DisplayArrayInTable(Common_SourceData.Common_SourceData_MCFTemperatureZone_Data(),Table_SourceData_Common_MCFTemperatureZone[[#Headers],[Temperature zone]],0)</f>
        <v>5.0000000000000001E-3</v>
      </c>
      <c r="J243" s="21" cm="1">
        <f t="array" ref="J243">Common_InputFunctions.Utility_DisplayArrayInTable(Common_SourceData.Common_SourceData_MCFTemperatureZone_Data(),Table_SourceData_Common_MCFTemperatureZone[[#Headers],[Temperature zone]],0)</f>
        <v>0.01</v>
      </c>
      <c r="K243" s="21" cm="1">
        <f t="array" ref="K243">Common_InputFunctions.Utility_DisplayArrayInTable(Common_SourceData.Common_SourceData_MCFTemperatureZone_Data(),Table_SourceData_Common_MCFTemperatureZone[[#Headers],[Temperature zone]],0)</f>
        <v>0.02</v>
      </c>
      <c r="L243" s="21" cm="1">
        <f t="array" ref="L243">Common_InputFunctions.Utility_DisplayArrayInTable(Common_SourceData.Common_SourceData_MCFTemperatureZone_Data(),Table_SourceData_Common_MCFTemperatureZone[[#Headers],[Temperature zone]],0)</f>
        <v>0.03</v>
      </c>
      <c r="M243" s="21" cm="1">
        <f t="array" ref="M243">Common_InputFunctions.Utility_DisplayArrayInTable(Common_SourceData.Common_SourceData_MCFTemperatureZone_Data(),Table_SourceData_Common_MCFTemperatureZone[[#Headers],[Temperature zone]],0)</f>
        <v>0.04</v>
      </c>
      <c r="N243" s="21" cm="1">
        <f t="array" ref="N243">Common_InputFunctions.Utility_DisplayArrayInTable(Common_SourceData.Common_SourceData_MCFTemperatureZone_Data(),Table_SourceData_Common_MCFTemperatureZone[[#Headers],[Temperature zone]],0)</f>
        <v>1.4999999999999999E-2</v>
      </c>
      <c r="O243" s="21" cm="1">
        <f t="array" ref="O243">Common_InputFunctions.Utility_DisplayArrayInTable(Common_SourceData.Common_SourceData_MCFTemperatureZone_Data(),Table_SourceData_Common_MCFTemperatureZone[[#Headers],[Temperature zone]],0)</f>
        <v>1.4999999999999999E-2</v>
      </c>
      <c r="P243" s="21" cm="1">
        <f t="array" ref="P243">Common_InputFunctions.Utility_DisplayArrayInTable(Common_SourceData.Common_SourceData_MCFTemperatureZone_Data(),Table_SourceData_Common_MCFTemperatureZone[[#Headers],[Temperature zone]],0)</f>
        <v>0</v>
      </c>
      <c r="Q243" s="21" cm="1">
        <f t="array" ref="Q243">Common_InputFunctions.Utility_DisplayArrayInTable(Common_SourceData.Common_SourceData_MCFTemperatureZone_Data(),Table_SourceData_Common_MCFTemperatureZone[[#Headers],[Temperature zone]],0)</f>
        <v>0</v>
      </c>
      <c r="R243" s="21" cm="1">
        <f t="array" ref="R243">Common_InputFunctions.Utility_DisplayArrayInTable(Common_SourceData.Common_SourceData_MCFTemperatureZone_Data(),Table_SourceData_Common_MCFTemperatureZone[[#Headers],[Temperature zone]],0)</f>
        <v>4.7000000000000002E-3</v>
      </c>
      <c r="S243" s="21"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21" cm="1">
        <f t="array" ref="E244">Common_InputFunctions.Utility_DisplayArrayInTable(Common_SourceData.Common_SourceData_MCFTemperatureZone_Data(),Table_SourceData_Common_MCFTemperatureZone[[#Headers],[Temperature zone]],0)</f>
        <v>22</v>
      </c>
      <c r="F244" s="21" cm="1">
        <f t="array" ref="F244">Common_InputFunctions.Utility_DisplayArrayInTable(Common_SourceData.Common_SourceData_MCFTemperatureZone_Data(),Table_SourceData_Common_MCFTemperatureZone[[#Headers],[Temperature zone]],0)</f>
        <v>0.78</v>
      </c>
      <c r="G244" s="21" cm="1">
        <f t="array" ref="G244">Common_InputFunctions.Utility_DisplayArrayInTable(Common_SourceData.Common_SourceData_MCFTemperatureZone_Data(),Table_SourceData_Common_MCFTemperatureZone[[#Headers],[Temperature zone]],0)</f>
        <v>0.1</v>
      </c>
      <c r="H244" s="21" cm="1">
        <f t="array" ref="H244">Common_InputFunctions.Utility_DisplayArrayInTable(Common_SourceData.Common_SourceData_MCFTemperatureZone_Data(),Table_SourceData_Common_MCFTemperatureZone[[#Headers],[Temperature zone]],0)</f>
        <v>0.31</v>
      </c>
      <c r="I244" s="21" cm="1">
        <f t="array" ref="I244">Common_InputFunctions.Utility_DisplayArrayInTable(Common_SourceData.Common_SourceData_MCFTemperatureZone_Data(),Table_SourceData_Common_MCFTemperatureZone[[#Headers],[Temperature zone]],0)</f>
        <v>5.0000000000000001E-3</v>
      </c>
      <c r="J244" s="21" cm="1">
        <f t="array" ref="J244">Common_InputFunctions.Utility_DisplayArrayInTable(Common_SourceData.Common_SourceData_MCFTemperatureZone_Data(),Table_SourceData_Common_MCFTemperatureZone[[#Headers],[Temperature zone]],0)</f>
        <v>0.01</v>
      </c>
      <c r="K244" s="21" cm="1">
        <f t="array" ref="K244">Common_InputFunctions.Utility_DisplayArrayInTable(Common_SourceData.Common_SourceData_MCFTemperatureZone_Data(),Table_SourceData_Common_MCFTemperatureZone[[#Headers],[Temperature zone]],0)</f>
        <v>0.02</v>
      </c>
      <c r="L244" s="21" cm="1">
        <f t="array" ref="L244">Common_InputFunctions.Utility_DisplayArrayInTable(Common_SourceData.Common_SourceData_MCFTemperatureZone_Data(),Table_SourceData_Common_MCFTemperatureZone[[#Headers],[Temperature zone]],0)</f>
        <v>0.03</v>
      </c>
      <c r="M244" s="21" cm="1">
        <f t="array" ref="M244">Common_InputFunctions.Utility_DisplayArrayInTable(Common_SourceData.Common_SourceData_MCFTemperatureZone_Data(),Table_SourceData_Common_MCFTemperatureZone[[#Headers],[Temperature zone]],0)</f>
        <v>0.04</v>
      </c>
      <c r="N244" s="21" cm="1">
        <f t="array" ref="N244">Common_InputFunctions.Utility_DisplayArrayInTable(Common_SourceData.Common_SourceData_MCFTemperatureZone_Data(),Table_SourceData_Common_MCFTemperatureZone[[#Headers],[Temperature zone]],0)</f>
        <v>1.4999999999999999E-2</v>
      </c>
      <c r="O244" s="21" cm="1">
        <f t="array" ref="O244">Common_InputFunctions.Utility_DisplayArrayInTable(Common_SourceData.Common_SourceData_MCFTemperatureZone_Data(),Table_SourceData_Common_MCFTemperatureZone[[#Headers],[Temperature zone]],0)</f>
        <v>1.4999999999999999E-2</v>
      </c>
      <c r="P244" s="21" cm="1">
        <f t="array" ref="P244">Common_InputFunctions.Utility_DisplayArrayInTable(Common_SourceData.Common_SourceData_MCFTemperatureZone_Data(),Table_SourceData_Common_MCFTemperatureZone[[#Headers],[Temperature zone]],0)</f>
        <v>0</v>
      </c>
      <c r="Q244" s="21" cm="1">
        <f t="array" ref="Q244">Common_InputFunctions.Utility_DisplayArrayInTable(Common_SourceData.Common_SourceData_MCFTemperatureZone_Data(),Table_SourceData_Common_MCFTemperatureZone[[#Headers],[Temperature zone]],0)</f>
        <v>0</v>
      </c>
      <c r="R244" s="21" cm="1">
        <f t="array" ref="R244">Common_InputFunctions.Utility_DisplayArrayInTable(Common_SourceData.Common_SourceData_MCFTemperatureZone_Data(),Table_SourceData_Common_MCFTemperatureZone[[#Headers],[Temperature zone]],0)</f>
        <v>4.7000000000000002E-3</v>
      </c>
      <c r="S244" s="21"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21" cm="1">
        <f t="array" ref="E245">Common_InputFunctions.Utility_DisplayArrayInTable(Common_SourceData.Common_SourceData_MCFTemperatureZone_Data(),Table_SourceData_Common_MCFTemperatureZone[[#Headers],[Temperature zone]],0)</f>
        <v>23</v>
      </c>
      <c r="F245" s="21" cm="1">
        <f t="array" ref="F245">Common_InputFunctions.Utility_DisplayArrayInTable(Common_SourceData.Common_SourceData_MCFTemperatureZone_Data(),Table_SourceData_Common_MCFTemperatureZone[[#Headers],[Temperature zone]],0)</f>
        <v>0.79</v>
      </c>
      <c r="G245" s="21" cm="1">
        <f t="array" ref="G245">Common_InputFunctions.Utility_DisplayArrayInTable(Common_SourceData.Common_SourceData_MCFTemperatureZone_Data(),Table_SourceData_Common_MCFTemperatureZone[[#Headers],[Temperature zone]],0)</f>
        <v>0.1</v>
      </c>
      <c r="H245" s="21" cm="1">
        <f t="array" ref="H245">Common_InputFunctions.Utility_DisplayArrayInTable(Common_SourceData.Common_SourceData_MCFTemperatureZone_Data(),Table_SourceData_Common_MCFTemperatureZone[[#Headers],[Temperature zone]],0)</f>
        <v>0.34</v>
      </c>
      <c r="I245" s="21" cm="1">
        <f t="array" ref="I245">Common_InputFunctions.Utility_DisplayArrayInTable(Common_SourceData.Common_SourceData_MCFTemperatureZone_Data(),Table_SourceData_Common_MCFTemperatureZone[[#Headers],[Temperature zone]],0)</f>
        <v>5.0000000000000001E-3</v>
      </c>
      <c r="J245" s="21" cm="1">
        <f t="array" ref="J245">Common_InputFunctions.Utility_DisplayArrayInTable(Common_SourceData.Common_SourceData_MCFTemperatureZone_Data(),Table_SourceData_Common_MCFTemperatureZone[[#Headers],[Temperature zone]],0)</f>
        <v>0.01</v>
      </c>
      <c r="K245" s="21" cm="1">
        <f t="array" ref="K245">Common_InputFunctions.Utility_DisplayArrayInTable(Common_SourceData.Common_SourceData_MCFTemperatureZone_Data(),Table_SourceData_Common_MCFTemperatureZone[[#Headers],[Temperature zone]],0)</f>
        <v>0.02</v>
      </c>
      <c r="L245" s="21" cm="1">
        <f t="array" ref="L245">Common_InputFunctions.Utility_DisplayArrayInTable(Common_SourceData.Common_SourceData_MCFTemperatureZone_Data(),Table_SourceData_Common_MCFTemperatureZone[[#Headers],[Temperature zone]],0)</f>
        <v>0.03</v>
      </c>
      <c r="M245" s="21" cm="1">
        <f t="array" ref="M245">Common_InputFunctions.Utility_DisplayArrayInTable(Common_SourceData.Common_SourceData_MCFTemperatureZone_Data(),Table_SourceData_Common_MCFTemperatureZone[[#Headers],[Temperature zone]],0)</f>
        <v>0.04</v>
      </c>
      <c r="N245" s="21" cm="1">
        <f t="array" ref="N245">Common_InputFunctions.Utility_DisplayArrayInTable(Common_SourceData.Common_SourceData_MCFTemperatureZone_Data(),Table_SourceData_Common_MCFTemperatureZone[[#Headers],[Temperature zone]],0)</f>
        <v>1.4999999999999999E-2</v>
      </c>
      <c r="O245" s="21" cm="1">
        <f t="array" ref="O245">Common_InputFunctions.Utility_DisplayArrayInTable(Common_SourceData.Common_SourceData_MCFTemperatureZone_Data(),Table_SourceData_Common_MCFTemperatureZone[[#Headers],[Temperature zone]],0)</f>
        <v>1.4999999999999999E-2</v>
      </c>
      <c r="P245" s="21" cm="1">
        <f t="array" ref="P245">Common_InputFunctions.Utility_DisplayArrayInTable(Common_SourceData.Common_SourceData_MCFTemperatureZone_Data(),Table_SourceData_Common_MCFTemperatureZone[[#Headers],[Temperature zone]],0)</f>
        <v>0</v>
      </c>
      <c r="Q245" s="21" cm="1">
        <f t="array" ref="Q245">Common_InputFunctions.Utility_DisplayArrayInTable(Common_SourceData.Common_SourceData_MCFTemperatureZone_Data(),Table_SourceData_Common_MCFTemperatureZone[[#Headers],[Temperature zone]],0)</f>
        <v>0</v>
      </c>
      <c r="R245" s="21" cm="1">
        <f t="array" ref="R245">Common_InputFunctions.Utility_DisplayArrayInTable(Common_SourceData.Common_SourceData_MCFTemperatureZone_Data(),Table_SourceData_Common_MCFTemperatureZone[[#Headers],[Temperature zone]],0)</f>
        <v>4.7000000000000002E-3</v>
      </c>
      <c r="S245" s="21"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21" cm="1">
        <f t="array" ref="E246">Common_InputFunctions.Utility_DisplayArrayInTable(Common_SourceData.Common_SourceData_MCFTemperatureZone_Data(),Table_SourceData_Common_MCFTemperatureZone[[#Headers],[Temperature zone]],0)</f>
        <v>24</v>
      </c>
      <c r="F246" s="21" cm="1">
        <f t="array" ref="F246">Common_InputFunctions.Utility_DisplayArrayInTable(Common_SourceData.Common_SourceData_MCFTemperatureZone_Data(),Table_SourceData_Common_MCFTemperatureZone[[#Headers],[Temperature zone]],0)</f>
        <v>0.79</v>
      </c>
      <c r="G246" s="21" cm="1">
        <f t="array" ref="G246">Common_InputFunctions.Utility_DisplayArrayInTable(Common_SourceData.Common_SourceData_MCFTemperatureZone_Data(),Table_SourceData_Common_MCFTemperatureZone[[#Headers],[Temperature zone]],0)</f>
        <v>0.1</v>
      </c>
      <c r="H246" s="21" cm="1">
        <f t="array" ref="H246">Common_InputFunctions.Utility_DisplayArrayInTable(Common_SourceData.Common_SourceData_MCFTemperatureZone_Data(),Table_SourceData_Common_MCFTemperatureZone[[#Headers],[Temperature zone]],0)</f>
        <v>0.37</v>
      </c>
      <c r="I246" s="21" cm="1">
        <f t="array" ref="I246">Common_InputFunctions.Utility_DisplayArrayInTable(Common_SourceData.Common_SourceData_MCFTemperatureZone_Data(),Table_SourceData_Common_MCFTemperatureZone[[#Headers],[Temperature zone]],0)</f>
        <v>5.0000000000000001E-3</v>
      </c>
      <c r="J246" s="21" cm="1">
        <f t="array" ref="J246">Common_InputFunctions.Utility_DisplayArrayInTable(Common_SourceData.Common_SourceData_MCFTemperatureZone_Data(),Table_SourceData_Common_MCFTemperatureZone[[#Headers],[Temperature zone]],0)</f>
        <v>0.01</v>
      </c>
      <c r="K246" s="21" cm="1">
        <f t="array" ref="K246">Common_InputFunctions.Utility_DisplayArrayInTable(Common_SourceData.Common_SourceData_MCFTemperatureZone_Data(),Table_SourceData_Common_MCFTemperatureZone[[#Headers],[Temperature zone]],0)</f>
        <v>0.02</v>
      </c>
      <c r="L246" s="21" cm="1">
        <f t="array" ref="L246">Common_InputFunctions.Utility_DisplayArrayInTable(Common_SourceData.Common_SourceData_MCFTemperatureZone_Data(),Table_SourceData_Common_MCFTemperatureZone[[#Headers],[Temperature zone]],0)</f>
        <v>0.03</v>
      </c>
      <c r="M246" s="21" cm="1">
        <f t="array" ref="M246">Common_InputFunctions.Utility_DisplayArrayInTable(Common_SourceData.Common_SourceData_MCFTemperatureZone_Data(),Table_SourceData_Common_MCFTemperatureZone[[#Headers],[Temperature zone]],0)</f>
        <v>0.04</v>
      </c>
      <c r="N246" s="21" cm="1">
        <f t="array" ref="N246">Common_InputFunctions.Utility_DisplayArrayInTable(Common_SourceData.Common_SourceData_MCFTemperatureZone_Data(),Table_SourceData_Common_MCFTemperatureZone[[#Headers],[Temperature zone]],0)</f>
        <v>1.4999999999999999E-2</v>
      </c>
      <c r="O246" s="21" cm="1">
        <f t="array" ref="O246">Common_InputFunctions.Utility_DisplayArrayInTable(Common_SourceData.Common_SourceData_MCFTemperatureZone_Data(),Table_SourceData_Common_MCFTemperatureZone[[#Headers],[Temperature zone]],0)</f>
        <v>1.4999999999999999E-2</v>
      </c>
      <c r="P246" s="21" cm="1">
        <f t="array" ref="P246">Common_InputFunctions.Utility_DisplayArrayInTable(Common_SourceData.Common_SourceData_MCFTemperatureZone_Data(),Table_SourceData_Common_MCFTemperatureZone[[#Headers],[Temperature zone]],0)</f>
        <v>0</v>
      </c>
      <c r="Q246" s="21" cm="1">
        <f t="array" ref="Q246">Common_InputFunctions.Utility_DisplayArrayInTable(Common_SourceData.Common_SourceData_MCFTemperatureZone_Data(),Table_SourceData_Common_MCFTemperatureZone[[#Headers],[Temperature zone]],0)</f>
        <v>0</v>
      </c>
      <c r="R246" s="21" cm="1">
        <f t="array" ref="R246">Common_InputFunctions.Utility_DisplayArrayInTable(Common_SourceData.Common_SourceData_MCFTemperatureZone_Data(),Table_SourceData_Common_MCFTemperatureZone[[#Headers],[Temperature zone]],0)</f>
        <v>4.7000000000000002E-3</v>
      </c>
      <c r="S246" s="21"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21" cm="1">
        <f t="array" ref="E247">Common_InputFunctions.Utility_DisplayArrayInTable(Common_SourceData.Common_SourceData_MCFTemperatureZone_Data(),Table_SourceData_Common_MCFTemperatureZone[[#Headers],[Temperature zone]],0)</f>
        <v>25</v>
      </c>
      <c r="F247" s="21" cm="1">
        <f t="array" ref="F247">Common_InputFunctions.Utility_DisplayArrayInTable(Common_SourceData.Common_SourceData_MCFTemperatureZone_Data(),Table_SourceData_Common_MCFTemperatureZone[[#Headers],[Temperature zone]],0)</f>
        <v>0.79</v>
      </c>
      <c r="G247" s="21" cm="1">
        <f t="array" ref="G247">Common_InputFunctions.Utility_DisplayArrayInTable(Common_SourceData.Common_SourceData_MCFTemperatureZone_Data(),Table_SourceData_Common_MCFTemperatureZone[[#Headers],[Temperature zone]],0)</f>
        <v>0.1</v>
      </c>
      <c r="H247" s="21" cm="1">
        <f t="array" ref="H247">Common_InputFunctions.Utility_DisplayArrayInTable(Common_SourceData.Common_SourceData_MCFTemperatureZone_Data(),Table_SourceData_Common_MCFTemperatureZone[[#Headers],[Temperature zone]],0)</f>
        <v>0.41</v>
      </c>
      <c r="I247" s="21" cm="1">
        <f t="array" ref="I247">Common_InputFunctions.Utility_DisplayArrayInTable(Common_SourceData.Common_SourceData_MCFTemperatureZone_Data(),Table_SourceData_Common_MCFTemperatureZone[[#Headers],[Temperature zone]],0)</f>
        <v>5.0000000000000001E-3</v>
      </c>
      <c r="J247" s="21" cm="1">
        <f t="array" ref="J247">Common_InputFunctions.Utility_DisplayArrayInTable(Common_SourceData.Common_SourceData_MCFTemperatureZone_Data(),Table_SourceData_Common_MCFTemperatureZone[[#Headers],[Temperature zone]],0)</f>
        <v>0.01</v>
      </c>
      <c r="K247" s="21" cm="1">
        <f t="array" ref="K247">Common_InputFunctions.Utility_DisplayArrayInTable(Common_SourceData.Common_SourceData_MCFTemperatureZone_Data(),Table_SourceData_Common_MCFTemperatureZone[[#Headers],[Temperature zone]],0)</f>
        <v>0.02</v>
      </c>
      <c r="L247" s="21" cm="1">
        <f t="array" ref="L247">Common_InputFunctions.Utility_DisplayArrayInTable(Common_SourceData.Common_SourceData_MCFTemperatureZone_Data(),Table_SourceData_Common_MCFTemperatureZone[[#Headers],[Temperature zone]],0)</f>
        <v>0.03</v>
      </c>
      <c r="M247" s="21" cm="1">
        <f t="array" ref="M247">Common_InputFunctions.Utility_DisplayArrayInTable(Common_SourceData.Common_SourceData_MCFTemperatureZone_Data(),Table_SourceData_Common_MCFTemperatureZone[[#Headers],[Temperature zone]],0)</f>
        <v>0.04</v>
      </c>
      <c r="N247" s="21" cm="1">
        <f t="array" ref="N247">Common_InputFunctions.Utility_DisplayArrayInTable(Common_SourceData.Common_SourceData_MCFTemperatureZone_Data(),Table_SourceData_Common_MCFTemperatureZone[[#Headers],[Temperature zone]],0)</f>
        <v>1.4999999999999999E-2</v>
      </c>
      <c r="O247" s="21" cm="1">
        <f t="array" ref="O247">Common_InputFunctions.Utility_DisplayArrayInTable(Common_SourceData.Common_SourceData_MCFTemperatureZone_Data(),Table_SourceData_Common_MCFTemperatureZone[[#Headers],[Temperature zone]],0)</f>
        <v>1.4999999999999999E-2</v>
      </c>
      <c r="P247" s="21" cm="1">
        <f t="array" ref="P247">Common_InputFunctions.Utility_DisplayArrayInTable(Common_SourceData.Common_SourceData_MCFTemperatureZone_Data(),Table_SourceData_Common_MCFTemperatureZone[[#Headers],[Temperature zone]],0)</f>
        <v>0</v>
      </c>
      <c r="Q247" s="21" cm="1">
        <f t="array" ref="Q247">Common_InputFunctions.Utility_DisplayArrayInTable(Common_SourceData.Common_SourceData_MCFTemperatureZone_Data(),Table_SourceData_Common_MCFTemperatureZone[[#Headers],[Temperature zone]],0)</f>
        <v>0</v>
      </c>
      <c r="R247" s="21" cm="1">
        <f t="array" ref="R247">Common_InputFunctions.Utility_DisplayArrayInTable(Common_SourceData.Common_SourceData_MCFTemperatureZone_Data(),Table_SourceData_Common_MCFTemperatureZone[[#Headers],[Temperature zone]],0)</f>
        <v>4.7000000000000002E-3</v>
      </c>
      <c r="S247" s="21"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21" cm="1">
        <f t="array" ref="E248">Common_InputFunctions.Utility_DisplayArrayInTable(Common_SourceData.Common_SourceData_MCFTemperatureZone_Data(),Table_SourceData_Common_MCFTemperatureZone[[#Headers],[Temperature zone]],0)</f>
        <v>26</v>
      </c>
      <c r="F248" s="21" cm="1">
        <f t="array" ref="F248">Common_InputFunctions.Utility_DisplayArrayInTable(Common_SourceData.Common_SourceData_MCFTemperatureZone_Data(),Table_SourceData_Common_MCFTemperatureZone[[#Headers],[Temperature zone]],0)</f>
        <v>0.79</v>
      </c>
      <c r="G248" s="21" cm="1">
        <f t="array" ref="G248">Common_InputFunctions.Utility_DisplayArrayInTable(Common_SourceData.Common_SourceData_MCFTemperatureZone_Data(),Table_SourceData_Common_MCFTemperatureZone[[#Headers],[Temperature zone]],0)</f>
        <v>0.1</v>
      </c>
      <c r="H248" s="21" cm="1">
        <f t="array" ref="H248">Common_InputFunctions.Utility_DisplayArrayInTable(Common_SourceData.Common_SourceData_MCFTemperatureZone_Data(),Table_SourceData_Common_MCFTemperatureZone[[#Headers],[Temperature zone]],0)</f>
        <v>0.44</v>
      </c>
      <c r="I248" s="21" cm="1">
        <f t="array" ref="I248">Common_InputFunctions.Utility_DisplayArrayInTable(Common_SourceData.Common_SourceData_MCFTemperatureZone_Data(),Table_SourceData_Common_MCFTemperatureZone[[#Headers],[Temperature zone]],0)</f>
        <v>0.01</v>
      </c>
      <c r="J248" s="21" cm="1">
        <f t="array" ref="J248">Common_InputFunctions.Utility_DisplayArrayInTable(Common_SourceData.Common_SourceData_MCFTemperatureZone_Data(),Table_SourceData_Common_MCFTemperatureZone[[#Headers],[Temperature zone]],0)</f>
        <v>1.4999999999999999E-2</v>
      </c>
      <c r="K248" s="21" cm="1">
        <f t="array" ref="K248">Common_InputFunctions.Utility_DisplayArrayInTable(Common_SourceData.Common_SourceData_MCFTemperatureZone_Data(),Table_SourceData_Common_MCFTemperatureZone[[#Headers],[Temperature zone]],0)</f>
        <v>0.02</v>
      </c>
      <c r="L248" s="21" cm="1">
        <f t="array" ref="L248">Common_InputFunctions.Utility_DisplayArrayInTable(Common_SourceData.Common_SourceData_MCFTemperatureZone_Data(),Table_SourceData_Common_MCFTemperatureZone[[#Headers],[Temperature zone]],0)</f>
        <v>0.03</v>
      </c>
      <c r="M248" s="21" cm="1">
        <f t="array" ref="M248">Common_InputFunctions.Utility_DisplayArrayInTable(Common_SourceData.Common_SourceData_MCFTemperatureZone_Data(),Table_SourceData_Common_MCFTemperatureZone[[#Headers],[Temperature zone]],0)</f>
        <v>0.04</v>
      </c>
      <c r="N248" s="21" cm="1">
        <f t="array" ref="N248">Common_InputFunctions.Utility_DisplayArrayInTable(Common_SourceData.Common_SourceData_MCFTemperatureZone_Data(),Table_SourceData_Common_MCFTemperatureZone[[#Headers],[Temperature zone]],0)</f>
        <v>1.4999999999999999E-2</v>
      </c>
      <c r="O248" s="21" cm="1">
        <f t="array" ref="O248">Common_InputFunctions.Utility_DisplayArrayInTable(Common_SourceData.Common_SourceData_MCFTemperatureZone_Data(),Table_SourceData_Common_MCFTemperatureZone[[#Headers],[Temperature zone]],0)</f>
        <v>1.4999999999999999E-2</v>
      </c>
      <c r="P248" s="21" cm="1">
        <f t="array" ref="P248">Common_InputFunctions.Utility_DisplayArrayInTable(Common_SourceData.Common_SourceData_MCFTemperatureZone_Data(),Table_SourceData_Common_MCFTemperatureZone[[#Headers],[Temperature zone]],0)</f>
        <v>0</v>
      </c>
      <c r="Q248" s="21" cm="1">
        <f t="array" ref="Q248">Common_InputFunctions.Utility_DisplayArrayInTable(Common_SourceData.Common_SourceData_MCFTemperatureZone_Data(),Table_SourceData_Common_MCFTemperatureZone[[#Headers],[Temperature zone]],0)</f>
        <v>0</v>
      </c>
      <c r="R248" s="21" cm="1">
        <f t="array" ref="R248">Common_InputFunctions.Utility_DisplayArrayInTable(Common_SourceData.Common_SourceData_MCFTemperatureZone_Data(),Table_SourceData_Common_MCFTemperatureZone[[#Headers],[Temperature zone]],0)</f>
        <v>4.7000000000000002E-3</v>
      </c>
      <c r="S248" s="21"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21" cm="1">
        <f t="array" ref="E249">Common_InputFunctions.Utility_DisplayArrayInTable(Common_SourceData.Common_SourceData_MCFTemperatureZone_Data(),Table_SourceData_Common_MCFTemperatureZone[[#Headers],[Temperature zone]],0)</f>
        <v>27</v>
      </c>
      <c r="F249" s="21" cm="1">
        <f t="array" ref="F249">Common_InputFunctions.Utility_DisplayArrayInTable(Common_SourceData.Common_SourceData_MCFTemperatureZone_Data(),Table_SourceData_Common_MCFTemperatureZone[[#Headers],[Temperature zone]],0)</f>
        <v>0.8</v>
      </c>
      <c r="G249" s="21" cm="1">
        <f t="array" ref="G249">Common_InputFunctions.Utility_DisplayArrayInTable(Common_SourceData.Common_SourceData_MCFTemperatureZone_Data(),Table_SourceData_Common_MCFTemperatureZone[[#Headers],[Temperature zone]],0)</f>
        <v>0.1</v>
      </c>
      <c r="H249" s="21" cm="1">
        <f t="array" ref="H249">Common_InputFunctions.Utility_DisplayArrayInTable(Common_SourceData.Common_SourceData_MCFTemperatureZone_Data(),Table_SourceData_Common_MCFTemperatureZone[[#Headers],[Temperature zone]],0)</f>
        <v>0.48</v>
      </c>
      <c r="I249" s="21" cm="1">
        <f t="array" ref="I249">Common_InputFunctions.Utility_DisplayArrayInTable(Common_SourceData.Common_SourceData_MCFTemperatureZone_Data(),Table_SourceData_Common_MCFTemperatureZone[[#Headers],[Temperature zone]],0)</f>
        <v>0.01</v>
      </c>
      <c r="J249" s="21" cm="1">
        <f t="array" ref="J249">Common_InputFunctions.Utility_DisplayArrayInTable(Common_SourceData.Common_SourceData_MCFTemperatureZone_Data(),Table_SourceData_Common_MCFTemperatureZone[[#Headers],[Temperature zone]],0)</f>
        <v>1.4999999999999999E-2</v>
      </c>
      <c r="K249" s="21" cm="1">
        <f t="array" ref="K249">Common_InputFunctions.Utility_DisplayArrayInTable(Common_SourceData.Common_SourceData_MCFTemperatureZone_Data(),Table_SourceData_Common_MCFTemperatureZone[[#Headers],[Temperature zone]],0)</f>
        <v>0.02</v>
      </c>
      <c r="L249" s="21" cm="1">
        <f t="array" ref="L249">Common_InputFunctions.Utility_DisplayArrayInTable(Common_SourceData.Common_SourceData_MCFTemperatureZone_Data(),Table_SourceData_Common_MCFTemperatureZone[[#Headers],[Temperature zone]],0)</f>
        <v>0.03</v>
      </c>
      <c r="M249" s="21" cm="1">
        <f t="array" ref="M249">Common_InputFunctions.Utility_DisplayArrayInTable(Common_SourceData.Common_SourceData_MCFTemperatureZone_Data(),Table_SourceData_Common_MCFTemperatureZone[[#Headers],[Temperature zone]],0)</f>
        <v>0.04</v>
      </c>
      <c r="N249" s="21" cm="1">
        <f t="array" ref="N249">Common_InputFunctions.Utility_DisplayArrayInTable(Common_SourceData.Common_SourceData_MCFTemperatureZone_Data(),Table_SourceData_Common_MCFTemperatureZone[[#Headers],[Temperature zone]],0)</f>
        <v>1.4999999999999999E-2</v>
      </c>
      <c r="O249" s="21" cm="1">
        <f t="array" ref="O249">Common_InputFunctions.Utility_DisplayArrayInTable(Common_SourceData.Common_SourceData_MCFTemperatureZone_Data(),Table_SourceData_Common_MCFTemperatureZone[[#Headers],[Temperature zone]],0)</f>
        <v>1.4999999999999999E-2</v>
      </c>
      <c r="P249" s="21" cm="1">
        <f t="array" ref="P249">Common_InputFunctions.Utility_DisplayArrayInTable(Common_SourceData.Common_SourceData_MCFTemperatureZone_Data(),Table_SourceData_Common_MCFTemperatureZone[[#Headers],[Temperature zone]],0)</f>
        <v>0</v>
      </c>
      <c r="Q249" s="21" cm="1">
        <f t="array" ref="Q249">Common_InputFunctions.Utility_DisplayArrayInTable(Common_SourceData.Common_SourceData_MCFTemperatureZone_Data(),Table_SourceData_Common_MCFTemperatureZone[[#Headers],[Temperature zone]],0)</f>
        <v>0</v>
      </c>
      <c r="R249" s="21" cm="1">
        <f t="array" ref="R249">Common_InputFunctions.Utility_DisplayArrayInTable(Common_SourceData.Common_SourceData_MCFTemperatureZone_Data(),Table_SourceData_Common_MCFTemperatureZone[[#Headers],[Temperature zone]],0)</f>
        <v>4.7000000000000002E-3</v>
      </c>
      <c r="S249" s="21"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21" t="str" cm="1">
        <f t="array" ref="E250">Common_InputFunctions.Utility_DisplayArrayInTable(Common_SourceData.Common_SourceData_MCFTemperatureZone_Data(),Table_SourceData_Common_MCFTemperatureZone[[#Headers],[Temperature zone]],0)</f>
        <v>≥28</v>
      </c>
      <c r="F250" s="21" cm="1">
        <f t="array" ref="F250">Common_InputFunctions.Utility_DisplayArrayInTable(Common_SourceData.Common_SourceData_MCFTemperatureZone_Data(),Table_SourceData_Common_MCFTemperatureZone[[#Headers],[Temperature zone]],0)</f>
        <v>0.8</v>
      </c>
      <c r="G250" s="21" cm="1">
        <f t="array" ref="G250">Common_InputFunctions.Utility_DisplayArrayInTable(Common_SourceData.Common_SourceData_MCFTemperatureZone_Data(),Table_SourceData_Common_MCFTemperatureZone[[#Headers],[Temperature zone]],0)</f>
        <v>0.1</v>
      </c>
      <c r="H250" s="21" cm="1">
        <f t="array" ref="H250">Common_InputFunctions.Utility_DisplayArrayInTable(Common_SourceData.Common_SourceData_MCFTemperatureZone_Data(),Table_SourceData_Common_MCFTemperatureZone[[#Headers],[Temperature zone]],0)</f>
        <v>0.5</v>
      </c>
      <c r="I250" s="21" cm="1">
        <f t="array" ref="I250">Common_InputFunctions.Utility_DisplayArrayInTable(Common_SourceData.Common_SourceData_MCFTemperatureZone_Data(),Table_SourceData_Common_MCFTemperatureZone[[#Headers],[Temperature zone]],0)</f>
        <v>0.01</v>
      </c>
      <c r="J250" s="21" cm="1">
        <f t="array" ref="J250">Common_InputFunctions.Utility_DisplayArrayInTable(Common_SourceData.Common_SourceData_MCFTemperatureZone_Data(),Table_SourceData_Common_MCFTemperatureZone[[#Headers],[Temperature zone]],0)</f>
        <v>1.4999999999999999E-2</v>
      </c>
      <c r="K250" s="21" cm="1">
        <f t="array" ref="K250">Common_InputFunctions.Utility_DisplayArrayInTable(Common_SourceData.Common_SourceData_MCFTemperatureZone_Data(),Table_SourceData_Common_MCFTemperatureZone[[#Headers],[Temperature zone]],0)</f>
        <v>0.02</v>
      </c>
      <c r="L250" s="21" cm="1">
        <f t="array" ref="L250">Common_InputFunctions.Utility_DisplayArrayInTable(Common_SourceData.Common_SourceData_MCFTemperatureZone_Data(),Table_SourceData_Common_MCFTemperatureZone[[#Headers],[Temperature zone]],0)</f>
        <v>0.03</v>
      </c>
      <c r="M250" s="21" cm="1">
        <f t="array" ref="M250">Common_InputFunctions.Utility_DisplayArrayInTable(Common_SourceData.Common_SourceData_MCFTemperatureZone_Data(),Table_SourceData_Common_MCFTemperatureZone[[#Headers],[Temperature zone]],0)</f>
        <v>0.04</v>
      </c>
      <c r="N250" s="21" cm="1">
        <f t="array" ref="N250">Common_InputFunctions.Utility_DisplayArrayInTable(Common_SourceData.Common_SourceData_MCFTemperatureZone_Data(),Table_SourceData_Common_MCFTemperatureZone[[#Headers],[Temperature zone]],0)</f>
        <v>1.4999999999999999E-2</v>
      </c>
      <c r="O250" s="21" cm="1">
        <f t="array" ref="O250">Common_InputFunctions.Utility_DisplayArrayInTable(Common_SourceData.Common_SourceData_MCFTemperatureZone_Data(),Table_SourceData_Common_MCFTemperatureZone[[#Headers],[Temperature zone]],0)</f>
        <v>1.4999999999999999E-2</v>
      </c>
      <c r="P250" s="21" cm="1">
        <f t="array" ref="P250">Common_InputFunctions.Utility_DisplayArrayInTable(Common_SourceData.Common_SourceData_MCFTemperatureZone_Data(),Table_SourceData_Common_MCFTemperatureZone[[#Headers],[Temperature zone]],0)</f>
        <v>0</v>
      </c>
      <c r="Q250" s="21" cm="1">
        <f t="array" ref="Q250">Common_InputFunctions.Utility_DisplayArrayInTable(Common_SourceData.Common_SourceData_MCFTemperatureZone_Data(),Table_SourceData_Common_MCFTemperatureZone[[#Headers],[Temperature zone]],0)</f>
        <v>0</v>
      </c>
      <c r="R250" s="21" cm="1">
        <f t="array" ref="R250">Common_InputFunctions.Utility_DisplayArrayInTable(Common_SourceData.Common_SourceData_MCFTemperatureZone_Data(),Table_SourceData_Common_MCFTemperatureZone[[#Headers],[Temperature zone]],0)</f>
        <v>4.7000000000000002E-3</v>
      </c>
      <c r="S250" s="21" cm="1">
        <f t="array" ref="S250">Common_InputFunctions.Utility_DisplayArrayInTable(Common_SourceData.Common_SourceData_MCFTemperatureZone_Data(),Table_SourceData_Common_MCFTemperatureZone[[#Headers],[Temperature zone]],0)</f>
        <v>28</v>
      </c>
    </row>
    <row r="253" spans="4:19" ht="23.25" x14ac:dyDescent="0.25">
      <c r="D253" s="2" t="str" cm="1">
        <f t="array" ref="D253">Common_SourceData.Common_SourceData_EFOrganicFertiliserAndCropResidues_Title()</f>
        <v>Emission factor for organic fertiliser and crop residues returned to the soil</v>
      </c>
    </row>
    <row r="254" spans="4:19" x14ac:dyDescent="0.25">
      <c r="D254" s="18"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10" t="str" cm="1">
        <f t="array" ref="D256">Common_SourceData.Common_SourceData_EFOrganicFertiliserAndCropResidues_Unit()</f>
        <v>kg N2O - N / kg N</v>
      </c>
    </row>
    <row r="257" spans="4:66" x14ac:dyDescent="0.25">
      <c r="D257" s="21" t="s">
        <v>94</v>
      </c>
      <c r="E257" s="21" t="s">
        <v>95</v>
      </c>
    </row>
    <row r="258" spans="4:66" x14ac:dyDescent="0.25">
      <c r="D258" s="21" t="str" cm="1">
        <f t="array" ref="D258">Common_InputFunctions.Utility_DisplayArrayInTable(Common_SourceData.Common_SourceData_EFOrganicFertiliserAndCropResidues_Data(), Table_SourceData_Common_EFOrganicFertCropResidues[[#Headers],[Climate Zone]], 0)</f>
        <v>Wet climate zone</v>
      </c>
      <c r="E258" s="21" cm="1">
        <f t="array" ref="E258">Common_InputFunctions.Utility_DisplayArrayInTable(Common_SourceData.Common_SourceData_EFOrganicFertiliserAndCropResidues_Data(), Table_SourceData_Common_EFOrganicFertCropResidues[[#Headers],[Climate Zone]], 0)</f>
        <v>6.0000000000000001E-3</v>
      </c>
    </row>
    <row r="259" spans="4:66"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21" cm="1">
        <f t="array" ref="E259">Common_InputFunctions.Utility_DisplayArrayInTable(Common_SourceData.Common_SourceData_EFOrganicFertiliserAndCropResidues_Data(), Table_SourceData_Common_EFOrganicFertCropResidues[[#Headers],[Climate Zone]], 0)</f>
        <v>5.0000000000000001E-3</v>
      </c>
    </row>
    <row r="263" spans="4:66" ht="23.25" x14ac:dyDescent="0.25">
      <c r="D263" s="2" t="s">
        <v>202</v>
      </c>
    </row>
    <row r="264" spans="4:66" x14ac:dyDescent="0.25">
      <c r="D264" s="1" t="s">
        <v>203</v>
      </c>
    </row>
    <row r="265" spans="4:66" x14ac:dyDescent="0.25">
      <c r="D265" s="21" t="s">
        <v>269</v>
      </c>
      <c r="E265" s="21" t="s">
        <v>204</v>
      </c>
      <c r="F265" s="21" t="s">
        <v>205</v>
      </c>
      <c r="G265" s="21" t="s">
        <v>198</v>
      </c>
      <c r="V265" s="1"/>
      <c r="BN265" s="23"/>
    </row>
    <row r="266" spans="4:66" x14ac:dyDescent="0.25">
      <c r="D266" s="21" t="s">
        <v>250</v>
      </c>
      <c r="E266" s="21" t="s">
        <v>206</v>
      </c>
      <c r="F266" s="21" t="s">
        <v>207</v>
      </c>
      <c r="G266" s="21">
        <v>5</v>
      </c>
      <c r="V266" s="1"/>
      <c r="BN266" s="23"/>
    </row>
    <row r="267" spans="4:66" x14ac:dyDescent="0.25">
      <c r="D267" s="21" t="s">
        <v>257</v>
      </c>
      <c r="E267" s="21" t="s">
        <v>208</v>
      </c>
      <c r="F267" s="21" t="s">
        <v>199</v>
      </c>
      <c r="G267" s="21">
        <v>4</v>
      </c>
      <c r="V267" s="1"/>
      <c r="BN267" s="23"/>
    </row>
    <row r="268" spans="4:66" x14ac:dyDescent="0.25">
      <c r="D268" s="21" t="s">
        <v>258</v>
      </c>
      <c r="E268" s="21" t="s">
        <v>209</v>
      </c>
      <c r="F268" s="21" t="s">
        <v>210</v>
      </c>
      <c r="G268" s="21">
        <v>3</v>
      </c>
      <c r="V268" s="1"/>
      <c r="BN268" s="23"/>
    </row>
    <row r="269" spans="4:66" x14ac:dyDescent="0.25">
      <c r="D269" s="21" t="s">
        <v>267</v>
      </c>
      <c r="E269" s="21" t="s">
        <v>211</v>
      </c>
      <c r="F269" s="21" t="s">
        <v>212</v>
      </c>
      <c r="G269" s="21">
        <v>2</v>
      </c>
      <c r="V269" s="1"/>
      <c r="BN269" s="23"/>
    </row>
    <row r="270" spans="4:66" x14ac:dyDescent="0.25">
      <c r="D270" s="21" t="s">
        <v>268</v>
      </c>
      <c r="E270" s="21" t="s">
        <v>213</v>
      </c>
      <c r="F270" s="21" t="s">
        <v>214</v>
      </c>
      <c r="G270" s="21">
        <v>1</v>
      </c>
      <c r="V270" s="1"/>
      <c r="BN270" s="23"/>
    </row>
    <row r="273" spans="4:66" x14ac:dyDescent="0.25">
      <c r="D273" s="1" t="s">
        <v>215</v>
      </c>
    </row>
    <row r="274" spans="4:66" x14ac:dyDescent="0.25">
      <c r="D274" s="21" t="s">
        <v>269</v>
      </c>
      <c r="E274" s="21" t="s">
        <v>204</v>
      </c>
      <c r="F274" s="21" t="s">
        <v>205</v>
      </c>
      <c r="G274" s="21" t="s">
        <v>198</v>
      </c>
      <c r="V274" s="1"/>
      <c r="BN274" s="23"/>
    </row>
    <row r="275" spans="4:66" x14ac:dyDescent="0.25">
      <c r="D275" s="21" t="s">
        <v>265</v>
      </c>
      <c r="E275" s="21" t="s">
        <v>216</v>
      </c>
      <c r="F275" s="21" t="s">
        <v>200</v>
      </c>
      <c r="G275" s="21">
        <v>5</v>
      </c>
      <c r="V275" s="1"/>
      <c r="BN275" s="23"/>
    </row>
    <row r="276" spans="4:66" x14ac:dyDescent="0.25">
      <c r="D276" s="21" t="s">
        <v>251</v>
      </c>
      <c r="E276" s="21" t="s">
        <v>217</v>
      </c>
      <c r="F276" s="21" t="s">
        <v>218</v>
      </c>
      <c r="G276" s="21">
        <v>4</v>
      </c>
      <c r="V276" s="1"/>
      <c r="BN276" s="23"/>
    </row>
    <row r="277" spans="4:66" x14ac:dyDescent="0.25">
      <c r="D277" s="21" t="s">
        <v>254</v>
      </c>
      <c r="E277" s="21" t="s">
        <v>219</v>
      </c>
      <c r="F277" s="21" t="s">
        <v>220</v>
      </c>
      <c r="G277" s="21">
        <v>3</v>
      </c>
      <c r="V277" s="1"/>
      <c r="BN277" s="23"/>
    </row>
    <row r="278" spans="4:66" x14ac:dyDescent="0.25">
      <c r="D278" s="21" t="s">
        <v>263</v>
      </c>
      <c r="E278" s="21" t="s">
        <v>221</v>
      </c>
      <c r="F278" s="21" t="s">
        <v>222</v>
      </c>
      <c r="G278" s="21">
        <v>2</v>
      </c>
      <c r="V278" s="1"/>
      <c r="BN278" s="23"/>
    </row>
    <row r="279" spans="4:66" x14ac:dyDescent="0.25">
      <c r="D279" s="21" t="s">
        <v>266</v>
      </c>
      <c r="E279" s="21" t="s">
        <v>223</v>
      </c>
      <c r="F279" s="21" t="s">
        <v>224</v>
      </c>
      <c r="G279" s="21">
        <v>1</v>
      </c>
      <c r="V279" s="1"/>
      <c r="BN279" s="23"/>
    </row>
    <row r="282" spans="4:66" x14ac:dyDescent="0.25">
      <c r="D282" s="1" t="s">
        <v>225</v>
      </c>
    </row>
    <row r="283" spans="4:66" x14ac:dyDescent="0.25">
      <c r="D283" s="21" t="s">
        <v>269</v>
      </c>
      <c r="E283" s="21" t="s">
        <v>204</v>
      </c>
      <c r="F283" s="21" t="s">
        <v>205</v>
      </c>
      <c r="G283" s="21" t="s">
        <v>198</v>
      </c>
      <c r="V283" s="1"/>
      <c r="BN283" s="23"/>
    </row>
    <row r="284" spans="4:66" x14ac:dyDescent="0.25">
      <c r="D284" s="21" t="s">
        <v>252</v>
      </c>
      <c r="E284" s="21" t="s">
        <v>226</v>
      </c>
      <c r="F284" s="21" t="s">
        <v>227</v>
      </c>
      <c r="G284" s="21">
        <v>5</v>
      </c>
      <c r="V284" s="1"/>
      <c r="BN284" s="23"/>
    </row>
    <row r="285" spans="4:66" x14ac:dyDescent="0.25">
      <c r="D285" s="21" t="s">
        <v>255</v>
      </c>
      <c r="E285" s="21" t="s">
        <v>228</v>
      </c>
      <c r="F285" s="21" t="s">
        <v>229</v>
      </c>
      <c r="G285" s="21">
        <v>4</v>
      </c>
      <c r="V285" s="1"/>
      <c r="BN285" s="23"/>
    </row>
    <row r="286" spans="4:66" x14ac:dyDescent="0.25">
      <c r="D286" s="21" t="s">
        <v>253</v>
      </c>
      <c r="E286" s="21" t="s">
        <v>230</v>
      </c>
      <c r="F286" s="21" t="s">
        <v>201</v>
      </c>
      <c r="G286" s="21">
        <v>3</v>
      </c>
      <c r="V286" s="1"/>
      <c r="BN286" s="23"/>
    </row>
    <row r="287" spans="4:66" x14ac:dyDescent="0.25">
      <c r="D287" s="21" t="s">
        <v>260</v>
      </c>
      <c r="E287" s="21" t="s">
        <v>231</v>
      </c>
      <c r="F287" s="21" t="s">
        <v>232</v>
      </c>
      <c r="G287" s="21">
        <v>2</v>
      </c>
      <c r="V287" s="1"/>
      <c r="BN287" s="23"/>
    </row>
    <row r="288" spans="4:66" x14ac:dyDescent="0.25">
      <c r="D288" s="21" t="s">
        <v>261</v>
      </c>
      <c r="E288" s="21" t="s">
        <v>233</v>
      </c>
      <c r="F288" s="21" t="s">
        <v>234</v>
      </c>
      <c r="G288" s="21">
        <v>1</v>
      </c>
      <c r="V288" s="1"/>
      <c r="BN288" s="23"/>
    </row>
    <row r="291" spans="4:66" x14ac:dyDescent="0.25">
      <c r="D291" s="1" t="s">
        <v>235</v>
      </c>
    </row>
    <row r="292" spans="4:66" x14ac:dyDescent="0.25">
      <c r="D292" s="21" t="s">
        <v>269</v>
      </c>
      <c r="E292" s="21" t="s">
        <v>204</v>
      </c>
      <c r="F292" s="21" t="s">
        <v>205</v>
      </c>
      <c r="G292" s="21" t="s">
        <v>198</v>
      </c>
      <c r="V292" s="1"/>
      <c r="BN292" s="23"/>
    </row>
    <row r="293" spans="4:66" x14ac:dyDescent="0.25">
      <c r="D293" s="21" t="s">
        <v>270</v>
      </c>
      <c r="E293" s="21" t="s">
        <v>236</v>
      </c>
      <c r="F293" s="21" t="s">
        <v>237</v>
      </c>
      <c r="G293" s="21">
        <v>5</v>
      </c>
      <c r="V293" s="1"/>
      <c r="BN293" s="23"/>
    </row>
    <row r="294" spans="4:66" x14ac:dyDescent="0.25">
      <c r="D294" s="21" t="s">
        <v>271</v>
      </c>
      <c r="E294" s="21" t="s">
        <v>238</v>
      </c>
      <c r="F294" s="21" t="s">
        <v>239</v>
      </c>
      <c r="G294" s="21">
        <v>4</v>
      </c>
      <c r="V294" s="1"/>
      <c r="BN294" s="23"/>
    </row>
    <row r="295" spans="4:66" x14ac:dyDescent="0.25">
      <c r="D295" s="21" t="s">
        <v>272</v>
      </c>
      <c r="E295" s="21" t="s">
        <v>240</v>
      </c>
      <c r="F295" s="21" t="s">
        <v>241</v>
      </c>
      <c r="G295" s="21">
        <v>3</v>
      </c>
      <c r="V295" s="1"/>
      <c r="BN295" s="23"/>
    </row>
    <row r="296" spans="4:66" x14ac:dyDescent="0.25">
      <c r="D296" s="21" t="s">
        <v>273</v>
      </c>
      <c r="E296" s="21" t="s">
        <v>242</v>
      </c>
      <c r="F296" s="21" t="s">
        <v>243</v>
      </c>
      <c r="G296" s="21">
        <v>2</v>
      </c>
      <c r="V296" s="1"/>
      <c r="BN296" s="23"/>
    </row>
    <row r="297" spans="4:66" x14ac:dyDescent="0.25">
      <c r="D297" s="21" t="s">
        <v>274</v>
      </c>
      <c r="E297" s="21" t="s">
        <v>244</v>
      </c>
      <c r="F297" s="21" t="s">
        <v>245</v>
      </c>
      <c r="G297" s="21">
        <v>1</v>
      </c>
      <c r="V297" s="1"/>
      <c r="BN297" s="23"/>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EUAcQB1AGEAdABpAG8AbgBzACIALAAiAHQAZQB4AHQAIgA6ACIAXABuAC8AKgAgAFwAbgAtAC0ALQAtAC0ALQAtAC0ALQAtAC0ALQAtAC0ALQAtAC0ALQAtAC0ALQAtAC0ALQAtAC0ALQAtAC0ALQAtAC0ALQAtAC0ALQAtAC0AXABuAEMAbwBtAG0AbwBuAF8AQwBvAG4AdgBlAHIAdABOADIATwBUAG8AQwBPADIAZQBcAG4AQwBvAG4AdgBlAHIAdAAgAG4AaQB0AHIAbwB1AHMAIABvAHgAaQBkAGUAIABlAG0AaQBzAHMAaQBvAG4AcwAgAHQAbwAgAGMAYQByAGIAbwBuACAAZABpAG8AeABpAGQAZQAgAGUAcQB1AGkAdgBhAGwAZQBuAHQAIABlAG0AaQBzAHMAaQBvAG4AcwBcAG4ARQBOADIATwAgAEMATwAyAGUAXABuAHQAIABDAE8AMgBlAFwAbgBFAE4AMgBPADoAIABuAGkAdAByAG8AdQBzACAAbwB4AGkAZABlACAAZQBtAGkAcwBzAGkAbwBuAHMAIAAoAHQAIABOADIATwApAFwAbgBHAFcAUABOADIATwA6ACAAZwBsAG8AYgBhAGwAIAB3AGEAcgBtAGkAbgBnACAAcABvAHQAZQBuAHQAaQBhAGwAIABmAG8AcgAgAG4AaQB0AHIAbwB1AHMAIABvAHgAaQBkAGUAIAAoAHQAIABDAE8AMgAtAGUAIAAvACAAdAAgAE4AMgBPACkAXABuAC0ALQAtAC0ALQAtAC0ALQAtAC0ALQAtAC0ALQAtAC0ALQAtAC0ALQAtAC0ALQAtAC0ALQAtAC0ALQAtAC0ALQAtAC0ALQAtAC0ALQBcAG4AKgAvAFwAbgBcAG4AXABuAEMAbwBtAG0AbwBuAF8AQwBvAG4AdgBlAHIAdABOADIATwBUAG8AQwBPADIAZQBcAG4AIAAgAD0ATABBAE0AQgBEAEEAKABcAG4AIAAgACAAIABFAF8ATgAyAE8ALAAgAEcAVwBQAF8ATgAyAE8ALABcAG4AIAAgACAAIABFAF8ATgAyAE8AIAAqACAARwBXAFAAXwBOADIATwBcAG4AIAAgACkAXABuADsAXABuAFwAbgBDAG8AbQBtAG8AbgBfAEMAbwBuAHYAZQByAHQATgAyAE8AVABvAEMATwAyAGUAXwBUAGkAdABsAGUAXABuACAAIAA9AEwAQQBNAEIARABBACgAXAAiAEMAbwBuAHYAZQByAHQAIABuAGkAdAByAG8AdQBzACAAbwB4AGkAZABlACAAZQBtAGkAcwBzAGkAbwBuAHMAIAB0AG8AIABjAGEAcgBiAG8AbgAgAGQAaQBvAHgAaQBkAGUAIABlAHEAdQBpAHYAYQBsAGUAbgB0ACAAZQBtAGkAcwBzAGkAbwBuAHMAXAAiACkAOwBcAG4AXABuAEMAbwBtAG0AbwBuAF8AQwBvAG4AdgBlAHIAdABOADIATwBUAG8AQwBPADIAZQBfAFYAYQByAGkAYQBiAGwAZQBcAG4AIAAgAD0ATABBAE0AQgBEAEEAKABcACIARQBOADIATwAgAEMATwAyAGUAXAAiACkAOwBcAG4AXABuAEMAbwBtAG0AbwBuAF8AQwBvAG4AdgBlAHIAdABOADIATwBUAG8AQwBPADIAZQBfAFUAbgBpAHQAXABuACAAIAA9AEwAQQBNAEIARABBACgAXAAiAHQAIABDAE8AMgBlAFwAIgApADsAXABuAFwAbgBDAG8AbQBtAG8AbgBfAEMAbwBuAHYAZQByAHQATgAyAE8AVABvAEMATwAyAGUAXwBOAEkAUgBSAGUAZgBlAHIAZQBuAGMAZQBcAG4AIAAgAD0ATABBAE0AQgBEAEEAKABcACIAXAAiACkAOwBcAG4AXABuAEMAbwBtAG0AbwBuAF8AQwBvAG4AdgBlAHIAdABOADIATwBUAG8AQwBPADIAZQBfAEwAYQB0AGUAeABFAHEAdQBhAHQAaQBvAG4AXABuACAAIAA9AEwAQQBNAEIARABBACgAXAAiAEMATwAyAF8AZQAgAD0AIABFAF8AewBOADIATwB9ACAAXABcAHQAaQBtAGUAcwAgAEcAVwBQAF8AewBOADIATwB9AFwAIgApADsAXABuAFwAbgBDAG8AbQBtAG8AbgBfAEMAbwBuAHYAZQByAHQATgAyAE8AVABvAEMATwAyAGUAXwBBAHIAZwB1AG0AZQBuAHQAcwBcAG4AIAAgAD0ATABBAE0AQgBEAEEAKABcAG4AIAAgACAAIABNAEEASwBFAEEAUgBSAEEAWQAoADIALAAgADIALAAgAFwAbgAgACAAIAAgACAAIABMAEEATQBCAEQAQQAoAHIALABjACwAIABcAG4AIAAgACAAIAAgACAAIAAgAEkATgBEAEUAWAAoAHsAXABuACAAIAAgACAAIAAgACAAIAAgACAAXAAiAEUATgAyAE8AXAAiACwAXAAiAE4AaQB0AHIAbwB1AHMAIABvAHgAaQBkAGUAIABlAG0AaQBzAHMAaQBvAG4AcwAgACgAdAAgAE4AMgBPACkAXAAiADsAXABuACAAIAAgACAAIAAgACAAIAAgACAAXAAiAEcAVwBQAE4AMgBPAFwAIgAsAFwAIgBHAGwAbwBiAGEAbAAgAHcAYQByAG0AaQBuAGcAIABwAG8AdABlAG4AdABpAGEAbAAgAGYAbwByACAAbgBpAHQAcgBvAHUAcwAgAG8AeABpAGQAZQAgACgAdAAgAEMATwAyAC0AZQAgAC8AIAB0ACAATgAyAE8AKQBcACIAXABuACAAIAAgACAAIAAgACAAIAB9ACwAIAByACwAIABjACkAXABuACAAIAAgACAAIAAgACkAXABuACAAIAAgACAAKQBcAG4AIAAgACkAOwBcAG4AXABuAC8AKgAgAFwAbgAtAC0ALQAtAC0ALQAtAC0ALQAtAC0ALQAtAC0ALQAtAC0ALQAtAC0ALQAtAC0ALQAtAC0ALQAtAC0ALQAtAC0ALQAtAC0ALQAtAC0AXABuAEMAbwBtAG0AbwBuAF8AQwBvAG4AdgBlAHIAdABDAEgANABUAG8AQwBPADIAZQBcAG4AQwBvAG4AdgBlAHIAdAAgAG0AZQB0AGgAYQBuAGUAIABlAG0AaQBzAHMAaQBvAG4AcwAgAHQAbwAgAGMAYQByAGIAbwBuACAAZABpAG8AeABpAGQAZQAgAGUAcQB1AGkAdgBhAGwAZQBuAHQAIABlAG0AaQBzAHMAaQBvAG4AcwBcAG4ARQBDAEgANAAgAEMATwAyAGUAXABuAHQAIABDAE8AMgBlAFwAbgBFAEMASAA0ADoAIABtAGUAdABoAGEAbgBlACAAZQBtAGkAcwBzAGkAbwBuAHMAIAAoAHQAIABDAEgANAApAFwAbgBHAFcAUABDAEgANAA6ACAAZwBsAG8AYgBhAGwAIAB3AGEAcgBtAGkAbgBnACAAcABvAHQAZQBuAHQAaQBhAGwAIABmAG8AcgAgAG0AZQB0AGgAYQBuAGUAIAAoAHQAIABDAE8AMgAtAGUAIAAvACAAdAAgAEMASAA0ACkAXABuAC0ALQAtAC0ALQAtAC0ALQAtAC0ALQAtAC0ALQAtAC0ALQAtAC0ALQAtAC0ALQAtAC0ALQAtAC0ALQAtAC0ALQAtAC0ALQAtAC0ALQBcAG4AKgAvAFwAbgBcAG4AXABuAEMAbwBtAG0AbwBuAF8AQwBvAG4AdgBlAHIAdABDAEgANABUAG8AQwBPADIAZQBcAG4AIAAgAD0ATABBAE0AQgBEAEEAKABcAG4AIAAgACAAIABFAF8AQwBIADQALAAgAEcAVwBQAF8AQwBIADQALABcAG4AIAAgACAAIABFAF8AQwBIADQAIAAqACAARwBXAFAAXwBDAEgANABcAG4AIAAgACkAXABuADsAXABuAFwAbgBDAG8AbQBtAG8AbgBfAEMAbwBuAHYAZQByAHQAQwBIADQAVABvAEMATwAyAGUAXwBUAGkAdABsAGUAXABuACAAIAA9AEwAQQBNAEIARABBACgAXAAiAEMAbwBuAHYAZQByAHQAIABtAGUAdABoAGEAbgBlACAAZQBtAGkAcwBzAGkAbwBuAHMAIAB0AG8AIABjAGEAcgBiAG8AbgAgAGQAaQBvAHgAaQBkAGUAIABlAHEAdQBpAHYAYQBsAGUAbgB0ACAAZQBtAGkAcwBzAGkAbwBuAHMAXAAiACkAOwBcAG4AXABuAEMAbwBtAG0AbwBuAF8AQwBvAG4AdgBlAHIAdABDAEgANABUAG8AQwBPADIAZQBfAFYAYQByAGkAYQBiAGwAZQBcAG4AIAAgAD0ATABBAE0AQgBEAEEAKABcACIARQBDAEgANAAgAEMATwAyAGUAXAAiACkAOwBcAG4AXABuAEMAbwBtAG0AbwBuAF8AQwBvAG4AdgBlAHIAdABDAEgANABUAG8AQwBPADIAZQBfAFUAbgBpAHQAXABuACAAIAA9AEwAQQBNAEIARABBACgAXAAiAHQAIABDAE8AMgBlAFwAIgApADsAXABuAFwAbgBDAG8AbQBtAG8AbgBfAEMAbwBuAHYAZQByAHQAQwBIADQAVABvAEMATwAyAGUAXwBOAEkAUgBSAGUAZgBlAHIAZQBuAGMAZQBcAG4AIAAgAD0ATABBAE0AQgBEAEEAKABcACIAXAAiACkAOwBcAG4AXABuAEMAbwBtAG0AbwBuAF8AQwBvAG4AdgBlAHIAdABDAEgANABUAG8AQwBPADIAZQBfAEwAYQB0AGUAeABFAHEAdQBhAHQAaQBvAG4AXABuACAAIAA9AEwAQQBNAEIARABBACgAXAAiAEMATwAyAF8AZQAgAD0AIABFAF8AewBDAEgANAB9ACAAXABcAHQAaQBtAGUAcwAgAEcAVwBQAF8AewBDAEgANAB9AFwAIgApADsAXABuAFwAbgBDAG8AbQBtAG8AbgBfAEMAbwBuAHYAZQByAHQAQwBIADQAVABvAEMATwAyAGUAXwBBAHIAZwB1AG0AZQBuAHQAcwBcAG4AIAAgAD0ATABBAE0AQgBEAEEAKABcAG4AIAAgACAAIABNAEEASwBFAEEAUgBSAEEAWQAoADIALAAgADIALAAgAFwAbgAgACAAIAAgACAAIABMAEEATQBCAEQAQQAoAHIALABjACwAIABcAG4AIAAgACAAIAAgACAAIAAgAEkATgBEAEUAWAAoAHsAXABuACAAIAAgACAAIAAgACAAIAAgACAAXAAiAEUAQwBIADQAXAAiACwAXAAiAE0AZQB0AGgAYQBuAGUAIABlAG0AaQBzAHMAaQBvAG4AcwAgACgAdAAgAEMASAA0ACkAXAAiADsAXABuACAAIAAgACAAIAAgACAAIAAgACAAXAAiAEcAVwBQAEMASAA0AFwAIgAsAFwAIgBHAGwAbwBiAGEAbAAgAHcAYQByAG0AaQBuAGcAIABwAG8AdABlAG4AdABpAGEAbAAgAGYAbwByACAAbQBlAHQAaABhAG4AZQAgACgAdAAgAEMATwAyAC0AZQAgAC8AIAB0ACAAQwBIADQAKQBcACIAXABuACAAIAAgACAAIAAgACAAIAB9ACwAIAByACwAIABjACkAXABuACAAIAAgACAAIAAgACkAXABuACAAIAAgACAAKQBcAG4AIAAgACkAOwAiAH0ALAB7ACIAcABhAHQAaAAiADoAIgAvAHAAcgBvAGoAZQBjAHQAcwAvAEMAbwBtAG0AbwBuAF8ASQBuAHAAdQB0AEYAdQBuAGMAdABpAG8AbgBzACIALAAiAHQAZQB4AHQAIgA6ACIAVQB0AGkAbABpAHQAeQBfAEcAZQB0AEEAcgByAGEAeQBUAGEAYgBsAGUAUgBvAHcAUwB0AGEAcgB0AE4AdQBtAGIAZQByAFwAbgA9AEwAQQBNAEIARABBACgAXABuACAAIAAgACAAVABhAGIAbABlAGgAZQBhAGQAZQByAEMAZQBsAGwALABSAG8AdwBzAEIAZQB0AHcAZQBlAG4ASABlAGEAZABlAHIAYQBuAGQAQQByAHIAYQB5ACwAXABuACAAIAAgACAAUgBPAFcAKABUAGEAYgBsAGUAaABlAGEAZABlAHIAQwBlAGwAbAApACAAKwAgAFIAbwB3AHMAQgBlAHQAdwBlAGUAbgBIAGUAYQBkAGUAcgBhAG4AZABBAHIAcgBhAHkAIAAtACAAMQBcAG4AKQA7AFwAbgBcAG4AVQB0AGkAbABpAHQAeQBfAEcAZQB0AEEAcgByAGEAeQBUAGEAYgBsAGUAQwBvAGwAdQBtAG4AUwB0AGEAcgB0AE4AdQBtAGIAZQByAFwAbgA9AEwAQQBNAEIARABBACgAXABuACAAIABUAGEAYgBsAGUASABlAGEAZABlAHIAQwBlAGwAbAAsAFwAbgAgACAAQwBPAEwAVQBNAE4AKABUAGEAYgBsAGUASABlAGEAZABlAHIAQwBlAGwAbAApAFwAbgApADsAXABuAFwAbgBVAHQAaQBsAGkAdAB5AF8ARABpAHMAcABsAGEAeQBBAHIAcgBhAHkASQBuAFQAYQBiAGwAZQBcAG4APQBMAEEATQBCAEQAQQAoAFwAbgAgAEEAcgByAGEAeQBEAGEAdABhACwAIABUAGEAYgBsAGUAaABlAGEAZABlAHIAQwBlAGwAbAAsACAAUgBvAHcAcwBCAGUAdAB3AGUAZQBuAEgAZQBhAGQAZQByAGEAbgBkAEEAcgByAGEAeQAsACAAWwBDAG8AbAB1AG0AbgBzAEIAZQB0AHcAZQBlAG4ASABlAGEAZABlAHIAQQBuAGQAQQByAHIAYQB5AF0ALABcAG4AIABJAEYARQBSAFIATwBSACgAXABuACAAIAAgACAAIABJAE4ARABFAFgAKABcAG4AIAAgACAAIAAgACAAIAAgACAAIAAgACAAVQBOAEkAUQBVAEUAKABBAHIAcgBhAHkARABhAHQAYQApACwAIABcAG4AIAAgACAAIAAgACAAIAAgACAAIAAgACAAUgBPAFcAKAApAC0AVQB0AGkAbABpAHQAeQBfAEcAZQB0AEEAcgByAGEAeQBUAGEAYgBsAGUAUgBvAHcAUwB0AGEAcgB0AE4AdQBtAGIAZQByACgAVABhAGIAbABlAGgAZQBhAGQAZQByAEMAZQBsAGwALAAgAFIAbwB3AHMAQgBlAHQAdwBlAGUAbgBIAGUAYQBkAGUAcgBhAG4AZABBAHIAcgBhAHkAKQAsACAAXABuACAAIAAgACAAIAAgACAAIAAgACAAIAAgAEMATwBMAFUATQBOACgAKQAtAFUAdABpAGwAaQB0AHkAXwBHAGUAdABBAHIAcgBhAHkAVABhAGIAbABlAEMAbwBsAHUAbQBuAFMAdABhAHIAdABOAHUAbQBiAGUAcgAoAFQAYQBiAGwAZQBoAGUAYQBkAGUAcgBDAGUAbABsACkAIAArAFwAbgAgACAAIAAgACAAIAAgACAAIAAgACAAIABJAEYAKABJAFMATwBNAEkAVABUAEUARAAoAEMAbwBsAHUAbQBuAHMAQgBlAHQAdwBlAGUAbgBIAGUAYQBkAGUAcgBBAG4AZABBAHIAcgBhAHkAKQAsACAAMQAsACAAQwBvAGwAdQBtAG4AcwBCAGUAdAB3AGUAZQBuAEgAZQBhAGQAZQByAEEAbgBkAEEAcgByAGEAeQApAFwAbgAgACAAIAAgACAAIAAgACAAKQAsACAAXAAiAFwAIgBcAG4AIAAgACAAIAApAFwAbgApADsAXABuAFwAbgBVAHQAaQBsAGkAdAB5AF8ATABvAG8AawB1AHAAVgBhAGwAdQBlAEkAbgBUAGEAYgBsAGUAXABuAD0ATABBAE0AQgBEAEEAKABcAG4AIAAgACAAIABMAG8AbwBrAHUAcABWAGEAbAB1AGUALAAgAEwAbwBvAGsAdQBwAEEAcgByAGEAeQAsACAAUgBlAHQAdQByAG4AQQByAHIAYQB5ACwAXABuACAAIAAgACAAWABMAE8ATwBLAFUAUAAoAEwAbwBvAGsAdQBwAFYAYQBsAHUAZQAsACAATABvAG8AawB1AHAAQQByAHIAYQB5ACwAIABSAGUAdAB1AHIAbgBBAHIAcgBhAHkALAAgAFwAIgBcACIAKQBcAG4AKQA7AFwAbgBcAG4AVQB0AGkAbABpAHQAeQBfAEwAbwBvAGsAdQBwAFYAYQBsAHUAZQBJAG4AVABhAGIAbABlAE4AdQBtAGIAZQByAFwAbgA9AEwAQQBNAEIARABBACgAXABuACAAIAAgACAATABvAG8AawB1AHAAVgBhAGwAdQBlACwAIABMAG8AbwBrAHUAcABBAHIAcgBhAHkALAAgAFIAZQB0AHUAcgBuAEEAcgByAGEAeQAsAFwAbgAgACAAIAAgAEkARgAoAEkAUwBOAFUATQBCAEUAUgAoAFwAbgAgACAAIAAgACAAIAAgACAAWABMAE8ATwBLAFUAUAAoAEwAbwBvAGsAdQBwAFYAYQBsAHUAZQAsACAATABvAG8AawB1AHAAQQByAHIAYQB5ACwAIABSAGUAdAB1AHIAbgBBAHIAcgBhAHkALAAgAFwAIgBcACIAKQBcAG4AIAAgACAAIAApACwAIABYAEwATwBPAEsAVQBQACgATABvAG8AawB1AHAAVgBhAGwAdQBlACwAIABMAG8AbwBrAHUAcABBAHIAcgBhAHkALAAgAFIAZQB0AHUAcgBuAEEAcgByAGEAeQAsACAAXAAiAFwAIgApACwAIAAwACkAXABuACkAOwBcAG4AXABuAFUAdABpAGwAaQB0AHkAXwBMAG8AbwBrAHUAcABWAGEAbAB1AGUASQBuAFQAYQBiAGwAZQBUAHcAbwBDAG8AbAB1AG0AbgBzAFwAbgA9AEwAQQBNAEIARABBACgAXABuACAAIAAgACAATABvAG8AawB1AHAAVgBhAGwAdQBlADEALAAgAEwAbwBvAGsAdQBwAFYAYQBsAHUAZQAyACwAIABMAG8AbwBrAHUAcABBAHIAcgBhAHkAMQAsACAATABvAG8AawB1AHAAQQByAHIAYQB5ADIALAAgAFIAZQB0AHUAcgBuAEEAcgByAGEAeQAsACAAWwBWAGEAbAB1AGUASQBGAEYAYQBsAHMAZQBdACwAXABuACAAIAAgACAAWABMAE8ATwBLAFUAUAAoADEALAAgACgATABvAG8AawB1AHAAQQByAHIAYQB5ADEAPQBMAG8AbwBrAHUAcABWAGEAbAB1AGUAMQApACoAKABMAG8AbwBrAHUAcABBAHIAcgBhAHkAMgA9AEwAbwBvAGsAdQBwAFYAYQBsAHUAZQAyACkALAAgAFIAZQB0AHUAcgBuAEEAcgByAGEAeQAsACAASQBGACgASQBTAE8ATQBJAFQAVABFAEQAKABWAGEAbAB1AGUASQBGAEYAYQBsAHMAZQApACwAIABcACIAXAAiACwAIABWAGEAbAB1AGUASQBGAEYAYQBsAHMAZQApACkAXABuACkAOwBcAG4AXABuAFUAdABpAGwAaQB0AHkAXwBMAG8AbwBrAHUAcABWAGEAbAB1AGUASQBuAFQAYQBiAGwAZQBPAG4AZQBDAG8AbAB1AG0AbgBBAG4AZABIAGUAYQBkAGUAcgBcAG4APQBMAEEATQBCAEQAQQAoAFwAbgAgACAAIAAgAEwAbwBvAGsAdQBwAFYAYQBsAHUAZQAxACwAIABMAG8AbwBrAHUAcABWAGEAbAB1AGUAMgAsACAATABvAG8AawB1AHAAQQByAHIAYQB5ADEALAAgAEwAbwBvAGsAdQBwAEEAcgByAGEAeQAyACwAIABSAGUAdAB1AHIAbgBBAHIAcgBhAHkALAAgAFsAVgBhAGwAdQBlAEkAZgBGAGEAbABzAGUAXQAsAFwAbgAgACAAIAAgAEkARgBFAFIAUgBPAFIAKABcAG4AIAAgACAAIAAgACAAIAAgAFgATABPAE8ASwBVAFAAKABMAG8AbwBrAHUAcABWAGEAbAB1AGUAMQAsACAATABvAG8AawB1AHAAQQByAHIAYQB5ADEALABcAG4AIAAgACAAIAAgACAAIAAgACAAIAAgACAAWABMAE8ATwBLAFUAUAAoAEwAbwBvAGsAdQBwAFYAYQBsAHUAZQAyACwAIABMAG8AbwBrAHUAcABBAHIAcgBhAHkAMgAsACAAUgBlAHQAdQByAG4AQQByAHIAYQB5ACkAXABuACAAIAAgACAAIAAgACAAIAApACwAXABuACAAIAAgACAAIAAgACAAIABJAEYAKABJAFMATwBNAEkAVABUAEUARAAoAFYAYQBsAHUAZQBJAGYARgBhAGwAcwBlACkALAAgAFwAIgBcACIALAAgAFYAYQBsAHUAZQBJAGYARgBhAGwAcwBl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BcAHUAMAAwADMAYwB0AFwAdQAwADAAMwBlAFwAdQAwADAAMwBjAHMAXAB1ADAAMAAzAGUAXAAiACAAXAB1ADAAMAAyADYAXABuACAAIAAgACAAIAAgACAAIABTAFUAQgBTAFQASQBUAFUAVABFACgAXABuACAAIAAgACAAIAAgACAAIAAgACAAIAAgAFMAVQBCAFMAVABJAFQAVQBUAEUAKABTAFUAQgBTAFQASQBUAFUAVABFACgAQwBlAGwAbAAsAEMAaABhAHIAYQBjAHQAZQByAFQAbwBSAGUAbQBvAHYAZQAxACwAXAAiAFwAIgApACwAQwBoAGEAcgBhAGMAdABlAHIAVABvAFIAZQBtAG8AdgBlADIALABcACIAXAAiACkALABcAG4AIAAgACAAIAAgACAAIAAgACAAIAAgACAARABlAGwAaQBtAGkAdABlAHIALABcACIAXAB1ADAAMAAzAGMALwBzAFwAdQAwADAAMwBlAFwAdQAwADAAMwBjAHMAXAB1ADAAMAAzAGUAXAAiAFwAbgAgACAAIAAgACAAIAAgACAAKQAgAFwAdQAwADAAMgA2AFwAbgAgACAAIAAgACAAIAAgACAAXAAiAFwAdQAwADAAMwBjAC8AcwBcAHUAMAAwADMAZQBcAHUAMAAwADMAYwAvAHQAXAB1ADAAMAAzAGUAXAAiACwAXABuACAAIAAgACAAIAAgACAAIABcACIALwAvAHMAXAAiAFwAbgAgACAAIAAgACkAXABuACkAOwBcAG4AXABuAFUAdABpAGwAaQB0AHkAXwBHAGUAdABDAGwAaQBtAGEAdABlAFoAbwBuAGUAXABuAD0ATABBAE0AQgBEAEEAKABcAG4AIAAgACAAIABhAHYAZwBUAGUAbQBwACwAYQB2AGcAUgBhAGkAbgAsAGYAcgBvAHMAdABEAGEAeQBzACwAZQBsAGUAdgAsAG0AYQBwAF8AcABlAHQALABcAG4AIAAgACAAIABtAGkAbgBUAGUAbQBwAEEAcgByAGEAeQAsAG0AYQB4AFQAZQBtAHAAQQByAHIAYQB5ACwAXABuACAAIAAgACAAbQBpAG4AUgBhAGkAbgBmAGEAbABsAEEAcgByAGEAeQAsAG0AYQB4AFIAYQBpAG4AZgBhAGwAbABBAHIAcgBhAHkALABcAG4AIAAgACAAIABtAGkAbgBGAHIAbwBzAHQAQQByAHIAYQB5ACwAbQBhAHgARgByAG8AcwB0AEEAcgByAGEAeQAsAFwAbgAgACAAIAAgAG0AaQBuAEUAbABlAHYAYQB0AGkAbwBuAEEAcgByAGEAeQAsAG0AYQB4AEUAbABlAHYAYQB0AGkAbwBuAEEAcgByAGEAeQAsAFwAbgAgACAAIAAgAG0AaQBuAFAARQBUAEEAcgByAGEAeQAsAG0AYQB4AFAARQBUAEEAcgByAGEAeQAsAFwAbgAgACAAIAAgAGMAbABpAG0AYQB0AGUAWgBvAG4AZQBBAHIAcgBhAHkALABcAG4AIAAgACAAIABMAEUAVAAoAFwAbgAgACAAIAAgACAAIAAgACAAbQBhAHMAawAsAFwAbgAgACAAIAAgACAAIAAgACAAKABWAEEATABVAEUAKABtAGkAbgBUAGUAbQBwAEEAcgByAGEAeQApAFwAdQAwADAAMwBjAD0AYQB2AGcAVABlAG0AcAApACoAXABuACAAIAAgACAAIAAgACAAIAAoAFYAQQBMAFUARQAoAG0AYQB4AFQAZQBtAHAAQQByAHIAYQB5ACkAXAB1ADAAMAAzAGUAPQBhAHYAZwBUAGUAbQBwACkAKgBcAG4AIAAgACAAIAAgACAAIAAgACgAVgBBAEwAVQBFACgAbQBpAG4AUgBhAGkAbgBmAGEAbABsAEEAcgByAGEAeQApAFwAdQAwADAAMwBjAD0AYQB2AGcAUgBhAGkAbgApACoAXABuACAAIAAgACAAIAAgACAAIAAoAFYAQQBMAFUARQAoAG0AYQB4AFIAYQBpAG4AZgBhAGwAbABBAHIAcgBhAHkAKQBcAHUAMAAwADMAZQA9AGEAdgBnAFIAYQBpAG4AKQAqAFwAbgAgACAAIAAgACAAIAAgACAAKABWAEEATABVAEUAKABtAGkAbgBGAHIAbwBzAHQAQQByAHIAYQB5ACkAXAB1ADAAMAAzAGMAPQBmAHIAbwBzAHQARABhAHkAcwApACoAXABuACAAIAAgACAAIAAgACAAIAAoAFYAQQBMAFUARQAoAG0AYQB4AEYAcgBvAHMAdABBAHIAcgBhAHkAKQBcAHUAMAAwADMAZQA9AGYAcgBvAHMAdABEAGEAeQBzACkAKgBcAG4AIAAgACAAIAAgACAAIAAgACgAVgBBAEwAVQBFACgAbQBpAG4ARQBsAGUAdgBhAHQAaQBvAG4AQQByAHIAYQB5ACkAXAB1ADAAMAAzAGMAPQBlAGwAZQB2ACkAKgBcAG4AIAAgACAAIAAgACAAIAAgACgAVgBBAEwAVQBFACgAbQBhAHgARQBsAGUAdgBhAHQAaQBvAG4AQQByAHIAYQB5ACkAXAB1ADAAMAAzAGUAPQBlAGwAZQB2ACkAKgBcAG4AIAAgACAAIAAgACAAIAAgACgAVgBBAEwAVQBFACgAbQBpAG4AUABFAFQAQQByAHIAYQB5ACkAXAB1ADAAMAAzAGMAPQBtAGEAcABfAHAAZQB0ACkAKgBcAG4AIAAgACAAIAAgACAAIAAgACgAVgBBAEwAVQBFACgAbQBhAHgAUABFAFQAQQByAHIAYQB5ACkAXAB1ADAAMAAzAGU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BcAHUAMAAwADMAYwA9AEwAbwBvAGsAdQBwAFYAYQBsAHUAZQApACoAXABuACAAIAAgACAAIAAgACAAIAAoAFYAQQBMAFUARQAoAE0AYQB4AEEAcgByAGEAeQApAFwAdQAwADAAMwBlAD0ATABvAG8AawB1AHAAVgBhAGwAdQBlACkALABcAG4AIAAgACAAIAAgACAAIAAgAEYASQBMAFQARQBSACgASQB0AGUAbQBBAHIAcgBhAHkALAAgAG0AYQBzAGsALAAgAFwAIgBOAG8AIABtAGEAdABjAGgAXAAiACkAXABuACAAIAAgACAAKQBcAG4AKQA7AFwAbgBcAG4AXABuAFUAdABpAGwAaQB0AHkAXwBTAHUAbQBRAHUAYQBuAHQAaQB0AHkARgByAG8AbQBDAHIAaQB0AGUAcgBpAGEAXABuAD0ATABBAE0AQgBEAEEAKABcAG4AIAAgAEMAcgBpAHQAZQByAGkAYQAxACwAIABDAHIAaQB0AGUAcgBpAGEAMQBUAHkAcABlAEEAcgByAGEAeQAsACAAUQB1AGEAbgB0AGkAdAB5ACwAIABbAE0AdQBsAHQAaQBwAGwAaQBlAHIAXQAsACAAWwBDAHIAaQB0AGUAcgBpAGEAMgBdACwAWwBDAHIAaQB0AGUAcgBpAGEAMgBBAHIAcgBhAHkAXQAsAFwAbgAgACAATABFAFQAKABcAG4AIAAgACAAIABtAHUAbAB0AGkAcABsAGkAZQByACwAIABJAEYAKABJAFMATwBNAEkAVABUAEUARAAoAE0AdQBsAHQAaQBwAGwAaQBlAHIAKQAsADEALABNAHUAbAB0AGkAcABsAGkAZQByACkALABcAG4AIAAgACAAIABxAHUAYQBuAHQAaQB0AHkALAAgAFEAdQBhAG4AdABpAHQAeQAqAE0AdQBsAHQAaQBwAGwAaQBlAHIALABcAG4AIAAgACAAIABjAHIAaQB0AGUAcgBpAGEAMQAsAC0ALQAoAEMAcgBpAHQAZQByAGkAYQAxAFQAeQBwAGUAQQByAHIAYQB5AD0AQwByAGkAdABlAHIAaQBhADEAKQAsAFwAbgAgACAAIAAgAGMAcgBpAHQAZQByAGkAYQAyACwASQBGACgASQBTAE8ATQBJAFQAVABFAEQAKABDAHIAaQB0AGUAcgBpAGEAMgApACwAMQAsAC0ALQAoAEMAcgBpAHQAZQByAGkAYQAyAEEAcgByAGEAeQA9AEMAcgBpAHQAZQByAGkAYQAyACkAKQAsAFwAbgAgACAAIAAgAFMAVQBNAFAAUgBPAEQAVQBDAFQAKABjAHIAaQB0AGUAcgBpAGEAMQAqAGMAcgBpAHQAZQByAGkAYQAyACoAcQB1AGEAbgB0AGkAdAB5ACkAXABuACAAIAApAFwAbgApADsAXABuAFwAbgBnAGUAdABPAHYAZQByAGwAYQBwAHAAaQBuAGcAUgBlAHAAbwByAHQAaQBuAGcAQwB5AGMAbABl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BcAG4AIAAgACAAIAAgACAAIAAgAFAAZQByAGkAbwBkAEUAbgBkACwATABBAE0AQgBEAEEAKABzAHQALABFAEQAQQBUAEUAKABzAHQALAAxADIAKQAtADEAKQAsAFwAbgAgACAAIAAgACAAIAAgACAAQQAsAFMALQAzADYANQAsAFwAbgAgACAAIAAgACAAIAAgACAAeQBhACwAWQBFAEEAUgAoAEEAKQAsAFwAbgAgACAAIAAgACAAIAAgACAAeQBiACwAWQBFAEEAUgAoAEUAKQAsAFwAbgAgACAAIAAgACAAIAAgACAAZgBpAHIAcwB0AFkAZQBhAHIALAB5AGEAKwAoAFAAZQByAGkAbwBkAEUAbgBkACgARABBAFQARQAoAHkAYQAsAG0ALABkACkAKQBcAHUAMAAwADMAYwAgAFMAKQAsAFwAbgAgACAAIAAgACAAIAAgACAAbABhAHMAdABZAGUAYQByACwAeQBiAC0AKABEAEEAVABFACgAeQBiACwAbQAsAGQAKQBcAHUAMAAwADMAZQ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XAB1ADAAMAAyADcAdAAgAG8AdgBlAHIAbABhAHAAOwAgAG0AbwB2AGUAIAB0AG8AIABuAGUAeAB0ACAAeQBlAGEAcgAqAC8AXABuACAAIAAgACAAIAAgACAAIABmAGkAcgBzAHQAWQBlAGEAcgAsAHkAYQArACgAUABlAHIAaQBvAGQARQBuAGQAKABEAEEAVABFACgAeQBhACwAbQAsAGQAKQApAFwAdQAwADAAMwBjAFMAKQAsACAALwAqAGkAZgAgAHQAaABlACAAYQBuAGMAaABvAHIAIABmAG8AcgAgAHkAYgAgAHMAdABhAHIAdABzACAAYQBmAHQAZQByACAARQAsAGkAdAAgAGMAYQBuAFwAdQAwADAAMgA3AHQAIABvAHYAZQByAGwAYQBwADsAIABtAG8AdgBlACAAdABvACAAcAByAGUAdgBpAG8AdQBzACAAeQBlAGEAcgAqAC8AXABuACAAIAAgACAAIAAgACAAIABsAGEAcwB0AFkAZQBhAHIALAB5AGIALQAoAEQAQQBUAEUAKAB5AGIALABtACwAZAApAFwAdQAwADAAMwBlAEUAKQAsAFwAbgAgACAAIAAgACAAIAAgACAAbgAsAE0AQQBYACgAMAAsAGwAYQBzAHQAWQBlAGEAcgAtAGYAaQByAHMAdABZAGUAYQByACsAMQApACwAXABuACAAIAAgACAAIAAgACAAIAB5AHIAcwAsAFMARQBRAFUARQBOAEMARQAoAG4ALAAxACwAZgBpAHIAcwB0AFkAZQBhAHIALAAxACkALABcAG4AIAAgACAAIAAgACAAIAAgAHMAdABhAHIAdABzACwARABBAFQARQAoAHkAcgBzACwAbQAsAGQAKQAsAFwAbgAgACAAIAAgACAAIAAgACAAZQBuAGQAcwAsAE0AQQBQACgAcwB0AGEAcgB0AHMALABQAGUAcgBpAG8AZABFAG4AZAApACwAXABuACAAIAAgACAAIAAgACAAIAB0AGEAZwAsAEkARgAoAHMAdABhAHIAdABzAD0AUgBlAHAAbwByAHQAaQBuAGcAQwB5AGMAbABlAFMAdABhAHIAdAAsAFwAIgAgACgAVABoAGkAcwAgAHIAZQBwAG8AcgB0AGkAbgBnACAAYwB5AGMAbABlACkAXAAiACwAXAAiAFwAIgApACwAXABuACAAIAAgACAAIAAgACAAIABzAHQAYQByAHQAcwBUAGUAeAB0ACwAVABFAFgAVAAoAHMAdABhAHIAdABzACwAXAAiAGQAZAAgAG0AbQBtACAAeQB5AHkAeQBcACIAKQAsAFwAbgAgACAAIAAgACAAIAAgACAAZQBuAGQAcwBUAGUAeAB0ACwAVABFAFgAVAAoAGUAbgBkAHMALABcACIAZABkACAAbQBtAG0AIAB5AHkAeQB5AFwAIgApACwAXABuACAAIAAgACAAIAAgACAAIABJAEYAKABuAD0AMAAsAFwAIgBcACIALABIAFMAVABBAEMASwAoAHMAdABhAHIAdABzAFQAZQB4AHQAIABcAHUAMAAwADIANgAgAFwAIgAgAHQAbwAgAFwAIgAgAFwAdQAwADAAMgA2ACAAZQBuAGQAcwBUAGUAeAB0ACAAXAB1ADAAMAAyADYAIAB0AGEAZwApACkAXABuACAAIAAgACAAKQBcAG4AKQA7AFwAbgBcAG4AVQB0AGkAbABpAHQAeQBfAEQAaQBzAHAAbABhAHkARgB1AG4AYwB0AGkAbwBuAE4AYQBtAGUAXABuAD0ATABBAE0AQgBEAEEAKABGAHUAbgBjAHQAaQBvAG4ALAAgAFQARQBYAFQAQgBFAEYATwBSAEUAKABGAE8AUgBNAFUATABBAFQARQBYAFQAKABGAHUAbgBjAHQAaQBvAG4AKQAsACAAXAAiACgAXAAiACkAKQA7AFwAbgBcAG4AVQB0AGkAbABpAHQAeQBfAEwAbwBvAGsAdQBwAE4AMgBPAEUARgBGAHIAbwBtAFAAcgBvAGQASQByAHIAaQBnAGEAdABpAG8AbgBSAGEAaQBuAGYAYQBsAGwAXABuAD0ATABBAE0AQgBEAEEAKABcAG4AIAAgACAAIABQAHIAbwBkAHUAYwB0AGkAbwBuAFMAeQBzAHQAZQBtACwAIABJAHIAcgBpAGcAYQB0AGkAbwBuAE0AZQB0AGgAbwBkACwAIABSAGEAaQBuAGYAYQBsAGwAWgBvAG4AZQAsAFwAbgAgACAAIAAgAFAAcgBvAGQAdQBjAHQAaQBvAG4AUwB5AHMAdABlAG0AQQByAHIAYQB5ACwAIABJAHIAcgBpAGcAYQB0AGkAbwBuAE0AZQB0AGgAbwBkAEEAcgByAGEAeQAsACAAUgBhAGkAbgBmAGEAbABsAFoAbwBuAGUAQQByAHIAYQB5ACwAUgBlAHQAdQByAG4AQQByAHIAYQB5ACwAXABuACAAIAAgACAATABFAFQAKABcAG4AIAAgACAAIAAgACAAIAAgAEkAcgByAGkAZwBhAHQAaQBvAG4ATQBlAHQAaABvAGQALAAgAEkARgAoAEkAcgByAGkAZwBhAHQAaQBvAG4ATQBlAHQAaABvAGQAPQBcACIATgBvAHQAIABpAHIAcgBpAGcAYQB0AGUAZABcACIALAAgAFwAIgBOAG8AdAAgAGkAcgByAGkAZwBhAHQAZQBkAFwAIgAsACAAXAAiAEEAbgB5AFwAIgApACwAXABuACAAIAAgACAAIAAgACAAIABSAGEAaQBuAGYAYQBsAGwAWgBvAG4AZQAsACAASQBGACgASQByAHIAaQBnAGEAdABpAG8AbgBNAGUAdABoAG8AZAAgAD0AIABcACIATgBvAHQAIABpAHIAcgBpAGcAYQB0AGUAZABcACIALAAgAFIAYQBpAG4AZgBhAGwAbABaAG8AbgBlACwAIABcACIAQQBuAHkAXAAiACkALABcAG4AIAAgACAAIAAgACAAIAAgAFgATABPAE8ASwBVAFAAKAAxACwAIABcAG4AIAAgACAAIAAgACAAIAAgACAAIAAgACAAKABQAHIAbwBkAHUAYwB0AGkAbwBuAFMAeQBzAHQAZQBtAEEAcgByAGEAeQA9AFAAcgBvAGQAdQBjAHQAaQBvAG4AUwB5AHMAdABlAG0AKQAqAFwAbgAgACAAIAAgACAAIAAgACAAIAAgACAAIAAoAEkAcgByAGkAZwBhAHQAaQBvAG4ATQBlAHQAaABvAGQAQQByAHIAYQB5AD0ASQByAHIAaQBnAGEAdABpAG8AbgBNAGUAdABoAG8AZAApACoAXABuACAAIAAgACAAIAAgACAAIAAgACAAIAAgACgAUgBhAGkAbgBmAGEAbABsAFoAbwBuAGUAQQByAHIAYQB5AD0AUgBhAGkAbgBmAGEAbABsAFoAbwBuAGUAKQAsACAAXABuACAAIAAgACAAIAAgACAAIAAgACAAIAAgAFIAZQB0AHUAcgBuAEEAcgByAGEAeQApAFwAbgAgACAAIAAgACkAXABuACkAOwBcAG4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BcAHUAMAAwADMAZQ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HUAMAAwADIANwBcACIAIABcAHUAMAAwADIANgAgAHMAaAAgAFwAdQAwADAAMgA2ACAAXAAiAFwAdQAwADAAMgA3ACEAXAAiACAAXAB1ADAAMAAyADYAIABhAGQAZAByAFwAbgAgACAAKQBcAG4AKQA7AFwAbgBcAG4AVQB0AGkAbABpAHQAeQBfAFMAbwB1AHIAYwBlAEgAeQBwAGUAcgBsAGkAbgBrAEQAaQBmAGYAZQByAGUAbgB0AFMAaABlAGUAdA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IgAgAFwAdQAwADAAMgA2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IATwBVAE4ARAAoAFQAZQBtAHAAZQByAGEAdAB1AHIAZQAsACAAMAApACwAIABcAG4AIAAgACAAIAAgACAAIAAgACAAIAAgACAATQBJAE4AKABUAGUAbQBwAGUAcgBhAHQAdQByAGUAQQByAHIAYQB5ACkALAAgAFwAbgAgACAAIAAgACAAIAAgACAAIAAgACAAIABNAEEAWAAoAFQAZQBtAHAAZQByAGEAdAB1AHIAZQBBAHIAcgBhAHkAKQBcAG4AIAAgACAAIAAgACAAIAAgACkALABcAG4AIAAgACAAIAAgACAAIAAgAFQAZQBtAHAAZQByAGEAdAB1AHIAZQBBAHIAcgBhAHkALABcAG4AIAAgACAAIAAgACAAIAAgAFgATABPAE8ASwBVAFAAKABNAE0AUwAsACAATQBNAFMAQQByAHIAYQB5ACwAIABSAGUAdAB1AHIAbgBBAHIAcgBhAHkAKQBcAG4AIAAgACAAIAApAFwAbgApADsAXABuAFwAbgBcAG4AVQB0AGkAbABpAHQAeQBfAFIAZQBzAHUAbAB0AHMASQB0AGUAbQBGAHIAbwBtAEUAcQB1AGEAdABpAG8AbgBUAGkAdABsAGUAQQBuAGQAUwBvAHUAcgBjAGUAXABuAD0ATABBAE0AQgBEAEEAKABcAG4AIAAgACAAIABUAGkAdABsAGUAQwBlAGwAbAAsACAAUwBvAHUAcgBjAGUAQwBlAGwAbAAsAFwAbgAgACAAIAAgAFMAVQBCAFMAVABJAFQAVQBUAEUAKABMAEUARgBUACgAUwBvAHUAcgBjAGUAQwBlAGwAbAAsACAARgBJAE4ARAAoAFwAIgAsAFwAIgAsACAAUwBvAHUAcgBjAGUAQwBlAGwAbAApACAALQAxACkALAAgAFwAIgBWAEUARQBSAEcAIAAyADAAMgA2ADoAIABcACIALAAgAFwAIgBcACIAKQAgAFwAdQAwADAAMgA2ACAAXAAiACAAXAAiACAAXAB1ADAAMAAyADYAIABUAGkAdABsAGUAQwBlAGwAbABcAG4AKQA7ACIAfQAsAHsAIgBwAGEAdABoACIAOgAiAC8AcAByAG8AagBlAGMAdABzAC8AQwBvAG0AbQBvAG4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ZQBuAHQAZQByAHAAcgBpAHMAZQAgAHQAeQBwAGUAcwBcAG4ARQB4AGMAZQBsACAAbQBvAGQAdQBsAGUAIABuAGEAbQBlADoAIABDAG8AbQBtAG8AbgBfAFMAbwB1AHIAYwBlAEQAYQB0AGE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EMAbwBtAG0AbwBuAF8AUwBvAHUAcgBjAGUARABhAHQAYQBfAEQAZQBuAHMAaQB0AHkATwBmAE0AZQB0AGgAYQBuAGUAXABuAHAAIAA9ACAAZABlAG4AcwBpAHQAeQAgAG8AZgAgAG0AZQB0AGgAYQBuAGUAIAAoADAALgA2ADcAOAA0ACAAawBnAC8AbQAzACkAXABuAFQAYQBrAGUAbgAgAGYAcgBvAG0AIAB0AGgAZQAgAE4AYQB0AGkAbwBuAGEAbAAgAEcAcgBlAGUAbgBoAG8AdQBzAGUAIABhAG4AZAAgAEUAbgBlAHIAZwB5ACAAUgBlAHAAbwByAHQAaQBuAGcAIABcAG4AKABNAGUAYQBzAHUAcgBlAG0AZQBuAHQAKQAgAEQAZQB0AGUAcgBtAGkAbgBhAHQAaQBvAG4AIAAyADAAMAA4AFwAbgAtAC0ALQAtAC0ALQAtAC0ALQAtAC0ALQAtAC0ALQAtAC0ALQAtAC0ALQAtAC0ALQAtAC0ALQAtAC0ALQAtAC0ALQAtAC0ALQAtAC0AXABuACoALwBcAG4AXABuAEMAbwBtAG0AbwBuAF8AUwBvAHUAcgBjAGUARABhAHQAYQBfAEQAZQBuAHMAaQB0AHkATwBmAE0AZQB0AGgAYQBuAGUAXwBUAGkAdABsAGUAXABuACAAIAA9AEwAQQBNAEIARABBACgAXAAiAHAAIAA9ACAAZABlAG4AcwBpAHQAeQAgAG8AZgAgAG0AZQB0AGgAYQBuAGUAXAAiACkAOwBcAG4AXABuAEMAbwBtAG0AbwBuAF8AUwBvAHUAcgBjAGUARABhAHQAYQBfAEQAZQBuAHMAaQB0AHkATwBmAE0AZQB0AGgAYQBuAGUAXwBVAG4AaQB0AFwAbgAgACAAPQBMAEEATQBCAEQAQQAoAFwAIgBrAGcALwBtADMAXAAiACkAOwBcAG4AXABuAEMAbwBtAG0AbwBuAF8AUwBvAHUAcgBjAGUARABhAHQAYQBfAEQAZQBuAHMAaQB0AHkATwBmAE0AZQB0AGgAYQBuAGUAXwBTAG8AdQByAGMAZQBcAG4AIAAgAD0ATABBAE0AQgBEAEEAKABcACIATgBhAHQAaQBvAG4AYQBsACAASQBuAHYAZQBuAHQAbwByAHkAIABSAGUAcABvAHIAdAAgADIAMAAyADMAIABWAG8AbAB1AG0AZQAgADEAOgAgAEUAcQB1AGEAdABpAG8AbgBzACAAMwAuAEIALgAxAGEAXwAyACwAIAAzAC4AQgAuADEAYwBfADIALAAgADMALgBCAC4AMwBfADEALAAgADMALgBCAC4ANABnAF8AMgBcACIAKQA7AFwAbgBcAG4AQwBvAG0AbQBvAG4AXwBTAG8AdQByAGMAZQBEAGEAdABhAF8ARABlAG4AcwBpAHQAeQBPAGYATQBlAHQAaABhAG4AZQBfAEQAYQB0AGEAXABuACAAIAA9AEwAQQBNAEIARABBACgAMAAuADYANwA4ADQAKQA7AFwAbgBcAG4ALwAqACAAXABuAC0ALQAtAC0ALQAtAC0ALQAtAC0ALQAtAC0ALQAtAC0ALQAtAC0ALQAtAC0ALQAtAC0ALQAtAC0ALQAtAC0ALQAtAC0ALQAtAC0ALQBcAG4AQwBvAG0AbQBvAG4AXwBTAG8AdQByAGMAZQBEAGEAdABhAF8AQwBvAG4AdgBlAHIAdABOADIAbwBFAGwAZQBtAGUAbgB0AGEAbABUAG8ATQBvAGwAZQBjAHUAbABhAHIAQwBnAFwAbgBDAGcAIAA9ACAANAA0AC8AMgA4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QwBvAG0AbQBvAG4AXwBTAG8AdQByAGMAZQBEAGEAdABhAF8AQwBvAG4AdgBlAHIAdABOADIAbwBFAGwAZQBtAGUAbgB0AGEAbABUAG8ATQBvAGwAZQBjAHUAbABhAHIAQwBnAF8AVABpAHQAbABlAFwAbgAgACAAPQBMAEEATQBCAEQAQQAoAFwAIgBGAGEAYwB0AG8AcgAgAHQAbwAgAGMAbwBuAHYAZQByAHQAIABlAGwAZQBtAGUAbgB0AGEAbAAgAG0AYQBzAHMAIABvAGYAIABOADIATwAgAHQAbwAgAG0AbwBsAGUAYwB1AGwAYQByACAAbQBhAHMAcwBcACIAKQA7AFwAbgBcAG4AQwBvAG0AbQBvAG4AXwBTAG8AdQByAGMAZQBEAGEAdABhAF8AQwBvAG4AdgBlAHIAdABOADIAbwBFAGwAZQBtAGUAbgB0AGEAbABUAG8ATQBvAGwAZQBjAHUAbABhAHIAQwBnAF8AVgBhAHIAaQBhAGIAbABlAFwAbgAgACAAPQBMAEEATQBCAEQAQQAoAFwAIgBDAGcATgAyAE8AXAAiACkAOwBcAG4AXABuAEMAbwBtAG0AbwBuAF8AUwBvAHUAcgBjAGUARABhAHQAYQBfAEMAbwBuAHYAZQByAHQATgAyAG8ARQBsAGUAbQBlAG4AdABhAGwAVABvAE0AbwBsAGUAYwB1AGwAYQByAEMAZwBfAFUAbgBpAHQAXABuACAAIAA9AEwAQQBNAEIARABBACgAXAAiAGYAYQBjAHQAbwByAFwAIgApADsAXABuAFwAbgBDAG8AbQBtAG8AbgBfAFMAbwB1AHIAYwBlAEQAYQB0AGEAXwBDAG8AbgB2AGUAcgB0AE4AMgBvAEUAbABlAG0AZQBuAHQAYQBsAFQAbwBNAG8AbABlAGMAdQBsAGEAcgBDAGcAXwBTAG8AdQByAGMAZQBcAG4AIAAgAD0ATABBAE0AQgBEAEEAKABcACIATgBhAHQAaQBvAG4AYQBsACAASQBuAHYAZQBuAHQAbwByAHkAIABSAGUAcABvAHIAdAAgADIAMAAyADMAIABWAG8AbAB1AG0AZQAgADEAXAAiACkAOwBcAG4AXABuAEMAbwBtAG0AbwBuAF8AUwBvAHUAcgBjAGUARABhAHQAYQBfAEMAbwBuAHYAZQByAHQATgAyAG8ARQBsAGUAbQBlAG4AdABhAGwAVABvAE0AbwBsAGUAYwB1AGwAYQByAEMAZwBfAEQAYQB0AGEAXABuACAAIAA9AEwAQQBNAEIARABBACgANAA0AC8AMgA4ACkAOwBcAG4AXABuAC8AKgAgAFwAbgAtAC0ALQAtAC0ALQAtAC0ALQAtAC0ALQAtAC0ALQAtAC0ALQAtAC0ALQAtAC0ALQAtAC0ALQAtAC0ALQAtAC0ALQAtAC0ALQAtAC0AXABuAEMAbwBtAG0AbwBuAF8AUwBvAHUAcgBjAGUARABhAHQAYQBfAEMAbwBuAHYAZQByAHQARwBhAHMARQBsAGUAbQBlAG4AdABhAGwAVABvAE0AbwBsAGUAYwB1AGwAYQByAFwAbgBGAGEAYwB0AG8AcgAgAHQAbwAgAGMAbwBuAHYAZQByAHQAIABlAGwAZQBtAGUAbgB0AGEAbAAgAG0AYQBzAHMAIABvAGYAIABnAGEAcwAgAHQAbwAgAG0AbwBsAGUAYwB1AGwAYQByACAAbQBhAHMAcwBcAG4ALQAtAC0ALQAtAC0ALQAtAC0ALQAtAC0ALQAtAC0ALQAtAC0ALQAtAC0ALQAtAC0ALQAtAC0ALQAtAC0ALQAtAC0ALQAtAC0ALQAtAFwAbgAqAC8AXABuAFwAbgBDAG8AbQBtAG8AbgBfAFMAbwB1AHIAYwBlAEQAYQB0AGEAXwBDAG8AbgB2AGUAcgB0AEcAYQBzAEUAbABlAG0AZQBuAHQAYQBsAFQAbwBNAG8AbABlAGMAdQBsAGEAcgBfAFQAaQB0AGwAZQBcAG4AIAAgAD0ATABBAE0AQgBEAEEAKABcACIARgBhAGMAdABvAHIAIAB0AG8AIABjAG8AbgB2AGUAcgB0ACAAZQBsAGUAbQBlAG4AdABhAGwAIABtAGEAcwBzACAAbwBmACAAZwBhAHMAIAB0AG8AIABtAG8AbABlAGMAdQBsAGEAcgAgAG0AYQBzAHMAXAAiACkAOwBcAG4AXABuAEMAbwBtAG0AbwBuAF8AUwBvAHUAcgBjAGUARABhAHQAYQBfAEMAbwBuAHYAZQByAHQARwBhAHMARQBsAGUAbQBlAG4AdABhAGwAVABvAE0AbwBsAGUAYwB1AGwAYQByAF8AVgBhAHIAaQBhAGIAbABlAFwAbgAgACAAPQBMAEEATQBCAEQAQQAoAFwAIgBDAGcAXAAiACkAOwBcAG4AXABuAEMAbwBtAG0AbwBuAF8AUwBvAHUAcgBjAGUARABhAHQAYQBfAEMAbwBuAHYAZQByAHQARwBhAHMARQBsAGUAbQBlAG4AdABhAGwAVABvAE0AbwBsAGUAYwB1AGwAYQByAF8AVQBuAGkAdABcAG4AIAAgAD0ATABBAE0AQgBEAEEAKABcACIAZgBhAGMAdABvAHIAXAAiACkAOwBcAG4AXABuAEMAbwBtAG0AbwBuAF8AUwBvAHUAcgBjAGUARABhAHQAYQBfAEMAbwBuAHYAZQByAHQARwBhAHMARQBsAGUAbQBlAG4AdABhAGwAVABvAE0AbwBsAGUAYwB1AGwAYQByAF8AUwBvAHUAcgBjAGUAXABuACAAIAA9AEwAQQBNAEIARABBACgAXAAiAFgAWABYAFgAWABYAFgAXAAiACkAOwBcAG4AXABuAEMAbwBtAG0AbwBuAF8AUwBvAHUAcgBjAGUARABhAHQAYQBfAEMAbwBuAHYAZQByAHQARwBhAHMARQBsAGUAbQBlAG4AdABhAGwAVABvAE0AbwBsAGUAYwB1AGwAYQByAF8ARABhAHQAYQBcAG4AIAAgAD0ATABBAE0AQgBEAEEAKABcAG4AIAAgACAAIABNAEEASwBFAEEAUgBSAEEAWQAoADgALAAgADQALAAgAFwAbgAgACAAIAAgACAAIABMAEEATQBCAEQAQQAoAHIALABjACwAIABcAG4AIAAgACAAIAAgACAAIAAgAEkATgBEAEUAWAAoAHsAXABuACAAIAAgACAAIAAgACAAIAAgACAAXAAiAEcAYQBzAFwAIgAsACAAXAAiAEMAbwBuAHYAZQByAHMAaQBvAG4AIABmAGEAYwB0AG8AcgBcACIALAAgAFwAIgBDAG8AbgB2AGUAcgBzAGkAbwBuACAAZgBhAGMAdABvAHIAIAAxAFwAIgAsACAAXAAiAEMAbwBuAHYAZQByAHMAaQBvAG4AIABmAGEAYwB0AG8AcgAgADIAXAAiADsAXABuACAAIAAgACAAIAAgACAAIAAgACAAXAAiAEMATwAyAFwAIgAsACAAXAAiADQANAAvADEAMgBcACIALAAgADQANAAsACAAMQAyADsAXABuACAAIAAgACAAIAAgACAAIAAgACAAXAAiAEMASAA0AFwAIgAsACAAXAAiADEANgAvADEAMgBcACIALAAgADEANgAsACAAMQAyADsAXABuACAAIAAgACAAIAAgACAAIAAgACAAXAAiAE4AMgBPAFwAIgAsACAAXAAiADQANAAvADIAOABcACIALAAgADQANAAsACAAMgA4ADsAXABuACAAIAAgACAAIAAgACAAIAAgACAAXAAiAE4AbwB4AFwAIgAsACAAXAAiADQANgAvADEANABcACIALAAgADQANgAsACAAMQA0ADsAXABuACAAIAAgACAAIAAgACAAIAAgACAAXAAiAEMATwBcACIALAAgAFwAIgAyADgALwAxADIAXAAiACwAIAAyADgALAAgADEAMgA7AFwAbgAgACAAIAAgACAAIAAgACAAIAAgAFwAIgBDAE8AMgAgAEwAaQBtAGUAXAAiACwAIABcACIANAA0AC8AMQAyAFwAIgAsACAANAA0ACwAIAAxADIAOwBcAG4AIAAgACAAIAAgACAAIAAgACAAIABcACIATgBNAFYATwBDAFwAIgAsACAAXAAiADEANAAvADEAMgBcACIALAAgADEANAAsACAAMQAy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HAFcAUABOADIATwBcAG4ARwBsAG8AYgBhAGwAIAB3AGEAcgBtAGkAbgBnACAAcABvAHQAZQBuAHQAaQBhAGwAIABmAG8AcgAgAGcAcgBlAGUAbgBoAG8AdQBzAGUAIABnAGEAcwBlAHMAXABuAC0ALQAtAC0ALQAtAC0ALQAtAC0ALQAtAC0ALQAtAC0ALQAtAC0ALQAtAC0ALQAtAC0ALQAtAC0ALQAtAC0ALQAtAC0ALQAtAC0ALQBcAG4AKgAvAFwAbgBcAG4AQwBvAG0AbQBvAG4AXwBTAG8AdQByAGMAZQBEAGEAdABhAF8ARwBXAFAAXwBUAGkAdABsAGUAXABuACAAIAA9AEwAQQBNAEIARABBACgAXAAiAEcAbABvAGIAYQBsACAAdwBhAHIAbQBpAG4AZwAgAHAAbwB0AGUAbgB0AGkAYQBsACAAZgBvAHIAIABnAHIAZQBlAG4AaABvAHUAcwBlACAAZwBhAHMAZQBzAFwAIgApADsAXABuAFwAbgBDAG8AbQBtAG8AbgBfAFMAbwB1AHIAYwBlAEQAYQB0AGEAXwBHAFcAUABfAFYAYQByAGkAYQBiAGwAZQBcAG4AIAAgAD0ATABBAE0AQgBEAEEAKABcACIARwBXAFAATgAyAE8AXAAiACkAOwBcAG4AXABuAEMAbwBtAG0AbwBuAF8AUwBvAHUAcgBjAGUARABhAHQAYQBfAEcAVwBQAF8AVQBuAGkAdABcAG4AIAAgAD0ATABBAE0AQgBEAEEAKABcACIAZgBhAGMAdABvAHIAXAAiACkAOwBcAG4AXABuAEMAbwBtAG0AbwBuAF8AUwBvAHUAcgBjAGUARABhAHQAYQBfAEcAVwBQAF8AUwBvAHUAcgBjAGUAXABuACAAIAA9AEwAQQBNAEIARABBACgAXAAiAFgAWABYAFgAWABYAFgAXAAiACkAOwBcAG4AXABuAEMAbwBtAG0AbwBuAF8AUwBvAHUAcgBjAGUARABhAHQAYQBfAEcAVwBQAF8ARABhAHQAYQBcAG4AIAAgAD0ATABBAE0AQgBEAEEAKABcAG4AIAAgACAAIABNAEEASwBFAEEAUgBSAEEAWQAoADgALAAgADIALAAgAFwAbgAgACAAIAAgACAAIABMAEEATQBCAEQAQQAoAHIALABjACwAIABcAG4AIAAgACAAIAAgACAAIAAgAEkATgBEAEUAWAAoAHsAXABuACAAIAAgACAAIAAgACAAIAAgACAAXAAiAEcAYQBzAFwAIgAsACAAXAAiAEMATwAyAC0AZQAgAGYAYQBjAHQAbwByAFwAIgA7AFwAbgAgACAAIAAgACAAIAAgACAAIAAgAFwAIgBDAE8AMgBcACIALAAgADEAOwBcAG4AIAAgACAAIAAgACAAIAAgACAAIABcACIAQwBIADQAXAAiACwAIAAyADgAOwBcAG4AIAAgACAAIAAgACAAIAAgACAAIABcACIATgAyAE8AXAAiACwAIAAyADYANQA7AFwAbgAgACAAIAAgACAAIAAgACAAIAAgAFwAIgBDAEYANABcACIALAAgADYANgAzADAAOwBcAG4AIAAgACAAIAAgACAAIAAgACAAIABcACIAQwAyAEYANgBcACIALAAgADEAMgAyADAAMAA7AFwAbgAgACAAIAAgACAAIAAgACAAIAAgAFwAIgBTAEYANgBcACIALAAgADIAMgA4ADAAMAA7AFwAbgAgACAAIAAgACAAIAAgACAAIAAgAFwAIgBOAEYAMwBcACIALAAgADEANwAyADAAMA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EAdQBzAHQAcgBhAGwAaQBhAG4AUwB0AGEAdABlAHMAVABlAHIAcgBpAHQAbwByAGkAZQBzAFwAbgAtAC0ALQAtAC0ALQAtAC0ALQAtAC0ALQAtAC0ALQAtAC0ALQAtAC0ALQAtAC0ALQAtAC0ALQAtAC0ALQAtAC0ALQAtAC0ALQAtAC0AXABuACoALwBcAG4AXABuAEMAbwBtAG0AbwBuAF8AUwBvAHUAcgBjAGUARABhAHQAYQBfAEEAdQBzAHQAcgBhAGwAaQBhAG4AUwB0AGEAdABlAHMAVABlAHIAcgBpAHQAbwByAGkAZQBzAF8AVABpAHQAbABlAFwAbgAgACAAPQBMAEEATQBCAEQAQQAoAFwAIgBBAHUAcwB0AHIAYQBsAGkAYQBuACAAcwB0AGEAdABlAHMAIABhAG4AZAAgAHQAZQByAHIAaQB0AG8AcgBpAGUAcwBcACIAKQA7AFwAbgBcAG4AQwBvAG0AbQBvAG4AXwBTAG8AdQByAGMAZQBEAGEAdABhAF8AQQB1AHMAdAByAGEAbABpAGEAbgBTAHQAYQB0AGUAcwBUAGUAcgByAGkAdABvAHIAaQBlAHMAXwBWAGEAcgBpAGEAYgBsAGUAXABuACAAIAA9AEwAQQBNAEIARABBACgAXAAiAFwAIgApADsAXABuAFwAbgBDAG8AbQBtAG8AbgBfAFMAbwB1AHIAYwBlAEQAYQB0AGEAXwBBAHUAcwB0AHIAYQBsAGkAYQBuAFMAdABhAHQAZQBzAFQAZQByAHIAaQB0AG8AcgBpAGUAcwBfAFUAbgBpAHQAXABuACAAIAA9AEwAQQBNAEIARABBACgAXAAiAFwAIgApADsAXABuAFwAbgBDAG8AbQBtAG8AbgBfAFMAbwB1AHIAYwBlAEQAYQB0AGEAXwBBAHUAcwB0AHIAYQBsAGkAYQBuAFMAdABhAHQAZQBzAFQAZQByAHIAaQB0AG8AcgBpAGUAcwBfAFMAbwB1AHIAYwBlAFwAbgAgACAAPQBMAEEATQBCAEQAQQAoAFwAIgBcACIAKQA7AFwAbgBcAG4AQwBvAG0AbQBvAG4AXwBTAG8AdQByAGMAZQBEAGEAdABhAF8AQQB1AHMAdAByAGEAbABpAGEAbgBTAHQAYQB0AGUAcwBUAGUAcgByAGkAdABvAHIAaQBlAHMAXwBEAGEAdABhAFwAbgAgACAAIAA9AEwAQQBNAEIARABBACgAXABuACAAIAAgACAATQBBAEsARQBBAFIAUgBBAFkAKAA5ACwAIAAzACwAIABcAG4AIAAgACAAIAAgACAATABBAE0AQgBEAEEAKAByACwAYwAsACAAXABuACAAIAAgACAAIAAgACAAIABJAE4ARABFAFgAKAB7AFwAbgAgACAAIAAgACAAIAAgACAAIAAgAFwAIgBTAHQAYQB0AGUALwBUAGUAcgByAGkAdABvAHIAeQBcACIALAAgAFwAIgBDAG8AbQBtAG8AbgAgAE4AYQBtAGUAXAAiACwAIABcACIAQQBiAGIAcgBlAHYAaQBhAHQAaQBvAG4AXAAiADsAXABuACAAIAAgACAAIAAgACAAIAAgACAAXAAiAE4AZQB3ACAAUwBvAHUAdABoACAAVwBhAGwAZQBzAFwAIgAsACAAXAAiAE4AZQB3ACAAUwBvAHUAdABoACAAVwBhAGwAZQBzAFwAIgAsACAAXAAiAE4AUwBXAFwAIgA7AFwAbgAgACAAIAAgACAAIAAgACAAIAAgAFwAIgBBAHUAcwB0AHIAYQBsAGkAYQBuACAAQwBhAHAAaQB0AGEAbAAgAFQAZQByAHIAaQB0AG8AcgB5AFwAIgAsACAAXAAiAEEAQwBUAFwAIgAsACAAXAAiAEEAQwBUAFwAIgA7AFwAbgAgACAAIAAgACAAIAAgACAAIAAgAFwAIgBWAGkAYwB0AG8AcgBpAGEAXAAiACwAIABcACIAVgBpAGMAdABvAHIAaQBhAFwAIgAsACAAXAAiAFYASQBDAFwAIgA7AFwAbgAgACAAIAAgACAAIAAgACAAIAAgAFwAIgBRAHUAZQBlAG4AcwBsAGEAbgBkAFwAIgAsACAAXAAiAFEAdQBlAGUAbgBzAGwAYQBuAGQAXAAiACwAIABcACIAUQBMAEQAXAAiADsAXABuACAAIAAgACAAIAAgACAAIAAgACAAXAAiAFMAbwB1AHQAaAAgAEEAdQBzAHQAcgBhAGwAaQBhAFwAIgAsACAAXAAiAFMAbwB1AHQAaAAgAEEAdQBzAHQAcgBhAGwAaQBhAFwAIgAsACAAXAAiAFMAQQBcACIAOwBcAG4AIAAgACAAIAAgACAAIAAgACAAIABcACIAVwBlAHMAdABlAHIAbgAgAEEAdQBzAHQAcgBhAGwAaQBhAFwAIgAsACAAXAAiAFcAZQBzAHQAZQByAG4AIABBAHUAcwB0AHIAYQBsAGkAYQBcACIALAAgAFwAIgBXAEEAXAAiADsAXABuACAAIAAgACAAIAAgACAAIAAgACAAXAAiAFQAYQBzAG0AYQBuAGkAYQBcACIALAAgAFwAIgBUAGEAcwBtAGEAbgBpAGEAXAAiACwAIABcACIAVABBAFMAXAAiADsAXABuACAAIAAgACAAIAAgACAAIAAgACAAXAAiAE4AbwByAHQAaABlAHIAbgAgAFQAZQByAHIAaQB0AG8AcgB5AFwAIgAsACAAXAAiAE4AbwByAHQAaABlAHIAbgAgAFQAZQByAHIAaQB0AG8AcgB5AFwAIgAsACAAXAAiAE4AVA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QQBTAEEANABBAHIAZQBhAHMAXABuAC0ALQAtAC0ALQAtAC0ALQAtAC0ALQAtAC0ALQAtAC0ALQAtAC0ALQAtAC0ALQAtAC0ALQAtAC0ALQAtAC0ALQAtAC0ALQAtAC0ALQBcAG4AKgAvAFwAbgBcAG4AQwBvAG0AbQBvAG4AXwBTAG8AdQByAGMAZQBEAGEAdABhAF8AVwBBAFMAQQA0AEEAcgBlAGEAcwBfAFQAaQB0AGwAZQBcAG4AIAAgAD0ATABBAE0AQgBEAEEAKABcACIAQQBCAFMAIABTAHQAYQB0AGkAcwB0AGMAYQBsACAAQQByAGUAYQBzACAATABlAHYAZQBsACAANAAgAC0AIABXAGUAcwB0AGUAcgBuACAAQQB1AHMAdAByAGEAbABpAGEAXAAiACkAOwBcAG4AXABuAEMAbwBtAG0AbwBuAF8AUwBvAHUAcgBjAGUARABhAHQAYQBfAFcAQQBTAEEANABBAHIAZQBhAHMAXwBWAGEAcgBpAGEAYgBsAGUAXABuACAAIAA9AEwAQQBNAEIARABBACgAXAAiAFwAIgApADsAXABuAFwAbgBDAG8AbQBtAG8AbgBfAFMAbwB1AHIAYwBlAEQAYQB0AGEAXwBXAEEAUwBBADQAQQByAGUAYQBzAF8AVQBuAGkAdABcAG4AIAAgAD0ATABBAE0AQgBEAEEAKABcACIAXAAiACkAOwBcAG4AXABuAEMAbwBtAG0AbwBuAF8AUwBvAHUAcgBjAGUARABhAHQAYQBfAFcAQQBTAEEANABBAHIAZQBhAHMAXwBTAG8AdQByAGMAZQBcAG4AIAAgAD0ATABBAE0AQgBEAEEAKABcACIAQQB1AHMAdAByAGEAbABpAGEAbgAgAEIAdQByAGUAYQB1ACAAbwBmACAAUwB0AGEAdABpAHMAdABpAGMAcwAgACgAQQBCAFMAKQAgAC0AIABTAHQAYQB0AGkAcwB0AGkAYwBhAGwAIABBAHIAZQBhAHMAIABMAGUAdgBlAGwAIAAyACAALQAgADIAMAAyADEAIAAtACAAUwBoAGEAcABlAGYAaQBsAGUAXAAiACkAOwBcAG4AXABuAEMAbwBtAG0AbwBuAF8AUwBvAHUAcgBjAGUARABhAHQAYQBfAFcAQQBTAEEANABBAHIAZQBhAHMAXwBEAGEAdABhAFwAbgAgACAAIAA9AEwAQQBNAEIARABBACgAXABuACAAIAAgACAATQBBAEsARQBBAFIAUgBBAFkAKAAxADEALAAgADEALAAgAFwAbgAgACAAIAAgACAAIABMAEEATQBCAEQAQQAoAHIALABjACwAIABcAG4AIAAgACAAIAAgACAAIAAgAEkATgBEAEUAWAAoAHsAXABuACAAIAAgACAAIAAgACAAIAAgACAAXAAiAFMAQQAgADQAIABOAGEAbQBlAFwAIgA7AFwAbgAgACAAIAAgACAAIAAgACAAIAAgAFwAIgBCAHUAbgBiAHUAcgB5AFwAIgA7AFwAbgAgACAAIAAgACAAIAAgACAAIAAgAFwAIgBNAGEAbgBkAHUAcgBhAGgAXAAiADsAXABuACAAIAAgACAAIAAgACAAIAAgACAAXAAiAFAAZQByAHQAaAAgAC0AIABJAG4AbgBlAHIAXAAiADsAXABuACAAIAAgACAAIAAgACAAIAAgACAAXAAiAFAAZQByAHQAaAAgAC0AIABOAG8AcgB0AGgAIABFAGEAcwB0AFwAIgA7AFwAbgAgACAAIAAgACAAIAAgACAAIAAgAFwAIgBQAGUAcgB0AGgAIAAtACAATgBvAHIAdABoACAAVwBlAHMAdABcACIAOwBcAG4AIAAgACAAIAAgACAAIAAgACAAIABcACIAUABlAHIAdABoACAALQAgAFMAbwB1AHQAaAAgAEUAYQBzAHQAXAAiADsAXABuACAAIAAgACAAIAAgACAAIAAgACAAXAAiAFAAZQByAHQAaAAgAC0AIABTAG8AdQB0AGgAIABXAGUAcwB0AFwAIgA7AFwAbgAgACAAIAAgACAAIAAgACAAIAAgAFwAIgBXAGUAcwB0AGUAcgBuACAAQQB1AHMAdAByAGEAbABpAGEAIAAtACAAVwBoAGUAYQB0ACAAQgBlAGwAdABcACIAOwBcAG4AIAAgACAAIAAgACAAIAAgACAAIABcACIAVwBlAHMAdABlAHIAbgAgAEEAdQBzAHQAcgBhAGwAaQBhACAALQAgAE8AdQB0AGIAYQBjAGsAIAAoAE4AbwByAHQAaAApAFwAIgA7AFwAbgAgACAAIAAgACAAIAAgACAAIAAgAFwAIgBXAGUAcwB0AGUAcgBuACAAQQB1AHMAdAByAGEAbABpAGEAIAAtACAATwB1AHQAYgBhAGMAawAgACgAUwBvAHUAdABoACk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GUAdABBAG4AZABEAHIAeQBaAG8AbgBlAHMAXABuAC0ALQAtAC0ALQAtAC0ALQAtAC0ALQAtAC0ALQAtAC0ALQAtAC0ALQAtAC0ALQAtAC0ALQAtAC0ALQAtAC0ALQAtAC0ALQAtAC0ALQBcAG4AKgAvAFwAbgBcAG4AQwBvAG0AbQBvAG4AXwBTAG8AdQByAGMAZQBEAGEAdABhAF8AVwBlAHQAQQBuAGQARAByAHkAWgBvAG4AZQBzAF8AVABpAHQAbABlAFwAbgAgACAAPQBMAEEATQBCAEQAQQAoAFwAIgBWAEUARQBSAEcAIABBAHUAcwB0AHIAYQBsAGkAYQBuACAAdwBlAHQAIABhAG4AZAAgAGQAcgB5ACAAegBvAG4AZQBzAFwAIgApADsAXABuAFwAbgBDAG8AbQBtAG8AbgBfAFMAbwB1AHIAYwBlAEQAYQB0AGEAXwBXAGUAdABBAG4AZABEAHIAeQBaAG8AbgBlAHMAXwBWAGEAcgBpAGEAYgBsAGUAXABuACAAIAA9AEwAQQBNAEIARABBACgAXAAiAFwAIgApADsAXABuAFwAbgBDAG8AbQBtAG8AbgBfAFMAbwB1AHIAYwBlAEQAYQB0AGEAXwBXAGUAdABBAG4AZABEAHIAeQBaAG8AbgBlAHMAXwBVAG4AaQB0AFwAbgAgACAAPQBMAEEATQBCAEQAQQAoAFwAIgBcACIAKQA7AFwAbgBcAG4AQwBvAG0AbQBvAG4AXwBTAG8AdQByAGMAZQBEAGEAdABhAF8AVwBlAHQAQQBuAGQARAByAHkAWgBvAG4AZQBzAF8AUwBvAHUAcgBjAGUAXABuACAAIAA9AEwAQQBNAEIARABBACgAXAAiAFYARQBFAFIARwAgADIAMAAyADYAOgAgAFQAYQBiAGwAZQAgADEALgAyADoAIABUAHIAYQBuAHMAbABhAHQAaQBuAGcAIABjAGwAaQBtAGEAdABlACAAegBvAG4AZQBzACAAdABvACAAdwBlAHQAIABhAG4AZAAgAGQAcgB5ACAAegBvAG4AZQBzAFwAIgApADsAXABuAFwAbgBDAG8AbQBtAG8AbgBfAFMAbwB1AHIAYwBlAEQAYQB0AGEAXwBXAGUAdABBAG4AZABEAHIAeQBaAG8AbgBlAHMAXwBWAGEAcgBpAGEAdABpAG8AbgBcAG4AIAAgACAAPQBMAEEATQBCAEQAQQAoAFwAbgAgACAAIAAgAE0AQQBLAEUAQQBSAFIAQQBZACgAMw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LQAgAEMAaABhAG4AZwBlAGQAIABcAHUAMAAwADIANwBGAHIAeQBcAHUAMAAwADIANwAgAHQAbwAgAFwAdQAwADAAMgA3AEQAcgB5AFwAdQAwADAAMgA3AC4AXAAiAFwAbgAgACAAIAAgACAAIAAgACAAfQAsACAAcgAsACAAYwApAFwAbgAgACAAIAAgACAAIAApAFwAbgAgACAAIAAgACkAXABuACAAIAApADsAXABuAFwAbgBDAG8AbQBtAG8AbgBfAFMAbwB1AHIAYwBlAEQAYQB0AGEAXwBXAGUAdABBAG4AZABEAHIAeQBaAG8AbgBlAHMAXwBEAGEAdABhAFwAbgAgACAAIAA9AEwAQQBNAEIARABBACgAXABuACAAIAAgACAATQBBAEsARQBBAFIAUgBBAFkAKAAxADUALAAgADIALAAgAFwAbgAgACAAIAAgACAAIABMAEEATQBCAEQAQQAoAHIALABjACwAIABcAG4AIAAgACAAIAAgACAAIAAgAEkATgBEAEUAWAAoAHsAXABuACAAIAAgACAAIAAgACAAIAAgACAAXAAiAEMAbABpAG0AYQB0AGUAIABaAG8AbgBlAFwAIgAsACAAXAAiAFcAZQB0ACAAbwByACAARAByAHkAIABaAG8AbgBlAFwAIgA7AFwAbgAgACAAIAAgACAAIAAgACAAIAAgAFwAIgBUAHIAbwBwAGkAYwBhAGwAIABtAG8AbgB0AGEAbgBlAFwAIgAsACAAXAAiAFcAZQB0ACAAYwBsAGkAbQBhAHQAZQAgAHoAbwBuAGUAXAAiADsAXABuACAAIAAgACAAIAAgACAAIAAgACAAXAAiAFQAcgBvAHAAaQBjAGEAbAAgAHcAZQB0AFwAIgAsACAAXAAiAFcAZQB0ACAAYwBsAGkAbQBhAHQAZQAgAHoAbwBuAGUAXAAiADsAXABuACAAIAAgACAAIAAgACAAIAAgACAAXAAiAFQAcgBvAHAAaQBjAGEAbAAgAG0AbwBpAHMAdABcACIALAAgAFwAIgBXAGUAdAAgAGMAbABpAG0AYQB0AGUAIAB6AG8AbgBlAFwAIgA7AFwAbgAgACAAIAAgACAAIAAgACAAIAAgAFwAIgBUAHIAbwBwAGkAYwBhAGwAIABkAHIAeQBcACIALAAgAFwAIgBEAHIAeQAgAGMAbABpAG0AYQB0AGUAIAB6AG8AbgBlAFwAIgA7AFwAbgAgACAAIAAgACAAIAAgACAAIAAgAFwAIgBXAGEAcgBtACAAdABlAG0AcABlAHIAYQB0AGUAIABtAG8AaQBzAHQAXAAiACwAIABcACIAVwBlAHQAIABjAGwAaQBtAGEAdABlACAAegBvAG4AZQBcACIAOwBcAG4AIAAgACAAIAAgACAAIAAgACAAIABcACIAVwBhAHIAbQAgAHQAZQBtAHAAZQByAGEAdABlACAAZAByAHkAXAAiACwAIABcACIARAByAHkAIABjAGwAaQBtAGEAdABlACAAegBvAG4AZQBcACIAOwBcAG4AIAAgACAAIAAgACAAIAAgACAAIABcACIAQwBvAG8AbAAgAHQAZQBtAHAAZQByAGEAdABlACAAbQBvAGkAcwB0AFwAIgAsACAAXAAiAFcAZQB0ACAAYwBsAGkAbQBhAHQAZQAgAHoAbwBuAGUAXAAiADsAXABuACAAIAAgACAAIAAgACAAIAAgACAAXAAiAEMAbwBvAGwAIAB0AGUAbQBwAGUAcgBhAHQAZQAgAGQAcgB5AFwAIgAsACAAXAAiAEQAcgB5ACAAYwBsAGkAbQBhAHQAZQAgAHoAbwBuAGUAXAAiADsAXABuACAAIAAgACAAIAAgACAAIAAgACAAXAAiAFcAYQByAG0AIAB0AGUAbQBwAGUAcgBhAHQAZQAgAG0AbwBpAHMAdAAgAC0AIABsAG8AdwAgAGYAcgBvAHMAdABcACIALAAgAFwAIgBXAGUAdAAgAGMAbABpAG0AYQB0AGUAIAB6AG8AbgBlAFwAIgA7AFwAbgAgACAAIAAgACAAIAAgACAAIAAgAFwAIgBXAGEAcgBtACAAdABlAG0AcABlAHIAYQB0AGUAIABkAHIAeQAgAC0AIABsAG8AdwAgAGYAcgBvAHMAdABcACIALAAgAFwAIgBEAHIAeQAgAGMAbABpAG0AYQB0AGUAIAB6AG8AbgBlAFwAIgA7AFwAbgAgACAAIAAgACAAIAAgACAAIAAgAFwAIgBXAGEAcgBtACAAdABlAG0AcABlAHIAYQB0AGUAIABtAG8AaQBzAHQAIAAtACAAaABpAGcAaAAgAHQAZQBtAHAAXAAiACwAIABcACIAVwBlAHQAIABjAGwAaQBtAGEAdABlACAAegBvAG4AZQBcACIAOwBcAG4AIAAgACAAIAAgACAAIAAgACAAIABcACIAVwBhAHIAbQAgAHQAZQBtAHAAZQByAGEAdABlACAAZAByAHkAIAAtACAAaABpAGcAaAAgAHQAZQBtAHAAXAAiACwAIABcACIARAByAHkAIABjAGwAaQBtAGEAdABlACAAegBvAG4AZQBcACIAOwBcAG4AIAAgACAAIAAgACAAIAAgACAAIABcACIAQwBvAG8AbAAgAHQAZQBtAHAAZQByAGEAdABlACAAbQBvAGkAcwB0ACAALQAgAGwAbwB3ACAAZgByAG8AcwB0AFwAIgAsACAAXAAiAFcAZQB0ACAAYwBsAGkAbQBhAHQAZQAgAHoAbwBuAGUAXAAiADsAXABuACAAIAAgACAAIAAgACAAIAAgACAAXAAiAEMAbwBvAGwAIAB0AGUAbQBwAGUAcgBhAHQAZQAgAGQAcgB5ACAALQAgAGwAbwB3ACAAZgByAG8AcwB0AFwAIgAsACAAXAAiAEQAcgB5ACAAYwBsAGkAbQBhAHQAZQAgAHoAbwBuAGU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DAGwAaQBtAGEAdABlAFoAbwBuAGUAcwBcAG4ALQAtAC0ALQAtAC0ALQAtAC0ALQAtAC0ALQAtAC0ALQAtAC0ALQAtAC0ALQAtAC0ALQAtAC0ALQAtAC0ALQAtAC0ALQAtAC0ALQAtAFwAbgAqAC8AXABuAFwAbgBDAG8AbQBtAG8AbgBfAFMAbwB1AHIAYwBlAEQAYQB0AGEAXwBDAGwAaQBtAGEAdABlAFoAbwBuAGUAcwBfAFQAaQB0AGwAZQBcAG4AIAAgAD0ATABBAE0AQgBEAEEAKABcACIAVgBFAEUAUgBHACAAQQB1AHMAdAByAGEAbABpAGEAbgAgAGMAbABpAG0AYQB0AGUAIAB6AG8AbgBlAHMAXAAiACkAOwBcAG4AXABuAEMAbwBtAG0AbwBuAF8AUwBvAHUAcgBjAGUARABhAHQAYQBfAEMAbABpAG0AYQB0AGUAWgBvAG4AZQBzAF8AVgBhAHIAaQBhAGIAbABlAFwAbgAgACAAPQBMAEEATQBCAEQAQQAoAFwAIgBcACIAKQA7AFwAbgBcAG4AQwBvAG0AbQBvAG4AXwBTAG8AdQByAGMAZQBEAGEAdABhAF8AQwBsAGkAbQBhAHQAZQBaAG8AbgBlAHMAXwBVAG4AaQB0AFwAbgAgACAAPQBMAEEATQBCAEQAQQAoAFwAIgBcACIAKQA7AFwAbgBcAG4AQwBvAG0AbQBvAG4AXwBTAG8AdQByAGMAZQBEAGEAdABhAF8AQwBsAGkAbQBhAHQ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DAGwAaQBtAGEAdABlAFoAbwBuAGUAcwBfAFYAYQByAGkAYQB0AGkAbwBuAFwAbgAg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BpAG4AIABNAEEAVAAgAHYAYQBsAHUAZQAgAGYAbwByACAAdwBhAHIAbQAgAHQAZQBtAHAAZQByAGEAdABlACAAZAByAHkAIAAtACAAYwBoAGEAbgBnAGUAZAAgADEAMAAgAHQAbwAgADEAMQAuAFwAIgA7AFwAbgAgACAAIAAgACAAIAAgACAAIAAgAFwAIgBBAGQAZABlAGQAIABtAGkAbgAgAGEAbgBkACAAbQBhAHgAIABjAG8AbAB1AG0AbgBzACAAZgBvAHIAIABNAEEAVAAsACAATQBBAFAALAAgAGYAcgBvAHMAdAAgAGQAYQB5AHMAIABwAGUAcgAgAHkAZQBhAHIALAAgAGUAbABlAHYAYQB0AGkAbwBuACwAIABNAEEAUAA6AFAARQBUACAAdABvACAAYwBhAGwAYwB1AGwAYQB0AGUAIAB6AG8AbgBlAHMAIABmAHIAbwBtACAAcgBlAGEAbAAgAGMAbABpAG0AYQB0AGUAIABkAGEAdABhAC4AXAAiADsAXABuACAAIAAgACAAIAAgACAAIAAgACAAXAAiAEcAQQBGACAAYQBjAGMAZQBwAHQAcwAgAHIAYQBpAG4AZgBhAGwAbAAgAGEAcwAgAGEAIABwAHIAbwB4AHkAIABmAG8AcgAgAHAAcgBlAGMAaQBwAGkAdABhAHQAaQBvAG4ALgBcACIAXABuACAAIAAgACAAIAAgACAAIAB9ACwAIAByACwAIABjACkAXABuACAAIAAgACAAIAAgACkAXABuACAAIAAgACAAKQBcAG4AIAAgACkAOwBcAG4AXABuAEMAbwBtAG0AbwBuAF8AUwBvAHUAcgBjAGUARABhAHQAYQBfAEMAbABpAG0AYQB0AGUAWgBvAG4AZQBzAF8ARABhAHQAYQBcAG4AIAAgACAAPQBMAEEATQBCAEQAQQAoAFwAbgAgACAAIAAgAE0AQQBLAEUAQQBSAFIAQQBZACgAOQAsACAAMQA2ACwAIABcAG4AIAAgACAAIAAgACAATABBAE0AQgBEAEEAKAByACwAYwAsACAAXABuACAAIAAgACAAIAAgACAAIABJAE4ARABFAFgAKAB7AFwAbgAgACAAIAAgACAAIAAgACAAIAAgAFwAIgBDAGwAaQBtAGEAdABlACAAWgBvAG4AZQBcACIALAAgAFwAIgBNAEEAVABcACIALAAgAFwAIgBNAEEAUABcACIALAAgAFwAIgBGAHIAbwBzAHQAIABkAGEAeQBzACAAcABlAHIAIAB5AGUAYQByAFwAIgAsACAAXAAiAEUAbABlAHYAYQB0AGkAbwBuAFwAIgAsACAAXAAiAE0AQQBQADoAUABFAFQAXAAiACwAIABcACIATQBpAG4AIAB0AGUAbQBwAFwAIgAsACAAXAAiAE0AYQB4ACAAdABlAG0AcABcACIALAAgAFwAIgBNAGkAbgAgAHIAYQBpAG4AZgBhAGwAbABcACIALAAgAFwAIgBNAGEAeAAgAHIAYQBpAG4AZgBhAGwAbABcACIALAAgAFwAIgBNAGkAbgAgAGYAcgBvAHMAdAAgAGQAYQB5AHMAXAAiACwAIABcACIATQBhAHgAIABmAHIAbwBzAHQAIABkAGEAeQBzAFwAIgAsACAAXAAiAE0AaQBuACAAZQBsAGUAdgBhAHQAaQBvAG4AXAAiACwAIABcACIATQBhAHgAIABlAGwAZQB2AGEAdABpAG8AbgBcACIALAAgAFwAIgBNAGkAbgAgAE0AQQBQADoAUABFAFQAXAAiACwAIABcACIATQBpAG4AIABNAEEAUAA6AFAARQBUAFwAIgA7AFwAbgAgACAAIAAgACAAIAAgACAAIAAgAFwAIgBUAHIAbwBwAGkAYwBhAGwAIABtAG8AbgB0AGEAbgBlAFwAIgAsACAAXAAiAFwAdQAwADAAMwBlACAAMQA4ACAAQwBcACIALAAgAFwAIgBBAG4AeQBcACIALAAgAFwAIgBkIiAANwBcACIALAAgAFwAIgBcAHUAMAAwADMAZQAgADEAMAAwADAAIABtAFwAIgAsACAAXAAiAEEAbgB5AFwAIgAsACAAMQA4AC4AMAAwADEALAAgADkAOQA5ADkAOQA5ACwAIAAtADkAOQA5ADkAOQA5ACwAIAA5ADkAOQA5ADkAOQAsACAALQA5ADkAOQA5ADkAOQAsACAANwAsACAAMQAwADAAMAAsACAAOQA5ADkAOQA5ADkALAAgAC0AOQA5ADkAOQA5ADkALAAgADkAOQA5ADkAOQA5ADsAXABuACAAIAAgACAAIAAgACAAIAAgACAAXAAiAFQAcgBvAHAAaQBjAGEAbAAgAHcAZQB0AFwAIgAsACAAXAAiAFwAdQAwADAAMwBlACAAMQA4ACAAQwBcACIALAAgAFwAIgBcAHUAMAAwADMAZQ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BcAHUAMAAwADMAZQAgADEAOAAgAEMAXAAiACwAIABcACIAXAB1ADAAMAAzAGUAIAAxADAAMAAwACAAbQBtACAALQAgAGQiIAAyADAAMAAwACAAbQBtAFwAIgAsACAAXAAiAGQiIAA3AFwAIgAsACAAXAAiAGQiIAAxADAAMAAwACAAbQBcACIALAAgAFwAIgBBAG4AeQBcACIALAAgADEAOAAuADAAMAAxACwAIAA5ADkAOQA5ADkAOQAsACAAMQAwADAAMAAuADAAMAAxACwAIAAyADAAMAAwACwAIAAtADkAOQA5ADkAOQA5ACwAIAA3ACwAIAAtADkAOQA5ADkAOQA5ACwAIAA5ADkAOQAuADkAOQA5ACwAIAAgAC0AOQA5ADkAOQA5ADkALAAgADkAOQA5ADkAOQA5ADsAXABuACAAIAAgACAAIAAgACAAIAAgACAAXAAiAFQAcgBvAHAAaQBjAGEAbAAgAGQAcgB5AFwAIgAsACAAXAAiAFwAdQAwADAAMwBl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FwAdQAwADAAMwBlACAAMQAwACAAQwBcACIALAAgAFwAIgBBAG4AeQBcACIALAAgAFwAIgBBAG4AeQBcACIALAAgAFwAIgBBAG4AeQBcACIALAAgAFwAIgBcAHUAMAAwADMAZQAgADEAXAAiACwAIAAxADAALgAwADAAMQAsACAAOQA5ADkAOQA5ADkALAAgAC0AOQA5ADkAOQA5ADkALAAgADkAOQA5ADkAOQA5ACwAIAAtADkAOQA5ADkAOQA5ACwAIAA5ADkAOQA5ADkAOQAsACAALQA5ADkAOQA5ADkAOQAsACAAOQA5ADkAOQA5ADkALAAgADEALgAwADAAMQAsACAAOQA5ADkAOQA5ADkAOwBcAG4AIAAgACAAIAAgACAAIAAgACAAIABcACIAVwBhAHIAbQAgAHQAZQBtAHAAZQByAGEAdABlACAAZAByAHkAXAAiACwAIABcACIAXAB1ADAAMAAzAGU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FwAdQAwADAAMwBlACAAMAAgAEMAIAAtACAAZCIgADEAMAAgAEMAXAAiACwAIABcACIAQQBuAHkAXAAiACwAIABcACIAQQBuAHkAXAAiACwAIABcACIAQQBuAHkAXAAiACwAIABcACIAXAB1ADAAMAAzAGUAIAAxAFwAIgAsACAALQA5ADkAOQA5ADkAOQAsACAAMQAwACwAIAAtADkAOQA5ADkAOQA5ACwAIAA5ADkAOQA5ADkAOQAsACAALQA5ADkAOQA5ADkAOQAsACAAOQA5ADkAOQA5ADkALAAgAC0AOQA5ADkAOQA5ADkALAAgADkAOQA5ADkAOQA5ACwAIAAxAC4AMAAwADEALAAgADkAOQA5ADkAOQA5ADsAXABuACAAIAAgACAAIAAgACAAIAAgACAAXAAiAEMAbwBvAGwAIAB0AGUAbQBwAGUAcgBhAHQAZQAgAGQAcgB5AFwAIgAsACAAXAAiAFwAdQAwADAAMwBl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FwAdQAwADAAMwBlACAANgAwADAAbQBtAFwAIgAsACAANgAwADAALgAwADAAMQAsACAAOQA5ADkAOQA5ADkAOwBcAG4AIAAgACAAIAAgACAAIAAgACAAIABcACIATABvAHcAIAByAGEAaQBuAGYAYQBsAGwAXAAiACwAIABcACIAQQBuAG4AdQBhAGwAIAByAGEAaQBuAGYAYQBsAGwAIABkIiAANgAwADAAbQBtAFwAIgAsACAALQA5ADkAOQA5ADkAOQAsACAANgAwADA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wAZQBhAGMAaABpAG4AZwBaAG8AbgBlAHMAXABuAC0ALQAtAC0ALQAtAC0ALQAtAC0ALQAtAC0ALQAtAC0ALQAtAC0ALQAtAC0ALQAtAC0ALQAtAC0ALQAtAC0ALQAtAC0ALQAtAC0ALQBcAG4AKgAvAFwAbgBcAG4AQwBvAG0AbQBvAG4AXwBTAG8AdQByAGMAZQBEAGEAdABhAF8ATABlAGEAYwBoAGkAbgBnAFoAbwBuAGUAcwBfAFQAaQB0AGwAZQBcAG4AIAAgAD0ATABBAE0AQgBEAEEAKABcACIAVgBFAEUAUgBHACAAQQB1AHMAdAByAGEAbABpAGEAbgAgAGwAZQBhAGMAaABpAG4AZwAgAHoAbwBuAGUAcwBcACIAKQA7AFwAbgBcAG4AQwBvAG0AbQBvAG4AXwBTAG8AdQByAGMAZQBEAGEAdABhAF8ATABlAGEAYwBoAGkAbgBnAFoAbwBuAGUAcwBfAFYAYQByAGkAYQBiAGwAZQBcAG4AIAAgAD0ATABBAE0AQgBEAEEAKABcACIAXAAiACkAOwBcAG4AXABuAEMAbwBtAG0AbwBuAF8AUwBvAHUAcgBjAGUARABhAHQAYQBfAEwAZQBhAGMAaABpAG4AZwBaAG8AbgBlAHMAXwBVAG4AaQB0AFwAbgAgACAAPQBMAEEATQBCAEQAQQAoAFwAIgBcACIAKQA7AFwAbgBcAG4AQwBvAG0AbQBvAG4AXwBTAG8AdQByAGMAZQBEAGEAdABhAF8ATABlAGEAYwBoAGkAbgBn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wAZQBhAGMAaABpAG4AZwBaAG8AbgBlAHMAXwBWAGEAcgBpAGEAdABpAG8AbgBcAG4AIAAgAD0ATABBAE0AQgBEAEEAKABcACIAXAAiACkAOwBcAG4AXABuAEMAbwBtAG0AbwBuAF8AUwBvAHUAcgBjAGUARABhAHQAYQBfAEwAZQBhAGMAaABpAG4AZwBaAG8AbgBlAHMAXwBEAGEAdABhAFwAbgAgACAAIAA9AEwAQQBNAEIARABBACgAXABuACAAIAAgACAATQBBAEsARQBBAFIAUgBBAFkAKAAzACwAIAAyACwAIABcAG4AIAAgACAAIAAgACAATABBAE0AQgBEAEEAKAByACwAYwAsACAAXABuACAAIAAgACAAIAAgACAAIABJAE4ARABFAFgAKAB7AFwAbgAgACAAIAAgACAAIAAgACAAIAAgAFwAIgBMAGUAYQBjAGgAaQBuAGcAIABaAG8AbgBlAFwAIgAsACAAXAAiAEwAZQBhAGMAaABpAG4AZwAgAGMAcgBpAHQAZQByAGkAYQBcACIAOwBcAG4AIAAgACAAIAAgACAAIAAgACAAIABcACIATABlAGEAYwBoAGkAbgBnACAAbwBjAGMAdQByAHMAXAAiACwAIABcACIAowMoADXYX9w12E7cNdhW3DXYW9wpAFwAdQAwADAAMwBlAKMDKAA12DjcNdhH3DAAKQArADXYYNw12FzcNdhW3DXYWdwgADXYZNw12E7cNdhh3DXYUtw12F/cIAAOITXYXNw12FncNdhR3DXYVtw12FvcNdhU3CAANdhQ3DXYTtw12F3cNdhO3DXYUNw12FbcNdhh3DXYZtxcACIAOwBcAG4AIAAgACAAIAAgACAAIAAgACAAIABcACIATABlAGEAYwBoAGkAbgBnACAAZABvAGUAcwAgAG4AbwB0ACAAbwBjAGMAdQByAFwAIgAsACAAXAAiAKMDKAA12F/cNdhO3DXYVtw12FvcKQBkIqMDKAA12DjcNdhH3DAAKQArADXYYNw12FzcNdhW3DXYWdwgADXYZNw12E7cNdhh3DXYUtw12F/cIAAOITXYXNw12FncNdhR3DXYVtw12FvcNdhU3CAANdhQ3DXYTtw12F3cNdhO3DXYUNw12FbcNdhh3DXYZtx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VwBFAFQ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VwBFAFQAXwBVAG4AaQB0AFwAbgAgACAAPQBMAEEATQBCAEQAQQAoAFwAIgAoAEQAaQBtAGUAbgBzAGkAbwBuAGwAZQBzAHMAXAAiACkAOwBcAG4AXABuAEMAbwBtAG0AbwBuAF8AUwBvAHUAcgBjAGUARABhAHQAYQBfAEYAcgBhAGMAVwBFAFQAXwBTAG8AdQByAGMAZQBcAG4AIAAgAD0ATABBAE0AQgBEAEEAKABcACIAVgBFAEUAUgBHACAAMgAwADIANgA6ADUALgA1AC4AMgAuADMAIABDAG8AbgBzAHQAYQBuAHQAIABQAGEAcgBhAG0AZQB0AGUAcgBzAFwAIgApADsAXABuAFwAbgBDAG8AbQBtAG8AbgBfAFMAbwB1AHIAYwBlAEQAYQB0AGEAXwBGAHIAYQBjAFcARQBUAF8ATgBJAFIAUgBlAGYAZQByAGUAbgBjAGUAXABuACAAIAA9AEwAQQBNAEIARABBACgAXAAiAFwAIgApADsAXABuAFwAbgBDAG8AbQBtAG8AbgBfAFMAbwB1AHIAYwBlAEQAYQB0AGEAXwBGAHIAYQBjAFcARQBUAF8ARABhAHQAYQBcAG4AIAAgAD0ATABBAE0AQgBEAEEAKABcAG4AIAAgACAAIABNAEEASwBFAEEAUgBSAEEAWQAoADMALAAgADIALAAgAFwAbgAgACAAIAAgACAAIABMAEEATQBCAEQAQQAoAHIALABjACwAIABcAG4AIAAgACAAIAAgACAAIAAgAEkATgBEAEUAWAAoAHsAXABuACAAIAAgACAAIAAgACAAIAAgACAAXAAiAEkAcwAgAGkAbgAgAGwAZQBhAGMAaABpAG4AZwAgAHoAbwBuAGUAXAAiACwAXAAiAEYAcgBhAGMAVwBFAFQAXAAiADsAXABuACAAIAAgACAAIAAgACAAIAAgACAAXAAiAFkAZQBzACAALQAgAGkAbgAgAGwAZQBhAGMAaABpAG4AZwAgAHoAbwBuAGUAXAAiACwAIAAxADsAXABuACAAIAAgACAAIAAgACAAIAAgACAAXAAiAE4AbwAgAC0AIABuAG8AdAAgAGkAbgAgAGwAZQBhAGMAaABpAG4AZwAgAHoAbwBuAGUAXAAiACwAIAAwAFwAbgAgACAAIAAgACAAIAAgACAAfQAsACAAcgAsACAAYwApAFwAbgAgACAAIAAgACAAIAApAFwAbgAgACAAIAAgACkAXABuACAAIAApADsAXABuAFwAbgAgACAAQwBvAG0AbQBvAG4AXwBTAG8AdQByAGMAZQBEAGEAdABhAF8ARgByAGEAYwBXAEUAVABfAFYAYQByAGkAYQB0AGkAbwBuAFwAbgAgACAAPQBMAEEATQBCAEQAQQAoACgAXAAiAFwAIgApACkAOwBcAG4AXABuAFwAbgBcAG4ALwAqACAAXABuAC0ALQAtAC0ALQAtAC0ALQAtAC0ALQAtAC0ALQAtAC0ALQAtAC0ALQAtAC0ALQAtAC0ALQAtAC0ALQAtAC0ALQAtAC0ALQAtAC0ALQBcAG4AQwBvAG0AbQBvAG4AXwBTAG8AdQByAGMAZQBEAGEAdABhAF8ARABhAHQAYQBTAGMAbwByAGUAcwBfAFMAYwBvAHAAZQAzAFwAbgAtAC0ALQAtAC0ALQAtAC0ALQAtAC0ALQAtAC0ALQAtAC0ALQAtAC0ALQAtAC0ALQAtAC0ALQAtAC0ALQAtAC0ALQAtAC0ALQAtAC0AXABuACoALwBcAG4AXABuAEMAbwBtAG0AbwBuAF8AUwBvAHUAcgBjAGUARABhAHQAYQBfAEQAYQB0AGEAUwBjAG8AcgBlAHMAXwBTAGMAbwBwAGUAMwBfAFQAaQB0AGwAZQBcAG4AIAAgAD0ATABBAE0AQgBEAEEAKABcACIAQQB1AHMAdAByAGEAbABpAGEAbgAgAGQAYQB0AGEAIABzAGMAbwByAGUAcwAgAGYAbwByACAAcwBjAG8AcABlACAAMwBcACIAKQA7AFwAbgBcAG4AQwBvAG0AbQBvAG4AXwBTAG8AdQByAGMAZQBEAGEAdABhAF8ARABhAHQAYQBTAGMAbwByAGUAcwBfAFMAYwBvAHAAZQAzAF8AVgBhAHIAaQBhAGIAbABlAFwAbgAgACAAPQBMAEEATQBCAEQAQQAoAFwAIgBcACIAKQA7AFwAbgBcAG4AQwBvAG0AbQBvAG4AXwBTAG8AdQByAGMAZQBEAGEAdABhAF8ARABhAHQAYQBTAGMAbwByAGUAcwBfAFMAYwBvAHAAZQAzAF8AVQBuAGkAdABcAG4AIAAgAD0ATABBAE0AQgBEAEEAKABcACIAXAAiACkAOwBcAG4AXABuAEMAbwBtAG0AbwBuAF8AUwBvAHUAcgBjAGUARABhAHQAYQBfAEQAYQB0AGEAUwBjAG8AcgBlAHMAXwBTAGMAbwBwAGUAMwBfAFMAbwB1AHIAYwBlAFwAbgAgACAAPQBMAEEATQBCAEQAQQAoAFwAIgBWAEUARQBSAEcAIAAyADAAMgA2ADoAIABYAFgAWABYAFgAWABYAFgAXAAiACkAOwBcAG4AXABuAEMAbwBtAG0AbwBuAF8AUwBvAHUAcgBjAGUARABhAHQAYQBfAEQAYQB0AGEAUwBjAG8AcgBlAHMAXwBTAGMAbwBwAGUAMwBfAFYAYQByAGkAYQB0AGkAbwBuAFwAbgAgACAAPQBMAEEATQBCAEQAQQAoAFwAIgBcACIAKQA7AFwAbgBcAG4AQwBvAG0AbQBvAG4AXwBTAG8AdQByAGMAZQBEAGEAdABhAF8ARABhAHQAYQBTAGMAbwByAGUAcwBfAFMAYwBvAHAAZQAzAF8ARABhAHQAYQBcAG4AIAAgACAAPQBMAEEATQBCAEQAQQAoAFwAbgAgACAAIAAgAE0AQQBLAEUAQQBSAFIAQQBZACgANgAsACAAMgAsACAAXABuACAAIAAgACAAIAAgAEwAQQBNAEIARABBACgAcgAsAGMALAAgAFwAbgAgACAAIAAgACAAIAAgACAASQBOAEQARQBYACgAewBcAG4AIAAgACAAIAAgACAAIAAgACAAIABcACIARABhAHQAYQAgAHMAbwB1AHIAYwBlAFwAIgAsACAAXAAiAEQAYQB0AGEAIABzAGMAbwByAGUAXAAiADsAXABuACAAIAAgACAAIAAgACAAIAAgACAAXAAiAEkAbgB0AGUAcgBuAGEAdABpAG8AbgBhAGwAIABzAGMAbwBwAGUAIAAzACAAZABhAHQAYQBiAGEAcwBlAFwAIgAsACAAMQA7AFwAbgAgACAAIAAgACAAIAAgACAAIAAgAFwAIgBBAHUAcwB0AHIAYQBsAGkAYQBuACAAcwBjAG8AcABlACAAMwAgAGQAYQB0AGEAYgBhAHMAZQBcACIALAAgADIAOwBcAG4AIAAgACAAIAAgACAAIAAgACAAIABcACIAUwB0AGEAdABlACAAbwByACAAcgBlAGcAaQBvAG4AYQBsACAAcwBjAG8AcABlACAAMwAgAGQAYQB0AGEAYgBhAHMAZQBcACIALAAgADMAOwBcAG4AIAAgACAAIAAgACAAIAAgACAAIABcACIARQBtAGkAcwBzAGkAbwBuAHMAIABpAG4AdABlAG4AcwBpAHQAeQAgAGMAYQBsAGMAdQBsAGEAdABlAGQAIABmAHIAbwBtACAAYQBwAHAAcgBvAHYAZQBkACAAbQBlAHQAaABvAGQAXAAiACwAIAA0ADsAXABuACAAIAAgACAAIAAgACAAIAAgACAAXAAiAFYAZQByAGkAZgBpAGUAZAAgAGMAcgBlAGQAZQBuAHQAaQBhAGwAIABtAGEAdABjAGgAaQBuAGcAIABJAFMATwAxADQAMAA2ADcAXAAiACwAIAA1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RgByAGEAYwBMAEUAQQBDAEg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TABFAEEAQwBI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EwARQBBAEMASABfAFUAbgBpAHQAXABuACAAIAA9AEwAQQBNAEIARABBACgAXAAiACgARABpAG0AZQBuAHMAaQBvAG4AbABlAHMAcwBcACIAKQA7AFwAbgBcAG4AQwBvAG0AbQBvAG4AXwBTAG8AdQByAGMAZQBEAGEAdABhAF8ARgByAGEAYwBMAEUAQQBDAEgAXwBTAG8AdQByAGMAZQBcAG4AIAAgAD0ATABBAE0AQgBEAEEAKABcACIAVgBFAEUAUgBHACAAMgAwADIANgA6ADUALgA1AC4AMgAuADMAIABDAG8AbgBzAHQAYQBuAHQAIABQAGEAcgBhAG0AZQB0AGUAcgBzAFwAIgApADsAXABuAFwAbgBDAG8AbQBtAG8AbgBfAFMAbwB1AHIAYwBlAEQAYQB0AGEAXwBGAHIAYQBjAEwARQBBAEMASABfAE4ASQBSAFIAZQBmAGUAcgBlAG4AYwBlAFwAbgAgACAAPQBMAEEATQBCAEQAQQAoAFwAIgBOAGEAdABpAG8AbgBhAGwAIABJAG4AdgBlAG4AdABvAHIAeQAgAFIAZQBwAG8AcgB0ACAAVgBvAGwAdQBtAGUAIAAxADoAIABMAGUAYQBjAGgAaQBuAGcAIABhAG4AZAAgAHIAdQBuAG8AZgBmACAAKAAzAC4ARAAuAGIALgAyACkAXAAiACkAOwBcAG4AXABuAEMAbwBtAG0AbwBuAF8AUwBvAHUAcgBjAGUARABhAHQAYQBfAEYAcgBhAGMATABFAEEAQwBIAF8ARABhAHQAYQBcAG4AIAAgAD0ATABBAE0AQgBEAEEAKABcAG4AIAAgACAAIABNAEEASwBFAEEAUgBSAEEAWQAoADEALAAgADIALAAgAFwAbgAgACAAIAAgACAAIABMAEEATQBCAEQAQQAoAHIALABjACwAIABcAG4AIAAgACAAIAAgACAAIAAgAEkATgBEAEUAWAAoAHsAXABuACAAIAAgACAAIAAgACAAIAAgACAAXAAiAEYAcgBhAGMATABFAEEAQwBIAFwAIgAsADAALgAyADQAXABuACAAIAAgACAAIAAgACAAIAB9ACwAIAByACwAIABjACkAXABuACAAIAAgACAAIAAgACkAXABuACAAIAAgACAAKQBcAG4AIAAgACkAOwBcAG4AXABuACAAIABDAG8AbQBtAG8AbgBfAFMAbwB1AHIAYwBlAEQAYQB0AGEAXwBGAHIAYQBjAEwARQBBAEMASABfAFYAYQByAGkAYQB0AGkAbwBuAFwAbgAgACAAPQBMAEEATQBCAEQAQQAoACgAXAAiAFwAIgApACkAOwBcAG4AXABuAFwAbgBcAG4ALwAqACAAXABuAC0ALQAtAC0ALQAtAC0ALQAtAC0ALQAtAC0ALQAtAC0ALQAtAC0ALQAtAC0ALQAtAC0ALQAtAC0ALQAtAC0ALQAtAC0ALQAtAC0ALQBcAG4AQwBvAG0AbQBvAG4AXwBTAG8AdQByAGMAZQBEAGEAdABhAF8ARQBGAGwAZQBhAGMAaABcAG4ANQAuADUALgAyAC4AMwAgAEMAbwBuAHMAdABhAG4AdAAgAFAAYQByAGEAbQBlAHQAZQByAHMAXABuAEUAbQBpAHMAcwBpAG8AbgAgAGYAYQBjAHQAbwByACAAZgBvAHIAIABuAGkAdAByAG8AZwBlAG4AIABsAGUAYQBjAGgAaQBuAGcAIABhAG4AZAAgAHIAdQBuAG8AZgBmAFwAbgAtAC0ALQAtAC0ALQAtAC0ALQAtAC0ALQAtAC0ALQAtAC0ALQAtAC0ALQAtAC0ALQAtAC0ALQAtAC0ALQAtAC0ALQAtAC0ALQAtAC0AXABuACoALwBcAG4AXABuAEMAbwBtAG0AbwBuAF8AUwBvAHUAcgBjAGUARABhAHQAYQBfAEUARgBsAGUAYQBjAGgAXwBUAGkAdABsAGUAXABuACAAIAA9AEwAQQBNAEIARABBACgAXAAiAEUAbQBpAHMAcwBpAG8AbgAgAGYAYQBjAHQAbwByACAAZgBvAHIAIABuAGkAdAByAG8AZwBlAG4AIABsAGUAYQBjAGgAaQBuAGcAIABhAG4AZAAgAHIAdQBuAG8AZgBmAFwAIgApADsAXABuAFwAbgBDAG8AbQBtAG8AbgBfAFMAbwB1AHIAYwBlAEQAYQB0AGEAXwBFAEYAbABlAGEAYwBoAF8AVQBuAGkAdABcAG4AIAAgAD0ATABBAE0AQgBEAEEAKABcACIAKABrAGcAIABOADIATwAtAE4AIAAvACAAawBnACAATgBcACIAKQA7AFwAbgBcAG4AQwBvAG0AbQBvAG4AXwBTAG8AdQByAGMAZQBEAGEAdABhAF8ARQBGAGwAZQBhAGMAaABfAFMAbwB1AHIAYwBlAFwAbgAgACAAPQBMAEEATQBCAEQAQQAoAFwAIgBWAEUARQBSAEcAIAAyADAAMgA2ADoANQAuADUALgAyAC4AMwAgAEMAbwBuAHMAdABhAG4AdAAgAFAAYQByAGEAbQBlAHQAZQByAHMAXAAiACkAOwBcAG4AXABuAEMAbwBtAG0AbwBuAF8AUwBvAHUAcgBjAGUARABhAHQAYQBfAEUARgBsAGUAYQBjAGgAXwBOAEkAUgBSAGUAZgBlAHIAZQBuAGMAZQBcAG4AIAAgAD0ATABBAE0AQgBEAEEAKABcACIATgBhAHQAaQBvAG4AYQBsACAASQBuAHYAZQBuAHQAbwByAHkAIABSAGUAcABvAHIAdAAgAFYAbwBsAHUAbQBlACAAMQA6ACAARQBxAHUAYQB0AGkAbwBuACAAMwAuAEQALgBCAF8AMQAwAFwAIgApADsAXABuAFwAbgBDAG8AbQBtAG8AbgBfAFMAbwB1AHIAYwBlAEQAYQB0AGEAXwBFAEYAbABlAGEAYwBoAF8ARABhAHQAYQBcAG4AIAAgAD0ATABBAE0AQgBEAEEAKABcAG4AIAAgACAAIABNAEEASwBFAEEAUgBSAEEAWQAoADEALAAgADIALAAgAFwAbgAgACAAIAAgACAAIABMAEEATQBCAEQAQQAoAHIALABjACwAIABcAG4AIAAgACAAIAAgACAAIAAgAEkATgBEAEUAWAAoAHsAXABuACAAIAAgACAAIAAgACAAIAAgACAAXAAiAEUARgBsAGUAYQBjAGgAXAAiACwAMAAuADAAMQAxAFwAbgAgACAAIAAgACAAIAAgACAAfQAsACAAcgAsACAAYwApAFwAbgAgACAAIAAgACAAIAApAFwAbgAgACAAIAAgACkAXABuACAAIAApADsAXABuAFwAbgAgACAAQwBvAG0AbQBvAG4AXwBTAG8AdQByAGMAZQBEAGEAdABhAF8ARQBGAGwAZQBhAGMAaABfAFYAYQByAGkAYQB0AGkAbwBuAFwAbgAgACAAPQBMAEEATQBCAEQAQQAoACgAXAAiAFwAIgApACkAOwBcAG4AXABuAFwAbgAvACoAIABcAG4ALQAtAC0ALQAtAC0ALQAtAC0ALQAtAC0ALQAtAC0ALQAtAC0ALQAtAC0ALQAtAC0ALQAtAC0ALQAtAC0ALQAtAC0ALQAtAC0ALQAtAFwAbgBDAG8AbQBtAG8AbgBfAFMAbwB1AHIAYwBlAEQAYQB0AGEAXwBFAEYATgAyAE8AXABuAFQAYQBiAGwAZQAgAEEALgAyAC4AMgAuADEAXABuAE4AaQB0AHIAbwB1AHMAIABvAHgAaQBkAGUAIABlAG0AaQBzAHMAaQBvAG4AIABmAGEAYwB0AG8AcgBzACAAZgBvAHIAIABpAG4AbwByAGcAYQBuAGkAYwAgAGYAZQByAHQAaQBsAGkAcwBlAHIAIABhAHAAcABsAGkAYwBhAHQAaQBvAG4AIAAoAGsAZwAgAE4AMgBPAC0ATgAvAGsAZwAgAE4AKQAgACgARQBGAE4AMgBPACkAXABuAC0ALQAtAC0ALQAtAC0ALQAtAC0ALQAtAC0ALQAtAC0ALQAtAC0ALQAtAC0ALQAtAC0ALQAtAC0ALQAtAC0ALQAtAC0ALQAtAC0ALQBcAG4AKgAvAFwAbgBcAG4AQwBvAG0AbQBvAG4AXwBTAG8AdQByAGMAZQBEAGEAdABhAF8ARQBGAE4AMgBPAF8AVABpAHQAbABlAFwAbgAgACAAPQBMAEEATQBCAEQAQQAoAFwAIgBOAGkAdAByAG8AdQBzACAAbwB4AGkAZABlACAAZQBtAGkAcwBzAGkAbwBuACAAZgBhAGMAdABvAHIAcwAgAGYAbwByACAAaQBuAG8AcgBnAGEAbgBpAGMAIABmAGUAcgB0AGkAbABpAHMAZQByACAAYQBwAHAAbABpAGMAYQB0AGkAbwBuAFwAIgApADsAXABuAFwAbgBDAG8AbQBtAG8AbgBfAFMAbwB1AHIAYwBlAEQAYQB0AGEAXwBFAEYATgAyAE8AXwBVAG4AaQB0AFwAbgAgACAAPQBMAEEATQBCAEQAQQAoAFwAIgAoAGsAZwAgAE4AMgBPAC0ATgAgAC8AIABrAGcAIABOAFwAIgApADsAXABuAFwAbgBDAG8AbQBtAG8AbgBfAFMAbwB1AHIAYwBlAEQAYQB0AGEAXwBFAEYATgAyAE8AXwBTAG8AdQByAGMAZQBcAG4AIAAgAD0ATABBAE0AQgBEAEEAKABcACIAVgBFAEUAUgBHACAAMgAwADIANgA6ACAAVABhAGIAbABlACAAQQAuADIALgAyAC4AMQBcACIAKQA7AFwAbgBcAG4AQwBvAG0AbQBvAG4AXwBTAG8AdQByAGMAZQBEAGEAdABhAF8ARQBGAE4AMgBPAF8ATgBJAFIAUgBlAGYAZQByAGUAbgBjAGUAXABuACAAIAA9AEwAQQBNAEIARABBACgAXAAiAFwAIgApADsAXABuAFwAbgBDAG8AbQBtAG8AbgBfAFMAbwB1AHIAYwBlAEQAYQB0AGEAXwBFAEYATgAyAE8AXwBEAGEAdABhAFwAbgAgACAAPQBMAEEATQBCAEQAQQAoAFwAbgAgACAAIAAgAE0AQQBLAEUAQQBSAFIAQQBZACgAMQA0ACwAIAA1ACwAIABcAG4AIAAgACAAIAAgACAATABBAE0AQgBEAEEAKAByACwAYwAsACAAXABuACAAIAAgACAAIAAgACAAIABJAE4ARABFAFgAKAB7AFwAbgAgACAAIAAgACAAIAAgACAAIAAgAFwAIgBQAHIAbwBkAHUAYwB0AGkAbwBuACAAcwB5AHMAdABlAG0AIABqAFwAIgAsAFwAIgBFAEYATgAyAE8AXAAiACwAIABcACIAUAByAG8AZAB1AGMAdABpAG8AbgAgAHMAeQBzAHQAZQBtACAAbwBuAGwAeQBcACIALAAgAFwAIgBJAHIAcgBpAGcAYQB0AGkAbwBuACAAbQBlAHQAaABvAGQAXAAiACwAIABcACIAUgBhAGkAbgBmAGEAbABsACAAegBvAG4AZQBcACIAOwBcAG4AIAAgACAAIAAgACAAIAAgACAAIABcACIASQByAHIAaQBnAGEAdABlAGQAIABwAGEAcwB0AHUAcgBlAFwAIgAsADAALgAwADAANQA5ACwAIABcACIAUABhAHMAdAB1AHIAZQBcACIALAAgAFwAIgBBAG4AeQBcACIALAAgAFwAIgBBAG4AeQBcACIAOwBcAG4AIAAgACAAIAAgACAAIAAgACAAIABcACIASQByAHIAaQBnAGEAdABlAGQAIABjAHIAbwBwAFwAIgAsADAALgAwADAANwAsACAAXAAiAEMAcgBvAHAAXAAiACwAIABcACIAQQBuAHkAXAAiACwAIABcACIAQQBuAHkAXAAiADsAXABuACAAIAAgACAAIAAgACAAIAAgACAAXAAiAE4AbwBuAC0AaQByAHIAaQBnAGEAdABlAGQAIABwAGEAcwB0AHUAcgBlAFwAIgAsADAALgAwADAAMQA4ACwAIABcACIAUABhAHMAdAB1AHIAZQBcACIALAAgAFwAIgBOAG8AdAAgAGkAcgByAGkAZwBhAHQAZQBkAFwAIgAsACAAXAAiAEwAbwB3ACAAcgBhAGkAbgBmAGEAbABsAFwAIgA7AFwAbgAgACAAIAAgACAAIAAgACAAIAAgAFwAIgBOAG8AbgAtAGkAcgByAGkAZwBhAHQAZQBkACAAcABhAHMAdAB1AHIAZQBcACIALAAwAC4AMAAwADEAOAAsACAAXAAiAFAAYQBzAHQAdQByAGUAXAAiACwAIABcACIATgBvAHQAIABpAHIAcgBpAGcAYQB0AGUAZABcACIALAAgAFwAIgBIAGkAZwBoACAAcgBhAGkAbgBmAGEAbABsAFwAIgA7AFwAbgAgACAAIAAgACAAIAAgACAAIAAgAFwAIgBOAG8AbgAtAGkAcgByAGkAZwBhAHQAZQBkACAAYwByAG8AcAAgACgAbABvAHcAIAByAGEAaQBuAGYAYQBsAGwAKQBcACIALAAwAC4AMAAwADIAOQAsACAAXAAiAEMAcgBvAHAAXAAiACwAIABcACIATgBvAHQAIABpAHIAcgBpAGcAYQB0AGUAZABcACIALAAgAFwAIgBMAG8AdwAgAHIAYQBpAG4AZgBhAGwAbABcACIAOwBcAG4AIAAgACAAIAAgACAAIAAgACAAIABcACIATgBvAG4ALQBpAHIAcgBpAGcAYQB0AGUAZAAgAGMAcgBvAHAAIAAoAGgAaQBnAGgAIAByAGEAaQBuAGYAYQBsAGwAKQBcACIALAAwAC4AMAAwADgALAAgAFwAIgBDAHIAbwBwAFwAIgAsACAAXAAiAE4AbwB0ACAAaQByAHIAaQBnAGEAdABlAGQAXAAiACwAIABcACIASABpAGcAaAAgAHIAYQBpAG4AZgBhAGwAbABcACIAOwBcAG4AIAAgACAAIAAgACAAIAAgACAAIABcACIAUwB1AGcAYQByAFwAIgAsADAALgAwADEAOQA5ACwAIABcACIAUwB1AGcAYQByAFwAIgAsACAAXAAiAEEAbgB5AFwAIgAsACAAXAAiAEEAbgB5AFwAIgA7AFwAbgAgACAAIAAgACAAIAAgACAAIAAgAFwAIgBDAG8AdAB0AG8AbgBcACIALAAwAC4AMAAwADUAMwAsACAAXAAiAEMAbwB0AHQAbwBuAFwAIgAsACAAXAAiAEEAbgB5AFwAIgAsACAAXAAiAEEAbgB5AFwAIgA7AFwAbgAgACAAIAAgACAAIAAgACAAIAAgAFwAIgBIAG8AcgB0AGkAYwB1AGwAdAB1AHIAYQBsACAAYwByAG8AcABzAFwAIgAsADAALgAwADAANgA0ACwAIABcACIASABvAHIAdABpAGMAdQBsAHQAdQByAGEAbAAgAGMAcgBvAHAAcwBcACIALAAgAFwAIgBBAG4AeQBcACIALAAgAFwAIgBBAG4AeQBcACIAOwBcAG4AIAAgACAAIAAgACAAIAAgACAAIABcACIAUgBpAGMAZQAgACgAYwBvAG4AdABpAG4AdQBvAHUAcwAgAGYAbABvAG8AZABpAG4AZwApAFwAIgAsADAALgAwADAAMwAsACAAXAAiAFIAaQBjAGUAXAAiACwAIABcACIAQwBvAG4AdABpAG4AdQBvAHUAcwAgAGYAbABvAG8AZABpAG4AZwBcACIALAAgAFwAIgBBAG4AeQBcACIAOwBcAG4AIAAgACAAIAAgACAAIAAgACAAIABcACIAUgBpAGMAZQAgACgAcwBpAG4AZwBsAGUAIABhAG4AZAAgAG0AdQBsAHQAaQBwAGwAZQAgAGQAcgBhAGkAbgBhAGcAZQAsACAAbwByACAAYQBsAHQAZQByAG4AYQB0AGUAIAB3AGUAdAB0AGkAbgBnACAAYQBuAGQAIABkAHIAeQBpAG4AZwApAFwAIgAsADAALgAwADAANQAsACAAXAAiAFIAaQBjAGUAXAAiACwAIABcACIAUwBpAG4AZwBsAGUAIABhAG4AZAAgAG0AdQBsAHQAaQBwAGwAZQAgAGQAcgBhAGkAbgBhAGcAZQAsACAAbwByACAAYQBsAHQAZQByAG4AYQB0AGUAIAB3AGUAdAB0AGkAbgBnACAAYQBuAGQAIABkAHIAeQBpAG4AZwBcACIALAAgAFwAIgBBAG4AeQBcACIAOwBcAG4AIAAgACAAIAAgACAAIAAgACAAIABcACIAQQBxAHUAYQBjAHUAbAB0AHUAcgBlAFwAIgAsADAALgAwADAAMgA2ACwAIABcACIAQQBxAHUAYQBjAHUAbAB0AHUAcgBlAFwAIgAsACAAXAAiAEEAbgB5AFwAIgAsACAAXAAiAEEAbgB5AFwAIgA7AFwAbgAgACAAIAAgACAAIAAgACAAIAAgAFwAIgBGAG8AcgBlAHMAdAByAHkAXAAiACwAMAAuADAAMAAxADgALAAgAFwAIgBGAG8AcgBlAHMAdAByAHkAXAAiACwAIABcACIAQQBuAHkAXAAiACwAIABcACIAQQBuAHkAXAAiAFwAbgAgACAAIAAgACAAIAAgACAAfQAsACAAcgAsACAAYwApAFwAbgAgACAAIAAgACAAIAApAFwAbgAgACAAIAAgACkAXABuACAAIAApADsAXABuAFwAbgAgACAAQwBvAG0AbQBvAG4AXwBTAG8AdQByAGMAZQBEAGEAdABhAF8ARQBGAE4AMgBPAF8AVgBhAHIAaQBhAHQAaQBvAG4AXABu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SAGUAbQBvAHYAZQBkACAAZAB1AHAAbABpAGMAYQB0AGUAIABcAHUAMAAwADIANwBBAHEAdQBhAGMAdQBsAHQAdQByAGUAXAB1ADAAMAAyADcAIAByAG8AdwAuAFwAIgA7AFwAbgAgACAAIAAgACAAIAAgACAAIAAgAFwAIgBSAGUAbQBvAHYAZQBkACAAYQBzAHQAZQByAGkAcwBrAHMAIAB0AG8AIABhAGkAZAAgAGwAbwBvAGsAdQBwAC4AXAAiADsAXABuACAAIAAgACAAIAAgACAAIAAgACAAXAAiAEEAZABkAGUAZAAgAFwAdQAwADAAMgA3AHAAcgBvAGQAdQBjAHQAaQBvAG4AIABzAHkAcwB0AGUAbQAgAG8AbgBsAHkAXAB1ADAAMAAyADcALAAgAFwAdQAwADAAMgA3AHIAYQBpAG4AZgBhAGwAbAAgAHoAbwBuAGUAXAB1ADAAMAAyADcAIABhAG4AZAAgAFwAdQAwADAAMgA3AGkAcgByAGkAZwBhAHQAaQBvAG4AIABtAGUAdABoAG8AZABcAHUAMAAwADIANwAgAGMAbwBsAHUAbQBuAHMAIAB0AG8AIABhAGkAZAAgAGwAbwBvAGsAdQBwAC4AXAAiADsAXABuACAAIAAgACAAIAAgACAAIAAgACAAXAAiAEQAdQBwAGwAaQBjAGEAdABlAGQAIABcAHUAMAAwADIANwBuAG8AbgAtAGkAcgByAGkAZwBhAHQAZQBkACAAcABhAHMAdAB1AHIAZQBcAHUAMAAwADIAN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BcAHUAMAAwADIANwBBAHIAZQBhAHMAIABhAHIAZQAgAHMAdQBiAGoAZQBjAHQAIAB0AG8AIABsAGUAYQBjAGgAaQBuAGcAIAAoAGkALgBlAC4ALAAgAGkAbgAgAHQAaABlACAAbABlAGEAYwBoAGkAbgBnACAAegBvAG4AZQApACAAdwBoAGUAbgAuAC4ALgAgAHQAaABlACAAbABhAG4AZAAgAGkAcwAgAGkAcgByAGkAZwBhAHQAZQBkACAAKABlAHgAYwBlAHAAdAAgAGQAcgBpAHAAIABpAHIAcgBpAGcAYQB0AGkAbwBuACkALgBcAHUAMAAwADIANwBcACIAKQA7AFwAbgBcAG4AXABuAC8AKgAgAFwAbgAtAC0ALQAtAC0ALQAtAC0ALQAtAC0ALQAtAC0ALQAtAC0ALQAtAC0ALQAtAC0ALQAtAC0ALQAtAC0ALQAtAC0ALQAtAC0ALQAtAC0AXABuAEMAbwBtAG0AbwBuAF8AUwBvAHUAcgBjAGUARABhAHQAYQBfAEUARgBQAGEAcwB0AHUAcgBlAFIAYQBuAGcAZQBBAG4AZABQAGEAZABkAG8AYwBrAFwAbgBUAGEAYgBsAGUAIABBAC4AMgAuADIALgAyADoAIABFAG0AaQBzAHMAaQBvAG4AIABmAGEAYwB0AG8AcgAgAGYAbwByACAAdQByAGkAbgBlACAAYQBuAGQAIABkAHUAbgBnACAAZABlAHAAbwBzAGkAdABlAGQAIABvAG4AIABwAGEAcwB0AHUAcgBlACwAIAByAGEAbgBnAGUAIABvAHIAIABwAGEAZABkAG8AYwBrACAAKABrAGcAIABOADIATwAtAE4ALwBrAGcAIABOACkAIAAoAEUARgBQAFIAUAApAFwAbgAtAC0ALQAtAC0ALQAtAC0ALQAtAC0ALQAtAC0ALQAtAC0ALQAtAC0ALQAtAC0ALQAtAC0ALQAtAC0ALQAtAC0ALQAtAC0ALQAtAC0AXABuACoALwBcAG4AXABuAEMAbwBtAG0AbwBuAF8AUwBvAHUAcgBjAGUARABhAHQAYQBfAEUARgBQAGEAcwB0AHUAcgBlAFIAYQBuAGcAZQBBAG4AZABQAGEAZABkAG8AYwBrAF8AVABpAHQAbABlAFwAbgAgACAAPQBMAEEATQBCAEQAQQAoAFwAIgBFAG0AaQBzAHMAaQBvAG4AIABmAGEAYwB0AG8AcgAgAGYAbwByACAAdQByAGkAbgBlACAAYQBuAGQAIABkAHUAbgBnACAAZABlAHAAbwBzAGkAdABlAGQAIABvAG4AIABwAGEAcwB0AHUAcgBlACwAIAByAGEAbgBnAGUAIABvAHIAIABwAGEAZABkAG8AYwBrAFwAIgApADsAXABuAFwAbgBDAG8AbQBtAG8AbgBfAFMAbwB1AHIAYwBlAEQAYQB0AGEAXwBFAEYAUABhAHMAdAB1AHIAZQBSAGEAbgBnAGUAQQBuAGQAUABhAGQAZABvAGMAawBfAFUAbgBpAHQAXABuACAAIAA9AEwAQQBNAEIARABBACgAXAAiAGsAZwAgAE4AMgBPACAALQAgAE4AIAAvACAAawBnACAATgBcACIAKQA7AFwAbgBcAG4AQwBvAG0AbQBvAG4AXwBTAG8AdQByAGMAZQBEAGEAdABhAF8ARQBGAFAAYQBzAHQAdQByAGUAUgBhAG4AZwBlAEEAbgBkAFAAYQBkAGQAbwBjAGsAXwBTAG8AdQByAGMAZQBcAG4AIAAgAD0ATABBAE0AQgBEAEEAKABcACIAVgBFAEUAUgBHACAAMgAwADIANgA6ACAAVABhAGIAbABlACAAQQAuADIALgAyAC4AMgBcACIAKQA7AFwAbgBcAG4AQwBvAG0AbQBvAG4AXwBTAG8AdQByAGMAZQBEAGEAdABhAF8ARQBGAFAAYQBzAHQAdQByAGUAUgBhAG4AZwBlAEEAbgBkAFAAYQBkAGQAbwBjAGsAXwBOAEkAUgBSAGUAZgBlAHIAZQBuAGMAZQBcAG4AIAAgAD0ATABBAE0AQgBEAEEAKABcACIAXAAiACkAOwBcAG4AXABuAEMAbwBtAG0AbwBuAF8AUwBvAHUAcgBjAGUARABhAHQAYQBfAEUARgBQAGEAcwB0AHUAcgBlAFIAYQBuAGcAZQBBAG4AZABQAGEAZABkAG8AYwBr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QAFIAUABcACIAOwBcAG4AIAAgACAAIAAgACAAIAAgACAAIABcACIAVwBlAHQAIABjAGwAaQBtAGEAdABlACAAegBvAG4AZQBcACIALAAgADAALgAwADAANgA7AFwAbgAgACAAIAAgACAAIAAgACAAIAAgAFwAIgBEAHIAeQAgAGMAbABpAG0AYQB0AGUAIAB6AG8AbgBlAFwAIgAsACAAMAAuADAAMAAyAFwAbgAgACAAIAAgACAAIAAgACAAfQAsACAAcgAsACAAYwApAFwAbgAgACAAIAAgACAAIAApAFwAbgAgACAAIAAgACkAXABuACAAIAApADsAXABuAFwAbgAgACAAQwBvAG0AbQBvAG4AXwBTAG8AdQByAGMAZQBEAGEAdABhAF8ARQBGAFAAYQBzAHQAdQByAGUAUgBhAG4AZwBlAEEAbgBkAFAAYQBkAGQAbwBjAGsAXwBWAGEAcgBpAGEAdABpAG8AbgBcAG4AIAAgAD0ATABBAE0AQgBEAEEAKABcACIAVgBBAFIASQBBAFQASQBPAE4AIABGAFIATwBNACAAUwBPAFUAUgBDAEUAIABEAEEAVABBADoAIABDAGgAYQBuAGcAZQBkACAAXAB1ADAAMAAyADcARAByAHkAIABjAGwAaQBtAGEAdABlACAAegBvAG4AZQBzAFwAdQAwADAAMgA3ACAAdABvACAAcwBpAG4AZwB1AGwAYQByACAAXAB1ADAAMAAyADcARAByAHkAIABjAGwAaQBtAGEAdABlACAAegBvAG4AZQBcAHUAMAAwADIAN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Q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FwAdQAwADAAMwBjADEAIABtAG8AbgB0AGgAXAAiACwAIABcACIARABlAGUAcAAgAEwAaQB0AHQAZQByAFwAIgAsACAAXAAiAFAAbwB1AGwAdAByAHkAIABNAGEAbgB1AHIAZQAgACgAdwBpAHQAaAAvAHcAaQB0AGgAbwB1AHQAIABsAGkAdAB0AGUAcgApAFwAIgAsACAAXAAiAFwAIgAsACAAXAAiAEQAaQByAGUAYwB0ACAAcAByAG8AYwBlAHMAcwBpAG4AZwAgAGkAbgB0AG8AIABwAGUAbABsAGUAdABpAHoAZQBkACAAZgBlAHIAdABpAGwAaQBzAGUAcgBcACIALAAgAFwAIgBEAGkAcgBlAGMAdAAgAGEAcABwAGwAaQBjAGEAdABpAG8AbgAgAHQAbwAgAHMAbwBpAGwAXAAiACwAIABcACIAUABhAHMAdAB1AHIAZQAsACAAUgBhAG4AZwBlACAAYQBuAGQAIABQAGEAZABkAG8AYwBrACAAKABjACkAKABkACkAXAAiACwAIABcACIATQBBAFQAIAByAGEAdwBcACIAOwBcAG4AIAAgACAAIAAgACAAIAAgACAAIABcACIAQwBvAG8AbABcACIALAAgAFwAIgBkIjEAMABcACIALAAgADAALgA2ADYALAAgADAALgAxACwAIAAwAC4AMQAsACAAMAAuADAAMAAxACwAIAAwAC4AMAAwADUALAAgADAALgAwADIALAAgADAALgAwADMALAAgADAALgAwADQALAAgADAALgAwADEANQAsACAAMAAuADAAMQA1ACwAIAAwACwAIAAwACwAIAAwAC4AMAAwADQANwAsACAAMQAwADsAXABuACAAIAAgACAAIAAgACAAIAAgACAAXAAiAEMAbwBvAGwAXAAiACwAIAAxADEALAAgADAALgA2ADgALAAgADAALgAxACwAIAAwAC4AMQAxACwAIAAwAC4AMAAwADEALAAgADAALgAwADAANQAsACAAMAAuADAAMgAsACAAMAAuADAAMwAsACAAMAAuADAANAAsACAAMAAuADAAMQA1ACwAIAAwAC4AMAAxADUALAAgADAALAAgADAALAAgADAALgAwADAANAA3ACwAIAAxADEAOwBcAG4AIAAgACAAIAAgACAAIAAgACAAIABcACIAQwBvAG8AbABcACIALAAgADEAMgAsACAAMAAuADcALAAgADAALgAxACwAIAAwAC4AMQAzACwAIAAwAC4AMAAwADEALAAgADAALgAwADAANQAsACAAMAAuADAAMgAsACAAMAAuADAAMwAsACAAMAAuADAANAAsACAAMAAuADAAMQA1ACwAIAAwAC4AMAAxADUALAAgADAALAAgADAALAAgADAALgAwADAANAA3ACwAIAAxADIAOwBcAG4AIAAgACAAIAAgACAAIAAgACAAIABcACIAQwBvAG8AbABcACIALAAgADEAMwAsACAAMAAuADcAMQAsACAAMAAuADEALAAgADAALgAxADQALAAgADAALgAwADAAMQAsACAAMAAuADAAMAA1ACwAIAAwAC4AMAAyACwAIAAwAC4AMAAzACwAIAAwAC4AMAA0ACwAIAAwAC4AMAAxADUALAAgADAALgAwADEANQAsACAAMAAsACAAMAAsACAAMAAuADAAMAA0ADcALAAgADEAMwA7AFwAbgAgACAAIAAgACAAIAAgACAAIAAgAFwAIgBDAG8AbwBsAFwAIgAsACAAMQA0ACwAIAAwAC4ANwAzACwAIAAwAC4AMQAsACAAMAAuADEANQAsACAAMAAuADAAMAAxACwAIAAwAC4AMAAwADUALAAgADAALgAwADIALAAgADAALgAwADMALAAgADAALgAwADQALAAgADAALgAwADEANQAsACAAMAAuADAAMQA1ACwAIAAwACwAIAAwACwAIAAwAC4AMAAwADQANwAsACAAMQA0ADsAXABuACAAIAAgACAAIAAgACAAIAAgACAAXAAiAFQAZQBtAHAAZQByAGEAdABlAFwAIgAsACAAMQA1ACwAIAAwAC4ANwA0ACwAIAAwAC4AMQAsACAAMAAuADEANwAsACAAMAAuADAAMAA1ACwAIAAwAC4AMAAxACwAIAAwAC4AMAAyACwAIAAwAC4AMAAzACwAIAAwAC4AMAA0ACwAIAAwAC4AMAAxADUALAAgADAALgAwADEANQAsACAAMAAsACAAMAAsACAAMAAuADAAMAA0ADcALAAgADEANQA7AFwAbgAgACAAIAAgACAAIAAgACAAIAAgAFwAIgBUAGUAbQBwAGUAcgBhAHQAZQBcACIALAAgADEANgAsACAAMAAuADcANQAsACAAMAAuADEALAAgADAALgAxADgALAAgADAALgAwADAANQAsACAAMAAuADAAMQAsACAAMAAuADAAMgAsACAAMAAuADAAMwAsACAAMAAuADAANAAsACAAMAAuADAAMQA1ACwAIAAwAC4AMAAxADUALAAgADAALAAgADAALAAgADAALgAwADAANAA3ACwAIAAxADYAOwBcAG4AIAAgACAAIAAgACAAIAAgACAAIABcACIAVABlAG0AcABlAHIAYQB0AGUAXAAiACwAIAAxADcALAAgADAALgA3ADYALAAgADAALgAxACwAIAAwAC4AMgAsACAAMAAuADAAMAA1ACwAIAAwAC4AMAAxACwAIAAwAC4AMAAyACwAIAAwAC4AMAAzACwAIAAwAC4AMAA0ACwAIAAwAC4AMAAxADUALAAgADAALgAwADEANQAsACAAMAAsACAAMAAsACAAMAAuADAAMAA0ADcALAAgADEANwA7AFwAbgAgACAAIAAgACAAIAAgACAAIAAgAFwAIgBUAGUAbQBwAGUAcgBhAHQAZQBcACIALAAgADEAOAAsACAAMAAuADcANwAsACAAMAAuADEALAAgADAALgAyADIALAAgADAALgAwADAANQAsACAAMAAuADAAMQAsACAAMAAuADAAMgAsACAAMAAuADAAMwAsACAAMAAuADAANAAsACAAMAAuADAAMQA1ACwAIAAwAC4AMAAxADUALAAgADAALAAgADAALAAgADAALgAwADAANAA3ACwAIAAxADgAOwBcAG4AIAAgACAAIAAgACAAIAAgACAAIABcACIAVABlAG0AcABlAHIAYQB0AGUAXAAiACwAIAAxADkALAAgADAALgA3ADcALAAgADAALgAxACwAIAAwAC4AMgA0ACwAIAAwAC4AMAAwADUALAAgADAALgAwADEALAAgADAALgAwADIALAAgADAALgAwADMALAAgADAALgAwADQALAAgADAALgAwADEANQAsACAAMAAuADAAMQA1ACwAIAAwACwAIAAwACwAIAAwAC4AMAAwADQANwAsACAAMQA5ADsAXABuACAAIAAgACAAIAAgACAAIAAgACAAXAAiAFQAZQBtAHAAZQByAGEAdABlAFwAIgAsACAAMgAwACwAIAAwAC4ANwA4ACwAIAAwAC4AMQAsACAAMAAuADIANgAsACAAMAAuADAAMAA1ACwAIAAwAC4AMAAxACwAIAAwAC4AMAAyACwAIAAwAC4AMAAzACwAIAAwAC4AMAA0ACwAIAAwAC4AMAAxADUALAAgADAALgAwADEANQAsACAAMAAsACAAMAAsACAAMAAuADAAMAA0ADcALAAgADIAMAA7AFwAbgAgACAAIAAgACAAIAAgACAAIAAgAFwAIgBUAGUAbQBwAGUAcgBhAHQAZQBcACIALAAgADIAMQAsACAAMAAuADcAOAAsACAAMAAuADEALAAgADAALgAyADkALAAgADAALgAwADAANQAsACAAMAAuADAAMQAsACAAMAAuADAAMgAsACAAMAAuADAAMwAsACAAMAAuADAANAAsACAAMAAuADAAMQA1ACwAIAAwAC4AMAAxADUALAAgADAALAAgADAALAAgADAALgAwADAANAA3ACwAIAAyADEAOwBcAG4AIAAgACAAIAAgACAAIAAgACAAIABcACIAVABlAG0AcABlAHIAYQB0AGUAXAAiACwAIAAyADIALAAgADAALgA3ADgALAAgADAALgAxACwAIAAwAC4AMwAxACwAIAAwAC4AMAAwADUALAAgADAALgAwADEALAAgADAALgAwADIALAAgADAALgAwADMALAAgADAALgAwADQALAAgADAALgAwADEANQAsACAAMAAuADAAMQA1ACwAIAAwACwAIAAwACwAIAAwAC4AMAAwADQANwAsACAAMgAyADsAXABuACAAIAAgACAAIAAgACAAIAAgACAAXAAiAFQAZQBtAHAAZQByAGEAdABlAFwAIgAsACAAMgAzACwAIAAwAC4ANwA5ACwAIAAwAC4AMQAsACAAMAAuADMANAAsACAAMAAuADAAMAA1ACwAIAAwAC4AMAAxACwAIAAwAC4AMAAyACwAIAAwAC4AMAAzACwAIAAwAC4AMAA0ACwAIAAwAC4AMAAxADUALAAgADAALgAwADEANQAsACAAMAAsACAAMAAsACAAMAAuADAAMAA0ADcALAAgADIAMwA7AFwAbgAgACAAIAAgACAAIAAgACAAIAAgAFwAIgBUAGUAbQBwAGUAcgBhAHQAZQBcACIALAAgADIANAAsACAAMAAuADcAOQAsACAAMAAuADEALAAgADAALgAzADcALAAgADAALgAwADAANQAsACAAMAAuADAAMQAsACAAMAAuADAAMgAsACAAMAAuADAAMwAsACAAMAAuADAANAAsACAAMAAuADAAMQA1ACwAIAAwAC4AMAAxADUALAAgADAALAAgADAALAAgADAALgAwADAANAA3ACwAIAAyADQAOwBcAG4AIAAgACAAIAAgACAAIAAgACAAIABcACIAVABlAG0AcABlAHIAYQB0AGUAXAAiACwAIAAyADUALAAgADAALgA3ADkALAAgADAALgAxACwAIAAwAC4ANAAxACwAIAAwAC4AMAAwADUALAAgADAALgAwADEALAAgADAALgAwADIALAAgADAALgAwADMALAAgADAALgAwADQALAAgADAALgAwADEANQAsACAAMAAuADAAMQA1ACwAIAAwACwAIAAwACwAIAAwAC4AMAAwADQANwAsACAAMgA1ADsAXABuACAAIAAgACAAIAAgACAAIAAgACAAXAAiAFcAYQByAG0AXAAiACwAIAAyADYALAAgADAALgA3ADkALAAgADAALgAxACwAIAAwAC4ANAA0ACwAIAAwAC4AMAAxACwAIAAwAC4AMAAxADUALAAgADAALgAwADIALAAgADAALgAwADMALAAgADAALgAwADQALAAgADAALgAwADEANQAsACAAMAAuADAAMQA1ACwAIAAwACwAIAAwACwAIAAwAC4AMAAwADQANwAsACAAMgA2ADsAXABuACAAIAAgACAAIAAgACAAIAAgACAAXAAiAFcAYQByAG0AXAAiACwAIAAyADcALAAgADAALgA4ACwAIAAwAC4AMQAsACAAMAAuADQAOAAsACAAMAAuADAAMQAsACAAMAAuADAAMQA1ACwAIAAwAC4AMAAyACwAIAAwAC4AMAAzACwAIAAwAC4AMAA0ACwAIAAwAC4AMAAxADUALAAgADAALgAwADEANQAsACAAMAAsACAAMAAsACAAMAAuADAAMAA0ADcALAAgADIANwA7AFwAbgAgACAAIAAgACAAIAAgACAAIAAgAFwAIgBXAGEAcgBtAFwAIgAsACAAXAAiAGUiMgA4AFwAIgAsACAAMAAuADgALAAgADAALgAxACwAIAAwAC4ANQAsACAAMAAuADAAMQAsACAAMAAuADAAMQA1ACwAIAAwAC4AMAAyACwAIAAwAC4AMAAzACwAIAAwAC4AMAA0ACwAIAAwAC4AMAAxADUALAAgADAALgAwADEANQAsACAAMAAsACAAMAAsACAAMAAuADAAMAA0ADcALAAgADIAOAA7AFwAbgAgACAAIAAgACAAIAAgACAAIAAgAFwAIgBcACIALAAgAFwAIgBcACIALAAgAFwAIgBBAG4AYQBlAHIAbwBiAGkAYwAgAGwAYQBnAG8AbwBuAFwAIgAsACAAXAAiAEQAaQBnAGUAcwB0AGUAcgAgAC8AIABjAG8AdgBlAHIAZQBkACAAbABhAGcAbwBvAG4AcwBcACIALAAgAFwAIgBMAGkAcQB1AGkAZAAgAHMAeQBzAHQAZQBtAHMAXAAiACwAIABcACIARABhAGkAbAB5ACAAcwBwAHIAZQBhAGQAXAAiACwAIABcACIAQwBvAG0AcABvAHMAdABpAG4AZwAgACgAcABhAHMAcwBpAHYAZQAgAHcAaQBuAGQAcgBvAHcAKQBcACIALAAgAFwAIgBTAG8AbABpAGQAIABzAHQAbwByAGEAZwBlAFwAIgAsACAAXAAiAFAAaQB0ACAAcwB0AG8AcgBhAGcAZQBcACIALAAgAFwAIgBEAGUAZQBwACAAbABpAHQAdABlAHIAXAAiACwAIABcACIAUABvAHUAbAB0AHIAeQAgAG0AYQBuAHUAcgBlACAAdwBpAHQAaAAgAGIAZQBkAGQAaQBuAGcAXAAiACwAIABcACIAUABvAHUAbAB0AHIAeQAgAG0AYQBuAHUAcgBlACAAdwBpAHQAaABvAHUAdAAgAGIAZQBkAGQAaQBuAGcAXAAiACwAIABcACIARABpAHIAZQBjAHQAIABwAHIAbwBjAGUAcwBzAGkAbgBnAFwAIgAsACAAXAAiAEQAaQByAGUAYwB0ACAAYQBwAHAAbABpAGMAYQB0AGkAbwBuAFwAIgAsACAAXAAiAFAAYQBzAHQAdQByAGUAIAByAGEAbgBnAGUAIABhAG4AZAAgAHAAYQBkAGQAbwBjAGsAXAAiACwAIABcACIATQBBAFQAIAByAGEAdwBcACIAIABcAG4AIAAgACAAIAAgACAAIAAgAH0ALAAgAHIALAAgAGMAKQBcAG4AIAAgACAAIAAgACAAKQBcAG4AIAAgACAAIAApAFwAbgAgACAAKQA7AFwAbgBcAG4AQwBvAG0AbQBvAG4AXwBTAG8AdQByAGMAZQBEAGEAdABhAF8ATQBDAEYAVABlAG0AcABlAHIAYQB0AHUAcgBlAFoAbwBuAGUAXwBWAGEAcgBpAGEAdABpAG8AbgBcAG4AIAAgAD0ATABBAE0AQgBEAEEAKABcACIAVgBBAFIASQBBAFQASQBPAE4AIABGAFIATwBNACAAUwBPAFUAUgBDAEUAOgAgAEEAZABkAGUAZAAgAHIAbwB3ACAAbwBmACAATgBJAFIAIABNAE0AQQAgAGQAZQBmAGkAbgBpAHQAaQBvAG4AcwAgAHQAbwAgAGEAaQBkACAAbABvAG8AawB1AHAALgAgAEQAdQBwAGwAaQBjAGEAdABlAGQAIABcAHUAMAAwADIANwBQAG8AdQBsAHQAcgB5ACAAdwBpAHQAaAAgAGEAbgBkACAAdwBpAHQAaABvAHUAdAAgAGwAaQB0AHQAZQByAFwAdQAwADAAMgA3ACAAYwBvAGwAdQBtAG4AIAB3AGkAdABoACAAcwBlAHAAYQByAGEAdABlACAATgBJAFIAIABkAGUAZgBpAG4AaQB0AGkAbwBuAHMAIAB0AG8AIABhAGkAZAAgAGwAbwBvAGsAdQBwAC4AIABBAGQAZABlAGQAIABcAHUAMAAwADIANwBNAEEAVAAgAHIAYQB3AFwAdQAwADAAMgA3ACAAYwBvAGwAdQBtAG4AIAB0AG8AIABhAGwAbABvAHcAIABsAG8AbwBrAHUAcAAgAG8AZgAgAG4AdQBtAGIAZQByAHMALgBcACIAKQA7AFwAbgBcAG4AXABuAFwAbgAvACoAIABcAG4ALQAtAC0ALQAtAC0ALQAtAC0ALQAtAC0ALQAtAC0ALQAtAC0ALQAtAC0ALQAtAC0ALQAtAC0ALQAtAC0ALQAtAC0ALQAtAC0ALQAtAFwAbgBDAG8AbQBtAG8AbgBfAFMAbwB1AHIAYwBlAEQAYQB0AGEAXwBFAEYATwByAGcAYQBuAGkAYwBGAGUAcgB0AGkAbABpAHMAZQByAEEAbgBkAEMAcgBvAHAAUgBlAHMAaQBkAHUAZQBzAFwAbgAtAC0ALQAtAC0ALQAtAC0ALQAtAC0ALQAtAC0ALQAtAC0ALQAtAC0ALQAtAC0ALQAtAC0ALQAtAC0ALQAtAC0ALQAtAC0ALQAtAC0AXABuACoALwBcAG4AXABuAEMAbwBtAG0AbwBuAF8AUwBvAHUAcgBjAGUARABhAHQAYQBfAEUARgBPAHIAZwBhAG4AaQBjAEYAZQByAHQAaQBsAGkAcwBlAHIAQQBuAGQAQwByAG8AcABSAGUAcwBpAGQAdQBlAHMAXwBUAGkAdABsAGUAXABuACAAIAA9AEwAQQBNAEIARABBACgAXAAiAEUAbQBpAHMAcwBpAG8AbgAgAGYAYQBjAHQAbwByACAAZgBvAHIAIABvAHIAZwBhAG4AaQBjACAAZgBlAHIAdABpAGwAaQBzAGUAcgAgAGEAbgBkACAAYwByAG8AcAAgAHIAZQBzAGkAZAB1AGUAcwAgAHIAZQB0AHUAcgBuAGUAZAAgAHQAbwAgAHQAaABlACAAcwBvAGkAbABcACIAKQA7AFwAbgBcAG4AQwBvAG0AbQBvAG4AXwBTAG8AdQByAGMAZQBEAGEAdABhAF8ARQBGAE8AcgBnAGEAbgBpAGMARgBlAHIAdABpAGwAaQBzAGUAcgBBAG4AZABDAHIAbwBwAFIAZQBzAGkAZAB1AGUAcwBfAFYAYQByAGkAYQBiAGwAZQBcAG4AIAAgAD0ATABBAE0AQgBEAEEAKABcACIARQBGAE4AaQAgAFwAdQAwADAAMgA2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XAB1ADAAMAAyADYAIABFAEYATgAyAE8AXAAiADsAXABuACAAIAAgACAAIAAgACAAIAAgACAAXAAiAFcAZQB0ACAAYwBsAGkAbQBhAHQAZQAgAHoAbwBuAGUAXAAiACwAIAAwAC4AMAAwADYAOwBcAG4AIAAgACAAIAAgACAAIAAgACAAIABcACIARAByAHkAIABjAGwAaQBtAGEAdABlACAAegBvAG4AZQBcACIALAAgADAALgAwADAANQBcAG4AIAAgACAAIAAgACAAIAAgAH0ALAAgAHIALAAgAGMAKQBcAG4AIAAgACAAIAAgACAAKQBcAG4AIAAgACAAIAApAFwAbgAgACAAKQA7AFwAbgBcAG4AQwBvAG0AbQBvAG4AXwBTAG8AdQByAGMAZQBEAGEAdABhAF8ARQBGAE8AcgBnAGEAbgBpAGMARgBlAHIAdABpAGwAaQBzAGUAcgBBAG4AZABDAHIAbwBwAFIAZQBzAGkAZAB1AGUAcwBfAFYAYQByAGkAYQB0AGkAbwBuAFwAbgAgACAAPQBMAEEATQBCAEQAQQAoAFwAIgBcACIAKQA7AFwAbgBcAG4AXABuAFwAbgBcAG4AXABuAFwAbgBcAG4AXABuAFwAbgBcAG4AXABuAFwAbgBcAG4AXABuAFwAbgBcAG4AIgB9AF0ALAAiAHAAcgBvAGoAZQBjAHQATgBhAG0AZQBzACIAOgBb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EQAaQBmAGYAZQByAGUAbgB0AFMAaABlAGUAdAAiACwAIgBDAG8AbQBtAG8AbgBfAEkAbgBwAHUAdABGAHUAbgBjAHQAaQBvAG4AcwAuAFUAdABpAGwAaQB0AHkAXwBSAGUAcwB1AGwAdABzAEkAdABlAG0ARgByAG8AbQBFAHEAdQBhAHQAaQBvAG4AVABpAHQAbABlAEEAbgBkAFMAbwB1AHIAYwBlACIALA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UwBvAHUAcgBjAGUARABhAHQAYQAuAEMAbwBtAG0AbwBuAF8AUwBvAHUAcgBjAGUARABhAHQAYQBfAE0AbwBuAHQAaABzAFQAbwBTAGUAYQBzAG8AbgBzAF8AVABpAHQAbABlACIALAAiAEMAbwBtAG0AbwBuAF8AUwBvAHUAcgBjAGUARABhAHQAYQAuAEMAbwBtAG0AbwBuAF8AUwBvAHUAcgBjAGUARABhAHQAYQBfAE0AbwBuAHQAaABzAFQAbwBTAGUAYQBzAG8AbgBzAF8AVQBuAGkAdAAiACwAIgBDAG8AbQBtAG8AbgBfAFMAbwB1AHIAYwBlAEQAYQB0AGEALgBDAG8AbQBtAG8AbgBfAFMAbwB1AHIAYwBlAEQAYQB0AGEAXwBNAG8AbgB0AGgAcwBUAG8AUwBlAGEAcwBvAG4AcwBfAFMAbwB1AHIAYwBlACIALAAiAEMAbwBtAG0AbwBuAF8AUwBvAHUAcgBjAGUARABhAHQAYQAuAEMAbwBtAG0AbwBuAF8AUwBvAHUAcgBjAGUARABhAHQAYQBfAE0AbwBuAHQAaABzAFQAbwBTAGUAYQBzAG8AbgBzAF8ATgBJAFIAUgBlAGYAZQByAGUAbgBjAGUAIgAsACIAQwBvAG0AbQBvAG4AXwBTAG8AdQByAGMAZQBEAGEAdABhAC4AQwBvAG0AbQBvAG4AXwBTAG8AdQByAGMAZQBEAGEAdABhAF8ATQBvAG4AdABoAHMAVABvAFMAZQBhAHMAbwBuAHMAXwBEAGEAdABhACIALAAiAEMAbwBtAG0AbwBuAF8AUwBvAHUAcgBjAGUARABhAHQAYQAuAEMAbwBtAG0AbwBuAF8AUwBvAHUAcgBjAGUARABhAHQAYQBfAE0AbwBuAHQAaABzAFQAbwBTAGUAYQBzAG8AbgBzAF8AVgBhAHIAaQBhAHQAaQBvAG4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56</vt:i4>
      </vt:variant>
    </vt:vector>
  </HeadingPairs>
  <TitlesOfParts>
    <vt:vector size="65" baseType="lpstr">
      <vt:lpstr>Home</vt:lpstr>
      <vt:lpstr>Results - Activity period</vt:lpstr>
      <vt:lpstr>Results - Product EI</vt:lpstr>
      <vt:lpstr>Input - Site</vt:lpstr>
      <vt:lpstr>Input - Enterprise</vt:lpstr>
      <vt:lpstr>Input - Fert Prod System</vt:lpstr>
      <vt:lpstr>Input - Livestock sales</vt:lpstr>
      <vt:lpstr>Input - Data quality</vt:lpstr>
      <vt:lpstr>Constants - Common</vt:lpstr>
      <vt:lpstr>Common_SourceData_DensityOfMethane_Data</vt:lpstr>
      <vt:lpstr>Result_CarbonRemovalsFromPlantings</vt:lpstr>
      <vt:lpstr>Result_EmissionsForWholeProductionCycle_Gross_Method1</vt:lpstr>
      <vt:lpstr>Result_EmissionsForWholeProductionCycle_Gross_Method2</vt:lpstr>
      <vt:lpstr>Result_EmissionsForWholeProductionCycle_Net_Method1</vt:lpstr>
      <vt:lpstr>Result_EmissionsForWholeProductionCycle_Net_Method2</vt:lpstr>
      <vt:lpstr>Result_Enterprise_Gross_Method1</vt:lpstr>
      <vt:lpstr>Result_Enterprise_Gross_Method2</vt:lpstr>
      <vt:lpstr>Result_Enterprise_Net_Method1</vt:lpstr>
      <vt:lpstr>Result_Enterprise_Net_Method2</vt:lpstr>
      <vt:lpstr>Result_Enterprise_Removals</vt:lpstr>
      <vt:lpstr>Result_Enterprise_Scope1_Method1</vt:lpstr>
      <vt:lpstr>Result_Enterprise_Scope1_Method2</vt:lpstr>
      <vt:lpstr>Result_Enterprise_Scope2_Method1</vt:lpstr>
      <vt:lpstr>Result_Enterprise_Scope2_Method2</vt:lpstr>
      <vt:lpstr>Result_Enterprise_Scope3_Method1</vt:lpstr>
      <vt:lpstr>Result_Enterprise_Scope3_Method2</vt:lpstr>
      <vt:lpstr>Result_NetEmissions_Method1</vt:lpstr>
      <vt:lpstr>Result_NetEmissions_Method2</vt:lpstr>
      <vt:lpstr>X_Cell_Enteprise_LiveweightGrown_Method1</vt:lpstr>
      <vt:lpstr>X_Cell_Enteprise_LiveweightGrown_Method2</vt:lpstr>
      <vt:lpstr>X_Cell_Enteprise_ManureProduced_Method1</vt:lpstr>
      <vt:lpstr>X_Cell_Enteprise_ManureProduced_Method2</vt:lpstr>
      <vt:lpstr>X_Cell_Enteprise_PercentIncomeFromLiveweight</vt:lpstr>
      <vt:lpstr>X_Cell_Enteprise_PercentIncomeFromManure</vt:lpstr>
      <vt:lpstr>X_Cell_Enteprise_PercentManureAppliedAsFertiliserOwnFarm</vt:lpstr>
      <vt:lpstr>X_Cell_Enteprise_PercentManureAppliedAsWaste</vt:lpstr>
      <vt:lpstr>X_Cell_Enteprise_PercentManureSold</vt:lpstr>
      <vt:lpstr>X_Cell_Enterprise_LiveweightSold</vt:lpstr>
      <vt:lpstr>X_Cell_Enterprise_ProductionTimeframeEnd</vt:lpstr>
      <vt:lpstr>X_Cell_Enterprise_ProductionTimeframeLength</vt:lpstr>
      <vt:lpstr>X_Cell_Enterprise_ProductionTimeframeStart</vt:lpstr>
      <vt:lpstr>X_Cell_Fertiliser_AreaUnderCropping</vt:lpstr>
      <vt:lpstr>X_Cell_Fertiliser_CropType</vt:lpstr>
      <vt:lpstr>X_Cell_Fertiliser_IrrigationMethod</vt:lpstr>
      <vt:lpstr>X_Cell_Fertiliser_ProductionSystem</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X_ResultsTable_ActivityPeriod_Scope1</vt:lpstr>
      <vt:lpstr>X_Table_Result_ActivityPeriodEmissions_RowsToCols</vt:lpstr>
      <vt:lpstr>X_Table_Result_CarbonRemovalsFromPlantings_RowsToCols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2026-09-01T02:09:47Z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