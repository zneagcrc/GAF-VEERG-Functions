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B8EA4AE2-E0FB-4095-B236-0D1E01A3368D}" xr6:coauthVersionLast="47" xr6:coauthVersionMax="47" xr10:uidLastSave="{00000000-0000-0000-0000-000000000000}"/>
  <bookViews>
    <workbookView xWindow="1125" yWindow="1125" windowWidth="36330" windowHeight="19485" activeTab="5"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Livestock sales" sheetId="81" r:id="rId6"/>
    <sheet name="Input - Data quality" sheetId="78" r:id="rId7"/>
    <sheet name="Constants - Common" sheetId="7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Enterprise'!$E$69</definedName>
    <definedName name="Result_EmissionsForWholeProductionCycle_Gross_Method1">'Input - Enterprise'!$E$56</definedName>
    <definedName name="Result_EmissionsForWholeProductionCycle_Gross_Method2">'Input - Enterprise'!$F$56</definedName>
    <definedName name="Result_EmissionsForWholeProductionCycle_Method1">'Input - Enterprise'!$E$56</definedName>
    <definedName name="Result_EmissionsForWholeProductionCycle_Method2">'Input - Enterprise'!$F$56</definedName>
    <definedName name="Result_EmissionsForWholeProductionCycle_Net_Method1">'Input - Enterprise'!$E$80</definedName>
    <definedName name="Result_EmissionsForWholeProductionCycle_Net_Method2">'Input - Enterprise'!$F$80</definedName>
    <definedName name="Result_Enterprise_Gross_Method1">'Results - Activity period'!$E$58</definedName>
    <definedName name="Result_Enterprise_Gross_Method2">'Results - Activity period'!$F$58</definedName>
    <definedName name="Result_Enterprise_Net_Method1">'Results - Activity period'!$E$59</definedName>
    <definedName name="Result_Enterprise_Net_Method2">'Results - Activity period'!$F$59</definedName>
    <definedName name="Result_Enterprise_Removals">'Results - Activity period'!$E$52</definedName>
    <definedName name="Result_Enterprise_Scope1_Method1">'Results - Activity period'!$H$23</definedName>
    <definedName name="Result_Enterprise_Scope1_Method2">'Results - Activity period'!$I$23</definedName>
    <definedName name="Result_Enterprise_Scope2_Method1">'Results - Activity period'!$H$30</definedName>
    <definedName name="Result_Enterprise_Scope2_Method2">'Results - Activity period'!$I$30</definedName>
    <definedName name="Result_Enterprise_Scope3_Method1">'Results - Activity period'!$H$47</definedName>
    <definedName name="Result_Enterprise_Scope3_Method2">'Results - Activity period'!$I$47</definedName>
    <definedName name="X_Cell_Enterprise_BirdsSold">'Input - Enterprise'!$E$22</definedName>
    <definedName name="X_Cell_Enterprise_EggsProduced">'Input - Enterprise'!$E$23</definedName>
    <definedName name="X_Cell_Enterprise_ManureProduced">'Input - Enterprise'!$E$24</definedName>
    <definedName name="X_Cell_Enterprise_PercentIncomeFromBirdsSold">'Input - Enterprise'!$E$28</definedName>
    <definedName name="X_Cell_Enterprise_PercentIncomeFromEggsSold">'Input - Enterprise'!$E$29</definedName>
    <definedName name="X_Cell_Enterprise_PercentIncomeFromManureSold">'Input - Enterprise'!$E$30</definedName>
    <definedName name="X_Cell_Enterprise_PercentManureFertiliserOwnFarm">'Input - Enterprise'!$E$26</definedName>
    <definedName name="X_Cell_Enterprise_PercentManureSold">'Input - Enterprise'!$E$25</definedName>
    <definedName name="X_Cell_Enterprise_ProductionTimeframeEnd">'Input - Enterprise'!$E$19</definedName>
    <definedName name="X_Cell_Enterprise_ProductionTimeframeStart">'Input - Enterprise'!$E$18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period'!$D$29:$F$34</definedName>
    <definedName name="X_Table_Result_CarbonRemovalsFromPlantings_RowsToCols">'Results - Activity period'!$D$39:$E$45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3" l="1"/>
  <c r="H23" i="13"/>
  <c r="I22" i="13"/>
  <c r="H22" i="13"/>
  <c r="I15" i="13" a="1"/>
  <c r="I15" i="13" s="1"/>
  <c r="H15" i="13" a="1"/>
  <c r="H15" i="13" s="1"/>
  <c r="I14" i="13" a="1"/>
  <c r="I14" i="13" s="1"/>
  <c r="H14" i="13" a="1"/>
  <c r="H14" i="13" s="1"/>
  <c r="E22" i="13" a="1"/>
  <c r="E22" i="13" s="1"/>
  <c r="F22" i="13" s="1"/>
  <c r="E21" i="13" a="1"/>
  <c r="E21" i="13" s="1"/>
  <c r="F21" i="13" s="1"/>
  <c r="E20" i="13" a="1"/>
  <c r="E20" i="13" s="1"/>
  <c r="F20" i="13" s="1"/>
  <c r="E19" i="13" a="1"/>
  <c r="E19" i="13" s="1"/>
  <c r="F19" i="13" s="1"/>
  <c r="E18" i="13" a="1"/>
  <c r="E18" i="13" s="1"/>
  <c r="F18" i="13" s="1"/>
  <c r="E17" i="13" a="1"/>
  <c r="E17" i="13" s="1"/>
  <c r="F17" i="13" s="1"/>
  <c r="E16" i="13" a="1"/>
  <c r="E16" i="13" s="1"/>
  <c r="F16" i="13" s="1"/>
  <c r="F15" i="13"/>
  <c r="E15" i="13"/>
  <c r="F14" i="13"/>
  <c r="E14" i="13"/>
  <c r="F13" i="13"/>
  <c r="I13" i="13" s="1" a="1"/>
  <c r="I13" i="13" s="1"/>
  <c r="E13" i="13"/>
  <c r="H13" i="13" s="1" a="1"/>
  <c r="H13" i="13" s="1"/>
  <c r="F12" i="13"/>
  <c r="I12" i="13" s="1" a="1"/>
  <c r="I12" i="13" s="1"/>
  <c r="E12" i="13"/>
  <c r="H12" i="13" s="1" a="1"/>
  <c r="H12" i="13" s="1"/>
  <c r="F11" i="13"/>
  <c r="I11" i="13" s="1" a="1"/>
  <c r="I11" i="13" s="1"/>
  <c r="E11" i="13"/>
  <c r="H11" i="13" s="1" a="1"/>
  <c r="H11" i="13" s="1"/>
  <c r="F10" i="13"/>
  <c r="I10" i="13" s="1" a="1"/>
  <c r="I10" i="13" s="1"/>
  <c r="E10" i="13"/>
  <c r="H10" i="13" s="1" a="1"/>
  <c r="H10" i="13" s="1"/>
  <c r="F9" i="13"/>
  <c r="I9" i="13" s="1" a="1"/>
  <c r="I9" i="13" s="1"/>
  <c r="E9" i="13"/>
  <c r="H9" i="13" s="1" a="1"/>
  <c r="H9" i="13" s="1"/>
  <c r="D58" i="78"/>
  <c r="D38" i="78"/>
  <c r="D37" i="78"/>
  <c r="D36" i="78"/>
  <c r="D35" i="78"/>
  <c r="D34" i="78"/>
  <c r="D33" i="78"/>
  <c r="D32" i="78"/>
  <c r="D31" i="78"/>
  <c r="D13" i="78"/>
  <c r="D12" i="78"/>
  <c r="J13" i="78"/>
  <c r="D9" i="78"/>
  <c r="J9" i="78"/>
  <c r="D8" i="78"/>
  <c r="J35" i="78"/>
  <c r="I18" i="13" l="1" a="1"/>
  <c r="I18" i="13" s="1"/>
  <c r="H18" i="13" a="1"/>
  <c r="H18" i="13" s="1"/>
  <c r="I16" i="13"/>
  <c r="H16" i="13"/>
  <c r="H21" i="13" a="1"/>
  <c r="H21" i="13" s="1"/>
  <c r="I21" i="13" a="1"/>
  <c r="I21" i="13" s="1"/>
  <c r="I19" i="13"/>
  <c r="H19" i="13"/>
  <c r="I20" i="13" a="1"/>
  <c r="I20" i="13" s="1"/>
  <c r="H20" i="13" a="1"/>
  <c r="H20" i="13" s="1"/>
  <c r="H17" i="13" a="1"/>
  <c r="H17" i="13" s="1"/>
  <c r="I17" i="13" a="1"/>
  <c r="I17" i="13" s="1"/>
  <c r="G56" i="80"/>
  <c r="G57" i="80" s="1"/>
  <c r="F56" i="80"/>
  <c r="F57" i="80" s="1"/>
  <c r="F47" i="80"/>
  <c r="F46" i="80"/>
  <c r="F79" i="72"/>
  <c r="F78" i="72"/>
  <c r="F77" i="72"/>
  <c r="E79" i="72"/>
  <c r="E78" i="72"/>
  <c r="E77" i="72"/>
  <c r="G58" i="80"/>
  <c r="F60" i="80"/>
  <c r="F58" i="80"/>
  <c r="F59" i="80" s="1"/>
  <c r="F50" i="80"/>
  <c r="F48" i="80"/>
  <c r="F40" i="13" l="1" a="1"/>
  <c r="F40" i="13" s="1"/>
  <c r="I40" i="13" s="1"/>
  <c r="E40" i="13" a="1"/>
  <c r="E40" i="13" s="1"/>
  <c r="H40" i="13" s="1"/>
  <c r="F37" i="13" a="1"/>
  <c r="F37" i="13" s="1"/>
  <c r="E37" i="13" a="1"/>
  <c r="E37" i="13" s="1"/>
  <c r="F36" i="13" a="1"/>
  <c r="F36" i="13" s="1"/>
  <c r="I36" i="13" s="1"/>
  <c r="E36" i="13" a="1"/>
  <c r="E36" i="13" s="1"/>
  <c r="J58" i="78" l="1"/>
  <c r="J38" i="78"/>
  <c r="J37" i="78"/>
  <c r="J32" i="78"/>
  <c r="D11" i="78"/>
  <c r="D10" i="78"/>
  <c r="D14" i="78"/>
  <c r="I16" i="81"/>
  <c r="I15" i="81"/>
  <c r="I14" i="81"/>
  <c r="I13" i="81"/>
  <c r="I12" i="81"/>
  <c r="I11" i="81"/>
  <c r="I10" i="81"/>
  <c r="I9" i="81"/>
  <c r="I8" i="81"/>
  <c r="I7" i="81"/>
  <c r="E22" i="72" s="1"/>
  <c r="F54" i="80" l="1"/>
  <c r="F55" i="80" s="1"/>
  <c r="F44" i="80"/>
  <c r="G59" i="80"/>
  <c r="G54" i="80"/>
  <c r="G55" i="80" s="1"/>
  <c r="G44" i="80" l="1"/>
  <c r="G46" i="80"/>
  <c r="G47" i="80" s="1"/>
  <c r="G48" i="80"/>
  <c r="D40" i="80"/>
  <c r="D32" i="80"/>
  <c r="D75" i="72" a="1"/>
  <c r="F55" i="72"/>
  <c r="E55" i="72"/>
  <c r="F54" i="72"/>
  <c r="E54" i="72"/>
  <c r="F53" i="72"/>
  <c r="E53" i="72"/>
  <c r="D72" i="72"/>
  <c r="F46" i="13" a="1"/>
  <c r="F46" i="13" s="1"/>
  <c r="I46" i="13" s="1"/>
  <c r="E46" i="13" a="1"/>
  <c r="E46" i="13" s="1"/>
  <c r="H46" i="13" s="1"/>
  <c r="E44" i="13" a="1"/>
  <c r="E44" i="13" s="1"/>
  <c r="F45" i="13" a="1"/>
  <c r="F45" i="13" s="1"/>
  <c r="I45" i="13" s="1"/>
  <c r="E45" i="13" a="1"/>
  <c r="E45" i="13" s="1"/>
  <c r="H45" i="13" s="1"/>
  <c r="E43" i="13" a="1"/>
  <c r="E43" i="13" s="1"/>
  <c r="E42" i="13" a="1"/>
  <c r="E42" i="13" s="1"/>
  <c r="F41" i="13" a="1"/>
  <c r="F41" i="13" s="1"/>
  <c r="I41" i="13" s="1"/>
  <c r="E41" i="13" a="1"/>
  <c r="E41" i="13" s="1"/>
  <c r="H41" i="13" s="1"/>
  <c r="F39" i="13" a="1"/>
  <c r="F39" i="13" s="1"/>
  <c r="I39" i="13" s="1"/>
  <c r="E39" i="13" a="1"/>
  <c r="E39" i="13" s="1"/>
  <c r="H39" i="13" s="1"/>
  <c r="F38" i="13" a="1"/>
  <c r="F38" i="13" s="1"/>
  <c r="I38" i="13" s="1"/>
  <c r="E38" i="13" a="1"/>
  <c r="E38" i="13" s="1"/>
  <c r="H38" i="13" s="1"/>
  <c r="I37" i="13"/>
  <c r="H37" i="13"/>
  <c r="I47" i="13"/>
  <c r="H36" i="13"/>
  <c r="H47" i="13" s="1"/>
  <c r="E76" i="72" l="1"/>
  <c r="F76" i="72"/>
  <c r="D75" i="72"/>
  <c r="F42" i="13"/>
  <c r="I42" i="13" s="1"/>
  <c r="H42" i="13"/>
  <c r="F44" i="13"/>
  <c r="I44" i="13" s="1"/>
  <c r="H44" i="13"/>
  <c r="F43" i="13"/>
  <c r="I43" i="13" s="1"/>
  <c r="H43" i="13"/>
  <c r="D43" i="13" l="1" a="1"/>
  <c r="D43" i="13" s="1"/>
  <c r="E29" i="13" a="1"/>
  <c r="E29" i="13" s="1"/>
  <c r="F29" i="13" s="1"/>
  <c r="I29" i="13" s="1"/>
  <c r="I30" i="13" s="1"/>
  <c r="D29" i="13" a="1"/>
  <c r="D29" i="13" s="1"/>
  <c r="E68" i="72"/>
  <c r="E67" i="72"/>
  <c r="D64" i="72" a="1"/>
  <c r="D64" i="72" s="1"/>
  <c r="E64" i="72" s="1"/>
  <c r="D61" i="72"/>
  <c r="D51" i="72" a="1"/>
  <c r="D47" i="72" a="1"/>
  <c r="D47" i="72" s="1"/>
  <c r="D45" i="72"/>
  <c r="G39" i="72"/>
  <c r="E52" i="13" s="1"/>
  <c r="J59" i="78"/>
  <c r="J57" i="78"/>
  <c r="J56" i="78"/>
  <c r="J55" i="78"/>
  <c r="J48" i="78"/>
  <c r="J47" i="78"/>
  <c r="J46" i="78"/>
  <c r="J45" i="78"/>
  <c r="J36" i="78"/>
  <c r="J34" i="78"/>
  <c r="J33" i="78"/>
  <c r="J31" i="78"/>
  <c r="J25" i="78"/>
  <c r="J24" i="78"/>
  <c r="J23" i="78"/>
  <c r="J22" i="78"/>
  <c r="J21" i="78"/>
  <c r="J20" i="78"/>
  <c r="J14" i="78"/>
  <c r="J12" i="78"/>
  <c r="J11" i="78"/>
  <c r="J10" i="78"/>
  <c r="J8" i="78"/>
  <c r="D59" i="78"/>
  <c r="D57" i="78"/>
  <c r="D56" i="78"/>
  <c r="D55" i="78"/>
  <c r="D48" i="78"/>
  <c r="D47" i="78"/>
  <c r="D46" i="78"/>
  <c r="D45" i="78"/>
  <c r="D25" i="78"/>
  <c r="D24" i="78"/>
  <c r="D23" i="78"/>
  <c r="D22" i="78"/>
  <c r="D21" i="78"/>
  <c r="D2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E52" i="72" l="1"/>
  <c r="F52" i="72"/>
  <c r="H29" i="13"/>
  <c r="H30" i="13" s="1"/>
  <c r="J50" i="78"/>
  <c r="J61" i="78"/>
  <c r="J40" i="78"/>
  <c r="J16" i="78"/>
  <c r="J27" i="78"/>
  <c r="D51" i="72"/>
  <c r="E65" i="72"/>
  <c r="E66" i="72"/>
  <c r="H48" i="79"/>
  <c r="E22" i="75"/>
  <c r="H51" i="79"/>
  <c r="E19" i="75"/>
  <c r="E20" i="75"/>
  <c r="E21" i="75" s="1"/>
  <c r="H53" i="79"/>
  <c r="H50" i="79"/>
  <c r="H54" i="79"/>
  <c r="H52" i="79"/>
  <c r="H49" i="79"/>
  <c r="E62" i="78" l="1"/>
  <c r="E69" i="72"/>
  <c r="E13" i="72"/>
  <c r="E18" i="75"/>
  <c r="A20" i="75"/>
  <c r="A19" i="75"/>
  <c r="A18" i="75"/>
  <c r="A17" i="75"/>
  <c r="A14" i="75"/>
  <c r="A13" i="75"/>
  <c r="A12" i="75"/>
  <c r="A11" i="75"/>
  <c r="A8" i="75"/>
  <c r="A7" i="75"/>
  <c r="A4" i="75"/>
  <c r="A3" i="75"/>
  <c r="E20" i="72"/>
  <c r="D4" i="13" l="1"/>
  <c r="D55" i="13"/>
  <c r="D50" i="13"/>
  <c r="D36" i="72"/>
  <c r="F49" i="80"/>
  <c r="G49" i="80"/>
  <c r="F45" i="80"/>
  <c r="G45" i="80"/>
  <c r="F58" i="13" l="1"/>
  <c r="E58" i="13"/>
  <c r="A20" i="13"/>
  <c r="A19" i="13"/>
  <c r="A18" i="13"/>
  <c r="A17" i="13"/>
  <c r="A14" i="13"/>
  <c r="A13" i="13"/>
  <c r="A12" i="13"/>
  <c r="A11" i="13"/>
  <c r="A8" i="13"/>
  <c r="A7" i="13"/>
  <c r="A4" i="13"/>
  <c r="A3" i="13"/>
  <c r="F51" i="72" l="1"/>
  <c r="F75" i="72" s="1"/>
  <c r="F59" i="13"/>
  <c r="E59" i="13"/>
  <c r="E51" i="72"/>
  <c r="F80" i="72" l="1"/>
  <c r="F37" i="80" s="1"/>
  <c r="F56" i="72"/>
  <c r="F36" i="80" s="1"/>
  <c r="E75" i="72"/>
  <c r="E80" i="72" s="1"/>
  <c r="E37" i="80" s="1"/>
  <c r="E56" i="72"/>
  <c r="E36" i="80" s="1"/>
  <c r="H48" i="80" l="1"/>
  <c r="H46" i="80"/>
  <c r="H58" i="80"/>
  <c r="H56" i="80"/>
  <c r="H44" i="80"/>
  <c r="H54" i="80"/>
  <c r="H49" i="80"/>
  <c r="H47" i="80"/>
  <c r="H59" i="80"/>
  <c r="H45" i="80"/>
  <c r="H57" i="80"/>
  <c r="H55" i="80"/>
  <c r="I58" i="80"/>
  <c r="I56" i="80"/>
  <c r="I46" i="80"/>
  <c r="I54" i="80"/>
  <c r="I44" i="80"/>
  <c r="I48" i="80"/>
  <c r="I59" i="80"/>
  <c r="I57" i="80"/>
  <c r="I47" i="80"/>
  <c r="I55" i="80"/>
  <c r="I45" i="80"/>
  <c r="I49"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<sst xmlns="http://schemas.openxmlformats.org/spreadsheetml/2006/main" count="561" uniqueCount="296">
  <si>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</si>
  <si>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</si>
  <si>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</si>
  <si>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</si>
  <si>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</si>
  <si>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</si>
  <si>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</si>
  <si>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</si>
  <si>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</si>
  <si>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</si>
  <si>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</si>
  <si>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</si>
  <si>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</si>
  <si>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</si>
  <si>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</si>
  <si>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</si>
  <si>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</si>
  <si>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</si>
  <si>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</si>
  <si>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</si>
  <si>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</si>
  <si>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</si>
  <si>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</si>
  <si>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</si>
  <si>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</si>
  <si>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</si>
  <si>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</si>
  <si>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</si>
  <si>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</si>
  <si>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</si>
  <si>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</si>
  <si>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</si>
  <si>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</si>
  <si>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</si>
  <si>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</si>
  <si>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</si>
  <si>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</si>
  <si>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</si>
  <si>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</si>
  <si>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</si>
  <si>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</si>
  <si>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</si>
  <si>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</si>
  <si>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</si>
  <si>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</si>
  <si>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</si>
  <si>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</si>
  <si>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</si>
  <si>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</si>
  <si>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</si>
  <si>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</si>
  <si>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</si>
  <si>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</si>
  <si>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</si>
  <si>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</si>
  <si>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</si>
  <si>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</si>
  <si>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</si>
  <si>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</si>
  <si>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</si>
  <si>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</si>
  <si>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</si>
  <si>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</si>
  <si>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</si>
  <si>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</si>
  <si>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</si>
  <si>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</si>
  <si>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</si>
  <si>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</si>
  <si>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</si>
  <si>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</si>
  <si>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</si>
  <si>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</si>
  <si>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</si>
  <si>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</si>
  <si>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</si>
  <si>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</si>
  <si>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</si>
  <si>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</si>
  <si>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</si>
  <si>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</si>
  <si>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</si>
  <si>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</si>
  <si>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</si>
  <si>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</si>
  <si>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</si>
  <si>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</si>
  <si>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</si>
  <si>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</si>
  <si>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</si>
  <si>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</si>
  <si>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</si>
  <si>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</si>
  <si>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</si>
  <si>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</si>
  <si>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</si>
  <si>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</si>
  <si>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</si>
  <si>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</si>
  <si>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</si>
  <si>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</si>
  <si>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</si>
  <si>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</si>
  <si>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</si>
  <si>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</si>
  <si>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</si>
  <si>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</si>
  <si>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</si>
  <si>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</si>
  <si>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</si>
  <si>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</si>
  <si>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</si>
  <si>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</si>
  <si>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</si>
  <si>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</si>
  <si>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</si>
  <si>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</si>
  <si>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</si>
  <si>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</si>
  <si>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</si>
  <si>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</si>
  <si>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</si>
  <si>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</si>
  <si>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</si>
  <si>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</si>
  <si>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</si>
  <si>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</si>
  <si>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</si>
  <si>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</si>
  <si>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</si>
  <si>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</si>
  <si>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</si>
  <si>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</si>
  <si>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</si>
  <si>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</si>
  <si>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</si>
  <si>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</si>
  <si>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</si>
  <si>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</si>
  <si>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</si>
  <si>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</si>
  <si>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</si>
  <si>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</si>
  <si>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</si>
  <si>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</si>
  <si>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</si>
  <si>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</si>
  <si>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</si>
  <si>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</si>
  <si>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</si>
  <si>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</si>
  <si>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</si>
  <si>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</si>
  <si>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</si>
  <si>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</si>
  <si>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</si>
  <si>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</si>
  <si>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</si>
  <si>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</si>
  <si>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</si>
  <si>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</si>
  <si>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</si>
  <si>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</si>
  <si>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</si>
  <si>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</si>
  <si>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</si>
  <si>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</si>
  <si>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</si>
  <si>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</si>
  <si>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</si>
  <si>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</si>
  <si>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</si>
  <si>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</si>
  <si>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</si>
  <si>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</si>
  <si>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</si>
  <si>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</si>
  <si>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</si>
  <si>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</si>
  <si>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</si>
  <si>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</si>
  <si>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</si>
  <si>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</si>
  <si>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</si>
  <si>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</si>
  <si>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</si>
  <si>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</si>
  <si>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</si>
  <si>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</si>
  <si>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</si>
  <si>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</si>
  <si>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</si>
  <si>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</si>
  <si>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</si>
  <si>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</si>
  <si>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</si>
  <si>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</si>
  <si>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</si>
  <si>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</si>
  <si>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</si>
  <si>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</si>
  <si>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</si>
  <si>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</si>
  <si>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</si>
  <si>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</si>
  <si>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</si>
  <si>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</si>
  <si>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</si>
  <si>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</si>
  <si>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</si>
  <si>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</si>
  <si>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</si>
  <si>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</si>
  <si>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</si>
  <si>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</si>
  <si>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</si>
  <si>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</si>
  <si>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</si>
  <si>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</si>
  <si>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</si>
  <si>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</si>
  <si>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</si>
  <si>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</si>
  <si>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</si>
  <si>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</si>
  <si>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</si>
  <si>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</si>
  <si>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</si>
  <si>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</si>
  <si>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</si>
  <si>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</si>
  <si>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</si>
  <si>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</si>
  <si>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</si>
  <si>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</si>
  <si>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</si>
  <si>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</si>
  <si>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</si>
  <si>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</si>
  <si>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</si>
  <si>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</si>
  <si>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</si>
  <si>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</si>
  <si>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</si>
  <si>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</si>
  <si>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</si>
  <si>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</si>
  <si>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</si>
  <si>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</si>
  <si>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</si>
  <si>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</si>
  <si>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</si>
  <si>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</si>
  <si>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</si>
  <si>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</si>
  <si>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</si>
  <si>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</si>
  <si>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</si>
  <si>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</si>
  <si>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</si>
  <si>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</si>
  <si>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</si>
  <si>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</si>
  <si>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</si>
  <si>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</si>
  <si>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</si>
  <si>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Manure produced</t>
  </si>
  <si>
    <t>10.1.1-2 Solid waste treatment</t>
  </si>
  <si>
    <t>15.1.1.1 Total emissions from purchased livestock - Pigs</t>
  </si>
  <si>
    <t>15.2.1.1 Emissions from purchased feed</t>
  </si>
  <si>
    <t>15.10.1.1 Other: Pharmacy chemicals</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</si>
  <si>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</si>
  <si>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</si>
  <si>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</si>
  <si>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</si>
  <si>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</si>
  <si>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</si>
  <si>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</si>
  <si>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</si>
  <si>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Poultry management</t>
  </si>
  <si>
    <t>Birds sold</t>
  </si>
  <si>
    <t>Eggs sold</t>
  </si>
  <si>
    <t>Percentage of income from birds sold</t>
  </si>
  <si>
    <t>Percentage of income from eggs sold</t>
  </si>
  <si>
    <t>Eggs sold - excluding removals</t>
  </si>
  <si>
    <t>Eggs sold - net emissions</t>
  </si>
  <si>
    <t xml:space="preserve">4.6.1.1-2 Manure Methane </t>
  </si>
  <si>
    <t xml:space="preserve">4.6.1.3-4 Manure Direct N20 </t>
  </si>
  <si>
    <t>4.6.1.5-6 Manure Atmospheric Deposition</t>
  </si>
  <si>
    <t>4.6.1.7-8 Manure Leaching and runoff</t>
  </si>
  <si>
    <t>4.6.1.10-11 Soil direct N2O</t>
  </si>
  <si>
    <t>4.6.1.12-13 Soil atmos dep</t>
  </si>
  <si>
    <t>4.6.1.14-15 Soil leach runoff</t>
  </si>
  <si>
    <t>t co2e/t birds sold</t>
  </si>
  <si>
    <t>t co2e/t eggs sold</t>
  </si>
  <si>
    <t>t co2e/t manure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</si>
</sst>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99">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171" fontId="0" fillId="0" borderId="0" xfId="8" applyNumberFormat="1" applyFont="1" applyFill="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4">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3"/>
      <tableStyleElement type="headerRow" dxfId="62"/>
      <tableStyleElement type="totalRow" dxfId="61"/>
      <tableStyleElement type="firstColumn" dxfId="60"/>
      <tableStyleElement type="firstRowStripe" dxfId="59"/>
      <tableStyleElement type="secondRowStripe" dxfId="58"/>
    </tableStyle>
    <tableStyle name="Equation table" pivot="0" count="6" xr9:uid="{B247698E-E41D-4CCD-AA0A-C14817E9DE65}">
      <tableStyleElement type="wholeTable" dxfId="57"/>
      <tableStyleElement type="headerRow" dxfId="56"/>
      <tableStyleElement type="totalRow" dxfId="55"/>
      <tableStyleElement type="firstColumn" dxfId="54"/>
      <tableStyleElement type="firstRowStripe" dxfId="53"/>
      <tableStyleElement type="secondRowStripe" dxfId="52"/>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5-CF9E-45FD-98BF-ACD51C794B3C}"/>
              </c:ext>
            </c:extLst>
          </c:dPt>
          <c:cat>
            <c:strRef>
              <c:f>'Results - Activity period'!$D$9:$D$22</c:f>
              <c:strCache>
                <c:ptCount val="14"/>
                <c:pt idx="0">
                  <c:v>4.6.1.1-2 Manure Methane </c:v>
                </c:pt>
                <c:pt idx="1">
                  <c:v>4.6.1.3-4 Manure Direct N20 </c:v>
                </c:pt>
                <c:pt idx="2">
                  <c:v>4.6.1.5-6 Manure Atmospheric Deposition</c:v>
                </c:pt>
                <c:pt idx="3">
                  <c:v>4.6.1.7-8 Manure Leaching and runoff</c:v>
                </c:pt>
                <c:pt idx="4">
                  <c:v>4.6.1.10-11 Soil direct N2O</c:v>
                </c:pt>
                <c:pt idx="5">
                  <c:v>4.6.1.12-13 Soil atmos dep</c:v>
                </c:pt>
                <c:pt idx="6">
                  <c:v>4.6.1.14-15 Soil leach runoff</c:v>
                </c:pt>
                <c:pt idx="7">
                  <c:v>8.1.1.1-2 Transport fuel CO2</c:v>
                </c:pt>
                <c:pt idx="8">
                  <c:v>8.1.1.1-2 Transport fuel CH4</c:v>
                </c:pt>
                <c:pt idx="9">
                  <c:v>8.1.1.1-2 Transport fuel N2O</c:v>
                </c:pt>
                <c:pt idx="10">
                  <c:v>8.2.1.1-2 Stationary fuel CO2</c:v>
                </c:pt>
                <c:pt idx="11">
                  <c:v>8.2.1.1-2 Stationary fuel CH4</c:v>
                </c:pt>
                <c:pt idx="12">
                  <c:v>8.2.1.1-2 Stationary fuel N2O</c:v>
                </c:pt>
                <c:pt idx="13">
                  <c:v>10.1.1-2 Solid waste treatment</c:v>
                </c:pt>
              </c:strCache>
            </c:strRef>
          </c:cat>
          <c:val>
            <c:numRef>
              <c:f>'Results - Activity period'!$I$9:$I$22</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period'!$D$36:$D$46</c:f>
              <c:strCache>
                <c:ptCount val="11"/>
                <c:pt idx="0">
                  <c:v>15.1.1.1 Total emissions from purchased livestock - Pigs</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#NAME?</c:v>
                </c:pt>
                <c:pt idx="8">
                  <c:v>15.13.1.1 Waste sent to treatment facility</c:v>
                </c:pt>
                <c:pt idx="9">
                  <c:v>15.14.1.1 Incoming freight</c:v>
                </c:pt>
                <c:pt idx="10">
                  <c:v>15.14.1.1 Outgoing freight</c:v>
                </c:pt>
              </c:strCache>
            </c:strRef>
          </c:cat>
          <c:val>
            <c:numRef>
              <c:f>'Results - Activity period'!$I$36:$I$46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5" Type="http://schemas.openxmlformats.org/officeDocument/2006/relationships/image" Target="../media/image4.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46</xdr:row>
      <xdr:rowOff>200025</xdr:rowOff>
    </xdr:from>
    <xdr:to>
      <xdr:col>9</xdr:col>
      <xdr:colOff>1443037</xdr:colOff>
      <xdr:row>58</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4">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4">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689180"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689180"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689180"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689180"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689180"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689180"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689180"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689180"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5">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5">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851327-1FB9-4A63-8F10-A94CCCBA0067}"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03962E4-A836-4FA9-BB10-880CFFC16D77}"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956E299-F16B-458E-B683-AA1917292255}"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2C43DCE5-DF98-499D-979B-E75843FD1E2F}"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0ABB662-5EEC-40EE-9C89-5AE4A9E7D29C}"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8238A81-1112-4210-9014-FD7E952D0919}"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657698"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657698"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11</xdr:col>
      <xdr:colOff>156882</xdr:colOff>
      <xdr:row>16</xdr:row>
      <xdr:rowOff>49306</xdr:rowOff>
    </xdr:from>
    <xdr:ext cx="1657698"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12</xdr:col>
      <xdr:colOff>593912</xdr:colOff>
      <xdr:row>16</xdr:row>
      <xdr:rowOff>49306</xdr:rowOff>
    </xdr:from>
    <xdr:ext cx="1657698"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657698"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9</xdr:col>
      <xdr:colOff>913279</xdr:colOff>
      <xdr:row>28</xdr:row>
      <xdr:rowOff>38660</xdr:rowOff>
    </xdr:from>
    <xdr:ext cx="1657698"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11</xdr:col>
      <xdr:colOff>156882</xdr:colOff>
      <xdr:row>28</xdr:row>
      <xdr:rowOff>38660</xdr:rowOff>
    </xdr:from>
    <xdr:ext cx="1657698"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eggs</a:t>
          </a:r>
          <a:r>
            <a:rPr lang="en-AU" sz="1100" b="0" i="1" u="none" strike="noStrike" baseline="0">
              <a:solidFill>
                <a:schemeClr val="bg2">
                  <a:lumMod val="50000"/>
                </a:schemeClr>
              </a:solidFill>
              <a:effectLst/>
              <a:latin typeface="+mn-lt"/>
              <a:ea typeface="+mn-ea"/>
              <a:cs typeface="+mn-cs"/>
            </a:rPr>
            <a:t> </a:t>
          </a:r>
          <a:r>
            <a:rPr lang="en-AU" sz="11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657698"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CA4F8D1-429B-4188-AF17-C4AD268BD823}"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2ED81DA0-9416-474F-AB3E-B51EE35B43F3}"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Birds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6669" b="6669"/>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Eggs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5615" r="5615"/>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46</xdr:row>
      <xdr:rowOff>200025</xdr:rowOff>
    </xdr:from>
    <xdr:to>
      <xdr:col>9</xdr:col>
      <xdr:colOff>1443037</xdr:colOff>
      <xdr:row>58</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133350</xdr:colOff>
      <xdr:row>14</xdr:row>
      <xdr:rowOff>61632</xdr:rowOff>
    </xdr:from>
    <xdr:to>
      <xdr:col>20</xdr:col>
      <xdr:colOff>174252</xdr:colOff>
      <xdr:row>16</xdr:row>
      <xdr:rowOff>135030</xdr:rowOff>
    </xdr:to>
    <xdr:sp macro="" textlink="$H$48">
      <xdr:nvSpPr>
        <xdr:cNvPr id="79" name="TextBox 78">
          <a:extLst>
            <a:ext uri="{FF2B5EF4-FFF2-40B4-BE49-F238E27FC236}">
              <a16:creationId xmlns:a16="http://schemas.microsoft.com/office/drawing/2014/main" id="{855629CC-AB7A-4126-BACA-EC62583055F4}"/>
            </a:ext>
          </a:extLst>
        </xdr:cNvPr>
        <xdr:cNvSpPr txBox="1"/>
      </xdr:nvSpPr>
      <xdr:spPr>
        <a:xfrm>
          <a:off x="27127200" y="2985807"/>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26</xdr:col>
      <xdr:colOff>328332</xdr:colOff>
      <xdr:row>14</xdr:row>
      <xdr:rowOff>33057</xdr:rowOff>
    </xdr:from>
    <xdr:to>
      <xdr:col>29</xdr:col>
      <xdr:colOff>410134</xdr:colOff>
      <xdr:row>16</xdr:row>
      <xdr:rowOff>135030</xdr:rowOff>
    </xdr:to>
    <xdr:sp macro="" textlink="$I$48">
      <xdr:nvSpPr>
        <xdr:cNvPr id="80" name="TextBox 79">
          <a:extLst>
            <a:ext uri="{FF2B5EF4-FFF2-40B4-BE49-F238E27FC236}">
              <a16:creationId xmlns:a16="http://schemas.microsoft.com/office/drawing/2014/main" id="{DC24B842-A820-437C-BC5B-F1C0DB7F632C}"/>
            </a:ext>
          </a:extLst>
        </xdr:cNvPr>
        <xdr:cNvSpPr txBox="1"/>
      </xdr:nvSpPr>
      <xdr:spPr>
        <a:xfrm>
          <a:off x="32808582" y="2957232"/>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17</xdr:col>
      <xdr:colOff>133350</xdr:colOff>
      <xdr:row>25</xdr:row>
      <xdr:rowOff>146237</xdr:rowOff>
    </xdr:from>
    <xdr:to>
      <xdr:col>20</xdr:col>
      <xdr:colOff>259977</xdr:colOff>
      <xdr:row>28</xdr:row>
      <xdr:rowOff>99171</xdr:rowOff>
    </xdr:to>
    <xdr:sp macro="" textlink="$H$58">
      <xdr:nvSpPr>
        <xdr:cNvPr id="81" name="TextBox 80">
          <a:extLst>
            <a:ext uri="{FF2B5EF4-FFF2-40B4-BE49-F238E27FC236}">
              <a16:creationId xmlns:a16="http://schemas.microsoft.com/office/drawing/2014/main" id="{ED00C6D0-C1F9-45F6-BEEC-C01B4023386E}"/>
            </a:ext>
          </a:extLst>
        </xdr:cNvPr>
        <xdr:cNvSpPr txBox="1"/>
      </xdr:nvSpPr>
      <xdr:spPr>
        <a:xfrm>
          <a:off x="27127200" y="5270687"/>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26</xdr:col>
      <xdr:colOff>328332</xdr:colOff>
      <xdr:row>25</xdr:row>
      <xdr:rowOff>174812</xdr:rowOff>
    </xdr:from>
    <xdr:to>
      <xdr:col>29</xdr:col>
      <xdr:colOff>476809</xdr:colOff>
      <xdr:row>28</xdr:row>
      <xdr:rowOff>80121</xdr:rowOff>
    </xdr:to>
    <xdr:sp macro="" textlink="$I$58">
      <xdr:nvSpPr>
        <xdr:cNvPr id="82" name="TextBox 81">
          <a:extLst>
            <a:ext uri="{FF2B5EF4-FFF2-40B4-BE49-F238E27FC236}">
              <a16:creationId xmlns:a16="http://schemas.microsoft.com/office/drawing/2014/main" id="{D8B78F67-BCD5-4DF9-84F1-8FDDEE8D333F}"/>
            </a:ext>
          </a:extLst>
        </xdr:cNvPr>
        <xdr:cNvSpPr txBox="1"/>
      </xdr:nvSpPr>
      <xdr:spPr>
        <a:xfrm>
          <a:off x="32808582" y="5299262"/>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21</xdr:col>
      <xdr:colOff>27454</xdr:colOff>
      <xdr:row>14</xdr:row>
      <xdr:rowOff>23532</xdr:rowOff>
    </xdr:from>
    <xdr:to>
      <xdr:col>24</xdr:col>
      <xdr:colOff>556933</xdr:colOff>
      <xdr:row>16</xdr:row>
      <xdr:rowOff>135030</xdr:rowOff>
    </xdr:to>
    <xdr:sp macro="" textlink="$H$49">
      <xdr:nvSpPr>
        <xdr:cNvPr id="83" name="TextBox 82">
          <a:extLst>
            <a:ext uri="{FF2B5EF4-FFF2-40B4-BE49-F238E27FC236}">
              <a16:creationId xmlns:a16="http://schemas.microsoft.com/office/drawing/2014/main" id="{FC5AF483-D75F-4D8E-B128-F8247216901F}"/>
            </a:ext>
          </a:extLst>
        </xdr:cNvPr>
        <xdr:cNvSpPr txBox="1"/>
      </xdr:nvSpPr>
      <xdr:spPr>
        <a:xfrm>
          <a:off x="29459704" y="2947707"/>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30</xdr:col>
      <xdr:colOff>374837</xdr:colOff>
      <xdr:row>14</xdr:row>
      <xdr:rowOff>52107</xdr:rowOff>
    </xdr:from>
    <xdr:to>
      <xdr:col>33</xdr:col>
      <xdr:colOff>434789</xdr:colOff>
      <xdr:row>16</xdr:row>
      <xdr:rowOff>135030</xdr:rowOff>
    </xdr:to>
    <xdr:sp macro="" textlink="$I$49">
      <xdr:nvSpPr>
        <xdr:cNvPr id="84" name="TextBox 83">
          <a:extLst>
            <a:ext uri="{FF2B5EF4-FFF2-40B4-BE49-F238E27FC236}">
              <a16:creationId xmlns:a16="http://schemas.microsoft.com/office/drawing/2014/main" id="{D0334C0D-09CF-4F36-8922-7C899B6F43D0}"/>
            </a:ext>
          </a:extLst>
        </xdr:cNvPr>
        <xdr:cNvSpPr txBox="1"/>
      </xdr:nvSpPr>
      <xdr:spPr>
        <a:xfrm>
          <a:off x="35293487" y="2976282"/>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17</xdr:col>
      <xdr:colOff>133350</xdr:colOff>
      <xdr:row>12</xdr:row>
      <xdr:rowOff>140633</xdr:rowOff>
    </xdr:from>
    <xdr:to>
      <xdr:col>19</xdr:col>
      <xdr:colOff>450477</xdr:colOff>
      <xdr:row>14</xdr:row>
      <xdr:rowOff>23531</xdr:rowOff>
    </xdr:to>
    <xdr:sp macro="" textlink="$J$44">
      <xdr:nvSpPr>
        <xdr:cNvPr id="85" name="TextBox 84">
          <a:extLst>
            <a:ext uri="{FF2B5EF4-FFF2-40B4-BE49-F238E27FC236}">
              <a16:creationId xmlns:a16="http://schemas.microsoft.com/office/drawing/2014/main" id="{E0E48C79-E6C9-4C13-B1F3-7AB95D6C8A6A}"/>
            </a:ext>
          </a:extLst>
        </xdr:cNvPr>
        <xdr:cNvSpPr txBox="1"/>
      </xdr:nvSpPr>
      <xdr:spPr>
        <a:xfrm>
          <a:off x="27127200" y="2664758"/>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21</xdr:col>
      <xdr:colOff>27454</xdr:colOff>
      <xdr:row>12</xdr:row>
      <xdr:rowOff>140633</xdr:rowOff>
    </xdr:from>
    <xdr:to>
      <xdr:col>25</xdr:col>
      <xdr:colOff>166886</xdr:colOff>
      <xdr:row>14</xdr:row>
      <xdr:rowOff>23531</xdr:rowOff>
    </xdr:to>
    <xdr:sp macro="" textlink="$J$44">
      <xdr:nvSpPr>
        <xdr:cNvPr id="86" name="TextBox 85">
          <a:extLst>
            <a:ext uri="{FF2B5EF4-FFF2-40B4-BE49-F238E27FC236}">
              <a16:creationId xmlns:a16="http://schemas.microsoft.com/office/drawing/2014/main" id="{D554859E-4871-46C5-8B3B-3EDC73AEA0DB}"/>
            </a:ext>
          </a:extLst>
        </xdr:cNvPr>
        <xdr:cNvSpPr txBox="1"/>
      </xdr:nvSpPr>
      <xdr:spPr>
        <a:xfrm>
          <a:off x="29459704" y="2664758"/>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17</xdr:col>
      <xdr:colOff>133350</xdr:colOff>
      <xdr:row>10</xdr:row>
      <xdr:rowOff>162485</xdr:rowOff>
    </xdr:from>
    <xdr:to>
      <xdr:col>19</xdr:col>
      <xdr:colOff>450477</xdr:colOff>
      <xdr:row>12</xdr:row>
      <xdr:rowOff>45382</xdr:rowOff>
    </xdr:to>
    <xdr:sp macro="" textlink="$J$44">
      <xdr:nvSpPr>
        <xdr:cNvPr id="87" name="TextBox 86">
          <a:extLst>
            <a:ext uri="{FF2B5EF4-FFF2-40B4-BE49-F238E27FC236}">
              <a16:creationId xmlns:a16="http://schemas.microsoft.com/office/drawing/2014/main" id="{CACF04F8-2715-4DF5-BBB0-426CF670A88C}"/>
            </a:ext>
          </a:extLst>
        </xdr:cNvPr>
        <xdr:cNvSpPr txBox="1"/>
      </xdr:nvSpPr>
      <xdr:spPr>
        <a:xfrm>
          <a:off x="27127200" y="2286560"/>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17</xdr:col>
      <xdr:colOff>171450</xdr:colOff>
      <xdr:row>8</xdr:row>
      <xdr:rowOff>165287</xdr:rowOff>
    </xdr:from>
    <xdr:to>
      <xdr:col>20</xdr:col>
      <xdr:colOff>532279</xdr:colOff>
      <xdr:row>10</xdr:row>
      <xdr:rowOff>133910</xdr:rowOff>
    </xdr:to>
    <xdr:sp macro="" textlink="">
      <xdr:nvSpPr>
        <xdr:cNvPr id="88" name="TextBox 87">
          <a:extLst>
            <a:ext uri="{FF2B5EF4-FFF2-40B4-BE49-F238E27FC236}">
              <a16:creationId xmlns:a16="http://schemas.microsoft.com/office/drawing/2014/main" id="{FAEE522E-1CD8-4A51-907D-C7A69DF07D11}"/>
            </a:ext>
          </a:extLst>
        </xdr:cNvPr>
        <xdr:cNvSpPr txBox="1"/>
      </xdr:nvSpPr>
      <xdr:spPr>
        <a:xfrm>
          <a:off x="27165300" y="1889312"/>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17</xdr:col>
      <xdr:colOff>180975</xdr:colOff>
      <xdr:row>10</xdr:row>
      <xdr:rowOff>139375</xdr:rowOff>
    </xdr:from>
    <xdr:to>
      <xdr:col>34</xdr:col>
      <xdr:colOff>447675</xdr:colOff>
      <xdr:row>10</xdr:row>
      <xdr:rowOff>152960</xdr:rowOff>
    </xdr:to>
    <xdr:cxnSp macro="">
      <xdr:nvCxnSpPr>
        <xdr:cNvPr id="89" name="Straight Connector 88">
          <a:extLst>
            <a:ext uri="{FF2B5EF4-FFF2-40B4-BE49-F238E27FC236}">
              <a16:creationId xmlns:a16="http://schemas.microsoft.com/office/drawing/2014/main" id="{A038FE9A-0252-41BC-BD2D-A795440FEFCD}"/>
            </a:ext>
          </a:extLst>
        </xdr:cNvPr>
        <xdr:cNvCxnSpPr/>
      </xdr:nvCxnSpPr>
      <xdr:spPr>
        <a:xfrm flipV="1">
          <a:off x="27174825" y="2263450"/>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12</xdr:row>
      <xdr:rowOff>140633</xdr:rowOff>
    </xdr:from>
    <xdr:to>
      <xdr:col>29</xdr:col>
      <xdr:colOff>38659</xdr:colOff>
      <xdr:row>14</xdr:row>
      <xdr:rowOff>23531</xdr:rowOff>
    </xdr:to>
    <xdr:sp macro="" textlink="$J$44">
      <xdr:nvSpPr>
        <xdr:cNvPr id="90" name="TextBox 89">
          <a:extLst>
            <a:ext uri="{FF2B5EF4-FFF2-40B4-BE49-F238E27FC236}">
              <a16:creationId xmlns:a16="http://schemas.microsoft.com/office/drawing/2014/main" id="{73ADD220-9404-4873-91D2-981E349EE581}"/>
            </a:ext>
          </a:extLst>
        </xdr:cNvPr>
        <xdr:cNvSpPr txBox="1"/>
      </xdr:nvSpPr>
      <xdr:spPr>
        <a:xfrm>
          <a:off x="32808582" y="2664758"/>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26</xdr:col>
      <xdr:colOff>328332</xdr:colOff>
      <xdr:row>10</xdr:row>
      <xdr:rowOff>162485</xdr:rowOff>
    </xdr:from>
    <xdr:to>
      <xdr:col>29</xdr:col>
      <xdr:colOff>38659</xdr:colOff>
      <xdr:row>12</xdr:row>
      <xdr:rowOff>45382</xdr:rowOff>
    </xdr:to>
    <xdr:sp macro="" textlink="$J$44">
      <xdr:nvSpPr>
        <xdr:cNvPr id="91" name="TextBox 90">
          <a:extLst>
            <a:ext uri="{FF2B5EF4-FFF2-40B4-BE49-F238E27FC236}">
              <a16:creationId xmlns:a16="http://schemas.microsoft.com/office/drawing/2014/main" id="{79DFA243-78FF-4220-8C93-6B97C7A32B97}"/>
            </a:ext>
          </a:extLst>
        </xdr:cNvPr>
        <xdr:cNvSpPr txBox="1"/>
      </xdr:nvSpPr>
      <xdr:spPr>
        <a:xfrm>
          <a:off x="32808582" y="2286560"/>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17</xdr:col>
      <xdr:colOff>133350</xdr:colOff>
      <xdr:row>12</xdr:row>
      <xdr:rowOff>64433</xdr:rowOff>
    </xdr:from>
    <xdr:to>
      <xdr:col>25</xdr:col>
      <xdr:colOff>137833</xdr:colOff>
      <xdr:row>12</xdr:row>
      <xdr:rowOff>64433</xdr:rowOff>
    </xdr:to>
    <xdr:cxnSp macro="">
      <xdr:nvCxnSpPr>
        <xdr:cNvPr id="92" name="Straight Connector 91">
          <a:extLst>
            <a:ext uri="{FF2B5EF4-FFF2-40B4-BE49-F238E27FC236}">
              <a16:creationId xmlns:a16="http://schemas.microsoft.com/office/drawing/2014/main" id="{8CA9A504-1EED-4D22-9ED5-BF3394DFE770}"/>
            </a:ext>
          </a:extLst>
        </xdr:cNvPr>
        <xdr:cNvCxnSpPr/>
      </xdr:nvCxnSpPr>
      <xdr:spPr>
        <a:xfrm>
          <a:off x="27127200" y="2588558"/>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12</xdr:row>
      <xdr:rowOff>64433</xdr:rowOff>
    </xdr:from>
    <xdr:to>
      <xdr:col>34</xdr:col>
      <xdr:colOff>457200</xdr:colOff>
      <xdr:row>12</xdr:row>
      <xdr:rowOff>64433</xdr:rowOff>
    </xdr:to>
    <xdr:cxnSp macro="">
      <xdr:nvCxnSpPr>
        <xdr:cNvPr id="93" name="Straight Connector 92">
          <a:extLst>
            <a:ext uri="{FF2B5EF4-FFF2-40B4-BE49-F238E27FC236}">
              <a16:creationId xmlns:a16="http://schemas.microsoft.com/office/drawing/2014/main" id="{7B7F5424-2E41-4EFD-A531-17051716C79C}"/>
            </a:ext>
          </a:extLst>
        </xdr:cNvPr>
        <xdr:cNvCxnSpPr/>
      </xdr:nvCxnSpPr>
      <xdr:spPr>
        <a:xfrm>
          <a:off x="32808582" y="2588558"/>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133350</xdr:colOff>
      <xdr:row>24</xdr:row>
      <xdr:rowOff>36419</xdr:rowOff>
    </xdr:from>
    <xdr:to>
      <xdr:col>19</xdr:col>
      <xdr:colOff>450477</xdr:colOff>
      <xdr:row>25</xdr:row>
      <xdr:rowOff>117661</xdr:rowOff>
    </xdr:to>
    <xdr:sp macro="" textlink="$J$44">
      <xdr:nvSpPr>
        <xdr:cNvPr id="94" name="TextBox 93">
          <a:extLst>
            <a:ext uri="{FF2B5EF4-FFF2-40B4-BE49-F238E27FC236}">
              <a16:creationId xmlns:a16="http://schemas.microsoft.com/office/drawing/2014/main" id="{A06714D0-BBB7-4BE2-B2D2-44709C6CD61D}"/>
            </a:ext>
          </a:extLst>
        </xdr:cNvPr>
        <xdr:cNvSpPr txBox="1"/>
      </xdr:nvSpPr>
      <xdr:spPr>
        <a:xfrm>
          <a:off x="27127200" y="4960844"/>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21</xdr:col>
      <xdr:colOff>112701</xdr:colOff>
      <xdr:row>24</xdr:row>
      <xdr:rowOff>36419</xdr:rowOff>
    </xdr:from>
    <xdr:to>
      <xdr:col>25</xdr:col>
      <xdr:colOff>252133</xdr:colOff>
      <xdr:row>25</xdr:row>
      <xdr:rowOff>117661</xdr:rowOff>
    </xdr:to>
    <xdr:sp macro="" textlink="$J$44">
      <xdr:nvSpPr>
        <xdr:cNvPr id="95" name="TextBox 94">
          <a:extLst>
            <a:ext uri="{FF2B5EF4-FFF2-40B4-BE49-F238E27FC236}">
              <a16:creationId xmlns:a16="http://schemas.microsoft.com/office/drawing/2014/main" id="{6D3DA5BF-02E7-44AA-8F2B-6762CD6CAC7B}"/>
            </a:ext>
          </a:extLst>
        </xdr:cNvPr>
        <xdr:cNvSpPr txBox="1"/>
      </xdr:nvSpPr>
      <xdr:spPr>
        <a:xfrm>
          <a:off x="29544951" y="4960844"/>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17</xdr:col>
      <xdr:colOff>133350</xdr:colOff>
      <xdr:row>22</xdr:row>
      <xdr:rowOff>59951</xdr:rowOff>
    </xdr:from>
    <xdr:to>
      <xdr:col>19</xdr:col>
      <xdr:colOff>450477</xdr:colOff>
      <xdr:row>23</xdr:row>
      <xdr:rowOff>139512</xdr:rowOff>
    </xdr:to>
    <xdr:sp macro="" textlink="$J$44">
      <xdr:nvSpPr>
        <xdr:cNvPr id="96" name="TextBox 95">
          <a:extLst>
            <a:ext uri="{FF2B5EF4-FFF2-40B4-BE49-F238E27FC236}">
              <a16:creationId xmlns:a16="http://schemas.microsoft.com/office/drawing/2014/main" id="{0C4B6353-0CF4-4FCC-BE7E-AB545026DC3F}"/>
            </a:ext>
          </a:extLst>
        </xdr:cNvPr>
        <xdr:cNvSpPr txBox="1"/>
      </xdr:nvSpPr>
      <xdr:spPr>
        <a:xfrm>
          <a:off x="27127200" y="4584326"/>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17</xdr:col>
      <xdr:colOff>133350</xdr:colOff>
      <xdr:row>16</xdr:row>
      <xdr:rowOff>39781</xdr:rowOff>
    </xdr:from>
    <xdr:ext cx="1830116" cy="254493"/>
    <xdr:sp macro="" textlink="">
      <xdr:nvSpPr>
        <xdr:cNvPr id="97" name="TextBox 96">
          <a:extLst>
            <a:ext uri="{FF2B5EF4-FFF2-40B4-BE49-F238E27FC236}">
              <a16:creationId xmlns:a16="http://schemas.microsoft.com/office/drawing/2014/main" id="{B4723D13-4C58-4CB3-9AE4-455255F55F45}"/>
            </a:ext>
          </a:extLst>
        </xdr:cNvPr>
        <xdr:cNvSpPr txBox="1"/>
      </xdr:nvSpPr>
      <xdr:spPr>
        <a:xfrm>
          <a:off x="27127200"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17</xdr:col>
      <xdr:colOff>171450</xdr:colOff>
      <xdr:row>20</xdr:row>
      <xdr:rowOff>62752</xdr:rowOff>
    </xdr:from>
    <xdr:to>
      <xdr:col>20</xdr:col>
      <xdr:colOff>532279</xdr:colOff>
      <xdr:row>22</xdr:row>
      <xdr:rowOff>29695</xdr:rowOff>
    </xdr:to>
    <xdr:sp macro="" textlink="">
      <xdr:nvSpPr>
        <xdr:cNvPr id="98" name="TextBox 97">
          <a:extLst>
            <a:ext uri="{FF2B5EF4-FFF2-40B4-BE49-F238E27FC236}">
              <a16:creationId xmlns:a16="http://schemas.microsoft.com/office/drawing/2014/main" id="{033AADE7-B3D6-48B8-A99A-46C1AF2F9C6F}"/>
            </a:ext>
          </a:extLst>
        </xdr:cNvPr>
        <xdr:cNvSpPr txBox="1"/>
      </xdr:nvSpPr>
      <xdr:spPr>
        <a:xfrm>
          <a:off x="27165300" y="4187077"/>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17</xdr:col>
      <xdr:colOff>180975</xdr:colOff>
      <xdr:row>22</xdr:row>
      <xdr:rowOff>35243</xdr:rowOff>
    </xdr:from>
    <xdr:to>
      <xdr:col>34</xdr:col>
      <xdr:colOff>495300</xdr:colOff>
      <xdr:row>22</xdr:row>
      <xdr:rowOff>50426</xdr:rowOff>
    </xdr:to>
    <xdr:cxnSp macro="">
      <xdr:nvCxnSpPr>
        <xdr:cNvPr id="99" name="Straight Connector 98">
          <a:extLst>
            <a:ext uri="{FF2B5EF4-FFF2-40B4-BE49-F238E27FC236}">
              <a16:creationId xmlns:a16="http://schemas.microsoft.com/office/drawing/2014/main" id="{4E323620-102F-417B-99C3-DAE0A5190682}"/>
            </a:ext>
          </a:extLst>
        </xdr:cNvPr>
        <xdr:cNvCxnSpPr/>
      </xdr:nvCxnSpPr>
      <xdr:spPr>
        <a:xfrm flipV="1">
          <a:off x="27174825" y="4559618"/>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24</xdr:row>
      <xdr:rowOff>36419</xdr:rowOff>
    </xdr:from>
    <xdr:to>
      <xdr:col>29</xdr:col>
      <xdr:colOff>38659</xdr:colOff>
      <xdr:row>25</xdr:row>
      <xdr:rowOff>117661</xdr:rowOff>
    </xdr:to>
    <xdr:sp macro="" textlink="$J$44">
      <xdr:nvSpPr>
        <xdr:cNvPr id="100" name="TextBox 99">
          <a:extLst>
            <a:ext uri="{FF2B5EF4-FFF2-40B4-BE49-F238E27FC236}">
              <a16:creationId xmlns:a16="http://schemas.microsoft.com/office/drawing/2014/main" id="{9A97F318-624A-4671-A99C-8E5FF1C7B63D}"/>
            </a:ext>
          </a:extLst>
        </xdr:cNvPr>
        <xdr:cNvSpPr txBox="1"/>
      </xdr:nvSpPr>
      <xdr:spPr>
        <a:xfrm>
          <a:off x="32808582" y="4960844"/>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26</xdr:col>
      <xdr:colOff>328332</xdr:colOff>
      <xdr:row>22</xdr:row>
      <xdr:rowOff>59951</xdr:rowOff>
    </xdr:from>
    <xdr:to>
      <xdr:col>29</xdr:col>
      <xdr:colOff>38659</xdr:colOff>
      <xdr:row>23</xdr:row>
      <xdr:rowOff>139512</xdr:rowOff>
    </xdr:to>
    <xdr:sp macro="" textlink="$J$44">
      <xdr:nvSpPr>
        <xdr:cNvPr id="101" name="TextBox 100">
          <a:extLst>
            <a:ext uri="{FF2B5EF4-FFF2-40B4-BE49-F238E27FC236}">
              <a16:creationId xmlns:a16="http://schemas.microsoft.com/office/drawing/2014/main" id="{6FA79D7D-83B4-4867-9624-5081298C2E00}"/>
            </a:ext>
          </a:extLst>
        </xdr:cNvPr>
        <xdr:cNvSpPr txBox="1"/>
      </xdr:nvSpPr>
      <xdr:spPr>
        <a:xfrm>
          <a:off x="32808582" y="4584326"/>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17</xdr:col>
      <xdr:colOff>133350</xdr:colOff>
      <xdr:row>23</xdr:row>
      <xdr:rowOff>158563</xdr:rowOff>
    </xdr:from>
    <xdr:to>
      <xdr:col>25</xdr:col>
      <xdr:colOff>166408</xdr:colOff>
      <xdr:row>23</xdr:row>
      <xdr:rowOff>158563</xdr:rowOff>
    </xdr:to>
    <xdr:cxnSp macro="">
      <xdr:nvCxnSpPr>
        <xdr:cNvPr id="102" name="Straight Connector 101">
          <a:extLst>
            <a:ext uri="{FF2B5EF4-FFF2-40B4-BE49-F238E27FC236}">
              <a16:creationId xmlns:a16="http://schemas.microsoft.com/office/drawing/2014/main" id="{8940BF8F-EF91-4E95-ADC1-DC0753C8AB25}"/>
            </a:ext>
          </a:extLst>
        </xdr:cNvPr>
        <xdr:cNvCxnSpPr/>
      </xdr:nvCxnSpPr>
      <xdr:spPr>
        <a:xfrm>
          <a:off x="27127200" y="4882963"/>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23</xdr:row>
      <xdr:rowOff>158563</xdr:rowOff>
    </xdr:from>
    <xdr:to>
      <xdr:col>34</xdr:col>
      <xdr:colOff>514350</xdr:colOff>
      <xdr:row>23</xdr:row>
      <xdr:rowOff>158563</xdr:rowOff>
    </xdr:to>
    <xdr:cxnSp macro="">
      <xdr:nvCxnSpPr>
        <xdr:cNvPr id="103" name="Straight Connector 102">
          <a:extLst>
            <a:ext uri="{FF2B5EF4-FFF2-40B4-BE49-F238E27FC236}">
              <a16:creationId xmlns:a16="http://schemas.microsoft.com/office/drawing/2014/main" id="{EA41BE58-9981-4BD2-BC88-4A5F65E36D24}"/>
            </a:ext>
          </a:extLst>
        </xdr:cNvPr>
        <xdr:cNvCxnSpPr/>
      </xdr:nvCxnSpPr>
      <xdr:spPr>
        <a:xfrm>
          <a:off x="32808582" y="4882963"/>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21</xdr:col>
      <xdr:colOff>27454</xdr:colOff>
      <xdr:row>16</xdr:row>
      <xdr:rowOff>39781</xdr:rowOff>
    </xdr:from>
    <xdr:ext cx="1830116" cy="254493"/>
    <xdr:sp macro="" textlink="">
      <xdr:nvSpPr>
        <xdr:cNvPr id="104" name="TextBox 103">
          <a:extLst>
            <a:ext uri="{FF2B5EF4-FFF2-40B4-BE49-F238E27FC236}">
              <a16:creationId xmlns:a16="http://schemas.microsoft.com/office/drawing/2014/main" id="{1F00E05B-D1AC-46EA-88D3-8F656FD5F546}"/>
            </a:ext>
          </a:extLst>
        </xdr:cNvPr>
        <xdr:cNvSpPr txBox="1"/>
      </xdr:nvSpPr>
      <xdr:spPr>
        <a:xfrm>
          <a:off x="29459704"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26</xdr:col>
      <xdr:colOff>328332</xdr:colOff>
      <xdr:row>16</xdr:row>
      <xdr:rowOff>39781</xdr:rowOff>
    </xdr:from>
    <xdr:ext cx="1830116" cy="254493"/>
    <xdr:sp macro="" textlink="">
      <xdr:nvSpPr>
        <xdr:cNvPr id="105" name="TextBox 104">
          <a:extLst>
            <a:ext uri="{FF2B5EF4-FFF2-40B4-BE49-F238E27FC236}">
              <a16:creationId xmlns:a16="http://schemas.microsoft.com/office/drawing/2014/main" id="{A06EAEAA-2DAF-4102-8838-C5870253A7F8}"/>
            </a:ext>
          </a:extLst>
        </xdr:cNvPr>
        <xdr:cNvSpPr txBox="1"/>
      </xdr:nvSpPr>
      <xdr:spPr>
        <a:xfrm>
          <a:off x="32808582"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30</xdr:col>
      <xdr:colOff>374837</xdr:colOff>
      <xdr:row>16</xdr:row>
      <xdr:rowOff>39781</xdr:rowOff>
    </xdr:from>
    <xdr:ext cx="1830116" cy="254493"/>
    <xdr:sp macro="" textlink="">
      <xdr:nvSpPr>
        <xdr:cNvPr id="106" name="TextBox 105">
          <a:extLst>
            <a:ext uri="{FF2B5EF4-FFF2-40B4-BE49-F238E27FC236}">
              <a16:creationId xmlns:a16="http://schemas.microsoft.com/office/drawing/2014/main" id="{A0F66C15-F36A-492E-BB1B-9F3D493B98B9}"/>
            </a:ext>
          </a:extLst>
        </xdr:cNvPr>
        <xdr:cNvSpPr txBox="1"/>
      </xdr:nvSpPr>
      <xdr:spPr>
        <a:xfrm>
          <a:off x="35293487"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17</xdr:col>
      <xdr:colOff>133350</xdr:colOff>
      <xdr:row>28</xdr:row>
      <xdr:rowOff>29135</xdr:rowOff>
    </xdr:from>
    <xdr:ext cx="1830116" cy="254493"/>
    <xdr:sp macro="" textlink="">
      <xdr:nvSpPr>
        <xdr:cNvPr id="107" name="TextBox 106">
          <a:extLst>
            <a:ext uri="{FF2B5EF4-FFF2-40B4-BE49-F238E27FC236}">
              <a16:creationId xmlns:a16="http://schemas.microsoft.com/office/drawing/2014/main" id="{D5EFED6F-51D7-456F-8BDB-E6AE63DBED6E}"/>
            </a:ext>
          </a:extLst>
        </xdr:cNvPr>
        <xdr:cNvSpPr txBox="1"/>
      </xdr:nvSpPr>
      <xdr:spPr>
        <a:xfrm>
          <a:off x="27127200"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21</xdr:col>
      <xdr:colOff>36979</xdr:colOff>
      <xdr:row>28</xdr:row>
      <xdr:rowOff>29135</xdr:rowOff>
    </xdr:from>
    <xdr:ext cx="1830116" cy="254493"/>
    <xdr:sp macro="" textlink="">
      <xdr:nvSpPr>
        <xdr:cNvPr id="108" name="TextBox 107">
          <a:extLst>
            <a:ext uri="{FF2B5EF4-FFF2-40B4-BE49-F238E27FC236}">
              <a16:creationId xmlns:a16="http://schemas.microsoft.com/office/drawing/2014/main" id="{8BC081B4-F564-4CFA-AACD-90F7A3418417}"/>
            </a:ext>
          </a:extLst>
        </xdr:cNvPr>
        <xdr:cNvSpPr txBox="1"/>
      </xdr:nvSpPr>
      <xdr:spPr>
        <a:xfrm>
          <a:off x="29469229"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26</xdr:col>
      <xdr:colOff>328332</xdr:colOff>
      <xdr:row>28</xdr:row>
      <xdr:rowOff>29135</xdr:rowOff>
    </xdr:from>
    <xdr:ext cx="1830116" cy="254493"/>
    <xdr:sp macro="" textlink="">
      <xdr:nvSpPr>
        <xdr:cNvPr id="109" name="TextBox 108">
          <a:extLst>
            <a:ext uri="{FF2B5EF4-FFF2-40B4-BE49-F238E27FC236}">
              <a16:creationId xmlns:a16="http://schemas.microsoft.com/office/drawing/2014/main" id="{7CC4D452-6B1F-46FB-BAF3-56F31547FF48}"/>
            </a:ext>
          </a:extLst>
        </xdr:cNvPr>
        <xdr:cNvSpPr txBox="1"/>
      </xdr:nvSpPr>
      <xdr:spPr>
        <a:xfrm>
          <a:off x="3280858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a:t>
          </a:r>
          <a:r>
            <a:rPr lang="en-AU" sz="1100" b="0" i="1" u="none" strike="noStrike" baseline="0">
              <a:solidFill>
                <a:schemeClr val="bg2">
                  <a:lumMod val="50000"/>
                </a:schemeClr>
              </a:solidFill>
              <a:effectLst/>
              <a:latin typeface="+mn-lt"/>
              <a:ea typeface="+mn-ea"/>
              <a:cs typeface="+mn-cs"/>
            </a:rPr>
            <a:t> </a:t>
          </a:r>
          <a:r>
            <a:rPr lang="en-AU" sz="11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30</xdr:col>
      <xdr:colOff>441512</xdr:colOff>
      <xdr:row>28</xdr:row>
      <xdr:rowOff>19610</xdr:rowOff>
    </xdr:from>
    <xdr:ext cx="1830116" cy="254493"/>
    <xdr:sp macro="" textlink="">
      <xdr:nvSpPr>
        <xdr:cNvPr id="110" name="TextBox 109">
          <a:extLst>
            <a:ext uri="{FF2B5EF4-FFF2-40B4-BE49-F238E27FC236}">
              <a16:creationId xmlns:a16="http://schemas.microsoft.com/office/drawing/2014/main" id="{9DD993E1-1813-4861-9BC8-2BA52DC4E979}"/>
            </a:ext>
          </a:extLst>
        </xdr:cNvPr>
        <xdr:cNvSpPr txBox="1"/>
      </xdr:nvSpPr>
      <xdr:spPr>
        <a:xfrm>
          <a:off x="35360162" y="574413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21</xdr:col>
      <xdr:colOff>65554</xdr:colOff>
      <xdr:row>25</xdr:row>
      <xdr:rowOff>146237</xdr:rowOff>
    </xdr:from>
    <xdr:to>
      <xdr:col>24</xdr:col>
      <xdr:colOff>194983</xdr:colOff>
      <xdr:row>28</xdr:row>
      <xdr:rowOff>99171</xdr:rowOff>
    </xdr:to>
    <xdr:sp macro="" textlink="$H$59">
      <xdr:nvSpPr>
        <xdr:cNvPr id="111" name="TextBox 110">
          <a:extLst>
            <a:ext uri="{FF2B5EF4-FFF2-40B4-BE49-F238E27FC236}">
              <a16:creationId xmlns:a16="http://schemas.microsoft.com/office/drawing/2014/main" id="{4EE8E91D-37A1-4E47-96B0-13A279A424BB}"/>
            </a:ext>
          </a:extLst>
        </xdr:cNvPr>
        <xdr:cNvSpPr txBox="1"/>
      </xdr:nvSpPr>
      <xdr:spPr>
        <a:xfrm>
          <a:off x="29497804" y="5270687"/>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30</xdr:col>
      <xdr:colOff>431986</xdr:colOff>
      <xdr:row>25</xdr:row>
      <xdr:rowOff>165287</xdr:rowOff>
    </xdr:from>
    <xdr:to>
      <xdr:col>33</xdr:col>
      <xdr:colOff>558613</xdr:colOff>
      <xdr:row>28</xdr:row>
      <xdr:rowOff>70596</xdr:rowOff>
    </xdr:to>
    <xdr:sp macro="" textlink="$I$59">
      <xdr:nvSpPr>
        <xdr:cNvPr id="112" name="TextBox 111">
          <a:extLst>
            <a:ext uri="{FF2B5EF4-FFF2-40B4-BE49-F238E27FC236}">
              <a16:creationId xmlns:a16="http://schemas.microsoft.com/office/drawing/2014/main" id="{58530D12-782E-4744-92A5-31CF5B563E70}"/>
            </a:ext>
          </a:extLst>
        </xdr:cNvPr>
        <xdr:cNvSpPr txBox="1"/>
      </xdr:nvSpPr>
      <xdr:spPr>
        <a:xfrm>
          <a:off x="35350636" y="5289737"/>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18</xdr:col>
      <xdr:colOff>574302</xdr:colOff>
      <xdr:row>5</xdr:row>
      <xdr:rowOff>31937</xdr:rowOff>
    </xdr:from>
    <xdr:to>
      <xdr:col>24</xdr:col>
      <xdr:colOff>423583</xdr:colOff>
      <xdr:row>7</xdr:row>
      <xdr:rowOff>14008</xdr:rowOff>
    </xdr:to>
    <xdr:sp macro="" textlink="">
      <xdr:nvSpPr>
        <xdr:cNvPr id="113" name="TextBox 112">
          <a:extLst>
            <a:ext uri="{FF2B5EF4-FFF2-40B4-BE49-F238E27FC236}">
              <a16:creationId xmlns:a16="http://schemas.microsoft.com/office/drawing/2014/main" id="{521AADB7-725E-4A7C-89A5-FA70A472B80F}"/>
            </a:ext>
          </a:extLst>
        </xdr:cNvPr>
        <xdr:cNvSpPr txBox="1"/>
      </xdr:nvSpPr>
      <xdr:spPr>
        <a:xfrm>
          <a:off x="28177752" y="1155887"/>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Manure sold</a:t>
          </a:r>
        </a:p>
      </xdr:txBody>
    </xdr:sp>
    <xdr:clientData/>
  </xdr:twoCellAnchor>
  <xdr:twoCellAnchor editAs="oneCell">
    <xdr:from>
      <xdr:col>17</xdr:col>
      <xdr:colOff>174286</xdr:colOff>
      <xdr:row>3</xdr:row>
      <xdr:rowOff>190500</xdr:rowOff>
    </xdr:from>
    <xdr:to>
      <xdr:col>18</xdr:col>
      <xdr:colOff>492328</xdr:colOff>
      <xdr:row>8</xdr:row>
      <xdr:rowOff>70037</xdr:rowOff>
    </xdr:to>
    <xdr:pic>
      <xdr:nvPicPr>
        <xdr:cNvPr id="114" name="Picture 113">
          <a:extLst>
            <a:ext uri="{FF2B5EF4-FFF2-40B4-BE49-F238E27FC236}">
              <a16:creationId xmlns:a16="http://schemas.microsoft.com/office/drawing/2014/main" id="{8167B957-8EE3-4320-A307-70EDFFC313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7481" r="7481"/>
        <a:stretch/>
      </xdr:blipFill>
      <xdr:spPr>
        <a:xfrm flipH="1">
          <a:off x="27168136" y="914400"/>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8:G39" totalsRowShown="0">
  <autoFilter ref="D38:G39"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51"/>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4" totalsRowShown="0" headerRowCellStyle="Input table column header">
  <autoFilter ref="D7:J14"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50"/>
    <tableColumn id="6" xr3:uid="{1219F6AC-7C79-4EDD-8C55-F7A78277AE3F}" name="Evidence files" dataDxfId="49"/>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9:J25" totalsRowShown="0" headerRowCellStyle="Input table column header">
  <autoFilter ref="D19:J25"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48"/>
    <tableColumn id="6" xr3:uid="{73F97399-8A3B-4EFB-9481-CBD7CB1C44EB}" name="Evidence files" dataDxfId="47"/>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30:J38" totalsRowShown="0" headerRowCellStyle="Input table column header">
  <autoFilter ref="D30:J38"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6"/>
    <tableColumn id="6" xr3:uid="{865FA280-4A36-4101-BD09-20356916B4D5}" name="Evidence files" dataDxfId="45"/>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4:J48" totalsRowShown="0" headerRowCellStyle="Input table column header">
  <autoFilter ref="D44:J48"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4"/>
    <tableColumn id="6" xr3:uid="{690D112F-6792-478E-99EE-B77B520B2164}" name="Evidence files" dataDxfId="43"/>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4:J59" totalsRowShown="0" headerRowCellStyle="Input table column header">
  <autoFilter ref="D54:J59"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2"/>
    <tableColumn id="6" xr3:uid="{16D79CDB-80AA-4F28-B5E0-282205F97C41}" name="Evidence files" dataDxfId="41"/>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4" dataCellStyle="Content normal"/>
    <tableColumn id="2" xr3:uid="{A467D3D2-FAE8-4B4F-AD2F-273B449008EF}" name="Description" dataDxfId="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2.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0</v>
      </c>
    </row>
    <row r="3" spans="1:1" x14ac:dyDescent="0.25">
      <c r="A3" s="80" t="str">
        <f>HYPERLINK("#'Home'!A1", "Home")</f>
        <v>Home</v>
      </c>
    </row>
    <row r="6" spans="1:1" x14ac:dyDescent="0.25">
      <c r="A6" s="81" t="s">
        <v>2</v>
      </c>
    </row>
    <row r="7" spans="1:1" ht="15.75" x14ac:dyDescent="0.25">
      <c r="A7" s="5" t="str">
        <f>HYPERLINK("#'Constants - Common'!A1", "Constants - Common")</f>
        <v>Constants - Common</v>
      </c>
    </row>
    <row r="8" spans="1:1" ht="15.75" x14ac:dyDescent="0.25">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D30" zoomScaleNormal="100" workbookViewId="0">
      <selection activeCell="I24" sqref="I24"/>
    </sheetView>
  </sheetViews>
  <sheetFormatPr defaultRowHeight="15.75" x14ac:dyDescent="0.25"/>
  <cols>
    <col min="1" max="1" width="30.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1" t="e" vm="1">
        <v>#VALUE!</v>
      </c>
      <c r="C1" s="91" t="s">
        <v>257</v>
      </c>
      <c r="D1" s="91"/>
      <c r="E1" s="91"/>
      <c r="F1" s="91"/>
      <c r="G1" s="91"/>
      <c r="H1" s="91"/>
      <c r="I1" s="91"/>
      <c r="J1" s="91"/>
      <c r="K1" s="91"/>
    </row>
    <row r="2" spans="1:11" ht="20.100000000000001" customHeight="1" x14ac:dyDescent="0.25">
      <c r="A2" s="3"/>
      <c r="C2" s="3"/>
      <c r="D2" s="3"/>
      <c r="E2" s="3"/>
      <c r="F2" s="3"/>
      <c r="G2" s="3"/>
      <c r="H2" s="3"/>
      <c r="I2" s="3"/>
      <c r="J2" s="3"/>
      <c r="K2" s="3"/>
    </row>
    <row r="3" spans="1:11" ht="20.100000000000001" customHeight="1" x14ac:dyDescent="0.25">
      <c r="A3" s="5" t="str">
        <f>HYPERLINK("#'Home'!A1", "Home")</f>
        <v>Home</v>
      </c>
      <c r="C3" s="92"/>
      <c r="D3" s="92"/>
      <c r="E3" s="92"/>
      <c r="F3" s="92"/>
      <c r="G3" s="92"/>
      <c r="H3" s="92"/>
      <c r="I3" s="92"/>
      <c r="J3" s="92"/>
      <c r="K3" s="92"/>
    </row>
    <row r="4" spans="1:11" ht="20.100000000000001" customHeight="1" x14ac:dyDescent="0.25">
      <c r="A4" s="5" t="str">
        <f>HYPERLINK("#'Results'!A1", "Results")</f>
        <v>Results</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5">
      <c r="A5" s="4"/>
    </row>
    <row r="6" spans="1:11" ht="20.100000000000001" customHeight="1" x14ac:dyDescent="0.25">
      <c r="A6" s="8" t="s">
        <v>1</v>
      </c>
      <c r="D6" s="78" t="s">
        <v>236</v>
      </c>
    </row>
    <row r="7" spans="1:11" ht="20.100000000000001" customHeight="1" x14ac:dyDescent="0.25">
      <c r="A7" s="5" t="str">
        <f>HYPERLINK("#'Input - Site'!A1", "Site")</f>
        <v>Site</v>
      </c>
    </row>
    <row r="8" spans="1:11" ht="20.100000000000001" customHeight="1" x14ac:dyDescent="0.25">
      <c r="A8" s="5" t="str">
        <f>HYPERLINK("#'Input - Pasture Beef'!A1", "Pasture Beef")</f>
        <v>Pasture Beef</v>
      </c>
      <c r="D8" s="12" t="s">
        <v>4</v>
      </c>
      <c r="E8" s="12" t="s">
        <v>9</v>
      </c>
      <c r="F8" s="12" t="s">
        <v>10</v>
      </c>
      <c r="G8" s="12" t="s">
        <v>6</v>
      </c>
      <c r="H8" s="12" t="s">
        <v>11</v>
      </c>
      <c r="I8" s="12" t="s">
        <v>12</v>
      </c>
      <c r="J8" s="12"/>
    </row>
    <row r="9" spans="1:11" ht="20.100000000000001" customHeight="1" x14ac:dyDescent="0.25">
      <c r="A9" s="5"/>
      <c r="D9" s="1" t="s">
        <v>286</v>
      </c>
      <c r="E9" s="1" t="e">
        <f>VEERG_4_6_1_1__1_TotalAnnualMethaneEmissions_Result_Method1</f>
        <v>#NAME?</v>
      </c>
      <c r="F9" s="1" t="e">
        <f>VEERG_4_6_1_1__1_TotalAnnualMethaneEmissions_Result_Method2</f>
        <v>#NAME?</v>
      </c>
      <c r="G9" s="10" t="s">
        <v>7</v>
      </c>
      <c r="H9" s="1" t="e" cm="1">
        <f t="array" ref="H9">Common_Equations.Common_ConvertCH4ToCO2e(E9,_xlfn.XLOOKUP("CH4", Table_GWPData[Gas],Table_GWPData[CO2-e factor]))</f>
        <v>#NAME?</v>
      </c>
      <c r="I9" s="1" t="e" cm="1">
        <f t="array" ref="I9">Common_Equations.Common_ConvertCH4ToCO2e(F9,_xlfn.XLOOKUP("CH4", Table_GWPData[Gas],Table_GWPData[CO2-e factor]))</f>
        <v>#NAME?</v>
      </c>
      <c r="J9" s="10" t="s">
        <v>8</v>
      </c>
    </row>
    <row r="10" spans="1:11" ht="20.100000000000001" customHeight="1" x14ac:dyDescent="0.25">
      <c r="A10" s="7" t="s">
        <v>3</v>
      </c>
      <c r="D10" s="1" t="s">
        <v>287</v>
      </c>
      <c r="E10" s="1" t="e">
        <f>VEERG_4_6_1_3__1_TotalAnnualDirectNitrousOxideEmissionsFromMMS_Result_Method1</f>
        <v>#NAME?</v>
      </c>
      <c r="F10" s="1" t="e">
        <f>VEERG_4_6_1_3__1_TotalAnnualDirectNitrousOxideEmissionsFromMMS_Result_Method2</f>
        <v>#NAME?</v>
      </c>
      <c r="G10" s="10" t="s">
        <v>7</v>
      </c>
      <c r="H10" s="1" t="e" cm="1">
        <f t="array" ref="H10">Common_Equations.Common_ConvertN2OToCO2e(E10,_xlfn.XLOOKUP("N2O", Table_GWPData[Gas],Table_GWPData[CO2-e factor]))</f>
        <v>#NAME?</v>
      </c>
      <c r="I10" s="1" t="e" cm="1">
        <f t="array" ref="I10">Common_Equations.Common_ConvertN2OToCO2e(F10,_xlfn.XLOOKUP("N2O", Table_GWPData[Gas],Table_GWPData[CO2-e factor]))</f>
        <v>#NAME?</v>
      </c>
      <c r="J10" s="10" t="s">
        <v>8</v>
      </c>
    </row>
    <row r="11" spans="1:11" ht="20.100000000000001" customHeight="1" x14ac:dyDescent="0.25">
      <c r="A11" s="5" t="str">
        <f>HYPERLINK("#'4.2.1.1-2 Methane'!A1", "4.2.1.1-2 Methane")</f>
        <v>4.2.1.1-2 Methane</v>
      </c>
      <c r="D11" s="1" t="s">
        <v>288</v>
      </c>
      <c r="E11" s="1" t="e">
        <f>VEERG_4_6_1_5__1_TotalAnnualAtmosphericDepositionEmissionsFromMMS_Result_Method1</f>
        <v>#NAME?</v>
      </c>
      <c r="F11" s="1" t="e">
        <f>VEERG_4_6_1_5__1_TotalAnnualAtmosphericDepositionEmissionsFromMMS_Result_Method2</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8</v>
      </c>
    </row>
    <row r="12" spans="1:11" ht="20.100000000000001" customHeight="1" x14ac:dyDescent="0.25">
      <c r="A12" s="5" t="str">
        <f>HYPERLINK("#'4.2.1.3-4 Soil direct N2O'!A1", "4.2.1.3-4 Soil direct N2O")</f>
        <v>4.2.1.3-4 Soil direct N2O</v>
      </c>
      <c r="D12" s="1" t="s">
        <v>289</v>
      </c>
      <c r="E12" s="1" t="e">
        <f>VEERG_4_6_1_7__1_AnnualEmissionsFromLeachingAndRunoffFromMMS_Result_Method1</f>
        <v>#NAME?</v>
      </c>
      <c r="F12" s="1" t="e">
        <f>VEERG_4_6_1_7__1_AnnualEmissionsFromLeachingAndRunoffFromMMS_Result_Method2</f>
        <v>#NAME?</v>
      </c>
      <c r="G12" s="10" t="s">
        <v>13</v>
      </c>
      <c r="H12" s="1" t="e" cm="1">
        <f t="array" ref="H12">Common_Equations.Common_ConvertN2OToCO2e(E12,_xlfn.XLOOKUP("N2O", Table_GWPData[Gas],Table_GWPData[CO2-e factor]))</f>
        <v>#NAME?</v>
      </c>
      <c r="I12" s="1" t="e" cm="1">
        <f t="array" ref="I12">Common_Equations.Common_ConvertN2OToCO2e(F12,_xlfn.XLOOKUP("N2O", Table_GWPData[Gas],Table_GWPData[CO2-e factor]))</f>
        <v>#NAME?</v>
      </c>
      <c r="J12" s="10" t="s">
        <v>8</v>
      </c>
    </row>
    <row r="13" spans="1:11" ht="20.100000000000001" customHeight="1" x14ac:dyDescent="0.25">
      <c r="A13" s="5" t="str">
        <f>HYPERLINK("#'4.2.1.5-6 Soil Atmos Dep'!A1", "4.2.1.5-6 Soil atm. deposition")</f>
        <v>4.2.1.5-6 Soil atm. deposition</v>
      </c>
      <c r="D13" s="1" t="s">
        <v>290</v>
      </c>
      <c r="E13" s="1" t="e">
        <f>VEERG_4_6_1_10__1_DirectNitrousOxideEmissionsFromPoultryManure_Result_Method1</f>
        <v>#NAME?</v>
      </c>
      <c r="F13" s="1" t="e">
        <f>VEERG_4_6_1_10__1_DirectNitrousOxideEmissionsFromPoultryManure_Result_Method2</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8</v>
      </c>
    </row>
    <row r="14" spans="1:11" ht="20.100000000000001" customHeight="1" x14ac:dyDescent="0.25">
      <c r="A14" s="5" t="str">
        <f>HYPERLINK("#'4.2.1.7-8 Soil leach runoff'!A1", "4.2.1.7-8 Soil leach &amp; runoff")</f>
        <v>4.2.1.7-8 Soil leach &amp; runoff</v>
      </c>
      <c r="D14" s="1" t="s">
        <v>291</v>
      </c>
      <c r="E14" s="1" t="e">
        <f>VEERG_4_6_1_12__1_AtmosphericDepositionEmissionsFromPoultryManureOnPasture_Result_Method1</f>
        <v>#NAME?</v>
      </c>
      <c r="F14" s="1" t="e">
        <f>VEERG_4_6_1_12__1_AtmosphericDepositionEmissionsFromPoultryManureOnPasture_Result_Method2</f>
        <v>#NAME?</v>
      </c>
      <c r="G14" s="10" t="s">
        <v>13</v>
      </c>
      <c r="H14" s="1" t="e" cm="1">
        <f t="array" ref="H14">Common_Equations.Common_ConvertN2OToCO2e(E14,_xlfn.XLOOKUP("N2O", Table_GWPData[Gas],Table_GWPData[CO2-e factor]))</f>
        <v>#NAME?</v>
      </c>
      <c r="I14" s="1" t="e" cm="1">
        <f t="array" ref="I14">Common_Equations.Common_ConvertN2OToCO2e(F14,_xlfn.XLOOKUP("N2O", Table_GWPData[Gas],Table_GWPData[CO2-e factor]))</f>
        <v>#NAME?</v>
      </c>
      <c r="J14" s="10" t="s">
        <v>8</v>
      </c>
    </row>
    <row r="15" spans="1:11" ht="20.100000000000001" customHeight="1" x14ac:dyDescent="0.25">
      <c r="A15" s="5"/>
      <c r="D15" s="1" t="s">
        <v>292</v>
      </c>
      <c r="E15" s="1" t="e">
        <f>VEERG_4_6_1_14__1_LeachingAndRunoffEmissionsFromPoultryManureOnPasture_Result_Method1</f>
        <v>#NAME?</v>
      </c>
      <c r="F15" s="1" t="e">
        <f>VEERG_4_6_1_14__1_LeachingAndRunoffEmissionsFromPoultryManureOnPasture_Result_Method2</f>
        <v>#NAME?</v>
      </c>
      <c r="G15" s="10" t="s">
        <v>13</v>
      </c>
      <c r="H15" s="1" t="e" cm="1">
        <f t="array" ref="H15">Common_Equations.Common_ConvertN2OToCO2e(E15,_xlfn.XLOOKUP("N2O", Table_GWPData[Gas],Table_GWPData[CO2-e factor]))</f>
        <v>#NAME?</v>
      </c>
      <c r="I15" s="1" t="e" cm="1">
        <f t="array" ref="I15">Common_Equations.Common_ConvertN2OToCO2e(F15,_xlfn.XLOOKUP("N2O", Table_GWPData[Gas],Table_GWPData[CO2-e factor]))</f>
        <v>#NAME?</v>
      </c>
      <c r="J15" s="10" t="s">
        <v>8</v>
      </c>
    </row>
    <row r="16" spans="1:11" ht="20.100000000000001" customHeight="1" x14ac:dyDescent="0.25">
      <c r="A16" s="6" t="s">
        <v>2</v>
      </c>
      <c r="D16" s="1" t="s">
        <v>134</v>
      </c>
      <c r="E16" s="1" t="e" cm="1">
        <f t="array" ref="E16">VEERG_8_1_1_1__1_FuelCombustionTransport_Result_CO2</f>
        <v>#NAME?</v>
      </c>
      <c r="F16" s="1" t="e">
        <f>E16</f>
        <v>#NAME?</v>
      </c>
      <c r="G16" s="10" t="s">
        <v>128</v>
      </c>
      <c r="H16" s="1" t="e">
        <f>E17</f>
        <v>#NAME?</v>
      </c>
      <c r="I16" s="1" t="e">
        <f>F17</f>
        <v>#NAME?</v>
      </c>
      <c r="J16" s="10" t="s">
        <v>8</v>
      </c>
    </row>
    <row r="17" spans="1:10" ht="20.100000000000001" customHeight="1" x14ac:dyDescent="0.25">
      <c r="A17" s="5" t="str">
        <f>HYPERLINK("#'Constants - Pasture Beef'!A1", "Constants - Pasture Beef")</f>
        <v>Constants - Pasture Beef</v>
      </c>
      <c r="D17" s="1" t="s">
        <v>136</v>
      </c>
      <c r="E17" s="1" t="e" cm="1">
        <f t="array" ref="E17">VEERG_8_1_1_1__1_FuelCombustionTransport_Result_CH4</f>
        <v>#NAME?</v>
      </c>
      <c r="F17" s="1" t="e">
        <f t="shared" ref="F17:F21" si="0">E17</f>
        <v>#NAME?</v>
      </c>
      <c r="G17" s="10" t="s">
        <v>7</v>
      </c>
      <c r="H17" s="1" t="e" cm="1">
        <f t="array" ref="H17">Common_Equations.Common_ConvertCH4ToCO2e(E18,_xlfn.XLOOKUP("CH4", Table_GWPData[Gas],Table_GWPData[CO2-e factor]))</f>
        <v>#NAME?</v>
      </c>
      <c r="I17" s="1" t="e" cm="1">
        <f t="array" ref="I17">Common_Equations.Common_ConvertCH4ToCO2e(F18,_xlfn.XLOOKUP("CH4", Table_GWPData[Gas],Table_GWPData[CO2-e factor]))</f>
        <v>#NAME?</v>
      </c>
      <c r="J17" s="10" t="s">
        <v>8</v>
      </c>
    </row>
    <row r="18" spans="1:10" ht="20.100000000000001" customHeight="1" x14ac:dyDescent="0.25">
      <c r="A18" s="5" t="str">
        <f>HYPERLINK("#'Constants - Livestock'!A1", "Constants - Livestock")</f>
        <v>Constants - Livestock</v>
      </c>
      <c r="D18" s="1" t="s">
        <v>135</v>
      </c>
      <c r="E18" s="1" t="e" cm="1">
        <f t="array" ref="E18">VEERG_8_1_1_1__1_FuelCombustionTransport_Result_N2O</f>
        <v>#NAME?</v>
      </c>
      <c r="F18" s="1" t="e">
        <f t="shared" si="0"/>
        <v>#NAME?</v>
      </c>
      <c r="G18" s="10" t="s">
        <v>13</v>
      </c>
      <c r="H18" s="1" t="e" cm="1">
        <f t="array" ref="H18">Common_Equations.Common_ConvertN2OToCO2e(E19,_xlfn.XLOOKUP("N2O", Table_GWPData[Gas],Table_GWPData[CO2-e factor]))</f>
        <v>#NAME?</v>
      </c>
      <c r="I18" s="1" t="e" cm="1">
        <f t="array" ref="I18">Common_Equations.Common_ConvertN2OToCO2e(F19,_xlfn.XLOOKUP("N2O", Table_GWPData[Gas],Table_GWPData[CO2-e factor]))</f>
        <v>#NAME?</v>
      </c>
      <c r="J18" s="10" t="s">
        <v>8</v>
      </c>
    </row>
    <row r="19" spans="1:10" ht="20.100000000000001" customHeight="1" x14ac:dyDescent="0.25">
      <c r="A19" s="5" t="str">
        <f>HYPERLINK("#'Constants - Common'!A1", "Constants - Common")</f>
        <v>Constants - Common</v>
      </c>
      <c r="D19" s="1" t="s">
        <v>137</v>
      </c>
      <c r="E19" s="1" t="e" cm="1">
        <f t="array" ref="E19">VEERG_8_2_1_1__1_FuelCombustionStationary_Result_CO2</f>
        <v>#NAME?</v>
      </c>
      <c r="F19" s="1" t="e">
        <f t="shared" si="0"/>
        <v>#NAME?</v>
      </c>
      <c r="G19" s="10" t="s">
        <v>128</v>
      </c>
      <c r="H19" s="1" t="e">
        <f>E20</f>
        <v>#NAME?</v>
      </c>
      <c r="I19" s="1" t="e">
        <f>F20</f>
        <v>#NAME?</v>
      </c>
      <c r="J19" s="10" t="s">
        <v>8</v>
      </c>
    </row>
    <row r="20" spans="1:10" ht="20.100000000000001" customHeight="1" x14ac:dyDescent="0.25">
      <c r="A20" s="5" t="str">
        <f>HYPERLINK("#'Acknowledgements'!A1", "Acknowledgements")</f>
        <v>Acknowledgements</v>
      </c>
      <c r="D20" s="1" t="s">
        <v>138</v>
      </c>
      <c r="E20" s="1" t="e" cm="1">
        <f t="array" ref="E20">VEERG_8_2_1_1__1_FuelCombustionStationary_Result_CH4</f>
        <v>#NAME?</v>
      </c>
      <c r="F20" s="1" t="e">
        <f t="shared" si="0"/>
        <v>#NAME?</v>
      </c>
      <c r="G20" s="10" t="s">
        <v>7</v>
      </c>
      <c r="H20" s="1" t="e" cm="1">
        <f t="array" ref="H20">Common_Equations.Common_ConvertCH4ToCO2e(E21,_xlfn.XLOOKUP("CH4", Table_GWPData[Gas],Table_GWPData[CO2-e factor]))</f>
        <v>#NAME?</v>
      </c>
      <c r="I20" s="1" t="e" cm="1">
        <f t="array" ref="I20">Common_Equations.Common_ConvertCH4ToCO2e(F21,_xlfn.XLOOKUP("CH4", Table_GWPData[Gas],Table_GWPData[CO2-e factor]))</f>
        <v>#NAME?</v>
      </c>
      <c r="J20" s="10" t="s">
        <v>8</v>
      </c>
    </row>
    <row r="21" spans="1:10" ht="20.100000000000001" customHeight="1" x14ac:dyDescent="0.25">
      <c r="D21" s="1" t="s">
        <v>139</v>
      </c>
      <c r="E21" s="1" t="e" cm="1">
        <f t="array" ref="E21">VEERG_8_2_1_1__1_FuelCombustionStationary_Result_N2O</f>
        <v>#NAME?</v>
      </c>
      <c r="F21" s="1" t="e">
        <f t="shared" si="0"/>
        <v>#NAME?</v>
      </c>
      <c r="G21" s="10" t="s">
        <v>13</v>
      </c>
      <c r="H21" s="1" t="e" cm="1">
        <f t="array" ref="H21">Common_Equations.Common_ConvertN2OToCO2e(E22,_xlfn.XLOOKUP("N2O", Table_GWPData[Gas],Table_GWPData[CO2-e factor]))</f>
        <v>#NAME?</v>
      </c>
      <c r="I21" s="1" t="e" cm="1">
        <f t="array" ref="I21">Common_Equations.Common_ConvertN2OToCO2e(F22,_xlfn.XLOOKUP("N2O", Table_GWPData[Gas],Table_GWPData[CO2-e factor]))</f>
        <v>#NAME?</v>
      </c>
      <c r="J21" s="10" t="s">
        <v>8</v>
      </c>
    </row>
    <row r="22" spans="1:10" ht="20.100000000000001" customHeight="1" x14ac:dyDescent="0.25">
      <c r="A22" s="5"/>
      <c r="D22" s="1" t="s">
        <v>267</v>
      </c>
      <c r="E22" s="1" t="e" cm="1">
        <f t="array" ref="E22">VEERG_10_1_1_1__1_EmissionsFromWasteManagement_Scope1_Result_Method1</f>
        <v>#NAME?</v>
      </c>
      <c r="F22" s="1" t="e">
        <f>E22</f>
        <v>#NAME?</v>
      </c>
      <c r="G22" s="10" t="s">
        <v>252</v>
      </c>
      <c r="H22" s="1" t="e">
        <f>E22</f>
        <v>#NAME?</v>
      </c>
      <c r="I22" s="1" t="e">
        <f>F22</f>
        <v>#NAME?</v>
      </c>
      <c r="J22" s="10" t="s">
        <v>8</v>
      </c>
    </row>
    <row r="23" spans="1:10" ht="20.100000000000001" customHeight="1" x14ac:dyDescent="0.25">
      <c r="A23" s="5"/>
      <c r="D23" s="86" t="s">
        <v>5</v>
      </c>
      <c r="E23" s="87"/>
      <c r="F23" s="87"/>
      <c r="G23" s="87"/>
      <c r="H23" s="86" t="e">
        <f>SUM(H9:H22)</f>
        <v>#NAME?</v>
      </c>
      <c r="I23" s="86" t="e">
        <f>SUM(I9:I22)</f>
        <v>#NAME?</v>
      </c>
      <c r="J23" s="96" t="s">
        <v>8</v>
      </c>
    </row>
    <row r="24" spans="1:10" ht="20.100000000000001" customHeight="1" x14ac:dyDescent="0.25">
      <c r="A24" s="5"/>
    </row>
    <row r="25" spans="1:10" ht="20.100000000000001" customHeight="1" x14ac:dyDescent="0.25"/>
    <row r="26" spans="1:10" ht="20.100000000000001" customHeight="1" x14ac:dyDescent="0.25">
      <c r="D26" s="78" t="s">
        <v>237</v>
      </c>
    </row>
    <row r="27" spans="1:10" ht="20.100000000000001" customHeight="1" x14ac:dyDescent="0.25"/>
    <row r="28" spans="1:10" ht="20.100000000000001" customHeight="1" x14ac:dyDescent="0.25">
      <c r="D28" s="12" t="s">
        <v>238</v>
      </c>
      <c r="E28" s="12" t="s">
        <v>9</v>
      </c>
      <c r="F28" s="12" t="s">
        <v>10</v>
      </c>
      <c r="G28" s="12" t="s">
        <v>6</v>
      </c>
      <c r="H28" s="12" t="s">
        <v>11</v>
      </c>
      <c r="I28" s="12" t="s">
        <v>12</v>
      </c>
      <c r="J28" s="12"/>
    </row>
    <row r="29" spans="1:10" ht="20.100000000000001" customHeight="1" x14ac:dyDescent="0.25">
      <c r="D29" s="1" t="e" cm="1">
        <f t="array" ref="D29">"14.1.1-2 Purchased electricity " &amp; IF(X_Cell_Electricity_CalculationMethod="Location-based (simpler)", "(Location-based)", "(Market-based)")</f>
        <v>#NAME?</v>
      </c>
      <c r="E29" s="1" t="e" cm="1">
        <f t="array" ref="E29">IF(X_Cell_Electricity_CalculationMethod="Location-based (simpler)", VEERG_14_1_1__1_LocationBasedScopeElectricityEmissions_Result_Method1, VEERG_14_1_2__1_MarketBasedScopeElectricityEmissionsVariation_Result_Method1)</f>
        <v>#NAME?</v>
      </c>
      <c r="F29" s="1" t="e">
        <f>E29</f>
        <v>#NAME?</v>
      </c>
      <c r="G29" s="10" t="s">
        <v>8</v>
      </c>
      <c r="H29" s="1" t="e">
        <f>E29</f>
        <v>#NAME?</v>
      </c>
      <c r="I29" s="1" t="e">
        <f>F29</f>
        <v>#NAME?</v>
      </c>
      <c r="J29" s="10" t="s">
        <v>8</v>
      </c>
    </row>
    <row r="30" spans="1:10" ht="20.100000000000001" customHeight="1" x14ac:dyDescent="0.25">
      <c r="D30" s="86" t="s">
        <v>239</v>
      </c>
      <c r="E30" s="87"/>
      <c r="F30" s="87"/>
      <c r="G30" s="87"/>
      <c r="H30" s="86" t="e">
        <f>SUM(H29:H29)</f>
        <v>#NAME?</v>
      </c>
      <c r="I30" s="86" t="e">
        <f>SUM(I29:I29)</f>
        <v>#NAME?</v>
      </c>
      <c r="J30" s="96" t="s">
        <v>8</v>
      </c>
    </row>
    <row r="31" spans="1:10" ht="20.100000000000001" customHeight="1" x14ac:dyDescent="0.25"/>
    <row r="32" spans="1:10" ht="20.100000000000001" customHeight="1" x14ac:dyDescent="0.25"/>
    <row r="33" spans="4:10" ht="20.100000000000001" customHeight="1" x14ac:dyDescent="0.25">
      <c r="D33" s="78" t="s">
        <v>240</v>
      </c>
    </row>
    <row r="34" spans="4:10" ht="20.100000000000001" customHeight="1" x14ac:dyDescent="0.25"/>
    <row r="35" spans="4:10" ht="20.100000000000001" customHeight="1" x14ac:dyDescent="0.25">
      <c r="D35" s="12" t="s">
        <v>241</v>
      </c>
      <c r="E35" s="12" t="s">
        <v>9</v>
      </c>
      <c r="F35" s="12" t="s">
        <v>10</v>
      </c>
      <c r="G35" s="12" t="s">
        <v>6</v>
      </c>
      <c r="H35" s="12" t="s">
        <v>11</v>
      </c>
      <c r="I35" s="12" t="s">
        <v>12</v>
      </c>
      <c r="J35" s="12"/>
    </row>
    <row r="36" spans="4:10" ht="20.100000000000001" customHeight="1" x14ac:dyDescent="0.25">
      <c r="D36" s="1" t="s">
        <v>268</v>
      </c>
      <c r="E36" s="1" t="e" cm="1">
        <f t="array" ref="E36">VEERG_15_1_1_1__1_EmissionsFromPurchasedLivestock_Pigs_Result_Method1</f>
        <v>#NAME?</v>
      </c>
      <c r="F36" s="1" t="e" cm="1">
        <f t="array" ref="F36">VEERG_15_1_1_1__1_EmissionsFromPurchasedLivestock_Pigs_Result_Method2</f>
        <v>#NAME?</v>
      </c>
      <c r="G36" s="10" t="s">
        <v>8</v>
      </c>
      <c r="H36" s="1" t="e">
        <f t="shared" ref="H36:I37" si="1">E36</f>
        <v>#NAME?</v>
      </c>
      <c r="I36" s="1" t="e">
        <f t="shared" si="1"/>
        <v>#NAME?</v>
      </c>
      <c r="J36" s="10" t="s">
        <v>8</v>
      </c>
    </row>
    <row r="37" spans="4:10" ht="20.100000000000001" customHeight="1" x14ac:dyDescent="0.25">
      <c r="D37" s="1" t="s">
        <v>269</v>
      </c>
      <c r="E37" s="1" t="e" cm="1">
        <f t="array" ref="E37">VEERG_15_2_1_1__1_EmissionsFromPurchasedFeed_Result_Method1</f>
        <v>#NAME?</v>
      </c>
      <c r="F37" s="1" t="e" cm="1">
        <f t="array" ref="F37">VEERG_15_2_1_1__1_EmissionsFromPurchasedFeed_Result_Method1</f>
        <v>#NAME?</v>
      </c>
      <c r="G37" s="10" t="s">
        <v>8</v>
      </c>
      <c r="H37" s="1" t="e">
        <f t="shared" si="1"/>
        <v>#NAME?</v>
      </c>
      <c r="I37" s="1" t="e">
        <f t="shared" si="1"/>
        <v>#NAME?</v>
      </c>
      <c r="J37" s="10" t="s">
        <v>8</v>
      </c>
    </row>
    <row r="38" spans="4:10" ht="20.100000000000001" customHeight="1" x14ac:dyDescent="0.25">
      <c r="D38" s="1" t="s">
        <v>242</v>
      </c>
      <c r="E38" s="1" t="e" cm="1">
        <f t="array" ref="E38">VEERG_15_7_1_1__1_EmissionsFromPurchasedServices_Result_Method1</f>
        <v>#NAME?</v>
      </c>
      <c r="F38" s="1" t="e" cm="1">
        <f t="array" ref="F38">VEERG_15_7_1_1__1_EmissionsFromPurchasedServices_Result_Method2</f>
        <v>#NAME?</v>
      </c>
      <c r="G38" s="10" t="s">
        <v>8</v>
      </c>
      <c r="H38" s="1" t="e">
        <f t="shared" ref="H38:H46" si="2">E38</f>
        <v>#NAME?</v>
      </c>
      <c r="I38" s="1" t="e">
        <f t="shared" ref="I38:I46" si="3">F38</f>
        <v>#NAME?</v>
      </c>
      <c r="J38" s="10" t="s">
        <v>8</v>
      </c>
    </row>
    <row r="39" spans="4:10" ht="20.100000000000001" customHeight="1" x14ac:dyDescent="0.25">
      <c r="D39" s="1" t="s">
        <v>243</v>
      </c>
      <c r="E39" s="1" t="e" cm="1">
        <f t="array" ref="E39">VEERG_15_10_1_1__1_OtherPurchasedGoodsAndServices_CleaningChemicals_Result_Method1</f>
        <v>#NAME?</v>
      </c>
      <c r="F39" s="1" t="e" cm="1">
        <f t="array" ref="F39">VEERG_15_10_1_1__1_OtherPurchasedGoodsAndServices_CleaningChemicals_Result_Method2</f>
        <v>#NAME?</v>
      </c>
      <c r="G39" s="10" t="s">
        <v>8</v>
      </c>
      <c r="H39" s="1" t="e">
        <f t="shared" si="2"/>
        <v>#NAME?</v>
      </c>
      <c r="I39" s="1" t="e">
        <f t="shared" si="3"/>
        <v>#NAME?</v>
      </c>
      <c r="J39" s="10" t="s">
        <v>8</v>
      </c>
    </row>
    <row r="40" spans="4:10" ht="20.100000000000001" customHeight="1" x14ac:dyDescent="0.25">
      <c r="D40" s="1" t="s">
        <v>270</v>
      </c>
      <c r="E40" s="1" t="e" cm="1">
        <f t="array" ref="E40">VEERG_15_10_1_1__1_OtherPurchasedGoodsAndServices_PharmacyChemicals_Result_Method1</f>
        <v>#NAME?</v>
      </c>
      <c r="F40" s="1" t="e" cm="1">
        <f t="array" ref="F40">VEERG_15_10_1_1__1_OtherPurchasedGoodsAndServices_PharmacyChemicals_Result_Method1</f>
        <v>#NAME?</v>
      </c>
      <c r="G40" s="10" t="s">
        <v>8</v>
      </c>
      <c r="H40" s="1" t="e">
        <f t="shared" si="2"/>
        <v>#NAME?</v>
      </c>
      <c r="I40" s="1" t="e">
        <f t="shared" si="3"/>
        <v>#NAME?</v>
      </c>
      <c r="J40" s="10" t="s">
        <v>8</v>
      </c>
    </row>
    <row r="41" spans="4:10" ht="20.100000000000001" customHeight="1" x14ac:dyDescent="0.25">
      <c r="D41" s="1" t="s">
        <v>244</v>
      </c>
      <c r="E41" s="1" t="e" cm="1">
        <f t="array" ref="E41">VEERG_15_10_1_1__1_OtherPurchasedGoodsAndServices_Uncategorised_Result_Method1</f>
        <v>#NAME?</v>
      </c>
      <c r="F41" s="1" t="e" cm="1">
        <f t="array" ref="F41">VEERG_15_10_1_1__1_OtherPurchasedGoodsAndServices_Uncategorised_Result_Method2</f>
        <v>#NAME?</v>
      </c>
      <c r="G41" s="10" t="s">
        <v>8</v>
      </c>
      <c r="H41" s="1" t="e">
        <f t="shared" si="2"/>
        <v>#NAME?</v>
      </c>
      <c r="I41" s="1" t="e">
        <f t="shared" si="3"/>
        <v>#NAME?</v>
      </c>
      <c r="J41" s="10" t="s">
        <v>8</v>
      </c>
    </row>
    <row r="42" spans="4:10" ht="20.100000000000001" customHeight="1" x14ac:dyDescent="0.25">
      <c r="D42" s="1" t="s">
        <v>245</v>
      </c>
      <c r="E42" s="1" t="e" cm="1">
        <f t="array" ref="E42">VEERG_15_11_1_1__1_TotalUpstreamEmissionsFromFuel_Result</f>
        <v>#NAME?</v>
      </c>
      <c r="F42" s="1" t="e">
        <f>E42</f>
        <v>#NAME?</v>
      </c>
      <c r="G42" s="10" t="s">
        <v>8</v>
      </c>
      <c r="H42" s="1" t="e">
        <f t="shared" si="2"/>
        <v>#NAME?</v>
      </c>
      <c r="I42" s="1" t="e">
        <f t="shared" si="3"/>
        <v>#NAME?</v>
      </c>
      <c r="J42" s="10" t="s">
        <v>8</v>
      </c>
    </row>
    <row r="43" spans="4:10" ht="20.100000000000001" customHeight="1" x14ac:dyDescent="0.25">
      <c r="D43" s="1" t="e" cm="1">
        <f t="array" ref="D43">"15.12.1.1 Purchased electricity " &amp; IF(X_Cell_Electricity_CalculationMethod="Location-based (simpler)", "(Location-based)", "(Market-based)")</f>
        <v>#NAME?</v>
      </c>
      <c r="E43" s="1" t="e" cm="1">
        <f t="array" ref="E43">IF(X_Cell_Electricity_CalculationMethod="Location-based (simpler)", VEERG_15_12_1_1__1_UpstreamPurchasedElectricityLocationBased_Result, VEERG_15_12_1_1__1_UpstreamPurchasedElectricityMarketBased_Result)</f>
        <v>#NAME?</v>
      </c>
      <c r="F43" s="1" t="e">
        <f>E43</f>
        <v>#NAME?</v>
      </c>
      <c r="G43" s="10" t="s">
        <v>8</v>
      </c>
      <c r="H43" s="1" t="e">
        <f t="shared" si="2"/>
        <v>#NAME?</v>
      </c>
      <c r="I43" s="1" t="e">
        <f t="shared" si="3"/>
        <v>#NAME?</v>
      </c>
      <c r="J43" s="10" t="s">
        <v>8</v>
      </c>
    </row>
    <row r="44" spans="4:10" ht="20.100000000000001" customHeight="1" x14ac:dyDescent="0.25">
      <c r="D44" s="1" t="s">
        <v>247</v>
      </c>
      <c r="E44" s="1" t="e" cm="1">
        <f t="array" ref="E44">VEERG_10_1_1_1__1_EmissionsFromWasteManagement_Scope3_Result_Method1</f>
        <v>#NAME?</v>
      </c>
      <c r="F44" s="1" t="e">
        <f>E44</f>
        <v>#NAME?</v>
      </c>
      <c r="G44" s="10" t="s">
        <v>8</v>
      </c>
      <c r="H44" s="1" t="e">
        <f t="shared" si="2"/>
        <v>#NAME?</v>
      </c>
      <c r="I44" s="1" t="e">
        <f t="shared" si="3"/>
        <v>#NAME?</v>
      </c>
      <c r="J44" s="10" t="s">
        <v>8</v>
      </c>
    </row>
    <row r="45" spans="4:10" ht="20.100000000000001" customHeight="1" x14ac:dyDescent="0.25">
      <c r="D45" s="1" t="s">
        <v>246</v>
      </c>
      <c r="E45" s="1" t="e" cm="1">
        <f t="array" ref="E45">VEERG_15_14_1_1__1_EmbeddedEmissionsFromUpstreamFreight_Incoming_Result_Method1</f>
        <v>#NAME?</v>
      </c>
      <c r="F45" s="1" t="e" cm="1">
        <f t="array" ref="F45">VEERG_15_14_1_1__1_EmbeddedEmissionsFromUpstreamFreight_Incoming_Result_Method2</f>
        <v>#NAME?</v>
      </c>
      <c r="G45" s="10" t="s">
        <v>8</v>
      </c>
      <c r="H45" s="1" t="e">
        <f t="shared" si="2"/>
        <v>#NAME?</v>
      </c>
      <c r="I45" s="1" t="e">
        <f t="shared" si="3"/>
        <v>#NAME?</v>
      </c>
      <c r="J45" s="10" t="s">
        <v>8</v>
      </c>
    </row>
    <row r="46" spans="4:10" ht="20.100000000000001" customHeight="1" x14ac:dyDescent="0.25">
      <c r="D46" s="1" t="s">
        <v>248</v>
      </c>
      <c r="E46" s="1" t="e" cm="1">
        <f t="array" ref="E46">VEERG_15_14_1_1__1_EmbeddedEmissionsFromUpstreamFreight_Outgoing_Result_Method1</f>
        <v>#NAME?</v>
      </c>
      <c r="F46" s="1" t="e" cm="1">
        <f t="array" ref="F46">VEERG_15_14_1_1__1_EmbeddedEmissionsFromUpstreamFreight_Outgoing_Result_Method2</f>
        <v>#NAME?</v>
      </c>
      <c r="G46" s="10" t="s">
        <v>8</v>
      </c>
      <c r="H46" s="1" t="e">
        <f t="shared" si="2"/>
        <v>#NAME?</v>
      </c>
      <c r="I46" s="1" t="e">
        <f t="shared" si="3"/>
        <v>#NAME?</v>
      </c>
      <c r="J46" s="10" t="s">
        <v>8</v>
      </c>
    </row>
    <row r="47" spans="4:10" ht="20.100000000000001" customHeight="1" x14ac:dyDescent="0.25">
      <c r="D47" s="86" t="s">
        <v>249</v>
      </c>
      <c r="E47" s="87"/>
      <c r="F47" s="87"/>
      <c r="G47" s="87"/>
      <c r="H47" s="86" t="e">
        <f>SUM(H36:H46)</f>
        <v>#NAME?</v>
      </c>
      <c r="I47" s="86" t="e">
        <f>SUM(I36:I46)</f>
        <v>#NAME?</v>
      </c>
      <c r="J47" s="96" t="s">
        <v>8</v>
      </c>
    </row>
    <row r="48" spans="4:10" ht="20.100000000000001" customHeight="1" x14ac:dyDescent="0.25"/>
    <row r="49" spans="4:7" ht="20.100000000000001" customHeight="1" x14ac:dyDescent="0.25"/>
    <row r="50" spans="4:7" ht="20.100000000000001" customHeight="1" x14ac:dyDescent="0.25">
      <c r="D50" s="78" t="str">
        <f>"Carbon removals from plantings for the activity period " &amp; TEXT(X_Cell_Site_StartDate, "d mmmm yyyy") &amp; " and " &amp; TEXT(X_Cell_Site_EndDate, "d mmmm yyyy")</f>
        <v>Carbon removals from plantings for the activity period 1 January 2025 and 31 December 2025</v>
      </c>
    </row>
    <row r="51" spans="4:7" ht="20.100000000000001" customHeight="1" x14ac:dyDescent="0.25"/>
    <row r="52" spans="4:7" ht="20.100000000000001" customHeight="1" x14ac:dyDescent="0.25">
      <c r="D52" s="86" t="s">
        <v>250</v>
      </c>
      <c r="E52" s="87">
        <f>SUM(Table_Input_Enterprise_PlantingRemovals[Removal allocated to this enterprise])</f>
        <v>0</v>
      </c>
      <c r="F52" s="96" t="s">
        <v>128</v>
      </c>
    </row>
    <row r="53" spans="4:7" ht="20.100000000000001" customHeight="1" x14ac:dyDescent="0.25"/>
    <row r="54" spans="4:7" ht="20.100000000000001" customHeight="1" x14ac:dyDescent="0.25"/>
    <row r="55" spans="4:7" ht="20.100000000000001" customHeight="1" x14ac:dyDescent="0.25">
      <c r="D55" s="78" t="str">
        <f>"Net emissions for the activity period " &amp; TEXT(X_Cell_Site_StartDate, "d mmmm yyyy") &amp; " and " &amp; TEXT(X_Cell_Site_EndDate, "d mmmm yyyy")</f>
        <v>Net emissions for the activity period 1 January 2025 and 31 December 2025</v>
      </c>
    </row>
    <row r="56" spans="4:7" ht="20.100000000000001" customHeight="1" x14ac:dyDescent="0.25"/>
    <row r="57" spans="4:7" ht="20.100000000000001" customHeight="1" x14ac:dyDescent="0.25">
      <c r="D57" s="12"/>
      <c r="E57" s="12" t="s">
        <v>131</v>
      </c>
      <c r="F57" s="12" t="s">
        <v>132</v>
      </c>
      <c r="G57" s="12"/>
    </row>
    <row r="58" spans="4:7" ht="20.100000000000001" customHeight="1" x14ac:dyDescent="0.25">
      <c r="D58" s="95" t="s">
        <v>251</v>
      </c>
      <c r="E58" s="93" t="e">
        <f>Result_Enterprise_Scope1_Method1+Result_Enterprise_Scope2_Method1+Result_Enterprise_Scope3_Method1</f>
        <v>#NAME?</v>
      </c>
      <c r="F58" s="93" t="e">
        <f>Result_Enterprise_Scope1_Method2+Result_Enterprise_Scope2_Method2+Result_Enterprise_Scope3_Method2</f>
        <v>#NAME?</v>
      </c>
      <c r="G58" s="94" t="s">
        <v>252</v>
      </c>
    </row>
    <row r="59" spans="4:7" ht="20.100000000000001" customHeight="1" x14ac:dyDescent="0.25">
      <c r="D59" s="95" t="s">
        <v>253</v>
      </c>
      <c r="E59" s="93" t="e">
        <f>Result_Enterprise_Gross_Method1-Result_Enterprise_Removals</f>
        <v>#NAME?</v>
      </c>
      <c r="F59" s="93" t="e">
        <f>Result_Enterprise_Gross_Method2-Result_Enterprise_Removals</f>
        <v>#NAME?</v>
      </c>
      <c r="G59" s="94" t="s">
        <v>252</v>
      </c>
    </row>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AJ60"/>
  <sheetViews>
    <sheetView showGridLines="0" topLeftCell="A15" workbookViewId="0">
      <selection activeCell="J54" sqref="J54:J59"/>
    </sheetView>
  </sheetViews>
  <sheetFormatPr defaultRowHeight="15.75" x14ac:dyDescent="0.25"/>
  <cols>
    <col min="1" max="1" width="30.7109375" customWidth="1"/>
    <col min="2" max="2" width="4.7109375" customWidth="1"/>
    <col min="3" max="3" width="4.7109375" style="1" customWidth="1"/>
    <col min="4" max="4" width="51.7109375" style="1" customWidth="1"/>
    <col min="5" max="13" width="30.7109375" style="1" customWidth="1"/>
    <col min="14" max="36" width="9.140625" style="1"/>
  </cols>
  <sheetData>
    <row r="1" spans="1:36" s="91" customFormat="1" ht="25.5" x14ac:dyDescent="0.35">
      <c r="A1" s="11" t="e" vm="1">
        <v>#VALUE!</v>
      </c>
      <c r="C1" s="91" t="s">
        <v>256</v>
      </c>
    </row>
    <row r="2" spans="1:36" s="3" customFormat="1" x14ac:dyDescent="0.25"/>
    <row r="3" spans="1:36" x14ac:dyDescent="0.25">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row>
    <row r="32" spans="4:4" ht="23.25" x14ac:dyDescent="0.25">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5" spans="4:10" x14ac:dyDescent="0.25">
      <c r="D35" s="12"/>
      <c r="E35" s="12" t="s">
        <v>131</v>
      </c>
      <c r="F35" s="12" t="s">
        <v>132</v>
      </c>
      <c r="G35" s="12"/>
    </row>
    <row r="36" spans="4:10" x14ac:dyDescent="0.25">
      <c r="D36" s="76" t="s">
        <v>254</v>
      </c>
      <c r="E36" s="1" t="e">
        <f>Result_EmissionsForWholeProductionCycle_Gross_Method1</f>
        <v>#NAME?</v>
      </c>
      <c r="F36" s="1" t="e">
        <f>Result_EmissionsForWholeProductionCycle_Gross_Method2</f>
        <v>#NAME?</v>
      </c>
      <c r="G36" s="10" t="s">
        <v>8</v>
      </c>
    </row>
    <row r="37" spans="4:10" x14ac:dyDescent="0.25">
      <c r="D37" s="76" t="s">
        <v>255</v>
      </c>
      <c r="E37" s="1" t="e">
        <f>Result_EmissionsForWholeProductionCycle_Net_Method1</f>
        <v>#NAME?</v>
      </c>
      <c r="F37" s="1" t="e">
        <f>Result_EmissionsForWholeProductionCycle_Net_Method2</f>
        <v>#NAME?</v>
      </c>
      <c r="G37" s="10" t="s">
        <v>8</v>
      </c>
    </row>
    <row r="40" spans="4:10" ht="23.25" x14ac:dyDescent="0.25">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2" spans="4:10" ht="18.75" x14ac:dyDescent="0.25">
      <c r="D42" s="78" t="s">
        <v>146</v>
      </c>
    </row>
    <row r="43" spans="4:10" x14ac:dyDescent="0.25">
      <c r="D43" s="12" t="s">
        <v>133</v>
      </c>
      <c r="E43" s="12" t="s">
        <v>122</v>
      </c>
      <c r="F43" s="12" t="s">
        <v>118</v>
      </c>
      <c r="G43" s="12" t="s">
        <v>143</v>
      </c>
      <c r="H43" s="12" t="s">
        <v>120</v>
      </c>
      <c r="I43" s="12" t="s">
        <v>121</v>
      </c>
      <c r="J43" s="12" t="s">
        <v>119</v>
      </c>
    </row>
    <row r="44" spans="4:10" x14ac:dyDescent="0.25">
      <c r="D44" s="1" t="s">
        <v>274</v>
      </c>
      <c r="E44" s="1" t="s">
        <v>123</v>
      </c>
      <c r="F44" s="1">
        <f>X_Cell_Enterprise_BirdsSold</f>
        <v>500</v>
      </c>
      <c r="G44" s="1">
        <f>F44/(F44+F46+F48)</f>
        <v>0.97847358121330719</v>
      </c>
      <c r="H44" s="1" t="e">
        <f>($E$36/F44)*G44</f>
        <v>#NAME?</v>
      </c>
      <c r="I44" s="1" t="e">
        <f>($F$36/F44)*G44</f>
        <v>#NAME?</v>
      </c>
      <c r="J44" s="10" t="s">
        <v>293</v>
      </c>
    </row>
    <row r="45" spans="4:10" x14ac:dyDescent="0.25">
      <c r="D45" s="1" t="s">
        <v>275</v>
      </c>
      <c r="E45" s="1" t="s">
        <v>123</v>
      </c>
      <c r="F45" s="1">
        <f>F44</f>
        <v>500</v>
      </c>
      <c r="G45" s="1">
        <f>G44</f>
        <v>0.97847358121330719</v>
      </c>
      <c r="H45" s="1" t="e">
        <f>($E$37/F45)*G45</f>
        <v>#NAME?</v>
      </c>
      <c r="I45" s="1" t="e">
        <f>($F$37/F45)*G45</f>
        <v>#NAME?</v>
      </c>
      <c r="J45" s="10" t="s">
        <v>293</v>
      </c>
    </row>
    <row r="46" spans="4:10" x14ac:dyDescent="0.25">
      <c r="D46" s="1" t="s">
        <v>284</v>
      </c>
      <c r="E46" s="1" t="s">
        <v>123</v>
      </c>
      <c r="F46" s="1">
        <f>X_Cell_Enterprise_EggsProduced</f>
        <v>10</v>
      </c>
      <c r="G46" s="1">
        <f>F46/(F44+F46+F48)</f>
        <v>1.9569471624266144E-2</v>
      </c>
      <c r="H46" s="1" t="e">
        <f>($E$36/F46)*G46</f>
        <v>#NAME?</v>
      </c>
      <c r="I46" s="1" t="e">
        <f>($F$36/F46)*G46</f>
        <v>#NAME?</v>
      </c>
      <c r="J46" s="10" t="s">
        <v>294</v>
      </c>
    </row>
    <row r="47" spans="4:10" x14ac:dyDescent="0.25">
      <c r="D47" s="1" t="s">
        <v>285</v>
      </c>
      <c r="E47" s="1" t="s">
        <v>123</v>
      </c>
      <c r="F47" s="1">
        <f>F46</f>
        <v>10</v>
      </c>
      <c r="G47" s="1">
        <f>G46</f>
        <v>1.9569471624266144E-2</v>
      </c>
      <c r="H47" s="1" t="e">
        <f>($E$37/F47)*G47</f>
        <v>#NAME?</v>
      </c>
      <c r="I47" s="1" t="e">
        <f>($F$37/F47)*G47</f>
        <v>#NAME?</v>
      </c>
      <c r="J47" s="10" t="s">
        <v>294</v>
      </c>
    </row>
    <row r="48" spans="4:10" x14ac:dyDescent="0.25">
      <c r="D48" s="1" t="s">
        <v>276</v>
      </c>
      <c r="E48" s="1" t="s">
        <v>124</v>
      </c>
      <c r="F48" s="1">
        <f>X_Cell_Enterprise_ManureProduced*X_Cell_Enterprise_PercentManureSold</f>
        <v>1</v>
      </c>
      <c r="G48" s="1">
        <f>F48/(F44+F46+F48)</f>
        <v>1.9569471624266144E-3</v>
      </c>
      <c r="H48" s="1" t="e">
        <f>($E$36/F48)*G48</f>
        <v>#NAME?</v>
      </c>
      <c r="I48" s="1" t="e">
        <f>($F$36/F48)*G48</f>
        <v>#NAME?</v>
      </c>
      <c r="J48" s="10" t="s">
        <v>295</v>
      </c>
    </row>
    <row r="49" spans="4:10" x14ac:dyDescent="0.25">
      <c r="D49" s="1" t="s">
        <v>277</v>
      </c>
      <c r="E49" s="1" t="s">
        <v>124</v>
      </c>
      <c r="F49" s="1">
        <f>F48</f>
        <v>1</v>
      </c>
      <c r="G49" s="1">
        <f>G48</f>
        <v>1.9569471624266144E-3</v>
      </c>
      <c r="H49" s="97" t="e">
        <f>($E$37/F49)*G49</f>
        <v>#NAME?</v>
      </c>
      <c r="I49" s="97" t="e">
        <f>($F$37/F49)*G49</f>
        <v>#NAME?</v>
      </c>
      <c r="J49" s="10" t="s">
        <v>295</v>
      </c>
    </row>
    <row r="50" spans="4:10" x14ac:dyDescent="0.25">
      <c r="D50" s="1" t="s">
        <v>278</v>
      </c>
      <c r="E50" s="1" t="s">
        <v>126</v>
      </c>
      <c r="F50" s="1">
        <f>X_Cell_Enterprise_ManureProduced*X_Cell_Enterprise_PercentManureFertiliserOwnFarm</f>
        <v>1</v>
      </c>
      <c r="G50" s="1" t="s">
        <v>125</v>
      </c>
      <c r="H50" s="1" t="s">
        <v>125</v>
      </c>
      <c r="I50" s="1" t="s">
        <v>125</v>
      </c>
      <c r="J50" s="10"/>
    </row>
    <row r="52" spans="4:10" ht="18.75" x14ac:dyDescent="0.25">
      <c r="D52" s="78" t="s">
        <v>147</v>
      </c>
    </row>
    <row r="53" spans="4:10" x14ac:dyDescent="0.25">
      <c r="D53" s="12" t="s">
        <v>133</v>
      </c>
      <c r="E53" s="12" t="s">
        <v>122</v>
      </c>
      <c r="F53" s="12" t="s">
        <v>118</v>
      </c>
      <c r="G53" s="12" t="s">
        <v>142</v>
      </c>
      <c r="H53" s="12" t="s">
        <v>144</v>
      </c>
      <c r="I53" s="12" t="s">
        <v>145</v>
      </c>
      <c r="J53" s="12" t="s">
        <v>119</v>
      </c>
    </row>
    <row r="54" spans="4:10" x14ac:dyDescent="0.25">
      <c r="D54" s="1" t="s">
        <v>274</v>
      </c>
      <c r="E54" s="1" t="s">
        <v>123</v>
      </c>
      <c r="F54" s="1">
        <f>X_Cell_Enterprise_BirdsSold</f>
        <v>500</v>
      </c>
      <c r="G54" s="1">
        <f>X_Cell_Enterprise_PercentIncomeFromBirdsSold</f>
        <v>0.8</v>
      </c>
      <c r="H54" s="1" t="e">
        <f>$E$36*G54/F54</f>
        <v>#NAME?</v>
      </c>
      <c r="I54" s="1" t="e">
        <f>$F$36*G54/F54</f>
        <v>#NAME?</v>
      </c>
      <c r="J54" s="10" t="s">
        <v>293</v>
      </c>
    </row>
    <row r="55" spans="4:10" x14ac:dyDescent="0.25">
      <c r="D55" s="1" t="s">
        <v>275</v>
      </c>
      <c r="E55" s="1" t="s">
        <v>123</v>
      </c>
      <c r="F55" s="1">
        <f>F54</f>
        <v>500</v>
      </c>
      <c r="G55" s="1">
        <f>G54</f>
        <v>0.8</v>
      </c>
      <c r="H55" s="1" t="e">
        <f>$E$37*G55/F55</f>
        <v>#NAME?</v>
      </c>
      <c r="I55" s="1" t="e">
        <f>$F$37*G55/F55</f>
        <v>#NAME?</v>
      </c>
      <c r="J55" s="10" t="s">
        <v>293</v>
      </c>
    </row>
    <row r="56" spans="4:10" x14ac:dyDescent="0.25">
      <c r="D56" s="1" t="s">
        <v>284</v>
      </c>
      <c r="E56" s="1" t="s">
        <v>123</v>
      </c>
      <c r="F56" s="1">
        <f>X_Cell_Enterprise_EggsProduced</f>
        <v>10</v>
      </c>
      <c r="G56" s="1">
        <f>X_Cell_Enterprise_PercentIncomeFromEggsSold</f>
        <v>0.8</v>
      </c>
      <c r="H56" s="1" t="e">
        <f>$E$36*G56/F56</f>
        <v>#NAME?</v>
      </c>
      <c r="I56" s="1" t="e">
        <f>$F$36*G56/F56</f>
        <v>#NAME?</v>
      </c>
      <c r="J56" s="10" t="s">
        <v>294</v>
      </c>
    </row>
    <row r="57" spans="4:10" x14ac:dyDescent="0.25">
      <c r="D57" s="1" t="s">
        <v>285</v>
      </c>
      <c r="E57" s="1" t="s">
        <v>123</v>
      </c>
      <c r="F57" s="1">
        <f>F56</f>
        <v>10</v>
      </c>
      <c r="G57" s="1">
        <f>G56</f>
        <v>0.8</v>
      </c>
      <c r="H57" s="1" t="e">
        <f>$E$37*G57/F57</f>
        <v>#NAME?</v>
      </c>
      <c r="I57" s="1" t="e">
        <f>$F$37*G57/F57</f>
        <v>#NAME?</v>
      </c>
      <c r="J57" s="10" t="s">
        <v>294</v>
      </c>
    </row>
    <row r="58" spans="4:10" x14ac:dyDescent="0.25">
      <c r="D58" s="1" t="s">
        <v>276</v>
      </c>
      <c r="E58" s="1" t="s">
        <v>124</v>
      </c>
      <c r="F58" s="1">
        <f>X_Cell_Enterprise_ManureProduced*X_Cell_Enterprise_PercentManureSold</f>
        <v>1</v>
      </c>
      <c r="G58" s="1">
        <f>X_Cell_Enterprise_PercentIncomeFromManureSold</f>
        <v>0.2</v>
      </c>
      <c r="H58" s="1" t="e">
        <f>$E$36*G58/F58</f>
        <v>#NAME?</v>
      </c>
      <c r="I58" s="1" t="e">
        <f>$F$36*G58/F58</f>
        <v>#NAME?</v>
      </c>
      <c r="J58" s="10" t="s">
        <v>295</v>
      </c>
    </row>
    <row r="59" spans="4:10" x14ac:dyDescent="0.25">
      <c r="D59" s="1" t="s">
        <v>277</v>
      </c>
      <c r="E59" s="1" t="s">
        <v>124</v>
      </c>
      <c r="F59" s="1">
        <f>F58</f>
        <v>1</v>
      </c>
      <c r="G59" s="1">
        <f>G58</f>
        <v>0.2</v>
      </c>
      <c r="H59" s="1" t="e">
        <f>$E$37*G59/F59</f>
        <v>#NAME?</v>
      </c>
      <c r="I59" s="1" t="e">
        <f>$F$37*G59/F59</f>
        <v>#NAME?</v>
      </c>
      <c r="J59" s="10" t="s">
        <v>295</v>
      </c>
    </row>
    <row r="60" spans="4:10" x14ac:dyDescent="0.25">
      <c r="D60" s="1" t="s">
        <v>278</v>
      </c>
      <c r="E60" s="1" t="s">
        <v>126</v>
      </c>
      <c r="F60" s="1">
        <f>X_Cell_Enterprise_ManureProduced*X_Cell_Enterprise_PercentManureFertiliserOwnFarm</f>
        <v>1</v>
      </c>
      <c r="G60" s="1" t="s">
        <v>125</v>
      </c>
      <c r="H60" s="1" t="s">
        <v>125</v>
      </c>
      <c r="I60" s="1" t="s">
        <v>125</v>
      </c>
      <c r="J60"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67" sqref="E67"/>
    </sheetView>
  </sheetViews>
  <sheetFormatPr defaultColWidth="9.140625" defaultRowHeight="15.75" x14ac:dyDescent="0.25"/>
  <cols>
    <col min="1" max="1" width="30.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1" t="e" vm="1">
        <v>#VALUE!</v>
      </c>
      <c r="C1" s="28" t="s">
        <v>87</v>
      </c>
    </row>
    <row r="2" spans="1:24" s="22" customFormat="1" ht="20.100000000000001" customHeight="1" x14ac:dyDescent="0.25">
      <c r="A2" s="3"/>
      <c r="C2" s="3"/>
      <c r="D2" s="3"/>
      <c r="E2" s="3"/>
      <c r="F2" s="3"/>
      <c r="G2" s="3"/>
      <c r="H2" s="3"/>
      <c r="I2" s="3"/>
      <c r="J2" s="3"/>
    </row>
    <row r="3" spans="1:24" ht="20.100000000000001"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5">
      <c r="A4" s="5" t="str">
        <f>HYPERLINK("#'Results'!A1", "Results")</f>
        <v>Results</v>
      </c>
      <c r="C4" s="30"/>
      <c r="D4" s="30"/>
      <c r="E4" s="30"/>
      <c r="F4" s="30"/>
      <c r="G4" s="30"/>
      <c r="H4" s="30"/>
      <c r="I4" s="30"/>
      <c r="J4" s="30"/>
      <c r="K4" s="30"/>
    </row>
    <row r="5" spans="1:24" ht="20.100000000000001" customHeight="1" x14ac:dyDescent="0.25">
      <c r="D5" s="2" t="s">
        <v>96</v>
      </c>
      <c r="N5" s="31"/>
    </row>
    <row r="6" spans="1:24" ht="20.100000000000001" customHeight="1" x14ac:dyDescent="0.25">
      <c r="A6" s="8" t="s">
        <v>1</v>
      </c>
      <c r="N6" s="33"/>
    </row>
    <row r="7" spans="1:24" ht="20.100000000000001" customHeight="1" x14ac:dyDescent="0.25">
      <c r="A7" s="5" t="str">
        <f>HYPERLINK("#'Input - Site'!A1", "Site")</f>
        <v>Site</v>
      </c>
      <c r="D7" s="43" t="s">
        <v>97</v>
      </c>
      <c r="E7" s="44"/>
      <c r="F7" s="44"/>
      <c r="G7" s="45"/>
    </row>
    <row r="8" spans="1:24" ht="20.100000000000001" customHeight="1" x14ac:dyDescent="0.25">
      <c r="A8" s="5" t="str">
        <f>HYPERLINK("#'Input - Pasture Beef'!A1", "Pasture Beef")</f>
        <v>Pasture Beef</v>
      </c>
      <c r="D8" s="46" t="s">
        <v>98</v>
      </c>
      <c r="E8" s="47"/>
      <c r="F8" s="47"/>
      <c r="G8" s="48"/>
    </row>
    <row r="9" spans="1:24" ht="20.100000000000001" customHeight="1" x14ac:dyDescent="0.25">
      <c r="A9" s="5"/>
      <c r="D9" s="1"/>
      <c r="E9" s="49"/>
      <c r="F9" s="17"/>
      <c r="N9" s="35"/>
    </row>
    <row r="10" spans="1:24" ht="20.100000000000001" customHeight="1" x14ac:dyDescent="0.25">
      <c r="A10" s="7" t="s">
        <v>3</v>
      </c>
      <c r="D10" s="1" t="s">
        <v>99</v>
      </c>
      <c r="E10" s="14" t="s">
        <v>100</v>
      </c>
      <c r="F10" s="17" t="s">
        <v>101</v>
      </c>
      <c r="N10" s="35"/>
    </row>
    <row r="11" spans="1:24" ht="20.100000000000001" customHeight="1" x14ac:dyDescent="0.25">
      <c r="A11" s="5" t="str">
        <f>HYPERLINK("#'4.2.1.1-2 Methane'!A1", "4.2.1.1-2 Methane")</f>
        <v>4.2.1.1-2 Methane</v>
      </c>
      <c r="D11" s="1" t="s">
        <v>102</v>
      </c>
      <c r="E11" s="14" t="s">
        <v>103</v>
      </c>
      <c r="F11" s="17" t="s">
        <v>101</v>
      </c>
      <c r="G11" s="1"/>
      <c r="N11" s="40"/>
    </row>
    <row r="12" spans="1:24" ht="20.100000000000001" customHeight="1" x14ac:dyDescent="0.25">
      <c r="A12" s="5" t="str">
        <f>HYPERLINK("#'4.2.1.3-4 Soil direct N2O'!A1", "4.2.1.3-4 Soil direct N2O")</f>
        <v>4.2.1.3-4 Soil direct N2O</v>
      </c>
      <c r="D12" s="1" t="s">
        <v>104</v>
      </c>
      <c r="E12" s="14" t="s">
        <v>105</v>
      </c>
      <c r="F12" s="17" t="s">
        <v>101</v>
      </c>
    </row>
    <row r="13" spans="1:24" ht="20.100000000000001" customHeight="1" x14ac:dyDescent="0.25">
      <c r="A13" s="5" t="str">
        <f>HYPERLINK("#'4.2.1.5-6 Soil Atmos Dep'!A1", "4.2.1.5-6 Soil atm. deposition")</f>
        <v>4.2.1.5-6 Soil atm. deposition</v>
      </c>
      <c r="D13" s="1" t="s">
        <v>37</v>
      </c>
      <c r="E13" s="34">
        <v>307.7</v>
      </c>
      <c r="F13" s="17" t="s">
        <v>106</v>
      </c>
      <c r="N13" s="42"/>
      <c r="O13" s="42"/>
    </row>
    <row r="14" spans="1:24" ht="20.100000000000001" customHeight="1" x14ac:dyDescent="0.25">
      <c r="A14" s="5" t="str">
        <f>HYPERLINK("#'4.2.1.7-8 Soil leach runoff'!A1", "4.2.1.7-8 Soil leach &amp; runoff")</f>
        <v>4.2.1.7-8 Soil leach &amp; runoff</v>
      </c>
      <c r="D14" s="1" t="s">
        <v>107</v>
      </c>
      <c r="E14" s="34">
        <v>18</v>
      </c>
      <c r="F14" s="17" t="s">
        <v>108</v>
      </c>
      <c r="N14" s="42"/>
      <c r="O14" s="42"/>
    </row>
    <row r="15" spans="1:24" ht="20.100000000000001" customHeight="1" x14ac:dyDescent="0.25">
      <c r="A15" s="5"/>
      <c r="D15" s="1" t="s">
        <v>109</v>
      </c>
      <c r="E15" s="34">
        <v>601</v>
      </c>
      <c r="F15" s="17" t="s">
        <v>110</v>
      </c>
      <c r="N15" s="42"/>
      <c r="O15" s="42"/>
    </row>
    <row r="16" spans="1:24" ht="20.100000000000001" customHeight="1" x14ac:dyDescent="0.25">
      <c r="A16" s="6" t="s">
        <v>2</v>
      </c>
      <c r="D16" s="13" t="s">
        <v>111</v>
      </c>
      <c r="E16" s="34">
        <v>1326</v>
      </c>
      <c r="F16" s="17" t="s">
        <v>110</v>
      </c>
      <c r="N16" s="42"/>
      <c r="O16" s="42"/>
    </row>
    <row r="17" spans="1:25" ht="20.100000000000001" customHeight="1" x14ac:dyDescent="0.25">
      <c r="A17" s="5" t="str">
        <f>HYPERLINK("#'Constants - Pasture Beef'!A1", "Constants - Pasture Beef")</f>
        <v>Constants - Pasture Beef</v>
      </c>
      <c r="D17" s="1" t="s">
        <v>112</v>
      </c>
      <c r="E17" s="34">
        <v>7</v>
      </c>
      <c r="F17" s="17" t="s">
        <v>113</v>
      </c>
    </row>
    <row r="18" spans="1:25" ht="20.100000000000001" customHeight="1" x14ac:dyDescent="0.25">
      <c r="A18" s="5" t="str">
        <f>HYPERLINK("#'Constants - Livestock'!A1", "Constants - Livestock")</f>
        <v>Constants - Livestock</v>
      </c>
      <c r="D18" s="13" t="s">
        <v>114</v>
      </c>
      <c r="E18" s="16">
        <f>E15/E16</f>
        <v>0.45324283559577677</v>
      </c>
      <c r="F18" s="17"/>
    </row>
    <row r="19" spans="1:25" ht="20.100000000000001"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0"/>
      <c r="N19" s="31"/>
    </row>
    <row r="20" spans="1:25" ht="20.100000000000001"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100000000000001" customHeight="1" x14ac:dyDescent="0.25">
      <c r="A21"/>
      <c r="D21" s="1" t="s">
        <v>115</v>
      </c>
      <c r="E21" s="16" t="str">
        <f>Common_InputFunctions.Utility_LookupValueInTable($E$20,Table_SourceData_WetDryZones[Climate zone],Table_SourceData_WetDryZones[Wet or Dry Zone])</f>
        <v>Dry climate zone</v>
      </c>
      <c r="F21" s="1"/>
      <c r="G21" s="49"/>
    </row>
    <row r="22" spans="1:25" ht="20.100000000000001"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3"/>
    </row>
    <row r="23" spans="1:25" ht="20.100000000000001" customHeight="1" x14ac:dyDescent="0.25">
      <c r="A23" s="5"/>
    </row>
    <row r="24" spans="1:25" ht="20.100000000000001" customHeight="1" x14ac:dyDescent="0.25">
      <c r="A24" s="5"/>
    </row>
    <row r="25" spans="1:25" ht="20.100000000000001" customHeight="1" x14ac:dyDescent="0.25">
      <c r="A25"/>
      <c r="N25" s="33"/>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51"/>
      <c r="M30" s="51"/>
      <c r="N30" s="51"/>
      <c r="O30" s="51"/>
      <c r="P30" s="51"/>
      <c r="Q30" s="51"/>
      <c r="R30" s="51"/>
      <c r="S30" s="51"/>
      <c r="T30" s="51"/>
      <c r="U30" s="51"/>
      <c r="V30" s="51"/>
      <c r="W30" s="51"/>
      <c r="X30" s="51"/>
      <c r="Y30" s="51"/>
    </row>
    <row r="31" spans="1:25" ht="20.100000000000001" customHeight="1" x14ac:dyDescent="0.25">
      <c r="A31"/>
      <c r="L31" s="52"/>
      <c r="M31" s="52"/>
      <c r="N31" s="52"/>
      <c r="O31" s="52"/>
      <c r="P31" s="52"/>
      <c r="Q31" s="52"/>
      <c r="R31" s="52"/>
      <c r="S31" s="52"/>
      <c r="T31" s="52"/>
      <c r="U31" s="52"/>
      <c r="V31" s="52"/>
      <c r="W31" s="52"/>
      <c r="X31" s="52"/>
      <c r="Y31" s="52"/>
    </row>
    <row r="32" spans="1:25" ht="20.100000000000001" customHeight="1" x14ac:dyDescent="0.25">
      <c r="A32"/>
      <c r="L32" s="52"/>
      <c r="M32" s="52"/>
      <c r="N32" s="52"/>
      <c r="O32" s="52"/>
      <c r="P32" s="52"/>
      <c r="Q32" s="52"/>
      <c r="R32" s="52"/>
      <c r="S32" s="52"/>
      <c r="T32" s="52"/>
      <c r="U32" s="52"/>
      <c r="V32" s="52"/>
      <c r="W32" s="52"/>
      <c r="X32" s="52"/>
      <c r="Y32" s="52"/>
    </row>
    <row r="33" spans="1:25" ht="20.100000000000001" customHeight="1" x14ac:dyDescent="0.25">
      <c r="A33"/>
      <c r="L33" s="52"/>
      <c r="M33" s="52"/>
      <c r="N33" s="52"/>
      <c r="O33" s="52"/>
      <c r="P33" s="52"/>
      <c r="Q33" s="52"/>
      <c r="R33" s="52"/>
      <c r="S33" s="52"/>
      <c r="T33" s="52"/>
      <c r="U33" s="52"/>
      <c r="V33" s="52"/>
      <c r="W33" s="52"/>
      <c r="X33" s="52"/>
      <c r="Y33" s="52"/>
    </row>
    <row r="34" spans="1:25" ht="20.100000000000001" customHeight="1" x14ac:dyDescent="0.25">
      <c r="A34"/>
      <c r="J34" s="54"/>
      <c r="K34" s="55"/>
      <c r="L34" s="52"/>
      <c r="M34" s="52"/>
      <c r="N34" s="52"/>
      <c r="O34" s="52"/>
      <c r="P34" s="52"/>
      <c r="Q34" s="52"/>
      <c r="R34" s="52"/>
      <c r="S34" s="52"/>
      <c r="T34" s="52"/>
      <c r="U34" s="52"/>
      <c r="V34" s="52"/>
      <c r="W34" s="52"/>
      <c r="X34" s="52"/>
      <c r="Y34" s="52"/>
    </row>
    <row r="35" spans="1:25" ht="20.100000000000001" customHeight="1" x14ac:dyDescent="0.25">
      <c r="A35"/>
      <c r="J35" s="54"/>
      <c r="K35" s="55"/>
      <c r="L35" s="52"/>
      <c r="M35" s="52"/>
      <c r="N35" s="52"/>
      <c r="O35" s="52"/>
      <c r="P35" s="52"/>
      <c r="Q35" s="52"/>
      <c r="R35" s="52"/>
      <c r="S35" s="52"/>
      <c r="T35" s="52"/>
      <c r="U35" s="52"/>
      <c r="V35" s="52"/>
      <c r="W35" s="52"/>
      <c r="X35" s="52"/>
      <c r="Y35" s="52"/>
    </row>
    <row r="36" spans="1:25" ht="20.100000000000001" customHeight="1" x14ac:dyDescent="0.25">
      <c r="A36"/>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5">
      <c r="A37"/>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5">
      <c r="A38"/>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5">
      <c r="A39"/>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5">
      <c r="A40"/>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63"/>
      <c r="E47" s="63"/>
      <c r="F47" s="63"/>
      <c r="G47" s="63"/>
      <c r="H47" s="63"/>
    </row>
    <row r="48" spans="1:25" ht="20.100000000000001" customHeight="1" x14ac:dyDescent="0.25">
      <c r="D48" s="64"/>
      <c r="E48" s="64"/>
      <c r="F48" s="65"/>
      <c r="G48" s="65"/>
      <c r="H48" s="64"/>
    </row>
    <row r="49" spans="4:8" ht="20.100000000000001" customHeight="1" x14ac:dyDescent="0.25">
      <c r="D49" s="64"/>
      <c r="E49" s="64"/>
      <c r="F49" s="65"/>
      <c r="G49" s="65"/>
      <c r="H49" s="64"/>
    </row>
    <row r="50" spans="4:8" ht="20.100000000000001" customHeight="1" x14ac:dyDescent="0.25">
      <c r="D50" s="64"/>
      <c r="E50" s="64"/>
      <c r="F50" s="65"/>
      <c r="G50" s="65"/>
      <c r="H50" s="64"/>
    </row>
    <row r="51" spans="4:8" ht="20.100000000000001" customHeight="1" x14ac:dyDescent="0.25">
      <c r="D51" s="66"/>
      <c r="E51" s="67"/>
      <c r="F51" s="67"/>
      <c r="G51" s="67"/>
      <c r="H51" s="68"/>
    </row>
    <row r="52" spans="4:8" ht="20.100000000000001" customHeight="1" x14ac:dyDescent="0.25"/>
    <row r="53" spans="4:8" ht="20.100000000000001" customHeight="1" x14ac:dyDescent="0.25"/>
    <row r="54" spans="4:8" ht="20.100000000000001" customHeight="1" x14ac:dyDescent="0.25">
      <c r="G54" s="69"/>
    </row>
    <row r="55" spans="4:8" ht="20.100000000000001" customHeight="1" x14ac:dyDescent="0.25">
      <c r="D55" s="2"/>
    </row>
    <row r="56" spans="4:8" ht="20.100000000000001" customHeight="1" x14ac:dyDescent="0.25"/>
    <row r="57" spans="4:8" ht="20.100000000000001" customHeight="1" x14ac:dyDescent="0.25">
      <c r="F57" s="70"/>
    </row>
    <row r="58" spans="4:8" ht="20.100000000000001" customHeight="1" x14ac:dyDescent="0.25">
      <c r="E58" s="71"/>
    </row>
    <row r="59" spans="4:8" ht="20.100000000000001" customHeight="1" x14ac:dyDescent="0.25">
      <c r="E59" s="71"/>
    </row>
    <row r="60" spans="4:8" ht="20.100000000000001" customHeight="1" x14ac:dyDescent="0.25">
      <c r="E60" s="72"/>
    </row>
    <row r="61" spans="4:8" ht="20.100000000000001" customHeight="1" x14ac:dyDescent="0.25"/>
    <row r="62" spans="4:8" ht="20.100000000000001" customHeight="1" x14ac:dyDescent="0.25"/>
    <row r="63" spans="4:8" ht="20.100000000000001" customHeight="1" x14ac:dyDescent="0.25"/>
    <row r="64" spans="4:8" ht="20.100000000000001" customHeight="1" x14ac:dyDescent="0.25">
      <c r="D64" s="1"/>
      <c r="E64" s="71"/>
    </row>
    <row r="65" spans="4:9" ht="20.100000000000001" customHeight="1" x14ac:dyDescent="0.25">
      <c r="D65" s="1"/>
      <c r="E65" s="71"/>
    </row>
    <row r="66" spans="4:9" ht="20.100000000000001" customHeight="1" x14ac:dyDescent="0.25">
      <c r="D66" s="1"/>
      <c r="E66" s="72"/>
    </row>
    <row r="67" spans="4:9" ht="20.100000000000001" customHeight="1" x14ac:dyDescent="0.25"/>
    <row r="68" spans="4:9" ht="20.100000000000001" customHeight="1" x14ac:dyDescent="0.25"/>
    <row r="69" spans="4:9" ht="20.100000000000001" customHeight="1" x14ac:dyDescent="0.25">
      <c r="D69" s="73"/>
      <c r="E69" s="73"/>
      <c r="F69" s="73"/>
      <c r="G69" s="73"/>
      <c r="H69" s="73"/>
      <c r="I69" s="73"/>
    </row>
    <row r="70" spans="4:9" ht="20.100000000000001" customHeight="1" x14ac:dyDescent="0.25">
      <c r="D70" s="73"/>
      <c r="E70" s="73"/>
      <c r="F70" s="73"/>
      <c r="G70" s="73"/>
      <c r="H70" s="73"/>
      <c r="I70" s="73"/>
    </row>
    <row r="71" spans="4:9" ht="20.100000000000001" customHeight="1" x14ac:dyDescent="0.25">
      <c r="D71" s="73"/>
      <c r="E71" s="73"/>
      <c r="F71" s="73"/>
      <c r="G71" s="73"/>
      <c r="H71" s="73"/>
      <c r="I71" s="73"/>
    </row>
    <row r="72" spans="4:9" ht="20.100000000000001" customHeight="1" x14ac:dyDescent="0.25">
      <c r="D72" s="73"/>
      <c r="E72" s="73"/>
      <c r="F72" s="73"/>
      <c r="G72" s="73"/>
      <c r="H72" s="73"/>
      <c r="I72" s="7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80"/>
  <sheetViews>
    <sheetView showGridLines="0" topLeftCell="A7" zoomScaleNormal="100" workbookViewId="0">
      <selection activeCell="E23" sqref="E23"/>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25.5" x14ac:dyDescent="0.35">
      <c r="C1" s="28" t="s">
        <v>140</v>
      </c>
      <c r="D1" s="22"/>
      <c r="E1" s="22"/>
      <c r="F1" s="22"/>
      <c r="G1" s="22"/>
      <c r="H1" s="22"/>
      <c r="I1" s="22"/>
      <c r="J1" s="22"/>
    </row>
    <row r="2" spans="3:10" x14ac:dyDescent="0.25">
      <c r="C2" s="3"/>
      <c r="D2" s="3"/>
      <c r="E2" s="3"/>
      <c r="F2" s="3"/>
      <c r="G2" s="3"/>
      <c r="H2" s="3"/>
      <c r="I2" s="3"/>
      <c r="J2" s="3"/>
    </row>
    <row r="3" spans="3:10" ht="20.25" x14ac:dyDescent="0.25">
      <c r="C3" s="29"/>
      <c r="D3" s="29"/>
      <c r="E3" s="29"/>
      <c r="F3" s="29"/>
      <c r="G3" s="29"/>
      <c r="H3" s="29"/>
      <c r="I3" s="29"/>
      <c r="J3" s="29"/>
    </row>
    <row r="5" spans="3:10" ht="23.25" x14ac:dyDescent="0.25">
      <c r="D5" s="2" t="s">
        <v>88</v>
      </c>
      <c r="E5" s="25"/>
      <c r="F5" s="25"/>
      <c r="G5" s="25"/>
    </row>
    <row r="6" spans="3:10" x14ac:dyDescent="0.25">
      <c r="D6" s="32"/>
      <c r="E6" s="25"/>
      <c r="F6" s="25"/>
      <c r="G6" s="25"/>
    </row>
    <row r="7" spans="3:10" x14ac:dyDescent="0.25">
      <c r="D7" s="1" t="s">
        <v>89</v>
      </c>
      <c r="E7" s="34" t="s">
        <v>90</v>
      </c>
      <c r="F7" s="17"/>
      <c r="G7" s="25"/>
    </row>
    <row r="8" spans="3:10" x14ac:dyDescent="0.25">
      <c r="D8" s="13" t="s">
        <v>91</v>
      </c>
      <c r="E8" s="34" t="s">
        <v>92</v>
      </c>
      <c r="F8" s="25"/>
      <c r="G8" s="25"/>
    </row>
    <row r="9" spans="3:10" x14ac:dyDescent="0.25">
      <c r="D9" s="25"/>
      <c r="E9" s="25"/>
      <c r="F9" s="25"/>
      <c r="G9" s="25"/>
    </row>
    <row r="10" spans="3:10" x14ac:dyDescent="0.25">
      <c r="D10" s="36" t="s">
        <v>93</v>
      </c>
      <c r="E10" s="37"/>
      <c r="F10" s="38"/>
      <c r="G10" s="39"/>
    </row>
    <row r="11" spans="3:10" x14ac:dyDescent="0.25">
      <c r="D11" s="25"/>
      <c r="E11" s="25"/>
      <c r="F11" s="25"/>
      <c r="G11" s="25"/>
    </row>
    <row r="12" spans="3:10" x14ac:dyDescent="0.25">
      <c r="D12" s="13" t="s">
        <v>17</v>
      </c>
      <c r="E12" s="15">
        <v>45658</v>
      </c>
      <c r="F12" s="17" t="s">
        <v>94</v>
      </c>
      <c r="G12" s="25"/>
    </row>
    <row r="13" spans="3:10" x14ac:dyDescent="0.25">
      <c r="D13" s="13" t="s">
        <v>18</v>
      </c>
      <c r="E13" s="41">
        <f>DATE(YEAR(E12)+1,MONTH(E12),DAY(E12))-1</f>
        <v>46022</v>
      </c>
      <c r="F13" s="17" t="s">
        <v>95</v>
      </c>
      <c r="G13" s="25"/>
    </row>
    <row r="14" spans="3:10" x14ac:dyDescent="0.25">
      <c r="F14" s="25"/>
      <c r="G14" s="25"/>
    </row>
    <row r="16" spans="3:10" ht="23.25" x14ac:dyDescent="0.25">
      <c r="D16" s="2" t="s">
        <v>19</v>
      </c>
    </row>
    <row r="18" spans="4:6" x14ac:dyDescent="0.25">
      <c r="D18" s="1" t="s">
        <v>14</v>
      </c>
      <c r="E18" s="15">
        <v>45962</v>
      </c>
      <c r="F18" s="17" t="s">
        <v>94</v>
      </c>
    </row>
    <row r="19" spans="4:6" x14ac:dyDescent="0.25">
      <c r="D19" s="1" t="s">
        <v>15</v>
      </c>
      <c r="E19" s="15">
        <v>46112</v>
      </c>
      <c r="F19" s="17" t="s">
        <v>94</v>
      </c>
    </row>
    <row r="20" spans="4:6" x14ac:dyDescent="0.25">
      <c r="D20" s="1" t="s">
        <v>16</v>
      </c>
      <c r="E20" s="16">
        <f>DATEDIF(E18,E19+1,"m")</f>
        <v>5</v>
      </c>
      <c r="F20" s="17" t="s">
        <v>117</v>
      </c>
    </row>
    <row r="22" spans="4:6" x14ac:dyDescent="0.25">
      <c r="D22" s="1" t="s">
        <v>280</v>
      </c>
      <c r="E22" s="77">
        <f>SUM(Table_Input_LivestockSales[Total liveweight sold])*10^-3</f>
        <v>500</v>
      </c>
      <c r="F22" s="17" t="s">
        <v>20</v>
      </c>
    </row>
    <row r="23" spans="4:6" x14ac:dyDescent="0.25">
      <c r="D23" s="1" t="s">
        <v>281</v>
      </c>
      <c r="E23" s="75">
        <v>10</v>
      </c>
      <c r="F23" s="17" t="s">
        <v>20</v>
      </c>
    </row>
    <row r="24" spans="4:6" x14ac:dyDescent="0.25">
      <c r="D24" s="1" t="s">
        <v>266</v>
      </c>
      <c r="E24" s="75">
        <v>10</v>
      </c>
      <c r="F24" s="17" t="s">
        <v>20</v>
      </c>
    </row>
    <row r="25" spans="4:6" x14ac:dyDescent="0.25">
      <c r="D25" s="1" t="s">
        <v>272</v>
      </c>
      <c r="E25" s="19">
        <v>0.1</v>
      </c>
      <c r="F25" s="17" t="s">
        <v>141</v>
      </c>
    </row>
    <row r="26" spans="4:6" x14ac:dyDescent="0.25">
      <c r="D26" s="1" t="s">
        <v>273</v>
      </c>
      <c r="E26" s="19">
        <v>0.1</v>
      </c>
      <c r="F26" s="17" t="s">
        <v>141</v>
      </c>
    </row>
    <row r="28" spans="4:6" x14ac:dyDescent="0.25">
      <c r="D28" s="1" t="s">
        <v>282</v>
      </c>
      <c r="E28" s="19">
        <v>0.8</v>
      </c>
      <c r="F28" s="17" t="s">
        <v>141</v>
      </c>
    </row>
    <row r="29" spans="4:6" x14ac:dyDescent="0.25">
      <c r="D29" s="1" t="s">
        <v>283</v>
      </c>
      <c r="E29" s="19">
        <v>0.8</v>
      </c>
      <c r="F29" s="17" t="s">
        <v>141</v>
      </c>
    </row>
    <row r="30" spans="4:6" x14ac:dyDescent="0.25">
      <c r="D30" s="1" t="s">
        <v>271</v>
      </c>
      <c r="E30" s="19">
        <v>0.2</v>
      </c>
      <c r="F30" s="17" t="s">
        <v>141</v>
      </c>
    </row>
    <row r="33" spans="4:7" ht="23.25" x14ac:dyDescent="0.25">
      <c r="D33" s="2" t="s">
        <v>229</v>
      </c>
    </row>
    <row r="36" spans="4:7" ht="18.75" x14ac:dyDescent="0.25">
      <c r="D36" s="78" t="str">
        <f>"Carbon captured from " &amp; TEXT(X_Cell_Site_StartDate, "d mmmm yyyy") &amp; " to " &amp; TEXT(X_Cell_Site_EndDate, "d, mmmm, yyyy") &amp; " from environmental plantings"</f>
        <v>Carbon captured from 1 January 2025 to 31, December, 2025 from environmental plantings</v>
      </c>
    </row>
    <row r="38" spans="4:7" x14ac:dyDescent="0.25">
      <c r="D38" s="20" t="s">
        <v>230</v>
      </c>
      <c r="E38" s="20" t="s">
        <v>231</v>
      </c>
      <c r="F38" s="20" t="s">
        <v>232</v>
      </c>
      <c r="G38" s="79" t="s">
        <v>233</v>
      </c>
    </row>
    <row r="39" spans="4:7" x14ac:dyDescent="0.25">
      <c r="D39" s="34"/>
      <c r="E39" s="75"/>
      <c r="F39" s="19"/>
      <c r="G39" s="1">
        <f>Table_Input_Enterprise_PlantingRemovals[[#This Row],[Total removed CO2]]*Table_Input_Enterprise_PlantingRemovals[[#This Row],[Percent allocated to this enterprise]]</f>
        <v>0</v>
      </c>
    </row>
    <row r="43" spans="4:7" ht="23.25" x14ac:dyDescent="0.25">
      <c r="D43" s="2" t="s">
        <v>234</v>
      </c>
    </row>
    <row r="45" spans="4:7" ht="18.75" x14ac:dyDescent="0.25">
      <c r="D45" s="78"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7" spans="4:7" x14ac:dyDescent="0.25">
      <c r="D47" s="88" t="str" cm="1">
        <f t="array" ref="D47">"There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8" spans="4:7" x14ac:dyDescent="0.25">
      <c r="D48" s="1" t="s">
        <v>235</v>
      </c>
    </row>
    <row r="50" spans="4:7" x14ac:dyDescent="0.25">
      <c r="D50" s="79" t="s">
        <v>116</v>
      </c>
      <c r="E50" s="79" t="s">
        <v>11</v>
      </c>
      <c r="F50" s="79" t="s">
        <v>12</v>
      </c>
    </row>
    <row r="51" spans="4:7" x14ac:dyDescent="0.25">
      <c r="D51" s="1" t="str" cm="1">
        <f t="array" ref="D51:D52">Common_InputFunctions.getOverlappingReportingPeriods(X_Cell_Enterprise_ProductionTimeframeStart,X_Cell_Enterprise_ProductionTimeframeEnd,X_Cell_Site_StartDate)</f>
        <v>01 Jan 2025 to 31 Dec 2025 (This reporting cycle)</v>
      </c>
      <c r="E51" s="75" t="e">
        <f>IF(ISBLANK($D51), 0, IF(ISNUMBER(SEARCH("reporting", $D51)), Result_Enterprise_Gross_Method1, "Enter value"))</f>
        <v>#NAME?</v>
      </c>
      <c r="F51" s="75" t="e">
        <f>IF(ISBLANK($D51), 0, IF(ISNUMBER(SEARCH("reporting", $D51)), Result_Enterprise_Gross_Method2, "Enter value"))</f>
        <v>#NAME?</v>
      </c>
      <c r="G51" s="10" t="s">
        <v>8</v>
      </c>
    </row>
    <row r="52" spans="4:7" x14ac:dyDescent="0.25">
      <c r="D52" s="1" t="str">
        <v>01 Jan 2026 to 31 Dec 2026</v>
      </c>
      <c r="E52" s="75" t="str">
        <f>IF(ISBLANK($D52), 0, IF(ISNUMBER(SEARCH("reporting", $D52)), Result_Enterprise_Gross_Method1, "Enter value"))</f>
        <v>Enter value</v>
      </c>
      <c r="F52" s="75" t="str">
        <f>IF(ISBLANK($D52), 0, IF(ISNUMBER(SEARCH("reporting", $D52)), Result_Enterprise_Gross_Method2, "Enter value"))</f>
        <v>Enter value</v>
      </c>
      <c r="G52" s="10" t="s">
        <v>8</v>
      </c>
    </row>
    <row r="53" spans="4:7" x14ac:dyDescent="0.25">
      <c r="E53" s="75">
        <f>IF(ISBLANK($D53), 0, IF(ISNUMBER(SEARCH("reporting", $D53)), Result_Enterprise_Gross_Method1, "Enter value"))</f>
        <v>0</v>
      </c>
      <c r="F53" s="75">
        <f>IF(ISBLANK($D53), 0, IF(ISNUMBER(SEARCH("reporting", $D53)), Result_Enterprise_Gross_Method2, "Enter value"))</f>
        <v>0</v>
      </c>
      <c r="G53" s="10" t="s">
        <v>8</v>
      </c>
    </row>
    <row r="54" spans="4:7" x14ac:dyDescent="0.25">
      <c r="E54" s="75">
        <f>IF(ISBLANK($D54), 0, IF(ISNUMBER(SEARCH("reporting", $D54)), Result_Enterprise_Gross_Method1, "Enter value"))</f>
        <v>0</v>
      </c>
      <c r="F54" s="75">
        <f>IF(ISBLANK($D54), 0, IF(ISNUMBER(SEARCH("reporting", $D54)), Result_Enterprise_Gross_Method2, "Enter value"))</f>
        <v>0</v>
      </c>
      <c r="G54" s="10" t="s">
        <v>8</v>
      </c>
    </row>
    <row r="55" spans="4:7" x14ac:dyDescent="0.25">
      <c r="E55" s="75">
        <f>IF(ISBLANK($D55), 0, IF(ISNUMBER(SEARCH("reporting", $D55)), Result_Enterprise_Gross_Method1, "Enter value"))</f>
        <v>0</v>
      </c>
      <c r="F55" s="75">
        <f>IF(ISBLANK($D55), 0, IF(ISNUMBER(SEARCH("reporting", $D55)), Result_Enterprise_Gross_Method2, "Enter value"))</f>
        <v>0</v>
      </c>
      <c r="G55" s="10" t="s">
        <v>8</v>
      </c>
    </row>
    <row r="56" spans="4:7" x14ac:dyDescent="0.25">
      <c r="D56" s="89" t="s">
        <v>129</v>
      </c>
      <c r="E56" s="84" t="e">
        <f>SUM(E51:E55)</f>
        <v>#NAME?</v>
      </c>
      <c r="F56" s="84" t="e">
        <f>SUM(F51:F55)</f>
        <v>#NAME?</v>
      </c>
      <c r="G56" s="90" t="s">
        <v>8</v>
      </c>
    </row>
    <row r="61" spans="4:7" ht="18.75" x14ac:dyDescent="0.25">
      <c r="D61" s="78"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3" spans="4:7" x14ac:dyDescent="0.25">
      <c r="D63" s="79" t="s">
        <v>116</v>
      </c>
      <c r="E63" s="79" t="s">
        <v>127</v>
      </c>
      <c r="F63" s="79"/>
    </row>
    <row r="64" spans="4:7" x14ac:dyDescent="0.25">
      <c r="D64" s="1" t="str" cm="1">
        <f t="array" ref="D64:D65">Common_InputFunctions.getOverlappingReportingPeriods(X_Cell_Enterprise_ProductionTimeframeStart,X_Cell_Enterprise_ProductionTimeframeEnd,X_Cell_Site_StartDate)</f>
        <v>01 Jan 2025 to 31 Dec 2025 (This reporting cycle)</v>
      </c>
      <c r="E64" s="75">
        <f>IF(ISBLANK($D64), 0, IF(ISNUMBER(SEARCH("reporting", $D64)), SUM(Table_Input_Enterprise_PlantingRemovals[Removal allocated to this enterprise]), "Enter value"))</f>
        <v>0</v>
      </c>
      <c r="F64" s="10" t="s">
        <v>128</v>
      </c>
    </row>
    <row r="65" spans="4:7" x14ac:dyDescent="0.25">
      <c r="D65" s="1" t="str">
        <v>01 Jan 2026 to 31 Dec 2026</v>
      </c>
      <c r="E65" s="75" t="str">
        <f>IF(ISBLANK($D65), 0, IF(ISNUMBER(SEARCH("reporting", $D65)), SUM(Table_Input_Enterprise_PlantingRemovals[Removal allocated to this enterprise]), "Enter value"))</f>
        <v>Enter value</v>
      </c>
      <c r="F65" s="10" t="s">
        <v>128</v>
      </c>
    </row>
    <row r="66" spans="4:7" x14ac:dyDescent="0.25">
      <c r="E66" s="75">
        <f>IF(ISBLANK($D66), 0, IF(ISNUMBER(SEARCH("reporting", $D66)), SUM(Table_Input_Enterprise_PlantingRemovals[Removal allocated to this enterprise]), "Enter value"))</f>
        <v>0</v>
      </c>
      <c r="F66" s="10" t="s">
        <v>128</v>
      </c>
    </row>
    <row r="67" spans="4:7" x14ac:dyDescent="0.25">
      <c r="E67" s="75">
        <f>IF(ISBLANK($D67), 0, IF(ISNUMBER(SEARCH("reporting", $D67)), SUM(Table_Input_Enterprise_PlantingRemovals[Removal allocated to this enterprise]), "Enter value"))</f>
        <v>0</v>
      </c>
      <c r="F67" s="10" t="s">
        <v>128</v>
      </c>
    </row>
    <row r="68" spans="4:7" x14ac:dyDescent="0.25">
      <c r="E68" s="75">
        <f>IF(ISBLANK($D68), 0, IF(ISNUMBER(SEARCH("reporting", $D68)), SUM(Table_Input_Enterprise_PlantingRemovals[Removal allocated to this enterprise]), "Enter value"))</f>
        <v>0</v>
      </c>
      <c r="F68" s="10" t="s">
        <v>128</v>
      </c>
    </row>
    <row r="69" spans="4:7" x14ac:dyDescent="0.25">
      <c r="D69" s="89" t="s">
        <v>130</v>
      </c>
      <c r="E69" s="84">
        <f>SUM(E64:E68)</f>
        <v>0</v>
      </c>
      <c r="F69" s="90" t="s">
        <v>128</v>
      </c>
    </row>
    <row r="72" spans="4:7" ht="18.75" x14ac:dyDescent="0.25">
      <c r="D72" s="78"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4" spans="4:7" x14ac:dyDescent="0.25">
      <c r="D74" s="79" t="s">
        <v>116</v>
      </c>
      <c r="E74" s="79" t="s">
        <v>11</v>
      </c>
      <c r="F74" s="79" t="s">
        <v>12</v>
      </c>
    </row>
    <row r="75" spans="4:7" x14ac:dyDescent="0.25">
      <c r="D75" s="1" t="str" cm="1">
        <f t="array" ref="D75:D76">Common_InputFunctions.getOverlappingReportingPeriods(X_Cell_Enterprise_ProductionTimeframeStart,X_Cell_Enterprise_ProductionTimeframeEnd,X_Cell_Site_StartDate)</f>
        <v>01 Jan 2025 to 31 Dec 2025 (This reporting cycle)</v>
      </c>
      <c r="E75" s="75" t="e">
        <f>IF(ISBLANK($D75), 0, IF(ISNUMBER(SEARCH("reporting", $D75)), E51-$E$64, "Enter value"))</f>
        <v>#NAME?</v>
      </c>
      <c r="F75" s="75" t="e">
        <f>IF(ISBLANK($D75), 0, IF(ISNUMBER(SEARCH("reporting", $D75)), F51-$E$64, "Enter value"))</f>
        <v>#NAME?</v>
      </c>
      <c r="G75" s="10" t="s">
        <v>8</v>
      </c>
    </row>
    <row r="76" spans="4:7" x14ac:dyDescent="0.25">
      <c r="D76" s="1" t="str">
        <v>01 Jan 2026 to 31 Dec 2026</v>
      </c>
      <c r="E76" s="75" t="str">
        <f>IF(ISBLANK($D76), 0, IF(ISNUMBER(SEARCH("reporting", $D76)), E52-$E$65, "Enter value"))</f>
        <v>Enter value</v>
      </c>
      <c r="F76" s="75" t="str">
        <f>IF(ISBLANK($D76), 0, IF(ISNUMBER(SEARCH("reporting", $D76)), F52-$E$65, "Enter value"))</f>
        <v>Enter value</v>
      </c>
      <c r="G76" s="10" t="s">
        <v>8</v>
      </c>
    </row>
    <row r="77" spans="4:7" x14ac:dyDescent="0.25">
      <c r="E77" s="75">
        <f>IF(ISBLANK($D77), 0, IF(ISNUMBER(SEARCH("reporting", $D77)), E53-$E$66, "Enter value"))</f>
        <v>0</v>
      </c>
      <c r="F77" s="75">
        <f>IF(ISBLANK($D77), 0, IF(ISNUMBER(SEARCH("reporting", $D77)), F53-$E$66, "Enter value"))</f>
        <v>0</v>
      </c>
      <c r="G77" s="10" t="s">
        <v>8</v>
      </c>
    </row>
    <row r="78" spans="4:7" x14ac:dyDescent="0.25">
      <c r="E78" s="75">
        <f>IF(ISBLANK($D78), 0, IF(ISNUMBER(SEARCH("reporting", $D78)), E54-$E$67, "Enter value"))</f>
        <v>0</v>
      </c>
      <c r="F78" s="75">
        <f>IF(ISBLANK($D78), 0, IF(ISNUMBER(SEARCH("reporting", $D78)), F54-$E$67, "Enter value"))</f>
        <v>0</v>
      </c>
      <c r="G78" s="10" t="s">
        <v>8</v>
      </c>
    </row>
    <row r="79" spans="4:7" x14ac:dyDescent="0.25">
      <c r="E79" s="75">
        <f>IF(ISBLANK($D79), 0, IF(ISNUMBER(SEARCH("reporting", $D79)), E55-$E$68, "Enter value"))</f>
        <v>0</v>
      </c>
      <c r="F79" s="75">
        <f>IF(ISBLANK($D79), 0, IF(ISNUMBER(SEARCH("reporting", $D79)), F55-$E$68, "Enter value"))</f>
        <v>0</v>
      </c>
      <c r="G79" s="10" t="s">
        <v>8</v>
      </c>
    </row>
    <row r="80" spans="4:7" x14ac:dyDescent="0.25">
      <c r="D80" s="89" t="s">
        <v>129</v>
      </c>
      <c r="E80" s="84" t="e">
        <f>SUM(E75:E79)</f>
        <v>#NAME?</v>
      </c>
      <c r="F80" s="84" t="e">
        <f>SUM(F75:F79)</f>
        <v>#NAME?</v>
      </c>
      <c r="G80" s="90"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C1:M45"/>
  <sheetViews>
    <sheetView showGridLines="0" tabSelected="1" workbookViewId="0">
      <selection activeCell="G8" sqref="G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4.7109375" style="1" customWidth="1"/>
  </cols>
  <sheetData>
    <row r="1" spans="3:13" s="11" customFormat="1" ht="30" customHeight="1" x14ac:dyDescent="0.35">
      <c r="C1" s="11" t="s">
        <v>258</v>
      </c>
    </row>
    <row r="2" spans="3:13" s="3" customFormat="1" ht="20.100000000000001" customHeight="1" x14ac:dyDescent="0.25"/>
    <row r="3" spans="3:13" ht="20.100000000000001" customHeight="1" x14ac:dyDescent="0.25">
      <c r="C3" s="29"/>
      <c r="D3" s="29"/>
      <c r="E3" s="29"/>
      <c r="F3" s="29"/>
      <c r="G3" s="29"/>
      <c r="H3" s="29"/>
      <c r="I3" s="29"/>
      <c r="J3" s="29"/>
      <c r="K3" s="29"/>
      <c r="L3" s="29"/>
      <c r="M3" s="29"/>
    </row>
    <row r="4" spans="3:13" ht="20.100000000000001" customHeight="1" x14ac:dyDescent="0.25"/>
    <row r="5" spans="3:13" ht="20.100000000000001" customHeight="1" x14ac:dyDescent="0.25">
      <c r="D5" s="88" t="s">
        <v>259</v>
      </c>
    </row>
    <row r="6" spans="3:13" ht="20.100000000000001" customHeight="1" x14ac:dyDescent="0.25">
      <c r="D6" s="20" t="s">
        <v>260</v>
      </c>
      <c r="E6" s="20" t="s">
        <v>261</v>
      </c>
      <c r="F6" s="20" t="s">
        <v>262</v>
      </c>
      <c r="G6" s="20" t="s">
        <v>263</v>
      </c>
      <c r="H6" s="20" t="s">
        <v>264</v>
      </c>
      <c r="I6" s="20" t="s">
        <v>265</v>
      </c>
    </row>
    <row r="7" spans="3:13" ht="20.100000000000001" customHeight="1" x14ac:dyDescent="0.25">
      <c r="D7" s="34"/>
      <c r="E7" s="14"/>
      <c r="F7" s="98">
        <v>45566</v>
      </c>
      <c r="G7" s="20">
        <v>1000</v>
      </c>
      <c r="H7" s="20">
        <v>500</v>
      </c>
      <c r="I7" s="16">
        <f t="shared" ref="I7:I16" si="0">G7*H7</f>
        <v>500000</v>
      </c>
    </row>
    <row r="8" spans="3:13" ht="20.100000000000001" customHeight="1" x14ac:dyDescent="0.25">
      <c r="D8" s="34"/>
      <c r="E8" s="14"/>
      <c r="F8" s="98"/>
      <c r="G8" s="20"/>
      <c r="H8" s="20"/>
      <c r="I8" s="16">
        <f t="shared" si="0"/>
        <v>0</v>
      </c>
    </row>
    <row r="9" spans="3:13" ht="20.100000000000001" customHeight="1" x14ac:dyDescent="0.25">
      <c r="D9" s="34"/>
      <c r="E9" s="14"/>
      <c r="F9" s="98"/>
      <c r="G9" s="20"/>
      <c r="H9" s="20"/>
      <c r="I9" s="16">
        <f t="shared" si="0"/>
        <v>0</v>
      </c>
    </row>
    <row r="10" spans="3:13" ht="20.100000000000001" customHeight="1" x14ac:dyDescent="0.25">
      <c r="D10" s="34"/>
      <c r="E10" s="14"/>
      <c r="F10" s="98"/>
      <c r="G10" s="20"/>
      <c r="H10" s="20"/>
      <c r="I10" s="16">
        <f t="shared" si="0"/>
        <v>0</v>
      </c>
    </row>
    <row r="11" spans="3:13" ht="20.100000000000001" customHeight="1" x14ac:dyDescent="0.25">
      <c r="D11" s="34"/>
      <c r="E11" s="14"/>
      <c r="F11" s="98"/>
      <c r="G11" s="20"/>
      <c r="H11" s="20"/>
      <c r="I11" s="16">
        <f t="shared" si="0"/>
        <v>0</v>
      </c>
    </row>
    <row r="12" spans="3:13" ht="20.100000000000001" customHeight="1" x14ac:dyDescent="0.25">
      <c r="D12" s="34"/>
      <c r="E12" s="14"/>
      <c r="F12" s="98"/>
      <c r="G12" s="20"/>
      <c r="H12" s="20"/>
      <c r="I12" s="16">
        <f t="shared" si="0"/>
        <v>0</v>
      </c>
    </row>
    <row r="13" spans="3:13" ht="20.100000000000001" customHeight="1" x14ac:dyDescent="0.25">
      <c r="D13" s="34"/>
      <c r="E13" s="14"/>
      <c r="F13" s="98"/>
      <c r="G13" s="20"/>
      <c r="H13" s="20"/>
      <c r="I13" s="16">
        <f t="shared" si="0"/>
        <v>0</v>
      </c>
    </row>
    <row r="14" spans="3:13" ht="20.100000000000001" customHeight="1" x14ac:dyDescent="0.25">
      <c r="D14" s="34"/>
      <c r="E14" s="14"/>
      <c r="F14" s="98"/>
      <c r="G14" s="20"/>
      <c r="H14" s="20"/>
      <c r="I14" s="16">
        <f t="shared" si="0"/>
        <v>0</v>
      </c>
    </row>
    <row r="15" spans="3:13" ht="20.100000000000001" customHeight="1" x14ac:dyDescent="0.25">
      <c r="D15" s="34"/>
      <c r="E15" s="14"/>
      <c r="F15" s="98"/>
      <c r="G15" s="20"/>
      <c r="H15" s="20"/>
      <c r="I15" s="16">
        <f t="shared" si="0"/>
        <v>0</v>
      </c>
    </row>
    <row r="16" spans="3:13" ht="20.100000000000001" customHeight="1" x14ac:dyDescent="0.25">
      <c r="D16" s="34"/>
      <c r="E16" s="14"/>
      <c r="F16" s="98"/>
      <c r="G16" s="20"/>
      <c r="H16" s="20"/>
      <c r="I16" s="16">
        <f t="shared" si="0"/>
        <v>0</v>
      </c>
    </row>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sheetData>
  <dataValidations count="1">
    <dataValidation type="list" allowBlank="1" showInputMessage="1" showErrorMessage="1" sqref="E7:E16" xr:uid="{083DF14A-00E2-452A-8599-A053B3BDEC80}">
      <formula1>INDIRECT("Table_SourceData_Poultry_Liveweights[Livestock class j]")</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C1:M62"/>
  <sheetViews>
    <sheetView showGridLines="0" zoomScaleNormal="100" workbookViewId="0">
      <selection activeCell="E59" sqref="E59"/>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25.5" x14ac:dyDescent="0.35">
      <c r="C1" s="11" t="s">
        <v>148</v>
      </c>
    </row>
    <row r="2" spans="3:13" s="3" customFormat="1" x14ac:dyDescent="0.25"/>
    <row r="3" spans="3:13" ht="20.25" x14ac:dyDescent="0.25">
      <c r="C3" s="29"/>
      <c r="D3" s="29"/>
      <c r="E3" s="29"/>
      <c r="F3" s="29"/>
      <c r="G3" s="29"/>
      <c r="H3" s="29"/>
      <c r="I3" s="29"/>
      <c r="J3" s="29"/>
      <c r="K3" s="29"/>
      <c r="L3" s="29"/>
      <c r="M3" s="29"/>
    </row>
    <row r="5" spans="3:13" ht="23.25" x14ac:dyDescent="0.25">
      <c r="D5" s="2" t="s">
        <v>220</v>
      </c>
    </row>
    <row r="7" spans="3:13" x14ac:dyDescent="0.25">
      <c r="D7" s="79" t="s">
        <v>221</v>
      </c>
      <c r="E7" s="79" t="s">
        <v>222</v>
      </c>
      <c r="F7" s="79" t="s">
        <v>223</v>
      </c>
      <c r="G7" s="79" t="s">
        <v>224</v>
      </c>
      <c r="H7" s="79" t="s">
        <v>149</v>
      </c>
      <c r="I7" s="79" t="s">
        <v>150</v>
      </c>
      <c r="J7" s="79" t="s">
        <v>151</v>
      </c>
    </row>
    <row r="8" spans="3:13" x14ac:dyDescent="0.25">
      <c r="D8" s="1" t="str">
        <f>"Birds sold"</f>
        <v>Birds sold</v>
      </c>
      <c r="E8" s="14" t="s">
        <v>200</v>
      </c>
      <c r="F8" s="14" t="s">
        <v>205</v>
      </c>
      <c r="G8" s="14" t="s">
        <v>210</v>
      </c>
      <c r="H8" s="83"/>
      <c r="I8" s="83"/>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c r="D9" s="1" t="str">
        <f>"Eggs sold"</f>
        <v>Eggs sold</v>
      </c>
      <c r="E9" s="14"/>
      <c r="F9" s="14"/>
      <c r="G9" s="14"/>
      <c r="H9" s="83"/>
      <c r="I9" s="83"/>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3:13" x14ac:dyDescent="0.25">
      <c r="D10" s="1" t="str">
        <f>"Manure produced"</f>
        <v>Manure produced</v>
      </c>
      <c r="E10" s="14" t="s">
        <v>201</v>
      </c>
      <c r="F10" s="14" t="s">
        <v>206</v>
      </c>
      <c r="G10" s="14" t="s">
        <v>211</v>
      </c>
      <c r="H10" s="83"/>
      <c r="I10" s="83"/>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1" spans="3:13" x14ac:dyDescent="0.25">
      <c r="D11" s="1" t="str">
        <f>"Manure sold"</f>
        <v>Manure sold</v>
      </c>
      <c r="E11" s="14" t="s">
        <v>202</v>
      </c>
      <c r="F11" s="14" t="s">
        <v>207</v>
      </c>
      <c r="G11" s="14" t="s">
        <v>211</v>
      </c>
      <c r="H11" s="83"/>
      <c r="I11" s="83"/>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2" spans="3:13" x14ac:dyDescent="0.25">
      <c r="D12" s="1" t="str">
        <f>"Percent income from birds sold"</f>
        <v>Percent income from birds sold</v>
      </c>
      <c r="E12" s="14" t="s">
        <v>204</v>
      </c>
      <c r="F12" s="14" t="s">
        <v>209</v>
      </c>
      <c r="G12" s="14" t="s">
        <v>214</v>
      </c>
      <c r="H12" s="83"/>
      <c r="I12" s="83"/>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3:13" x14ac:dyDescent="0.25">
      <c r="D13" s="1" t="str">
        <f>"Percent income from eggs sold"</f>
        <v>Percent income from eggs sold</v>
      </c>
      <c r="E13" s="14"/>
      <c r="F13" s="14"/>
      <c r="G13" s="14"/>
      <c r="H13" s="83"/>
      <c r="I13" s="83"/>
      <c r="J13"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3:13" x14ac:dyDescent="0.25">
      <c r="D14" s="1" t="str">
        <f>"Percent income from manure sold"</f>
        <v>Percent income from manure sold</v>
      </c>
      <c r="E14" s="14" t="s">
        <v>200</v>
      </c>
      <c r="F14" s="14" t="s">
        <v>206</v>
      </c>
      <c r="G14" s="14" t="s">
        <v>210</v>
      </c>
      <c r="H14" s="83"/>
      <c r="I14" s="83"/>
      <c r="J14"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6" spans="3:13" x14ac:dyDescent="0.25">
      <c r="J16" s="84">
        <f>SUM(Table_Input_DataQuality_Enterprise[Score])</f>
        <v>54</v>
      </c>
    </row>
    <row r="17" spans="4:10" ht="23.25" x14ac:dyDescent="0.25">
      <c r="D17" s="2" t="s">
        <v>225</v>
      </c>
    </row>
    <row r="19" spans="4:10" x14ac:dyDescent="0.25">
      <c r="D19" s="79" t="s">
        <v>221</v>
      </c>
      <c r="E19" s="79" t="s">
        <v>222</v>
      </c>
      <c r="F19" s="79" t="s">
        <v>223</v>
      </c>
      <c r="G19" s="79" t="s">
        <v>224</v>
      </c>
      <c r="H19" s="79" t="s">
        <v>149</v>
      </c>
      <c r="I19" s="79" t="s">
        <v>150</v>
      </c>
      <c r="J19" s="79" t="s">
        <v>151</v>
      </c>
    </row>
    <row r="20" spans="4:10" x14ac:dyDescent="0.25">
      <c r="D20" s="1" t="str">
        <f>"Leaching zone"</f>
        <v>Leaching zone</v>
      </c>
      <c r="E20" s="14" t="s">
        <v>201</v>
      </c>
      <c r="F20" s="14" t="s">
        <v>207</v>
      </c>
      <c r="G20" s="14" t="s">
        <v>210</v>
      </c>
      <c r="H20" s="83"/>
      <c r="I20" s="83"/>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c r="D21" s="1" t="str">
        <f>"Elevation"</f>
        <v>Elevation</v>
      </c>
      <c r="E21" s="14" t="s">
        <v>201</v>
      </c>
      <c r="F21" s="14" t="s">
        <v>207</v>
      </c>
      <c r="G21" s="14" t="s">
        <v>210</v>
      </c>
      <c r="H21" s="83"/>
      <c r="I21" s="83"/>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4:10" x14ac:dyDescent="0.25">
      <c r="D22" s="1" t="str">
        <f>"Average temperature for reporting period"</f>
        <v>Average temperature for reporting period</v>
      </c>
      <c r="E22" s="14" t="s">
        <v>201</v>
      </c>
      <c r="F22" s="14" t="s">
        <v>207</v>
      </c>
      <c r="G22" s="14" t="s">
        <v>210</v>
      </c>
      <c r="H22" s="83"/>
      <c r="I22" s="83"/>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4:10" x14ac:dyDescent="0.25">
      <c r="D23" s="1" t="str">
        <f>"Total rainfall for reporting period"</f>
        <v>Total rainfall for reporting period</v>
      </c>
      <c r="E23" s="14" t="s">
        <v>200</v>
      </c>
      <c r="F23" s="14" t="s">
        <v>206</v>
      </c>
      <c r="G23" s="14" t="s">
        <v>210</v>
      </c>
      <c r="H23" s="83"/>
      <c r="I23" s="83"/>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4" spans="4:10" x14ac:dyDescent="0.25">
      <c r="D24" s="1" t="str">
        <f>"Potential evapotranspiration for reporting period"</f>
        <v>Potential evapotranspiration for reporting period</v>
      </c>
      <c r="E24" s="14" t="s">
        <v>201</v>
      </c>
      <c r="F24" s="14" t="s">
        <v>207</v>
      </c>
      <c r="G24" s="14" t="s">
        <v>210</v>
      </c>
      <c r="H24" s="83"/>
      <c r="I24" s="83"/>
      <c r="J24"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5" spans="4:10" x14ac:dyDescent="0.25">
      <c r="D25" s="1" t="str">
        <f>"Number of frost days for reporting period"</f>
        <v>Number of frost days for reporting period</v>
      </c>
      <c r="E25" s="85" t="s">
        <v>202</v>
      </c>
      <c r="F25" s="85" t="s">
        <v>207</v>
      </c>
      <c r="G25" s="85" t="s">
        <v>210</v>
      </c>
      <c r="H25" s="83"/>
      <c r="I25" s="83"/>
      <c r="J25"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7" spans="4:10" x14ac:dyDescent="0.25">
      <c r="J27" s="84">
        <f>SUM(Table_Input_DataQuality_Site[Score])</f>
        <v>73</v>
      </c>
    </row>
    <row r="28" spans="4:10" ht="23.25" x14ac:dyDescent="0.25">
      <c r="D28" s="2" t="s">
        <v>279</v>
      </c>
    </row>
    <row r="30" spans="4:10" x14ac:dyDescent="0.25">
      <c r="D30" s="79" t="s">
        <v>221</v>
      </c>
      <c r="E30" s="79" t="s">
        <v>222</v>
      </c>
      <c r="F30" s="79" t="s">
        <v>223</v>
      </c>
      <c r="G30" s="79" t="s">
        <v>224</v>
      </c>
      <c r="H30" s="79" t="s">
        <v>149</v>
      </c>
      <c r="I30" s="79" t="s">
        <v>150</v>
      </c>
      <c r="J30" s="79" t="s">
        <v>151</v>
      </c>
    </row>
    <row r="31" spans="4:10" x14ac:dyDescent="0.25">
      <c r="D31" s="1" t="str">
        <f>"Head count"</f>
        <v>Head count</v>
      </c>
      <c r="E31" s="14" t="s">
        <v>200</v>
      </c>
      <c r="F31" s="14" t="s">
        <v>206</v>
      </c>
      <c r="G31" s="14" t="s">
        <v>210</v>
      </c>
      <c r="H31" s="83"/>
      <c r="I31" s="83"/>
      <c r="J3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4:10" x14ac:dyDescent="0.25">
      <c r="D32" s="1" t="str">
        <f>"Duration of stay"</f>
        <v>Duration of stay</v>
      </c>
      <c r="E32" s="14"/>
      <c r="F32" s="14"/>
      <c r="G32" s="14"/>
      <c r="H32" s="83"/>
      <c r="I32" s="83"/>
      <c r="J32"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3" spans="4:10" x14ac:dyDescent="0.25">
      <c r="D33" s="1" t="str">
        <f>"Diet - Dry matter intake"</f>
        <v>Diet - Dry matter intake</v>
      </c>
      <c r="E33" s="14" t="s">
        <v>200</v>
      </c>
      <c r="F33" s="14" t="s">
        <v>206</v>
      </c>
      <c r="G33" s="14" t="s">
        <v>210</v>
      </c>
      <c r="H33" s="83"/>
      <c r="I33" s="83"/>
      <c r="J33"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4:10" x14ac:dyDescent="0.25">
      <c r="D34" s="1" t="str">
        <f>"Diet - Dry matter digestibility"</f>
        <v>Diet - Dry matter digestibility</v>
      </c>
      <c r="E34" s="14" t="s">
        <v>200</v>
      </c>
      <c r="F34" s="14" t="s">
        <v>206</v>
      </c>
      <c r="G34" s="14" t="s">
        <v>210</v>
      </c>
      <c r="H34" s="83"/>
      <c r="I34" s="83"/>
      <c r="J34"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5" spans="4:10" x14ac:dyDescent="0.25">
      <c r="D35" s="1" t="str">
        <f>"Diet - Crude protein"</f>
        <v>Diet - Crude protein</v>
      </c>
      <c r="E35" s="14"/>
      <c r="F35" s="14"/>
      <c r="G35" s="14"/>
      <c r="H35" s="83"/>
      <c r="I35" s="83"/>
      <c r="J35"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6" spans="4:10" x14ac:dyDescent="0.25">
      <c r="D36" s="1" t="str">
        <f>"Production and manure management systems"</f>
        <v>Production and manure management systems</v>
      </c>
      <c r="E36" s="14" t="s">
        <v>200</v>
      </c>
      <c r="F36" s="14" t="s">
        <v>206</v>
      </c>
      <c r="G36" s="14" t="s">
        <v>210</v>
      </c>
      <c r="H36" s="83"/>
      <c r="I36" s="83"/>
      <c r="J36"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7" spans="4:10" x14ac:dyDescent="0.25">
      <c r="D37" s="1" t="str">
        <f>"Bird sales"</f>
        <v>Bird sales</v>
      </c>
      <c r="E37" s="14"/>
      <c r="F37" s="14"/>
      <c r="G37" s="14"/>
      <c r="H37" s="83"/>
      <c r="I37" s="83"/>
      <c r="J37"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8" spans="4:10" x14ac:dyDescent="0.25">
      <c r="D38" s="1" t="str">
        <f>"Bird purchases"</f>
        <v>Bird purchases</v>
      </c>
      <c r="E38" s="14"/>
      <c r="F38" s="14"/>
      <c r="G38" s="14"/>
      <c r="H38" s="83"/>
      <c r="I38" s="83"/>
      <c r="J38"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0" spans="4:10" x14ac:dyDescent="0.25">
      <c r="J40" s="84">
        <f>SUM(Table_Input_DataQuality_PastureManagement[Score])</f>
        <v>56</v>
      </c>
    </row>
    <row r="42" spans="4:10" ht="23.25" x14ac:dyDescent="0.25">
      <c r="D42" s="2" t="s">
        <v>226</v>
      </c>
    </row>
    <row r="44" spans="4:10" x14ac:dyDescent="0.25">
      <c r="D44" s="79" t="s">
        <v>221</v>
      </c>
      <c r="E44" s="79" t="s">
        <v>222</v>
      </c>
      <c r="F44" s="79" t="s">
        <v>223</v>
      </c>
      <c r="G44" s="79" t="s">
        <v>224</v>
      </c>
      <c r="H44" s="79" t="s">
        <v>149</v>
      </c>
      <c r="I44" s="79" t="s">
        <v>150</v>
      </c>
      <c r="J44" s="79" t="s">
        <v>151</v>
      </c>
    </row>
    <row r="45" spans="4:10" x14ac:dyDescent="0.25">
      <c r="D45" s="1" t="str">
        <f>"Fuel purchases"</f>
        <v>Fuel purchases</v>
      </c>
      <c r="E45" s="14" t="s">
        <v>200</v>
      </c>
      <c r="F45" s="14" t="s">
        <v>206</v>
      </c>
      <c r="G45" s="14" t="s">
        <v>211</v>
      </c>
      <c r="H45" s="83"/>
      <c r="I45" s="83"/>
      <c r="J45"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6" spans="4:10" x14ac:dyDescent="0.25">
      <c r="D46" s="1" t="str">
        <f>"Fuel consumption"</f>
        <v>Fuel consumption</v>
      </c>
      <c r="E46" s="14" t="s">
        <v>200</v>
      </c>
      <c r="F46" s="14" t="s">
        <v>206</v>
      </c>
      <c r="G46" s="14" t="s">
        <v>210</v>
      </c>
      <c r="H46" s="83"/>
      <c r="I46" s="83"/>
      <c r="J46"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7" spans="4:10" x14ac:dyDescent="0.25">
      <c r="D47" s="1" t="str">
        <f>"Electricity consumption"</f>
        <v>Electricity consumption</v>
      </c>
      <c r="E47" s="14" t="s">
        <v>200</v>
      </c>
      <c r="F47" s="14" t="s">
        <v>206</v>
      </c>
      <c r="G47" s="14" t="s">
        <v>210</v>
      </c>
      <c r="H47" s="83"/>
      <c r="I47" s="83"/>
      <c r="J47"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8" spans="4:10" x14ac:dyDescent="0.25">
      <c r="D48" s="1" t="str">
        <f>"Electricity generation"</f>
        <v>Electricity generation</v>
      </c>
      <c r="E48" s="14" t="s">
        <v>200</v>
      </c>
      <c r="F48" s="14" t="s">
        <v>206</v>
      </c>
      <c r="G48" s="14" t="s">
        <v>210</v>
      </c>
      <c r="H48" s="83"/>
      <c r="I48" s="83"/>
      <c r="J48"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4:10" x14ac:dyDescent="0.25">
      <c r="J50" s="84">
        <f>SUM(Table_Input_DataQuality_FuelElectricity[Score])</f>
        <v>55</v>
      </c>
    </row>
    <row r="52" spans="4:10" ht="23.25" x14ac:dyDescent="0.25">
      <c r="D52" s="2" t="s">
        <v>227</v>
      </c>
    </row>
    <row r="54" spans="4:10" x14ac:dyDescent="0.25">
      <c r="D54" s="79" t="s">
        <v>221</v>
      </c>
      <c r="E54" s="79" t="s">
        <v>222</v>
      </c>
      <c r="F54" s="79" t="s">
        <v>223</v>
      </c>
      <c r="G54" s="79" t="s">
        <v>224</v>
      </c>
      <c r="H54" s="79" t="s">
        <v>149</v>
      </c>
      <c r="I54" s="79" t="s">
        <v>150</v>
      </c>
      <c r="J54" s="79" t="s">
        <v>151</v>
      </c>
    </row>
    <row r="55" spans="4:10" x14ac:dyDescent="0.25">
      <c r="D55" s="1" t="str">
        <f>"Farm input purchases"</f>
        <v>Farm input purchases</v>
      </c>
      <c r="E55" s="14" t="s">
        <v>200</v>
      </c>
      <c r="F55" s="14" t="s">
        <v>206</v>
      </c>
      <c r="G55" s="14" t="s">
        <v>211</v>
      </c>
      <c r="H55" s="83"/>
      <c r="I55" s="83"/>
      <c r="J55"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6" spans="4:10" x14ac:dyDescent="0.25">
      <c r="D56" s="1" t="str">
        <f>"Inbound freight use"</f>
        <v>Inbound freight use</v>
      </c>
      <c r="E56" s="14" t="s">
        <v>200</v>
      </c>
      <c r="F56" s="14" t="s">
        <v>206</v>
      </c>
      <c r="G56" s="14" t="s">
        <v>210</v>
      </c>
      <c r="H56" s="83"/>
      <c r="I56" s="83"/>
      <c r="J56"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7" spans="4:10" x14ac:dyDescent="0.25">
      <c r="D57" s="1" t="str">
        <f>"Outbound freight use"</f>
        <v>Outbound freight use</v>
      </c>
      <c r="E57" s="14" t="s">
        <v>200</v>
      </c>
      <c r="F57" s="14" t="s">
        <v>206</v>
      </c>
      <c r="G57" s="14" t="s">
        <v>210</v>
      </c>
      <c r="H57" s="83"/>
      <c r="I57" s="83"/>
      <c r="J57"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8" spans="4:10" x14ac:dyDescent="0.25">
      <c r="D58" s="1" t="str">
        <f>"Use of contractors and service providers"</f>
        <v>Use of contractors and service providers</v>
      </c>
      <c r="E58" s="14"/>
      <c r="F58" s="14"/>
      <c r="G58" s="14"/>
      <c r="H58" s="83"/>
      <c r="I58" s="83"/>
      <c r="J58"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9" spans="4:10" x14ac:dyDescent="0.25">
      <c r="D59" s="1" t="str">
        <f>"Solid waste generation and treatment"</f>
        <v>Solid waste generation and treatment</v>
      </c>
      <c r="E59" s="14" t="s">
        <v>200</v>
      </c>
      <c r="F59" s="14" t="s">
        <v>206</v>
      </c>
      <c r="G59" s="14" t="s">
        <v>210</v>
      </c>
      <c r="H59" s="83"/>
      <c r="I59" s="83"/>
      <c r="J59"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4:10" x14ac:dyDescent="0.25">
      <c r="J61" s="84">
        <f>SUM(Table_Input_DataQuality_FarmInputsFreightWaste[Score])</f>
        <v>55</v>
      </c>
    </row>
    <row r="62" spans="4:10" ht="20.25" x14ac:dyDescent="0.25">
      <c r="D62" s="86" t="s">
        <v>228</v>
      </c>
      <c r="E62" s="87" t="str">
        <f>(J16+J27+J40+J50+J61)&amp;" out of "&amp;((COUNT(Table_Input_DataQuality_Enterprise[Score])*15)+(COUNT(Table_Input_DataQuality_Site[Score])*15)+(COUNT(Table_Input_DataQuality_PastureManagement[Score])*15)+(COUNT(Table_Input_DataQuality_FuelElectricity[Score])*15)+(COUNT(Table_Input_DataQuality_FarmInputsFreightWaste[Score])*15))</f>
        <v>293 out of 450</v>
      </c>
    </row>
  </sheetData>
  <dataValidations count="3">
    <dataValidation type="list" allowBlank="1" showInputMessage="1" showErrorMessage="1" sqref="G20:G25 G45:G48 G55:G59 G31:G38 G8:G14" xr:uid="{97D978E2-EFFF-4D26-AA9B-97907606C063}">
      <formula1>INDIRECT("Table_SourceData_DataQuality_SampleSize[User friendly description]")</formula1>
    </dataValidation>
    <dataValidation type="list" allowBlank="1" showInputMessage="1" showErrorMessage="1" sqref="E20:E25 E45:E48 E55:E59 E31:E38 E8:E14" xr:uid="{6365A925-6C5F-4576-82C6-82C3A3309F18}">
      <formula1>INDIRECT("Table_SourceData_DataQuality_TemporalRepresentativeness[User friendly description]")</formula1>
    </dataValidation>
    <dataValidation type="list" allowBlank="1" showInputMessage="1" showErrorMessage="1" sqref="F20:F25 F45:F48 F55:F59 F31:F38 F8:F14"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topLeftCell="A265" zoomScaleNormal="100" workbookViewId="0">
      <selection activeCell="D292" sqref="D292:D297"/>
    </sheetView>
  </sheetViews>
  <sheetFormatPr defaultColWidth="9.140625" defaultRowHeight="15.75" x14ac:dyDescent="0.25"/>
  <cols>
    <col min="1" max="1" width="30.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21" t="e" vm="1">
        <v>#VALUE!</v>
      </c>
      <c r="C1" s="21" t="s">
        <v>21</v>
      </c>
    </row>
    <row r="2" spans="1:65" s="3" customFormat="1" ht="20.100000000000001" customHeight="1" x14ac:dyDescent="0.25">
      <c r="A2"/>
    </row>
    <row r="3" spans="1:6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5">
      <c r="A4"/>
      <c r="BM4" s="25"/>
    </row>
    <row r="5" spans="1:65" ht="20.100000000000001" customHeight="1" x14ac:dyDescent="0.25">
      <c r="A5"/>
      <c r="D5" s="2" t="str" cm="1">
        <f t="array" ref="D5">Common_SourceData.Common_SourceData_AustralianStatesTerritories_Title()</f>
        <v>Australian states and territories</v>
      </c>
      <c r="BM5" s="25"/>
    </row>
    <row r="6" spans="1:65" ht="20.100000000000001" customHeight="1" x14ac:dyDescent="0.25">
      <c r="A6" s="81" t="s">
        <v>2</v>
      </c>
      <c r="D6" s="20" t="s">
        <v>22</v>
      </c>
      <c r="E6" s="20" t="s">
        <v>23</v>
      </c>
      <c r="F6" s="20" t="s">
        <v>24</v>
      </c>
    </row>
    <row r="7" spans="1:65" ht="20.100000000000001" customHeight="1" x14ac:dyDescent="0.25">
      <c r="A7" s="82" t="str">
        <f>HYPERLINK("#'Constants - Common'!A1", "Constants - Common")</f>
        <v>Constants - Common</v>
      </c>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HYPERLINK("#'Acknowledgements'!A1", "Acknowledgements")</f>
        <v>Acknowledgements</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100000000000001" customHeight="1" x14ac:dyDescent="0.25">
      <c r="A9"/>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100000000000001" customHeight="1" x14ac:dyDescent="0.25">
      <c r="A12"/>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100000000000001" customHeight="1" x14ac:dyDescent="0.25">
      <c r="A13"/>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18" t="str" cm="1">
        <f t="array" ref="D19">Common_SourceData.Common_SourceData_WASA4Areas_Source()</f>
        <v>Australian Bureau of Statistics (ABS) - Statistical Areas Level 2 - 2021 - Shapefile</v>
      </c>
    </row>
    <row r="20" spans="1:4" ht="20.100000000000001" customHeight="1" x14ac:dyDescent="0.25">
      <c r="A20"/>
      <c r="D20" s="20" t="s">
        <v>25</v>
      </c>
    </row>
    <row r="21" spans="1:4" ht="20.100000000000001" customHeight="1" x14ac:dyDescent="0.25">
      <c r="A21"/>
      <c r="D21" s="20" t="str" cm="1">
        <f t="array" ref="D21">Common_InputFunctions.Utility_DisplayArrayInTable(Common_SourceData.Common_SourceData_WASA4Areas_Data(), Table_WASA4Areas[[#Headers],[SA 4 Name]], 0)</f>
        <v>Bunbury</v>
      </c>
    </row>
    <row r="22" spans="1:4" ht="20.100000000000001" customHeight="1" x14ac:dyDescent="0.25">
      <c r="A22"/>
      <c r="D22" s="20" t="str" cm="1">
        <f t="array" ref="D22">Common_InputFunctions.Utility_DisplayArrayInTable(Common_SourceData.Common_SourceData_WASA4Areas_Data(), Table_WASA4Areas[[#Headers],[SA 4 Name]], 0)</f>
        <v>Mandurah</v>
      </c>
    </row>
    <row r="23" spans="1:4" ht="20.100000000000001" customHeight="1" x14ac:dyDescent="0.25">
      <c r="A23"/>
      <c r="D23" s="20" t="str" cm="1">
        <f t="array" ref="D23">Common_InputFunctions.Utility_DisplayArrayInTable(Common_SourceData.Common_SourceData_WASA4Areas_Data(), Table_WASA4Areas[[#Headers],[SA 4 Name]], 0)</f>
        <v>Perth - Inner</v>
      </c>
    </row>
    <row r="24" spans="1:4" ht="20.100000000000001" customHeight="1" x14ac:dyDescent="0.25">
      <c r="A24"/>
      <c r="D24" s="20" t="str" cm="1">
        <f t="array" ref="D24">Common_InputFunctions.Utility_DisplayArrayInTable(Common_SourceData.Common_SourceData_WASA4Areas_Data(), Table_WASA4Areas[[#Headers],[SA 4 Name]], 0)</f>
        <v>Perth - North East</v>
      </c>
    </row>
    <row r="25" spans="1:4" ht="20.100000000000001" customHeight="1" x14ac:dyDescent="0.25">
      <c r="A25"/>
      <c r="D25" s="20" t="str" cm="1">
        <f t="array" ref="D25">Common_InputFunctions.Utility_DisplayArrayInTable(Common_SourceData.Common_SourceData_WASA4Areas_Data(), Table_WASA4Areas[[#Headers],[SA 4 Name]], 0)</f>
        <v>Perth - North West</v>
      </c>
    </row>
    <row r="26" spans="1:4" ht="20.100000000000001" customHeight="1" x14ac:dyDescent="0.25">
      <c r="A26"/>
      <c r="D26" s="20" t="str" cm="1">
        <f t="array" ref="D26">Common_InputFunctions.Utility_DisplayArrayInTable(Common_SourceData.Common_SourceData_WASA4Areas_Data(), Table_WASA4Areas[[#Headers],[SA 4 Name]], 0)</f>
        <v>Perth - South East</v>
      </c>
    </row>
    <row r="27" spans="1:4" ht="20.100000000000001" customHeight="1" x14ac:dyDescent="0.25">
      <c r="A27"/>
      <c r="D27" s="20" t="str" cm="1">
        <f t="array" ref="D27">Common_InputFunctions.Utility_DisplayArrayInTable(Common_SourceData.Common_SourceData_WASA4Areas_Data(), Table_WASA4Areas[[#Headers],[SA 4 Name]], 0)</f>
        <v>Perth - South West</v>
      </c>
    </row>
    <row r="28" spans="1:4" ht="20.100000000000001" customHeight="1" x14ac:dyDescent="0.25">
      <c r="A28"/>
      <c r="D28" s="20"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0"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0"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20" t="s">
        <v>26</v>
      </c>
      <c r="E36" s="20" t="s">
        <v>27</v>
      </c>
    </row>
    <row r="37" spans="1:8" ht="20.100000000000001" customHeight="1" x14ac:dyDescent="0.25">
      <c r="A37"/>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100000000000001" customHeight="1" x14ac:dyDescent="0.25">
      <c r="A38"/>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100000000000001" customHeight="1" x14ac:dyDescent="0.25">
      <c r="A39"/>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100000000000001" customHeight="1" x14ac:dyDescent="0.25">
      <c r="A40"/>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100000000000001" customHeight="1" x14ac:dyDescent="0.25">
      <c r="A41"/>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100000000000001" customHeight="1" x14ac:dyDescent="0.25">
      <c r="A42"/>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100000000000001" customHeight="1" x14ac:dyDescent="0.25">
      <c r="A43"/>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2"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20" t="s">
        <v>26</v>
      </c>
      <c r="E47" s="20" t="s">
        <v>28</v>
      </c>
      <c r="F47" s="20" t="s">
        <v>29</v>
      </c>
      <c r="G47" s="20" t="s">
        <v>30</v>
      </c>
      <c r="H47" s="20" t="s">
        <v>31</v>
      </c>
    </row>
    <row r="48" spans="1:8" ht="20.100000000000001" customHeight="1" x14ac:dyDescent="0.25">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100000000000001"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100000000000001" customHeight="1" x14ac:dyDescent="0.25">
      <c r="A50"/>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100000000000001" customHeight="1" x14ac:dyDescent="0.25">
      <c r="A51"/>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100000000000001" customHeight="1" x14ac:dyDescent="0.25">
      <c r="A52"/>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100000000000001" customHeight="1" x14ac:dyDescent="0.25">
      <c r="A53"/>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100000000000001" customHeight="1" x14ac:dyDescent="0.25">
      <c r="A54"/>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26" t="str" cm="1">
        <f t="array" ref="D59:D61">"⚠️" &amp; Common_SourceData.Common_SourceData_WetAndDryZones_Variation()</f>
        <v>⚠️VARIATION OF SOURCE DATA:</v>
      </c>
    </row>
    <row r="60" spans="1:8" ht="20.100000000000001" customHeight="1" x14ac:dyDescent="0.25">
      <c r="A60"/>
      <c r="D60" s="26" t="str">
        <v>⚠️Added warm / cool temperate moist / dry - low frost and high temp classes to accommodate climate scenarios excluded by VEERG criteria.</v>
      </c>
    </row>
    <row r="61" spans="1:8" ht="20.100000000000001" customHeight="1" x14ac:dyDescent="0.25">
      <c r="A61"/>
      <c r="D61" s="26" t="str">
        <v>⚠️Fixed typo - Changed 'Fry' to 'Dry'.</v>
      </c>
    </row>
    <row r="62" spans="1:8" ht="20.100000000000001" customHeight="1" x14ac:dyDescent="0.25">
      <c r="A62"/>
    </row>
    <row r="63" spans="1:8" ht="20.100000000000001" customHeight="1" x14ac:dyDescent="0.25">
      <c r="A63"/>
      <c r="D63" s="20" t="s">
        <v>32</v>
      </c>
      <c r="E63" s="20" t="s">
        <v>33</v>
      </c>
    </row>
    <row r="64" spans="1:8" ht="20.100000000000001"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26" t="str" cm="1">
        <f t="array" ref="D83:D87">"⚠️" &amp; Common_SourceData.Common_SourceData_ClimateZones_Variation()</f>
        <v>⚠️VARIATION OF SOURCE DATA:</v>
      </c>
    </row>
    <row r="84" spans="1:20" ht="20.100000000000001" customHeight="1" x14ac:dyDescent="0.25">
      <c r="A84"/>
      <c r="D84" s="26" t="str">
        <v>⚠️Added warm / cool temperate moist / dry - low frost and high temp classes to accommodate climate scenarios excluded by VEERG criteria.</v>
      </c>
    </row>
    <row r="85" spans="1:20" ht="20.100000000000001" customHeight="1" x14ac:dyDescent="0.25">
      <c r="A85"/>
      <c r="D85" s="26" t="str">
        <v>⚠️Fixed typo in MAT value for warm temperate dry - changed 10 to 11.</v>
      </c>
    </row>
    <row r="86" spans="1:20" ht="20.100000000000001" customHeight="1" x14ac:dyDescent="0.25">
      <c r="A86"/>
      <c r="D86" s="26" t="str">
        <v>⚠️Added min and max columns for MAT, MAP, frost days per year, elevation, MAP:PET to calculate zones from real climate data.</v>
      </c>
    </row>
    <row r="87" spans="1:20" ht="20.100000000000001" customHeight="1" x14ac:dyDescent="0.25">
      <c r="A87"/>
      <c r="D87" s="26" t="str">
        <v>⚠️GAF accepts rainfall as a proxy for precipitation.</v>
      </c>
    </row>
    <row r="88" spans="1:20" ht="20.100000000000001" customHeight="1" x14ac:dyDescent="0.25">
      <c r="A88"/>
    </row>
    <row r="89" spans="1:20" ht="20.100000000000001" customHeight="1" x14ac:dyDescent="0.25">
      <c r="A89"/>
      <c r="D89" s="20" t="s">
        <v>32</v>
      </c>
      <c r="E89" s="20" t="s">
        <v>34</v>
      </c>
      <c r="F89" s="20" t="s">
        <v>35</v>
      </c>
      <c r="G89" s="20" t="s">
        <v>36</v>
      </c>
      <c r="H89" s="20" t="s">
        <v>37</v>
      </c>
      <c r="I89" s="20" t="s">
        <v>38</v>
      </c>
      <c r="J89" s="20" t="s">
        <v>39</v>
      </c>
      <c r="K89" s="20" t="s">
        <v>40</v>
      </c>
      <c r="L89" s="20" t="s">
        <v>41</v>
      </c>
      <c r="M89" s="20" t="s">
        <v>42</v>
      </c>
      <c r="N89" s="20" t="s">
        <v>43</v>
      </c>
      <c r="O89" s="20" t="s">
        <v>44</v>
      </c>
      <c r="P89" s="20" t="s">
        <v>45</v>
      </c>
      <c r="Q89" s="20" t="s">
        <v>46</v>
      </c>
      <c r="R89" s="20" t="s">
        <v>47</v>
      </c>
      <c r="S89" s="20" t="s">
        <v>48</v>
      </c>
      <c r="T89" s="20"/>
    </row>
    <row r="90" spans="1:20" ht="20.100000000000001"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100000000000001"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100000000000001"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100000000000001"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100000000000001"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100000000000001"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100000000000001"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100000000000001"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100000000000001" customHeight="1" x14ac:dyDescent="0.25">
      <c r="A98"/>
    </row>
    <row r="99" spans="1:20" ht="20.100000000000001" customHeight="1" x14ac:dyDescent="0.25">
      <c r="A99"/>
      <c r="D99" s="10" t="str" cm="1">
        <f t="array" ref="D99:D102">Common_SourceData.Common_SourceData_ClimateZones_Appendices()</f>
        <v>Note:</v>
      </c>
    </row>
    <row r="100" spans="1:20" ht="20.100000000000001" customHeight="1" x14ac:dyDescent="0.25">
      <c r="A100"/>
      <c r="D100" s="10" t="str">
        <v>MAT = mean annual temperature</v>
      </c>
    </row>
    <row r="101" spans="1:20" ht="20.100000000000001" customHeight="1" x14ac:dyDescent="0.25">
      <c r="A101"/>
      <c r="D101" s="10" t="str">
        <v>MAP = mean annual precipitation</v>
      </c>
    </row>
    <row r="102" spans="1:20" ht="20.100000000000001" customHeight="1" x14ac:dyDescent="0.25">
      <c r="A102"/>
      <c r="D102" s="10" t="str">
        <v>PET = potential evapotranspiration</v>
      </c>
    </row>
    <row r="103" spans="1:20" ht="20.100000000000001" customHeight="1" x14ac:dyDescent="0.25">
      <c r="A103"/>
      <c r="D103" s="10"/>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0" t="s">
        <v>49</v>
      </c>
      <c r="E109" s="20" t="s">
        <v>34</v>
      </c>
      <c r="F109" s="20" t="s">
        <v>50</v>
      </c>
      <c r="G109" s="20" t="s">
        <v>51</v>
      </c>
    </row>
    <row r="110" spans="1:20" ht="20.100000000000001"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2"/>
    </row>
    <row r="116" spans="1:66" ht="20.100000000000001" customHeight="1" x14ac:dyDescent="0.25">
      <c r="A116"/>
      <c r="D116" s="18" t="str" cm="1">
        <f t="array" ref="D116">Common_SourceData.Common_SourceData_RainfallZones_Source()</f>
        <v>VEERG 2026: Table 1.3: Climate and Rainfall zone classifications and definitions</v>
      </c>
      <c r="BN116" s="22"/>
    </row>
    <row r="117" spans="1:66" ht="20.100000000000001"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5">
      <c r="A118"/>
      <c r="BN118" s="22"/>
    </row>
    <row r="119" spans="1:66" ht="20.100000000000001" customHeight="1" x14ac:dyDescent="0.25">
      <c r="A119"/>
      <c r="D119" s="20" t="s">
        <v>52</v>
      </c>
      <c r="E119" s="20" t="s">
        <v>53</v>
      </c>
      <c r="F119" s="20" t="s">
        <v>41</v>
      </c>
      <c r="G119" s="20" t="s">
        <v>42</v>
      </c>
      <c r="BN119" s="22"/>
    </row>
    <row r="120" spans="1:66" ht="20.100000000000001"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100000000000001"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100000000000001" customHeight="1" x14ac:dyDescent="0.25">
      <c r="A122"/>
      <c r="BN122" s="2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0" t="s">
        <v>54</v>
      </c>
      <c r="E127" s="20" t="s">
        <v>55</v>
      </c>
    </row>
    <row r="128" spans="1:66" ht="20.100000000000001"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9"/>
    </row>
    <row r="133" spans="1:77" ht="20.100000000000001" customHeight="1" x14ac:dyDescent="0.25">
      <c r="A133"/>
      <c r="D133" s="18" t="str" cm="1">
        <f t="array" ref="D133">Common_SourceData.Common_SourceData_FracWET_Source()</f>
        <v>VEERG 2026:5.5.2.3 Constant Parameters</v>
      </c>
      <c r="E133" s="9"/>
    </row>
    <row r="134" spans="1:77" ht="20.100000000000001" customHeight="1" x14ac:dyDescent="0.25">
      <c r="A134"/>
      <c r="D134" t="s">
        <v>56</v>
      </c>
      <c r="E134" t="s">
        <v>57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2"/>
      <c r="BO138" s="22"/>
      <c r="BP138" s="22"/>
      <c r="BQ138" s="22"/>
      <c r="BR138" s="22"/>
      <c r="BS138" s="22"/>
      <c r="BT138" s="22"/>
      <c r="BU138" s="22"/>
      <c r="BV138" s="22"/>
      <c r="BW138" s="22"/>
      <c r="BX138" s="22"/>
      <c r="BY138" s="22"/>
    </row>
    <row r="139" spans="1:77" ht="20.100000000000001"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100000000000001" customHeight="1" x14ac:dyDescent="0.25">
      <c r="A140"/>
      <c r="D140" s="18"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100000000000001"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100000000000001" customHeight="1" x14ac:dyDescent="0.25">
      <c r="A142"/>
      <c r="D142" s="20" t="s">
        <v>58</v>
      </c>
      <c r="E142" s="20" t="s">
        <v>57</v>
      </c>
      <c r="BN142" s="22"/>
    </row>
    <row r="143" spans="1:77" ht="20.100000000000001"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100000000000001" customHeight="1" x14ac:dyDescent="0.25">
      <c r="A148"/>
      <c r="BN148" s="22"/>
    </row>
    <row r="149" spans="1:66" ht="20.100000000000001" customHeight="1" x14ac:dyDescent="0.25">
      <c r="A149"/>
      <c r="BN149" s="22"/>
    </row>
    <row r="150" spans="1:66" ht="20.100000000000001" customHeight="1" x14ac:dyDescent="0.25">
      <c r="A150"/>
      <c r="D150" s="2" t="str" cm="1">
        <f t="array" ref="D150">Common_SourceData.Common_SourceData_DataScores_Scope3_Title()</f>
        <v>Australian data scores for scope 3</v>
      </c>
      <c r="BN150" s="22"/>
    </row>
    <row r="151" spans="1:66" ht="20.100000000000001" customHeight="1" x14ac:dyDescent="0.25">
      <c r="A151"/>
      <c r="D151" s="18" t="str" cm="1">
        <f t="array" ref="D151">Common_SourceData.Common_SourceData_DataScores_Scope3_Source()</f>
        <v>VEERG 2026: XXXXXXXX</v>
      </c>
      <c r="BN151" s="22"/>
    </row>
    <row r="152" spans="1:66" ht="20.100000000000001" customHeight="1" x14ac:dyDescent="0.25">
      <c r="A152"/>
      <c r="BN152" s="22"/>
    </row>
    <row r="153" spans="1:66" ht="20.100000000000001" customHeight="1" x14ac:dyDescent="0.25">
      <c r="A153"/>
      <c r="D153" s="20" t="s">
        <v>59</v>
      </c>
      <c r="E153" s="20" t="s">
        <v>60</v>
      </c>
      <c r="BC153" s="25"/>
      <c r="BD153" s="25"/>
      <c r="BE153" s="25"/>
      <c r="BF153" s="25"/>
      <c r="BG153" s="25"/>
      <c r="BH153" s="25"/>
      <c r="BI153" s="25"/>
      <c r="BJ153" s="25"/>
      <c r="BK153" s="25"/>
      <c r="BL153" s="25"/>
      <c r="BM153" s="25"/>
    </row>
    <row r="154" spans="1:66" ht="20.100000000000001"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100000000000001"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100000000000001"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18" t="str" cm="1">
        <f t="array" ref="D162">Common_SourceData.Common_SourceData_FracLEACH_Source()</f>
        <v>VEERG 2026:5.5.2.3 Constant Parameters</v>
      </c>
      <c r="E162" s="9"/>
    </row>
    <row r="163" spans="4:68" ht="20.100000000000001" customHeight="1" x14ac:dyDescent="0.25">
      <c r="D163" s="1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22"/>
      <c r="BO165" s="22"/>
      <c r="BP165" s="22"/>
    </row>
    <row r="166" spans="4:68" ht="20.100000000000001" customHeight="1" x14ac:dyDescent="0.25">
      <c r="BN166" s="22"/>
      <c r="BO166" s="22"/>
      <c r="BP166" s="22"/>
    </row>
    <row r="167" spans="4:68" ht="20.100000000000001" customHeight="1" x14ac:dyDescent="0.25">
      <c r="D167" s="2" t="str" cm="1">
        <f t="array" ref="D167">Common_SourceData.Common_SourceData_EFleach_Title()</f>
        <v>Emission factor for nitrogen leaching and runoff</v>
      </c>
      <c r="BN167" s="22"/>
      <c r="BO167" s="22"/>
      <c r="BP167" s="22"/>
    </row>
    <row r="168" spans="4:68" ht="20.100000000000001" customHeight="1" x14ac:dyDescent="0.25">
      <c r="D168" s="18" t="str" cm="1">
        <f t="array" ref="D168">Common_SourceData.Common_SourceData_EFleach_Source()</f>
        <v>VEERG 2026:5.5.2.3 Constant Parameters</v>
      </c>
      <c r="BN168" s="22"/>
      <c r="BO168" s="22"/>
      <c r="BP168" s="22"/>
    </row>
    <row r="169" spans="4:68" ht="20.100000000000001" customHeight="1" x14ac:dyDescent="0.25">
      <c r="D169" s="18" t="str" cm="1">
        <f t="array" ref="D169">Common_SourceData.Common_SourceData_EFleach_NIRReference()</f>
        <v>National Inventory Report Volume 1: Equation 3.D.B_10</v>
      </c>
      <c r="BN169" s="22"/>
      <c r="BO169" s="22"/>
      <c r="BP169" s="22"/>
    </row>
    <row r="170" spans="4:68" ht="20.100000000000001" customHeight="1" x14ac:dyDescent="0.25">
      <c r="D170" s="1" t="str" cm="1">
        <f t="array" ref="D170:E170">Common_SourceData.Common_SourceData_EFleach_Data()</f>
        <v>EFleach</v>
      </c>
      <c r="E170" s="1">
        <v>1.0999999999999999E-2</v>
      </c>
      <c r="BN170" s="22"/>
      <c r="BO170" s="22"/>
      <c r="BP170" s="22"/>
    </row>
    <row r="171" spans="4:68" ht="20.100000000000001" customHeight="1" x14ac:dyDescent="0.25">
      <c r="BN171" s="22"/>
      <c r="BO171" s="22"/>
      <c r="BP171" s="22"/>
    </row>
    <row r="172" spans="4:68" ht="20.100000000000001" customHeight="1" x14ac:dyDescent="0.25">
      <c r="BN172" s="22"/>
      <c r="BO172" s="22"/>
      <c r="BP172" s="22"/>
    </row>
    <row r="173" spans="4:68" ht="20.100000000000001" customHeight="1" x14ac:dyDescent="0.25">
      <c r="D173" s="2" t="str" cm="1">
        <f t="array" ref="D173">Common_SourceData.Common_SourceData_DensityOfMethane_Title()</f>
        <v>p = density of methane</v>
      </c>
      <c r="BN173" s="22"/>
      <c r="BO173" s="22"/>
      <c r="BP173" s="22"/>
    </row>
    <row r="174" spans="4:68" ht="20.100000000000001" customHeight="1" x14ac:dyDescent="0.25">
      <c r="D174" s="18" t="str" cm="1">
        <f t="array" ref="D174">Common_SourceData.Common_SourceData_DensityOfMethane_Source()</f>
        <v>National Inventory Report 2023 Volume 1: Equations 3.B.1a_2, 3.B.1c_2, 3.B.3_1, 3.B.4g_2</v>
      </c>
      <c r="BN174" s="22"/>
      <c r="BO174" s="22"/>
      <c r="BP174" s="22"/>
    </row>
    <row r="175" spans="4:68" ht="20.100000000000001" customHeight="1" x14ac:dyDescent="0.25">
      <c r="D175" s="1" cm="1">
        <f t="array" ref="D175">Common_SourceData.Common_SourceData_DensityOfMethane_Data()</f>
        <v>0.6784</v>
      </c>
      <c r="E175" s="10" t="str" cm="1">
        <f t="array" ref="E175">Common_SourceData.Common_SourceData_DensityOfMethane_Unit()</f>
        <v>kg/m3</v>
      </c>
      <c r="BN175" s="22"/>
      <c r="BO175" s="22"/>
      <c r="BP175" s="22"/>
    </row>
    <row r="176" spans="4:68" ht="20.100000000000001" customHeight="1" x14ac:dyDescent="0.25">
      <c r="BN176" s="22"/>
      <c r="BO176" s="22"/>
      <c r="BP176" s="22"/>
    </row>
    <row r="177" spans="4:68" ht="20.100000000000001" customHeight="1" x14ac:dyDescent="0.25">
      <c r="BN177" s="22"/>
      <c r="BO177" s="22"/>
      <c r="BP177" s="22"/>
    </row>
    <row r="178" spans="4:68" ht="20.100000000000001" customHeight="1" x14ac:dyDescent="0.25">
      <c r="D178" s="2" t="str" cm="1">
        <f t="array" ref="D178">Common_SourceData.Common_SourceData_EFN2O_Title()</f>
        <v>Nitrous oxide emission factors for inorganic fertiliser application</v>
      </c>
      <c r="BN178" s="22"/>
      <c r="BO178" s="22"/>
      <c r="BP178" s="22"/>
    </row>
    <row r="179" spans="4:68" ht="20.100000000000001" customHeight="1" x14ac:dyDescent="0.25">
      <c r="D179" s="18" t="str" cm="1">
        <f t="array" ref="D179">Common_SourceData.Common_SourceData_EFN2O_Source()</f>
        <v>VEERG 2026: Table A.2.2.1</v>
      </c>
      <c r="BN179" s="22"/>
      <c r="BO179" s="22"/>
      <c r="BP179" s="22"/>
    </row>
    <row r="180" spans="4:68" ht="20.100000000000001" customHeight="1" x14ac:dyDescent="0.25">
      <c r="D180" s="10" t="str" cm="1">
        <f t="array" ref="D180">Common_SourceData.Common_SourceData_EFN2O_Unit()</f>
        <v>(kg N2O-N / kg N</v>
      </c>
    </row>
    <row r="181" spans="4:68" ht="20.100000000000001" customHeight="1" x14ac:dyDescent="0.25">
      <c r="D181" s="26" t="str" cm="1">
        <f t="array" ref="D181:D185">Common_SourceData.Common_SourceData_EFN2O_Variation()</f>
        <v>VARIATION OF SOURCE DATA:</v>
      </c>
    </row>
    <row r="182" spans="4:68" ht="20.100000000000001" customHeight="1" x14ac:dyDescent="0.25">
      <c r="D182" s="26" t="str">
        <v>Removed duplicate 'Aquaculture' row.</v>
      </c>
    </row>
    <row r="183" spans="4:68" ht="20.100000000000001" customHeight="1" x14ac:dyDescent="0.25">
      <c r="D183" s="26" t="str">
        <v>Removed asterisks to aid lookup.</v>
      </c>
    </row>
    <row r="184" spans="4:68" ht="20.100000000000001" customHeight="1" x14ac:dyDescent="0.25">
      <c r="D184" s="26" t="str">
        <v>Added 'production system only', 'rainfall zone' and 'irrigation method' columns to aid lookup.</v>
      </c>
    </row>
    <row r="185" spans="4:68" ht="20.100000000000001" customHeight="1" x14ac:dyDescent="0.25">
      <c r="D185" s="26" t="str">
        <v>Duplicated 'non-irrigated pasture' row with same EF for low and high rainfall zones to aid lookup.</v>
      </c>
    </row>
    <row r="186" spans="4:68" ht="20.100000000000001" customHeight="1" x14ac:dyDescent="0.25">
      <c r="D186" s="20" t="s">
        <v>61</v>
      </c>
      <c r="E186" s="20" t="s">
        <v>62</v>
      </c>
      <c r="F186" s="20" t="s">
        <v>63</v>
      </c>
      <c r="G186" s="20" t="s">
        <v>64</v>
      </c>
      <c r="H186" s="20" t="s">
        <v>65</v>
      </c>
    </row>
    <row r="187" spans="4:68" ht="20.100000000000001"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100000000000001"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100000000000001"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100000000000001"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100000000000001"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100000000000001"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26" t="str" cm="1">
        <f t="array" ref="D204">Common_SourceData.Common_SourceData_EFPastureRangeAndPaddock_Variation()</f>
        <v>VARIATION FROM SOURCE DATA: Changed 'Dry climate zones' to singular 'Dry climate zone' to aid lookup.</v>
      </c>
    </row>
    <row r="205" spans="4:8" x14ac:dyDescent="0.25">
      <c r="D205" s="10" t="str" cm="1">
        <f t="array" ref="D205">Common_SourceData.Common_SourceData_EFPastureRangeAndPaddock_Unit()</f>
        <v>kg N2O - N / kg N</v>
      </c>
    </row>
    <row r="206" spans="4:8" x14ac:dyDescent="0.25">
      <c r="D206" s="20" t="s">
        <v>32</v>
      </c>
      <c r="E206" s="20" t="s">
        <v>66</v>
      </c>
    </row>
    <row r="207" spans="4:8" x14ac:dyDescent="0.25">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0" t="s">
        <v>67</v>
      </c>
      <c r="E212" s="20" t="s">
        <v>68</v>
      </c>
    </row>
    <row r="213" spans="4:5" x14ac:dyDescent="0.25">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0" t="s">
        <v>69</v>
      </c>
      <c r="E231" s="20" t="s">
        <v>70</v>
      </c>
      <c r="F231" s="27" t="s">
        <v>71</v>
      </c>
      <c r="G231" s="20" t="s">
        <v>72</v>
      </c>
      <c r="H231" s="20" t="s">
        <v>73</v>
      </c>
      <c r="I231" s="20" t="s">
        <v>74</v>
      </c>
      <c r="J231" s="20" t="s">
        <v>75</v>
      </c>
      <c r="K231" s="20" t="s">
        <v>76</v>
      </c>
      <c r="L231" s="20" t="s">
        <v>77</v>
      </c>
      <c r="M231" s="20" t="s">
        <v>78</v>
      </c>
      <c r="N231" s="20" t="s">
        <v>79</v>
      </c>
      <c r="O231" s="20" t="s">
        <v>80</v>
      </c>
      <c r="P231" s="20" t="s">
        <v>81</v>
      </c>
      <c r="Q231" s="20" t="s">
        <v>82</v>
      </c>
      <c r="R231" s="20" t="s">
        <v>83</v>
      </c>
      <c r="S231" s="20" t="s">
        <v>84</v>
      </c>
    </row>
    <row r="232" spans="4:19" x14ac:dyDescent="0.25">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0" t="str" cm="1">
        <f t="array" ref="D256">Common_SourceData.Common_SourceData_EFOrganicFertiliserAndCropResidues_Unit()</f>
        <v>kg N2O - N / kg N</v>
      </c>
    </row>
    <row r="257" spans="4:66" x14ac:dyDescent="0.25">
      <c r="D257" s="20" t="s">
        <v>85</v>
      </c>
      <c r="E257" s="20" t="s">
        <v>86</v>
      </c>
    </row>
    <row r="258" spans="4:66" x14ac:dyDescent="0.25">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155</v>
      </c>
    </row>
    <row r="264" spans="4:66" x14ac:dyDescent="0.25">
      <c r="D264" s="1" t="s">
        <v>156</v>
      </c>
    </row>
    <row r="265" spans="4:66" x14ac:dyDescent="0.25">
      <c r="D265" s="20" t="s">
        <v>199</v>
      </c>
      <c r="E265" s="20" t="s">
        <v>157</v>
      </c>
      <c r="F265" s="20" t="s">
        <v>158</v>
      </c>
      <c r="G265" s="20" t="s">
        <v>151</v>
      </c>
      <c r="V265" s="1"/>
      <c r="BN265" s="22"/>
    </row>
    <row r="266" spans="4:66" x14ac:dyDescent="0.25">
      <c r="D266" s="20" t="s">
        <v>200</v>
      </c>
      <c r="E266" s="20" t="s">
        <v>159</v>
      </c>
      <c r="F266" s="20" t="s">
        <v>160</v>
      </c>
      <c r="G266" s="20">
        <v>5</v>
      </c>
      <c r="V266" s="1"/>
      <c r="BN266" s="22"/>
    </row>
    <row r="267" spans="4:66" x14ac:dyDescent="0.25">
      <c r="D267" s="20" t="s">
        <v>201</v>
      </c>
      <c r="E267" s="20" t="s">
        <v>161</v>
      </c>
      <c r="F267" s="20" t="s">
        <v>152</v>
      </c>
      <c r="G267" s="20">
        <v>4</v>
      </c>
      <c r="V267" s="1"/>
      <c r="BN267" s="22"/>
    </row>
    <row r="268" spans="4:66" x14ac:dyDescent="0.25">
      <c r="D268" s="20" t="s">
        <v>202</v>
      </c>
      <c r="E268" s="20" t="s">
        <v>162</v>
      </c>
      <c r="F268" s="20" t="s">
        <v>163</v>
      </c>
      <c r="G268" s="20">
        <v>3</v>
      </c>
      <c r="V268" s="1"/>
      <c r="BN268" s="22"/>
    </row>
    <row r="269" spans="4:66" x14ac:dyDescent="0.25">
      <c r="D269" s="20" t="s">
        <v>203</v>
      </c>
      <c r="E269" s="20" t="s">
        <v>164</v>
      </c>
      <c r="F269" s="20" t="s">
        <v>165</v>
      </c>
      <c r="G269" s="20">
        <v>2</v>
      </c>
      <c r="V269" s="1"/>
      <c r="BN269" s="22"/>
    </row>
    <row r="270" spans="4:66" x14ac:dyDescent="0.25">
      <c r="D270" s="20" t="s">
        <v>204</v>
      </c>
      <c r="E270" s="20" t="s">
        <v>166</v>
      </c>
      <c r="F270" s="20" t="s">
        <v>167</v>
      </c>
      <c r="G270" s="20">
        <v>1</v>
      </c>
      <c r="V270" s="1"/>
      <c r="BN270" s="22"/>
    </row>
    <row r="273" spans="4:66" x14ac:dyDescent="0.25">
      <c r="D273" s="1" t="s">
        <v>168</v>
      </c>
    </row>
    <row r="274" spans="4:66" x14ac:dyDescent="0.25">
      <c r="D274" s="20" t="s">
        <v>199</v>
      </c>
      <c r="E274" s="20" t="s">
        <v>157</v>
      </c>
      <c r="F274" s="20" t="s">
        <v>158</v>
      </c>
      <c r="G274" s="20" t="s">
        <v>151</v>
      </c>
      <c r="V274" s="1"/>
      <c r="BN274" s="22"/>
    </row>
    <row r="275" spans="4:66" x14ac:dyDescent="0.25">
      <c r="D275" s="20" t="s">
        <v>205</v>
      </c>
      <c r="E275" s="20" t="s">
        <v>169</v>
      </c>
      <c r="F275" s="20" t="s">
        <v>153</v>
      </c>
      <c r="G275" s="20">
        <v>5</v>
      </c>
      <c r="V275" s="1"/>
      <c r="BN275" s="22"/>
    </row>
    <row r="276" spans="4:66" x14ac:dyDescent="0.25">
      <c r="D276" s="20" t="s">
        <v>206</v>
      </c>
      <c r="E276" s="20" t="s">
        <v>170</v>
      </c>
      <c r="F276" s="20" t="s">
        <v>171</v>
      </c>
      <c r="G276" s="20">
        <v>4</v>
      </c>
      <c r="V276" s="1"/>
      <c r="BN276" s="22"/>
    </row>
    <row r="277" spans="4:66" x14ac:dyDescent="0.25">
      <c r="D277" s="20" t="s">
        <v>207</v>
      </c>
      <c r="E277" s="20" t="s">
        <v>172</v>
      </c>
      <c r="F277" s="20" t="s">
        <v>173</v>
      </c>
      <c r="G277" s="20">
        <v>3</v>
      </c>
      <c r="V277" s="1"/>
      <c r="BN277" s="22"/>
    </row>
    <row r="278" spans="4:66" x14ac:dyDescent="0.25">
      <c r="D278" s="20" t="s">
        <v>208</v>
      </c>
      <c r="E278" s="20" t="s">
        <v>174</v>
      </c>
      <c r="F278" s="20" t="s">
        <v>175</v>
      </c>
      <c r="G278" s="20">
        <v>2</v>
      </c>
      <c r="V278" s="1"/>
      <c r="BN278" s="22"/>
    </row>
    <row r="279" spans="4:66" x14ac:dyDescent="0.25">
      <c r="D279" s="20" t="s">
        <v>209</v>
      </c>
      <c r="E279" s="20" t="s">
        <v>176</v>
      </c>
      <c r="F279" s="20" t="s">
        <v>177</v>
      </c>
      <c r="G279" s="20">
        <v>1</v>
      </c>
      <c r="V279" s="1"/>
      <c r="BN279" s="22"/>
    </row>
    <row r="282" spans="4:66" x14ac:dyDescent="0.25">
      <c r="D282" s="1" t="s">
        <v>178</v>
      </c>
    </row>
    <row r="283" spans="4:66" x14ac:dyDescent="0.25">
      <c r="D283" s="20" t="s">
        <v>199</v>
      </c>
      <c r="E283" s="20" t="s">
        <v>157</v>
      </c>
      <c r="F283" s="20" t="s">
        <v>158</v>
      </c>
      <c r="G283" s="20" t="s">
        <v>151</v>
      </c>
      <c r="V283" s="1"/>
      <c r="BN283" s="22"/>
    </row>
    <row r="284" spans="4:66" x14ac:dyDescent="0.25">
      <c r="D284" s="20" t="s">
        <v>210</v>
      </c>
      <c r="E284" s="20" t="s">
        <v>179</v>
      </c>
      <c r="F284" s="20" t="s">
        <v>180</v>
      </c>
      <c r="G284" s="20">
        <v>5</v>
      </c>
      <c r="V284" s="1"/>
      <c r="BN284" s="22"/>
    </row>
    <row r="285" spans="4:66" x14ac:dyDescent="0.25">
      <c r="D285" s="20" t="s">
        <v>211</v>
      </c>
      <c r="E285" s="20" t="s">
        <v>181</v>
      </c>
      <c r="F285" s="20" t="s">
        <v>182</v>
      </c>
      <c r="G285" s="20">
        <v>4</v>
      </c>
      <c r="V285" s="1"/>
      <c r="BN285" s="22"/>
    </row>
    <row r="286" spans="4:66" x14ac:dyDescent="0.25">
      <c r="D286" s="20" t="s">
        <v>212</v>
      </c>
      <c r="E286" s="20" t="s">
        <v>183</v>
      </c>
      <c r="F286" s="20" t="s">
        <v>154</v>
      </c>
      <c r="G286" s="20">
        <v>3</v>
      </c>
      <c r="V286" s="1"/>
      <c r="BN286" s="22"/>
    </row>
    <row r="287" spans="4:66" x14ac:dyDescent="0.25">
      <c r="D287" s="20" t="s">
        <v>213</v>
      </c>
      <c r="E287" s="20" t="s">
        <v>184</v>
      </c>
      <c r="F287" s="20" t="s">
        <v>185</v>
      </c>
      <c r="G287" s="20">
        <v>2</v>
      </c>
      <c r="V287" s="1"/>
      <c r="BN287" s="22"/>
    </row>
    <row r="288" spans="4:66" x14ac:dyDescent="0.25">
      <c r="D288" s="20" t="s">
        <v>214</v>
      </c>
      <c r="E288" s="20" t="s">
        <v>186</v>
      </c>
      <c r="F288" s="20" t="s">
        <v>187</v>
      </c>
      <c r="G288" s="20">
        <v>1</v>
      </c>
      <c r="V288" s="1"/>
      <c r="BN288" s="22"/>
    </row>
    <row r="291" spans="4:66" x14ac:dyDescent="0.25">
      <c r="D291" s="1" t="s">
        <v>188</v>
      </c>
    </row>
    <row r="292" spans="4:66" x14ac:dyDescent="0.25">
      <c r="D292" s="20" t="s">
        <v>199</v>
      </c>
      <c r="E292" s="20" t="s">
        <v>157</v>
      </c>
      <c r="F292" s="20" t="s">
        <v>158</v>
      </c>
      <c r="G292" s="20" t="s">
        <v>151</v>
      </c>
      <c r="V292" s="1"/>
      <c r="BN292" s="22"/>
    </row>
    <row r="293" spans="4:66" x14ac:dyDescent="0.25">
      <c r="D293" s="20" t="s">
        <v>215</v>
      </c>
      <c r="E293" s="20" t="s">
        <v>189</v>
      </c>
      <c r="F293" s="20" t="s">
        <v>190</v>
      </c>
      <c r="G293" s="20">
        <v>5</v>
      </c>
      <c r="V293" s="1"/>
      <c r="BN293" s="22"/>
    </row>
    <row r="294" spans="4:66" x14ac:dyDescent="0.25">
      <c r="D294" s="20" t="s">
        <v>216</v>
      </c>
      <c r="E294" s="20" t="s">
        <v>191</v>
      </c>
      <c r="F294" s="20" t="s">
        <v>192</v>
      </c>
      <c r="G294" s="20">
        <v>4</v>
      </c>
      <c r="V294" s="1"/>
      <c r="BN294" s="22"/>
    </row>
    <row r="295" spans="4:66" x14ac:dyDescent="0.25">
      <c r="D295" s="20" t="s">
        <v>217</v>
      </c>
      <c r="E295" s="20" t="s">
        <v>193</v>
      </c>
      <c r="F295" s="20" t="s">
        <v>194</v>
      </c>
      <c r="G295" s="20">
        <v>3</v>
      </c>
      <c r="V295" s="1"/>
      <c r="BN295" s="22"/>
    </row>
    <row r="296" spans="4:66" x14ac:dyDescent="0.25">
      <c r="D296" s="20" t="s">
        <v>218</v>
      </c>
      <c r="E296" s="20" t="s">
        <v>195</v>
      </c>
      <c r="F296" s="20" t="s">
        <v>196</v>
      </c>
      <c r="G296" s="20">
        <v>2</v>
      </c>
      <c r="V296" s="1"/>
      <c r="BN296" s="22"/>
    </row>
    <row r="297" spans="4:66" x14ac:dyDescent="0.25">
      <c r="D297" s="20" t="s">
        <v>219</v>
      </c>
      <c r="E297" s="20" t="s">
        <v>197</v>
      </c>
      <c r="F297" s="20" t="s">
        <v>198</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48</vt:i4>
      </vt:variant>
    </vt:vector>
  </HeadingPairs>
  <TitlesOfParts>
    <vt:vector size="56" baseType="lpstr">
      <vt:lpstr>Home</vt:lpstr>
      <vt:lpstr>Results - Activity period</vt:lpstr>
      <vt:lpstr>Results - Product EI</vt:lpstr>
      <vt:lpstr>Input - Site</vt:lpstr>
      <vt:lpstr>Input - Enterprise</vt:lpstr>
      <vt:lpstr>Input - Livestock sales</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X_Cell_Enterprise_BirdsSold</vt:lpstr>
      <vt:lpstr>X_Cell_Enterprise_EggsProduced</vt:lpstr>
      <vt:lpstr>X_Cell_Enterprise_ManureProduced</vt:lpstr>
      <vt:lpstr>X_Cell_Enterprise_PercentIncomeFromBirdsSold</vt:lpstr>
      <vt:lpstr>X_Cell_Enterprise_PercentIncomeFromEggsSold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2026-08-28T08:14:31Z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