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FB9B97B5-88DF-463C-B610-64EC3A308197}" xr6:coauthVersionLast="47" xr6:coauthVersionMax="47" xr10:uidLastSave="{00000000-0000-0000-0000-000000000000}"/>
  <bookViews>
    <workbookView xWindow="1350" yWindow="720" windowWidth="36330" windowHeight="19485"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81"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period'!$E$56</definedName>
    <definedName name="Result_Enterprise_Gross_Method2">'Results - Activity period'!$F$56</definedName>
    <definedName name="Result_Enterprise_Net_Method1">'Results - Activity period'!$E$57</definedName>
    <definedName name="Result_Enterprise_Net_Method2">'Results - Activity period'!$F$57</definedName>
    <definedName name="Result_Enterprise_Removals">'Results - Activity period'!$E$50</definedName>
    <definedName name="Result_Enterprise_Scope1_Method1">'Results - Activity period'!$H$21</definedName>
    <definedName name="Result_Enterprise_Scope1_Method2">'Results - Activity period'!$I$21</definedName>
    <definedName name="Result_Enterprise_Scope2_Method1">'Results - Activity period'!$H$28</definedName>
    <definedName name="Result_Enterprise_Scope2_Method2">'Results - Activity period'!$I$28</definedName>
    <definedName name="Result_Enterprise_Scope3_Method1">'Results - Activity period'!$H$45</definedName>
    <definedName name="Result_Enterprise_Scope3_Method2">'Results - Activity period'!$I$45</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period'!$D$27:$F$32</definedName>
    <definedName name="X_Table_Result_CarbonRemovalsFromPlantings_RowsToCols">'Results - Activity period'!$D$37:$E$43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78" l="1"/>
  <c r="D35" i="78"/>
  <c r="D34" i="78"/>
  <c r="D33" i="78"/>
  <c r="D32" i="78"/>
  <c r="D31" i="78"/>
  <c r="D30" i="78"/>
  <c r="D29" i="78"/>
  <c r="E22" i="72"/>
  <c r="E58" i="78" l="1"/>
  <c r="F77" i="72"/>
  <c r="F76" i="72"/>
  <c r="F75" i="72"/>
  <c r="F74" i="72"/>
  <c r="F73" i="72"/>
  <c r="E77" i="72"/>
  <c r="E76" i="72"/>
  <c r="E75" i="72"/>
  <c r="E74" i="72"/>
  <c r="I9" i="13" a="1"/>
  <c r="I9" i="13" s="1"/>
  <c r="I34" i="13"/>
  <c r="G54" i="80"/>
  <c r="F56" i="80"/>
  <c r="F54" i="80"/>
  <c r="F55" i="80" s="1"/>
  <c r="F52" i="80"/>
  <c r="F53" i="80" s="1"/>
  <c r="F48" i="80"/>
  <c r="F46" i="80"/>
  <c r="F44" i="80"/>
  <c r="E19" i="13" l="1" a="1"/>
  <c r="E19" i="13" s="1"/>
  <c r="F19" i="13" s="1"/>
  <c r="E17" i="13" a="1"/>
  <c r="E17" i="13" s="1"/>
  <c r="F17" i="13" s="1"/>
  <c r="E18" i="13" a="1"/>
  <c r="E18" i="13" s="1"/>
  <c r="F18" i="13" s="1"/>
  <c r="E16" i="13" a="1"/>
  <c r="E16" i="13"/>
  <c r="F16" i="13" s="1"/>
  <c r="E14" i="13" a="1"/>
  <c r="E14" i="13"/>
  <c r="F14" i="13" s="1"/>
  <c r="E15" i="13" a="1"/>
  <c r="E15" i="13" s="1"/>
  <c r="F15" i="13" s="1"/>
  <c r="E20" i="13" l="1" a="1"/>
  <c r="E20" i="13" s="1"/>
  <c r="I19" i="13" a="1"/>
  <c r="I19" i="13" s="1"/>
  <c r="I18" i="13" a="1"/>
  <c r="I18" i="13" s="1"/>
  <c r="I16" i="13" a="1"/>
  <c r="I16" i="13" s="1"/>
  <c r="I15" i="13" a="1"/>
  <c r="I15" i="13" s="1"/>
  <c r="H19" i="13" a="1"/>
  <c r="H19" i="13" s="1"/>
  <c r="H18" i="13" a="1"/>
  <c r="H18" i="13" s="1"/>
  <c r="H16" i="13" a="1"/>
  <c r="H16" i="13" s="1"/>
  <c r="H15" i="13" a="1"/>
  <c r="H15" i="13" s="1"/>
  <c r="I17" i="13"/>
  <c r="H17" i="13"/>
  <c r="I14" i="13"/>
  <c r="H14" i="13"/>
  <c r="F38" i="13" a="1"/>
  <c r="F38" i="13" s="1"/>
  <c r="I38" i="13" s="1"/>
  <c r="E38" i="13" a="1"/>
  <c r="E38" i="13" s="1"/>
  <c r="H38" i="13" s="1"/>
  <c r="F35" i="13" a="1"/>
  <c r="F35" i="13" s="1"/>
  <c r="E35" i="13" a="1"/>
  <c r="E35" i="13" s="1"/>
  <c r="F34" i="13" a="1"/>
  <c r="F34" i="13" s="1"/>
  <c r="E34" i="13" a="1"/>
  <c r="E34" i="13" s="1"/>
  <c r="F13" i="13" l="1" a="1"/>
  <c r="F13" i="13" s="1"/>
  <c r="E13" i="13" a="1"/>
  <c r="E13" i="13" s="1"/>
  <c r="F12" i="13" a="1"/>
  <c r="F12" i="13" s="1"/>
  <c r="E12" i="13" a="1"/>
  <c r="E12" i="13" s="1"/>
  <c r="F11" i="13" a="1"/>
  <c r="F11" i="13" s="1"/>
  <c r="E11" i="13" a="1"/>
  <c r="E11" i="13" s="1"/>
  <c r="H20" i="13" l="1"/>
  <c r="F20" i="13"/>
  <c r="I20" i="13" s="1"/>
  <c r="F9" i="13" a="1"/>
  <c r="F9" i="13" s="1"/>
  <c r="E9" i="13" a="1"/>
  <c r="E9" i="13" s="1"/>
  <c r="F10" i="13" a="1"/>
  <c r="F10" i="13" s="1"/>
  <c r="E10" i="13" a="1"/>
  <c r="E10" i="13" s="1"/>
  <c r="J54" i="78" l="1"/>
  <c r="J35" i="78"/>
  <c r="J34" i="78"/>
  <c r="J30" i="78"/>
  <c r="D10" i="78"/>
  <c r="D9" i="78"/>
  <c r="D8" i="78"/>
  <c r="D12" i="78"/>
  <c r="D11" i="78"/>
  <c r="I16" i="81"/>
  <c r="I15" i="81"/>
  <c r="I14" i="81"/>
  <c r="I13" i="81"/>
  <c r="I12" i="81"/>
  <c r="I11" i="81"/>
  <c r="I10" i="81"/>
  <c r="I9" i="81"/>
  <c r="I8" i="81"/>
  <c r="I7" i="81"/>
  <c r="G55" i="80" l="1"/>
  <c r="G52" i="80"/>
  <c r="G53" i="80" s="1"/>
  <c r="D39" i="80" l="1"/>
  <c r="D32" i="80"/>
  <c r="D73" i="72" a="1"/>
  <c r="F53" i="72"/>
  <c r="E53" i="72"/>
  <c r="F52" i="72"/>
  <c r="E52" i="72"/>
  <c r="F51" i="72"/>
  <c r="E51" i="72"/>
  <c r="D70" i="72"/>
  <c r="F44" i="13" a="1"/>
  <c r="F44" i="13" s="1"/>
  <c r="I44" i="13" s="1"/>
  <c r="E44" i="13" a="1"/>
  <c r="E44" i="13" s="1"/>
  <c r="H44" i="13" s="1"/>
  <c r="E42" i="13" a="1"/>
  <c r="E42" i="13" s="1"/>
  <c r="F43" i="13" a="1"/>
  <c r="F43" i="13" s="1"/>
  <c r="I43" i="13" s="1"/>
  <c r="E43" i="13" a="1"/>
  <c r="E43" i="13" s="1"/>
  <c r="H43" i="13" s="1"/>
  <c r="E41" i="13" a="1"/>
  <c r="E41" i="13" s="1"/>
  <c r="E40" i="13" a="1"/>
  <c r="E40" i="13" s="1"/>
  <c r="F39" i="13" a="1"/>
  <c r="F39" i="13" s="1"/>
  <c r="I39" i="13" s="1"/>
  <c r="E39" i="13" a="1"/>
  <c r="E39" i="13" s="1"/>
  <c r="H39" i="13" s="1"/>
  <c r="F37" i="13" a="1"/>
  <c r="F37" i="13" s="1"/>
  <c r="I37" i="13" s="1"/>
  <c r="E37" i="13" a="1"/>
  <c r="E37" i="13" s="1"/>
  <c r="H37" i="13" s="1"/>
  <c r="F36" i="13" a="1"/>
  <c r="F36" i="13" s="1"/>
  <c r="I36" i="13" s="1"/>
  <c r="E36" i="13" a="1"/>
  <c r="E36" i="13" s="1"/>
  <c r="H36" i="13" s="1"/>
  <c r="I35" i="13"/>
  <c r="H35" i="13"/>
  <c r="I45" i="13"/>
  <c r="H34" i="13"/>
  <c r="H45" i="13" s="1"/>
  <c r="D73" i="72" l="1"/>
  <c r="F40" i="13"/>
  <c r="I40" i="13" s="1"/>
  <c r="H40" i="13"/>
  <c r="F42" i="13"/>
  <c r="I42" i="13" s="1"/>
  <c r="H42" i="13"/>
  <c r="F41" i="13"/>
  <c r="I41" i="13" s="1"/>
  <c r="H41" i="13"/>
  <c r="D41" i="13" l="1" a="1"/>
  <c r="D41" i="13" s="1"/>
  <c r="E27" i="13" a="1"/>
  <c r="E27" i="13" s="1"/>
  <c r="F27" i="13" s="1"/>
  <c r="I27" i="13" s="1"/>
  <c r="I28" i="13" s="1"/>
  <c r="D27" i="13" a="1"/>
  <c r="D27" i="13" s="1"/>
  <c r="E66" i="72"/>
  <c r="E65" i="72"/>
  <c r="D62" i="72" a="1"/>
  <c r="D62" i="72" s="1"/>
  <c r="E62" i="72" s="1"/>
  <c r="D59" i="72"/>
  <c r="D49" i="72" a="1"/>
  <c r="D45" i="72" a="1"/>
  <c r="D45" i="72" s="1"/>
  <c r="D43" i="72"/>
  <c r="G37" i="72"/>
  <c r="E50" i="13" s="1"/>
  <c r="J55" i="78"/>
  <c r="J53" i="78"/>
  <c r="J52" i="78"/>
  <c r="J51" i="78"/>
  <c r="J44" i="78"/>
  <c r="J43" i="78"/>
  <c r="J42" i="78"/>
  <c r="J41" i="78"/>
  <c r="J33" i="78"/>
  <c r="J32" i="78"/>
  <c r="J31" i="78"/>
  <c r="J29" i="78"/>
  <c r="J23" i="78"/>
  <c r="J22" i="78"/>
  <c r="J21" i="78"/>
  <c r="J20" i="78"/>
  <c r="J19" i="78"/>
  <c r="J18" i="78"/>
  <c r="J12" i="78"/>
  <c r="J11" i="78"/>
  <c r="J10" i="78"/>
  <c r="J9" i="78"/>
  <c r="J8" i="78"/>
  <c r="D55" i="78"/>
  <c r="D53" i="78"/>
  <c r="D52" i="78"/>
  <c r="D51" i="78"/>
  <c r="D44" i="78"/>
  <c r="D43" i="78"/>
  <c r="D42" i="78"/>
  <c r="D41" i="78"/>
  <c r="D23" i="78"/>
  <c r="D22" i="78"/>
  <c r="D21" i="78"/>
  <c r="D20" i="78"/>
  <c r="D19" i="78"/>
  <c r="D18"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0" i="72" l="1"/>
  <c r="F50" i="72"/>
  <c r="I12" i="13" a="1"/>
  <c r="I12" i="13" s="1"/>
  <c r="H12" i="13" a="1"/>
  <c r="H12" i="13" s="1"/>
  <c r="I10" i="13" a="1"/>
  <c r="I10" i="13" s="1"/>
  <c r="H9" i="13" a="1"/>
  <c r="H9" i="13" s="1"/>
  <c r="H21" i="13" s="1"/>
  <c r="H10" i="13" a="1"/>
  <c r="H10" i="13" s="1"/>
  <c r="I21" i="13"/>
  <c r="H27" i="13"/>
  <c r="H28" i="13" s="1"/>
  <c r="J46" i="78"/>
  <c r="J57" i="78"/>
  <c r="J37" i="78"/>
  <c r="J14" i="78"/>
  <c r="J25" i="78"/>
  <c r="D49" i="72"/>
  <c r="E63" i="72"/>
  <c r="E67" i="72" s="1"/>
  <c r="E64" i="72"/>
  <c r="H48" i="79"/>
  <c r="E22" i="75"/>
  <c r="H51" i="79"/>
  <c r="E19" i="75"/>
  <c r="E20" i="75"/>
  <c r="E21" i="75" s="1"/>
  <c r="H11" i="13" a="1"/>
  <c r="H11" i="13" s="1"/>
  <c r="H13" i="13" a="1"/>
  <c r="H13" i="13" s="1"/>
  <c r="H53" i="79"/>
  <c r="H50" i="79"/>
  <c r="H54" i="79"/>
  <c r="H52" i="79"/>
  <c r="H49" i="79"/>
  <c r="E13" i="72" l="1"/>
  <c r="E18" i="75"/>
  <c r="A20" i="75"/>
  <c r="A19" i="75"/>
  <c r="A18" i="75"/>
  <c r="A17" i="75"/>
  <c r="A14" i="75"/>
  <c r="A13" i="75"/>
  <c r="A12" i="75"/>
  <c r="A11" i="75"/>
  <c r="A8" i="75"/>
  <c r="A7" i="75"/>
  <c r="A4" i="75"/>
  <c r="A3" i="75"/>
  <c r="E20" i="72"/>
  <c r="D4" i="13" l="1"/>
  <c r="D53" i="13"/>
  <c r="D48" i="13"/>
  <c r="D34" i="72"/>
  <c r="F47" i="80"/>
  <c r="G46" i="80"/>
  <c r="G47" i="80" s="1"/>
  <c r="F45" i="80"/>
  <c r="G44" i="80"/>
  <c r="G45" i="80" s="1"/>
  <c r="I13" i="13" a="1"/>
  <c r="I13" i="13" s="1"/>
  <c r="I11" i="13" a="1"/>
  <c r="I11" i="13" s="1"/>
  <c r="F56" i="13" l="1"/>
  <c r="E56" i="13"/>
  <c r="A20" i="13"/>
  <c r="A19" i="13"/>
  <c r="A18" i="13"/>
  <c r="A17" i="13"/>
  <c r="A14" i="13"/>
  <c r="A13" i="13"/>
  <c r="A12" i="13"/>
  <c r="A11" i="13"/>
  <c r="A8" i="13"/>
  <c r="A7" i="13"/>
  <c r="A4" i="13"/>
  <c r="A3" i="13"/>
  <c r="F49" i="72" l="1"/>
  <c r="F57" i="13"/>
  <c r="E57" i="13"/>
  <c r="E49" i="72"/>
  <c r="F78" i="72" l="1"/>
  <c r="F37" i="80" s="1"/>
  <c r="F54" i="72"/>
  <c r="F36" i="80" s="1"/>
  <c r="E73" i="72"/>
  <c r="E78" i="72" s="1"/>
  <c r="E37" i="80" s="1"/>
  <c r="E54" i="72"/>
  <c r="E36" i="80" s="1"/>
  <c r="I52" i="80" l="1"/>
  <c r="I54" i="80"/>
  <c r="I44" i="80"/>
  <c r="I46" i="80"/>
  <c r="I53" i="80"/>
  <c r="I55" i="80"/>
  <c r="I47" i="80"/>
  <c r="I45" i="80"/>
  <c r="H52" i="80"/>
  <c r="H54" i="80"/>
  <c r="H44" i="80"/>
  <c r="H46" i="80"/>
  <c r="H45" i="80"/>
  <c r="H55" i="80"/>
  <c r="H53" i="80"/>
  <c r="H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<sst xmlns="http://schemas.openxmlformats.org/spreadsheetml/2006/main" count="540" uniqueCount="290">
  <si>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</si>
  <si>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</si>
  <si>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</si>
  <si>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</si>
  <si>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</si>
  <si>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</si>
  <si>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</si>
  <si>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</si>
  <si>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</si>
  <si>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</si>
  <si>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</si>
  <si>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</si>
  <si>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</si>
  <si>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</si>
  <si>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</si>
  <si>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</si>
  <si>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</si>
  <si>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</si>
  <si>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</si>
  <si>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</si>
  <si>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</si>
  <si>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</si>
  <si>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</si>
  <si>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</si>
  <si>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</si>
  <si>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</si>
  <si>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</si>
  <si>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</si>
  <si>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</si>
  <si>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</si>
  <si>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</si>
  <si>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</si>
  <si>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</si>
  <si>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</si>
  <si>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</si>
  <si>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</si>
  <si>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</si>
  <si>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</si>
  <si>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</si>
  <si>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</si>
  <si>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</si>
  <si>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</si>
  <si>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</si>
  <si>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</si>
  <si>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</si>
  <si>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</si>
  <si>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</si>
  <si>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</si>
  <si>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</si>
  <si>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</si>
  <si>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</si>
  <si>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</si>
  <si>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</si>
  <si>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</si>
  <si>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</si>
  <si>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</si>
  <si>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</si>
  <si>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</si>
  <si>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</si>
  <si>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</si>
  <si>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</si>
  <si>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</si>
  <si>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</si>
  <si>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</si>
  <si>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</si>
  <si>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</si>
  <si>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</si>
  <si>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</si>
  <si>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</si>
  <si>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</si>
  <si>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</si>
  <si>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</si>
  <si>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</si>
  <si>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</si>
  <si>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</si>
  <si>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</si>
  <si>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</si>
  <si>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</si>
  <si>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</si>
  <si>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</si>
  <si>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</si>
  <si>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</si>
  <si>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</si>
  <si>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</si>
  <si>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</si>
  <si>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</si>
  <si>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</si>
  <si>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</si>
  <si>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</si>
  <si>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</si>
  <si>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</si>
  <si>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</si>
  <si>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</si>
  <si>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</si>
  <si>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</si>
  <si>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</si>
  <si>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</si>
  <si>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</si>
  <si>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</si>
  <si>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</si>
  <si>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</si>
  <si>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</si>
  <si>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</si>
  <si>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</si>
  <si>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</si>
  <si>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</si>
  <si>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</si>
  <si>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</si>
  <si>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</si>
  <si>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</si>
  <si>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</si>
  <si>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</si>
  <si>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</si>
  <si>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</si>
  <si>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</si>
  <si>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</si>
  <si>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</si>
  <si>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</si>
  <si>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</si>
  <si>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</si>
  <si>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</si>
  <si>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</si>
  <si>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</si>
  <si>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</si>
  <si>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</si>
  <si>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</si>
  <si>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</si>
  <si>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</si>
  <si>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</si>
  <si>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</si>
  <si>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</si>
  <si>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</si>
  <si>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</si>
  <si>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</si>
  <si>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</si>
  <si>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</si>
  <si>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</si>
  <si>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</si>
  <si>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</si>
  <si>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</si>
  <si>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</si>
  <si>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</si>
  <si>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</si>
  <si>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</si>
  <si>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</si>
  <si>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</si>
  <si>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</si>
  <si>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</si>
  <si>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</si>
  <si>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</si>
  <si>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</si>
  <si>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</si>
  <si>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</si>
  <si>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</si>
  <si>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</si>
  <si>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</si>
  <si>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</si>
  <si>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</si>
  <si>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</si>
  <si>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</si>
  <si>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</si>
  <si>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</si>
  <si>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</si>
  <si>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</si>
  <si>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</si>
  <si>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</si>
  <si>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</si>
  <si>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</si>
  <si>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</si>
  <si>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</si>
  <si>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</si>
  <si>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</si>
  <si>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</si>
  <si>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</si>
  <si>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</si>
  <si>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</si>
  <si>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</si>
  <si>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</si>
  <si>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</si>
  <si>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</si>
  <si>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</si>
  <si>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</si>
  <si>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</si>
  <si>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</si>
  <si>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</si>
  <si>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</si>
  <si>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</si>
  <si>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</si>
  <si>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</si>
  <si>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</si>
  <si>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</si>
  <si>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</si>
  <si>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</si>
  <si>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</si>
  <si>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</si>
  <si>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</si>
  <si>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</si>
  <si>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</si>
  <si>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</si>
  <si>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</si>
  <si>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</si>
  <si>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</si>
  <si>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</si>
  <si>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</si>
  <si>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</si>
  <si>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</si>
  <si>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</si>
  <si>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</si>
  <si>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</si>
  <si>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</si>
  <si>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</si>
  <si>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</si>
  <si>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</si>
  <si>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</si>
  <si>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</si>
  <si>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</si>
  <si>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</si>
  <si>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</si>
  <si>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</si>
  <si>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</si>
  <si>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</si>
  <si>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</si>
  <si>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</si>
  <si>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</si>
  <si>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</si>
  <si>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</si>
  <si>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</si>
  <si>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</si>
  <si>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</si>
  <si>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</si>
  <si>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</si>
  <si>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</si>
  <si>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</si>
  <si>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</si>
  <si>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</si>
  <si>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</si>
  <si>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</si>
  <si>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</si>
  <si>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</si>
  <si>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</si>
  <si>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</si>
  <si>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</si>
  <si>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</si>
  <si>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</si>
  <si>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</si>
  <si>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</si>
  <si>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</si>
  <si>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</si>
  <si>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</si>
  <si>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</si>
  <si>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</si>
  <si>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</si>
  <si>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</si>
  <si>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</si>
  <si>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</si>
  <si>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</si>
  <si>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</si>
  <si>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</si>
  <si>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</si>
  <si>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</si>
  <si>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</si>
  <si>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</si>
  <si>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</si>
  <si>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</si>
  <si>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</si>
  <si>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</si>
  <si>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Gilts</t>
  </si>
  <si>
    <t>Liveweight sold</t>
  </si>
  <si>
    <t>Manure produced</t>
  </si>
  <si>
    <t>Swine management</t>
  </si>
  <si>
    <t>3.5.1.1-2 Enteric Methane</t>
  </si>
  <si>
    <t>4.5.1.1-2 Manure Methane</t>
  </si>
  <si>
    <t>4.5.1.3-4 Manure Direct N2O</t>
  </si>
  <si>
    <t>4.5.1.5-6 Manure Atmospheric Deposition</t>
  </si>
  <si>
    <t>4.5.1.7-8 Manure Leaching and runoff</t>
  </si>
  <si>
    <t>10.1.1-2 Solid waste treatment</t>
  </si>
  <si>
    <t>15.1.1.1 Total emissions from purchased livestock - Pigs</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</si>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</sst>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4">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3"/>
      <tableStyleElement type="headerRow" dxfId="62"/>
      <tableStyleElement type="totalRow" dxfId="61"/>
      <tableStyleElement type="firstColumn" dxfId="60"/>
      <tableStyleElement type="firstRowStripe" dxfId="59"/>
      <tableStyleElement type="secondRowStripe" dxfId="58"/>
    </tableStyle>
    <tableStyle name="Equation table" pivot="0" count="6" xr9:uid="{B247698E-E41D-4CCD-AA0A-C14817E9DE65}">
      <tableStyleElement type="wholeTable" dxfId="57"/>
      <tableStyleElement type="headerRow" dxfId="56"/>
      <tableStyleElement type="totalRow" dxfId="55"/>
      <tableStyleElement type="firstColumn" dxfId="54"/>
      <tableStyleElement type="firstRowStripe" dxfId="53"/>
      <tableStyleElement type="secondRowStripe" dxfId="5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cat>
            <c:strRef>
              <c:f>'Results - Activity period'!$D$9:$D$20</c:f>
              <c:strCache>
                <c:ptCount val="12"/>
                <c:pt idx="0">
                  <c:v>3.5.1.1-2 Enteric Methane</c:v>
                </c:pt>
                <c:pt idx="1">
                  <c:v>4.5.1.1-2 Manure Methane</c:v>
                </c:pt>
                <c:pt idx="2">
                  <c:v>4.5.1.3-4 Manure Direct N2O</c:v>
                </c:pt>
                <c:pt idx="3">
                  <c:v>4.5.1.5-6 Manure Atmospheric Deposition</c:v>
                </c:pt>
                <c:pt idx="4">
                  <c:v>4.5.1.7-8 Manure Leaching and runoff</c:v>
                </c:pt>
                <c:pt idx="5">
                  <c:v>8.1.1.1-2 Transport fuel CO2</c:v>
                </c:pt>
                <c:pt idx="6">
                  <c:v>8.1.1.1-2 Transport fuel CH4</c:v>
                </c:pt>
                <c:pt idx="7">
                  <c:v>8.1.1.1-2 Transport fuel N2O</c:v>
                </c:pt>
                <c:pt idx="8">
                  <c:v>8.2.1.1-2 Stationary fuel CO2</c:v>
                </c:pt>
                <c:pt idx="9">
                  <c:v>8.2.1.1-2 Stationary fuel CH4</c:v>
                </c:pt>
                <c:pt idx="10">
                  <c:v>8.2.1.1-2 Stationary fuel N2O</c:v>
                </c:pt>
                <c:pt idx="11">
                  <c:v>10.1.1-2 Solid waste treatment</c:v>
                </c:pt>
              </c:strCache>
            </c:strRef>
          </c:cat>
          <c:val>
            <c:numRef>
              <c:f>'Results - Activity period'!$I$9:$I$20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period'!$D$34:$D$44</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#NAME?</c:v>
                </c:pt>
                <c:pt idx="8">
                  <c:v>15.13.1.1 Waste sent to treatment facility</c:v>
                </c:pt>
                <c:pt idx="9">
                  <c:v>15.14.1.1 Incoming freight</c:v>
                </c:pt>
                <c:pt idx="10">
                  <c:v>15.14.1.1 Outgoing freight</c:v>
                </c:pt>
              </c:strCache>
            </c:strRef>
          </c:cat>
          <c:val>
            <c:numRef>
              <c:f>'Results - Activity period'!$I$34:$I$44</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1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a:t>
          </a:r>
          <a:r>
            <a:rPr lang="en-AU" sz="1100" b="0" i="1" u="none" strike="noStrike" baseline="0">
              <a:solidFill>
                <a:schemeClr val="bg2">
                  <a:lumMod val="50000"/>
                </a:schemeClr>
              </a:solidFill>
              <a:effectLst/>
              <a:latin typeface="+mn-lt"/>
              <a:ea typeface="+mn-ea"/>
              <a:cs typeface="+mn-cs"/>
            </a:rPr>
            <a:t> </a:t>
          </a:r>
          <a:r>
            <a:rPr lang="en-AU" sz="11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392" r="4392"/>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51"/>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0"/>
    <tableColumn id="6" xr3:uid="{1219F6AC-7C79-4EDD-8C55-F7A78277AE3F}" name="Evidence files" dataDxfId="4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8"/>
    <tableColumn id="6" xr3:uid="{73F97399-8A3B-4EFB-9481-CBD7CB1C44EB}" name="Evidence files" dataDxfId="4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5" totalsRowShown="0" headerRowCellStyle="Input table column header">
  <autoFilter ref="D28:J35"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6"/>
    <tableColumn id="6" xr3:uid="{865FA280-4A36-4101-BD09-20356916B4D5}" name="Evidence files" dataDxfId="4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0:J44" totalsRowShown="0" headerRowCellStyle="Input table column header">
  <autoFilter ref="D40:J44"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0:J55" totalsRowShown="0" headerRowCellStyle="Input table column header">
  <autoFilter ref="D50:J55"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0" t="str">
        <f>HYPERLINK("#'Home'!A1", "Home")</f>
        <v>Home</v>
      </c>
    </row>
    <row r="6" spans="1:1" x14ac:dyDescent="0.25">
      <c r="A6" s="81"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D1" zoomScaleNormal="100" workbookViewId="0">
      <selection activeCell="I9" sqref="I9"/>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1" t="s">
        <v>257</v>
      </c>
      <c r="D1" s="91"/>
      <c r="E1" s="91"/>
      <c r="F1" s="91"/>
      <c r="G1" s="91"/>
      <c r="H1" s="91"/>
      <c r="I1" s="91"/>
      <c r="J1" s="91"/>
      <c r="K1" s="91"/>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2"/>
      <c r="D3" s="92"/>
      <c r="E3" s="92"/>
      <c r="F3" s="92"/>
      <c r="G3" s="92"/>
      <c r="H3" s="92"/>
      <c r="I3" s="92"/>
      <c r="J3" s="92"/>
      <c r="K3" s="92"/>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78" t="s">
        <v>236</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270</v>
      </c>
      <c r="E9" s="1" t="e" cm="1">
        <f t="array" ref="E9">VEERG_3_5_1_1__1_TotalAnnualMethaneFromEntericFermentation_Result_Method1</f>
        <v>#NAME?</v>
      </c>
      <c r="F9" s="1" t="e" cm="1">
        <f t="array" ref="F9">VEERG_3_5_1_1__1_TotalAnnualMethaneFromEntericFermentation_Result_Method2</f>
        <v>#NAME?</v>
      </c>
      <c r="G9" s="10" t="s">
        <v>7</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8</v>
      </c>
    </row>
    <row r="10" spans="1:11" ht="20.100000000000001" customHeight="1" x14ac:dyDescent="0.25">
      <c r="A10" s="7" t="s">
        <v>3</v>
      </c>
      <c r="D10" s="1" t="s">
        <v>271</v>
      </c>
      <c r="E10" s="1" t="e" cm="1">
        <f t="array" ref="E10">VEERG_4_5_1_1__1_TotalAnnualMethaneEmissions_Result_Method1</f>
        <v>#NAME?</v>
      </c>
      <c r="F10" s="1" t="e" cm="1">
        <f t="array" ref="F10">VEERG_4_5_1_1__1_TotalAnnualMethaneEmissions_Result_Method2</f>
        <v>#NAME?</v>
      </c>
      <c r="G10" s="10" t="s">
        <v>7</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8</v>
      </c>
    </row>
    <row r="11" spans="1:11" ht="20.100000000000001" customHeight="1" x14ac:dyDescent="0.25">
      <c r="A11" s="5" t="str">
        <f>HYPERLINK("#'4.2.1.1-2 Methane'!A1", "4.2.1.1-2 Methane")</f>
        <v>4.2.1.1-2 Methane</v>
      </c>
      <c r="D11" s="1" t="s">
        <v>272</v>
      </c>
      <c r="E11" s="1" t="e" cm="1">
        <f t="array" ref="E11">VEERG_4_5_1_3__1_TotalAnnualDirectNitrousOxideEmissionsFromMMS_Result_Method1</f>
        <v>#NAME?</v>
      </c>
      <c r="F11" s="1" t="e" cm="1">
        <f t="array" ref="F11">VEERG_4_5_1_3__1_TotalAnnualDirectNitrousOxideEmissionsFromMMS_Result_Method2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273</v>
      </c>
      <c r="E12" s="1" t="e" cm="1">
        <f t="array" ref="E12">VEERG_4_5_1_5__1_AnnualAtmosphericDepositionEmissionsFromMMS_Result_Method1</f>
        <v>#NAME?</v>
      </c>
      <c r="F12" s="1" t="e" cm="1">
        <f t="array" ref="F12">VEERG_4_5_1_5__1_AnnualAtmosphericDepositionEmissionsFromMMS_Result_Method2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8</v>
      </c>
    </row>
    <row r="13" spans="1:11" ht="20.100000000000001" customHeight="1" x14ac:dyDescent="0.25">
      <c r="A13" s="5" t="str">
        <f>HYPERLINK("#'4.2.1.5-6 Soil Atmos Dep'!A1", "4.2.1.5-6 Soil atm. deposition")</f>
        <v>4.2.1.5-6 Soil atm. deposition</v>
      </c>
      <c r="D13" s="1" t="s">
        <v>274</v>
      </c>
      <c r="E13" s="1" t="e" cm="1">
        <f t="array" ref="E13">VEERG_4_5_1_7__1_AnnualEmissionsFromLeachingAndRunoffFromMMS_Result_Method1</f>
        <v>#NAME?</v>
      </c>
      <c r="F13" s="1" t="e" cm="1">
        <f t="array" ref="F13">VEERG_4_5_1_7__1_AnnualEmissionsFromLeachingAndRunoffFromMMS_Result_Method2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134</v>
      </c>
      <c r="E14" s="1" t="e" cm="1">
        <f t="array" ref="E14">VEERG_8_1_1_1__1_FuelCombustionTransport_Result_CO2</f>
        <v>#NAME?</v>
      </c>
      <c r="F14" s="1" t="e">
        <f>E14</f>
        <v>#NAME?</v>
      </c>
      <c r="G14" s="10" t="s">
        <v>128</v>
      </c>
      <c r="H14" s="1" t="e">
        <f>E14</f>
        <v>#NAME?</v>
      </c>
      <c r="I14" s="1" t="e">
        <f>F14</f>
        <v>#NAME?</v>
      </c>
      <c r="J14" s="10" t="s">
        <v>8</v>
      </c>
    </row>
    <row r="15" spans="1:11" ht="20.100000000000001" customHeight="1" x14ac:dyDescent="0.25">
      <c r="A15" s="5"/>
      <c r="D15" s="1" t="s">
        <v>136</v>
      </c>
      <c r="E15" s="1" t="e" cm="1">
        <f t="array" ref="E15">VEERG_8_1_1_1__1_FuelCombustionTransport_Result_CH4</f>
        <v>#NAME?</v>
      </c>
      <c r="F15" s="1" t="e">
        <f t="shared" ref="F15:F19" si="0">E15</f>
        <v>#NAME?</v>
      </c>
      <c r="G15" s="10" t="s">
        <v>7</v>
      </c>
      <c r="H15" s="1" t="e" cm="1">
        <f t="array" ref="H15">Common_Equations.Common_ConvertCH4ToCO2e(E15,_xlfn.XLOOKUP("CH4", Table_GWPData[Gas],Table_GWPData[CO2-e factor]))</f>
        <v>#NAME?</v>
      </c>
      <c r="I15" s="1" t="e" cm="1">
        <f t="array" ref="I15">Common_Equations.Common_ConvertCH4ToCO2e(F15,_xlfn.XLOOKUP("CH4", Table_GWPData[Gas],Table_GWPData[CO2-e factor]))</f>
        <v>#NAME?</v>
      </c>
      <c r="J15" s="10" t="s">
        <v>8</v>
      </c>
    </row>
    <row r="16" spans="1:11" ht="20.100000000000001" customHeight="1" x14ac:dyDescent="0.25">
      <c r="A16" s="6" t="s">
        <v>2</v>
      </c>
      <c r="D16" s="1" t="s">
        <v>135</v>
      </c>
      <c r="E16" s="1" t="e" cm="1">
        <f t="array" ref="E16">VEERG_8_1_1_1__1_FuelCombustionTransport_Result_N2O</f>
        <v>#NAME?</v>
      </c>
      <c r="F16" s="1" t="e">
        <f t="shared" si="0"/>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137</v>
      </c>
      <c r="E17" s="1" t="e" cm="1">
        <f t="array" ref="E17">VEERG_8_2_1_1__1_FuelCombustionStationary_Result_CO2</f>
        <v>#NAME?</v>
      </c>
      <c r="F17" s="1" t="e">
        <f t="shared" si="0"/>
        <v>#NAME?</v>
      </c>
      <c r="G17" s="10" t="s">
        <v>128</v>
      </c>
      <c r="H17" s="1" t="e">
        <f>E17</f>
        <v>#NAME?</v>
      </c>
      <c r="I17" s="1" t="e">
        <f>F17</f>
        <v>#NAME?</v>
      </c>
      <c r="J17" s="10" t="s">
        <v>8</v>
      </c>
    </row>
    <row r="18" spans="1:10" ht="20.100000000000001" customHeight="1" x14ac:dyDescent="0.25">
      <c r="A18" s="5" t="str">
        <f>HYPERLINK("#'Constants - Livestock'!A1", "Constants - Livestock")</f>
        <v>Constants - Livestock</v>
      </c>
      <c r="D18" s="1" t="s">
        <v>138</v>
      </c>
      <c r="E18" s="1" t="e" cm="1">
        <f t="array" ref="E18">VEERG_8_2_1_1__1_FuelCombustionStationary_Result_CH4</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139</v>
      </c>
      <c r="E19" s="1" t="e" cm="1">
        <f t="array" ref="E19">VEERG_8_2_1_1__1_FuelCombustionStationary_Result_N2O</f>
        <v>#NAME?</v>
      </c>
      <c r="F19" s="1" t="e">
        <f t="shared" si="0"/>
        <v>#NAME?</v>
      </c>
      <c r="G19" s="10" t="s">
        <v>13</v>
      </c>
      <c r="H19" s="1" t="e" cm="1">
        <f t="array" ref="H19">Common_Equations.Common_ConvertN2OToCO2e(E19,_xlfn.XLOOKUP("N2O", Table_GWPData[Gas],Table_GWPData[CO2-e factor]))</f>
        <v>#NAME?</v>
      </c>
      <c r="I19" s="1" t="e" cm="1">
        <f t="array" ref="I19">Common_Equations.Common_ConvertN2OToCO2e(F19,_xlfn.XLOOKUP("N2O", Table_GWPData[Gas],Table_GWPData[CO2-e factor]))</f>
        <v>#NAME?</v>
      </c>
      <c r="J19" s="10" t="s">
        <v>8</v>
      </c>
    </row>
    <row r="20" spans="1:10" ht="20.100000000000001" customHeight="1" x14ac:dyDescent="0.25">
      <c r="A20" s="5" t="str">
        <f>HYPERLINK("#'Acknowledgements'!A1", "Acknowledgements")</f>
        <v>Acknowledgements</v>
      </c>
      <c r="D20" s="1" t="s">
        <v>275</v>
      </c>
      <c r="E20" s="1" t="e" cm="1">
        <f t="array" ref="E20">VEERG_10_1_1_1__1_EmissionsFromWasteManagement_Scope1_Result_Method1</f>
        <v>#NAME?</v>
      </c>
      <c r="F20" s="1" t="e">
        <f>E20</f>
        <v>#NAME?</v>
      </c>
      <c r="G20" s="10" t="s">
        <v>252</v>
      </c>
      <c r="H20" s="1" t="e">
        <f>E20</f>
        <v>#NAME?</v>
      </c>
      <c r="I20" s="1" t="e">
        <f>F20</f>
        <v>#NAME?</v>
      </c>
      <c r="J20" s="10" t="s">
        <v>8</v>
      </c>
    </row>
    <row r="21" spans="1:10" ht="20.100000000000001" customHeight="1" x14ac:dyDescent="0.25">
      <c r="D21" s="86" t="s">
        <v>5</v>
      </c>
      <c r="E21" s="87"/>
      <c r="F21" s="87"/>
      <c r="G21" s="87"/>
      <c r="H21" s="86" t="e">
        <f>SUM(H9:H20)</f>
        <v>#NAME?</v>
      </c>
      <c r="I21" s="86" t="e">
        <f>SUM(I9:I20)</f>
        <v>#NAME?</v>
      </c>
      <c r="J21" s="96" t="s">
        <v>8</v>
      </c>
    </row>
    <row r="22" spans="1:10" ht="20.100000000000001" customHeight="1" x14ac:dyDescent="0.25">
      <c r="A22" s="5"/>
    </row>
    <row r="23" spans="1:10" ht="20.100000000000001" customHeight="1" x14ac:dyDescent="0.25">
      <c r="A23" s="5"/>
    </row>
    <row r="24" spans="1:10" ht="20.100000000000001" customHeight="1" x14ac:dyDescent="0.25">
      <c r="A24" s="5"/>
      <c r="D24" s="78" t="s">
        <v>237</v>
      </c>
    </row>
    <row r="25" spans="1:10" ht="20.100000000000001" customHeight="1" x14ac:dyDescent="0.25"/>
    <row r="26" spans="1:10" ht="20.100000000000001" customHeight="1" x14ac:dyDescent="0.25">
      <c r="D26" s="12" t="s">
        <v>238</v>
      </c>
      <c r="E26" s="12" t="s">
        <v>9</v>
      </c>
      <c r="F26" s="12" t="s">
        <v>10</v>
      </c>
      <c r="G26" s="12" t="s">
        <v>6</v>
      </c>
      <c r="H26" s="12" t="s">
        <v>11</v>
      </c>
      <c r="I26" s="12" t="s">
        <v>12</v>
      </c>
      <c r="J26" s="12"/>
    </row>
    <row r="27" spans="1:10" ht="20.100000000000001" customHeight="1" x14ac:dyDescent="0.25">
      <c r="D27" s="1" t="e" cm="1">
        <f t="array" ref="D27">"14.1.1-2 Purchased electricity " &amp; IF(X_Cell_Electricity_CalculationMethod="Location-based (simpler)", "(Location-based)", "(Market-based)")</f>
        <v>#NAME?</v>
      </c>
      <c r="E27" s="1" t="e" cm="1">
        <f t="array" ref="E27">IF(X_Cell_Electricity_CalculationMethod="Location-based (simpler)", VEERG_14_1_1__1_LocationBasedScopeElectricityEmissions_Result_Method1, VEERG_14_1_2__1_MarketBasedScopeElectricityEmissionsVariation_Result_Method1)</f>
        <v>#NAME?</v>
      </c>
      <c r="F27" s="1" t="e">
        <f>E27</f>
        <v>#NAME?</v>
      </c>
      <c r="G27" s="10" t="s">
        <v>8</v>
      </c>
      <c r="H27" s="1" t="e">
        <f>E27</f>
        <v>#NAME?</v>
      </c>
      <c r="I27" s="1" t="e">
        <f>F27</f>
        <v>#NAME?</v>
      </c>
      <c r="J27" s="10" t="s">
        <v>8</v>
      </c>
    </row>
    <row r="28" spans="1:10" ht="20.100000000000001" customHeight="1" x14ac:dyDescent="0.25">
      <c r="D28" s="86" t="s">
        <v>239</v>
      </c>
      <c r="E28" s="87"/>
      <c r="F28" s="87"/>
      <c r="G28" s="87"/>
      <c r="H28" s="86" t="e">
        <f>SUM(H27:H27)</f>
        <v>#NAME?</v>
      </c>
      <c r="I28" s="86" t="e">
        <f>SUM(I27:I27)</f>
        <v>#NAME?</v>
      </c>
      <c r="J28" s="96" t="s">
        <v>8</v>
      </c>
    </row>
    <row r="29" spans="1:10" ht="20.100000000000001" customHeight="1" x14ac:dyDescent="0.25"/>
    <row r="30" spans="1:10" ht="20.100000000000001" customHeight="1" x14ac:dyDescent="0.25"/>
    <row r="31" spans="1:10" ht="20.100000000000001" customHeight="1" x14ac:dyDescent="0.25">
      <c r="D31" s="78" t="s">
        <v>240</v>
      </c>
    </row>
    <row r="32" spans="1:10" ht="20.100000000000001" customHeight="1" x14ac:dyDescent="0.25"/>
    <row r="33" spans="4:10" ht="20.100000000000001" customHeight="1" x14ac:dyDescent="0.25">
      <c r="D33" s="12" t="s">
        <v>241</v>
      </c>
      <c r="E33" s="12" t="s">
        <v>9</v>
      </c>
      <c r="F33" s="12" t="s">
        <v>10</v>
      </c>
      <c r="G33" s="12" t="s">
        <v>6</v>
      </c>
      <c r="H33" s="12" t="s">
        <v>11</v>
      </c>
      <c r="I33" s="12" t="s">
        <v>12</v>
      </c>
      <c r="J33" s="12"/>
    </row>
    <row r="34" spans="4:10" ht="20.100000000000001" customHeight="1" x14ac:dyDescent="0.25">
      <c r="D34" s="1" t="s">
        <v>276</v>
      </c>
      <c r="E34" s="1" t="e" cm="1">
        <f t="array" ref="E34">VEERG_15_1_1_1__1_EmissionsFromPurchasedLivestock_Pigs_Result_Method1</f>
        <v>#NAME?</v>
      </c>
      <c r="F34" s="1" t="e" cm="1">
        <f t="array" ref="F34">VEERG_15_1_1_1__1_EmissionsFromPurchasedLivestock_Pigs_Result_Method2</f>
        <v>#NAME?</v>
      </c>
      <c r="G34" s="10" t="s">
        <v>8</v>
      </c>
      <c r="H34" s="1" t="e">
        <f t="shared" ref="H34:I35" si="1">E34</f>
        <v>#NAME?</v>
      </c>
      <c r="I34" s="1" t="e">
        <f t="shared" si="1"/>
        <v>#NAME?</v>
      </c>
      <c r="J34" s="10" t="s">
        <v>8</v>
      </c>
    </row>
    <row r="35" spans="4:10" ht="20.100000000000001" customHeight="1" x14ac:dyDescent="0.25">
      <c r="D35" s="1" t="s">
        <v>277</v>
      </c>
      <c r="E35" s="1" t="e" cm="1">
        <f t="array" ref="E35">VEERG_15_2_1_1__1_EmissionsFromPurchasedFeed_Result_Method1</f>
        <v>#NAME?</v>
      </c>
      <c r="F35" s="1" t="e" cm="1">
        <f t="array" ref="F35">VEERG_15_2_1_1__1_EmissionsFromPurchasedFeed_Result_Method1</f>
        <v>#NAME?</v>
      </c>
      <c r="G35" s="10" t="s">
        <v>8</v>
      </c>
      <c r="H35" s="1" t="e">
        <f t="shared" si="1"/>
        <v>#NAME?</v>
      </c>
      <c r="I35" s="1" t="e">
        <f t="shared" si="1"/>
        <v>#NAME?</v>
      </c>
      <c r="J35" s="10" t="s">
        <v>8</v>
      </c>
    </row>
    <row r="36" spans="4:10" ht="20.100000000000001" customHeight="1" x14ac:dyDescent="0.25">
      <c r="D36" s="1" t="s">
        <v>242</v>
      </c>
      <c r="E36" s="1" t="e" cm="1">
        <f t="array" ref="E36">VEERG_15_7_1_1__1_EmissionsFromPurchasedServices_Result_Method1</f>
        <v>#NAME?</v>
      </c>
      <c r="F36" s="1" t="e" cm="1">
        <f t="array" ref="F36">VEERG_15_7_1_1__1_EmissionsFromPurchasedServices_Result_Method2</f>
        <v>#NAME?</v>
      </c>
      <c r="G36" s="10" t="s">
        <v>8</v>
      </c>
      <c r="H36" s="1" t="e">
        <f t="shared" ref="H36:H44" si="2">E36</f>
        <v>#NAME?</v>
      </c>
      <c r="I36" s="1" t="e">
        <f t="shared" ref="I36:I44" si="3">F36</f>
        <v>#NAME?</v>
      </c>
      <c r="J36" s="10" t="s">
        <v>8</v>
      </c>
    </row>
    <row r="37" spans="4:10" ht="20.100000000000001" customHeight="1" x14ac:dyDescent="0.25">
      <c r="D37" s="1" t="s">
        <v>243</v>
      </c>
      <c r="E37" s="1" t="e" cm="1">
        <f t="array" ref="E37">VEERG_15_10_1_1__1_OtherPurchasedGoodsAndServices_CleaningChemicals_Result_Method1</f>
        <v>#NAME?</v>
      </c>
      <c r="F37" s="1" t="e" cm="1">
        <f t="array" ref="F37">VEERG_15_10_1_1__1_OtherPurchasedGoodsAndServices_CleaningChemicals_Result_Method2</f>
        <v>#NAME?</v>
      </c>
      <c r="G37" s="10" t="s">
        <v>8</v>
      </c>
      <c r="H37" s="1" t="e">
        <f t="shared" si="2"/>
        <v>#NAME?</v>
      </c>
      <c r="I37" s="1" t="e">
        <f t="shared" si="3"/>
        <v>#NAME?</v>
      </c>
      <c r="J37" s="10" t="s">
        <v>8</v>
      </c>
    </row>
    <row r="38" spans="4:10" ht="20.100000000000001" customHeight="1" x14ac:dyDescent="0.25">
      <c r="D38" s="1" t="s">
        <v>278</v>
      </c>
      <c r="E38" s="1" t="e" cm="1">
        <f t="array" ref="E38">VEERG_15_10_1_1__1_OtherPurchasedGoodsAndServices_PharmacyChemicals_Result_Method1</f>
        <v>#NAME?</v>
      </c>
      <c r="F38" s="1" t="e" cm="1">
        <f t="array" ref="F38">VEERG_15_10_1_1__1_OtherPurchasedGoodsAndServices_PharmacyChemicals_Result_Method1</f>
        <v>#NAME?</v>
      </c>
      <c r="G38" s="10" t="s">
        <v>8</v>
      </c>
      <c r="H38" s="1" t="e">
        <f t="shared" si="2"/>
        <v>#NAME?</v>
      </c>
      <c r="I38" s="1" t="e">
        <f t="shared" si="3"/>
        <v>#NAME?</v>
      </c>
      <c r="J38" s="10" t="s">
        <v>8</v>
      </c>
    </row>
    <row r="39" spans="4:10" ht="20.100000000000001" customHeight="1" x14ac:dyDescent="0.25">
      <c r="D39" s="1" t="s">
        <v>244</v>
      </c>
      <c r="E39" s="1" t="e" cm="1">
        <f t="array" ref="E39">VEERG_15_10_1_1__1_OtherPurchasedGoodsAndServices_Uncategorised_Result_Method1</f>
        <v>#NAME?</v>
      </c>
      <c r="F39" s="1" t="e" cm="1">
        <f t="array" ref="F39">VEERG_15_10_1_1__1_OtherPurchasedGoodsAndServices_Uncategorised_Result_Method2</f>
        <v>#NAME?</v>
      </c>
      <c r="G39" s="10" t="s">
        <v>8</v>
      </c>
      <c r="H39" s="1" t="e">
        <f t="shared" si="2"/>
        <v>#NAME?</v>
      </c>
      <c r="I39" s="1" t="e">
        <f t="shared" si="3"/>
        <v>#NAME?</v>
      </c>
      <c r="J39" s="10" t="s">
        <v>8</v>
      </c>
    </row>
    <row r="40" spans="4:10" ht="20.100000000000001" customHeight="1" x14ac:dyDescent="0.25">
      <c r="D40" s="1" t="s">
        <v>245</v>
      </c>
      <c r="E40" s="1" t="e" cm="1">
        <f t="array" ref="E40">VEERG_15_11_1_1__1_TotalUpstreamEmissionsFromFuel_Result</f>
        <v>#NAME?</v>
      </c>
      <c r="F40" s="1" t="e">
        <f>E40</f>
        <v>#NAME?</v>
      </c>
      <c r="G40" s="10" t="s">
        <v>8</v>
      </c>
      <c r="H40" s="1" t="e">
        <f t="shared" si="2"/>
        <v>#NAME?</v>
      </c>
      <c r="I40" s="1" t="e">
        <f t="shared" si="3"/>
        <v>#NAME?</v>
      </c>
      <c r="J40" s="10" t="s">
        <v>8</v>
      </c>
    </row>
    <row r="41" spans="4:10" ht="20.100000000000001" customHeight="1" x14ac:dyDescent="0.25">
      <c r="D41" s="1" t="e" cm="1">
        <f t="array" ref="D41">"15.12.1.1 Purchased electricity " &amp; IF(X_Cell_Electricity_CalculationMethod="Location-based (simpler)", "(Location-based)", "(Market-based)")</f>
        <v>#NAME?</v>
      </c>
      <c r="E41" s="1" t="e" cm="1">
        <f t="array" ref="E41">IF(X_Cell_Electricity_CalculationMethod="Location-based (simpler)", VEERG_15_12_1_1__1_UpstreamPurchasedElectricityLocationBased_Result, VEERG_15_12_1_1__1_UpstreamPurchasedElectricityMarketBased_Result)</f>
        <v>#NAME?</v>
      </c>
      <c r="F41" s="1" t="e">
        <f>E41</f>
        <v>#NAME?</v>
      </c>
      <c r="G41" s="10" t="s">
        <v>8</v>
      </c>
      <c r="H41" s="1" t="e">
        <f t="shared" si="2"/>
        <v>#NAME?</v>
      </c>
      <c r="I41" s="1" t="e">
        <f t="shared" si="3"/>
        <v>#NAME?</v>
      </c>
      <c r="J41" s="10" t="s">
        <v>8</v>
      </c>
    </row>
    <row r="42" spans="4:10" ht="20.100000000000001" customHeight="1" x14ac:dyDescent="0.25">
      <c r="D42" s="1" t="s">
        <v>247</v>
      </c>
      <c r="E42" s="1" t="e" cm="1">
        <f t="array" ref="E42">VEERG_10_1_1_1__1_EmissionsFromWasteManagement_Scope3_Result_Method1</f>
        <v>#NAME?</v>
      </c>
      <c r="F42" s="1" t="e">
        <f>E42</f>
        <v>#NAME?</v>
      </c>
      <c r="G42" s="10" t="s">
        <v>8</v>
      </c>
      <c r="H42" s="1" t="e">
        <f t="shared" si="2"/>
        <v>#NAME?</v>
      </c>
      <c r="I42" s="1" t="e">
        <f t="shared" si="3"/>
        <v>#NAME?</v>
      </c>
      <c r="J42" s="10" t="s">
        <v>8</v>
      </c>
    </row>
    <row r="43" spans="4:10" ht="20.100000000000001" customHeight="1" x14ac:dyDescent="0.25">
      <c r="D43" s="1" t="s">
        <v>246</v>
      </c>
      <c r="E43" s="1" t="e" cm="1">
        <f t="array" ref="E43">VEERG_15_14_1_1__1_EmbeddedEmissionsFromUpstreamFreight_Incoming_Result_Method1</f>
        <v>#NAME?</v>
      </c>
      <c r="F43" s="1" t="e" cm="1">
        <f t="array" ref="F43">VEERG_15_14_1_1__1_EmbeddedEmissionsFromUpstreamFreight_Incoming_Result_Method2</f>
        <v>#NAME?</v>
      </c>
      <c r="G43" s="10" t="s">
        <v>8</v>
      </c>
      <c r="H43" s="1" t="e">
        <f t="shared" si="2"/>
        <v>#NAME?</v>
      </c>
      <c r="I43" s="1" t="e">
        <f t="shared" si="3"/>
        <v>#NAME?</v>
      </c>
      <c r="J43" s="10" t="s">
        <v>8</v>
      </c>
    </row>
    <row r="44" spans="4:10" ht="20.100000000000001" customHeight="1" x14ac:dyDescent="0.25">
      <c r="D44" s="1" t="s">
        <v>248</v>
      </c>
      <c r="E44" s="1" t="e" cm="1">
        <f t="array" ref="E44">VEERG_15_14_1_1__1_EmbeddedEmissionsFromUpstreamFreight_Outgoing_Result_Method1</f>
        <v>#NAME?</v>
      </c>
      <c r="F44" s="1" t="e" cm="1">
        <f t="array" ref="F44">VEERG_15_14_1_1__1_EmbeddedEmissionsFromUpstreamFreight_Outgoing_Result_Method2</f>
        <v>#NAME?</v>
      </c>
      <c r="G44" s="10" t="s">
        <v>8</v>
      </c>
      <c r="H44" s="1" t="e">
        <f t="shared" si="2"/>
        <v>#NAME?</v>
      </c>
      <c r="I44" s="1" t="e">
        <f t="shared" si="3"/>
        <v>#NAME?</v>
      </c>
      <c r="J44" s="10" t="s">
        <v>8</v>
      </c>
    </row>
    <row r="45" spans="4:10" ht="20.100000000000001" customHeight="1" x14ac:dyDescent="0.25">
      <c r="D45" s="86" t="s">
        <v>249</v>
      </c>
      <c r="E45" s="87"/>
      <c r="F45" s="87"/>
      <c r="G45" s="87"/>
      <c r="H45" s="86" t="e">
        <f>SUM(H34:H44)</f>
        <v>#NAME?</v>
      </c>
      <c r="I45" s="86" t="e">
        <f>SUM(I34:I44)</f>
        <v>#NAME?</v>
      </c>
      <c r="J45" s="96" t="s">
        <v>8</v>
      </c>
    </row>
    <row r="46" spans="4:10" ht="20.100000000000001" customHeight="1" x14ac:dyDescent="0.25"/>
    <row r="47" spans="4:10" ht="20.100000000000001" customHeight="1" x14ac:dyDescent="0.25"/>
    <row r="48" spans="4:10" ht="20.100000000000001" customHeight="1" x14ac:dyDescent="0.25">
      <c r="D48" s="78" t="str">
        <f>"Carbon removals from plantings for the activity period " &amp; TEXT(X_Cell_Site_StartDate, "d mmmm yyyy") &amp; " and " &amp; TEXT(X_Cell_Site_EndDate, "d mmmm yyyy")</f>
        <v>Carbon removals from plantings for the activity period 1 January 2025 and 31 December 2025</v>
      </c>
    </row>
    <row r="49" spans="4:7" ht="20.100000000000001" customHeight="1" x14ac:dyDescent="0.25"/>
    <row r="50" spans="4:7" ht="20.100000000000001" customHeight="1" x14ac:dyDescent="0.25">
      <c r="D50" s="86" t="s">
        <v>250</v>
      </c>
      <c r="E50" s="87">
        <f>SUM(Table_Input_Enterprise_PlantingRemovals[Removal allocated to this enterprise])</f>
        <v>0</v>
      </c>
      <c r="F50" s="96" t="s">
        <v>128</v>
      </c>
    </row>
    <row r="51" spans="4:7" ht="20.100000000000001" customHeight="1" x14ac:dyDescent="0.25"/>
    <row r="52" spans="4:7" ht="20.100000000000001" customHeight="1" x14ac:dyDescent="0.25"/>
    <row r="53" spans="4:7" ht="20.100000000000001" customHeight="1" x14ac:dyDescent="0.25">
      <c r="D53" s="78" t="str">
        <f>"Net emissions for the activity period " &amp; TEXT(X_Cell_Site_StartDate, "d mmmm yyyy") &amp; " and " &amp; TEXT(X_Cell_Site_EndDate, "d mmmm yyyy")</f>
        <v>Net emissions for the activity period 1 January 2025 and 31 December 2025</v>
      </c>
    </row>
    <row r="54" spans="4:7" ht="20.100000000000001" customHeight="1" x14ac:dyDescent="0.25"/>
    <row r="55" spans="4:7" ht="20.100000000000001" customHeight="1" x14ac:dyDescent="0.25">
      <c r="D55" s="12"/>
      <c r="E55" s="12" t="s">
        <v>131</v>
      </c>
      <c r="F55" s="12" t="s">
        <v>132</v>
      </c>
      <c r="G55" s="12"/>
    </row>
    <row r="56" spans="4:7" ht="20.100000000000001" customHeight="1" x14ac:dyDescent="0.25">
      <c r="D56" s="95" t="s">
        <v>251</v>
      </c>
      <c r="E56" s="93" t="e">
        <f>Result_Enterprise_Scope1_Method1+Result_Enterprise_Scope2_Method1+Result_Enterprise_Scope3_Method1</f>
        <v>#NAME?</v>
      </c>
      <c r="F56" s="93" t="e">
        <f>Result_Enterprise_Scope1_Method2+Result_Enterprise_Scope2_Method2+Result_Enterprise_Scope3_Method2</f>
        <v>#NAME?</v>
      </c>
      <c r="G56" s="94" t="s">
        <v>252</v>
      </c>
    </row>
    <row r="57" spans="4:7" ht="20.100000000000001" customHeight="1" x14ac:dyDescent="0.25">
      <c r="D57" s="95" t="s">
        <v>253</v>
      </c>
      <c r="E57" s="93" t="e">
        <f>Result_Enterprise_Gross_Method1-Result_Enterprise_Removals</f>
        <v>#NAME?</v>
      </c>
      <c r="F57" s="93" t="e">
        <f>Result_Enterprise_Gross_Method2-Result_Enterprise_Removals</f>
        <v>#NAME?</v>
      </c>
      <c r="G57" s="94" t="s">
        <v>252</v>
      </c>
    </row>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topLeftCell="A21" workbookViewId="0">
      <selection activeCell="J52" sqref="J52:J55"/>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6" width="9.140625" style="1"/>
  </cols>
  <sheetData>
    <row r="1" spans="1:16" s="91" customFormat="1" ht="25.5" x14ac:dyDescent="0.35">
      <c r="A1" s="11" t="e" vm="1">
        <v>#VALUE!</v>
      </c>
      <c r="C1" s="91" t="s">
        <v>256</v>
      </c>
    </row>
    <row r="2" spans="1:16" s="3" customFormat="1" x14ac:dyDescent="0.25"/>
    <row r="3" spans="1:16" x14ac:dyDescent="0.25">
      <c r="C3" s="92"/>
      <c r="D3" s="92"/>
      <c r="E3" s="92"/>
      <c r="F3" s="92"/>
      <c r="G3" s="92"/>
      <c r="H3" s="92"/>
      <c r="I3" s="92"/>
      <c r="J3" s="92"/>
      <c r="K3" s="92"/>
      <c r="L3" s="92"/>
      <c r="M3" s="92"/>
      <c r="N3" s="92"/>
      <c r="O3" s="92"/>
      <c r="P3" s="92"/>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6" t="s">
        <v>254</v>
      </c>
      <c r="E36" s="1" t="e">
        <f>Result_EmissionsForWholeProductionCycle_Gross_Method1</f>
        <v>#NAME?</v>
      </c>
      <c r="F36" s="1" t="e">
        <f>Result_EmissionsForWholeProductionCycle_Gross_Method2</f>
        <v>#NAME?</v>
      </c>
      <c r="G36" s="10" t="s">
        <v>8</v>
      </c>
    </row>
    <row r="37" spans="4:10" x14ac:dyDescent="0.25">
      <c r="D37" s="76" t="s">
        <v>255</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ht="18.75" x14ac:dyDescent="0.25">
      <c r="D42" s="78" t="s">
        <v>146</v>
      </c>
    </row>
    <row r="43" spans="4:10" x14ac:dyDescent="0.25">
      <c r="D43" s="12" t="s">
        <v>133</v>
      </c>
      <c r="E43" s="12" t="s">
        <v>122</v>
      </c>
      <c r="F43" s="12" t="s">
        <v>118</v>
      </c>
      <c r="G43" s="12" t="s">
        <v>143</v>
      </c>
      <c r="H43" s="12" t="s">
        <v>120</v>
      </c>
      <c r="I43" s="12" t="s">
        <v>121</v>
      </c>
      <c r="J43" s="12" t="s">
        <v>119</v>
      </c>
    </row>
    <row r="44" spans="4:10" x14ac:dyDescent="0.25">
      <c r="D44" s="1" t="s">
        <v>283</v>
      </c>
      <c r="E44" s="1" t="s">
        <v>123</v>
      </c>
      <c r="F44" s="1">
        <f>X_Cell_Enterprise_LiveweightSold</f>
        <v>5</v>
      </c>
      <c r="G44" s="1">
        <f>F44/(F44+F46)</f>
        <v>0.83333333333333337</v>
      </c>
      <c r="H44" s="1" t="e">
        <f>(E36/F44)*G44</f>
        <v>#NAME?</v>
      </c>
      <c r="I44" s="1" t="e">
        <f>(F36/F44)*G44</f>
        <v>#NAME?</v>
      </c>
      <c r="J44" s="10" t="s">
        <v>288</v>
      </c>
    </row>
    <row r="45" spans="4:10" x14ac:dyDescent="0.25">
      <c r="D45" s="1" t="s">
        <v>284</v>
      </c>
      <c r="E45" s="1" t="s">
        <v>123</v>
      </c>
      <c r="F45" s="1">
        <f>F44</f>
        <v>5</v>
      </c>
      <c r="G45" s="1">
        <f>G44</f>
        <v>0.83333333333333337</v>
      </c>
      <c r="H45" s="1" t="e">
        <f>(E37/F45)*G45</f>
        <v>#NAME?</v>
      </c>
      <c r="I45" s="1" t="e">
        <f>(F37/F45)*G45</f>
        <v>#NAME?</v>
      </c>
      <c r="J45" s="10" t="s">
        <v>288</v>
      </c>
    </row>
    <row r="46" spans="4:10" x14ac:dyDescent="0.25">
      <c r="D46" s="1" t="s">
        <v>285</v>
      </c>
      <c r="E46" s="1" t="s">
        <v>124</v>
      </c>
      <c r="F46" s="1">
        <f>X_Cell_Enterprise_ManureProduced*X_Cell_Enterprise_PercentManureSold</f>
        <v>1</v>
      </c>
      <c r="G46" s="1">
        <f>F46/(F44+F46)</f>
        <v>0.16666666666666666</v>
      </c>
      <c r="H46" s="1" t="e">
        <f>(E36/F46)*G46</f>
        <v>#NAME?</v>
      </c>
      <c r="I46" s="1" t="e">
        <f>(F36/F46)*G46</f>
        <v>#NAME?</v>
      </c>
      <c r="J46" s="10" t="s">
        <v>289</v>
      </c>
    </row>
    <row r="47" spans="4:10" x14ac:dyDescent="0.25">
      <c r="D47" s="1" t="s">
        <v>286</v>
      </c>
      <c r="E47" s="1" t="s">
        <v>124</v>
      </c>
      <c r="F47" s="1">
        <f>F46</f>
        <v>1</v>
      </c>
      <c r="G47" s="1">
        <f>G46</f>
        <v>0.16666666666666666</v>
      </c>
      <c r="H47" s="97" t="e">
        <f>(E37/F47)*G47</f>
        <v>#NAME?</v>
      </c>
      <c r="I47" s="97" t="e">
        <f>(F37/F47)*G47</f>
        <v>#NAME?</v>
      </c>
      <c r="J47" s="10" t="s">
        <v>289</v>
      </c>
    </row>
    <row r="48" spans="4:10" x14ac:dyDescent="0.25">
      <c r="D48" s="1" t="s">
        <v>287</v>
      </c>
      <c r="E48" s="1" t="s">
        <v>126</v>
      </c>
      <c r="F48" s="1">
        <f>X_Cell_Enterprise_ManureProduced*X_Cell_Enterprise_PercentManureFertiliserOwnFarm</f>
        <v>1</v>
      </c>
      <c r="G48" s="1" t="s">
        <v>125</v>
      </c>
      <c r="H48" s="1" t="s">
        <v>125</v>
      </c>
      <c r="I48" s="1" t="s">
        <v>125</v>
      </c>
      <c r="J48" s="10"/>
    </row>
    <row r="50" spans="4:10" ht="18.75" x14ac:dyDescent="0.25">
      <c r="D50" s="78" t="s">
        <v>147</v>
      </c>
    </row>
    <row r="51" spans="4:10" x14ac:dyDescent="0.25">
      <c r="D51" s="12" t="s">
        <v>133</v>
      </c>
      <c r="E51" s="12" t="s">
        <v>122</v>
      </c>
      <c r="F51" s="12" t="s">
        <v>118</v>
      </c>
      <c r="G51" s="12" t="s">
        <v>142</v>
      </c>
      <c r="H51" s="12" t="s">
        <v>144</v>
      </c>
      <c r="I51" s="12" t="s">
        <v>145</v>
      </c>
      <c r="J51" s="12" t="s">
        <v>119</v>
      </c>
    </row>
    <row r="52" spans="4:10" x14ac:dyDescent="0.25">
      <c r="D52" s="1" t="s">
        <v>283</v>
      </c>
      <c r="E52" s="1" t="s">
        <v>123</v>
      </c>
      <c r="F52" s="1">
        <f>X_Cell_Enterprise_LiveweightSold</f>
        <v>5</v>
      </c>
      <c r="G52" s="1">
        <f>X_Cell_Enterprise_PercentIncomeFromLiveweightSold</f>
        <v>0.8</v>
      </c>
      <c r="H52" s="1" t="e">
        <f>E36*G52/F52</f>
        <v>#NAME?</v>
      </c>
      <c r="I52" s="1" t="e">
        <f>F36*G52/F52</f>
        <v>#NAME?</v>
      </c>
      <c r="J52" s="10" t="s">
        <v>288</v>
      </c>
    </row>
    <row r="53" spans="4:10" x14ac:dyDescent="0.25">
      <c r="D53" s="1" t="s">
        <v>284</v>
      </c>
      <c r="E53" s="1" t="s">
        <v>123</v>
      </c>
      <c r="F53" s="1">
        <f>F52</f>
        <v>5</v>
      </c>
      <c r="G53" s="1">
        <f>G52</f>
        <v>0.8</v>
      </c>
      <c r="H53" s="1" t="e">
        <f>E37*G53/F53</f>
        <v>#NAME?</v>
      </c>
      <c r="I53" s="1" t="e">
        <f>F37*G53/F53</f>
        <v>#NAME?</v>
      </c>
      <c r="J53" s="10" t="s">
        <v>288</v>
      </c>
    </row>
    <row r="54" spans="4:10" x14ac:dyDescent="0.25">
      <c r="D54" s="1" t="s">
        <v>285</v>
      </c>
      <c r="E54" s="1" t="s">
        <v>124</v>
      </c>
      <c r="F54" s="1">
        <f>X_Cell_Enterprise_ManureProduced*X_Cell_Enterprise_PercentManureSold</f>
        <v>1</v>
      </c>
      <c r="G54" s="1">
        <f>X_Cell_Enterprise_PercentIncomeFromManureSold</f>
        <v>0.2</v>
      </c>
      <c r="H54" s="1" t="e">
        <f>E36*G54/F54</f>
        <v>#NAME?</v>
      </c>
      <c r="I54" s="1" t="e">
        <f>F36*G54/F54</f>
        <v>#NAME?</v>
      </c>
      <c r="J54" s="10" t="s">
        <v>289</v>
      </c>
    </row>
    <row r="55" spans="4:10" x14ac:dyDescent="0.25">
      <c r="D55" s="1" t="s">
        <v>286</v>
      </c>
      <c r="E55" s="1" t="s">
        <v>124</v>
      </c>
      <c r="F55" s="1">
        <f>F54</f>
        <v>1</v>
      </c>
      <c r="G55" s="1">
        <f>G54</f>
        <v>0.2</v>
      </c>
      <c r="H55" s="1" t="e">
        <f>E37*G55/F55</f>
        <v>#NAME?</v>
      </c>
      <c r="I55" s="1" t="e">
        <f>F37*G55/F55</f>
        <v>#NAME?</v>
      </c>
      <c r="J55" s="10" t="s">
        <v>289</v>
      </c>
    </row>
    <row r="56" spans="4:10" x14ac:dyDescent="0.25">
      <c r="D56" s="1" t="s">
        <v>287</v>
      </c>
      <c r="E56" s="1" t="s">
        <v>126</v>
      </c>
      <c r="F56" s="1">
        <f>X_Cell_Enterprise_ManureProduced*X_Cell_Enterprise_PercentManureFertiliserOwnFarm</f>
        <v>1</v>
      </c>
      <c r="G56" s="1" t="s">
        <v>125</v>
      </c>
      <c r="H56" s="1" t="s">
        <v>125</v>
      </c>
      <c r="I56" s="1" t="s">
        <v>125</v>
      </c>
      <c r="J56"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67" sqref="E67"/>
    </sheetView>
  </sheetViews>
  <sheetFormatPr defaultColWidth="9.140625" defaultRowHeight="15.75" x14ac:dyDescent="0.25"/>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100000000000001" customHeight="1" x14ac:dyDescent="0.25">
      <c r="A2" s="3"/>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HYPERLINK("#'Results'!A1", "Results")</f>
        <v>Results</v>
      </c>
      <c r="C4" s="30"/>
      <c r="D4" s="30"/>
      <c r="E4" s="30"/>
      <c r="F4" s="30"/>
      <c r="G4" s="30"/>
      <c r="H4" s="30"/>
      <c r="I4" s="30"/>
      <c r="J4" s="30"/>
      <c r="K4" s="30"/>
    </row>
    <row r="5" spans="1:24" ht="20.100000000000001" customHeight="1" x14ac:dyDescent="0.25">
      <c r="D5" s="2" t="s">
        <v>96</v>
      </c>
      <c r="N5" s="31"/>
    </row>
    <row r="6" spans="1:24" ht="20.100000000000001" customHeight="1" x14ac:dyDescent="0.25">
      <c r="A6" s="8" t="s">
        <v>1</v>
      </c>
      <c r="N6" s="33"/>
    </row>
    <row r="7" spans="1:24" ht="20.100000000000001" customHeight="1" x14ac:dyDescent="0.25">
      <c r="A7" s="5" t="str">
        <f>HYPERLINK("#'Input - Site'!A1", "Site")</f>
        <v>Site</v>
      </c>
      <c r="D7" s="43" t="s">
        <v>97</v>
      </c>
      <c r="E7" s="44"/>
      <c r="F7" s="44"/>
      <c r="G7" s="45"/>
    </row>
    <row r="8" spans="1:24" ht="20.100000000000001" customHeight="1" x14ac:dyDescent="0.25">
      <c r="A8" s="5" t="str">
        <f>HYPERLINK("#'Input - Pasture Beef'!A1", "Pasture Beef")</f>
        <v>Pasture Beef</v>
      </c>
      <c r="D8" s="46" t="s">
        <v>98</v>
      </c>
      <c r="E8" s="47"/>
      <c r="F8" s="47"/>
      <c r="G8" s="48"/>
    </row>
    <row r="9" spans="1:24" ht="20.100000000000001" customHeight="1" x14ac:dyDescent="0.25">
      <c r="A9" s="5"/>
      <c r="D9" s="1"/>
      <c r="E9" s="49"/>
      <c r="F9" s="17"/>
      <c r="N9" s="35"/>
    </row>
    <row r="10" spans="1:24" ht="20.100000000000001" customHeight="1" x14ac:dyDescent="0.25">
      <c r="A10" s="7" t="s">
        <v>3</v>
      </c>
      <c r="D10" s="1" t="s">
        <v>99</v>
      </c>
      <c r="E10" s="14" t="s">
        <v>100</v>
      </c>
      <c r="F10" s="17" t="s">
        <v>101</v>
      </c>
      <c r="N10" s="35"/>
    </row>
    <row r="11" spans="1:24" ht="20.100000000000001" customHeight="1" x14ac:dyDescent="0.25">
      <c r="A11" s="5" t="str">
        <f>HYPERLINK("#'4.2.1.1-2 Methane'!A1", "4.2.1.1-2 Methane")</f>
        <v>4.2.1.1-2 Methane</v>
      </c>
      <c r="D11" s="1" t="s">
        <v>102</v>
      </c>
      <c r="E11" s="14" t="s">
        <v>103</v>
      </c>
      <c r="F11" s="17" t="s">
        <v>101</v>
      </c>
      <c r="G11" s="1"/>
      <c r="N11" s="40"/>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4">
        <v>307.7</v>
      </c>
      <c r="F13" s="17" t="s">
        <v>106</v>
      </c>
      <c r="N13" s="42"/>
      <c r="O13" s="42"/>
    </row>
    <row r="14" spans="1:24" ht="20.100000000000001" customHeight="1" x14ac:dyDescent="0.25">
      <c r="A14" s="5" t="str">
        <f>HYPERLINK("#'4.2.1.7-8 Soil leach runoff'!A1", "4.2.1.7-8 Soil leach &amp; runoff")</f>
        <v>4.2.1.7-8 Soil leach &amp; runoff</v>
      </c>
      <c r="D14" s="1" t="s">
        <v>107</v>
      </c>
      <c r="E14" s="34">
        <v>18</v>
      </c>
      <c r="F14" s="17" t="s">
        <v>108</v>
      </c>
      <c r="N14" s="42"/>
      <c r="O14" s="42"/>
    </row>
    <row r="15" spans="1:24" ht="20.100000000000001" customHeight="1" x14ac:dyDescent="0.25">
      <c r="A15" s="5"/>
      <c r="D15" s="1" t="s">
        <v>109</v>
      </c>
      <c r="E15" s="34">
        <v>601</v>
      </c>
      <c r="F15" s="17" t="s">
        <v>110</v>
      </c>
      <c r="N15" s="42"/>
      <c r="O15" s="42"/>
    </row>
    <row r="16" spans="1:24" ht="20.100000000000001" customHeight="1" x14ac:dyDescent="0.25">
      <c r="A16" s="6" t="s">
        <v>2</v>
      </c>
      <c r="D16" s="13" t="s">
        <v>111</v>
      </c>
      <c r="E16" s="34">
        <v>1326</v>
      </c>
      <c r="F16" s="17" t="s">
        <v>110</v>
      </c>
      <c r="N16" s="42"/>
      <c r="O16" s="42"/>
    </row>
    <row r="17" spans="1:25" ht="20.100000000000001" customHeight="1" x14ac:dyDescent="0.25">
      <c r="A17" s="5" t="str">
        <f>HYPERLINK("#'Constants - Pasture Beef'!A1", "Constants - Pasture Beef")</f>
        <v>Constants - Pasture Beef</v>
      </c>
      <c r="D17" s="1" t="s">
        <v>112</v>
      </c>
      <c r="E17" s="34">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5">
      <c r="A23" s="5"/>
    </row>
    <row r="24" spans="1:25" ht="20.100000000000001" customHeight="1" x14ac:dyDescent="0.25">
      <c r="A24" s="5"/>
    </row>
    <row r="25" spans="1:25" ht="20.100000000000001" customHeight="1" x14ac:dyDescent="0.25">
      <c r="A25"/>
      <c r="N25" s="33"/>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1"/>
      <c r="M30" s="51"/>
      <c r="N30" s="51"/>
      <c r="O30" s="51"/>
      <c r="P30" s="51"/>
      <c r="Q30" s="51"/>
      <c r="R30" s="51"/>
      <c r="S30" s="51"/>
      <c r="T30" s="51"/>
      <c r="U30" s="51"/>
      <c r="V30" s="51"/>
      <c r="W30" s="51"/>
      <c r="X30" s="51"/>
      <c r="Y30" s="51"/>
    </row>
    <row r="31" spans="1:25" ht="20.100000000000001" customHeight="1" x14ac:dyDescent="0.25">
      <c r="A31"/>
      <c r="L31" s="52"/>
      <c r="M31" s="52"/>
      <c r="N31" s="52"/>
      <c r="O31" s="52"/>
      <c r="P31" s="52"/>
      <c r="Q31" s="52"/>
      <c r="R31" s="52"/>
      <c r="S31" s="52"/>
      <c r="T31" s="52"/>
      <c r="U31" s="52"/>
      <c r="V31" s="52"/>
      <c r="W31" s="52"/>
      <c r="X31" s="52"/>
      <c r="Y31" s="52"/>
    </row>
    <row r="32" spans="1:25" ht="20.100000000000001" customHeight="1" x14ac:dyDescent="0.25">
      <c r="A32"/>
      <c r="L32" s="52"/>
      <c r="M32" s="52"/>
      <c r="N32" s="52"/>
      <c r="O32" s="52"/>
      <c r="P32" s="52"/>
      <c r="Q32" s="52"/>
      <c r="R32" s="52"/>
      <c r="S32" s="52"/>
      <c r="T32" s="52"/>
      <c r="U32" s="52"/>
      <c r="V32" s="52"/>
      <c r="W32" s="52"/>
      <c r="X32" s="52"/>
      <c r="Y32" s="52"/>
    </row>
    <row r="33" spans="1:25" ht="20.100000000000001" customHeight="1" x14ac:dyDescent="0.25">
      <c r="A33"/>
      <c r="L33" s="52"/>
      <c r="M33" s="52"/>
      <c r="N33" s="52"/>
      <c r="O33" s="52"/>
      <c r="P33" s="52"/>
      <c r="Q33" s="52"/>
      <c r="R33" s="52"/>
      <c r="S33" s="52"/>
      <c r="T33" s="52"/>
      <c r="U33" s="52"/>
      <c r="V33" s="52"/>
      <c r="W33" s="52"/>
      <c r="X33" s="52"/>
      <c r="Y33" s="52"/>
    </row>
    <row r="34" spans="1:25" ht="20.100000000000001" customHeight="1" x14ac:dyDescent="0.25">
      <c r="A34"/>
      <c r="J34" s="54"/>
      <c r="K34" s="55"/>
      <c r="L34" s="52"/>
      <c r="M34" s="52"/>
      <c r="N34" s="52"/>
      <c r="O34" s="52"/>
      <c r="P34" s="52"/>
      <c r="Q34" s="52"/>
      <c r="R34" s="52"/>
      <c r="S34" s="52"/>
      <c r="T34" s="52"/>
      <c r="U34" s="52"/>
      <c r="V34" s="52"/>
      <c r="W34" s="52"/>
      <c r="X34" s="52"/>
      <c r="Y34" s="52"/>
    </row>
    <row r="35" spans="1:25" ht="20.100000000000001" customHeight="1" x14ac:dyDescent="0.25">
      <c r="A35"/>
      <c r="J35" s="54"/>
      <c r="K35" s="55"/>
      <c r="L35" s="52"/>
      <c r="M35" s="52"/>
      <c r="N35" s="52"/>
      <c r="O35" s="52"/>
      <c r="P35" s="52"/>
      <c r="Q35" s="52"/>
      <c r="R35" s="52"/>
      <c r="S35" s="52"/>
      <c r="T35" s="52"/>
      <c r="U35" s="52"/>
      <c r="V35" s="52"/>
      <c r="W35" s="52"/>
      <c r="X35" s="52"/>
      <c r="Y35" s="52"/>
    </row>
    <row r="36" spans="1:25" ht="20.100000000000001"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3"/>
      <c r="E47" s="63"/>
      <c r="F47" s="63"/>
      <c r="G47" s="63"/>
      <c r="H47" s="63"/>
    </row>
    <row r="48" spans="1:25" ht="20.100000000000001" customHeight="1" x14ac:dyDescent="0.25">
      <c r="D48" s="64"/>
      <c r="E48" s="64"/>
      <c r="F48" s="65"/>
      <c r="G48" s="65"/>
      <c r="H48" s="64"/>
    </row>
    <row r="49" spans="4:8" ht="20.100000000000001" customHeight="1" x14ac:dyDescent="0.25">
      <c r="D49" s="64"/>
      <c r="E49" s="64"/>
      <c r="F49" s="65"/>
      <c r="G49" s="65"/>
      <c r="H49" s="64"/>
    </row>
    <row r="50" spans="4:8" ht="20.100000000000001" customHeight="1" x14ac:dyDescent="0.25">
      <c r="D50" s="64"/>
      <c r="E50" s="64"/>
      <c r="F50" s="65"/>
      <c r="G50" s="65"/>
      <c r="H50" s="64"/>
    </row>
    <row r="51" spans="4:8" ht="20.100000000000001" customHeight="1" x14ac:dyDescent="0.25">
      <c r="D51" s="66"/>
      <c r="E51" s="67"/>
      <c r="F51" s="67"/>
      <c r="G51" s="67"/>
      <c r="H51" s="68"/>
    </row>
    <row r="52" spans="4:8" ht="20.100000000000001" customHeight="1" x14ac:dyDescent="0.25"/>
    <row r="53" spans="4:8" ht="20.100000000000001" customHeight="1" x14ac:dyDescent="0.25"/>
    <row r="54" spans="4:8" ht="20.100000000000001" customHeight="1" x14ac:dyDescent="0.25">
      <c r="G54" s="69"/>
    </row>
    <row r="55" spans="4:8" ht="20.100000000000001" customHeight="1" x14ac:dyDescent="0.25">
      <c r="D55" s="2"/>
    </row>
    <row r="56" spans="4:8" ht="20.100000000000001" customHeight="1" x14ac:dyDescent="0.25"/>
    <row r="57" spans="4:8" ht="20.100000000000001" customHeight="1" x14ac:dyDescent="0.25">
      <c r="F57" s="70"/>
    </row>
    <row r="58" spans="4:8" ht="20.100000000000001" customHeight="1" x14ac:dyDescent="0.25">
      <c r="E58" s="71"/>
    </row>
    <row r="59" spans="4:8" ht="20.100000000000001" customHeight="1" x14ac:dyDescent="0.25">
      <c r="E59" s="71"/>
    </row>
    <row r="60" spans="4:8" ht="20.100000000000001" customHeight="1" x14ac:dyDescent="0.25">
      <c r="E60" s="72"/>
    </row>
    <row r="61" spans="4:8" ht="20.100000000000001" customHeight="1" x14ac:dyDescent="0.25"/>
    <row r="62" spans="4:8" ht="20.100000000000001" customHeight="1" x14ac:dyDescent="0.25"/>
    <row r="63" spans="4:8" ht="20.100000000000001" customHeight="1" x14ac:dyDescent="0.25"/>
    <row r="64" spans="4:8" ht="20.100000000000001" customHeight="1" x14ac:dyDescent="0.25">
      <c r="D64" s="1"/>
      <c r="E64" s="71"/>
    </row>
    <row r="65" spans="4:9" ht="20.100000000000001" customHeight="1" x14ac:dyDescent="0.25">
      <c r="D65" s="1"/>
      <c r="E65" s="71"/>
    </row>
    <row r="66" spans="4:9" ht="20.100000000000001" customHeight="1" x14ac:dyDescent="0.25">
      <c r="D66" s="1"/>
      <c r="E66" s="72"/>
    </row>
    <row r="67" spans="4:9" ht="20.100000000000001" customHeight="1" x14ac:dyDescent="0.25"/>
    <row r="68" spans="4:9" ht="20.100000000000001" customHeight="1" x14ac:dyDescent="0.25"/>
    <row r="69" spans="4:9" ht="20.100000000000001" customHeight="1" x14ac:dyDescent="0.25">
      <c r="D69" s="73"/>
      <c r="E69" s="73"/>
      <c r="F69" s="73"/>
      <c r="G69" s="73"/>
      <c r="H69" s="73"/>
      <c r="I69" s="73"/>
    </row>
    <row r="70" spans="4:9" ht="20.100000000000001" customHeight="1" x14ac:dyDescent="0.25">
      <c r="D70" s="73"/>
      <c r="E70" s="73"/>
      <c r="F70" s="73"/>
      <c r="G70" s="73"/>
      <c r="H70" s="73"/>
      <c r="I70" s="73"/>
    </row>
    <row r="71" spans="4:9" ht="20.100000000000001" customHeight="1" x14ac:dyDescent="0.25">
      <c r="D71" s="73"/>
      <c r="E71" s="73"/>
      <c r="F71" s="73"/>
      <c r="G71" s="73"/>
      <c r="H71" s="73"/>
      <c r="I71" s="73"/>
    </row>
    <row r="72" spans="4:9" ht="20.100000000000001" customHeight="1" x14ac:dyDescent="0.25">
      <c r="D72" s="73"/>
      <c r="E72" s="73"/>
      <c r="F72" s="73"/>
      <c r="G72" s="73"/>
      <c r="H72" s="73"/>
      <c r="I72" s="7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78"/>
  <sheetViews>
    <sheetView showGridLines="0" topLeftCell="A14"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8" t="s">
        <v>140</v>
      </c>
      <c r="D1" s="22"/>
      <c r="E1" s="22"/>
      <c r="F1" s="22"/>
      <c r="G1" s="22"/>
      <c r="H1" s="22"/>
      <c r="I1" s="22"/>
      <c r="J1" s="22"/>
    </row>
    <row r="2" spans="3:10" x14ac:dyDescent="0.25">
      <c r="C2" s="3"/>
      <c r="D2" s="3"/>
      <c r="E2" s="3"/>
      <c r="F2" s="3"/>
      <c r="G2" s="3"/>
      <c r="H2" s="3"/>
      <c r="I2" s="3"/>
      <c r="J2" s="3"/>
    </row>
    <row r="3" spans="3:10" ht="20.25" x14ac:dyDescent="0.25">
      <c r="C3" s="29"/>
      <c r="D3" s="29"/>
      <c r="E3" s="29"/>
      <c r="F3" s="29"/>
      <c r="G3" s="29"/>
      <c r="H3" s="29"/>
      <c r="I3" s="29"/>
      <c r="J3" s="29"/>
    </row>
    <row r="5" spans="3:10" ht="23.25" x14ac:dyDescent="0.25">
      <c r="D5" s="2" t="s">
        <v>88</v>
      </c>
      <c r="E5" s="25"/>
      <c r="F5" s="25"/>
      <c r="G5" s="25"/>
    </row>
    <row r="6" spans="3:10" x14ac:dyDescent="0.25">
      <c r="D6" s="32"/>
      <c r="E6" s="25"/>
      <c r="F6" s="25"/>
      <c r="G6" s="25"/>
    </row>
    <row r="7" spans="3:10" x14ac:dyDescent="0.25">
      <c r="D7" s="1" t="s">
        <v>89</v>
      </c>
      <c r="E7" s="34" t="s">
        <v>90</v>
      </c>
      <c r="F7" s="17"/>
      <c r="G7" s="25"/>
    </row>
    <row r="8" spans="3:10" x14ac:dyDescent="0.25">
      <c r="D8" s="13" t="s">
        <v>91</v>
      </c>
      <c r="E8" s="34" t="s">
        <v>92</v>
      </c>
      <c r="F8" s="25"/>
      <c r="G8" s="25"/>
    </row>
    <row r="9" spans="3:10" x14ac:dyDescent="0.25">
      <c r="D9" s="25"/>
      <c r="E9" s="25"/>
      <c r="F9" s="25"/>
      <c r="G9" s="25"/>
    </row>
    <row r="10" spans="3:10" x14ac:dyDescent="0.25">
      <c r="D10" s="36" t="s">
        <v>93</v>
      </c>
      <c r="E10" s="37"/>
      <c r="F10" s="38"/>
      <c r="G10" s="39"/>
    </row>
    <row r="11" spans="3:10" x14ac:dyDescent="0.25">
      <c r="D11" s="25"/>
      <c r="E11" s="25"/>
      <c r="F11" s="25"/>
      <c r="G11" s="25"/>
    </row>
    <row r="12" spans="3:10" x14ac:dyDescent="0.25">
      <c r="D12" s="13" t="s">
        <v>17</v>
      </c>
      <c r="E12" s="15">
        <v>45658</v>
      </c>
      <c r="F12" s="17" t="s">
        <v>94</v>
      </c>
      <c r="G12" s="25"/>
    </row>
    <row r="13" spans="3:10" x14ac:dyDescent="0.25">
      <c r="D13" s="13" t="s">
        <v>18</v>
      </c>
      <c r="E13" s="41">
        <f>DATE(YEAR(E12)+1,MONTH(E12),DAY(E12))-1</f>
        <v>46022</v>
      </c>
      <c r="F13" s="17" t="s">
        <v>95</v>
      </c>
      <c r="G13" s="25"/>
    </row>
    <row r="14" spans="3:10" x14ac:dyDescent="0.25">
      <c r="F14" s="25"/>
      <c r="G14" s="25"/>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267</v>
      </c>
      <c r="E22" s="77">
        <f>SUM(Table_Input_LivestockSales[Total liveweight sold])*10^-3</f>
        <v>5</v>
      </c>
      <c r="F22" s="17" t="s">
        <v>20</v>
      </c>
    </row>
    <row r="23" spans="4:6" x14ac:dyDescent="0.25">
      <c r="D23" s="1" t="s">
        <v>268</v>
      </c>
      <c r="E23" s="75">
        <v>10</v>
      </c>
      <c r="F23" s="17" t="s">
        <v>20</v>
      </c>
    </row>
    <row r="24" spans="4:6" x14ac:dyDescent="0.25">
      <c r="D24" s="1" t="s">
        <v>281</v>
      </c>
      <c r="E24" s="19">
        <v>0.1</v>
      </c>
      <c r="F24" s="17" t="s">
        <v>141</v>
      </c>
    </row>
    <row r="25" spans="4:6" x14ac:dyDescent="0.25">
      <c r="D25" s="1" t="s">
        <v>282</v>
      </c>
      <c r="E25" s="19">
        <v>0.1</v>
      </c>
      <c r="F25" s="17" t="s">
        <v>141</v>
      </c>
    </row>
    <row r="27" spans="4:6" x14ac:dyDescent="0.25">
      <c r="D27" s="1" t="s">
        <v>279</v>
      </c>
      <c r="E27" s="19">
        <v>0.8</v>
      </c>
      <c r="F27" s="17" t="s">
        <v>141</v>
      </c>
    </row>
    <row r="28" spans="4:6" x14ac:dyDescent="0.25">
      <c r="D28" s="1" t="s">
        <v>280</v>
      </c>
      <c r="E28" s="19">
        <v>0.2</v>
      </c>
      <c r="F28" s="17" t="s">
        <v>141</v>
      </c>
    </row>
    <row r="31" spans="4:6" ht="23.25" x14ac:dyDescent="0.25">
      <c r="D31" s="2" t="s">
        <v>229</v>
      </c>
    </row>
    <row r="34" spans="4:7" ht="18.75" x14ac:dyDescent="0.25">
      <c r="D34" s="78" t="str">
        <f>"Carbon captured from " &amp; TEXT(X_Cell_Site_StartDate, "d mmmm yyyy") &amp; " to " &amp; TEXT(X_Cell_Site_EndDate, "d, mmmm, yyyy") &amp; " from environmental plantings"</f>
        <v>Carbon captured from 1 January 2025 to 31, December, 2025 from environmental plantings</v>
      </c>
    </row>
    <row r="36" spans="4:7" x14ac:dyDescent="0.25">
      <c r="D36" s="20" t="s">
        <v>230</v>
      </c>
      <c r="E36" s="20" t="s">
        <v>231</v>
      </c>
      <c r="F36" s="20" t="s">
        <v>232</v>
      </c>
      <c r="G36" s="79" t="s">
        <v>233</v>
      </c>
    </row>
    <row r="37" spans="4:7" x14ac:dyDescent="0.25">
      <c r="D37" s="34"/>
      <c r="E37" s="75"/>
      <c r="F37" s="19"/>
      <c r="G37" s="1">
        <f>Table_Input_Enterprise_PlantingRemovals[[#This Row],[Total removed CO2]]*Table_Input_Enterprise_PlantingRemovals[[#This Row],[Percent allocated to this enterprise]]</f>
        <v>0</v>
      </c>
    </row>
    <row r="41" spans="4:7" ht="23.25" x14ac:dyDescent="0.25">
      <c r="D41" s="2" t="s">
        <v>234</v>
      </c>
    </row>
    <row r="43" spans="4:7" ht="18.75" x14ac:dyDescent="0.25">
      <c r="D43"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5" spans="4:7" x14ac:dyDescent="0.25">
      <c r="D45" s="88"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4:7" x14ac:dyDescent="0.25">
      <c r="D46" s="1" t="s">
        <v>235</v>
      </c>
    </row>
    <row r="48" spans="4:7" x14ac:dyDescent="0.25">
      <c r="D48" s="79" t="s">
        <v>116</v>
      </c>
      <c r="E48" s="79" t="s">
        <v>11</v>
      </c>
      <c r="F48" s="79" t="s">
        <v>12</v>
      </c>
    </row>
    <row r="49" spans="4:7" x14ac:dyDescent="0.25">
      <c r="D49" s="1" t="str" cm="1">
        <f t="array" ref="D49:D50">Common_InputFunctions.getOverlappingReportingPeriods(X_Cell_Enterprise_ProductionTimeframeStart,X_Cell_Enterprise_ProductionTimeframeEnd,X_Cell_Site_StartDate)</f>
        <v>01 Jan 2025 to 31 Dec 2025 (This reporting cycle)</v>
      </c>
      <c r="E49" s="75" t="e">
        <f>IF(ISBLANK($D49), 0, IF(ISNUMBER(SEARCH("reporting", $D49)), Result_Enterprise_Gross_Method1, "Enter value"))</f>
        <v>#NAME?</v>
      </c>
      <c r="F49" s="75" t="e">
        <f>IF(ISBLANK($D49), 0, IF(ISNUMBER(SEARCH("reporting", $D49)), Result_Enterprise_Gross_Method2, "Enter value"))</f>
        <v>#NAME?</v>
      </c>
      <c r="G49" s="10" t="s">
        <v>8</v>
      </c>
    </row>
    <row r="50" spans="4:7" x14ac:dyDescent="0.25">
      <c r="D50" s="1" t="str">
        <v>01 Jan 2026 to 31 Dec 2026</v>
      </c>
      <c r="E50" s="75" t="str">
        <f>IF(ISBLANK($D50), 0, IF(ISNUMBER(SEARCH("reporting", $D50)), Result_Enterprise_Gross_Method1, "Enter value"))</f>
        <v>Enter value</v>
      </c>
      <c r="F50" s="75" t="str">
        <f>IF(ISBLANK($D50), 0, IF(ISNUMBER(SEARCH("reporting", $D50)), Result_Enterprise_Gross_Method2, "Enter value"))</f>
        <v>Enter value</v>
      </c>
      <c r="G50" s="10" t="s">
        <v>8</v>
      </c>
    </row>
    <row r="51" spans="4:7" x14ac:dyDescent="0.25">
      <c r="E51" s="75">
        <f>IF(ISBLANK($D51), 0, IF(ISNUMBER(SEARCH("reporting", $D51)), Result_Enterprise_Gross_Method1, "Enter value"))</f>
        <v>0</v>
      </c>
      <c r="F51" s="75">
        <f>IF(ISBLANK($D51), 0, IF(ISNUMBER(SEARCH("reporting", $D51)), Result_Enterprise_Gross_Method2, "Enter value"))</f>
        <v>0</v>
      </c>
      <c r="G51" s="10" t="s">
        <v>8</v>
      </c>
    </row>
    <row r="52" spans="4:7" x14ac:dyDescent="0.25">
      <c r="E52" s="75">
        <f>IF(ISBLANK($D52), 0, IF(ISNUMBER(SEARCH("reporting", $D52)), Result_Enterprise_Gross_Method1, "Enter value"))</f>
        <v>0</v>
      </c>
      <c r="F52" s="75">
        <f>IF(ISBLANK($D52), 0, IF(ISNUMBER(SEARCH("reporting", $D52)), Result_Enterprise_Gross_Method2, "Enter value"))</f>
        <v>0</v>
      </c>
      <c r="G52" s="10" t="s">
        <v>8</v>
      </c>
    </row>
    <row r="53" spans="4:7" x14ac:dyDescent="0.25">
      <c r="E53" s="75">
        <f>IF(ISBLANK($D53), 0, IF(ISNUMBER(SEARCH("reporting", $D53)), Result_Enterprise_Gross_Method1, "Enter value"))</f>
        <v>0</v>
      </c>
      <c r="F53" s="75">
        <f>IF(ISBLANK($D53), 0, IF(ISNUMBER(SEARCH("reporting", $D53)), Result_Enterprise_Gross_Method2, "Enter value"))</f>
        <v>0</v>
      </c>
      <c r="G53" s="10" t="s">
        <v>8</v>
      </c>
    </row>
    <row r="54" spans="4:7" x14ac:dyDescent="0.25">
      <c r="D54" s="89" t="s">
        <v>129</v>
      </c>
      <c r="E54" s="84" t="e">
        <f>SUM(E49:E53)</f>
        <v>#NAME?</v>
      </c>
      <c r="F54" s="84" t="e">
        <f>SUM(F49:F53)</f>
        <v>#NAME?</v>
      </c>
      <c r="G54" s="90" t="s">
        <v>8</v>
      </c>
    </row>
    <row r="59" spans="4:7" ht="18.75" x14ac:dyDescent="0.25">
      <c r="D59"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4:7" x14ac:dyDescent="0.25">
      <c r="D61" s="79" t="s">
        <v>116</v>
      </c>
      <c r="E61" s="79" t="s">
        <v>127</v>
      </c>
      <c r="F61" s="79"/>
    </row>
    <row r="62" spans="4:7" x14ac:dyDescent="0.25">
      <c r="D62" s="1" t="str" cm="1">
        <f t="array" ref="D62:D63">Common_InputFunctions.getOverlappingReportingPeriods(X_Cell_Enterprise_ProductionTimeframeStart,X_Cell_Enterprise_ProductionTimeframeEnd,X_Cell_Site_StartDate)</f>
        <v>01 Jan 2025 to 31 Dec 2025 (This reporting cycle)</v>
      </c>
      <c r="E62" s="75">
        <f>IF(ISBLANK($D62), 0, IF(ISNUMBER(SEARCH("reporting", $D62)), SUM(Table_Input_Enterprise_PlantingRemovals[Removal allocated to this enterprise]), "Enter value"))</f>
        <v>0</v>
      </c>
      <c r="F62" s="10" t="s">
        <v>128</v>
      </c>
    </row>
    <row r="63" spans="4:7" x14ac:dyDescent="0.25">
      <c r="D63" s="1" t="str">
        <v>01 Jan 2026 to 31 Dec 2026</v>
      </c>
      <c r="E63" s="75" t="str">
        <f>IF(ISBLANK($D63), 0, IF(ISNUMBER(SEARCH("reporting", $D63)), SUM(Table_Input_Enterprise_PlantingRemovals[Removal allocated to this enterprise]), "Enter value"))</f>
        <v>Enter value</v>
      </c>
      <c r="F63" s="10" t="s">
        <v>128</v>
      </c>
    </row>
    <row r="64" spans="4:7" x14ac:dyDescent="0.25">
      <c r="E64" s="75">
        <f>IF(ISBLANK($D64), 0, IF(ISNUMBER(SEARCH("reporting", $D64)), SUM(Table_Input_Enterprise_PlantingRemovals[Removal allocated to this enterprise]), "Enter value"))</f>
        <v>0</v>
      </c>
      <c r="F64" s="10" t="s">
        <v>128</v>
      </c>
    </row>
    <row r="65" spans="4:7" x14ac:dyDescent="0.25">
      <c r="E65" s="75">
        <f>IF(ISBLANK($D65), 0, IF(ISNUMBER(SEARCH("reporting", $D65)), SUM(Table_Input_Enterprise_PlantingRemovals[Removal allocated to this enterprise]), "Enter value"))</f>
        <v>0</v>
      </c>
      <c r="F65" s="10" t="s">
        <v>128</v>
      </c>
    </row>
    <row r="66" spans="4:7" x14ac:dyDescent="0.25">
      <c r="E66" s="75">
        <f>IF(ISBLANK($D66), 0, IF(ISNUMBER(SEARCH("reporting", $D66)), SUM(Table_Input_Enterprise_PlantingRemovals[Removal allocated to this enterprise]), "Enter value"))</f>
        <v>0</v>
      </c>
      <c r="F66" s="10" t="s">
        <v>128</v>
      </c>
    </row>
    <row r="67" spans="4:7" x14ac:dyDescent="0.25">
      <c r="D67" s="89" t="s">
        <v>130</v>
      </c>
      <c r="E67" s="84">
        <f>SUM(E62:E66)</f>
        <v>0</v>
      </c>
      <c r="F67" s="90" t="s">
        <v>128</v>
      </c>
    </row>
    <row r="70" spans="4:7" ht="18.75" x14ac:dyDescent="0.25">
      <c r="D70"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4:7" x14ac:dyDescent="0.25">
      <c r="D72" s="79" t="s">
        <v>116</v>
      </c>
      <c r="E72" s="79" t="s">
        <v>11</v>
      </c>
      <c r="F72" s="79" t="s">
        <v>12</v>
      </c>
    </row>
    <row r="73" spans="4:7" x14ac:dyDescent="0.25">
      <c r="D73" s="1" t="str" cm="1">
        <f t="array" ref="D73:D74">Common_InputFunctions.getOverlappingReportingPeriods(X_Cell_Enterprise_ProductionTimeframeStart,X_Cell_Enterprise_ProductionTimeframeEnd,X_Cell_Site_StartDate)</f>
        <v>01 Jan 2025 to 31 Dec 2025 (This reporting cycle)</v>
      </c>
      <c r="E73" s="75" t="e">
        <f t="shared" ref="E73" si="0">IF(ISBLANK($D73), 0, IF(ISNUMBER(SEARCH("reporting", $D73)), E49-$E$62, "Enter value"))</f>
        <v>#NAME?</v>
      </c>
      <c r="F73" s="75" t="e">
        <f>IF(ISBLANK($D73), 0, IF(ISNUMBER(SEARCH("reporting", $D73)), F49-$E$62, "Enter value"))</f>
        <v>#NAME?</v>
      </c>
      <c r="G73" s="10" t="s">
        <v>8</v>
      </c>
    </row>
    <row r="74" spans="4:7" x14ac:dyDescent="0.25">
      <c r="D74" s="1" t="str">
        <v>01 Jan 2026 to 31 Dec 2026</v>
      </c>
      <c r="E74" s="75" t="str">
        <f>IF(ISBLANK($D74), 0, IF(ISNUMBER(SEARCH("reporting", $D74)), E50-$E$63, "Enter value"))</f>
        <v>Enter value</v>
      </c>
      <c r="F74" s="75" t="str">
        <f>IF(ISBLANK($D74), 0, IF(ISNUMBER(SEARCH("reporting", $D74)), F50-$E$63, "Enter value"))</f>
        <v>Enter value</v>
      </c>
      <c r="G74" s="10" t="s">
        <v>8</v>
      </c>
    </row>
    <row r="75" spans="4:7" x14ac:dyDescent="0.25">
      <c r="E75" s="75">
        <f>IF(ISBLANK($D75), 0, IF(ISNUMBER(SEARCH("reporting", $D75)), E51-$E$64, "Enter value"))</f>
        <v>0</v>
      </c>
      <c r="F75" s="75">
        <f>IF(ISBLANK($D75), 0, IF(ISNUMBER(SEARCH("reporting", $D75)), F51-$E$64, "Enter value"))</f>
        <v>0</v>
      </c>
      <c r="G75" s="10" t="s">
        <v>8</v>
      </c>
    </row>
    <row r="76" spans="4:7" x14ac:dyDescent="0.25">
      <c r="E76" s="75">
        <f>IF(ISBLANK($D76), 0, IF(ISNUMBER(SEARCH("reporting", $D76)), E52-$E$65, "Enter value"))</f>
        <v>0</v>
      </c>
      <c r="F76" s="75">
        <f>IF(ISBLANK($D76), 0, IF(ISNUMBER(SEARCH("reporting", $D76)), F52-$E$65, "Enter value"))</f>
        <v>0</v>
      </c>
      <c r="G76" s="10" t="s">
        <v>8</v>
      </c>
    </row>
    <row r="77" spans="4:7" x14ac:dyDescent="0.25">
      <c r="E77" s="75">
        <f>IF(ISBLANK($D77), 0, IF(ISNUMBER(SEARCH("reporting", $D77)), E53-$E$66, "Enter value"))</f>
        <v>0</v>
      </c>
      <c r="F77" s="75">
        <f>IF(ISBLANK($D77), 0, IF(ISNUMBER(SEARCH("reporting", $D77)), F53-$E$66, "Enter value"))</f>
        <v>0</v>
      </c>
      <c r="G77" s="10" t="s">
        <v>8</v>
      </c>
    </row>
    <row r="78" spans="4:7" x14ac:dyDescent="0.25">
      <c r="D78" s="89" t="s">
        <v>129</v>
      </c>
      <c r="E78" s="84" t="e">
        <f>SUM(E73:E77)</f>
        <v>#NAME?</v>
      </c>
      <c r="F78" s="84" t="e">
        <f>SUM(F73:F77)</f>
        <v>#NAME?</v>
      </c>
      <c r="G78" s="90"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C1:M45"/>
  <sheetViews>
    <sheetView showGridLines="0" workbookViewId="0">
      <selection activeCell="E29" sqref="E29"/>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3:13" s="11" customFormat="1" ht="30" customHeight="1" x14ac:dyDescent="0.35">
      <c r="C1" s="11" t="s">
        <v>258</v>
      </c>
    </row>
    <row r="2" spans="3:13" s="3" customFormat="1" ht="20.100000000000001" customHeight="1" x14ac:dyDescent="0.25"/>
    <row r="3" spans="3:13" ht="20.100000000000001" customHeight="1" x14ac:dyDescent="0.25">
      <c r="C3" s="29"/>
      <c r="D3" s="29"/>
      <c r="E3" s="29"/>
      <c r="F3" s="29"/>
      <c r="G3" s="29"/>
      <c r="H3" s="29"/>
      <c r="I3" s="29"/>
      <c r="J3" s="29"/>
      <c r="K3" s="29"/>
      <c r="L3" s="29"/>
      <c r="M3" s="29"/>
    </row>
    <row r="4" spans="3:13" ht="20.100000000000001" customHeight="1" x14ac:dyDescent="0.25"/>
    <row r="5" spans="3:13" ht="20.100000000000001" customHeight="1" x14ac:dyDescent="0.25">
      <c r="D5" s="88" t="s">
        <v>259</v>
      </c>
    </row>
    <row r="6" spans="3:13" ht="20.100000000000001" customHeight="1" x14ac:dyDescent="0.25">
      <c r="D6" s="20" t="s">
        <v>260</v>
      </c>
      <c r="E6" s="20" t="s">
        <v>261</v>
      </c>
      <c r="F6" s="20" t="s">
        <v>262</v>
      </c>
      <c r="G6" s="20" t="s">
        <v>263</v>
      </c>
      <c r="H6" s="20" t="s">
        <v>264</v>
      </c>
      <c r="I6" s="20" t="s">
        <v>265</v>
      </c>
    </row>
    <row r="7" spans="3:13" ht="20.100000000000001" customHeight="1" x14ac:dyDescent="0.25">
      <c r="D7" s="34"/>
      <c r="E7" s="14" t="s">
        <v>266</v>
      </c>
      <c r="F7" s="98">
        <v>45566</v>
      </c>
      <c r="G7" s="20">
        <v>10</v>
      </c>
      <c r="H7" s="20">
        <v>500</v>
      </c>
      <c r="I7" s="16">
        <f t="shared" ref="I7:I16" si="0">G7*H7</f>
        <v>5000</v>
      </c>
    </row>
    <row r="8" spans="3:13" ht="20.100000000000001" customHeight="1" x14ac:dyDescent="0.25">
      <c r="D8" s="34"/>
      <c r="E8" s="14"/>
      <c r="F8" s="98"/>
      <c r="G8" s="20"/>
      <c r="H8" s="20"/>
      <c r="I8" s="16">
        <f t="shared" si="0"/>
        <v>0</v>
      </c>
    </row>
    <row r="9" spans="3:13" ht="20.100000000000001" customHeight="1" x14ac:dyDescent="0.25">
      <c r="D9" s="34"/>
      <c r="E9" s="14"/>
      <c r="F9" s="98"/>
      <c r="G9" s="20"/>
      <c r="H9" s="20"/>
      <c r="I9" s="16">
        <f t="shared" si="0"/>
        <v>0</v>
      </c>
    </row>
    <row r="10" spans="3:13" ht="20.100000000000001" customHeight="1" x14ac:dyDescent="0.25">
      <c r="D10" s="34"/>
      <c r="E10" s="14"/>
      <c r="F10" s="98"/>
      <c r="G10" s="20"/>
      <c r="H10" s="20"/>
      <c r="I10" s="16">
        <f t="shared" si="0"/>
        <v>0</v>
      </c>
    </row>
    <row r="11" spans="3:13" ht="20.100000000000001" customHeight="1" x14ac:dyDescent="0.25">
      <c r="D11" s="34"/>
      <c r="E11" s="14"/>
      <c r="F11" s="98"/>
      <c r="G11" s="20"/>
      <c r="H11" s="20"/>
      <c r="I11" s="16">
        <f t="shared" si="0"/>
        <v>0</v>
      </c>
    </row>
    <row r="12" spans="3:13" ht="20.100000000000001" customHeight="1" x14ac:dyDescent="0.25">
      <c r="D12" s="34"/>
      <c r="E12" s="14"/>
      <c r="F12" s="98"/>
      <c r="G12" s="20"/>
      <c r="H12" s="20"/>
      <c r="I12" s="16">
        <f t="shared" si="0"/>
        <v>0</v>
      </c>
    </row>
    <row r="13" spans="3:13" ht="20.100000000000001" customHeight="1" x14ac:dyDescent="0.25">
      <c r="D13" s="34"/>
      <c r="E13" s="14"/>
      <c r="F13" s="98"/>
      <c r="G13" s="20"/>
      <c r="H13" s="20"/>
      <c r="I13" s="16">
        <f t="shared" si="0"/>
        <v>0</v>
      </c>
    </row>
    <row r="14" spans="3:13" ht="20.100000000000001" customHeight="1" x14ac:dyDescent="0.25">
      <c r="D14" s="34"/>
      <c r="E14" s="14"/>
      <c r="F14" s="98"/>
      <c r="G14" s="20"/>
      <c r="H14" s="20"/>
      <c r="I14" s="16">
        <f t="shared" si="0"/>
        <v>0</v>
      </c>
    </row>
    <row r="15" spans="3:13" ht="20.100000000000001" customHeight="1" x14ac:dyDescent="0.25">
      <c r="D15" s="34"/>
      <c r="E15" s="14"/>
      <c r="F15" s="98"/>
      <c r="G15" s="20"/>
      <c r="H15" s="20"/>
      <c r="I15" s="16">
        <f t="shared" si="0"/>
        <v>0</v>
      </c>
    </row>
    <row r="16" spans="3:13" ht="20.100000000000001" customHeight="1" x14ac:dyDescent="0.25">
      <c r="D16" s="34"/>
      <c r="E16" s="14"/>
      <c r="F16" s="98"/>
      <c r="G16" s="20"/>
      <c r="H16" s="20"/>
      <c r="I16" s="16">
        <f t="shared" si="0"/>
        <v>0</v>
      </c>
    </row>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sheetData>
  <dataValidations count="1">
    <dataValidation type="list" allowBlank="1" showInputMessage="1" showErrorMessage="1" sqref="E7:E16" xr:uid="{083DF14A-00E2-452A-8599-A053B3BDEC80}">
      <formula1>INDIRECT("Table_LivestockClasses_Swine[Livestock class]")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58"/>
  <sheetViews>
    <sheetView showGridLines="0" tabSelected="1" zoomScaleNormal="100" workbookViewId="0">
      <selection activeCell="D58" sqref="D58:E58"/>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148</v>
      </c>
    </row>
    <row r="2" spans="3:13" s="3" customFormat="1" x14ac:dyDescent="0.25"/>
    <row r="3" spans="3:13" ht="20.25" x14ac:dyDescent="0.25">
      <c r="C3" s="29"/>
      <c r="D3" s="29"/>
      <c r="E3" s="29"/>
      <c r="F3" s="29"/>
      <c r="G3" s="29"/>
      <c r="H3" s="29"/>
      <c r="I3" s="29"/>
      <c r="J3" s="29"/>
      <c r="K3" s="29"/>
      <c r="L3" s="29"/>
      <c r="M3" s="29"/>
    </row>
    <row r="5" spans="3:13" ht="23.25" x14ac:dyDescent="0.25">
      <c r="D5" s="2" t="s">
        <v>220</v>
      </c>
    </row>
    <row r="7" spans="3:13" x14ac:dyDescent="0.25">
      <c r="D7" s="79" t="s">
        <v>221</v>
      </c>
      <c r="E7" s="79" t="s">
        <v>222</v>
      </c>
      <c r="F7" s="79" t="s">
        <v>223</v>
      </c>
      <c r="G7" s="79" t="s">
        <v>224</v>
      </c>
      <c r="H7" s="79" t="s">
        <v>149</v>
      </c>
      <c r="I7" s="79" t="s">
        <v>150</v>
      </c>
      <c r="J7" s="79" t="s">
        <v>151</v>
      </c>
    </row>
    <row r="8" spans="3:13" x14ac:dyDescent="0.25">
      <c r="D8" s="1" t="str">
        <f>"Liveweight sold"</f>
        <v>Liveweight sold</v>
      </c>
      <c r="E8" s="14" t="s">
        <v>200</v>
      </c>
      <c r="F8" s="14" t="s">
        <v>205</v>
      </c>
      <c r="G8" s="14" t="s">
        <v>210</v>
      </c>
      <c r="H8" s="83"/>
      <c r="I8" s="83"/>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"Manure produced"</f>
        <v>Manure produced</v>
      </c>
      <c r="E9" s="14" t="s">
        <v>201</v>
      </c>
      <c r="F9" s="14" t="s">
        <v>206</v>
      </c>
      <c r="G9" s="14" t="s">
        <v>211</v>
      </c>
      <c r="H9" s="83"/>
      <c r="I9" s="83"/>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c r="D10" s="1" t="str">
        <f>"Manure sold"</f>
        <v>Manure sold</v>
      </c>
      <c r="E10" s="14" t="s">
        <v>202</v>
      </c>
      <c r="F10" s="14" t="s">
        <v>207</v>
      </c>
      <c r="G10" s="14" t="s">
        <v>211</v>
      </c>
      <c r="H10" s="83"/>
      <c r="I10" s="83"/>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c r="D11" s="1" t="str">
        <f>"Percent income from liveweight sold"</f>
        <v>Percent income from liveweight sold</v>
      </c>
      <c r="E11" s="14" t="s">
        <v>204</v>
      </c>
      <c r="F11" s="14" t="s">
        <v>209</v>
      </c>
      <c r="G11" s="14" t="s">
        <v>214</v>
      </c>
      <c r="H11" s="83"/>
      <c r="I11" s="83"/>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3:13" x14ac:dyDescent="0.25">
      <c r="D12" s="1" t="str">
        <f>"Percent income from manure sold"</f>
        <v>Percent income from manure sold</v>
      </c>
      <c r="E12" s="14" t="s">
        <v>200</v>
      </c>
      <c r="F12" s="14" t="s">
        <v>206</v>
      </c>
      <c r="G12" s="14" t="s">
        <v>210</v>
      </c>
      <c r="H12" s="83"/>
      <c r="I12" s="83"/>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3:13" x14ac:dyDescent="0.25">
      <c r="J14" s="84">
        <f>SUM(Table_Input_DataQuality_Enterprise[Score])</f>
        <v>54</v>
      </c>
    </row>
    <row r="15" spans="3:13" ht="23.25" x14ac:dyDescent="0.25">
      <c r="D15" s="2" t="s">
        <v>225</v>
      </c>
    </row>
    <row r="17" spans="4:10" x14ac:dyDescent="0.25">
      <c r="D17" s="79" t="s">
        <v>221</v>
      </c>
      <c r="E17" s="79" t="s">
        <v>222</v>
      </c>
      <c r="F17" s="79" t="s">
        <v>223</v>
      </c>
      <c r="G17" s="79" t="s">
        <v>224</v>
      </c>
      <c r="H17" s="79" t="s">
        <v>149</v>
      </c>
      <c r="I17" s="79" t="s">
        <v>150</v>
      </c>
      <c r="J17" s="79" t="s">
        <v>151</v>
      </c>
    </row>
    <row r="18" spans="4:10" x14ac:dyDescent="0.25">
      <c r="D18" s="1" t="str">
        <f>"Leaching zone"</f>
        <v>Leaching zone</v>
      </c>
      <c r="E18" s="14" t="s">
        <v>201</v>
      </c>
      <c r="F18" s="14" t="s">
        <v>207</v>
      </c>
      <c r="G18" s="14" t="s">
        <v>210</v>
      </c>
      <c r="H18" s="83"/>
      <c r="I18" s="83"/>
      <c r="J18"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4:10" x14ac:dyDescent="0.25">
      <c r="D19" s="1" t="str">
        <f>"Elevation"</f>
        <v>Elevation</v>
      </c>
      <c r="E19" s="14" t="s">
        <v>201</v>
      </c>
      <c r="F19" s="14" t="s">
        <v>207</v>
      </c>
      <c r="G19" s="14" t="s">
        <v>210</v>
      </c>
      <c r="H19" s="83"/>
      <c r="I19" s="83"/>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"Average temperature for reporting period"</f>
        <v>Average temperature for reporting period</v>
      </c>
      <c r="E20" s="14" t="s">
        <v>201</v>
      </c>
      <c r="F20" s="14" t="s">
        <v>207</v>
      </c>
      <c r="G20" s="14" t="s">
        <v>210</v>
      </c>
      <c r="H20" s="83"/>
      <c r="I20" s="83"/>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"Total rainfall for reporting period"</f>
        <v>Total rainfall for reporting period</v>
      </c>
      <c r="E21" s="14" t="s">
        <v>200</v>
      </c>
      <c r="F21" s="14" t="s">
        <v>206</v>
      </c>
      <c r="G21" s="14" t="s">
        <v>210</v>
      </c>
      <c r="H21" s="83"/>
      <c r="I21" s="83"/>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4:10" x14ac:dyDescent="0.25">
      <c r="D22" s="1" t="str">
        <f>"Potential evapotranspiration for reporting period"</f>
        <v>Potential evapotranspiration for reporting period</v>
      </c>
      <c r="E22" s="14" t="s">
        <v>201</v>
      </c>
      <c r="F22" s="14" t="s">
        <v>207</v>
      </c>
      <c r="G22" s="14" t="s">
        <v>210</v>
      </c>
      <c r="H22" s="83"/>
      <c r="I22" s="83"/>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c r="D23" s="1" t="str">
        <f>"Number of frost days for reporting period"</f>
        <v>Number of frost days for reporting period</v>
      </c>
      <c r="E23" s="85" t="s">
        <v>202</v>
      </c>
      <c r="F23" s="85" t="s">
        <v>207</v>
      </c>
      <c r="G23" s="85" t="s">
        <v>210</v>
      </c>
      <c r="H23" s="83"/>
      <c r="I23" s="83"/>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4:10" x14ac:dyDescent="0.25">
      <c r="J25" s="84">
        <f>SUM(Table_Input_DataQuality_Site[Score])</f>
        <v>73</v>
      </c>
    </row>
    <row r="26" spans="4:10" ht="23.25" x14ac:dyDescent="0.25">
      <c r="D26" s="2" t="s">
        <v>269</v>
      </c>
    </row>
    <row r="28" spans="4:10" x14ac:dyDescent="0.25">
      <c r="D28" s="79" t="s">
        <v>221</v>
      </c>
      <c r="E28" s="79" t="s">
        <v>222</v>
      </c>
      <c r="F28" s="79" t="s">
        <v>223</v>
      </c>
      <c r="G28" s="79" t="s">
        <v>224</v>
      </c>
      <c r="H28" s="79" t="s">
        <v>149</v>
      </c>
      <c r="I28" s="79" t="s">
        <v>150</v>
      </c>
      <c r="J28" s="79" t="s">
        <v>151</v>
      </c>
    </row>
    <row r="29" spans="4:10" x14ac:dyDescent="0.25">
      <c r="D29" s="1" t="str">
        <f>"Head count"</f>
        <v>Head count</v>
      </c>
      <c r="E29" s="14" t="s">
        <v>200</v>
      </c>
      <c r="F29" s="14" t="s">
        <v>206</v>
      </c>
      <c r="G29" s="14" t="s">
        <v>210</v>
      </c>
      <c r="H29" s="83"/>
      <c r="I29" s="83"/>
      <c r="J2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4:10" x14ac:dyDescent="0.25">
      <c r="D30" s="1" t="str">
        <f>"Duration of stay"</f>
        <v>Duration of stay</v>
      </c>
      <c r="E30" s="14"/>
      <c r="F30" s="14"/>
      <c r="G30" s="14"/>
      <c r="H30" s="83"/>
      <c r="I30" s="83"/>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4:10" x14ac:dyDescent="0.25">
      <c r="D31" s="1" t="str">
        <f>"Volatile solid production"</f>
        <v>Volatile solid production</v>
      </c>
      <c r="E31" s="14" t="s">
        <v>200</v>
      </c>
      <c r="F31" s="14" t="s">
        <v>206</v>
      </c>
      <c r="G31" s="14" t="s">
        <v>210</v>
      </c>
      <c r="H31" s="83"/>
      <c r="I31" s="83"/>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"Nitrogen in waste"</f>
        <v>Nitrogen in waste</v>
      </c>
      <c r="E32" s="14" t="s">
        <v>200</v>
      </c>
      <c r="F32" s="14" t="s">
        <v>206</v>
      </c>
      <c r="G32" s="14" t="s">
        <v>210</v>
      </c>
      <c r="H32" s="83"/>
      <c r="I32" s="83"/>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tr">
        <f>"Production and manure management systems"</f>
        <v>Production and manure management systems</v>
      </c>
      <c r="E33" s="14" t="s">
        <v>200</v>
      </c>
      <c r="F33" s="14" t="s">
        <v>206</v>
      </c>
      <c r="G33" s="14" t="s">
        <v>210</v>
      </c>
      <c r="H33" s="83"/>
      <c r="I33" s="83"/>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4:10" x14ac:dyDescent="0.25">
      <c r="D34" s="1" t="str">
        <f>"Livestock sales"</f>
        <v>Livestock sales</v>
      </c>
      <c r="E34" s="14"/>
      <c r="F34" s="14"/>
      <c r="G34" s="14"/>
      <c r="H34" s="83"/>
      <c r="I34" s="83"/>
      <c r="J34"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4:10" x14ac:dyDescent="0.25">
      <c r="D35" s="1" t="str">
        <f>"Livestock purchases"</f>
        <v>Livestock purchases</v>
      </c>
      <c r="E35" s="14"/>
      <c r="F35" s="14"/>
      <c r="G35" s="14"/>
      <c r="H35" s="83"/>
      <c r="I35" s="83"/>
      <c r="J35"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7" spans="4:10" x14ac:dyDescent="0.25">
      <c r="J37" s="84">
        <f>SUM(Table_Input_DataQuality_PastureManagement[Score])</f>
        <v>56</v>
      </c>
    </row>
    <row r="38" spans="4:10" ht="23.25" x14ac:dyDescent="0.25">
      <c r="D38" s="2" t="s">
        <v>226</v>
      </c>
    </row>
    <row r="40" spans="4:10" x14ac:dyDescent="0.25">
      <c r="D40" s="79" t="s">
        <v>221</v>
      </c>
      <c r="E40" s="79" t="s">
        <v>222</v>
      </c>
      <c r="F40" s="79" t="s">
        <v>223</v>
      </c>
      <c r="G40" s="79" t="s">
        <v>224</v>
      </c>
      <c r="H40" s="79" t="s">
        <v>149</v>
      </c>
      <c r="I40" s="79" t="s">
        <v>150</v>
      </c>
      <c r="J40" s="79" t="s">
        <v>151</v>
      </c>
    </row>
    <row r="41" spans="4:10" x14ac:dyDescent="0.25">
      <c r="D41" s="1" t="str">
        <f>"Fuel purchases"</f>
        <v>Fuel purchases</v>
      </c>
      <c r="E41" s="14" t="s">
        <v>200</v>
      </c>
      <c r="F41" s="14" t="s">
        <v>206</v>
      </c>
      <c r="G41" s="14" t="s">
        <v>211</v>
      </c>
      <c r="H41" s="83"/>
      <c r="I41" s="83"/>
      <c r="J4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2" spans="4:10" x14ac:dyDescent="0.25">
      <c r="D42" s="1" t="str">
        <f>"Fuel consumption"</f>
        <v>Fuel consumption</v>
      </c>
      <c r="E42" s="14" t="s">
        <v>200</v>
      </c>
      <c r="F42" s="14" t="s">
        <v>206</v>
      </c>
      <c r="G42" s="14" t="s">
        <v>210</v>
      </c>
      <c r="H42" s="83"/>
      <c r="I42" s="83"/>
      <c r="J42"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3" spans="4:10" x14ac:dyDescent="0.25">
      <c r="D43" s="1" t="str">
        <f>"Electricity consumption"</f>
        <v>Electricity consumption</v>
      </c>
      <c r="E43" s="14" t="s">
        <v>200</v>
      </c>
      <c r="F43" s="14" t="s">
        <v>206</v>
      </c>
      <c r="G43" s="14" t="s">
        <v>210</v>
      </c>
      <c r="H43" s="83"/>
      <c r="I43" s="83"/>
      <c r="J43"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4" spans="4:10" x14ac:dyDescent="0.25">
      <c r="D44" s="1" t="str">
        <f>"Electricity generation"</f>
        <v>Electricity generation</v>
      </c>
      <c r="E44" s="14" t="s">
        <v>200</v>
      </c>
      <c r="F44" s="14" t="s">
        <v>206</v>
      </c>
      <c r="G44" s="14" t="s">
        <v>210</v>
      </c>
      <c r="H44" s="83"/>
      <c r="I44" s="83"/>
      <c r="J44"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6" spans="4:10" x14ac:dyDescent="0.25">
      <c r="J46" s="84">
        <f>SUM(Table_Input_DataQuality_FuelElectricity[Score])</f>
        <v>55</v>
      </c>
    </row>
    <row r="48" spans="4:10" ht="23.25" x14ac:dyDescent="0.25">
      <c r="D48" s="2" t="s">
        <v>227</v>
      </c>
    </row>
    <row r="50" spans="4:10" x14ac:dyDescent="0.25">
      <c r="D50" s="79" t="s">
        <v>221</v>
      </c>
      <c r="E50" s="79" t="s">
        <v>222</v>
      </c>
      <c r="F50" s="79" t="s">
        <v>223</v>
      </c>
      <c r="G50" s="79" t="s">
        <v>224</v>
      </c>
      <c r="H50" s="79" t="s">
        <v>149</v>
      </c>
      <c r="I50" s="79" t="s">
        <v>150</v>
      </c>
      <c r="J50" s="79" t="s">
        <v>151</v>
      </c>
    </row>
    <row r="51" spans="4:10" x14ac:dyDescent="0.25">
      <c r="D51" s="1" t="str">
        <f>"Farm input purchases"</f>
        <v>Farm input purchases</v>
      </c>
      <c r="E51" s="14" t="s">
        <v>200</v>
      </c>
      <c r="F51" s="14" t="s">
        <v>206</v>
      </c>
      <c r="G51" s="14" t="s">
        <v>211</v>
      </c>
      <c r="H51" s="83"/>
      <c r="I51" s="83"/>
      <c r="J5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2" spans="4:10" x14ac:dyDescent="0.25">
      <c r="D52" s="1" t="str">
        <f>"Inbound freight use"</f>
        <v>Inbound freight use</v>
      </c>
      <c r="E52" s="14" t="s">
        <v>200</v>
      </c>
      <c r="F52" s="14" t="s">
        <v>206</v>
      </c>
      <c r="G52" s="14" t="s">
        <v>210</v>
      </c>
      <c r="H52" s="83"/>
      <c r="I52" s="83"/>
      <c r="J52"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3" spans="4:10" x14ac:dyDescent="0.25">
      <c r="D53" s="1" t="str">
        <f>"Outbound freight use"</f>
        <v>Outbound freight use</v>
      </c>
      <c r="E53" s="14" t="s">
        <v>200</v>
      </c>
      <c r="F53" s="14" t="s">
        <v>206</v>
      </c>
      <c r="G53" s="14" t="s">
        <v>210</v>
      </c>
      <c r="H53" s="83"/>
      <c r="I53" s="83"/>
      <c r="J53"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4" spans="4:10" x14ac:dyDescent="0.25">
      <c r="D54" s="1" t="str">
        <f>"Use of contractors and service providers"</f>
        <v>Use of contractors and service providers</v>
      </c>
      <c r="E54" s="14"/>
      <c r="F54" s="14"/>
      <c r="G54" s="14"/>
      <c r="H54" s="83"/>
      <c r="I54" s="83"/>
      <c r="J54"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5" spans="4:10" x14ac:dyDescent="0.25">
      <c r="D55" s="1" t="str">
        <f>"Solid waste generation and treatment"</f>
        <v>Solid waste generation and treatment</v>
      </c>
      <c r="E55" s="14" t="s">
        <v>200</v>
      </c>
      <c r="F55" s="14" t="s">
        <v>206</v>
      </c>
      <c r="G55" s="14" t="s">
        <v>210</v>
      </c>
      <c r="H55" s="83"/>
      <c r="I55" s="83"/>
      <c r="J55"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4:10" x14ac:dyDescent="0.25">
      <c r="J57" s="84">
        <f>SUM(Table_Input_DataQuality_FarmInputsFreightWaste[Score])</f>
        <v>55</v>
      </c>
    </row>
    <row r="58" spans="4:10" ht="20.25" x14ac:dyDescent="0.25">
      <c r="D58" s="86" t="s">
        <v>228</v>
      </c>
      <c r="E58" s="87" t="str">
        <f>(J14+J25+J37+J46+J57)&amp;" out of "&amp;((COUNT(Table_Input_DataQuality_Enterprise[Score])*15)+(COUNT(Table_Input_DataQuality_Site[Score])*15)+(COUNT(Table_Input_DataQuality_PastureManagement[Score])*15)+(COUNT(Table_Input_DataQuality_FuelElectricity[Score])*15)+(COUNT(Table_Input_DataQuality_FarmInputsFreightWaste[Score])*15))</f>
        <v>293 out of 405</v>
      </c>
    </row>
  </sheetData>
  <dataValidations count="3">
    <dataValidation type="list" allowBlank="1" showInputMessage="1" showErrorMessage="1" sqref="G18:G23 G41:G44 G8:G12 G29:G35 G51:G55" xr:uid="{97D978E2-EFFF-4D26-AA9B-97907606C063}">
      <formula1>INDIRECT("Table_SourceData_DataQuality_SampleSize[User friendly description]")</formula1>
    </dataValidation>
    <dataValidation type="list" allowBlank="1" showInputMessage="1" showErrorMessage="1" sqref="E18:E23 E41:E44 E8:E12 E29:E35 E51:E55" xr:uid="{6365A925-6C5F-4576-82C6-82C3A3309F18}">
      <formula1>INDIRECT("Table_SourceData_DataQuality_TemporalRepresentativeness[User friendly description]")</formula1>
    </dataValidation>
    <dataValidation type="list" allowBlank="1" showInputMessage="1" showErrorMessage="1" sqref="F18:F23 F41:F44 F8:F12 F29:F35 F51:F55"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c r="BM4" s="25"/>
    </row>
    <row r="5" spans="1:65" ht="20.100000000000001" customHeight="1" x14ac:dyDescent="0.25">
      <c r="A5"/>
      <c r="D5" s="2" t="str" cm="1">
        <f t="array" ref="D5">Common_SourceData.Common_SourceData_AustralianStatesTerritories_Title()</f>
        <v>Australian states and territories</v>
      </c>
      <c r="BM5" s="25"/>
    </row>
    <row r="6" spans="1:65" ht="20.100000000000001" customHeight="1" x14ac:dyDescent="0.25">
      <c r="A6" s="81" t="s">
        <v>2</v>
      </c>
      <c r="D6" s="20" t="s">
        <v>22</v>
      </c>
      <c r="E6" s="20" t="s">
        <v>23</v>
      </c>
      <c r="F6" s="20" t="s">
        <v>24</v>
      </c>
    </row>
    <row r="7" spans="1:65" ht="20.100000000000001" customHeight="1" x14ac:dyDescent="0.25">
      <c r="A7" s="82"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0" t="s">
        <v>25</v>
      </c>
    </row>
    <row r="21" spans="1:4" ht="20.100000000000001" customHeight="1" x14ac:dyDescent="0.25">
      <c r="A21"/>
      <c r="D21" s="20" t="str" cm="1">
        <f t="array" ref="D21">Common_InputFunctions.Utility_DisplayArrayInTable(Common_SourceData.Common_SourceData_WASA4Areas_Data(), Table_WASA4Areas[[#Headers],[SA 4 Name]], 0)</f>
        <v>Bunbury</v>
      </c>
    </row>
    <row r="22" spans="1:4" ht="20.100000000000001" customHeight="1" x14ac:dyDescent="0.25">
      <c r="A22"/>
      <c r="D22" s="20" t="str" cm="1">
        <f t="array" ref="D22">Common_InputFunctions.Utility_DisplayArrayInTable(Common_SourceData.Common_SourceData_WASA4Areas_Data(), Table_WASA4Areas[[#Headers],[SA 4 Name]], 0)</f>
        <v>Mandurah</v>
      </c>
    </row>
    <row r="23" spans="1:4" ht="20.100000000000001" customHeight="1" x14ac:dyDescent="0.25">
      <c r="A23"/>
      <c r="D23" s="20" t="str" cm="1">
        <f t="array" ref="D23">Common_InputFunctions.Utility_DisplayArrayInTable(Common_SourceData.Common_SourceData_WASA4Areas_Data(), Table_WASA4Areas[[#Headers],[SA 4 Name]], 0)</f>
        <v>Perth - Inner</v>
      </c>
    </row>
    <row r="24" spans="1:4" ht="20.100000000000001" customHeight="1" x14ac:dyDescent="0.25">
      <c r="A24"/>
      <c r="D24" s="20" t="str" cm="1">
        <f t="array" ref="D24">Common_InputFunctions.Utility_DisplayArrayInTable(Common_SourceData.Common_SourceData_WASA4Areas_Data(), Table_WASA4Areas[[#Headers],[SA 4 Name]], 0)</f>
        <v>Perth - North East</v>
      </c>
    </row>
    <row r="25" spans="1:4" ht="20.100000000000001" customHeight="1" x14ac:dyDescent="0.25">
      <c r="A25"/>
      <c r="D25" s="20" t="str" cm="1">
        <f t="array" ref="D25">Common_InputFunctions.Utility_DisplayArrayInTable(Common_SourceData.Common_SourceData_WASA4Areas_Data(), Table_WASA4Areas[[#Headers],[SA 4 Name]], 0)</f>
        <v>Perth - North West</v>
      </c>
    </row>
    <row r="26" spans="1:4" ht="20.100000000000001" customHeight="1" x14ac:dyDescent="0.25">
      <c r="A26"/>
      <c r="D26" s="20" t="str" cm="1">
        <f t="array" ref="D26">Common_InputFunctions.Utility_DisplayArrayInTable(Common_SourceData.Common_SourceData_WASA4Areas_Data(), Table_WASA4Areas[[#Headers],[SA 4 Name]], 0)</f>
        <v>Perth - South East</v>
      </c>
    </row>
    <row r="27" spans="1:4" ht="20.100000000000001" customHeight="1" x14ac:dyDescent="0.25">
      <c r="A27"/>
      <c r="D27" s="20" t="str" cm="1">
        <f t="array" ref="D27">Common_InputFunctions.Utility_DisplayArrayInTable(Common_SourceData.Common_SourceData_WASA4Areas_Data(), Table_WASA4Areas[[#Headers],[SA 4 Name]], 0)</f>
        <v>Perth - South West</v>
      </c>
    </row>
    <row r="28" spans="1:4" ht="20.100000000000001" customHeight="1" x14ac:dyDescent="0.25">
      <c r="A28"/>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0" t="s">
        <v>26</v>
      </c>
      <c r="E36" s="20" t="s">
        <v>27</v>
      </c>
    </row>
    <row r="37" spans="1:8" ht="20.100000000000001"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0" t="s">
        <v>26</v>
      </c>
      <c r="E47" s="20" t="s">
        <v>28</v>
      </c>
      <c r="F47" s="20" t="s">
        <v>29</v>
      </c>
      <c r="G47" s="20" t="s">
        <v>30</v>
      </c>
      <c r="H47" s="20" t="s">
        <v>31</v>
      </c>
    </row>
    <row r="48" spans="1:8" ht="20.100000000000001"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6" t="str" cm="1">
        <f t="array" ref="D59:D61">"⚠️" &amp; Common_SourceData.Common_SourceData_WetAndDryZones_Variation()</f>
        <v>⚠️VARIATION OF SOURCE DATA:</v>
      </c>
    </row>
    <row r="60" spans="1:8" ht="20.100000000000001" customHeight="1" x14ac:dyDescent="0.25">
      <c r="A60"/>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32</v>
      </c>
      <c r="E63" s="20" t="s">
        <v>33</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49</v>
      </c>
      <c r="E109" s="20" t="s">
        <v>34</v>
      </c>
      <c r="F109" s="20" t="s">
        <v>50</v>
      </c>
      <c r="G109" s="20" t="s">
        <v>51</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8"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52</v>
      </c>
      <c r="E119" s="20" t="s">
        <v>53</v>
      </c>
      <c r="F119" s="20" t="s">
        <v>41</v>
      </c>
      <c r="G119" s="20" t="s">
        <v>42</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54</v>
      </c>
      <c r="E127" s="20" t="s">
        <v>55</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58</v>
      </c>
      <c r="E142" s="20" t="s">
        <v>57</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8"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59</v>
      </c>
      <c r="E153" s="20" t="s">
        <v>60</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8" t="str" cm="1">
        <f t="array" ref="D168">Common_SourceData.Common_SourceData_EFleach_Source()</f>
        <v>VEERG 2026:5.5.2.3 Constant Parameters</v>
      </c>
      <c r="BN168" s="22"/>
      <c r="BO168" s="22"/>
      <c r="BP168" s="22"/>
    </row>
    <row r="169" spans="4:68" ht="20.100000000000001" customHeight="1" x14ac:dyDescent="0.25">
      <c r="D169" s="18"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8"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8" t="str" cm="1">
        <f t="array" ref="D179">Common_SourceData.Common_SourceData_EFN2O_Source()</f>
        <v>VEERG 2026: Table A.2.2.1</v>
      </c>
      <c r="BN179" s="22"/>
      <c r="BO179" s="22"/>
      <c r="BP179" s="22"/>
    </row>
    <row r="180" spans="4:68" ht="20.100000000000001" customHeight="1" x14ac:dyDescent="0.25">
      <c r="D180" s="10"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61</v>
      </c>
      <c r="E186" s="20" t="s">
        <v>62</v>
      </c>
      <c r="F186" s="20" t="s">
        <v>63</v>
      </c>
      <c r="G186" s="20" t="s">
        <v>64</v>
      </c>
      <c r="H186" s="20" t="s">
        <v>65</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0" t="s">
        <v>32</v>
      </c>
      <c r="E206" s="20" t="s">
        <v>66</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67</v>
      </c>
      <c r="E212" s="20" t="s">
        <v>68</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0" t="s">
        <v>85</v>
      </c>
      <c r="E257" s="20" t="s">
        <v>86</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155</v>
      </c>
    </row>
    <row r="264" spans="4:66" x14ac:dyDescent="0.25">
      <c r="D264" s="1" t="s">
        <v>156</v>
      </c>
    </row>
    <row r="265" spans="4:66" x14ac:dyDescent="0.25">
      <c r="D265" s="20" t="s">
        <v>199</v>
      </c>
      <c r="E265" s="20" t="s">
        <v>157</v>
      </c>
      <c r="F265" s="20" t="s">
        <v>158</v>
      </c>
      <c r="G265" s="20" t="s">
        <v>151</v>
      </c>
      <c r="V265" s="1"/>
      <c r="BN265" s="22"/>
    </row>
    <row r="266" spans="4:66" x14ac:dyDescent="0.25">
      <c r="D266" s="20" t="s">
        <v>200</v>
      </c>
      <c r="E266" s="20" t="s">
        <v>159</v>
      </c>
      <c r="F266" s="20" t="s">
        <v>160</v>
      </c>
      <c r="G266" s="20">
        <v>5</v>
      </c>
      <c r="V266" s="1"/>
      <c r="BN266" s="22"/>
    </row>
    <row r="267" spans="4:66" x14ac:dyDescent="0.25">
      <c r="D267" s="20" t="s">
        <v>201</v>
      </c>
      <c r="E267" s="20" t="s">
        <v>161</v>
      </c>
      <c r="F267" s="20" t="s">
        <v>152</v>
      </c>
      <c r="G267" s="20">
        <v>4</v>
      </c>
      <c r="V267" s="1"/>
      <c r="BN267" s="22"/>
    </row>
    <row r="268" spans="4:66" x14ac:dyDescent="0.25">
      <c r="D268" s="20" t="s">
        <v>202</v>
      </c>
      <c r="E268" s="20" t="s">
        <v>162</v>
      </c>
      <c r="F268" s="20" t="s">
        <v>163</v>
      </c>
      <c r="G268" s="20">
        <v>3</v>
      </c>
      <c r="V268" s="1"/>
      <c r="BN268" s="22"/>
    </row>
    <row r="269" spans="4:66" x14ac:dyDescent="0.25">
      <c r="D269" s="20" t="s">
        <v>203</v>
      </c>
      <c r="E269" s="20" t="s">
        <v>164</v>
      </c>
      <c r="F269" s="20" t="s">
        <v>165</v>
      </c>
      <c r="G269" s="20">
        <v>2</v>
      </c>
      <c r="V269" s="1"/>
      <c r="BN269" s="22"/>
    </row>
    <row r="270" spans="4:66" x14ac:dyDescent="0.25">
      <c r="D270" s="20" t="s">
        <v>204</v>
      </c>
      <c r="E270" s="20" t="s">
        <v>166</v>
      </c>
      <c r="F270" s="20" t="s">
        <v>167</v>
      </c>
      <c r="G270" s="20">
        <v>1</v>
      </c>
      <c r="V270" s="1"/>
      <c r="BN270" s="22"/>
    </row>
    <row r="273" spans="4:66" x14ac:dyDescent="0.25">
      <c r="D273" s="1" t="s">
        <v>168</v>
      </c>
    </row>
    <row r="274" spans="4:66" x14ac:dyDescent="0.25">
      <c r="D274" s="20" t="s">
        <v>199</v>
      </c>
      <c r="E274" s="20" t="s">
        <v>157</v>
      </c>
      <c r="F274" s="20" t="s">
        <v>158</v>
      </c>
      <c r="G274" s="20" t="s">
        <v>151</v>
      </c>
      <c r="V274" s="1"/>
      <c r="BN274" s="22"/>
    </row>
    <row r="275" spans="4:66" x14ac:dyDescent="0.25">
      <c r="D275" s="20" t="s">
        <v>205</v>
      </c>
      <c r="E275" s="20" t="s">
        <v>169</v>
      </c>
      <c r="F275" s="20" t="s">
        <v>153</v>
      </c>
      <c r="G275" s="20">
        <v>5</v>
      </c>
      <c r="V275" s="1"/>
      <c r="BN275" s="22"/>
    </row>
    <row r="276" spans="4:66" x14ac:dyDescent="0.25">
      <c r="D276" s="20" t="s">
        <v>206</v>
      </c>
      <c r="E276" s="20" t="s">
        <v>170</v>
      </c>
      <c r="F276" s="20" t="s">
        <v>171</v>
      </c>
      <c r="G276" s="20">
        <v>4</v>
      </c>
      <c r="V276" s="1"/>
      <c r="BN276" s="22"/>
    </row>
    <row r="277" spans="4:66" x14ac:dyDescent="0.25">
      <c r="D277" s="20" t="s">
        <v>207</v>
      </c>
      <c r="E277" s="20" t="s">
        <v>172</v>
      </c>
      <c r="F277" s="20" t="s">
        <v>173</v>
      </c>
      <c r="G277" s="20">
        <v>3</v>
      </c>
      <c r="V277" s="1"/>
      <c r="BN277" s="22"/>
    </row>
    <row r="278" spans="4:66" x14ac:dyDescent="0.25">
      <c r="D278" s="20" t="s">
        <v>208</v>
      </c>
      <c r="E278" s="20" t="s">
        <v>174</v>
      </c>
      <c r="F278" s="20" t="s">
        <v>175</v>
      </c>
      <c r="G278" s="20">
        <v>2</v>
      </c>
      <c r="V278" s="1"/>
      <c r="BN278" s="22"/>
    </row>
    <row r="279" spans="4:66" x14ac:dyDescent="0.25">
      <c r="D279" s="20" t="s">
        <v>209</v>
      </c>
      <c r="E279" s="20" t="s">
        <v>176</v>
      </c>
      <c r="F279" s="20" t="s">
        <v>177</v>
      </c>
      <c r="G279" s="20">
        <v>1</v>
      </c>
      <c r="V279" s="1"/>
      <c r="BN279" s="22"/>
    </row>
    <row r="282" spans="4:66" x14ac:dyDescent="0.25">
      <c r="D282" s="1" t="s">
        <v>178</v>
      </c>
    </row>
    <row r="283" spans="4:66" x14ac:dyDescent="0.25">
      <c r="D283" s="20" t="s">
        <v>199</v>
      </c>
      <c r="E283" s="20" t="s">
        <v>157</v>
      </c>
      <c r="F283" s="20" t="s">
        <v>158</v>
      </c>
      <c r="G283" s="20" t="s">
        <v>151</v>
      </c>
      <c r="V283" s="1"/>
      <c r="BN283" s="22"/>
    </row>
    <row r="284" spans="4:66" x14ac:dyDescent="0.25">
      <c r="D284" s="20" t="s">
        <v>210</v>
      </c>
      <c r="E284" s="20" t="s">
        <v>179</v>
      </c>
      <c r="F284" s="20" t="s">
        <v>180</v>
      </c>
      <c r="G284" s="20">
        <v>5</v>
      </c>
      <c r="V284" s="1"/>
      <c r="BN284" s="22"/>
    </row>
    <row r="285" spans="4:66" x14ac:dyDescent="0.25">
      <c r="D285" s="20" t="s">
        <v>211</v>
      </c>
      <c r="E285" s="20" t="s">
        <v>181</v>
      </c>
      <c r="F285" s="20" t="s">
        <v>182</v>
      </c>
      <c r="G285" s="20">
        <v>4</v>
      </c>
      <c r="V285" s="1"/>
      <c r="BN285" s="22"/>
    </row>
    <row r="286" spans="4:66" x14ac:dyDescent="0.25">
      <c r="D286" s="20" t="s">
        <v>212</v>
      </c>
      <c r="E286" s="20" t="s">
        <v>183</v>
      </c>
      <c r="F286" s="20" t="s">
        <v>154</v>
      </c>
      <c r="G286" s="20">
        <v>3</v>
      </c>
      <c r="V286" s="1"/>
      <c r="BN286" s="22"/>
    </row>
    <row r="287" spans="4:66" x14ac:dyDescent="0.25">
      <c r="D287" s="20" t="s">
        <v>213</v>
      </c>
      <c r="E287" s="20" t="s">
        <v>184</v>
      </c>
      <c r="F287" s="20" t="s">
        <v>185</v>
      </c>
      <c r="G287" s="20">
        <v>2</v>
      </c>
      <c r="V287" s="1"/>
      <c r="BN287" s="22"/>
    </row>
    <row r="288" spans="4:66" x14ac:dyDescent="0.25">
      <c r="D288" s="20" t="s">
        <v>214</v>
      </c>
      <c r="E288" s="20" t="s">
        <v>186</v>
      </c>
      <c r="F288" s="20" t="s">
        <v>187</v>
      </c>
      <c r="G288" s="20">
        <v>1</v>
      </c>
      <c r="V288" s="1"/>
      <c r="BN288" s="22"/>
    </row>
    <row r="291" spans="4:66" x14ac:dyDescent="0.25">
      <c r="D291" s="1" t="s">
        <v>188</v>
      </c>
    </row>
    <row r="292" spans="4:66" x14ac:dyDescent="0.25">
      <c r="D292" s="20" t="s">
        <v>199</v>
      </c>
      <c r="E292" s="20" t="s">
        <v>157</v>
      </c>
      <c r="F292" s="20" t="s">
        <v>158</v>
      </c>
      <c r="G292" s="20" t="s">
        <v>151</v>
      </c>
      <c r="V292" s="1"/>
      <c r="BN292" s="22"/>
    </row>
    <row r="293" spans="4:66" x14ac:dyDescent="0.25">
      <c r="D293" s="20" t="s">
        <v>215</v>
      </c>
      <c r="E293" s="20" t="s">
        <v>189</v>
      </c>
      <c r="F293" s="20" t="s">
        <v>190</v>
      </c>
      <c r="G293" s="20">
        <v>5</v>
      </c>
      <c r="V293" s="1"/>
      <c r="BN293" s="22"/>
    </row>
    <row r="294" spans="4:66" x14ac:dyDescent="0.25">
      <c r="D294" s="20" t="s">
        <v>216</v>
      </c>
      <c r="E294" s="20" t="s">
        <v>191</v>
      </c>
      <c r="F294" s="20" t="s">
        <v>192</v>
      </c>
      <c r="G294" s="20">
        <v>4</v>
      </c>
      <c r="V294" s="1"/>
      <c r="BN294" s="22"/>
    </row>
    <row r="295" spans="4:66" x14ac:dyDescent="0.25">
      <c r="D295" s="20" t="s">
        <v>217</v>
      </c>
      <c r="E295" s="20" t="s">
        <v>193</v>
      </c>
      <c r="F295" s="20" t="s">
        <v>194</v>
      </c>
      <c r="G295" s="20">
        <v>3</v>
      </c>
      <c r="V295" s="1"/>
      <c r="BN295" s="22"/>
    </row>
    <row r="296" spans="4:66" x14ac:dyDescent="0.25">
      <c r="D296" s="20" t="s">
        <v>218</v>
      </c>
      <c r="E296" s="20" t="s">
        <v>195</v>
      </c>
      <c r="F296" s="20" t="s">
        <v>196</v>
      </c>
      <c r="G296" s="20">
        <v>2</v>
      </c>
      <c r="V296" s="1"/>
      <c r="BN296" s="22"/>
    </row>
    <row r="297" spans="4:66" x14ac:dyDescent="0.25">
      <c r="D297" s="20" t="s">
        <v>219</v>
      </c>
      <c r="E297" s="20" t="s">
        <v>197</v>
      </c>
      <c r="F297" s="20" t="s">
        <v>198</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46</vt:i4>
      </vt:variant>
    </vt:vector>
  </HeadingPairs>
  <TitlesOfParts>
    <vt:vector size="54" baseType="lpstr">
      <vt:lpstr>Home</vt:lpstr>
      <vt:lpstr>Results - Activity period</vt:lpstr>
      <vt:lpstr>Results - Product EI</vt:lpstr>
      <vt:lpstr>Input - Site</vt:lpstr>
      <vt:lpstr>Input - Enterprise</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2026-09-01T01:46:31Z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