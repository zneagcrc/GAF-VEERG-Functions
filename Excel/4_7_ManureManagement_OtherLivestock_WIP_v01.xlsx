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9CD2718A-4524-40C0-BDFA-699878C85453}" xr6:coauthVersionLast="47" xr6:coauthVersionMax="47" xr10:uidLastSave="{00000000-0000-0000-0000-000000000000}"/>
  <bookViews>
    <workbookView xWindow="1170" yWindow="1170" windowWidth="28800" windowHeight="15345" firstSheet="1" activeTab="3" xr2:uid="{992023F3-CAB7-4E5B-A348-08D563A0EF40}"/>
  </bookViews>
  <sheets>
    <sheet name="Home" sheetId="71" r:id="rId1"/>
    <sheet name="Overview" sheetId="100" r:id="rId2"/>
    <sheet name="Results" sheetId="13" r:id="rId3"/>
    <sheet name="Input - Site" sheetId="15" r:id="rId4"/>
    <sheet name="Input - Other Livestock" sheetId="70" r:id="rId5"/>
    <sheet name="4.7.1.1-2 Manure Methane" sheetId="69" r:id="rId6"/>
    <sheet name="4.7.1.3-4 Soil Direct N2O" sheetId="102" r:id="rId7"/>
    <sheet name="4.7.1.5-6 Soil Atmos Deposition" sheetId="103" r:id="rId8"/>
    <sheet name="4.7.1.7-8 Soil Leaching Runoff" sheetId="104" r:id="rId9"/>
    <sheet name="Constants - Other Livestock" sheetId="79" r:id="rId10"/>
    <sheet name="Constants - Livestock" sheetId="43" r:id="rId11"/>
    <sheet name="Constants - Common" sheetId="109" r:id="rId12"/>
    <sheet name="Acknowledgements" sheetId="72" r:id="rId13"/>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1">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1">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1">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1">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1">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
    _xlfn.MAKEARRAY(9, 2,
      _xlfn.LAMBDA(_xlpm.r,_xlpm.c,
        INDEX({"Product","Source region";"Cattle, for manufacturing beef","Australia";"Cattle, for prime beef","NSW";"Cattle, weaners","NT";"","QLD";"","SA";"","TAS";"","VIC";"","WA"}, _xlpm.r, _xlpm.c)
      )
    )
  )</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
    _xlfn.MAKEARRAY(2, 2,
      _xlfn.LAMBDA(_xlpm.r,_xlpm.c,
        INDEX({"Product","Source region";"Chickens","Australia"}, _xlpm.r, _xlpm.c)
      )
    )
  )</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
    _xlfn.MAKEARRAY(2, 2,
      _xlfn.LAMBDA(_xlpm.r,_xlpm.c,
        INDEX({"Product","Source region";"Dairy cows","VIC"}, _xlpm.r, _xlpm.c)
      )
    )
  )</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
    _xlfn.MAKEARRAY(2, 2,
      _xlfn.LAMBDA(_xlpm.r,_xlpm.c,
        INDEX({"Product","Source region";"Pigs","Australia"}, _xlpm.r, _xlpm.c)
      )
    )
  )</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
    _xlfn.MAKEARRAY(8, 2,
      _xlfn.LAMBDA(_xlpm.r,_xlpm.c,
        INDEX({"Product","Source region";"Sheep, for mutton","Australia";"Sheep, for prime lamb","NSW";"","QLD";"","SA";"","TAS";"","VIC";"","WA"}, _xlpm.r, _xlpm.c)
      )
    )
  )</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E_CH4">'4.7.1.1-2 Manure Methane'!$N$103:$P$111</definedName>
    <definedName name="M1_Table_E_CH4_Consumer_1">'4.7.1.1-2 Manure Methane'!$D$103:$F$111</definedName>
    <definedName name="M1_Table_M_j_m">'4.7.1.1-2 Manure Methane'!$D$64:$F$72</definedName>
    <definedName name="M1_Table_MCF_i_m">'4.7.1.1-2 Manure Methane'!$D$58:$E$60</definedName>
    <definedName name="M2_Table_M_j_m">'4.7.1.1-2 Manure Methane'!$N$64:$P$72</definedName>
    <definedName name="M2_Table_MCF_i_m">'4.7.1.1-2 Manure Methane'!$N$58:$O$60</definedName>
    <definedName name="MMS_OtherLivestock_Methane_Equations.VEERG_4_7_1_1__1_TotalAnnualMethaneProductionFromManureManagementOtherLivestock">_xlfn.LAMBDA(_xlpm.N_j,_xlpm.M_jm, SUM(_xlpm.N_j * _xlpm.M_jm * 365) * 10 ^ -3)</definedName>
    <definedName name="MMS_OtherLivestock_Methane_Equations.VEERG_4_7_1_1__1_TotalAnnualMethaneProductionFromManureManagementOtherLivestock_Arguments">_xlfn.LAMBDA(_xlfn.MAKEARRAY(4, 4, _xlfn.LAMBDA(_xlpm.r,_xlpm.c, INDEX({"N_j","average annual number of livestock per livestock type j","head","Input";"M_jm","annual methane production from manure management","kg CH4/head/day","Calculated from 4.7.1.1, (2)";"j","livestock type","","Input";"m","manure management system","","Input"}, _xlpm.r, _xlpm.c))))</definedName>
    <definedName name="MMS_OtherLivestock_Methane_Equations.VEERG_4_7_1_1__1_TotalAnnualMethaneProductionFromManureManagementOtherLivestock_LatexEquation">_xlfn.LAMBDA("E_{CH4}=\sum\nolimits_j\sum\nolimits_m(N_j\times M_jm\times 365)\times 10^{-3}")</definedName>
    <definedName name="MMS_OtherLivestock_Methane_Equations.VEERG_4_7_1_1__1_TotalAnnualMethaneProductionFromManureManagementOtherLivestock_NIRReference">_xlfn.LAMBDA("")</definedName>
    <definedName name="MMS_OtherLivestock_Methane_Equations.VEERG_4_7_1_1__1_TotalAnnualMethaneProductionFromManureManagementOtherLivestock_Source">_xlfn.LAMBDA("VEERG 2026: 4.7.1.1, Equation (1)")</definedName>
    <definedName name="MMS_OtherLivestock_Methane_Equations.VEERG_4_7_1_1__1_TotalAnnualMethaneProductionFromManureManagementOtherLivestock_Title">_xlfn.LAMBDA("Total annual methane production from manure management of other livestock")</definedName>
    <definedName name="MMS_OtherLivestock_Methane_Equations.VEERG_4_7_1_1__1_TotalAnnualMethaneProductionFromManureManagementOtherLivestock_Unit">_xlfn.LAMBDA("t CH4")</definedName>
    <definedName name="MMS_OtherLivestock_Methane_Equations.VEERG_4_7_1_1__1_TotalAnnualMethaneProductionFromManureManagementOtherLivestock_Variable">_xlfn.LAMBDA("E_CH4")</definedName>
    <definedName name="MMS_OtherLivestock_Methane_Equations.VEERG_4_7_1_1__2_AnnualMethaneProductionFromManureManagement">_xlfn.LAMBDA(_xlpm.VS_j,_xlpm.B_O,_xlpm.MMS_m,_xlpm.MCF_im,_xlpm.rho, _xlpm.VS_j * _xlpm.B_O * _xlpm.MMS_m * _xlpm.MCF_im * _xlpm.rho)</definedName>
    <definedName name="MMS_OtherLivestock_Methane_Equations.VEERG_4_7_1_1__2_AnnualMethaneProductionFromManureManagement_Arguments">_xlfn.LAMBDA(_xlfn.MAKEARRAY(6, 4, _xlfn.LAMBDA(_xlpm.r,_xlpm.c, INDEX({"VS_j","volatile solid production","kg/head/day","Constant";"B_O","methane emissions potential","m3 CH4/kg VS","Constant";"MMS_m","fraction of waste in each manure management system","fraction","Constant";"MCF_im","methane conversion factor for state and manure management system","fraction","Constant";"rho","density of methane","kg/m3","Constant";"i","state","","Input"}, _xlpm.r, _xlpm.c))))</definedName>
    <definedName name="MMS_OtherLivestock_Methane_Equations.VEERG_4_7_1_1__2_AnnualMethaneProductionFromManureManagement_Arguments_Method2">_xlfn.LAMBDA(_xlfn.MAKEARRAY(6, 4, _xlfn.LAMBDA(_xlpm.r,_xlpm.c, INDEX({"VS_j","volatile solid production","kg/head/day","Constant";"B_O","methane emissions potential","m3 CH4/kg VS","Constant";"MMS_m","fraction of waste in each manure management system","fraction","Constant";"MCF_im","methane conversion factor for temperature zone and manure management system","fraction","Constant";"rho","density of methane","kg/m3","Constant";"i","mean annual temperature","degrees Celsius","Input"}, _xlpm.r, _xlpm.c))))</definedName>
    <definedName name="MMS_OtherLivestock_Methane_Equations.VEERG_4_7_1_1__2_AnnualMethaneProductionFromManureManagement_LatexEquation">_xlfn.LAMBDA("M_{jm}=VS_j\times B_O\times MMS_m\times MCF_{im}\times \rho")</definedName>
    <definedName name="MMS_OtherLivestock_Methane_Equations.VEERG_4_7_1_1__2_AnnualMethaneProductionFromManureManagement_NIRReference">_xlfn.LAMBDA("")</definedName>
    <definedName name="MMS_OtherLivestock_Methane_Equations.VEERG_4_7_1_1__2_AnnualMethaneProductionFromManureManagement_Source">_xlfn.LAMBDA("VEERG 2026: 4.7.1.1, Equation (2)")</definedName>
    <definedName name="MMS_OtherLivestock_Methane_Equations.VEERG_4_7_1_1__2_AnnualMethaneProductionFromManureManagement_Title">_xlfn.LAMBDA("Annual methane production from manure management")</definedName>
    <definedName name="MMS_OtherLivestock_Methane_Equations.VEERG_4_7_1_1__2_AnnualMethaneProductionFromManureManagement_Unit">_xlfn.LAMBDA("kg CH4/head/day")</definedName>
    <definedName name="MMS_OtherLivestock_Methane_Equations.VEERG_4_7_1_1__2_AnnualMethaneProductionFromManureManagement_Variable">_xlfn.LAMBDA("M_jm")</definedName>
    <definedName name="MMS_OtherLivestock_Soil_AtmosphericDeposition.VEERG_4_7_1_5__1_AtmosphericDepositionEmissionsFromPasture">_xlfn.LAMBDA(_xlpm.M_vol,_xlpm.EF_N2O,_xlpm.C_N2O, _xlpm.M_vol * _xlpm.EF_N2O * _xlpm.C_N2O * 10 ^ -3)</definedName>
    <definedName name="MMS_OtherLivestock_Soil_AtmosphericDeposition.VEERG_4_7_1_5__1_AtmosphericDepositionEmissionsFromPasture_Arguments">_xlfn.LAMBDA(_xlfn.MAKEARRAY(6, 4, _xlfn.LAMBDA(_xlpm.r,_xlpm.c, INDEX({"M_vol","mass of nitrogen volatilised from urine and faeces deposited on pasture","kg N","Calculated from 4.7.1.5, (2)";"EF_N2O","emission factor for atmospheric deposition","kg N2O-N/kg N","Constant";"C_N2O","factor to convert elemental mass of nitrous oxide to molecular mass","","Constant";"j","production system","","Input";"i","irrigation method","","Input";"r","rainfall zone","","Input"}, _xlpm.r, _xlpm.c))))</definedName>
    <definedName name="MMS_OtherLivestock_Soil_AtmosphericDeposition.VEERG_4_7_1_5__1_AtmosphericDepositionEmissionsFromPasture_LatexEquation">_xlfn.LAMBDA("E_{N2O,ad}=M_{vol}\times EF_{N2O}\times C_{N2O}\times 10^{-3}")</definedName>
    <definedName name="MMS_OtherLivestock_Soil_AtmosphericDeposition.VEERG_4_7_1_5__1_AtmosphericDepositionEmissionsFromPasture_NIRReference">_xlfn.LAMBDA("")</definedName>
    <definedName name="MMS_OtherLivestock_Soil_AtmosphericDeposition.VEERG_4_7_1_5__1_AtmosphericDepositionEmissionsFromPasture_Source">_xlfn.LAMBDA("VEERG 2026: 4.7.1.5, Equation (1)")</definedName>
    <definedName name="MMS_OtherLivestock_Soil_AtmosphericDeposition.VEERG_4_7_1_5__1_AtmosphericDepositionEmissionsFromPasture_Title">_xlfn.LAMBDA("Atmospheric deposition emissions from urine and dung deposited on pasture")</definedName>
    <definedName name="MMS_OtherLivestock_Soil_AtmosphericDeposition.VEERG_4_7_1_5__1_AtmosphericDepositionEmissionsFromPasture_Unit">_xlfn.LAMBDA("t N2O")</definedName>
    <definedName name="MMS_OtherLivestock_Soil_AtmosphericDeposition.VEERG_4_7_1_5__1_AtmosphericDepositionEmissionsFromPasture_Variable">_xlfn.LAMBDA("E_N2Oad")</definedName>
    <definedName name="MMS_OtherLivestock_Soil_AtmosphericDeposition.VEERG_4_7_1_5__2_MassOfNitrogenVolatilisedFromPasture">_xlfn.LAMBDA(_xlpm.AE,_xlpm.FracGASMsoil, _xlpm.AE * _xlpm.FracGASMsoil)</definedName>
    <definedName name="MMS_OtherLivestock_Soil_AtmosphericDeposition.VEERG_4_7_1_5__2_MassOfNitrogenVolatilisedFromPasture_Arguments">_xlfn.LAMBDA(_xlfn.MAKEARRAY(2, 4, _xlfn.LAMBDA(_xlpm.r,_xlpm.c, INDEX({"AE","annual nitrogen excreted by each livestock type","kg N/year","Calculated by 4.7.1.3, (2)";"FracGASMsoil","fraction of nitrogen volatilised from urine and faeces deposited on pasture","(kg NH3-N + NOx-N)/kg N","Constant"}, _xlpm.r, _xlpm.c))))</definedName>
    <definedName name="MMS_OtherLivestock_Soil_AtmosphericDeposition.VEERG_4_7_1_5__2_MassOfNitrogenVolatilisedFromPasture_LatexEquation">_xlfn.LAMBDA("M_{vol}=AE\times FracGASMsoil")</definedName>
    <definedName name="MMS_OtherLivestock_Soil_AtmosphericDeposition.VEERG_4_7_1_5__2_MassOfNitrogenVolatilisedFromPasture_NIRReference">_xlfn.LAMBDA("")</definedName>
    <definedName name="MMS_OtherLivestock_Soil_AtmosphericDeposition.VEERG_4_7_1_5__2_MassOfNitrogenVolatilisedFromPasture_Source">_xlfn.LAMBDA("VEERG 2026: 4.7.1.5, Equation (2)")</definedName>
    <definedName name="MMS_OtherLivestock_Soil_AtmosphericDeposition.VEERG_4_7_1_5__2_MassOfNitrogenVolatilisedFromPasture_Title">_xlfn.LAMBDA("Mass of nitrogen volatilised from urine and faeces deposited on pasture")</definedName>
    <definedName name="MMS_OtherLivestock_Soil_AtmosphericDeposition.VEERG_4_7_1_5__2_MassOfNitrogenVolatilisedFromPasture_Unit">_xlfn.LAMBDA("kg N")</definedName>
    <definedName name="MMS_OtherLivestock_Soil_AtmosphericDeposition.VEERG_4_7_1_5__2_MassOfNitrogenVolatilisedFromPasture_Variable">_xlfn.LAMBDA("M_vol")</definedName>
    <definedName name="MMS_OtherLivestock_Soil_LeachingAndRunoff.VEERG_4_7_1_7__1_LeachingAndRunoffEmissionsFromPasture">_xlfn.LAMBDA(_xlpm.M_leach,_xlpm.EF_leach,_xlpm.C_N2O, _xlpm.M_leach * _xlpm.EF_leach * _xlpm.C_N2O * 10 ^ -3)</definedName>
    <definedName name="MMS_OtherLivestock_Soil_LeachingAndRunoff.VEERG_4_7_1_7__1_LeachingAndRunoffEmissionsFromPasture_Arguments">_xlfn.LAMBDA(_xlfn.MAKEARRAY(3, 4, _xlfn.LAMBDA(_xlpm.r,_xlpm.c, INDEX({"M_leach","mass of nitrogen lost to leaching and runoff","kg N","Calculated from 4.7.1.7, (2)";"EF_leach","emission factor for leaching and runoff","kg N2O-N/kg N","Constant";"C_N2O","factor to convert elemental mass of nitrous oxide to molecular mass","","Constant"}, _xlpm.r, _xlpm.c))))</definedName>
    <definedName name="MMS_OtherLivestock_Soil_LeachingAndRunoff.VEERG_4_7_1_7__1_LeachingAndRunoffEmissionsFromPasture_LatexEquation">_xlfn.LAMBDA("E_{N2O,leach}=M_{leach}\times EF_{leach}\times C_{N2O}\times 10^{-3}")</definedName>
    <definedName name="MMS_OtherLivestock_Soil_LeachingAndRunoff.VEERG_4_7_1_7__1_LeachingAndRunoffEmissionsFromPasture_NIRReference">_xlfn.LAMBDA("")</definedName>
    <definedName name="MMS_OtherLivestock_Soil_LeachingAndRunoff.VEERG_4_7_1_7__1_LeachingAndRunoffEmissionsFromPasture_Source">_xlfn.LAMBDA("VEERG 2026: 4.7.1.7, Equation (1)")</definedName>
    <definedName name="MMS_OtherLivestock_Soil_LeachingAndRunoff.VEERG_4_7_1_7__1_LeachingAndRunoffEmissionsFromPasture_Title">_xlfn.LAMBDA("Leaching and runoff emissions from urine and dung deposited on pasture")</definedName>
    <definedName name="MMS_OtherLivestock_Soil_LeachingAndRunoff.VEERG_4_7_1_7__1_LeachingAndRunoffEmissionsFromPasture_Unit">_xlfn.LAMBDA("t N2O")</definedName>
    <definedName name="MMS_OtherLivestock_Soil_LeachingAndRunoff.VEERG_4_7_1_7__1_LeachingAndRunoffEmissionsFromPasture_Variable">_xlfn.LAMBDA("E_N2Oleach")</definedName>
    <definedName name="MMS_OtherLivestock_Soil_LeachingAndRunoff.VEERG_4_7_1_7__2_MassOfNitrogenLostToLeachingAndRunoff">_xlfn.LAMBDA(_xlpm.AE,_xlpm.FracWet,_xlpm.FracLEACH, _xlpm.AE * _xlpm.FracWet * _xlpm.FracLEACH)</definedName>
    <definedName name="MMS_OtherLivestock_Soil_LeachingAndRunoff.VEERG_4_7_1_7__2_MassOfNitrogenLostToLeachingAndRunoff_Arguments">_xlfn.LAMBDA(_xlfn.MAKEARRAY(6, 4, _xlfn.LAMBDA(_xlpm.r,_xlpm.c, INDEX({"AE","annual nitrogen excreted by each livestock type","kg N/year","Calculated by 4.7.1.3, (2)";"FracWet","fraction of nitrogen available for leaching and runoff","","Constant";"FracLEACH","fraction of all nitrogen that is lost through leaching and runoff","","Constant";"z","location in leaching zone","","Input";"j","production system","","Input";"ir","irrigation method","","Input"}, _xlpm.r, _xlpm.c))))</definedName>
    <definedName name="MMS_OtherLivestock_Soil_LeachingAndRunoff.VEERG_4_7_1_7__2_MassOfNitrogenLostToLeachingAndRunoff_LatexEquation">_xlfn.LAMBDA("M_{leach}=AE\times FracWet\times FracLEACH")</definedName>
    <definedName name="MMS_OtherLivestock_Soil_LeachingAndRunoff.VEERG_4_7_1_7__2_MassOfNitrogenLostToLeachingAndRunoff_NIRReference">_xlfn.LAMBDA("")</definedName>
    <definedName name="MMS_OtherLivestock_Soil_LeachingAndRunoff.VEERG_4_7_1_7__2_MassOfNitrogenLostToLeachingAndRunoff_Source">_xlfn.LAMBDA("VEERG 2026: 4.7.1.7, Equation (2)")</definedName>
    <definedName name="MMS_OtherLivestock_Soil_LeachingAndRunoff.VEERG_4_7_1_7__2_MassOfNitrogenLostToLeachingAndRunoff_Title">_xlfn.LAMBDA("Mass of nitrogen lost to leaching and runoff")</definedName>
    <definedName name="MMS_OtherLivestock_Soil_LeachingAndRunoff.VEERG_4_7_1_7__2_MassOfNitrogenLostToLeachingAndRunoff_Unit">_xlfn.LAMBDA("kg N")</definedName>
    <definedName name="MMS_OtherLivestock_Soil_LeachingAndRunoff.VEERG_4_7_1_7__2_MassOfNitrogenLostToLeachingAndRunoff_Variable">_xlfn.LAMBDA("M_leach")</definedName>
    <definedName name="MMS_OtherLivestock_Soil_N2ODirect.VEERG_4_7_1_3__1_DirectNitrousOxideEmissionsFromSoil">_xlfn.LAMBDA(_xlpm.AE,_xlpm.EF_PRP,_xlpm.C_N2O, _xlpm.AE * _xlpm.EF_PRP * _xlpm.C_N2O * 10 ^ -3)</definedName>
    <definedName name="MMS_OtherLivestock_Soil_N2ODirect.VEERG_4_7_1_3__1_DirectNitrousOxideEmissionsFromSoil_Arguments">_xlfn.LAMBDA(_xlfn.MAKEARRAY(4, 4, _xlfn.LAMBDA(_xlpm.r,_xlpm.c, INDEX({"AE","annual nitrogen excreted by each livestock type","kg N/year","Calculated from 4.7.1.3, (2)";"EF_PRP","emission factor for nitrous oxide from urine and dung deposited to soil","kg N2O-N/kg N deposited","Constant";"C_N2O","factor to convert elemental mass of nitrous oxide to molecular mass","","Constant";"z","wet or dry climate zone","","Input"}, _xlpm.r, _xlpm.c))))</definedName>
    <definedName name="MMS_OtherLivestock_Soil_N2ODirect.VEERG_4_7_1_3__1_DirectNitrousOxideEmissionsFromSoil_LatexEquation">_xlfn.LAMBDA("E_{N2O,dir}=AE\times EF_{PRP}\times C_{N2O}\times 10^{-3}")</definedName>
    <definedName name="MMS_OtherLivestock_Soil_N2ODirect.VEERG_4_7_1_3__1_DirectNitrousOxideEmissionsFromSoil_NIRReference">_xlfn.LAMBDA("")</definedName>
    <definedName name="MMS_OtherLivestock_Soil_N2ODirect.VEERG_4_7_1_3__1_DirectNitrousOxideEmissionsFromSoil_Source">_xlfn.LAMBDA("VEERG 2026: 4.7.1.3, Equation (1)")</definedName>
    <definedName name="MMS_OtherLivestock_Soil_N2ODirect.VEERG_4_7_1_3__1_DirectNitrousOxideEmissionsFromSoil_Title">_xlfn.LAMBDA("Direct nitrous oxide emissions from agricultural soils from deposition of urine and dung to pasture")</definedName>
    <definedName name="MMS_OtherLivestock_Soil_N2ODirect.VEERG_4_7_1_3__1_DirectNitrousOxideEmissionsFromSoil_Unit">_xlfn.LAMBDA("t N2O")</definedName>
    <definedName name="MMS_OtherLivestock_Soil_N2ODirect.VEERG_4_7_1_3__1_DirectNitrousOxideEmissionsFromSoil_Variable">_xlfn.LAMBDA("E_N2Odir")</definedName>
    <definedName name="MMS_OtherLivestock_Soil_N2ODirect.VEERG_4_7_1_3__2_AnnualNitrogenExcretedToPasture">_xlfn.LAMBDA(_xlpm.N_j,_xlpm.NE_j, _xlpm.N_j * _xlpm.NE_j * 365)</definedName>
    <definedName name="MMS_OtherLivestock_Soil_N2ODirect.VEERG_4_7_1_3__2_AnnualNitrogenExcretedToPasture_Arguments">_xlfn.LAMBDA(_xlfn.MAKEARRAY(3, 4, _xlfn.LAMBDA(_xlpm.r,_xlpm.c, INDEX({"N_j","number of livestock of each livestock type j","head","Input";"NE_j","nitrogen excreted by each livestock type j","kg N/head/day","Constant";"j","livestock type","","Input"}, _xlpm.r, _xlpm.c))))</definedName>
    <definedName name="MMS_OtherLivestock_Soil_N2ODirect.VEERG_4_7_1_3__2_AnnualNitrogenExcretedToPasture_LatexEquation">_xlfn.LAMBDA("AE=\sum\nolimits_j(N_j\times NE_j\times 365)")</definedName>
    <definedName name="MMS_OtherLivestock_Soil_N2ODirect.VEERG_4_7_1_3__2_AnnualNitrogenExcretedToPasture_NIRReference">_xlfn.LAMBDA("")</definedName>
    <definedName name="MMS_OtherLivestock_Soil_N2ODirect.VEERG_4_7_1_3__2_AnnualNitrogenExcretedToPasture_Source">_xlfn.LAMBDA("VEERG 2026: 4.7.1.3, Equation (2)")</definedName>
    <definedName name="MMS_OtherLivestock_Soil_N2ODirect.VEERG_4_7_1_3__2_AnnualNitrogenExcretedToPasture_Title">_xlfn.LAMBDA("Annual nitrogen excreted by livestock to pasture, range and paddock")</definedName>
    <definedName name="MMS_OtherLivestock_Soil_N2ODirect.VEERG_4_7_1_3__2_AnnualNitrogenExcretedToPasture_Unit">_xlfn.LAMBDA("kg N/year")</definedName>
    <definedName name="MMS_OtherLivestock_Soil_N2ODirect.VEERG_4_7_1_3__2_AnnualNitrogenExcretedToPasture_Variable">_xlfn.LAMBDA("AE")</definedName>
    <definedName name="SourceData_OtherLivestock.SourceData_OtherLivestock_AverageLiveweight_Data">_xlfn.LAMBDA(_xlfn.MAKEARRAY(11, 3, _xlfn.LAMBDA(_xlpm.r,_xlpm.c, INDEX({"Other Livestock Type j","Average Liveweight","Average Liveweight";"Buffalo",336,"-";"Goats",33,"28kg - low productivity systems";"Goats",33,"50kg - high productivity systems";"Deer",120,120;"Camels",217,570;"Alpacas","-",65;"Horses",377,550;"Mules/asses",130,245;"Emus/ostriches",120,120;"Reference","IPCC 2019 Table 10A.5 [2]","IPCC 2019 Table 10.10 [2]"}, _xlpm.r, _xlpm.c))))</definedName>
    <definedName name="SourceData_OtherLivestock.SourceData_OtherLivestock_AverageLiveweight_Source">_xlfn.LAMBDA("VEERG 2026: Table A.1.5.4")</definedName>
    <definedName name="SourceData_OtherLivestock.SourceData_OtherLivestock_AverageLiveweight_Title">_xlfn.LAMBDA("Other Livestock - Average Liveweights")</definedName>
    <definedName name="SourceData_OtherLivestock.SourceData_OtherLivestock_AverageLiveweight_Unit">_xlfn.LAMBDA("kg")</definedName>
    <definedName name="SourceData_OtherLivestock.SourceData_OtherLivestock_AverageLiveweight_Variable">_xlfn.LAMBDA("Wco")</definedName>
    <definedName name="SourceData_OtherLivestock.SourceData_OtherLivestock_AverageLiveweight_Variation">_xlfn.LAMBDA("")</definedName>
    <definedName name="SourceData_OtherLivestock.SourceData_OtherLivestock_EntericFermentationEmissionFactor_Data">_xlfn.LAMBDA(_xlfn.MAKEARRAY(9, 2, _xlfn.LAMBDA(_xlpm.r,_xlpm.c, INDEX({"Other Livestock Type","Mj";"Buffalo",68;"Goats",5;"Deer",20;"Camels",46;"Alpacas",8;"Horses",18;"Mules/asses",10;"Emus/ostriches",5}, _xlpm.r, _xlpm.c))))</definedName>
    <definedName name="SourceData_OtherLivestock.SourceData_OtherLivestock_EntericFermentationEmissionFactor_Source">_xlfn.LAMBDA("VEERG 2026: Table A.1.5.1")</definedName>
    <definedName name="SourceData_OtherLivestock.SourceData_OtherLivestock_EntericFermentationEmissionFactor_Title">_xlfn.LAMBDA("Other Livestock - Enteric fermentation emission factor for each other livestock type")</definedName>
    <definedName name="SourceData_OtherLivestock.SourceData_OtherLivestock_EntericFermentationEmissionFactor_Unit">_xlfn.LAMBDA("kg CH4 / head / year")</definedName>
    <definedName name="SourceData_OtherLivestock.SourceData_OtherLivestock_EntericFermentationEmissionFactor_Variable">_xlfn.LAMBDA("Mj")</definedName>
    <definedName name="SourceData_OtherLivestock.SourceData_OtherLivestock_EntericFermentationEmissionFactor_Variation">_xlfn.LAMBDA("")</definedName>
    <definedName name="SourceData_OtherLivestock.SourceData_OtherLivestock_FracGASMSoil_Data">_xlfn.LAMBDA(0.21)</definedName>
    <definedName name="SourceData_OtherLivestock.SourceData_OtherLivestock_FracGASMSoil_Source">_xlfn.LAMBDA("VEERG 2026: 4.7.2.3 CONSTANTS")</definedName>
    <definedName name="SourceData_OtherLivestock.SourceData_OtherLivestock_FracGASMSoil_Title">_xlfn.LAMBDA("Fraction of nitrogen volatilised from urine and faeces deposited on pasture")</definedName>
    <definedName name="SourceData_OtherLivestock.SourceData_OtherLivestock_FracGASMSoil_Unit">_xlfn.LAMBDA("(kg NH3-N + NOx-N)/kg N")</definedName>
    <definedName name="SourceData_OtherLivestock.SourceData_OtherLivestock_FracGASMSoil_Variable">_xlfn.LAMBDA("FracGASMsoil")</definedName>
    <definedName name="SourceData_OtherLivestock.SourceData_OtherLivestock_FracGASMSoil_Variation">_xlfn.LAMBDA("")</definedName>
    <definedName name="SourceData_OtherLivestock.SourceData_OtherLivestock_FractionWasteInMMS_Data">_xlfn.LAMBDA(_xlfn.MAKEARRAY(9, 3, _xlfn.LAMBDA(_xlpm.r,_xlpm.c, INDEX({"State","Pasture range and paddock","Uncovered Anaerobic lagoon";"ACT",99.66,0.34;"NSW",99.66,0.34;"NT",99.66,0.34;"QLD",99.66,0.34;"SA",99.66,0.34;"TAS",99.66,0.34;"VIC",99.66,0.34;"WA",99.66,0.34}, _xlpm.r, _xlpm.c))))</definedName>
    <definedName name="SourceData_OtherLivestock.SourceData_OtherLivestock_FractionWasteInMMS_Source">_xlfn.LAMBDA("VEERG 2026: Table A.1.5.5")</definedName>
    <definedName name="SourceData_OtherLivestock.SourceData_OtherLivestock_FractionWasteInMMS_Title">_xlfn.LAMBDA("Other Livestock - Fraction of waste in each manure management system")</definedName>
    <definedName name="SourceData_OtherLivestock.SourceData_OtherLivestock_FractionWasteInMMS_Unit">_xlfn.LAMBDA("fraction")</definedName>
    <definedName name="SourceData_OtherLivestock.SourceData_OtherLivestock_FractionWasteInMMS_Variable">_xlfn.LAMBDA("MMSm")</definedName>
    <definedName name="SourceData_OtherLivestock.SourceData_OtherLivestock_FractionWasteInMMS_Variation">_xlfn.LAMBDA("")</definedName>
    <definedName name="SourceData_OtherLivestock.SourceData_OtherLivestock_MethaneConversionFactor_Data">_xlfn.LAMBDA(
    _xlfn.MAKEARRAY(9, 3,
      _xlfn.LAMBDA(_xlpm.r,_xlpm.c,
        INDEX({"State","Pasture range and paddock","Uncovered Anaerobic lagoon";"ACT",0.0047,0.71;"NSW",0.0047,0.75;"NT",0.0047,0.8;"QLD",0.0047,0.78;"SA",0.0047,0.74;"TAS",0.0047,0.7;"VIC",0.0047,0.74;"WA",0.0047,0.76}, _xlpm.r, _xlpm.c)
      )
    )
  )</definedName>
    <definedName name="SourceData_OtherLivestock.SourceData_OtherLivestock_MethaneConversionFactor_Source">_xlfn.LAMBDA("VEERG 2026: Table A.1.5.6")</definedName>
    <definedName name="SourceData_OtherLivestock.SourceData_OtherLivestock_MethaneConversionFactor_Title">_xlfn.LAMBDA("Other Livestock - Methane conversion factor per region")</definedName>
    <definedName name="SourceData_OtherLivestock.SourceData_OtherLivestock_MethaneConversionFactor_Unit">_xlfn.LAMBDA("fraction")</definedName>
    <definedName name="SourceData_OtherLivestock.SourceData_OtherLivestock_MethaneConversionFactor_Variable">_xlfn.LAMBDA("MCFim")</definedName>
    <definedName name="SourceData_OtherLivestock.SourceData_OtherLivestock_MethaneConversionFactor_Variation">_xlfn.LAMBDA("")</definedName>
    <definedName name="SourceData_OtherLivestock.SourceData_OtherLivestock_MethaneEmissionsPotential_Data">_xlfn.LAMBDA(_xlfn.MAKEARRAY(9, 3, _xlfn.LAMBDA(_xlpm.r,_xlpm.c, INDEX({"Other Livestock Type","BO","Taken from";"Buffalo",0.19,"Feedlot, Pasture beef";"Goats",0.24,"Sheep";"Deer",0.24,"Sheep";"Camels",0.24,"Sheep";"Alpacas",0.24,"Sheep";"Horses",0.19,"Feedlot, Pasture beef";"Mules/asses",0.24,"Sheep";"Emus/ostriches",0.36,"Poultry - meat chickens"}, _xlpm.r, _xlpm.c))))</definedName>
    <definedName name="SourceData_OtherLivestock.SourceData_OtherLivestock_MethaneEmissionsPotential_Source">_xlfn.LAMBDA("VEERG 2026: Table A.1.5.X")</definedName>
    <definedName name="SourceData_OtherLivestock.SourceData_OtherLivestock_MethaneEmissionsPotential_Title">_xlfn.LAMBDA("Other Livestock - Methane emissions potential")</definedName>
    <definedName name="SourceData_OtherLivestock.SourceData_OtherLivestock_MethaneEmissionsPotential_Unit">_xlfn.LAMBDA("m3 CH4 / kg VS")</definedName>
    <definedName name="SourceData_OtherLivestock.SourceData_OtherLivestock_MethaneEmissionsPotential_Variable">_xlfn.LAMBDA("BO")</definedName>
    <definedName name="SourceData_OtherLivestock.SourceData_OtherLivestock_MethaneEmissionsPotential_Variation">_xlfn.LAMBDA("VARIATION ON SOURCE: There were no values in VEERG so this data has been generated by using documented BO values from other livestock")</definedName>
    <definedName name="SourceData_OtherLivestock.SourceData_OtherLivestock_NitrogenExcreted_Data">_xlfn.LAMBDA(
    _xlfn.MAKEARRAY(9, 2,
      _xlfn.LAMBDA(_xlpm.r,_xlpm.c,
        INDEX({"Other Livestock Type","NEj";"Buffalo",39.5;"Goats",7;"Deer",13.2;"Camels",39.5;"Alpacas",7;"Horses",39.5;"Mules/asses",13.2;"Emus/ostriches",7}, _xlpm.r, _xlpm.c)
      )
    )
  )</definedName>
    <definedName name="SourceData_OtherLivestock.SourceData_OtherLivestock_NitrogenExcreted_Source">_xlfn.LAMBDA("VEERG 2026: Table A.1.5.3")</definedName>
    <definedName name="SourceData_OtherLivestock.SourceData_OtherLivestock_NitrogenExcreted_Title">_xlfn.LAMBDA("Other Livestock - Nitrogen excreted per livestock type")</definedName>
    <definedName name="SourceData_OtherLivestock.SourceData_OtherLivestock_NitrogenExcreted_Unit">_xlfn.LAMBDA("kg N2O / head / year")</definedName>
    <definedName name="SourceData_OtherLivestock.SourceData_OtherLivestock_NitrogenExcreted_Variable">_xlfn.LAMBDA("NEj")</definedName>
    <definedName name="SourceData_OtherLivestock.SourceData_OtherLivestock_NitrogenExcreted_Variation">_xlfn.LAMBDA("")</definedName>
    <definedName name="SourceData_OtherLivestock.SourceData_OtherLivestock_VolatileSolidsProduced_Data">_xlfn.LAMBDA(_xlfn.MAKEARRAY(9, 2, _xlfn.LAMBDA(_xlpm.r,_xlpm.c, INDEX({"Other Livestock Type","VSj";"Buffalo",2.73;"Goats",0.34;"Deer",0.91;"Camels",2.73;"Alpacas",0.34;"Horses",2.73;"Mules/asses",0.91;"Emus/ostriches",0.34}, _xlpm.r, _xlpm.c))))</definedName>
    <definedName name="SourceData_OtherLivestock.SourceData_OtherLivestock_VolatileSolidsProduced_Source">_xlfn.LAMBDA("VEERG 2026: Table A.1.5.2")</definedName>
    <definedName name="SourceData_OtherLivestock.SourceData_OtherLivestock_VolatileSolidsProduced_Title">_xlfn.LAMBDA("Other Livestock - Volatile solids produced by each other livestock type")</definedName>
    <definedName name="SourceData_OtherLivestock.SourceData_OtherLivestock_VolatileSolidsProduced_Unit">_xlfn.LAMBDA("kg VS / head / day")</definedName>
    <definedName name="SourceData_OtherLivestock.SourceData_OtherLivestock_VolatileSolidsProduced_Variable">_xlfn.LAMBDA("VSj")</definedName>
    <definedName name="SourceData_OtherLivestock.SourceData_OtherLivestock_VolatileSolidsProduced_Variation">_xlfn.LAMBDA("")</definedName>
    <definedName name="SourceData_OtherLivestock_FracGASMSoil_Data">'Constants - Other Livestock'!$E$115</definedName>
    <definedName name="Table_AEj">'4.7.1.3-4 Soil Direct N2O'!$D$43:$E$51</definedName>
    <definedName name="Table_AEj_Consumer_1">'4.7.1.5-6 Soil Atmos Deposition'!$D$18:$E$26</definedName>
    <definedName name="Table_AEj_Consumer_2">'4.7.1.7-8 Soil Leaching Runoff'!$D$22:$E$30</definedName>
    <definedName name="Table_B_O">'4.7.1.1-2 Manure Methane'!$D$34:$E$42</definedName>
    <definedName name="Table_E_N2O_ad">'4.7.1.5-6 Soil Atmos Deposition'!$D$71:$E$79</definedName>
    <definedName name="Table_EF_N2O">'4.7.1.5-6 Soil Atmos Deposition'!$D$59:$H$67</definedName>
    <definedName name="Table_Frac_Wet">'4.7.1.7-8 Soil Leaching Runoff'!$D$34:$G$42</definedName>
    <definedName name="Table_M_leach">'4.7.1.7-8 Soil Leaching Runoff'!$D$46:$E$54</definedName>
    <definedName name="Table_M_vol">'4.7.1.5-6 Soil Atmos Deposition'!$D$30:$E$38</definedName>
    <definedName name="Table_MMS_m">'4.7.1.1-2 Manure Methane'!$D$46:$F$54</definedName>
    <definedName name="Table_N_j">'4.7.1.3-4 Soil Direct N2O'!$D$19:$E$27</definedName>
    <definedName name="Table_N_j_Consumer_1">'4.7.1.1-2 Manure Methane'!$D$91:$E$99</definedName>
    <definedName name="Table_NE_j">'4.7.1.3-4 Soil Direct N2O'!$D$31:$E$39</definedName>
    <definedName name="Table_VS_j">'4.7.1.1-2 Manure Methane'!$D$22:$E$30</definedName>
    <definedName name="VEERG_4_7_1_1__1_TotalAnnualMethaneProductionFromManureManagementOtherLivestock_Result_Method1">'4.7.1.1-2 Manure Methane'!$E$113</definedName>
    <definedName name="VEERG_4_7_1_1__1_TotalAnnualMethaneProductionFromManureManagementOtherLivestock_Result_Method2">'4.7.1.1-2 Manure Methane'!$O$113</definedName>
    <definedName name="VEERG_4_7_1_3__1_DirectNitrousOxideEmissionsFromSoil_Result_Method1">'4.7.1.3-4 Soil Direct N2O'!$E$70</definedName>
    <definedName name="VEERG_4_7_1_5__1_AtmosphericDepositionEmissionsFromPasture_Result_Method1">'4.7.1.5-6 Soil Atmos Deposition'!$E$81</definedName>
    <definedName name="VEERG_4_7_1_7__1_LeachingAndRunoffEmissionsFromPasture_Result_Method1">'4.7.1.7-8 Soil Leaching Runoff'!$E$72</definedName>
    <definedName name="X_Cell_OtherLivestock_Buffalo_CalculatedMMSAnaerobicLagoon">'Input - Other Livestock'!$E$14</definedName>
    <definedName name="X_Cell_OtherLivestock_Buffalo_CalculatedMMSPastureRangeAndPaddock">'Input - Other Livestock'!$E$13</definedName>
    <definedName name="X_Cell_OtherLivestock_Buffalo_FencedWater">'Input - Other Livestock'!$E$10</definedName>
    <definedName name="X_Cell_OtherLivestock_Buffalo_GrazingIrrigationMethod">'Input - Other Livestock'!$E$17</definedName>
    <definedName name="X_Cell_OtherLivestock_Buffalo_GrazingProductionSystem">'Input - Other Livestock'!$E$16</definedName>
    <definedName name="X_Cell_OtherLivestock_Deer_CalculatedMMSAnaerobicLagoon">'Input - Other Livestock'!$E$42</definedName>
    <definedName name="X_Cell_OtherLivestock_Deer_CalculatedMMSPastureRangeAndPaddock">'Input - Other Livestock'!$E$41</definedName>
    <definedName name="X_Cell_OtherLivestock_Deer_FencedWater">'Input - Other Livestock'!$E$38</definedName>
    <definedName name="X_Cell_OtherLivestock_Deer_GrazingIrrigationMethod">'Input - Other Livestock'!$E$45</definedName>
    <definedName name="X_Cell_OtherLivestock_Deer_GrazingProductionSystem">'Input - Other Livestock'!$E$44</definedName>
    <definedName name="X_Cell_OtherLivestock_Goats_CalculatedMMSAnaerobicLagoon">'Input - Other Livestock'!$E$28</definedName>
    <definedName name="X_Cell_OtherLivestock_Goats_CalculatedMMSPastureRangeAndPaddock">'Input - Other Livestock'!$E$27</definedName>
    <definedName name="X_Cell_OtherLivestock_Goats_FencedWater">'Input - Other Livestock'!$E$24</definedName>
    <definedName name="X_Cell_OtherLivestock_Goats_GrazingIrrigationMethod">'Input - Other Livestock'!$E$31</definedName>
    <definedName name="X_Cell_OtherLivestock_Goats_GrazingProductionSystem">'Input - Other Livestock'!$E$30</definedName>
    <definedName name="X_Cell_OtherLivestock_Others_Alpacas_CalculatedMMSAnaerobicLagoon">'Input - Other Livestock'!$F$56</definedName>
    <definedName name="X_Cell_OtherLivestock_Others_Alpacas_CalculatedMMSPastureRangeAndPaddock">'Input - Other Livestock'!$F$55</definedName>
    <definedName name="X_Cell_OtherLivestock_Others_Alpacas_FencedWater">'Input - Other Livestock'!$F$52</definedName>
    <definedName name="X_Cell_OtherLivestock_Others_Alpacas_GrazingIrrigationMethod">'Input - Other Livestock'!$F$59</definedName>
    <definedName name="X_Cell_OtherLivestock_Others_Alpacas_GrazingProductionSystem">'Input - Other Livestock'!$F$58</definedName>
    <definedName name="X_Cell_OtherLivestock_Others_Alpacas_Head">'Input - Other Livestock'!$F$50</definedName>
    <definedName name="X_Cell_OtherLivestock_Others_Camels_CalculatedMMSAnaerobicLagoon">'Input - Other Livestock'!$E$56</definedName>
    <definedName name="X_Cell_OtherLivestock_Others_Camels_CalculatedMMSPastureRangeAndPaddock">'Input - Other Livestock'!$E$55</definedName>
    <definedName name="X_Cell_OtherLivestock_Others_Camels_FencedWater">'Input - Other Livestock'!$E$52</definedName>
    <definedName name="X_Cell_OtherLivestock_Others_Camels_GrazingIrrigationMethod">'Input - Other Livestock'!$E$59</definedName>
    <definedName name="X_Cell_OtherLivestock_Others_Camels_GrazingProductionSystem">'Input - Other Livestock'!$E$58</definedName>
    <definedName name="X_Cell_OtherLivestock_Others_Camels_Head">'Input - Other Livestock'!$E$50</definedName>
    <definedName name="X_Cell_OtherLivestock_Others_Emus_CalculatedMMSAnaerobicLagoon">'Input - Other Livestock'!$I$56</definedName>
    <definedName name="X_Cell_OtherLivestock_Others_Emus_CalculatedMMSPastureRangeAndPaddock">'Input - Other Livestock'!$I$55</definedName>
    <definedName name="X_Cell_OtherLivestock_Others_Emus_FencedWater">'Input - Other Livestock'!$I$52</definedName>
    <definedName name="X_Cell_OtherLivestock_Others_Emus_GrazingIrrigationMethod">'Input - Other Livestock'!$I$59</definedName>
    <definedName name="X_Cell_OtherLivestock_Others_Emus_GrazingProductionSystem">'Input - Other Livestock'!$I$58</definedName>
    <definedName name="X_Cell_OtherLivestock_Others_Emus_Head">'Input - Other Livestock'!$I$50</definedName>
    <definedName name="X_Cell_OtherLivestock_Others_Horses_CalculatedMMSAnaerobicLagoon">'Input - Other Livestock'!$G$56</definedName>
    <definedName name="X_Cell_OtherLivestock_Others_Horses_CalculatedMMSPastureRangeAndPaddock">'Input - Other Livestock'!$G$55</definedName>
    <definedName name="X_Cell_OtherLivestock_Others_Horses_FencedWater">'Input - Other Livestock'!$G$52</definedName>
    <definedName name="X_Cell_OtherLivestock_Others_Horses_GrazingIrrigationMethod">'Input - Other Livestock'!$G$59</definedName>
    <definedName name="X_Cell_OtherLivestock_Others_Horses_GrazingProductionSystem">'Input - Other Livestock'!$G$58</definedName>
    <definedName name="X_Cell_OtherLivestock_Others_Horses_Head">'Input - Other Livestock'!$G$50</definedName>
    <definedName name="X_Cell_OtherLivestock_Others_Mules_CalculatedMMSAnaerobicLagoon">'Input - Other Livestock'!$H$56</definedName>
    <definedName name="X_Cell_OtherLivestock_Others_Mules_CalculatedMMSPastureRangeAndPaddock">'Input - Other Livestock'!$H$55</definedName>
    <definedName name="X_Cell_OtherLivestock_Others_Mules_FencedWater">'Input - Other Livestock'!$H$52</definedName>
    <definedName name="X_Cell_OtherLivestock_Others_Mules_GrazingIrrigationMethod">'Input - Other Livestock'!$H$59</definedName>
    <definedName name="X_Cell_OtherLivestock_Others_Mules_GrazingProductionSystem">'Input - Other Livestock'!$H$58</definedName>
    <definedName name="X_Cell_OtherLivestock_Others_Mules_Head">'Input - Other Livestock'!$H$50</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OtherLivestock_Buffalo_Head">'Input - Other Livestock'!$D$7:$H$8</definedName>
    <definedName name="X_Table_OtherLivestock_Deer_Head">'Input - Other Livestock'!$D$35:$H$36</definedName>
    <definedName name="X_Table_OtherLivestock_Goats_Head">'Input - Other Livestock'!$D$21:$J$22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13" l="1"/>
  <c r="E9" i="13"/>
  <c r="E8" i="13"/>
  <c r="F7" i="13"/>
  <c r="E7" i="13"/>
  <c r="A8" i="72"/>
  <c r="A7" i="72"/>
  <c r="A3" i="72"/>
  <c r="D122" i="79"/>
  <c r="D121" i="79"/>
  <c r="I69" i="104"/>
  <c r="I15" i="104"/>
  <c r="G75" i="104"/>
  <c r="I70" i="104"/>
  <c r="G42" i="104"/>
  <c r="G41" i="104"/>
  <c r="G40" i="104"/>
  <c r="G39" i="104"/>
  <c r="G38" i="104"/>
  <c r="G37" i="104"/>
  <c r="G36" i="104"/>
  <c r="G35" i="104"/>
  <c r="G84" i="103"/>
  <c r="H67" i="103"/>
  <c r="H66" i="103"/>
  <c r="H65" i="103"/>
  <c r="H64" i="103"/>
  <c r="H63" i="103"/>
  <c r="H62" i="103"/>
  <c r="H61" i="103"/>
  <c r="H60" i="103"/>
  <c r="I52" i="103"/>
  <c r="G73" i="102"/>
  <c r="I67" i="102"/>
  <c r="I66" i="102"/>
  <c r="Q116" i="69"/>
  <c r="G116" i="69"/>
  <c r="O60" i="69"/>
  <c r="O59" i="69"/>
  <c r="J18" i="69"/>
  <c r="I56" i="70"/>
  <c r="H56" i="70"/>
  <c r="G56" i="70"/>
  <c r="F56" i="70"/>
  <c r="E56" i="70"/>
  <c r="I55" i="70"/>
  <c r="H55" i="70"/>
  <c r="G55" i="70"/>
  <c r="F55" i="70"/>
  <c r="E55" i="70"/>
  <c r="E42" i="70"/>
  <c r="E41" i="70"/>
  <c r="E28" i="70"/>
  <c r="E27" i="70"/>
  <c r="E14" i="70"/>
  <c r="E13" i="70"/>
  <c r="E33" i="15"/>
  <c r="E32" i="15"/>
  <c r="E31" i="15"/>
  <c r="E30" i="15"/>
  <c r="E259" i="109" a="1"/>
  <c r="E259" i="109" s="1"/>
  <c r="D259" i="109" a="1"/>
  <c r="D259" i="109" s="1"/>
  <c r="E258" i="109" a="1"/>
  <c r="E258" i="109" s="1"/>
  <c r="D258" i="109" a="1"/>
  <c r="D258" i="109" s="1"/>
  <c r="D256" i="109" a="1"/>
  <c r="D256" i="109" s="1"/>
  <c r="D255" i="109"/>
  <c r="D255" i="109" a="1"/>
  <c r="D254" i="109" a="1"/>
  <c r="D254" i="109" s="1"/>
  <c r="D253" i="109" a="1"/>
  <c r="D253" i="109" s="1"/>
  <c r="S250" i="109" a="1"/>
  <c r="S250" i="109" s="1"/>
  <c r="R250" i="109" a="1"/>
  <c r="R250" i="109" s="1"/>
  <c r="Q250" i="109" a="1"/>
  <c r="Q250" i="109" s="1"/>
  <c r="P250" i="109" a="1"/>
  <c r="P250" i="109" s="1"/>
  <c r="O250" i="109" a="1"/>
  <c r="O250" i="109" s="1"/>
  <c r="N250" i="109" a="1"/>
  <c r="N250" i="109" s="1"/>
  <c r="M250" i="109" a="1"/>
  <c r="M250" i="109" s="1"/>
  <c r="L250" i="109" a="1"/>
  <c r="L250" i="109" s="1"/>
  <c r="K250" i="109" a="1"/>
  <c r="K250" i="109" s="1"/>
  <c r="J250" i="109" a="1"/>
  <c r="J250" i="109" s="1"/>
  <c r="I250" i="109" a="1"/>
  <c r="I250" i="109" s="1"/>
  <c r="H250" i="109" a="1"/>
  <c r="H250" i="109" s="1"/>
  <c r="G250" i="109" a="1"/>
  <c r="G250" i="109" s="1"/>
  <c r="F250" i="109" a="1"/>
  <c r="F250" i="109" s="1"/>
  <c r="E250" i="109" a="1"/>
  <c r="E250" i="109" s="1"/>
  <c r="D250" i="109" a="1"/>
  <c r="D250" i="109" s="1"/>
  <c r="S249" i="109" a="1"/>
  <c r="S249" i="109" s="1"/>
  <c r="R249" i="109" a="1"/>
  <c r="R249" i="109" s="1"/>
  <c r="Q249" i="109" a="1"/>
  <c r="Q249" i="109" s="1"/>
  <c r="P249" i="109" a="1"/>
  <c r="P249" i="109" s="1"/>
  <c r="O249" i="109" a="1"/>
  <c r="O249" i="109" s="1"/>
  <c r="N249" i="109" a="1"/>
  <c r="N249" i="109" s="1"/>
  <c r="M249" i="109" a="1"/>
  <c r="M249" i="109" s="1"/>
  <c r="L249" i="109" a="1"/>
  <c r="L249" i="109" s="1"/>
  <c r="K249" i="109" a="1"/>
  <c r="K249" i="109" s="1"/>
  <c r="J249" i="109" a="1"/>
  <c r="J249" i="109" s="1"/>
  <c r="I249" i="109" a="1"/>
  <c r="I249" i="109" s="1"/>
  <c r="H249" i="109" a="1"/>
  <c r="H249" i="109" s="1"/>
  <c r="G249" i="109" a="1"/>
  <c r="G249" i="109" s="1"/>
  <c r="F249" i="109" a="1"/>
  <c r="F249" i="109" s="1"/>
  <c r="E249" i="109" a="1"/>
  <c r="E249" i="109" s="1"/>
  <c r="D249" i="109" a="1"/>
  <c r="D249" i="109" s="1"/>
  <c r="S248" i="109" a="1"/>
  <c r="S248" i="109" s="1"/>
  <c r="R248" i="109" a="1"/>
  <c r="R248" i="109" s="1"/>
  <c r="Q248" i="109" a="1"/>
  <c r="Q248" i="109" s="1"/>
  <c r="P248" i="109" a="1"/>
  <c r="P248" i="109" s="1"/>
  <c r="O248" i="109" a="1"/>
  <c r="O248" i="109" s="1"/>
  <c r="N248" i="109" a="1"/>
  <c r="N248" i="109" s="1"/>
  <c r="M248" i="109" a="1"/>
  <c r="M248" i="109" s="1"/>
  <c r="L248" i="109" a="1"/>
  <c r="L248" i="109" s="1"/>
  <c r="K248" i="109" a="1"/>
  <c r="K248" i="109" s="1"/>
  <c r="J248" i="109" a="1"/>
  <c r="J248" i="109" s="1"/>
  <c r="I248" i="109" a="1"/>
  <c r="I248" i="109" s="1"/>
  <c r="H248" i="109" a="1"/>
  <c r="H248" i="109" s="1"/>
  <c r="G248" i="109" a="1"/>
  <c r="G248" i="109" s="1"/>
  <c r="F248" i="109" a="1"/>
  <c r="F248" i="109" s="1"/>
  <c r="E248" i="109" a="1"/>
  <c r="E248" i="109" s="1"/>
  <c r="D248" i="109" a="1"/>
  <c r="D248" i="109" s="1"/>
  <c r="S247" i="109" a="1"/>
  <c r="S247" i="109" s="1"/>
  <c r="R247" i="109" a="1"/>
  <c r="R247" i="109" s="1"/>
  <c r="Q247" i="109" a="1"/>
  <c r="Q247" i="109" s="1"/>
  <c r="P247" i="109" a="1"/>
  <c r="P247" i="109" s="1"/>
  <c r="O247" i="109" a="1"/>
  <c r="O247" i="109" s="1"/>
  <c r="N247" i="109" a="1"/>
  <c r="N247" i="109" s="1"/>
  <c r="M247" i="109" a="1"/>
  <c r="M247" i="109" s="1"/>
  <c r="L247" i="109" a="1"/>
  <c r="L247" i="109" s="1"/>
  <c r="K247" i="109" a="1"/>
  <c r="K247" i="109" s="1"/>
  <c r="J247" i="109" a="1"/>
  <c r="J247" i="109" s="1"/>
  <c r="I247" i="109" a="1"/>
  <c r="I247" i="109" s="1"/>
  <c r="H247" i="109" a="1"/>
  <c r="H247" i="109" s="1"/>
  <c r="G247" i="109" a="1"/>
  <c r="G247" i="109" s="1"/>
  <c r="F247" i="109" a="1"/>
  <c r="F247" i="109" s="1"/>
  <c r="E247" i="109" a="1"/>
  <c r="E247" i="109" s="1"/>
  <c r="D247" i="109" a="1"/>
  <c r="D247" i="109" s="1"/>
  <c r="S246" i="109" a="1"/>
  <c r="S246" i="109" s="1"/>
  <c r="R246" i="109" a="1"/>
  <c r="R246" i="109" s="1"/>
  <c r="Q246" i="109" a="1"/>
  <c r="Q246" i="109" s="1"/>
  <c r="P246" i="109" a="1"/>
  <c r="P246" i="109" s="1"/>
  <c r="O246" i="109" a="1"/>
  <c r="O246" i="109" s="1"/>
  <c r="N246" i="109" a="1"/>
  <c r="N246" i="109" s="1"/>
  <c r="M246" i="109" a="1"/>
  <c r="M246" i="109" s="1"/>
  <c r="L246" i="109" a="1"/>
  <c r="L246" i="109" s="1"/>
  <c r="K246" i="109" a="1"/>
  <c r="K246" i="109" s="1"/>
  <c r="J246" i="109" a="1"/>
  <c r="J246" i="109" s="1"/>
  <c r="I246" i="109"/>
  <c r="I246" i="109" a="1"/>
  <c r="H246" i="109" a="1"/>
  <c r="H246" i="109" s="1"/>
  <c r="G246" i="109" a="1"/>
  <c r="G246" i="109" s="1"/>
  <c r="F246" i="109" a="1"/>
  <c r="F246" i="109" s="1"/>
  <c r="E246" i="109" a="1"/>
  <c r="E246" i="109" s="1"/>
  <c r="D246" i="109" a="1"/>
  <c r="D246" i="109" s="1"/>
  <c r="S245" i="109" a="1"/>
  <c r="S245" i="109" s="1"/>
  <c r="R245" i="109" a="1"/>
  <c r="R245" i="109" s="1"/>
  <c r="Q245" i="109" a="1"/>
  <c r="Q245" i="109" s="1"/>
  <c r="P245" i="109" a="1"/>
  <c r="P245" i="109" s="1"/>
  <c r="O245" i="109" a="1"/>
  <c r="O245" i="109" s="1"/>
  <c r="N245" i="109" a="1"/>
  <c r="N245" i="109" s="1"/>
  <c r="M245" i="109" a="1"/>
  <c r="M245" i="109" s="1"/>
  <c r="L245" i="109" a="1"/>
  <c r="L245" i="109" s="1"/>
  <c r="K245" i="109" a="1"/>
  <c r="K245" i="109" s="1"/>
  <c r="J245" i="109" a="1"/>
  <c r="J245" i="109" s="1"/>
  <c r="I245" i="109" a="1"/>
  <c r="I245" i="109" s="1"/>
  <c r="H245" i="109" a="1"/>
  <c r="H245" i="109" s="1"/>
  <c r="G245" i="109" a="1"/>
  <c r="G245" i="109" s="1"/>
  <c r="F245" i="109" a="1"/>
  <c r="F245" i="109" s="1"/>
  <c r="E245" i="109" a="1"/>
  <c r="E245" i="109" s="1"/>
  <c r="D245" i="109" a="1"/>
  <c r="D245" i="109" s="1"/>
  <c r="S244" i="109" a="1"/>
  <c r="S244" i="109" s="1"/>
  <c r="R244" i="109" a="1"/>
  <c r="R244" i="109" s="1"/>
  <c r="Q244" i="109" a="1"/>
  <c r="Q244" i="109" s="1"/>
  <c r="P244" i="109" a="1"/>
  <c r="P244" i="109" s="1"/>
  <c r="O244" i="109" a="1"/>
  <c r="O244" i="109" s="1"/>
  <c r="N244" i="109" a="1"/>
  <c r="N244" i="109" s="1"/>
  <c r="M244" i="109" a="1"/>
  <c r="M244" i="109" s="1"/>
  <c r="L244" i="109" a="1"/>
  <c r="L244" i="109" s="1"/>
  <c r="K244" i="109" a="1"/>
  <c r="K244" i="109" s="1"/>
  <c r="J244" i="109" a="1"/>
  <c r="J244" i="109" s="1"/>
  <c r="I244" i="109" a="1"/>
  <c r="I244" i="109" s="1"/>
  <c r="H244" i="109" a="1"/>
  <c r="H244" i="109" s="1"/>
  <c r="G244" i="109" a="1"/>
  <c r="G244" i="109" s="1"/>
  <c r="F244" i="109" a="1"/>
  <c r="F244" i="109" s="1"/>
  <c r="E244" i="109" a="1"/>
  <c r="E244" i="109" s="1"/>
  <c r="D244" i="109" a="1"/>
  <c r="D244" i="109" s="1"/>
  <c r="S243" i="109" a="1"/>
  <c r="S243" i="109" s="1"/>
  <c r="R243" i="109" a="1"/>
  <c r="R243" i="109" s="1"/>
  <c r="Q243" i="109" a="1"/>
  <c r="Q243" i="109" s="1"/>
  <c r="P243" i="109" a="1"/>
  <c r="P243" i="109" s="1"/>
  <c r="O243" i="109" a="1"/>
  <c r="O243" i="109" s="1"/>
  <c r="N243" i="109" a="1"/>
  <c r="N243" i="109" s="1"/>
  <c r="M243" i="109" a="1"/>
  <c r="M243" i="109" s="1"/>
  <c r="L243" i="109" a="1"/>
  <c r="L243" i="109" s="1"/>
  <c r="K243" i="109" a="1"/>
  <c r="K243" i="109" s="1"/>
  <c r="J243" i="109" a="1"/>
  <c r="J243" i="109" s="1"/>
  <c r="I243" i="109" a="1"/>
  <c r="I243" i="109" s="1"/>
  <c r="H243" i="109" a="1"/>
  <c r="H243" i="109" s="1"/>
  <c r="G243" i="109" a="1"/>
  <c r="G243" i="109" s="1"/>
  <c r="F243" i="109" a="1"/>
  <c r="F243" i="109" s="1"/>
  <c r="E243" i="109" a="1"/>
  <c r="E243" i="109" s="1"/>
  <c r="D243" i="109" a="1"/>
  <c r="D243" i="109" s="1"/>
  <c r="S242" i="109" a="1"/>
  <c r="S242" i="109" s="1"/>
  <c r="R242" i="109" a="1"/>
  <c r="R242" i="109" s="1"/>
  <c r="Q242" i="109" a="1"/>
  <c r="Q242" i="109" s="1"/>
  <c r="P242" i="109" a="1"/>
  <c r="P242" i="109" s="1"/>
  <c r="O242" i="109" a="1"/>
  <c r="O242" i="109" s="1"/>
  <c r="N242" i="109" a="1"/>
  <c r="N242" i="109" s="1"/>
  <c r="M242" i="109" a="1"/>
  <c r="M242" i="109" s="1"/>
  <c r="L242" i="109" a="1"/>
  <c r="L242" i="109" s="1"/>
  <c r="K242" i="109" a="1"/>
  <c r="K242" i="109" s="1"/>
  <c r="J242" i="109" a="1"/>
  <c r="J242" i="109" s="1"/>
  <c r="I242" i="109" a="1"/>
  <c r="I242" i="109" s="1"/>
  <c r="H242" i="109" a="1"/>
  <c r="H242" i="109" s="1"/>
  <c r="G242" i="109" a="1"/>
  <c r="G242" i="109" s="1"/>
  <c r="F242" i="109" a="1"/>
  <c r="F242" i="109" s="1"/>
  <c r="E242" i="109" a="1"/>
  <c r="E242" i="109" s="1"/>
  <c r="D242" i="109" a="1"/>
  <c r="D242" i="109" s="1"/>
  <c r="S241" i="109" a="1"/>
  <c r="S241" i="109" s="1"/>
  <c r="R241" i="109" a="1"/>
  <c r="R241" i="109" s="1"/>
  <c r="Q241" i="109" a="1"/>
  <c r="Q241" i="109" s="1"/>
  <c r="P241" i="109" a="1"/>
  <c r="P241" i="109" s="1"/>
  <c r="O241" i="109" a="1"/>
  <c r="O241" i="109" s="1"/>
  <c r="N241" i="109" a="1"/>
  <c r="N241" i="109" s="1"/>
  <c r="M241" i="109" a="1"/>
  <c r="M241" i="109" s="1"/>
  <c r="L241" i="109" a="1"/>
  <c r="L241" i="109" s="1"/>
  <c r="K241" i="109" a="1"/>
  <c r="K241" i="109" s="1"/>
  <c r="J241" i="109" a="1"/>
  <c r="J241" i="109" s="1"/>
  <c r="I241" i="109" a="1"/>
  <c r="I241" i="109" s="1"/>
  <c r="H241" i="109" a="1"/>
  <c r="H241" i="109" s="1"/>
  <c r="G241" i="109" a="1"/>
  <c r="G241" i="109" s="1"/>
  <c r="F241" i="109" a="1"/>
  <c r="F241" i="109" s="1"/>
  <c r="E241" i="109" a="1"/>
  <c r="E241" i="109" s="1"/>
  <c r="D241" i="109" a="1"/>
  <c r="D241" i="109" s="1"/>
  <c r="S240" i="109" a="1"/>
  <c r="S240" i="109" s="1"/>
  <c r="R240" i="109" a="1"/>
  <c r="R240" i="109" s="1"/>
  <c r="Q240" i="109" a="1"/>
  <c r="Q240" i="109" s="1"/>
  <c r="P240" i="109" a="1"/>
  <c r="P240" i="109" s="1"/>
  <c r="O240" i="109" a="1"/>
  <c r="O240" i="109" s="1"/>
  <c r="N240" i="109" a="1"/>
  <c r="N240" i="109" s="1"/>
  <c r="M240" i="109" a="1"/>
  <c r="M240" i="109" s="1"/>
  <c r="L240" i="109" a="1"/>
  <c r="L240" i="109" s="1"/>
  <c r="K240" i="109" a="1"/>
  <c r="K240" i="109" s="1"/>
  <c r="J240" i="109" a="1"/>
  <c r="J240" i="109" s="1"/>
  <c r="I240" i="109" a="1"/>
  <c r="I240" i="109" s="1"/>
  <c r="H240" i="109" a="1"/>
  <c r="H240" i="109" s="1"/>
  <c r="G240" i="109" a="1"/>
  <c r="G240" i="109" s="1"/>
  <c r="F240" i="109" a="1"/>
  <c r="F240" i="109" s="1"/>
  <c r="E240" i="109" a="1"/>
  <c r="E240" i="109" s="1"/>
  <c r="D240" i="109" a="1"/>
  <c r="D240" i="109" s="1"/>
  <c r="S239" i="109" a="1"/>
  <c r="S239" i="109" s="1"/>
  <c r="R239" i="109" a="1"/>
  <c r="R239" i="109" s="1"/>
  <c r="Q239" i="109" a="1"/>
  <c r="Q239" i="109" s="1"/>
  <c r="P239" i="109" a="1"/>
  <c r="P239" i="109" s="1"/>
  <c r="O239" i="109" a="1"/>
  <c r="O239" i="109" s="1"/>
  <c r="N239" i="109" a="1"/>
  <c r="N239" i="109" s="1"/>
  <c r="M239" i="109" a="1"/>
  <c r="M239" i="109" s="1"/>
  <c r="L239" i="109" a="1"/>
  <c r="L239" i="109" s="1"/>
  <c r="K239" i="109" a="1"/>
  <c r="K239" i="109" s="1"/>
  <c r="J239" i="109" a="1"/>
  <c r="J239" i="109" s="1"/>
  <c r="I239" i="109" a="1"/>
  <c r="I239" i="109" s="1"/>
  <c r="H239" i="109" a="1"/>
  <c r="H239" i="109" s="1"/>
  <c r="G239" i="109" a="1"/>
  <c r="G239" i="109" s="1"/>
  <c r="F239" i="109" a="1"/>
  <c r="F239" i="109" s="1"/>
  <c r="E239" i="109" a="1"/>
  <c r="E239" i="109" s="1"/>
  <c r="D239" i="109" a="1"/>
  <c r="D239" i="109" s="1"/>
  <c r="S238" i="109" a="1"/>
  <c r="S238" i="109" s="1"/>
  <c r="R238" i="109" a="1"/>
  <c r="R238" i="109" s="1"/>
  <c r="Q238" i="109" a="1"/>
  <c r="Q238" i="109" s="1"/>
  <c r="P238" i="109" a="1"/>
  <c r="P238" i="109" s="1"/>
  <c r="O238" i="109" a="1"/>
  <c r="O238" i="109" s="1"/>
  <c r="N238" i="109" a="1"/>
  <c r="N238" i="109" s="1"/>
  <c r="M238" i="109" a="1"/>
  <c r="M238" i="109" s="1"/>
  <c r="L238" i="109" a="1"/>
  <c r="L238" i="109" s="1"/>
  <c r="K238" i="109" a="1"/>
  <c r="K238" i="109" s="1"/>
  <c r="J238" i="109" a="1"/>
  <c r="J238" i="109" s="1"/>
  <c r="I238" i="109" a="1"/>
  <c r="I238" i="109" s="1"/>
  <c r="H238" i="109" a="1"/>
  <c r="H238" i="109" s="1"/>
  <c r="G238" i="109" a="1"/>
  <c r="G238" i="109" s="1"/>
  <c r="F238" i="109" a="1"/>
  <c r="F238" i="109" s="1"/>
  <c r="E238" i="109" a="1"/>
  <c r="E238" i="109" s="1"/>
  <c r="D238" i="109" a="1"/>
  <c r="D238" i="109" s="1"/>
  <c r="S237" i="109" a="1"/>
  <c r="S237" i="109" s="1"/>
  <c r="R237" i="109" a="1"/>
  <c r="R237" i="109" s="1"/>
  <c r="Q237" i="109" a="1"/>
  <c r="Q237" i="109" s="1"/>
  <c r="P237" i="109" a="1"/>
  <c r="P237" i="109" s="1"/>
  <c r="O237" i="109" a="1"/>
  <c r="O237" i="109" s="1"/>
  <c r="N237" i="109" a="1"/>
  <c r="N237" i="109" s="1"/>
  <c r="M237" i="109" a="1"/>
  <c r="M237" i="109" s="1"/>
  <c r="L237" i="109" a="1"/>
  <c r="L237" i="109" s="1"/>
  <c r="K237" i="109" a="1"/>
  <c r="K237" i="109" s="1"/>
  <c r="J237" i="109" a="1"/>
  <c r="J237" i="109" s="1"/>
  <c r="I237" i="109" a="1"/>
  <c r="I237" i="109" s="1"/>
  <c r="H237" i="109" a="1"/>
  <c r="H237" i="109" s="1"/>
  <c r="G237" i="109" a="1"/>
  <c r="G237" i="109" s="1"/>
  <c r="F237" i="109" a="1"/>
  <c r="F237" i="109" s="1"/>
  <c r="E237" i="109" a="1"/>
  <c r="E237" i="109" s="1"/>
  <c r="D237" i="109" a="1"/>
  <c r="D237" i="109" s="1"/>
  <c r="S236" i="109" a="1"/>
  <c r="S236" i="109" s="1"/>
  <c r="R236" i="109" a="1"/>
  <c r="R236" i="109" s="1"/>
  <c r="Q236" i="109" a="1"/>
  <c r="Q236" i="109" s="1"/>
  <c r="P236" i="109" a="1"/>
  <c r="P236" i="109" s="1"/>
  <c r="O236" i="109" a="1"/>
  <c r="O236" i="109" s="1"/>
  <c r="N236" i="109" a="1"/>
  <c r="N236" i="109" s="1"/>
  <c r="M236" i="109" a="1"/>
  <c r="M236" i="109" s="1"/>
  <c r="L236" i="109" a="1"/>
  <c r="L236" i="109" s="1"/>
  <c r="K236" i="109" a="1"/>
  <c r="K236" i="109" s="1"/>
  <c r="J236" i="109" a="1"/>
  <c r="J236" i="109" s="1"/>
  <c r="I236" i="109" a="1"/>
  <c r="I236" i="109" s="1"/>
  <c r="H236" i="109" a="1"/>
  <c r="H236" i="109" s="1"/>
  <c r="G236" i="109" a="1"/>
  <c r="G236" i="109" s="1"/>
  <c r="F236" i="109" a="1"/>
  <c r="F236" i="109" s="1"/>
  <c r="E236" i="109" a="1"/>
  <c r="E236" i="109" s="1"/>
  <c r="D236" i="109" a="1"/>
  <c r="D236" i="109" s="1"/>
  <c r="S235" i="109" a="1"/>
  <c r="S235" i="109" s="1"/>
  <c r="R235" i="109" a="1"/>
  <c r="R235" i="109" s="1"/>
  <c r="Q235" i="109" a="1"/>
  <c r="Q235" i="109" s="1"/>
  <c r="P235" i="109" a="1"/>
  <c r="P235" i="109" s="1"/>
  <c r="O235" i="109" a="1"/>
  <c r="O235" i="109" s="1"/>
  <c r="N235" i="109" a="1"/>
  <c r="N235" i="109" s="1"/>
  <c r="M235" i="109" a="1"/>
  <c r="M235" i="109" s="1"/>
  <c r="L235" i="109" a="1"/>
  <c r="L235" i="109" s="1"/>
  <c r="K235" i="109" a="1"/>
  <c r="K235" i="109" s="1"/>
  <c r="J235" i="109" a="1"/>
  <c r="J235" i="109" s="1"/>
  <c r="I235" i="109" a="1"/>
  <c r="I235" i="109" s="1"/>
  <c r="H235" i="109" a="1"/>
  <c r="H235" i="109" s="1"/>
  <c r="G235" i="109" a="1"/>
  <c r="G235" i="109" s="1"/>
  <c r="F235" i="109" a="1"/>
  <c r="F235" i="109" s="1"/>
  <c r="E235" i="109" a="1"/>
  <c r="E235" i="109" s="1"/>
  <c r="D235" i="109" a="1"/>
  <c r="D235" i="109" s="1"/>
  <c r="S234" i="109" a="1"/>
  <c r="S234" i="109" s="1"/>
  <c r="R234" i="109" a="1"/>
  <c r="R234" i="109" s="1"/>
  <c r="Q234" i="109" a="1"/>
  <c r="Q234" i="109" s="1"/>
  <c r="P234" i="109" a="1"/>
  <c r="P234" i="109" s="1"/>
  <c r="O234" i="109" a="1"/>
  <c r="O234" i="109" s="1"/>
  <c r="N234" i="109" a="1"/>
  <c r="N234" i="109" s="1"/>
  <c r="M234" i="109" a="1"/>
  <c r="M234" i="109" s="1"/>
  <c r="L234" i="109" a="1"/>
  <c r="L234" i="109" s="1"/>
  <c r="K234" i="109" a="1"/>
  <c r="K234" i="109" s="1"/>
  <c r="J234" i="109" a="1"/>
  <c r="J234" i="109" s="1"/>
  <c r="I234" i="109" a="1"/>
  <c r="I234" i="109" s="1"/>
  <c r="H234" i="109" a="1"/>
  <c r="H234" i="109" s="1"/>
  <c r="G234" i="109" a="1"/>
  <c r="G234" i="109" s="1"/>
  <c r="F234" i="109" a="1"/>
  <c r="F234" i="109" s="1"/>
  <c r="E234" i="109" a="1"/>
  <c r="E234" i="109" s="1"/>
  <c r="D234" i="109" a="1"/>
  <c r="D234" i="109" s="1"/>
  <c r="S233" i="109" a="1"/>
  <c r="S233" i="109" s="1"/>
  <c r="R233" i="109" a="1"/>
  <c r="R233" i="109" s="1"/>
  <c r="Q233" i="109" a="1"/>
  <c r="Q233" i="109" s="1"/>
  <c r="P233" i="109" a="1"/>
  <c r="P233" i="109" s="1"/>
  <c r="O233" i="109" a="1"/>
  <c r="O233" i="109" s="1"/>
  <c r="N233" i="109" a="1"/>
  <c r="N233" i="109" s="1"/>
  <c r="M233" i="109" a="1"/>
  <c r="M233" i="109" s="1"/>
  <c r="L233" i="109" a="1"/>
  <c r="L233" i="109" s="1"/>
  <c r="K233" i="109" a="1"/>
  <c r="K233" i="109" s="1"/>
  <c r="J233" i="109" a="1"/>
  <c r="J233" i="109" s="1"/>
  <c r="I233" i="109" a="1"/>
  <c r="I233" i="109" s="1"/>
  <c r="H233" i="109" a="1"/>
  <c r="H233" i="109" s="1"/>
  <c r="G233" i="109" a="1"/>
  <c r="G233" i="109" s="1"/>
  <c r="F233" i="109" a="1"/>
  <c r="F233" i="109" s="1"/>
  <c r="E233" i="109" a="1"/>
  <c r="E233" i="109" s="1"/>
  <c r="D233" i="109" a="1"/>
  <c r="D233" i="109" s="1"/>
  <c r="S232" i="109" a="1"/>
  <c r="S232" i="109" s="1"/>
  <c r="R232" i="109" a="1"/>
  <c r="R232" i="109" s="1"/>
  <c r="Q232" i="109" a="1"/>
  <c r="Q232" i="109" s="1"/>
  <c r="P232" i="109" a="1"/>
  <c r="P232" i="109" s="1"/>
  <c r="O232" i="109" a="1"/>
  <c r="O232" i="109" s="1"/>
  <c r="N232" i="109" a="1"/>
  <c r="N232" i="109" s="1"/>
  <c r="M232" i="109" a="1"/>
  <c r="M232" i="109" s="1"/>
  <c r="L232" i="109" a="1"/>
  <c r="L232" i="109" s="1"/>
  <c r="K232" i="109" a="1"/>
  <c r="K232" i="109" s="1"/>
  <c r="J232" i="109" a="1"/>
  <c r="J232" i="109" s="1"/>
  <c r="I232" i="109" a="1"/>
  <c r="I232" i="109" s="1"/>
  <c r="H232" i="109" a="1"/>
  <c r="H232" i="109" s="1"/>
  <c r="G232" i="109" a="1"/>
  <c r="G232" i="109" s="1"/>
  <c r="F232" i="109" a="1"/>
  <c r="F232" i="109" s="1"/>
  <c r="E232" i="109" a="1"/>
  <c r="E232" i="109" s="1"/>
  <c r="D232" i="109" a="1"/>
  <c r="D232" i="109" s="1"/>
  <c r="D229" i="109" a="1"/>
  <c r="D229" i="109" s="1"/>
  <c r="D228" i="109" a="1"/>
  <c r="D228" i="109" s="1"/>
  <c r="D227" i="109" a="1"/>
  <c r="D227" i="109" s="1"/>
  <c r="E224" i="109" a="1"/>
  <c r="E224" i="109" s="1"/>
  <c r="D224" i="109" a="1"/>
  <c r="D224" i="109" s="1"/>
  <c r="E223" i="109" a="1"/>
  <c r="E223" i="109" s="1"/>
  <c r="D223" i="109" a="1"/>
  <c r="D223" i="109" s="1"/>
  <c r="E222" i="109" a="1"/>
  <c r="E222" i="109" s="1"/>
  <c r="D222" i="109" a="1"/>
  <c r="D222" i="109" s="1"/>
  <c r="E221" i="109" a="1"/>
  <c r="E221" i="109" s="1"/>
  <c r="D221" i="109" a="1"/>
  <c r="D221" i="109" s="1"/>
  <c r="E220" i="109" a="1"/>
  <c r="E220" i="109" s="1"/>
  <c r="D220" i="109" a="1"/>
  <c r="D220" i="109" s="1"/>
  <c r="E219" i="109" a="1"/>
  <c r="E219" i="109" s="1"/>
  <c r="D219" i="109" a="1"/>
  <c r="D219" i="109" s="1"/>
  <c r="E218" i="109" a="1"/>
  <c r="E218" i="109" s="1"/>
  <c r="D218" i="109" a="1"/>
  <c r="D218" i="109" s="1"/>
  <c r="E217" i="109" a="1"/>
  <c r="E217" i="109" s="1"/>
  <c r="D217" i="109" a="1"/>
  <c r="D217" i="109" s="1"/>
  <c r="E216" i="109" a="1"/>
  <c r="E216" i="109" s="1"/>
  <c r="D216" i="109" a="1"/>
  <c r="D216" i="109" s="1"/>
  <c r="E215" i="109" a="1"/>
  <c r="E215" i="109" s="1"/>
  <c r="D215" i="109" a="1"/>
  <c r="D215" i="109" s="1"/>
  <c r="E214" i="109" a="1"/>
  <c r="E214" i="109" s="1"/>
  <c r="D214" i="109" a="1"/>
  <c r="D214" i="109" s="1"/>
  <c r="E213" i="109" a="1"/>
  <c r="E213" i="109" s="1"/>
  <c r="D213" i="109" a="1"/>
  <c r="D213" i="109" s="1"/>
  <c r="D211" i="109" a="1"/>
  <c r="D211" i="109" s="1"/>
  <c r="E208" i="109" a="1"/>
  <c r="E208" i="109" s="1"/>
  <c r="D208" i="109" a="1"/>
  <c r="D208" i="109" s="1"/>
  <c r="E207" i="109" a="1"/>
  <c r="E207" i="109" s="1"/>
  <c r="D207" i="109" a="1"/>
  <c r="D207" i="109" s="1"/>
  <c r="D205" i="109" a="1"/>
  <c r="D205" i="109" s="1"/>
  <c r="D204" i="109" a="1"/>
  <c r="D204" i="109" s="1"/>
  <c r="D203" i="109" a="1"/>
  <c r="D203" i="109" s="1"/>
  <c r="D202" i="109" a="1"/>
  <c r="D202" i="109" s="1"/>
  <c r="H199" i="109" a="1"/>
  <c r="H199" i="109" s="1"/>
  <c r="G199" i="109" a="1"/>
  <c r="G199" i="109" s="1"/>
  <c r="F199" i="109" a="1"/>
  <c r="F199" i="109" s="1"/>
  <c r="E199" i="109" a="1"/>
  <c r="E199" i="109" s="1"/>
  <c r="D199" i="109" a="1"/>
  <c r="D199" i="109" s="1"/>
  <c r="H198" i="109" a="1"/>
  <c r="H198" i="109" s="1"/>
  <c r="G198" i="109" a="1"/>
  <c r="G198" i="109" s="1"/>
  <c r="F198" i="109" a="1"/>
  <c r="F198" i="109" s="1"/>
  <c r="E198" i="109" a="1"/>
  <c r="E198" i="109" s="1"/>
  <c r="D198" i="109" a="1"/>
  <c r="D198" i="109" s="1"/>
  <c r="H197" i="109" a="1"/>
  <c r="H197" i="109" s="1"/>
  <c r="G197" i="109" a="1"/>
  <c r="G197" i="109" s="1"/>
  <c r="F197" i="109" a="1"/>
  <c r="F197" i="109" s="1"/>
  <c r="E197" i="109" a="1"/>
  <c r="E197" i="109" s="1"/>
  <c r="D197" i="109" a="1"/>
  <c r="D197" i="109" s="1"/>
  <c r="H196" i="109" a="1"/>
  <c r="H196" i="109" s="1"/>
  <c r="G196" i="109" a="1"/>
  <c r="G196" i="109" s="1"/>
  <c r="F196" i="109" a="1"/>
  <c r="F196" i="109" s="1"/>
  <c r="E196" i="109" a="1"/>
  <c r="E196" i="109" s="1"/>
  <c r="D196" i="109" a="1"/>
  <c r="D196" i="109" s="1"/>
  <c r="H195" i="109" a="1"/>
  <c r="H195" i="109" s="1"/>
  <c r="G195" i="109" a="1"/>
  <c r="G195" i="109" s="1"/>
  <c r="F195" i="109" a="1"/>
  <c r="F195" i="109" s="1"/>
  <c r="E195" i="109" a="1"/>
  <c r="E195" i="109" s="1"/>
  <c r="D195" i="109" a="1"/>
  <c r="D195" i="109" s="1"/>
  <c r="H194" i="109" a="1"/>
  <c r="H194" i="109" s="1"/>
  <c r="G194" i="109" a="1"/>
  <c r="G194" i="109" s="1"/>
  <c r="F194" i="109" a="1"/>
  <c r="F194" i="109" s="1"/>
  <c r="E194" i="109" a="1"/>
  <c r="E194" i="109" s="1"/>
  <c r="D194" i="109" a="1"/>
  <c r="D194" i="109" s="1"/>
  <c r="H193" i="109" a="1"/>
  <c r="H193" i="109" s="1"/>
  <c r="G193" i="109" a="1"/>
  <c r="G193" i="109" s="1"/>
  <c r="F193" i="109" a="1"/>
  <c r="F193" i="109" s="1"/>
  <c r="E193" i="109" a="1"/>
  <c r="E193" i="109" s="1"/>
  <c r="D193" i="109" a="1"/>
  <c r="D193" i="109" s="1"/>
  <c r="H192" i="109" a="1"/>
  <c r="H192" i="109" s="1"/>
  <c r="G192" i="109" a="1"/>
  <c r="G192" i="109" s="1"/>
  <c r="F192" i="109" a="1"/>
  <c r="F192" i="109" s="1"/>
  <c r="E192" i="109" a="1"/>
  <c r="E192" i="109" s="1"/>
  <c r="D192" i="109" a="1"/>
  <c r="D192" i="109" s="1"/>
  <c r="H191" i="109" a="1"/>
  <c r="H191" i="109" s="1"/>
  <c r="G191" i="109" a="1"/>
  <c r="G191" i="109" s="1"/>
  <c r="F191" i="109" a="1"/>
  <c r="F191" i="109" s="1"/>
  <c r="E191" i="109" a="1"/>
  <c r="E191" i="109" s="1"/>
  <c r="D191" i="109" a="1"/>
  <c r="D191" i="109" s="1"/>
  <c r="H190" i="109" a="1"/>
  <c r="H190" i="109" s="1"/>
  <c r="G190" i="109" a="1"/>
  <c r="G190" i="109" s="1"/>
  <c r="F190" i="109" a="1"/>
  <c r="F190" i="109" s="1"/>
  <c r="E190" i="109" a="1"/>
  <c r="E190" i="109" s="1"/>
  <c r="D190" i="109" a="1"/>
  <c r="D190" i="109" s="1"/>
  <c r="H189" i="109" a="1"/>
  <c r="H189" i="109" s="1"/>
  <c r="G189" i="109" a="1"/>
  <c r="G189" i="109" s="1"/>
  <c r="F189" i="109" a="1"/>
  <c r="F189" i="109" s="1"/>
  <c r="E189" i="109" a="1"/>
  <c r="E189" i="109" s="1"/>
  <c r="D189" i="109" a="1"/>
  <c r="D189" i="109" s="1"/>
  <c r="H188" i="109" a="1"/>
  <c r="H188" i="109" s="1"/>
  <c r="G188" i="109" a="1"/>
  <c r="G188" i="109" s="1"/>
  <c r="F188" i="109" a="1"/>
  <c r="F188" i="109" s="1"/>
  <c r="E188" i="109" a="1"/>
  <c r="E188" i="109" s="1"/>
  <c r="D188" i="109" a="1"/>
  <c r="D188" i="109" s="1"/>
  <c r="H187" i="109" a="1"/>
  <c r="H187" i="109" s="1"/>
  <c r="G187" i="109" a="1"/>
  <c r="G187" i="109" s="1"/>
  <c r="F187" i="109" a="1"/>
  <c r="F187" i="109" s="1"/>
  <c r="E187" i="109" a="1"/>
  <c r="E187" i="109" s="1"/>
  <c r="D187" i="109" a="1"/>
  <c r="D187" i="109" s="1"/>
  <c r="D181" i="109" a="1"/>
  <c r="D181" i="109" s="1"/>
  <c r="D180" i="109"/>
  <c r="D180" i="109" a="1"/>
  <c r="D179" i="109" a="1"/>
  <c r="D179" i="109" s="1"/>
  <c r="D178" i="109" a="1"/>
  <c r="D178" i="109" s="1"/>
  <c r="E175" i="109" a="1"/>
  <c r="E175" i="109" s="1"/>
  <c r="D175" i="109" a="1"/>
  <c r="D175" i="109" s="1"/>
  <c r="D174" i="109" a="1"/>
  <c r="D174" i="109" s="1"/>
  <c r="D173" i="109" a="1"/>
  <c r="D173" i="109" s="1"/>
  <c r="D170" i="109" a="1"/>
  <c r="D170" i="109" s="1"/>
  <c r="D169" i="109" a="1"/>
  <c r="D169" i="109" s="1"/>
  <c r="D168" i="109" a="1"/>
  <c r="D168" i="109" s="1"/>
  <c r="D167" i="109"/>
  <c r="D167" i="109" a="1"/>
  <c r="D164" i="109" a="1"/>
  <c r="D164" i="109" s="1"/>
  <c r="D163" i="109" a="1"/>
  <c r="D163" i="109" s="1"/>
  <c r="D162" i="109" a="1"/>
  <c r="D162" i="109" s="1"/>
  <c r="D161" i="109" a="1"/>
  <c r="D161" i="109" s="1"/>
  <c r="E158" i="109" a="1"/>
  <c r="E158" i="109" s="1"/>
  <c r="D158" i="109" a="1"/>
  <c r="D158" i="109" s="1"/>
  <c r="E157" i="109" a="1"/>
  <c r="E157" i="109" s="1"/>
  <c r="D157" i="109" a="1"/>
  <c r="D157" i="109" s="1"/>
  <c r="E156" i="109" a="1"/>
  <c r="E156" i="109" s="1"/>
  <c r="D156" i="109" a="1"/>
  <c r="D156" i="109" s="1"/>
  <c r="E155" i="109" a="1"/>
  <c r="E155" i="109" s="1"/>
  <c r="D155" i="109" a="1"/>
  <c r="D155" i="109" s="1"/>
  <c r="E154" i="109" a="1"/>
  <c r="E154" i="109" s="1"/>
  <c r="D154" i="109" a="1"/>
  <c r="D154" i="109" s="1"/>
  <c r="D151" i="109" a="1"/>
  <c r="D151" i="109" s="1"/>
  <c r="D150" i="109"/>
  <c r="D150" i="109" a="1"/>
  <c r="E147" i="109" a="1"/>
  <c r="E147" i="109" s="1"/>
  <c r="D147" i="109" a="1"/>
  <c r="D147" i="109" s="1"/>
  <c r="E146" i="109" a="1"/>
  <c r="E146" i="109" s="1"/>
  <c r="D146" i="109" a="1"/>
  <c r="D146" i="109" s="1"/>
  <c r="E145" i="109" a="1"/>
  <c r="E145" i="109" s="1"/>
  <c r="D145" i="109" a="1"/>
  <c r="D145" i="109" s="1"/>
  <c r="E144" i="109" a="1"/>
  <c r="E144" i="109" s="1"/>
  <c r="D144" i="109" a="1"/>
  <c r="D144" i="109" s="1"/>
  <c r="E143" i="109" a="1"/>
  <c r="E143" i="109" s="1"/>
  <c r="D143" i="109" a="1"/>
  <c r="D143" i="109" s="1"/>
  <c r="D141" i="109" a="1"/>
  <c r="D141" i="109" s="1"/>
  <c r="D140" i="109" a="1"/>
  <c r="D140" i="109" s="1"/>
  <c r="D139" i="109" a="1"/>
  <c r="D139" i="109" s="1"/>
  <c r="E136" i="109" a="1"/>
  <c r="E136" i="109" s="1"/>
  <c r="D136" i="109" a="1"/>
  <c r="D136" i="109" s="1"/>
  <c r="E135" i="109" a="1"/>
  <c r="E135" i="109" s="1"/>
  <c r="D135" i="109" a="1"/>
  <c r="D135" i="109" s="1"/>
  <c r="D133" i="109"/>
  <c r="D133" i="109" a="1"/>
  <c r="D132" i="109" a="1"/>
  <c r="D132" i="109" s="1"/>
  <c r="E129" i="109" a="1"/>
  <c r="E129" i="109" s="1"/>
  <c r="D129" i="109" a="1"/>
  <c r="D129" i="109" s="1"/>
  <c r="E128" i="109" a="1"/>
  <c r="E128" i="109" s="1"/>
  <c r="D128" i="109" a="1"/>
  <c r="D128" i="109" s="1"/>
  <c r="D125" i="109" a="1"/>
  <c r="D125" i="109" s="1"/>
  <c r="D124" i="109"/>
  <c r="D124" i="109" a="1"/>
  <c r="G121" i="109" a="1"/>
  <c r="G121" i="109" s="1"/>
  <c r="F121" i="109" a="1"/>
  <c r="F121" i="109" s="1"/>
  <c r="E121" i="109" a="1"/>
  <c r="E121" i="109" s="1"/>
  <c r="D121" i="109" a="1"/>
  <c r="D121" i="109" s="1"/>
  <c r="G120" i="109" a="1"/>
  <c r="G120" i="109" s="1"/>
  <c r="F120" i="109" a="1"/>
  <c r="F120" i="109" s="1"/>
  <c r="E120" i="109" a="1"/>
  <c r="E120" i="109" s="1"/>
  <c r="D120" i="109" a="1"/>
  <c r="D120" i="109" s="1"/>
  <c r="D117" i="109"/>
  <c r="D117" i="109" a="1"/>
  <c r="D116" i="109" a="1"/>
  <c r="D116" i="109" s="1"/>
  <c r="D115" i="109" a="1"/>
  <c r="D115" i="109" s="1"/>
  <c r="G112" i="109" a="1"/>
  <c r="G112" i="109" s="1"/>
  <c r="F112" i="109" a="1"/>
  <c r="F112" i="109" s="1"/>
  <c r="E112" i="109" a="1"/>
  <c r="E112" i="109" s="1"/>
  <c r="D112" i="109" a="1"/>
  <c r="D112" i="109" s="1"/>
  <c r="G111" i="109" a="1"/>
  <c r="G111" i="109" s="1"/>
  <c r="F111" i="109" a="1"/>
  <c r="F111" i="109" s="1"/>
  <c r="E111" i="109" a="1"/>
  <c r="E111" i="109" s="1"/>
  <c r="D111" i="109" a="1"/>
  <c r="D111" i="109" s="1"/>
  <c r="G110" i="109" a="1"/>
  <c r="G110" i="109" s="1"/>
  <c r="F110" i="109" a="1"/>
  <c r="F110" i="109" s="1"/>
  <c r="E110" i="109" a="1"/>
  <c r="E110" i="109" s="1"/>
  <c r="D110" i="109" a="1"/>
  <c r="D110" i="109" s="1"/>
  <c r="D107" i="109"/>
  <c r="D107" i="109" a="1"/>
  <c r="D106" i="109" a="1"/>
  <c r="D106" i="109" s="1"/>
  <c r="D105" i="109" a="1"/>
  <c r="D105" i="109" s="1"/>
  <c r="D99" i="109" a="1"/>
  <c r="D99" i="109" s="1"/>
  <c r="S97" i="109" a="1"/>
  <c r="S97" i="109" s="1"/>
  <c r="R97" i="109" a="1"/>
  <c r="R97" i="109" s="1"/>
  <c r="Q97" i="109" a="1"/>
  <c r="Q97" i="109" s="1"/>
  <c r="P97" i="109" a="1"/>
  <c r="P97" i="109" s="1"/>
  <c r="O97" i="109" a="1"/>
  <c r="O97" i="109" s="1"/>
  <c r="N97" i="109" a="1"/>
  <c r="N97" i="109" s="1"/>
  <c r="M97" i="109" a="1"/>
  <c r="M97" i="109" s="1"/>
  <c r="L97" i="109" a="1"/>
  <c r="L97" i="109" s="1"/>
  <c r="K97" i="109" a="1"/>
  <c r="K97" i="109" s="1"/>
  <c r="J97" i="109" a="1"/>
  <c r="J97" i="109" s="1"/>
  <c r="I97" i="109" a="1"/>
  <c r="I97" i="109" s="1"/>
  <c r="H97" i="109" a="1"/>
  <c r="H97" i="109" s="1"/>
  <c r="G97" i="109" a="1"/>
  <c r="G97" i="109" s="1"/>
  <c r="F97" i="109" a="1"/>
  <c r="F97" i="109" s="1"/>
  <c r="E97" i="109" a="1"/>
  <c r="E97" i="109" s="1"/>
  <c r="D97" i="109" a="1"/>
  <c r="D97" i="109" s="1"/>
  <c r="S96" i="109" a="1"/>
  <c r="S96" i="109" s="1"/>
  <c r="R96" i="109" a="1"/>
  <c r="R96" i="109" s="1"/>
  <c r="Q96" i="109" a="1"/>
  <c r="Q96" i="109" s="1"/>
  <c r="P96" i="109" a="1"/>
  <c r="P96" i="109" s="1"/>
  <c r="O96" i="109" a="1"/>
  <c r="O96" i="109" s="1"/>
  <c r="N96" i="109" a="1"/>
  <c r="N96" i="109" s="1"/>
  <c r="M96" i="109" a="1"/>
  <c r="M96" i="109" s="1"/>
  <c r="L96" i="109" a="1"/>
  <c r="L96" i="109" s="1"/>
  <c r="K96" i="109" a="1"/>
  <c r="K96" i="109" s="1"/>
  <c r="J96" i="109" a="1"/>
  <c r="J96" i="109" s="1"/>
  <c r="I96" i="109" a="1"/>
  <c r="I96" i="109" s="1"/>
  <c r="H96" i="109" a="1"/>
  <c r="H96" i="109" s="1"/>
  <c r="G96" i="109" a="1"/>
  <c r="G96" i="109" s="1"/>
  <c r="F96" i="109" a="1"/>
  <c r="F96" i="109" s="1"/>
  <c r="E96" i="109" a="1"/>
  <c r="E96" i="109" s="1"/>
  <c r="D96" i="109" a="1"/>
  <c r="D96" i="109" s="1"/>
  <c r="S95" i="109" a="1"/>
  <c r="S95" i="109" s="1"/>
  <c r="R95" i="109" a="1"/>
  <c r="R95" i="109" s="1"/>
  <c r="Q95" i="109" a="1"/>
  <c r="Q95" i="109" s="1"/>
  <c r="P95" i="109" a="1"/>
  <c r="P95" i="109" s="1"/>
  <c r="O95" i="109" a="1"/>
  <c r="O95" i="109" s="1"/>
  <c r="N95" i="109" a="1"/>
  <c r="N95" i="109" s="1"/>
  <c r="M95" i="109" a="1"/>
  <c r="M95" i="109" s="1"/>
  <c r="L95" i="109" a="1"/>
  <c r="L95" i="109" s="1"/>
  <c r="K95" i="109" a="1"/>
  <c r="K95" i="109" s="1"/>
  <c r="J95" i="109" a="1"/>
  <c r="J95" i="109" s="1"/>
  <c r="I95" i="109" a="1"/>
  <c r="I95" i="109" s="1"/>
  <c r="H95" i="109" a="1"/>
  <c r="H95" i="109" s="1"/>
  <c r="G95" i="109" a="1"/>
  <c r="G95" i="109" s="1"/>
  <c r="F95" i="109" a="1"/>
  <c r="F95" i="109" s="1"/>
  <c r="E95" i="109" a="1"/>
  <c r="E95" i="109" s="1"/>
  <c r="D95" i="109" a="1"/>
  <c r="D95" i="109" s="1"/>
  <c r="S94" i="109" a="1"/>
  <c r="S94" i="109" s="1"/>
  <c r="R94" i="109" a="1"/>
  <c r="R94" i="109" s="1"/>
  <c r="Q94" i="109" a="1"/>
  <c r="Q94" i="109" s="1"/>
  <c r="P94" i="109" a="1"/>
  <c r="P94" i="109" s="1"/>
  <c r="O94" i="109" a="1"/>
  <c r="O94" i="109" s="1"/>
  <c r="N94" i="109" a="1"/>
  <c r="N94" i="109" s="1"/>
  <c r="M94" i="109" a="1"/>
  <c r="M94" i="109" s="1"/>
  <c r="L94" i="109" a="1"/>
  <c r="L94" i="109" s="1"/>
  <c r="K94" i="109" a="1"/>
  <c r="K94" i="109" s="1"/>
  <c r="J94" i="109" a="1"/>
  <c r="J94" i="109" s="1"/>
  <c r="I94" i="109" a="1"/>
  <c r="I94" i="109" s="1"/>
  <c r="H94" i="109" a="1"/>
  <c r="H94" i="109" s="1"/>
  <c r="G94" i="109" a="1"/>
  <c r="G94" i="109" s="1"/>
  <c r="F94" i="109" a="1"/>
  <c r="F94" i="109" s="1"/>
  <c r="E94" i="109" a="1"/>
  <c r="E94" i="109" s="1"/>
  <c r="D94" i="109" a="1"/>
  <c r="D94" i="109" s="1"/>
  <c r="S93" i="109" a="1"/>
  <c r="S93" i="109" s="1"/>
  <c r="R93" i="109" a="1"/>
  <c r="R93" i="109" s="1"/>
  <c r="Q93" i="109" a="1"/>
  <c r="Q93" i="109" s="1"/>
  <c r="P93" i="109" a="1"/>
  <c r="P93" i="109" s="1"/>
  <c r="O93" i="109" a="1"/>
  <c r="O93" i="109" s="1"/>
  <c r="N93" i="109" a="1"/>
  <c r="N93" i="109" s="1"/>
  <c r="M93" i="109" a="1"/>
  <c r="M93" i="109" s="1"/>
  <c r="L93" i="109" a="1"/>
  <c r="L93" i="109" s="1"/>
  <c r="K93" i="109" a="1"/>
  <c r="K93" i="109" s="1"/>
  <c r="J93" i="109" a="1"/>
  <c r="J93" i="109" s="1"/>
  <c r="I93" i="109" a="1"/>
  <c r="I93" i="109" s="1"/>
  <c r="H93" i="109" a="1"/>
  <c r="H93" i="109" s="1"/>
  <c r="G93" i="109" a="1"/>
  <c r="G93" i="109" s="1"/>
  <c r="F93" i="109" a="1"/>
  <c r="F93" i="109" s="1"/>
  <c r="E93" i="109" a="1"/>
  <c r="E93" i="109" s="1"/>
  <c r="D93" i="109" a="1"/>
  <c r="D93" i="109" s="1"/>
  <c r="S92" i="109" a="1"/>
  <c r="S92" i="109" s="1"/>
  <c r="R92" i="109" a="1"/>
  <c r="R92" i="109" s="1"/>
  <c r="Q92" i="109" a="1"/>
  <c r="Q92" i="109" s="1"/>
  <c r="P92" i="109" a="1"/>
  <c r="P92" i="109" s="1"/>
  <c r="O92" i="109" a="1"/>
  <c r="O92" i="109" s="1"/>
  <c r="N92" i="109" a="1"/>
  <c r="N92" i="109" s="1"/>
  <c r="M92" i="109" a="1"/>
  <c r="M92" i="109" s="1"/>
  <c r="L92" i="109" a="1"/>
  <c r="L92" i="109" s="1"/>
  <c r="K92" i="109" a="1"/>
  <c r="K92" i="109" s="1"/>
  <c r="J92" i="109" a="1"/>
  <c r="J92" i="109" s="1"/>
  <c r="I92" i="109" a="1"/>
  <c r="I92" i="109" s="1"/>
  <c r="H92" i="109" a="1"/>
  <c r="H92" i="109" s="1"/>
  <c r="G92" i="109" a="1"/>
  <c r="G92" i="109" s="1"/>
  <c r="F92" i="109" a="1"/>
  <c r="F92" i="109" s="1"/>
  <c r="E92" i="109" a="1"/>
  <c r="E92" i="109" s="1"/>
  <c r="D92" i="109" a="1"/>
  <c r="D92" i="109" s="1"/>
  <c r="S91" i="109" a="1"/>
  <c r="S91" i="109" s="1"/>
  <c r="R91" i="109" a="1"/>
  <c r="R91" i="109" s="1"/>
  <c r="Q91" i="109" a="1"/>
  <c r="Q91" i="109" s="1"/>
  <c r="P91" i="109" a="1"/>
  <c r="P91" i="109" s="1"/>
  <c r="O91" i="109" a="1"/>
  <c r="O91" i="109" s="1"/>
  <c r="N91" i="109" a="1"/>
  <c r="N91" i="109" s="1"/>
  <c r="M91" i="109" a="1"/>
  <c r="M91" i="109" s="1"/>
  <c r="L91" i="109" a="1"/>
  <c r="L91" i="109" s="1"/>
  <c r="K91" i="109" a="1"/>
  <c r="K91" i="109" s="1"/>
  <c r="J91" i="109" a="1"/>
  <c r="J91" i="109" s="1"/>
  <c r="I91" i="109" a="1"/>
  <c r="I91" i="109" s="1"/>
  <c r="H91" i="109" a="1"/>
  <c r="H91" i="109" s="1"/>
  <c r="G91" i="109" a="1"/>
  <c r="G91" i="109" s="1"/>
  <c r="F91" i="109" a="1"/>
  <c r="F91" i="109" s="1"/>
  <c r="E91" i="109" a="1"/>
  <c r="E91" i="109" s="1"/>
  <c r="D91" i="109" a="1"/>
  <c r="D91" i="109" s="1"/>
  <c r="S90" i="109" a="1"/>
  <c r="S90" i="109" s="1"/>
  <c r="R90" i="109" a="1"/>
  <c r="R90" i="109" s="1"/>
  <c r="Q90" i="109" a="1"/>
  <c r="Q90" i="109" s="1"/>
  <c r="P90" i="109" a="1"/>
  <c r="P90" i="109" s="1"/>
  <c r="O90" i="109" a="1"/>
  <c r="O90" i="109" s="1"/>
  <c r="N90" i="109" a="1"/>
  <c r="N90" i="109" s="1"/>
  <c r="M90" i="109" a="1"/>
  <c r="M90" i="109" s="1"/>
  <c r="L90" i="109" a="1"/>
  <c r="L90" i="109" s="1"/>
  <c r="K90" i="109" a="1"/>
  <c r="K90" i="109" s="1"/>
  <c r="J90" i="109" a="1"/>
  <c r="J90" i="109" s="1"/>
  <c r="I90" i="109" a="1"/>
  <c r="I90" i="109" s="1"/>
  <c r="H90" i="109" a="1"/>
  <c r="H90" i="109" s="1"/>
  <c r="G90" i="109" a="1"/>
  <c r="G90" i="109" s="1"/>
  <c r="F90" i="109" a="1"/>
  <c r="F90" i="109" s="1"/>
  <c r="E90" i="109" a="1"/>
  <c r="E90" i="109" s="1"/>
  <c r="D90" i="109" a="1"/>
  <c r="D90" i="109" s="1"/>
  <c r="D83" i="109" a="1"/>
  <c r="D83" i="109" s="1"/>
  <c r="D82" i="109" a="1"/>
  <c r="D82" i="109" s="1"/>
  <c r="D81" i="109"/>
  <c r="D81" i="109" a="1"/>
  <c r="E77" i="109" a="1"/>
  <c r="E77" i="109" s="1"/>
  <c r="D77" i="109" a="1"/>
  <c r="D77" i="109" s="1"/>
  <c r="E76" i="109" a="1"/>
  <c r="E76" i="109" s="1"/>
  <c r="D76" i="109" a="1"/>
  <c r="D76" i="109" s="1"/>
  <c r="E75" i="109" a="1"/>
  <c r="E75" i="109" s="1"/>
  <c r="D75" i="109" a="1"/>
  <c r="D75" i="109" s="1"/>
  <c r="E74" i="109" a="1"/>
  <c r="E74" i="109" s="1"/>
  <c r="D74" i="109" a="1"/>
  <c r="D74" i="109" s="1"/>
  <c r="E73" i="109" a="1"/>
  <c r="E73" i="109" s="1"/>
  <c r="D73" i="109" a="1"/>
  <c r="D73" i="109" s="1"/>
  <c r="E72" i="109" a="1"/>
  <c r="E72" i="109" s="1"/>
  <c r="D72" i="109" a="1"/>
  <c r="D72" i="109" s="1"/>
  <c r="E71" i="109" a="1"/>
  <c r="E71" i="109" s="1"/>
  <c r="D71" i="109" a="1"/>
  <c r="D71" i="109" s="1"/>
  <c r="E70" i="109" a="1"/>
  <c r="E70" i="109" s="1"/>
  <c r="D70" i="109" a="1"/>
  <c r="D70" i="109" s="1"/>
  <c r="E69" i="109" a="1"/>
  <c r="E69" i="109" s="1"/>
  <c r="D69" i="109" a="1"/>
  <c r="D69" i="109" s="1"/>
  <c r="E68" i="109" a="1"/>
  <c r="E68" i="109" s="1"/>
  <c r="D68" i="109" a="1"/>
  <c r="D68" i="109" s="1"/>
  <c r="E67" i="109" a="1"/>
  <c r="E67" i="109" s="1"/>
  <c r="D67" i="109" a="1"/>
  <c r="D67" i="109" s="1"/>
  <c r="E66" i="109" a="1"/>
  <c r="E66" i="109" s="1"/>
  <c r="D66" i="109" a="1"/>
  <c r="D66" i="109" s="1"/>
  <c r="E65" i="109" a="1"/>
  <c r="E65" i="109" s="1"/>
  <c r="D65" i="109" a="1"/>
  <c r="D65" i="109" s="1"/>
  <c r="E64" i="109" a="1"/>
  <c r="E64" i="109" s="1"/>
  <c r="D64" i="109" a="1"/>
  <c r="D64" i="109" s="1"/>
  <c r="D59" i="109" a="1"/>
  <c r="D59" i="109" s="1"/>
  <c r="D58" i="109" a="1"/>
  <c r="D58" i="109" s="1"/>
  <c r="D57" i="109" a="1"/>
  <c r="D57" i="109" s="1"/>
  <c r="G54" i="109" a="1"/>
  <c r="G54" i="109" s="1"/>
  <c r="F54" i="109" a="1"/>
  <c r="F54" i="109" s="1"/>
  <c r="E54" i="109" a="1"/>
  <c r="E54" i="109" s="1"/>
  <c r="D54" i="109" a="1"/>
  <c r="D54" i="109" s="1"/>
  <c r="G53" i="109" a="1"/>
  <c r="G53" i="109" s="1"/>
  <c r="F53" i="109" a="1"/>
  <c r="F53" i="109" s="1"/>
  <c r="E53" i="109" a="1"/>
  <c r="E53" i="109" s="1"/>
  <c r="D53" i="109" a="1"/>
  <c r="D53" i="109" s="1"/>
  <c r="G52" i="109" a="1"/>
  <c r="G52" i="109" s="1"/>
  <c r="F52" i="109" a="1"/>
  <c r="F52" i="109" s="1"/>
  <c r="E52" i="109" a="1"/>
  <c r="E52" i="109" s="1"/>
  <c r="D52" i="109" a="1"/>
  <c r="D52" i="109" s="1"/>
  <c r="G51" i="109" a="1"/>
  <c r="G51" i="109" s="1"/>
  <c r="F51" i="109" a="1"/>
  <c r="F51" i="109" s="1"/>
  <c r="E51" i="109" a="1"/>
  <c r="E51" i="109" s="1"/>
  <c r="D51" i="109" a="1"/>
  <c r="D51" i="109" s="1"/>
  <c r="G50" i="109" a="1"/>
  <c r="G50" i="109" s="1"/>
  <c r="F50" i="109" a="1"/>
  <c r="F50" i="109" s="1"/>
  <c r="E50" i="109" a="1"/>
  <c r="E50" i="109" s="1"/>
  <c r="D50" i="109" a="1"/>
  <c r="D50" i="109" s="1"/>
  <c r="G49" i="109" a="1"/>
  <c r="G49" i="109" s="1"/>
  <c r="F49" i="109" a="1"/>
  <c r="F49" i="109" s="1"/>
  <c r="E49" i="109" a="1"/>
  <c r="E49" i="109" s="1"/>
  <c r="D49" i="109" a="1"/>
  <c r="D49" i="109" s="1"/>
  <c r="G48" i="109" a="1"/>
  <c r="G48" i="109" s="1"/>
  <c r="F48" i="109" a="1"/>
  <c r="F48" i="109" s="1"/>
  <c r="E48" i="109" a="1"/>
  <c r="E48" i="109" s="1"/>
  <c r="D48" i="109" a="1"/>
  <c r="D48" i="109" s="1"/>
  <c r="D46" i="109" a="1"/>
  <c r="D46" i="109" s="1"/>
  <c r="D45" i="109" a="1"/>
  <c r="D45" i="109" s="1"/>
  <c r="E43" i="109" a="1"/>
  <c r="E43" i="109" s="1"/>
  <c r="D43" i="109" a="1"/>
  <c r="D43" i="109" s="1"/>
  <c r="E42" i="109" a="1"/>
  <c r="E42" i="109" s="1"/>
  <c r="D42" i="109" a="1"/>
  <c r="D42" i="109" s="1"/>
  <c r="E41" i="109" a="1"/>
  <c r="E41" i="109" s="1"/>
  <c r="D41" i="109" a="1"/>
  <c r="D41" i="109" s="1"/>
  <c r="E40" i="109" a="1"/>
  <c r="E40" i="109" s="1"/>
  <c r="D40" i="109" a="1"/>
  <c r="D40" i="109" s="1"/>
  <c r="E39" i="109" a="1"/>
  <c r="E39" i="109" s="1"/>
  <c r="D39" i="109" a="1"/>
  <c r="D39" i="109" s="1"/>
  <c r="E38" i="109" a="1"/>
  <c r="E38" i="109" s="1"/>
  <c r="D38" i="109" a="1"/>
  <c r="D38" i="109" s="1"/>
  <c r="E37" i="109" a="1"/>
  <c r="E37" i="109" s="1"/>
  <c r="D37" i="109" a="1"/>
  <c r="D37" i="109" s="1"/>
  <c r="D35" i="109"/>
  <c r="D35" i="109" a="1"/>
  <c r="D34" i="109" a="1"/>
  <c r="D34" i="109" s="1"/>
  <c r="D30" i="109" a="1"/>
  <c r="D30" i="109" s="1"/>
  <c r="D29" i="109" a="1"/>
  <c r="D29" i="109" s="1"/>
  <c r="D28" i="109" a="1"/>
  <c r="D28" i="109" s="1"/>
  <c r="D27" i="109" a="1"/>
  <c r="D27" i="109" s="1"/>
  <c r="D26" i="109" a="1"/>
  <c r="D26" i="109" s="1"/>
  <c r="D25" i="109" a="1"/>
  <c r="D25" i="109" s="1"/>
  <c r="D24" i="109" a="1"/>
  <c r="D24" i="109" s="1"/>
  <c r="D23" i="109" a="1"/>
  <c r="D23" i="109" s="1"/>
  <c r="D22" i="109" a="1"/>
  <c r="D22" i="109" s="1"/>
  <c r="D21" i="109" a="1"/>
  <c r="D21" i="109" s="1"/>
  <c r="D19" i="109" a="1"/>
  <c r="D19" i="109" s="1"/>
  <c r="D18" i="109" a="1"/>
  <c r="D18" i="109" s="1"/>
  <c r="F14" i="109" a="1"/>
  <c r="F14" i="109" s="1"/>
  <c r="E14" i="109" a="1"/>
  <c r="E14" i="109" s="1"/>
  <c r="D14" i="109" a="1"/>
  <c r="D14" i="109" s="1"/>
  <c r="F13" i="109" a="1"/>
  <c r="F13" i="109" s="1"/>
  <c r="E13" i="109" a="1"/>
  <c r="E13" i="109" s="1"/>
  <c r="D13" i="109" a="1"/>
  <c r="D13" i="109" s="1"/>
  <c r="F12" i="109" a="1"/>
  <c r="F12" i="109" s="1"/>
  <c r="E12" i="109" a="1"/>
  <c r="E12" i="109" s="1"/>
  <c r="D12" i="109" a="1"/>
  <c r="D12" i="109" s="1"/>
  <c r="F11" i="109" a="1"/>
  <c r="F11" i="109" s="1"/>
  <c r="E11" i="109" a="1"/>
  <c r="E11" i="109" s="1"/>
  <c r="D11" i="109" a="1"/>
  <c r="D11" i="109" s="1"/>
  <c r="F10" i="109" a="1"/>
  <c r="F10" i="109" s="1"/>
  <c r="E10" i="109" a="1"/>
  <c r="E10" i="109" s="1"/>
  <c r="D10" i="109" a="1"/>
  <c r="D10" i="109" s="1"/>
  <c r="F9" i="109" a="1"/>
  <c r="F9" i="109" s="1"/>
  <c r="E9" i="109" a="1"/>
  <c r="E9" i="109" s="1"/>
  <c r="D9" i="109" a="1"/>
  <c r="D9" i="109" s="1"/>
  <c r="F8" i="109" a="1"/>
  <c r="F8" i="109" s="1"/>
  <c r="E8" i="109" a="1"/>
  <c r="E8" i="109" s="1"/>
  <c r="D8" i="109" a="1"/>
  <c r="D8" i="109" s="1"/>
  <c r="A8" i="109"/>
  <c r="F7" i="109" a="1"/>
  <c r="F7" i="109" s="1"/>
  <c r="E7" i="109" a="1"/>
  <c r="E7" i="109" s="1"/>
  <c r="D7" i="109" a="1"/>
  <c r="D7" i="109" s="1"/>
  <c r="A7" i="109"/>
  <c r="D5" i="109"/>
  <c r="D5" i="109" a="1"/>
  <c r="A3" i="109"/>
  <c r="A8" i="71"/>
  <c r="A7" i="71"/>
  <c r="A3" i="71"/>
  <c r="J17" i="69"/>
  <c r="E29" i="15"/>
  <c r="E13" i="15"/>
  <c r="D22" i="70" s="1"/>
  <c r="E93" i="69" s="1"/>
  <c r="A24" i="43"/>
  <c r="A23" i="43"/>
  <c r="A22" i="43"/>
  <c r="A21" i="43"/>
  <c r="A17" i="43"/>
  <c r="A16" i="43"/>
  <c r="A15" i="43"/>
  <c r="A14" i="43"/>
  <c r="A10" i="43"/>
  <c r="A9" i="43"/>
  <c r="A5" i="43"/>
  <c r="A4" i="43"/>
  <c r="A3" i="43"/>
  <c r="A24" i="79"/>
  <c r="A23" i="79"/>
  <c r="A22" i="79"/>
  <c r="A21" i="79"/>
  <c r="A17" i="79"/>
  <c r="A16" i="79"/>
  <c r="A15" i="79"/>
  <c r="A14" i="79"/>
  <c r="A10" i="79"/>
  <c r="A9" i="79"/>
  <c r="A5" i="79"/>
  <c r="A4" i="79"/>
  <c r="A3" i="79"/>
  <c r="A24" i="104"/>
  <c r="A23" i="104"/>
  <c r="A22" i="104"/>
  <c r="A21" i="104"/>
  <c r="A17" i="104"/>
  <c r="A16" i="104"/>
  <c r="A15" i="104"/>
  <c r="A14" i="104"/>
  <c r="A10" i="104"/>
  <c r="A9" i="104"/>
  <c r="A5" i="104"/>
  <c r="A4" i="104"/>
  <c r="A3" i="104"/>
  <c r="A24" i="103"/>
  <c r="A23" i="103"/>
  <c r="A22" i="103"/>
  <c r="A21" i="103"/>
  <c r="A17" i="103"/>
  <c r="A16" i="103"/>
  <c r="A15" i="103"/>
  <c r="A14" i="103"/>
  <c r="A10" i="103"/>
  <c r="A9" i="103"/>
  <c r="A5" i="103"/>
  <c r="A4" i="103"/>
  <c r="A3" i="103"/>
  <c r="A24" i="102"/>
  <c r="A23" i="102"/>
  <c r="A22" i="102"/>
  <c r="A21" i="102"/>
  <c r="A17" i="102"/>
  <c r="A16" i="102"/>
  <c r="A15" i="102"/>
  <c r="A14" i="102"/>
  <c r="A10" i="102"/>
  <c r="A9" i="102"/>
  <c r="A5" i="102"/>
  <c r="A4" i="102"/>
  <c r="A3" i="102"/>
  <c r="A24" i="69"/>
  <c r="A23" i="69"/>
  <c r="A22" i="69"/>
  <c r="A21" i="69"/>
  <c r="A17" i="69"/>
  <c r="A16" i="69"/>
  <c r="A15" i="69"/>
  <c r="A14" i="69"/>
  <c r="A10" i="69"/>
  <c r="A9" i="69"/>
  <c r="A5" i="69"/>
  <c r="A4" i="69"/>
  <c r="A3" i="69"/>
  <c r="A24" i="70"/>
  <c r="A23" i="70"/>
  <c r="A22" i="70"/>
  <c r="A21" i="70"/>
  <c r="A17" i="70"/>
  <c r="A16" i="70"/>
  <c r="A15" i="70"/>
  <c r="A14" i="70"/>
  <c r="A10" i="70"/>
  <c r="A9" i="70"/>
  <c r="A5" i="70"/>
  <c r="A4" i="70"/>
  <c r="A3" i="70"/>
  <c r="A24" i="15"/>
  <c r="A23" i="15"/>
  <c r="A22" i="15"/>
  <c r="A21" i="15"/>
  <c r="A17" i="15"/>
  <c r="A16" i="15"/>
  <c r="A15" i="15"/>
  <c r="A14" i="15"/>
  <c r="A10" i="15"/>
  <c r="A9" i="15"/>
  <c r="A5" i="15"/>
  <c r="A4" i="15"/>
  <c r="A3" i="15"/>
  <c r="A24" i="13"/>
  <c r="A23" i="13"/>
  <c r="A22" i="13"/>
  <c r="A21" i="13"/>
  <c r="A17" i="13"/>
  <c r="A16" i="13"/>
  <c r="A15" i="13"/>
  <c r="A14" i="13"/>
  <c r="A10" i="13"/>
  <c r="A9" i="13"/>
  <c r="A5" i="13"/>
  <c r="A4" i="13"/>
  <c r="A3" i="13"/>
  <c r="A24" i="100"/>
  <c r="A23" i="100"/>
  <c r="A22" i="100"/>
  <c r="A21" i="100"/>
  <c r="A17" i="100"/>
  <c r="A16" i="100"/>
  <c r="A15" i="100"/>
  <c r="A14" i="100"/>
  <c r="A10" i="100"/>
  <c r="A9" i="100"/>
  <c r="A5" i="100"/>
  <c r="A4" i="100"/>
  <c r="A3" i="100"/>
  <c r="I16" i="104"/>
  <c r="F42" i="104"/>
  <c r="E42" i="104"/>
  <c r="F41" i="104"/>
  <c r="E41" i="104"/>
  <c r="F40" i="104"/>
  <c r="E40" i="104"/>
  <c r="F39" i="104"/>
  <c r="E39" i="104"/>
  <c r="F38" i="104"/>
  <c r="E38" i="104"/>
  <c r="F37" i="104"/>
  <c r="E37" i="104"/>
  <c r="F36" i="104"/>
  <c r="E36" i="104"/>
  <c r="F35" i="104"/>
  <c r="E35" i="104"/>
  <c r="F67" i="103"/>
  <c r="F66" i="103"/>
  <c r="F65" i="103"/>
  <c r="F64" i="103"/>
  <c r="E67" i="103"/>
  <c r="E66" i="103"/>
  <c r="E65" i="103"/>
  <c r="E64" i="103"/>
  <c r="F63" i="103"/>
  <c r="E63" i="103"/>
  <c r="F62" i="103"/>
  <c r="F61" i="103"/>
  <c r="E62" i="103"/>
  <c r="E61" i="103"/>
  <c r="F60" i="103"/>
  <c r="E60" i="103"/>
  <c r="E27" i="102"/>
  <c r="E26" i="102"/>
  <c r="E25" i="102"/>
  <c r="E24" i="102"/>
  <c r="E23" i="102"/>
  <c r="E99" i="69"/>
  <c r="E98" i="69"/>
  <c r="E97" i="69"/>
  <c r="E96" i="69"/>
  <c r="E95" i="69"/>
  <c r="T18" i="69"/>
  <c r="F77" i="104" a="1"/>
  <c r="F77" i="104" s="1"/>
  <c r="D74" i="104" a="1"/>
  <c r="D74" i="104" s="1"/>
  <c r="G68" i="104" a="1"/>
  <c r="G68" i="104" s="1"/>
  <c r="D68" i="104" a="1"/>
  <c r="D68" i="104" s="1"/>
  <c r="E66" i="104" a="1"/>
  <c r="E66" i="104" s="1"/>
  <c r="F72" i="104" s="1"/>
  <c r="E65" i="104" a="1"/>
  <c r="E65" i="104" s="1"/>
  <c r="D61" i="104" a="1"/>
  <c r="D61" i="104" s="1"/>
  <c r="D60" i="104" a="1"/>
  <c r="D60" i="104" s="1"/>
  <c r="I18" i="104" a="1"/>
  <c r="I18" i="104" s="1"/>
  <c r="I17" i="104" a="1"/>
  <c r="I17" i="104" s="1"/>
  <c r="I14" i="104" a="1"/>
  <c r="I14" i="104" s="1"/>
  <c r="I13" i="104" a="1"/>
  <c r="I13" i="104" s="1"/>
  <c r="G13" i="104" a="1"/>
  <c r="G13" i="104" s="1"/>
  <c r="D13" i="104" a="1"/>
  <c r="D13" i="104" s="1"/>
  <c r="E11" i="104" a="1"/>
  <c r="E11" i="104" s="1"/>
  <c r="F47" i="104" s="1"/>
  <c r="E10" i="104" a="1"/>
  <c r="E10" i="104" s="1"/>
  <c r="D6" i="104" a="1"/>
  <c r="D6" i="104" s="1"/>
  <c r="D5" i="104" a="1"/>
  <c r="D5" i="104" s="1"/>
  <c r="F86" i="103" a="1"/>
  <c r="F86" i="103" s="1"/>
  <c r="D83" i="103" a="1"/>
  <c r="D83" i="103" s="1"/>
  <c r="I50" i="103" a="1"/>
  <c r="I50" i="103" s="1"/>
  <c r="I13" i="103" a="1"/>
  <c r="I13" i="103" s="1"/>
  <c r="I55" i="103" a="1"/>
  <c r="I55" i="103" s="1"/>
  <c r="I54" i="103" a="1"/>
  <c r="I54" i="103" s="1"/>
  <c r="I53" i="103" a="1"/>
  <c r="I53" i="103" s="1"/>
  <c r="I51" i="103" a="1"/>
  <c r="I51" i="103" s="1"/>
  <c r="G50" i="103" a="1"/>
  <c r="G50" i="103" s="1"/>
  <c r="D50" i="103" a="1"/>
  <c r="D50" i="103" s="1"/>
  <c r="E48" i="103" a="1"/>
  <c r="E48" i="103" s="1"/>
  <c r="F81" i="103" s="1"/>
  <c r="E47" i="103" a="1"/>
  <c r="E47" i="103" s="1"/>
  <c r="D43" i="103" a="1"/>
  <c r="D43" i="103" s="1"/>
  <c r="D42" i="103" a="1"/>
  <c r="D42" i="103" s="1"/>
  <c r="F115" i="79" a="1"/>
  <c r="F115" i="79" s="1"/>
  <c r="E115" i="79" a="1"/>
  <c r="E115" i="79" s="1"/>
  <c r="I14" i="103" s="1"/>
  <c r="D115" i="79" a="1"/>
  <c r="D115" i="79" s="1"/>
  <c r="D114" i="79" a="1"/>
  <c r="D114" i="79" s="1"/>
  <c r="D113" i="79" a="1"/>
  <c r="D113" i="79" s="1"/>
  <c r="G13" i="103" a="1"/>
  <c r="G13" i="103" s="1"/>
  <c r="D13" i="103" a="1"/>
  <c r="D13" i="103" s="1"/>
  <c r="E11" i="103" a="1"/>
  <c r="E11" i="103" s="1"/>
  <c r="E10" i="103" a="1"/>
  <c r="E10" i="103" s="1"/>
  <c r="D6" i="103" a="1"/>
  <c r="D6" i="103" s="1"/>
  <c r="D5" i="103" a="1"/>
  <c r="D5" i="103" s="1"/>
  <c r="F75" i="102" a="1"/>
  <c r="F75" i="102" s="1"/>
  <c r="D72" i="102" a="1"/>
  <c r="D72" i="102" s="1"/>
  <c r="G65" i="102" a="1"/>
  <c r="G65" i="102" s="1"/>
  <c r="D65" i="102" a="1"/>
  <c r="D65" i="102" s="1"/>
  <c r="E63" i="102" a="1"/>
  <c r="E63" i="102" s="1"/>
  <c r="F70" i="102" s="1"/>
  <c r="E62" i="102" a="1"/>
  <c r="E62" i="102" s="1"/>
  <c r="D58" i="102" a="1"/>
  <c r="D58" i="102" s="1"/>
  <c r="D57" i="102" a="1"/>
  <c r="D57" i="102" s="1"/>
  <c r="I15" i="102" a="1"/>
  <c r="I15" i="102" s="1"/>
  <c r="G13" i="102" a="1"/>
  <c r="G13" i="102" s="1"/>
  <c r="D13" i="102" a="1"/>
  <c r="D13" i="102" s="1"/>
  <c r="E11" i="102" a="1"/>
  <c r="E11" i="102" s="1"/>
  <c r="F53" i="102" s="1"/>
  <c r="E10" i="102" a="1"/>
  <c r="E10" i="102" s="1"/>
  <c r="D6" i="102" a="1"/>
  <c r="D6" i="102" s="1"/>
  <c r="D5" i="102" a="1"/>
  <c r="D5" i="102" s="1"/>
  <c r="I14" i="102" a="1"/>
  <c r="I14" i="102" s="1"/>
  <c r="I13" i="102" a="1"/>
  <c r="I13" i="102" s="1"/>
  <c r="P118" i="69" a="1"/>
  <c r="P118" i="69" s="1"/>
  <c r="N115" i="69" a="1"/>
  <c r="N115" i="69" s="1"/>
  <c r="I87" i="69" a="1"/>
  <c r="I87" i="69" s="1"/>
  <c r="I85" i="69" a="1"/>
  <c r="I85" i="69" s="1"/>
  <c r="I86" i="69" a="1"/>
  <c r="I86" i="69" s="1"/>
  <c r="I84" i="69" a="1"/>
  <c r="I84" i="69" s="1"/>
  <c r="G84" i="69" a="1"/>
  <c r="G84" i="69" s="1"/>
  <c r="F92" i="69" s="1"/>
  <c r="D84" i="69" a="1"/>
  <c r="D84" i="69" s="1"/>
  <c r="E82" i="69" a="1"/>
  <c r="E82" i="69" s="1"/>
  <c r="F113" i="69" s="1"/>
  <c r="E81" i="69" a="1"/>
  <c r="E81" i="69" s="1"/>
  <c r="D77" i="69" a="1"/>
  <c r="D77" i="69" s="1"/>
  <c r="D76" i="69" a="1"/>
  <c r="D76" i="69" s="1"/>
  <c r="T16" i="69" a="1"/>
  <c r="T16" i="69" s="1"/>
  <c r="R13" i="69" a="1"/>
  <c r="R13" i="69" s="1"/>
  <c r="N13" i="69" a="1"/>
  <c r="N13" i="69" s="1"/>
  <c r="J16" i="69" a="1"/>
  <c r="J16" i="69" s="1"/>
  <c r="J15" i="69" a="1"/>
  <c r="J15" i="69" s="1"/>
  <c r="J14" i="69" a="1"/>
  <c r="J14" i="69" s="1"/>
  <c r="J13" i="69" a="1"/>
  <c r="J13" i="69" s="1"/>
  <c r="D99" i="79" a="1"/>
  <c r="D99" i="79" s="1"/>
  <c r="F110" i="79" a="1"/>
  <c r="F110" i="79" s="1"/>
  <c r="E110" i="79" a="1"/>
  <c r="E110" i="79" s="1"/>
  <c r="D110" i="79" a="1"/>
  <c r="D110" i="79" s="1"/>
  <c r="D39" i="102" s="1"/>
  <c r="F109" i="79" a="1"/>
  <c r="F109" i="79" s="1"/>
  <c r="E109" i="79" a="1"/>
  <c r="E109" i="79" s="1"/>
  <c r="D109" i="79" a="1"/>
  <c r="D109" i="79" s="1"/>
  <c r="D38" i="102" s="1"/>
  <c r="F108" i="79" a="1"/>
  <c r="F108" i="79" s="1"/>
  <c r="E108" i="79" a="1"/>
  <c r="E108" i="79" s="1"/>
  <c r="D108" i="79" a="1"/>
  <c r="D108" i="79" s="1"/>
  <c r="D37" i="102" s="1"/>
  <c r="F107" i="79" a="1"/>
  <c r="F107" i="79" s="1"/>
  <c r="E107" i="79" a="1"/>
  <c r="E107" i="79" s="1"/>
  <c r="D107" i="79" a="1"/>
  <c r="D107" i="79" s="1"/>
  <c r="D36" i="102" s="1"/>
  <c r="F106" i="79" a="1"/>
  <c r="F106" i="79" s="1"/>
  <c r="E106" i="79" a="1"/>
  <c r="E106" i="79" s="1"/>
  <c r="D106" i="79" a="1"/>
  <c r="D106" i="79" s="1"/>
  <c r="D35" i="102" s="1"/>
  <c r="F105" i="79" a="1"/>
  <c r="F105" i="79" s="1"/>
  <c r="E105" i="79" a="1"/>
  <c r="E105" i="79" s="1"/>
  <c r="D105" i="79" a="1"/>
  <c r="D105" i="79" s="1"/>
  <c r="D34" i="102" s="1"/>
  <c r="F104" i="79" a="1"/>
  <c r="F104" i="79" s="1"/>
  <c r="E104" i="79" a="1"/>
  <c r="E104" i="79" s="1"/>
  <c r="D104" i="79" a="1"/>
  <c r="D104" i="79" s="1"/>
  <c r="D33" i="102" s="1"/>
  <c r="F103" i="79" a="1"/>
  <c r="F103" i="79" s="1"/>
  <c r="E103" i="79" a="1"/>
  <c r="E103" i="79" s="1"/>
  <c r="E35" i="69" s="1"/>
  <c r="D103" i="79" a="1"/>
  <c r="D103" i="79" s="1"/>
  <c r="D35" i="69" s="1"/>
  <c r="D101" i="79" a="1"/>
  <c r="D101" i="79" s="1"/>
  <c r="D100" i="79" a="1"/>
  <c r="D100" i="79" s="1"/>
  <c r="D98" i="79" a="1"/>
  <c r="D98" i="79" s="1"/>
  <c r="D97" i="79" a="1"/>
  <c r="D97" i="79" s="1"/>
  <c r="E59" i="102" a="1"/>
  <c r="E62" i="104" a="1"/>
  <c r="E78" i="69" a="1"/>
  <c r="E44" i="103" a="1"/>
  <c r="E7" i="103" a="1"/>
  <c r="E7" i="104" a="1"/>
  <c r="E7" i="69" a="1"/>
  <c r="E7" i="102" a="1"/>
  <c r="H50" i="109" l="1"/>
  <c r="I68" i="102"/>
  <c r="G65" i="103"/>
  <c r="H52" i="109"/>
  <c r="H53" i="109"/>
  <c r="H48" i="109"/>
  <c r="H51" i="109"/>
  <c r="F56" i="104"/>
  <c r="F72" i="103"/>
  <c r="H49" i="109"/>
  <c r="H54" i="109"/>
  <c r="D36" i="70"/>
  <c r="D50" i="70"/>
  <c r="D8" i="70"/>
  <c r="E92" i="69" s="1"/>
  <c r="E21" i="102"/>
  <c r="Q104" i="69"/>
  <c r="I60" i="103"/>
  <c r="E7" i="103"/>
  <c r="E62" i="104"/>
  <c r="E7" i="104"/>
  <c r="P113" i="69"/>
  <c r="R115" i="69"/>
  <c r="E44" i="103"/>
  <c r="F44" i="102"/>
  <c r="F23" i="104" s="1"/>
  <c r="G104" i="69"/>
  <c r="H115" i="69"/>
  <c r="E59" i="102"/>
  <c r="E7" i="102"/>
  <c r="F32" i="102"/>
  <c r="D37" i="69"/>
  <c r="E37" i="69"/>
  <c r="D38" i="69"/>
  <c r="E38" i="69"/>
  <c r="D39" i="69"/>
  <c r="E39" i="69"/>
  <c r="D40" i="69"/>
  <c r="E40" i="69"/>
  <c r="D41" i="69"/>
  <c r="E41" i="69"/>
  <c r="F20" i="102"/>
  <c r="D32" i="102"/>
  <c r="D42" i="69"/>
  <c r="E42" i="69"/>
  <c r="D36" i="69"/>
  <c r="E36" i="69"/>
  <c r="E78" i="69"/>
  <c r="E7" i="69"/>
  <c r="E20" i="102" l="1"/>
  <c r="E22" i="102"/>
  <c r="E94" i="69"/>
  <c r="G67" i="103"/>
  <c r="G61" i="103"/>
  <c r="G66" i="103"/>
  <c r="G60" i="103"/>
  <c r="G62" i="103"/>
  <c r="G63" i="103"/>
  <c r="G64" i="103"/>
  <c r="F31" i="103"/>
  <c r="F19" i="103"/>
  <c r="H13" i="69" l="1" a="1"/>
  <c r="D13" i="69" a="1"/>
  <c r="D13" i="69" s="1"/>
  <c r="E11" i="69" a="1"/>
  <c r="E11" i="69" s="1"/>
  <c r="E10" i="69" a="1"/>
  <c r="E10" i="69" s="1"/>
  <c r="D6" i="69" a="1"/>
  <c r="D6" i="69" s="1"/>
  <c r="D5" i="69" a="1"/>
  <c r="D5" i="69" s="1"/>
  <c r="G65" i="69" l="1"/>
  <c r="Q65" i="69"/>
  <c r="F59" i="69"/>
  <c r="P59" i="69"/>
  <c r="H13" i="69"/>
  <c r="F23" i="69" s="1"/>
  <c r="G47" i="69"/>
  <c r="F35" i="69"/>
  <c r="F94" i="79" a="1"/>
  <c r="F94" i="79" s="1"/>
  <c r="E94" i="79" a="1"/>
  <c r="E94" i="79" s="1"/>
  <c r="D94" i="79" a="1"/>
  <c r="D94" i="79" s="1"/>
  <c r="F93" i="79" a="1"/>
  <c r="F93" i="79" s="1"/>
  <c r="E93" i="79" a="1"/>
  <c r="E93" i="79" s="1"/>
  <c r="D93" i="79" a="1"/>
  <c r="D93" i="79" s="1"/>
  <c r="F92" i="79" a="1"/>
  <c r="F92" i="79" s="1"/>
  <c r="E92" i="79" a="1"/>
  <c r="E92" i="79" s="1"/>
  <c r="D92" i="79" a="1"/>
  <c r="D92" i="79" s="1"/>
  <c r="F91" i="79" a="1"/>
  <c r="F91" i="79" s="1"/>
  <c r="E91" i="79" a="1"/>
  <c r="E91" i="79" s="1"/>
  <c r="D91" i="79" a="1"/>
  <c r="D91" i="79" s="1"/>
  <c r="F90" i="79" a="1"/>
  <c r="F90" i="79" s="1"/>
  <c r="E90" i="79" a="1"/>
  <c r="E90" i="79" s="1"/>
  <c r="D90" i="79" a="1"/>
  <c r="D90" i="79" s="1"/>
  <c r="F89" i="79" a="1"/>
  <c r="F89" i="79" s="1"/>
  <c r="E89" i="79" a="1"/>
  <c r="E89" i="79" s="1"/>
  <c r="D89" i="79" a="1"/>
  <c r="D89" i="79" s="1"/>
  <c r="F88" i="79" a="1"/>
  <c r="F88" i="79" s="1"/>
  <c r="E88" i="79" a="1"/>
  <c r="E88" i="79" s="1"/>
  <c r="D88" i="79" a="1"/>
  <c r="D88" i="79" s="1"/>
  <c r="F87" i="79" a="1"/>
  <c r="F87" i="79" s="1"/>
  <c r="E87" i="79" a="1"/>
  <c r="E87" i="79" s="1"/>
  <c r="D87" i="79" a="1"/>
  <c r="D87" i="79" s="1"/>
  <c r="D85" i="79" a="1"/>
  <c r="D85" i="79" s="1"/>
  <c r="D84" i="79" a="1"/>
  <c r="D84" i="79" s="1"/>
  <c r="D83" i="79" a="1"/>
  <c r="D83" i="79" s="1"/>
  <c r="D82" i="79" a="1"/>
  <c r="D82" i="79" s="1"/>
  <c r="F79" i="79" a="1"/>
  <c r="F79" i="79" s="1"/>
  <c r="E79" i="79" a="1"/>
  <c r="E79" i="79" s="1"/>
  <c r="D79" i="79" a="1"/>
  <c r="D79" i="79" s="1"/>
  <c r="F78" i="79" a="1"/>
  <c r="F78" i="79" s="1"/>
  <c r="E78" i="79" a="1"/>
  <c r="E78" i="79" s="1"/>
  <c r="D78" i="79" a="1"/>
  <c r="D78" i="79" s="1"/>
  <c r="F77" i="79" a="1"/>
  <c r="F77" i="79" s="1"/>
  <c r="E77" i="79" a="1"/>
  <c r="E77" i="79" s="1"/>
  <c r="D77" i="79" a="1"/>
  <c r="D77" i="79" s="1"/>
  <c r="F76" i="79" a="1"/>
  <c r="F76" i="79" s="1"/>
  <c r="E76" i="79" a="1"/>
  <c r="E76" i="79" s="1"/>
  <c r="D76" i="79" a="1"/>
  <c r="D76" i="79" s="1"/>
  <c r="F75" i="79" a="1"/>
  <c r="F75" i="79" s="1"/>
  <c r="E75" i="79" a="1"/>
  <c r="E75" i="79" s="1"/>
  <c r="D75" i="79" a="1"/>
  <c r="D75" i="79" s="1"/>
  <c r="F74" i="79" a="1"/>
  <c r="F74" i="79" s="1"/>
  <c r="E74" i="79" a="1"/>
  <c r="E74" i="79" s="1"/>
  <c r="D74" i="79" a="1"/>
  <c r="D74" i="79" s="1"/>
  <c r="F73" i="79" a="1"/>
  <c r="F73" i="79" s="1"/>
  <c r="E73" i="79" a="1"/>
  <c r="E73" i="79" s="1"/>
  <c r="D73" i="79" a="1"/>
  <c r="D73" i="79" s="1"/>
  <c r="F72" i="79" a="1"/>
  <c r="F72" i="79" s="1"/>
  <c r="E72" i="79" a="1"/>
  <c r="E72" i="79" s="1"/>
  <c r="D72" i="79" a="1"/>
  <c r="D72" i="79" s="1"/>
  <c r="D70" i="79" a="1"/>
  <c r="D70" i="79" s="1"/>
  <c r="D69" i="79" a="1"/>
  <c r="D69" i="79" s="1"/>
  <c r="D68" i="79" a="1"/>
  <c r="D68" i="79" s="1"/>
  <c r="D67" i="79" a="1"/>
  <c r="D67" i="79" s="1"/>
  <c r="F64" i="79" a="1"/>
  <c r="F64" i="79" s="1"/>
  <c r="E64" i="79" a="1"/>
  <c r="E64" i="79" s="1"/>
  <c r="D64" i="79" a="1"/>
  <c r="D64" i="79" s="1"/>
  <c r="F63" i="79" a="1"/>
  <c r="F63" i="79" s="1"/>
  <c r="E63" i="79" a="1"/>
  <c r="E63" i="79" s="1"/>
  <c r="D63" i="79" a="1"/>
  <c r="D63" i="79" s="1"/>
  <c r="F62" i="79" a="1"/>
  <c r="F62" i="79" s="1"/>
  <c r="E62" i="79" a="1"/>
  <c r="E62" i="79" s="1"/>
  <c r="D62" i="79" a="1"/>
  <c r="D62" i="79" s="1"/>
  <c r="F61" i="79" a="1"/>
  <c r="F61" i="79" s="1"/>
  <c r="E61" i="79" a="1"/>
  <c r="E61" i="79" s="1"/>
  <c r="D61" i="79" a="1"/>
  <c r="D61" i="79" s="1"/>
  <c r="F60" i="79" a="1"/>
  <c r="F60" i="79" s="1"/>
  <c r="E60" i="79" a="1"/>
  <c r="E60" i="79" s="1"/>
  <c r="D60" i="79" a="1"/>
  <c r="D60" i="79" s="1"/>
  <c r="F59" i="79" a="1"/>
  <c r="F59" i="79" s="1"/>
  <c r="E59" i="79" a="1"/>
  <c r="E59" i="79" s="1"/>
  <c r="D59" i="79" a="1"/>
  <c r="D59" i="79" s="1"/>
  <c r="F58" i="79" a="1"/>
  <c r="F58" i="79" s="1"/>
  <c r="E58" i="79" a="1"/>
  <c r="E58" i="79" s="1"/>
  <c r="D58" i="79" a="1"/>
  <c r="D58" i="79" s="1"/>
  <c r="F57" i="79" a="1"/>
  <c r="F57" i="79" s="1"/>
  <c r="E57" i="79" a="1"/>
  <c r="E57" i="79" s="1"/>
  <c r="D57" i="79" a="1"/>
  <c r="D57" i="79" s="1"/>
  <c r="F56" i="79" a="1"/>
  <c r="F56" i="79" s="1"/>
  <c r="E56" i="79" a="1"/>
  <c r="E56" i="79" s="1"/>
  <c r="D56" i="79" a="1"/>
  <c r="D56" i="79" s="1"/>
  <c r="F55" i="79" a="1"/>
  <c r="F55" i="79" s="1"/>
  <c r="E55" i="79" a="1"/>
  <c r="E55" i="79" s="1"/>
  <c r="D55" i="79" a="1"/>
  <c r="D55" i="79" s="1"/>
  <c r="D53" i="79" a="1"/>
  <c r="D53" i="79" s="1"/>
  <c r="D52" i="79" a="1"/>
  <c r="D52" i="79" s="1"/>
  <c r="D51" i="79" a="1"/>
  <c r="D51" i="79" s="1"/>
  <c r="D50" i="79" a="1"/>
  <c r="D50" i="79" s="1"/>
  <c r="E47" i="79" a="1"/>
  <c r="E47" i="79" s="1"/>
  <c r="D47" i="79" a="1"/>
  <c r="D47" i="79" s="1"/>
  <c r="E46" i="79" a="1"/>
  <c r="E46" i="79" s="1"/>
  <c r="D46" i="79" a="1"/>
  <c r="D46" i="79" s="1"/>
  <c r="E45" i="79" a="1"/>
  <c r="E45" i="79" s="1"/>
  <c r="D45" i="79" a="1"/>
  <c r="D45" i="79" s="1"/>
  <c r="E44" i="79" a="1"/>
  <c r="E44" i="79" s="1"/>
  <c r="D44" i="79" a="1"/>
  <c r="D44" i="79" s="1"/>
  <c r="E43" i="79" a="1"/>
  <c r="E43" i="79" s="1"/>
  <c r="D43" i="79" a="1"/>
  <c r="D43" i="79" s="1"/>
  <c r="E42" i="79" a="1"/>
  <c r="E42" i="79" s="1"/>
  <c r="D42" i="79" a="1"/>
  <c r="D42" i="79" s="1"/>
  <c r="E41" i="79" a="1"/>
  <c r="E41" i="79" s="1"/>
  <c r="D41" i="79" a="1"/>
  <c r="D41" i="79" s="1"/>
  <c r="E40" i="79" a="1"/>
  <c r="E40" i="79" s="1"/>
  <c r="D40" i="79" a="1"/>
  <c r="D40" i="79" s="1"/>
  <c r="D38" i="79" a="1"/>
  <c r="D38" i="79" s="1"/>
  <c r="D37" i="79" a="1"/>
  <c r="D37" i="79" s="1"/>
  <c r="D36" i="79" a="1"/>
  <c r="D36" i="79" s="1"/>
  <c r="D35" i="79" a="1"/>
  <c r="D35" i="79" s="1"/>
  <c r="E32" i="79" a="1"/>
  <c r="E32" i="79" s="1"/>
  <c r="D32" i="79" a="1"/>
  <c r="D32" i="79" s="1"/>
  <c r="E31" i="79" a="1"/>
  <c r="E31" i="79" s="1"/>
  <c r="D31" i="79" a="1"/>
  <c r="D31" i="79" s="1"/>
  <c r="E30" i="79" a="1"/>
  <c r="E30" i="79" s="1"/>
  <c r="D30" i="79" a="1"/>
  <c r="D30" i="79" s="1"/>
  <c r="E29" i="79" a="1"/>
  <c r="E29" i="79" s="1"/>
  <c r="D29" i="79" a="1"/>
  <c r="D29" i="79" s="1"/>
  <c r="E28" i="79" a="1"/>
  <c r="E28" i="79" s="1"/>
  <c r="D28" i="79" a="1"/>
  <c r="D28" i="79" s="1"/>
  <c r="E27" i="79" a="1"/>
  <c r="E27" i="79" s="1"/>
  <c r="D27" i="79" a="1"/>
  <c r="D27" i="79" s="1"/>
  <c r="E26" i="79" a="1"/>
  <c r="E26" i="79" s="1"/>
  <c r="D26" i="79" a="1"/>
  <c r="D26" i="79" s="1"/>
  <c r="E25" i="79" a="1"/>
  <c r="E25" i="79" s="1"/>
  <c r="D25" i="79" a="1"/>
  <c r="D25" i="79" s="1"/>
  <c r="D23" i="79" a="1"/>
  <c r="D23" i="79" s="1"/>
  <c r="D22" i="79" a="1"/>
  <c r="D22" i="79" s="1"/>
  <c r="D21" i="79" a="1"/>
  <c r="D21" i="79" s="1"/>
  <c r="D20" i="79" a="1"/>
  <c r="D20" i="79" s="1"/>
  <c r="E17" i="79" a="1"/>
  <c r="E17" i="79" s="1"/>
  <c r="D17" i="79" a="1"/>
  <c r="D17" i="79" s="1"/>
  <c r="E16" i="79" a="1"/>
  <c r="E16" i="79" s="1"/>
  <c r="D16" i="79" a="1"/>
  <c r="D16" i="79" s="1"/>
  <c r="E15" i="79" a="1"/>
  <c r="E15" i="79" s="1"/>
  <c r="D15" i="79" a="1"/>
  <c r="D15" i="79" s="1"/>
  <c r="E14" i="79" a="1"/>
  <c r="E14" i="79" s="1"/>
  <c r="D14" i="79" a="1"/>
  <c r="D14" i="79" s="1"/>
  <c r="E13" i="79" a="1"/>
  <c r="E13" i="79" s="1"/>
  <c r="D13" i="79" a="1"/>
  <c r="D13" i="79" s="1"/>
  <c r="E12" i="79" a="1"/>
  <c r="E12" i="79" s="1"/>
  <c r="D12" i="79" a="1"/>
  <c r="D12" i="79" s="1"/>
  <c r="E11" i="79" a="1"/>
  <c r="E11" i="79" s="1"/>
  <c r="D11" i="79" a="1"/>
  <c r="D11" i="79" s="1"/>
  <c r="E10" i="79" a="1"/>
  <c r="E10" i="79" s="1"/>
  <c r="D10" i="79" a="1"/>
  <c r="D10" i="79" s="1"/>
  <c r="D8" i="79" a="1"/>
  <c r="D8" i="79" s="1"/>
  <c r="D7" i="79" a="1"/>
  <c r="D7" i="79" s="1"/>
  <c r="D6" i="79" a="1"/>
  <c r="D6" i="79" s="1"/>
  <c r="D5" i="79" a="1"/>
  <c r="D5" i="79" s="1"/>
  <c r="E47" i="69" l="1"/>
  <c r="F53" i="69"/>
  <c r="E51" i="69"/>
  <c r="F47" i="69"/>
  <c r="E54" i="69"/>
  <c r="F49" i="69"/>
  <c r="F54" i="69"/>
  <c r="E50" i="69"/>
  <c r="F50" i="69"/>
  <c r="E48" i="69"/>
  <c r="F51" i="69"/>
  <c r="F48" i="69"/>
  <c r="E52" i="69"/>
  <c r="F52" i="69"/>
  <c r="E49" i="69"/>
  <c r="E53" i="69"/>
  <c r="E37" i="102" a="1"/>
  <c r="E37" i="102" s="1"/>
  <c r="E49" i="102" s="1" a="1"/>
  <c r="E49" i="102" s="1"/>
  <c r="E39" i="102" a="1"/>
  <c r="E39" i="102" s="1"/>
  <c r="E51" i="102" s="1" a="1"/>
  <c r="E51" i="102" s="1"/>
  <c r="E33" i="102" a="1"/>
  <c r="E33" i="102" s="1"/>
  <c r="E45" i="102" s="1" a="1"/>
  <c r="E45" i="102" s="1"/>
  <c r="E36" i="102" a="1"/>
  <c r="E36" i="102" s="1"/>
  <c r="E48" i="102" s="1" a="1"/>
  <c r="E48" i="102" s="1"/>
  <c r="E38" i="102" a="1"/>
  <c r="E38" i="102" s="1"/>
  <c r="E50" i="102" s="1" a="1"/>
  <c r="E50" i="102" s="1"/>
  <c r="E34" i="102" a="1"/>
  <c r="E34" i="102" s="1"/>
  <c r="E46" i="102" s="1" a="1"/>
  <c r="E46" i="102" s="1"/>
  <c r="E35" i="102" a="1"/>
  <c r="E35" i="102" s="1"/>
  <c r="E47" i="102" s="1" a="1"/>
  <c r="E47" i="102" s="1"/>
  <c r="E32" i="102" a="1"/>
  <c r="E32" i="102" s="1"/>
  <c r="E44" i="102" s="1" a="1"/>
  <c r="E44" i="102" s="1"/>
  <c r="D27" i="69"/>
  <c r="E25" i="69"/>
  <c r="E26" i="69"/>
  <c r="E27" i="69"/>
  <c r="D28" i="69"/>
  <c r="E28" i="69"/>
  <c r="E29" i="69"/>
  <c r="E23" i="69"/>
  <c r="D30" i="69"/>
  <c r="E30" i="69"/>
  <c r="D24" i="69"/>
  <c r="E24" i="69"/>
  <c r="D23" i="69"/>
  <c r="D25" i="69"/>
  <c r="D29" i="69"/>
  <c r="D26" i="69"/>
  <c r="E26" i="104" l="1"/>
  <c r="E22" i="103"/>
  <c r="E34" i="103" s="1" a="1"/>
  <c r="E34" i="103" s="1"/>
  <c r="E29" i="104"/>
  <c r="E25" i="103"/>
  <c r="E37" i="103" s="1" a="1"/>
  <c r="E37" i="103" s="1"/>
  <c r="E24" i="104"/>
  <c r="E20" i="103"/>
  <c r="E32" i="103" s="1" a="1"/>
  <c r="E32" i="103" s="1"/>
  <c r="E26" i="103"/>
  <c r="E38" i="103" s="1" a="1"/>
  <c r="E38" i="103" s="1"/>
  <c r="E30" i="104"/>
  <c r="E28" i="104"/>
  <c r="E24" i="103"/>
  <c r="E36" i="103" s="1" a="1"/>
  <c r="E36" i="103" s="1"/>
  <c r="E23" i="104"/>
  <c r="E19" i="103"/>
  <c r="E31" i="103" s="1" a="1"/>
  <c r="E31" i="103" s="1"/>
  <c r="E25" i="104"/>
  <c r="E21" i="103"/>
  <c r="E33" i="103" s="1" a="1"/>
  <c r="E33" i="103" s="1"/>
  <c r="E27" i="104"/>
  <c r="E23" i="103"/>
  <c r="E35" i="103" s="1" a="1"/>
  <c r="E35" i="103" s="1"/>
  <c r="E53" i="102"/>
  <c r="E49" i="104" l="1" a="1"/>
  <c r="E49" i="104" s="1"/>
  <c r="E48" i="104" a="1"/>
  <c r="E48" i="104" s="1"/>
  <c r="I65" i="102"/>
  <c r="E51" i="104" l="1" a="1"/>
  <c r="E51" i="104" s="1"/>
  <c r="E47" i="104" a="1"/>
  <c r="E47" i="104" s="1"/>
  <c r="E52" i="104" a="1"/>
  <c r="E52" i="104" s="1"/>
  <c r="E50" i="104" a="1"/>
  <c r="E50" i="104" s="1"/>
  <c r="E53" i="104" a="1"/>
  <c r="E53" i="104" s="1"/>
  <c r="E54" i="104" a="1"/>
  <c r="E54" i="104" s="1"/>
  <c r="E75" i="103" a="1"/>
  <c r="E75" i="103" s="1"/>
  <c r="E70" i="102" a="1"/>
  <c r="E70" i="102" s="1"/>
  <c r="O67" i="69" a="1"/>
  <c r="O67" i="69" s="1"/>
  <c r="O106" i="69" s="1" a="1"/>
  <c r="O106" i="69" s="1"/>
  <c r="E60" i="69" a="1"/>
  <c r="E60" i="69" s="1"/>
  <c r="E59" i="69" a="1"/>
  <c r="E59" i="69" s="1"/>
  <c r="P70" i="69" a="1"/>
  <c r="P70" i="69" s="1"/>
  <c r="P109" i="69" s="1" a="1"/>
  <c r="P109" i="69" s="1"/>
  <c r="E56" i="104" l="1"/>
  <c r="I68" i="104" s="1"/>
  <c r="E72" i="104" s="1" a="1"/>
  <c r="E72" i="104" s="1"/>
  <c r="F10" i="13" s="1"/>
  <c r="E79" i="103" a="1"/>
  <c r="E79" i="103" s="1"/>
  <c r="E73" i="103" a="1"/>
  <c r="E73" i="103" s="1"/>
  <c r="E77" i="103" a="1"/>
  <c r="E77" i="103" s="1"/>
  <c r="E72" i="103" a="1"/>
  <c r="E72" i="103" s="1"/>
  <c r="E74" i="103" a="1"/>
  <c r="E74" i="103" s="1"/>
  <c r="E76" i="103" a="1"/>
  <c r="E76" i="103" s="1"/>
  <c r="E78" i="103" a="1"/>
  <c r="E78" i="103" s="1"/>
  <c r="F70" i="69" a="1"/>
  <c r="F70" i="69" s="1"/>
  <c r="F109" i="69" s="1" a="1"/>
  <c r="F109" i="69" s="1"/>
  <c r="F8" i="13"/>
  <c r="G72" i="102"/>
  <c r="E75" i="102" s="1" a="1"/>
  <c r="E75" i="102" s="1"/>
  <c r="H8" i="13" s="1"/>
  <c r="I8" i="13" s="1"/>
  <c r="E67" i="69" a="1"/>
  <c r="E67" i="69" s="1"/>
  <c r="E106" i="69" s="1" a="1"/>
  <c r="E106" i="69" s="1"/>
  <c r="O69" i="69" a="1"/>
  <c r="O69" i="69" s="1"/>
  <c r="O108" i="69" s="1" a="1"/>
  <c r="O108" i="69" s="1"/>
  <c r="E69" i="69" a="1"/>
  <c r="E69" i="69" s="1"/>
  <c r="E108" i="69" s="1" a="1"/>
  <c r="E108" i="69" s="1"/>
  <c r="F65" i="69" a="1"/>
  <c r="F65" i="69" s="1"/>
  <c r="F104" i="69" s="1" a="1"/>
  <c r="F104" i="69" s="1"/>
  <c r="P65" i="69" a="1"/>
  <c r="P65" i="69" s="1"/>
  <c r="P104" i="69" s="1" a="1"/>
  <c r="P104" i="69" s="1"/>
  <c r="P71" i="69" a="1"/>
  <c r="P71" i="69" s="1"/>
  <c r="P110" i="69" s="1" a="1"/>
  <c r="P110" i="69" s="1"/>
  <c r="F71" i="69" a="1"/>
  <c r="F71" i="69" s="1"/>
  <c r="F110" i="69" s="1" a="1"/>
  <c r="F110" i="69" s="1"/>
  <c r="E70" i="69" a="1"/>
  <c r="E70" i="69" s="1"/>
  <c r="E109" i="69" s="1" a="1"/>
  <c r="E109" i="69" s="1"/>
  <c r="O70" i="69" a="1"/>
  <c r="O70" i="69" s="1"/>
  <c r="O109" i="69" s="1" a="1"/>
  <c r="O109" i="69" s="1"/>
  <c r="F69" i="69" a="1"/>
  <c r="F69" i="69" s="1"/>
  <c r="F108" i="69" s="1" a="1"/>
  <c r="F108" i="69" s="1"/>
  <c r="P69" i="69" a="1"/>
  <c r="P69" i="69" s="1"/>
  <c r="P108" i="69" s="1" a="1"/>
  <c r="P108" i="69" s="1"/>
  <c r="O71" i="69" a="1"/>
  <c r="O71" i="69" s="1"/>
  <c r="O110" i="69" s="1" a="1"/>
  <c r="O110" i="69" s="1"/>
  <c r="E71" i="69" a="1"/>
  <c r="E71" i="69" s="1"/>
  <c r="E110" i="69" s="1" a="1"/>
  <c r="E110" i="69" s="1"/>
  <c r="P66" i="69" a="1"/>
  <c r="P66" i="69" s="1"/>
  <c r="P105" i="69" s="1" a="1"/>
  <c r="P105" i="69" s="1"/>
  <c r="F66" i="69" a="1"/>
  <c r="F66" i="69" s="1"/>
  <c r="F105" i="69" s="1" a="1"/>
  <c r="F105" i="69" s="1"/>
  <c r="P67" i="69" a="1"/>
  <c r="P67" i="69" s="1"/>
  <c r="P106" i="69" s="1" a="1"/>
  <c r="P106" i="69" s="1"/>
  <c r="F67" i="69" a="1"/>
  <c r="F67" i="69" s="1"/>
  <c r="F106" i="69" s="1" a="1"/>
  <c r="F106" i="69" s="1"/>
  <c r="P72" i="69" a="1"/>
  <c r="P72" i="69" s="1"/>
  <c r="P111" i="69" s="1" a="1"/>
  <c r="P111" i="69" s="1"/>
  <c r="F72" i="69" a="1"/>
  <c r="F72" i="69" s="1"/>
  <c r="F111" i="69" s="1" a="1"/>
  <c r="F111" i="69" s="1"/>
  <c r="O72" i="69" a="1"/>
  <c r="O72" i="69" s="1"/>
  <c r="O111" i="69" s="1" a="1"/>
  <c r="O111" i="69" s="1"/>
  <c r="E72" i="69" a="1"/>
  <c r="E72" i="69" s="1"/>
  <c r="E111" i="69" s="1" a="1"/>
  <c r="E111" i="69" s="1"/>
  <c r="P68" i="69" a="1"/>
  <c r="P68" i="69" s="1"/>
  <c r="P107" i="69" s="1" a="1"/>
  <c r="P107" i="69" s="1"/>
  <c r="F68" i="69" a="1"/>
  <c r="F68" i="69" s="1"/>
  <c r="F107" i="69" s="1" a="1"/>
  <c r="F107" i="69" s="1"/>
  <c r="E65" i="69" a="1"/>
  <c r="E65" i="69" s="1"/>
  <c r="E104" i="69" s="1" a="1"/>
  <c r="E104" i="69" s="1"/>
  <c r="O65" i="69" a="1"/>
  <c r="O65" i="69" s="1"/>
  <c r="O104" i="69" s="1" a="1"/>
  <c r="O104" i="69" s="1"/>
  <c r="O66" i="69" a="1"/>
  <c r="O66" i="69" s="1"/>
  <c r="O105" i="69" s="1" a="1"/>
  <c r="O105" i="69" s="1"/>
  <c r="E66" i="69" a="1"/>
  <c r="E66" i="69" s="1"/>
  <c r="E105" i="69" s="1" a="1"/>
  <c r="E105" i="69" s="1"/>
  <c r="O68" i="69" a="1"/>
  <c r="O68" i="69" s="1"/>
  <c r="O107" i="69" s="1" a="1"/>
  <c r="O107" i="69" s="1"/>
  <c r="E68" i="69" a="1"/>
  <c r="E68" i="69" s="1"/>
  <c r="E107" i="69" s="1" a="1"/>
  <c r="E107" i="69" s="1"/>
  <c r="G74" i="104" l="1"/>
  <c r="E77" i="104" s="1" a="1"/>
  <c r="E77" i="104" s="1"/>
  <c r="H10" i="13" s="1"/>
  <c r="I10" i="13" s="1"/>
  <c r="E81" i="103"/>
  <c r="F9" i="13" s="1"/>
  <c r="E113" i="69"/>
  <c r="O113" i="69"/>
  <c r="D115" i="69" a="1"/>
  <c r="D115" i="69" s="1"/>
  <c r="F118" i="69" a="1"/>
  <c r="F118" i="69" s="1"/>
  <c r="G83" i="103" l="1"/>
  <c r="E86" i="103" s="1" a="1"/>
  <c r="E86" i="103" s="1"/>
  <c r="H9" i="13" s="1"/>
  <c r="I9" i="13" s="1"/>
  <c r="Q115" i="69"/>
  <c r="O118" i="69" s="1" a="1"/>
  <c r="O118" i="69" s="1"/>
  <c r="I7" i="13" s="1"/>
  <c r="G7" i="13"/>
  <c r="I11" i="13" l="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G115" i="69" l="1"/>
  <c r="E118" i="69" s="1" a="1"/>
  <c r="E118" i="69" s="1"/>
  <c r="H7" i="13" s="1"/>
  <c r="H11" i="1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<sst xmlns="http://schemas.openxmlformats.org/spreadsheetml/2006/main" count="622" uniqueCount="294">
  <si>
    <t>INPUTS</t>
  </si>
  <si>
    <t>APPENDICES</t>
  </si>
  <si>
    <t>Emissions breakdown</t>
  </si>
  <si>
    <t>Test Farms</t>
  </si>
  <si>
    <t>Farm name</t>
  </si>
  <si>
    <t>State</t>
  </si>
  <si>
    <t>Leaching zone</t>
  </si>
  <si>
    <t>Climate zone</t>
  </si>
  <si>
    <r>
      <rPr>
        <sz val="10"/>
        <color theme="1" tint="0.34998626667073579"/>
        <rFont val="Arial"/>
        <family val="1"/>
      </rPr>
      <t xml:space="preserve">← </t>
    </r>
    <r>
      <rPr>
        <i/>
        <sz val="10"/>
        <color theme="1" tint="0.34998626667073579"/>
        <rFont val="Arial"/>
        <family val="1"/>
      </rPr>
      <t>Please select</t>
    </r>
  </si>
  <si>
    <t>Degrees celsius</t>
  </si>
  <si>
    <t>Millimetres</t>
  </si>
  <si>
    <t>Location and climate</t>
  </si>
  <si>
    <t>Your business</t>
  </si>
  <si>
    <t>Location information is used to reference some region and climate-specific emission factors</t>
  </si>
  <si>
    <r>
      <rPr>
        <sz val="10"/>
        <color theme="1" tint="0.34998626667073579"/>
        <rFont val="Arial"/>
        <family val="1"/>
      </rPr>
      <t xml:space="preserve">← </t>
    </r>
    <r>
      <rPr>
        <i/>
        <sz val="10"/>
        <color theme="1" tint="0.34998626667073579"/>
        <rFont val="Arial"/>
        <family val="1"/>
      </rPr>
      <t>Automatically calculated, 12 months after start date</t>
    </r>
  </si>
  <si>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</si>
  <si>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</si>
  <si>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</si>
  <si>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</si>
  <si>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</si>
  <si>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</si>
  <si>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</si>
  <si>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</si>
  <si>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</si>
  <si>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</si>
  <si>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</si>
  <si>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</si>
  <si>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</si>
  <si>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</si>
  <si>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</si>
  <si>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</si>
  <si>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</si>
  <si>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</si>
  <si>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</si>
  <si>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</si>
  <si>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</si>
  <si>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</si>
  <si>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</si>
  <si>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</si>
  <si>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</si>
  <si>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</si>
  <si>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</si>
  <si>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</si>
  <si>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</si>
  <si>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</si>
  <si>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</si>
  <si>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</si>
  <si>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</si>
  <si>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</si>
  <si>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</si>
  <si>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</si>
  <si>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</si>
  <si>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</si>
  <si>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</si>
  <si>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</si>
  <si>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</si>
  <si>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</si>
  <si>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</si>
  <si>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</si>
  <si>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</si>
  <si>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</si>
  <si>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</si>
  <si>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</si>
  <si>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</si>
  <si>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</si>
  <si>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</si>
  <si>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0"/>
        <color theme="1" tint="0.34998626667073579"/>
        <rFont val="Arial"/>
        <family val="1"/>
      </rPr>
      <t xml:space="preserve">← </t>
    </r>
    <r>
      <rPr>
        <i/>
        <sz val="10"/>
        <color theme="1" tint="0.34998626667073579"/>
        <rFont val="Arial"/>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</si>
  <si>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</si>
  <si>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</si>
  <si>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</si>
  <si>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</si>
  <si>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</si>
  <si>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</si>
  <si>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</si>
  <si>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</si>
  <si>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</si>
  <si>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</si>
  <si>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</si>
  <si>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</si>
  <si>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</si>
  <si>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</si>
  <si>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</si>
  <si>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</si>
  <si>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0"/>
        <color rgb="FF183C1B"/>
        <rFont val="Arial"/>
        <family val="1"/>
      </rPr>
      <t>im</t>
    </r>
  </si>
  <si>
    <t>New South Wales</t>
  </si>
  <si>
    <t>head</t>
  </si>
  <si>
    <t>Table_N_j</t>
  </si>
  <si>
    <r>
      <t>E</t>
    </r>
    <r>
      <rPr>
        <vertAlign val="subscript"/>
        <sz val="10"/>
        <color theme="1" tint="0.24994659260841701"/>
        <rFont val="Arial"/>
        <family val="1"/>
      </rPr>
      <t>CO2e</t>
    </r>
  </si>
  <si>
    <t>Method 1</t>
  </si>
  <si>
    <t>Method 2</t>
  </si>
  <si>
    <r>
      <t>E</t>
    </r>
    <r>
      <rPr>
        <b/>
        <vertAlign val="subscript"/>
        <sz val="14"/>
        <color theme="1" tint="0.24994659260841701"/>
        <rFont val="Arial"/>
        <family val="1"/>
      </rPr>
      <t>N2O,dir</t>
    </r>
  </si>
  <si>
    <t>ECH4 (Method 1)</t>
  </si>
  <si>
    <t>ECH4 (Method 2)</t>
  </si>
  <si>
    <r>
      <t>E</t>
    </r>
    <r>
      <rPr>
        <vertAlign val="subscript"/>
        <sz val="10"/>
        <color theme="1" tint="0.24994659260841701"/>
        <rFont val="Arial"/>
        <family val="1"/>
      </rPr>
      <t>CO2e</t>
    </r>
    <r>
      <rPr>
        <sz val="10"/>
        <color theme="1" tint="0.24994659260841701"/>
        <rFont val="Arial"/>
        <family val="1"/>
      </rPr>
      <t xml:space="preserve"> (Method 1)</t>
    </r>
  </si>
  <si>
    <r>
      <t>E</t>
    </r>
    <r>
      <rPr>
        <vertAlign val="subscript"/>
        <sz val="10"/>
        <color theme="1" tint="0.24994659260841701"/>
        <rFont val="Arial"/>
        <family val="1"/>
      </rPr>
      <t>CO2e</t>
    </r>
    <r>
      <rPr>
        <sz val="10"/>
        <color theme="1" tint="0.24994659260841701"/>
        <rFont val="Arial"/>
        <family val="1"/>
      </rPr>
      <t xml:space="preserve"> (Method 2)</t>
    </r>
  </si>
  <si>
    <t>Scope 1 source</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</si>
  <si>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</si>
  <si>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</si>
  <si>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</si>
  <si>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</si>
  <si>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</si>
  <si>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</si>
  <si>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</si>
  <si>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</si>
  <si>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</si>
  <si>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</si>
  <si>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</si>
  <si>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</si>
  <si>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r>
      <t>E</t>
    </r>
    <r>
      <rPr>
        <b/>
        <vertAlign val="subscript"/>
        <sz val="14"/>
        <color theme="1" tint="0.24994659260841701"/>
        <rFont val="Arial"/>
        <family val="1"/>
      </rPr>
      <t>N2O,ad</t>
    </r>
  </si>
  <si>
    <t>Total</t>
  </si>
  <si>
    <t>GHG Unit</t>
  </si>
  <si>
    <t>CO2-e unit</t>
  </si>
  <si>
    <t>Irrigation type i</t>
  </si>
  <si>
    <t>EFPRP</t>
  </si>
  <si>
    <t>Month</t>
  </si>
  <si>
    <t>Season</t>
  </si>
  <si>
    <t>GHG emissions method 1</t>
  </si>
  <si>
    <t>GHG emissions method 2</t>
  </si>
  <si>
    <t>CO2-e emissions method 1</t>
  </si>
  <si>
    <t>t CO2e</t>
  </si>
  <si>
    <t>CO2-e emissions method 2</t>
  </si>
  <si>
    <t>Direct application</t>
  </si>
  <si>
    <t>percent</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</si>
  <si>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</si>
  <si>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</si>
  <si>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</si>
  <si>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</si>
  <si>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</si>
  <si>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</si>
  <si>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</si>
  <si>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</si>
  <si>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</si>
  <si>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</si>
  <si>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</si>
  <si>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</si>
  <si>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</si>
  <si>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</si>
  <si>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Below is a diagram that maps the equations used to calculate emissions, how they interact with each other and how they align with dairy manure management processes.</t>
  </si>
  <si>
    <t xml:space="preserve">    Click on a box to go to the corresponding calculation.</t>
  </si>
  <si>
    <t>Other livestock type</t>
  </si>
  <si>
    <t>Mj</t>
  </si>
  <si>
    <t>VSj</t>
  </si>
  <si>
    <t>NEj</t>
  </si>
  <si>
    <t>Wco</t>
  </si>
  <si>
    <t>Wco2</t>
  </si>
  <si>
    <t>Uncovered anaerobic lagoon</t>
  </si>
  <si>
    <t>Input - MMS - Other Livestock</t>
  </si>
  <si>
    <t>No</t>
  </si>
  <si>
    <t>Percent in MMS</t>
  </si>
  <si>
    <t>Percent</t>
  </si>
  <si>
    <t>Buffalo</t>
  </si>
  <si>
    <t>Bulls</t>
  </si>
  <si>
    <t>Cows</t>
  </si>
  <si>
    <t>Steers</t>
  </si>
  <si>
    <t>Calves</t>
  </si>
  <si>
    <t>Goats</t>
  </si>
  <si>
    <t>Bucks / billy</t>
  </si>
  <si>
    <t>Wethers</t>
  </si>
  <si>
    <t>Maiden breeding does / nannies</t>
  </si>
  <si>
    <t>Breeding does / nannies</t>
  </si>
  <si>
    <t>Other</t>
  </si>
  <si>
    <t>Kids</t>
  </si>
  <si>
    <t>Deer</t>
  </si>
  <si>
    <t>Bucks</t>
  </si>
  <si>
    <t>Breeding does</t>
  </si>
  <si>
    <t>Other does</t>
  </si>
  <si>
    <t>Fawn</t>
  </si>
  <si>
    <t>Others</t>
  </si>
  <si>
    <t>Camels</t>
  </si>
  <si>
    <t>Alpacas</t>
  </si>
  <si>
    <t>Horses</t>
  </si>
  <si>
    <t>Mules / asses</t>
  </si>
  <si>
    <t>Emus / ostriches</t>
  </si>
  <si>
    <t>Are all dams and natural water sources fenced off so buffalo cannot access them?</t>
  </si>
  <si>
    <t>Are all dams and natural water sources fenced off so goats cannot access them?</t>
  </si>
  <si>
    <t>Are all dams and natural water sources fenced off so deer cannot access them?</t>
  </si>
  <si>
    <t>Are all dams and natural water sources fenced off so livestock cannot access them?</t>
  </si>
  <si>
    <t>Taken from</t>
  </si>
  <si>
    <t>BO</t>
  </si>
  <si>
    <t>Table_VS_j</t>
  </si>
  <si>
    <t>Volatile solid production</t>
  </si>
  <si>
    <t>Livestock type</t>
  </si>
  <si>
    <t>Table_B_O</t>
  </si>
  <si>
    <t>Methane emissions potential</t>
  </si>
  <si>
    <t>Table_MMS_m</t>
  </si>
  <si>
    <t>Fraction of waste in each manure management system</t>
  </si>
  <si>
    <t>Mules/asses</t>
  </si>
  <si>
    <t>Emus/ostriches</t>
  </si>
  <si>
    <t>M1_Table_MCF_i_m</t>
  </si>
  <si>
    <t>Methane conversion factor for state (Method 1)</t>
  </si>
  <si>
    <t>M2_Table_MCF_i_m</t>
  </si>
  <si>
    <t>Methane conversion factor for state (Method 2)</t>
  </si>
  <si>
    <t>M1_Table_M_j_m</t>
  </si>
  <si>
    <t>Annual methane production from manure management (Method 1)</t>
  </si>
  <si>
    <t>M2_Table_M_j_m</t>
  </si>
  <si>
    <t>Annual methane production from manure management (Method 2)</t>
  </si>
  <si>
    <t>Number of livestock</t>
  </si>
  <si>
    <t>M1_Table_E_CH4</t>
  </si>
  <si>
    <t>Annual methane production (Method 1)</t>
  </si>
  <si>
    <t>Table_NE_j</t>
  </si>
  <si>
    <t>Annual nitrogen excretion</t>
  </si>
  <si>
    <t>Table_AEj</t>
  </si>
  <si>
    <t>Nitrogen extreted per day</t>
  </si>
  <si>
    <t>AE</t>
  </si>
  <si>
    <t>t N2O</t>
  </si>
  <si>
    <t>Where did the livestock spend most of their time grazing?</t>
  </si>
  <si>
    <t>Pasture beefcrop or pasture production systems</t>
  </si>
  <si>
    <t>Where did the buffalo spend most of their time grazing?</t>
  </si>
  <si>
    <t>Where did the goats spend most of their time grazing?</t>
  </si>
  <si>
    <t>Where did the deer spend most of their time grazing?</t>
  </si>
  <si>
    <t>Table_EF_N2O</t>
  </si>
  <si>
    <t>Emission factor for atmospheric deposition</t>
  </si>
  <si>
    <t>Crop</t>
  </si>
  <si>
    <t>Table_M_vol</t>
  </si>
  <si>
    <t>Table_E_N2O_ad</t>
  </si>
  <si>
    <t>Atmospheric deposition emissions from urine and dung deposited on pasture</t>
  </si>
  <si>
    <t>Table_Frac_Wet</t>
  </si>
  <si>
    <t>Fraction of nitrogen available for leaching and runoff</t>
  </si>
  <si>
    <t>FracWet</t>
  </si>
  <si>
    <t>Table_M_leach</t>
  </si>
  <si>
    <t>Mass of nitrogen lost to leaching and runoff</t>
  </si>
  <si>
    <r>
      <t>E</t>
    </r>
    <r>
      <rPr>
        <b/>
        <vertAlign val="subscript"/>
        <sz val="14"/>
        <color theme="1" tint="0.24994659260841701"/>
        <rFont val="Arial"/>
        <family val="1"/>
      </rPr>
      <t>N2O,leach</t>
    </r>
  </si>
  <si>
    <r>
      <t>M</t>
    </r>
    <r>
      <rPr>
        <b/>
        <vertAlign val="subscript"/>
        <sz val="10"/>
        <color theme="1" tint="0.24994659260841701"/>
        <rFont val="Arial"/>
        <family val="1"/>
      </rPr>
      <t>leach</t>
    </r>
  </si>
  <si>
    <r>
      <t>M</t>
    </r>
    <r>
      <rPr>
        <b/>
        <vertAlign val="subscript"/>
        <sz val="10"/>
        <color rgb="FF183C1B"/>
        <rFont val="Arial"/>
        <family val="1"/>
      </rPr>
      <t>leach</t>
    </r>
  </si>
  <si>
    <r>
      <t>AE</t>
    </r>
    <r>
      <rPr>
        <b/>
        <vertAlign val="subscript"/>
        <sz val="10"/>
        <color rgb="FF183C1B"/>
        <rFont val="Arial"/>
        <family val="1"/>
      </rPr>
      <t>j</t>
    </r>
  </si>
  <si>
    <r>
      <t>EF</t>
    </r>
    <r>
      <rPr>
        <b/>
        <vertAlign val="subscript"/>
        <sz val="10"/>
        <color rgb="FF183C1B"/>
        <rFont val="Arial"/>
        <family val="1"/>
      </rPr>
      <t>N2O</t>
    </r>
  </si>
  <si>
    <r>
      <t>M</t>
    </r>
    <r>
      <rPr>
        <b/>
        <vertAlign val="subscript"/>
        <sz val="10"/>
        <color rgb="FF183C1B"/>
        <rFont val="Arial"/>
        <family val="1"/>
      </rPr>
      <t>vol</t>
    </r>
  </si>
  <si>
    <r>
      <t>NE</t>
    </r>
    <r>
      <rPr>
        <b/>
        <vertAlign val="subscript"/>
        <sz val="10"/>
        <color rgb="FF183C1B"/>
        <rFont val="Arial"/>
        <family val="1"/>
      </rPr>
      <t>j</t>
    </r>
  </si>
  <si>
    <r>
      <t>N</t>
    </r>
    <r>
      <rPr>
        <b/>
        <vertAlign val="subscript"/>
        <sz val="10"/>
        <color rgb="FF533001"/>
        <rFont val="Arial"/>
        <family val="1"/>
      </rPr>
      <t>j</t>
    </r>
  </si>
  <si>
    <r>
      <t>B</t>
    </r>
    <r>
      <rPr>
        <b/>
        <vertAlign val="subscript"/>
        <sz val="10"/>
        <color rgb="FF183C1B"/>
        <rFont val="Arial"/>
        <family val="1"/>
      </rPr>
      <t>O</t>
    </r>
  </si>
  <si>
    <r>
      <t>VS</t>
    </r>
    <r>
      <rPr>
        <b/>
        <vertAlign val="subscript"/>
        <sz val="10"/>
        <color rgb="FF183C1B"/>
        <rFont val="Arial"/>
        <family val="1"/>
      </rPr>
      <t>j</t>
    </r>
  </si>
  <si>
    <t>Source Data - Other Livestock</t>
  </si>
  <si>
    <t>4.7 Manure management: Other Livestock: Results</t>
  </si>
  <si>
    <t>4.7 Manure management: Other Livestock: Overview</t>
  </si>
  <si>
    <t>4.7.1.1-2 Manure Methane</t>
  </si>
  <si>
    <t>4.7.1.3-4 Manure Soil Direct N2O</t>
  </si>
  <si>
    <t>4.7.1.4-5 Manure Soil Atmospheric Deposition</t>
  </si>
  <si>
    <t>4.7.1.7-8 Manure Soil Leaching and Runoff</t>
  </si>
  <si>
    <t>4.7.1.7-8 Method 1 Soil atmospheric deposition</t>
  </si>
  <si>
    <t>4.7.1.1-2 Method 1 Manure methane</t>
  </si>
  <si>
    <t>4.7.1.3-4 Method 1 Soil direct N2O</t>
  </si>
  <si>
    <t>4.7.1.5-6 Method 1 Soil atmospheric deposition</t>
  </si>
  <si>
    <t>Climate Zone</t>
  </si>
  <si>
    <t>EFNi &amp; EFN2Oi</t>
  </si>
  <si>
    <t>Home</t>
  </si>
  <si>
    <t>Data quality scoring</t>
  </si>
  <si>
    <t>Table_SourceData_DataQuality_TemporalRepresentativeness</t>
  </si>
  <si>
    <t>Description</t>
  </si>
  <si>
    <t>ID</t>
  </si>
  <si>
    <t>Score</t>
  </si>
  <si>
    <t>Data collected covers the time-period for which emissions are being estimated  </t>
  </si>
  <si>
    <t>TR5</t>
  </si>
  <si>
    <t>Data collected represents activities that occurred within 2 years of the time-period being assessed  </t>
  </si>
  <si>
    <t>TR4</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</si>
  <si>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</si>
  <si>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</si>
  <si>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</si>
  <si>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</si>
  <si>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</si>
  <si>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</si>
  <si>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</si>
  <si>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</si>
  <si>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SR5</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</si>
  <si>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</si>
  <si>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</si>
  <si>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</si>
  <si>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</si>
  <si>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</si>
  <si>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</si>
  <si>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</si>
  <si>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</si>
  <si>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</si>
  <si>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</si>
  <si>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</si>
  <si>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</si>
  <si>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</si>
  <si>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</si>
  <si>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SS3</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</si>
  <si>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</si>
  <si>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</si>
  <si>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</si>
  <si>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</si>
  <si>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</si>
  <si>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</si>
  <si>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</si>
  <si>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</si>
  <si>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</si>
  <si>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</si>
  <si>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</si>
  <si>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</si>
  <si>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</si>
  <si>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</si>
  <si>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</si>
  <si>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Acknowledgements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</si>
</sst>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3" x14ac:knownFonts="1">
    <font>
      <sz val="10"/>
      <color theme="1"/>
      <name val="Arial"/>
      <family val="2"/>
    </font>
    <font>
      <i/>
      <sz val="10"/>
      <color theme="1" tint="0.499984740745262"/>
      <name val="Arial"/>
      <family val="1"/>
    </font>
    <font>
      <sz val="10"/>
      <color theme="1" tint="0.14999847407452621"/>
      <name val="Arial"/>
      <family val="1"/>
    </font>
    <font>
      <b/>
      <sz val="10"/>
      <color theme="1" tint="0.14999847407452621"/>
      <name val="Arial"/>
      <family val="1"/>
    </font>
    <font>
      <b/>
      <sz val="18"/>
      <color rgb="FF183C1B"/>
      <name val="Arial"/>
      <family val="1"/>
    </font>
    <font>
      <b/>
      <sz val="10"/>
      <color rgb="FF183C1B"/>
      <name val="Arial"/>
      <family val="1"/>
    </font>
    <font>
      <i/>
      <sz val="10"/>
      <color theme="1" tint="0.34998626667073579"/>
      <name val="Arial"/>
      <family val="1"/>
    </font>
    <font>
      <sz val="10"/>
      <color theme="1" tint="0.34998626667073579"/>
      <name val="Arial"/>
      <family val="1"/>
    </font>
    <font>
      <sz val="10"/>
      <color theme="1" tint="0.14996795556505021"/>
      <name val="Arial"/>
      <family val="1"/>
    </font>
    <font>
      <i/>
      <sz val="9"/>
      <color theme="1" tint="0.34998626667073579"/>
      <name val="Arial"/>
      <family val="1"/>
    </font>
    <font>
      <sz val="10"/>
      <color theme="1"/>
      <name val="Arial"/>
      <family val="2"/>
    </font>
    <font>
      <b/>
      <sz val="18"/>
      <color rgb="FFCC6600"/>
      <name val="Arial"/>
      <family val="1"/>
    </font>
    <font>
      <i/>
      <sz val="10"/>
      <color rgb="FFCC6600"/>
      <name val="Arial"/>
      <family val="1"/>
    </font>
    <font>
      <b/>
      <sz val="10"/>
      <color rgb="FF533001"/>
      <name val="Arial"/>
      <family val="1"/>
    </font>
    <font>
      <i/>
      <strike/>
      <sz val="10"/>
      <color theme="1" tint="0.499984740745262"/>
      <name val="Arial"/>
      <family val="1"/>
    </font>
    <font>
      <b/>
      <i/>
      <strike/>
      <sz val="10"/>
      <color theme="1" tint="0.499984740745262"/>
      <name val="Arial"/>
      <family val="1"/>
    </font>
    <font>
      <sz val="9"/>
      <color theme="1" tint="0.499984740745262"/>
      <name val="Courier New"/>
      <family val="3"/>
    </font>
    <font>
      <b/>
      <sz val="14"/>
      <color theme="0"/>
      <name val="Arial"/>
      <family val="1"/>
    </font>
    <font>
      <u/>
      <sz val="10"/>
      <color theme="10"/>
      <name val="Arial"/>
      <family val="2"/>
    </font>
    <font>
      <sz val="9"/>
      <color theme="1" tint="0.249977111117893"/>
      <name val="Arial"/>
      <family val="1"/>
    </font>
    <font>
      <sz val="9"/>
      <color rgb="FF008000"/>
      <name val="Arial"/>
      <family val="1"/>
    </font>
    <font>
      <sz val="9"/>
      <color rgb="FFCC6600"/>
      <name val="Arial"/>
      <family val="1"/>
    </font>
    <font>
      <sz val="10"/>
      <color theme="0"/>
      <name val="Arial"/>
      <family val="1"/>
    </font>
    <font>
      <sz val="8"/>
      <name val="Arial"/>
      <family val="2"/>
    </font>
    <font>
      <sz val="10"/>
      <color theme="1" tint="0.499984740745262"/>
      <name val="Arial"/>
      <family val="1"/>
    </font>
    <font>
      <sz val="10"/>
      <color theme="1"/>
      <name val="Arial"/>
      <family val="1"/>
    </font>
    <font>
      <sz val="10"/>
      <color theme="1"/>
      <name val="Arial"/>
      <family val="1"/>
    </font>
    <font>
      <b/>
      <sz val="10"/>
      <color theme="1"/>
      <name val="Arial"/>
      <family val="1"/>
    </font>
    <font>
      <b/>
      <sz val="10"/>
      <color theme="1" tint="0.249977111117893"/>
      <name val="Arial"/>
      <family val="1"/>
    </font>
    <font>
      <sz val="10"/>
      <color theme="1" tint="0.249977111117893"/>
      <name val="Arial"/>
      <family val="1"/>
    </font>
    <font>
      <b/>
      <sz val="10"/>
      <color theme="1" tint="0.249977111117893"/>
      <name val="Arial"/>
      <family val="1"/>
    </font>
    <font>
      <b/>
      <sz val="10"/>
      <color theme="1"/>
      <name val="Arial"/>
      <family val="1"/>
    </font>
    <font>
      <b/>
      <sz val="12"/>
      <color theme="1"/>
      <name val="Arial"/>
      <family val="1"/>
    </font>
    <font>
      <sz val="10"/>
      <color rgb="FF242424"/>
      <name val="Consolas"/>
      <family val="3"/>
    </font>
    <font>
      <sz val="10"/>
      <color theme="0" tint="-4.9989318521683403E-2"/>
      <name val="Arial"/>
      <family val="1"/>
    </font>
    <font>
      <sz val="9"/>
      <color theme="1" tint="0.34998626667073579"/>
      <name val="Arial"/>
      <family val="1"/>
    </font>
    <font>
      <sz val="9"/>
      <name val="Arial"/>
      <family val="2"/>
    </font>
    <font>
      <sz val="16"/>
      <color theme="1" tint="0.14996795556505021"/>
      <name val="Arial"/>
      <family val="1"/>
    </font>
    <font>
      <sz val="9"/>
      <color theme="1" tint="0.34998626667073579"/>
      <name val="Arial"/>
      <family val="2"/>
    </font>
    <font>
      <sz val="10"/>
      <color theme="1" tint="0.24994659260841701"/>
      <name val="Arial"/>
      <family val="1"/>
    </font>
    <font>
      <b/>
      <vertAlign val="subscript"/>
      <sz val="10"/>
      <color rgb="FF183C1B"/>
      <name val="Arial"/>
      <family val="1"/>
    </font>
    <font>
      <b/>
      <sz val="10"/>
      <color theme="1" tint="0.24994659260841701"/>
      <name val="Arial"/>
      <family val="1"/>
    </font>
    <font>
      <sz val="10"/>
      <color rgb="FFC44340"/>
      <name val="Arial"/>
      <family val="1"/>
    </font>
    <font>
      <sz val="10"/>
      <color rgb="FF008000"/>
      <name val="Arial"/>
      <family val="1"/>
    </font>
    <font>
      <sz val="10"/>
      <color rgb="FF0070C0"/>
      <name val="Arial"/>
      <family val="1"/>
    </font>
    <font>
      <b/>
      <sz val="10"/>
      <color rgb="FF0070C0"/>
      <name val="Arial"/>
      <family val="1"/>
    </font>
    <font>
      <b/>
      <sz val="10"/>
      <color theme="0"/>
      <name val="Arial"/>
      <family val="1"/>
    </font>
    <font>
      <b/>
      <sz val="10"/>
      <color theme="0" tint="-0.499984740745262"/>
      <name val="Arial"/>
      <family val="1"/>
    </font>
    <font>
      <sz val="9"/>
      <color theme="0" tint="-0.499984740745262"/>
      <name val="Arial"/>
      <family val="1"/>
    </font>
    <font>
      <b/>
      <sz val="14"/>
      <color theme="1" tint="0.24994659260841701"/>
      <name val="Arial"/>
      <family val="1"/>
    </font>
    <font>
      <sz val="14"/>
      <color theme="1" tint="0.24994659260841701"/>
      <name val="Arial"/>
      <family val="1"/>
    </font>
    <font>
      <i/>
      <sz val="14"/>
      <color theme="1" tint="0.34998626667073579"/>
      <name val="Arial"/>
      <family val="1"/>
    </font>
    <font>
      <vertAlign val="subscript"/>
      <sz val="10"/>
      <color theme="1" tint="0.24994659260841701"/>
      <name val="Arial"/>
      <family val="1"/>
    </font>
    <font>
      <sz val="12"/>
      <color theme="1" tint="0.34998626667073579"/>
      <name val="Arial"/>
      <family val="1"/>
    </font>
    <font>
      <b/>
      <sz val="10"/>
      <color rgb="FFCC6600"/>
      <name val="Arial"/>
      <family val="1"/>
    </font>
    <font>
      <b/>
      <vertAlign val="subscript"/>
      <sz val="14"/>
      <color theme="1" tint="0.24994659260841701"/>
      <name val="Arial"/>
      <family val="1"/>
    </font>
    <font>
      <b/>
      <vertAlign val="subscript"/>
      <sz val="10"/>
      <color theme="1" tint="0.24994659260841701"/>
      <name val="Arial"/>
      <family val="1"/>
    </font>
    <font>
      <b/>
      <sz val="18"/>
      <color theme="4" tint="-0.249977111117893"/>
      <name val="Arial"/>
      <family val="1"/>
    </font>
    <font>
      <i/>
      <sz val="9"/>
      <color theme="5" tint="-0.499984740745262"/>
      <name val="Arial"/>
      <family val="1"/>
    </font>
    <font>
      <i/>
      <sz val="9"/>
      <color theme="6" tint="-0.499984740745262"/>
      <name val="Arial"/>
      <family val="1"/>
    </font>
    <font>
      <u/>
      <sz val="9"/>
      <color theme="1" tint="0.34998626667073579"/>
      <name val="Arial"/>
      <family val="1"/>
    </font>
    <font>
      <b/>
      <vertAlign val="subscript"/>
      <sz val="10"/>
      <color rgb="FF533001"/>
      <name val="Arial"/>
      <family val="1"/>
    </font>
    <font>
      <sz val="9"/>
      <color rgb="FF404040"/>
      <name val="Arial"/>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3"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4"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3" fillId="4" borderId="0">
      <alignment horizontal="left" vertical="center"/>
    </xf>
    <xf numFmtId="0" fontId="38"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7" fillId="4" borderId="0">
      <alignment horizontal="left" vertical="center"/>
    </xf>
    <xf numFmtId="0" fontId="48" fillId="4" borderId="0">
      <alignment horizontal="left" vertical="center"/>
    </xf>
    <xf numFmtId="0" fontId="54" fillId="4" borderId="0">
      <alignment horizontal="left" vertical="center"/>
    </xf>
    <xf numFmtId="0" fontId="46" fillId="11" borderId="0">
      <alignment horizontal="center" vertical="center"/>
    </xf>
    <xf numFmtId="0" fontId="22" fillId="11" borderId="0">
      <alignment horizontal="left" vertical="center" indent="1"/>
    </xf>
    <xf numFmtId="0" fontId="58" fillId="14" borderId="2">
      <alignment horizontal="center" vertical="center"/>
    </xf>
    <xf numFmtId="0" fontId="59" fillId="15" borderId="2">
      <alignment horizontal="center" vertical="center"/>
    </xf>
    <xf numFmtId="0" fontId="35" fillId="4" borderId="2">
      <alignment horizontal="left" vertical="center"/>
    </xf>
    <xf numFmtId="0" fontId="60" fillId="4" borderId="2">
      <alignment horizontal="left" vertical="center"/>
    </xf>
  </cellStyleXfs>
  <cellXfs count="126">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4"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39"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7" fillId="0" borderId="0" xfId="5" applyFill="1">
      <alignment horizontal="left" vertical="center"/>
    </xf>
    <xf numFmtId="0" fontId="43"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9" fillId="4" borderId="1" xfId="8" applyBorder="1">
      <alignment horizontal="left" vertical="center"/>
    </xf>
    <xf numFmtId="4" fontId="26" fillId="0" borderId="0" xfId="18"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4" fillId="13" borderId="10" xfId="41" applyBorder="1">
      <alignment horizontal="left" vertical="center"/>
    </xf>
    <xf numFmtId="0" fontId="44" fillId="13" borderId="12" xfId="41" applyBorder="1">
      <alignment horizontal="left" vertical="center"/>
    </xf>
    <xf numFmtId="0" fontId="44" fillId="13" borderId="14" xfId="41" applyBorder="1">
      <alignment horizontal="left" vertical="center"/>
    </xf>
    <xf numFmtId="0" fontId="44" fillId="13" borderId="13" xfId="41" applyBorder="1">
      <alignment horizontal="left" vertical="center"/>
    </xf>
    <xf numFmtId="0" fontId="44" fillId="13" borderId="15" xfId="41" applyBorder="1">
      <alignment horizontal="left" vertical="center"/>
    </xf>
    <xf numFmtId="0" fontId="44" fillId="13" borderId="17" xfId="41" applyBorder="1">
      <alignment horizontal="left" vertical="center"/>
    </xf>
    <xf numFmtId="0" fontId="44" fillId="13" borderId="11" xfId="41" applyBorder="1">
      <alignment horizontal="left" vertical="center"/>
    </xf>
    <xf numFmtId="0" fontId="44" fillId="13" borderId="16" xfId="41" applyBorder="1">
      <alignment horizontal="left" vertical="center"/>
    </xf>
    <xf numFmtId="0" fontId="44" fillId="13" borderId="18" xfId="41" applyBorder="1">
      <alignment horizontal="left" vertical="center"/>
    </xf>
    <xf numFmtId="0" fontId="45" fillId="13" borderId="9" xfId="41" applyFont="1" applyBorder="1">
      <alignment horizontal="left" vertical="center"/>
    </xf>
    <xf numFmtId="0" fontId="48" fillId="4" borderId="0" xfId="61">
      <alignment horizontal="left" vertical="center"/>
    </xf>
    <xf numFmtId="0" fontId="47" fillId="4" borderId="0" xfId="60">
      <alignment horizontal="left" vertical="center"/>
    </xf>
    <xf numFmtId="3" fontId="2" fillId="0" borderId="2" xfId="19">
      <alignment horizontal="center" vertical="center"/>
    </xf>
    <xf numFmtId="3" fontId="35" fillId="4" borderId="2" xfId="55" applyNumberFormat="1">
      <alignment horizontal="center" vertical="center"/>
    </xf>
    <xf numFmtId="0" fontId="49" fillId="4" borderId="1" xfId="8" applyFont="1" applyBorder="1">
      <alignment horizontal="left" vertical="center"/>
    </xf>
    <xf numFmtId="0" fontId="50" fillId="4" borderId="1" xfId="8" applyFont="1" applyBorder="1">
      <alignment horizontal="left" vertical="center"/>
    </xf>
    <xf numFmtId="0" fontId="51"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44" fillId="13" borderId="9" xfId="41" applyBorder="1">
      <alignment horizontal="left" vertical="center"/>
    </xf>
    <xf numFmtId="9" fontId="8" fillId="4" borderId="0" xfId="11">
      <alignment horizontal="center" vertical="center"/>
    </xf>
    <xf numFmtId="164" fontId="8" fillId="4" borderId="0" xfId="10">
      <alignment horizontal="center" vertical="center"/>
    </xf>
    <xf numFmtId="0" fontId="6" fillId="4" borderId="1" xfId="12" applyBorder="1">
      <alignment horizontal="left" vertical="center" indent="1"/>
    </xf>
    <xf numFmtId="0" fontId="41" fillId="4" borderId="1" xfId="8" applyFont="1" applyBorder="1">
      <alignment horizontal="left" vertical="center"/>
    </xf>
    <xf numFmtId="2" fontId="32" fillId="4" borderId="1" xfId="0" applyNumberFormat="1" applyFont="1" applyFill="1" applyBorder="1" applyAlignment="1">
      <alignment horizontal="center"/>
    </xf>
    <xf numFmtId="0" fontId="46" fillId="11" borderId="0" xfId="63">
      <alignment horizontal="center" vertical="center"/>
    </xf>
    <xf numFmtId="0" fontId="22" fillId="11" borderId="0" xfId="64">
      <alignment horizontal="left" vertical="center" indent="1"/>
    </xf>
    <xf numFmtId="0" fontId="57" fillId="0" borderId="0" xfId="2" applyFont="1"/>
    <xf numFmtId="0" fontId="58" fillId="14" borderId="2" xfId="65">
      <alignment horizontal="center" vertical="center"/>
    </xf>
    <xf numFmtId="0" fontId="59" fillId="15" borderId="2" xfId="66">
      <alignment horizontal="center" vertical="center"/>
    </xf>
    <xf numFmtId="0" fontId="35" fillId="4" borderId="2" xfId="67">
      <alignment horizontal="left" vertical="center"/>
    </xf>
    <xf numFmtId="0" fontId="60" fillId="4" borderId="2" xfId="68">
      <alignment horizontal="left" vertical="center"/>
    </xf>
    <xf numFmtId="0" fontId="35" fillId="4" borderId="6" xfId="67" applyBorder="1">
      <alignment horizontal="left" vertical="center"/>
    </xf>
    <xf numFmtId="0" fontId="35" fillId="4" borderId="7" xfId="67" applyBorder="1">
      <alignment horizontal="left" vertical="center"/>
    </xf>
    <xf numFmtId="0" fontId="35" fillId="4" borderId="19" xfId="67" applyBorder="1">
      <alignment horizontal="left" vertical="center"/>
    </xf>
    <xf numFmtId="0" fontId="39" fillId="9" borderId="0" xfId="8" applyFill="1">
      <alignment horizontal="left" vertical="center"/>
    </xf>
    <xf numFmtId="0" fontId="17" fillId="11" borderId="0" xfId="32" applyFill="1">
      <alignment vertical="center"/>
    </xf>
    <xf numFmtId="0" fontId="44" fillId="13" borderId="20" xfId="41" applyBorder="1">
      <alignment horizontal="left" vertical="center"/>
    </xf>
    <xf numFmtId="0" fontId="45" fillId="13" borderId="21" xfId="41" applyFont="1" applyBorder="1">
      <alignment horizontal="left" vertical="center"/>
    </xf>
    <xf numFmtId="0" fontId="44" fillId="13" borderId="21" xfId="41" applyBorder="1">
      <alignment horizontal="left" vertical="center"/>
    </xf>
    <xf numFmtId="170" fontId="35" fillId="4" borderId="2" xfId="14" applyNumberFormat="1" applyFont="1" applyFill="1" applyBorder="1" applyAlignment="1">
      <alignment horizontal="center" vertical="center"/>
    </xf>
    <xf numFmtId="0" fontId="62" fillId="9" borderId="5" xfId="36" applyFont="1">
      <alignment horizontal="left" vertical="center" indent="1"/>
    </xf>
    <xf numFmtId="0" fontId="18" fillId="0" borderId="0" xfId="34"/>
  </cellXfs>
  <cellStyles count="69">
    <cellStyle name="Alert" xfId="62" xr:uid="{34EFE908-8095-4010-8F93-8CFE88055637}"/>
    <cellStyle name="Arguments" xfId="67" xr:uid="{A98BE7F9-9AF1-41BC-93A1-04622A5983FD}"/>
    <cellStyle name="Arguments hyperlink" xfId="68" xr:uid="{5B3BC2F2-D301-4F3B-B97E-D17F5942357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515940C5-98BF-44F7-AAB8-0D7808DD5C6C}"/>
    <cellStyle name="Variable type other" xfId="66" xr:uid="{5D88A237-9D54-45E0-A48E-F67D0639FDE2}"/>
  </cellStyles>
  <dxfs count="72">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1"/>
      <tableStyleElement type="headerRow" dxfId="70"/>
      <tableStyleElement type="totalRow" dxfId="69"/>
      <tableStyleElement type="firstColumn" dxfId="68"/>
      <tableStyleElement type="firstRowStripe" dxfId="67"/>
      <tableStyleElement type="secondRowStripe" dxfId="66"/>
    </tableStyle>
    <tableStyle name="Equation table" pivot="0" count="6" xr9:uid="{B247698E-E41D-4CCD-AA0A-C14817E9DE65}">
      <tableStyleElement type="wholeTable" dxfId="65"/>
      <tableStyleElement type="headerRow" dxfId="64"/>
      <tableStyleElement type="totalRow" dxfId="63"/>
      <tableStyleElement type="firstColumn" dxfId="62"/>
      <tableStyleElement type="firstRowStripe" dxfId="61"/>
      <tableStyleElement type="secondRowStripe" dxfId="60"/>
    </tableStyle>
    <tableStyle name="Table Style 1" pivot="0" count="0" xr9:uid="{97B370DB-5463-4A31-9160-5A96BD6A559D}"/>
  </tableStyles>
  <colors>
    <mruColors>
      <color rgb="FF0C769E"/>
      <color rgb="FF008000"/>
      <color rgb="FFC4434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217774</xdr:colOff>
      <xdr:row>7</xdr:row>
      <xdr:rowOff>3135</xdr:rowOff>
    </xdr:from>
    <xdr:ext cx="1928078" cy="505267"/>
    <xdr:sp macro="" textlink="'4.7.1.1-2 Manure Methane'!C1">
      <xdr:nvSpPr>
        <xdr:cNvPr id="2" name="TextBox 1">
          <a:extLst>
            <a:ext uri="{FF2B5EF4-FFF2-40B4-BE49-F238E27FC236}">
              <a16:creationId xmlns:a16="http://schemas.microsoft.com/office/drawing/2014/main" id="{3B503452-64E4-4041-812B-B7191D6DC263}"/>
            </a:ext>
          </a:extLst>
        </xdr:cNvPr>
        <xdr:cNvSpPr txBox="1"/>
      </xdr:nvSpPr>
      <xdr:spPr>
        <a:xfrm>
          <a:off x="2894299" y="1870035"/>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5A1819D9-BE73-49E0-8414-E65561BAF014}" type="TxLink">
            <a:rPr lang="en-US" sz="1200" b="0" i="0" u="none" strike="noStrike">
              <a:solidFill>
                <a:srgbClr val="0C769E"/>
              </a:solidFill>
              <a:latin typeface="Arial"/>
              <a:cs typeface="Arial"/>
            </a:rPr>
            <a:pPr algn="ctr"/>
            <a:t>4.7.1.1-2 Manure Methane</a:t>
          </a:fld>
          <a:endParaRPr lang="en-AU" sz="1200" b="0">
            <a:solidFill>
              <a:srgbClr val="0C769E"/>
            </a:solidFill>
          </a:endParaRPr>
        </a:p>
      </xdr:txBody>
    </xdr:sp>
    <xdr:clientData/>
  </xdr:oneCellAnchor>
  <xdr:oneCellAnchor>
    <xdr:from>
      <xdr:col>7</xdr:col>
      <xdr:colOff>254730</xdr:colOff>
      <xdr:row>7</xdr:row>
      <xdr:rowOff>3136</xdr:rowOff>
    </xdr:from>
    <xdr:ext cx="1946138" cy="505267"/>
    <xdr:sp macro="" textlink="'4.7.1.3-4 Soil Direct N2O'!C1">
      <xdr:nvSpPr>
        <xdr:cNvPr id="4" name="TextBox 3">
          <a:extLst>
            <a:ext uri="{FF2B5EF4-FFF2-40B4-BE49-F238E27FC236}">
              <a16:creationId xmlns:a16="http://schemas.microsoft.com/office/drawing/2014/main" id="{C4257C06-9F2B-4941-8D4B-9A2D04E1F9C9}"/>
            </a:ext>
          </a:extLst>
        </xdr:cNvPr>
        <xdr:cNvSpPr txBox="1"/>
      </xdr:nvSpPr>
      <xdr:spPr>
        <a:xfrm>
          <a:off x="5369655"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70C66FB3-537F-47DC-A689-0DFF3B216FA0}" type="TxLink">
            <a:rPr lang="en-US" sz="1200" b="0" i="0" u="none" strike="noStrike">
              <a:solidFill>
                <a:srgbClr val="002060"/>
              </a:solidFill>
              <a:latin typeface="Arial"/>
              <a:cs typeface="Arial"/>
            </a:rPr>
            <a:pPr algn="ctr"/>
            <a:t>4.7.1.3-4 Manure Soil Direct N2O</a:t>
          </a:fld>
          <a:endParaRPr lang="en-AU" sz="1200" b="0">
            <a:solidFill>
              <a:srgbClr val="002060"/>
            </a:solidFill>
          </a:endParaRPr>
        </a:p>
      </xdr:txBody>
    </xdr:sp>
    <xdr:clientData/>
  </xdr:oneCellAnchor>
  <xdr:twoCellAnchor>
    <xdr:from>
      <xdr:col>7</xdr:col>
      <xdr:colOff>366215</xdr:colOff>
      <xdr:row>9</xdr:row>
      <xdr:rowOff>180108</xdr:rowOff>
    </xdr:from>
    <xdr:to>
      <xdr:col>10</xdr:col>
      <xdr:colOff>52136</xdr:colOff>
      <xdr:row>12</xdr:row>
      <xdr:rowOff>157158</xdr:rowOff>
    </xdr:to>
    <xdr:sp macro="" textlink="'4.7.1.3-4 Soil Direct N2O'!D5">
      <xdr:nvSpPr>
        <xdr:cNvPr id="5" name="TextBox 4">
          <a:extLst>
            <a:ext uri="{FF2B5EF4-FFF2-40B4-BE49-F238E27FC236}">
              <a16:creationId xmlns:a16="http://schemas.microsoft.com/office/drawing/2014/main" id="{1D9A1F2E-1D34-44C4-A814-116FF25706CF}"/>
            </a:ext>
          </a:extLst>
        </xdr:cNvPr>
        <xdr:cNvSpPr txBox="1"/>
      </xdr:nvSpPr>
      <xdr:spPr>
        <a:xfrm>
          <a:off x="5481140" y="2542308"/>
          <a:ext cx="1514721"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E1A144-81DD-4A29-B423-E3EE4C4DF570}" type="TxLink">
            <a:rPr lang="en-US" sz="900" b="0" i="0" u="none" strike="noStrike">
              <a:solidFill>
                <a:srgbClr val="002060"/>
              </a:solidFill>
              <a:latin typeface="Arial"/>
              <a:cs typeface="Arial"/>
            </a:rPr>
            <a:pPr algn="ctr"/>
            <a:t>Annual nitrogen excreted by livestock to pasture, range and paddock</a:t>
          </a:fld>
          <a:endParaRPr lang="en-AU" sz="900">
            <a:solidFill>
              <a:srgbClr val="002060"/>
            </a:solidFill>
          </a:endParaRPr>
        </a:p>
      </xdr:txBody>
    </xdr:sp>
    <xdr:clientData/>
  </xdr:twoCellAnchor>
  <xdr:oneCellAnchor>
    <xdr:from>
      <xdr:col>11</xdr:col>
      <xdr:colOff>150435</xdr:colOff>
      <xdr:row>6</xdr:row>
      <xdr:rowOff>242803</xdr:rowOff>
    </xdr:from>
    <xdr:ext cx="1905000" cy="711733"/>
    <xdr:sp macro="" textlink="'4.7.1.5-6 Soil Atmos Deposition'!C1">
      <xdr:nvSpPr>
        <xdr:cNvPr id="6" name="TextBox 5">
          <a:extLst>
            <a:ext uri="{FF2B5EF4-FFF2-40B4-BE49-F238E27FC236}">
              <a16:creationId xmlns:a16="http://schemas.microsoft.com/office/drawing/2014/main" id="{802EA2E0-B0F7-4C24-B5E1-096DFC74BC99}"/>
            </a:ext>
          </a:extLst>
        </xdr:cNvPr>
        <xdr:cNvSpPr txBox="1"/>
      </xdr:nvSpPr>
      <xdr:spPr>
        <a:xfrm>
          <a:off x="7703760" y="1862053"/>
          <a:ext cx="1905000"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ABF60719-CC31-45E8-92FC-49FEE7790297}" type="TxLink">
            <a:rPr lang="en-US" sz="1200" b="0" i="0" u="none" strike="noStrike">
              <a:solidFill>
                <a:srgbClr val="7030A0"/>
              </a:solidFill>
              <a:latin typeface="Arial"/>
              <a:cs typeface="Arial"/>
            </a:rPr>
            <a:pPr algn="ctr"/>
            <a:t>4.7.1.4-5 Manure Soil Atmospheric Deposition</a:t>
          </a:fld>
          <a:endParaRPr lang="en-AU" sz="1200" b="0">
            <a:solidFill>
              <a:srgbClr val="7030A0"/>
            </a:solidFill>
          </a:endParaRPr>
        </a:p>
      </xdr:txBody>
    </xdr:sp>
    <xdr:clientData/>
  </xdr:oneCellAnchor>
  <xdr:oneCellAnchor>
    <xdr:from>
      <xdr:col>15</xdr:col>
      <xdr:colOff>518155</xdr:colOff>
      <xdr:row>6</xdr:row>
      <xdr:rowOff>231736</xdr:rowOff>
    </xdr:from>
    <xdr:ext cx="1683647" cy="711733"/>
    <xdr:sp macro="" textlink="'4.7.1.7-8 Soil Leaching Runoff'!C1">
      <xdr:nvSpPr>
        <xdr:cNvPr id="8" name="TextBox 7">
          <a:extLst>
            <a:ext uri="{FF2B5EF4-FFF2-40B4-BE49-F238E27FC236}">
              <a16:creationId xmlns:a16="http://schemas.microsoft.com/office/drawing/2014/main" id="{3B546504-E89D-477B-AF73-C368EECD911A}"/>
            </a:ext>
          </a:extLst>
        </xdr:cNvPr>
        <xdr:cNvSpPr txBox="1"/>
      </xdr:nvSpPr>
      <xdr:spPr>
        <a:xfrm>
          <a:off x="10509880" y="185098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80B42E19-73B9-41B3-A8ED-28F470B1A627}" type="TxLink">
            <a:rPr lang="en-US" sz="1200" b="0" i="0" u="none" strike="noStrike">
              <a:solidFill>
                <a:srgbClr val="C00000"/>
              </a:solidFill>
              <a:latin typeface="Arial"/>
              <a:cs typeface="Arial"/>
            </a:rPr>
            <a:pPr algn="ctr"/>
            <a:t>4.7.1.7-8 Manure Soil Leaching and Runoff</a:t>
          </a:fld>
          <a:endParaRPr lang="en-AU" sz="1200" b="0">
            <a:solidFill>
              <a:srgbClr val="C00000"/>
            </a:solidFill>
          </a:endParaRPr>
        </a:p>
      </xdr:txBody>
    </xdr:sp>
    <xdr:clientData/>
  </xdr:oneCellAnchor>
  <xdr:twoCellAnchor>
    <xdr:from>
      <xdr:col>3</xdr:col>
      <xdr:colOff>389782</xdr:colOff>
      <xdr:row>9</xdr:row>
      <xdr:rowOff>187035</xdr:rowOff>
    </xdr:from>
    <xdr:to>
      <xdr:col>6</xdr:col>
      <xdr:colOff>70261</xdr:colOff>
      <xdr:row>12</xdr:row>
      <xdr:rowOff>164086</xdr:rowOff>
    </xdr:to>
    <xdr:sp macro="" textlink="'4.7.1.1-2 Manure Methane'!D5">
      <xdr:nvSpPr>
        <xdr:cNvPr id="16" name="TextBox 15">
          <a:extLst>
            <a:ext uri="{FF2B5EF4-FFF2-40B4-BE49-F238E27FC236}">
              <a16:creationId xmlns:a16="http://schemas.microsoft.com/office/drawing/2014/main" id="{A391DA18-C458-4E43-BCCB-7D7FA0C9843E}"/>
            </a:ext>
          </a:extLst>
        </xdr:cNvPr>
        <xdr:cNvSpPr txBox="1"/>
      </xdr:nvSpPr>
      <xdr:spPr>
        <a:xfrm>
          <a:off x="3066307" y="2549235"/>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70C9F3-5091-4865-AC1C-2631F8268E1F}" type="TxLink">
            <a:rPr lang="en-US" sz="900" b="0" i="0" u="none" strike="noStrike">
              <a:solidFill>
                <a:srgbClr val="0C769E"/>
              </a:solidFill>
              <a:latin typeface="Arial"/>
              <a:cs typeface="Arial"/>
            </a:rPr>
            <a:pPr algn="ctr"/>
            <a:t>Annual methane production from manure management</a:t>
          </a:fld>
          <a:endParaRPr lang="en-AU" sz="900">
            <a:solidFill>
              <a:srgbClr val="0C769E"/>
            </a:solidFill>
          </a:endParaRPr>
        </a:p>
      </xdr:txBody>
    </xdr:sp>
    <xdr:clientData/>
  </xdr:twoCellAnchor>
  <xdr:twoCellAnchor>
    <xdr:from>
      <xdr:col>3</xdr:col>
      <xdr:colOff>362568</xdr:colOff>
      <xdr:row>19</xdr:row>
      <xdr:rowOff>197785</xdr:rowOff>
    </xdr:from>
    <xdr:to>
      <xdr:col>6</xdr:col>
      <xdr:colOff>43047</xdr:colOff>
      <xdr:row>22</xdr:row>
      <xdr:rowOff>169885</xdr:rowOff>
    </xdr:to>
    <xdr:sp macro="" textlink="'4.7.1.1-2 Manure Methane'!D76">
      <xdr:nvSpPr>
        <xdr:cNvPr id="20" name="TextBox 19">
          <a:extLst>
            <a:ext uri="{FF2B5EF4-FFF2-40B4-BE49-F238E27FC236}">
              <a16:creationId xmlns:a16="http://schemas.microsoft.com/office/drawing/2014/main" id="{050A7C22-4BD7-4D52-9D6E-89987EDCC59C}"/>
            </a:ext>
          </a:extLst>
        </xdr:cNvPr>
        <xdr:cNvSpPr txBox="1"/>
      </xdr:nvSpPr>
      <xdr:spPr>
        <a:xfrm>
          <a:off x="3039093" y="5036485"/>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B96A758-AA4C-437E-AD90-8445A56A6224}" type="TxLink">
            <a:rPr lang="en-US" sz="900" b="1" i="0" u="none" strike="noStrike">
              <a:solidFill>
                <a:srgbClr val="0C769E"/>
              </a:solidFill>
              <a:latin typeface="Arial"/>
              <a:cs typeface="Arial"/>
            </a:rPr>
            <a:pPr algn="ctr"/>
            <a:t>Total annual methane production from manure management of other livestock</a:t>
          </a:fld>
          <a:endParaRPr lang="en-AU" sz="900" b="1">
            <a:solidFill>
              <a:srgbClr val="0C769E"/>
            </a:solidFill>
          </a:endParaRPr>
        </a:p>
      </xdr:txBody>
    </xdr:sp>
    <xdr:clientData/>
  </xdr:twoCellAnchor>
  <xdr:twoCellAnchor>
    <xdr:from>
      <xdr:col>4</xdr:col>
      <xdr:colOff>507609</xdr:colOff>
      <xdr:row>12</xdr:row>
      <xdr:rowOff>164085</xdr:rowOff>
    </xdr:from>
    <xdr:to>
      <xdr:col>4</xdr:col>
      <xdr:colOff>534823</xdr:colOff>
      <xdr:row>19</xdr:row>
      <xdr:rowOff>197784</xdr:rowOff>
    </xdr:to>
    <xdr:cxnSp macro="">
      <xdr:nvCxnSpPr>
        <xdr:cNvPr id="24" name="Connector: Curved 23">
          <a:extLst>
            <a:ext uri="{FF2B5EF4-FFF2-40B4-BE49-F238E27FC236}">
              <a16:creationId xmlns:a16="http://schemas.microsoft.com/office/drawing/2014/main" id="{DC7C8163-CA33-4F29-8BC7-CA3B1B1A1E9F}"/>
            </a:ext>
          </a:extLst>
        </xdr:cNvPr>
        <xdr:cNvCxnSpPr>
          <a:cxnSpLocks/>
          <a:stCxn id="16" idx="2"/>
          <a:endCxn id="20" idx="0"/>
        </xdr:cNvCxnSpPr>
      </xdr:nvCxnSpPr>
      <xdr:spPr>
        <a:xfrm rot="5400000">
          <a:off x="2923716" y="4139253"/>
          <a:ext cx="1767249"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366215</xdr:colOff>
      <xdr:row>19</xdr:row>
      <xdr:rowOff>216216</xdr:rowOff>
    </xdr:from>
    <xdr:to>
      <xdr:col>10</xdr:col>
      <xdr:colOff>52136</xdr:colOff>
      <xdr:row>22</xdr:row>
      <xdr:rowOff>193267</xdr:rowOff>
    </xdr:to>
    <xdr:sp macro="" textlink="'4.7.1.3-4 Soil Direct N2O'!D57">
      <xdr:nvSpPr>
        <xdr:cNvPr id="28" name="TextBox 27">
          <a:extLst>
            <a:ext uri="{FF2B5EF4-FFF2-40B4-BE49-F238E27FC236}">
              <a16:creationId xmlns:a16="http://schemas.microsoft.com/office/drawing/2014/main" id="{9698555D-C7EC-4EA2-890F-C4B4DFF81AF8}"/>
            </a:ext>
          </a:extLst>
        </xdr:cNvPr>
        <xdr:cNvSpPr txBox="1"/>
      </xdr:nvSpPr>
      <xdr:spPr>
        <a:xfrm>
          <a:off x="5481140" y="5054916"/>
          <a:ext cx="1514721" cy="720001"/>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A179A8-B6ED-444A-A13B-9EAD2C2DD96C}" type="TxLink">
            <a:rPr lang="en-US" sz="900" b="1" i="0" u="none" strike="noStrike">
              <a:solidFill>
                <a:srgbClr val="002060"/>
              </a:solidFill>
              <a:latin typeface="Arial"/>
              <a:cs typeface="Arial"/>
            </a:rPr>
            <a:pPr algn="ctr"/>
            <a:t>Direct nitrous oxide emissions from agricultural soils from deposition of urine and dung to pasture</a:t>
          </a:fld>
          <a:endParaRPr lang="en-AU" sz="900" b="1">
            <a:solidFill>
              <a:srgbClr val="002060"/>
            </a:solidFill>
          </a:endParaRPr>
        </a:p>
      </xdr:txBody>
    </xdr:sp>
    <xdr:clientData/>
  </xdr:twoCellAnchor>
  <xdr:twoCellAnchor>
    <xdr:from>
      <xdr:col>8</xdr:col>
      <xdr:colOff>507626</xdr:colOff>
      <xdr:row>12</xdr:row>
      <xdr:rowOff>163508</xdr:rowOff>
    </xdr:from>
    <xdr:to>
      <xdr:col>8</xdr:col>
      <xdr:colOff>520326</xdr:colOff>
      <xdr:row>19</xdr:row>
      <xdr:rowOff>222566</xdr:rowOff>
    </xdr:to>
    <xdr:cxnSp macro="">
      <xdr:nvCxnSpPr>
        <xdr:cNvPr id="31" name="Connector: Curved 30">
          <a:extLst>
            <a:ext uri="{FF2B5EF4-FFF2-40B4-BE49-F238E27FC236}">
              <a16:creationId xmlns:a16="http://schemas.microsoft.com/office/drawing/2014/main" id="{82785C84-7C60-405F-AAC3-AC8A3EBBDAE7}"/>
            </a:ext>
          </a:extLst>
        </xdr:cNvPr>
        <xdr:cNvCxnSpPr>
          <a:stCxn id="5" idx="2"/>
          <a:endCxn id="28" idx="0"/>
        </xdr:cNvCxnSpPr>
      </xdr:nvCxnSpPr>
      <xdr:spPr>
        <a:xfrm rot="5400000">
          <a:off x="5342197" y="4158612"/>
          <a:ext cx="1792608"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607929</xdr:colOff>
      <xdr:row>18</xdr:row>
      <xdr:rowOff>161139</xdr:rowOff>
    </xdr:from>
    <xdr:to>
      <xdr:col>13</xdr:col>
      <xdr:colOff>1228</xdr:colOff>
      <xdr:row>19</xdr:row>
      <xdr:rowOff>234464</xdr:rowOff>
    </xdr:to>
    <xdr:cxnSp macro="">
      <xdr:nvCxnSpPr>
        <xdr:cNvPr id="47" name="Connector: Curved 46">
          <a:extLst>
            <a:ext uri="{FF2B5EF4-FFF2-40B4-BE49-F238E27FC236}">
              <a16:creationId xmlns:a16="http://schemas.microsoft.com/office/drawing/2014/main" id="{F64F7784-2DEB-46E0-BA40-BF4C7A0EC511}"/>
            </a:ext>
          </a:extLst>
        </xdr:cNvPr>
        <xdr:cNvCxnSpPr>
          <a:stCxn id="53" idx="2"/>
          <a:endCxn id="55" idx="0"/>
        </xdr:cNvCxnSpPr>
      </xdr:nvCxnSpPr>
      <xdr:spPr>
        <a:xfrm rot="16200000" flipH="1">
          <a:off x="8611816" y="4911227"/>
          <a:ext cx="320975" cy="2899"/>
        </a:xfrm>
        <a:prstGeom prst="curvedConnector3">
          <a:avLst>
            <a:gd name="adj1" fmla="val 50000"/>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567980</xdr:colOff>
      <xdr:row>15</xdr:row>
      <xdr:rowOff>187304</xdr:rowOff>
    </xdr:from>
    <xdr:to>
      <xdr:col>18</xdr:col>
      <xdr:colOff>251180</xdr:colOff>
      <xdr:row>18</xdr:row>
      <xdr:rowOff>176916</xdr:rowOff>
    </xdr:to>
    <xdr:sp macro="" textlink="'4.7.1.7-8 Soil Leaching Runoff'!D5">
      <xdr:nvSpPr>
        <xdr:cNvPr id="54" name="TextBox 53">
          <a:extLst>
            <a:ext uri="{FF2B5EF4-FFF2-40B4-BE49-F238E27FC236}">
              <a16:creationId xmlns:a16="http://schemas.microsoft.com/office/drawing/2014/main" id="{95ED6D80-A9CA-4BE0-8876-0A2123740055}"/>
            </a:ext>
          </a:extLst>
        </xdr:cNvPr>
        <xdr:cNvSpPr txBox="1"/>
      </xdr:nvSpPr>
      <xdr:spPr>
        <a:xfrm>
          <a:off x="10559705" y="4035404"/>
          <a:ext cx="1512000" cy="732562"/>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374314-469D-4FEE-A13F-1AAE719CA46F}" type="TxLink">
            <a:rPr lang="en-US" sz="900" b="0" i="0" u="none" strike="noStrike">
              <a:solidFill>
                <a:srgbClr val="C00000"/>
              </a:solidFill>
              <a:latin typeface="Arial"/>
              <a:cs typeface="Arial"/>
            </a:rPr>
            <a:pPr algn="ctr"/>
            <a:t>Mass of nitrogen lost to leaching and runoff</a:t>
          </a:fld>
          <a:endParaRPr lang="en-AU" sz="900" b="1">
            <a:solidFill>
              <a:srgbClr val="C00000"/>
            </a:solidFill>
          </a:endParaRPr>
        </a:p>
      </xdr:txBody>
    </xdr:sp>
    <xdr:clientData/>
  </xdr:twoCellAnchor>
  <xdr:twoCellAnchor>
    <xdr:from>
      <xdr:col>15</xdr:col>
      <xdr:colOff>584182</xdr:colOff>
      <xdr:row>20</xdr:row>
      <xdr:rowOff>8881</xdr:rowOff>
    </xdr:from>
    <xdr:to>
      <xdr:col>18</xdr:col>
      <xdr:colOff>274292</xdr:colOff>
      <xdr:row>22</xdr:row>
      <xdr:rowOff>228631</xdr:rowOff>
    </xdr:to>
    <xdr:sp macro="" textlink="'4.7.1.7-8 Soil Leaching Runoff'!D60">
      <xdr:nvSpPr>
        <xdr:cNvPr id="56" name="TextBox 55">
          <a:extLst>
            <a:ext uri="{FF2B5EF4-FFF2-40B4-BE49-F238E27FC236}">
              <a16:creationId xmlns:a16="http://schemas.microsoft.com/office/drawing/2014/main" id="{5FA3B127-61AF-470F-B0DC-C1C9FB586772}"/>
            </a:ext>
          </a:extLst>
        </xdr:cNvPr>
        <xdr:cNvSpPr txBox="1"/>
      </xdr:nvSpPr>
      <xdr:spPr>
        <a:xfrm>
          <a:off x="10575907" y="5095231"/>
          <a:ext cx="1518910" cy="71505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44C643-B55B-4F44-A52F-15E489C5DC43}" type="TxLink">
            <a:rPr lang="en-US" sz="900" b="1" i="0" u="none" strike="noStrike">
              <a:solidFill>
                <a:srgbClr val="C00000"/>
              </a:solidFill>
              <a:latin typeface="Arial"/>
              <a:cs typeface="Arial"/>
            </a:rPr>
            <a:pPr algn="ctr"/>
            <a:t>Leaching and runoff emissions from urine and dung deposited on pasture</a:t>
          </a:fld>
          <a:endParaRPr lang="en-AU" sz="900" b="1">
            <a:solidFill>
              <a:srgbClr val="C00000"/>
            </a:solidFill>
          </a:endParaRPr>
        </a:p>
      </xdr:txBody>
    </xdr:sp>
    <xdr:clientData/>
  </xdr:twoCellAnchor>
  <xdr:twoCellAnchor>
    <xdr:from>
      <xdr:col>20</xdr:col>
      <xdr:colOff>255813</xdr:colOff>
      <xdr:row>23</xdr:row>
      <xdr:rowOff>95372</xdr:rowOff>
    </xdr:from>
    <xdr:to>
      <xdr:col>23</xdr:col>
      <xdr:colOff>80443</xdr:colOff>
      <xdr:row>27</xdr:row>
      <xdr:rowOff>180975</xdr:rowOff>
    </xdr:to>
    <xdr:sp macro="" textlink="">
      <xdr:nvSpPr>
        <xdr:cNvPr id="66" name="Rectangle 65">
          <a:extLst>
            <a:ext uri="{FF2B5EF4-FFF2-40B4-BE49-F238E27FC236}">
              <a16:creationId xmlns:a16="http://schemas.microsoft.com/office/drawing/2014/main" id="{EFDC15EB-D7C8-4514-9216-49F739AAE7B6}"/>
            </a:ext>
          </a:extLst>
        </xdr:cNvPr>
        <xdr:cNvSpPr/>
      </xdr:nvSpPr>
      <xdr:spPr>
        <a:xfrm>
          <a:off x="13295538" y="5924672"/>
          <a:ext cx="1653430" cy="107620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Portion of manure runoff into water</a:t>
          </a:r>
        </a:p>
      </xdr:txBody>
    </xdr:sp>
    <xdr:clientData/>
  </xdr:twoCellAnchor>
  <xdr:twoCellAnchor>
    <xdr:from>
      <xdr:col>21</xdr:col>
      <xdr:colOff>457199</xdr:colOff>
      <xdr:row>20</xdr:row>
      <xdr:rowOff>133350</xdr:rowOff>
    </xdr:from>
    <xdr:to>
      <xdr:col>21</xdr:col>
      <xdr:colOff>472928</xdr:colOff>
      <xdr:row>23</xdr:row>
      <xdr:rowOff>95371</xdr:rowOff>
    </xdr:to>
    <xdr:cxnSp macro="">
      <xdr:nvCxnSpPr>
        <xdr:cNvPr id="77" name="Connector: Curved 76">
          <a:extLst>
            <a:ext uri="{FF2B5EF4-FFF2-40B4-BE49-F238E27FC236}">
              <a16:creationId xmlns:a16="http://schemas.microsoft.com/office/drawing/2014/main" id="{45D3BFD0-5625-4B70-A13F-3755781F8A37}"/>
            </a:ext>
          </a:extLst>
        </xdr:cNvPr>
        <xdr:cNvCxnSpPr>
          <a:cxnSpLocks/>
          <a:stCxn id="12" idx="2"/>
          <a:endCxn id="66" idx="0"/>
        </xdr:cNvCxnSpPr>
      </xdr:nvCxnSpPr>
      <xdr:spPr>
        <a:xfrm rot="16200000" flipH="1">
          <a:off x="13761903" y="5564321"/>
          <a:ext cx="704971" cy="1572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228599</xdr:colOff>
      <xdr:row>9</xdr:row>
      <xdr:rowOff>241093</xdr:rowOff>
    </xdr:from>
    <xdr:to>
      <xdr:col>23</xdr:col>
      <xdr:colOff>53228</xdr:colOff>
      <xdr:row>13</xdr:row>
      <xdr:rowOff>143122</xdr:rowOff>
    </xdr:to>
    <xdr:sp macro="" textlink="">
      <xdr:nvSpPr>
        <xdr:cNvPr id="84" name="Rectangle 83">
          <a:extLst>
            <a:ext uri="{FF2B5EF4-FFF2-40B4-BE49-F238E27FC236}">
              <a16:creationId xmlns:a16="http://schemas.microsoft.com/office/drawing/2014/main" id="{5BB228C1-0355-403A-85B2-6995AFEB84E7}"/>
            </a:ext>
          </a:extLst>
        </xdr:cNvPr>
        <xdr:cNvSpPr/>
      </xdr:nvSpPr>
      <xdr:spPr>
        <a:xfrm>
          <a:off x="13268324" y="2603293"/>
          <a:ext cx="1653429" cy="892629"/>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Manure excreted on</a:t>
          </a:r>
          <a:r>
            <a:rPr lang="en-AU" sz="1200" baseline="0"/>
            <a:t> pasture range and paddock</a:t>
          </a:r>
          <a:endParaRPr lang="en-AU" sz="1200"/>
        </a:p>
      </xdr:txBody>
    </xdr:sp>
    <xdr:clientData/>
  </xdr:twoCellAnchor>
  <xdr:twoCellAnchor>
    <xdr:from>
      <xdr:col>21</xdr:col>
      <xdr:colOff>445714</xdr:colOff>
      <xdr:row>13</xdr:row>
      <xdr:rowOff>143121</xdr:rowOff>
    </xdr:from>
    <xdr:to>
      <xdr:col>21</xdr:col>
      <xdr:colOff>457199</xdr:colOff>
      <xdr:row>14</xdr:row>
      <xdr:rowOff>228600</xdr:rowOff>
    </xdr:to>
    <xdr:cxnSp macro="">
      <xdr:nvCxnSpPr>
        <xdr:cNvPr id="85" name="Connector: Curved 84">
          <a:extLst>
            <a:ext uri="{FF2B5EF4-FFF2-40B4-BE49-F238E27FC236}">
              <a16:creationId xmlns:a16="http://schemas.microsoft.com/office/drawing/2014/main" id="{1BC07B9E-FF90-42C1-8E3C-B5A95D054FED}"/>
            </a:ext>
          </a:extLst>
        </xdr:cNvPr>
        <xdr:cNvCxnSpPr>
          <a:cxnSpLocks/>
          <a:stCxn id="84" idx="2"/>
          <a:endCxn id="12" idx="0"/>
        </xdr:cNvCxnSpPr>
      </xdr:nvCxnSpPr>
      <xdr:spPr>
        <a:xfrm rot="16200000" flipH="1">
          <a:off x="13934217" y="3656743"/>
          <a:ext cx="333129" cy="114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19</xdr:col>
      <xdr:colOff>405615</xdr:colOff>
      <xdr:row>7</xdr:row>
      <xdr:rowOff>138598</xdr:rowOff>
    </xdr:from>
    <xdr:ext cx="2490354" cy="298800"/>
    <xdr:sp macro="" textlink="">
      <xdr:nvSpPr>
        <xdr:cNvPr id="87" name="TextBox 86">
          <a:extLst>
            <a:ext uri="{FF2B5EF4-FFF2-40B4-BE49-F238E27FC236}">
              <a16:creationId xmlns:a16="http://schemas.microsoft.com/office/drawing/2014/main" id="{C2AB4F09-0261-424F-8072-B6D0DE277972}"/>
            </a:ext>
          </a:extLst>
        </xdr:cNvPr>
        <xdr:cNvSpPr txBox="1"/>
      </xdr:nvSpPr>
      <xdr:spPr>
        <a:xfrm>
          <a:off x="12835740" y="2005498"/>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200" b="0">
              <a:solidFill>
                <a:schemeClr val="accent3">
                  <a:lumMod val="75000"/>
                </a:schemeClr>
              </a:solidFill>
            </a:rPr>
            <a:t>Manure management process</a:t>
          </a:r>
        </a:p>
      </xdr:txBody>
    </xdr:sp>
    <xdr:clientData/>
  </xdr:oneCellAnchor>
  <xdr:twoCellAnchor>
    <xdr:from>
      <xdr:col>11</xdr:col>
      <xdr:colOff>462889</xdr:colOff>
      <xdr:row>15</xdr:row>
      <xdr:rowOff>184088</xdr:rowOff>
    </xdr:from>
    <xdr:to>
      <xdr:col>14</xdr:col>
      <xdr:colOff>143368</xdr:colOff>
      <xdr:row>18</xdr:row>
      <xdr:rowOff>161140</xdr:rowOff>
    </xdr:to>
    <xdr:sp macro="" textlink="'4.7.1.5-6 Soil Atmos Deposition'!D5">
      <xdr:nvSpPr>
        <xdr:cNvPr id="53" name="TextBox 52">
          <a:extLst>
            <a:ext uri="{FF2B5EF4-FFF2-40B4-BE49-F238E27FC236}">
              <a16:creationId xmlns:a16="http://schemas.microsoft.com/office/drawing/2014/main" id="{BA71A6CA-D1BA-4D4D-990E-27D8C087EF33}"/>
            </a:ext>
          </a:extLst>
        </xdr:cNvPr>
        <xdr:cNvSpPr txBox="1"/>
      </xdr:nvSpPr>
      <xdr:spPr>
        <a:xfrm>
          <a:off x="8016214" y="4032188"/>
          <a:ext cx="1509279" cy="720002"/>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5D5A4C-5C05-413A-BF47-D75D932ABE37}" type="TxLink">
            <a:rPr lang="en-US" sz="900" b="0" i="0" u="none" strike="noStrike">
              <a:solidFill>
                <a:srgbClr val="7030A0"/>
              </a:solidFill>
              <a:latin typeface="Arial"/>
              <a:cs typeface="Arial"/>
            </a:rPr>
            <a:pPr algn="ctr"/>
            <a:t>Mass of nitrogen volatilised from urine and faeces deposited on pasture</a:t>
          </a:fld>
          <a:endParaRPr lang="en-AU" sz="900">
            <a:solidFill>
              <a:srgbClr val="7030A0"/>
            </a:solidFill>
          </a:endParaRPr>
        </a:p>
      </xdr:txBody>
    </xdr:sp>
    <xdr:clientData/>
  </xdr:twoCellAnchor>
  <xdr:twoCellAnchor>
    <xdr:from>
      <xdr:col>11</xdr:col>
      <xdr:colOff>465788</xdr:colOff>
      <xdr:row>19</xdr:row>
      <xdr:rowOff>234465</xdr:rowOff>
    </xdr:from>
    <xdr:to>
      <xdr:col>14</xdr:col>
      <xdr:colOff>146267</xdr:colOff>
      <xdr:row>22</xdr:row>
      <xdr:rowOff>206565</xdr:rowOff>
    </xdr:to>
    <xdr:sp macro="" textlink="'4.7.1.5-6 Soil Atmos Deposition'!D42">
      <xdr:nvSpPr>
        <xdr:cNvPr id="55" name="TextBox 54">
          <a:extLst>
            <a:ext uri="{FF2B5EF4-FFF2-40B4-BE49-F238E27FC236}">
              <a16:creationId xmlns:a16="http://schemas.microsoft.com/office/drawing/2014/main" id="{D2D728C0-C301-4FC2-953C-540E832F0A32}"/>
            </a:ext>
          </a:extLst>
        </xdr:cNvPr>
        <xdr:cNvSpPr txBox="1"/>
      </xdr:nvSpPr>
      <xdr:spPr>
        <a:xfrm>
          <a:off x="8019113" y="5073165"/>
          <a:ext cx="1509279" cy="71505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A21617-D88C-4597-A988-7ED3F80C257F}" type="TxLink">
            <a:rPr lang="en-US" sz="900" b="1" i="0" u="none" strike="noStrike">
              <a:solidFill>
                <a:srgbClr val="7030A0"/>
              </a:solidFill>
              <a:latin typeface="Arial"/>
              <a:cs typeface="Arial"/>
            </a:rPr>
            <a:pPr algn="ctr"/>
            <a:t>Atmospheric deposition emissions from urine and dung deposited on pasture</a:t>
          </a:fld>
          <a:endParaRPr lang="en-AU" sz="900" b="1">
            <a:solidFill>
              <a:srgbClr val="7030A0"/>
            </a:solidFill>
          </a:endParaRPr>
        </a:p>
      </xdr:txBody>
    </xdr:sp>
    <xdr:clientData/>
  </xdr:twoCellAnchor>
  <xdr:twoCellAnchor>
    <xdr:from>
      <xdr:col>19</xdr:col>
      <xdr:colOff>561974</xdr:colOff>
      <xdr:row>14</xdr:row>
      <xdr:rowOff>228601</xdr:rowOff>
    </xdr:from>
    <xdr:to>
      <xdr:col>23</xdr:col>
      <xdr:colOff>352424</xdr:colOff>
      <xdr:row>20</xdr:row>
      <xdr:rowOff>133351</xdr:rowOff>
    </xdr:to>
    <xdr:sp macro="" textlink="">
      <xdr:nvSpPr>
        <xdr:cNvPr id="12" name="Diamond 11">
          <a:extLst>
            <a:ext uri="{FF2B5EF4-FFF2-40B4-BE49-F238E27FC236}">
              <a16:creationId xmlns:a16="http://schemas.microsoft.com/office/drawing/2014/main" id="{30DD02BF-8ABB-AB5A-4151-0D58D10041BC}"/>
            </a:ext>
          </a:extLst>
        </xdr:cNvPr>
        <xdr:cNvSpPr/>
      </xdr:nvSpPr>
      <xdr:spPr>
        <a:xfrm>
          <a:off x="12992099" y="3829051"/>
          <a:ext cx="2228850" cy="1390650"/>
        </a:xfrm>
        <a:prstGeom prst="diamond">
          <a:avLst/>
        </a:prstGeom>
        <a:solidFill>
          <a:schemeClr val="bg1"/>
        </a:solidFill>
        <a:ln>
          <a:solidFill>
            <a:srgbClr val="008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1000" i="1">
              <a:solidFill>
                <a:srgbClr val="008000"/>
              </a:solidFill>
              <a:effectLst/>
              <a:latin typeface="+mn-lt"/>
              <a:ea typeface="+mn-ea"/>
              <a:cs typeface="+mn-cs"/>
            </a:rPr>
            <a:t>Do livestock have access to natural waterways</a:t>
          </a:r>
          <a:r>
            <a:rPr lang="en-AU" sz="1000" i="0">
              <a:ln>
                <a:solidFill>
                  <a:srgbClr val="008000"/>
                </a:solidFill>
              </a:ln>
              <a:solidFill>
                <a:srgbClr val="008000"/>
              </a:solidFill>
              <a:effectLst/>
              <a:latin typeface="+mn-lt"/>
              <a:ea typeface="+mn-ea"/>
              <a:cs typeface="+mn-cs"/>
            </a:rPr>
            <a:t>?</a:t>
          </a:r>
          <a:endParaRPr lang="en-AU">
            <a:solidFill>
              <a:srgbClr val="008000"/>
            </a:solidFill>
            <a:effectLst/>
          </a:endParaRPr>
        </a:p>
      </xdr:txBody>
    </xdr:sp>
    <xdr:clientData/>
  </xdr:twoCellAnchor>
  <xdr:oneCellAnchor>
    <xdr:from>
      <xdr:col>21</xdr:col>
      <xdr:colOff>409574</xdr:colOff>
      <xdr:row>21</xdr:row>
      <xdr:rowOff>1</xdr:rowOff>
    </xdr:from>
    <xdr:ext cx="404021" cy="254493"/>
    <xdr:sp macro="" textlink="">
      <xdr:nvSpPr>
        <xdr:cNvPr id="22" name="TextBox 21">
          <a:extLst>
            <a:ext uri="{FF2B5EF4-FFF2-40B4-BE49-F238E27FC236}">
              <a16:creationId xmlns:a16="http://schemas.microsoft.com/office/drawing/2014/main" id="{8BD05E50-87FF-D027-8569-DDE73BE060C3}"/>
            </a:ext>
          </a:extLst>
        </xdr:cNvPr>
        <xdr:cNvSpPr txBox="1"/>
      </xdr:nvSpPr>
      <xdr:spPr>
        <a:xfrm>
          <a:off x="14058899" y="5334001"/>
          <a:ext cx="404021"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a:t>Yes</a:t>
          </a:r>
        </a:p>
      </xdr:txBody>
    </xdr:sp>
    <xdr:clientData/>
  </xdr:oneCellAnchor>
  <xdr:twoCellAnchor>
    <xdr:from>
      <xdr:col>8</xdr:col>
      <xdr:colOff>513975</xdr:colOff>
      <xdr:row>12</xdr:row>
      <xdr:rowOff>157158</xdr:rowOff>
    </xdr:from>
    <xdr:to>
      <xdr:col>12</xdr:col>
      <xdr:colOff>607928</xdr:colOff>
      <xdr:row>15</xdr:row>
      <xdr:rowOff>184088</xdr:rowOff>
    </xdr:to>
    <xdr:cxnSp macro="">
      <xdr:nvCxnSpPr>
        <xdr:cNvPr id="43" name="Connector: Curved 42">
          <a:extLst>
            <a:ext uri="{FF2B5EF4-FFF2-40B4-BE49-F238E27FC236}">
              <a16:creationId xmlns:a16="http://schemas.microsoft.com/office/drawing/2014/main" id="{DDC5B99D-4AFB-FE1D-EEBF-25051B709967}"/>
            </a:ext>
          </a:extLst>
        </xdr:cNvPr>
        <xdr:cNvCxnSpPr>
          <a:stCxn id="5" idx="2"/>
          <a:endCxn id="53" idx="0"/>
        </xdr:cNvCxnSpPr>
      </xdr:nvCxnSpPr>
      <xdr:spPr>
        <a:xfrm rot="16200000" flipH="1">
          <a:off x="7119737" y="2381071"/>
          <a:ext cx="769880" cy="2532353"/>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513976</xdr:colOff>
      <xdr:row>12</xdr:row>
      <xdr:rowOff>157158</xdr:rowOff>
    </xdr:from>
    <xdr:to>
      <xdr:col>17</xdr:col>
      <xdr:colOff>104780</xdr:colOff>
      <xdr:row>15</xdr:row>
      <xdr:rowOff>187304</xdr:rowOff>
    </xdr:to>
    <xdr:cxnSp macro="">
      <xdr:nvCxnSpPr>
        <xdr:cNvPr id="45" name="Connector: Curved 44">
          <a:extLst>
            <a:ext uri="{FF2B5EF4-FFF2-40B4-BE49-F238E27FC236}">
              <a16:creationId xmlns:a16="http://schemas.microsoft.com/office/drawing/2014/main" id="{1C6CE0D8-1B87-A411-4DEE-0D9FE7796896}"/>
            </a:ext>
          </a:extLst>
        </xdr:cNvPr>
        <xdr:cNvCxnSpPr>
          <a:stCxn id="5" idx="2"/>
          <a:endCxn id="54" idx="0"/>
        </xdr:cNvCxnSpPr>
      </xdr:nvCxnSpPr>
      <xdr:spPr>
        <a:xfrm rot="16200000" flipH="1">
          <a:off x="8390555" y="1110254"/>
          <a:ext cx="773096" cy="5077204"/>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104780</xdr:colOff>
      <xdr:row>18</xdr:row>
      <xdr:rowOff>176915</xdr:rowOff>
    </xdr:from>
    <xdr:to>
      <xdr:col>17</xdr:col>
      <xdr:colOff>124437</xdr:colOff>
      <xdr:row>20</xdr:row>
      <xdr:rowOff>8880</xdr:rowOff>
    </xdr:to>
    <xdr:cxnSp macro="">
      <xdr:nvCxnSpPr>
        <xdr:cNvPr id="48" name="Connector: Curved 47">
          <a:extLst>
            <a:ext uri="{FF2B5EF4-FFF2-40B4-BE49-F238E27FC236}">
              <a16:creationId xmlns:a16="http://schemas.microsoft.com/office/drawing/2014/main" id="{2F6D3500-4CB3-3F86-AA65-25002D28774F}"/>
            </a:ext>
          </a:extLst>
        </xdr:cNvPr>
        <xdr:cNvCxnSpPr>
          <a:stCxn id="54" idx="2"/>
          <a:endCxn id="56" idx="0"/>
        </xdr:cNvCxnSpPr>
      </xdr:nvCxnSpPr>
      <xdr:spPr>
        <a:xfrm rot="16200000" flipH="1">
          <a:off x="11161901" y="4921769"/>
          <a:ext cx="327265" cy="19657"/>
        </a:xfrm>
        <a:prstGeom prst="curvedConnector3">
          <a:avLst>
            <a:gd name="adj1" fmla="val 50000"/>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19050</xdr:colOff>
      <xdr:row>7</xdr:row>
      <xdr:rowOff>190500</xdr:rowOff>
    </xdr:from>
    <xdr:ext cx="2415790" cy="182871"/>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63C6CE9-9E0F-289D-0084-716910DE6444}"/>
                </a:ext>
              </a:extLst>
            </xdr:cNvPr>
            <xdr:cNvSpPr txBox="1"/>
          </xdr:nvSpPr>
          <xdr:spPr>
            <a:xfrm>
              <a:off x="2695575" y="2057400"/>
              <a:ext cx="241579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𝑗𝑚</m:t>
                        </m:r>
                      </m:sub>
                    </m:sSub>
                    <m:r>
                      <a:rPr lang="en-AU" sz="1000" i="1">
                        <a:latin typeface="Cambria Math" panose="02040503050406030204" pitchFamily="18" charset="0"/>
                      </a:rPr>
                      <m:t>=</m:t>
                    </m:r>
                    <m:r>
                      <a:rPr lang="en-AU" sz="1000" i="1">
                        <a:latin typeface="Cambria Math" panose="02040503050406030204" pitchFamily="18" charset="0"/>
                      </a:rPr>
                      <m:t>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𝐵</m:t>
                        </m:r>
                      </m:e>
                      <m:sub>
                        <m:r>
                          <a:rPr lang="en-AU" sz="1000" i="1">
                            <a:latin typeface="Cambria Math" panose="02040503050406030204" pitchFamily="18" charset="0"/>
                          </a:rPr>
                          <m:t>𝑂</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m:t>
                        </m:r>
                      </m:sub>
                    </m:sSub>
                    <m:r>
                      <a:rPr lang="en-AU" sz="1000" i="1">
                        <a:latin typeface="Cambria Math" panose="02040503050406030204" pitchFamily="18" charset="0"/>
                      </a:rPr>
                      <m:t>×</m:t>
                    </m:r>
                    <m:r>
                      <a:rPr lang="en-AU" sz="1000" i="1">
                        <a:latin typeface="Cambria Math" panose="02040503050406030204" pitchFamily="18" charset="0"/>
                      </a:rPr>
                      <m:t>𝑀𝐶</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𝑖𝑚</m:t>
                        </m:r>
                      </m:sub>
                    </m:sSub>
                    <m:r>
                      <a:rPr lang="en-AU" sz="1000" i="1">
                        <a:latin typeface="Cambria Math" panose="02040503050406030204" pitchFamily="18" charset="0"/>
                      </a:rPr>
                      <m:t>×</m:t>
                    </m:r>
                    <m:r>
                      <a:rPr lang="en-AU" sz="1000" i="1">
                        <a:latin typeface="Cambria Math" panose="02040503050406030204" pitchFamily="18" charset="0"/>
                      </a:rPr>
                      <m:t>𝜌</m:t>
                    </m:r>
                  </m:oMath>
                </m:oMathPara>
              </a14:m>
              <a:endParaRPr lang="en-AU" sz="1000"/>
            </a:p>
          </xdr:txBody>
        </xdr:sp>
      </mc:Choice>
      <mc:Fallback xmlns="">
        <xdr:sp macro="" textlink="">
          <xdr:nvSpPr>
            <xdr:cNvPr id="6" name="TextBox 5">
              <a:extLst>
                <a:ext uri="{FF2B5EF4-FFF2-40B4-BE49-F238E27FC236}">
                  <a16:creationId xmlns:a16="http://schemas.microsoft.com/office/drawing/2014/main" id="{A63C6CE9-9E0F-289D-0084-716910DE6444}"/>
                </a:ext>
              </a:extLst>
            </xdr:cNvPr>
            <xdr:cNvSpPr txBox="1"/>
          </xdr:nvSpPr>
          <xdr:spPr>
            <a:xfrm>
              <a:off x="2695575" y="2057400"/>
              <a:ext cx="241579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𝑀_𝑗𝑚=𝑉𝑆_𝑗×𝐵_𝑂×𝑀𝑀𝑆_𝑚×𝑀𝐶𝐹_𝑖𝑚×𝜌</a:t>
              </a:r>
              <a:endParaRPr lang="en-AU" sz="1000"/>
            </a:p>
          </xdr:txBody>
        </xdr:sp>
      </mc:Fallback>
    </mc:AlternateContent>
    <xdr:clientData/>
  </xdr:oneCellAnchor>
  <xdr:oneCellAnchor>
    <xdr:from>
      <xdr:col>3</xdr:col>
      <xdr:colOff>58270</xdr:colOff>
      <xdr:row>78</xdr:row>
      <xdr:rowOff>114300</xdr:rowOff>
    </xdr:from>
    <xdr:ext cx="2614755"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CF55DF87-1A74-8B4E-F162-BDE02A86BE56}"/>
                </a:ext>
              </a:extLst>
            </xdr:cNvPr>
            <xdr:cNvSpPr txBox="1"/>
          </xdr:nvSpPr>
          <xdr:spPr>
            <a:xfrm>
              <a:off x="2736476" y="19478065"/>
              <a:ext cx="261475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m:t>
                                    </m:r>
                                  </m:sub>
                                </m:sSub>
                                <m:r>
                                  <a:rPr lang="en-AU" sz="1000" i="1">
                                    <a:latin typeface="Cambria Math" panose="02040503050406030204" pitchFamily="18" charset="0"/>
                                  </a:rPr>
                                  <m:t>𝑚</m:t>
                                </m:r>
                                <m:r>
                                  <a:rPr lang="en-AU" sz="1000" i="1">
                                    <a:latin typeface="Cambria Math" panose="02040503050406030204" pitchFamily="18" charset="0"/>
                                  </a:rPr>
                                  <m:t>×365</m:t>
                                </m:r>
                              </m:e>
                            </m:d>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9" name="TextBox 8">
              <a:extLst>
                <a:ext uri="{FF2B5EF4-FFF2-40B4-BE49-F238E27FC236}">
                  <a16:creationId xmlns:a16="http://schemas.microsoft.com/office/drawing/2014/main" id="{CF55DF87-1A74-8B4E-F162-BDE02A86BE56}"/>
                </a:ext>
              </a:extLst>
            </xdr:cNvPr>
            <xdr:cNvSpPr txBox="1"/>
          </xdr:nvSpPr>
          <xdr:spPr>
            <a:xfrm>
              <a:off x="2736476" y="19478065"/>
              <a:ext cx="261475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𝐸_𝐶𝐻4=∑10_𝑗▒∑10_𝑚▒(𝑁_𝑗×𝑀_𝑗 𝑚×365) ×10^(−3)</a:t>
              </a:r>
              <a:endParaRPr lang="en-AU" sz="10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41462</xdr:colOff>
      <xdr:row>7</xdr:row>
      <xdr:rowOff>89647</xdr:rowOff>
    </xdr:from>
    <xdr:ext cx="169815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40CD018-16EC-4F95-89EC-6A3CA4A37916}"/>
                </a:ext>
              </a:extLst>
            </xdr:cNvPr>
            <xdr:cNvSpPr txBox="1"/>
          </xdr:nvSpPr>
          <xdr:spPr>
            <a:xfrm>
              <a:off x="2719668" y="1949823"/>
              <a:ext cx="169815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𝐴𝐸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m:t>
                                </m:r>
                              </m:sub>
                            </m:sSub>
                            <m:r>
                              <a:rPr lang="en-AU" sz="1000" i="1">
                                <a:latin typeface="Cambria Math" panose="02040503050406030204" pitchFamily="18" charset="0"/>
                              </a:rPr>
                              <m:t>×365</m:t>
                            </m:r>
                          </m:e>
                        </m:d>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940CD018-16EC-4F95-89EC-6A3CA4A37916}"/>
                </a:ext>
              </a:extLst>
            </xdr:cNvPr>
            <xdr:cNvSpPr txBox="1"/>
          </xdr:nvSpPr>
          <xdr:spPr>
            <a:xfrm>
              <a:off x="2719668" y="1949823"/>
              <a:ext cx="169815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𝐴𝐸=∑10_𝑗▒(𝑁_𝑗×𝑁𝐸_𝑗×365) </a:t>
              </a:r>
              <a:endParaRPr lang="en-AU" sz="1000"/>
            </a:p>
          </xdr:txBody>
        </xdr:sp>
      </mc:Fallback>
    </mc:AlternateContent>
    <xdr:clientData/>
  </xdr:oneCellAnchor>
  <xdr:oneCellAnchor>
    <xdr:from>
      <xdr:col>3</xdr:col>
      <xdr:colOff>2241</xdr:colOff>
      <xdr:row>59</xdr:row>
      <xdr:rowOff>147917</xdr:rowOff>
    </xdr:from>
    <xdr:ext cx="2334870"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D1AD4863-C501-B790-4A82-EF974319E030}"/>
                </a:ext>
              </a:extLst>
            </xdr:cNvPr>
            <xdr:cNvSpPr txBox="1"/>
          </xdr:nvSpPr>
          <xdr:spPr>
            <a:xfrm>
              <a:off x="2680447" y="14827623"/>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𝑑𝑖𝑟</m:t>
                        </m:r>
                      </m:sub>
                    </m:sSub>
                    <m:r>
                      <a:rPr lang="en-AU" sz="1000" i="1">
                        <a:latin typeface="Cambria Math" panose="02040503050406030204" pitchFamily="18" charset="0"/>
                      </a:rPr>
                      <m:t>=</m:t>
                    </m:r>
                    <m:r>
                      <a:rPr lang="en-AU" sz="1000" i="1">
                        <a:latin typeface="Cambria Math" panose="02040503050406030204" pitchFamily="18" charset="0"/>
                      </a:rPr>
                      <m:t>𝐴𝐸</m:t>
                    </m:r>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𝑃𝑅𝑃</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D1AD4863-C501-B790-4A82-EF974319E030}"/>
                </a:ext>
              </a:extLst>
            </xdr:cNvPr>
            <xdr:cNvSpPr txBox="1"/>
          </xdr:nvSpPr>
          <xdr:spPr>
            <a:xfrm>
              <a:off x="2680447" y="14827623"/>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𝐸_(𝑁2𝑂,𝑑𝑖𝑟)=𝐴𝐸×𝐸𝐹_𝑃𝑅𝑃×𝐶_𝑁2𝑂×10^(−3)</a:t>
              </a:r>
              <a:endParaRPr lang="en-AU" sz="10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13446</xdr:colOff>
      <xdr:row>7</xdr:row>
      <xdr:rowOff>147919</xdr:rowOff>
    </xdr:from>
    <xdr:ext cx="1745413" cy="16536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31DF2ADF-103B-5FEB-EBD9-256F159C682E}"/>
                </a:ext>
              </a:extLst>
            </xdr:cNvPr>
            <xdr:cNvSpPr txBox="1"/>
          </xdr:nvSpPr>
          <xdr:spPr>
            <a:xfrm>
              <a:off x="2691652" y="2008095"/>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sub>
                    </m:sSub>
                    <m:r>
                      <a:rPr lang="en-AU" sz="1000" i="1">
                        <a:latin typeface="Cambria Math" panose="02040503050406030204" pitchFamily="18" charset="0"/>
                      </a:rPr>
                      <m:t>=</m:t>
                    </m:r>
                    <m:r>
                      <a:rPr lang="en-AU" sz="1000" i="1">
                        <a:latin typeface="Cambria Math" panose="02040503050406030204" pitchFamily="18" charset="0"/>
                      </a:rPr>
                      <m:t>𝐴𝐸</m:t>
                    </m:r>
                    <m:r>
                      <a:rPr lang="en-AU" sz="1000" i="1">
                        <a:latin typeface="Cambria Math" panose="02040503050406030204" pitchFamily="18" charset="0"/>
                      </a:rPr>
                      <m:t>×</m:t>
                    </m:r>
                    <m:r>
                      <a:rPr lang="en-AU" sz="1000" i="1">
                        <a:latin typeface="Cambria Math" panose="02040503050406030204" pitchFamily="18" charset="0"/>
                      </a:rPr>
                      <m:t>𝐹𝑟𝑎𝑐𝐺𝐴𝑆𝑀𝑠𝑜𝑖𝑙</m:t>
                    </m:r>
                  </m:oMath>
                </m:oMathPara>
              </a14:m>
              <a:endParaRPr lang="en-AU" sz="1000"/>
            </a:p>
          </xdr:txBody>
        </xdr:sp>
      </mc:Choice>
      <mc:Fallback xmlns="">
        <xdr:sp macro="" textlink="">
          <xdr:nvSpPr>
            <xdr:cNvPr id="4" name="TextBox 3">
              <a:extLst>
                <a:ext uri="{FF2B5EF4-FFF2-40B4-BE49-F238E27FC236}">
                  <a16:creationId xmlns:a16="http://schemas.microsoft.com/office/drawing/2014/main" id="{31DF2ADF-103B-5FEB-EBD9-256F159C682E}"/>
                </a:ext>
              </a:extLst>
            </xdr:cNvPr>
            <xdr:cNvSpPr txBox="1"/>
          </xdr:nvSpPr>
          <xdr:spPr>
            <a:xfrm>
              <a:off x="2691652" y="2008095"/>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𝑀_𝑣𝑜𝑙=𝐴𝐸×𝐹𝑟𝑎𝑐𝐺𝐴𝑆𝑀𝑠𝑜𝑖𝑙</a:t>
              </a:r>
              <a:endParaRPr lang="en-AU" sz="1000"/>
            </a:p>
          </xdr:txBody>
        </xdr:sp>
      </mc:Fallback>
    </mc:AlternateContent>
    <xdr:clientData/>
  </xdr:oneCellAnchor>
  <xdr:oneCellAnchor>
    <xdr:from>
      <xdr:col>3</xdr:col>
      <xdr:colOff>24653</xdr:colOff>
      <xdr:row>44</xdr:row>
      <xdr:rowOff>136712</xdr:rowOff>
    </xdr:from>
    <xdr:ext cx="2410467"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1B00ABB-9A07-89FE-0A06-C6F821411454}"/>
                </a:ext>
              </a:extLst>
            </xdr:cNvPr>
            <xdr:cNvSpPr txBox="1"/>
          </xdr:nvSpPr>
          <xdr:spPr>
            <a:xfrm>
              <a:off x="2702859" y="569483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𝑎𝑑</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B1B00ABB-9A07-89FE-0A06-C6F821411454}"/>
                </a:ext>
              </a:extLst>
            </xdr:cNvPr>
            <xdr:cNvSpPr txBox="1"/>
          </xdr:nvSpPr>
          <xdr:spPr>
            <a:xfrm>
              <a:off x="2702859" y="569483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𝐸_(𝑁2𝑂,𝑎𝑑)=𝑀_𝑣𝑜𝑙×𝐸𝐹_𝑁2𝑂×𝐶_𝑁2𝑂×10^(−3)</a:t>
              </a:r>
              <a:endParaRPr lang="en-AU" sz="10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47064</xdr:colOff>
      <xdr:row>7</xdr:row>
      <xdr:rowOff>125506</xdr:rowOff>
    </xdr:from>
    <xdr:ext cx="2421624" cy="16536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6AE88C7-4683-0120-3D12-F6B27F4DB53B}"/>
                </a:ext>
              </a:extLst>
            </xdr:cNvPr>
            <xdr:cNvSpPr txBox="1"/>
          </xdr:nvSpPr>
          <xdr:spPr>
            <a:xfrm>
              <a:off x="2725270" y="1985682"/>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r>
                      <a:rPr lang="en-AU" sz="1000" i="1">
                        <a:latin typeface="Cambria Math" panose="02040503050406030204" pitchFamily="18" charset="0"/>
                      </a:rPr>
                      <m:t>𝐴𝐸</m:t>
                    </m:r>
                    <m:r>
                      <a:rPr lang="en-AU" sz="1000" i="1">
                        <a:latin typeface="Cambria Math" panose="02040503050406030204" pitchFamily="18" charset="0"/>
                      </a:rPr>
                      <m:t>×</m:t>
                    </m:r>
                    <m:r>
                      <a:rPr lang="en-AU" sz="1000" i="1">
                        <a:latin typeface="Cambria Math" panose="02040503050406030204" pitchFamily="18" charset="0"/>
                      </a:rPr>
                      <m:t>𝐹𝑟𝑎𝑐𝑊𝑒𝑡</m:t>
                    </m:r>
                    <m:r>
                      <a:rPr lang="en-AU" sz="1000" i="1">
                        <a:latin typeface="Cambria Math" panose="02040503050406030204" pitchFamily="18" charset="0"/>
                      </a:rPr>
                      <m:t>×</m:t>
                    </m:r>
                    <m:r>
                      <a:rPr lang="en-AU" sz="1000" i="1">
                        <a:latin typeface="Cambria Math" panose="02040503050406030204" pitchFamily="18" charset="0"/>
                      </a:rPr>
                      <m:t>𝐹𝑟𝑎𝑐𝐿𝐸𝐴𝐶𝐻</m:t>
                    </m:r>
                  </m:oMath>
                </m:oMathPara>
              </a14:m>
              <a:endParaRPr lang="en-AU" sz="1000"/>
            </a:p>
          </xdr:txBody>
        </xdr:sp>
      </mc:Choice>
      <mc:Fallback xmlns="">
        <xdr:sp macro="" textlink="">
          <xdr:nvSpPr>
            <xdr:cNvPr id="4" name="TextBox 3">
              <a:extLst>
                <a:ext uri="{FF2B5EF4-FFF2-40B4-BE49-F238E27FC236}">
                  <a16:creationId xmlns:a16="http://schemas.microsoft.com/office/drawing/2014/main" id="{76AE88C7-4683-0120-3D12-F6B27F4DB53B}"/>
                </a:ext>
              </a:extLst>
            </xdr:cNvPr>
            <xdr:cNvSpPr txBox="1"/>
          </xdr:nvSpPr>
          <xdr:spPr>
            <a:xfrm>
              <a:off x="2725270" y="1985682"/>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𝑀_𝑙𝑒𝑎𝑐ℎ=𝐴𝐸×𝐹𝑟𝑎𝑐𝑊𝑒𝑡×𝐹𝑟𝑎𝑐𝐿𝐸𝐴𝐶𝐻</a:t>
              </a:r>
              <a:endParaRPr lang="en-AU" sz="1000"/>
            </a:p>
          </xdr:txBody>
        </xdr:sp>
      </mc:Fallback>
    </mc:AlternateContent>
    <xdr:clientData/>
  </xdr:oneCellAnchor>
  <xdr:oneCellAnchor>
    <xdr:from>
      <xdr:col>3</xdr:col>
      <xdr:colOff>24652</xdr:colOff>
      <xdr:row>62</xdr:row>
      <xdr:rowOff>136711</xdr:rowOff>
    </xdr:from>
    <xdr:ext cx="2731838" cy="1801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44E6641-3D87-66B8-BA6E-80B860A444EF}"/>
                </a:ext>
              </a:extLst>
            </xdr:cNvPr>
            <xdr:cNvSpPr txBox="1"/>
          </xdr:nvSpPr>
          <xdr:spPr>
            <a:xfrm>
              <a:off x="2702858" y="1555600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6" name="TextBox 5">
              <a:extLst>
                <a:ext uri="{FF2B5EF4-FFF2-40B4-BE49-F238E27FC236}">
                  <a16:creationId xmlns:a16="http://schemas.microsoft.com/office/drawing/2014/main" id="{A44E6641-3D87-66B8-BA6E-80B860A444EF}"/>
                </a:ext>
              </a:extLst>
            </xdr:cNvPr>
            <xdr:cNvSpPr txBox="1"/>
          </xdr:nvSpPr>
          <xdr:spPr>
            <a:xfrm>
              <a:off x="2702858" y="1555600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𝐸_(𝑁2𝑂,𝑙𝑒𝑎𝑐ℎ)=𝑀_𝑙𝑒𝑎𝑐ℎ×𝐸𝐹_𝑙𝑒𝑎𝑐ℎ×𝐶_𝑁2𝑂×10^(−3)</a:t>
              </a:r>
              <a:endParaRPr lang="en-AU" sz="10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3DBF8E-C122-4FF0-A00E-2CA6916F1435}" name="Table_SourceData_OtherLivestock_EntericEF" displayName="Table_SourceData_OtherLivestock_EntericEF" ref="D9:E17" totalsRowShown="0">
  <autoFilter ref="D9:E17" xr:uid="{6C3DBF8E-C122-4FF0-A00E-2CA6916F1435}">
    <filterColumn colId="0" hiddenButton="1"/>
    <filterColumn colId="1" hiddenButton="1"/>
  </autoFilter>
  <tableColumns count="2">
    <tableColumn id="1" xr3:uid="{C1BE61FE-4062-42B2-A2C3-5D1021EC5783}" name="Other livestock type">
      <calculatedColumnFormula array="1">Common_InputFunctions.Utility_DisplayArrayInTable(SourceData_OtherLivestock.SourceData_OtherLivestock_EntericFermentationEmissionFactor_Data(),Table_SourceData_OtherLivestock_EntericEF[[#Headers],[Other livestock type]],0)</calculatedColumnFormula>
    </tableColumn>
    <tableColumn id="2" xr3:uid="{068A837D-7F3F-459D-A755-48E9682BAEAC}" name="Mj" dataDxfId="59" dataCellStyle="Content normal">
      <calculatedColumnFormula array="1">Common_InputFunctions.Utility_DisplayArrayInTable(SourceData_OtherLivestock.SourceData_OtherLivestock_EntericFermentationEmissionFactor_Data(),Table_SourceData_OtherLivestock_EntericEF[[#Headers],[Other livestock type]],0)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0599DA1-A8E6-43AC-9BA5-F5F05D972680}" name="Table_SourceData_OtherLivestock_VolatileSolids" displayName="Table_SourceData_OtherLivestock_VolatileSolids" ref="D24:E32" totalsRowShown="0" dataDxfId="58" dataCellStyle="Content normal">
  <autoFilter ref="D24:E32" xr:uid="{50599DA1-A8E6-43AC-9BA5-F5F05D972680}">
    <filterColumn colId="0" hiddenButton="1"/>
    <filterColumn colId="1" hiddenButton="1"/>
  </autoFilter>
  <tableColumns count="2">
    <tableColumn id="1" xr3:uid="{224F01F5-9F04-424C-9B4C-94B1D666F42B}" name="Other livestock type" dataDxfId="57" dataCellStyle="Content normal">
      <calculatedColumnFormula array="1">Common_InputFunctions.Utility_DisplayArrayInTable(SourceData_OtherLivestock.SourceData_OtherLivestock_VolatileSolidsProduced_Data(),Table_SourceData_OtherLivestock_VolatileSolids[[#Headers],[Other livestock type]],0)</calculatedColumnFormula>
    </tableColumn>
    <tableColumn id="2" xr3:uid="{D62AC0D1-1095-4EC7-994A-E2C80051C1F2}" name="VSj" dataDxfId="56" dataCellStyle="Content normal">
      <calculatedColumnFormula array="1">Common_InputFunctions.Utility_DisplayArrayInTable(SourceData_OtherLivestock.SourceData_OtherLivestock_VolatileSolidsProduced_Data(),Table_SourceData_OtherLivestock_VolatileSolids[[#Headers],[Other livestock type]],0)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FDE3B07-3717-4AE7-8210-BEB8FBB5C09A}" name="Table_SourceData_OtherLivestock_NitrogenExcreted" displayName="Table_SourceData_OtherLivestock_NitrogenExcreted" ref="D39:E47" totalsRowShown="0" dataDxfId="55" dataCellStyle="Content normal">
  <autoFilter ref="D39:E47" xr:uid="{EFDE3B07-3717-4AE7-8210-BEB8FBB5C09A}">
    <filterColumn colId="0" hiddenButton="1"/>
    <filterColumn colId="1" hiddenButton="1"/>
  </autoFilter>
  <tableColumns count="2">
    <tableColumn id="1" xr3:uid="{99F8CB88-8A74-44CD-B1D3-22D4849941C6}" name="Other livestock type" dataDxfId="54" dataCellStyle="Content normal">
      <calculatedColumnFormula array="1">Common_InputFunctions.Utility_DisplayArrayInTable(SourceData_OtherLivestock.SourceData_OtherLivestock_NitrogenExcreted_Data(),Table_SourceData_OtherLivestock_NitrogenExcreted[[#Headers],[Other livestock type]],0)</calculatedColumnFormula>
    </tableColumn>
    <tableColumn id="2" xr3:uid="{CD5FC568-A825-4281-84C4-C2307E67DC49}" name="NEj" dataDxfId="53" dataCellStyle="Content normal">
      <calculatedColumnFormula array="1">Common_InputFunctions.Utility_DisplayArrayInTable(SourceData_OtherLivestock.SourceData_OtherLivestock_NitrogenExcreted_Data(),Table_SourceData_OtherLivestock_NitrogenExcreted[[#Headers],[Other livestock type]],0)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551F12E-AA31-4EE1-8F93-A397BC98EF70}" name="Table_SourceData_OtherLivestock_AverageLiveweight" displayName="Table_SourceData_OtherLivestock_AverageLiveweight" ref="D54:F64" totalsRowShown="0" dataDxfId="52" dataCellStyle="Content normal">
  <autoFilter ref="D54:F64" xr:uid="{7551F12E-AA31-4EE1-8F93-A397BC98EF70}">
    <filterColumn colId="0" hiddenButton="1"/>
    <filterColumn colId="1" hiddenButton="1"/>
    <filterColumn colId="2" hiddenButton="1"/>
  </autoFilter>
  <tableColumns count="3">
    <tableColumn id="1" xr3:uid="{816644D3-41EE-45F6-A3CE-CACB3EB69547}" name="Other livestock type" dataDxfId="51" dataCellStyle="Content normal">
      <calculatedColumnFormula array="1">Common_InputFunctions.Utility_DisplayArrayInTable(SourceData_OtherLivestock.SourceData_OtherLivestock_AverageLiveweight_Data(),Table_SourceData_OtherLivestock_AverageLiveweight[[#Headers],[Other livestock type]],0)</calculatedColumnFormula>
    </tableColumn>
    <tableColumn id="2" xr3:uid="{53512804-9E08-42E2-B55E-1C89A4C09FEE}" name="Wco" dataDxfId="50" dataCellStyle="Content normal">
      <calculatedColumnFormula array="1">Common_InputFunctions.Utility_DisplayArrayInTable(SourceData_OtherLivestock.SourceData_OtherLivestock_AverageLiveweight_Data(),Table_SourceData_OtherLivestock_AverageLiveweight[[#Headers],[Other livestock type]],0)</calculatedColumnFormula>
    </tableColumn>
    <tableColumn id="3" xr3:uid="{0BB31A55-829C-489B-82D5-5810EC5F02C8}" name="Wco2" dataDxfId="49" dataCellStyle="Content normal">
      <calculatedColumnFormula array="1">Common_InputFunctions.Utility_DisplayArrayInTable(SourceData_OtherLivestock.SourceData_OtherLivestock_AverageLiveweight_Data(),Table_SourceData_OtherLivestock_AverageLiveweight[[#Headers],[Other livestock type]],0)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A69C610-A352-421F-BE36-E6EDDE86179E}" name="Table_SourceData_OtherLivestock_FractionWasteInMMS" displayName="Table_SourceData_OtherLivestock_FractionWasteInMMS" ref="D71:F79" totalsRowShown="0" dataDxfId="48" dataCellStyle="Content normal">
  <autoFilter ref="D71:F79" xr:uid="{9A69C610-A352-421F-BE36-E6EDDE86179E}">
    <filterColumn colId="0" hiddenButton="1"/>
    <filterColumn colId="1" hiddenButton="1"/>
    <filterColumn colId="2" hiddenButton="1"/>
  </autoFilter>
  <tableColumns count="3">
    <tableColumn id="1" xr3:uid="{A6CB9AC6-F6CE-49B7-A982-F82076716CA3}" name="Other livestock type" dataDxfId="47" dataCellStyle="Content normal">
      <calculatedColumnFormula array="1">Common_InputFunctions.Utility_DisplayArrayInTable(SourceData_OtherLivestock.SourceData_OtherLivestock_FractionWasteInMMS_Data(),Table_SourceData_OtherLivestock_FractionWasteInMMS[[#Headers],[Other livestock type]],0)</calculatedColumnFormula>
    </tableColumn>
    <tableColumn id="2" xr3:uid="{8AFBE1CB-9936-4A35-A761-4DCB7B6BA889}" name="Pasture range and paddock" dataDxfId="46" dataCellStyle="Content normal">
      <calculatedColumnFormula array="1">Common_InputFunctions.Utility_DisplayArrayInTable(SourceData_OtherLivestock.SourceData_OtherLivestock_FractionWasteInMMS_Data(),Table_SourceData_OtherLivestock_FractionWasteInMMS[[#Headers],[Other livestock type]],0)</calculatedColumnFormula>
    </tableColumn>
    <tableColumn id="3" xr3:uid="{95A534B1-6D18-468E-ACD4-CB91F74DE859}" name="Uncovered anaerobic lagoon" dataDxfId="45" dataCellStyle="Content normal">
      <calculatedColumnFormula array="1">Common_InputFunctions.Utility_DisplayArrayInTable(SourceData_OtherLivestock.SourceData_OtherLivestock_FractionWasteInMMS_Data(),Table_SourceData_OtherLivestock_FractionWasteInMMS[[#Headers],[Other livestock type]],0)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A098EC4-878C-4F1B-9A39-76DE07EA3C35}" name="Table_SourceData_OtherLivestock_MCF" displayName="Table_SourceData_OtherLivestock_MCF" ref="D86:F94" totalsRowShown="0" dataDxfId="44" dataCellStyle="Content normal">
  <autoFilter ref="D86:F94" xr:uid="{5A098EC4-878C-4F1B-9A39-76DE07EA3C35}">
    <filterColumn colId="0" hiddenButton="1"/>
    <filterColumn colId="1" hiddenButton="1"/>
    <filterColumn colId="2" hiddenButton="1"/>
  </autoFilter>
  <tableColumns count="3">
    <tableColumn id="1" xr3:uid="{8D99AA70-8F55-4D11-BC0B-A089B4E9846C}" name="Other livestock type" dataDxfId="43" dataCellStyle="Content normal">
      <calculatedColumnFormula array="1">Common_InputFunctions.Utility_DisplayArrayInTable(SourceData_OtherLivestock.SourceData_OtherLivestock_MethaneConversionFactor_Data(),Table_SourceData_OtherLivestock_MCF[[#Headers],[Other livestock type]],0)</calculatedColumnFormula>
    </tableColumn>
    <tableColumn id="2" xr3:uid="{8669BCCE-EDA0-482F-B818-E7495ADAD605}" name="Pasture range and paddock" dataDxfId="42" dataCellStyle="Content normal">
      <calculatedColumnFormula array="1">Common_InputFunctions.Utility_DisplayArrayInTable(SourceData_OtherLivestock.SourceData_OtherLivestock_MethaneConversionFactor_Data(),Table_SourceData_OtherLivestock_MCF[[#Headers],[Other livestock type]],0)</calculatedColumnFormula>
    </tableColumn>
    <tableColumn id="3" xr3:uid="{F18CF34C-B873-434B-8D03-00492CEC1FC6}" name="Uncovered anaerobic lagoon" dataDxfId="41" dataCellStyle="Content normal">
      <calculatedColumnFormula array="1">Common_InputFunctions.Utility_DisplayArrayInTable(SourceData_OtherLivestock.SourceData_OtherLivestock_MethaneConversionFactor_Data(),Table_SourceData_OtherLivestock_MCF[[#Headers],[Other livestock type]],0)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8FC34BB-AAD9-4D2A-8283-00CB77181C08}" name="Table_SourceData_OtherLivestock_MethaneEmissionsPotential" displayName="Table_SourceData_OtherLivestock_MethaneEmissionsPotential" ref="D102:F110" totalsRowShown="0" dataDxfId="40" dataCellStyle="Content normal">
  <autoFilter ref="D102:F110" xr:uid="{B8FC34BB-AAD9-4D2A-8283-00CB77181C08}">
    <filterColumn colId="0" hiddenButton="1"/>
    <filterColumn colId="1" hiddenButton="1"/>
    <filterColumn colId="2" hiddenButton="1"/>
  </autoFilter>
  <tableColumns count="3">
    <tableColumn id="1" xr3:uid="{5720D920-9C04-4E20-8D42-759F7E36C7D8}" name="Other livestock type" dataDxfId="39" dataCellStyle="Content normal">
      <calculatedColumnFormula array="1">Common_InputFunctions.Utility_DisplayArrayInTable(SourceData_OtherLivestock.SourceData_OtherLivestock_MethaneEmissionsPotential_Data(),Table_SourceData_OtherLivestock_MethaneEmissionsPotential[[#Headers],[Other livestock type]],0)</calculatedColumnFormula>
    </tableColumn>
    <tableColumn id="2" xr3:uid="{E9A32AB0-4663-4816-913A-79DAAFF08391}" name="BO" dataDxfId="38" dataCellStyle="Content normal">
      <calculatedColumnFormula array="1">Common_InputFunctions.Utility_DisplayArrayInTable(SourceData_OtherLivestock.SourceData_OtherLivestock_MethaneEmissionsPotential_Data(),Table_SourceData_OtherLivestock_MethaneEmissionsPotential[[#Headers],[Other livestock type]],0)</calculatedColumnFormula>
    </tableColumn>
    <tableColumn id="3" xr3:uid="{35962C17-3057-4CB9-8C5C-BED1CCB209DC}" name="Taken from" dataDxfId="37" dataCellStyle="Content normal">
      <calculatedColumnFormula array="1">Common_InputFunctions.Utility_DisplayArrayInTable(SourceData_OtherLivestock.SourceData_OtherLivestock_MethaneEmissionsPotential_Data(),Table_SourceData_OtherLivestock_MethaneEmissionsPotential[[#Headers],[Other livestock type]],0)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EF07DDD-23D8-4736-97CF-A8FBCA38FE40}" name="Table_SourceData_OtherLivestock_CropProdSystems" displayName="Table_SourceData_OtherLivestock_CropProdSystems" ref="D120:D122" totalsRowShown="0">
  <autoFilter ref="D120:D122" xr:uid="{4EF07DDD-23D8-4736-97CF-A8FBCA38FE40}">
    <filterColumn colId="0" hiddenButton="1"/>
  </autoFilter>
  <tableColumns count="1">
    <tableColumn id="1" xr3:uid="{91758960-BAAD-433D-8E2E-334FBDB30D45}"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2AE1D71-7FBD-43D5-BC37-EB7C84E39237}" name="Table_SourceData_OtherLivestock_IrrigationMethods" displayName="Table_SourceData_OtherLivestock_IrrigationMethods" ref="G120:G125" totalsRowShown="0">
  <autoFilter ref="G120:G125" xr:uid="{D2AE1D71-7FBD-43D5-BC37-EB7C84E39237}">
    <filterColumn colId="0" hiddenButton="1"/>
  </autoFilter>
  <tableColumns count="1">
    <tableColumn id="1" xr3:uid="{F5B9240F-3E19-4723-A88C-ABEEB70A41C4}"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7EF0986C-6E42-4A8C-8657-A7163488F7D2}"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EDA27E0-9138-436D-BD19-6887D6849E7A}" name="State/Territory">
      <calculatedColumnFormula array="1">Common_InputFunctions.Utility_DisplayArrayInTable(Common_SourceData.Common_SourceData_AustralianStatesTerritories_Data(),Table_AustralianStates[[#Headers],[State/Territory]],0)</calculatedColumnFormula>
    </tableColumn>
    <tableColumn id="2" xr3:uid="{8A0E719C-1DFE-4ECA-AC23-16548D806EFA}" name="Common Name">
      <calculatedColumnFormula array="1">Common_InputFunctions.Utility_DisplayArrayInTable(Common_SourceData.Common_SourceData_AustralianStatesTerritories_Data(),Table_AustralianStates[[#Headers],[State/Territory]],0)</calculatedColumnFormula>
    </tableColumn>
    <tableColumn id="3" xr3:uid="{865E73F9-1477-45BE-87BF-6554BA53C259}"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13B9E95-CB4E-4872-96EB-619FCEE4A3C2}" name="Table_WASA4Areas" displayName="Table_WASA4Areas" ref="D20:D30" totalsRowShown="0">
  <autoFilter ref="D20:D30" xr:uid="{5FA81339-C6C8-4D36-BEEA-6C4AEDD9E676}">
    <filterColumn colId="0" hiddenButton="1"/>
  </autoFilter>
  <tableColumns count="1">
    <tableColumn id="1" xr3:uid="{C1BBC4CC-EEA2-46AD-A862-3E7E6C4F789F}"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14B1003-62AF-4515-A71D-6CB1BD32EE93}" name="Table_GWPData" displayName="Table_GWPData" ref="D36:E43" totalsRowShown="0">
  <autoFilter ref="D36:E43" xr:uid="{B8E87A66-3E41-4AD3-925D-01EE21B43D7A}">
    <filterColumn colId="0" hiddenButton="1"/>
    <filterColumn colId="1" hiddenButton="1"/>
  </autoFilter>
  <tableColumns count="2">
    <tableColumn id="1" xr3:uid="{0394B695-8D5F-4E7E-81B8-8E5DF8345925}" name="Gas">
      <calculatedColumnFormula array="1">Common_InputFunctions.Utility_DisplayArrayInTable(Common_SourceData.Common_SourceData_GWP_Data(), Table_GWPData[[#Headers],[Gas]], 0)</calculatedColumnFormula>
    </tableColumn>
    <tableColumn id="2" xr3:uid="{792372B8-6F7D-499E-A09E-4E1753DC867A}"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D5008CB-988C-4D4D-AE1F-877666DCAD25}"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C23CDF2-3B32-4005-809D-9A835AA11332}" name="Gas">
      <calculatedColumnFormula array="1">Common_InputFunctions.Utility_DisplayArrayInTable(Common_SourceData.Common_SourceData_ConvertGasElementalToMolecular_Data(),Table_GasToMolecularConversionFactor[[#Headers],[Gas]], 0)</calculatedColumnFormula>
    </tableColumn>
    <tableColumn id="5" xr3:uid="{E007FE07-CEC6-4EE1-98E6-BE4CD5BE82CF}" name="Conversion factor">
      <calculatedColumnFormula array="1">Common_InputFunctions.Utility_DisplayArrayInTable(Common_SourceData.Common_SourceData_ConvertGasElementalToMolecular_Data(),Table_GasToMolecularConversionFactor[[#Headers],[Gas]], 0)</calculatedColumnFormula>
    </tableColumn>
    <tableColumn id="2" xr3:uid="{83AC60EE-A802-42EA-B555-EBFE5B8724F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7ABEE3AE-28E7-422C-AF1E-611E429C5DCB}" name="Conversion factor 2">
      <calculatedColumnFormula array="1">Common_InputFunctions.Utility_DisplayArrayInTable(Common_SourceData.Common_SourceData_ConvertGasElementalToMolecular_Data(),Table_GasToMolecularConversionFactor[[#Headers],[Gas]], 0)</calculatedColumnFormula>
    </tableColumn>
    <tableColumn id="4" xr3:uid="{F2820675-D61C-494C-9112-30FDFA4247A1}"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DBF1691D-ED78-4320-861C-F30E8DF5456E}"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2A17227-E969-4ADF-87E0-0371E8053C47}"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ED77410-E0A5-414E-99F1-DAA2888A94C3}" name="MAT"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3" xr3:uid="{7DE9F1C0-B774-48E6-8BB2-55E1C69B4C97}" name="MA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4" xr3:uid="{79A6ECD6-40A4-4C83-B239-A27BC9EB0FDF}" name="Frost days per year"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5" xr3:uid="{E44E6E93-6421-4389-9FCA-AF62B86D4D30}" name="Elevation"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6" xr3:uid="{2C8C1CF4-E340-4927-88DB-99EF86BB2612}" name="MAP:PET"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7" xr3:uid="{1793FB6E-13F5-413B-9DDD-06182C738039}" name="Min temp"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8" xr3:uid="{70E0410D-47ED-47C7-89DB-CD43B8842923}" name="Max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9" xr3:uid="{670D5E29-790E-4240-A01E-1874ECF8A90D}" name="Min rainfall"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0" xr3:uid="{94DD7AD8-73BB-4413-B275-E214837BB9A6}" name="Max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1" xr3:uid="{468662A2-51BA-45A2-B4FA-0832B9C7A6BC}" name="Min frost days"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5" xr3:uid="{5C1C2169-AB74-4179-8C42-976FC003BEC6}" name="Max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2" xr3:uid="{42F6E499-84FA-463B-A79B-B19D09EA6147}" name="Min elevation"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6" xr3:uid="{6DE0B931-AB3B-4CC8-9D83-2DCCD0AEB2B2}" name="Max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3" xr3:uid="{C9FE892C-0E22-4FEF-B299-E370BD512A09}" name="Min MAP:PET"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7" xr3:uid="{C7AFCB2D-51AB-4BA5-A24E-587A5EB6874E}" name="Max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4488DC34-7CC7-441A-BD29-003E636ECBF0}"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735271A4-264D-4C8A-9489-BED422FA01C2}"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B6969A27-E25C-4216-9C8A-B15164CD6269}" name="Wet or Dry Zone" totalsRowDxfId="21"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87A4CD9-F050-4C72-8731-B26D27CB9D1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4C1D2B7-F5F0-462E-AAA8-5154ED1F9D2E}" name="Temperature Zone">
      <calculatedColumnFormula array="1">Common_InputFunctions.Utility_DisplayArrayInTable(Common_SourceData.Common_SourceData_TemperatureZones_Data(),Table_SourceData_TemperatureZones[[#Headers],[Temperature Zone]],0)</calculatedColumnFormula>
    </tableColumn>
    <tableColumn id="2" xr3:uid="{5781ED17-3D2B-4BB4-A97B-4E835921D6A1}" name="MAT">
      <calculatedColumnFormula array="1">Common_InputFunctions.Utility_DisplayArrayInTable(Common_SourceData.Common_SourceData_TemperatureZones_Data(),Table_SourceData_TemperatureZones[[#Headers],[Temperature Zone]],0)</calculatedColumnFormula>
    </tableColumn>
    <tableColumn id="3" xr3:uid="{19B2BD41-0D54-4793-AB2C-385BFDA9E0C1}" name="Min MAT">
      <calculatedColumnFormula array="1">Common_InputFunctions.Utility_DisplayArrayInTable(Common_SourceData.Common_SourceData_TemperatureZones_Data(),Table_SourceData_TemperatureZones[[#Headers],[Temperature Zone]],0)</calculatedColumnFormula>
    </tableColumn>
    <tableColumn id="4" xr3:uid="{06409D49-029A-4810-9FAA-B21975CEDEAC}"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E49A79C-CDE3-40DC-A237-044F635DE52B}"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3E6851F0-D8CE-4DFE-8036-C8F9F12889D7}" name="Rainfall Zone">
      <calculatedColumnFormula array="1">Common_InputFunctions.Utility_DisplayArrayInTable(Common_SourceData.Common_SourceData_RainfallZones_Data(),Table_SourceData_RainfallZones[[#Headers],[Rainfall Zone]],0)</calculatedColumnFormula>
    </tableColumn>
    <tableColumn id="2" xr3:uid="{5C5CAF5F-5528-4758-BBD4-ED9D7BCE2A5F}" name="Annual rainfall">
      <calculatedColumnFormula array="1">Common_InputFunctions.Utility_DisplayArrayInTable(Common_SourceData.Common_SourceData_RainfallZones_Data(),Table_SourceData_RainfallZones[[#Headers],[Rainfall Zone]],0)</calculatedColumnFormula>
    </tableColumn>
    <tableColumn id="3" xr3:uid="{AF8104A2-9567-4371-8D06-89866AC8FA4C}" name="Min rainfall">
      <calculatedColumnFormula array="1">Common_InputFunctions.Utility_DisplayArrayInTable(Common_SourceData.Common_SourceData_RainfallZones_Data(),Table_SourceData_RainfallZones[[#Headers],[Rainfall Zone]],0)</calculatedColumnFormula>
    </tableColumn>
    <tableColumn id="4" xr3:uid="{56BCD8B5-7D87-4B65-9B62-DAC56500A230}"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8D7333ED-0E78-40FF-B02A-7D54F1B05E09}"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E7F4ECC9-0DAA-47DB-B767-0EA12130E5F0}" name="Leaching Zone">
      <calculatedColumnFormula array="1">Common_InputFunctions.Utility_DisplayArrayInTable(Common_SourceData.Common_SourceData_LeachingZones_Data(), Table_SourceData_LeachingZones[[#Headers],[Leaching Zone]], 0)</calculatedColumnFormula>
    </tableColumn>
    <tableColumn id="2" xr3:uid="{1D42BD62-CB9C-44A4-A539-54613343CE94}"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22E52D0-F018-4AA3-8131-EC88D891F2BE}"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303BA2F5-FE4B-47FB-86A2-844732A2D3F3}" name="Data source">
      <calculatedColumnFormula array="1">Common_InputFunctions.Utility_DisplayArrayInTable(Common_SourceData.Common_SourceData_DataScores_Scope3_Data(), Table_SourceData_DataScores_Scope3[[#Headers],[Data source]], 0)</calculatedColumnFormula>
    </tableColumn>
    <tableColumn id="2" xr3:uid="{3C49E66E-898F-438E-A7A8-9A9EFCA35804}"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DBA2FA5A-8ED9-4897-8892-4E0381664811}" name="Table_SourceData_FracWET" displayName="Table_SourceData_FracWET" ref="D134:E136" totalsRowShown="0">
  <autoFilter ref="D134:E136" xr:uid="{308E99BE-FE1F-47A4-B2CA-97217277C4E9}">
    <filterColumn colId="0" hiddenButton="1"/>
    <filterColumn colId="1" hiddenButton="1"/>
  </autoFilter>
  <tableColumns count="2">
    <tableColumn id="1" xr3:uid="{3AB08733-E779-478E-B0E9-97B28C19C11B}" name="Is in leaching zone">
      <calculatedColumnFormula array="1">Common_InputFunctions.Utility_DisplayArrayInTable(Common_SourceData.Common_SourceData_FracWET_Data(),Table_SourceData_FracWET[[#Headers],[Is in leaching zone]],0)</calculatedColumnFormula>
    </tableColumn>
    <tableColumn id="2" xr3:uid="{FE2EE01B-9E26-449A-815F-9876C8AEAD91}" name="FracWET" dataDxfId="20">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B6A63727-068E-4903-99A7-0E28F5BD5283}"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FE524680-734D-484A-944B-75E7416A563B}" name="Production system j">
      <calculatedColumnFormula array="1">Common_InputFunctions.Utility_DisplayArrayInTable(Common_SourceData.Common_SourceData_EFN2O_Data(), Table_SourceData_Common_EFN2O[[#Headers],[Production system j]], 0)</calculatedColumnFormula>
    </tableColumn>
    <tableColumn id="2" xr3:uid="{A0CDB4D8-27A5-464C-942B-B1CBCBF0C318}" name="EFN2O">
      <calculatedColumnFormula array="1">Common_InputFunctions.Utility_DisplayArrayInTable(Common_SourceData.Common_SourceData_EFN2O_Data(), Table_SourceData_Common_EFN2O[[#Headers],[Production system j]], 0)</calculatedColumnFormula>
    </tableColumn>
    <tableColumn id="3" xr3:uid="{661DFF21-A842-419F-B517-4C654CE6901C}" name="Production system only">
      <calculatedColumnFormula array="1">Common_InputFunctions.Utility_DisplayArrayInTable(Common_SourceData.Common_SourceData_EFN2O_Data(), Table_SourceData_Common_EFN2O[[#Headers],[Production system j]], 0)</calculatedColumnFormula>
    </tableColumn>
    <tableColumn id="4" xr3:uid="{8A61C935-4825-4070-8B7A-D1DDABA5A2E4}" name="Irrigation method">
      <calculatedColumnFormula array="1">Common_InputFunctions.Utility_DisplayArrayInTable(Common_SourceData.Common_SourceData_EFN2O_Data(), Table_SourceData_Common_EFN2O[[#Headers],[Production system j]], 0)</calculatedColumnFormula>
    </tableColumn>
    <tableColumn id="5" xr3:uid="{70465E10-3DA2-43E3-A128-3A14C1E74F1B}"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104B18E9-3CDF-41A6-A44B-B141D85D1B2D}"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6D4F1866-1104-48B8-9926-1AAD31F861D3}" name="Irrigation type i">
      <calculatedColumnFormula array="1">Common_InputFunctions.Utility_DisplayArrayInTable(Common_SourceData.Common_SourceData_FracWETIrrigation_Data(), Table_SourceData_FracWETIrrigation[[#Headers],[Irrigation type i]], 0)</calculatedColumnFormula>
    </tableColumn>
    <tableColumn id="2" xr3:uid="{E364334A-82AD-4C7C-B3B5-1F033430EA56}" name="FracWET" dataDxfId="19"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DEC3438D-3AE7-4B14-9F37-90BB4EED6154}"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C7B99F02-AB40-4134-B67A-E019FD248BDD}"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068DCC5A-5CC1-43F1-A318-492A13374BA7}" name="EFPRP" dataDxfId="18"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7DE6125-59CE-44F1-9FB7-87582F91AFE6}"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0783121C-7BDB-452D-A5E4-8D0E3554F3DB}" name="Month">
      <calculatedColumnFormula array="1">Common_InputFunctions.Utility_DisplayArrayInTable(Common_SourceData.Common_SourceData_MonthsToSeasons_Data(), Table_SourceData_Common_MonthToSeason[[#Headers],[Month]], 0)</calculatedColumnFormula>
    </tableColumn>
    <tableColumn id="2" xr3:uid="{BCE36B2D-0C6D-4FD7-868A-2E2A9DD6DE11}" name="Season" dataDxfId="17"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79AB84E5-5762-4BB2-B92B-94C3D142A15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F0533C0-C167-4120-A701-D6DDDE9B53BB}"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37381098-C00C-4159-BB35-616E17C7AC15}" name="MAT (ºC)"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5E3D06F8-EFDC-4B0A-AEC1-B70E72069C48}" name="Anaerobic lago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9BF96835-D68B-410A-9C08-3B8AA3C17F89}" name="Digester / covered lagoons"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ACF34BBC-3B58-4752-BDF3-C74E8B77FA6E}" name="Liquid system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6FF6510A-FBC8-472D-87CF-28ADA0992391}" name="Daily spread"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3061CE58-E21B-4BEE-A59C-B5481B9563B8}" name="Composting (passive windrow)"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53E1449F-D0C6-4523-926C-92C357B3DD23}" name="Solid storage"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CBA287A5-0A1F-4EA9-9B37-C44DEC7567F2}" name="Pit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AB8925C3-3A08-49B2-894C-BBFF7566F65D}" name="Deep litter"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A5FE956A-CEB4-4903-A7AB-BBD5A71D7DA4}" name="Poultry manure with bedding"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A4F94ACC-10AB-4ABF-8C58-809A7381A8C0}" name="Poultry manure without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34EA0671-7442-43E2-ACA2-B4E7A99F00F2}" name="Direct process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F34704C3-0E95-45DD-AEEF-A79860DFA749}" name="Direct application"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1A1607BD-814A-47FD-BF2B-17DF78EB4EEA}" name="Pasture range and paddock"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CDB602E1-649F-4B2B-8DAB-AAB461C9300B}" name="MAT raw"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E013AD04-7F5D-449C-8CC4-D9C2F4A61A2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B77FA3D5-4E92-4E9F-9BEF-61B57C75CFC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CD39327-4BD7-4D24-9036-E6912D7DFE98}" name="EFNi &amp; EFN2Oi" dataDxfId="1"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5B0D2001-8A90-41C3-9241-D0C4D9D23149}"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B26FA8F1-6413-4D07-8E37-4191A8C81055}" name="Description" dataDxfId="0" dataCellStyle="Content normal"/>
    <tableColumn id="1" xr3:uid="{E663688C-4BCA-4A83-B673-1238D7A5B9A4}" name="ID"/>
    <tableColumn id="3" xr3:uid="{0255E234-D646-413F-B7AB-DACD6D932AC0}" name="Score"/>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287E74-CA37-4274-B68C-F444DBE5C6B4}"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5B18C960-2C2D-4124-81DD-8173E8706AAD}" name="Description"/>
    <tableColumn id="2" xr3:uid="{F36E8054-72A5-4084-BC6C-7B72C0F095D8}" name="ID"/>
    <tableColumn id="3" xr3:uid="{BFAA927B-9D1E-44E9-932E-170D856D46F5}" name="Score"/>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8FC22583-BAE2-4C46-B11C-5A7E6EA9DEB6}"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14D01929-3E03-4022-B989-6D4B2717DD86}" name="Description"/>
    <tableColumn id="2" xr3:uid="{7FF155AA-01CC-4D11-BC12-A4E49F1BE9AA}" name="ID"/>
    <tableColumn id="3" xr3:uid="{3AFE8C5B-F001-40F8-B743-4AB2F87B9D1E}" name="Score"/>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D482FC02-0E68-4741-A54A-B49BCCEDFD9C}"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7DA3CA1D-F39F-44E7-BDF8-22CEC4F80060}" name="Description"/>
    <tableColumn id="2" xr3:uid="{77CA643B-0A19-4187-8E9A-A2F2A338104A}" name="ID"/>
    <tableColumn id="3" xr3:uid="{D5D550B8-8ACE-454A-B38B-077AC8B5E0DE}"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9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8" Type="http://schemas.openxmlformats.org/officeDocument/2006/relationships/table" Target="../tables/table17.xml"/><Relationship Id="rId13" Type="http://schemas.openxmlformats.org/officeDocument/2006/relationships/table" Target="../tables/table22.xml"/><Relationship Id="rId18" Type="http://schemas.openxmlformats.org/officeDocument/2006/relationships/table" Target="../tables/table27.xml"/><Relationship Id="rId3" Type="http://schemas.openxmlformats.org/officeDocument/2006/relationships/table" Target="../tables/table12.xml"/><Relationship Id="rId21" Type="http://schemas.openxmlformats.org/officeDocument/2006/relationships/table" Target="../tables/table30.xml"/><Relationship Id="rId7" Type="http://schemas.openxmlformats.org/officeDocument/2006/relationships/table" Target="../tables/table16.xml"/><Relationship Id="rId12" Type="http://schemas.openxmlformats.org/officeDocument/2006/relationships/table" Target="../tables/table21.xml"/><Relationship Id="rId17" Type="http://schemas.openxmlformats.org/officeDocument/2006/relationships/table" Target="../tables/table26.xml"/><Relationship Id="rId2" Type="http://schemas.openxmlformats.org/officeDocument/2006/relationships/table" Target="../tables/table11.xml"/><Relationship Id="rId16" Type="http://schemas.openxmlformats.org/officeDocument/2006/relationships/table" Target="../tables/table25.xml"/><Relationship Id="rId20" Type="http://schemas.openxmlformats.org/officeDocument/2006/relationships/table" Target="../tables/table29.xml"/><Relationship Id="rId1" Type="http://schemas.openxmlformats.org/officeDocument/2006/relationships/printerSettings" Target="../printerSettings/printerSettings7.bin"/><Relationship Id="rId6" Type="http://schemas.openxmlformats.org/officeDocument/2006/relationships/table" Target="../tables/table15.xml"/><Relationship Id="rId11" Type="http://schemas.openxmlformats.org/officeDocument/2006/relationships/table" Target="../tables/table20.xml"/><Relationship Id="rId5" Type="http://schemas.openxmlformats.org/officeDocument/2006/relationships/table" Target="../tables/table14.xml"/><Relationship Id="rId15" Type="http://schemas.openxmlformats.org/officeDocument/2006/relationships/table" Target="../tables/table24.xml"/><Relationship Id="rId10" Type="http://schemas.openxmlformats.org/officeDocument/2006/relationships/table" Target="../tables/table19.xml"/><Relationship Id="rId19" Type="http://schemas.openxmlformats.org/officeDocument/2006/relationships/table" Target="../tables/table28.xml"/><Relationship Id="rId4" Type="http://schemas.openxmlformats.org/officeDocument/2006/relationships/table" Target="../tables/table13.xml"/><Relationship Id="rId9" Type="http://schemas.openxmlformats.org/officeDocument/2006/relationships/table" Target="../tables/table18.xml"/><Relationship Id="rId14" Type="http://schemas.openxmlformats.org/officeDocument/2006/relationships/table" Target="../tables/table23.xml"/><Relationship Id="rId22" Type="http://schemas.openxmlformats.org/officeDocument/2006/relationships/table" Target="../tables/table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8"/>
  <sheetViews>
    <sheetView zoomScaleNormal="100" workbookViewId="0">
      <selection activeCell="A24" sqref="A24"/>
    </sheetView>
  </sheetViews>
  <sheetFormatPr defaultRowHeight="20" x14ac:dyDescent="0.25" customHeight="1"/>
  <sheetData>
    <row r="1" spans="1:1" x14ac:dyDescent="0.25" ht="30" customHeight="1">
      <c r="A1" t="s">
        <v>244</v>
      </c>
    </row>
    <row r="3" spans="1:1" x14ac:dyDescent="0.25" ht="20" customHeight="1">
      <c r="A3" s="125" t="str">
        <f>HYPERLINK("#'Home'!A1", "Home")</f>
        <v>Home</v>
      </c>
    </row>
    <row r="6" spans="1:1" x14ac:dyDescent="0.25" ht="20" customHeight="1">
      <c r="A6" s="124" t="s">
        <v>1</v>
      </c>
    </row>
    <row r="7" spans="1:1" ht="20" x14ac:dyDescent="0.25" customHeight="1">
      <c r="A7" s="17" t="str">
        <f>HYPERLINK("#'Constants - Common'!A1", "Constants - Common")</f>
        <v>Constants - Common</v>
      </c>
    </row>
    <row r="8" spans="1:1" ht="20" x14ac:dyDescent="0.25" customHeight="1">
      <c r="A8"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sheetPr>
    <tabColor rgb="FF0C769E"/>
  </sheetPr>
  <dimension ref="A1:BL82"/>
  <sheetViews>
    <sheetView showGridLines="0" zoomScaleNormal="100" workbookViewId="0">
      <selection activeCell="A24" sqref="A24"/>
    </sheetView>
  </sheetViews>
  <sheetFormatPr defaultRowHeight="20" x14ac:dyDescent="0.25" customHeight="1"/>
  <cols>
    <col min="1" max="1" width="30.7109375" customWidth="1"/>
    <col min="2" max="3" width="4.7109375" customWidth="1"/>
  </cols>
  <sheetData>
    <row r="1" spans="1:64" ht="30" customHeight="1" x14ac:dyDescent="0.35">
      <c r="A1" s="63" t="e" vm="1">
        <v>#VALUE!</v>
      </c>
      <c r="C1" s="110" t="s">
        <v>233</v>
      </c>
      <c r="D1" s="118"/>
      <c r="E1" s="118"/>
      <c r="F1" s="118"/>
      <c r="G1" s="118"/>
      <c r="H1" s="118"/>
      <c r="I1" s="118"/>
      <c r="J1" s="118"/>
      <c r="K1" s="118"/>
      <c r="L1" s="118"/>
      <c r="M1" s="118"/>
      <c r="N1" s="118"/>
      <c r="O1" s="118"/>
      <c r="P1" s="118"/>
      <c r="Q1" s="118"/>
      <c r="R1" s="118"/>
      <c r="S1" s="118"/>
      <c r="T1" s="118"/>
      <c r="U1" s="118"/>
      <c r="V1" s="118"/>
      <c r="W1" s="118"/>
      <c r="X1" s="118"/>
      <c r="Y1" s="118"/>
      <c r="Z1" s="118"/>
      <c r="AA1" s="118"/>
      <c r="AB1" s="118"/>
      <c r="AC1" s="118"/>
      <c r="AD1" s="118"/>
      <c r="AE1" s="118"/>
      <c r="AF1" s="118"/>
      <c r="AG1" s="118"/>
    </row>
    <row r="2" spans="1:64" ht="20" customHeight="1" x14ac:dyDescent="0.25">
      <c r="C2" s="118"/>
      <c r="D2" s="118"/>
      <c r="E2" s="118"/>
      <c r="F2" s="118"/>
      <c r="G2" s="118"/>
      <c r="H2" s="118"/>
      <c r="I2" s="118"/>
      <c r="J2" s="118"/>
      <c r="K2" s="118"/>
      <c r="L2" s="118"/>
      <c r="M2" s="118"/>
      <c r="N2" s="118"/>
      <c r="O2" s="118"/>
      <c r="P2" s="118"/>
      <c r="Q2" s="118"/>
      <c r="R2" s="118"/>
      <c r="S2" s="118"/>
      <c r="T2" s="118"/>
      <c r="U2" s="118"/>
      <c r="V2" s="118"/>
      <c r="W2" s="118"/>
      <c r="X2" s="118"/>
      <c r="Y2" s="118"/>
      <c r="Z2" s="118"/>
      <c r="AA2" s="118"/>
      <c r="AB2" s="118"/>
      <c r="AC2" s="118"/>
      <c r="AD2" s="118"/>
      <c r="AE2" s="118"/>
      <c r="AF2" s="118"/>
      <c r="AG2" s="118"/>
    </row>
    <row r="3" spans="1:64" ht="20" customHeight="1" x14ac:dyDescent="0.25">
      <c r="A3" s="17" t="str">
        <f>HYPERLINK("#'Home'!A1", "Home")</f>
        <v>Home</v>
      </c>
      <c r="C3" s="119"/>
      <c r="D3" s="119"/>
      <c r="E3" s="119"/>
      <c r="F3" s="119"/>
      <c r="G3" s="119"/>
      <c r="H3" s="119"/>
      <c r="I3" s="119"/>
      <c r="J3" s="119"/>
      <c r="K3" s="119"/>
      <c r="L3" s="119"/>
      <c r="M3" s="119"/>
      <c r="N3" s="119"/>
      <c r="O3" s="119"/>
      <c r="P3" s="119"/>
      <c r="Q3" s="119"/>
      <c r="R3" s="119"/>
      <c r="S3" s="119"/>
      <c r="T3" s="119"/>
      <c r="U3" s="119"/>
      <c r="V3" s="119"/>
      <c r="W3" s="119"/>
      <c r="X3" s="119"/>
      <c r="Y3" s="119"/>
      <c r="Z3" s="119"/>
      <c r="AA3" s="119"/>
      <c r="AB3" s="119"/>
      <c r="AC3" s="119"/>
      <c r="AD3" s="119"/>
      <c r="AE3" s="119"/>
      <c r="AF3" s="119"/>
      <c r="AG3" s="119"/>
      <c r="AH3" s="119"/>
      <c r="AI3" s="119"/>
      <c r="AJ3" s="119"/>
      <c r="AK3" s="119"/>
      <c r="AL3" s="119"/>
      <c r="AM3" s="119"/>
      <c r="AN3" s="119"/>
      <c r="AO3" s="119"/>
      <c r="AP3" s="119"/>
      <c r="AQ3" s="119"/>
      <c r="AR3" s="119"/>
      <c r="AS3" s="119"/>
      <c r="AT3" s="119"/>
      <c r="AU3" s="119"/>
      <c r="AV3" s="119"/>
      <c r="AW3" s="119"/>
      <c r="AX3" s="119"/>
      <c r="AY3" s="119"/>
      <c r="AZ3" s="119"/>
      <c r="BA3" s="119"/>
      <c r="BB3" s="119"/>
      <c r="BC3" s="119"/>
      <c r="BD3" s="119"/>
      <c r="BE3" s="119"/>
      <c r="BF3" s="119"/>
      <c r="BG3" s="119"/>
      <c r="BH3" s="119"/>
      <c r="BI3" s="119"/>
      <c r="BJ3" s="119"/>
      <c r="BK3" s="119"/>
      <c r="BL3" s="119"/>
    </row>
    <row r="4" spans="1:64" ht="20" customHeight="1" x14ac:dyDescent="0.25">
      <c r="A4" s="109"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row>
    <row r="5" spans="1:64" ht="20" customHeight="1" x14ac:dyDescent="0.25">
      <c r="A5" s="17" t="str">
        <f>HYPERLINK("#'Results'!A1", "Results")</f>
        <v>Results</v>
      </c>
      <c r="C5" s="1"/>
      <c r="D5" s="120" t="s">
        <v>137</v>
      </c>
      <c r="E5" s="120"/>
      <c r="F5" s="120"/>
      <c r="G5" s="120"/>
      <c r="H5" s="120"/>
      <c r="I5" s="102"/>
      <c r="J5" s="87"/>
      <c r="K5" s="87"/>
      <c r="L5" s="87"/>
      <c r="M5" s="87"/>
      <c r="N5" s="87"/>
      <c r="O5" s="87"/>
      <c r="P5" s="87"/>
      <c r="Q5" s="87"/>
      <c r="R5" s="87"/>
      <c r="S5" s="87"/>
      <c r="T5" s="87"/>
      <c r="U5" s="87"/>
      <c r="V5" s="83"/>
      <c r="W5" s="1"/>
      <c r="X5" s="1"/>
      <c r="Y5" s="1"/>
      <c r="Z5" s="1"/>
      <c r="AA5" s="1"/>
      <c r="AB5" s="1"/>
      <c r="AC5" s="1"/>
      <c r="AD5" s="1"/>
      <c r="AE5" s="1"/>
      <c r="AF5" s="1"/>
      <c r="AG5" s="1"/>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row>
    <row r="6" spans="1:64" ht="20" customHeight="1" x14ac:dyDescent="0.25">
      <c r="C6" s="1"/>
      <c r="D6" s="121" t="s">
        <v>138</v>
      </c>
      <c r="E6" s="122"/>
      <c r="F6" s="122"/>
      <c r="G6" s="122"/>
      <c r="H6" s="122"/>
      <c r="I6" s="89"/>
      <c r="J6" s="86"/>
      <c r="K6" s="86"/>
      <c r="L6" s="86"/>
      <c r="M6" s="86"/>
      <c r="N6" s="86"/>
      <c r="O6" s="86"/>
      <c r="P6" s="86"/>
      <c r="Q6" s="86"/>
      <c r="R6" s="86"/>
      <c r="S6" s="86"/>
      <c r="T6" s="86"/>
      <c r="U6" s="86"/>
      <c r="V6" s="84"/>
      <c r="W6" s="1"/>
      <c r="X6" s="1"/>
      <c r="Y6" s="1"/>
      <c r="Z6" s="1"/>
      <c r="AA6" s="1"/>
      <c r="AB6" s="1"/>
      <c r="AC6" s="1"/>
      <c r="AD6" s="1"/>
      <c r="AE6" s="1"/>
      <c r="AF6" s="1"/>
      <c r="AG6" s="1"/>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row>
    <row r="7" spans="1:64" ht="20" customHeight="1" x14ac:dyDescent="0.25">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row>
    <row r="8" spans="1:64" ht="20" customHeight="1" x14ac:dyDescent="0.25">
      <c r="A8" s="19" t="s">
        <v>0</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row>
    <row r="9" spans="1:64" ht="20" customHeight="1" x14ac:dyDescent="0.25">
      <c r="A9" s="17" t="str">
        <f>HYPERLINK("#'Input - Site'!A1", "Site")</f>
        <v>Site</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row>
    <row r="10" spans="1:64" ht="20" customHeight="1" x14ac:dyDescent="0.25">
      <c r="A10" s="17" t="str">
        <f>HYPERLINK("#'Input - Other Livestock'!A1", "Other Livestock")</f>
        <v>Other Livestock</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row>
    <row r="11" spans="1:64" ht="20" customHeight="1" x14ac:dyDescent="0.2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row>
    <row r="12" spans="1:64" ht="20" customHeight="1" x14ac:dyDescent="0.25">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row>
    <row r="13" spans="1:64" ht="20" customHeight="1" x14ac:dyDescent="0.25">
      <c r="A13" s="18" t="s">
        <v>70</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row>
    <row r="14" spans="1:64" ht="20" customHeight="1" x14ac:dyDescent="0.25">
      <c r="A14" s="17" t="str">
        <f>HYPERLINK("#'4.7.1.1-2 Manure Methane'!A1", "4.7.1.1-2 Manure Methane")</f>
        <v>4.7.1.1-2 Manure Methane</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row>
    <row r="15" spans="1:64" ht="20" customHeight="1" x14ac:dyDescent="0.25">
      <c r="A15" s="17" t="str">
        <f>HYPERLINK("#'4.7.1.3-4 Soil Direct N2O'!A1", "4.7.1.3-4 Soil Direct N2O")</f>
        <v>4.7.1.3-4 Soil Direct N2O</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row>
    <row r="16" spans="1:64" ht="20" customHeight="1" x14ac:dyDescent="0.25">
      <c r="A16" s="17" t="str">
        <f>HYPERLINK("#'4.7.1.5-6 Soil Atmos Deposition'!A1", "4.7.1.5-6 Soil Atmos Deposition")</f>
        <v>4.7.1.5-6 Soil Atmos Deposition</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row>
    <row r="17" spans="1:64" ht="20" customHeight="1" x14ac:dyDescent="0.25">
      <c r="A17" s="17" t="str">
        <f>HYPERLINK("#'4.7.1.7-8 Soil Leaching Runoff'!A1", "4.7.1.7-8 Soil Leaching Runoff")</f>
        <v>4.7.1.7-8 Soil Leaching Runoff</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row>
    <row r="18" spans="1:64" ht="20" customHeight="1" x14ac:dyDescent="0.25">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row>
    <row r="19" spans="1:64" ht="20" customHeight="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row>
    <row r="20" spans="1:64" ht="20" customHeight="1" x14ac:dyDescent="0.25">
      <c r="A20" s="124" t="s">
        <v>1</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row>
    <row r="21" spans="1:64" ht="20" customHeight="1" x14ac:dyDescent="0.25">
      <c r="A21" s="17" t="str">
        <f>HYPERLINK("#'Constants - Other Livestock'!A1", "Constants - Other Livestock")</f>
        <v>Constants - Other Livestock</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row>
    <row r="22" spans="1:64" ht="20" customHeight="1" x14ac:dyDescent="0.25">
      <c r="A22" s="17" t="str">
        <f>HYPERLINK("#'Constants - Livestock'!A1", "Constants - Livestock")</f>
        <v>Constants - Livestock</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row>
    <row r="23" spans="1:64" ht="20" customHeight="1" x14ac:dyDescent="0.25">
      <c r="A23" s="17" t="str">
        <f>HYPERLINK("#'Constants - Common'!A1", "Constants - Common")</f>
        <v>Constants - Common</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row>
    <row r="24" spans="1:64" ht="20" customHeight="1" x14ac:dyDescent="0.25">
      <c r="A24" s="17" t="str">
        <f>HYPERLINK("#'Acknowledgements'!A1", "Acknowledgements")</f>
        <v>Acknowledgements</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row>
    <row r="25" spans="1:64" ht="20" customHeight="1" x14ac:dyDescent="0.2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row>
    <row r="26" spans="1:64" ht="20"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row>
    <row r="27" spans="1:64" ht="20"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row>
    <row r="28" spans="1:64" ht="20"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row>
    <row r="29" spans="1:64" ht="20"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row>
    <row r="30" spans="1:64" ht="20"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row>
    <row r="31" spans="1:64" ht="20"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row>
    <row r="32" spans="1:64" ht="20"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row>
    <row r="33" spans="3:64" ht="20"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row>
    <row r="34" spans="3:64" ht="20"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row>
    <row r="35" spans="3:64" ht="20"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row>
    <row r="36" spans="3:64" ht="20"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row>
    <row r="37" spans="3:64" ht="20" customHeight="1" x14ac:dyDescent="0.25">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row>
    <row r="38" spans="3:64" ht="20" customHeight="1" x14ac:dyDescent="0.25">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row>
    <row r="39" spans="3:64" ht="20" customHeight="1" x14ac:dyDescent="0.25">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row>
    <row r="40" spans="3:64" ht="20" customHeight="1" x14ac:dyDescent="0.25">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row>
    <row r="41" spans="3:64" ht="20" customHeight="1" x14ac:dyDescent="0.25">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row>
    <row r="42" spans="3:64" ht="20" customHeight="1" x14ac:dyDescent="0.25">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row>
    <row r="43" spans="3:64" ht="20" customHeight="1" x14ac:dyDescent="0.25">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row>
    <row r="44" spans="3:64" ht="20" customHeight="1" x14ac:dyDescent="0.25">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row>
    <row r="45" spans="3:64" ht="20" customHeight="1" x14ac:dyDescent="0.25">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row>
    <row r="46" spans="3:64" ht="20" customHeight="1" x14ac:dyDescent="0.25">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row>
    <row r="47" spans="3:64" ht="20" customHeight="1" x14ac:dyDescent="0.25">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row>
    <row r="48" spans="3:64" ht="20" customHeight="1" x14ac:dyDescent="0.25">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row>
    <row r="49" spans="3:64" ht="20" customHeight="1" x14ac:dyDescent="0.25">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row>
    <row r="50" spans="3:64" ht="20" customHeight="1" x14ac:dyDescent="0.25">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row>
    <row r="51" spans="3:64" ht="20" customHeight="1" x14ac:dyDescent="0.25">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row>
    <row r="52" spans="3:64" ht="20" customHeight="1" x14ac:dyDescent="0.25">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row>
    <row r="53" spans="3:64" ht="20" customHeight="1" x14ac:dyDescent="0.25">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row>
    <row r="54" spans="3:64" ht="20" customHeight="1" x14ac:dyDescent="0.25">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row>
    <row r="55" spans="3:64" ht="20" customHeight="1" x14ac:dyDescent="0.25">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row>
    <row r="56" spans="3:64" ht="20" customHeight="1" x14ac:dyDescent="0.25">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row>
    <row r="57" spans="3:64" ht="20" customHeight="1" x14ac:dyDescent="0.25">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row>
    <row r="58" spans="3:64" ht="20" customHeight="1" x14ac:dyDescent="0.25">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row>
    <row r="59" spans="3:64" x14ac:dyDescent="0.25" ht="20" customHeight="1">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row>
    <row r="60" spans="3:64" x14ac:dyDescent="0.25" ht="20" customHeight="1">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row>
    <row r="61" spans="3:64" x14ac:dyDescent="0.25" ht="20" customHeight="1">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row>
    <row r="62" spans="3:64" x14ac:dyDescent="0.25" ht="20" customHeight="1">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row>
    <row r="63" spans="3:64" x14ac:dyDescent="0.25" ht="20" customHeight="1">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row>
    <row r="64" spans="3:64" x14ac:dyDescent="0.25" ht="20" customHeight="1">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row>
    <row r="65" spans="3:64" x14ac:dyDescent="0.25" ht="20" customHeight="1">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row>
    <row r="66" spans="3:64" x14ac:dyDescent="0.25" ht="20" customHeight="1">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row>
    <row r="67" spans="3:64" x14ac:dyDescent="0.25" ht="20" customHeight="1">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row>
    <row r="68" spans="3:64" x14ac:dyDescent="0.25" ht="20" customHeight="1">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row>
    <row r="69" spans="3:64" x14ac:dyDescent="0.25" ht="20" customHeight="1">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row>
    <row r="70" spans="3:64" x14ac:dyDescent="0.25" ht="20" customHeight="1">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row>
    <row r="71" spans="3:64" x14ac:dyDescent="0.25" ht="20" customHeight="1">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row>
    <row r="72" spans="3:64" x14ac:dyDescent="0.25" ht="20" customHeight="1">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row>
    <row r="73" spans="3:64" x14ac:dyDescent="0.25" ht="20" customHeight="1">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row>
    <row r="74" spans="3:64" x14ac:dyDescent="0.25" ht="20" customHeight="1">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row>
    <row r="75" spans="3:64" x14ac:dyDescent="0.25" ht="20" customHeight="1">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row>
    <row r="76" spans="3:64" x14ac:dyDescent="0.25" ht="20" customHeight="1">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row>
    <row r="77" spans="3:64" x14ac:dyDescent="0.25" ht="20" customHeight="1">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row>
    <row r="78" spans="3:64" x14ac:dyDescent="0.25" ht="20" customHeight="1">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row>
    <row r="79" spans="3:64" x14ac:dyDescent="0.25" ht="20" customHeight="1">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row>
    <row r="80" spans="3:64" x14ac:dyDescent="0.25" ht="20" customHeight="1">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row>
    <row r="81" spans="3:64" x14ac:dyDescent="0.25" ht="20" customHeight="1">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row>
    <row r="82" spans="3:64" x14ac:dyDescent="0.25" ht="20" customHeight="1">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L87"/>
  <sheetViews>
    <sheetView showGridLines="0" zoomScaleNormal="100" workbookViewId="0">
      <selection activeCell="A24" sqref="A24"/>
    </sheetView>
  </sheetViews>
  <sheetFormatPr defaultRowHeight="20" x14ac:dyDescent="0.25" customHeight="1"/>
  <cols>
    <col min="1" max="1" width="30.7109375" customWidth="1"/>
    <col min="2" max="3" width="2.7109375" customWidth="1"/>
    <col min="4" max="4" width="96.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3" t="e" vm="1">
        <v>#VALUE!</v>
      </c>
      <c r="C1" s="110" t="s">
        <v>232</v>
      </c>
    </row>
    <row r="2" spans="1:12" ht="20" customHeight="1" x14ac:dyDescent="0.25">
      <c r="C2" s="9"/>
    </row>
    <row r="3" spans="1:12" ht="20" customHeight="1" x14ac:dyDescent="0.25">
      <c r="A3" s="17" t="str">
        <f>HYPERLINK("#'Home'!A1", "Home")</f>
        <v>Home</v>
      </c>
      <c r="C3" s="23"/>
      <c r="D3" s="23"/>
      <c r="E3" s="23"/>
      <c r="F3" s="23"/>
      <c r="G3" s="23"/>
      <c r="H3" s="23"/>
      <c r="I3" s="23"/>
      <c r="J3" s="23"/>
      <c r="K3" s="23"/>
      <c r="L3" s="23"/>
    </row>
    <row r="4" spans="1:12" ht="20" customHeight="1" x14ac:dyDescent="0.25">
      <c r="A4" s="17" t="str">
        <f>HYPERLINK("#'Overview'!A1", "Overview")</f>
        <v>Overview</v>
      </c>
      <c r="C4" s="23"/>
      <c r="D4" s="6" t="s">
        <v>2</v>
      </c>
      <c r="E4" s="25"/>
      <c r="F4" s="25"/>
      <c r="G4" s="25"/>
      <c r="H4" s="6"/>
      <c r="I4" s="6"/>
      <c r="J4" s="6"/>
      <c r="K4" s="6"/>
      <c r="L4" s="26"/>
    </row>
    <row r="5" spans="1:12" ht="20" customHeight="1" x14ac:dyDescent="0.3">
      <c r="A5" s="109" t="str">
        <f>HYPERLINK("#'Results'!A1", "Results")</f>
        <v>Results</v>
      </c>
      <c r="C5" s="23"/>
      <c r="D5" s="27"/>
      <c r="E5" s="28"/>
      <c r="F5" s="28"/>
      <c r="G5" s="28"/>
      <c r="H5" s="25"/>
      <c r="I5" s="23"/>
      <c r="J5" s="23"/>
      <c r="K5" s="23"/>
      <c r="L5" s="23"/>
    </row>
    <row r="6" spans="1:12" ht="20" customHeight="1" x14ac:dyDescent="0.25">
      <c r="C6" s="23"/>
      <c r="D6" s="108" t="s">
        <v>95</v>
      </c>
      <c r="E6" s="108" t="s">
        <v>116</v>
      </c>
      <c r="F6" s="108" t="s">
        <v>117</v>
      </c>
      <c r="G6" s="108" t="s">
        <v>110</v>
      </c>
      <c r="H6" s="108" t="s">
        <v>118</v>
      </c>
      <c r="I6" s="108" t="s">
        <v>120</v>
      </c>
      <c r="J6" s="108" t="s">
        <v>111</v>
      </c>
      <c r="K6" s="23"/>
      <c r="L6" s="23"/>
    </row>
    <row r="7" spans="1:12" ht="20" customHeight="1" x14ac:dyDescent="0.25">
      <c r="C7" s="23"/>
      <c r="D7" s="1" t="s">
        <v>239</v>
      </c>
      <c r="E7" s="104">
        <f>VEERG_4_7_1_1__1_TotalAnnualMethaneProductionFromManureManagementOtherLivestock_Result_Method1</f>
        <v>11.990348051537779</v>
      </c>
      <c r="F7" s="104">
        <f>VEERG_4_7_1_1__1_TotalAnnualMethaneProductionFromManureManagementOtherLivestock_Result_Method2</f>
        <v>12.103057674611057</v>
      </c>
      <c r="G7" s="53" t="str">
        <f>'4.7.1.1-2 Manure Methane'!F113</f>
        <v>t CH4</v>
      </c>
      <c r="H7" s="104">
        <f>'4.7.1.1-2 Manure Methane'!E118</f>
        <v>335.72974544305782</v>
      </c>
      <c r="I7" s="104">
        <f>'4.7.1.1-2 Manure Methane'!O118</f>
        <v>338.8856148891096</v>
      </c>
      <c r="J7" s="53" t="s">
        <v>119</v>
      </c>
      <c r="K7" s="23"/>
      <c r="L7" s="23"/>
    </row>
    <row r="8" spans="1:12" ht="20" customHeight="1" x14ac:dyDescent="0.25">
      <c r="A8" s="19" t="s">
        <v>0</v>
      </c>
      <c r="C8" s="23"/>
      <c r="D8" s="1" t="s">
        <v>240</v>
      </c>
      <c r="E8" s="104">
        <f>VEERG_4_7_1_3__1_DirectNitrousOxideEmissionsFromSoil_Result_Method1</f>
        <v>519.12802857142856</v>
      </c>
      <c r="F8" s="104">
        <f>E8</f>
        <v>519.12802857142856</v>
      </c>
      <c r="G8" s="53" t="s">
        <v>204</v>
      </c>
      <c r="H8" s="104">
        <f>'4.7.1.3-4 Soil Direct N2O'!E75</f>
        <v>137568.92757142856</v>
      </c>
      <c r="I8" s="104">
        <f>H8</f>
        <v>137568.92757142856</v>
      </c>
      <c r="J8" s="53" t="s">
        <v>119</v>
      </c>
      <c r="K8" s="23"/>
      <c r="L8" s="23"/>
    </row>
    <row r="9" spans="1:12" ht="20" customHeight="1" x14ac:dyDescent="0.25">
      <c r="A9" s="17" t="str">
        <f>HYPERLINK("#'Input - Site'!A1", "Site")</f>
        <v>Site</v>
      </c>
      <c r="C9" s="23"/>
      <c r="D9" s="1" t="s">
        <v>241</v>
      </c>
      <c r="E9" s="104">
        <f>VEERG_4_7_1_5__1_AtmosphericDepositionEmissionsFromPasture_Result_Method1</f>
        <v>186.11705144999996</v>
      </c>
      <c r="F9" s="104">
        <f>E9</f>
        <v>186.11705144999996</v>
      </c>
      <c r="G9" s="53" t="s">
        <v>204</v>
      </c>
      <c r="H9" s="104">
        <f>'4.7.1.5-6 Soil Atmos Deposition'!E86</f>
        <v>49321.018634249987</v>
      </c>
      <c r="I9" s="104">
        <f>H9</f>
        <v>49321.018634249987</v>
      </c>
      <c r="J9" s="53" t="s">
        <v>119</v>
      </c>
      <c r="K9" s="23"/>
      <c r="L9" s="23"/>
    </row>
    <row r="10" spans="1:12" ht="20" customHeight="1" x14ac:dyDescent="0.25">
      <c r="A10" s="17" t="str">
        <f>HYPERLINK("#'Input - Other Livestock'!A1", "Other Livestock")</f>
        <v>Other Livestock</v>
      </c>
      <c r="C10" s="23"/>
      <c r="D10" s="1" t="s">
        <v>238</v>
      </c>
      <c r="E10" s="104">
        <f>VEERG_4_7_1_7__1_LeachingAndRunoffEmissionsFromPasture_Result_Method1</f>
        <v>3.0587417142857145</v>
      </c>
      <c r="F10" s="104">
        <f>E10</f>
        <v>3.0587417142857145</v>
      </c>
      <c r="G10" s="53" t="s">
        <v>204</v>
      </c>
      <c r="H10" s="104">
        <f>'4.7.1.7-8 Soil Leaching Runoff'!E77</f>
        <v>810.56655428571435</v>
      </c>
      <c r="I10" s="104">
        <f>H10</f>
        <v>810.56655428571435</v>
      </c>
      <c r="J10" s="53" t="s">
        <v>119</v>
      </c>
      <c r="K10" s="23"/>
      <c r="L10" s="23"/>
    </row>
    <row r="11" spans="1:12" ht="20" customHeight="1" x14ac:dyDescent="0.3">
      <c r="C11" s="23"/>
      <c r="D11" s="30" t="s">
        <v>109</v>
      </c>
      <c r="E11" s="24"/>
      <c r="F11" s="30"/>
      <c r="G11" s="30"/>
      <c r="H11" s="107">
        <f>SUM(H7:H10)</f>
        <v>188036.24250540731</v>
      </c>
      <c r="I11" s="107">
        <f>SUM(I7:I10)</f>
        <v>188039.39837485336</v>
      </c>
      <c r="J11" s="101" t="s">
        <v>119</v>
      </c>
      <c r="K11" s="23"/>
      <c r="L11" s="23"/>
    </row>
    <row r="12" spans="1:12" ht="20" customHeight="1" x14ac:dyDescent="0.25">
      <c r="C12" s="23"/>
      <c r="D12" s="1"/>
      <c r="E12" s="1"/>
      <c r="F12" s="1"/>
      <c r="G12" s="1"/>
      <c r="H12" s="1"/>
      <c r="I12" s="1"/>
      <c r="J12" s="1"/>
      <c r="K12" s="23"/>
      <c r="L12" s="23"/>
    </row>
    <row r="13" spans="1:12" ht="20" customHeight="1" x14ac:dyDescent="0.25">
      <c r="A13" s="18" t="s">
        <v>70</v>
      </c>
      <c r="C13" s="23"/>
      <c r="D13" s="1"/>
      <c r="E13" s="1"/>
      <c r="F13" s="1"/>
      <c r="G13" s="1"/>
      <c r="H13" s="1"/>
      <c r="I13" s="1"/>
      <c r="J13" s="1"/>
      <c r="K13" s="23"/>
      <c r="L13" s="23"/>
    </row>
    <row r="14" spans="1:12" ht="20" customHeight="1" x14ac:dyDescent="0.25">
      <c r="A14" s="17" t="str">
        <f>HYPERLINK("#'4.7.1.1-2 Manure Methane'!A1", "4.7.1.1-2 Manure Methane")</f>
        <v>4.7.1.1-2 Manure Methane</v>
      </c>
      <c r="C14" s="23"/>
      <c r="D14" s="1"/>
      <c r="E14" s="1"/>
      <c r="F14" s="1"/>
      <c r="G14" s="1"/>
      <c r="H14" s="1"/>
      <c r="I14" s="1"/>
      <c r="J14" s="1"/>
      <c r="K14" s="23"/>
      <c r="L14" s="23"/>
    </row>
    <row r="15" spans="1:12" ht="20" customHeight="1" x14ac:dyDescent="0.25">
      <c r="A15" s="17" t="str">
        <f>HYPERLINK("#'4.7.1.3-4 Soil Direct N2O'!A1", "4.7.1.3-4 Soil Direct N2O")</f>
        <v>4.7.1.3-4 Soil Direct N2O</v>
      </c>
      <c r="C15" s="23"/>
      <c r="D15" s="1"/>
      <c r="E15" s="1"/>
      <c r="F15" s="1"/>
      <c r="G15" s="1"/>
      <c r="H15" s="1"/>
      <c r="I15" s="1"/>
      <c r="J15" s="1"/>
      <c r="K15" s="23"/>
      <c r="L15" s="23"/>
    </row>
    <row r="16" spans="1:12" ht="20" customHeight="1" x14ac:dyDescent="0.25">
      <c r="A16" s="17" t="str">
        <f>HYPERLINK("#'4.7.1.5-6 Soil Atmos Deposition'!A1", "4.7.1.5-6 Soil Atmos Deposition")</f>
        <v>4.7.1.5-6 Soil Atmos Deposition</v>
      </c>
      <c r="C16" s="23"/>
      <c r="D16" s="1"/>
      <c r="E16" s="1"/>
      <c r="F16" s="1"/>
      <c r="G16" s="1"/>
      <c r="H16" s="1"/>
      <c r="I16" s="1"/>
      <c r="J16" s="1"/>
      <c r="K16" s="23"/>
      <c r="L16" s="23"/>
    </row>
    <row r="17" spans="1:12" ht="20" customHeight="1" x14ac:dyDescent="0.25">
      <c r="A17" s="17" t="str">
        <f>HYPERLINK("#'4.7.1.7-8 Soil Leaching Runoff'!A1", "4.7.1.7-8 Soil Leaching Runoff")</f>
        <v>4.7.1.7-8 Soil Leaching Runoff</v>
      </c>
      <c r="C17" s="23"/>
      <c r="D17" s="1"/>
      <c r="E17" s="1"/>
      <c r="F17" s="1"/>
      <c r="G17" s="1"/>
      <c r="H17" s="1"/>
      <c r="I17" s="1"/>
      <c r="J17" s="1"/>
      <c r="K17" s="23"/>
      <c r="L17" s="23"/>
    </row>
    <row r="18" spans="1:12" ht="20" customHeight="1" x14ac:dyDescent="0.25">
      <c r="C18" s="23"/>
      <c r="D18" s="1"/>
      <c r="E18" s="1"/>
      <c r="F18" s="1"/>
      <c r="G18" s="1"/>
      <c r="H18" s="1"/>
      <c r="I18" s="1"/>
      <c r="J18" s="1"/>
      <c r="K18" s="23"/>
      <c r="L18" s="23"/>
    </row>
    <row r="19" spans="1:12" ht="20" customHeight="1" x14ac:dyDescent="0.25">
      <c r="C19" s="23"/>
      <c r="D19" s="1"/>
      <c r="E19" s="1"/>
      <c r="F19" s="1"/>
      <c r="G19" s="1"/>
      <c r="H19" s="1"/>
      <c r="I19" s="1"/>
      <c r="J19" s="1"/>
      <c r="K19" s="23"/>
      <c r="L19" s="23"/>
    </row>
    <row r="20" spans="1:12" ht="20" customHeight="1" x14ac:dyDescent="0.25">
      <c r="A20" s="124" t="s">
        <v>1</v>
      </c>
      <c r="C20" s="23"/>
      <c r="D20" s="1"/>
      <c r="E20" s="1"/>
      <c r="F20" s="1"/>
      <c r="G20" s="1"/>
      <c r="H20" s="1"/>
      <c r="I20" s="1"/>
      <c r="J20" s="1"/>
      <c r="K20" s="23"/>
      <c r="L20" s="23"/>
    </row>
    <row r="21" spans="1:12" ht="20" customHeight="1" x14ac:dyDescent="0.25">
      <c r="A21" s="17" t="str">
        <f>HYPERLINK("#'Constants - Other Livestock'!A1", "Constants - Other Livestock")</f>
        <v>Constants - Other Livestock</v>
      </c>
      <c r="C21" s="23"/>
      <c r="D21" s="1"/>
      <c r="E21" s="1"/>
      <c r="F21" s="1"/>
      <c r="G21" s="1"/>
      <c r="H21" s="1"/>
      <c r="I21" s="1"/>
      <c r="J21" s="1"/>
      <c r="K21" s="23"/>
      <c r="L21" s="23"/>
    </row>
    <row r="22" spans="1:12" ht="20" customHeight="1" x14ac:dyDescent="0.25">
      <c r="A22" s="17" t="str">
        <f>HYPERLINK("#'Constants - Livestock'!A1", "Constants - Livestock")</f>
        <v>Constants - Livestock</v>
      </c>
      <c r="C22" s="23"/>
      <c r="D22" s="1"/>
      <c r="E22" s="1"/>
      <c r="F22" s="1"/>
      <c r="G22" s="1"/>
      <c r="H22" s="1"/>
      <c r="I22" s="1"/>
      <c r="J22" s="1"/>
      <c r="K22" s="23"/>
      <c r="L22" s="23"/>
    </row>
    <row r="23" spans="1:12" ht="20" customHeight="1" x14ac:dyDescent="0.25">
      <c r="A23" s="17" t="str">
        <f>HYPERLINK("#'Constants - Common'!A1", "Constants - Common")</f>
        <v>Constants - Common</v>
      </c>
      <c r="C23" s="23"/>
      <c r="D23" s="1"/>
      <c r="E23" s="1"/>
      <c r="F23" s="1"/>
      <c r="G23" s="1"/>
      <c r="H23" s="1"/>
      <c r="I23" s="1"/>
      <c r="J23" s="1"/>
      <c r="K23" s="23"/>
      <c r="L23" s="23"/>
    </row>
    <row r="24" spans="1:12" ht="20" customHeight="1" x14ac:dyDescent="0.25">
      <c r="A24" s="17" t="str">
        <f>HYPERLINK("#'Acknowledgements'!A1", "Acknowledgements")</f>
        <v>Acknowledgements</v>
      </c>
      <c r="C24" s="23"/>
      <c r="D24" s="1"/>
      <c r="E24" s="1"/>
      <c r="F24" s="1"/>
      <c r="G24" s="1"/>
      <c r="H24" s="1"/>
      <c r="I24" s="1"/>
      <c r="J24" s="1"/>
      <c r="K24" s="23"/>
      <c r="L24" s="23"/>
    </row>
    <row r="25" spans="1:12" ht="20" customHeight="1" x14ac:dyDescent="0.25">
      <c r="C25" s="23"/>
      <c r="D25" s="1"/>
      <c r="E25" s="1"/>
      <c r="F25" s="1"/>
      <c r="G25" s="1"/>
      <c r="H25" s="1"/>
      <c r="I25" s="1"/>
      <c r="J25" s="1"/>
      <c r="K25" s="23"/>
      <c r="L25" s="23"/>
    </row>
    <row r="26" spans="1:12" ht="20" customHeight="1" x14ac:dyDescent="0.25">
      <c r="C26" s="23"/>
      <c r="D26" s="1"/>
      <c r="E26" s="1"/>
      <c r="F26" s="1"/>
      <c r="G26" s="1"/>
      <c r="H26" s="1"/>
      <c r="I26" s="1"/>
      <c r="J26" s="1"/>
      <c r="K26" s="23"/>
      <c r="L26" s="23"/>
    </row>
    <row r="27" spans="1:12" ht="20" customHeight="1" x14ac:dyDescent="0.25">
      <c r="C27" s="23"/>
      <c r="D27" s="1"/>
      <c r="E27" s="1"/>
      <c r="F27" s="1"/>
      <c r="G27" s="1"/>
      <c r="H27" s="1"/>
      <c r="I27" s="1"/>
      <c r="J27" s="1"/>
      <c r="K27" s="23"/>
      <c r="L27" s="23"/>
    </row>
    <row r="28" spans="1:12" ht="20" customHeight="1" x14ac:dyDescent="0.25">
      <c r="C28" s="23"/>
      <c r="D28" s="1"/>
      <c r="E28" s="1"/>
      <c r="F28" s="1"/>
      <c r="G28" s="1"/>
      <c r="H28" s="1"/>
      <c r="I28" s="1"/>
      <c r="J28" s="1"/>
      <c r="K28" s="23"/>
      <c r="L28" s="23"/>
    </row>
    <row r="29" spans="1:12" ht="20" customHeight="1" x14ac:dyDescent="0.25">
      <c r="C29" s="23"/>
      <c r="D29" s="1"/>
      <c r="E29" s="1"/>
      <c r="F29" s="1"/>
      <c r="G29" s="1"/>
      <c r="H29" s="23"/>
      <c r="I29" s="23"/>
      <c r="J29" s="23"/>
      <c r="K29" s="23"/>
      <c r="L29" s="23"/>
    </row>
    <row r="30" spans="1:12" ht="20" customHeight="1" x14ac:dyDescent="0.25">
      <c r="C30" s="23"/>
      <c r="D30" s="1"/>
      <c r="E30" s="1"/>
      <c r="F30" s="1"/>
      <c r="G30" s="1"/>
      <c r="H30" s="23"/>
      <c r="I30" s="23"/>
      <c r="J30" s="23"/>
      <c r="K30" s="23"/>
      <c r="L30" s="23"/>
    </row>
    <row r="31" spans="1:12" ht="20" customHeight="1" x14ac:dyDescent="0.25">
      <c r="C31" s="23"/>
      <c r="D31" s="1"/>
      <c r="E31" s="1"/>
      <c r="F31" s="1"/>
      <c r="G31" s="1"/>
      <c r="H31" s="23"/>
      <c r="I31" s="23"/>
      <c r="J31" s="23"/>
      <c r="K31" s="23"/>
      <c r="L31" s="23"/>
    </row>
    <row r="32" spans="1:12" ht="20" customHeight="1" x14ac:dyDescent="0.25">
      <c r="C32" s="23"/>
      <c r="D32" s="1"/>
      <c r="E32" s="1"/>
      <c r="F32" s="1"/>
      <c r="G32" s="1"/>
      <c r="H32" s="25"/>
      <c r="I32" s="23"/>
      <c r="J32" s="23"/>
      <c r="K32" s="23"/>
      <c r="L32" s="23"/>
    </row>
    <row r="33" spans="3:12" ht="20" customHeight="1" x14ac:dyDescent="0.3">
      <c r="C33" s="23"/>
      <c r="D33" s="1"/>
      <c r="E33" s="1"/>
      <c r="F33" s="1"/>
      <c r="G33" s="1"/>
      <c r="H33" s="28"/>
      <c r="I33" s="23"/>
      <c r="J33" s="23"/>
      <c r="K33" s="23"/>
      <c r="L33" s="23"/>
    </row>
    <row r="34" spans="3:12" ht="20" customHeight="1" x14ac:dyDescent="0.25">
      <c r="C34" s="23"/>
      <c r="D34" s="1"/>
      <c r="E34" s="1"/>
      <c r="F34" s="1"/>
      <c r="G34" s="1"/>
      <c r="H34" s="1"/>
      <c r="I34" s="23"/>
      <c r="J34" s="23"/>
      <c r="K34" s="23"/>
      <c r="L34" s="23"/>
    </row>
    <row r="35" spans="3:12" ht="20" customHeight="1" x14ac:dyDescent="0.25">
      <c r="C35" s="23"/>
      <c r="D35" s="1"/>
      <c r="E35" s="1"/>
      <c r="F35" s="1"/>
      <c r="G35" s="1"/>
      <c r="H35" s="1"/>
      <c r="I35" s="23"/>
      <c r="J35" s="23"/>
      <c r="K35" s="23"/>
      <c r="L35" s="23"/>
    </row>
    <row r="36" spans="3:12" ht="20" customHeight="1" x14ac:dyDescent="0.25">
      <c r="C36" s="23"/>
      <c r="D36" s="1"/>
      <c r="E36" s="1"/>
      <c r="F36" s="1"/>
      <c r="G36" s="1"/>
      <c r="H36" s="1"/>
      <c r="I36" s="23"/>
      <c r="J36" s="23"/>
      <c r="K36" s="23"/>
      <c r="L36" s="23"/>
    </row>
    <row r="37" spans="3:12" ht="20" customHeight="1" x14ac:dyDescent="0.25">
      <c r="C37" s="23"/>
      <c r="D37" s="1"/>
      <c r="E37" s="1"/>
      <c r="F37" s="1"/>
      <c r="G37" s="1"/>
      <c r="H37" s="1"/>
      <c r="I37" s="23"/>
      <c r="J37" s="23"/>
      <c r="K37" s="23"/>
      <c r="L37" s="23"/>
    </row>
    <row r="38" spans="3:12" ht="20" customHeight="1" x14ac:dyDescent="0.25">
      <c r="C38" s="23"/>
      <c r="D38" s="1"/>
      <c r="E38" s="1"/>
      <c r="F38" s="1"/>
      <c r="G38" s="1"/>
      <c r="H38" s="1"/>
      <c r="I38" s="103"/>
      <c r="J38" s="103"/>
      <c r="K38" s="103"/>
      <c r="L38" s="23"/>
    </row>
    <row r="39" spans="3:12" ht="20" customHeight="1" x14ac:dyDescent="0.25">
      <c r="C39" s="23"/>
      <c r="D39" s="1"/>
      <c r="E39" s="1"/>
      <c r="F39" s="1"/>
      <c r="G39" s="1"/>
      <c r="H39" s="1"/>
      <c r="I39" s="103"/>
      <c r="J39" s="103"/>
      <c r="K39" s="103"/>
      <c r="L39" s="23"/>
    </row>
    <row r="40" spans="3:12" ht="20" customHeight="1" x14ac:dyDescent="0.25">
      <c r="C40" s="23"/>
      <c r="D40" s="1"/>
      <c r="E40" s="1"/>
      <c r="F40" s="1"/>
      <c r="G40" s="1"/>
      <c r="H40" s="1"/>
      <c r="I40" s="103"/>
      <c r="J40" s="103"/>
      <c r="K40" s="103"/>
      <c r="L40" s="23"/>
    </row>
    <row r="41" spans="3:12" ht="20" customHeight="1" x14ac:dyDescent="0.25">
      <c r="C41" s="23"/>
      <c r="D41" s="1"/>
      <c r="E41" s="1"/>
      <c r="F41" s="1"/>
      <c r="G41" s="1"/>
      <c r="H41" s="1"/>
      <c r="I41" s="103"/>
      <c r="J41" s="103"/>
      <c r="K41" s="103"/>
      <c r="L41" s="23"/>
    </row>
    <row r="42" spans="3:12" ht="20" customHeight="1" x14ac:dyDescent="0.25">
      <c r="C42" s="23"/>
      <c r="D42" s="1"/>
      <c r="E42" s="1"/>
      <c r="F42" s="1"/>
      <c r="G42" s="1"/>
      <c r="H42" s="1"/>
      <c r="I42" s="103"/>
      <c r="J42" s="103"/>
      <c r="K42" s="103"/>
      <c r="L42" s="23"/>
    </row>
    <row r="43" spans="3:12" ht="20" customHeight="1" x14ac:dyDescent="0.25">
      <c r="C43" s="23"/>
      <c r="D43" s="1"/>
      <c r="E43" s="1"/>
      <c r="F43" s="1"/>
      <c r="G43" s="1"/>
      <c r="H43" s="1"/>
      <c r="I43" s="103"/>
      <c r="J43" s="103"/>
      <c r="K43" s="103"/>
      <c r="L43" s="23"/>
    </row>
    <row r="44" spans="3:12" ht="20" customHeight="1" x14ac:dyDescent="0.25">
      <c r="C44" s="23"/>
      <c r="D44" s="1"/>
      <c r="E44" s="1"/>
      <c r="F44" s="1"/>
      <c r="G44" s="1"/>
      <c r="H44" s="1"/>
      <c r="I44" s="103"/>
      <c r="J44" s="103"/>
      <c r="K44" s="103"/>
      <c r="L44" s="23"/>
    </row>
    <row r="45" spans="3:12" ht="20" customHeight="1" x14ac:dyDescent="0.25">
      <c r="C45" s="23"/>
      <c r="D45" s="1"/>
      <c r="E45" s="1"/>
      <c r="F45" s="1"/>
      <c r="G45" s="1"/>
      <c r="H45" s="1"/>
      <c r="I45" s="103"/>
      <c r="J45" s="103"/>
      <c r="K45" s="103"/>
      <c r="L45" s="23"/>
    </row>
    <row r="46" spans="3:12" ht="20" customHeight="1" x14ac:dyDescent="0.25">
      <c r="C46" s="23"/>
      <c r="D46" s="1"/>
      <c r="E46" s="1"/>
      <c r="F46" s="1"/>
      <c r="G46" s="1"/>
      <c r="H46" s="1"/>
      <c r="I46" s="103"/>
      <c r="J46" s="103"/>
      <c r="K46" s="103"/>
      <c r="L46" s="23"/>
    </row>
    <row r="47" spans="3:12" ht="20" customHeight="1" x14ac:dyDescent="0.25">
      <c r="C47" s="23"/>
      <c r="D47" s="1"/>
      <c r="E47" s="1"/>
      <c r="F47" s="1"/>
      <c r="G47" s="1"/>
      <c r="H47" s="1"/>
      <c r="I47" s="103"/>
      <c r="J47" s="103"/>
      <c r="K47" s="103"/>
      <c r="L47" s="23"/>
    </row>
    <row r="48" spans="3:12" ht="20" customHeight="1" x14ac:dyDescent="0.25">
      <c r="C48" s="23"/>
      <c r="D48" s="1"/>
      <c r="E48" s="1"/>
      <c r="F48" s="1"/>
      <c r="G48" s="1"/>
      <c r="H48" s="1"/>
      <c r="I48" s="103"/>
      <c r="J48" s="103"/>
      <c r="K48" s="103"/>
      <c r="L48" s="23"/>
    </row>
    <row r="49" spans="3:12" ht="20" customHeight="1" x14ac:dyDescent="0.25">
      <c r="C49" s="23"/>
      <c r="D49" s="1"/>
      <c r="E49" s="1"/>
      <c r="F49" s="1"/>
      <c r="G49" s="1"/>
      <c r="H49" s="103"/>
      <c r="I49" s="103"/>
      <c r="J49" s="103"/>
      <c r="K49" s="103"/>
      <c r="L49" s="23"/>
    </row>
    <row r="50" spans="3:12" ht="20" customHeight="1" x14ac:dyDescent="0.25">
      <c r="C50" s="23"/>
      <c r="D50" s="1"/>
      <c r="E50" s="1"/>
      <c r="F50" s="1"/>
      <c r="G50" s="1"/>
      <c r="H50" s="103"/>
      <c r="I50" s="103"/>
      <c r="J50" s="103"/>
      <c r="K50" s="103"/>
      <c r="L50" s="23"/>
    </row>
    <row r="51" spans="3:12" ht="20" customHeight="1" x14ac:dyDescent="0.25">
      <c r="C51" s="23"/>
      <c r="D51" s="1"/>
      <c r="E51" s="1"/>
      <c r="F51" s="1"/>
      <c r="G51" s="1"/>
      <c r="H51" s="103"/>
      <c r="I51" s="103"/>
      <c r="J51" s="103"/>
      <c r="K51" s="103"/>
      <c r="L51" s="23"/>
    </row>
    <row r="52" spans="3:12" ht="20" customHeight="1" x14ac:dyDescent="0.25">
      <c r="C52" s="23"/>
      <c r="D52" s="1"/>
      <c r="E52" s="1"/>
      <c r="F52" s="1"/>
      <c r="G52" s="1"/>
      <c r="H52" s="103"/>
      <c r="I52" s="103"/>
      <c r="J52" s="103"/>
      <c r="K52" s="103"/>
      <c r="L52" s="23"/>
    </row>
    <row r="53" spans="3:12" ht="20" customHeight="1" x14ac:dyDescent="0.25">
      <c r="C53" s="23"/>
      <c r="D53" s="1"/>
      <c r="E53" s="1"/>
      <c r="F53" s="1"/>
      <c r="G53" s="1"/>
      <c r="H53" s="103"/>
      <c r="I53" s="103"/>
      <c r="J53" s="103"/>
      <c r="K53" s="103"/>
      <c r="L53" s="23"/>
    </row>
    <row r="54" spans="3:12" ht="20" customHeight="1" x14ac:dyDescent="0.25">
      <c r="C54" s="23"/>
      <c r="D54" s="1"/>
      <c r="E54" s="1"/>
      <c r="F54" s="1"/>
      <c r="G54" s="1"/>
      <c r="H54" s="23"/>
      <c r="I54" s="23"/>
      <c r="J54" s="23"/>
      <c r="K54" s="23"/>
      <c r="L54" s="23"/>
    </row>
    <row r="55" spans="3:12" ht="20" customHeight="1" x14ac:dyDescent="0.25">
      <c r="C55" s="23"/>
      <c r="D55" s="1"/>
      <c r="E55" s="1"/>
      <c r="F55" s="1"/>
      <c r="G55" s="1"/>
      <c r="H55" s="23"/>
      <c r="I55" s="23"/>
      <c r="J55" s="23"/>
      <c r="K55" s="23"/>
      <c r="L55" s="23"/>
    </row>
    <row r="56" spans="3:12" ht="20" customHeight="1" x14ac:dyDescent="0.25">
      <c r="C56" s="23"/>
      <c r="D56" s="1"/>
      <c r="E56" s="1"/>
      <c r="F56" s="1"/>
      <c r="G56" s="1"/>
      <c r="H56" s="23"/>
      <c r="I56" s="23"/>
      <c r="J56" s="23"/>
      <c r="K56" s="23"/>
      <c r="L56" s="23"/>
    </row>
    <row r="57" spans="3:12" ht="20" customHeight="1" x14ac:dyDescent="0.25">
      <c r="C57" s="23"/>
      <c r="D57" s="1"/>
      <c r="E57" s="1"/>
      <c r="F57" s="1"/>
      <c r="G57" s="1"/>
      <c r="H57" s="23"/>
      <c r="I57" s="23"/>
      <c r="J57" s="23"/>
      <c r="K57" s="23"/>
      <c r="L57" s="23"/>
    </row>
    <row r="58" spans="3:12" ht="20" customHeight="1" x14ac:dyDescent="0.25">
      <c r="C58" s="23"/>
      <c r="D58" s="1"/>
      <c r="E58" s="31"/>
      <c r="F58" s="29"/>
      <c r="G58" s="23"/>
      <c r="H58" s="23"/>
      <c r="I58" s="23"/>
      <c r="J58" s="23"/>
      <c r="K58" s="23"/>
      <c r="L58" s="23"/>
    </row>
    <row r="59" spans="3:12" ht="20" customHeight="1" x14ac:dyDescent="0.25">
      <c r="C59" s="23"/>
      <c r="D59" s="1"/>
      <c r="E59" s="1"/>
      <c r="F59" s="1"/>
      <c r="G59" s="1"/>
      <c r="H59" s="1"/>
      <c r="I59" s="1"/>
      <c r="J59" s="1"/>
      <c r="K59" s="1"/>
      <c r="L59" s="23"/>
    </row>
    <row r="60" spans="3:12" ht="20" customHeight="1" x14ac:dyDescent="0.25">
      <c r="C60" s="23"/>
      <c r="D60" s="1"/>
      <c r="E60" s="1"/>
      <c r="F60" s="1"/>
      <c r="G60" s="1"/>
      <c r="H60" s="1"/>
      <c r="I60" s="1"/>
      <c r="J60" s="1"/>
      <c r="K60" s="1"/>
      <c r="L60" s="23"/>
    </row>
    <row r="61" spans="3:12" ht="20" customHeight="1" x14ac:dyDescent="0.25">
      <c r="C61" s="23"/>
      <c r="D61" s="1"/>
      <c r="E61" s="1"/>
      <c r="F61" s="1"/>
      <c r="G61" s="1"/>
      <c r="H61" s="1"/>
      <c r="I61" s="1"/>
      <c r="J61" s="1"/>
      <c r="K61" s="1"/>
      <c r="L61" s="23"/>
    </row>
    <row r="62" spans="3:12" ht="20" customHeight="1" x14ac:dyDescent="0.25">
      <c r="C62" s="23"/>
      <c r="D62" s="1"/>
      <c r="E62" s="1"/>
      <c r="F62" s="1"/>
      <c r="G62" s="1"/>
      <c r="H62" s="1"/>
      <c r="I62" s="1"/>
      <c r="J62" s="1"/>
      <c r="K62" s="1"/>
      <c r="L62" s="23"/>
    </row>
    <row r="63" spans="3:12" ht="20" customHeight="1" x14ac:dyDescent="0.25">
      <c r="C63" s="23"/>
      <c r="D63" s="1"/>
      <c r="E63" s="1"/>
      <c r="F63" s="1"/>
      <c r="G63" s="1"/>
      <c r="H63" s="1"/>
      <c r="I63" s="1"/>
      <c r="J63" s="1"/>
      <c r="K63" s="1"/>
      <c r="L63" s="23"/>
    </row>
    <row r="64" spans="3:12" ht="20" customHeight="1" x14ac:dyDescent="0.25">
      <c r="C64" s="23"/>
      <c r="D64" s="1"/>
      <c r="E64" s="1"/>
      <c r="F64" s="1"/>
      <c r="G64" s="1"/>
      <c r="H64" s="1"/>
      <c r="I64" s="1"/>
      <c r="J64" s="1"/>
      <c r="K64" s="1"/>
      <c r="L64" s="23"/>
    </row>
    <row r="65" spans="3:12" ht="20" customHeight="1" x14ac:dyDescent="0.25">
      <c r="C65" s="23"/>
      <c r="D65" s="1"/>
      <c r="E65" s="1"/>
      <c r="F65" s="1"/>
      <c r="G65" s="1"/>
      <c r="H65" s="1"/>
      <c r="I65" s="1"/>
      <c r="J65" s="1"/>
      <c r="K65" s="1"/>
      <c r="L65" s="23"/>
    </row>
    <row r="66" spans="3:12" ht="20" customHeight="1" x14ac:dyDescent="0.25">
      <c r="C66" s="23"/>
      <c r="D66" s="1"/>
      <c r="E66" s="1"/>
      <c r="F66" s="1"/>
      <c r="G66" s="1"/>
      <c r="H66" s="1"/>
      <c r="I66" s="1"/>
      <c r="J66" s="1"/>
      <c r="K66" s="1"/>
      <c r="L66" s="23"/>
    </row>
    <row r="67" spans="3:12" ht="20" customHeight="1" x14ac:dyDescent="0.25">
      <c r="C67" s="23"/>
      <c r="D67" s="1"/>
      <c r="E67" s="1"/>
      <c r="F67" s="1"/>
      <c r="G67" s="1"/>
      <c r="H67" s="1"/>
      <c r="I67" s="1"/>
      <c r="J67" s="1"/>
      <c r="K67" s="1"/>
      <c r="L67" s="23"/>
    </row>
    <row r="68" spans="3:12" ht="20" customHeight="1" x14ac:dyDescent="0.25">
      <c r="C68" s="23"/>
      <c r="D68" s="1"/>
      <c r="E68" s="1"/>
      <c r="F68" s="1"/>
      <c r="G68" s="1"/>
      <c r="H68" s="1"/>
      <c r="I68" s="1"/>
      <c r="J68" s="1"/>
      <c r="K68" s="1"/>
      <c r="L68" s="23"/>
    </row>
    <row r="69" spans="3:12" ht="20" customHeight="1" x14ac:dyDescent="0.25">
      <c r="C69" s="23"/>
      <c r="D69" s="1"/>
      <c r="E69" s="1"/>
      <c r="F69" s="1"/>
      <c r="G69" s="1"/>
      <c r="H69" s="1"/>
      <c r="I69" s="1"/>
      <c r="J69" s="1"/>
      <c r="K69" s="1"/>
      <c r="L69" s="23"/>
    </row>
    <row r="70" spans="3:12" ht="20" customHeight="1" x14ac:dyDescent="0.25">
      <c r="C70" s="23"/>
      <c r="D70" s="1"/>
      <c r="E70" s="1"/>
      <c r="F70" s="1"/>
      <c r="G70" s="1"/>
      <c r="H70" s="1"/>
      <c r="I70" s="1"/>
      <c r="J70" s="1"/>
      <c r="K70" s="1"/>
      <c r="L70" s="23"/>
    </row>
    <row r="71" spans="3:12" ht="20" customHeight="1" x14ac:dyDescent="0.25">
      <c r="C71" s="23"/>
      <c r="D71" s="1"/>
      <c r="E71" s="1"/>
      <c r="F71" s="1"/>
      <c r="G71" s="1"/>
      <c r="H71" s="1"/>
      <c r="I71" s="1"/>
      <c r="J71" s="1"/>
      <c r="K71" s="1"/>
      <c r="L71" s="23"/>
    </row>
    <row r="72" spans="3:12" ht="20" customHeight="1" x14ac:dyDescent="0.25">
      <c r="C72" s="23"/>
      <c r="D72" s="1"/>
      <c r="E72" s="1"/>
      <c r="F72" s="1"/>
      <c r="G72" s="1"/>
      <c r="H72" s="1"/>
      <c r="I72" s="1"/>
      <c r="J72" s="1"/>
      <c r="K72" s="1"/>
      <c r="L72" s="23"/>
    </row>
    <row r="73" spans="3:12" ht="20" customHeight="1" x14ac:dyDescent="0.25">
      <c r="C73" s="23"/>
      <c r="D73" s="1"/>
      <c r="E73" s="1"/>
      <c r="F73" s="1"/>
      <c r="G73" s="1"/>
      <c r="H73" s="1"/>
      <c r="I73" s="1"/>
      <c r="J73" s="1"/>
      <c r="K73" s="1"/>
      <c r="L73" s="23"/>
    </row>
    <row r="74" spans="3:12" ht="20" customHeight="1" x14ac:dyDescent="0.25">
      <c r="C74" s="23"/>
      <c r="D74" s="1"/>
      <c r="E74" s="1"/>
      <c r="F74" s="1"/>
      <c r="G74" s="1"/>
      <c r="H74" s="1"/>
      <c r="I74" s="1"/>
      <c r="J74" s="1"/>
      <c r="K74" s="1"/>
      <c r="L74" s="23"/>
    </row>
    <row r="75" spans="3:12" ht="20" customHeight="1" x14ac:dyDescent="0.25">
      <c r="C75" s="23"/>
      <c r="D75" s="1"/>
      <c r="E75" s="1"/>
      <c r="F75" s="1"/>
      <c r="G75" s="1"/>
      <c r="H75" s="1"/>
      <c r="I75" s="1"/>
      <c r="J75" s="1"/>
      <c r="K75" s="1"/>
      <c r="L75" s="23"/>
    </row>
    <row r="76" spans="3:12" ht="20" x14ac:dyDescent="0.25" customHeight="1">
      <c r="C76" s="23"/>
      <c r="D76" s="1"/>
      <c r="E76" s="1"/>
      <c r="F76" s="1"/>
      <c r="G76" s="1"/>
      <c r="H76" s="1"/>
      <c r="I76" s="1"/>
      <c r="J76" s="1"/>
      <c r="K76" s="1"/>
      <c r="L76" s="23"/>
    </row>
    <row r="77" spans="3:12" ht="20" x14ac:dyDescent="0.25" customHeight="1">
      <c r="C77" s="23"/>
      <c r="D77" s="1"/>
      <c r="E77" s="1"/>
      <c r="F77" s="1"/>
      <c r="G77" s="1"/>
      <c r="H77" s="1"/>
      <c r="I77" s="1"/>
      <c r="J77" s="1"/>
      <c r="K77" s="1"/>
      <c r="L77" s="23"/>
    </row>
    <row r="78" spans="3:12" ht="20" x14ac:dyDescent="0.25" customHeight="1">
      <c r="C78" s="23"/>
      <c r="D78" s="1"/>
      <c r="E78" s="1"/>
      <c r="F78" s="1"/>
      <c r="G78" s="1"/>
      <c r="H78" s="1"/>
      <c r="I78" s="1"/>
      <c r="J78" s="1"/>
      <c r="K78" s="1"/>
      <c r="L78" s="23"/>
    </row>
    <row r="79" spans="3:12" ht="20" x14ac:dyDescent="0.25" customHeight="1">
      <c r="C79" s="23"/>
      <c r="D79" s="1"/>
      <c r="E79" s="1"/>
      <c r="F79" s="1"/>
      <c r="G79" s="1"/>
      <c r="H79" s="1"/>
      <c r="I79" s="1"/>
      <c r="J79" s="1"/>
      <c r="K79" s="1"/>
      <c r="L79" s="23"/>
    </row>
    <row r="80" spans="3:12" ht="20" x14ac:dyDescent="0.25" customHeight="1">
      <c r="C80" s="23"/>
      <c r="D80" s="1"/>
      <c r="E80" s="1"/>
      <c r="F80" s="1"/>
      <c r="G80" s="1"/>
      <c r="H80" s="1"/>
      <c r="I80" s="1"/>
      <c r="J80" s="1"/>
      <c r="K80" s="1"/>
      <c r="L80" s="23"/>
    </row>
    <row r="81" spans="3:12" ht="20" x14ac:dyDescent="0.25" customHeight="1">
      <c r="C81" s="23"/>
      <c r="D81" s="1"/>
      <c r="E81" s="1"/>
      <c r="F81" s="1"/>
      <c r="G81" s="1"/>
      <c r="H81" s="1"/>
      <c r="I81" s="1"/>
      <c r="J81" s="1"/>
      <c r="K81" s="1"/>
      <c r="L81" s="23"/>
    </row>
    <row r="82" spans="3:12" ht="20" x14ac:dyDescent="0.25" customHeight="1">
      <c r="C82" s="23"/>
      <c r="D82" s="1"/>
      <c r="E82" s="1"/>
      <c r="F82" s="1"/>
      <c r="G82" s="1"/>
      <c r="H82" s="1"/>
      <c r="I82" s="1"/>
      <c r="J82" s="1"/>
      <c r="K82" s="1"/>
      <c r="L82" s="23"/>
    </row>
    <row r="83" spans="3:12" ht="20" x14ac:dyDescent="0.25" customHeight="1">
      <c r="C83" s="23"/>
      <c r="D83" s="1"/>
      <c r="E83" s="1"/>
      <c r="F83" s="1"/>
      <c r="G83" s="1"/>
      <c r="H83" s="1"/>
      <c r="I83" s="1"/>
      <c r="J83" s="1"/>
      <c r="K83" s="1"/>
      <c r="L83" s="23"/>
    </row>
    <row r="84" spans="3:12" ht="20" x14ac:dyDescent="0.25" customHeight="1">
      <c r="C84" s="23"/>
      <c r="D84" s="1"/>
      <c r="E84" s="1"/>
      <c r="F84" s="1"/>
      <c r="G84" s="1"/>
      <c r="H84" s="1"/>
      <c r="I84" s="1"/>
      <c r="J84" s="1"/>
      <c r="K84" s="1"/>
      <c r="L84" s="23"/>
    </row>
    <row r="85" spans="3:12" ht="20" x14ac:dyDescent="0.25" customHeight="1">
      <c r="C85" s="23"/>
      <c r="D85" s="1"/>
      <c r="E85" s="1"/>
      <c r="F85" s="1"/>
      <c r="G85" s="1"/>
      <c r="H85" s="1"/>
      <c r="I85" s="1"/>
      <c r="J85" s="1"/>
      <c r="K85" s="1"/>
      <c r="L85" s="23"/>
    </row>
    <row r="86" spans="3:12" x14ac:dyDescent="0.25" ht="20" customHeight="1">
      <c r="C86" s="23"/>
      <c r="D86" s="23"/>
      <c r="E86" s="23"/>
      <c r="F86" s="23"/>
      <c r="G86" s="23"/>
      <c r="H86" s="23"/>
      <c r="I86" s="23"/>
      <c r="J86" s="23"/>
      <c r="K86" s="23"/>
      <c r="L86" s="23"/>
    </row>
    <row r="87" spans="3:12" x14ac:dyDescent="0.25" ht="20" customHeight="1">
      <c r="C87" s="23"/>
      <c r="D87" s="23"/>
      <c r="E87" s="23"/>
      <c r="F87" s="23"/>
      <c r="G87" s="23"/>
      <c r="H87" s="23"/>
      <c r="I87" s="23"/>
      <c r="J87" s="23"/>
      <c r="K87" s="23"/>
      <c r="L87" s="2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tabColor theme="5" tint="-0.249977111117893"/>
    <pageSetUpPr autoPageBreaks="0"/>
  </sheetPr>
  <dimension ref="A1:AA160"/>
  <sheetViews>
    <sheetView showGridLines="0" tabSelected="1" zoomScaleNormal="100" workbookViewId="0">
      <selection activeCell="E13" sqref="E13"/>
    </sheetView>
  </sheetViews>
  <sheetFormatPr defaultColWidth="9.140625" defaultRowHeight="20" x14ac:dyDescent="0.25" customHeight="1"/>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76</v>
      </c>
    </row>
    <row r="2" spans="1:24" s="7" customFormat="1" ht="20" customHeight="1" x14ac:dyDescent="0.25">
      <c r="A2"/>
      <c r="C2" s="9"/>
      <c r="D2" s="9"/>
      <c r="E2" s="9"/>
      <c r="F2" s="9"/>
      <c r="G2" s="9"/>
      <c r="H2" s="9"/>
      <c r="I2" s="9"/>
      <c r="J2" s="9"/>
    </row>
    <row r="3" spans="1:24" ht="20"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 customHeight="1" x14ac:dyDescent="0.25">
      <c r="A4" s="17" t="str">
        <f>HYPERLINK("#'Overview'!A1", "Overview")</f>
        <v>Overview</v>
      </c>
      <c r="C4" s="65"/>
      <c r="D4" s="65"/>
      <c r="E4" s="65"/>
      <c r="F4" s="65"/>
      <c r="G4" s="65"/>
      <c r="H4" s="65"/>
      <c r="I4" s="65"/>
      <c r="J4" s="65"/>
      <c r="K4" s="65"/>
    </row>
    <row r="5" spans="1:24" ht="20" customHeight="1" x14ac:dyDescent="0.25">
      <c r="A5" s="17" t="str">
        <f>HYPERLINK("#'Results'!A1", "Results")</f>
        <v>Results</v>
      </c>
      <c r="D5" s="6" t="s">
        <v>12</v>
      </c>
      <c r="N5" s="42"/>
    </row>
    <row r="6" spans="1:24" ht="20" customHeight="1" x14ac:dyDescent="0.25">
      <c r="A6"/>
      <c r="D6" s="14"/>
      <c r="N6" s="43"/>
    </row>
    <row r="7" spans="1:24" ht="20" customHeight="1" x14ac:dyDescent="0.25">
      <c r="A7"/>
      <c r="D7" s="1" t="s">
        <v>4</v>
      </c>
      <c r="E7" s="34" t="s">
        <v>3</v>
      </c>
      <c r="F7" s="2"/>
    </row>
    <row r="8" spans="1:24" ht="20" customHeight="1" x14ac:dyDescent="0.25">
      <c r="A8" s="19" t="s">
        <v>0</v>
      </c>
      <c r="D8" s="10" t="s">
        <v>68</v>
      </c>
      <c r="E8" s="34" t="s">
        <v>69</v>
      </c>
    </row>
    <row r="9" spans="1:24" ht="20" customHeight="1" x14ac:dyDescent="0.25">
      <c r="A9" s="20" t="str">
        <f>HYPERLINK("#'Input - Site'!A1", "Site")</f>
        <v>Site</v>
      </c>
      <c r="N9" s="44"/>
    </row>
    <row r="10" spans="1:24" ht="20" customHeight="1" x14ac:dyDescent="0.25">
      <c r="A10" s="17" t="str">
        <f>HYPERLINK("#'Input - Other Livestock'!A1", "Other Livestock")</f>
        <v>Other Livestock</v>
      </c>
      <c r="D10" s="90" t="s">
        <v>75</v>
      </c>
      <c r="E10" s="88"/>
      <c r="F10" s="91"/>
      <c r="G10" s="85"/>
      <c r="N10" s="44"/>
    </row>
    <row r="11" spans="1:24" ht="20" customHeight="1" x14ac:dyDescent="0.25">
      <c r="A11"/>
      <c r="N11" s="45"/>
    </row>
    <row r="12" spans="1:24" ht="20" customHeight="1" x14ac:dyDescent="0.25">
      <c r="A12"/>
      <c r="D12" s="10" t="s">
        <v>81</v>
      </c>
      <c r="E12" s="62">
        <v>45292</v>
      </c>
      <c r="F12" s="2" t="s">
        <v>66</v>
      </c>
    </row>
    <row r="13" spans="1:24" ht="20" customHeight="1" x14ac:dyDescent="0.25">
      <c r="A13" s="18" t="s">
        <v>70</v>
      </c>
      <c r="D13" s="10" t="s">
        <v>82</v>
      </c>
      <c r="E13" s="66">
        <f>DATE(YEAR(X_Cell_Site_StartDate)+1,MONTH(X_Cell_Site_StartDate),DAY(X_Cell_Site_StartDate))-1</f>
        <v>45657</v>
      </c>
      <c r="F13" s="2" t="s">
        <v>14</v>
      </c>
      <c r="N13" s="39"/>
      <c r="O13" s="39"/>
    </row>
    <row r="14" spans="1:24" ht="20" customHeight="1" x14ac:dyDescent="0.25">
      <c r="A14" s="17" t="str">
        <f>HYPERLINK("#'4.7.1.1-2 Manure Methane'!A1", "4.7.1.1-2 Manure Methane")</f>
        <v>4.7.1.1-2 Manure Methane</v>
      </c>
      <c r="N14" s="39"/>
      <c r="O14" s="39"/>
    </row>
    <row r="15" spans="1:24" ht="20" customHeight="1" x14ac:dyDescent="0.25">
      <c r="A15" s="17" t="str">
        <f>HYPERLINK("#'4.7.1.3-4 Soil Direct N2O'!A1", "4.7.1.3-4 Soil Direct N2O")</f>
        <v>4.7.1.3-4 Soil Direct N2O</v>
      </c>
      <c r="N15" s="39"/>
      <c r="O15" s="39"/>
    </row>
    <row r="16" spans="1:24" ht="20" customHeight="1" x14ac:dyDescent="0.25">
      <c r="A16" s="17" t="str">
        <f>HYPERLINK("#'4.7.1.5-6 Soil Atmos Deposition'!A1", "4.7.1.5-6 Soil Atmos Deposition")</f>
        <v>4.7.1.5-6 Soil Atmos Deposition</v>
      </c>
      <c r="D16" s="6" t="s">
        <v>11</v>
      </c>
      <c r="N16" s="39"/>
      <c r="O16" s="39"/>
    </row>
    <row r="17" spans="1:25" ht="20" customHeight="1" x14ac:dyDescent="0.25">
      <c r="A17" s="17" t="str">
        <f>HYPERLINK("#'4.7.1.7-8 Soil Leaching Runoff'!A1", "4.7.1.7-8 Soil Leaching Runoff")</f>
        <v>4.7.1.7-8 Soil Leaching Runoff</v>
      </c>
    </row>
    <row r="18" spans="1:25" ht="20" customHeight="1" x14ac:dyDescent="0.25">
      <c r="A18"/>
      <c r="D18" s="92" t="s">
        <v>13</v>
      </c>
      <c r="E18" s="87"/>
      <c r="F18" s="87"/>
      <c r="G18" s="83"/>
    </row>
    <row r="19" spans="1:25" ht="20" customHeight="1" x14ac:dyDescent="0.25">
      <c r="A19"/>
      <c r="D19" s="89" t="s">
        <v>67</v>
      </c>
      <c r="E19" s="86"/>
      <c r="F19" s="86"/>
      <c r="G19" s="84"/>
      <c r="N19" s="42"/>
    </row>
    <row r="20" spans="1:25" ht="20" customHeight="1" x14ac:dyDescent="0.25">
      <c r="A20" s="124" t="s">
        <v>1</v>
      </c>
      <c r="D20" s="1"/>
      <c r="E20" s="32"/>
      <c r="F20" s="2"/>
      <c r="N20" s="43"/>
    </row>
    <row r="21" spans="1:25" ht="20" customHeight="1" x14ac:dyDescent="0.25">
      <c r="A21" s="17" t="str">
        <f>HYPERLINK("#'Constants - Other Livestock'!A1", "Constants - Other Livestock")</f>
        <v>Constants - Other Livestock</v>
      </c>
      <c r="D21" s="1" t="s">
        <v>5</v>
      </c>
      <c r="E21" s="41" t="s">
        <v>84</v>
      </c>
      <c r="F21" s="2" t="s">
        <v>8</v>
      </c>
    </row>
    <row r="22" spans="1:25" ht="20" customHeight="1" x14ac:dyDescent="0.25">
      <c r="A22" s="17" t="str">
        <f>HYPERLINK("#'Constants - Livestock'!A1", "Constants - Livestock")</f>
        <v>Constants - Livestock</v>
      </c>
      <c r="D22" s="1" t="s">
        <v>21</v>
      </c>
      <c r="E22" s="41" t="s">
        <v>30</v>
      </c>
      <c r="F22" s="2" t="s">
        <v>8</v>
      </c>
      <c r="G22" s="1"/>
    </row>
    <row r="23" spans="1:25" ht="20" customHeight="1" x14ac:dyDescent="0.25">
      <c r="A23" s="17" t="str">
        <f>HYPERLINK("#'Constants - Common'!A1", "Constants - Common")</f>
        <v>Constants - Common</v>
      </c>
      <c r="D23" s="1" t="s">
        <v>6</v>
      </c>
      <c r="E23" s="41" t="s">
        <v>80</v>
      </c>
      <c r="F23" s="2" t="s">
        <v>8</v>
      </c>
    </row>
    <row r="24" spans="1:25" ht="20" customHeight="1" x14ac:dyDescent="0.25">
      <c r="A24" s="17" t="str">
        <f>HYPERLINK("#'Acknowledgements'!A1", "Acknowledgements")</f>
        <v>Acknowledgements</v>
      </c>
      <c r="D24" s="1" t="s">
        <v>35</v>
      </c>
      <c r="E24" s="34">
        <v>307.7</v>
      </c>
      <c r="F24" s="2" t="s">
        <v>49</v>
      </c>
    </row>
    <row r="25" spans="1:25" ht="20" customHeight="1" x14ac:dyDescent="0.25">
      <c r="A25"/>
      <c r="D25" s="1" t="s">
        <v>57</v>
      </c>
      <c r="E25" s="34">
        <v>18</v>
      </c>
      <c r="F25" s="2" t="s">
        <v>9</v>
      </c>
      <c r="N25" s="43"/>
    </row>
    <row r="26" spans="1:25" ht="20" customHeight="1" x14ac:dyDescent="0.25">
      <c r="A26"/>
      <c r="D26" s="1" t="s">
        <v>58</v>
      </c>
      <c r="E26" s="34">
        <v>601</v>
      </c>
      <c r="F26" s="2" t="s">
        <v>10</v>
      </c>
    </row>
    <row r="27" spans="1:25" ht="20" customHeight="1" x14ac:dyDescent="0.25">
      <c r="A27"/>
      <c r="D27" s="10" t="s">
        <v>59</v>
      </c>
      <c r="E27" s="34">
        <v>1326</v>
      </c>
      <c r="F27" s="2" t="s">
        <v>10</v>
      </c>
    </row>
    <row r="28" spans="1:25" ht="20" customHeight="1" x14ac:dyDescent="0.25">
      <c r="A28"/>
      <c r="D28" s="1" t="s">
        <v>60</v>
      </c>
      <c r="E28" s="34">
        <v>7</v>
      </c>
      <c r="F28" s="2" t="s">
        <v>50</v>
      </c>
    </row>
    <row r="29" spans="1:25" ht="20" customHeight="1" x14ac:dyDescent="0.25">
      <c r="A29"/>
      <c r="D29" s="10" t="s">
        <v>56</v>
      </c>
      <c r="E29" s="51">
        <f>X_Cell_Site_TotalRainfall/X_Cell_Site_PotentialEvapotranspiration</f>
        <v>0.45324283559577677</v>
      </c>
      <c r="F29" s="2"/>
    </row>
    <row r="30" spans="1:25" ht="20" customHeight="1" x14ac:dyDescent="0.25">
      <c r="A30"/>
      <c r="D30" s="10" t="s">
        <v>31</v>
      </c>
      <c r="E30" s="51" t="str">
        <f>Common_InputFunctions.Utility_LookupItemFromMinMax(X_Cell_Site_TotalRainfall,Table_SourceData_RainfallZones[Min rainfall],Table_SourceData_RainfallZones[Max rainfall],Table_SourceData_RainfallZones[Rainfall Zone])</f>
        <v>High rainfall</v>
      </c>
      <c r="G30" s="33"/>
      <c r="L30" s="48"/>
      <c r="M30" s="48"/>
      <c r="N30" s="48"/>
      <c r="O30" s="48"/>
      <c r="P30" s="48"/>
      <c r="Q30" s="48"/>
      <c r="R30" s="48"/>
      <c r="S30" s="48"/>
      <c r="T30" s="48"/>
      <c r="U30" s="48"/>
      <c r="V30" s="48"/>
      <c r="W30" s="48"/>
      <c r="X30" s="48"/>
      <c r="Y30" s="48"/>
    </row>
    <row r="31" spans="1:25" ht="20" customHeight="1" x14ac:dyDescent="0.25">
      <c r="A31"/>
      <c r="D31" s="1" t="s">
        <v>7</v>
      </c>
      <c r="E31" s="51"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2"/>
      <c r="L31" s="47"/>
      <c r="M31" s="47"/>
      <c r="N31" s="47"/>
      <c r="O31" s="47"/>
      <c r="P31" s="47"/>
      <c r="Q31" s="47"/>
      <c r="R31" s="47"/>
      <c r="S31" s="47"/>
      <c r="T31" s="47"/>
      <c r="U31" s="47"/>
      <c r="V31" s="47"/>
      <c r="W31" s="47"/>
      <c r="X31" s="47"/>
      <c r="Y31" s="47"/>
    </row>
    <row r="32" spans="1:25" ht="20" customHeight="1" x14ac:dyDescent="0.25">
      <c r="A32"/>
      <c r="D32" s="1" t="s">
        <v>77</v>
      </c>
      <c r="E32" s="51" t="str">
        <f>Common_InputFunctions.Utility_LookupValueInTable(X_Cell_Site_ClimateZone,Table_SourceData_WetDryZones[Climate zone],Table_SourceData_WetDryZones[Wet or Dry Zone])</f>
        <v>Dry climate zone</v>
      </c>
      <c r="F32" s="1"/>
      <c r="G32" s="32"/>
      <c r="L32" s="47"/>
      <c r="M32" s="47"/>
      <c r="N32" s="47"/>
      <c r="O32" s="47"/>
      <c r="P32" s="47"/>
      <c r="Q32" s="47"/>
      <c r="R32" s="47"/>
      <c r="S32" s="47"/>
      <c r="T32" s="47"/>
      <c r="U32" s="47"/>
      <c r="V32" s="47"/>
      <c r="W32" s="47"/>
      <c r="X32" s="47"/>
      <c r="Y32" s="47"/>
    </row>
    <row r="33" spans="1:25" ht="20" customHeight="1" x14ac:dyDescent="0.25">
      <c r="A33"/>
      <c r="D33" s="1" t="s">
        <v>48</v>
      </c>
      <c r="E33" s="51" t="str">
        <f>Common_InputFunctions.Utility_LookupItemFromMinMax(X_Cell_Site_AverageTemperature,Table_SourceData_TemperatureZones[Min MAT],Table_SourceData_TemperatureZones[Max MAT],Table_SourceData_TemperatureZones[Temperature Zone])</f>
        <v>Temperate</v>
      </c>
      <c r="G33" s="67"/>
      <c r="L33" s="47"/>
      <c r="M33" s="47"/>
      <c r="N33" s="47"/>
      <c r="O33" s="47"/>
      <c r="P33" s="47"/>
      <c r="Q33" s="47"/>
      <c r="R33" s="47"/>
      <c r="S33" s="47"/>
      <c r="T33" s="47"/>
      <c r="U33" s="47"/>
      <c r="V33" s="47"/>
      <c r="W33" s="47"/>
      <c r="X33" s="47"/>
      <c r="Y33" s="47"/>
    </row>
    <row r="34" spans="1:25" ht="20" customHeight="1" x14ac:dyDescent="0.25">
      <c r="A34"/>
      <c r="J34" s="59"/>
      <c r="K34" s="70"/>
      <c r="L34" s="47"/>
      <c r="M34" s="47"/>
      <c r="N34" s="47"/>
      <c r="O34" s="47"/>
      <c r="P34" s="47"/>
      <c r="Q34" s="47"/>
      <c r="R34" s="47"/>
      <c r="S34" s="47"/>
      <c r="T34" s="47"/>
      <c r="U34" s="47"/>
      <c r="V34" s="47"/>
      <c r="W34" s="47"/>
      <c r="X34" s="47"/>
      <c r="Y34" s="47"/>
    </row>
    <row r="35" spans="1:25" ht="20" customHeight="1" x14ac:dyDescent="0.25">
      <c r="A35"/>
      <c r="J35" s="59"/>
      <c r="K35" s="70"/>
      <c r="L35" s="47"/>
      <c r="M35" s="47"/>
      <c r="N35" s="47"/>
      <c r="O35" s="47"/>
      <c r="P35" s="47"/>
      <c r="Q35" s="47"/>
      <c r="R35" s="47"/>
      <c r="S35" s="47"/>
      <c r="T35" s="47"/>
      <c r="U35" s="47"/>
      <c r="V35" s="47"/>
      <c r="W35" s="47"/>
      <c r="X35" s="47"/>
      <c r="Y35" s="47"/>
    </row>
    <row r="36" spans="1:25" ht="20" customHeight="1" x14ac:dyDescent="0.25">
      <c r="A36"/>
      <c r="D36" s="68"/>
      <c r="E36" s="68"/>
      <c r="F36" s="69"/>
      <c r="G36" s="59"/>
      <c r="H36" s="59"/>
      <c r="I36" s="60"/>
      <c r="J36" s="59"/>
      <c r="K36" s="70"/>
      <c r="L36" s="47"/>
      <c r="M36" s="47"/>
      <c r="N36" s="47"/>
      <c r="O36" s="47"/>
      <c r="P36" s="47"/>
      <c r="Q36" s="47"/>
      <c r="R36" s="47"/>
      <c r="S36" s="47"/>
      <c r="T36" s="47"/>
      <c r="U36" s="47"/>
      <c r="V36" s="47"/>
      <c r="W36" s="47"/>
      <c r="X36" s="47"/>
      <c r="Y36" s="47"/>
    </row>
    <row r="37" spans="1:25" ht="20" customHeight="1" x14ac:dyDescent="0.25">
      <c r="A37"/>
      <c r="D37" s="68"/>
      <c r="E37" s="68"/>
      <c r="F37" s="69"/>
      <c r="G37" s="59"/>
      <c r="H37" s="59"/>
      <c r="I37" s="60"/>
      <c r="J37" s="59"/>
      <c r="K37" s="70"/>
      <c r="L37" s="47"/>
      <c r="M37" s="47"/>
      <c r="N37" s="47"/>
      <c r="O37" s="47"/>
      <c r="P37" s="47"/>
      <c r="Q37" s="47"/>
      <c r="R37" s="47"/>
      <c r="S37" s="47"/>
      <c r="T37" s="47"/>
      <c r="U37" s="47"/>
      <c r="V37" s="47"/>
      <c r="W37" s="47"/>
      <c r="X37" s="47"/>
      <c r="Y37" s="47"/>
    </row>
    <row r="38" spans="1:25" ht="20" customHeight="1" x14ac:dyDescent="0.25">
      <c r="A38"/>
      <c r="D38" s="68"/>
      <c r="E38" s="68"/>
      <c r="F38" s="69"/>
      <c r="G38" s="59"/>
      <c r="H38" s="59"/>
      <c r="I38" s="60"/>
      <c r="J38" s="59"/>
      <c r="K38" s="70"/>
      <c r="L38" s="47"/>
      <c r="M38" s="47"/>
      <c r="N38" s="47"/>
      <c r="O38" s="47"/>
      <c r="P38" s="47"/>
      <c r="Q38" s="47"/>
      <c r="R38" s="47"/>
      <c r="S38" s="47"/>
      <c r="T38" s="47"/>
      <c r="U38" s="47"/>
      <c r="V38" s="47"/>
      <c r="W38" s="47"/>
      <c r="X38" s="47"/>
      <c r="Y38" s="47"/>
    </row>
    <row r="39" spans="1:25" ht="20" customHeight="1" x14ac:dyDescent="0.25">
      <c r="A39"/>
      <c r="D39" s="68"/>
      <c r="E39" s="68"/>
      <c r="F39" s="69"/>
      <c r="G39" s="59"/>
      <c r="H39" s="59"/>
      <c r="I39" s="60"/>
      <c r="J39" s="59"/>
      <c r="K39" s="70"/>
      <c r="L39" s="47"/>
      <c r="M39" s="47"/>
      <c r="N39" s="47"/>
      <c r="O39" s="47"/>
      <c r="P39" s="47"/>
      <c r="Q39" s="47"/>
      <c r="R39" s="47"/>
      <c r="S39" s="47"/>
      <c r="T39" s="47"/>
      <c r="U39" s="47"/>
      <c r="V39" s="47"/>
      <c r="W39" s="47"/>
      <c r="X39" s="47"/>
      <c r="Y39" s="47"/>
    </row>
    <row r="40" spans="1:25" ht="20" customHeight="1" x14ac:dyDescent="0.25">
      <c r="A40"/>
      <c r="D40" s="71"/>
      <c r="E40" s="71"/>
      <c r="F40" s="71"/>
      <c r="G40" s="72"/>
      <c r="H40" s="73"/>
      <c r="I40" s="73"/>
      <c r="J40" s="73"/>
      <c r="K40" s="73"/>
      <c r="L40" s="49"/>
      <c r="M40" s="49"/>
      <c r="N40" s="49"/>
      <c r="O40" s="49"/>
      <c r="P40" s="49"/>
      <c r="Q40" s="49"/>
      <c r="R40" s="49"/>
      <c r="S40" s="49"/>
      <c r="T40" s="49"/>
      <c r="U40" s="49"/>
      <c r="V40" s="49"/>
      <c r="W40" s="49"/>
      <c r="X40" s="49"/>
      <c r="Y40" s="49"/>
    </row>
    <row r="41" spans="1:25" ht="20" customHeight="1" x14ac:dyDescent="0.25">
      <c r="A41"/>
    </row>
    <row r="42" spans="1:25" ht="20" customHeight="1" x14ac:dyDescent="0.25">
      <c r="A42"/>
    </row>
    <row r="43" spans="1:25" ht="20" customHeight="1" x14ac:dyDescent="0.25">
      <c r="A43"/>
    </row>
    <row r="44" spans="1:25" ht="20" customHeight="1" x14ac:dyDescent="0.25">
      <c r="A44"/>
    </row>
    <row r="45" spans="1:25" ht="20" customHeight="1" x14ac:dyDescent="0.25">
      <c r="A45"/>
      <c r="D45" s="6"/>
    </row>
    <row r="46" spans="1:25" ht="20" customHeight="1" x14ac:dyDescent="0.25">
      <c r="A46"/>
      <c r="D46" s="22"/>
    </row>
    <row r="47" spans="1:25" ht="20" customHeight="1" x14ac:dyDescent="0.25">
      <c r="A47"/>
      <c r="D47" s="74"/>
      <c r="E47" s="74"/>
      <c r="F47" s="74"/>
      <c r="G47" s="74"/>
      <c r="H47" s="74"/>
    </row>
    <row r="48" spans="1:25" ht="20" customHeight="1" x14ac:dyDescent="0.25">
      <c r="A48"/>
      <c r="D48" s="35"/>
      <c r="E48" s="35"/>
      <c r="F48" s="36"/>
      <c r="G48" s="36"/>
      <c r="H48" s="35"/>
    </row>
    <row r="49" spans="1:8" ht="20" customHeight="1" x14ac:dyDescent="0.25">
      <c r="A49"/>
      <c r="D49" s="35"/>
      <c r="E49" s="35"/>
      <c r="F49" s="36"/>
      <c r="G49" s="36"/>
      <c r="H49" s="35"/>
    </row>
    <row r="50" spans="1:8" ht="20" customHeight="1" x14ac:dyDescent="0.25">
      <c r="A50"/>
      <c r="D50" s="35"/>
      <c r="E50" s="35"/>
      <c r="F50" s="36"/>
      <c r="G50" s="36"/>
      <c r="H50" s="35"/>
    </row>
    <row r="51" spans="1:8" ht="20" customHeight="1" x14ac:dyDescent="0.25">
      <c r="A51"/>
      <c r="D51" s="75"/>
      <c r="E51" s="76"/>
      <c r="F51" s="76"/>
      <c r="G51" s="76"/>
      <c r="H51" s="77"/>
    </row>
    <row r="52" spans="1:8" ht="20" customHeight="1" x14ac:dyDescent="0.25">
      <c r="A52"/>
    </row>
    <row r="53" spans="1:8" ht="20" customHeight="1" x14ac:dyDescent="0.25">
      <c r="A53"/>
    </row>
    <row r="54" spans="1:8" ht="20" customHeight="1" x14ac:dyDescent="0.25">
      <c r="A54"/>
      <c r="G54" s="78"/>
    </row>
    <row r="55" spans="1:8" ht="20" customHeight="1" x14ac:dyDescent="0.25">
      <c r="A55"/>
      <c r="D55" s="6"/>
    </row>
    <row r="56" spans="1:8" ht="20" customHeight="1" x14ac:dyDescent="0.25">
      <c r="A56"/>
    </row>
    <row r="57" spans="1:8" ht="20" customHeight="1" x14ac:dyDescent="0.25">
      <c r="A57"/>
      <c r="D57" s="22"/>
      <c r="F57" s="79"/>
    </row>
    <row r="58" spans="1:8" ht="20" customHeight="1" x14ac:dyDescent="0.25">
      <c r="A58"/>
      <c r="D58" s="1"/>
      <c r="E58" s="80"/>
    </row>
    <row r="59" spans="1:8" ht="20" customHeight="1" x14ac:dyDescent="0.25">
      <c r="A59"/>
      <c r="D59" s="1"/>
      <c r="E59" s="80"/>
    </row>
    <row r="60" spans="1:8" ht="20" customHeight="1" x14ac:dyDescent="0.25">
      <c r="A60"/>
      <c r="D60" s="1"/>
      <c r="E60" s="81"/>
    </row>
    <row r="61" spans="1:8" ht="20" customHeight="1" x14ac:dyDescent="0.25">
      <c r="A61"/>
      <c r="D61" s="1"/>
    </row>
    <row r="62" spans="1:8" ht="20" customHeight="1" x14ac:dyDescent="0.25">
      <c r="A62"/>
    </row>
    <row r="63" spans="1:8" ht="20" customHeight="1" x14ac:dyDescent="0.25">
      <c r="A63"/>
      <c r="D63" s="22"/>
    </row>
    <row r="64" spans="1:8" ht="20" customHeight="1" x14ac:dyDescent="0.25">
      <c r="A64"/>
      <c r="D64" s="1"/>
      <c r="E64" s="80"/>
    </row>
    <row r="65" spans="1:9" ht="20" customHeight="1" x14ac:dyDescent="0.25">
      <c r="A65"/>
      <c r="D65" s="1"/>
      <c r="E65" s="80"/>
    </row>
    <row r="66" spans="1:9" ht="20" customHeight="1" x14ac:dyDescent="0.25">
      <c r="A66"/>
      <c r="D66" s="1"/>
      <c r="E66" s="81"/>
    </row>
    <row r="67" spans="1:9" ht="20" customHeight="1" x14ac:dyDescent="0.25">
      <c r="A67"/>
    </row>
    <row r="68" spans="1:9" ht="20" customHeight="1" x14ac:dyDescent="0.25">
      <c r="A68"/>
    </row>
    <row r="69" spans="1:9" ht="20" customHeight="1" x14ac:dyDescent="0.25">
      <c r="A69"/>
      <c r="D69" s="58"/>
      <c r="E69" s="58"/>
      <c r="F69" s="58"/>
      <c r="G69" s="58"/>
      <c r="H69" s="58"/>
      <c r="I69" s="58"/>
    </row>
    <row r="70" spans="1:9" ht="20" customHeight="1" x14ac:dyDescent="0.25">
      <c r="A70"/>
      <c r="D70" s="58"/>
      <c r="E70" s="58"/>
      <c r="F70" s="58"/>
      <c r="G70" s="58"/>
      <c r="H70" s="58"/>
      <c r="I70" s="58"/>
    </row>
    <row r="71" spans="1:9" ht="20" customHeight="1" x14ac:dyDescent="0.25">
      <c r="A71"/>
      <c r="D71" s="58"/>
      <c r="E71" s="58"/>
      <c r="F71" s="58"/>
      <c r="G71" s="58"/>
      <c r="H71" s="58"/>
      <c r="I71" s="58"/>
    </row>
    <row r="72" spans="1:9" ht="20" customHeight="1" x14ac:dyDescent="0.25">
      <c r="A72"/>
      <c r="D72" s="58"/>
      <c r="E72" s="58"/>
      <c r="F72" s="58"/>
      <c r="G72" s="58"/>
      <c r="H72" s="58"/>
      <c r="I72" s="58"/>
    </row>
    <row r="73" spans="1:9" ht="20" customHeight="1" x14ac:dyDescent="0.25">
      <c r="A73"/>
    </row>
    <row r="74" spans="1:9" ht="20" customHeight="1" x14ac:dyDescent="0.25">
      <c r="A74"/>
    </row>
    <row r="75" spans="1:9" ht="20" customHeight="1" x14ac:dyDescent="0.25">
      <c r="A75"/>
    </row>
    <row r="76" spans="1:9" ht="20" customHeight="1" x14ac:dyDescent="0.25">
      <c r="A76"/>
    </row>
    <row r="77" spans="1:9" ht="20" customHeight="1" x14ac:dyDescent="0.25">
      <c r="A77"/>
    </row>
    <row r="78" spans="1:9" ht="20" customHeight="1" x14ac:dyDescent="0.25">
      <c r="A78"/>
      <c r="D78" s="82"/>
    </row>
    <row r="79" spans="1:9" ht="20" customHeight="1" x14ac:dyDescent="0.25">
      <c r="A79"/>
      <c r="D79" s="82"/>
    </row>
    <row r="80" spans="1:9" ht="20" customHeight="1" x14ac:dyDescent="0.25">
      <c r="A80"/>
      <c r="D80" s="82"/>
    </row>
    <row r="81" spans="1:4" ht="20" customHeight="1" x14ac:dyDescent="0.25">
      <c r="A81"/>
      <c r="D81" s="82"/>
    </row>
    <row r="82" spans="1:4" ht="20" customHeight="1" x14ac:dyDescent="0.25">
      <c r="A82"/>
      <c r="D82" s="82"/>
    </row>
    <row r="83" spans="1:4" ht="20" customHeight="1" x14ac:dyDescent="0.25">
      <c r="A83"/>
    </row>
    <row r="84" spans="1:4" ht="20" customHeight="1" x14ac:dyDescent="0.25">
      <c r="A84"/>
    </row>
    <row r="85" spans="1:4" ht="20" customHeight="1" x14ac:dyDescent="0.25">
      <c r="A85"/>
    </row>
    <row r="86" spans="1:4" ht="20" customHeight="1" x14ac:dyDescent="0.25">
      <c r="A86"/>
    </row>
    <row r="87" spans="1:4" ht="20" customHeight="1" x14ac:dyDescent="0.25">
      <c r="A87"/>
    </row>
    <row r="88" spans="1:4" ht="20" customHeight="1" x14ac:dyDescent="0.25">
      <c r="A88"/>
    </row>
    <row r="89" spans="1:4" ht="20" customHeight="1" x14ac:dyDescent="0.25">
      <c r="A89"/>
    </row>
    <row r="90" spans="1:4" ht="20" customHeight="1" x14ac:dyDescent="0.25">
      <c r="A90"/>
    </row>
    <row r="91" spans="1:4" ht="20" customHeight="1" x14ac:dyDescent="0.25">
      <c r="A91"/>
    </row>
    <row r="92" spans="1:4" ht="20" customHeight="1" x14ac:dyDescent="0.25">
      <c r="A92"/>
    </row>
    <row r="93" spans="1:4" ht="20" customHeight="1" x14ac:dyDescent="0.25">
      <c r="A93"/>
    </row>
    <row r="94" spans="1:4" ht="20" customHeight="1" x14ac:dyDescent="0.25">
      <c r="A94"/>
    </row>
    <row r="95" spans="1:4" ht="20" customHeight="1" x14ac:dyDescent="0.25">
      <c r="A95"/>
    </row>
    <row r="96" spans="1:4" ht="20" customHeight="1" x14ac:dyDescent="0.25">
      <c r="A96"/>
    </row>
    <row r="97" spans="1:1" ht="20" customHeight="1" x14ac:dyDescent="0.25">
      <c r="A97"/>
    </row>
    <row r="98" spans="1:1" ht="20" customHeight="1" x14ac:dyDescent="0.25">
      <c r="A98"/>
    </row>
    <row r="99" spans="1:1" ht="20" customHeight="1" x14ac:dyDescent="0.25">
      <c r="A99"/>
    </row>
    <row r="100" spans="1:1" ht="20" customHeight="1" x14ac:dyDescent="0.25">
      <c r="A100"/>
    </row>
    <row r="101" spans="1:1" ht="20" customHeight="1" x14ac:dyDescent="0.25">
      <c r="A101"/>
    </row>
    <row r="102" spans="1:1" ht="20" customHeight="1" x14ac:dyDescent="0.25">
      <c r="A102"/>
    </row>
    <row r="103" spans="1:1" ht="20" customHeight="1" x14ac:dyDescent="0.25">
      <c r="A103"/>
    </row>
    <row r="104" spans="1:1" ht="20" customHeight="1" x14ac:dyDescent="0.25">
      <c r="A104"/>
    </row>
    <row r="105" spans="1:1" ht="20" customHeight="1" x14ac:dyDescent="0.25">
      <c r="A105"/>
    </row>
    <row r="106" spans="1:1" ht="20" customHeight="1" x14ac:dyDescent="0.25">
      <c r="A106"/>
    </row>
    <row r="107" spans="1:1" ht="20" customHeight="1" x14ac:dyDescent="0.25">
      <c r="A107"/>
    </row>
    <row r="108" spans="1:1" ht="20" customHeight="1" x14ac:dyDescent="0.25">
      <c r="A108"/>
    </row>
    <row r="109" spans="1:1" ht="20" customHeight="1" x14ac:dyDescent="0.25">
      <c r="A109"/>
    </row>
    <row r="110" spans="1:1" ht="20" customHeight="1" x14ac:dyDescent="0.25">
      <c r="A110"/>
    </row>
    <row r="111" spans="1:1" ht="20" customHeight="1" x14ac:dyDescent="0.25">
      <c r="A111"/>
    </row>
    <row r="112" spans="1:1" ht="20" customHeight="1" x14ac:dyDescent="0.25">
      <c r="A112"/>
    </row>
    <row r="113" spans="1:1" ht="20" customHeight="1" x14ac:dyDescent="0.25">
      <c r="A113"/>
    </row>
    <row r="114" spans="1:1" ht="20" customHeight="1" x14ac:dyDescent="0.25">
      <c r="A114"/>
    </row>
    <row r="115" spans="1:1" ht="20" customHeight="1" x14ac:dyDescent="0.25">
      <c r="A115"/>
    </row>
    <row r="116" spans="1:1" x14ac:dyDescent="0.25" ht="20" customHeight="1">
      <c r="A116"/>
    </row>
    <row r="117" spans="1:1" x14ac:dyDescent="0.25" ht="20" customHeight="1">
      <c r="A117"/>
    </row>
    <row r="118" spans="1:1" x14ac:dyDescent="0.25" ht="20" customHeight="1">
      <c r="A118"/>
    </row>
    <row r="119" spans="1:1" x14ac:dyDescent="0.25" ht="20" customHeight="1">
      <c r="A119"/>
    </row>
    <row r="120" spans="1:1" x14ac:dyDescent="0.25" ht="20" customHeight="1">
      <c r="A120"/>
    </row>
    <row r="121" spans="1:1" x14ac:dyDescent="0.25" ht="20" customHeight="1">
      <c r="A121"/>
    </row>
    <row r="122" spans="1:1" x14ac:dyDescent="0.25" ht="20" customHeight="1">
      <c r="A122"/>
    </row>
    <row r="123" spans="1:1" x14ac:dyDescent="0.25" ht="20" customHeight="1">
      <c r="A123"/>
    </row>
    <row r="124" spans="1:1" x14ac:dyDescent="0.25" ht="20" customHeight="1">
      <c r="A124"/>
    </row>
    <row r="125" spans="1:1" x14ac:dyDescent="0.25" ht="20" customHeight="1">
      <c r="A125"/>
    </row>
    <row r="126" spans="1:1" x14ac:dyDescent="0.25" ht="20" customHeight="1">
      <c r="A126"/>
    </row>
    <row r="127" spans="1:1" x14ac:dyDescent="0.25" ht="20" customHeight="1">
      <c r="A127"/>
    </row>
    <row r="128" spans="1:1" x14ac:dyDescent="0.25" ht="20" customHeight="1">
      <c r="A128"/>
    </row>
    <row r="129" spans="1:1" x14ac:dyDescent="0.25" ht="20" customHeight="1">
      <c r="A129"/>
    </row>
    <row r="130" spans="1:1" x14ac:dyDescent="0.25" ht="20" customHeight="1">
      <c r="A130"/>
    </row>
    <row r="131" spans="1:1" x14ac:dyDescent="0.25" ht="20" customHeight="1">
      <c r="A131"/>
    </row>
    <row r="132" spans="1:1" x14ac:dyDescent="0.25" ht="20" customHeight="1">
      <c r="A132"/>
    </row>
    <row r="133" spans="1:1" x14ac:dyDescent="0.25" ht="20" customHeight="1">
      <c r="A133"/>
    </row>
    <row r="134" spans="1:1" x14ac:dyDescent="0.25" ht="20" customHeight="1">
      <c r="A134"/>
    </row>
    <row r="135" spans="1:1" x14ac:dyDescent="0.25" ht="20" customHeight="1">
      <c r="A135"/>
    </row>
    <row r="136" spans="1:1" x14ac:dyDescent="0.25" ht="20" customHeight="1">
      <c r="A136"/>
    </row>
    <row r="137" spans="1:1" x14ac:dyDescent="0.25" ht="20" customHeight="1">
      <c r="A137"/>
    </row>
    <row r="138" spans="1:1" x14ac:dyDescent="0.25" ht="20" customHeight="1">
      <c r="A138"/>
    </row>
    <row r="139" spans="1:1" x14ac:dyDescent="0.25" ht="20" customHeight="1">
      <c r="A139"/>
    </row>
    <row r="140" spans="1:1" x14ac:dyDescent="0.25" ht="20" customHeight="1">
      <c r="A140"/>
    </row>
    <row r="141" spans="1:1" x14ac:dyDescent="0.25" ht="20" customHeight="1">
      <c r="A141"/>
    </row>
    <row r="142" spans="1:1" x14ac:dyDescent="0.25" ht="20" customHeight="1">
      <c r="A142"/>
    </row>
    <row r="143" spans="1:1" x14ac:dyDescent="0.25" ht="20" customHeight="1">
      <c r="A143"/>
    </row>
    <row r="144" spans="1:1" x14ac:dyDescent="0.25" ht="20" customHeight="1">
      <c r="A144"/>
    </row>
    <row r="145" spans="1:1" x14ac:dyDescent="0.25" ht="20" customHeight="1">
      <c r="A145"/>
    </row>
    <row r="146" spans="1:1" x14ac:dyDescent="0.25" ht="20" customHeight="1">
      <c r="A146"/>
    </row>
    <row r="147" spans="1:1" x14ac:dyDescent="0.25" ht="20" customHeight="1">
      <c r="A147"/>
    </row>
    <row r="148" spans="1:1" x14ac:dyDescent="0.25" ht="20" customHeight="1">
      <c r="A148"/>
    </row>
    <row r="149" spans="1:1" x14ac:dyDescent="0.25" ht="20" customHeight="1">
      <c r="A149"/>
    </row>
    <row r="150" spans="1:1" x14ac:dyDescent="0.25" ht="20" customHeight="1">
      <c r="A150"/>
    </row>
    <row r="151" spans="1:1" x14ac:dyDescent="0.25" ht="20" customHeight="1">
      <c r="A151"/>
    </row>
    <row r="152" spans="1:1" x14ac:dyDescent="0.25" ht="20" customHeight="1">
      <c r="A152"/>
    </row>
    <row r="153" spans="1:1" x14ac:dyDescent="0.25" ht="20" customHeight="1">
      <c r="A153"/>
    </row>
    <row r="154" spans="1:1" x14ac:dyDescent="0.25" ht="20" customHeight="1">
      <c r="A154"/>
    </row>
    <row r="155" spans="1:1" x14ac:dyDescent="0.25" ht="20" customHeight="1">
      <c r="A155"/>
    </row>
    <row r="156" spans="1:1" x14ac:dyDescent="0.25" ht="20" customHeight="1">
      <c r="A156"/>
    </row>
    <row r="157" spans="1:1" x14ac:dyDescent="0.25" ht="20" customHeight="1">
      <c r="A157"/>
    </row>
    <row r="158" spans="1:1" x14ac:dyDescent="0.25" ht="20" customHeight="1">
      <c r="A158"/>
    </row>
    <row r="159" spans="1:1" x14ac:dyDescent="0.25" ht="20" customHeight="1">
      <c r="A159"/>
    </row>
    <row r="160" spans="1:1" x14ac:dyDescent="0.25" ht="20" customHeight="1">
      <c r="A160"/>
    </row>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sheetPr>
    <tabColor theme="5" tint="-0.249977111117893"/>
  </sheetPr>
  <dimension ref="A1:U165"/>
  <sheetViews>
    <sheetView showGridLines="0" topLeftCell="A29" zoomScaleNormal="100" workbookViewId="0">
      <selection activeCell="A24" sqref="A24"/>
    </sheetView>
  </sheetViews>
  <sheetFormatPr defaultRowHeight="20" x14ac:dyDescent="0.25" customHeight="1"/>
  <cols>
    <col min="1" max="1" width="30.7109375" customWidth="1"/>
    <col min="2" max="2" width="4.7109375" customWidth="1"/>
    <col min="3" max="3" width="4.7109375" style="1" customWidth="1"/>
    <col min="4" max="4" width="73.28515625" style="1" customWidth="1"/>
    <col min="5" max="11" width="30.7109375" style="1" customWidth="1"/>
    <col min="12" max="12" width="4.7109375" style="1" customWidth="1"/>
    <col min="13" max="13" width="4.7109375" customWidth="1"/>
    <col min="14" max="14" width="4.7109375" style="55" customWidth="1"/>
    <col min="15" max="20" width="30.7109375" style="55" customWidth="1"/>
    <col min="21" max="21" width="4.7109375" style="55" customWidth="1"/>
  </cols>
  <sheetData>
    <row r="1" spans="1:21" s="63" customFormat="1" ht="30" customHeight="1" x14ac:dyDescent="0.35">
      <c r="A1" s="63" t="e" vm="1">
        <v>#VALUE!</v>
      </c>
      <c r="C1" s="63" t="s">
        <v>146</v>
      </c>
      <c r="N1" s="55"/>
      <c r="O1" s="55"/>
      <c r="P1" s="55"/>
      <c r="Q1" s="55"/>
      <c r="R1" s="55"/>
      <c r="S1" s="55"/>
      <c r="T1" s="55"/>
      <c r="U1" s="55"/>
    </row>
    <row r="2" spans="1:21" s="9" customFormat="1" ht="20" customHeight="1" x14ac:dyDescent="0.25">
      <c r="A2"/>
      <c r="N2" s="55"/>
      <c r="O2" s="55"/>
      <c r="P2" s="55"/>
      <c r="Q2" s="55"/>
      <c r="R2" s="55"/>
      <c r="S2" s="55"/>
      <c r="T2" s="55"/>
      <c r="U2" s="55"/>
    </row>
    <row r="3" spans="1:21" ht="20" customHeight="1" x14ac:dyDescent="0.25">
      <c r="A3" s="17" t="str">
        <f>HYPERLINK("#'Home'!A1", "Home")</f>
        <v>Home</v>
      </c>
      <c r="C3" s="15"/>
      <c r="D3" s="15"/>
      <c r="E3" s="15"/>
      <c r="F3" s="15"/>
      <c r="G3" s="15"/>
      <c r="H3" s="15"/>
      <c r="I3" s="15"/>
      <c r="J3" s="15"/>
      <c r="K3" s="15"/>
      <c r="L3" s="15"/>
    </row>
    <row r="4" spans="1:21" ht="20" customHeight="1" x14ac:dyDescent="0.25">
      <c r="A4" s="17" t="str">
        <f>HYPERLINK("#'Overview'!A1", "Overview")</f>
        <v>Overview</v>
      </c>
    </row>
    <row r="5" spans="1:21" ht="20" customHeight="1" x14ac:dyDescent="0.25">
      <c r="A5" s="17" t="str">
        <f>HYPERLINK("#'Results'!A1", "Results")</f>
        <v>Results</v>
      </c>
      <c r="D5" s="6" t="s">
        <v>150</v>
      </c>
    </row>
    <row r="6" spans="1:21" ht="20" customHeight="1" x14ac:dyDescent="0.25"/>
    <row r="7" spans="1:21" ht="20" customHeight="1" x14ac:dyDescent="0.25">
      <c r="D7" s="61"/>
      <c r="E7" s="40" t="s">
        <v>151</v>
      </c>
      <c r="F7" s="40" t="s">
        <v>152</v>
      </c>
      <c r="G7" s="40" t="s">
        <v>153</v>
      </c>
      <c r="H7" s="40" t="s">
        <v>154</v>
      </c>
    </row>
    <row r="8" spans="1:21" ht="20" customHeight="1" x14ac:dyDescent="0.25">
      <c r="A8" s="19" t="s">
        <v>0</v>
      </c>
      <c r="D8" s="1" t="str">
        <f>"Average number of head between " &amp; TEXT(X_Cell_Site_StartDate, "dd mmm yy") &amp; " and " &amp; TEXT(X_Cell_Site_EndDate, "dd mmm yy")</f>
        <v>Average number of head between 01 Jan 24 and 31 Dec 24</v>
      </c>
      <c r="E8" s="95">
        <v>4300</v>
      </c>
      <c r="F8" s="95">
        <v>100</v>
      </c>
      <c r="G8" s="95">
        <v>100</v>
      </c>
      <c r="H8" s="95">
        <v>100</v>
      </c>
      <c r="I8" s="2" t="s">
        <v>85</v>
      </c>
      <c r="J8" s="2"/>
      <c r="K8" s="2"/>
    </row>
    <row r="9" spans="1:21" ht="20" customHeight="1" x14ac:dyDescent="0.25">
      <c r="A9" s="17" t="str">
        <f>HYPERLINK("#'Input - Site'!A1", "Site")</f>
        <v>Site</v>
      </c>
      <c r="J9" s="2"/>
      <c r="K9" s="2"/>
    </row>
    <row r="10" spans="1:21" ht="20" customHeight="1" x14ac:dyDescent="0.25">
      <c r="A10" s="20" t="str">
        <f>HYPERLINK("#'Input - Other Livestock'!A1", "Other Livestock")</f>
        <v>Other Livestock</v>
      </c>
      <c r="D10" s="1" t="s">
        <v>173</v>
      </c>
      <c r="E10" s="41" t="s">
        <v>147</v>
      </c>
      <c r="F10" s="2" t="s">
        <v>8</v>
      </c>
    </row>
    <row r="11" spans="1:21" ht="20" customHeight="1" x14ac:dyDescent="0.25"/>
    <row r="12" spans="1:21" ht="20" customHeight="1" x14ac:dyDescent="0.25">
      <c r="D12" s="61" t="s">
        <v>16</v>
      </c>
      <c r="E12" s="61" t="s">
        <v>148</v>
      </c>
    </row>
    <row r="13" spans="1:21" ht="20" customHeight="1" x14ac:dyDescent="0.25">
      <c r="A13" s="18" t="s">
        <v>70</v>
      </c>
      <c r="D13" s="1" t="s">
        <v>135</v>
      </c>
      <c r="E13" s="123">
        <f>IF(X_Cell_OtherLivestock_Buffalo_FencedWater="Yes", 1, Common_InputFunctions.Utility_LookupValueInTableNumber(Common_InputFunctions.Utility_ConvertStateCommonNameToAbbreviation(X_Cell_Site_State, Table_AustralianStates[Common Name], Table_AustralianStates[Abbreviation]),Table_SourceData_OtherLivestock_FractionWasteInMMS[Other livestock type],Table_SourceData_OtherLivestock_FractionWasteInMMS[Pasture range and paddock]))/100</f>
        <v>0.99659999999999993</v>
      </c>
      <c r="F13" s="2" t="s">
        <v>149</v>
      </c>
    </row>
    <row r="14" spans="1:21" ht="20" customHeight="1" x14ac:dyDescent="0.25">
      <c r="A14" s="17" t="str">
        <f>HYPERLINK("#'4.7.1.1-2 Manure Methane'!A1", "4.7.1.1-2 Manure Methane")</f>
        <v>4.7.1.1-2 Manure Methane</v>
      </c>
      <c r="D14" s="1" t="s">
        <v>124</v>
      </c>
      <c r="E14" s="123">
        <f>IF(X_Cell_OtherLivestock_Buffalo_FencedWater="Yes", 0, Common_InputFunctions.Utility_LookupValueInTableNumber(Common_InputFunctions.Utility_ConvertStateCommonNameToAbbreviation(X_Cell_Site_State, Table_AustralianStates[Common Name], Table_AustralianStates[Abbreviation]),Table_SourceData_OtherLivestock_FractionWasteInMMS[Other livestock type],Table_SourceData_OtherLivestock_FractionWasteInMMS[Uncovered anaerobic lagoon]))/100</f>
        <v>3.4000000000000002E-3</v>
      </c>
      <c r="F14" s="2" t="s">
        <v>149</v>
      </c>
    </row>
    <row r="15" spans="1:21" ht="20" customHeight="1" x14ac:dyDescent="0.25">
      <c r="A15" s="17" t="str">
        <f>HYPERLINK("#'4.7.1.3-4 Soil Direct N2O'!A1", "4.7.1.3-4 Soil Direct N2O")</f>
        <v>4.7.1.3-4 Soil Direct N2O</v>
      </c>
    </row>
    <row r="16" spans="1:21" ht="20" customHeight="1" x14ac:dyDescent="0.25">
      <c r="A16" s="17" t="str">
        <f>HYPERLINK("#'4.7.1.5-6 Soil Atmos Deposition'!A1", "4.7.1.5-6 Soil Atmos Deposition")</f>
        <v>4.7.1.5-6 Soil Atmos Deposition</v>
      </c>
      <c r="D16" s="1" t="s">
        <v>207</v>
      </c>
      <c r="E16" s="41" t="s">
        <v>100</v>
      </c>
      <c r="F16" s="2" t="s">
        <v>8</v>
      </c>
    </row>
    <row r="17" spans="1:11" ht="20" customHeight="1" x14ac:dyDescent="0.25">
      <c r="A17" s="17" t="str">
        <f>HYPERLINK("#'4.7.1.7-8 Soil Leaching Runoff'!A1", "4.7.1.7-8 Soil Leaching Runoff")</f>
        <v>4.7.1.7-8 Soil Leaching Runoff</v>
      </c>
      <c r="E17" s="41" t="s">
        <v>103</v>
      </c>
      <c r="F17" s="2" t="s">
        <v>8</v>
      </c>
    </row>
    <row r="18" spans="1:11" ht="20" customHeight="1" x14ac:dyDescent="0.25"/>
    <row r="19" spans="1:11" ht="20" customHeight="1" x14ac:dyDescent="0.25">
      <c r="D19" s="6" t="s">
        <v>155</v>
      </c>
    </row>
    <row r="20" spans="1:11" ht="20" customHeight="1" x14ac:dyDescent="0.25">
      <c r="A20" s="124" t="s">
        <v>1</v>
      </c>
    </row>
    <row r="21" spans="1:11" ht="20" customHeight="1" x14ac:dyDescent="0.25">
      <c r="A21" s="17" t="str">
        <f>HYPERLINK("#'Constants - Other Livestock'!A1", "Constants - Other Livestock")</f>
        <v>Constants - Other Livestock</v>
      </c>
      <c r="D21" s="61"/>
      <c r="E21" s="40" t="s">
        <v>156</v>
      </c>
      <c r="F21" s="40" t="s">
        <v>157</v>
      </c>
      <c r="G21" s="40" t="s">
        <v>158</v>
      </c>
      <c r="H21" s="40" t="s">
        <v>159</v>
      </c>
      <c r="I21" s="40" t="s">
        <v>160</v>
      </c>
      <c r="J21" s="40" t="s">
        <v>161</v>
      </c>
    </row>
    <row r="22" spans="1:11" ht="20" customHeight="1" x14ac:dyDescent="0.25">
      <c r="A22" s="17" t="str">
        <f>HYPERLINK("#'Constants - Livestock'!A1", "Constants - Livestock")</f>
        <v>Constants - Livestock</v>
      </c>
      <c r="D22" s="1" t="str">
        <f>"Average number of head between " &amp; TEXT(X_Cell_Site_StartDate, "dd mmm yy") &amp; " and " &amp; TEXT(X_Cell_Site_EndDate, "dd mmm yy")</f>
        <v>Average number of head between 01 Jan 24 and 31 Dec 24</v>
      </c>
      <c r="E22" s="95">
        <v>4300</v>
      </c>
      <c r="F22" s="95">
        <v>100</v>
      </c>
      <c r="G22" s="95">
        <v>100</v>
      </c>
      <c r="H22" s="95">
        <v>100</v>
      </c>
      <c r="I22" s="95">
        <v>100</v>
      </c>
      <c r="J22" s="95">
        <v>100</v>
      </c>
      <c r="K22" s="2" t="s">
        <v>85</v>
      </c>
    </row>
    <row r="23" spans="1:11" ht="20" customHeight="1" x14ac:dyDescent="0.25">
      <c r="A23" s="17" t="str">
        <f>HYPERLINK("#'Constants - Common'!A1", "Constants - Common")</f>
        <v>Constants - Common</v>
      </c>
      <c r="J23" s="2"/>
      <c r="K23" s="2"/>
    </row>
    <row r="24" spans="1:11" ht="20" customHeight="1" x14ac:dyDescent="0.25">
      <c r="A24" s="17" t="str">
        <f>HYPERLINK("#'Acknowledgements'!A1", "Acknowledgements")</f>
        <v>Acknowledgements</v>
      </c>
      <c r="D24" s="1" t="s">
        <v>174</v>
      </c>
      <c r="E24" s="41" t="s">
        <v>147</v>
      </c>
      <c r="F24" s="2" t="s">
        <v>8</v>
      </c>
      <c r="J24" s="2"/>
      <c r="K24" s="2"/>
    </row>
    <row r="25" spans="1:11" ht="20" customHeight="1" x14ac:dyDescent="0.25">
      <c r="K25" s="2"/>
    </row>
    <row r="26" spans="1:11" ht="20" customHeight="1" x14ac:dyDescent="0.25">
      <c r="D26" s="61" t="s">
        <v>16</v>
      </c>
      <c r="E26" s="61" t="s">
        <v>148</v>
      </c>
    </row>
    <row r="27" spans="1:11" ht="20" customHeight="1" x14ac:dyDescent="0.25">
      <c r="D27" s="1" t="s">
        <v>135</v>
      </c>
      <c r="E27" s="123">
        <f>IF(X_Cell_OtherLivestock_Goats_FencedWater="Yes", 1, Common_InputFunctions.Utility_LookupValueInTableNumber(Common_InputFunctions.Utility_ConvertStateCommonNameToAbbreviation(X_Cell_Site_State, Table_AustralianStates[Common Name], Table_AustralianStates[Abbreviation]),Table_SourceData_OtherLivestock_FractionWasteInMMS[Other livestock type],Table_SourceData_OtherLivestock_FractionWasteInMMS[Pasture range and paddock]))/100</f>
        <v>0.99659999999999993</v>
      </c>
      <c r="F27" s="2" t="s">
        <v>149</v>
      </c>
    </row>
    <row r="28" spans="1:11" ht="20" customHeight="1" x14ac:dyDescent="0.25">
      <c r="D28" s="1" t="s">
        <v>124</v>
      </c>
      <c r="E28" s="123">
        <f>IF(X_Cell_OtherLivestock_Goats_FencedWater="Yes", 0, Common_InputFunctions.Utility_LookupValueInTableNumber(Common_InputFunctions.Utility_ConvertStateCommonNameToAbbreviation(X_Cell_Site_State, Table_AustralianStates[Common Name], Table_AustralianStates[Abbreviation]),Table_SourceData_OtherLivestock_FractionWasteInMMS[Other livestock type],Table_SourceData_OtherLivestock_FractionWasteInMMS[Uncovered anaerobic lagoon]))/100</f>
        <v>3.4000000000000002E-3</v>
      </c>
      <c r="F28" s="2" t="s">
        <v>149</v>
      </c>
      <c r="K28" s="2"/>
    </row>
    <row r="29" spans="1:11" ht="20" customHeight="1" x14ac:dyDescent="0.25">
      <c r="K29" s="2"/>
    </row>
    <row r="30" spans="1:11" ht="20" customHeight="1" x14ac:dyDescent="0.25">
      <c r="D30" s="1" t="s">
        <v>208</v>
      </c>
      <c r="E30" s="41" t="s">
        <v>100</v>
      </c>
      <c r="F30" s="2" t="s">
        <v>8</v>
      </c>
      <c r="K30" s="2"/>
    </row>
    <row r="31" spans="1:11" ht="20" customHeight="1" x14ac:dyDescent="0.25">
      <c r="E31" s="41" t="s">
        <v>103</v>
      </c>
      <c r="F31" s="2" t="s">
        <v>8</v>
      </c>
    </row>
    <row r="32" spans="1:11" ht="20" customHeight="1" x14ac:dyDescent="0.25"/>
    <row r="33" spans="4:11" ht="20" customHeight="1" x14ac:dyDescent="0.25">
      <c r="D33" s="6" t="s">
        <v>162</v>
      </c>
      <c r="K33" s="2"/>
    </row>
    <row r="34" spans="4:11" ht="20" customHeight="1" x14ac:dyDescent="0.25"/>
    <row r="35" spans="4:11" ht="20" customHeight="1" x14ac:dyDescent="0.25">
      <c r="D35" s="61"/>
      <c r="E35" s="40" t="s">
        <v>163</v>
      </c>
      <c r="F35" s="40" t="s">
        <v>164</v>
      </c>
      <c r="G35" s="40" t="s">
        <v>165</v>
      </c>
      <c r="H35" s="40" t="s">
        <v>166</v>
      </c>
    </row>
    <row r="36" spans="4:11" ht="20" customHeight="1" x14ac:dyDescent="0.25">
      <c r="D36" s="1" t="str">
        <f>"Average number of head between " &amp; TEXT(X_Cell_Site_StartDate, "dd mmm yy") &amp; " and " &amp; TEXT(X_Cell_Site_EndDate, "dd mmm yy")</f>
        <v>Average number of head between 01 Jan 24 and 31 Dec 24</v>
      </c>
      <c r="E36" s="95">
        <v>4300</v>
      </c>
      <c r="F36" s="95">
        <v>100</v>
      </c>
      <c r="G36" s="95">
        <v>100</v>
      </c>
      <c r="H36" s="95">
        <v>100</v>
      </c>
      <c r="I36" s="2" t="s">
        <v>85</v>
      </c>
    </row>
    <row r="37" spans="4:11" ht="20" customHeight="1" x14ac:dyDescent="0.25"/>
    <row r="38" spans="4:11" ht="20" customHeight="1" x14ac:dyDescent="0.25">
      <c r="D38" s="1" t="s">
        <v>175</v>
      </c>
      <c r="E38" s="41" t="s">
        <v>147</v>
      </c>
      <c r="F38" s="2" t="s">
        <v>8</v>
      </c>
    </row>
    <row r="39" spans="4:11" ht="20" customHeight="1" x14ac:dyDescent="0.25">
      <c r="J39" s="2"/>
    </row>
    <row r="40" spans="4:11" ht="20" customHeight="1" x14ac:dyDescent="0.25">
      <c r="D40" s="61" t="s">
        <v>16</v>
      </c>
      <c r="E40" s="61" t="s">
        <v>148</v>
      </c>
    </row>
    <row r="41" spans="4:11" ht="20" customHeight="1" x14ac:dyDescent="0.25">
      <c r="D41" s="1" t="s">
        <v>135</v>
      </c>
      <c r="E41" s="123">
        <f>IF(X_Cell_OtherLivestock_Deer_FencedWater="Yes", 1, Common_InputFunctions.Utility_LookupValueInTableNumber(Common_InputFunctions.Utility_ConvertStateCommonNameToAbbreviation(X_Cell_Site_State, Table_AustralianStates[Common Name], Table_AustralianStates[Abbreviation]),Table_SourceData_OtherLivestock_FractionWasteInMMS[Other livestock type],Table_SourceData_OtherLivestock_FractionWasteInMMS[Pasture range and paddock]))/100</f>
        <v>0.99659999999999993</v>
      </c>
      <c r="F41" s="2" t="s">
        <v>149</v>
      </c>
    </row>
    <row r="42" spans="4:11" ht="20" customHeight="1" x14ac:dyDescent="0.25">
      <c r="D42" s="1" t="s">
        <v>124</v>
      </c>
      <c r="E42" s="123">
        <f>IF(X_Cell_OtherLivestock_Deer_FencedWater="Yes", 0, Common_InputFunctions.Utility_LookupValueInTableNumber(Common_InputFunctions.Utility_ConvertStateCommonNameToAbbreviation(X_Cell_Site_State, Table_AustralianStates[Common Name], Table_AustralianStates[Abbreviation]),Table_SourceData_OtherLivestock_FractionWasteInMMS[Other livestock type],Table_SourceData_OtherLivestock_FractionWasteInMMS[Uncovered anaerobic lagoon]))/100</f>
        <v>3.4000000000000002E-3</v>
      </c>
      <c r="F42" s="2" t="s">
        <v>149</v>
      </c>
      <c r="J42" s="2"/>
    </row>
    <row r="43" spans="4:11" ht="20" customHeight="1" x14ac:dyDescent="0.25">
      <c r="J43" s="2"/>
    </row>
    <row r="44" spans="4:11" ht="20" customHeight="1" x14ac:dyDescent="0.25">
      <c r="D44" s="1" t="s">
        <v>209</v>
      </c>
      <c r="E44" s="41" t="s">
        <v>100</v>
      </c>
      <c r="F44" s="2" t="s">
        <v>8</v>
      </c>
      <c r="J44" s="2"/>
    </row>
    <row r="45" spans="4:11" ht="20" customHeight="1" x14ac:dyDescent="0.25">
      <c r="E45" s="41" t="s">
        <v>103</v>
      </c>
      <c r="F45" s="2" t="s">
        <v>8</v>
      </c>
    </row>
    <row r="46" spans="4:11" ht="20" customHeight="1" x14ac:dyDescent="0.25"/>
    <row r="47" spans="4:11" ht="20" customHeight="1" x14ac:dyDescent="0.25">
      <c r="D47" s="6" t="s">
        <v>167</v>
      </c>
      <c r="J47" s="2"/>
      <c r="K47" s="2"/>
    </row>
    <row r="48" spans="4:11" ht="20" customHeight="1" x14ac:dyDescent="0.25">
      <c r="K48" s="2"/>
    </row>
    <row r="49" spans="4:11" ht="20" customHeight="1" x14ac:dyDescent="0.25">
      <c r="D49" s="61"/>
      <c r="E49" s="40" t="s">
        <v>168</v>
      </c>
      <c r="F49" s="40" t="s">
        <v>169</v>
      </c>
      <c r="G49" s="40" t="s">
        <v>170</v>
      </c>
      <c r="H49" s="40" t="s">
        <v>171</v>
      </c>
      <c r="I49" s="40" t="s">
        <v>172</v>
      </c>
    </row>
    <row r="50" spans="4:11" ht="20" customHeight="1" x14ac:dyDescent="0.25">
      <c r="D50" s="1" t="str">
        <f>"Average number of head between " &amp; TEXT(X_Cell_Site_StartDate, "dd mmm yy") &amp; " and " &amp; TEXT(X_Cell_Site_EndDate, "dd mmm yy")</f>
        <v>Average number of head between 01 Jan 24 and 31 Dec 24</v>
      </c>
      <c r="E50" s="95">
        <v>4300</v>
      </c>
      <c r="F50" s="95">
        <v>100</v>
      </c>
      <c r="G50" s="95">
        <v>100</v>
      </c>
      <c r="H50" s="95">
        <v>100</v>
      </c>
      <c r="I50" s="95">
        <v>100</v>
      </c>
      <c r="J50" s="2" t="s">
        <v>85</v>
      </c>
    </row>
    <row r="51" spans="4:11" ht="20" customHeight="1" x14ac:dyDescent="0.25"/>
    <row r="52" spans="4:11" ht="20" customHeight="1" x14ac:dyDescent="0.25">
      <c r="D52" s="1" t="s">
        <v>176</v>
      </c>
      <c r="E52" s="41" t="s">
        <v>147</v>
      </c>
      <c r="F52" s="41" t="s">
        <v>147</v>
      </c>
      <c r="G52" s="41" t="s">
        <v>147</v>
      </c>
      <c r="H52" s="41" t="s">
        <v>147</v>
      </c>
      <c r="I52" s="41" t="s">
        <v>147</v>
      </c>
      <c r="J52" s="2" t="s">
        <v>8</v>
      </c>
    </row>
    <row r="53" spans="4:11" ht="20" customHeight="1" x14ac:dyDescent="0.25">
      <c r="K53" s="2"/>
    </row>
    <row r="54" spans="4:11" ht="20" customHeight="1" x14ac:dyDescent="0.25">
      <c r="D54" s="61" t="s">
        <v>16</v>
      </c>
      <c r="E54" s="40" t="s">
        <v>168</v>
      </c>
      <c r="F54" s="40" t="s">
        <v>169</v>
      </c>
      <c r="G54" s="40" t="s">
        <v>170</v>
      </c>
      <c r="H54" s="40" t="s">
        <v>171</v>
      </c>
      <c r="I54" s="40" t="s">
        <v>172</v>
      </c>
      <c r="K54" s="2"/>
    </row>
    <row r="55" spans="4:11" ht="20" customHeight="1" x14ac:dyDescent="0.25">
      <c r="D55" s="1" t="s">
        <v>135</v>
      </c>
      <c r="E55" s="123">
        <f>IF(X_Cell_OtherLivestock_Others_Camels_FencedWater="Yes", 1, Common_InputFunctions.Utility_LookupValueInTableNumber(Common_InputFunctions.Utility_ConvertStateCommonNameToAbbreviation(X_Cell_Site_State, Table_AustralianStates[Common Name], Table_AustralianStates[Abbreviation]),Table_SourceData_OtherLivestock_FractionWasteInMMS[Other livestock type],Table_SourceData_OtherLivestock_FractionWasteInMMS[Pasture range and paddock]))/100</f>
        <v>0.99659999999999993</v>
      </c>
      <c r="F55" s="123">
        <f>IF(X_Cell_OtherLivestock_Others_Alpacas_FencedWater="Yes", 1, Common_InputFunctions.Utility_LookupValueInTableNumber(Common_InputFunctions.Utility_ConvertStateCommonNameToAbbreviation(X_Cell_Site_State, Table_AustralianStates[Common Name], Table_AustralianStates[Abbreviation]),Table_SourceData_OtherLivestock_FractionWasteInMMS[Other livestock type],Table_SourceData_OtherLivestock_FractionWasteInMMS[Pasture range and paddock]))/100</f>
        <v>0.99659999999999993</v>
      </c>
      <c r="G55" s="123">
        <f>IF(X_Cell_OtherLivestock_Others_Horses_FencedWater="Yes", 1, Common_InputFunctions.Utility_LookupValueInTableNumber(Common_InputFunctions.Utility_ConvertStateCommonNameToAbbreviation(X_Cell_Site_State, Table_AustralianStates[Common Name], Table_AustralianStates[Abbreviation]),Table_SourceData_OtherLivestock_FractionWasteInMMS[Other livestock type],Table_SourceData_OtherLivestock_FractionWasteInMMS[Pasture range and paddock]))/100</f>
        <v>0.99659999999999993</v>
      </c>
      <c r="H55" s="123">
        <f>IF(X_Cell_OtherLivestock_Others_Horses_FencedWater="Yes", 1, Common_InputFunctions.Utility_LookupValueInTableNumber(Common_InputFunctions.Utility_ConvertStateCommonNameToAbbreviation(X_Cell_Site_State, Table_AustralianStates[Common Name], Table_AustralianStates[Abbreviation]),Table_SourceData_OtherLivestock_FractionWasteInMMS[Other livestock type],Table_SourceData_OtherLivestock_FractionWasteInMMS[Pasture range and paddock]))/100</f>
        <v>0.99659999999999993</v>
      </c>
      <c r="I55" s="123">
        <f>IF(X_Cell_OtherLivestock_Others_Horses_FencedWater="Yes", 1, Common_InputFunctions.Utility_LookupValueInTableNumber(Common_InputFunctions.Utility_ConvertStateCommonNameToAbbreviation(X_Cell_Site_State, Table_AustralianStates[Common Name], Table_AustralianStates[Abbreviation]),Table_SourceData_OtherLivestock_FractionWasteInMMS[Other livestock type],Table_SourceData_OtherLivestock_FractionWasteInMMS[Pasture range and paddock]))/100</f>
        <v>0.99659999999999993</v>
      </c>
      <c r="J55" s="2" t="s">
        <v>122</v>
      </c>
      <c r="K55" s="2"/>
    </row>
    <row r="56" spans="4:11" ht="20" customHeight="1" x14ac:dyDescent="0.25">
      <c r="D56" s="1" t="s">
        <v>124</v>
      </c>
      <c r="E56" s="123">
        <f>IF(X_Cell_OtherLivestock_Others_Camels_FencedWater="Yes", 0, Common_InputFunctions.Utility_LookupValueInTableNumber(Common_InputFunctions.Utility_ConvertStateCommonNameToAbbreviation(X_Cell_Site_State, Table_AustralianStates[Common Name], Table_AustralianStates[Abbreviation]),Table_SourceData_OtherLivestock_FractionWasteInMMS[Other livestock type],Table_SourceData_OtherLivestock_FractionWasteInMMS[Uncovered anaerobic lagoon]))/100</f>
        <v>3.4000000000000002E-3</v>
      </c>
      <c r="F56" s="123">
        <f>IF(X_Cell_OtherLivestock_Others_Alpacas_FencedWater="Yes", 0, Common_InputFunctions.Utility_LookupValueInTableNumber(Common_InputFunctions.Utility_ConvertStateCommonNameToAbbreviation(X_Cell_Site_State, Table_AustralianStates[Common Name], Table_AustralianStates[Abbreviation]),Table_SourceData_OtherLivestock_FractionWasteInMMS[Other livestock type],Table_SourceData_OtherLivestock_FractionWasteInMMS[Uncovered anaerobic lagoon]))/100</f>
        <v>3.4000000000000002E-3</v>
      </c>
      <c r="G56" s="123">
        <f>IF(X_Cell_OtherLivestock_Others_Horses_FencedWater="Yes", 0, Common_InputFunctions.Utility_LookupValueInTableNumber(Common_InputFunctions.Utility_ConvertStateCommonNameToAbbreviation(X_Cell_Site_State, Table_AustralianStates[Common Name], Table_AustralianStates[Abbreviation]),Table_SourceData_OtherLivestock_FractionWasteInMMS[Other livestock type],Table_SourceData_OtherLivestock_FractionWasteInMMS[Uncovered anaerobic lagoon]))/100</f>
        <v>3.4000000000000002E-3</v>
      </c>
      <c r="H56" s="123">
        <f>IF(X_Cell_OtherLivestock_Others_Horses_FencedWater="Yes", 0, Common_InputFunctions.Utility_LookupValueInTableNumber(Common_InputFunctions.Utility_ConvertStateCommonNameToAbbreviation(X_Cell_Site_State, Table_AustralianStates[Common Name], Table_AustralianStates[Abbreviation]),Table_SourceData_OtherLivestock_FractionWasteInMMS[Other livestock type],Table_SourceData_OtherLivestock_FractionWasteInMMS[Uncovered anaerobic lagoon]))/100</f>
        <v>3.4000000000000002E-3</v>
      </c>
      <c r="I56" s="123">
        <f>IF(X_Cell_OtherLivestock_Others_Horses_FencedWater="Yes", 0, Common_InputFunctions.Utility_LookupValueInTableNumber(Common_InputFunctions.Utility_ConvertStateCommonNameToAbbreviation(X_Cell_Site_State, Table_AustralianStates[Common Name], Table_AustralianStates[Abbreviation]),Table_SourceData_OtherLivestock_FractionWasteInMMS[Other livestock type],Table_SourceData_OtherLivestock_FractionWasteInMMS[Uncovered anaerobic lagoon]))/100</f>
        <v>3.4000000000000002E-3</v>
      </c>
      <c r="J56" s="2" t="s">
        <v>122</v>
      </c>
    </row>
    <row r="57" spans="4:11" ht="20" customHeight="1" x14ac:dyDescent="0.25">
      <c r="I57" s="2"/>
      <c r="J57" s="2"/>
    </row>
    <row r="58" spans="4:11" ht="20" customHeight="1" x14ac:dyDescent="0.25">
      <c r="D58" s="1" t="s">
        <v>205</v>
      </c>
      <c r="E58" s="41" t="s">
        <v>100</v>
      </c>
      <c r="F58" s="41" t="s">
        <v>100</v>
      </c>
      <c r="G58" s="41" t="s">
        <v>212</v>
      </c>
      <c r="H58" s="41" t="s">
        <v>212</v>
      </c>
      <c r="I58" s="41" t="s">
        <v>100</v>
      </c>
      <c r="J58" s="2" t="s">
        <v>8</v>
      </c>
      <c r="K58" s="2"/>
    </row>
    <row r="59" spans="4:11" ht="20" customHeight="1" x14ac:dyDescent="0.25">
      <c r="E59" s="41" t="s">
        <v>104</v>
      </c>
      <c r="F59" s="41" t="s">
        <v>105</v>
      </c>
      <c r="G59" s="41" t="s">
        <v>103</v>
      </c>
      <c r="H59" s="41" t="s">
        <v>106</v>
      </c>
      <c r="I59" s="41" t="s">
        <v>103</v>
      </c>
      <c r="J59" s="2" t="s">
        <v>8</v>
      </c>
    </row>
    <row r="60" spans="4:11" ht="20" customHeight="1" x14ac:dyDescent="0.25"/>
    <row r="61" spans="4:11" ht="20" customHeight="1" x14ac:dyDescent="0.25"/>
    <row r="62" spans="4:11" ht="20" customHeight="1" x14ac:dyDescent="0.25"/>
    <row r="63" spans="4:11" ht="20" customHeight="1" x14ac:dyDescent="0.25"/>
    <row r="64" spans="4:11" ht="20" customHeight="1" x14ac:dyDescent="0.25"/>
    <row r="65" ht="20" customHeight="1" x14ac:dyDescent="0.25"/>
    <row r="66" ht="20" customHeight="1" x14ac:dyDescent="0.25"/>
    <row r="67" ht="20" customHeight="1" x14ac:dyDescent="0.25"/>
    <row r="68" ht="20" customHeight="1" x14ac:dyDescent="0.25"/>
    <row r="69" ht="20" customHeight="1" x14ac:dyDescent="0.25"/>
    <row r="70" ht="20" customHeight="1" x14ac:dyDescent="0.25"/>
    <row r="71" ht="20" customHeight="1" x14ac:dyDescent="0.25"/>
    <row r="72" ht="20" customHeight="1" x14ac:dyDescent="0.25"/>
    <row r="73" ht="20" customHeight="1" x14ac:dyDescent="0.25"/>
    <row r="74" ht="20" customHeight="1" x14ac:dyDescent="0.25"/>
    <row r="75" ht="20" customHeight="1" x14ac:dyDescent="0.25"/>
    <row r="76" ht="20" customHeight="1" x14ac:dyDescent="0.25"/>
    <row r="77" ht="20" customHeight="1" x14ac:dyDescent="0.25"/>
    <row r="78" ht="20" customHeight="1" x14ac:dyDescent="0.25"/>
    <row r="79" ht="20" customHeight="1" x14ac:dyDescent="0.25"/>
    <row r="80"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sheetData>
  <dataValidations count="3">
    <dataValidation type="list" allowBlank="1" showInputMessage="1" showErrorMessage="1" sqref="E10 E24 E38 E52:I52" xr:uid="{ABE6F181-36EF-4BE7-BF40-DC01A8EBEDC2}">
      <formula1>"Yes, No"</formula1>
    </dataValidation>
    <dataValidation type="list" allowBlank="1" showInputMessage="1" showErrorMessage="1" sqref="E16 E30 E44 E58:I58" xr:uid="{47188BDD-8008-4E39-9815-C8B51ACE1B73}">
      <formula1>INDIRECT("Table_SourceData_OtherLivestock_CropProdSystems[Production system]")</formula1>
    </dataValidation>
    <dataValidation type="list" allowBlank="1" showInputMessage="1" showErrorMessage="1" sqref="E17 E31 E45 E59:I59" xr:uid="{084D7279-A83C-482F-8EB4-21628242A8E7}">
      <formula1>INDIRECT("Table_SourceData_OtherLivestock_IrrigationMethods[Irrigation method]")</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sheetPr>
    <tabColor rgb="FF008000"/>
  </sheetPr>
  <dimension ref="A1:U183"/>
  <sheetViews>
    <sheetView showGridLines="0" topLeftCell="A101" zoomScaleNormal="100" workbookViewId="0">
      <selection activeCell="A24" sqref="A24"/>
    </sheetView>
  </sheetViews>
  <sheetFormatPr defaultRowHeight="20" x14ac:dyDescent="0.25" customHeight="1"/>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3" t="e" vm="1">
        <v>#VALUE!</v>
      </c>
      <c r="C1" s="8" t="s">
        <v>234</v>
      </c>
      <c r="L1"/>
    </row>
    <row r="2" spans="1:21" s="9" customFormat="1" ht="20" customHeight="1" x14ac:dyDescent="0.25">
      <c r="A2"/>
      <c r="L2"/>
    </row>
    <row r="3" spans="1:21" ht="20" customHeight="1" x14ac:dyDescent="0.25">
      <c r="A3" s="17" t="str">
        <f>HYPERLINK("#'Home'!A1", "Home")</f>
        <v>Home</v>
      </c>
      <c r="C3" s="4"/>
      <c r="D3" s="4" t="s">
        <v>88</v>
      </c>
      <c r="E3" s="4"/>
      <c r="F3" s="4"/>
      <c r="G3" s="4"/>
      <c r="H3" s="4"/>
      <c r="I3" s="4"/>
      <c r="J3" s="4"/>
      <c r="K3" s="4"/>
      <c r="M3" s="4"/>
      <c r="N3" s="4" t="s">
        <v>89</v>
      </c>
      <c r="O3" s="4"/>
      <c r="P3" s="4"/>
      <c r="Q3" s="4"/>
      <c r="R3" s="4"/>
      <c r="S3" s="4"/>
      <c r="T3" s="4"/>
      <c r="U3" s="4"/>
    </row>
    <row r="4" spans="1:21" ht="20" customHeight="1" x14ac:dyDescent="0.25">
      <c r="A4" s="17" t="str">
        <f>HYPERLINK("#'Overview'!A1", "Overview")</f>
        <v>Overview</v>
      </c>
    </row>
    <row r="5" spans="1:21" ht="20" customHeight="1" x14ac:dyDescent="0.25">
      <c r="A5" s="17" t="str">
        <f>HYPERLINK("#'Results'!A1", "Results")</f>
        <v>Results</v>
      </c>
      <c r="D5" s="6" t="str" cm="1">
        <f t="array" ref="D5">MMS_OtherLivestock_Methane_Equations.VEERG_4_7_1_1__2_AnnualMethaneProductionFromManureManagement_Title()</f>
        <v>Annual methane production from manure management</v>
      </c>
    </row>
    <row r="6" spans="1:21" ht="20" customHeight="1" x14ac:dyDescent="0.25">
      <c r="D6" s="5" t="str" cm="1">
        <f t="array" ref="D6">MMS_OtherLivestock_Methane_Equations.VEERG_4_7_1_1__2_AnnualMethaneProductionFromManureManagement_Source()</f>
        <v>VEERG 2026: 4.7.1.1, Equation (2)</v>
      </c>
    </row>
    <row r="7" spans="1:21" ht="20" customHeight="1" x14ac:dyDescent="0.25">
      <c r="D7" s="13" t="s">
        <v>22</v>
      </c>
      <c r="E7" s="13" t="str" cm="1">
        <f t="array" aca="1" ref="E7" ca="1">Common_InputFunctions.Utility_DisplayFunctionName(E65)</f>
        <v>=MMS_OtherLivestock_Methane_Equations.VEERG_4_7_1_1__2_AnnualMethaneProductionFromManureManagement</v>
      </c>
    </row>
    <row r="8" spans="1:21" ht="20" customHeight="1" x14ac:dyDescent="0.25">
      <c r="A8" s="19" t="s">
        <v>0</v>
      </c>
    </row>
    <row r="9" spans="1:21" ht="20" customHeight="1" x14ac:dyDescent="0.25">
      <c r="A9" s="17" t="str">
        <f>HYPERLINK("#'Input - Site'!A1", "Site")</f>
        <v>Site</v>
      </c>
    </row>
    <row r="10" spans="1:21" ht="20" customHeight="1" x14ac:dyDescent="0.25">
      <c r="A10" s="17" t="str">
        <f>HYPERLINK("#'Input - Other Livestock'!A1", "Other Livestock")</f>
        <v>Other Livestock</v>
      </c>
      <c r="D10" s="52" t="s">
        <v>25</v>
      </c>
      <c r="E10" s="1" t="str" cm="1">
        <f t="array" ref="E10">MMS_OtherLivestock_Methane_Equations.VEERG_4_7_1_1__2_AnnualMethaneProductionFromManureManagement_Variable()</f>
        <v>M_jm</v>
      </c>
    </row>
    <row r="11" spans="1:21" ht="20" customHeight="1" x14ac:dyDescent="0.25">
      <c r="D11" s="52" t="s">
        <v>15</v>
      </c>
      <c r="E11" s="53" t="str" cm="1">
        <f t="array" ref="E11">MMS_OtherLivestock_Methane_Equations.VEERG_4_7_1_1__2_AnnualMethaneProductionFromManureManagement_Unit()</f>
        <v>kg CH4/head/day</v>
      </c>
    </row>
    <row r="12" spans="1:21" ht="20" customHeight="1" x14ac:dyDescent="0.25"/>
    <row r="13" spans="1:21" ht="20" customHeight="1" x14ac:dyDescent="0.25">
      <c r="A13" s="18" t="s">
        <v>70</v>
      </c>
      <c r="D13" s="113" t="str" cm="1">
        <f t="array" ref="D13:E18">_xlfn.CHOOSECOLS(MMS_OtherLivestock_Methane_Equations.VEERG_4_7_1_1__2_AnnualMethaneProductionFromManureManagement_Arguments(),1,2)</f>
        <v>VS_j</v>
      </c>
      <c r="E13" s="116" t="str">
        <v>volatile solid production</v>
      </c>
      <c r="F13" s="117"/>
      <c r="G13" s="115"/>
      <c r="H13" s="113" t="str" cm="1">
        <f t="array" ref="H13:I18">_xlfn.CHOOSECOLS(MMS_OtherLivestock_Methane_Equations.VEERG_4_7_1_1__2_AnnualMethaneProductionFromManureManagement_Arguments(),3,4)</f>
        <v>kg/head/day</v>
      </c>
      <c r="I13" s="112" t="str">
        <v>Constant</v>
      </c>
      <c r="J13" s="114" t="str" cm="1">
        <f t="array" aca="1" ref="J13" ca="1">HYPERLINK(Common_InputFunctions.Utility_SourceHyperlink($D$20),$D$20)</f>
        <v>Table_VS_j</v>
      </c>
      <c r="N13" s="113" t="str" cm="1">
        <f t="array" ref="N13:O18">_xlfn.CHOOSECOLS(MMS_OtherLivestock_Methane_Equations.VEERG_4_7_1_1__2_AnnualMethaneProductionFromManureManagement_Arguments_Method2(),1,2)</f>
        <v>VS_j</v>
      </c>
      <c r="O13" s="116" t="str">
        <v>volatile solid production</v>
      </c>
      <c r="P13" s="117"/>
      <c r="Q13" s="115"/>
      <c r="R13" s="113" t="str" cm="1">
        <f t="array" ref="R13:S18">_xlfn.CHOOSECOLS(MMS_OtherLivestock_Methane_Equations.VEERG_4_7_1_1__2_AnnualMethaneProductionFromManureManagement_Arguments_Method2(),3,4)</f>
        <v>kg/head/day</v>
      </c>
      <c r="S13" s="112" t="str">
        <v>Constant</v>
      </c>
      <c r="T13" s="114"/>
    </row>
    <row r="14" spans="1:21" ht="20" customHeight="1" x14ac:dyDescent="0.25">
      <c r="A14" s="21" t="str">
        <f>HYPERLINK("#'4.7.1.1-2 Manure Methane'!A1", "4.7.1.1-2 Manure Methane")</f>
        <v>4.7.1.1-2 Manure Methane</v>
      </c>
      <c r="D14" s="113" t="str">
        <v>B_O</v>
      </c>
      <c r="E14" s="116" t="str">
        <v>methane emissions potential</v>
      </c>
      <c r="F14" s="117"/>
      <c r="G14" s="115"/>
      <c r="H14" s="113" t="str">
        <v>m3 CH4/kg VS</v>
      </c>
      <c r="I14" s="112" t="str">
        <v>Constant</v>
      </c>
      <c r="J14" s="114" t="str" cm="1">
        <f t="array" aca="1" ref="J14" ca="1">HYPERLINK(Common_InputFunctions.Utility_SourceHyperlink($D$32),$D$32)</f>
        <v>Table_B_O</v>
      </c>
      <c r="N14" s="113" t="str">
        <v>B_O</v>
      </c>
      <c r="O14" s="116" t="str">
        <v>methane emissions potential</v>
      </c>
      <c r="P14" s="117"/>
      <c r="Q14" s="115"/>
      <c r="R14" s="113" t="str">
        <v>m3 CH4/kg VS</v>
      </c>
      <c r="S14" s="112" t="str">
        <v>Constant</v>
      </c>
      <c r="T14" s="114"/>
    </row>
    <row r="15" spans="1:21" ht="20" customHeight="1" x14ac:dyDescent="0.25">
      <c r="A15" s="17" t="str">
        <f>HYPERLINK("#'4.7.1.3-4 Soil Direct N2O'!A1", "4.7.1.3-4 Soil Direct N2O")</f>
        <v>4.7.1.3-4 Soil Direct N2O</v>
      </c>
      <c r="D15" s="113" t="str">
        <v>MMS_m</v>
      </c>
      <c r="E15" s="116" t="str">
        <v>fraction of waste in each manure management system</v>
      </c>
      <c r="F15" s="117"/>
      <c r="G15" s="115"/>
      <c r="H15" s="113" t="str">
        <v>fraction</v>
      </c>
      <c r="I15" s="112" t="str">
        <v>Constant</v>
      </c>
      <c r="J15" s="114" t="str" cm="1">
        <f t="array" aca="1" ref="J15" ca="1">HYPERLINK(Common_InputFunctions.Utility_SourceHyperlink($D$44),D44)</f>
        <v>Table_MMS_m</v>
      </c>
      <c r="N15" s="113" t="str">
        <v>MMS_m</v>
      </c>
      <c r="O15" s="116" t="str">
        <v>fraction of waste in each manure management system</v>
      </c>
      <c r="P15" s="117"/>
      <c r="Q15" s="115"/>
      <c r="R15" s="113" t="str">
        <v>fraction</v>
      </c>
      <c r="S15" s="112" t="str">
        <v>Constant</v>
      </c>
      <c r="T15" s="114"/>
    </row>
    <row r="16" spans="1:21" ht="20" customHeight="1" x14ac:dyDescent="0.25">
      <c r="A16" s="17" t="str">
        <f>HYPERLINK("#'4.7.1.5-6 Soil Atmos Deposition'!A1", "4.7.1.5-6 Soil Atmos Deposition")</f>
        <v>4.7.1.5-6 Soil Atmos Deposition</v>
      </c>
      <c r="D16" s="113" t="str">
        <v>MCF_im</v>
      </c>
      <c r="E16" s="116" t="str">
        <v>methane conversion factor for state and manure management system</v>
      </c>
      <c r="F16" s="117"/>
      <c r="G16" s="115"/>
      <c r="H16" s="113" t="str">
        <v>fraction</v>
      </c>
      <c r="I16" s="112" t="str">
        <v>Constant</v>
      </c>
      <c r="J16" s="114" t="str" cm="1">
        <f t="array" aca="1" ref="J16" ca="1">HYPERLINK(Common_InputFunctions.Utility_SourceHyperlink($D$56),$D$56)</f>
        <v>M1_Table_MCF_i_m</v>
      </c>
      <c r="N16" s="113" t="str">
        <v>MCF_im</v>
      </c>
      <c r="O16" s="116" t="str">
        <v>methane conversion factor for temperature zone and manure management system</v>
      </c>
      <c r="P16" s="117"/>
      <c r="Q16" s="115"/>
      <c r="R16" s="113" t="str">
        <v>fraction</v>
      </c>
      <c r="S16" s="112" t="str">
        <v>Constant</v>
      </c>
      <c r="T16" s="114" t="str" cm="1">
        <f t="array" aca="1" ref="T16" ca="1">HYPERLINK(Common_InputFunctions.Utility_SourceHyperlink($N$56),$N$56)</f>
        <v>M2_Table_MCF_i_m</v>
      </c>
    </row>
    <row r="17" spans="1:20" ht="20" customHeight="1" x14ac:dyDescent="0.25">
      <c r="A17" s="17" t="str">
        <f>HYPERLINK("#'4.7.1.7-8 Soil Leaching Runoff'!A1", "4.7.1.7-8 Soil Leaching Runoff")</f>
        <v>4.7.1.7-8 Soil Leaching Runoff</v>
      </c>
      <c r="D17" s="113" t="str">
        <v>rho</v>
      </c>
      <c r="E17" s="116" t="str">
        <v>density of methane</v>
      </c>
      <c r="F17" s="117"/>
      <c r="G17" s="115"/>
      <c r="H17" s="113" t="str">
        <v>kg/m3</v>
      </c>
      <c r="I17" s="112" t="str">
        <v>Constant</v>
      </c>
      <c r="J17" s="113">
        <f>Common_SourceData_DensityOfMethane_Data</f>
        <v>0.6784</v>
      </c>
      <c r="N17" s="113" t="str">
        <v>rho</v>
      </c>
      <c r="O17" s="116" t="str">
        <v>density of methane</v>
      </c>
      <c r="P17" s="117"/>
      <c r="Q17" s="115"/>
      <c r="R17" s="113" t="str">
        <v>kg/m3</v>
      </c>
      <c r="S17" s="112" t="str">
        <v>Constant</v>
      </c>
      <c r="T17" s="113"/>
    </row>
    <row r="18" spans="1:20" ht="20" customHeight="1" x14ac:dyDescent="0.25">
      <c r="D18" s="113" t="str">
        <v>i</v>
      </c>
      <c r="E18" s="116" t="str">
        <v>state</v>
      </c>
      <c r="F18" s="117"/>
      <c r="G18" s="115"/>
      <c r="H18" s="113" t="str">
        <v/>
      </c>
      <c r="I18" s="111" t="str">
        <v>Input</v>
      </c>
      <c r="J18" s="113" t="str">
        <f>Common_InputFunctions.Utility_ConvertStateCommonNameToAbbreviation(X_Cell_Site_State,Table_AustralianStates[Common Name],Table_AustralianStates[Abbreviation])</f>
        <v>NSW</v>
      </c>
      <c r="N18" s="113" t="str">
        <v>i</v>
      </c>
      <c r="O18" s="116" t="str">
        <v>mean annual temperature</v>
      </c>
      <c r="P18" s="117"/>
      <c r="Q18" s="115"/>
      <c r="R18" s="113" t="str">
        <v>degrees Celsius</v>
      </c>
      <c r="S18" s="111" t="str">
        <v>Input</v>
      </c>
      <c r="T18" s="113">
        <f>X_Cell_Site_AverageTemperature</f>
        <v>18</v>
      </c>
    </row>
    <row r="19" spans="1:20" ht="20" customHeight="1" x14ac:dyDescent="0.25"/>
    <row r="20" spans="1:20" ht="20" customHeight="1" x14ac:dyDescent="0.25">
      <c r="A20" s="124" t="s">
        <v>1</v>
      </c>
      <c r="D20" s="94" t="s">
        <v>179</v>
      </c>
    </row>
    <row r="21" spans="1:20" ht="20" customHeight="1" x14ac:dyDescent="0.25">
      <c r="A21" s="17" t="str">
        <f>HYPERLINK("#'Constants - Other Livestock'!A1", "Constants - Other Livestock")</f>
        <v>Constants - Other Livestock</v>
      </c>
      <c r="D21" s="93" t="s">
        <v>180</v>
      </c>
    </row>
    <row r="22" spans="1:20" ht="20" customHeight="1" x14ac:dyDescent="0.25">
      <c r="A22" s="17" t="str">
        <f>HYPERLINK("#'Constants - Livestock'!A1", "Constants - Livestock")</f>
        <v>Constants - Livestock</v>
      </c>
      <c r="D22" s="50" t="s">
        <v>181</v>
      </c>
      <c r="E22" s="50" t="s">
        <v>230</v>
      </c>
    </row>
    <row r="23" spans="1:20" ht="20" customHeight="1" x14ac:dyDescent="0.25">
      <c r="A23" s="17" t="str">
        <f>HYPERLINK("#'Constants - Common'!A1", "Constants - Common")</f>
        <v>Constants - Common</v>
      </c>
      <c r="D23" s="51" t="str">
        <f>'Constants - Other Livestock'!D25</f>
        <v>Buffalo</v>
      </c>
      <c r="E23" s="51">
        <f>'Constants - Other Livestock'!E25</f>
        <v>2.73</v>
      </c>
      <c r="F23" s="2" t="str">
        <f>H13</f>
        <v>kg/head/day</v>
      </c>
    </row>
    <row r="24" spans="1:20" ht="20" customHeight="1" x14ac:dyDescent="0.25">
      <c r="A24" s="17" t="str">
        <f>HYPERLINK("#'Acknowledgements'!A1", "Acknowledgements")</f>
        <v>Acknowledgements</v>
      </c>
      <c r="D24" s="51" t="str">
        <f>'Constants - Other Livestock'!D26</f>
        <v>Goats</v>
      </c>
      <c r="E24" s="51">
        <f>'Constants - Other Livestock'!E26</f>
        <v>0.34</v>
      </c>
    </row>
    <row r="25" spans="1:20" ht="20" customHeight="1" x14ac:dyDescent="0.25">
      <c r="D25" s="51" t="str">
        <f>'Constants - Other Livestock'!D27</f>
        <v>Deer</v>
      </c>
      <c r="E25" s="51">
        <f>'Constants - Other Livestock'!E27</f>
        <v>0.91</v>
      </c>
    </row>
    <row r="26" spans="1:20" ht="20" customHeight="1" x14ac:dyDescent="0.25">
      <c r="D26" s="51" t="str">
        <f>'Constants - Other Livestock'!D28</f>
        <v>Camels</v>
      </c>
      <c r="E26" s="51">
        <f>'Constants - Other Livestock'!E28</f>
        <v>2.73</v>
      </c>
    </row>
    <row r="27" spans="1:20" ht="20" customHeight="1" x14ac:dyDescent="0.25">
      <c r="D27" s="51" t="str">
        <f>'Constants - Other Livestock'!D29</f>
        <v>Alpacas</v>
      </c>
      <c r="E27" s="51">
        <f>'Constants - Other Livestock'!E29</f>
        <v>0.34</v>
      </c>
    </row>
    <row r="28" spans="1:20" ht="20" customHeight="1" x14ac:dyDescent="0.25">
      <c r="D28" s="51" t="str">
        <f>'Constants - Other Livestock'!D30</f>
        <v>Horses</v>
      </c>
      <c r="E28" s="51">
        <f>'Constants - Other Livestock'!E30</f>
        <v>2.73</v>
      </c>
    </row>
    <row r="29" spans="1:20" ht="20" customHeight="1" x14ac:dyDescent="0.25">
      <c r="D29" s="51" t="str">
        <f>'Constants - Other Livestock'!D31</f>
        <v>Mules/asses</v>
      </c>
      <c r="E29" s="51">
        <f>'Constants - Other Livestock'!E31</f>
        <v>0.91</v>
      </c>
    </row>
    <row r="30" spans="1:20" ht="20" customHeight="1" x14ac:dyDescent="0.25">
      <c r="D30" s="51" t="str">
        <f>'Constants - Other Livestock'!D32</f>
        <v>Emus/ostriches</v>
      </c>
      <c r="E30" s="51">
        <f>'Constants - Other Livestock'!E32</f>
        <v>0.34</v>
      </c>
    </row>
    <row r="31" spans="1:20" ht="20" customHeight="1" x14ac:dyDescent="0.25"/>
    <row r="32" spans="1:20" ht="20" customHeight="1" x14ac:dyDescent="0.25">
      <c r="D32" s="94" t="s">
        <v>182</v>
      </c>
    </row>
    <row r="33" spans="4:7" ht="20" customHeight="1" x14ac:dyDescent="0.25">
      <c r="D33" s="93" t="s">
        <v>183</v>
      </c>
    </row>
    <row r="34" spans="4:7" ht="20" customHeight="1" x14ac:dyDescent="0.25">
      <c r="D34" s="50" t="s">
        <v>181</v>
      </c>
      <c r="E34" s="50" t="s">
        <v>229</v>
      </c>
    </row>
    <row r="35" spans="4:7" ht="20" customHeight="1" x14ac:dyDescent="0.25">
      <c r="D35" s="51" t="str">
        <f>'Constants - Other Livestock'!D103</f>
        <v>Buffalo</v>
      </c>
      <c r="E35" s="51">
        <f>'Constants - Other Livestock'!E103</f>
        <v>0.19</v>
      </c>
      <c r="F35" s="2" t="str">
        <f>$H$14</f>
        <v>m3 CH4/kg VS</v>
      </c>
    </row>
    <row r="36" spans="4:7" ht="20" customHeight="1" x14ac:dyDescent="0.25">
      <c r="D36" s="51" t="str">
        <f>'Constants - Other Livestock'!D104</f>
        <v>Goats</v>
      </c>
      <c r="E36" s="51">
        <f>'Constants - Other Livestock'!E104</f>
        <v>0.24</v>
      </c>
    </row>
    <row r="37" spans="4:7" ht="20" customHeight="1" x14ac:dyDescent="0.25">
      <c r="D37" s="51" t="str">
        <f>'Constants - Other Livestock'!D105</f>
        <v>Deer</v>
      </c>
      <c r="E37" s="51">
        <f>'Constants - Other Livestock'!E105</f>
        <v>0.24</v>
      </c>
    </row>
    <row r="38" spans="4:7" ht="20" customHeight="1" x14ac:dyDescent="0.25">
      <c r="D38" s="51" t="str">
        <f>'Constants - Other Livestock'!D106</f>
        <v>Camels</v>
      </c>
      <c r="E38" s="51">
        <f>'Constants - Other Livestock'!E106</f>
        <v>0.24</v>
      </c>
    </row>
    <row r="39" spans="4:7" ht="20" customHeight="1" x14ac:dyDescent="0.25">
      <c r="D39" s="51" t="str">
        <f>'Constants - Other Livestock'!D107</f>
        <v>Alpacas</v>
      </c>
      <c r="E39" s="51">
        <f>'Constants - Other Livestock'!E107</f>
        <v>0.24</v>
      </c>
    </row>
    <row r="40" spans="4:7" ht="20" customHeight="1" x14ac:dyDescent="0.25">
      <c r="D40" s="51" t="str">
        <f>'Constants - Other Livestock'!D108</f>
        <v>Horses</v>
      </c>
      <c r="E40" s="51">
        <f>'Constants - Other Livestock'!E108</f>
        <v>0.19</v>
      </c>
    </row>
    <row r="41" spans="4:7" ht="20" customHeight="1" x14ac:dyDescent="0.25">
      <c r="D41" s="51" t="str">
        <f>'Constants - Other Livestock'!D109</f>
        <v>Mules/asses</v>
      </c>
      <c r="E41" s="51">
        <f>'Constants - Other Livestock'!E109</f>
        <v>0.24</v>
      </c>
    </row>
    <row r="42" spans="4:7" ht="20" customHeight="1" x14ac:dyDescent="0.25">
      <c r="D42" s="51" t="str">
        <f>'Constants - Other Livestock'!D110</f>
        <v>Emus/ostriches</v>
      </c>
      <c r="E42" s="51">
        <f>'Constants - Other Livestock'!E110</f>
        <v>0.36</v>
      </c>
    </row>
    <row r="43" spans="4:7" ht="20" customHeight="1" x14ac:dyDescent="0.25"/>
    <row r="44" spans="4:7" ht="20" customHeight="1" x14ac:dyDescent="0.25">
      <c r="D44" s="94" t="s">
        <v>184</v>
      </c>
    </row>
    <row r="45" spans="4:7" ht="20" customHeight="1" x14ac:dyDescent="0.25">
      <c r="D45" s="93" t="s">
        <v>185</v>
      </c>
    </row>
    <row r="46" spans="4:7" ht="20" customHeight="1" x14ac:dyDescent="0.25">
      <c r="D46" s="50" t="s">
        <v>181</v>
      </c>
      <c r="E46" s="50" t="s">
        <v>135</v>
      </c>
      <c r="F46" s="50" t="s">
        <v>124</v>
      </c>
    </row>
    <row r="47" spans="4:7" ht="20" customHeight="1" x14ac:dyDescent="0.25">
      <c r="D47" s="51" t="s">
        <v>150</v>
      </c>
      <c r="E47" s="51">
        <f>X_Cell_OtherLivestock_Buffalo_CalculatedMMSPastureRangeAndPaddock</f>
        <v>0.99659999999999993</v>
      </c>
      <c r="F47" s="51">
        <f>X_Cell_OtherLivestock_Buffalo_CalculatedMMSAnaerobicLagoon</f>
        <v>3.4000000000000002E-3</v>
      </c>
      <c r="G47" s="2" t="str">
        <f>$H$15</f>
        <v>fraction</v>
      </c>
    </row>
    <row r="48" spans="4:7" ht="20" customHeight="1" x14ac:dyDescent="0.25">
      <c r="D48" s="51" t="s">
        <v>155</v>
      </c>
      <c r="E48" s="51">
        <f>X_Cell_OtherLivestock_Goats_CalculatedMMSPastureRangeAndPaddock</f>
        <v>0.99659999999999993</v>
      </c>
      <c r="F48" s="51">
        <f>X_Cell_OtherLivestock_Goats_CalculatedMMSAnaerobicLagoon</f>
        <v>3.4000000000000002E-3</v>
      </c>
    </row>
    <row r="49" spans="4:16" ht="20" customHeight="1" x14ac:dyDescent="0.25">
      <c r="D49" s="51" t="s">
        <v>162</v>
      </c>
      <c r="E49" s="51">
        <f>X_Cell_OtherLivestock_Deer_CalculatedMMSPastureRangeAndPaddock</f>
        <v>0.99659999999999993</v>
      </c>
      <c r="F49" s="51">
        <f>X_Cell_OtherLivestock_Deer_CalculatedMMSAnaerobicLagoon</f>
        <v>3.4000000000000002E-3</v>
      </c>
    </row>
    <row r="50" spans="4:16" ht="20" customHeight="1" x14ac:dyDescent="0.25">
      <c r="D50" s="51" t="s">
        <v>168</v>
      </c>
      <c r="E50" s="51">
        <f>X_Cell_OtherLivestock_Others_Camels_CalculatedMMSPastureRangeAndPaddock</f>
        <v>0.99659999999999993</v>
      </c>
      <c r="F50" s="51">
        <f>X_Cell_OtherLivestock_Others_Camels_CalculatedMMSAnaerobicLagoon</f>
        <v>3.4000000000000002E-3</v>
      </c>
    </row>
    <row r="51" spans="4:16" ht="20" customHeight="1" x14ac:dyDescent="0.25">
      <c r="D51" s="51" t="s">
        <v>169</v>
      </c>
      <c r="E51" s="51">
        <f>X_Cell_OtherLivestock_Others_Alpacas_CalculatedMMSPastureRangeAndPaddock</f>
        <v>0.99659999999999993</v>
      </c>
      <c r="F51" s="51">
        <f>X_Cell_OtherLivestock_Others_Alpacas_CalculatedMMSAnaerobicLagoon</f>
        <v>3.4000000000000002E-3</v>
      </c>
    </row>
    <row r="52" spans="4:16" ht="20" customHeight="1" x14ac:dyDescent="0.25">
      <c r="D52" s="51" t="s">
        <v>170</v>
      </c>
      <c r="E52" s="51">
        <f>X_Cell_OtherLivestock_Others_Horses_CalculatedMMSPastureRangeAndPaddock</f>
        <v>0.99659999999999993</v>
      </c>
      <c r="F52" s="51">
        <f>X_Cell_OtherLivestock_Others_Horses_CalculatedMMSAnaerobicLagoon</f>
        <v>3.4000000000000002E-3</v>
      </c>
    </row>
    <row r="53" spans="4:16" ht="20" customHeight="1" x14ac:dyDescent="0.25">
      <c r="D53" s="51" t="s">
        <v>186</v>
      </c>
      <c r="E53" s="51">
        <f>X_Cell_OtherLivestock_Others_Mules_CalculatedMMSPastureRangeAndPaddock</f>
        <v>0.99659999999999993</v>
      </c>
      <c r="F53" s="51">
        <f>X_Cell_OtherLivestock_Others_Mules_CalculatedMMSAnaerobicLagoon</f>
        <v>3.4000000000000002E-3</v>
      </c>
    </row>
    <row r="54" spans="4:16" ht="20" customHeight="1" x14ac:dyDescent="0.25">
      <c r="D54" s="51" t="s">
        <v>187</v>
      </c>
      <c r="E54" s="51">
        <f>X_Cell_OtherLivestock_Others_Emus_CalculatedMMSPastureRangeAndPaddock</f>
        <v>0.99659999999999993</v>
      </c>
      <c r="F54" s="51">
        <f>X_Cell_OtherLivestock_Others_Emus_CalculatedMMSAnaerobicLagoon</f>
        <v>3.4000000000000002E-3</v>
      </c>
    </row>
    <row r="55" spans="4:16" ht="20" customHeight="1" x14ac:dyDescent="0.25"/>
    <row r="56" spans="4:16" ht="20" customHeight="1" x14ac:dyDescent="0.25">
      <c r="D56" s="94" t="s">
        <v>188</v>
      </c>
      <c r="N56" s="94" t="s">
        <v>190</v>
      </c>
    </row>
    <row r="57" spans="4:16" ht="20" customHeight="1" x14ac:dyDescent="0.25">
      <c r="D57" s="93" t="s">
        <v>189</v>
      </c>
      <c r="N57" s="93" t="s">
        <v>191</v>
      </c>
    </row>
    <row r="58" spans="4:16" ht="20" customHeight="1" x14ac:dyDescent="0.25">
      <c r="D58" s="50" t="s">
        <v>63</v>
      </c>
      <c r="E58" s="50" t="s">
        <v>83</v>
      </c>
      <c r="N58" s="50" t="s">
        <v>63</v>
      </c>
      <c r="O58" s="50" t="s">
        <v>83</v>
      </c>
    </row>
    <row r="59" spans="4:16" ht="20" customHeight="1" x14ac:dyDescent="0.25">
      <c r="D59" s="51" t="s">
        <v>135</v>
      </c>
      <c r="E59" s="51" cm="1">
        <f t="array" ref="E59">Common_InputFunctions.Utility_LookupValueInTableNumber($J$18,Table_SourceData_OtherLivestock_MCF[Other livestock type],Table_SourceData_OtherLivestock_MCF[Pasture range and paddock])</f>
        <v>4.7000000000000002E-3</v>
      </c>
      <c r="F59" s="2" t="str">
        <f>$H$16</f>
        <v>fraction</v>
      </c>
      <c r="N59" s="51" t="s">
        <v>135</v>
      </c>
      <c r="O59" s="51">
        <f>Common_InputFunctions.Common_GetMCFTemperatureZone($T$18,N59,Table_SourceData_Common_MCFTemperatureZone[MAT (ºC)],Table_SourceData_Common_MCFTemperatureZone[#Headers],Table_SourceData_Common_MCFTemperatureZone[])</f>
        <v>4.7000000000000002E-3</v>
      </c>
      <c r="P59" s="2" t="str">
        <f>$H$16</f>
        <v>fraction</v>
      </c>
    </row>
    <row r="60" spans="4:16" ht="20" customHeight="1" x14ac:dyDescent="0.25">
      <c r="D60" s="51" t="s">
        <v>124</v>
      </c>
      <c r="E60" s="51" cm="1">
        <f t="array" ref="E60">Common_InputFunctions.Utility_LookupValueInTableNumber($J$18,Table_SourceData_OtherLivestock_MCF[Other livestock type],Table_SourceData_OtherLivestock_MCF[Uncovered anaerobic lagoon])</f>
        <v>0.75</v>
      </c>
      <c r="N60" s="51" t="s">
        <v>124</v>
      </c>
      <c r="O60" s="51">
        <f>Common_InputFunctions.Common_GetMCFTemperatureZone($T$18,N60,Table_SourceData_Common_MCFTemperatureZone[MAT (ºC)],Table_SourceData_Common_MCFTemperatureZone[#Headers],Table_SourceData_Common_MCFTemperatureZone[])</f>
        <v>0.77</v>
      </c>
    </row>
    <row r="61" spans="4:16" ht="20" customHeight="1" x14ac:dyDescent="0.25"/>
    <row r="62" spans="4:16" ht="20" customHeight="1" x14ac:dyDescent="0.25">
      <c r="D62" s="94" t="s">
        <v>192</v>
      </c>
      <c r="N62" s="94" t="s">
        <v>194</v>
      </c>
    </row>
    <row r="63" spans="4:16" ht="20" customHeight="1" x14ac:dyDescent="0.25">
      <c r="D63" s="93" t="s">
        <v>193</v>
      </c>
      <c r="N63" s="93" t="s">
        <v>195</v>
      </c>
    </row>
    <row r="64" spans="4:16" ht="20" customHeight="1" x14ac:dyDescent="0.25">
      <c r="D64" s="50" t="s">
        <v>181</v>
      </c>
      <c r="E64" s="50" t="s">
        <v>135</v>
      </c>
      <c r="F64" s="50" t="s">
        <v>124</v>
      </c>
      <c r="N64" s="50" t="s">
        <v>181</v>
      </c>
      <c r="O64" s="50" t="s">
        <v>135</v>
      </c>
      <c r="P64" s="50" t="s">
        <v>124</v>
      </c>
    </row>
    <row r="65" spans="3:21" ht="20" customHeight="1" x14ac:dyDescent="0.25">
      <c r="D65" s="51" t="s">
        <v>150</v>
      </c>
      <c r="E65" s="51" cm="1">
        <f t="array" ref="E65">MMS_OtherLivestock_Methane_Equations.VEERG_4_7_1_1__2_AnnualMethaneProductionFromManureManagement($E23,$E35,E47,$E$59,$J$17)</f>
        <v>1.6482414364416005E-3</v>
      </c>
      <c r="F65" s="51" cm="1">
        <f t="array" ref="F65">MMS_OtherLivestock_Methane_Equations.VEERG_4_7_1_1__2_AnnualMethaneProductionFromManureManagement($E23,$E35,F47,$E$60,$J$17)</f>
        <v>8.9730950400000004E-4</v>
      </c>
      <c r="G65" s="2" t="str">
        <f>$E$11</f>
        <v>kg CH4/head/day</v>
      </c>
      <c r="N65" s="51" t="s">
        <v>150</v>
      </c>
      <c r="O65" s="51" cm="1">
        <f t="array" ref="O65">MMS_OtherLivestock_Methane_Equations.VEERG_4_7_1_1__2_AnnualMethaneProductionFromManureManagement($E23,$E35,E47,$O$59,$J$17)</f>
        <v>1.6482414364416005E-3</v>
      </c>
      <c r="P65" s="51" cm="1">
        <f t="array" ref="P65">MMS_OtherLivestock_Methane_Equations.VEERG_4_7_1_1__2_AnnualMethaneProductionFromManureManagement($E23,$E35,F47,$O$60,$J$17)</f>
        <v>9.2123775744000014E-4</v>
      </c>
      <c r="Q65" s="2" t="str">
        <f>$E$11</f>
        <v>kg CH4/head/day</v>
      </c>
    </row>
    <row r="66" spans="3:21" ht="20" customHeight="1" x14ac:dyDescent="0.25">
      <c r="D66" s="51" t="s">
        <v>155</v>
      </c>
      <c r="E66" s="51" cm="1">
        <f t="array" ref="E66">MMS_OtherLivestock_Methane_Equations.VEERG_4_7_1_1__2_AnnualMethaneProductionFromManureManagement($E24,$E36,E48,$E$59,$J$17)</f>
        <v>2.5929535610880004E-4</v>
      </c>
      <c r="F66" s="51" cm="1">
        <f t="array" ref="F66">MMS_OtherLivestock_Methane_Equations.VEERG_4_7_1_1__2_AnnualMethaneProductionFromManureManagement($E24,$E36,F48,$E$60,$J$17)</f>
        <v>1.4116147200000001E-4</v>
      </c>
      <c r="N66" s="51" t="s">
        <v>155</v>
      </c>
      <c r="O66" s="51" cm="1">
        <f t="array" ref="O66">MMS_OtherLivestock_Methane_Equations.VEERG_4_7_1_1__2_AnnualMethaneProductionFromManureManagement($E24,$E36,E48,$O$59,$J$17)</f>
        <v>2.5929535610880004E-4</v>
      </c>
      <c r="P66" s="51" cm="1">
        <f t="array" ref="P66">MMS_OtherLivestock_Methane_Equations.VEERG_4_7_1_1__2_AnnualMethaneProductionFromManureManagement($E24,$E36,F48,$O$60,$J$17)</f>
        <v>1.4492577792000002E-4</v>
      </c>
    </row>
    <row r="67" spans="3:21" ht="20" customHeight="1" x14ac:dyDescent="0.25">
      <c r="D67" s="51" t="s">
        <v>162</v>
      </c>
      <c r="E67" s="51" cm="1">
        <f t="array" ref="E67">MMS_OtherLivestock_Methane_Equations.VEERG_4_7_1_1__2_AnnualMethaneProductionFromManureManagement($E25,$E37,E49,$E$59,$J$17)</f>
        <v>6.9399639429120006E-4</v>
      </c>
      <c r="F67" s="51" cm="1">
        <f t="array" ref="F67">MMS_OtherLivestock_Methane_Equations.VEERG_4_7_1_1__2_AnnualMethaneProductionFromManureManagement($E25,$E37,F49,$E$60,$J$17)</f>
        <v>3.7781452800000003E-4</v>
      </c>
      <c r="N67" s="51" t="s">
        <v>162</v>
      </c>
      <c r="O67" s="51" cm="1">
        <f t="array" ref="O67">MMS_OtherLivestock_Methane_Equations.VEERG_4_7_1_1__2_AnnualMethaneProductionFromManureManagement($E25,$E37,E49,$O$59,$J$17)</f>
        <v>6.9399639429120006E-4</v>
      </c>
      <c r="P67" s="51" cm="1">
        <f t="array" ref="P67">MMS_OtherLivestock_Methane_Equations.VEERG_4_7_1_1__2_AnnualMethaneProductionFromManureManagement($E25,$E37,F49,$O$60,$J$17)</f>
        <v>3.8788958208000007E-4</v>
      </c>
    </row>
    <row r="68" spans="3:21" ht="20" customHeight="1" x14ac:dyDescent="0.25">
      <c r="D68" s="51" t="s">
        <v>168</v>
      </c>
      <c r="E68" s="51" cm="1">
        <f t="array" ref="E68">MMS_OtherLivestock_Methane_Equations.VEERG_4_7_1_1__2_AnnualMethaneProductionFromManureManagement($E26,$E38,E50,$E$59,$J$17)</f>
        <v>2.0819891828735997E-3</v>
      </c>
      <c r="F68" s="51" cm="1">
        <f t="array" ref="F68">MMS_OtherLivestock_Methane_Equations.VEERG_4_7_1_1__2_AnnualMethaneProductionFromManureManagement($E26,$E38,F50,$E$60,$J$17)</f>
        <v>1.1334435840000001E-3</v>
      </c>
      <c r="N68" s="51" t="s">
        <v>168</v>
      </c>
      <c r="O68" s="51" cm="1">
        <f t="array" ref="O68">MMS_OtherLivestock_Methane_Equations.VEERG_4_7_1_1__2_AnnualMethaneProductionFromManureManagement($E26,$E38,E50,$O$59,$J$17)</f>
        <v>2.0819891828735997E-3</v>
      </c>
      <c r="P68" s="51" cm="1">
        <f t="array" ref="P68">MMS_OtherLivestock_Methane_Equations.VEERG_4_7_1_1__2_AnnualMethaneProductionFromManureManagement($E26,$E38,F50,$O$60,$J$17)</f>
        <v>1.1636687462400002E-3</v>
      </c>
    </row>
    <row r="69" spans="3:21" ht="20" customHeight="1" x14ac:dyDescent="0.25">
      <c r="D69" s="51" t="s">
        <v>169</v>
      </c>
      <c r="E69" s="51" cm="1">
        <f t="array" ref="E69">MMS_OtherLivestock_Methane_Equations.VEERG_4_7_1_1__2_AnnualMethaneProductionFromManureManagement($E27,$E39,E51,$E$59,$J$17)</f>
        <v>2.5929535610880004E-4</v>
      </c>
      <c r="F69" s="51" cm="1">
        <f t="array" ref="F69">MMS_OtherLivestock_Methane_Equations.VEERG_4_7_1_1__2_AnnualMethaneProductionFromManureManagement($E27,$E39,F51,$E$60,$J$17)</f>
        <v>1.4116147200000001E-4</v>
      </c>
      <c r="N69" s="51" t="s">
        <v>169</v>
      </c>
      <c r="O69" s="51" cm="1">
        <f t="array" ref="O69">MMS_OtherLivestock_Methane_Equations.VEERG_4_7_1_1__2_AnnualMethaneProductionFromManureManagement($E27,$E39,E51,$O$59,$J$17)</f>
        <v>2.5929535610880004E-4</v>
      </c>
      <c r="P69" s="51" cm="1">
        <f t="array" ref="P69">MMS_OtherLivestock_Methane_Equations.VEERG_4_7_1_1__2_AnnualMethaneProductionFromManureManagement($E27,$E39,F51,$O$60,$J$17)</f>
        <v>1.4492577792000002E-4</v>
      </c>
    </row>
    <row r="70" spans="3:21" ht="20" customHeight="1" x14ac:dyDescent="0.25">
      <c r="D70" s="51" t="s">
        <v>170</v>
      </c>
      <c r="E70" s="51" cm="1">
        <f t="array" ref="E70">MMS_OtherLivestock_Methane_Equations.VEERG_4_7_1_1__2_AnnualMethaneProductionFromManureManagement($E28,$E40,E52,$E$59,$J$17)</f>
        <v>1.6482414364416005E-3</v>
      </c>
      <c r="F70" s="51" cm="1">
        <f t="array" ref="F70">MMS_OtherLivestock_Methane_Equations.VEERG_4_7_1_1__2_AnnualMethaneProductionFromManureManagement($E28,$E40,F52,$E$60,$J$17)</f>
        <v>8.9730950400000004E-4</v>
      </c>
      <c r="N70" s="51" t="s">
        <v>170</v>
      </c>
      <c r="O70" s="51" cm="1">
        <f t="array" ref="O70">MMS_OtherLivestock_Methane_Equations.VEERG_4_7_1_1__2_AnnualMethaneProductionFromManureManagement($E28,$E40,E52,$O$59,$J$17)</f>
        <v>1.6482414364416005E-3</v>
      </c>
      <c r="P70" s="51" cm="1">
        <f t="array" ref="P70">MMS_OtherLivestock_Methane_Equations.VEERG_4_7_1_1__2_AnnualMethaneProductionFromManureManagement($E28,$E40,F52,$O$60,$J$17)</f>
        <v>9.2123775744000014E-4</v>
      </c>
    </row>
    <row r="71" spans="3:21" ht="20" customHeight="1" x14ac:dyDescent="0.25">
      <c r="D71" s="51" t="s">
        <v>186</v>
      </c>
      <c r="E71" s="51" cm="1">
        <f t="array" ref="E71">MMS_OtherLivestock_Methane_Equations.VEERG_4_7_1_1__2_AnnualMethaneProductionFromManureManagement($E29,$E41,E53,$E$59,$J$17)</f>
        <v>6.9399639429120006E-4</v>
      </c>
      <c r="F71" s="51" cm="1">
        <f t="array" ref="F71">MMS_OtherLivestock_Methane_Equations.VEERG_4_7_1_1__2_AnnualMethaneProductionFromManureManagement($E29,$E41,F53,$E$60,$J$17)</f>
        <v>3.7781452800000003E-4</v>
      </c>
      <c r="N71" s="51" t="s">
        <v>186</v>
      </c>
      <c r="O71" s="51" cm="1">
        <f t="array" ref="O71">MMS_OtherLivestock_Methane_Equations.VEERG_4_7_1_1__2_AnnualMethaneProductionFromManureManagement($E29,$E41,E53,$O$59,$J$17)</f>
        <v>6.9399639429120006E-4</v>
      </c>
      <c r="P71" s="51" cm="1">
        <f t="array" ref="P71">MMS_OtherLivestock_Methane_Equations.VEERG_4_7_1_1__2_AnnualMethaneProductionFromManureManagement($E29,$E41,F53,$O$60,$J$17)</f>
        <v>3.8788958208000007E-4</v>
      </c>
    </row>
    <row r="72" spans="3:21" ht="20" customHeight="1" x14ac:dyDescent="0.25">
      <c r="D72" s="51" t="s">
        <v>187</v>
      </c>
      <c r="E72" s="51" cm="1">
        <f t="array" ref="E72">MMS_OtherLivestock_Methane_Equations.VEERG_4_7_1_1__2_AnnualMethaneProductionFromManureManagement($E30,$E42,E54,$E$59,$J$17)</f>
        <v>3.8894303416319999E-4</v>
      </c>
      <c r="F72" s="51" cm="1">
        <f t="array" ref="F72">MMS_OtherLivestock_Methane_Equations.VEERG_4_7_1_1__2_AnnualMethaneProductionFromManureManagement($E30,$E42,F54,$E$60,$J$17)</f>
        <v>2.1174220800000002E-4</v>
      </c>
      <c r="N72" s="51" t="s">
        <v>187</v>
      </c>
      <c r="O72" s="51" cm="1">
        <f t="array" ref="O72">MMS_OtherLivestock_Methane_Equations.VEERG_4_7_1_1__2_AnnualMethaneProductionFromManureManagement($E30,$E42,E54,$O$59,$J$17)</f>
        <v>3.8894303416319999E-4</v>
      </c>
      <c r="P72" s="51" cm="1">
        <f t="array" ref="P72">MMS_OtherLivestock_Methane_Equations.VEERG_4_7_1_1__2_AnnualMethaneProductionFromManureManagement($E30,$E42,F54,$O$60,$J$17)</f>
        <v>2.1738866688000001E-4</v>
      </c>
    </row>
    <row r="73" spans="3:21" ht="20" customHeight="1" x14ac:dyDescent="0.25"/>
    <row r="74" spans="3:21" ht="20" customHeight="1" x14ac:dyDescent="0.25"/>
    <row r="75" spans="3:21" ht="20" customHeight="1" x14ac:dyDescent="0.25">
      <c r="C75" s="46"/>
      <c r="D75" s="46"/>
      <c r="E75" s="46"/>
      <c r="F75" s="46"/>
      <c r="G75" s="46"/>
      <c r="H75" s="46"/>
      <c r="I75" s="46"/>
      <c r="J75" s="46"/>
      <c r="K75" s="46"/>
      <c r="M75" s="46"/>
      <c r="N75" s="46"/>
      <c r="O75" s="46"/>
      <c r="P75" s="46"/>
      <c r="Q75" s="46"/>
      <c r="R75" s="46"/>
      <c r="S75" s="46"/>
      <c r="T75" s="46"/>
      <c r="U75" s="46"/>
    </row>
    <row r="76" spans="3:21" ht="20" customHeight="1" x14ac:dyDescent="0.25">
      <c r="D76" s="6" t="str" cm="1">
        <f t="array" ref="D76">MMS_OtherLivestock_Methane_Equations.VEERG_4_7_1_1__1_TotalAnnualMethaneProductionFromManureManagementOtherLivestock_Title()</f>
        <v>Total annual methane production from manure management of other livestock</v>
      </c>
    </row>
    <row r="77" spans="3:21" ht="20" customHeight="1" x14ac:dyDescent="0.25">
      <c r="D77" s="5" t="str" cm="1">
        <f t="array" ref="D77">MMS_OtherLivestock_Methane_Equations.VEERG_4_7_1_1__1_TotalAnnualMethaneProductionFromManureManagementOtherLivestock_Source()</f>
        <v>VEERG 2026: 4.7.1.1, Equation (1)</v>
      </c>
    </row>
    <row r="78" spans="3:21" ht="20" customHeight="1" x14ac:dyDescent="0.25">
      <c r="D78" s="13" t="s">
        <v>22</v>
      </c>
      <c r="E78" s="13" t="str" cm="1">
        <f t="array" aca="1" ref="E78" ca="1">Common_InputFunctions.Utility_DisplayFunctionName(E104)</f>
        <v>=MMS_OtherLivestock_Methane_Equations.VEERG_4_7_1_1__1_TotalAnnualMethaneProductionFromManureManagementOtherLivestock</v>
      </c>
    </row>
    <row r="79" spans="3:21" ht="20" customHeight="1" x14ac:dyDescent="0.25"/>
    <row r="80" spans="3:21" ht="20" customHeight="1" x14ac:dyDescent="0.25"/>
    <row r="81" spans="4:9" ht="20" customHeight="1" x14ac:dyDescent="0.25">
      <c r="D81" s="52" t="s">
        <v>25</v>
      </c>
      <c r="E81" s="1" t="str" cm="1">
        <f t="array" ref="E81">MMS_OtherLivestock_Methane_Equations.VEERG_4_7_1_1__1_TotalAnnualMethaneProductionFromManureManagementOtherLivestock_Variable()</f>
        <v>E_CH4</v>
      </c>
    </row>
    <row r="82" spans="4:9" ht="20" customHeight="1" x14ac:dyDescent="0.25">
      <c r="D82" s="52" t="s">
        <v>15</v>
      </c>
      <c r="E82" s="53" t="str" cm="1">
        <f t="array" ref="E82">MMS_OtherLivestock_Methane_Equations.VEERG_4_7_1_1__1_TotalAnnualMethaneProductionFromManureManagementOtherLivestock_Unit()</f>
        <v>t CH4</v>
      </c>
    </row>
    <row r="83" spans="4:9" ht="20" customHeight="1" x14ac:dyDescent="0.25"/>
    <row r="84" spans="4:9" ht="20" customHeight="1" x14ac:dyDescent="0.25">
      <c r="D84" s="113" t="str" cm="1">
        <f t="array" ref="D84:E87">_xlfn.CHOOSECOLS(MMS_OtherLivestock_Methane_Equations.VEERG_4_7_1_1__1_TotalAnnualMethaneProductionFromManureManagementOtherLivestock_Arguments(),1,2)</f>
        <v>N_j</v>
      </c>
      <c r="E84" s="113" t="str">
        <v>average annual number of livestock per livestock type j</v>
      </c>
      <c r="F84" s="113"/>
      <c r="G84" s="113" t="str" cm="1">
        <f t="array" ref="G84:H87">_xlfn.CHOOSECOLS(MMS_OtherLivestock_Methane_Equations.VEERG_4_7_1_1__1_TotalAnnualMethaneProductionFromManureManagementOtherLivestock_Arguments(),3,4)</f>
        <v>head</v>
      </c>
      <c r="H84" s="111" t="str">
        <v>Input</v>
      </c>
      <c r="I84" s="114" t="str" cm="1">
        <f t="array" aca="1" ref="I84" ca="1">HYPERLINK(Common_InputFunctions.Utility_SourceHyperlink($D$89),$D$89)</f>
        <v>Table_N_j</v>
      </c>
    </row>
    <row r="85" spans="4:9" ht="20" customHeight="1" x14ac:dyDescent="0.25">
      <c r="D85" s="113" t="str">
        <v>M_jm</v>
      </c>
      <c r="E85" s="116" t="str">
        <v>annual methane production from manure management</v>
      </c>
      <c r="F85" s="115"/>
      <c r="G85" s="113" t="str">
        <v>kg CH4/head/day</v>
      </c>
      <c r="H85" s="112" t="str">
        <v>Calculated from 4.7.1.1, (2)</v>
      </c>
      <c r="I85" s="114" t="str" cm="1">
        <f t="array" aca="1" ref="I85" ca="1">HYPERLINK(Common_InputFunctions.Utility_SourceHyperlink($D$62),$D$62)</f>
        <v>M1_Table_M_j_m</v>
      </c>
    </row>
    <row r="86" spans="4:9" ht="20" customHeight="1" x14ac:dyDescent="0.25">
      <c r="D86" s="113" t="str">
        <v>j</v>
      </c>
      <c r="E86" s="116" t="str">
        <v>livestock type</v>
      </c>
      <c r="F86" s="115"/>
      <c r="G86" s="113" t="str">
        <v/>
      </c>
      <c r="H86" s="111" t="str">
        <v>Input</v>
      </c>
      <c r="I86" s="114" t="str" cm="1">
        <f t="array" aca="1" ref="I86" ca="1">HYPERLINK(Common_InputFunctions.Utility_SourceHyperlink($D$89),$D$89)</f>
        <v>Table_N_j</v>
      </c>
    </row>
    <row r="87" spans="4:9" ht="20" customHeight="1" x14ac:dyDescent="0.25">
      <c r="D87" s="113" t="str">
        <v>m</v>
      </c>
      <c r="E87" s="116" t="str">
        <v>manure management system</v>
      </c>
      <c r="F87" s="115"/>
      <c r="G87" s="113" t="str">
        <v/>
      </c>
      <c r="H87" s="111" t="str">
        <v>Input</v>
      </c>
      <c r="I87" s="114" t="str" cm="1">
        <f t="array" aca="1" ref="I87" ca="1">HYPERLINK(Common_InputFunctions.Utility_SourceHyperlink($D$62),$D$62)</f>
        <v>M1_Table_M_j_m</v>
      </c>
    </row>
    <row r="88" spans="4:9" ht="20" customHeight="1" x14ac:dyDescent="0.25"/>
    <row r="89" spans="4:9" ht="20" customHeight="1" x14ac:dyDescent="0.25">
      <c r="D89" s="94" t="s">
        <v>86</v>
      </c>
    </row>
    <row r="90" spans="4:9" ht="20" customHeight="1" x14ac:dyDescent="0.25">
      <c r="D90" s="93" t="s">
        <v>196</v>
      </c>
    </row>
    <row r="91" spans="4:9" ht="20" customHeight="1" x14ac:dyDescent="0.25">
      <c r="D91" s="40" t="s">
        <v>181</v>
      </c>
      <c r="E91" s="40" t="s">
        <v>228</v>
      </c>
    </row>
    <row r="92" spans="4:9" ht="20" customHeight="1" x14ac:dyDescent="0.25">
      <c r="D92" s="51" t="s">
        <v>150</v>
      </c>
      <c r="E92" s="96">
        <f>SUM(X_Table_OtherLivestock_Buffalo_Head)</f>
        <v>4600</v>
      </c>
      <c r="F92" s="2" t="str">
        <f>G84</f>
        <v>head</v>
      </c>
    </row>
    <row r="93" spans="4:9" ht="20" customHeight="1" x14ac:dyDescent="0.25">
      <c r="D93" s="51" t="s">
        <v>155</v>
      </c>
      <c r="E93" s="96">
        <f>SUM(X_Table_OtherLivestock_Goats_Head)</f>
        <v>4800</v>
      </c>
    </row>
    <row r="94" spans="4:9" ht="20" customHeight="1" x14ac:dyDescent="0.25">
      <c r="D94" s="51" t="s">
        <v>162</v>
      </c>
      <c r="E94" s="96">
        <f>SUM(X_Table_OtherLivestock_Deer_Head)</f>
        <v>4600</v>
      </c>
    </row>
    <row r="95" spans="4:9" ht="20" customHeight="1" x14ac:dyDescent="0.25">
      <c r="D95" s="51" t="s">
        <v>168</v>
      </c>
      <c r="E95" s="96">
        <f>X_Cell_OtherLivestock_Others_Camels_Head</f>
        <v>4300</v>
      </c>
    </row>
    <row r="96" spans="4:9" ht="20" customHeight="1" x14ac:dyDescent="0.25">
      <c r="D96" s="51" t="s">
        <v>169</v>
      </c>
      <c r="E96" s="96">
        <f>X_Cell_OtherLivestock_Others_Alpacas_Head</f>
        <v>100</v>
      </c>
    </row>
    <row r="97" spans="4:17" ht="20" customHeight="1" x14ac:dyDescent="0.25">
      <c r="D97" s="51" t="s">
        <v>170</v>
      </c>
      <c r="E97" s="96">
        <f>X_Cell_OtherLivestock_Others_Horses_Head</f>
        <v>100</v>
      </c>
    </row>
    <row r="98" spans="4:17" ht="20" customHeight="1" x14ac:dyDescent="0.25">
      <c r="D98" s="51" t="s">
        <v>186</v>
      </c>
      <c r="E98" s="96">
        <f>X_Cell_OtherLivestock_Others_Mules_Head</f>
        <v>100</v>
      </c>
    </row>
    <row r="99" spans="4:17" ht="20" customHeight="1" x14ac:dyDescent="0.25">
      <c r="D99" s="51" t="s">
        <v>187</v>
      </c>
      <c r="E99" s="96">
        <f>X_Cell_OtherLivestock_Others_Emus_Head</f>
        <v>100</v>
      </c>
    </row>
    <row r="100" spans="4:17" ht="20" customHeight="1" x14ac:dyDescent="0.25"/>
    <row r="101" spans="4:17" ht="20" customHeight="1" x14ac:dyDescent="0.25">
      <c r="D101" s="94" t="s">
        <v>197</v>
      </c>
      <c r="N101" s="94" t="s">
        <v>197</v>
      </c>
    </row>
    <row r="102" spans="4:17" ht="20" customHeight="1" x14ac:dyDescent="0.25">
      <c r="D102" s="93" t="s">
        <v>198</v>
      </c>
      <c r="N102" s="93" t="s">
        <v>198</v>
      </c>
    </row>
    <row r="103" spans="4:17" ht="20" customHeight="1" x14ac:dyDescent="0.25">
      <c r="D103" s="50" t="s">
        <v>181</v>
      </c>
      <c r="E103" s="50" t="s">
        <v>135</v>
      </c>
      <c r="F103" s="50" t="s">
        <v>124</v>
      </c>
      <c r="N103" s="50" t="s">
        <v>181</v>
      </c>
      <c r="O103" s="50" t="s">
        <v>135</v>
      </c>
      <c r="P103" s="50" t="s">
        <v>124</v>
      </c>
    </row>
    <row r="104" spans="4:17" ht="20" customHeight="1" x14ac:dyDescent="0.25">
      <c r="D104" s="51" t="s">
        <v>150</v>
      </c>
      <c r="E104" s="51" cm="1">
        <f t="array" ref="E104">MMS_OtherLivestock_Methane_Equations.VEERG_4_7_1_1__1_TotalAnnualMethaneProductionFromManureManagementOtherLivestock($E92,E65)</f>
        <v>2.7673973717854468</v>
      </c>
      <c r="F104" s="51" cm="1">
        <f t="array" ref="F104">MMS_OtherLivestock_Methane_Equations.VEERG_4_7_1_1__1_TotalAnnualMethaneProductionFromManureManagementOtherLivestock($E92,F65)</f>
        <v>1.5065826572160002</v>
      </c>
      <c r="G104" s="2" t="str">
        <f>$E$82</f>
        <v>t CH4</v>
      </c>
      <c r="N104" s="51" t="s">
        <v>150</v>
      </c>
      <c r="O104" s="51" cm="1">
        <f t="array" ref="O104">MMS_OtherLivestock_Methane_Equations.VEERG_4_7_1_1__1_TotalAnnualMethaneProductionFromManureManagementOtherLivestock($E92,O65)</f>
        <v>2.7673973717854468</v>
      </c>
      <c r="P104" s="51" cm="1">
        <f t="array" ref="P104">MMS_OtherLivestock_Methane_Equations.VEERG_4_7_1_1__1_TotalAnnualMethaneProductionFromManureManagementOtherLivestock($E92,P65)</f>
        <v>1.5467581947417601</v>
      </c>
      <c r="Q104" s="2" t="str">
        <f>$E$82</f>
        <v>t CH4</v>
      </c>
    </row>
    <row r="105" spans="4:17" ht="20" customHeight="1" x14ac:dyDescent="0.25">
      <c r="D105" s="51" t="s">
        <v>155</v>
      </c>
      <c r="E105" s="51" cm="1">
        <f t="array" ref="E105">MMS_OtherLivestock_Methane_Equations.VEERG_4_7_1_1__1_TotalAnnualMethaneProductionFromManureManagementOtherLivestock($E93,E66)</f>
        <v>0.45428546390261765</v>
      </c>
      <c r="F105" s="51" cm="1">
        <f t="array" ref="F105">MMS_OtherLivestock_Methane_Equations.VEERG_4_7_1_1__1_TotalAnnualMethaneProductionFromManureManagementOtherLivestock($E93,F66)</f>
        <v>0.24731489894400002</v>
      </c>
      <c r="N105" s="51" t="s">
        <v>155</v>
      </c>
      <c r="O105" s="51" cm="1">
        <f t="array" ref="O105">MMS_OtherLivestock_Methane_Equations.VEERG_4_7_1_1__1_TotalAnnualMethaneProductionFromManureManagementOtherLivestock($E93,O66)</f>
        <v>0.45428546390261765</v>
      </c>
      <c r="P105" s="51" cm="1">
        <f t="array" ref="P105">MMS_OtherLivestock_Methane_Equations.VEERG_4_7_1_1__1_TotalAnnualMethaneProductionFromManureManagementOtherLivestock($E93,P66)</f>
        <v>0.25390996291584</v>
      </c>
    </row>
    <row r="106" spans="4:17" ht="20" customHeight="1" x14ac:dyDescent="0.25">
      <c r="D106" s="51" t="s">
        <v>162</v>
      </c>
      <c r="E106" s="51" cm="1">
        <f t="array" ref="E106">MMS_OtherLivestock_Methane_Equations.VEERG_4_7_1_1__1_TotalAnnualMethaneProductionFromManureManagementOtherLivestock($E94,E67)</f>
        <v>1.1652199460149251</v>
      </c>
      <c r="F106" s="51" cm="1">
        <f t="array" ref="F106">MMS_OtherLivestock_Methane_Equations.VEERG_4_7_1_1__1_TotalAnnualMethaneProductionFromManureManagementOtherLivestock($E94,F67)</f>
        <v>0.6343505925120001</v>
      </c>
      <c r="N106" s="51" t="s">
        <v>162</v>
      </c>
      <c r="O106" s="51" cm="1">
        <f t="array" ref="O106">MMS_OtherLivestock_Methane_Equations.VEERG_4_7_1_1__1_TotalAnnualMethaneProductionFromManureManagementOtherLivestock($E94,O67)</f>
        <v>1.1652199460149251</v>
      </c>
      <c r="P106" s="51" cm="1">
        <f t="array" ref="P106">MMS_OtherLivestock_Methane_Equations.VEERG_4_7_1_1__1_TotalAnnualMethaneProductionFromManureManagementOtherLivestock($E94,P67)</f>
        <v>0.65126660831232008</v>
      </c>
    </row>
    <row r="107" spans="4:17" ht="20" customHeight="1" x14ac:dyDescent="0.25">
      <c r="D107" s="51" t="s">
        <v>168</v>
      </c>
      <c r="E107" s="51" cm="1">
        <f t="array" ref="E107">MMS_OtherLivestock_Methane_Equations.VEERG_4_7_1_1__1_TotalAnnualMethaneProductionFromManureManagementOtherLivestock($E95,E68)</f>
        <v>3.2676820225201144</v>
      </c>
      <c r="F107" s="51" cm="1">
        <f t="array" ref="F107">MMS_OtherLivestock_Methane_Equations.VEERG_4_7_1_1__1_TotalAnnualMethaneProductionFromManureManagementOtherLivestock($E95,F68)</f>
        <v>1.7789397050880003</v>
      </c>
      <c r="N107" s="51" t="s">
        <v>168</v>
      </c>
      <c r="O107" s="51" cm="1">
        <f t="array" ref="O107">MMS_OtherLivestock_Methane_Equations.VEERG_4_7_1_1__1_TotalAnnualMethaneProductionFromManureManagementOtherLivestock($E95,O68)</f>
        <v>3.2676820225201144</v>
      </c>
      <c r="P107" s="51" cm="1">
        <f t="array" ref="P107">MMS_OtherLivestock_Methane_Equations.VEERG_4_7_1_1__1_TotalAnnualMethaneProductionFromManureManagementOtherLivestock($E95,P68)</f>
        <v>1.8263780972236803</v>
      </c>
    </row>
    <row r="108" spans="4:17" ht="20" customHeight="1" x14ac:dyDescent="0.25">
      <c r="D108" s="51" t="s">
        <v>169</v>
      </c>
      <c r="E108" s="51" cm="1">
        <f t="array" ref="E108">MMS_OtherLivestock_Methane_Equations.VEERG_4_7_1_1__1_TotalAnnualMethaneProductionFromManureManagementOtherLivestock($E96,E69)</f>
        <v>9.464280497971201E-3</v>
      </c>
      <c r="F108" s="51" cm="1">
        <f t="array" ref="F108">MMS_OtherLivestock_Methane_Equations.VEERG_4_7_1_1__1_TotalAnnualMethaneProductionFromManureManagementOtherLivestock($E96,F69)</f>
        <v>5.1523937280000005E-3</v>
      </c>
      <c r="N108" s="51" t="s">
        <v>169</v>
      </c>
      <c r="O108" s="51" cm="1">
        <f t="array" ref="O108">MMS_OtherLivestock_Methane_Equations.VEERG_4_7_1_1__1_TotalAnnualMethaneProductionFromManureManagementOtherLivestock($E96,O69)</f>
        <v>9.464280497971201E-3</v>
      </c>
      <c r="P108" s="51" cm="1">
        <f t="array" ref="P108">MMS_OtherLivestock_Methane_Equations.VEERG_4_7_1_1__1_TotalAnnualMethaneProductionFromManureManagementOtherLivestock($E96,P69)</f>
        <v>5.2897908940800001E-3</v>
      </c>
    </row>
    <row r="109" spans="4:17" ht="20" customHeight="1" x14ac:dyDescent="0.25">
      <c r="D109" s="51" t="s">
        <v>170</v>
      </c>
      <c r="E109" s="51" cm="1">
        <f t="array" ref="E109">MMS_OtherLivestock_Methane_Equations.VEERG_4_7_1_1__1_TotalAnnualMethaneProductionFromManureManagementOtherLivestock($E97,E70)</f>
        <v>6.0160812430118414E-2</v>
      </c>
      <c r="F109" s="51" cm="1">
        <f t="array" ref="F109">MMS_OtherLivestock_Methane_Equations.VEERG_4_7_1_1__1_TotalAnnualMethaneProductionFromManureManagementOtherLivestock($E97,F70)</f>
        <v>3.2751796896000003E-2</v>
      </c>
      <c r="N109" s="51" t="s">
        <v>170</v>
      </c>
      <c r="O109" s="51" cm="1">
        <f t="array" ref="O109">MMS_OtherLivestock_Methane_Equations.VEERG_4_7_1_1__1_TotalAnnualMethaneProductionFromManureManagementOtherLivestock($E97,O70)</f>
        <v>6.0160812430118414E-2</v>
      </c>
      <c r="P109" s="51" cm="1">
        <f t="array" ref="P109">MMS_OtherLivestock_Methane_Equations.VEERG_4_7_1_1__1_TotalAnnualMethaneProductionFromManureManagementOtherLivestock($E97,P70)</f>
        <v>3.3625178146560013E-2</v>
      </c>
    </row>
    <row r="110" spans="4:17" ht="20" customHeight="1" x14ac:dyDescent="0.25">
      <c r="D110" s="51" t="s">
        <v>186</v>
      </c>
      <c r="E110" s="51" cm="1">
        <f t="array" ref="E110">MMS_OtherLivestock_Methane_Equations.VEERG_4_7_1_1__1_TotalAnnualMethaneProductionFromManureManagementOtherLivestock($E98,E71)</f>
        <v>2.5330868391628802E-2</v>
      </c>
      <c r="F110" s="51" cm="1">
        <f t="array" ref="F110">MMS_OtherLivestock_Methane_Equations.VEERG_4_7_1_1__1_TotalAnnualMethaneProductionFromManureManagementOtherLivestock($E98,F71)</f>
        <v>1.3790230272000003E-2</v>
      </c>
      <c r="N110" s="51" t="s">
        <v>186</v>
      </c>
      <c r="O110" s="51" cm="1">
        <f t="array" ref="O110">MMS_OtherLivestock_Methane_Equations.VEERG_4_7_1_1__1_TotalAnnualMethaneProductionFromManureManagementOtherLivestock($E98,O71)</f>
        <v>2.5330868391628802E-2</v>
      </c>
      <c r="P110" s="51" cm="1">
        <f t="array" ref="P110">MMS_OtherLivestock_Methane_Equations.VEERG_4_7_1_1__1_TotalAnnualMethaneProductionFromManureManagementOtherLivestock($E98,P71)</f>
        <v>1.4157969745920001E-2</v>
      </c>
    </row>
    <row r="111" spans="4:17" ht="20" customHeight="1" x14ac:dyDescent="0.25">
      <c r="D111" s="51" t="s">
        <v>187</v>
      </c>
      <c r="E111" s="51" cm="1">
        <f t="array" ref="E111">MMS_OtherLivestock_Methane_Equations.VEERG_4_7_1_1__1_TotalAnnualMethaneProductionFromManureManagementOtherLivestock($E99,E72)</f>
        <v>1.4196420746956798E-2</v>
      </c>
      <c r="F111" s="51" cm="1">
        <f t="array" ref="F111">MMS_OtherLivestock_Methane_Equations.VEERG_4_7_1_1__1_TotalAnnualMethaneProductionFromManureManagementOtherLivestock($E99,F72)</f>
        <v>7.7285905920000007E-3</v>
      </c>
      <c r="N111" s="51" t="s">
        <v>187</v>
      </c>
      <c r="O111" s="51" cm="1">
        <f t="array" ref="O111">MMS_OtherLivestock_Methane_Equations.VEERG_4_7_1_1__1_TotalAnnualMethaneProductionFromManureManagementOtherLivestock($E99,O72)</f>
        <v>1.4196420746956798E-2</v>
      </c>
      <c r="P111" s="51" cm="1">
        <f t="array" ref="P111">MMS_OtherLivestock_Methane_Equations.VEERG_4_7_1_1__1_TotalAnnualMethaneProductionFromManureManagementOtherLivestock($E99,P72)</f>
        <v>7.9346863411200001E-3</v>
      </c>
    </row>
    <row r="112" spans="4:17" ht="20" customHeight="1" x14ac:dyDescent="0.25"/>
    <row r="113" spans="4:18" ht="20" customHeight="1" x14ac:dyDescent="0.25">
      <c r="D113" s="97" t="s">
        <v>91</v>
      </c>
      <c r="E113" s="98">
        <f>SUM(E104:F111)</f>
        <v>11.990348051537779</v>
      </c>
      <c r="F113" s="99" t="str">
        <f>$E$82</f>
        <v>t CH4</v>
      </c>
      <c r="N113" s="97" t="s">
        <v>92</v>
      </c>
      <c r="O113" s="98">
        <f>SUM(O104:P111)</f>
        <v>12.103057674611057</v>
      </c>
      <c r="P113" s="99" t="str">
        <f>$E$82</f>
        <v>t CH4</v>
      </c>
    </row>
    <row r="114" spans="4:18" ht="20" customHeight="1" x14ac:dyDescent="0.25"/>
    <row r="115" spans="4:18" ht="20" customHeight="1" x14ac:dyDescent="0.25">
      <c r="D115" s="56" t="str" cm="1">
        <f t="array" ref="D115:E116">Common_Equations.Common_ConvertCH4ToCO2e_Arguments()</f>
        <v>ECH4</v>
      </c>
      <c r="E115" s="57" t="str">
        <v>Methane emissions (t CH4)</v>
      </c>
      <c r="F115" s="100"/>
      <c r="G115" s="51">
        <f>E113</f>
        <v>11.990348051537779</v>
      </c>
      <c r="H115" s="2" t="str">
        <f>$E$82</f>
        <v>t CH4</v>
      </c>
      <c r="N115" s="56" t="str" cm="1">
        <f t="array" ref="N115:O116">Common_Equations.Common_ConvertCH4ToCO2e_Arguments()</f>
        <v>ECH4</v>
      </c>
      <c r="O115" s="57" t="str">
        <v>Methane emissions (t CH4)</v>
      </c>
      <c r="P115" s="100"/>
      <c r="Q115" s="51">
        <f>O113</f>
        <v>12.103057674611057</v>
      </c>
      <c r="R115" s="2" t="str">
        <f>$E$82</f>
        <v>t CH4</v>
      </c>
    </row>
    <row r="116" spans="4:18" ht="20" customHeight="1" x14ac:dyDescent="0.25">
      <c r="D116" s="56" t="str">
        <v>GWPCH4</v>
      </c>
      <c r="E116" s="57" t="str">
        <v>Global warming potential for methane (t CO2-e / t CH4)</v>
      </c>
      <c r="F116" s="100"/>
      <c r="G116" s="51">
        <f>Common_InputFunctions.Utility_LookupValueInTableNumber("CH4",Table_GWPData[Gas],Table_GWPData[CO2-e factor])</f>
        <v>28</v>
      </c>
      <c r="N116" s="56" t="str">
        <v>GWPCH4</v>
      </c>
      <c r="O116" s="57" t="str">
        <v>Global warming potential for methane (t CO2-e / t CH4)</v>
      </c>
      <c r="P116" s="100"/>
      <c r="Q116" s="51">
        <f>Common_InputFunctions.Utility_LookupValueInTableNumber("CH4",Table_GWPData[Gas],Table_GWPData[CO2-e factor])</f>
        <v>28</v>
      </c>
    </row>
    <row r="117" spans="4:18" ht="20" customHeight="1" x14ac:dyDescent="0.25"/>
    <row r="118" spans="4:18" ht="20" customHeight="1" x14ac:dyDescent="0.25">
      <c r="D118" s="46" t="s">
        <v>93</v>
      </c>
      <c r="E118" s="46" cm="1">
        <f t="array" ref="E118">Common_Equations.Common_ConvertCH4ToCO2e(G115,G116)</f>
        <v>335.72974544305782</v>
      </c>
      <c r="F118" s="101" t="str" cm="1">
        <f t="array" ref="F118">Common_Equations.Common_ConvertN2OToCO2e_Unit()</f>
        <v>t CO2e</v>
      </c>
      <c r="N118" s="46" t="s">
        <v>94</v>
      </c>
      <c r="O118" s="46" cm="1">
        <f t="array" ref="O118">Common_Equations.Common_ConvertCH4ToCO2e(Q115,Q116)</f>
        <v>338.8856148891096</v>
      </c>
      <c r="P118" s="101" t="str" cm="1">
        <f t="array" ref="P118">Common_Equations.Common_ConvertN2OToCO2e_Unit()</f>
        <v>t CO2e</v>
      </c>
    </row>
    <row r="119" spans="4:18" ht="20" customHeight="1" x14ac:dyDescent="0.25"/>
    <row r="120" spans="4:18" ht="20" customHeight="1" x14ac:dyDescent="0.25"/>
    <row r="121" spans="4:18" ht="20" customHeight="1" x14ac:dyDescent="0.25"/>
    <row r="122" spans="4:18" ht="20" customHeight="1" x14ac:dyDescent="0.25"/>
    <row r="123" spans="4:18" ht="20" customHeight="1" x14ac:dyDescent="0.25"/>
    <row r="124" spans="4:18" ht="20" customHeight="1" x14ac:dyDescent="0.25"/>
    <row r="125" spans="4:18" ht="20" customHeight="1" x14ac:dyDescent="0.25"/>
    <row r="126" spans="4:18" ht="20" customHeight="1" x14ac:dyDescent="0.25"/>
    <row r="127" spans="4:18" ht="20" customHeight="1" x14ac:dyDescent="0.25"/>
    <row r="128" spans="4:1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row r="166" ht="20" customHeight="1" x14ac:dyDescent="0.25"/>
    <row r="167" ht="20" customHeight="1" x14ac:dyDescent="0.25"/>
    <row r="168" ht="20" customHeight="1" x14ac:dyDescent="0.25"/>
    <row r="169" ht="20" customHeight="1" x14ac:dyDescent="0.25"/>
    <row r="170" ht="20" customHeight="1" x14ac:dyDescent="0.25"/>
    <row r="171" ht="20" customHeight="1" x14ac:dyDescent="0.25"/>
    <row r="172" ht="20" customHeight="1" x14ac:dyDescent="0.25"/>
    <row r="173" ht="20" customHeight="1" x14ac:dyDescent="0.25"/>
    <row r="174" ht="20" customHeight="1" x14ac:dyDescent="0.25"/>
    <row r="175" ht="20" customHeight="1" x14ac:dyDescent="0.25"/>
    <row r="176" ht="20" customHeight="1" x14ac:dyDescent="0.25"/>
    <row r="177" ht="20" customHeight="1" x14ac:dyDescent="0.25"/>
    <row r="178" ht="20" customHeight="1" x14ac:dyDescent="0.25"/>
    <row r="179" ht="20" customHeight="1" x14ac:dyDescent="0.25"/>
    <row r="180" ht="20" customHeight="1" x14ac:dyDescent="0.25"/>
    <row r="181" ht="20" customHeight="1" x14ac:dyDescent="0.25"/>
    <row r="182" ht="20" customHeight="1" x14ac:dyDescent="0.25"/>
    <row r="183" ht="20" customHeight="1" x14ac:dyDescent="0.25"/>
  </sheetData>
  <dataValidations disablePrompts="1" count="1">
    <dataValidation operator="equal" allowBlank="1" showInputMessage="1" showErrorMessage="1" sqref="E120:G120 E125:G125 D145:F145 D159:F159 O125:Q125 Q57" xr:uid="{AF7BB680-B75F-4AE8-AA2D-EDF03FCB10D8}"/>
  </dataValidations>
  <pageMargins left="0.7" right="0.7" top="0.75" bottom="0.75" header="0.3" footer="0.3"/>
  <pageSetup paperSize="9" orientation="portrait" r:id="rId1"/>
  <ignoredErrors>
    <ignoredError sqref="I85" 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83A5C-7927-4EC6-AF32-4F9637A256E3}">
  <sheetPr>
    <tabColor rgb="FF008000"/>
  </sheetPr>
  <dimension ref="A1:U183"/>
  <sheetViews>
    <sheetView showGridLines="0" topLeftCell="A51" zoomScaleNormal="100" workbookViewId="0">
      <selection activeCell="A24" sqref="A24"/>
    </sheetView>
  </sheetViews>
  <sheetFormatPr defaultRowHeight="20" x14ac:dyDescent="0.25" customHeight="1"/>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3" t="e" vm="1">
        <v>#VALUE!</v>
      </c>
      <c r="C1" s="8" t="s">
        <v>235</v>
      </c>
      <c r="L1"/>
    </row>
    <row r="2" spans="1:21" s="9" customFormat="1" ht="20" customHeight="1" x14ac:dyDescent="0.25">
      <c r="A2"/>
      <c r="L2"/>
    </row>
    <row r="3" spans="1:21" ht="20" customHeight="1" x14ac:dyDescent="0.25">
      <c r="A3" s="17" t="str">
        <f>HYPERLINK("#'Home'!A1", "Home")</f>
        <v>Home</v>
      </c>
      <c r="C3" s="4"/>
      <c r="D3" s="4" t="s">
        <v>88</v>
      </c>
      <c r="E3" s="4"/>
      <c r="F3" s="4"/>
      <c r="G3" s="4"/>
      <c r="H3" s="4"/>
      <c r="I3" s="4"/>
      <c r="J3" s="4"/>
      <c r="K3" s="4"/>
      <c r="M3" s="4"/>
      <c r="N3" s="4" t="s">
        <v>89</v>
      </c>
      <c r="O3" s="4"/>
      <c r="P3" s="4"/>
      <c r="Q3" s="4"/>
      <c r="R3" s="4"/>
      <c r="S3" s="4"/>
      <c r="T3" s="4"/>
      <c r="U3" s="4"/>
    </row>
    <row r="4" spans="1:21" ht="20" customHeight="1" x14ac:dyDescent="0.25">
      <c r="A4" s="17" t="str">
        <f>HYPERLINK("#'Overview'!A1", "Overview")</f>
        <v>Overview</v>
      </c>
    </row>
    <row r="5" spans="1:21" ht="20" customHeight="1" x14ac:dyDescent="0.25">
      <c r="A5" s="17" t="str">
        <f>HYPERLINK("#'Results'!A1", "Results")</f>
        <v>Results</v>
      </c>
      <c r="D5" s="6" t="str" cm="1">
        <f t="array" ref="D5">MMS_OtherLivestock_Soil_N2ODirect.VEERG_4_7_1_3__2_AnnualNitrogenExcretedToPasture_Title()</f>
        <v>Annual nitrogen excreted by livestock to pasture, range and paddock</v>
      </c>
    </row>
    <row r="6" spans="1:21" ht="20" customHeight="1" x14ac:dyDescent="0.25">
      <c r="D6" s="5" t="str" cm="1">
        <f t="array" ref="D6">MMS_OtherLivestock_Soil_N2ODirect.VEERG_4_7_1_3__2_AnnualNitrogenExcretedToPasture_Source()</f>
        <v>VEERG 2026: 4.7.1.3, Equation (2)</v>
      </c>
    </row>
    <row r="7" spans="1:21" ht="20" customHeight="1" x14ac:dyDescent="0.25">
      <c r="D7" s="13" t="s">
        <v>22</v>
      </c>
      <c r="E7" s="13" t="str" cm="1">
        <f t="array" aca="1" ref="E7" ca="1">Common_InputFunctions.Utility_DisplayFunctionName(E44)</f>
        <v>=MMS_OtherLivestock_Soil_N2ODirect.VEERG_4_7_1_3__2_AnnualNitrogenExcretedToPasture</v>
      </c>
    </row>
    <row r="8" spans="1:21" ht="20" customHeight="1" x14ac:dyDescent="0.25">
      <c r="A8" s="19" t="s">
        <v>0</v>
      </c>
    </row>
    <row r="9" spans="1:21" ht="20" customHeight="1" x14ac:dyDescent="0.25">
      <c r="A9" s="17" t="str">
        <f>HYPERLINK("#'Input - Site'!A1", "Site")</f>
        <v>Site</v>
      </c>
    </row>
    <row r="10" spans="1:21" ht="20" customHeight="1" x14ac:dyDescent="0.25">
      <c r="A10" s="17" t="str">
        <f>HYPERLINK("#'Input - Other Livestock'!A1", "Other Livestock")</f>
        <v>Other Livestock</v>
      </c>
      <c r="D10" s="52" t="s">
        <v>25</v>
      </c>
      <c r="E10" s="1" t="str" cm="1">
        <f t="array" ref="E10">MMS_OtherLivestock_Soil_N2ODirect.VEERG_4_7_1_3__2_AnnualNitrogenExcretedToPasture_Variable()</f>
        <v>AE</v>
      </c>
    </row>
    <row r="11" spans="1:21" ht="20" customHeight="1" x14ac:dyDescent="0.25">
      <c r="D11" s="52" t="s">
        <v>15</v>
      </c>
      <c r="E11" s="53" t="str" cm="1">
        <f t="array" ref="E11">MMS_OtherLivestock_Soil_N2ODirect.VEERG_4_7_1_3__2_AnnualNitrogenExcretedToPasture_Unit()</f>
        <v>kg N/year</v>
      </c>
    </row>
    <row r="12" spans="1:21" ht="20" customHeight="1" x14ac:dyDescent="0.25"/>
    <row r="13" spans="1:21" ht="20" customHeight="1" x14ac:dyDescent="0.25">
      <c r="A13" s="18" t="s">
        <v>70</v>
      </c>
      <c r="D13" s="113" t="str" cm="1">
        <f t="array" ref="D13:E15">_xlfn.CHOOSECOLS(MMS_OtherLivestock_Soil_N2ODirect.VEERG_4_7_1_3__2_AnnualNitrogenExcretedToPasture_Arguments(),1,2)</f>
        <v>N_j</v>
      </c>
      <c r="E13" s="116" t="str">
        <v>number of livestock of each livestock type j</v>
      </c>
      <c r="F13" s="117"/>
      <c r="G13" s="113" t="str" cm="1">
        <f t="array" ref="G13:H15">_xlfn.CHOOSECOLS(MMS_OtherLivestock_Soil_N2ODirect.VEERG_4_7_1_3__2_AnnualNitrogenExcretedToPasture_Arguments(),3,4)</f>
        <v>head</v>
      </c>
      <c r="H13" s="111" t="str">
        <v>Input</v>
      </c>
      <c r="I13" s="114" t="str" cm="1">
        <f t="array" aca="1" ref="I13" ca="1">HYPERLINK(Common_InputFunctions.Utility_SourceHyperlink($D$17),$D$17)</f>
        <v>Table_N_j</v>
      </c>
    </row>
    <row r="14" spans="1:21" ht="20" customHeight="1" x14ac:dyDescent="0.25">
      <c r="A14" s="17" t="str">
        <f>HYPERLINK("#'4.7.1.1-2 Manure Methane'!A1", "4.7.1.1-2 Manure Methane")</f>
        <v>4.7.1.1-2 Manure Methane</v>
      </c>
      <c r="D14" s="113" t="str">
        <v>NE_j</v>
      </c>
      <c r="E14" s="116" t="str">
        <v>nitrogen excreted by each livestock type j</v>
      </c>
      <c r="F14" s="117"/>
      <c r="G14" s="113" t="str">
        <v>kg N/head/day</v>
      </c>
      <c r="H14" s="112" t="str">
        <v>Constant</v>
      </c>
      <c r="I14" s="114" t="str" cm="1">
        <f t="array" aca="1" ref="I14" ca="1">HYPERLINK(Common_InputFunctions.Utility_SourceHyperlink($D$29),$D$29)</f>
        <v>Table_NE_j</v>
      </c>
    </row>
    <row r="15" spans="1:21" ht="20" customHeight="1" x14ac:dyDescent="0.25">
      <c r="A15" s="21" t="str">
        <f>HYPERLINK("#'4.7.1.3-4 Soil Direct N2O'!A1", "4.7.1.3-4 Soil Direct N2O")</f>
        <v>4.7.1.3-4 Soil Direct N2O</v>
      </c>
      <c r="D15" s="113" t="str">
        <v>j</v>
      </c>
      <c r="E15" s="116" t="str">
        <v>livestock type</v>
      </c>
      <c r="F15" s="117"/>
      <c r="G15" s="113" t="str">
        <v/>
      </c>
      <c r="H15" s="111" t="str">
        <v>Input</v>
      </c>
      <c r="I15" s="114" t="str" cm="1">
        <f t="array" aca="1" ref="I15" ca="1">HYPERLINK(Common_InputFunctions.Utility_SourceHyperlink($D$17),$D$17)</f>
        <v>Table_N_j</v>
      </c>
    </row>
    <row r="16" spans="1:21" ht="20" customHeight="1" x14ac:dyDescent="0.25">
      <c r="A16" s="17" t="str">
        <f>HYPERLINK("#'4.7.1.5-6 Soil Atmos Deposition'!A1", "4.7.1.5-6 Soil Atmos Deposition")</f>
        <v>4.7.1.5-6 Soil Atmos Deposition</v>
      </c>
    </row>
    <row r="17" spans="1:6" ht="20" customHeight="1" x14ac:dyDescent="0.25">
      <c r="A17" s="17" t="str">
        <f>HYPERLINK("#'4.7.1.7-8 Soil Leaching Runoff'!A1", "4.7.1.7-8 Soil Leaching Runoff")</f>
        <v>4.7.1.7-8 Soil Leaching Runoff</v>
      </c>
      <c r="D17" s="94" t="s">
        <v>86</v>
      </c>
    </row>
    <row r="18" spans="1:6" ht="20" customHeight="1" x14ac:dyDescent="0.25">
      <c r="D18" s="93" t="s">
        <v>196</v>
      </c>
    </row>
    <row r="19" spans="1:6" ht="20" customHeight="1" x14ac:dyDescent="0.25">
      <c r="D19" s="40" t="s">
        <v>181</v>
      </c>
      <c r="E19" s="40" t="s">
        <v>228</v>
      </c>
    </row>
    <row r="20" spans="1:6" ht="20" customHeight="1" x14ac:dyDescent="0.25">
      <c r="A20" s="124" t="s">
        <v>1</v>
      </c>
      <c r="D20" s="51" t="s">
        <v>150</v>
      </c>
      <c r="E20" s="96">
        <f>SUM(X_Table_OtherLivestock_Buffalo_Head)</f>
        <v>4600</v>
      </c>
      <c r="F20" s="2" t="str">
        <f>G13</f>
        <v>head</v>
      </c>
    </row>
    <row r="21" spans="1:6" ht="20" customHeight="1" x14ac:dyDescent="0.25">
      <c r="A21" s="17" t="str">
        <f>HYPERLINK("#'Constants - Other Livestock'!A1", "Constants - Other Livestock")</f>
        <v>Constants - Other Livestock</v>
      </c>
      <c r="D21" s="51" t="s">
        <v>155</v>
      </c>
      <c r="E21" s="96">
        <f>SUM(X_Table_OtherLivestock_Goats_Head)</f>
        <v>4800</v>
      </c>
    </row>
    <row r="22" spans="1:6" ht="20" customHeight="1" x14ac:dyDescent="0.25">
      <c r="A22" s="17" t="str">
        <f>HYPERLINK("#'Constants - Livestock'!A1", "Constants - Livestock")</f>
        <v>Constants - Livestock</v>
      </c>
      <c r="D22" s="51" t="s">
        <v>162</v>
      </c>
      <c r="E22" s="96">
        <f>SUM(X_Table_OtherLivestock_Deer_Head)</f>
        <v>4600</v>
      </c>
    </row>
    <row r="23" spans="1:6" ht="20" customHeight="1" x14ac:dyDescent="0.25">
      <c r="A23" s="17" t="str">
        <f>HYPERLINK("#'Constants - Common'!A1", "Constants - Common")</f>
        <v>Constants - Common</v>
      </c>
      <c r="D23" s="51" t="s">
        <v>168</v>
      </c>
      <c r="E23" s="96">
        <f>X_Cell_OtherLivestock_Others_Camels_Head</f>
        <v>4300</v>
      </c>
    </row>
    <row r="24" spans="1:6" ht="20" customHeight="1" x14ac:dyDescent="0.25">
      <c r="A24" s="17" t="str">
        <f>HYPERLINK("#'Acknowledgements'!A1", "Acknowledgements")</f>
        <v>Acknowledgements</v>
      </c>
      <c r="D24" s="51" t="s">
        <v>169</v>
      </c>
      <c r="E24" s="96">
        <f>X_Cell_OtherLivestock_Others_Alpacas_Head</f>
        <v>100</v>
      </c>
    </row>
    <row r="25" spans="1:6" ht="20" customHeight="1" x14ac:dyDescent="0.25">
      <c r="D25" s="51" t="s">
        <v>170</v>
      </c>
      <c r="E25" s="96">
        <f>X_Cell_OtherLivestock_Others_Horses_Head</f>
        <v>100</v>
      </c>
    </row>
    <row r="26" spans="1:6" ht="20" customHeight="1" x14ac:dyDescent="0.25">
      <c r="D26" s="51" t="s">
        <v>186</v>
      </c>
      <c r="E26" s="96">
        <f>X_Cell_OtherLivestock_Others_Mules_Head</f>
        <v>100</v>
      </c>
    </row>
    <row r="27" spans="1:6" ht="20" customHeight="1" x14ac:dyDescent="0.25">
      <c r="D27" s="51" t="s">
        <v>187</v>
      </c>
      <c r="E27" s="96">
        <f>X_Cell_OtherLivestock_Others_Emus_Head</f>
        <v>100</v>
      </c>
    </row>
    <row r="28" spans="1:6" ht="20" customHeight="1" x14ac:dyDescent="0.25"/>
    <row r="29" spans="1:6" ht="20" customHeight="1" x14ac:dyDescent="0.25">
      <c r="D29" s="94" t="s">
        <v>199</v>
      </c>
    </row>
    <row r="30" spans="1:6" ht="20" customHeight="1" x14ac:dyDescent="0.25">
      <c r="D30" s="93" t="s">
        <v>202</v>
      </c>
    </row>
    <row r="31" spans="1:6" ht="20" customHeight="1" x14ac:dyDescent="0.25">
      <c r="D31" s="50" t="s">
        <v>181</v>
      </c>
      <c r="E31" s="50" t="s">
        <v>227</v>
      </c>
    </row>
    <row r="32" spans="1:6" ht="20" customHeight="1" x14ac:dyDescent="0.25">
      <c r="D32" s="51" t="str">
        <f>'Constants - Other Livestock'!D103</f>
        <v>Buffalo</v>
      </c>
      <c r="E32" s="51" cm="1">
        <f t="array" ref="E32">Common_InputFunctions.Utility_LookupValueInTableNumber(D32,Table_SourceData_OtherLivestock_NitrogenExcreted[Other livestock type],Table_SourceData_OtherLivestock_NitrogenExcreted[NEj])</f>
        <v>39.5</v>
      </c>
      <c r="F32" s="2" t="str">
        <f>$G$14</f>
        <v>kg N/head/day</v>
      </c>
    </row>
    <row r="33" spans="4:6" ht="20" customHeight="1" x14ac:dyDescent="0.25">
      <c r="D33" s="51" t="str">
        <f>'Constants - Other Livestock'!D104</f>
        <v>Goats</v>
      </c>
      <c r="E33" s="51" cm="1">
        <f t="array" ref="E33">Common_InputFunctions.Utility_LookupValueInTableNumber(D33,Table_SourceData_OtherLivestock_NitrogenExcreted[Other livestock type],Table_SourceData_OtherLivestock_NitrogenExcreted[NEj])</f>
        <v>7</v>
      </c>
    </row>
    <row r="34" spans="4:6" ht="20" customHeight="1" x14ac:dyDescent="0.25">
      <c r="D34" s="51" t="str">
        <f>'Constants - Other Livestock'!D105</f>
        <v>Deer</v>
      </c>
      <c r="E34" s="51" cm="1">
        <f t="array" ref="E34">Common_InputFunctions.Utility_LookupValueInTableNumber(D34,Table_SourceData_OtherLivestock_NitrogenExcreted[Other livestock type],Table_SourceData_OtherLivestock_NitrogenExcreted[NEj])</f>
        <v>13.2</v>
      </c>
    </row>
    <row r="35" spans="4:6" ht="20" customHeight="1" x14ac:dyDescent="0.25">
      <c r="D35" s="51" t="str">
        <f>'Constants - Other Livestock'!D106</f>
        <v>Camels</v>
      </c>
      <c r="E35" s="51" cm="1">
        <f t="array" ref="E35">Common_InputFunctions.Utility_LookupValueInTableNumber(D35,Table_SourceData_OtherLivestock_NitrogenExcreted[Other livestock type],Table_SourceData_OtherLivestock_NitrogenExcreted[NEj])</f>
        <v>39.5</v>
      </c>
    </row>
    <row r="36" spans="4:6" ht="20" customHeight="1" x14ac:dyDescent="0.25">
      <c r="D36" s="51" t="str">
        <f>'Constants - Other Livestock'!D107</f>
        <v>Alpacas</v>
      </c>
      <c r="E36" s="51" cm="1">
        <f t="array" ref="E36">Common_InputFunctions.Utility_LookupValueInTableNumber(D36,Table_SourceData_OtherLivestock_NitrogenExcreted[Other livestock type],Table_SourceData_OtherLivestock_NitrogenExcreted[NEj])</f>
        <v>7</v>
      </c>
    </row>
    <row r="37" spans="4:6" ht="20" customHeight="1" x14ac:dyDescent="0.25">
      <c r="D37" s="51" t="str">
        <f>'Constants - Other Livestock'!D108</f>
        <v>Horses</v>
      </c>
      <c r="E37" s="51" cm="1">
        <f t="array" ref="E37">Common_InputFunctions.Utility_LookupValueInTableNumber(D37,Table_SourceData_OtherLivestock_NitrogenExcreted[Other livestock type],Table_SourceData_OtherLivestock_NitrogenExcreted[NEj])</f>
        <v>39.5</v>
      </c>
    </row>
    <row r="38" spans="4:6" ht="20" customHeight="1" x14ac:dyDescent="0.25">
      <c r="D38" s="51" t="str">
        <f>'Constants - Other Livestock'!D109</f>
        <v>Mules/asses</v>
      </c>
      <c r="E38" s="51" cm="1">
        <f t="array" ref="E38">Common_InputFunctions.Utility_LookupValueInTableNumber(D38,Table_SourceData_OtherLivestock_NitrogenExcreted[Other livestock type],Table_SourceData_OtherLivestock_NitrogenExcreted[NEj])</f>
        <v>13.2</v>
      </c>
    </row>
    <row r="39" spans="4:6" ht="20" customHeight="1" x14ac:dyDescent="0.25">
      <c r="D39" s="51" t="str">
        <f>'Constants - Other Livestock'!D110</f>
        <v>Emus/ostriches</v>
      </c>
      <c r="E39" s="51" cm="1">
        <f t="array" ref="E39">Common_InputFunctions.Utility_LookupValueInTableNumber(D39,Table_SourceData_OtherLivestock_NitrogenExcreted[Other livestock type],Table_SourceData_OtherLivestock_NitrogenExcreted[NEj])</f>
        <v>7</v>
      </c>
    </row>
    <row r="40" spans="4:6" ht="20" customHeight="1" x14ac:dyDescent="0.25"/>
    <row r="41" spans="4:6" ht="20" customHeight="1" x14ac:dyDescent="0.25">
      <c r="D41" s="94" t="s">
        <v>201</v>
      </c>
    </row>
    <row r="42" spans="4:6" ht="20" customHeight="1" x14ac:dyDescent="0.25">
      <c r="D42" s="93" t="s">
        <v>200</v>
      </c>
    </row>
    <row r="43" spans="4:6" ht="20" customHeight="1" x14ac:dyDescent="0.25">
      <c r="D43" s="50" t="s">
        <v>181</v>
      </c>
      <c r="E43" s="50" t="s">
        <v>224</v>
      </c>
    </row>
    <row r="44" spans="4:6" ht="20" customHeight="1" x14ac:dyDescent="0.25">
      <c r="D44" s="51" t="s">
        <v>150</v>
      </c>
      <c r="E44" s="51" cm="1">
        <f t="array" ref="E44">MMS_OtherLivestock_Soil_N2ODirect.VEERG_4_7_1_3__2_AnnualNitrogenExcretedToPasture(E20,E32)</f>
        <v>66320500</v>
      </c>
      <c r="F44" s="2" t="str">
        <f>$E$11</f>
        <v>kg N/year</v>
      </c>
    </row>
    <row r="45" spans="4:6" ht="20" customHeight="1" x14ac:dyDescent="0.25">
      <c r="D45" s="51" t="s">
        <v>155</v>
      </c>
      <c r="E45" s="51" cm="1">
        <f t="array" ref="E45">MMS_OtherLivestock_Soil_N2ODirect.VEERG_4_7_1_3__2_AnnualNitrogenExcretedToPasture(E21,E33)</f>
        <v>12264000</v>
      </c>
    </row>
    <row r="46" spans="4:6" ht="20" customHeight="1" x14ac:dyDescent="0.25">
      <c r="D46" s="51" t="s">
        <v>162</v>
      </c>
      <c r="E46" s="51" cm="1">
        <f t="array" ref="E46">MMS_OtherLivestock_Soil_N2ODirect.VEERG_4_7_1_3__2_AnnualNitrogenExcretedToPasture(E22,E34)</f>
        <v>22162800</v>
      </c>
    </row>
    <row r="47" spans="4:6" ht="20" customHeight="1" x14ac:dyDescent="0.25">
      <c r="D47" s="51" t="s">
        <v>168</v>
      </c>
      <c r="E47" s="51" cm="1">
        <f t="array" ref="E47">MMS_OtherLivestock_Soil_N2ODirect.VEERG_4_7_1_3__2_AnnualNitrogenExcretedToPasture(E23,E35)</f>
        <v>61995250</v>
      </c>
    </row>
    <row r="48" spans="4:6" ht="20" customHeight="1" x14ac:dyDescent="0.25">
      <c r="D48" s="51" t="s">
        <v>169</v>
      </c>
      <c r="E48" s="51" cm="1">
        <f t="array" ref="E48">MMS_OtherLivestock_Soil_N2ODirect.VEERG_4_7_1_3__2_AnnualNitrogenExcretedToPasture(E24,E36)</f>
        <v>255500</v>
      </c>
    </row>
    <row r="49" spans="3:11" ht="20" customHeight="1" x14ac:dyDescent="0.25">
      <c r="D49" s="51" t="s">
        <v>170</v>
      </c>
      <c r="E49" s="51" cm="1">
        <f t="array" ref="E49">MMS_OtherLivestock_Soil_N2ODirect.VEERG_4_7_1_3__2_AnnualNitrogenExcretedToPasture(E25,E37)</f>
        <v>1441750</v>
      </c>
    </row>
    <row r="50" spans="3:11" ht="20" customHeight="1" x14ac:dyDescent="0.25">
      <c r="D50" s="51" t="s">
        <v>186</v>
      </c>
      <c r="E50" s="51" cm="1">
        <f t="array" ref="E50">MMS_OtherLivestock_Soil_N2ODirect.VEERG_4_7_1_3__2_AnnualNitrogenExcretedToPasture(E26,E38)</f>
        <v>481800</v>
      </c>
    </row>
    <row r="51" spans="3:11" ht="20" customHeight="1" x14ac:dyDescent="0.25">
      <c r="D51" s="51" t="s">
        <v>187</v>
      </c>
      <c r="E51" s="51" cm="1">
        <f t="array" ref="E51">MMS_OtherLivestock_Soil_N2ODirect.VEERG_4_7_1_3__2_AnnualNitrogenExcretedToPasture(E27,E39)</f>
        <v>255500</v>
      </c>
    </row>
    <row r="52" spans="3:11" ht="20" customHeight="1" x14ac:dyDescent="0.25"/>
    <row r="53" spans="3:11" ht="20" customHeight="1" x14ac:dyDescent="0.25">
      <c r="D53" s="106" t="s">
        <v>203</v>
      </c>
      <c r="E53" s="46">
        <f>SUM(E44:E51)</f>
        <v>165177100</v>
      </c>
      <c r="F53" s="105" t="str">
        <f>$E$11</f>
        <v>kg N/year</v>
      </c>
    </row>
    <row r="54" spans="3:11" ht="20" customHeight="1" x14ac:dyDescent="0.25"/>
    <row r="55" spans="3:11" ht="20" customHeight="1" x14ac:dyDescent="0.25"/>
    <row r="56" spans="3:11" ht="20" customHeight="1" x14ac:dyDescent="0.25">
      <c r="C56" s="46"/>
      <c r="D56" s="46"/>
      <c r="E56" s="46"/>
      <c r="F56" s="46"/>
      <c r="G56" s="46"/>
      <c r="H56" s="46"/>
      <c r="I56" s="46"/>
      <c r="J56" s="46"/>
      <c r="K56" s="46"/>
    </row>
    <row r="57" spans="3:11" ht="20" customHeight="1" x14ac:dyDescent="0.25">
      <c r="D57" s="6" t="str" cm="1">
        <f t="array" ref="D57">MMS_OtherLivestock_Soil_N2ODirect.VEERG_4_7_1_3__1_DirectNitrousOxideEmissionsFromSoil_Title()</f>
        <v>Direct nitrous oxide emissions from agricultural soils from deposition of urine and dung to pasture</v>
      </c>
    </row>
    <row r="58" spans="3:11" ht="20" customHeight="1" x14ac:dyDescent="0.25">
      <c r="D58" s="5" t="str" cm="1">
        <f t="array" ref="D58">MMS_OtherLivestock_Soil_N2ODirect.VEERG_4_7_1_3__1_DirectNitrousOxideEmissionsFromSoil_Source()</f>
        <v>VEERG 2026: 4.7.1.3, Equation (1)</v>
      </c>
    </row>
    <row r="59" spans="3:11" ht="20" customHeight="1" x14ac:dyDescent="0.25">
      <c r="D59" s="13" t="s">
        <v>22</v>
      </c>
      <c r="E59" s="13" t="str" cm="1">
        <f t="array" aca="1" ref="E59" ca="1">Common_InputFunctions.Utility_DisplayFunctionName(E70)</f>
        <v>=MMS_OtherLivestock_Soil_N2ODirect.VEERG_4_7_1_3__1_DirectNitrousOxideEmissionsFromSoil</v>
      </c>
    </row>
    <row r="60" spans="3:11" ht="20" customHeight="1" x14ac:dyDescent="0.25"/>
    <row r="61" spans="3:11" ht="20" customHeight="1" x14ac:dyDescent="0.25"/>
    <row r="62" spans="3:11" ht="20" customHeight="1" x14ac:dyDescent="0.25">
      <c r="D62" s="52" t="s">
        <v>25</v>
      </c>
      <c r="E62" s="1" t="str" cm="1">
        <f t="array" ref="E62">MMS_OtherLivestock_Soil_N2ODirect.VEERG_4_7_1_3__1_DirectNitrousOxideEmissionsFromSoil_Variable()</f>
        <v>E_N2Odir</v>
      </c>
    </row>
    <row r="63" spans="3:11" ht="20" customHeight="1" x14ac:dyDescent="0.25">
      <c r="D63" s="52" t="s">
        <v>15</v>
      </c>
      <c r="E63" s="53" t="str" cm="1">
        <f t="array" ref="E63">MMS_OtherLivestock_Soil_N2ODirect.VEERG_4_7_1_3__1_DirectNitrousOxideEmissionsFromSoil_Unit()</f>
        <v>t N2O</v>
      </c>
    </row>
    <row r="64" spans="3:11" ht="20" customHeight="1" x14ac:dyDescent="0.25"/>
    <row r="65" spans="4:9" ht="20" customHeight="1" x14ac:dyDescent="0.25">
      <c r="D65" s="113" t="str" cm="1">
        <f t="array" ref="D65:E68">_xlfn.CHOOSECOLS(MMS_OtherLivestock_Soil_N2ODirect.VEERG_4_7_1_3__1_DirectNitrousOxideEmissionsFromSoil_Arguments(),1,2)</f>
        <v>AE</v>
      </c>
      <c r="E65" s="116" t="str">
        <v>annual nitrogen excreted by each livestock type</v>
      </c>
      <c r="F65" s="115"/>
      <c r="G65" s="113" t="str" cm="1">
        <f t="array" ref="G65:H68">_xlfn.CHOOSECOLS(MMS_OtherLivestock_Soil_N2ODirect.VEERG_4_7_1_3__1_DirectNitrousOxideEmissionsFromSoil_Arguments(),3,4)</f>
        <v>kg N/year</v>
      </c>
      <c r="H65" s="112" t="str">
        <v>Calculated from 4.7.1.3, (2)</v>
      </c>
      <c r="I65" s="113">
        <f>$E$53</f>
        <v>165177100</v>
      </c>
    </row>
    <row r="66" spans="4:9" ht="20" customHeight="1" x14ac:dyDescent="0.25">
      <c r="D66" s="113" t="str">
        <v>EF_PRP</v>
      </c>
      <c r="E66" s="116" t="str">
        <v>emission factor for nitrous oxide from urine and dung deposited to soil</v>
      </c>
      <c r="F66" s="115"/>
      <c r="G66" s="113" t="str">
        <v>kg N2O-N/kg N deposited</v>
      </c>
      <c r="H66" s="112" t="str">
        <v>Constant</v>
      </c>
      <c r="I66" s="113">
        <f>_xlfn.XLOOKUP(I68,Table_SourceData_EFPastureRangeAndPaddock[Climate zone],Table_SourceData_EFPastureRangeAndPaddock[EFPRP])</f>
        <v>2E-3</v>
      </c>
    </row>
    <row r="67" spans="4:9" ht="20" customHeight="1" x14ac:dyDescent="0.25">
      <c r="D67" s="113" t="str">
        <v>C_N2O</v>
      </c>
      <c r="E67" s="116" t="str">
        <v>factor to convert elemental mass of nitrous oxide to molecular mass</v>
      </c>
      <c r="F67" s="115"/>
      <c r="G67" s="113" t="str">
        <v/>
      </c>
      <c r="H67" s="112" t="str">
        <v>Constant</v>
      </c>
      <c r="I67" s="113">
        <f>Common_InputFunctions.Utility_LookupValueInTableNumber("N2O",Table_GasToMolecularConversionFactor[Gas],Table_GasToMolecularConversionFactor[Conversion factor combined])</f>
        <v>1.5714285714285714</v>
      </c>
    </row>
    <row r="68" spans="4:9" ht="20" customHeight="1" x14ac:dyDescent="0.25">
      <c r="D68" s="113" t="str">
        <v>z</v>
      </c>
      <c r="E68" s="116" t="str">
        <v>wet or dry climate zone</v>
      </c>
      <c r="F68" s="115"/>
      <c r="G68" s="113" t="str">
        <v/>
      </c>
      <c r="H68" s="111" t="str">
        <v>Input</v>
      </c>
      <c r="I68" s="113" t="str">
        <f>X_Cell_Site_WetOrDryClimateZone</f>
        <v>Dry climate zone</v>
      </c>
    </row>
    <row r="69" spans="4:9" ht="20" customHeight="1" x14ac:dyDescent="0.25"/>
    <row r="70" spans="4:9" ht="20" customHeight="1" x14ac:dyDescent="0.25">
      <c r="D70" s="97" t="s">
        <v>90</v>
      </c>
      <c r="E70" s="98" cm="1">
        <f t="array" ref="E70">MMS_OtherLivestock_Soil_N2ODirect.VEERG_4_7_1_3__1_DirectNitrousOxideEmissionsFromSoil(I65,I66,I67)</f>
        <v>519.12802857142856</v>
      </c>
      <c r="F70" s="99" t="str">
        <f>$E$63</f>
        <v>t N2O</v>
      </c>
    </row>
    <row r="71" spans="4:9" ht="20" customHeight="1" x14ac:dyDescent="0.25"/>
    <row r="72" spans="4:9" ht="20" customHeight="1" x14ac:dyDescent="0.25">
      <c r="D72" s="56" t="str" cm="1">
        <f t="array" ref="D72:E73">Common_Equations.Common_ConvertN2OToCO2e_Arguments()</f>
        <v>EN2O</v>
      </c>
      <c r="E72" s="57" t="str">
        <v>Nitrous oxide emissions (t N2O)</v>
      </c>
      <c r="F72" s="100"/>
      <c r="G72" s="51">
        <f>E70</f>
        <v>519.12802857142856</v>
      </c>
    </row>
    <row r="73" spans="4:9" ht="20" customHeight="1" x14ac:dyDescent="0.25">
      <c r="D73" s="56" t="str">
        <v>GWPN2O</v>
      </c>
      <c r="E73" s="57" t="str">
        <v>Global warming potential for nitrous oxide (t CO2-e / t N2O)</v>
      </c>
      <c r="F73" s="100"/>
      <c r="G73" s="51">
        <f>Common_InputFunctions.Utility_LookupValueInTableNumber("N2O",Table_GWPData[Gas],Table_GWPData[CO2-e factor])</f>
        <v>265</v>
      </c>
    </row>
    <row r="74" spans="4:9" ht="20" customHeight="1" x14ac:dyDescent="0.25"/>
    <row r="75" spans="4:9" ht="20" customHeight="1" x14ac:dyDescent="0.25">
      <c r="D75" s="46" t="s">
        <v>87</v>
      </c>
      <c r="E75" s="46" cm="1">
        <f t="array" ref="E75">Common_Equations.Common_ConvertN2OToCO2e(G72,G73)</f>
        <v>137568.92757142856</v>
      </c>
      <c r="F75" s="101" t="str" cm="1">
        <f t="array" ref="F75">Common_Equations.Common_ConvertN2OToCO2e_Unit()</f>
        <v>t CO2e</v>
      </c>
    </row>
    <row r="76" spans="4:9" ht="20" customHeight="1" x14ac:dyDescent="0.25"/>
    <row r="77" spans="4:9" ht="20" customHeight="1" x14ac:dyDescent="0.25"/>
    <row r="78" spans="4:9" ht="20" customHeight="1" x14ac:dyDescent="0.25"/>
    <row r="79" spans="4:9" ht="20" customHeight="1" x14ac:dyDescent="0.25"/>
    <row r="80" spans="4:9"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row r="166" ht="20" customHeight="1" x14ac:dyDescent="0.25"/>
    <row r="167" ht="20" customHeight="1" x14ac:dyDescent="0.25"/>
    <row r="168" ht="20" customHeight="1" x14ac:dyDescent="0.25"/>
    <row r="169" ht="20" customHeight="1" x14ac:dyDescent="0.25"/>
    <row r="170" ht="20" customHeight="1" x14ac:dyDescent="0.25"/>
    <row r="171" ht="20" customHeight="1" x14ac:dyDescent="0.25"/>
    <row r="172" ht="20" customHeight="1" x14ac:dyDescent="0.25"/>
    <row r="173" ht="20" customHeight="1" x14ac:dyDescent="0.25"/>
    <row r="174" ht="20" customHeight="1" x14ac:dyDescent="0.25"/>
    <row r="175" ht="20" customHeight="1" x14ac:dyDescent="0.25"/>
    <row r="176" ht="20" customHeight="1" x14ac:dyDescent="0.25"/>
    <row r="177" ht="20" customHeight="1" x14ac:dyDescent="0.25"/>
    <row r="178" ht="20" customHeight="1" x14ac:dyDescent="0.25"/>
    <row r="179" ht="20" customHeight="1" x14ac:dyDescent="0.25"/>
    <row r="180" ht="20" customHeight="1" x14ac:dyDescent="0.25"/>
    <row r="181" ht="20" customHeight="1" x14ac:dyDescent="0.25"/>
    <row r="182" ht="20" customHeight="1" x14ac:dyDescent="0.25"/>
    <row r="183" ht="20" customHeight="1" x14ac:dyDescent="0.25"/>
  </sheetData>
  <dataValidations disablePrompts="1" count="1">
    <dataValidation operator="equal" allowBlank="1" showInputMessage="1" showErrorMessage="1" sqref="E120:G120 E125:G125 D145:F145 D159:F159 O125:Q125 Q57" xr:uid="{ABC13CDC-0614-490F-AB58-FBCB1F93E906}"/>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F629D-E7CC-4363-A4F2-A9E89B3EA331}">
  <sheetPr>
    <tabColor rgb="FF008000"/>
  </sheetPr>
  <dimension ref="A1:U183"/>
  <sheetViews>
    <sheetView showGridLines="0" topLeftCell="A58" zoomScaleNormal="100" workbookViewId="0">
      <selection activeCell="A24" sqref="A24"/>
    </sheetView>
  </sheetViews>
  <sheetFormatPr defaultRowHeight="20" x14ac:dyDescent="0.25" customHeight="1"/>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3" t="e" vm="1">
        <v>#VALUE!</v>
      </c>
      <c r="C1" s="8" t="s">
        <v>236</v>
      </c>
      <c r="L1"/>
    </row>
    <row r="2" spans="1:21" s="9" customFormat="1" ht="20" customHeight="1" x14ac:dyDescent="0.25">
      <c r="A2"/>
      <c r="L2"/>
    </row>
    <row r="3" spans="1:21" ht="20" customHeight="1" x14ac:dyDescent="0.25">
      <c r="A3" s="17" t="str">
        <f>HYPERLINK("#'Home'!A1", "Home")</f>
        <v>Home</v>
      </c>
      <c r="C3" s="4"/>
      <c r="D3" s="4" t="s">
        <v>88</v>
      </c>
      <c r="E3" s="4"/>
      <c r="F3" s="4"/>
      <c r="G3" s="4"/>
      <c r="H3" s="4"/>
      <c r="I3" s="4"/>
      <c r="J3" s="4"/>
      <c r="K3" s="4"/>
      <c r="M3" s="4"/>
      <c r="N3" s="4" t="s">
        <v>89</v>
      </c>
      <c r="O3" s="4"/>
      <c r="P3" s="4"/>
      <c r="Q3" s="4"/>
      <c r="R3" s="4"/>
      <c r="S3" s="4"/>
      <c r="T3" s="4"/>
      <c r="U3" s="4"/>
    </row>
    <row r="4" spans="1:21" ht="20" customHeight="1" x14ac:dyDescent="0.25">
      <c r="A4" s="17" t="str">
        <f>HYPERLINK("#'Overview'!A1", "Overview")</f>
        <v>Overview</v>
      </c>
    </row>
    <row r="5" spans="1:21" ht="20" customHeight="1" x14ac:dyDescent="0.25">
      <c r="A5" s="17" t="str">
        <f>HYPERLINK("#'Results'!A1", "Results")</f>
        <v>Results</v>
      </c>
      <c r="D5" s="6" t="str" cm="1">
        <f t="array" ref="D5">MMS_OtherLivestock_Soil_AtmosphericDeposition.VEERG_4_7_1_5__2_MassOfNitrogenVolatilisedFromPasture_Title()</f>
        <v>Mass of nitrogen volatilised from urine and faeces deposited on pasture</v>
      </c>
    </row>
    <row r="6" spans="1:21" ht="20" customHeight="1" x14ac:dyDescent="0.25">
      <c r="D6" s="5" t="str" cm="1">
        <f t="array" ref="D6">MMS_OtherLivestock_Soil_AtmosphericDeposition.VEERG_4_7_1_5__2_MassOfNitrogenVolatilisedFromPasture_Source()</f>
        <v>VEERG 2026: 4.7.1.5, Equation (2)</v>
      </c>
    </row>
    <row r="7" spans="1:21" ht="20" customHeight="1" x14ac:dyDescent="0.25">
      <c r="D7" s="13" t="s">
        <v>22</v>
      </c>
      <c r="E7" s="13" t="str" cm="1">
        <f t="array" aca="1" ref="E7" ca="1">Common_InputFunctions.Utility_DisplayFunctionName(E31)</f>
        <v>=MMS_OtherLivestock_Soil_AtmosphericDeposition.VEERG_4_7_1_5__2_MassOfNitrogenVolatilisedFromPasture</v>
      </c>
    </row>
    <row r="8" spans="1:21" ht="20" customHeight="1" x14ac:dyDescent="0.25">
      <c r="A8" s="19" t="s">
        <v>0</v>
      </c>
    </row>
    <row r="9" spans="1:21" ht="20" customHeight="1" x14ac:dyDescent="0.25">
      <c r="A9" s="17" t="str">
        <f>HYPERLINK("#'Input - Site'!A1", "Site")</f>
        <v>Site</v>
      </c>
    </row>
    <row r="10" spans="1:21" ht="20" customHeight="1" x14ac:dyDescent="0.25">
      <c r="A10" s="17" t="str">
        <f>HYPERLINK("#'Input - Other Livestock'!A1", "Other Livestock")</f>
        <v>Other Livestock</v>
      </c>
      <c r="D10" s="52" t="s">
        <v>25</v>
      </c>
      <c r="E10" s="1" t="str" cm="1">
        <f t="array" ref="E10">MMS_OtherLivestock_Soil_AtmosphericDeposition.VEERG_4_7_1_5__2_MassOfNitrogenVolatilisedFromPasture_Variable()</f>
        <v>M_vol</v>
      </c>
    </row>
    <row r="11" spans="1:21" ht="20" customHeight="1" x14ac:dyDescent="0.25">
      <c r="D11" s="52" t="s">
        <v>15</v>
      </c>
      <c r="E11" s="53" t="str" cm="1">
        <f t="array" ref="E11">MMS_OtherLivestock_Soil_AtmosphericDeposition.VEERG_4_7_1_5__2_MassOfNitrogenVolatilisedFromPasture_Unit()</f>
        <v>kg N</v>
      </c>
    </row>
    <row r="12" spans="1:21" ht="20" customHeight="1" x14ac:dyDescent="0.25"/>
    <row r="13" spans="1:21" ht="20" customHeight="1" x14ac:dyDescent="0.25">
      <c r="A13" s="18" t="s">
        <v>70</v>
      </c>
      <c r="D13" s="113" t="str" cm="1">
        <f t="array" ref="D13:E14">_xlfn.CHOOSECOLS(MMS_OtherLivestock_Soil_AtmosphericDeposition.VEERG_4_7_1_5__2_MassOfNitrogenVolatilisedFromPasture_Arguments(),1,2)</f>
        <v>AE</v>
      </c>
      <c r="E13" s="113" t="str">
        <v>annual nitrogen excreted by each livestock type</v>
      </c>
      <c r="F13" s="113"/>
      <c r="G13" s="113" t="str" cm="1">
        <f t="array" ref="G13:H14">_xlfn.CHOOSECOLS(MMS_OtherLivestock_Soil_AtmosphericDeposition.VEERG_4_7_1_5__2_MassOfNitrogenVolatilisedFromPasture_Arguments(),3,4)</f>
        <v>kg N/year</v>
      </c>
      <c r="H13" s="112" t="str">
        <v>Calculated by 4.7.1.3, (2)</v>
      </c>
      <c r="I13" s="113" t="str" cm="1">
        <f t="array" aca="1" ref="I13" ca="1">HYPERLINK(Common_InputFunctions.Utility_SourceHyperlink($D$16),$D$16)</f>
        <v>Table_AEj</v>
      </c>
    </row>
    <row r="14" spans="1:21" ht="20" customHeight="1" x14ac:dyDescent="0.25">
      <c r="A14" s="17" t="str">
        <f>HYPERLINK("#'4.7.1.1-2 Manure Methane'!A1", "4.7.1.1-2 Manure Methane")</f>
        <v>4.7.1.1-2 Manure Methane</v>
      </c>
      <c r="D14" s="113" t="str">
        <v>FracGASMsoil</v>
      </c>
      <c r="E14" s="113" t="str">
        <v>fraction of nitrogen volatilised from urine and faeces deposited on pasture</v>
      </c>
      <c r="F14" s="113"/>
      <c r="G14" s="113" t="str">
        <v>(kg NH3-N + NOx-N)/kg N</v>
      </c>
      <c r="H14" s="112" t="str">
        <v>Constant</v>
      </c>
      <c r="I14" s="113">
        <f>SourceData_OtherLivestock_FracGASMSoil_Data</f>
        <v>0.21</v>
      </c>
    </row>
    <row r="15" spans="1:21" ht="20" customHeight="1" x14ac:dyDescent="0.25">
      <c r="A15" s="17" t="str">
        <f>HYPERLINK("#'4.7.1.3-4 Soil Direct N2O'!A1", "4.7.1.3-4 Soil Direct N2O")</f>
        <v>4.7.1.3-4 Soil Direct N2O</v>
      </c>
    </row>
    <row r="16" spans="1:21" ht="20" customHeight="1" x14ac:dyDescent="0.25">
      <c r="A16" s="21" t="str">
        <f>HYPERLINK("#'4.7.1.5-6 Soil Atmos Deposition'!A1", "4.7.1.5-6 Soil Atmos Deposition")</f>
        <v>4.7.1.5-6 Soil Atmos Deposition</v>
      </c>
      <c r="D16" s="94" t="s">
        <v>201</v>
      </c>
    </row>
    <row r="17" spans="1:6" ht="20" customHeight="1" x14ac:dyDescent="0.25">
      <c r="A17" s="17" t="str">
        <f>HYPERLINK("#'4.7.1.7-8 Soil Leaching Runoff'!A1", "4.7.1.7-8 Soil Leaching Runoff")</f>
        <v>4.7.1.7-8 Soil Leaching Runoff</v>
      </c>
      <c r="D17" s="93" t="s">
        <v>200</v>
      </c>
    </row>
    <row r="18" spans="1:6" ht="20" customHeight="1" x14ac:dyDescent="0.25">
      <c r="D18" s="50" t="s">
        <v>181</v>
      </c>
      <c r="E18" s="50" t="s">
        <v>224</v>
      </c>
    </row>
    <row r="19" spans="1:6" ht="20" customHeight="1" x14ac:dyDescent="0.25">
      <c r="D19" s="51" t="s">
        <v>150</v>
      </c>
      <c r="E19" s="51">
        <f>INDEX(Table_AEj,2,2)</f>
        <v>66320500</v>
      </c>
      <c r="F19" s="2" t="str">
        <f>'4.7.1.3-4 Soil Direct N2O'!$F$44</f>
        <v>kg N/year</v>
      </c>
    </row>
    <row r="20" spans="1:6" ht="20" customHeight="1" x14ac:dyDescent="0.25">
      <c r="A20" s="124" t="s">
        <v>1</v>
      </c>
      <c r="D20" s="51" t="s">
        <v>155</v>
      </c>
      <c r="E20" s="51">
        <f>INDEX(Table_AEj,3,2)</f>
        <v>12264000</v>
      </c>
    </row>
    <row r="21" spans="1:6" ht="20" customHeight="1" x14ac:dyDescent="0.25">
      <c r="A21" s="17" t="str">
        <f>HYPERLINK("#'Constants - Other Livestock'!A1", "Constants - Other Livestock")</f>
        <v>Constants - Other Livestock</v>
      </c>
      <c r="D21" s="51" t="s">
        <v>162</v>
      </c>
      <c r="E21" s="51">
        <f>INDEX(Table_AEj,4,2)</f>
        <v>22162800</v>
      </c>
    </row>
    <row r="22" spans="1:6" ht="20" customHeight="1" x14ac:dyDescent="0.25">
      <c r="A22" s="17" t="str">
        <f>HYPERLINK("#'Constants - Livestock'!A1", "Constants - Livestock")</f>
        <v>Constants - Livestock</v>
      </c>
      <c r="D22" s="51" t="s">
        <v>168</v>
      </c>
      <c r="E22" s="51">
        <f>INDEX(Table_AEj,5,2)</f>
        <v>61995250</v>
      </c>
    </row>
    <row r="23" spans="1:6" ht="20" customHeight="1" x14ac:dyDescent="0.25">
      <c r="A23" s="17" t="str">
        <f>HYPERLINK("#'Constants - Common'!A1", "Constants - Common")</f>
        <v>Constants - Common</v>
      </c>
      <c r="D23" s="51" t="s">
        <v>169</v>
      </c>
      <c r="E23" s="51">
        <f>INDEX(Table_AEj,6,2)</f>
        <v>255500</v>
      </c>
    </row>
    <row r="24" spans="1:6" ht="20" customHeight="1" x14ac:dyDescent="0.25">
      <c r="A24" s="17" t="str">
        <f>HYPERLINK("#'Acknowledgements'!A1", "Acknowledgements")</f>
        <v>Acknowledgements</v>
      </c>
      <c r="D24" s="51" t="s">
        <v>170</v>
      </c>
      <c r="E24" s="51">
        <f>INDEX(Table_AEj,7,2)</f>
        <v>1441750</v>
      </c>
    </row>
    <row r="25" spans="1:6" ht="20" customHeight="1" x14ac:dyDescent="0.25">
      <c r="D25" s="51" t="s">
        <v>186</v>
      </c>
      <c r="E25" s="51">
        <f>INDEX(Table_AEj,8,2)</f>
        <v>481800</v>
      </c>
    </row>
    <row r="26" spans="1:6" ht="20" customHeight="1" x14ac:dyDescent="0.25">
      <c r="D26" s="51" t="s">
        <v>187</v>
      </c>
      <c r="E26" s="51">
        <f>INDEX(Table_AEj,9,2)</f>
        <v>255500</v>
      </c>
    </row>
    <row r="27" spans="1:6" ht="20" customHeight="1" x14ac:dyDescent="0.25"/>
    <row r="28" spans="1:6" ht="20" customHeight="1" x14ac:dyDescent="0.25">
      <c r="D28" s="94" t="s">
        <v>213</v>
      </c>
    </row>
    <row r="29" spans="1:6" ht="20" customHeight="1" x14ac:dyDescent="0.25">
      <c r="D29" s="93" t="s">
        <v>200</v>
      </c>
    </row>
    <row r="30" spans="1:6" ht="20" customHeight="1" x14ac:dyDescent="0.25">
      <c r="D30" s="50" t="s">
        <v>181</v>
      </c>
      <c r="E30" s="50" t="s">
        <v>226</v>
      </c>
    </row>
    <row r="31" spans="1:6" ht="20" customHeight="1" x14ac:dyDescent="0.25">
      <c r="D31" s="51" t="s">
        <v>150</v>
      </c>
      <c r="E31" s="51" cm="1">
        <f t="array" ref="E31">MMS_OtherLivestock_Soil_AtmosphericDeposition.VEERG_4_7_1_5__2_MassOfNitrogenVolatilisedFromPasture(E19,$I$14)</f>
        <v>13927305</v>
      </c>
      <c r="F31" s="2" t="str">
        <f>'4.7.1.3-4 Soil Direct N2O'!$F$44</f>
        <v>kg N/year</v>
      </c>
    </row>
    <row r="32" spans="1:6" ht="20" customHeight="1" x14ac:dyDescent="0.25">
      <c r="D32" s="51" t="s">
        <v>155</v>
      </c>
      <c r="E32" s="51" cm="1">
        <f t="array" ref="E32">MMS_OtherLivestock_Soil_AtmosphericDeposition.VEERG_4_7_1_5__2_MassOfNitrogenVolatilisedFromPasture(E20,$I$14)</f>
        <v>2575440</v>
      </c>
    </row>
    <row r="33" spans="3:11" ht="20" customHeight="1" x14ac:dyDescent="0.25">
      <c r="D33" s="51" t="s">
        <v>162</v>
      </c>
      <c r="E33" s="51" cm="1">
        <f t="array" ref="E33">MMS_OtherLivestock_Soil_AtmosphericDeposition.VEERG_4_7_1_5__2_MassOfNitrogenVolatilisedFromPasture(E21,$I$14)</f>
        <v>4654188</v>
      </c>
    </row>
    <row r="34" spans="3:11" ht="20" customHeight="1" x14ac:dyDescent="0.25">
      <c r="D34" s="51" t="s">
        <v>168</v>
      </c>
      <c r="E34" s="51" cm="1">
        <f t="array" ref="E34">MMS_OtherLivestock_Soil_AtmosphericDeposition.VEERG_4_7_1_5__2_MassOfNitrogenVolatilisedFromPasture(E22,$I$14)</f>
        <v>13019002.5</v>
      </c>
    </row>
    <row r="35" spans="3:11" ht="20" customHeight="1" x14ac:dyDescent="0.25">
      <c r="D35" s="51" t="s">
        <v>169</v>
      </c>
      <c r="E35" s="51" cm="1">
        <f t="array" ref="E35">MMS_OtherLivestock_Soil_AtmosphericDeposition.VEERG_4_7_1_5__2_MassOfNitrogenVolatilisedFromPasture(E23,$I$14)</f>
        <v>53655</v>
      </c>
    </row>
    <row r="36" spans="3:11" ht="20" customHeight="1" x14ac:dyDescent="0.25">
      <c r="D36" s="51" t="s">
        <v>170</v>
      </c>
      <c r="E36" s="51" cm="1">
        <f t="array" ref="E36">MMS_OtherLivestock_Soil_AtmosphericDeposition.VEERG_4_7_1_5__2_MassOfNitrogenVolatilisedFromPasture(E24,$I$14)</f>
        <v>302767.5</v>
      </c>
    </row>
    <row r="37" spans="3:11" ht="20" customHeight="1" x14ac:dyDescent="0.25">
      <c r="D37" s="51" t="s">
        <v>186</v>
      </c>
      <c r="E37" s="51" cm="1">
        <f t="array" ref="E37">MMS_OtherLivestock_Soil_AtmosphericDeposition.VEERG_4_7_1_5__2_MassOfNitrogenVolatilisedFromPasture(E25,$I$14)</f>
        <v>101178</v>
      </c>
    </row>
    <row r="38" spans="3:11" ht="20" customHeight="1" x14ac:dyDescent="0.25">
      <c r="D38" s="51" t="s">
        <v>187</v>
      </c>
      <c r="E38" s="51" cm="1">
        <f t="array" ref="E38">MMS_OtherLivestock_Soil_AtmosphericDeposition.VEERG_4_7_1_5__2_MassOfNitrogenVolatilisedFromPasture(E26,$I$14)</f>
        <v>53655</v>
      </c>
    </row>
    <row r="39" spans="3:11" ht="20" customHeight="1" x14ac:dyDescent="0.25"/>
    <row r="40" spans="3:11" ht="20" customHeight="1" x14ac:dyDescent="0.25"/>
    <row r="41" spans="3:11" ht="20" customHeight="1" x14ac:dyDescent="0.25">
      <c r="C41" s="46"/>
      <c r="D41" s="46"/>
      <c r="E41" s="46"/>
      <c r="F41" s="46"/>
      <c r="G41" s="46"/>
      <c r="H41" s="46"/>
      <c r="I41" s="46"/>
      <c r="J41" s="46"/>
      <c r="K41" s="46"/>
    </row>
    <row r="42" spans="3:11" ht="20" customHeight="1" x14ac:dyDescent="0.25">
      <c r="D42" s="6" t="str" cm="1">
        <f t="array" ref="D42">MMS_OtherLivestock_Soil_AtmosphericDeposition.VEERG_4_7_1_5__1_AtmosphericDepositionEmissionsFromPasture_Title()</f>
        <v>Atmospheric deposition emissions from urine and dung deposited on pasture</v>
      </c>
    </row>
    <row r="43" spans="3:11" ht="20" customHeight="1" x14ac:dyDescent="0.25">
      <c r="D43" s="5" t="str" cm="1">
        <f t="array" ref="D43">MMS_OtherLivestock_Soil_AtmosphericDeposition.VEERG_4_7_1_5__1_AtmosphericDepositionEmissionsFromPasture_Source()</f>
        <v>VEERG 2026: 4.7.1.5, Equation (1)</v>
      </c>
    </row>
    <row r="44" spans="3:11" ht="20" customHeight="1" x14ac:dyDescent="0.25">
      <c r="D44" s="13" t="s">
        <v>22</v>
      </c>
      <c r="E44" s="13" t="str" cm="1">
        <f t="array" aca="1" ref="E44" ca="1">Common_InputFunctions.Utility_DisplayFunctionName(E72)</f>
        <v>=MMS_OtherLivestock_Soil_AtmosphericDeposition.VEERG_4_7_1_5__1_AtmosphericDepositionEmissionsFromPasture</v>
      </c>
    </row>
    <row r="45" spans="3:11" ht="20" customHeight="1" x14ac:dyDescent="0.25"/>
    <row r="46" spans="3:11" ht="20" customHeight="1" x14ac:dyDescent="0.25"/>
    <row r="47" spans="3:11" ht="20" customHeight="1" x14ac:dyDescent="0.25">
      <c r="D47" s="52" t="s">
        <v>25</v>
      </c>
      <c r="E47" s="1" t="str" cm="1">
        <f t="array" ref="E47">MMS_OtherLivestock_Soil_AtmosphericDeposition.VEERG_4_7_1_5__1_AtmosphericDepositionEmissionsFromPasture_Variable()</f>
        <v>E_N2Oad</v>
      </c>
    </row>
    <row r="48" spans="3:11" ht="20" customHeight="1" x14ac:dyDescent="0.25">
      <c r="D48" s="52" t="s">
        <v>15</v>
      </c>
      <c r="E48" s="53" t="str" cm="1">
        <f t="array" ref="E48">MMS_OtherLivestock_Soil_AtmosphericDeposition.VEERG_4_7_1_5__1_AtmosphericDepositionEmissionsFromPasture_Unit()</f>
        <v>t N2O</v>
      </c>
    </row>
    <row r="49" spans="4:9" ht="20" customHeight="1" x14ac:dyDescent="0.25"/>
    <row r="50" spans="4:9" ht="20" customHeight="1" x14ac:dyDescent="0.25">
      <c r="D50" s="113" t="str" cm="1">
        <f t="array" ref="D50:E55">_xlfn.CHOOSECOLS(MMS_OtherLivestock_Soil_AtmosphericDeposition.VEERG_4_7_1_5__1_AtmosphericDepositionEmissionsFromPasture_Arguments(),1,2)</f>
        <v>M_vol</v>
      </c>
      <c r="E50" s="116" t="str">
        <v>mass of nitrogen volatilised from urine and faeces deposited on pasture</v>
      </c>
      <c r="F50" s="115"/>
      <c r="G50" s="113" t="str" cm="1">
        <f t="array" ref="G50:H55">_xlfn.CHOOSECOLS(MMS_OtherLivestock_Soil_AtmosphericDeposition.VEERG_4_7_1_5__1_AtmosphericDepositionEmissionsFromPasture_Arguments(),3,4)</f>
        <v>kg N</v>
      </c>
      <c r="H50" s="112" t="str">
        <v>Calculated from 4.7.1.5, (2)</v>
      </c>
      <c r="I50" s="114" t="str" cm="1">
        <f t="array" aca="1" ref="I50" ca="1">HYPERLINK(Common_InputFunctions.Utility_SourceHyperlink($D$28),$D$28)</f>
        <v>Table_M_vol</v>
      </c>
    </row>
    <row r="51" spans="4:9" ht="20" customHeight="1" x14ac:dyDescent="0.25">
      <c r="D51" s="113" t="str">
        <v>EF_N2O</v>
      </c>
      <c r="E51" s="116" t="str">
        <v>emission factor for atmospheric deposition</v>
      </c>
      <c r="F51" s="115"/>
      <c r="G51" s="113" t="str">
        <v>kg N2O-N/kg N</v>
      </c>
      <c r="H51" s="112" t="str">
        <v>Constant</v>
      </c>
      <c r="I51" s="114" t="str" cm="1">
        <f t="array" aca="1" ref="I51" ca="1">HYPERLINK(Common_InputFunctions.Utility_SourceHyperlink($D$57),$D$57)</f>
        <v>Table_EF_N2O</v>
      </c>
    </row>
    <row r="52" spans="4:9" ht="20" customHeight="1" x14ac:dyDescent="0.25">
      <c r="D52" s="113" t="str">
        <v>C_N2O</v>
      </c>
      <c r="E52" s="116" t="str">
        <v>factor to convert elemental mass of nitrous oxide to molecular mass</v>
      </c>
      <c r="F52" s="115"/>
      <c r="G52" s="113" t="str">
        <v/>
      </c>
      <c r="H52" s="112" t="str">
        <v>Constant</v>
      </c>
      <c r="I52" s="113">
        <f>Common_InputFunctions.Utility_LookupValueInTableNumber("N2O",Table_GasToMolecularConversionFactor[Gas],Table_GasToMolecularConversionFactor[Conversion factor combined])</f>
        <v>1.5714285714285714</v>
      </c>
    </row>
    <row r="53" spans="4:9" ht="20" customHeight="1" x14ac:dyDescent="0.25">
      <c r="D53" s="113" t="str">
        <v>j</v>
      </c>
      <c r="E53" s="116" t="str">
        <v>production system</v>
      </c>
      <c r="F53" s="115"/>
      <c r="G53" s="113" t="str">
        <v/>
      </c>
      <c r="H53" s="111" t="str">
        <v>Input</v>
      </c>
      <c r="I53" s="114" t="str" cm="1">
        <f t="array" aca="1" ref="I53" ca="1">HYPERLINK(Common_InputFunctions.Utility_SourceHyperlink($D$57),$D$57)</f>
        <v>Table_EF_N2O</v>
      </c>
    </row>
    <row r="54" spans="4:9" ht="20" customHeight="1" x14ac:dyDescent="0.25">
      <c r="D54" s="113" t="str">
        <v>i</v>
      </c>
      <c r="E54" s="116" t="str">
        <v>irrigation method</v>
      </c>
      <c r="F54" s="115"/>
      <c r="G54" s="113" t="str">
        <v/>
      </c>
      <c r="H54" s="111" t="str">
        <v>Input</v>
      </c>
      <c r="I54" s="114" t="str" cm="1">
        <f t="array" aca="1" ref="I54" ca="1">HYPERLINK(Common_InputFunctions.Utility_SourceHyperlink($D$57),$D$57)</f>
        <v>Table_EF_N2O</v>
      </c>
    </row>
    <row r="55" spans="4:9" ht="20" customHeight="1" x14ac:dyDescent="0.25">
      <c r="D55" s="113" t="str">
        <v>r</v>
      </c>
      <c r="E55" s="116" t="str">
        <v>rainfall zone</v>
      </c>
      <c r="F55" s="115"/>
      <c r="G55" s="113" t="str">
        <v/>
      </c>
      <c r="H55" s="111" t="str">
        <v>Input</v>
      </c>
      <c r="I55" s="114" t="str" cm="1">
        <f t="array" aca="1" ref="I55" ca="1">HYPERLINK(Common_InputFunctions.Utility_SourceHyperlink($D$57),$D$57)</f>
        <v>Table_EF_N2O</v>
      </c>
    </row>
    <row r="56" spans="4:9" ht="20" customHeight="1" x14ac:dyDescent="0.25"/>
    <row r="57" spans="4:9" ht="20" customHeight="1" x14ac:dyDescent="0.25">
      <c r="D57" s="94" t="s">
        <v>210</v>
      </c>
    </row>
    <row r="58" spans="4:9" ht="20" customHeight="1" x14ac:dyDescent="0.25">
      <c r="D58" s="93" t="s">
        <v>211</v>
      </c>
    </row>
    <row r="59" spans="4:9" ht="20" customHeight="1" x14ac:dyDescent="0.25">
      <c r="D59" s="50" t="s">
        <v>181</v>
      </c>
      <c r="E59" s="40" t="s">
        <v>101</v>
      </c>
      <c r="F59" s="40" t="s">
        <v>99</v>
      </c>
      <c r="G59" s="40" t="s">
        <v>31</v>
      </c>
      <c r="H59" s="50" t="s">
        <v>225</v>
      </c>
    </row>
    <row r="60" spans="4:9" ht="20" customHeight="1" x14ac:dyDescent="0.25">
      <c r="D60" s="51" t="s">
        <v>150</v>
      </c>
      <c r="E60" s="51" t="str">
        <f>X_Cell_OtherLivestock_Buffalo_GrazingProductionSystem</f>
        <v>Pasture</v>
      </c>
      <c r="F60" s="51" t="str">
        <f>X_Cell_OtherLivestock_Buffalo_GrazingIrrigationMethod</f>
        <v>Not irrigated</v>
      </c>
      <c r="G60" s="51" t="str">
        <f t="shared" ref="G60:G67" si="0">X_Cell_Site_RainfallZone</f>
        <v>High rainfall</v>
      </c>
      <c r="H60" s="51">
        <f>Common_InputFunctions.Utility_LookupN2OEFFromProdIrrigationRainfall(E60,F60,G60,Table_SourceData_Common_EFN2O[Production system only],Table_SourceData_Common_EFN2O[Irrigation method],Table_SourceData_Common_EFN2O[Rainfall zone],Table_SourceData_Common_EFN2O[EFN2O])</f>
        <v>1.8E-3</v>
      </c>
      <c r="I60" s="2" t="str">
        <f>E48</f>
        <v>t N2O</v>
      </c>
    </row>
    <row r="61" spans="4:9" ht="20" customHeight="1" x14ac:dyDescent="0.25">
      <c r="D61" s="51" t="s">
        <v>155</v>
      </c>
      <c r="E61" s="51" t="str">
        <f>X_Cell_OtherLivestock_Goats_GrazingProductionSystem</f>
        <v>Pasture</v>
      </c>
      <c r="F61" s="51" t="str">
        <f>X_Cell_OtherLivestock_Goats_GrazingIrrigationMethod</f>
        <v>Not irrigated</v>
      </c>
      <c r="G61" s="51" t="str">
        <f t="shared" si="0"/>
        <v>High rainfall</v>
      </c>
      <c r="H61" s="51">
        <f>Common_InputFunctions.Utility_LookupN2OEFFromProdIrrigationRainfall(E61,F61,G61,Table_SourceData_Common_EFN2O[Production system only],Table_SourceData_Common_EFN2O[Irrigation method],Table_SourceData_Common_EFN2O[Rainfall zone],Table_SourceData_Common_EFN2O[EFN2O])</f>
        <v>1.8E-3</v>
      </c>
    </row>
    <row r="62" spans="4:9" ht="20" customHeight="1" x14ac:dyDescent="0.25">
      <c r="D62" s="51" t="s">
        <v>162</v>
      </c>
      <c r="E62" s="51" t="str">
        <f>X_Cell_OtherLivestock_Deer_GrazingProductionSystem</f>
        <v>Pasture</v>
      </c>
      <c r="F62" s="51" t="str">
        <f>X_Cell_OtherLivestock_Deer_GrazingIrrigationMethod</f>
        <v>Not irrigated</v>
      </c>
      <c r="G62" s="51" t="str">
        <f t="shared" si="0"/>
        <v>High rainfall</v>
      </c>
      <c r="H62" s="51">
        <f>Common_InputFunctions.Utility_LookupN2OEFFromProdIrrigationRainfall(E62,F62,G62,Table_SourceData_Common_EFN2O[Production system only],Table_SourceData_Common_EFN2O[Irrigation method],Table_SourceData_Common_EFN2O[Rainfall zone],Table_SourceData_Common_EFN2O[EFN2O])</f>
        <v>1.8E-3</v>
      </c>
    </row>
    <row r="63" spans="4:9" ht="20" customHeight="1" x14ac:dyDescent="0.25">
      <c r="D63" s="51" t="s">
        <v>168</v>
      </c>
      <c r="E63" s="51" t="str">
        <f>X_Cell_OtherLivestock_Others_Camels_GrazingProductionSystem</f>
        <v>Pasture</v>
      </c>
      <c r="F63" s="51" t="str">
        <f>X_Cell_OtherLivestock_Others_Camels_GrazingIrrigationMethod</f>
        <v>Drip irrigation</v>
      </c>
      <c r="G63" s="51" t="str">
        <f t="shared" si="0"/>
        <v>High rainfall</v>
      </c>
      <c r="H63" s="51">
        <f>Common_InputFunctions.Utility_LookupN2OEFFromProdIrrigationRainfall(E63,F63,G63,Table_SourceData_Common_EFN2O[Production system only],Table_SourceData_Common_EFN2O[Irrigation method],Table_SourceData_Common_EFN2O[Rainfall zone],Table_SourceData_Common_EFN2O[EFN2O])</f>
        <v>5.8999999999999999E-3</v>
      </c>
    </row>
    <row r="64" spans="4:9" ht="20" customHeight="1" x14ac:dyDescent="0.25">
      <c r="D64" s="51" t="s">
        <v>169</v>
      </c>
      <c r="E64" s="51" t="str">
        <f>X_Cell_OtherLivestock_Others_Alpacas_GrazingProductionSystem</f>
        <v>Pasture</v>
      </c>
      <c r="F64" s="51" t="str">
        <f>X_Cell_OtherLivestock_Others_Alpacas_GrazingIrrigationMethod</f>
        <v>Sprinkler irrigation</v>
      </c>
      <c r="G64" s="51" t="str">
        <f t="shared" si="0"/>
        <v>High rainfall</v>
      </c>
      <c r="H64" s="51">
        <f>Common_InputFunctions.Utility_LookupN2OEFFromProdIrrigationRainfall(E64,F64,G64,Table_SourceData_Common_EFN2O[Production system only],Table_SourceData_Common_EFN2O[Irrigation method],Table_SourceData_Common_EFN2O[Rainfall zone],Table_SourceData_Common_EFN2O[EFN2O])</f>
        <v>5.8999999999999999E-3</v>
      </c>
    </row>
    <row r="65" spans="4:8" ht="20" customHeight="1" x14ac:dyDescent="0.25">
      <c r="D65" s="51" t="s">
        <v>170</v>
      </c>
      <c r="E65" s="51" t="str">
        <f>X_Cell_OtherLivestock_Others_Horses_GrazingProductionSystem</f>
        <v>Crop</v>
      </c>
      <c r="F65" s="51" t="str">
        <f>X_Cell_OtherLivestock_Others_Horses_GrazingIrrigationMethod</f>
        <v>Not irrigated</v>
      </c>
      <c r="G65" s="51" t="str">
        <f t="shared" si="0"/>
        <v>High rainfall</v>
      </c>
      <c r="H65" s="51">
        <f>Common_InputFunctions.Utility_LookupN2OEFFromProdIrrigationRainfall(E65,F65,G65,Table_SourceData_Common_EFN2O[Production system only],Table_SourceData_Common_EFN2O[Irrigation method],Table_SourceData_Common_EFN2O[Rainfall zone],Table_SourceData_Common_EFN2O[EFN2O])</f>
        <v>8.0000000000000002E-3</v>
      </c>
    </row>
    <row r="66" spans="4:8" ht="20" customHeight="1" x14ac:dyDescent="0.25">
      <c r="D66" s="51" t="s">
        <v>186</v>
      </c>
      <c r="E66" s="51" t="str">
        <f>X_Cell_OtherLivestock_Others_Mules_GrazingProductionSystem</f>
        <v>Crop</v>
      </c>
      <c r="F66" s="51" t="str">
        <f>X_Cell_OtherLivestock_Others_Mules_GrazingIrrigationMethod</f>
        <v>Surface irrigation</v>
      </c>
      <c r="G66" s="51" t="str">
        <f t="shared" si="0"/>
        <v>High rainfall</v>
      </c>
      <c r="H66" s="51">
        <f>Common_InputFunctions.Utility_LookupN2OEFFromProdIrrigationRainfall(E66,F66,G66,Table_SourceData_Common_EFN2O[Production system only],Table_SourceData_Common_EFN2O[Irrigation method],Table_SourceData_Common_EFN2O[Rainfall zone],Table_SourceData_Common_EFN2O[EFN2O])</f>
        <v>7.0000000000000001E-3</v>
      </c>
    </row>
    <row r="67" spans="4:8" ht="20" customHeight="1" x14ac:dyDescent="0.25">
      <c r="D67" s="51" t="s">
        <v>187</v>
      </c>
      <c r="E67" s="51" t="str">
        <f>X_Cell_OtherLivestock_Others_Emus_GrazingProductionSystem</f>
        <v>Pasture</v>
      </c>
      <c r="F67" s="51" t="str">
        <f>X_Cell_OtherLivestock_Others_Emus_GrazingIrrigationMethod</f>
        <v>Not irrigated</v>
      </c>
      <c r="G67" s="51" t="str">
        <f t="shared" si="0"/>
        <v>High rainfall</v>
      </c>
      <c r="H67" s="51">
        <f>Common_InputFunctions.Utility_LookupN2OEFFromProdIrrigationRainfall(E67,F67,G67,Table_SourceData_Common_EFN2O[Production system only],Table_SourceData_Common_EFN2O[Irrigation method],Table_SourceData_Common_EFN2O[Rainfall zone],Table_SourceData_Common_EFN2O[EFN2O])</f>
        <v>1.8E-3</v>
      </c>
    </row>
    <row r="68" spans="4:8" ht="20" customHeight="1" x14ac:dyDescent="0.25"/>
    <row r="69" spans="4:8" ht="20" customHeight="1" x14ac:dyDescent="0.25">
      <c r="D69" s="94" t="s">
        <v>214</v>
      </c>
    </row>
    <row r="70" spans="4:8" ht="20" customHeight="1" x14ac:dyDescent="0.25">
      <c r="D70" s="93" t="s">
        <v>215</v>
      </c>
    </row>
    <row r="71" spans="4:8" ht="20" customHeight="1" x14ac:dyDescent="0.25">
      <c r="D71" s="50" t="s">
        <v>181</v>
      </c>
      <c r="E71" s="50" t="s">
        <v>101</v>
      </c>
    </row>
    <row r="72" spans="4:8" ht="20" customHeight="1" x14ac:dyDescent="0.25">
      <c r="D72" s="51" t="s">
        <v>150</v>
      </c>
      <c r="E72" s="51" cm="1">
        <f t="array" ref="E72">MMS_OtherLivestock_Soil_AtmosphericDeposition.VEERG_4_7_1_5__1_AtmosphericDepositionEmissionsFromPasture(E31,H60,$I$52)</f>
        <v>39.394376999999992</v>
      </c>
      <c r="F72" s="2" t="str">
        <f>$E$48</f>
        <v>t N2O</v>
      </c>
    </row>
    <row r="73" spans="4:8" ht="20" customHeight="1" x14ac:dyDescent="0.25">
      <c r="D73" s="51" t="s">
        <v>155</v>
      </c>
      <c r="E73" s="51" cm="1">
        <f t="array" ref="E73">MMS_OtherLivestock_Soil_AtmosphericDeposition.VEERG_4_7_1_5__1_AtmosphericDepositionEmissionsFromPasture(E32,H61,$I$52)</f>
        <v>7.2848159999999993</v>
      </c>
    </row>
    <row r="74" spans="4:8" ht="20" customHeight="1" x14ac:dyDescent="0.25">
      <c r="D74" s="51" t="s">
        <v>162</v>
      </c>
      <c r="E74" s="51" cm="1">
        <f t="array" ref="E74">MMS_OtherLivestock_Soil_AtmosphericDeposition.VEERG_4_7_1_5__1_AtmosphericDepositionEmissionsFromPasture(E33,H62,$I$52)</f>
        <v>13.164703199999998</v>
      </c>
    </row>
    <row r="75" spans="4:8" ht="20" customHeight="1" x14ac:dyDescent="0.25">
      <c r="D75" s="51" t="s">
        <v>168</v>
      </c>
      <c r="E75" s="51" cm="1">
        <f t="array" ref="E75">MMS_OtherLivestock_Soil_AtmosphericDeposition.VEERG_4_7_1_5__1_AtmosphericDepositionEmissionsFromPasture(E34,H63,$I$52)</f>
        <v>120.70475174999999</v>
      </c>
    </row>
    <row r="76" spans="4:8" ht="20" customHeight="1" x14ac:dyDescent="0.25">
      <c r="D76" s="51" t="s">
        <v>169</v>
      </c>
      <c r="E76" s="51" cm="1">
        <f t="array" ref="E76">MMS_OtherLivestock_Soil_AtmosphericDeposition.VEERG_4_7_1_5__1_AtmosphericDepositionEmissionsFromPasture(E35,H64,$I$52)</f>
        <v>0.49745850000000003</v>
      </c>
    </row>
    <row r="77" spans="4:8" ht="20" customHeight="1" x14ac:dyDescent="0.25">
      <c r="D77" s="51" t="s">
        <v>170</v>
      </c>
      <c r="E77" s="51" cm="1">
        <f t="array" ref="E77">MMS_OtherLivestock_Soil_AtmosphericDeposition.VEERG_4_7_1_5__1_AtmosphericDepositionEmissionsFromPasture(E36,H65,$I$52)</f>
        <v>3.8062199999999997</v>
      </c>
    </row>
    <row r="78" spans="4:8" ht="20" customHeight="1" x14ac:dyDescent="0.25">
      <c r="D78" s="51" t="s">
        <v>186</v>
      </c>
      <c r="E78" s="51" cm="1">
        <f t="array" ref="E78">MMS_OtherLivestock_Soil_AtmosphericDeposition.VEERG_4_7_1_5__1_AtmosphericDepositionEmissionsFromPasture(E37,H66,$I$52)</f>
        <v>1.1129579999999999</v>
      </c>
    </row>
    <row r="79" spans="4:8" ht="20" customHeight="1" x14ac:dyDescent="0.25">
      <c r="D79" s="51" t="s">
        <v>187</v>
      </c>
      <c r="E79" s="51" cm="1">
        <f t="array" ref="E79">MMS_OtherLivestock_Soil_AtmosphericDeposition.VEERG_4_7_1_5__1_AtmosphericDepositionEmissionsFromPasture(E38,H67,$I$52)</f>
        <v>0.15176699999999999</v>
      </c>
    </row>
    <row r="80" spans="4:8" ht="20" customHeight="1" x14ac:dyDescent="0.25"/>
    <row r="81" spans="4:7" ht="20" customHeight="1" x14ac:dyDescent="0.25">
      <c r="D81" s="97" t="s">
        <v>108</v>
      </c>
      <c r="E81" s="98">
        <f>SUM(E72:E79)</f>
        <v>186.11705144999996</v>
      </c>
      <c r="F81" s="99" t="str">
        <f>$E$48</f>
        <v>t N2O</v>
      </c>
    </row>
    <row r="82" spans="4:7" ht="20" customHeight="1" x14ac:dyDescent="0.25"/>
    <row r="83" spans="4:7" ht="20" customHeight="1" x14ac:dyDescent="0.25">
      <c r="D83" s="56" t="str" cm="1">
        <f t="array" ref="D83:E84">Common_Equations.Common_ConvertN2OToCO2e_Arguments()</f>
        <v>EN2O</v>
      </c>
      <c r="E83" s="57" t="str">
        <v>Nitrous oxide emissions (t N2O)</v>
      </c>
      <c r="F83" s="100"/>
      <c r="G83" s="51">
        <f>E81</f>
        <v>186.11705144999996</v>
      </c>
    </row>
    <row r="84" spans="4:7" ht="20" customHeight="1" x14ac:dyDescent="0.25">
      <c r="D84" s="56" t="str">
        <v>GWPN2O</v>
      </c>
      <c r="E84" s="57" t="str">
        <v>Global warming potential for nitrous oxide (t CO2-e / t N2O)</v>
      </c>
      <c r="F84" s="100"/>
      <c r="G84" s="51">
        <f>Common_InputFunctions.Utility_LookupValueInTableNumber("N2O", Table_GWPData[Gas],Table_GWPData[CO2-e factor])</f>
        <v>265</v>
      </c>
    </row>
    <row r="85" spans="4:7" ht="20" customHeight="1" x14ac:dyDescent="0.25"/>
    <row r="86" spans="4:7" ht="20" customHeight="1" x14ac:dyDescent="0.25">
      <c r="D86" s="46" t="s">
        <v>87</v>
      </c>
      <c r="E86" s="46" cm="1">
        <f t="array" ref="E86">Common_Equations.Common_ConvertN2OToCO2e(G83,G84)</f>
        <v>49321.018634249987</v>
      </c>
      <c r="F86" s="101" t="str" cm="1">
        <f t="array" ref="F86">Common_Equations.Common_ConvertN2OToCO2e_Unit()</f>
        <v>t CO2e</v>
      </c>
    </row>
    <row r="87" spans="4:7" ht="20" customHeight="1" x14ac:dyDescent="0.25"/>
    <row r="88" spans="4:7" ht="20" customHeight="1" x14ac:dyDescent="0.25"/>
    <row r="89" spans="4:7" ht="20" customHeight="1" x14ac:dyDescent="0.25"/>
    <row r="90" spans="4:7" ht="20" customHeight="1" x14ac:dyDescent="0.25"/>
    <row r="91" spans="4:7" ht="20" customHeight="1" x14ac:dyDescent="0.25"/>
    <row r="92" spans="4:7" ht="20" customHeight="1" x14ac:dyDescent="0.25"/>
    <row r="93" spans="4:7" ht="20" customHeight="1" x14ac:dyDescent="0.25"/>
    <row r="94" spans="4:7" ht="20" customHeight="1" x14ac:dyDescent="0.25"/>
    <row r="95" spans="4:7" ht="20" customHeight="1" x14ac:dyDescent="0.25"/>
    <row r="96" spans="4:7"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row r="166" ht="20" customHeight="1" x14ac:dyDescent="0.25"/>
    <row r="167" ht="20" customHeight="1" x14ac:dyDescent="0.25"/>
    <row r="168" ht="20" customHeight="1" x14ac:dyDescent="0.25"/>
    <row r="169" ht="20" customHeight="1" x14ac:dyDescent="0.25"/>
    <row r="170" ht="20" customHeight="1" x14ac:dyDescent="0.25"/>
    <row r="171" ht="20" customHeight="1" x14ac:dyDescent="0.25"/>
    <row r="172" ht="20" customHeight="1" x14ac:dyDescent="0.25"/>
    <row r="173" ht="20" customHeight="1" x14ac:dyDescent="0.25"/>
    <row r="174" ht="20" customHeight="1" x14ac:dyDescent="0.25"/>
    <row r="175" ht="20" customHeight="1" x14ac:dyDescent="0.25"/>
    <row r="176" ht="20" customHeight="1" x14ac:dyDescent="0.25"/>
    <row r="177" ht="20" customHeight="1" x14ac:dyDescent="0.25"/>
    <row r="178" ht="20" customHeight="1" x14ac:dyDescent="0.25"/>
    <row r="179" ht="20" customHeight="1" x14ac:dyDescent="0.25"/>
    <row r="180" ht="20" customHeight="1" x14ac:dyDescent="0.25"/>
    <row r="181" ht="20" customHeight="1" x14ac:dyDescent="0.25"/>
    <row r="182" ht="20" customHeight="1" x14ac:dyDescent="0.25"/>
    <row r="183" ht="20" customHeight="1" x14ac:dyDescent="0.25"/>
  </sheetData>
  <dataValidations disablePrompts="1" count="1">
    <dataValidation operator="equal" allowBlank="1" showInputMessage="1" showErrorMessage="1" sqref="E120:G120 E125:G125 D145:F145 D159:F159 O125:Q125 Q57" xr:uid="{92F1D30F-69B7-43CA-8149-EE1344F53F5F}"/>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068A1-6101-411D-B813-7C0D9B5A9884}">
  <sheetPr>
    <tabColor rgb="FF008000"/>
  </sheetPr>
  <dimension ref="A1:U183"/>
  <sheetViews>
    <sheetView showGridLines="0" topLeftCell="A15" zoomScaleNormal="100" workbookViewId="0">
      <selection activeCell="G43" sqref="G43"/>
    </sheetView>
  </sheetViews>
  <sheetFormatPr defaultRowHeight="20" x14ac:dyDescent="0.25" customHeight="1"/>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3" t="e" vm="1">
        <v>#VALUE!</v>
      </c>
      <c r="C1" s="8" t="s">
        <v>237</v>
      </c>
      <c r="L1"/>
    </row>
    <row r="2" spans="1:21" s="9" customFormat="1" ht="20" customHeight="1" x14ac:dyDescent="0.25">
      <c r="A2"/>
      <c r="L2"/>
    </row>
    <row r="3" spans="1:21" ht="20" customHeight="1" x14ac:dyDescent="0.25">
      <c r="A3" s="17" t="str">
        <f>HYPERLINK("#'Home'!A1", "Home")</f>
        <v>Home</v>
      </c>
      <c r="C3" s="4"/>
      <c r="D3" s="4" t="s">
        <v>88</v>
      </c>
      <c r="E3" s="4"/>
      <c r="F3" s="4"/>
      <c r="G3" s="4"/>
      <c r="H3" s="4"/>
      <c r="I3" s="4"/>
      <c r="J3" s="4"/>
      <c r="K3" s="4"/>
      <c r="M3" s="4"/>
      <c r="N3" s="4" t="s">
        <v>89</v>
      </c>
      <c r="O3" s="4"/>
      <c r="P3" s="4"/>
      <c r="Q3" s="4"/>
      <c r="R3" s="4"/>
      <c r="S3" s="4"/>
      <c r="T3" s="4"/>
      <c r="U3" s="4"/>
    </row>
    <row r="4" spans="1:21" ht="20" customHeight="1" x14ac:dyDescent="0.25">
      <c r="A4" s="17" t="str">
        <f>HYPERLINK("#'Overview'!A1", "Overview")</f>
        <v>Overview</v>
      </c>
    </row>
    <row r="5" spans="1:21" ht="20" customHeight="1" x14ac:dyDescent="0.25">
      <c r="A5" s="17" t="str">
        <f>HYPERLINK("#'Results'!A1", "Results")</f>
        <v>Results</v>
      </c>
      <c r="D5" s="6" t="str" cm="1">
        <f t="array" ref="D5">MMS_OtherLivestock_Soil_LeachingAndRunoff.VEERG_4_7_1_7__2_MassOfNitrogenLostToLeachingAndRunoff_Title()</f>
        <v>Mass of nitrogen lost to leaching and runoff</v>
      </c>
    </row>
    <row r="6" spans="1:21" ht="20" customHeight="1" x14ac:dyDescent="0.25">
      <c r="D6" s="5" t="str" cm="1">
        <f t="array" ref="D6">MMS_OtherLivestock_Soil_LeachingAndRunoff.VEERG_4_7_1_7__2_MassOfNitrogenLostToLeachingAndRunoff_Source()</f>
        <v>VEERG 2026: 4.7.1.7, Equation (2)</v>
      </c>
    </row>
    <row r="7" spans="1:21" ht="20" customHeight="1" x14ac:dyDescent="0.25">
      <c r="D7" s="13" t="s">
        <v>22</v>
      </c>
      <c r="E7" s="13" t="str" cm="1">
        <f t="array" aca="1" ref="E7" ca="1">Common_InputFunctions.Utility_DisplayFunctionName(E47)</f>
        <v>=MMS_OtherLivestock_Soil_LeachingAndRunoff.VEERG_4_7_1_7__2_MassOfNitrogenLostToLeachingAndRunoff</v>
      </c>
    </row>
    <row r="8" spans="1:21" ht="20" customHeight="1" x14ac:dyDescent="0.25">
      <c r="A8" s="19" t="s">
        <v>0</v>
      </c>
    </row>
    <row r="9" spans="1:21" ht="20" customHeight="1" x14ac:dyDescent="0.25">
      <c r="A9" s="17" t="str">
        <f>HYPERLINK("#'Input - Site'!A1", "Site")</f>
        <v>Site</v>
      </c>
    </row>
    <row r="10" spans="1:21" ht="20" customHeight="1" x14ac:dyDescent="0.25">
      <c r="A10" s="17" t="str">
        <f>HYPERLINK("#'Input - Other Livestock'!A1", "Other Livestock")</f>
        <v>Other Livestock</v>
      </c>
      <c r="D10" s="52" t="s">
        <v>25</v>
      </c>
      <c r="E10" s="1" t="str" cm="1">
        <f t="array" ref="E10">MMS_OtherLivestock_Soil_LeachingAndRunoff.VEERG_4_7_1_7__2_MassOfNitrogenLostToLeachingAndRunoff_Variable()</f>
        <v>M_leach</v>
      </c>
    </row>
    <row r="11" spans="1:21" ht="20" customHeight="1" x14ac:dyDescent="0.25">
      <c r="D11" s="52" t="s">
        <v>15</v>
      </c>
      <c r="E11" s="53" t="str" cm="1">
        <f t="array" ref="E11">MMS_OtherLivestock_Soil_LeachingAndRunoff.VEERG_4_7_1_7__2_MassOfNitrogenLostToLeachingAndRunoff_Unit()</f>
        <v>kg N</v>
      </c>
    </row>
    <row r="12" spans="1:21" ht="20" customHeight="1" x14ac:dyDescent="0.25"/>
    <row r="13" spans="1:21" ht="20" customHeight="1" x14ac:dyDescent="0.25">
      <c r="A13" s="18" t="s">
        <v>70</v>
      </c>
      <c r="D13" s="113" t="str" cm="1">
        <f t="array" ref="D13:E18">_xlfn.CHOOSECOLS(MMS_OtherLivestock_Soil_LeachingAndRunoff.VEERG_4_7_1_7__2_MassOfNitrogenLostToLeachingAndRunoff_Arguments(),1,2)</f>
        <v>AE</v>
      </c>
      <c r="E13" s="116" t="str">
        <v>annual nitrogen excreted by each livestock type</v>
      </c>
      <c r="F13" s="115"/>
      <c r="G13" s="113" t="str" cm="1">
        <f t="array" ref="G13:H18">_xlfn.CHOOSECOLS(MMS_OtherLivestock_Soil_LeachingAndRunoff.VEERG_4_7_1_7__2_MassOfNitrogenLostToLeachingAndRunoff_Arguments(),3,4)</f>
        <v>kg N/year</v>
      </c>
      <c r="H13" s="112" t="str">
        <v>Calculated by 4.7.1.3, (2)</v>
      </c>
      <c r="I13" s="114" t="str" cm="1">
        <f t="array" aca="1" ref="I13" ca="1">HYPERLINK(Common_InputFunctions.Utility_SourceHyperlink($D$20),$D$20)</f>
        <v>Table_AEj</v>
      </c>
    </row>
    <row r="14" spans="1:21" ht="20" customHeight="1" x14ac:dyDescent="0.25">
      <c r="A14" s="17" t="str">
        <f>HYPERLINK("#'4.7.1.1-2 Manure Methane'!A1", "4.7.1.1-2 Manure Methane")</f>
        <v>4.7.1.1-2 Manure Methane</v>
      </c>
      <c r="D14" s="113" t="str">
        <v>FracWet</v>
      </c>
      <c r="E14" s="116" t="str">
        <v>fraction of nitrogen available for leaching and runoff</v>
      </c>
      <c r="F14" s="115"/>
      <c r="G14" s="113" t="str">
        <v/>
      </c>
      <c r="H14" s="112" t="str">
        <v>Constant</v>
      </c>
      <c r="I14" s="114" t="str" cm="1">
        <f t="array" aca="1" ref="I14" ca="1">HYPERLINK(Common_InputFunctions.Utility_SourceHyperlink($D$32),$D$32)</f>
        <v>Table_Frac_Wet</v>
      </c>
    </row>
    <row r="15" spans="1:21" ht="20" customHeight="1" x14ac:dyDescent="0.25">
      <c r="A15" s="17" t="str">
        <f>HYPERLINK("#'4.7.1.3-4 Soil Direct N2O'!A1", "4.7.1.3-4 Soil Direct N2O")</f>
        <v>4.7.1.3-4 Soil Direct N2O</v>
      </c>
      <c r="D15" s="113" t="str">
        <v>FracLEACH</v>
      </c>
      <c r="E15" s="116" t="str">
        <v>fraction of all nitrogen that is lost through leaching and runoff</v>
      </c>
      <c r="F15" s="115"/>
      <c r="G15" s="113" t="str">
        <v/>
      </c>
      <c r="H15" s="112" t="str">
        <v>Constant</v>
      </c>
      <c r="I15" s="113">
        <f>'Constants - Common'!$E$164</f>
        <v>0.24</v>
      </c>
    </row>
    <row r="16" spans="1:21" ht="20" customHeight="1" x14ac:dyDescent="0.25">
      <c r="A16" s="17" t="str">
        <f>HYPERLINK("#'4.7.1.5-6 Soil Atmos Deposition'!A1", "4.7.1.5-6 Soil Atmos Deposition")</f>
        <v>4.7.1.5-6 Soil Atmos Deposition</v>
      </c>
      <c r="D16" s="113" t="str">
        <v>z</v>
      </c>
      <c r="E16" s="116" t="str">
        <v>location in leaching zone</v>
      </c>
      <c r="F16" s="115"/>
      <c r="G16" s="113" t="str">
        <v/>
      </c>
      <c r="H16" s="111" t="str">
        <v>Input</v>
      </c>
      <c r="I16" s="113" t="str">
        <f>X_Cell_Site_LeachingZone</f>
        <v>NO - Not in leaching zone</v>
      </c>
    </row>
    <row r="17" spans="1:9" ht="20" customHeight="1" x14ac:dyDescent="0.25">
      <c r="A17" s="21" t="str">
        <f>HYPERLINK("#'4.7.1.7-8 Soil Leaching Runoff'!A1", "4.7.1.7-8 Soil Leaching Runoff")</f>
        <v>4.7.1.7-8 Soil Leaching Runoff</v>
      </c>
      <c r="D17" s="113" t="str">
        <v>j</v>
      </c>
      <c r="E17" s="116" t="str">
        <v>production system</v>
      </c>
      <c r="F17" s="115"/>
      <c r="G17" s="113" t="str">
        <v/>
      </c>
      <c r="H17" s="111" t="str">
        <v>Input</v>
      </c>
      <c r="I17" s="114" t="str" cm="1">
        <f t="array" aca="1" ref="I17" ca="1">HYPERLINK(Common_InputFunctions.Utility_SourceHyperlink($D$32),$D$32)</f>
        <v>Table_Frac_Wet</v>
      </c>
    </row>
    <row r="18" spans="1:9" ht="20" customHeight="1" x14ac:dyDescent="0.25">
      <c r="D18" s="113" t="str">
        <v>ir</v>
      </c>
      <c r="E18" s="116" t="str">
        <v>irrigation method</v>
      </c>
      <c r="F18" s="115"/>
      <c r="G18" s="113" t="str">
        <v/>
      </c>
      <c r="H18" s="111" t="str">
        <v>Input</v>
      </c>
      <c r="I18" s="114" t="str" cm="1">
        <f t="array" aca="1" ref="I18" ca="1">HYPERLINK(Common_InputFunctions.Utility_SourceHyperlink($D$32),$D$32)</f>
        <v>Table_Frac_Wet</v>
      </c>
    </row>
    <row r="19" spans="1:9" ht="20" customHeight="1" x14ac:dyDescent="0.25"/>
    <row r="20" spans="1:9" ht="20" customHeight="1" x14ac:dyDescent="0.25">
      <c r="A20" s="124" t="s">
        <v>1</v>
      </c>
      <c r="D20" s="94" t="s">
        <v>201</v>
      </c>
    </row>
    <row r="21" spans="1:9" ht="20" customHeight="1" x14ac:dyDescent="0.25">
      <c r="A21" s="17" t="str">
        <f>HYPERLINK("#'Constants - Other Livestock'!A1", "Constants - Other Livestock")</f>
        <v>Constants - Other Livestock</v>
      </c>
      <c r="D21" s="93" t="s">
        <v>200</v>
      </c>
    </row>
    <row r="22" spans="1:9" ht="20" customHeight="1" x14ac:dyDescent="0.25">
      <c r="A22" s="17" t="str">
        <f>HYPERLINK("#'Constants - Livestock'!A1", "Constants - Livestock")</f>
        <v>Constants - Livestock</v>
      </c>
      <c r="D22" s="50" t="s">
        <v>181</v>
      </c>
      <c r="E22" s="50" t="s">
        <v>224</v>
      </c>
    </row>
    <row r="23" spans="1:9" ht="20" customHeight="1" x14ac:dyDescent="0.25">
      <c r="A23" s="17" t="str">
        <f>HYPERLINK("#'Constants - Common'!A1", "Constants - Common")</f>
        <v>Constants - Common</v>
      </c>
      <c r="D23" s="51" t="s">
        <v>150</v>
      </c>
      <c r="E23" s="51">
        <f>INDEX(Table_AEj,2,2)</f>
        <v>66320500</v>
      </c>
      <c r="F23" s="2" t="str">
        <f>'4.7.1.3-4 Soil Direct N2O'!$F$44</f>
        <v>kg N/year</v>
      </c>
    </row>
    <row r="24" spans="1:9" ht="20" customHeight="1" x14ac:dyDescent="0.25">
      <c r="A24" s="17" t="str">
        <f>HYPERLINK("#'Acknowledgements'!A1", "Acknowledgements")</f>
        <v>Acknowledgements</v>
      </c>
      <c r="D24" s="51" t="s">
        <v>155</v>
      </c>
      <c r="E24" s="51">
        <f>INDEX(Table_AEj,3,2)</f>
        <v>12264000</v>
      </c>
    </row>
    <row r="25" spans="1:9" ht="20" customHeight="1" x14ac:dyDescent="0.25">
      <c r="D25" s="51" t="s">
        <v>162</v>
      </c>
      <c r="E25" s="51">
        <f>INDEX(Table_AEj,4,2)</f>
        <v>22162800</v>
      </c>
    </row>
    <row r="26" spans="1:9" ht="20" customHeight="1" x14ac:dyDescent="0.25">
      <c r="D26" s="51" t="s">
        <v>168</v>
      </c>
      <c r="E26" s="51">
        <f>INDEX(Table_AEj,5,2)</f>
        <v>61995250</v>
      </c>
    </row>
    <row r="27" spans="1:9" ht="20" customHeight="1" x14ac:dyDescent="0.25">
      <c r="D27" s="51" t="s">
        <v>169</v>
      </c>
      <c r="E27" s="51">
        <f>INDEX(Table_AEj,6,2)</f>
        <v>255500</v>
      </c>
    </row>
    <row r="28" spans="1:9" ht="20" customHeight="1" x14ac:dyDescent="0.25">
      <c r="D28" s="51" t="s">
        <v>170</v>
      </c>
      <c r="E28" s="51">
        <f>INDEX(Table_AEj,7,2)</f>
        <v>1441750</v>
      </c>
    </row>
    <row r="29" spans="1:9" ht="20" customHeight="1" x14ac:dyDescent="0.25">
      <c r="D29" s="51" t="s">
        <v>186</v>
      </c>
      <c r="E29" s="51">
        <f>INDEX(Table_AEj,8,2)</f>
        <v>481800</v>
      </c>
    </row>
    <row r="30" spans="1:9" ht="20" customHeight="1" x14ac:dyDescent="0.25">
      <c r="D30" s="51" t="s">
        <v>187</v>
      </c>
      <c r="E30" s="51">
        <f>INDEX(Table_AEj,9,2)</f>
        <v>255500</v>
      </c>
    </row>
    <row r="31" spans="1:9" ht="20" customHeight="1" x14ac:dyDescent="0.25"/>
    <row r="32" spans="1:9" ht="20" customHeight="1" x14ac:dyDescent="0.25">
      <c r="D32" s="94" t="s">
        <v>216</v>
      </c>
    </row>
    <row r="33" spans="4:7" ht="20" customHeight="1" x14ac:dyDescent="0.25">
      <c r="D33" s="93" t="s">
        <v>217</v>
      </c>
    </row>
    <row r="34" spans="4:7" ht="20" customHeight="1" x14ac:dyDescent="0.25">
      <c r="D34" s="50" t="s">
        <v>181</v>
      </c>
      <c r="E34" s="40" t="s">
        <v>101</v>
      </c>
      <c r="F34" s="40" t="s">
        <v>99</v>
      </c>
      <c r="G34" s="50" t="s">
        <v>218</v>
      </c>
    </row>
    <row r="35" spans="4:7" ht="20" customHeight="1" x14ac:dyDescent="0.25">
      <c r="D35" s="51" t="s">
        <v>150</v>
      </c>
      <c r="E35" s="51" t="str">
        <f>X_Cell_OtherLivestock_Buffalo_GrazingProductionSystem</f>
        <v>Pasture</v>
      </c>
      <c r="F35" s="51" t="str">
        <f>X_Cell_OtherLivestock_Buffalo_GrazingIrrigationMethod</f>
        <v>Not irrigated</v>
      </c>
      <c r="G35" s="51">
        <f>Common_InputFunctions.CommonCropping_GetFracWET($I$16,F35,Table_SourceData_FracWET[Is in leaching zone],Table_SourceData_FracWET[FracWET],Table_SourceData_FracWETIrrigation[Irrigation type i],Table_SourceData_FracWETIrrigation[FracWET])</f>
        <v>0</v>
      </c>
    </row>
    <row r="36" spans="4:7" ht="20" customHeight="1" x14ac:dyDescent="0.25">
      <c r="D36" s="51" t="s">
        <v>155</v>
      </c>
      <c r="E36" s="51" t="str">
        <f>X_Cell_OtherLivestock_Goats_GrazingProductionSystem</f>
        <v>Pasture</v>
      </c>
      <c r="F36" s="51" t="str">
        <f>X_Cell_OtherLivestock_Goats_GrazingIrrigationMethod</f>
        <v>Not irrigated</v>
      </c>
      <c r="G36" s="51">
        <f>Common_InputFunctions.CommonCropping_GetFracWET($I$16,F36,Table_SourceData_FracWET[Is in leaching zone],Table_SourceData_FracWET[FracWET],Table_SourceData_FracWETIrrigation[Irrigation type i],Table_SourceData_FracWETIrrigation[FracWET])</f>
        <v>0</v>
      </c>
    </row>
    <row r="37" spans="4:7" ht="20" customHeight="1" x14ac:dyDescent="0.25">
      <c r="D37" s="51" t="s">
        <v>162</v>
      </c>
      <c r="E37" s="51" t="str">
        <f>X_Cell_OtherLivestock_Deer_GrazingProductionSystem</f>
        <v>Pasture</v>
      </c>
      <c r="F37" s="51" t="str">
        <f>X_Cell_OtherLivestock_Deer_GrazingIrrigationMethod</f>
        <v>Not irrigated</v>
      </c>
      <c r="G37" s="51">
        <f>Common_InputFunctions.CommonCropping_GetFracWET($I$16,F37,Table_SourceData_FracWET[Is in leaching zone],Table_SourceData_FracWET[FracWET],Table_SourceData_FracWETIrrigation[Irrigation type i],Table_SourceData_FracWETIrrigation[FracWET])</f>
        <v>0</v>
      </c>
    </row>
    <row r="38" spans="4:7" ht="20" customHeight="1" x14ac:dyDescent="0.25">
      <c r="D38" s="51" t="s">
        <v>168</v>
      </c>
      <c r="E38" s="51" t="str">
        <f>X_Cell_OtherLivestock_Others_Camels_GrazingProductionSystem</f>
        <v>Pasture</v>
      </c>
      <c r="F38" s="51" t="str">
        <f>X_Cell_OtherLivestock_Others_Camels_GrazingIrrigationMethod</f>
        <v>Drip irrigation</v>
      </c>
      <c r="G38" s="51">
        <f>Common_InputFunctions.CommonCropping_GetFracWET($I$16,F38,Table_SourceData_FracWET[Is in leaching zone],Table_SourceData_FracWET[FracWET],Table_SourceData_FracWETIrrigation[Irrigation type i],Table_SourceData_FracWETIrrigation[FracWET])</f>
        <v>0</v>
      </c>
    </row>
    <row r="39" spans="4:7" ht="20" customHeight="1" x14ac:dyDescent="0.25">
      <c r="D39" s="51" t="s">
        <v>169</v>
      </c>
      <c r="E39" s="51" t="str">
        <f>X_Cell_OtherLivestock_Others_Alpacas_GrazingProductionSystem</f>
        <v>Pasture</v>
      </c>
      <c r="F39" s="51" t="str">
        <f>X_Cell_OtherLivestock_Others_Alpacas_GrazingIrrigationMethod</f>
        <v>Sprinkler irrigation</v>
      </c>
      <c r="G39" s="51">
        <f>Common_InputFunctions.CommonCropping_GetFracWET($I$16,F39,Table_SourceData_FracWET[Is in leaching zone],Table_SourceData_FracWET[FracWET],Table_SourceData_FracWETIrrigation[Irrigation type i],Table_SourceData_FracWETIrrigation[FracWET])</f>
        <v>1</v>
      </c>
    </row>
    <row r="40" spans="4:7" ht="20" customHeight="1" x14ac:dyDescent="0.25">
      <c r="D40" s="51" t="s">
        <v>170</v>
      </c>
      <c r="E40" s="51" t="str">
        <f>X_Cell_OtherLivestock_Others_Horses_GrazingProductionSystem</f>
        <v>Crop</v>
      </c>
      <c r="F40" s="51" t="str">
        <f>X_Cell_OtherLivestock_Others_Horses_GrazingIrrigationMethod</f>
        <v>Not irrigated</v>
      </c>
      <c r="G40" s="51">
        <f>Common_InputFunctions.CommonCropping_GetFracWET($I$16,F40,Table_SourceData_FracWET[Is in leaching zone],Table_SourceData_FracWET[FracWET],Table_SourceData_FracWETIrrigation[Irrigation type i],Table_SourceData_FracWETIrrigation[FracWET])</f>
        <v>0</v>
      </c>
    </row>
    <row r="41" spans="4:7" ht="20" customHeight="1" x14ac:dyDescent="0.25">
      <c r="D41" s="51" t="s">
        <v>186</v>
      </c>
      <c r="E41" s="51" t="str">
        <f>X_Cell_OtherLivestock_Others_Mules_GrazingProductionSystem</f>
        <v>Crop</v>
      </c>
      <c r="F41" s="51" t="str">
        <f>X_Cell_OtherLivestock_Others_Mules_GrazingIrrigationMethod</f>
        <v>Surface irrigation</v>
      </c>
      <c r="G41" s="51">
        <f>Common_InputFunctions.CommonCropping_GetFracWET($I$16,F41,Table_SourceData_FracWET[Is in leaching zone],Table_SourceData_FracWET[FracWET],Table_SourceData_FracWETIrrigation[Irrigation type i],Table_SourceData_FracWETIrrigation[FracWET])</f>
        <v>1</v>
      </c>
    </row>
    <row r="42" spans="4:7" ht="20" customHeight="1" x14ac:dyDescent="0.25">
      <c r="D42" s="51" t="s">
        <v>187</v>
      </c>
      <c r="E42" s="51" t="str">
        <f>X_Cell_OtherLivestock_Others_Emus_GrazingProductionSystem</f>
        <v>Pasture</v>
      </c>
      <c r="F42" s="51" t="str">
        <f>X_Cell_OtherLivestock_Others_Emus_GrazingIrrigationMethod</f>
        <v>Not irrigated</v>
      </c>
      <c r="G42" s="51">
        <f>Common_InputFunctions.CommonCropping_GetFracWET($I$16,F42,Table_SourceData_FracWET[Is in leaching zone],Table_SourceData_FracWET[FracWET],Table_SourceData_FracWETIrrigation[Irrigation type i],Table_SourceData_FracWETIrrigation[FracWET])</f>
        <v>0</v>
      </c>
    </row>
    <row r="43" spans="4:7" ht="20" customHeight="1" x14ac:dyDescent="0.25"/>
    <row r="44" spans="4:7" ht="20" customHeight="1" x14ac:dyDescent="0.25">
      <c r="D44" s="94" t="s">
        <v>219</v>
      </c>
    </row>
    <row r="45" spans="4:7" ht="20" customHeight="1" x14ac:dyDescent="0.25">
      <c r="D45" s="93" t="s">
        <v>220</v>
      </c>
    </row>
    <row r="46" spans="4:7" ht="20" customHeight="1" x14ac:dyDescent="0.25">
      <c r="D46" s="50" t="s">
        <v>181</v>
      </c>
      <c r="E46" s="50" t="s">
        <v>223</v>
      </c>
    </row>
    <row r="47" spans="4:7" ht="20" customHeight="1" x14ac:dyDescent="0.25">
      <c r="D47" s="51" t="s">
        <v>150</v>
      </c>
      <c r="E47" s="51" cm="1">
        <f t="array" ref="E47">MMS_OtherLivestock_Soil_LeachingAndRunoff.VEERG_4_7_1_7__2_MassOfNitrogenLostToLeachingAndRunoff(E23,G35,$I$15)</f>
        <v>0</v>
      </c>
      <c r="F47" s="2" t="str">
        <f>$E$11</f>
        <v>kg N</v>
      </c>
    </row>
    <row r="48" spans="4:7" ht="20" customHeight="1" x14ac:dyDescent="0.25">
      <c r="D48" s="51" t="s">
        <v>155</v>
      </c>
      <c r="E48" s="51" cm="1">
        <f t="array" ref="E48">MMS_OtherLivestock_Soil_LeachingAndRunoff.VEERG_4_7_1_7__2_MassOfNitrogenLostToLeachingAndRunoff(E24,G36,$I$15)</f>
        <v>0</v>
      </c>
    </row>
    <row r="49" spans="3:11" ht="20" customHeight="1" x14ac:dyDescent="0.25">
      <c r="D49" s="51" t="s">
        <v>162</v>
      </c>
      <c r="E49" s="51" cm="1">
        <f t="array" ref="E49">MMS_OtherLivestock_Soil_LeachingAndRunoff.VEERG_4_7_1_7__2_MassOfNitrogenLostToLeachingAndRunoff(E25,G37,$I$15)</f>
        <v>0</v>
      </c>
    </row>
    <row r="50" spans="3:11" ht="20" customHeight="1" x14ac:dyDescent="0.25">
      <c r="D50" s="51" t="s">
        <v>168</v>
      </c>
      <c r="E50" s="51" cm="1">
        <f t="array" ref="E50">MMS_OtherLivestock_Soil_LeachingAndRunoff.VEERG_4_7_1_7__2_MassOfNitrogenLostToLeachingAndRunoff(E26,G38,$I$15)</f>
        <v>0</v>
      </c>
    </row>
    <row r="51" spans="3:11" ht="20" customHeight="1" x14ac:dyDescent="0.25">
      <c r="D51" s="51" t="s">
        <v>169</v>
      </c>
      <c r="E51" s="51" cm="1">
        <f t="array" ref="E51">MMS_OtherLivestock_Soil_LeachingAndRunoff.VEERG_4_7_1_7__2_MassOfNitrogenLostToLeachingAndRunoff(E27,G39,$I$15)</f>
        <v>61320</v>
      </c>
    </row>
    <row r="52" spans="3:11" ht="20" customHeight="1" x14ac:dyDescent="0.25">
      <c r="D52" s="51" t="s">
        <v>170</v>
      </c>
      <c r="E52" s="51" cm="1">
        <f t="array" ref="E52">MMS_OtherLivestock_Soil_LeachingAndRunoff.VEERG_4_7_1_7__2_MassOfNitrogenLostToLeachingAndRunoff(E28,G40,$I$15)</f>
        <v>0</v>
      </c>
    </row>
    <row r="53" spans="3:11" ht="20" customHeight="1" x14ac:dyDescent="0.25">
      <c r="D53" s="51" t="s">
        <v>186</v>
      </c>
      <c r="E53" s="51" cm="1">
        <f t="array" ref="E53">MMS_OtherLivestock_Soil_LeachingAndRunoff.VEERG_4_7_1_7__2_MassOfNitrogenLostToLeachingAndRunoff(E29,G41,$I$15)</f>
        <v>115632</v>
      </c>
    </row>
    <row r="54" spans="3:11" ht="20" customHeight="1" x14ac:dyDescent="0.25">
      <c r="D54" s="51" t="s">
        <v>187</v>
      </c>
      <c r="E54" s="51" cm="1">
        <f t="array" ref="E54">MMS_OtherLivestock_Soil_LeachingAndRunoff.VEERG_4_7_1_7__2_MassOfNitrogenLostToLeachingAndRunoff(E30,G42,$I$15)</f>
        <v>0</v>
      </c>
    </row>
    <row r="55" spans="3:11" ht="20" customHeight="1" x14ac:dyDescent="0.25"/>
    <row r="56" spans="3:11" ht="20" customHeight="1" x14ac:dyDescent="0.25">
      <c r="D56" s="106" t="s">
        <v>222</v>
      </c>
      <c r="E56" s="46">
        <f>SUM(E47:E54)</f>
        <v>176952</v>
      </c>
      <c r="F56" s="101" t="str">
        <f>$E$11</f>
        <v>kg N</v>
      </c>
    </row>
    <row r="57" spans="3:11" ht="20" customHeight="1" x14ac:dyDescent="0.25"/>
    <row r="58" spans="3:11" ht="20" customHeight="1" x14ac:dyDescent="0.25"/>
    <row r="59" spans="3:11" ht="20" customHeight="1" x14ac:dyDescent="0.25">
      <c r="C59" s="46"/>
      <c r="D59" s="46"/>
      <c r="E59" s="46"/>
      <c r="F59" s="46"/>
      <c r="G59" s="46"/>
      <c r="H59" s="46"/>
      <c r="I59" s="46"/>
      <c r="J59" s="46"/>
      <c r="K59" s="46"/>
    </row>
    <row r="60" spans="3:11" ht="20" customHeight="1" x14ac:dyDescent="0.25">
      <c r="D60" s="6" t="str" cm="1">
        <f t="array" ref="D60">MMS_OtherLivestock_Soil_LeachingAndRunoff.VEERG_4_7_1_7__1_LeachingAndRunoffEmissionsFromPasture_Title()</f>
        <v>Leaching and runoff emissions from urine and dung deposited on pasture</v>
      </c>
    </row>
    <row r="61" spans="3:11" ht="20" customHeight="1" x14ac:dyDescent="0.25">
      <c r="D61" s="5" t="str" cm="1">
        <f t="array" ref="D61">MMS_OtherLivestock_Soil_LeachingAndRunoff.VEERG_4_7_1_7__1_LeachingAndRunoffEmissionsFromPasture_Source()</f>
        <v>VEERG 2026: 4.7.1.7, Equation (1)</v>
      </c>
    </row>
    <row r="62" spans="3:11" ht="20" customHeight="1" x14ac:dyDescent="0.25">
      <c r="D62" s="13" t="s">
        <v>22</v>
      </c>
      <c r="E62" s="13" t="str" cm="1">
        <f t="array" aca="1" ref="E62" ca="1">Common_InputFunctions.Utility_DisplayFunctionName(E72)</f>
        <v>=MMS_OtherLivestock_Soil_LeachingAndRunoff.VEERG_4_7_1_7__1_LeachingAndRunoffEmissionsFromPasture</v>
      </c>
    </row>
    <row r="63" spans="3:11" ht="20" customHeight="1" x14ac:dyDescent="0.25"/>
    <row r="64" spans="3:11" ht="20" customHeight="1" x14ac:dyDescent="0.25"/>
    <row r="65" spans="4:9" ht="20" customHeight="1" x14ac:dyDescent="0.25">
      <c r="D65" s="52" t="s">
        <v>25</v>
      </c>
      <c r="E65" s="1" t="str" cm="1">
        <f t="array" ref="E65">MMS_OtherLivestock_Soil_LeachingAndRunoff.VEERG_4_7_1_7__1_LeachingAndRunoffEmissionsFromPasture_Variable()</f>
        <v>E_N2Oleach</v>
      </c>
    </row>
    <row r="66" spans="4:9" ht="20" customHeight="1" x14ac:dyDescent="0.25">
      <c r="D66" s="52" t="s">
        <v>15</v>
      </c>
      <c r="E66" s="1" t="str" cm="1">
        <f t="array" ref="E66">MMS_OtherLivestock_Soil_LeachingAndRunoff.VEERG_4_7_1_7__1_LeachingAndRunoffEmissionsFromPasture_Unit()</f>
        <v>t N2O</v>
      </c>
    </row>
    <row r="67" spans="4:9" ht="20" customHeight="1" x14ac:dyDescent="0.25"/>
    <row r="68" spans="4:9" ht="20" customHeight="1" x14ac:dyDescent="0.25">
      <c r="D68" s="113" t="str" cm="1">
        <f t="array" ref="D68:E70">_xlfn.CHOOSECOLS(MMS_OtherLivestock_Soil_LeachingAndRunoff.VEERG_4_7_1_7__1_LeachingAndRunoffEmissionsFromPasture_Arguments(),1,2)</f>
        <v>M_leach</v>
      </c>
      <c r="E68" s="116" t="str">
        <v>mass of nitrogen lost to leaching and runoff</v>
      </c>
      <c r="F68" s="115"/>
      <c r="G68" s="113" t="str" cm="1">
        <f t="array" ref="G68:H70">_xlfn.CHOOSECOLS(MMS_OtherLivestock_Soil_LeachingAndRunoff.VEERG_4_7_1_7__1_LeachingAndRunoffEmissionsFromPasture_Arguments(),3,4)</f>
        <v>kg N</v>
      </c>
      <c r="H68" s="112" t="str">
        <v>Calculated from 4.7.1.7, (2)</v>
      </c>
      <c r="I68" s="113">
        <f>E56</f>
        <v>176952</v>
      </c>
    </row>
    <row r="69" spans="4:9" ht="20" customHeight="1" x14ac:dyDescent="0.25">
      <c r="D69" s="113" t="str">
        <v>EF_leach</v>
      </c>
      <c r="E69" s="116" t="str">
        <v>emission factor for leaching and runoff</v>
      </c>
      <c r="F69" s="115"/>
      <c r="G69" s="113" t="str">
        <v>kg N2O-N/kg N</v>
      </c>
      <c r="H69" s="112" t="str">
        <v>Constant</v>
      </c>
      <c r="I69" s="113">
        <f>'Constants - Common'!$E$170</f>
        <v>1.0999999999999999E-2</v>
      </c>
    </row>
    <row r="70" spans="4:9" ht="20" customHeight="1" x14ac:dyDescent="0.25">
      <c r="D70" s="113" t="str">
        <v>C_N2O</v>
      </c>
      <c r="E70" s="116" t="str">
        <v>factor to convert elemental mass of nitrous oxide to molecular mass</v>
      </c>
      <c r="F70" s="115"/>
      <c r="G70" s="113" t="str">
        <v/>
      </c>
      <c r="H70" s="112" t="str">
        <v>Constant</v>
      </c>
      <c r="I70" s="113">
        <f>Common_InputFunctions.Utility_LookupValueInTableNumber("N2O",Table_GasToMolecularConversionFactor[Gas],Table_GasToMolecularConversionFactor[Conversion factor combined])</f>
        <v>1.5714285714285714</v>
      </c>
    </row>
    <row r="71" spans="4:9" ht="20" customHeight="1" x14ac:dyDescent="0.25"/>
    <row r="72" spans="4:9" ht="20" customHeight="1" x14ac:dyDescent="0.25">
      <c r="D72" s="97" t="s">
        <v>221</v>
      </c>
      <c r="E72" s="98" cm="1">
        <f t="array" ref="E72">MMS_OtherLivestock_Soil_LeachingAndRunoff.VEERG_4_7_1_7__1_LeachingAndRunoffEmissionsFromPasture(I68,I69,I70)</f>
        <v>3.0587417142857145</v>
      </c>
      <c r="F72" s="99" t="str">
        <f>E66</f>
        <v>t N2O</v>
      </c>
    </row>
    <row r="73" spans="4:9" ht="20" customHeight="1" x14ac:dyDescent="0.25"/>
    <row r="74" spans="4:9" ht="20" customHeight="1" x14ac:dyDescent="0.25">
      <c r="D74" s="56" t="str" cm="1">
        <f t="array" ref="D74:E75">Common_Equations.Common_ConvertN2OToCO2e_Arguments()</f>
        <v>EN2O</v>
      </c>
      <c r="E74" s="57" t="str">
        <v>Nitrous oxide emissions (t N2O)</v>
      </c>
      <c r="F74" s="100"/>
      <c r="G74" s="51">
        <f>E72</f>
        <v>3.0587417142857145</v>
      </c>
    </row>
    <row r="75" spans="4:9" ht="20" customHeight="1" x14ac:dyDescent="0.25">
      <c r="D75" s="56" t="str">
        <v>GWPN2O</v>
      </c>
      <c r="E75" s="57" t="str">
        <v>Global warming potential for nitrous oxide (t CO2-e / t N2O)</v>
      </c>
      <c r="F75" s="100"/>
      <c r="G75" s="51">
        <f>Common_InputFunctions.Utility_LookupValueInTableNumber("N2O",Table_GWPData[Gas],Table_GWPData[CO2-e factor])</f>
        <v>265</v>
      </c>
    </row>
    <row r="76" spans="4:9" ht="20" customHeight="1" x14ac:dyDescent="0.25"/>
    <row r="77" spans="4:9" ht="20" customHeight="1" x14ac:dyDescent="0.25">
      <c r="D77" s="46" t="s">
        <v>87</v>
      </c>
      <c r="E77" s="46" cm="1">
        <f t="array" ref="E77">Common_Equations.Common_ConvertN2OToCO2e(G74,G75)</f>
        <v>810.56655428571435</v>
      </c>
      <c r="F77" s="101" t="str" cm="1">
        <f t="array" ref="F77">Common_Equations.Common_ConvertN2OToCO2e_Unit()</f>
        <v>t CO2e</v>
      </c>
    </row>
    <row r="78" spans="4:9" ht="20" customHeight="1" x14ac:dyDescent="0.25"/>
    <row r="79" spans="4:9" ht="20" customHeight="1" x14ac:dyDescent="0.25"/>
    <row r="80" spans="4:9"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row r="166" ht="20" customHeight="1" x14ac:dyDescent="0.25"/>
    <row r="167" ht="20" customHeight="1" x14ac:dyDescent="0.25"/>
    <row r="168" ht="20" customHeight="1" x14ac:dyDescent="0.25"/>
    <row r="169" ht="20" customHeight="1" x14ac:dyDescent="0.25"/>
    <row r="170" ht="20" customHeight="1" x14ac:dyDescent="0.25"/>
    <row r="171" ht="20" customHeight="1" x14ac:dyDescent="0.25"/>
    <row r="172" ht="20" customHeight="1" x14ac:dyDescent="0.25"/>
    <row r="173" ht="20" customHeight="1" x14ac:dyDescent="0.25"/>
    <row r="174" ht="20" customHeight="1" x14ac:dyDescent="0.25"/>
    <row r="175" ht="20" customHeight="1" x14ac:dyDescent="0.25"/>
    <row r="176" ht="20" customHeight="1" x14ac:dyDescent="0.25"/>
    <row r="177" ht="20" customHeight="1" x14ac:dyDescent="0.25"/>
    <row r="178" ht="20" customHeight="1" x14ac:dyDescent="0.25"/>
    <row r="179" ht="20" customHeight="1" x14ac:dyDescent="0.25"/>
    <row r="180" ht="20" customHeight="1" x14ac:dyDescent="0.25"/>
    <row r="181" ht="20" customHeight="1" x14ac:dyDescent="0.25"/>
    <row r="182" ht="20" customHeight="1" x14ac:dyDescent="0.25"/>
    <row r="183" ht="20" customHeight="1" x14ac:dyDescent="0.25"/>
  </sheetData>
  <dataValidations disablePrompts="1" count="1">
    <dataValidation operator="equal" allowBlank="1" showInputMessage="1" showErrorMessage="1" sqref="E120:G120 E125:G125 D145:F145 D159:F159 O125:Q125 Q57" xr:uid="{2CC044EF-4F59-4FC5-A5F1-66297A068BCA}"/>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sheetPr>
    <tabColor theme="2" tint="-0.499984740745262"/>
  </sheetPr>
  <dimension ref="A1:U288"/>
  <sheetViews>
    <sheetView showGridLines="0" zoomScaleNormal="100" workbookViewId="0">
      <selection activeCell="A24" sqref="A24"/>
    </sheetView>
  </sheetViews>
  <sheetFormatPr defaultRowHeight="20" x14ac:dyDescent="0.25" customHeight="1"/>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63" t="e" vm="1">
        <v>#VALUE!</v>
      </c>
      <c r="C1" s="8" t="s">
        <v>231</v>
      </c>
    </row>
    <row r="2" spans="1:21" s="9" customFormat="1" ht="20" customHeight="1" x14ac:dyDescent="0.25">
      <c r="A2"/>
    </row>
    <row r="3" spans="1:21" ht="20" customHeight="1" x14ac:dyDescent="0.25">
      <c r="A3" s="17" t="str">
        <f>HYPERLINK("#'Home'!A1", "Home")</f>
        <v>Home</v>
      </c>
      <c r="C3" s="4"/>
      <c r="D3" s="4"/>
      <c r="E3" s="4"/>
      <c r="F3" s="4"/>
      <c r="G3" s="4"/>
      <c r="H3" s="4"/>
      <c r="I3" s="4"/>
      <c r="J3" s="4"/>
      <c r="K3" s="4"/>
      <c r="L3" s="4"/>
      <c r="M3" s="4"/>
      <c r="N3" s="4"/>
      <c r="O3" s="4"/>
      <c r="P3" s="4"/>
      <c r="Q3" s="4"/>
      <c r="R3" s="4"/>
      <c r="S3" s="4"/>
      <c r="T3" s="4"/>
      <c r="U3" s="4"/>
    </row>
    <row r="4" spans="1:21" ht="20" customHeight="1" x14ac:dyDescent="0.25">
      <c r="A4" s="17" t="str">
        <f>HYPERLINK("#'Overview'!A1", "Overview")</f>
        <v>Overview</v>
      </c>
      <c r="M4" s="1"/>
    </row>
    <row r="5" spans="1:21" ht="20" customHeight="1" x14ac:dyDescent="0.25">
      <c r="A5" s="17" t="str">
        <f>HYPERLINK("#'Results'!A1", "Results")</f>
        <v>Results</v>
      </c>
      <c r="D5" s="6" t="str" cm="1">
        <f t="array" ref="D5">SourceData_OtherLivestock.SourceData_OtherLivestock_EntericFermentationEmissionFactor_Title()</f>
        <v>Other Livestock - Enteric fermentation emission factor for each other livestock type</v>
      </c>
      <c r="M5" s="1"/>
    </row>
    <row r="6" spans="1:21" ht="20" customHeight="1" x14ac:dyDescent="0.25">
      <c r="D6" s="5" t="str" cm="1">
        <f t="array" ref="D6">SourceData_OtherLivestock.SourceData_OtherLivestock_EntericFermentationEmissionFactor_Source()</f>
        <v>VEERG 2026: Table A.1.5.1</v>
      </c>
      <c r="M6" s="1"/>
    </row>
    <row r="7" spans="1:21" ht="20" customHeight="1" x14ac:dyDescent="0.25">
      <c r="D7" s="1" t="str" cm="1">
        <f t="array" ref="D7">SourceData_OtherLivestock.SourceData_OtherLivestock_EntericFermentationEmissionFactor_Variable()</f>
        <v>Mj</v>
      </c>
      <c r="M7" s="1"/>
    </row>
    <row r="8" spans="1:21" ht="20" customHeight="1" x14ac:dyDescent="0.25">
      <c r="A8" s="19" t="s">
        <v>0</v>
      </c>
      <c r="D8" s="53" t="str" cm="1">
        <f t="array" ref="D8">SourceData_OtherLivestock.SourceData_OtherLivestock_EntericFermentationEmissionFactor_Unit()</f>
        <v>kg CH4 / head / year</v>
      </c>
      <c r="M8" s="1"/>
    </row>
    <row r="9" spans="1:21" ht="20" customHeight="1" x14ac:dyDescent="0.25">
      <c r="A9" s="17" t="str">
        <f>HYPERLINK("#'Input - Site'!A1", "Site")</f>
        <v>Site</v>
      </c>
      <c r="D9" s="38" t="s">
        <v>139</v>
      </c>
      <c r="E9" s="38" t="s">
        <v>140</v>
      </c>
      <c r="M9" s="1"/>
    </row>
    <row r="10" spans="1:21" ht="20" customHeight="1" x14ac:dyDescent="0.25">
      <c r="A10" s="17" t="str">
        <f>HYPERLINK("#'Input - Other Livestock'!A1", "Other Livestock")</f>
        <v>Other Livestock</v>
      </c>
      <c r="D10" s="38" t="str" cm="1">
        <f t="array" ref="D10">Common_InputFunctions.Utility_DisplayArrayInTable(SourceData_OtherLivestock.SourceData_OtherLivestock_EntericFermentationEmissionFactor_Data(),Table_SourceData_OtherLivestock_EntericEF[[#Headers],[Other livestock type]],0)</f>
        <v>Buffalo</v>
      </c>
      <c r="E10" s="38" cm="1">
        <f t="array" ref="E10">Common_InputFunctions.Utility_DisplayArrayInTable(SourceData_OtherLivestock.SourceData_OtherLivestock_EntericFermentationEmissionFactor_Data(),Table_SourceData_OtherLivestock_EntericEF[[#Headers],[Other livestock type]],0)</f>
        <v>68</v>
      </c>
      <c r="M10" s="1"/>
    </row>
    <row r="11" spans="1:21" ht="20" customHeight="1" x14ac:dyDescent="0.25">
      <c r="D11" s="1" t="str" cm="1">
        <f t="array" ref="D11">Common_InputFunctions.Utility_DisplayArrayInTable(SourceData_OtherLivestock.SourceData_OtherLivestock_EntericFermentationEmissionFactor_Data(),Table_SourceData_OtherLivestock_EntericEF[[#Headers],[Other livestock type]],0)</f>
        <v>Goats</v>
      </c>
      <c r="E11" s="38" cm="1">
        <f t="array" ref="E11">Common_InputFunctions.Utility_DisplayArrayInTable(SourceData_OtherLivestock.SourceData_OtherLivestock_EntericFermentationEmissionFactor_Data(),Table_SourceData_OtherLivestock_EntericEF[[#Headers],[Other livestock type]],0)</f>
        <v>5</v>
      </c>
      <c r="M11" s="1"/>
    </row>
    <row r="12" spans="1:21" ht="20" customHeight="1" x14ac:dyDescent="0.25">
      <c r="D12" s="1" t="str" cm="1">
        <f t="array" ref="D12">Common_InputFunctions.Utility_DisplayArrayInTable(SourceData_OtherLivestock.SourceData_OtherLivestock_EntericFermentationEmissionFactor_Data(),Table_SourceData_OtherLivestock_EntericEF[[#Headers],[Other livestock type]],0)</f>
        <v>Deer</v>
      </c>
      <c r="E12" s="38" cm="1">
        <f t="array" ref="E12">Common_InputFunctions.Utility_DisplayArrayInTable(SourceData_OtherLivestock.SourceData_OtherLivestock_EntericFermentationEmissionFactor_Data(),Table_SourceData_OtherLivestock_EntericEF[[#Headers],[Other livestock type]],0)</f>
        <v>20</v>
      </c>
      <c r="M12" s="1"/>
    </row>
    <row r="13" spans="1:21" ht="20" customHeight="1" x14ac:dyDescent="0.25">
      <c r="A13" s="18" t="s">
        <v>70</v>
      </c>
      <c r="D13" s="1" t="str" cm="1">
        <f t="array" ref="D13">Common_InputFunctions.Utility_DisplayArrayInTable(SourceData_OtherLivestock.SourceData_OtherLivestock_EntericFermentationEmissionFactor_Data(),Table_SourceData_OtherLivestock_EntericEF[[#Headers],[Other livestock type]],0)</f>
        <v>Camels</v>
      </c>
      <c r="E13" s="38" cm="1">
        <f t="array" ref="E13">Common_InputFunctions.Utility_DisplayArrayInTable(SourceData_OtherLivestock.SourceData_OtherLivestock_EntericFermentationEmissionFactor_Data(),Table_SourceData_OtherLivestock_EntericEF[[#Headers],[Other livestock type]],0)</f>
        <v>46</v>
      </c>
      <c r="M13" s="1"/>
    </row>
    <row r="14" spans="1:21" ht="20" customHeight="1" x14ac:dyDescent="0.25">
      <c r="A14" s="17" t="str">
        <f>HYPERLINK("#'4.7.1.1-2 Manure Methane'!A1", "4.7.1.1-2 Manure Methane")</f>
        <v>4.7.1.1-2 Manure Methane</v>
      </c>
      <c r="D14" s="1" t="str" cm="1">
        <f t="array" ref="D14">Common_InputFunctions.Utility_DisplayArrayInTable(SourceData_OtherLivestock.SourceData_OtherLivestock_EntericFermentationEmissionFactor_Data(),Table_SourceData_OtherLivestock_EntericEF[[#Headers],[Other livestock type]],0)</f>
        <v>Alpacas</v>
      </c>
      <c r="E14" s="38" cm="1">
        <f t="array" ref="E14">Common_InputFunctions.Utility_DisplayArrayInTable(SourceData_OtherLivestock.SourceData_OtherLivestock_EntericFermentationEmissionFactor_Data(),Table_SourceData_OtherLivestock_EntericEF[[#Headers],[Other livestock type]],0)</f>
        <v>8</v>
      </c>
      <c r="M14" s="1"/>
    </row>
    <row r="15" spans="1:21" ht="20" customHeight="1" x14ac:dyDescent="0.25">
      <c r="A15" s="17" t="str">
        <f>HYPERLINK("#'4.7.1.3-4 Soil Direct N2O'!A1", "4.7.1.3-4 Soil Direct N2O")</f>
        <v>4.7.1.3-4 Soil Direct N2O</v>
      </c>
      <c r="D15" s="1" t="str" cm="1">
        <f t="array" ref="D15">Common_InputFunctions.Utility_DisplayArrayInTable(SourceData_OtherLivestock.SourceData_OtherLivestock_EntericFermentationEmissionFactor_Data(),Table_SourceData_OtherLivestock_EntericEF[[#Headers],[Other livestock type]],0)</f>
        <v>Horses</v>
      </c>
      <c r="E15" s="38" cm="1">
        <f t="array" ref="E15">Common_InputFunctions.Utility_DisplayArrayInTable(SourceData_OtherLivestock.SourceData_OtherLivestock_EntericFermentationEmissionFactor_Data(),Table_SourceData_OtherLivestock_EntericEF[[#Headers],[Other livestock type]],0)</f>
        <v>18</v>
      </c>
      <c r="M15" s="1"/>
    </row>
    <row r="16" spans="1:21" ht="20" customHeight="1" x14ac:dyDescent="0.25">
      <c r="A16" s="17" t="str">
        <f>HYPERLINK("#'4.7.1.5-6 Soil Atmos Deposition'!A1", "4.7.1.5-6 Soil Atmos Deposition")</f>
        <v>4.7.1.5-6 Soil Atmos Deposition</v>
      </c>
      <c r="D16" s="1" t="str" cm="1">
        <f t="array" ref="D16">Common_InputFunctions.Utility_DisplayArrayInTable(SourceData_OtherLivestock.SourceData_OtherLivestock_EntericFermentationEmissionFactor_Data(),Table_SourceData_OtherLivestock_EntericEF[[#Headers],[Other livestock type]],0)</f>
        <v>Mules/asses</v>
      </c>
      <c r="E16" s="38" cm="1">
        <f t="array" ref="E16">Common_InputFunctions.Utility_DisplayArrayInTable(SourceData_OtherLivestock.SourceData_OtherLivestock_EntericFermentationEmissionFactor_Data(),Table_SourceData_OtherLivestock_EntericEF[[#Headers],[Other livestock type]],0)</f>
        <v>10</v>
      </c>
      <c r="M16" s="1"/>
    </row>
    <row r="17" spans="1:13" ht="20" customHeight="1" x14ac:dyDescent="0.25">
      <c r="A17" s="17" t="str">
        <f>HYPERLINK("#'4.7.1.7-8 Soil Leaching Runoff'!A1", "4.7.1.7-8 Soil Leaching Runoff")</f>
        <v>4.7.1.7-8 Soil Leaching Runoff</v>
      </c>
      <c r="D17" s="1" t="str" cm="1">
        <f t="array" ref="D17">Common_InputFunctions.Utility_DisplayArrayInTable(SourceData_OtherLivestock.SourceData_OtherLivestock_EntericFermentationEmissionFactor_Data(),Table_SourceData_OtherLivestock_EntericEF[[#Headers],[Other livestock type]],0)</f>
        <v>Emus/ostriches</v>
      </c>
      <c r="E17" s="38" cm="1">
        <f t="array" ref="E17">Common_InputFunctions.Utility_DisplayArrayInTable(SourceData_OtherLivestock.SourceData_OtherLivestock_EntericFermentationEmissionFactor_Data(),Table_SourceData_OtherLivestock_EntericEF[[#Headers],[Other livestock type]],0)</f>
        <v>5</v>
      </c>
      <c r="M17" s="1"/>
    </row>
    <row r="18" spans="1:13" ht="20" customHeight="1" x14ac:dyDescent="0.25">
      <c r="M18" s="1"/>
    </row>
    <row r="19" spans="1:13" ht="20" customHeight="1" x14ac:dyDescent="0.25">
      <c r="M19" s="1"/>
    </row>
    <row r="20" spans="1:13" ht="20" customHeight="1" x14ac:dyDescent="0.25">
      <c r="A20" s="124" t="s">
        <v>1</v>
      </c>
      <c r="D20" s="6" t="str" cm="1">
        <f t="array" ref="D20">SourceData_OtherLivestock.SourceData_OtherLivestock_VolatileSolidsProduced_Title()</f>
        <v>Other Livestock - Volatile solids produced by each other livestock type</v>
      </c>
      <c r="M20" s="1"/>
    </row>
    <row r="21" spans="1:13" ht="20" customHeight="1" x14ac:dyDescent="0.25">
      <c r="A21" s="64" t="str">
        <f>HYPERLINK("#'Constants - Other Livestock'!A1", "Constants - Other Livestock")</f>
        <v>Constants - Other Livestock</v>
      </c>
      <c r="D21" s="5" t="str" cm="1">
        <f t="array" ref="D21">SourceData_OtherLivestock.SourceData_OtherLivestock_VolatileSolidsProduced_Source()</f>
        <v>VEERG 2026: Table A.1.5.2</v>
      </c>
      <c r="M21" s="1"/>
    </row>
    <row r="22" spans="1:13" ht="20" customHeight="1" x14ac:dyDescent="0.25">
      <c r="A22" s="17" t="str">
        <f>HYPERLINK("#'Constants - Livestock'!A1", "Constants - Livestock")</f>
        <v>Constants - Livestock</v>
      </c>
      <c r="D22" s="1" t="str" cm="1">
        <f t="array" ref="D22">SourceData_OtherLivestock.SourceData_OtherLivestock_VolatileSolidsProduced_Variable()</f>
        <v>VSj</v>
      </c>
      <c r="M22" s="1"/>
    </row>
    <row r="23" spans="1:13" ht="20" customHeight="1" x14ac:dyDescent="0.25">
      <c r="A23" s="17" t="str">
        <f>HYPERLINK("#'Constants - Common'!A1", "Constants - Common")</f>
        <v>Constants - Common</v>
      </c>
      <c r="D23" s="53" t="str" cm="1">
        <f t="array" ref="D23">SourceData_OtherLivestock.SourceData_OtherLivestock_VolatileSolidsProduced_Unit()</f>
        <v>kg VS / head / day</v>
      </c>
      <c r="M23" s="1"/>
    </row>
    <row r="24" spans="1:13" ht="20" customHeight="1" x14ac:dyDescent="0.25">
      <c r="A24" s="17" t="str">
        <f>HYPERLINK("#'Acknowledgements'!A1", "Acknowledgements")</f>
        <v>Acknowledgements</v>
      </c>
      <c r="D24" s="38" t="s">
        <v>139</v>
      </c>
      <c r="E24" s="38" t="s">
        <v>141</v>
      </c>
      <c r="M24" s="1"/>
    </row>
    <row r="25" spans="1:13" ht="20" customHeight="1" x14ac:dyDescent="0.25">
      <c r="D25" s="38" t="str" cm="1">
        <f t="array" ref="D25">Common_InputFunctions.Utility_DisplayArrayInTable(SourceData_OtherLivestock.SourceData_OtherLivestock_VolatileSolidsProduced_Data(),Table_SourceData_OtherLivestock_VolatileSolids[[#Headers],[Other livestock type]],0)</f>
        <v>Buffalo</v>
      </c>
      <c r="E25" s="38" cm="1">
        <f t="array" ref="E25">Common_InputFunctions.Utility_DisplayArrayInTable(SourceData_OtherLivestock.SourceData_OtherLivestock_VolatileSolidsProduced_Data(),Table_SourceData_OtherLivestock_VolatileSolids[[#Headers],[Other livestock type]],0)</f>
        <v>2.73</v>
      </c>
      <c r="M25" s="1"/>
    </row>
    <row r="26" spans="1:13" ht="20" customHeight="1" x14ac:dyDescent="0.25">
      <c r="D26" s="38" t="str" cm="1">
        <f t="array" ref="D26">Common_InputFunctions.Utility_DisplayArrayInTable(SourceData_OtherLivestock.SourceData_OtherLivestock_VolatileSolidsProduced_Data(),Table_SourceData_OtherLivestock_VolatileSolids[[#Headers],[Other livestock type]],0)</f>
        <v>Goats</v>
      </c>
      <c r="E26" s="38" cm="1">
        <f t="array" ref="E26">Common_InputFunctions.Utility_DisplayArrayInTable(SourceData_OtherLivestock.SourceData_OtherLivestock_VolatileSolidsProduced_Data(),Table_SourceData_OtherLivestock_VolatileSolids[[#Headers],[Other livestock type]],0)</f>
        <v>0.34</v>
      </c>
      <c r="M26" s="1"/>
    </row>
    <row r="27" spans="1:13" ht="20" customHeight="1" x14ac:dyDescent="0.25">
      <c r="D27" s="38" t="str" cm="1">
        <f t="array" ref="D27">Common_InputFunctions.Utility_DisplayArrayInTable(SourceData_OtherLivestock.SourceData_OtherLivestock_VolatileSolidsProduced_Data(),Table_SourceData_OtherLivestock_VolatileSolids[[#Headers],[Other livestock type]],0)</f>
        <v>Deer</v>
      </c>
      <c r="E27" s="38" cm="1">
        <f t="array" ref="E27">Common_InputFunctions.Utility_DisplayArrayInTable(SourceData_OtherLivestock.SourceData_OtherLivestock_VolatileSolidsProduced_Data(),Table_SourceData_OtherLivestock_VolatileSolids[[#Headers],[Other livestock type]],0)</f>
        <v>0.91</v>
      </c>
      <c r="M27" s="1"/>
    </row>
    <row r="28" spans="1:13" ht="20" customHeight="1" x14ac:dyDescent="0.25">
      <c r="D28" s="38" t="str" cm="1">
        <f t="array" ref="D28">Common_InputFunctions.Utility_DisplayArrayInTable(SourceData_OtherLivestock.SourceData_OtherLivestock_VolatileSolidsProduced_Data(),Table_SourceData_OtherLivestock_VolatileSolids[[#Headers],[Other livestock type]],0)</f>
        <v>Camels</v>
      </c>
      <c r="E28" s="38" cm="1">
        <f t="array" ref="E28">Common_InputFunctions.Utility_DisplayArrayInTable(SourceData_OtherLivestock.SourceData_OtherLivestock_VolatileSolidsProduced_Data(),Table_SourceData_OtherLivestock_VolatileSolids[[#Headers],[Other livestock type]],0)</f>
        <v>2.73</v>
      </c>
      <c r="M28" s="1"/>
    </row>
    <row r="29" spans="1:13" ht="20" customHeight="1" x14ac:dyDescent="0.25">
      <c r="D29" s="38" t="str" cm="1">
        <f t="array" ref="D29">Common_InputFunctions.Utility_DisplayArrayInTable(SourceData_OtherLivestock.SourceData_OtherLivestock_VolatileSolidsProduced_Data(),Table_SourceData_OtherLivestock_VolatileSolids[[#Headers],[Other livestock type]],0)</f>
        <v>Alpacas</v>
      </c>
      <c r="E29" s="38" cm="1">
        <f t="array" ref="E29">Common_InputFunctions.Utility_DisplayArrayInTable(SourceData_OtherLivestock.SourceData_OtherLivestock_VolatileSolidsProduced_Data(),Table_SourceData_OtherLivestock_VolatileSolids[[#Headers],[Other livestock type]],0)</f>
        <v>0.34</v>
      </c>
      <c r="M29" s="1"/>
    </row>
    <row r="30" spans="1:13" ht="20" customHeight="1" x14ac:dyDescent="0.25">
      <c r="D30" s="38" t="str" cm="1">
        <f t="array" ref="D30">Common_InputFunctions.Utility_DisplayArrayInTable(SourceData_OtherLivestock.SourceData_OtherLivestock_VolatileSolidsProduced_Data(),Table_SourceData_OtherLivestock_VolatileSolids[[#Headers],[Other livestock type]],0)</f>
        <v>Horses</v>
      </c>
      <c r="E30" s="38" cm="1">
        <f t="array" ref="E30">Common_InputFunctions.Utility_DisplayArrayInTable(SourceData_OtherLivestock.SourceData_OtherLivestock_VolatileSolidsProduced_Data(),Table_SourceData_OtherLivestock_VolatileSolids[[#Headers],[Other livestock type]],0)</f>
        <v>2.73</v>
      </c>
      <c r="M30" s="1"/>
    </row>
    <row r="31" spans="1:13" ht="20" customHeight="1" x14ac:dyDescent="0.25">
      <c r="D31" s="38" t="str" cm="1">
        <f t="array" ref="D31">Common_InputFunctions.Utility_DisplayArrayInTable(SourceData_OtherLivestock.SourceData_OtherLivestock_VolatileSolidsProduced_Data(),Table_SourceData_OtherLivestock_VolatileSolids[[#Headers],[Other livestock type]],0)</f>
        <v>Mules/asses</v>
      </c>
      <c r="E31" s="38" cm="1">
        <f t="array" ref="E31">Common_InputFunctions.Utility_DisplayArrayInTable(SourceData_OtherLivestock.SourceData_OtherLivestock_VolatileSolidsProduced_Data(),Table_SourceData_OtherLivestock_VolatileSolids[[#Headers],[Other livestock type]],0)</f>
        <v>0.91</v>
      </c>
      <c r="M31" s="1"/>
    </row>
    <row r="32" spans="1:13" ht="20" customHeight="1" x14ac:dyDescent="0.25">
      <c r="D32" s="38" t="str" cm="1">
        <f t="array" ref="D32">Common_InputFunctions.Utility_DisplayArrayInTable(SourceData_OtherLivestock.SourceData_OtherLivestock_VolatileSolidsProduced_Data(),Table_SourceData_OtherLivestock_VolatileSolids[[#Headers],[Other livestock type]],0)</f>
        <v>Emus/ostriches</v>
      </c>
      <c r="E32" s="38" cm="1">
        <f t="array" ref="E32">Common_InputFunctions.Utility_DisplayArrayInTable(SourceData_OtherLivestock.SourceData_OtherLivestock_VolatileSolidsProduced_Data(),Table_SourceData_OtherLivestock_VolatileSolids[[#Headers],[Other livestock type]],0)</f>
        <v>0.34</v>
      </c>
      <c r="M32" s="1"/>
    </row>
    <row r="33" spans="4:13" ht="20" customHeight="1" x14ac:dyDescent="0.25">
      <c r="M33" s="1"/>
    </row>
    <row r="34" spans="4:13" ht="20" customHeight="1" x14ac:dyDescent="0.25">
      <c r="M34" s="1"/>
    </row>
    <row r="35" spans="4:13" ht="20" customHeight="1" x14ac:dyDescent="0.25">
      <c r="D35" s="6" t="str" cm="1">
        <f t="array" ref="D35">SourceData_OtherLivestock.SourceData_OtherLivestock_NitrogenExcreted_Title()</f>
        <v>Other Livestock - Nitrogen excreted per livestock type</v>
      </c>
      <c r="M35" s="1"/>
    </row>
    <row r="36" spans="4:13" ht="20" customHeight="1" x14ac:dyDescent="0.25">
      <c r="D36" s="5" t="str" cm="1">
        <f t="array" ref="D36">SourceData_OtherLivestock.SourceData_OtherLivestock_NitrogenExcreted_Source()</f>
        <v>VEERG 2026: Table A.1.5.3</v>
      </c>
      <c r="M36" s="1"/>
    </row>
    <row r="37" spans="4:13" ht="20" customHeight="1" x14ac:dyDescent="0.25">
      <c r="D37" s="1" t="str" cm="1">
        <f t="array" ref="D37">SourceData_OtherLivestock.SourceData_OtherLivestock_NitrogenExcreted_Variable()</f>
        <v>NEj</v>
      </c>
      <c r="M37" s="1"/>
    </row>
    <row r="38" spans="4:13" ht="20" customHeight="1" x14ac:dyDescent="0.25">
      <c r="D38" s="53" t="str" cm="1">
        <f t="array" ref="D38">SourceData_OtherLivestock.SourceData_OtherLivestock_NitrogenExcreted_Unit()</f>
        <v>kg N2O / head / year</v>
      </c>
      <c r="M38" s="1"/>
    </row>
    <row r="39" spans="4:13" ht="20" customHeight="1" x14ac:dyDescent="0.25">
      <c r="D39" s="38" t="s">
        <v>139</v>
      </c>
      <c r="E39" s="38" t="s">
        <v>142</v>
      </c>
      <c r="M39" s="1"/>
    </row>
    <row r="40" spans="4:13" ht="20" customHeight="1" x14ac:dyDescent="0.25">
      <c r="D40" s="38" t="str" cm="1">
        <f t="array" ref="D40">Common_InputFunctions.Utility_DisplayArrayInTable(SourceData_OtherLivestock.SourceData_OtherLivestock_NitrogenExcreted_Data(),Table_SourceData_OtherLivestock_NitrogenExcreted[[#Headers],[Other livestock type]],0)</f>
        <v>Buffalo</v>
      </c>
      <c r="E40" s="38" cm="1">
        <f t="array" ref="E40">Common_InputFunctions.Utility_DisplayArrayInTable(SourceData_OtherLivestock.SourceData_OtherLivestock_NitrogenExcreted_Data(),Table_SourceData_OtherLivestock_NitrogenExcreted[[#Headers],[Other livestock type]],0)</f>
        <v>39.5</v>
      </c>
      <c r="M40" s="1"/>
    </row>
    <row r="41" spans="4:13" ht="20" customHeight="1" x14ac:dyDescent="0.25">
      <c r="D41" s="38" t="str" cm="1">
        <f t="array" ref="D41">Common_InputFunctions.Utility_DisplayArrayInTable(SourceData_OtherLivestock.SourceData_OtherLivestock_NitrogenExcreted_Data(),Table_SourceData_OtherLivestock_NitrogenExcreted[[#Headers],[Other livestock type]],0)</f>
        <v>Goats</v>
      </c>
      <c r="E41" s="38" cm="1">
        <f t="array" ref="E41">Common_InputFunctions.Utility_DisplayArrayInTable(SourceData_OtherLivestock.SourceData_OtherLivestock_NitrogenExcreted_Data(),Table_SourceData_OtherLivestock_NitrogenExcreted[[#Headers],[Other livestock type]],0)</f>
        <v>7</v>
      </c>
      <c r="M41" s="1"/>
    </row>
    <row r="42" spans="4:13" ht="20" customHeight="1" x14ac:dyDescent="0.25">
      <c r="D42" s="38" t="str" cm="1">
        <f t="array" ref="D42">Common_InputFunctions.Utility_DisplayArrayInTable(SourceData_OtherLivestock.SourceData_OtherLivestock_NitrogenExcreted_Data(),Table_SourceData_OtherLivestock_NitrogenExcreted[[#Headers],[Other livestock type]],0)</f>
        <v>Deer</v>
      </c>
      <c r="E42" s="38" cm="1">
        <f t="array" ref="E42">Common_InputFunctions.Utility_DisplayArrayInTable(SourceData_OtherLivestock.SourceData_OtherLivestock_NitrogenExcreted_Data(),Table_SourceData_OtherLivestock_NitrogenExcreted[[#Headers],[Other livestock type]],0)</f>
        <v>13.2</v>
      </c>
      <c r="M42" s="1"/>
    </row>
    <row r="43" spans="4:13" ht="20" customHeight="1" x14ac:dyDescent="0.25">
      <c r="D43" s="38" t="str" cm="1">
        <f t="array" ref="D43">Common_InputFunctions.Utility_DisplayArrayInTable(SourceData_OtherLivestock.SourceData_OtherLivestock_NitrogenExcreted_Data(),Table_SourceData_OtherLivestock_NitrogenExcreted[[#Headers],[Other livestock type]],0)</f>
        <v>Camels</v>
      </c>
      <c r="E43" s="38" cm="1">
        <f t="array" ref="E43">Common_InputFunctions.Utility_DisplayArrayInTable(SourceData_OtherLivestock.SourceData_OtherLivestock_NitrogenExcreted_Data(),Table_SourceData_OtherLivestock_NitrogenExcreted[[#Headers],[Other livestock type]],0)</f>
        <v>39.5</v>
      </c>
      <c r="M43" s="1"/>
    </row>
    <row r="44" spans="4:13" ht="20" customHeight="1" x14ac:dyDescent="0.25">
      <c r="D44" s="38" t="str" cm="1">
        <f t="array" ref="D44">Common_InputFunctions.Utility_DisplayArrayInTable(SourceData_OtherLivestock.SourceData_OtherLivestock_NitrogenExcreted_Data(),Table_SourceData_OtherLivestock_NitrogenExcreted[[#Headers],[Other livestock type]],0)</f>
        <v>Alpacas</v>
      </c>
      <c r="E44" s="38" cm="1">
        <f t="array" ref="E44">Common_InputFunctions.Utility_DisplayArrayInTable(SourceData_OtherLivestock.SourceData_OtherLivestock_NitrogenExcreted_Data(),Table_SourceData_OtherLivestock_NitrogenExcreted[[#Headers],[Other livestock type]],0)</f>
        <v>7</v>
      </c>
      <c r="M44" s="1"/>
    </row>
    <row r="45" spans="4:13" ht="20" customHeight="1" x14ac:dyDescent="0.25">
      <c r="D45" s="38" t="str" cm="1">
        <f t="array" ref="D45">Common_InputFunctions.Utility_DisplayArrayInTable(SourceData_OtherLivestock.SourceData_OtherLivestock_NitrogenExcreted_Data(),Table_SourceData_OtherLivestock_NitrogenExcreted[[#Headers],[Other livestock type]],0)</f>
        <v>Horses</v>
      </c>
      <c r="E45" s="38" cm="1">
        <f t="array" ref="E45">Common_InputFunctions.Utility_DisplayArrayInTable(SourceData_OtherLivestock.SourceData_OtherLivestock_NitrogenExcreted_Data(),Table_SourceData_OtherLivestock_NitrogenExcreted[[#Headers],[Other livestock type]],0)</f>
        <v>39.5</v>
      </c>
      <c r="M45" s="1"/>
    </row>
    <row r="46" spans="4:13" ht="20" customHeight="1" x14ac:dyDescent="0.25">
      <c r="D46" s="38" t="str" cm="1">
        <f t="array" ref="D46">Common_InputFunctions.Utility_DisplayArrayInTable(SourceData_OtherLivestock.SourceData_OtherLivestock_NitrogenExcreted_Data(),Table_SourceData_OtherLivestock_NitrogenExcreted[[#Headers],[Other livestock type]],0)</f>
        <v>Mules/asses</v>
      </c>
      <c r="E46" s="38" cm="1">
        <f t="array" ref="E46">Common_InputFunctions.Utility_DisplayArrayInTable(SourceData_OtherLivestock.SourceData_OtherLivestock_NitrogenExcreted_Data(),Table_SourceData_OtherLivestock_NitrogenExcreted[[#Headers],[Other livestock type]],0)</f>
        <v>13.2</v>
      </c>
      <c r="M46" s="1"/>
    </row>
    <row r="47" spans="4:13" ht="20" customHeight="1" x14ac:dyDescent="0.25">
      <c r="D47" s="38" t="str" cm="1">
        <f t="array" ref="D47">Common_InputFunctions.Utility_DisplayArrayInTable(SourceData_OtherLivestock.SourceData_OtherLivestock_NitrogenExcreted_Data(),Table_SourceData_OtherLivestock_NitrogenExcreted[[#Headers],[Other livestock type]],0)</f>
        <v>Emus/ostriches</v>
      </c>
      <c r="E47" s="38" cm="1">
        <f t="array" ref="E47">Common_InputFunctions.Utility_DisplayArrayInTable(SourceData_OtherLivestock.SourceData_OtherLivestock_NitrogenExcreted_Data(),Table_SourceData_OtherLivestock_NitrogenExcreted[[#Headers],[Other livestock type]],0)</f>
        <v>7</v>
      </c>
      <c r="M47" s="1"/>
    </row>
    <row r="48" spans="4:13" ht="20" customHeight="1" x14ac:dyDescent="0.25">
      <c r="M48" s="1"/>
    </row>
    <row r="49" spans="4:13" ht="20" customHeight="1" x14ac:dyDescent="0.25">
      <c r="M49" s="1"/>
    </row>
    <row r="50" spans="4:13" ht="20" customHeight="1" x14ac:dyDescent="0.25">
      <c r="D50" s="6" t="str" cm="1">
        <f t="array" ref="D50">SourceData_OtherLivestock.SourceData_OtherLivestock_AverageLiveweight_Title()</f>
        <v>Other Livestock - Average Liveweights</v>
      </c>
      <c r="M50" s="1"/>
    </row>
    <row r="51" spans="4:13" ht="20" customHeight="1" x14ac:dyDescent="0.25">
      <c r="D51" s="5" t="str" cm="1">
        <f t="array" ref="D51">SourceData_OtherLivestock.SourceData_OtherLivestock_AverageLiveweight_Source()</f>
        <v>VEERG 2026: Table A.1.5.4</v>
      </c>
      <c r="M51" s="1"/>
    </row>
    <row r="52" spans="4:13" ht="20" customHeight="1" x14ac:dyDescent="0.25">
      <c r="D52" s="1" t="str" cm="1">
        <f t="array" ref="D52">SourceData_OtherLivestock.SourceData_OtherLivestock_AverageLiveweight_Variable()</f>
        <v>Wco</v>
      </c>
      <c r="M52" s="1"/>
    </row>
    <row r="53" spans="4:13" ht="20" customHeight="1" x14ac:dyDescent="0.25">
      <c r="D53" s="53" t="str" cm="1">
        <f t="array" ref="D53">SourceData_OtherLivestock.SourceData_OtherLivestock_AverageLiveweight_Unit()</f>
        <v>kg</v>
      </c>
      <c r="M53" s="1"/>
    </row>
    <row r="54" spans="4:13" ht="20" customHeight="1" x14ac:dyDescent="0.25">
      <c r="D54" s="38" t="s">
        <v>139</v>
      </c>
      <c r="E54" s="38" t="s">
        <v>143</v>
      </c>
      <c r="F54" s="38" t="s">
        <v>144</v>
      </c>
      <c r="M54" s="1"/>
    </row>
    <row r="55" spans="4:13" ht="20" customHeight="1" x14ac:dyDescent="0.25">
      <c r="D55" s="38" t="str" cm="1">
        <f t="array" ref="D55">Common_InputFunctions.Utility_DisplayArrayInTable(SourceData_OtherLivestock.SourceData_OtherLivestock_AverageLiveweight_Data(),Table_SourceData_OtherLivestock_AverageLiveweight[[#Headers],[Other livestock type]],0)</f>
        <v>Buffalo</v>
      </c>
      <c r="E55" s="38" cm="1">
        <f t="array" ref="E55">Common_InputFunctions.Utility_DisplayArrayInTable(SourceData_OtherLivestock.SourceData_OtherLivestock_AverageLiveweight_Data(),Table_SourceData_OtherLivestock_AverageLiveweight[[#Headers],[Other livestock type]],0)</f>
        <v>336</v>
      </c>
      <c r="F55" s="38" t="str" cm="1">
        <f t="array" ref="F55">Common_InputFunctions.Utility_DisplayArrayInTable(SourceData_OtherLivestock.SourceData_OtherLivestock_AverageLiveweight_Data(),Table_SourceData_OtherLivestock_AverageLiveweight[[#Headers],[Other livestock type]],0)</f>
        <v>-</v>
      </c>
      <c r="M55" s="1"/>
    </row>
    <row r="56" spans="4:13" ht="20" customHeight="1" x14ac:dyDescent="0.25">
      <c r="D56" s="38" t="str" cm="1">
        <f t="array" ref="D56">Common_InputFunctions.Utility_DisplayArrayInTable(SourceData_OtherLivestock.SourceData_OtherLivestock_AverageLiveweight_Data(),Table_SourceData_OtherLivestock_AverageLiveweight[[#Headers],[Other livestock type]],0)</f>
        <v>Goats</v>
      </c>
      <c r="E56" s="38" cm="1">
        <f t="array" ref="E56">Common_InputFunctions.Utility_DisplayArrayInTable(SourceData_OtherLivestock.SourceData_OtherLivestock_AverageLiveweight_Data(),Table_SourceData_OtherLivestock_AverageLiveweight[[#Headers],[Other livestock type]],0)</f>
        <v>33</v>
      </c>
      <c r="F56" s="38" t="str" cm="1">
        <f t="array" ref="F56">Common_InputFunctions.Utility_DisplayArrayInTable(SourceData_OtherLivestock.SourceData_OtherLivestock_AverageLiveweight_Data(),Table_SourceData_OtherLivestock_AverageLiveweight[[#Headers],[Other livestock type]],0)</f>
        <v>28kg - low productivity systems</v>
      </c>
      <c r="M56" s="1"/>
    </row>
    <row r="57" spans="4:13" ht="20" customHeight="1" x14ac:dyDescent="0.25">
      <c r="D57" s="38" t="str" cm="1">
        <f t="array" ref="D57">Common_InputFunctions.Utility_DisplayArrayInTable(SourceData_OtherLivestock.SourceData_OtherLivestock_AverageLiveweight_Data(),Table_SourceData_OtherLivestock_AverageLiveweight[[#Headers],[Other livestock type]],0)</f>
        <v>Goats</v>
      </c>
      <c r="E57" s="38" cm="1">
        <f t="array" ref="E57">Common_InputFunctions.Utility_DisplayArrayInTable(SourceData_OtherLivestock.SourceData_OtherLivestock_AverageLiveweight_Data(),Table_SourceData_OtherLivestock_AverageLiveweight[[#Headers],[Other livestock type]],0)</f>
        <v>33</v>
      </c>
      <c r="F57" s="38" t="str" cm="1">
        <f t="array" ref="F57">Common_InputFunctions.Utility_DisplayArrayInTable(SourceData_OtherLivestock.SourceData_OtherLivestock_AverageLiveweight_Data(),Table_SourceData_OtherLivestock_AverageLiveweight[[#Headers],[Other livestock type]],0)</f>
        <v>50kg - high productivity systems</v>
      </c>
      <c r="M57" s="1"/>
    </row>
    <row r="58" spans="4:13" ht="20" customHeight="1" x14ac:dyDescent="0.25">
      <c r="D58" s="38" t="str" cm="1">
        <f t="array" ref="D58">Common_InputFunctions.Utility_DisplayArrayInTable(SourceData_OtherLivestock.SourceData_OtherLivestock_AverageLiveweight_Data(),Table_SourceData_OtherLivestock_AverageLiveweight[[#Headers],[Other livestock type]],0)</f>
        <v>Deer</v>
      </c>
      <c r="E58" s="38" cm="1">
        <f t="array" ref="E58">Common_InputFunctions.Utility_DisplayArrayInTable(SourceData_OtherLivestock.SourceData_OtherLivestock_AverageLiveweight_Data(),Table_SourceData_OtherLivestock_AverageLiveweight[[#Headers],[Other livestock type]],0)</f>
        <v>120</v>
      </c>
      <c r="F58" s="38" cm="1">
        <f t="array" ref="F58">Common_InputFunctions.Utility_DisplayArrayInTable(SourceData_OtherLivestock.SourceData_OtherLivestock_AverageLiveweight_Data(),Table_SourceData_OtherLivestock_AverageLiveweight[[#Headers],[Other livestock type]],0)</f>
        <v>120</v>
      </c>
      <c r="M58" s="1"/>
    </row>
    <row r="59" spans="4:13" ht="20" customHeight="1" x14ac:dyDescent="0.25">
      <c r="D59" s="38" t="str" cm="1">
        <f t="array" ref="D59">Common_InputFunctions.Utility_DisplayArrayInTable(SourceData_OtherLivestock.SourceData_OtherLivestock_AverageLiveweight_Data(),Table_SourceData_OtherLivestock_AverageLiveweight[[#Headers],[Other livestock type]],0)</f>
        <v>Camels</v>
      </c>
      <c r="E59" s="38" cm="1">
        <f t="array" ref="E59">Common_InputFunctions.Utility_DisplayArrayInTable(SourceData_OtherLivestock.SourceData_OtherLivestock_AverageLiveweight_Data(),Table_SourceData_OtherLivestock_AverageLiveweight[[#Headers],[Other livestock type]],0)</f>
        <v>217</v>
      </c>
      <c r="F59" s="38" cm="1">
        <f t="array" ref="F59">Common_InputFunctions.Utility_DisplayArrayInTable(SourceData_OtherLivestock.SourceData_OtherLivestock_AverageLiveweight_Data(),Table_SourceData_OtherLivestock_AverageLiveweight[[#Headers],[Other livestock type]],0)</f>
        <v>570</v>
      </c>
      <c r="M59" s="1"/>
    </row>
    <row r="60" spans="4:13" ht="20" customHeight="1" x14ac:dyDescent="0.25">
      <c r="D60" s="38" t="str" cm="1">
        <f t="array" ref="D60">Common_InputFunctions.Utility_DisplayArrayInTable(SourceData_OtherLivestock.SourceData_OtherLivestock_AverageLiveweight_Data(),Table_SourceData_OtherLivestock_AverageLiveweight[[#Headers],[Other livestock type]],0)</f>
        <v>Alpacas</v>
      </c>
      <c r="E60" s="38" t="str" cm="1">
        <f t="array" ref="E60">Common_InputFunctions.Utility_DisplayArrayInTable(SourceData_OtherLivestock.SourceData_OtherLivestock_AverageLiveweight_Data(),Table_SourceData_OtherLivestock_AverageLiveweight[[#Headers],[Other livestock type]],0)</f>
        <v>-</v>
      </c>
      <c r="F60" s="38" cm="1">
        <f t="array" ref="F60">Common_InputFunctions.Utility_DisplayArrayInTable(SourceData_OtherLivestock.SourceData_OtherLivestock_AverageLiveweight_Data(),Table_SourceData_OtherLivestock_AverageLiveweight[[#Headers],[Other livestock type]],0)</f>
        <v>65</v>
      </c>
      <c r="M60" s="1"/>
    </row>
    <row r="61" spans="4:13" ht="20" customHeight="1" x14ac:dyDescent="0.25">
      <c r="D61" s="38" t="str" cm="1">
        <f t="array" ref="D61">Common_InputFunctions.Utility_DisplayArrayInTable(SourceData_OtherLivestock.SourceData_OtherLivestock_AverageLiveweight_Data(),Table_SourceData_OtherLivestock_AverageLiveweight[[#Headers],[Other livestock type]],0)</f>
        <v>Horses</v>
      </c>
      <c r="E61" s="38" cm="1">
        <f t="array" ref="E61">Common_InputFunctions.Utility_DisplayArrayInTable(SourceData_OtherLivestock.SourceData_OtherLivestock_AverageLiveweight_Data(),Table_SourceData_OtherLivestock_AverageLiveweight[[#Headers],[Other livestock type]],0)</f>
        <v>377</v>
      </c>
      <c r="F61" s="38" cm="1">
        <f t="array" ref="F61">Common_InputFunctions.Utility_DisplayArrayInTable(SourceData_OtherLivestock.SourceData_OtherLivestock_AverageLiveweight_Data(),Table_SourceData_OtherLivestock_AverageLiveweight[[#Headers],[Other livestock type]],0)</f>
        <v>550</v>
      </c>
      <c r="M61" s="1"/>
    </row>
    <row r="62" spans="4:13" ht="20" customHeight="1" x14ac:dyDescent="0.25">
      <c r="D62" s="38" t="str" cm="1">
        <f t="array" ref="D62">Common_InputFunctions.Utility_DisplayArrayInTable(SourceData_OtherLivestock.SourceData_OtherLivestock_AverageLiveweight_Data(),Table_SourceData_OtherLivestock_AverageLiveweight[[#Headers],[Other livestock type]],0)</f>
        <v>Mules/asses</v>
      </c>
      <c r="E62" s="38" cm="1">
        <f t="array" ref="E62">Common_InputFunctions.Utility_DisplayArrayInTable(SourceData_OtherLivestock.SourceData_OtherLivestock_AverageLiveweight_Data(),Table_SourceData_OtherLivestock_AverageLiveweight[[#Headers],[Other livestock type]],0)</f>
        <v>130</v>
      </c>
      <c r="F62" s="38" cm="1">
        <f t="array" ref="F62">Common_InputFunctions.Utility_DisplayArrayInTable(SourceData_OtherLivestock.SourceData_OtherLivestock_AverageLiveweight_Data(),Table_SourceData_OtherLivestock_AverageLiveweight[[#Headers],[Other livestock type]],0)</f>
        <v>245</v>
      </c>
      <c r="M62" s="1"/>
    </row>
    <row r="63" spans="4:13" ht="20" customHeight="1" x14ac:dyDescent="0.25">
      <c r="D63" s="38" t="str" cm="1">
        <f t="array" ref="D63">Common_InputFunctions.Utility_DisplayArrayInTable(SourceData_OtherLivestock.SourceData_OtherLivestock_AverageLiveweight_Data(),Table_SourceData_OtherLivestock_AverageLiveweight[[#Headers],[Other livestock type]],0)</f>
        <v>Emus/ostriches</v>
      </c>
      <c r="E63" s="38" cm="1">
        <f t="array" ref="E63">Common_InputFunctions.Utility_DisplayArrayInTable(SourceData_OtherLivestock.SourceData_OtherLivestock_AverageLiveweight_Data(),Table_SourceData_OtherLivestock_AverageLiveweight[[#Headers],[Other livestock type]],0)</f>
        <v>120</v>
      </c>
      <c r="F63" s="38" cm="1">
        <f t="array" ref="F63">Common_InputFunctions.Utility_DisplayArrayInTable(SourceData_OtherLivestock.SourceData_OtherLivestock_AverageLiveweight_Data(),Table_SourceData_OtherLivestock_AverageLiveweight[[#Headers],[Other livestock type]],0)</f>
        <v>120</v>
      </c>
      <c r="M63" s="1"/>
    </row>
    <row r="64" spans="4:13" ht="20" customHeight="1" x14ac:dyDescent="0.25">
      <c r="D64" s="38" t="str" cm="1">
        <f t="array" ref="D64">Common_InputFunctions.Utility_DisplayArrayInTable(SourceData_OtherLivestock.SourceData_OtherLivestock_AverageLiveweight_Data(),Table_SourceData_OtherLivestock_AverageLiveweight[[#Headers],[Other livestock type]],0)</f>
        <v>Reference</v>
      </c>
      <c r="E64" s="38" t="str" cm="1">
        <f t="array" ref="E64">Common_InputFunctions.Utility_DisplayArrayInTable(SourceData_OtherLivestock.SourceData_OtherLivestock_AverageLiveweight_Data(),Table_SourceData_OtherLivestock_AverageLiveweight[[#Headers],[Other livestock type]],0)</f>
        <v>IPCC 2019 Table 10A.5 [2]</v>
      </c>
      <c r="F64" s="38" t="str" cm="1">
        <f t="array" ref="F64">Common_InputFunctions.Utility_DisplayArrayInTable(SourceData_OtherLivestock.SourceData_OtherLivestock_AverageLiveweight_Data(),Table_SourceData_OtherLivestock_AverageLiveweight[[#Headers],[Other livestock type]],0)</f>
        <v>IPCC 2019 Table 10.10 [2]</v>
      </c>
      <c r="M64" s="1"/>
    </row>
    <row r="65" spans="4:13" ht="20" customHeight="1" x14ac:dyDescent="0.25">
      <c r="M65" s="1"/>
    </row>
    <row r="66" spans="4:13" ht="20" customHeight="1" x14ac:dyDescent="0.25">
      <c r="M66" s="1"/>
    </row>
    <row r="67" spans="4:13" ht="20" customHeight="1" x14ac:dyDescent="0.25">
      <c r="D67" s="6" t="str" cm="1">
        <f t="array" ref="D67">SourceData_OtherLivestock.SourceData_OtherLivestock_FractionWasteInMMS_Title()</f>
        <v>Other Livestock - Fraction of waste in each manure management system</v>
      </c>
      <c r="M67" s="1"/>
    </row>
    <row r="68" spans="4:13" ht="20" customHeight="1" x14ac:dyDescent="0.25">
      <c r="D68" s="5" t="str" cm="1">
        <f t="array" ref="D68">SourceData_OtherLivestock.SourceData_OtherLivestock_FractionWasteInMMS_Source()</f>
        <v>VEERG 2026: Table A.1.5.5</v>
      </c>
      <c r="M68" s="1"/>
    </row>
    <row r="69" spans="4:13" ht="20" customHeight="1" x14ac:dyDescent="0.25">
      <c r="D69" s="1" t="str" cm="1">
        <f t="array" ref="D69">SourceData_OtherLivestock.SourceData_OtherLivestock_FractionWasteInMMS_Variable()</f>
        <v>MMSm</v>
      </c>
      <c r="M69" s="1"/>
    </row>
    <row r="70" spans="4:13" ht="20" customHeight="1" x14ac:dyDescent="0.25">
      <c r="D70" s="53" t="str" cm="1">
        <f t="array" ref="D70">SourceData_OtherLivestock.SourceData_OtherLivestock_FractionWasteInMMS_Unit()</f>
        <v>fraction</v>
      </c>
      <c r="M70" s="1"/>
    </row>
    <row r="71" spans="4:13" ht="20" customHeight="1" x14ac:dyDescent="0.25">
      <c r="D71" s="38" t="s">
        <v>139</v>
      </c>
      <c r="E71" s="38" t="s">
        <v>135</v>
      </c>
      <c r="F71" s="50" t="s">
        <v>145</v>
      </c>
      <c r="M71" s="1"/>
    </row>
    <row r="72" spans="4:13" ht="20" customHeight="1" x14ac:dyDescent="0.25">
      <c r="D72" s="38" t="str" cm="1">
        <f t="array" ref="D72">Common_InputFunctions.Utility_DisplayArrayInTable(SourceData_OtherLivestock.SourceData_OtherLivestock_FractionWasteInMMS_Data(),Table_SourceData_OtherLivestock_FractionWasteInMMS[[#Headers],[Other livestock type]],0)</f>
        <v>ACT</v>
      </c>
      <c r="E72" s="38" cm="1">
        <f t="array" ref="E72">Common_InputFunctions.Utility_DisplayArrayInTable(SourceData_OtherLivestock.SourceData_OtherLivestock_FractionWasteInMMS_Data(),Table_SourceData_OtherLivestock_FractionWasteInMMS[[#Headers],[Other livestock type]],0)</f>
        <v>99.66</v>
      </c>
      <c r="F72" s="38" cm="1">
        <f t="array" ref="F72">Common_InputFunctions.Utility_DisplayArrayInTable(SourceData_OtherLivestock.SourceData_OtherLivestock_FractionWasteInMMS_Data(),Table_SourceData_OtherLivestock_FractionWasteInMMS[[#Headers],[Other livestock type]],0)</f>
        <v>0.34</v>
      </c>
      <c r="M72" s="1"/>
    </row>
    <row r="73" spans="4:13" ht="20" customHeight="1" x14ac:dyDescent="0.25">
      <c r="D73" s="38" t="str" cm="1">
        <f t="array" ref="D73">Common_InputFunctions.Utility_DisplayArrayInTable(SourceData_OtherLivestock.SourceData_OtherLivestock_FractionWasteInMMS_Data(),Table_SourceData_OtherLivestock_FractionWasteInMMS[[#Headers],[Other livestock type]],0)</f>
        <v>NSW</v>
      </c>
      <c r="E73" s="38" cm="1">
        <f t="array" ref="E73">Common_InputFunctions.Utility_DisplayArrayInTable(SourceData_OtherLivestock.SourceData_OtherLivestock_FractionWasteInMMS_Data(),Table_SourceData_OtherLivestock_FractionWasteInMMS[[#Headers],[Other livestock type]],0)</f>
        <v>99.66</v>
      </c>
      <c r="F73" s="38" cm="1">
        <f t="array" ref="F73">Common_InputFunctions.Utility_DisplayArrayInTable(SourceData_OtherLivestock.SourceData_OtherLivestock_FractionWasteInMMS_Data(),Table_SourceData_OtherLivestock_FractionWasteInMMS[[#Headers],[Other livestock type]],0)</f>
        <v>0.34</v>
      </c>
      <c r="M73" s="1"/>
    </row>
    <row r="74" spans="4:13" ht="20" customHeight="1" x14ac:dyDescent="0.25">
      <c r="D74" s="38" t="str" cm="1">
        <f t="array" ref="D74">Common_InputFunctions.Utility_DisplayArrayInTable(SourceData_OtherLivestock.SourceData_OtherLivestock_FractionWasteInMMS_Data(),Table_SourceData_OtherLivestock_FractionWasteInMMS[[#Headers],[Other livestock type]],0)</f>
        <v>NT</v>
      </c>
      <c r="E74" s="38" cm="1">
        <f t="array" ref="E74">Common_InputFunctions.Utility_DisplayArrayInTable(SourceData_OtherLivestock.SourceData_OtherLivestock_FractionWasteInMMS_Data(),Table_SourceData_OtherLivestock_FractionWasteInMMS[[#Headers],[Other livestock type]],0)</f>
        <v>99.66</v>
      </c>
      <c r="F74" s="38" cm="1">
        <f t="array" ref="F74">Common_InputFunctions.Utility_DisplayArrayInTable(SourceData_OtherLivestock.SourceData_OtherLivestock_FractionWasteInMMS_Data(),Table_SourceData_OtherLivestock_FractionWasteInMMS[[#Headers],[Other livestock type]],0)</f>
        <v>0.34</v>
      </c>
      <c r="M74" s="1"/>
    </row>
    <row r="75" spans="4:13" ht="20" customHeight="1" x14ac:dyDescent="0.25">
      <c r="D75" s="38" t="str" cm="1">
        <f t="array" ref="D75">Common_InputFunctions.Utility_DisplayArrayInTable(SourceData_OtherLivestock.SourceData_OtherLivestock_FractionWasteInMMS_Data(),Table_SourceData_OtherLivestock_FractionWasteInMMS[[#Headers],[Other livestock type]],0)</f>
        <v>QLD</v>
      </c>
      <c r="E75" s="38" cm="1">
        <f t="array" ref="E75">Common_InputFunctions.Utility_DisplayArrayInTable(SourceData_OtherLivestock.SourceData_OtherLivestock_FractionWasteInMMS_Data(),Table_SourceData_OtherLivestock_FractionWasteInMMS[[#Headers],[Other livestock type]],0)</f>
        <v>99.66</v>
      </c>
      <c r="F75" s="38" cm="1">
        <f t="array" ref="F75">Common_InputFunctions.Utility_DisplayArrayInTable(SourceData_OtherLivestock.SourceData_OtherLivestock_FractionWasteInMMS_Data(),Table_SourceData_OtherLivestock_FractionWasteInMMS[[#Headers],[Other livestock type]],0)</f>
        <v>0.34</v>
      </c>
      <c r="M75" s="1"/>
    </row>
    <row r="76" spans="4:13" ht="20" customHeight="1" x14ac:dyDescent="0.25">
      <c r="D76" s="38" t="str" cm="1">
        <f t="array" ref="D76">Common_InputFunctions.Utility_DisplayArrayInTable(SourceData_OtherLivestock.SourceData_OtherLivestock_FractionWasteInMMS_Data(),Table_SourceData_OtherLivestock_FractionWasteInMMS[[#Headers],[Other livestock type]],0)</f>
        <v>SA</v>
      </c>
      <c r="E76" s="38" cm="1">
        <f t="array" ref="E76">Common_InputFunctions.Utility_DisplayArrayInTable(SourceData_OtherLivestock.SourceData_OtherLivestock_FractionWasteInMMS_Data(),Table_SourceData_OtherLivestock_FractionWasteInMMS[[#Headers],[Other livestock type]],0)</f>
        <v>99.66</v>
      </c>
      <c r="F76" s="38" cm="1">
        <f t="array" ref="F76">Common_InputFunctions.Utility_DisplayArrayInTable(SourceData_OtherLivestock.SourceData_OtherLivestock_FractionWasteInMMS_Data(),Table_SourceData_OtherLivestock_FractionWasteInMMS[[#Headers],[Other livestock type]],0)</f>
        <v>0.34</v>
      </c>
      <c r="M76" s="1"/>
    </row>
    <row r="77" spans="4:13" ht="20" customHeight="1" x14ac:dyDescent="0.25">
      <c r="D77" s="38" t="str" cm="1">
        <f t="array" ref="D77">Common_InputFunctions.Utility_DisplayArrayInTable(SourceData_OtherLivestock.SourceData_OtherLivestock_FractionWasteInMMS_Data(),Table_SourceData_OtherLivestock_FractionWasteInMMS[[#Headers],[Other livestock type]],0)</f>
        <v>TAS</v>
      </c>
      <c r="E77" s="38" cm="1">
        <f t="array" ref="E77">Common_InputFunctions.Utility_DisplayArrayInTable(SourceData_OtherLivestock.SourceData_OtherLivestock_FractionWasteInMMS_Data(),Table_SourceData_OtherLivestock_FractionWasteInMMS[[#Headers],[Other livestock type]],0)</f>
        <v>99.66</v>
      </c>
      <c r="F77" s="38" cm="1">
        <f t="array" ref="F77">Common_InputFunctions.Utility_DisplayArrayInTable(SourceData_OtherLivestock.SourceData_OtherLivestock_FractionWasteInMMS_Data(),Table_SourceData_OtherLivestock_FractionWasteInMMS[[#Headers],[Other livestock type]],0)</f>
        <v>0.34</v>
      </c>
      <c r="M77" s="1"/>
    </row>
    <row r="78" spans="4:13" ht="20" customHeight="1" x14ac:dyDescent="0.25">
      <c r="D78" s="38" t="str" cm="1">
        <f t="array" ref="D78">Common_InputFunctions.Utility_DisplayArrayInTable(SourceData_OtherLivestock.SourceData_OtherLivestock_FractionWasteInMMS_Data(),Table_SourceData_OtherLivestock_FractionWasteInMMS[[#Headers],[Other livestock type]],0)</f>
        <v>VIC</v>
      </c>
      <c r="E78" s="38" cm="1">
        <f t="array" ref="E78">Common_InputFunctions.Utility_DisplayArrayInTable(SourceData_OtherLivestock.SourceData_OtherLivestock_FractionWasteInMMS_Data(),Table_SourceData_OtherLivestock_FractionWasteInMMS[[#Headers],[Other livestock type]],0)</f>
        <v>99.66</v>
      </c>
      <c r="F78" s="38" cm="1">
        <f t="array" ref="F78">Common_InputFunctions.Utility_DisplayArrayInTable(SourceData_OtherLivestock.SourceData_OtherLivestock_FractionWasteInMMS_Data(),Table_SourceData_OtherLivestock_FractionWasteInMMS[[#Headers],[Other livestock type]],0)</f>
        <v>0.34</v>
      </c>
      <c r="M78" s="1"/>
    </row>
    <row r="79" spans="4:13" ht="20" customHeight="1" x14ac:dyDescent="0.25">
      <c r="D79" s="38" t="str" cm="1">
        <f t="array" ref="D79">Common_InputFunctions.Utility_DisplayArrayInTable(SourceData_OtherLivestock.SourceData_OtherLivestock_FractionWasteInMMS_Data(),Table_SourceData_OtherLivestock_FractionWasteInMMS[[#Headers],[Other livestock type]],0)</f>
        <v>WA</v>
      </c>
      <c r="E79" s="38" cm="1">
        <f t="array" ref="E79">Common_InputFunctions.Utility_DisplayArrayInTable(SourceData_OtherLivestock.SourceData_OtherLivestock_FractionWasteInMMS_Data(),Table_SourceData_OtherLivestock_FractionWasteInMMS[[#Headers],[Other livestock type]],0)</f>
        <v>99.66</v>
      </c>
      <c r="F79" s="38" cm="1">
        <f t="array" ref="F79">Common_InputFunctions.Utility_DisplayArrayInTable(SourceData_OtherLivestock.SourceData_OtherLivestock_FractionWasteInMMS_Data(),Table_SourceData_OtherLivestock_FractionWasteInMMS[[#Headers],[Other livestock type]],0)</f>
        <v>0.34</v>
      </c>
      <c r="M79" s="1"/>
    </row>
    <row r="80" spans="4:13" ht="20" customHeight="1" x14ac:dyDescent="0.25">
      <c r="M80" s="1"/>
    </row>
    <row r="81" spans="4:13" ht="20" customHeight="1" x14ac:dyDescent="0.25">
      <c r="M81" s="1"/>
    </row>
    <row r="82" spans="4:13" ht="20" customHeight="1" x14ac:dyDescent="0.25">
      <c r="D82" s="6" t="str" cm="1">
        <f t="array" ref="D82">SourceData_OtherLivestock.SourceData_OtherLivestock_MethaneConversionFactor_Title()</f>
        <v>Other Livestock - Methane conversion factor per region</v>
      </c>
      <c r="M82" s="1"/>
    </row>
    <row r="83" spans="4:13" ht="20" customHeight="1" x14ac:dyDescent="0.25">
      <c r="D83" s="5" t="str" cm="1">
        <f t="array" ref="D83">SourceData_OtherLivestock.SourceData_OtherLivestock_MethaneConversionFactor_Source()</f>
        <v>VEERG 2026: Table A.1.5.6</v>
      </c>
      <c r="M83" s="1"/>
    </row>
    <row r="84" spans="4:13" ht="20" customHeight="1" x14ac:dyDescent="0.25">
      <c r="D84" s="1" t="str" cm="1">
        <f t="array" ref="D84">SourceData_OtherLivestock.SourceData_OtherLivestock_MethaneConversionFactor_Variable()</f>
        <v>MCFim</v>
      </c>
      <c r="M84" s="1"/>
    </row>
    <row r="85" spans="4:13" ht="20" customHeight="1" x14ac:dyDescent="0.25">
      <c r="D85" s="53" t="str" cm="1">
        <f t="array" ref="D85">SourceData_OtherLivestock.SourceData_OtherLivestock_MethaneConversionFactor_Unit()</f>
        <v>fraction</v>
      </c>
      <c r="M85" s="1"/>
    </row>
    <row r="86" spans="4:13" ht="20" customHeight="1" x14ac:dyDescent="0.25">
      <c r="D86" s="38" t="s">
        <v>139</v>
      </c>
      <c r="E86" s="38" t="s">
        <v>135</v>
      </c>
      <c r="F86" s="50" t="s">
        <v>145</v>
      </c>
      <c r="M86" s="1"/>
    </row>
    <row r="87" spans="4:13" ht="20" customHeight="1" x14ac:dyDescent="0.25">
      <c r="D87" s="38" t="str" cm="1">
        <f t="array" ref="D87">Common_InputFunctions.Utility_DisplayArrayInTable(SourceData_OtherLivestock.SourceData_OtherLivestock_MethaneConversionFactor_Data(),Table_SourceData_OtherLivestock_MCF[[#Headers],[Other livestock type]],0)</f>
        <v>ACT</v>
      </c>
      <c r="E87" s="38" cm="1">
        <f t="array" ref="E87">Common_InputFunctions.Utility_DisplayArrayInTable(SourceData_OtherLivestock.SourceData_OtherLivestock_MethaneConversionFactor_Data(),Table_SourceData_OtherLivestock_MCF[[#Headers],[Other livestock type]],0)</f>
        <v>4.7000000000000002E-3</v>
      </c>
      <c r="F87" s="38" cm="1">
        <f t="array" ref="F87">Common_InputFunctions.Utility_DisplayArrayInTable(SourceData_OtherLivestock.SourceData_OtherLivestock_MethaneConversionFactor_Data(),Table_SourceData_OtherLivestock_MCF[[#Headers],[Other livestock type]],0)</f>
        <v>0.71</v>
      </c>
      <c r="M87" s="1"/>
    </row>
    <row r="88" spans="4:13" ht="20" customHeight="1" x14ac:dyDescent="0.25">
      <c r="D88" s="38" t="str" cm="1">
        <f t="array" ref="D88">Common_InputFunctions.Utility_DisplayArrayInTable(SourceData_OtherLivestock.SourceData_OtherLivestock_MethaneConversionFactor_Data(),Table_SourceData_OtherLivestock_MCF[[#Headers],[Other livestock type]],0)</f>
        <v>NSW</v>
      </c>
      <c r="E88" s="38" cm="1">
        <f t="array" ref="E88">Common_InputFunctions.Utility_DisplayArrayInTable(SourceData_OtherLivestock.SourceData_OtherLivestock_MethaneConversionFactor_Data(),Table_SourceData_OtherLivestock_MCF[[#Headers],[Other livestock type]],0)</f>
        <v>4.7000000000000002E-3</v>
      </c>
      <c r="F88" s="38" cm="1">
        <f t="array" ref="F88">Common_InputFunctions.Utility_DisplayArrayInTable(SourceData_OtherLivestock.SourceData_OtherLivestock_MethaneConversionFactor_Data(),Table_SourceData_OtherLivestock_MCF[[#Headers],[Other livestock type]],0)</f>
        <v>0.75</v>
      </c>
      <c r="M88" s="1"/>
    </row>
    <row r="89" spans="4:13" ht="20" customHeight="1" x14ac:dyDescent="0.25">
      <c r="D89" s="38" t="str" cm="1">
        <f t="array" ref="D89">Common_InputFunctions.Utility_DisplayArrayInTable(SourceData_OtherLivestock.SourceData_OtherLivestock_MethaneConversionFactor_Data(),Table_SourceData_OtherLivestock_MCF[[#Headers],[Other livestock type]],0)</f>
        <v>NT</v>
      </c>
      <c r="E89" s="38" cm="1">
        <f t="array" ref="E89">Common_InputFunctions.Utility_DisplayArrayInTable(SourceData_OtherLivestock.SourceData_OtherLivestock_MethaneConversionFactor_Data(),Table_SourceData_OtherLivestock_MCF[[#Headers],[Other livestock type]],0)</f>
        <v>4.7000000000000002E-3</v>
      </c>
      <c r="F89" s="38" cm="1">
        <f t="array" ref="F89">Common_InputFunctions.Utility_DisplayArrayInTable(SourceData_OtherLivestock.SourceData_OtherLivestock_MethaneConversionFactor_Data(),Table_SourceData_OtherLivestock_MCF[[#Headers],[Other livestock type]],0)</f>
        <v>0.8</v>
      </c>
      <c r="M89" s="1"/>
    </row>
    <row r="90" spans="4:13" ht="20" customHeight="1" x14ac:dyDescent="0.25">
      <c r="D90" s="38" t="str" cm="1">
        <f t="array" ref="D90">Common_InputFunctions.Utility_DisplayArrayInTable(SourceData_OtherLivestock.SourceData_OtherLivestock_MethaneConversionFactor_Data(),Table_SourceData_OtherLivestock_MCF[[#Headers],[Other livestock type]],0)</f>
        <v>QLD</v>
      </c>
      <c r="E90" s="38" cm="1">
        <f t="array" ref="E90">Common_InputFunctions.Utility_DisplayArrayInTable(SourceData_OtherLivestock.SourceData_OtherLivestock_MethaneConversionFactor_Data(),Table_SourceData_OtherLivestock_MCF[[#Headers],[Other livestock type]],0)</f>
        <v>4.7000000000000002E-3</v>
      </c>
      <c r="F90" s="38" cm="1">
        <f t="array" ref="F90">Common_InputFunctions.Utility_DisplayArrayInTable(SourceData_OtherLivestock.SourceData_OtherLivestock_MethaneConversionFactor_Data(),Table_SourceData_OtherLivestock_MCF[[#Headers],[Other livestock type]],0)</f>
        <v>0.78</v>
      </c>
      <c r="M90" s="1"/>
    </row>
    <row r="91" spans="4:13" ht="20" customHeight="1" x14ac:dyDescent="0.25">
      <c r="D91" s="38" t="str" cm="1">
        <f t="array" ref="D91">Common_InputFunctions.Utility_DisplayArrayInTable(SourceData_OtherLivestock.SourceData_OtherLivestock_MethaneConversionFactor_Data(),Table_SourceData_OtherLivestock_MCF[[#Headers],[Other livestock type]],0)</f>
        <v>SA</v>
      </c>
      <c r="E91" s="38" cm="1">
        <f t="array" ref="E91">Common_InputFunctions.Utility_DisplayArrayInTable(SourceData_OtherLivestock.SourceData_OtherLivestock_MethaneConversionFactor_Data(),Table_SourceData_OtherLivestock_MCF[[#Headers],[Other livestock type]],0)</f>
        <v>4.7000000000000002E-3</v>
      </c>
      <c r="F91" s="38" cm="1">
        <f t="array" ref="F91">Common_InputFunctions.Utility_DisplayArrayInTable(SourceData_OtherLivestock.SourceData_OtherLivestock_MethaneConversionFactor_Data(),Table_SourceData_OtherLivestock_MCF[[#Headers],[Other livestock type]],0)</f>
        <v>0.74</v>
      </c>
      <c r="M91" s="1"/>
    </row>
    <row r="92" spans="4:13" ht="20" customHeight="1" x14ac:dyDescent="0.25">
      <c r="D92" s="38" t="str" cm="1">
        <f t="array" ref="D92">Common_InputFunctions.Utility_DisplayArrayInTable(SourceData_OtherLivestock.SourceData_OtherLivestock_MethaneConversionFactor_Data(),Table_SourceData_OtherLivestock_MCF[[#Headers],[Other livestock type]],0)</f>
        <v>TAS</v>
      </c>
      <c r="E92" s="38" cm="1">
        <f t="array" ref="E92">Common_InputFunctions.Utility_DisplayArrayInTable(SourceData_OtherLivestock.SourceData_OtherLivestock_MethaneConversionFactor_Data(),Table_SourceData_OtherLivestock_MCF[[#Headers],[Other livestock type]],0)</f>
        <v>4.7000000000000002E-3</v>
      </c>
      <c r="F92" s="38" cm="1">
        <f t="array" ref="F92">Common_InputFunctions.Utility_DisplayArrayInTable(SourceData_OtherLivestock.SourceData_OtherLivestock_MethaneConversionFactor_Data(),Table_SourceData_OtherLivestock_MCF[[#Headers],[Other livestock type]],0)</f>
        <v>0.7</v>
      </c>
      <c r="M92" s="1"/>
    </row>
    <row r="93" spans="4:13" ht="20" customHeight="1" x14ac:dyDescent="0.25">
      <c r="D93" s="38" t="str" cm="1">
        <f t="array" ref="D93">Common_InputFunctions.Utility_DisplayArrayInTable(SourceData_OtherLivestock.SourceData_OtherLivestock_MethaneConversionFactor_Data(),Table_SourceData_OtherLivestock_MCF[[#Headers],[Other livestock type]],0)</f>
        <v>VIC</v>
      </c>
      <c r="E93" s="38" cm="1">
        <f t="array" ref="E93">Common_InputFunctions.Utility_DisplayArrayInTable(SourceData_OtherLivestock.SourceData_OtherLivestock_MethaneConversionFactor_Data(),Table_SourceData_OtherLivestock_MCF[[#Headers],[Other livestock type]],0)</f>
        <v>4.7000000000000002E-3</v>
      </c>
      <c r="F93" s="38" cm="1">
        <f t="array" ref="F93">Common_InputFunctions.Utility_DisplayArrayInTable(SourceData_OtherLivestock.SourceData_OtherLivestock_MethaneConversionFactor_Data(),Table_SourceData_OtherLivestock_MCF[[#Headers],[Other livestock type]],0)</f>
        <v>0.74</v>
      </c>
      <c r="M93" s="1"/>
    </row>
    <row r="94" spans="4:13" ht="20" customHeight="1" x14ac:dyDescent="0.25">
      <c r="D94" s="38" t="str" cm="1">
        <f t="array" ref="D94">Common_InputFunctions.Utility_DisplayArrayInTable(SourceData_OtherLivestock.SourceData_OtherLivestock_MethaneConversionFactor_Data(),Table_SourceData_OtherLivestock_MCF[[#Headers],[Other livestock type]],0)</f>
        <v>WA</v>
      </c>
      <c r="E94" s="38" cm="1">
        <f t="array" ref="E94">Common_InputFunctions.Utility_DisplayArrayInTable(SourceData_OtherLivestock.SourceData_OtherLivestock_MethaneConversionFactor_Data(),Table_SourceData_OtherLivestock_MCF[[#Headers],[Other livestock type]],0)</f>
        <v>4.7000000000000002E-3</v>
      </c>
      <c r="F94" s="38" cm="1">
        <f t="array" ref="F94">Common_InputFunctions.Utility_DisplayArrayInTable(SourceData_OtherLivestock.SourceData_OtherLivestock_MethaneConversionFactor_Data(),Table_SourceData_OtherLivestock_MCF[[#Headers],[Other livestock type]],0)</f>
        <v>0.76</v>
      </c>
      <c r="M94" s="1"/>
    </row>
    <row r="95" spans="4:13" ht="20" customHeight="1" x14ac:dyDescent="0.25">
      <c r="M95" s="1"/>
    </row>
    <row r="96" spans="4:13" ht="20" customHeight="1" x14ac:dyDescent="0.25">
      <c r="M96" s="1"/>
    </row>
    <row r="97" spans="4:13" ht="20" customHeight="1" x14ac:dyDescent="0.25">
      <c r="D97" s="6" t="str" cm="1">
        <f t="array" ref="D97">SourceData_OtherLivestock.SourceData_OtherLivestock_MethaneEmissionsPotential_Title()</f>
        <v>Other Livestock - Methane emissions potential</v>
      </c>
      <c r="M97" s="1"/>
    </row>
    <row r="98" spans="4:13" ht="20" customHeight="1" x14ac:dyDescent="0.25">
      <c r="D98" s="5" t="str" cm="1">
        <f t="array" ref="D98">SourceData_OtherLivestock.SourceData_OtherLivestock_MethaneEmissionsPotential_Source()</f>
        <v>VEERG 2026: Table A.1.5.X</v>
      </c>
      <c r="M98" s="1"/>
    </row>
    <row r="99" spans="4:13" ht="20" customHeight="1" x14ac:dyDescent="0.25">
      <c r="D99" s="54" t="str" cm="1">
        <f t="array" ref="D99">SourceData_OtherLivestock.SourceData_OtherLivestock_MethaneEmissionsPotential_Variation()</f>
        <v>VARIATION ON SOURCE: There were no values in VEERG so this data has been generated by using documented BO values from other livestock</v>
      </c>
      <c r="M99" s="1"/>
    </row>
    <row r="100" spans="4:13" ht="20" customHeight="1" x14ac:dyDescent="0.25">
      <c r="D100" s="1" t="str" cm="1">
        <f t="array" ref="D100">SourceData_OtherLivestock.SourceData_OtherLivestock_MethaneEmissionsPotential_Variable()</f>
        <v>BO</v>
      </c>
      <c r="M100" s="1"/>
    </row>
    <row r="101" spans="4:13" ht="20" customHeight="1" x14ac:dyDescent="0.25">
      <c r="D101" s="53" t="str" cm="1">
        <f t="array" ref="D101">SourceData_OtherLivestock.SourceData_OtherLivestock_MethaneEmissionsPotential_Unit()</f>
        <v>m3 CH4 / kg VS</v>
      </c>
      <c r="M101" s="1"/>
    </row>
    <row r="102" spans="4:13" ht="20" customHeight="1" x14ac:dyDescent="0.25">
      <c r="D102" s="38" t="s">
        <v>139</v>
      </c>
      <c r="E102" s="38" t="s">
        <v>178</v>
      </c>
      <c r="F102" s="50" t="s">
        <v>177</v>
      </c>
      <c r="M102" s="1"/>
    </row>
    <row r="103" spans="4:13" ht="20" customHeight="1" x14ac:dyDescent="0.25">
      <c r="D103" s="38" t="str" cm="1">
        <f t="array" ref="D103">Common_InputFunctions.Utility_DisplayArrayInTable(SourceData_OtherLivestock.SourceData_OtherLivestock_MethaneEmissionsPotential_Data(),Table_SourceData_OtherLivestock_MethaneEmissionsPotential[[#Headers],[Other livestock type]],0)</f>
        <v>Buffalo</v>
      </c>
      <c r="E103" s="38" cm="1">
        <f t="array" ref="E103">Common_InputFunctions.Utility_DisplayArrayInTable(SourceData_OtherLivestock.SourceData_OtherLivestock_MethaneEmissionsPotential_Data(),Table_SourceData_OtherLivestock_MethaneEmissionsPotential[[#Headers],[Other livestock type]],0)</f>
        <v>0.19</v>
      </c>
      <c r="F103" s="38" t="str" cm="1">
        <f t="array" ref="F103">Common_InputFunctions.Utility_DisplayArrayInTable(SourceData_OtherLivestock.SourceData_OtherLivestock_MethaneEmissionsPotential_Data(),Table_SourceData_OtherLivestock_MethaneEmissionsPotential[[#Headers],[Other livestock type]],0)</f>
        <v>Feedlot, Pasture beef</v>
      </c>
      <c r="M103" s="1"/>
    </row>
    <row r="104" spans="4:13" ht="20" customHeight="1" x14ac:dyDescent="0.25">
      <c r="D104" s="38" t="str" cm="1">
        <f t="array" ref="D104">Common_InputFunctions.Utility_DisplayArrayInTable(SourceData_OtherLivestock.SourceData_OtherLivestock_MethaneEmissionsPotential_Data(),Table_SourceData_OtherLivestock_MethaneEmissionsPotential[[#Headers],[Other livestock type]],0)</f>
        <v>Goats</v>
      </c>
      <c r="E104" s="38" cm="1">
        <f t="array" ref="E104">Common_InputFunctions.Utility_DisplayArrayInTable(SourceData_OtherLivestock.SourceData_OtherLivestock_MethaneEmissionsPotential_Data(),Table_SourceData_OtherLivestock_MethaneEmissionsPotential[[#Headers],[Other livestock type]],0)</f>
        <v>0.24</v>
      </c>
      <c r="F104" s="38" t="str" cm="1">
        <f t="array" ref="F104">Common_InputFunctions.Utility_DisplayArrayInTable(SourceData_OtherLivestock.SourceData_OtherLivestock_MethaneEmissionsPotential_Data(),Table_SourceData_OtherLivestock_MethaneEmissionsPotential[[#Headers],[Other livestock type]],0)</f>
        <v>Sheep</v>
      </c>
      <c r="M104" s="1"/>
    </row>
    <row r="105" spans="4:13" ht="20" customHeight="1" x14ac:dyDescent="0.25">
      <c r="D105" s="38" t="str" cm="1">
        <f t="array" ref="D105">Common_InputFunctions.Utility_DisplayArrayInTable(SourceData_OtherLivestock.SourceData_OtherLivestock_MethaneEmissionsPotential_Data(),Table_SourceData_OtherLivestock_MethaneEmissionsPotential[[#Headers],[Other livestock type]],0)</f>
        <v>Deer</v>
      </c>
      <c r="E105" s="38" cm="1">
        <f t="array" ref="E105">Common_InputFunctions.Utility_DisplayArrayInTable(SourceData_OtherLivestock.SourceData_OtherLivestock_MethaneEmissionsPotential_Data(),Table_SourceData_OtherLivestock_MethaneEmissionsPotential[[#Headers],[Other livestock type]],0)</f>
        <v>0.24</v>
      </c>
      <c r="F105" s="38" t="str" cm="1">
        <f t="array" ref="F105">Common_InputFunctions.Utility_DisplayArrayInTable(SourceData_OtherLivestock.SourceData_OtherLivestock_MethaneEmissionsPotential_Data(),Table_SourceData_OtherLivestock_MethaneEmissionsPotential[[#Headers],[Other livestock type]],0)</f>
        <v>Sheep</v>
      </c>
      <c r="M105" s="1"/>
    </row>
    <row r="106" spans="4:13" ht="20" customHeight="1" x14ac:dyDescent="0.25">
      <c r="D106" s="38" t="str" cm="1">
        <f t="array" ref="D106">Common_InputFunctions.Utility_DisplayArrayInTable(SourceData_OtherLivestock.SourceData_OtherLivestock_MethaneEmissionsPotential_Data(),Table_SourceData_OtherLivestock_MethaneEmissionsPotential[[#Headers],[Other livestock type]],0)</f>
        <v>Camels</v>
      </c>
      <c r="E106" s="38" cm="1">
        <f t="array" ref="E106">Common_InputFunctions.Utility_DisplayArrayInTable(SourceData_OtherLivestock.SourceData_OtherLivestock_MethaneEmissionsPotential_Data(),Table_SourceData_OtherLivestock_MethaneEmissionsPotential[[#Headers],[Other livestock type]],0)</f>
        <v>0.24</v>
      </c>
      <c r="F106" s="38" t="str" cm="1">
        <f t="array" ref="F106">Common_InputFunctions.Utility_DisplayArrayInTable(SourceData_OtherLivestock.SourceData_OtherLivestock_MethaneEmissionsPotential_Data(),Table_SourceData_OtherLivestock_MethaneEmissionsPotential[[#Headers],[Other livestock type]],0)</f>
        <v>Sheep</v>
      </c>
      <c r="M106" s="1"/>
    </row>
    <row r="107" spans="4:13" ht="20" customHeight="1" x14ac:dyDescent="0.25">
      <c r="D107" s="38" t="str" cm="1">
        <f t="array" ref="D107">Common_InputFunctions.Utility_DisplayArrayInTable(SourceData_OtherLivestock.SourceData_OtherLivestock_MethaneEmissionsPotential_Data(),Table_SourceData_OtherLivestock_MethaneEmissionsPotential[[#Headers],[Other livestock type]],0)</f>
        <v>Alpacas</v>
      </c>
      <c r="E107" s="38" cm="1">
        <f t="array" ref="E107">Common_InputFunctions.Utility_DisplayArrayInTable(SourceData_OtherLivestock.SourceData_OtherLivestock_MethaneEmissionsPotential_Data(),Table_SourceData_OtherLivestock_MethaneEmissionsPotential[[#Headers],[Other livestock type]],0)</f>
        <v>0.24</v>
      </c>
      <c r="F107" s="38" t="str" cm="1">
        <f t="array" ref="F107">Common_InputFunctions.Utility_DisplayArrayInTable(SourceData_OtherLivestock.SourceData_OtherLivestock_MethaneEmissionsPotential_Data(),Table_SourceData_OtherLivestock_MethaneEmissionsPotential[[#Headers],[Other livestock type]],0)</f>
        <v>Sheep</v>
      </c>
      <c r="M107" s="1"/>
    </row>
    <row r="108" spans="4:13" ht="20" customHeight="1" x14ac:dyDescent="0.25">
      <c r="D108" s="38" t="str" cm="1">
        <f t="array" ref="D108">Common_InputFunctions.Utility_DisplayArrayInTable(SourceData_OtherLivestock.SourceData_OtherLivestock_MethaneEmissionsPotential_Data(),Table_SourceData_OtherLivestock_MethaneEmissionsPotential[[#Headers],[Other livestock type]],0)</f>
        <v>Horses</v>
      </c>
      <c r="E108" s="38" cm="1">
        <f t="array" ref="E108">Common_InputFunctions.Utility_DisplayArrayInTable(SourceData_OtherLivestock.SourceData_OtherLivestock_MethaneEmissionsPotential_Data(),Table_SourceData_OtherLivestock_MethaneEmissionsPotential[[#Headers],[Other livestock type]],0)</f>
        <v>0.19</v>
      </c>
      <c r="F108" s="38" t="str" cm="1">
        <f t="array" ref="F108">Common_InputFunctions.Utility_DisplayArrayInTable(SourceData_OtherLivestock.SourceData_OtherLivestock_MethaneEmissionsPotential_Data(),Table_SourceData_OtherLivestock_MethaneEmissionsPotential[[#Headers],[Other livestock type]],0)</f>
        <v>Feedlot, Pasture beef</v>
      </c>
      <c r="M108" s="1"/>
    </row>
    <row r="109" spans="4:13" ht="20" customHeight="1" x14ac:dyDescent="0.25">
      <c r="D109" s="38" t="str" cm="1">
        <f t="array" ref="D109">Common_InputFunctions.Utility_DisplayArrayInTable(SourceData_OtherLivestock.SourceData_OtherLivestock_MethaneEmissionsPotential_Data(),Table_SourceData_OtherLivestock_MethaneEmissionsPotential[[#Headers],[Other livestock type]],0)</f>
        <v>Mules/asses</v>
      </c>
      <c r="E109" s="38" cm="1">
        <f t="array" ref="E109">Common_InputFunctions.Utility_DisplayArrayInTable(SourceData_OtherLivestock.SourceData_OtherLivestock_MethaneEmissionsPotential_Data(),Table_SourceData_OtherLivestock_MethaneEmissionsPotential[[#Headers],[Other livestock type]],0)</f>
        <v>0.24</v>
      </c>
      <c r="F109" s="38" t="str" cm="1">
        <f t="array" ref="F109">Common_InputFunctions.Utility_DisplayArrayInTable(SourceData_OtherLivestock.SourceData_OtherLivestock_MethaneEmissionsPotential_Data(),Table_SourceData_OtherLivestock_MethaneEmissionsPotential[[#Headers],[Other livestock type]],0)</f>
        <v>Sheep</v>
      </c>
      <c r="M109" s="1"/>
    </row>
    <row r="110" spans="4:13" ht="20" customHeight="1" x14ac:dyDescent="0.25">
      <c r="D110" s="38" t="str" cm="1">
        <f t="array" ref="D110">Common_InputFunctions.Utility_DisplayArrayInTable(SourceData_OtherLivestock.SourceData_OtherLivestock_MethaneEmissionsPotential_Data(),Table_SourceData_OtherLivestock_MethaneEmissionsPotential[[#Headers],[Other livestock type]],0)</f>
        <v>Emus/ostriches</v>
      </c>
      <c r="E110" s="38" cm="1">
        <f t="array" ref="E110">Common_InputFunctions.Utility_DisplayArrayInTable(SourceData_OtherLivestock.SourceData_OtherLivestock_MethaneEmissionsPotential_Data(),Table_SourceData_OtherLivestock_MethaneEmissionsPotential[[#Headers],[Other livestock type]],0)</f>
        <v>0.36</v>
      </c>
      <c r="F110" s="38" t="str" cm="1">
        <f t="array" ref="F110">Common_InputFunctions.Utility_DisplayArrayInTable(SourceData_OtherLivestock.SourceData_OtherLivestock_MethaneEmissionsPotential_Data(),Table_SourceData_OtherLivestock_MethaneEmissionsPotential[[#Headers],[Other livestock type]],0)</f>
        <v>Poultry - meat chickens</v>
      </c>
      <c r="M110" s="1"/>
    </row>
    <row r="111" spans="4:13" ht="20" customHeight="1" x14ac:dyDescent="0.25">
      <c r="M111" s="1"/>
    </row>
    <row r="112" spans="4:13" ht="20" customHeight="1" x14ac:dyDescent="0.25">
      <c r="M112" s="1"/>
    </row>
    <row r="113" spans="4:13" ht="20" customHeight="1" x14ac:dyDescent="0.25">
      <c r="D113" s="6" t="str" cm="1">
        <f t="array" ref="D113">SourceData_OtherLivestock.SourceData_OtherLivestock_FracGASMSoil_Title()</f>
        <v>Fraction of nitrogen volatilised from urine and faeces deposited on pasture</v>
      </c>
      <c r="M113" s="1"/>
    </row>
    <row r="114" spans="4:13" ht="20" customHeight="1" x14ac:dyDescent="0.25">
      <c r="D114" s="5" t="str" cm="1">
        <f t="array" ref="D114">SourceData_OtherLivestock.SourceData_OtherLivestock_FracGASMSoil_Source()</f>
        <v>VEERG 2026: 4.7.2.3 CONSTANTS</v>
      </c>
      <c r="M114" s="1"/>
    </row>
    <row r="115" spans="4:13" ht="20" customHeight="1" x14ac:dyDescent="0.25">
      <c r="D115" s="52" t="str" cm="1">
        <f t="array" ref="D115">SourceData_OtherLivestock.SourceData_OtherLivestock_FracGASMSoil_Variable()</f>
        <v>FracGASMsoil</v>
      </c>
      <c r="E115" s="1" cm="1">
        <f t="array" ref="E115">SourceData_OtherLivestock.SourceData_OtherLivestock_FracGASMSoil_Data()</f>
        <v>0.21</v>
      </c>
      <c r="F115" s="53" t="str" cm="1">
        <f t="array" ref="F115">SourceData_OtherLivestock.SourceData_OtherLivestock_FracGASMSoil_Unit()</f>
        <v>(kg NH3-N + NOx-N)/kg N</v>
      </c>
      <c r="M115" s="1"/>
    </row>
    <row r="116" spans="4:13" ht="20" customHeight="1" x14ac:dyDescent="0.25">
      <c r="M116" s="1"/>
    </row>
    <row r="117" spans="4:13" ht="20" customHeight="1" x14ac:dyDescent="0.25">
      <c r="M117" s="1"/>
    </row>
    <row r="118" spans="4:13" ht="20" customHeight="1" x14ac:dyDescent="0.25">
      <c r="D118" s="6" t="s">
        <v>206</v>
      </c>
      <c r="G118" s="6" t="s">
        <v>102</v>
      </c>
      <c r="M118" s="1"/>
    </row>
    <row r="119" spans="4:13" ht="20" customHeight="1" x14ac:dyDescent="0.25">
      <c r="M119" s="1"/>
    </row>
    <row r="120" spans="4:13" ht="20" customHeight="1" x14ac:dyDescent="0.25">
      <c r="D120" s="38" t="s">
        <v>101</v>
      </c>
      <c r="G120" s="38" t="s">
        <v>99</v>
      </c>
      <c r="M120" s="1"/>
    </row>
    <row r="121" spans="4:13" ht="20" customHeight="1" x14ac:dyDescent="0.25">
      <c r="D121" s="38" t="str">
        <f>'Constants - Common'!$F$187</f>
        <v>Pasture</v>
      </c>
      <c r="G121" s="38" t="s">
        <v>103</v>
      </c>
      <c r="M121" s="1"/>
    </row>
    <row r="122" spans="4:13" ht="20" customHeight="1" x14ac:dyDescent="0.25">
      <c r="D122" s="1" t="str">
        <f>'Constants - Common'!$F$188</f>
        <v>Crop</v>
      </c>
      <c r="G122" s="38" t="s">
        <v>104</v>
      </c>
      <c r="M122" s="1"/>
    </row>
    <row r="123" spans="4:13" ht="20" customHeight="1" x14ac:dyDescent="0.25">
      <c r="G123" s="1" t="s">
        <v>105</v>
      </c>
      <c r="M123" s="1"/>
    </row>
    <row r="124" spans="4:13" ht="20" customHeight="1" x14ac:dyDescent="0.25">
      <c r="G124" s="1" t="s">
        <v>106</v>
      </c>
      <c r="M124" s="1"/>
    </row>
    <row r="125" spans="4:13" ht="20" customHeight="1" x14ac:dyDescent="0.25">
      <c r="G125" s="1" t="s">
        <v>107</v>
      </c>
      <c r="M125" s="1"/>
    </row>
    <row r="126" spans="4:13" ht="20" customHeight="1" x14ac:dyDescent="0.25">
      <c r="M126" s="1"/>
    </row>
    <row r="127" spans="4:13" ht="20" customHeight="1" x14ac:dyDescent="0.25">
      <c r="M127" s="1"/>
    </row>
    <row r="128" spans="4:13" ht="20" customHeight="1" x14ac:dyDescent="0.25">
      <c r="M128" s="1"/>
    </row>
    <row r="129" spans="13:13" ht="20" customHeight="1" x14ac:dyDescent="0.25">
      <c r="M129" s="1"/>
    </row>
    <row r="130" spans="13:13" ht="20" customHeight="1" x14ac:dyDescent="0.25">
      <c r="M130" s="1"/>
    </row>
    <row r="131" spans="13:13" ht="20" customHeight="1" x14ac:dyDescent="0.25">
      <c r="M131" s="1"/>
    </row>
    <row r="132" spans="13:13" ht="20" customHeight="1" x14ac:dyDescent="0.25">
      <c r="M132" s="1"/>
    </row>
    <row r="133" spans="13:13" ht="20" customHeight="1" x14ac:dyDescent="0.25">
      <c r="M133" s="1"/>
    </row>
    <row r="134" spans="13:13" ht="20" customHeight="1" x14ac:dyDescent="0.25">
      <c r="M134" s="1"/>
    </row>
    <row r="135" spans="13:13" ht="20" customHeight="1" x14ac:dyDescent="0.25">
      <c r="M135" s="1"/>
    </row>
    <row r="136" spans="13:13" ht="20" customHeight="1" x14ac:dyDescent="0.25">
      <c r="M136" s="1"/>
    </row>
    <row r="137" spans="13:13" ht="20" customHeight="1" x14ac:dyDescent="0.25">
      <c r="M137" s="1"/>
    </row>
    <row r="138" spans="13:13" ht="20" customHeight="1" x14ac:dyDescent="0.25">
      <c r="M138" s="23"/>
    </row>
    <row r="139" spans="13:13" ht="20" customHeight="1" x14ac:dyDescent="0.25">
      <c r="M139" s="23"/>
    </row>
    <row r="140" spans="13:13" ht="20" customHeight="1" x14ac:dyDescent="0.25">
      <c r="M140" s="23"/>
    </row>
    <row r="141" spans="13:13" ht="20" customHeight="1" x14ac:dyDescent="0.25">
      <c r="M141" s="23"/>
    </row>
    <row r="142" spans="13:13" ht="20" customHeight="1" x14ac:dyDescent="0.25">
      <c r="M142" s="23"/>
    </row>
    <row r="143" spans="13:13" ht="20" customHeight="1" x14ac:dyDescent="0.25">
      <c r="M143" s="23"/>
    </row>
    <row r="144" spans="13:13" ht="20" customHeight="1" x14ac:dyDescent="0.25">
      <c r="M144" s="23"/>
    </row>
    <row r="145" spans="13:13" ht="20" customHeight="1" x14ac:dyDescent="0.25">
      <c r="M145" s="23"/>
    </row>
    <row r="146" spans="13:13" ht="20" customHeight="1" x14ac:dyDescent="0.25">
      <c r="M146" s="23"/>
    </row>
    <row r="147" spans="13:13" ht="20" customHeight="1" x14ac:dyDescent="0.25">
      <c r="M147" s="23"/>
    </row>
    <row r="148" spans="13:13" ht="20" customHeight="1" x14ac:dyDescent="0.25">
      <c r="M148" s="23"/>
    </row>
    <row r="149" spans="13:13" ht="20" customHeight="1" x14ac:dyDescent="0.25">
      <c r="M149" s="23"/>
    </row>
    <row r="150" spans="13:13" ht="20" customHeight="1" x14ac:dyDescent="0.25">
      <c r="M150" s="23"/>
    </row>
    <row r="151" spans="13:13" ht="20" customHeight="1" x14ac:dyDescent="0.25">
      <c r="M151" s="23"/>
    </row>
    <row r="152" spans="13:13" ht="20" customHeight="1" x14ac:dyDescent="0.25">
      <c r="M152" s="23"/>
    </row>
    <row r="153" spans="13:13" ht="20" customHeight="1" x14ac:dyDescent="0.25">
      <c r="M153" s="23"/>
    </row>
    <row r="154" spans="13:13" ht="20" customHeight="1" x14ac:dyDescent="0.25">
      <c r="M154" s="23"/>
    </row>
    <row r="155" spans="13:13" ht="20" customHeight="1" x14ac:dyDescent="0.25">
      <c r="M155" s="23"/>
    </row>
    <row r="156" spans="13:13" ht="20" customHeight="1" x14ac:dyDescent="0.25">
      <c r="M156" s="23"/>
    </row>
    <row r="157" spans="13:13" ht="20" customHeight="1" x14ac:dyDescent="0.25">
      <c r="M157" s="23"/>
    </row>
    <row r="158" spans="13:13" ht="20" customHeight="1" x14ac:dyDescent="0.25">
      <c r="M158" s="23"/>
    </row>
    <row r="159" spans="13:13" ht="20" customHeight="1" x14ac:dyDescent="0.25">
      <c r="M159" s="23"/>
    </row>
    <row r="160" spans="13:13" ht="20" customHeight="1" x14ac:dyDescent="0.25">
      <c r="M160" s="23"/>
    </row>
    <row r="161" spans="13:13" ht="20" customHeight="1" x14ac:dyDescent="0.25">
      <c r="M161" s="23"/>
    </row>
    <row r="162" spans="13:13" ht="20" customHeight="1" x14ac:dyDescent="0.25">
      <c r="M162" s="23"/>
    </row>
    <row r="163" spans="13:13" ht="20" customHeight="1" x14ac:dyDescent="0.25">
      <c r="M163" s="23"/>
    </row>
    <row r="164" spans="13:13" ht="20" customHeight="1" x14ac:dyDescent="0.25">
      <c r="M164" s="23"/>
    </row>
    <row r="165" spans="13:13" ht="20" customHeight="1" x14ac:dyDescent="0.25">
      <c r="M165" s="23"/>
    </row>
    <row r="166" spans="13:13" x14ac:dyDescent="0.25" ht="20" customHeight="1">
      <c r="M166" s="23"/>
    </row>
    <row r="167" spans="13:13" x14ac:dyDescent="0.25" ht="20" customHeight="1">
      <c r="M167" s="23"/>
    </row>
    <row r="168" spans="13:13" x14ac:dyDescent="0.25" ht="20" customHeight="1">
      <c r="M168" s="23"/>
    </row>
    <row r="169" spans="13:13" x14ac:dyDescent="0.25" ht="20" customHeight="1">
      <c r="M169" s="23"/>
    </row>
    <row r="170" spans="13:13" x14ac:dyDescent="0.25" ht="20" customHeight="1">
      <c r="M170" s="23"/>
    </row>
    <row r="171" spans="13:13" x14ac:dyDescent="0.25" ht="20" customHeight="1">
      <c r="M171" s="23"/>
    </row>
    <row r="172" spans="13:13" x14ac:dyDescent="0.25" ht="20" customHeight="1">
      <c r="M172" s="23"/>
    </row>
    <row r="173" spans="13:13" x14ac:dyDescent="0.25" ht="20" customHeight="1">
      <c r="M173" s="23"/>
    </row>
    <row r="174" spans="13:13" x14ac:dyDescent="0.25" ht="20" customHeight="1">
      <c r="M174" s="23"/>
    </row>
    <row r="175" spans="13:13" x14ac:dyDescent="0.25" ht="20" customHeight="1">
      <c r="M175" s="23"/>
    </row>
    <row r="176" spans="13:13" x14ac:dyDescent="0.25" ht="20" customHeight="1">
      <c r="M176" s="23"/>
    </row>
    <row r="177" spans="13:13" x14ac:dyDescent="0.25" ht="20" customHeight="1">
      <c r="M177" s="23"/>
    </row>
    <row r="178" spans="13:13" x14ac:dyDescent="0.25" ht="20" customHeight="1">
      <c r="M178" s="23"/>
    </row>
    <row r="179" spans="13:13" x14ac:dyDescent="0.25" ht="20" customHeight="1">
      <c r="M179" s="23"/>
    </row>
    <row r="180" spans="13:13" x14ac:dyDescent="0.25" ht="20" customHeight="1">
      <c r="M180" s="23"/>
    </row>
    <row r="181" spans="13:13" x14ac:dyDescent="0.25" ht="20" customHeight="1">
      <c r="M181" s="23"/>
    </row>
    <row r="182" spans="13:13" x14ac:dyDescent="0.25" ht="20" customHeight="1">
      <c r="M182" s="23"/>
    </row>
    <row r="183" spans="13:13" x14ac:dyDescent="0.25" ht="20" customHeight="1">
      <c r="M183" s="23"/>
    </row>
    <row r="184" spans="13:13" x14ac:dyDescent="0.25" ht="20" customHeight="1">
      <c r="M184" s="23"/>
    </row>
    <row r="185" spans="13:13" x14ac:dyDescent="0.25" ht="20" customHeight="1">
      <c r="M185" s="23"/>
    </row>
    <row r="186" spans="13:13" x14ac:dyDescent="0.25" ht="20" customHeight="1">
      <c r="M186" s="23"/>
    </row>
    <row r="187" spans="13:13" x14ac:dyDescent="0.25" ht="20" customHeight="1">
      <c r="M187" s="23"/>
    </row>
    <row r="188" spans="13:13" x14ac:dyDescent="0.25" ht="20" customHeight="1">
      <c r="M188" s="23"/>
    </row>
    <row r="189" spans="13:13" x14ac:dyDescent="0.25" ht="20" customHeight="1">
      <c r="M189" s="23"/>
    </row>
    <row r="190" spans="13:13" x14ac:dyDescent="0.25" ht="20" customHeight="1">
      <c r="M190" s="23"/>
    </row>
    <row r="191" spans="13:13" x14ac:dyDescent="0.25" ht="20" customHeight="1">
      <c r="M191" s="23"/>
    </row>
    <row r="192" spans="13:13" x14ac:dyDescent="0.25" ht="20" customHeight="1">
      <c r="M192" s="23"/>
    </row>
    <row r="193" spans="13:13" x14ac:dyDescent="0.25" ht="20" customHeight="1">
      <c r="M193" s="23"/>
    </row>
    <row r="194" spans="13:13" x14ac:dyDescent="0.25" ht="20" customHeight="1">
      <c r="M194" s="23"/>
    </row>
    <row r="195" spans="13:13" x14ac:dyDescent="0.25" ht="20" customHeight="1">
      <c r="M195" s="23"/>
    </row>
    <row r="196" spans="13:13" x14ac:dyDescent="0.25" ht="20" customHeight="1">
      <c r="M196" s="23"/>
    </row>
    <row r="197" spans="13:13" x14ac:dyDescent="0.25" ht="20" customHeight="1">
      <c r="M197" s="23"/>
    </row>
    <row r="198" spans="13:13" x14ac:dyDescent="0.25" ht="20" customHeight="1">
      <c r="M198" s="23"/>
    </row>
    <row r="199" spans="13:13" x14ac:dyDescent="0.25" ht="20" customHeight="1">
      <c r="M199" s="23"/>
    </row>
    <row r="200" spans="13:13" x14ac:dyDescent="0.25" ht="20" customHeight="1">
      <c r="M200" s="23"/>
    </row>
    <row r="201" spans="13:13" x14ac:dyDescent="0.25" ht="20" customHeight="1">
      <c r="M201" s="23"/>
    </row>
    <row r="202" spans="13:13" x14ac:dyDescent="0.25" ht="20" customHeight="1">
      <c r="M202" s="23"/>
    </row>
    <row r="203" spans="13:13" x14ac:dyDescent="0.25" ht="20" customHeight="1">
      <c r="M203" s="23"/>
    </row>
    <row r="204" spans="13:13" x14ac:dyDescent="0.25" ht="20" customHeight="1">
      <c r="M204" s="23"/>
    </row>
    <row r="205" spans="13:13" x14ac:dyDescent="0.25" ht="20" customHeight="1">
      <c r="M205" s="23"/>
    </row>
    <row r="206" spans="13:13" x14ac:dyDescent="0.25" ht="20" customHeight="1">
      <c r="M206" s="23"/>
    </row>
    <row r="207" spans="13:13" x14ac:dyDescent="0.25" ht="20" customHeight="1">
      <c r="M207" s="23"/>
    </row>
    <row r="208" spans="13:13" x14ac:dyDescent="0.25" ht="20" customHeight="1">
      <c r="M208" s="23"/>
    </row>
    <row r="209" spans="13:13" x14ac:dyDescent="0.25" ht="20" customHeight="1">
      <c r="M209" s="23"/>
    </row>
    <row r="210" spans="13:13" x14ac:dyDescent="0.25" ht="20" customHeight="1">
      <c r="M210" s="23"/>
    </row>
    <row r="211" spans="13:13" x14ac:dyDescent="0.25" ht="20" customHeight="1">
      <c r="M211" s="23"/>
    </row>
    <row r="212" spans="13:13" x14ac:dyDescent="0.25" ht="20" customHeight="1">
      <c r="M212" s="23"/>
    </row>
    <row r="213" spans="13:13" x14ac:dyDescent="0.25" ht="20" customHeight="1">
      <c r="M213" s="23"/>
    </row>
    <row r="214" spans="13:13" x14ac:dyDescent="0.25" ht="20" customHeight="1">
      <c r="M214" s="23"/>
    </row>
    <row r="215" spans="13:13" x14ac:dyDescent="0.25" ht="20" customHeight="1">
      <c r="M215" s="23"/>
    </row>
    <row r="216" spans="13:13" x14ac:dyDescent="0.25" ht="20" customHeight="1">
      <c r="M216" s="23"/>
    </row>
    <row r="217" spans="13:13" x14ac:dyDescent="0.25" ht="20" customHeight="1">
      <c r="M217" s="23"/>
    </row>
    <row r="218" spans="13:13" x14ac:dyDescent="0.25" ht="20" customHeight="1">
      <c r="M218" s="23"/>
    </row>
    <row r="219" spans="13:13" x14ac:dyDescent="0.25" ht="20" customHeight="1">
      <c r="M219" s="23"/>
    </row>
    <row r="220" spans="13:13" x14ac:dyDescent="0.25" ht="20" customHeight="1">
      <c r="M220" s="23"/>
    </row>
    <row r="221" spans="13:13" x14ac:dyDescent="0.25" ht="20" customHeight="1">
      <c r="M221" s="23"/>
    </row>
    <row r="222" spans="13:13" x14ac:dyDescent="0.25" ht="20" customHeight="1">
      <c r="M222" s="23"/>
    </row>
    <row r="223" spans="13:13" x14ac:dyDescent="0.25" ht="20" customHeight="1">
      <c r="M223" s="23"/>
    </row>
    <row r="224" spans="13:13" x14ac:dyDescent="0.25" ht="20" customHeight="1">
      <c r="M224" s="23"/>
    </row>
    <row r="225" spans="13:13" x14ac:dyDescent="0.25" ht="20" customHeight="1">
      <c r="M225" s="23"/>
    </row>
    <row r="226" spans="13:13" x14ac:dyDescent="0.25" ht="20" customHeight="1">
      <c r="M226" s="23"/>
    </row>
    <row r="227" spans="13:13" x14ac:dyDescent="0.25" ht="20" customHeight="1">
      <c r="M227" s="23"/>
    </row>
    <row r="228" spans="13:13" x14ac:dyDescent="0.25" ht="20" customHeight="1">
      <c r="M228" s="23"/>
    </row>
    <row r="229" spans="13:13" x14ac:dyDescent="0.25" ht="20" customHeight="1">
      <c r="M229" s="23"/>
    </row>
    <row r="230" spans="13:13" x14ac:dyDescent="0.25" ht="20" customHeight="1">
      <c r="M230" s="23"/>
    </row>
    <row r="231" spans="13:13" x14ac:dyDescent="0.25" ht="20" customHeight="1">
      <c r="M231" s="23"/>
    </row>
    <row r="232" spans="13:13" x14ac:dyDescent="0.25" ht="20" customHeight="1">
      <c r="M232" s="23"/>
    </row>
    <row r="233" spans="13:13" x14ac:dyDescent="0.25" ht="20" customHeight="1">
      <c r="M233" s="23"/>
    </row>
    <row r="234" spans="13:13" x14ac:dyDescent="0.25" ht="20" customHeight="1">
      <c r="M234" s="23"/>
    </row>
    <row r="235" spans="13:13" x14ac:dyDescent="0.25" ht="20" customHeight="1">
      <c r="M235" s="23"/>
    </row>
    <row r="236" spans="13:13" x14ac:dyDescent="0.25" ht="20" customHeight="1">
      <c r="M236" s="23"/>
    </row>
    <row r="237" spans="13:13" x14ac:dyDescent="0.25" ht="20" customHeight="1">
      <c r="M237" s="23"/>
    </row>
    <row r="238" spans="13:13" x14ac:dyDescent="0.25" ht="20" customHeight="1">
      <c r="M238" s="23"/>
    </row>
    <row r="239" spans="13:13" x14ac:dyDescent="0.25" ht="20" customHeight="1">
      <c r="M239" s="23"/>
    </row>
    <row r="240" spans="13:13" x14ac:dyDescent="0.25" ht="20" customHeight="1">
      <c r="M240" s="23"/>
    </row>
    <row r="241" spans="13:13" x14ac:dyDescent="0.25" ht="20" customHeight="1">
      <c r="M241" s="23"/>
    </row>
    <row r="242" spans="13:13" x14ac:dyDescent="0.25" ht="20" customHeight="1">
      <c r="M242" s="23"/>
    </row>
    <row r="243" spans="13:13" x14ac:dyDescent="0.25" ht="20" customHeight="1">
      <c r="M243" s="23"/>
    </row>
    <row r="244" spans="13:13" x14ac:dyDescent="0.25" ht="20" customHeight="1">
      <c r="M244" s="23"/>
    </row>
    <row r="245" spans="13:13" x14ac:dyDescent="0.25" ht="20" customHeight="1">
      <c r="M245" s="23"/>
    </row>
    <row r="246" spans="13:13" x14ac:dyDescent="0.25" ht="20" customHeight="1">
      <c r="M246" s="23"/>
    </row>
    <row r="247" spans="13:13" x14ac:dyDescent="0.25" ht="20" customHeight="1">
      <c r="M247" s="23"/>
    </row>
    <row r="248" spans="13:13" x14ac:dyDescent="0.25" ht="20" customHeight="1">
      <c r="M248" s="23"/>
    </row>
    <row r="249" spans="13:13" x14ac:dyDescent="0.25" ht="20" customHeight="1">
      <c r="M249" s="23"/>
    </row>
    <row r="250" spans="13:13" x14ac:dyDescent="0.25" ht="20" customHeight="1">
      <c r="M250" s="23"/>
    </row>
    <row r="251" spans="13:13" x14ac:dyDescent="0.25" ht="20" customHeight="1">
      <c r="M251" s="23"/>
    </row>
    <row r="252" spans="13:13" x14ac:dyDescent="0.25" ht="20" customHeight="1">
      <c r="M252" s="23"/>
    </row>
    <row r="253" spans="13:13" x14ac:dyDescent="0.25" ht="20" customHeight="1">
      <c r="M253" s="23"/>
    </row>
    <row r="254" spans="13:13" x14ac:dyDescent="0.25" ht="20" customHeight="1">
      <c r="M254" s="23"/>
    </row>
    <row r="255" spans="13:13" x14ac:dyDescent="0.25" ht="20" customHeight="1">
      <c r="M255" s="23"/>
    </row>
    <row r="256" spans="13:13" x14ac:dyDescent="0.25" ht="20" customHeight="1">
      <c r="M256" s="23"/>
    </row>
    <row r="257" spans="13:13" x14ac:dyDescent="0.25" ht="20" customHeight="1">
      <c r="M257" s="23"/>
    </row>
    <row r="258" spans="13:13" x14ac:dyDescent="0.25" ht="20" customHeight="1">
      <c r="M258" s="23"/>
    </row>
    <row r="259" spans="13:13" x14ac:dyDescent="0.25" ht="20" customHeight="1">
      <c r="M259" s="23"/>
    </row>
    <row r="260" spans="13:13" x14ac:dyDescent="0.25" ht="20" customHeight="1">
      <c r="M260" s="23"/>
    </row>
    <row r="261" spans="13:13" x14ac:dyDescent="0.25" ht="20" customHeight="1">
      <c r="M261" s="23"/>
    </row>
    <row r="262" spans="13:13" x14ac:dyDescent="0.25" ht="20" customHeight="1">
      <c r="M262" s="23"/>
    </row>
    <row r="263" spans="13:13" x14ac:dyDescent="0.25" ht="20" customHeight="1">
      <c r="M263" s="23"/>
    </row>
    <row r="264" spans="13:13" x14ac:dyDescent="0.25" ht="20" customHeight="1">
      <c r="M264" s="23"/>
    </row>
    <row r="265" spans="13:13" x14ac:dyDescent="0.25" ht="20" customHeight="1">
      <c r="M265" s="23"/>
    </row>
    <row r="266" spans="13:13" x14ac:dyDescent="0.25" ht="20" customHeight="1">
      <c r="M266" s="23"/>
    </row>
    <row r="267" spans="13:13" x14ac:dyDescent="0.25" ht="20" customHeight="1">
      <c r="M267" s="23"/>
    </row>
    <row r="268" spans="13:13" x14ac:dyDescent="0.25" ht="20" customHeight="1">
      <c r="M268" s="23"/>
    </row>
    <row r="269" spans="13:13" x14ac:dyDescent="0.25" ht="20" customHeight="1">
      <c r="M269" s="23"/>
    </row>
    <row r="270" spans="13:13" x14ac:dyDescent="0.25" ht="20" customHeight="1">
      <c r="M270" s="23"/>
    </row>
    <row r="271" spans="13:13" x14ac:dyDescent="0.25" ht="20" customHeight="1">
      <c r="M271" s="23"/>
    </row>
    <row r="272" spans="13:13" x14ac:dyDescent="0.25" ht="20" customHeight="1">
      <c r="M272" s="23"/>
    </row>
    <row r="273" spans="13:13" x14ac:dyDescent="0.25" ht="20" customHeight="1">
      <c r="M273" s="23"/>
    </row>
    <row r="274" spans="13:13" x14ac:dyDescent="0.25" ht="20" customHeight="1">
      <c r="M274" s="23"/>
    </row>
    <row r="275" spans="13:13" x14ac:dyDescent="0.25" ht="20" customHeight="1">
      <c r="M275" s="23"/>
    </row>
    <row r="276" spans="13:13" x14ac:dyDescent="0.25" ht="20" customHeight="1">
      <c r="M276" s="23"/>
    </row>
    <row r="277" spans="13:13" x14ac:dyDescent="0.25" ht="20" customHeight="1">
      <c r="M277" s="23"/>
    </row>
    <row r="278" spans="13:13" x14ac:dyDescent="0.25" ht="20" customHeight="1">
      <c r="M278" s="23"/>
    </row>
    <row r="279" spans="13:13" x14ac:dyDescent="0.25" ht="20" customHeight="1">
      <c r="M279" s="23"/>
    </row>
    <row r="280" spans="13:13" x14ac:dyDescent="0.25" ht="20" customHeight="1">
      <c r="M280" s="23"/>
    </row>
    <row r="281" spans="13:13" x14ac:dyDescent="0.25" ht="20" customHeight="1">
      <c r="M281" s="23"/>
    </row>
    <row r="282" spans="13:13" x14ac:dyDescent="0.25" ht="20" customHeight="1">
      <c r="M282" s="23"/>
    </row>
    <row r="283" spans="13:13" x14ac:dyDescent="0.25" ht="20" customHeight="1">
      <c r="M283" s="23"/>
    </row>
    <row r="284" spans="13:13" x14ac:dyDescent="0.25" ht="20" customHeight="1">
      <c r="M284" s="23"/>
    </row>
    <row r="285" spans="13:13" x14ac:dyDescent="0.25" ht="20" customHeight="1">
      <c r="M285" s="23"/>
    </row>
    <row r="286" spans="13:13" x14ac:dyDescent="0.25" ht="20" customHeight="1">
      <c r="M286" s="23"/>
    </row>
    <row r="287" spans="13:13" x14ac:dyDescent="0.25" ht="20" customHeight="1">
      <c r="M287" s="23"/>
    </row>
    <row r="288" spans="13:13" x14ac:dyDescent="0.25" ht="20" customHeight="1">
      <c r="M288" s="23"/>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sheetPr>
    <tabColor theme="2" tint="-0.499984740745262"/>
  </sheetPr>
  <dimension ref="A1:M63"/>
  <sheetViews>
    <sheetView showGridLines="0" zoomScaleNormal="100" workbookViewId="0">
      <selection activeCell="A24" sqref="A24"/>
    </sheetView>
  </sheetViews>
  <sheetFormatPr defaultRowHeight="20" x14ac:dyDescent="0.25" customHeight="1"/>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72</v>
      </c>
      <c r="D1" s="8"/>
      <c r="E1" s="8"/>
      <c r="F1" s="8"/>
      <c r="G1" s="8"/>
      <c r="H1" s="8"/>
      <c r="I1" s="8"/>
      <c r="J1" s="8"/>
      <c r="K1" s="8"/>
      <c r="L1" s="8"/>
      <c r="M1" s="8"/>
    </row>
    <row r="2" spans="1:13" ht="20" customHeight="1" x14ac:dyDescent="0.25">
      <c r="C2" s="9"/>
      <c r="D2" s="9"/>
      <c r="E2" s="9"/>
      <c r="F2" s="9"/>
      <c r="G2" s="9"/>
      <c r="H2" s="9"/>
      <c r="I2" s="9"/>
      <c r="J2" s="9"/>
      <c r="K2" s="9"/>
      <c r="L2" s="9"/>
      <c r="M2" s="9"/>
    </row>
    <row r="3" spans="1:13" ht="20" customHeight="1" x14ac:dyDescent="0.25">
      <c r="A3" s="17" t="str">
        <f>HYPERLINK("#'Home'!A1", "Home")</f>
        <v>Home</v>
      </c>
      <c r="C3" s="4"/>
      <c r="D3" s="4"/>
      <c r="E3" s="4"/>
      <c r="F3" s="4"/>
      <c r="G3" s="4"/>
      <c r="H3" s="4"/>
      <c r="I3" s="4"/>
      <c r="J3" s="4"/>
      <c r="K3" s="4"/>
      <c r="L3" s="4"/>
      <c r="M3" s="4"/>
    </row>
    <row r="4" spans="1:13" ht="20" customHeight="1" x14ac:dyDescent="0.25">
      <c r="A4" s="17" t="str">
        <f>HYPERLINK("#'Overview'!A1", "Overview")</f>
        <v>Overview</v>
      </c>
    </row>
    <row r="5" spans="1:13" ht="20" customHeight="1" x14ac:dyDescent="0.25">
      <c r="A5" s="17" t="str">
        <f>HYPERLINK("#'Results'!A1", "Results")</f>
        <v>Results</v>
      </c>
    </row>
    <row r="6" spans="1:13" ht="20" customHeight="1" x14ac:dyDescent="0.25">
      <c r="D6" s="6" t="str" cm="1">
        <f t="array" ref="D6">CommonLivestock_SourceData.SourceData_Livestock_Common_SymbolsMMS_Title()</f>
        <v>Table 5.12 Additional symbols used in algorithms for manure related emissions</v>
      </c>
      <c r="E6" s="3"/>
      <c r="F6" s="3"/>
      <c r="G6" s="3"/>
      <c r="H6" s="3"/>
    </row>
    <row r="7" spans="1:13" ht="20" customHeight="1" x14ac:dyDescent="0.25">
      <c r="D7" s="3" t="str" cm="1">
        <f t="array" ref="D7">CommonLivestock_SourceData.SourceData_Livestock_Common_SymbolsMMS_Vairable()</f>
        <v>MMS</v>
      </c>
      <c r="E7" s="3"/>
      <c r="F7" s="3"/>
      <c r="G7" s="3"/>
      <c r="H7" s="3"/>
    </row>
    <row r="8" spans="1:13" ht="20" customHeight="1" x14ac:dyDescent="0.25">
      <c r="A8" s="19" t="s">
        <v>0</v>
      </c>
      <c r="D8" s="5" t="str" cm="1">
        <f t="array" ref="D8">CommonLivestock_SourceData.SourceData_Livestock_Common_SymbolsMMS_Source()</f>
        <v>National Inventory Report 2023 Volume 1: Table 5.12</v>
      </c>
      <c r="E8" s="3"/>
      <c r="F8" s="3"/>
      <c r="G8" s="3"/>
      <c r="H8" s="3"/>
    </row>
    <row r="9" spans="1:13" ht="20" customHeight="1" x14ac:dyDescent="0.25">
      <c r="A9" s="17" t="str">
        <f>HYPERLINK("#'Input - Site'!A1", "Site")</f>
        <v>Site</v>
      </c>
      <c r="D9" s="37" t="s">
        <v>73</v>
      </c>
      <c r="E9" s="38" t="s">
        <v>16</v>
      </c>
      <c r="F9" s="38" t="s">
        <v>74</v>
      </c>
      <c r="G9" s="3"/>
    </row>
    <row r="10" spans="1:13" ht="20" customHeight="1" x14ac:dyDescent="0.25">
      <c r="A10" s="17" t="str">
        <f>HYPERLINK("#'Input - Other Livestock'!A1", "Other Livestock")</f>
        <v>Other Livestock</v>
      </c>
      <c r="D10" s="37" t="str" cm="1">
        <f t="array" ref="D10">Common_InputFunctions.Utility_DisplayArrayInTable(CommonLivestock_SourceData.SourceData_Livestock_Common_SymbolsMMS_Data(), Table_Data_MMSSymbols[[#Headers],[Symbol]], 0)</f>
        <v>1</v>
      </c>
      <c r="E10" s="37" t="str" cm="1">
        <f t="array" ref="E10">Common_InputFunctions.Utility_DisplayArrayInTable(CommonLivestock_SourceData.SourceData_Livestock_Common_SymbolsMMS_Data(), Table_Data_MMSSymbols[[#Headers],[Symbol]], 0)</f>
        <v>Anaerobic lagoon</v>
      </c>
      <c r="F10" s="37" t="str" cm="1">
        <f t="array" ref="F10">Common_InputFunctions.Utility_DisplayArrayInTable(CommonLivestock_SourceData.SourceData_Livestock_Common_SymbolsMMS_Data(), Table_Data_MMSSymbols[[#Headers],[Symbol]], 0)</f>
        <v>Anaerobic lagoon (m=1)</v>
      </c>
      <c r="G10" s="3"/>
    </row>
    <row r="11" spans="1:13" ht="20" customHeight="1" x14ac:dyDescent="0.25">
      <c r="D11" s="37" t="str" cm="1">
        <f t="array" ref="D11">Common_InputFunctions.Utility_DisplayArrayInTable(CommonLivestock_SourceData.SourceData_Livestock_Common_SymbolsMMS_Data(), Table_Data_MMSSymbols[[#Headers],[Symbol]], 0)</f>
        <v>2</v>
      </c>
      <c r="E11" s="37" t="str" cm="1">
        <f t="array" ref="E11">Common_InputFunctions.Utility_DisplayArrayInTable(CommonLivestock_SourceData.SourceData_Livestock_Common_SymbolsMMS_Data(), Table_Data_MMSSymbols[[#Headers],[Symbol]], 0)</f>
        <v>Liquid systems</v>
      </c>
      <c r="F11" s="37" t="str" cm="1">
        <f t="array" ref="F11">Common_InputFunctions.Utility_DisplayArrayInTable(CommonLivestock_SourceData.SourceData_Livestock_Common_SymbolsMMS_Data(), Table_Data_MMSSymbols[[#Headers],[Symbol]], 0)</f>
        <v>Liquid systems (m=2)</v>
      </c>
      <c r="G11" s="3"/>
    </row>
    <row r="12" spans="1:13" ht="20" customHeight="1" x14ac:dyDescent="0.25">
      <c r="D12" s="38" t="str" cm="1">
        <f t="array" ref="D12">Common_InputFunctions.Utility_DisplayArrayInTable(CommonLivestock_SourceData.SourceData_Livestock_Common_SymbolsMMS_Data(), Table_Data_MMSSymbols[[#Headers],[Symbol]], 0)</f>
        <v>3</v>
      </c>
      <c r="E12" s="38" t="str" cm="1">
        <f t="array" ref="E12">Common_InputFunctions.Utility_DisplayArrayInTable(CommonLivestock_SourceData.SourceData_Livestock_Common_SymbolsMMS_Data(), Table_Data_MMSSymbols[[#Headers],[Symbol]], 0)</f>
        <v>Daily spread</v>
      </c>
      <c r="F12" s="38" t="str" cm="1">
        <f t="array" ref="F12">Common_InputFunctions.Utility_DisplayArrayInTable(CommonLivestock_SourceData.SourceData_Livestock_Common_SymbolsMMS_Data(), Table_Data_MMSSymbols[[#Headers],[Symbol]], 0)</f>
        <v>Daily spread (m=3)</v>
      </c>
      <c r="G12" s="3"/>
    </row>
    <row r="13" spans="1:13" ht="20" customHeight="1" x14ac:dyDescent="0.25">
      <c r="A13" s="18" t="s">
        <v>70</v>
      </c>
      <c r="D13" s="38" t="str" cm="1">
        <f t="array" ref="D13">Common_InputFunctions.Utility_DisplayArrayInTable(CommonLivestock_SourceData.SourceData_Livestock_Common_SymbolsMMS_Data(), Table_Data_MMSSymbols[[#Headers],[Symbol]], 0)</f>
        <v>3a</v>
      </c>
      <c r="E13" s="38" t="str" cm="1">
        <f t="array" ref="E13">Common_InputFunctions.Utility_DisplayArrayInTable(CommonLivestock_SourceData.SourceData_Livestock_Common_SymbolsMMS_Data(), Table_Data_MMSSymbols[[#Headers],[Symbol]], 0)</f>
        <v>Sump and dispersal system</v>
      </c>
      <c r="F13" s="38" t="str" cm="1">
        <f t="array" ref="F13">Common_InputFunctions.Utility_DisplayArrayInTable(CommonLivestock_SourceData.SourceData_Livestock_Common_SymbolsMMS_Data(), Table_Data_MMSSymbols[[#Headers],[Symbol]], 0)</f>
        <v>Sump and dispersal system (m=3a)</v>
      </c>
      <c r="G13" s="3"/>
    </row>
    <row r="14" spans="1:13" ht="20" customHeight="1" x14ac:dyDescent="0.25">
      <c r="A14" s="17" t="str">
        <f>HYPERLINK("#'4.7.1.1-2 Manure Methane'!A1", "4.7.1.1-2 Manure Methane")</f>
        <v>4.7.1.1-2 Manure Methane</v>
      </c>
      <c r="D14" s="38" t="str" cm="1">
        <f t="array" ref="D14">Common_InputFunctions.Utility_DisplayArrayInTable(CommonLivestock_SourceData.SourceData_Livestock_Common_SymbolsMMS_Data(), Table_Data_MMSSymbols[[#Headers],[Symbol]], 0)</f>
        <v>3b</v>
      </c>
      <c r="E14" s="38" t="str" cm="1">
        <f t="array" ref="E14">Common_InputFunctions.Utility_DisplayArrayInTable(CommonLivestock_SourceData.SourceData_Livestock_Common_SymbolsMMS_Data(), Table_Data_MMSSymbols[[#Headers],[Symbol]], 0)</f>
        <v>Drains to paddock</v>
      </c>
      <c r="F14" s="38" t="str" cm="1">
        <f t="array" ref="F14">Common_InputFunctions.Utility_DisplayArrayInTable(CommonLivestock_SourceData.SourceData_Livestock_Common_SymbolsMMS_Data(), Table_Data_MMSSymbols[[#Headers],[Symbol]], 0)</f>
        <v>Drains to paddock (m=3b)</v>
      </c>
      <c r="G14" s="3"/>
    </row>
    <row r="15" spans="1:13" ht="20" customHeight="1" x14ac:dyDescent="0.25">
      <c r="A15" s="17" t="str">
        <f>HYPERLINK("#'4.7.1.3-4 Soil Direct N2O'!A1", "4.7.1.3-4 Soil Direct N2O")</f>
        <v>4.7.1.3-4 Soil Direct N2O</v>
      </c>
      <c r="D15" s="38" t="str" cm="1">
        <f t="array" ref="D15">Common_InputFunctions.Utility_DisplayArrayInTable(CommonLivestock_SourceData.SourceData_Livestock_Common_SymbolsMMS_Data(), Table_Data_MMSSymbols[[#Headers],[Symbol]], 0)</f>
        <v>4</v>
      </c>
      <c r="E15" s="38" t="str" cm="1">
        <f t="array" ref="E15">Common_InputFunctions.Utility_DisplayArrayInTable(CommonLivestock_SourceData.SourceData_Livestock_Common_SymbolsMMS_Data(), Table_Data_MMSSymbols[[#Headers],[Symbol]], 0)</f>
        <v>Solid storage</v>
      </c>
      <c r="F15" s="38" t="str" cm="1">
        <f t="array" ref="F15">Common_InputFunctions.Utility_DisplayArrayInTable(CommonLivestock_SourceData.SourceData_Livestock_Common_SymbolsMMS_Data(), Table_Data_MMSSymbols[[#Headers],[Symbol]], 0)</f>
        <v>Solid storage (m=4)</v>
      </c>
      <c r="G15" s="3"/>
    </row>
    <row r="16" spans="1:13" ht="20" customHeight="1" x14ac:dyDescent="0.25">
      <c r="A16" s="17" t="str">
        <f>HYPERLINK("#'4.7.1.5-6 Soil Atmos Deposition'!A1", "4.7.1.5-6 Soil Atmos Deposition")</f>
        <v>4.7.1.5-6 Soil Atmos Deposition</v>
      </c>
      <c r="D16" s="38" t="str" cm="1">
        <f t="array" ref="D16">Common_InputFunctions.Utility_DisplayArrayInTable(CommonLivestock_SourceData.SourceData_Livestock_Common_SymbolsMMS_Data(), Table_Data_MMSSymbols[[#Headers],[Symbol]], 0)</f>
        <v>5</v>
      </c>
      <c r="E16" s="38" t="str" cm="1">
        <f t="array" ref="E16">Common_InputFunctions.Utility_DisplayArrayInTable(CommonLivestock_SourceData.SourceData_Livestock_Common_SymbolsMMS_Data(), Table_Data_MMSSymbols[[#Headers],[Symbol]], 0)</f>
        <v>Drylot (feed pad)</v>
      </c>
      <c r="F16" s="38" t="str" cm="1">
        <f t="array" ref="F16">Common_InputFunctions.Utility_DisplayArrayInTable(CommonLivestock_SourceData.SourceData_Livestock_Common_SymbolsMMS_Data(), Table_Data_MMSSymbols[[#Headers],[Symbol]], 0)</f>
        <v>Drylot (feed pad) (m=5)</v>
      </c>
      <c r="G16" s="3"/>
    </row>
    <row r="17" spans="1:8" ht="20" customHeight="1" x14ac:dyDescent="0.25">
      <c r="A17" s="17" t="str">
        <f>HYPERLINK("#'4.7.1.7-8 Soil Leaching Runoff'!A1", "4.7.1.7-8 Soil Leaching Runoff")</f>
        <v>4.7.1.7-8 Soil Leaching Runoff</v>
      </c>
      <c r="D17" s="38" t="str" cm="1">
        <f t="array" ref="D17">Common_InputFunctions.Utility_DisplayArrayInTable(CommonLivestock_SourceData.SourceData_Livestock_Common_SymbolsMMS_Data(), Table_Data_MMSSymbols[[#Headers],[Symbol]], 0)</f>
        <v>6</v>
      </c>
      <c r="E17" s="38" t="str" cm="1">
        <f t="array" ref="E17">Common_InputFunctions.Utility_DisplayArrayInTable(CommonLivestock_SourceData.SourceData_Livestock_Common_SymbolsMMS_Data(), Table_Data_MMSSymbols[[#Headers],[Symbol]], 0)</f>
        <v>Composting (passive windrow)</v>
      </c>
      <c r="F17" s="38" t="str" cm="1">
        <f t="array" ref="F17">Common_InputFunctions.Utility_DisplayArrayInTable(CommonLivestock_SourceData.SourceData_Livestock_Common_SymbolsMMS_Data(), Table_Data_MMSSymbols[[#Headers],[Symbol]], 0)</f>
        <v>Composting (passive windrow) (m=6)</v>
      </c>
      <c r="G17" s="3"/>
    </row>
    <row r="18" spans="1:8" ht="20" customHeight="1" x14ac:dyDescent="0.25">
      <c r="D18" s="38" t="str" cm="1">
        <f t="array" ref="D18">Common_InputFunctions.Utility_DisplayArrayInTable(CommonLivestock_SourceData.SourceData_Livestock_Common_SymbolsMMS_Data(), Table_Data_MMSSymbols[[#Headers],[Symbol]], 0)</f>
        <v>7</v>
      </c>
      <c r="E18" s="38" t="str" cm="1">
        <f t="array" ref="E18">Common_InputFunctions.Utility_DisplayArrayInTable(CommonLivestock_SourceData.SourceData_Livestock_Common_SymbolsMMS_Data(), Table_Data_MMSSymbols[[#Headers],[Symbol]], 0)</f>
        <v>Digester / covered lagoons</v>
      </c>
      <c r="F18" s="38" t="str" cm="1">
        <f t="array" ref="F18">Common_InputFunctions.Utility_DisplayArrayInTable(CommonLivestock_SourceData.SourceData_Livestock_Common_SymbolsMMS_Data(), Table_Data_MMSSymbols[[#Headers],[Symbol]], 0)</f>
        <v>Digester / covered lagoons (m=7)</v>
      </c>
      <c r="G18" s="3"/>
    </row>
    <row r="19" spans="1:8" ht="20" customHeight="1" x14ac:dyDescent="0.25">
      <c r="D19" s="38" t="str" cm="1">
        <f t="array" ref="D19">Common_InputFunctions.Utility_DisplayArrayInTable(CommonLivestock_SourceData.SourceData_Livestock_Common_SymbolsMMS_Data(), Table_Data_MMSSymbols[[#Headers],[Symbol]], 0)</f>
        <v>8</v>
      </c>
      <c r="E19" s="38" t="str" cm="1">
        <f t="array" ref="E19">Common_InputFunctions.Utility_DisplayArrayInTable(CommonLivestock_SourceData.SourceData_Livestock_Common_SymbolsMMS_Data(), Table_Data_MMSSymbols[[#Headers],[Symbol]], 0)</f>
        <v>Deep litter</v>
      </c>
      <c r="F19" s="38" t="str" cm="1">
        <f t="array" ref="F19">Common_InputFunctions.Utility_DisplayArrayInTable(CommonLivestock_SourceData.SourceData_Livestock_Common_SymbolsMMS_Data(), Table_Data_MMSSymbols[[#Headers],[Symbol]], 0)</f>
        <v>Deep litter (m=8)</v>
      </c>
      <c r="G19" s="3"/>
    </row>
    <row r="20" spans="1:8" ht="20" customHeight="1" x14ac:dyDescent="0.25">
      <c r="A20" s="124" t="s">
        <v>1</v>
      </c>
      <c r="D20" s="38" t="str" cm="1">
        <f t="array" ref="D20">Common_InputFunctions.Utility_DisplayArrayInTable(CommonLivestock_SourceData.SourceData_Livestock_Common_SymbolsMMS_Data(), Table_Data_MMSSymbols[[#Headers],[Symbol]], 0)</f>
        <v>9</v>
      </c>
      <c r="E20" s="38" t="str" cm="1">
        <f t="array" ref="E20">Common_InputFunctions.Utility_DisplayArrayInTable(CommonLivestock_SourceData.SourceData_Livestock_Common_SymbolsMMS_Data(), Table_Data_MMSSymbols[[#Headers],[Symbol]], 0)</f>
        <v>Pit storage</v>
      </c>
      <c r="F20" s="38" t="str" cm="1">
        <f t="array" ref="F20">Common_InputFunctions.Utility_DisplayArrayInTable(CommonLivestock_SourceData.SourceData_Livestock_Common_SymbolsMMS_Data(), Table_Data_MMSSymbols[[#Headers],[Symbol]], 0)</f>
        <v>Pit storage (m=9)</v>
      </c>
      <c r="G20" s="3"/>
    </row>
    <row r="21" spans="1:8" ht="20" customHeight="1" x14ac:dyDescent="0.25">
      <c r="A21" s="17" t="str">
        <f>HYPERLINK("#'Constants - Other Livestock'!A1", "Constants - Other Livestock")</f>
        <v>Constants - Other Livestock</v>
      </c>
      <c r="D21" s="38" t="str" cm="1">
        <f t="array" ref="D21">Common_InputFunctions.Utility_DisplayArrayInTable(CommonLivestock_SourceData.SourceData_Livestock_Common_SymbolsMMS_Data(), Table_Data_MMSSymbols[[#Headers],[Symbol]], 0)</f>
        <v>10</v>
      </c>
      <c r="E21" s="38" t="str" cm="1">
        <f t="array" ref="E21">Common_InputFunctions.Utility_DisplayArrayInTable(CommonLivestock_SourceData.SourceData_Livestock_Common_SymbolsMMS_Data(), Table_Data_MMSSymbols[[#Headers],[Symbol]], 0)</f>
        <v>Poultry manure with bedding</v>
      </c>
      <c r="F21" s="38" t="str" cm="1">
        <f t="array" ref="F21">Common_InputFunctions.Utility_DisplayArrayInTable(CommonLivestock_SourceData.SourceData_Livestock_Common_SymbolsMMS_Data(), Table_Data_MMSSymbols[[#Headers],[Symbol]], 0)</f>
        <v>Poultry manure with bedding (m=10)</v>
      </c>
      <c r="G21" s="3"/>
    </row>
    <row r="22" spans="1:8" ht="20" customHeight="1" x14ac:dyDescent="0.25">
      <c r="A22" s="64" t="str">
        <f>HYPERLINK("#'Constants - Livestock'!A1", "Constants - Livestock")</f>
        <v>Constants - Livestock</v>
      </c>
      <c r="D22" s="38" t="str" cm="1">
        <f t="array" ref="D22">Common_InputFunctions.Utility_DisplayArrayInTable(CommonLivestock_SourceData.SourceData_Livestock_Common_SymbolsMMS_Data(), Table_Data_MMSSymbols[[#Headers],[Symbol]], 0)</f>
        <v>11</v>
      </c>
      <c r="E22" s="38" t="str" cm="1">
        <f t="array" ref="E22">Common_InputFunctions.Utility_DisplayArrayInTable(CommonLivestock_SourceData.SourceData_Livestock_Common_SymbolsMMS_Data(), Table_Data_MMSSymbols[[#Headers],[Symbol]], 0)</f>
        <v>Poultry manure without bedding</v>
      </c>
      <c r="F22" s="38" t="str" cm="1">
        <f t="array" ref="F22">Common_InputFunctions.Utility_DisplayArrayInTable(CommonLivestock_SourceData.SourceData_Livestock_Common_SymbolsMMS_Data(), Table_Data_MMSSymbols[[#Headers],[Symbol]], 0)</f>
        <v>Poultry manure without bedding (m=11)</v>
      </c>
      <c r="G22" s="3"/>
    </row>
    <row r="23" spans="1:8" ht="20" customHeight="1" x14ac:dyDescent="0.25">
      <c r="A23" s="17" t="str">
        <f>HYPERLINK("#'Constants - Common'!A1", "Constants - Common")</f>
        <v>Constants - Common</v>
      </c>
      <c r="D23" s="38" t="str" cm="1">
        <f t="array" ref="D23">Common_InputFunctions.Utility_DisplayArrayInTable(CommonLivestock_SourceData.SourceData_Livestock_Common_SymbolsMMS_Data(), Table_Data_MMSSymbols[[#Headers],[Symbol]], 0)</f>
        <v>11a</v>
      </c>
      <c r="E23" s="38" t="str" cm="1">
        <f t="array" ref="E23">Common_InputFunctions.Utility_DisplayArrayInTable(CommonLivestock_SourceData.SourceData_Livestock_Common_SymbolsMMS_Data(), Table_Data_MMSSymbols[[#Headers],[Symbol]], 0)</f>
        <v>Belt manure removal</v>
      </c>
      <c r="F23" s="38" t="str" cm="1">
        <f t="array" ref="F23">Common_InputFunctions.Utility_DisplayArrayInTable(CommonLivestock_SourceData.SourceData_Livestock_Common_SymbolsMMS_Data(), Table_Data_MMSSymbols[[#Headers],[Symbol]], 0)</f>
        <v>Belt manure removal (m=11a)</v>
      </c>
      <c r="G23" s="3"/>
    </row>
    <row r="24" spans="1:8" ht="20" customHeight="1" x14ac:dyDescent="0.25">
      <c r="A24" s="17" t="str">
        <f>HYPERLINK("#'Acknowledgements'!A1", "Acknowledgements")</f>
        <v>Acknowledgements</v>
      </c>
      <c r="D24" s="38" t="str" cm="1">
        <f t="array" ref="D24">Common_InputFunctions.Utility_DisplayArrayInTable(CommonLivestock_SourceData.SourceData_Livestock_Common_SymbolsMMS_Data(), Table_Data_MMSSymbols[[#Headers],[Symbol]], 0)</f>
        <v>11b</v>
      </c>
      <c r="E24" s="38" t="str" cm="1">
        <f t="array" ref="E24">Common_InputFunctions.Utility_DisplayArrayInTable(CommonLivestock_SourceData.SourceData_Livestock_Common_SymbolsMMS_Data(), Table_Data_MMSSymbols[[#Headers],[Symbol]], 0)</f>
        <v>Manure stored in house</v>
      </c>
      <c r="F24" s="38" t="str" cm="1">
        <f t="array" ref="F24">Common_InputFunctions.Utility_DisplayArrayInTable(CommonLivestock_SourceData.SourceData_Livestock_Common_SymbolsMMS_Data(), Table_Data_MMSSymbols[[#Headers],[Symbol]], 0)</f>
        <v>Manure stored in house (m=11b)</v>
      </c>
      <c r="G24" s="3"/>
    </row>
    <row r="25" spans="1:8" ht="20" customHeight="1" x14ac:dyDescent="0.25">
      <c r="D25" s="38" t="str" cm="1">
        <f t="array" ref="D25">Common_InputFunctions.Utility_DisplayArrayInTable(CommonLivestock_SourceData.SourceData_Livestock_Common_SymbolsMMS_Data(), Table_Data_MMSSymbols[[#Headers],[Symbol]], 0)</f>
        <v>12</v>
      </c>
      <c r="E25" s="38" t="str" cm="1">
        <f t="array" ref="E25">Common_InputFunctions.Utility_DisplayArrayInTable(CommonLivestock_SourceData.SourceData_Livestock_Common_SymbolsMMS_Data(), Table_Data_MMSSymbols[[#Headers],[Symbol]], 0)</f>
        <v>Direct processing</v>
      </c>
      <c r="F25" s="38" t="str" cm="1">
        <f t="array" ref="F25">Common_InputFunctions.Utility_DisplayArrayInTable(CommonLivestock_SourceData.SourceData_Livestock_Common_SymbolsMMS_Data(), Table_Data_MMSSymbols[[#Headers],[Symbol]], 0)</f>
        <v>Direct processing (m=12)</v>
      </c>
      <c r="G25" s="3"/>
    </row>
    <row r="26" spans="1:8" ht="20" customHeight="1" x14ac:dyDescent="0.25">
      <c r="D26" s="38" t="str" cm="1">
        <f t="array" ref="D26">Common_InputFunctions.Utility_DisplayArrayInTable(CommonLivestock_SourceData.SourceData_Livestock_Common_SymbolsMMS_Data(), Table_Data_MMSSymbols[[#Headers],[Symbol]], 0)</f>
        <v>13</v>
      </c>
      <c r="E26" s="38" t="str" cm="1">
        <f t="array" ref="E26">Common_InputFunctions.Utility_DisplayArrayInTable(CommonLivestock_SourceData.SourceData_Livestock_Common_SymbolsMMS_Data(), Table_Data_MMSSymbols[[#Headers],[Symbol]], 0)</f>
        <v>Direct application</v>
      </c>
      <c r="F26" s="38" t="str" cm="1">
        <f t="array" ref="F26">Common_InputFunctions.Utility_DisplayArrayInTable(CommonLivestock_SourceData.SourceData_Livestock_Common_SymbolsMMS_Data(), Table_Data_MMSSymbols[[#Headers],[Symbol]], 0)</f>
        <v>Direct application (m=13)</v>
      </c>
      <c r="G26" s="3"/>
    </row>
    <row r="27" spans="1:8" ht="20" customHeight="1" x14ac:dyDescent="0.25">
      <c r="D27" s="38" t="str" cm="1">
        <f t="array" ref="D27">Common_InputFunctions.Utility_DisplayArrayInTable(CommonLivestock_SourceData.SourceData_Livestock_Common_SymbolsMMS_Data(), Table_Data_MMSSymbols[[#Headers],[Symbol]], 0)</f>
        <v>14</v>
      </c>
      <c r="E27" s="38" t="str" cm="1">
        <f t="array" ref="E27">Common_InputFunctions.Utility_DisplayArrayInTable(CommonLivestock_SourceData.SourceData_Livestock_Common_SymbolsMMS_Data(), Table_Data_MMSSymbols[[#Headers],[Symbol]], 0)</f>
        <v>Pasture range and paddock</v>
      </c>
      <c r="F27" s="38" t="str" cm="1">
        <f t="array" ref="F27">Common_InputFunctions.Utility_DisplayArrayInTable(CommonLivestock_SourceData.SourceData_Livestock_Common_SymbolsMMS_Data(), Table_Data_MMSSymbols[[#Headers],[Symbol]], 0)</f>
        <v>Pasture range and paddock (m=14)</v>
      </c>
      <c r="G27" s="3"/>
    </row>
    <row r="28" spans="1:8" ht="20" customHeight="1" x14ac:dyDescent="0.25">
      <c r="G28" s="3"/>
      <c r="H28" s="3"/>
    </row>
    <row r="29" spans="1:8" ht="20" customHeight="1" x14ac:dyDescent="0.25"/>
    <row r="30" spans="1:8" ht="20" customHeight="1" x14ac:dyDescent="0.25"/>
    <row r="31" spans="1:8" ht="20" customHeight="1" x14ac:dyDescent="0.25"/>
    <row r="32" spans="1:8" ht="20" customHeight="1" x14ac:dyDescent="0.25"/>
    <row r="33" ht="20" customHeight="1" x14ac:dyDescent="0.25"/>
    <row r="34" ht="20" customHeight="1" x14ac:dyDescent="0.25"/>
    <row r="35" ht="20" customHeight="1" x14ac:dyDescent="0.25"/>
    <row r="36" ht="20" customHeight="1" x14ac:dyDescent="0.25"/>
    <row r="37" ht="20" customHeight="1" x14ac:dyDescent="0.25"/>
    <row r="38" ht="20" customHeight="1" x14ac:dyDescent="0.25"/>
    <row r="39" ht="20" customHeight="1" x14ac:dyDescent="0.25"/>
    <row r="40" ht="20" customHeight="1" x14ac:dyDescent="0.25"/>
    <row r="41" ht="20" customHeight="1" x14ac:dyDescent="0.25"/>
    <row r="42" ht="20" customHeight="1" x14ac:dyDescent="0.25"/>
    <row r="43" ht="20" customHeight="1" x14ac:dyDescent="0.25"/>
    <row r="44" ht="20" customHeight="1" x14ac:dyDescent="0.25"/>
    <row r="45" ht="20" customHeight="1" x14ac:dyDescent="0.25"/>
    <row r="46" ht="20" customHeight="1" x14ac:dyDescent="0.25"/>
    <row r="47" ht="20" customHeight="1" x14ac:dyDescent="0.25"/>
    <row r="48" ht="20" customHeight="1" x14ac:dyDescent="0.25"/>
    <row r="49" ht="20" customHeight="1" x14ac:dyDescent="0.25"/>
    <row r="50" ht="20" customHeight="1" x14ac:dyDescent="0.25"/>
    <row r="51" ht="20" customHeight="1" x14ac:dyDescent="0.25"/>
    <row r="52" ht="20" customHeight="1" x14ac:dyDescent="0.25"/>
    <row r="53" ht="20" customHeight="1" x14ac:dyDescent="0.25"/>
    <row r="54" ht="20" customHeight="1" x14ac:dyDescent="0.25"/>
    <row r="55" ht="20" customHeight="1" x14ac:dyDescent="0.25"/>
    <row r="56" ht="20" customHeight="1" x14ac:dyDescent="0.25"/>
    <row r="57" ht="20" customHeight="1" x14ac:dyDescent="0.25"/>
    <row r="58" ht="20" customHeight="1" x14ac:dyDescent="0.25"/>
    <row r="59" ht="20" customHeight="1" x14ac:dyDescent="0.25"/>
    <row r="60" ht="20" customHeight="1" x14ac:dyDescent="0.25"/>
    <row r="61" ht="20" customHeight="1" x14ac:dyDescent="0.25"/>
    <row r="62" ht="20" customHeight="1" x14ac:dyDescent="0.25"/>
    <row r="63" ht="20" customHeight="1" x14ac:dyDescent="0.25"/>
  </sheetData>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7AA85-707E-4E4C-8420-621CBDC45D86}">
  <sheetPr>
    <tabColor theme="2" tint="-0.499984740745262"/>
  </sheetPr>
  <dimension ref="A1:BY297"/>
  <sheetViews>
    <sheetView showGridLines="0" topLeftCell="A239" zoomScaleNormal="100" workbookViewId="0">
      <selection activeCell="I279" sqref="I279"/>
    </sheetView>
  </sheetViews>
  <sheetFormatPr defaultColWidth="9.140625" defaultRowHeight="20" x14ac:dyDescent="0.25" customHeight="1"/>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71</v>
      </c>
    </row>
    <row r="2" spans="1:65" s="9" customFormat="1" ht="20" customHeight="1" x14ac:dyDescent="0.25">
      <c r="A2"/>
    </row>
    <row r="3" spans="1:65" ht="20"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 customHeight="1" x14ac:dyDescent="0.25">
      <c r="A4"/>
      <c r="BM4" s="3"/>
    </row>
    <row r="5" spans="1:65" ht="20" customHeight="1" x14ac:dyDescent="0.25">
      <c r="A5"/>
      <c r="D5" s="6" t="str" cm="1">
        <f t="array" ref="D5">Common_SourceData.Common_SourceData_AustralianStatesTerritories_Title()</f>
        <v>Australian states and territories</v>
      </c>
      <c r="BM5" s="3"/>
    </row>
    <row r="6" spans="1:65" ht="20" customHeight="1" x14ac:dyDescent="0.25">
      <c r="A6" s="124" t="s">
        <v>1</v>
      </c>
      <c r="D6" s="38" t="s">
        <v>17</v>
      </c>
      <c r="E6" s="38" t="s">
        <v>18</v>
      </c>
      <c r="F6" s="38" t="s">
        <v>19</v>
      </c>
    </row>
    <row r="7" spans="1:65" ht="20" customHeight="1" x14ac:dyDescent="0.25">
      <c r="A7" s="64" t="str">
        <f>HYPERLINK("#'Constants - Common'!A1", "Constants - Common")</f>
        <v>Constants - Common</v>
      </c>
      <c r="D7" s="38" t="str" cm="1">
        <f t="array" ref="D7">Common_InputFunctions.Utility_DisplayArrayInTable(Common_SourceData.Common_SourceData_AustralianStatesTerritories_Data(),Table_AustralianStates[[#Headers],[State/Territory]],0)</f>
        <v>New South Wales</v>
      </c>
      <c r="E7" s="38" t="str" cm="1">
        <f t="array" ref="E7">Common_InputFunctions.Utility_DisplayArrayInTable(Common_SourceData.Common_SourceData_AustralianStatesTerritories_Data(),Table_AustralianStates[[#Headers],[State/Territory]],0)</f>
        <v>New South Wales</v>
      </c>
      <c r="F7" s="38" t="str" cm="1">
        <f t="array" ref="F7">Common_InputFunctions.Utility_DisplayArrayInTable(Common_SourceData.Common_SourceData_AustralianStatesTerritories_Data(),Table_AustralianStates[[#Headers],[State/Territory]],0)</f>
        <v>NSW</v>
      </c>
    </row>
    <row r="8" spans="1:65" ht="20" customHeight="1" x14ac:dyDescent="0.25">
      <c r="A8" s="17" t="str">
        <f>HYPERLINK("#'Acknowledgements'!A1", "Acknowledgements")</f>
        <v>Acknowledgements</v>
      </c>
      <c r="D8" s="38" t="str" cm="1">
        <f t="array" ref="D8">Common_InputFunctions.Utility_DisplayArrayInTable(Common_SourceData.Common_SourceData_AustralianStatesTerritories_Data(),Table_AustralianStates[[#Headers],[State/Territory]],0)</f>
        <v>Australian Capital Territory</v>
      </c>
      <c r="E8" s="38" t="str" cm="1">
        <f t="array" ref="E8">Common_InputFunctions.Utility_DisplayArrayInTable(Common_SourceData.Common_SourceData_AustralianStatesTerritories_Data(),Table_AustralianStates[[#Headers],[State/Territory]],0)</f>
        <v>ACT</v>
      </c>
      <c r="F8" s="38" t="str" cm="1">
        <f t="array" ref="F8">Common_InputFunctions.Utility_DisplayArrayInTable(Common_SourceData.Common_SourceData_AustralianStatesTerritories_Data(),Table_AustralianStates[[#Headers],[State/Territory]],0)</f>
        <v>ACT</v>
      </c>
    </row>
    <row r="9" spans="1:65" ht="20" customHeight="1" x14ac:dyDescent="0.25">
      <c r="A9"/>
      <c r="D9" s="38" t="str" cm="1">
        <f t="array" ref="D9">Common_InputFunctions.Utility_DisplayArrayInTable(Common_SourceData.Common_SourceData_AustralianStatesTerritories_Data(),Table_AustralianStates[[#Headers],[State/Territory]],0)</f>
        <v>Victoria</v>
      </c>
      <c r="E9" s="38" t="str" cm="1">
        <f t="array" ref="E9">Common_InputFunctions.Utility_DisplayArrayInTable(Common_SourceData.Common_SourceData_AustralianStatesTerritories_Data(),Table_AustralianStates[[#Headers],[State/Territory]],0)</f>
        <v>Victoria</v>
      </c>
      <c r="F9" s="38" t="str" cm="1">
        <f t="array" ref="F9">Common_InputFunctions.Utility_DisplayArrayInTable(Common_SourceData.Common_SourceData_AustralianStatesTerritories_Data(),Table_AustralianStates[[#Headers],[State/Territory]],0)</f>
        <v>VIC</v>
      </c>
    </row>
    <row r="10" spans="1:65" ht="20" customHeight="1" x14ac:dyDescent="0.25">
      <c r="A10"/>
      <c r="D10" s="38" t="str" cm="1">
        <f t="array" ref="D10">Common_InputFunctions.Utility_DisplayArrayInTable(Common_SourceData.Common_SourceData_AustralianStatesTerritories_Data(),Table_AustralianStates[[#Headers],[State/Territory]],0)</f>
        <v>Queensland</v>
      </c>
      <c r="E10" s="38" t="str" cm="1">
        <f t="array" ref="E10">Common_InputFunctions.Utility_DisplayArrayInTable(Common_SourceData.Common_SourceData_AustralianStatesTerritories_Data(),Table_AustralianStates[[#Headers],[State/Territory]],0)</f>
        <v>Queensland</v>
      </c>
      <c r="F10" s="38" t="str" cm="1">
        <f t="array" ref="F10">Common_InputFunctions.Utility_DisplayArrayInTable(Common_SourceData.Common_SourceData_AustralianStatesTerritories_Data(),Table_AustralianStates[[#Headers],[State/Territory]],0)</f>
        <v>QLD</v>
      </c>
    </row>
    <row r="11" spans="1:65" ht="20" customHeight="1" x14ac:dyDescent="0.25">
      <c r="A11"/>
      <c r="D11" s="38" t="str" cm="1">
        <f t="array" ref="D11">Common_InputFunctions.Utility_DisplayArrayInTable(Common_SourceData.Common_SourceData_AustralianStatesTerritories_Data(),Table_AustralianStates[[#Headers],[State/Territory]],0)</f>
        <v>South Australia</v>
      </c>
      <c r="E11" s="38" t="str" cm="1">
        <f t="array" ref="E11">Common_InputFunctions.Utility_DisplayArrayInTable(Common_SourceData.Common_SourceData_AustralianStatesTerritories_Data(),Table_AustralianStates[[#Headers],[State/Territory]],0)</f>
        <v>South Australia</v>
      </c>
      <c r="F11" s="38" t="str" cm="1">
        <f t="array" ref="F11">Common_InputFunctions.Utility_DisplayArrayInTable(Common_SourceData.Common_SourceData_AustralianStatesTerritories_Data(),Table_AustralianStates[[#Headers],[State/Territory]],0)</f>
        <v>SA</v>
      </c>
      <c r="BM11" s="3"/>
    </row>
    <row r="12" spans="1:65" ht="20" customHeight="1" x14ac:dyDescent="0.25">
      <c r="A12"/>
      <c r="D12" s="38" t="str" cm="1">
        <f t="array" ref="D12">Common_InputFunctions.Utility_DisplayArrayInTable(Common_SourceData.Common_SourceData_AustralianStatesTerritories_Data(),Table_AustralianStates[[#Headers],[State/Territory]],0)</f>
        <v>Western Australia</v>
      </c>
      <c r="E12" s="38" t="str" cm="1">
        <f t="array" ref="E12">Common_InputFunctions.Utility_DisplayArrayInTable(Common_SourceData.Common_SourceData_AustralianStatesTerritories_Data(),Table_AustralianStates[[#Headers],[State/Territory]],0)</f>
        <v>Western Australia</v>
      </c>
      <c r="F12" s="38" t="str" cm="1">
        <f t="array" ref="F12">Common_InputFunctions.Utility_DisplayArrayInTable(Common_SourceData.Common_SourceData_AustralianStatesTerritories_Data(),Table_AustralianStates[[#Headers],[State/Territory]],0)</f>
        <v>WA</v>
      </c>
      <c r="BM12" s="3"/>
    </row>
    <row r="13" spans="1:65" ht="20" customHeight="1" x14ac:dyDescent="0.25">
      <c r="A13"/>
      <c r="D13" s="38" t="str" cm="1">
        <f t="array" ref="D13">Common_InputFunctions.Utility_DisplayArrayInTable(Common_SourceData.Common_SourceData_AustralianStatesTerritories_Data(),Table_AustralianStates[[#Headers],[State/Territory]],0)</f>
        <v>Tasmania</v>
      </c>
      <c r="E13" s="38" t="str" cm="1">
        <f t="array" ref="E13">Common_InputFunctions.Utility_DisplayArrayInTable(Common_SourceData.Common_SourceData_AustralianStatesTerritories_Data(),Table_AustralianStates[[#Headers],[State/Territory]],0)</f>
        <v>Tasmania</v>
      </c>
      <c r="F13" s="38" t="str" cm="1">
        <f t="array" ref="F13">Common_InputFunctions.Utility_DisplayArrayInTable(Common_SourceData.Common_SourceData_AustralianStatesTerritories_Data(),Table_AustralianStates[[#Headers],[State/Territory]],0)</f>
        <v>TAS</v>
      </c>
    </row>
    <row r="14" spans="1:65" ht="20" customHeight="1" x14ac:dyDescent="0.25">
      <c r="A14"/>
      <c r="D14" s="38" t="str" cm="1">
        <f t="array" ref="D14">Common_InputFunctions.Utility_DisplayArrayInTable(Common_SourceData.Common_SourceData_AustralianStatesTerritories_Data(),Table_AustralianStates[[#Headers],[State/Territory]],0)</f>
        <v>Northern Territory</v>
      </c>
      <c r="E14" s="38" t="str" cm="1">
        <f t="array" ref="E14">Common_InputFunctions.Utility_DisplayArrayInTable(Common_SourceData.Common_SourceData_AustralianStatesTerritories_Data(),Table_AustralianStates[[#Headers],[State/Territory]],0)</f>
        <v>Northern Territory</v>
      </c>
      <c r="F14" s="38" t="str" cm="1">
        <f t="array" ref="F14">Common_InputFunctions.Utility_DisplayArrayInTable(Common_SourceData.Common_SourceData_AustralianStatesTerritories_Data(),Table_AustralianStates[[#Headers],[State/Territory]],0)</f>
        <v>NT</v>
      </c>
    </row>
    <row r="15" spans="1:65" ht="20" customHeight="1" x14ac:dyDescent="0.25">
      <c r="A15"/>
    </row>
    <row r="16" spans="1:65" ht="20" customHeight="1" x14ac:dyDescent="0.25">
      <c r="A16"/>
    </row>
    <row r="17" spans="1:4" ht="20" customHeight="1" x14ac:dyDescent="0.25">
      <c r="A17"/>
    </row>
    <row r="18" spans="1:4" ht="20" customHeight="1" x14ac:dyDescent="0.25">
      <c r="A18"/>
      <c r="D18" s="6" t="str" cm="1">
        <f t="array" ref="D18">Common_SourceData.Common_SourceData_WASA4Areas_Title()</f>
        <v>ABS Statistcal Areas Level 4 - Western Australia</v>
      </c>
    </row>
    <row r="19" spans="1:4" ht="20" customHeight="1" x14ac:dyDescent="0.25">
      <c r="A19"/>
      <c r="D19" s="5" t="str" cm="1">
        <f t="array" ref="D19">Common_SourceData.Common_SourceData_WASA4Areas_Source()</f>
        <v>Australian Bureau of Statistics (ABS) - Statistical Areas Level 2 - 2021 - Shapefile</v>
      </c>
    </row>
    <row r="20" spans="1:4" ht="20" customHeight="1" x14ac:dyDescent="0.25">
      <c r="A20"/>
      <c r="D20" s="38" t="s">
        <v>20</v>
      </c>
    </row>
    <row r="21" spans="1:4" ht="20" customHeight="1" x14ac:dyDescent="0.25">
      <c r="A21"/>
      <c r="D21" s="38" t="str" cm="1">
        <f t="array" ref="D21">Common_InputFunctions.Utility_DisplayArrayInTable(Common_SourceData.Common_SourceData_WASA4Areas_Data(), Table_WASA4Areas[[#Headers],[SA 4 Name]], 0)</f>
        <v>Bunbury</v>
      </c>
    </row>
    <row r="22" spans="1:4" ht="20" customHeight="1" x14ac:dyDescent="0.25">
      <c r="A22"/>
      <c r="D22" s="38" t="str" cm="1">
        <f t="array" ref="D22">Common_InputFunctions.Utility_DisplayArrayInTable(Common_SourceData.Common_SourceData_WASA4Areas_Data(), Table_WASA4Areas[[#Headers],[SA 4 Name]], 0)</f>
        <v>Mandurah</v>
      </c>
    </row>
    <row r="23" spans="1:4" ht="20" customHeight="1" x14ac:dyDescent="0.25">
      <c r="A23"/>
      <c r="D23" s="38" t="str" cm="1">
        <f t="array" ref="D23">Common_InputFunctions.Utility_DisplayArrayInTable(Common_SourceData.Common_SourceData_WASA4Areas_Data(), Table_WASA4Areas[[#Headers],[SA 4 Name]], 0)</f>
        <v>Perth - Inner</v>
      </c>
    </row>
    <row r="24" spans="1:4" ht="20" customHeight="1" x14ac:dyDescent="0.25">
      <c r="A24"/>
      <c r="D24" s="38" t="str" cm="1">
        <f t="array" ref="D24">Common_InputFunctions.Utility_DisplayArrayInTable(Common_SourceData.Common_SourceData_WASA4Areas_Data(), Table_WASA4Areas[[#Headers],[SA 4 Name]], 0)</f>
        <v>Perth - North East</v>
      </c>
    </row>
    <row r="25" spans="1:4" ht="20" customHeight="1" x14ac:dyDescent="0.25">
      <c r="A25"/>
      <c r="D25" s="38" t="str" cm="1">
        <f t="array" ref="D25">Common_InputFunctions.Utility_DisplayArrayInTable(Common_SourceData.Common_SourceData_WASA4Areas_Data(), Table_WASA4Areas[[#Headers],[SA 4 Name]], 0)</f>
        <v>Perth - North West</v>
      </c>
    </row>
    <row r="26" spans="1:4" ht="20" customHeight="1" x14ac:dyDescent="0.25">
      <c r="A26"/>
      <c r="D26" s="38" t="str" cm="1">
        <f t="array" ref="D26">Common_InputFunctions.Utility_DisplayArrayInTable(Common_SourceData.Common_SourceData_WASA4Areas_Data(), Table_WASA4Areas[[#Headers],[SA 4 Name]], 0)</f>
        <v>Perth - South East</v>
      </c>
    </row>
    <row r="27" spans="1:4" ht="20" customHeight="1" x14ac:dyDescent="0.25">
      <c r="A27"/>
      <c r="D27" s="38" t="str" cm="1">
        <f t="array" ref="D27">Common_InputFunctions.Utility_DisplayArrayInTable(Common_SourceData.Common_SourceData_WASA4Areas_Data(), Table_WASA4Areas[[#Headers],[SA 4 Name]], 0)</f>
        <v>Perth - South West</v>
      </c>
    </row>
    <row r="28" spans="1:4" ht="20" customHeight="1" x14ac:dyDescent="0.25">
      <c r="A28"/>
      <c r="D28" s="38" t="str" cm="1">
        <f t="array" ref="D28">Common_InputFunctions.Utility_DisplayArrayInTable(Common_SourceData.Common_SourceData_WASA4Areas_Data(), Table_WASA4Areas[[#Headers],[SA 4 Name]], 0)</f>
        <v>Western Australia - Wheat Belt</v>
      </c>
    </row>
    <row r="29" spans="1:4" ht="20" customHeight="1" x14ac:dyDescent="0.25">
      <c r="A29"/>
      <c r="D29" s="38" t="str" cm="1">
        <f t="array" ref="D29">Common_InputFunctions.Utility_DisplayArrayInTable(Common_SourceData.Common_SourceData_WASA4Areas_Data(), Table_WASA4Areas[[#Headers],[SA 4 Name]], 0)</f>
        <v>Western Australia - Outback (North)</v>
      </c>
    </row>
    <row r="30" spans="1:4" ht="20" customHeight="1" x14ac:dyDescent="0.25">
      <c r="A30"/>
      <c r="D30" s="38" t="str" cm="1">
        <f t="array" ref="D30">Common_InputFunctions.Utility_DisplayArrayInTable(Common_SourceData.Common_SourceData_WASA4Areas_Data(), Table_WASA4Areas[[#Headers],[SA 4 Name]], 0)</f>
        <v>Western Australia - Outback (South)</v>
      </c>
    </row>
    <row r="31" spans="1:4" ht="20" customHeight="1" x14ac:dyDescent="0.25">
      <c r="A31"/>
    </row>
    <row r="32" spans="1:4" ht="20" customHeight="1" x14ac:dyDescent="0.25">
      <c r="A32"/>
    </row>
    <row r="33" spans="1:8" ht="20" customHeight="1" x14ac:dyDescent="0.25">
      <c r="A33"/>
    </row>
    <row r="34" spans="1:8" ht="20" customHeight="1" x14ac:dyDescent="0.25">
      <c r="A34"/>
      <c r="D34" s="6" t="str" cm="1">
        <f t="array" ref="D34">Common_SourceData.Common_SourceData_GWP_Title()</f>
        <v>Global warming potential for greenhouse gases</v>
      </c>
    </row>
    <row r="35" spans="1:8" ht="20" customHeight="1" x14ac:dyDescent="0.25">
      <c r="A35"/>
      <c r="D35" s="5" t="str" cm="1">
        <f t="array" ref="D35">Common_SourceData.Common_SourceData_GWP_Source()</f>
        <v>XXXXXXX</v>
      </c>
    </row>
    <row r="36" spans="1:8" ht="20" customHeight="1" x14ac:dyDescent="0.25">
      <c r="A36"/>
      <c r="D36" s="38" t="s">
        <v>23</v>
      </c>
      <c r="E36" s="38" t="s">
        <v>24</v>
      </c>
    </row>
    <row r="37" spans="1:8" ht="20" customHeight="1" x14ac:dyDescent="0.25">
      <c r="A37"/>
      <c r="D37" s="38" t="str" cm="1">
        <f t="array" ref="D37">Common_InputFunctions.Utility_DisplayArrayInTable(Common_SourceData.Common_SourceData_GWP_Data(), Table_GWPData[[#Headers],[Gas]], 0)</f>
        <v>CO2</v>
      </c>
      <c r="E37" s="38" cm="1">
        <f t="array" ref="E37">Common_InputFunctions.Utility_DisplayArrayInTable(Common_SourceData.Common_SourceData_GWP_Data(), Table_GWPData[[#Headers],[Gas]], 0)</f>
        <v>1</v>
      </c>
    </row>
    <row r="38" spans="1:8" ht="20" customHeight="1" x14ac:dyDescent="0.25">
      <c r="A38"/>
      <c r="D38" s="38" t="str" cm="1">
        <f t="array" ref="D38">Common_InputFunctions.Utility_DisplayArrayInTable(Common_SourceData.Common_SourceData_GWP_Data(), Table_GWPData[[#Headers],[Gas]], 0)</f>
        <v>CH4</v>
      </c>
      <c r="E38" s="38" cm="1">
        <f t="array" ref="E38">Common_InputFunctions.Utility_DisplayArrayInTable(Common_SourceData.Common_SourceData_GWP_Data(), Table_GWPData[[#Headers],[Gas]], 0)</f>
        <v>28</v>
      </c>
    </row>
    <row r="39" spans="1:8" ht="20" customHeight="1" x14ac:dyDescent="0.25">
      <c r="A39"/>
      <c r="D39" s="38" t="str" cm="1">
        <f t="array" ref="D39">Common_InputFunctions.Utility_DisplayArrayInTable(Common_SourceData.Common_SourceData_GWP_Data(), Table_GWPData[[#Headers],[Gas]], 0)</f>
        <v>N2O</v>
      </c>
      <c r="E39" s="38" cm="1">
        <f t="array" ref="E39">Common_InputFunctions.Utility_DisplayArrayInTable(Common_SourceData.Common_SourceData_GWP_Data(), Table_GWPData[[#Headers],[Gas]], 0)</f>
        <v>265</v>
      </c>
    </row>
    <row r="40" spans="1:8" ht="20" customHeight="1" x14ac:dyDescent="0.25">
      <c r="A40"/>
      <c r="D40" s="38" t="str" cm="1">
        <f t="array" ref="D40">Common_InputFunctions.Utility_DisplayArrayInTable(Common_SourceData.Common_SourceData_GWP_Data(), Table_GWPData[[#Headers],[Gas]], 0)</f>
        <v>CF4</v>
      </c>
      <c r="E40" s="38" cm="1">
        <f t="array" ref="E40">Common_InputFunctions.Utility_DisplayArrayInTable(Common_SourceData.Common_SourceData_GWP_Data(), Table_GWPData[[#Headers],[Gas]], 0)</f>
        <v>6630</v>
      </c>
    </row>
    <row r="41" spans="1:8" ht="20" customHeight="1" x14ac:dyDescent="0.25">
      <c r="A41"/>
      <c r="D41" s="38" t="str" cm="1">
        <f t="array" ref="D41">Common_InputFunctions.Utility_DisplayArrayInTable(Common_SourceData.Common_SourceData_GWP_Data(), Table_GWPData[[#Headers],[Gas]], 0)</f>
        <v>C2F6</v>
      </c>
      <c r="E41" s="38" cm="1">
        <f t="array" ref="E41">Common_InputFunctions.Utility_DisplayArrayInTable(Common_SourceData.Common_SourceData_GWP_Data(), Table_GWPData[[#Headers],[Gas]], 0)</f>
        <v>12200</v>
      </c>
    </row>
    <row r="42" spans="1:8" ht="20" customHeight="1" x14ac:dyDescent="0.25">
      <c r="A42"/>
      <c r="D42" s="38" t="str" cm="1">
        <f t="array" ref="D42">Common_InputFunctions.Utility_DisplayArrayInTable(Common_SourceData.Common_SourceData_GWP_Data(), Table_GWPData[[#Headers],[Gas]], 0)</f>
        <v>SF6</v>
      </c>
      <c r="E42" s="38" cm="1">
        <f t="array" ref="E42">Common_InputFunctions.Utility_DisplayArrayInTable(Common_SourceData.Common_SourceData_GWP_Data(), Table_GWPData[[#Headers],[Gas]], 0)</f>
        <v>22800</v>
      </c>
    </row>
    <row r="43" spans="1:8" ht="20" customHeight="1" x14ac:dyDescent="0.25">
      <c r="A43"/>
      <c r="D43" s="38" t="str" cm="1">
        <f t="array" ref="D43">Common_InputFunctions.Utility_DisplayArrayInTable(Common_SourceData.Common_SourceData_GWP_Data(), Table_GWPData[[#Headers],[Gas]], 0)</f>
        <v>NF3</v>
      </c>
      <c r="E43" s="38" cm="1">
        <f t="array" ref="E43">Common_InputFunctions.Utility_DisplayArrayInTable(Common_SourceData.Common_SourceData_GWP_Data(), Table_GWPData[[#Headers],[Gas]], 0)</f>
        <v>17200</v>
      </c>
    </row>
    <row r="44" spans="1:8" ht="20" customHeight="1" x14ac:dyDescent="0.25">
      <c r="A44"/>
    </row>
    <row r="45" spans="1:8" ht="20" customHeight="1" x14ac:dyDescent="0.25">
      <c r="A45"/>
      <c r="D45" s="6" t="str" cm="1">
        <f t="array" ref="D45">Common_SourceData.Common_SourceData_ConvertGasElementalToMolecular_Title()</f>
        <v>Factor to convert elemental mass of gas to molecular mass</v>
      </c>
    </row>
    <row r="46" spans="1:8" ht="20" customHeight="1" x14ac:dyDescent="0.25">
      <c r="A46"/>
      <c r="D46" s="5" t="str" cm="1">
        <f t="array" ref="D46">Common_SourceData.Common_SourceData_ConvertGasElementalToMolecular_Source()</f>
        <v>XXXXXXX</v>
      </c>
    </row>
    <row r="47" spans="1:8" ht="20" customHeight="1" x14ac:dyDescent="0.25">
      <c r="A47"/>
      <c r="D47" s="38" t="s">
        <v>23</v>
      </c>
      <c r="E47" s="38" t="s">
        <v>26</v>
      </c>
      <c r="F47" s="38" t="s">
        <v>27</v>
      </c>
      <c r="G47" s="38" t="s">
        <v>28</v>
      </c>
      <c r="H47" s="38" t="s">
        <v>29</v>
      </c>
    </row>
    <row r="48" spans="1:8" ht="20" customHeight="1" x14ac:dyDescent="0.25">
      <c r="A48"/>
      <c r="D48" s="38" t="str" cm="1">
        <f t="array" ref="D48">Common_InputFunctions.Utility_DisplayArrayInTable(Common_SourceData.Common_SourceData_ConvertGasElementalToMolecular_Data(),Table_GasToMolecularConversionFactor[[#Headers],[Gas]], 0)</f>
        <v>CO2</v>
      </c>
      <c r="E48" s="38" t="str" cm="1">
        <f t="array" ref="E48">Common_InputFunctions.Utility_DisplayArrayInTable(Common_SourceData.Common_SourceData_ConvertGasElementalToMolecular_Data(),Table_GasToMolecularConversionFactor[[#Headers],[Gas]], 0)</f>
        <v>44/12</v>
      </c>
      <c r="F48" s="38" cm="1">
        <f t="array" ref="F48">Common_InputFunctions.Utility_DisplayArrayInTable(Common_SourceData.Common_SourceData_ConvertGasElementalToMolecular_Data(),Table_GasToMolecularConversionFactor[[#Headers],[Gas]], 0)</f>
        <v>44</v>
      </c>
      <c r="G48" s="38" cm="1">
        <f t="array" ref="G48">Common_InputFunctions.Utility_DisplayArrayInTable(Common_SourceData.Common_SourceData_ConvertGasElementalToMolecular_Data(),Table_GasToMolecularConversionFactor[[#Headers],[Gas]], 0)</f>
        <v>12</v>
      </c>
      <c r="H48" s="38">
        <f>Table_GasToMolecularConversionFactor[[#This Row],[Conversion factor 1]]/Table_GasToMolecularConversionFactor[[#This Row],[Conversion factor 2]]</f>
        <v>3.6666666666666665</v>
      </c>
    </row>
    <row r="49" spans="1:8" ht="20" customHeight="1" x14ac:dyDescent="0.25">
      <c r="A49"/>
      <c r="D49" s="38" t="str" cm="1">
        <f t="array" ref="D49">Common_InputFunctions.Utility_DisplayArrayInTable(Common_SourceData.Common_SourceData_ConvertGasElementalToMolecular_Data(),Table_GasToMolecularConversionFactor[[#Headers],[Gas]], 0)</f>
        <v>CH4</v>
      </c>
      <c r="E49" s="38" t="str" cm="1">
        <f t="array" ref="E49">Common_InputFunctions.Utility_DisplayArrayInTable(Common_SourceData.Common_SourceData_ConvertGasElementalToMolecular_Data(),Table_GasToMolecularConversionFactor[[#Headers],[Gas]], 0)</f>
        <v>16/12</v>
      </c>
      <c r="F49" s="38" cm="1">
        <f t="array" ref="F49">Common_InputFunctions.Utility_DisplayArrayInTable(Common_SourceData.Common_SourceData_ConvertGasElementalToMolecular_Data(),Table_GasToMolecularConversionFactor[[#Headers],[Gas]], 0)</f>
        <v>16</v>
      </c>
      <c r="G49" s="38" cm="1">
        <f t="array" ref="G49">Common_InputFunctions.Utility_DisplayArrayInTable(Common_SourceData.Common_SourceData_ConvertGasElementalToMolecular_Data(),Table_GasToMolecularConversionFactor[[#Headers],[Gas]], 0)</f>
        <v>12</v>
      </c>
      <c r="H49" s="38">
        <f>Table_GasToMolecularConversionFactor[[#This Row],[Conversion factor 1]]/Table_GasToMolecularConversionFactor[[#This Row],[Conversion factor 2]]</f>
        <v>1.3333333333333333</v>
      </c>
    </row>
    <row r="50" spans="1:8" ht="20" customHeight="1" x14ac:dyDescent="0.25">
      <c r="A50"/>
      <c r="D50" s="38" t="str" cm="1">
        <f t="array" ref="D50">Common_InputFunctions.Utility_DisplayArrayInTable(Common_SourceData.Common_SourceData_ConvertGasElementalToMolecular_Data(),Table_GasToMolecularConversionFactor[[#Headers],[Gas]], 0)</f>
        <v>N2O</v>
      </c>
      <c r="E50" s="38" t="str" cm="1">
        <f t="array" ref="E50">Common_InputFunctions.Utility_DisplayArrayInTable(Common_SourceData.Common_SourceData_ConvertGasElementalToMolecular_Data(),Table_GasToMolecularConversionFactor[[#Headers],[Gas]], 0)</f>
        <v>44/28</v>
      </c>
      <c r="F50" s="38" cm="1">
        <f t="array" ref="F50">Common_InputFunctions.Utility_DisplayArrayInTable(Common_SourceData.Common_SourceData_ConvertGasElementalToMolecular_Data(),Table_GasToMolecularConversionFactor[[#Headers],[Gas]], 0)</f>
        <v>44</v>
      </c>
      <c r="G50" s="38" cm="1">
        <f t="array" ref="G50">Common_InputFunctions.Utility_DisplayArrayInTable(Common_SourceData.Common_SourceData_ConvertGasElementalToMolecular_Data(),Table_GasToMolecularConversionFactor[[#Headers],[Gas]], 0)</f>
        <v>28</v>
      </c>
      <c r="H50" s="38">
        <f>Table_GasToMolecularConversionFactor[[#This Row],[Conversion factor 1]]/Table_GasToMolecularConversionFactor[[#This Row],[Conversion factor 2]]</f>
        <v>1.5714285714285714</v>
      </c>
    </row>
    <row r="51" spans="1:8" ht="20" customHeight="1" x14ac:dyDescent="0.25">
      <c r="A51"/>
      <c r="D51" s="38" t="str" cm="1">
        <f t="array" ref="D51">Common_InputFunctions.Utility_DisplayArrayInTable(Common_SourceData.Common_SourceData_ConvertGasElementalToMolecular_Data(),Table_GasToMolecularConversionFactor[[#Headers],[Gas]], 0)</f>
        <v>Nox</v>
      </c>
      <c r="E51" s="38" t="str" cm="1">
        <f t="array" ref="E51">Common_InputFunctions.Utility_DisplayArrayInTable(Common_SourceData.Common_SourceData_ConvertGasElementalToMolecular_Data(),Table_GasToMolecularConversionFactor[[#Headers],[Gas]], 0)</f>
        <v>46/14</v>
      </c>
      <c r="F51" s="38" cm="1">
        <f t="array" ref="F51">Common_InputFunctions.Utility_DisplayArrayInTable(Common_SourceData.Common_SourceData_ConvertGasElementalToMolecular_Data(),Table_GasToMolecularConversionFactor[[#Headers],[Gas]], 0)</f>
        <v>46</v>
      </c>
      <c r="G51" s="38" cm="1">
        <f t="array" ref="G51">Common_InputFunctions.Utility_DisplayArrayInTable(Common_SourceData.Common_SourceData_ConvertGasElementalToMolecular_Data(),Table_GasToMolecularConversionFactor[[#Headers],[Gas]], 0)</f>
        <v>14</v>
      </c>
      <c r="H51" s="38">
        <f>Table_GasToMolecularConversionFactor[[#This Row],[Conversion factor 1]]/Table_GasToMolecularConversionFactor[[#This Row],[Conversion factor 2]]</f>
        <v>3.2857142857142856</v>
      </c>
    </row>
    <row r="52" spans="1:8" ht="20" customHeight="1" x14ac:dyDescent="0.25">
      <c r="A52"/>
      <c r="D52" s="38" t="str" cm="1">
        <f t="array" ref="D52">Common_InputFunctions.Utility_DisplayArrayInTable(Common_SourceData.Common_SourceData_ConvertGasElementalToMolecular_Data(),Table_GasToMolecularConversionFactor[[#Headers],[Gas]], 0)</f>
        <v>CO</v>
      </c>
      <c r="E52" s="38" t="str" cm="1">
        <f t="array" ref="E52">Common_InputFunctions.Utility_DisplayArrayInTable(Common_SourceData.Common_SourceData_ConvertGasElementalToMolecular_Data(),Table_GasToMolecularConversionFactor[[#Headers],[Gas]], 0)</f>
        <v>28/12</v>
      </c>
      <c r="F52" s="38" cm="1">
        <f t="array" ref="F52">Common_InputFunctions.Utility_DisplayArrayInTable(Common_SourceData.Common_SourceData_ConvertGasElementalToMolecular_Data(),Table_GasToMolecularConversionFactor[[#Headers],[Gas]], 0)</f>
        <v>28</v>
      </c>
      <c r="G52" s="38" cm="1">
        <f t="array" ref="G52">Common_InputFunctions.Utility_DisplayArrayInTable(Common_SourceData.Common_SourceData_ConvertGasElementalToMolecular_Data(),Table_GasToMolecularConversionFactor[[#Headers],[Gas]], 0)</f>
        <v>12</v>
      </c>
      <c r="H52" s="38">
        <f>Table_GasToMolecularConversionFactor[[#This Row],[Conversion factor 1]]/Table_GasToMolecularConversionFactor[[#This Row],[Conversion factor 2]]</f>
        <v>2.3333333333333335</v>
      </c>
    </row>
    <row r="53" spans="1:8" ht="20" customHeight="1" x14ac:dyDescent="0.25">
      <c r="A53"/>
      <c r="D53" s="38" t="str" cm="1">
        <f t="array" ref="D53">Common_InputFunctions.Utility_DisplayArrayInTable(Common_SourceData.Common_SourceData_ConvertGasElementalToMolecular_Data(),Table_GasToMolecularConversionFactor[[#Headers],[Gas]], 0)</f>
        <v>CO2 Lime</v>
      </c>
      <c r="E53" s="38" t="str" cm="1">
        <f t="array" ref="E53">Common_InputFunctions.Utility_DisplayArrayInTable(Common_SourceData.Common_SourceData_ConvertGasElementalToMolecular_Data(),Table_GasToMolecularConversionFactor[[#Headers],[Gas]], 0)</f>
        <v>44/12</v>
      </c>
      <c r="F53" s="38" cm="1">
        <f t="array" ref="F53">Common_InputFunctions.Utility_DisplayArrayInTable(Common_SourceData.Common_SourceData_ConvertGasElementalToMolecular_Data(),Table_GasToMolecularConversionFactor[[#Headers],[Gas]], 0)</f>
        <v>44</v>
      </c>
      <c r="G53" s="38" cm="1">
        <f t="array" ref="G53">Common_InputFunctions.Utility_DisplayArrayInTable(Common_SourceData.Common_SourceData_ConvertGasElementalToMolecular_Data(),Table_GasToMolecularConversionFactor[[#Headers],[Gas]], 0)</f>
        <v>12</v>
      </c>
      <c r="H53" s="38">
        <f>Table_GasToMolecularConversionFactor[[#This Row],[Conversion factor 1]]/Table_GasToMolecularConversionFactor[[#This Row],[Conversion factor 2]]</f>
        <v>3.6666666666666665</v>
      </c>
    </row>
    <row r="54" spans="1:8" ht="20" customHeight="1" x14ac:dyDescent="0.25">
      <c r="A54"/>
      <c r="D54" s="38" t="str" cm="1">
        <f t="array" ref="D54">Common_InputFunctions.Utility_DisplayArrayInTable(Common_SourceData.Common_SourceData_ConvertGasElementalToMolecular_Data(),Table_GasToMolecularConversionFactor[[#Headers],[Gas]], 0)</f>
        <v>NMVOC</v>
      </c>
      <c r="E54" s="38" t="str" cm="1">
        <f t="array" ref="E54">Common_InputFunctions.Utility_DisplayArrayInTable(Common_SourceData.Common_SourceData_ConvertGasElementalToMolecular_Data(),Table_GasToMolecularConversionFactor[[#Headers],[Gas]], 0)</f>
        <v>14/12</v>
      </c>
      <c r="F54" s="38" cm="1">
        <f t="array" ref="F54">Common_InputFunctions.Utility_DisplayArrayInTable(Common_SourceData.Common_SourceData_ConvertGasElementalToMolecular_Data(),Table_GasToMolecularConversionFactor[[#Headers],[Gas]], 0)</f>
        <v>14</v>
      </c>
      <c r="G54" s="38" cm="1">
        <f t="array" ref="G54">Common_InputFunctions.Utility_DisplayArrayInTable(Common_SourceData.Common_SourceData_ConvertGasElementalToMolecular_Data(),Table_GasToMolecularConversionFactor[[#Headers],[Gas]], 0)</f>
        <v>12</v>
      </c>
      <c r="H54" s="38">
        <f>Table_GasToMolecularConversionFactor[[#This Row],[Conversion factor 1]]/Table_GasToMolecularConversionFactor[[#This Row],[Conversion factor 2]]</f>
        <v>1.1666666666666667</v>
      </c>
    </row>
    <row r="55" spans="1:8" ht="20" customHeight="1" x14ac:dyDescent="0.25">
      <c r="A55"/>
    </row>
    <row r="56" spans="1:8" ht="20" customHeight="1" x14ac:dyDescent="0.25">
      <c r="A56"/>
    </row>
    <row r="57" spans="1:8" ht="20" customHeight="1" x14ac:dyDescent="0.25">
      <c r="A57"/>
      <c r="D57" s="6" t="str" cm="1">
        <f t="array" ref="D57">Common_SourceData.Common_SourceData_WetAndDryZones_Title()</f>
        <v>VEERG Australian wet and dry zones</v>
      </c>
    </row>
    <row r="58" spans="1:8" ht="20" customHeight="1" x14ac:dyDescent="0.25">
      <c r="A58"/>
      <c r="D58" s="5" t="str" cm="1">
        <f t="array" ref="D58">Common_SourceData.Common_SourceData_WetAndDryZones_Source()</f>
        <v>VEERG 2026: Table 1.2: Translating climate zones to wet and dry zones</v>
      </c>
    </row>
    <row r="59" spans="1:8" ht="20" customHeight="1" x14ac:dyDescent="0.25">
      <c r="A59"/>
      <c r="D59" s="54" t="str" cm="1">
        <f t="array" ref="D59:D61">"⚠️" &amp; Common_SourceData.Common_SourceData_WetAndDryZones_Variation()</f>
        <v>⚠️VARIATION OF SOURCE DATA:</v>
      </c>
    </row>
    <row r="60" spans="1:8" ht="20" customHeight="1" x14ac:dyDescent="0.25">
      <c r="A60"/>
      <c r="D60" s="54" t="str">
        <v>⚠️Added warm / cool temperate moist / dry - low frost and high temp classes to accommodate climate scenarios excluded by VEERG criteria.</v>
      </c>
    </row>
    <row r="61" spans="1:8" ht="20" customHeight="1" x14ac:dyDescent="0.25">
      <c r="A61"/>
      <c r="D61" s="54" t="str">
        <v>⚠️Fixed typo - Changed 'Fry' to 'Dry'.</v>
      </c>
    </row>
    <row r="62" spans="1:8" ht="20" customHeight="1" x14ac:dyDescent="0.25">
      <c r="A62"/>
    </row>
    <row r="63" spans="1:8" ht="20" customHeight="1" x14ac:dyDescent="0.25">
      <c r="A63"/>
      <c r="D63" s="38" t="s">
        <v>7</v>
      </c>
      <c r="E63" s="38" t="s">
        <v>44</v>
      </c>
    </row>
    <row r="64" spans="1:8" ht="20" customHeight="1" x14ac:dyDescent="0.25">
      <c r="A64"/>
      <c r="D64" s="38" t="str" cm="1">
        <f t="array" ref="D64">Common_InputFunctions.Utility_DisplayArrayInTable(Common_SourceData.Common_SourceData_WetAndDryZones_Data(), Table_SourceData_WetDryZones[[#Headers],[Climate zone]], 0)</f>
        <v>Tropical montane</v>
      </c>
      <c r="E64" s="38" t="str" cm="1">
        <f t="array" ref="E64">Common_InputFunctions.Utility_DisplayArrayInTable(Common_SourceData.Common_SourceData_WetAndDryZones_Data(), Table_SourceData_WetDryZones[[#Headers],[Climate zone]], 0)</f>
        <v>Wet climate zone</v>
      </c>
    </row>
    <row r="65" spans="1:5" ht="20" customHeight="1" x14ac:dyDescent="0.25">
      <c r="A65"/>
      <c r="D65" s="38" t="str" cm="1">
        <f t="array" ref="D65">Common_InputFunctions.Utility_DisplayArrayInTable(Common_SourceData.Common_SourceData_WetAndDryZones_Data(), Table_SourceData_WetDryZones[[#Headers],[Climate zone]], 0)</f>
        <v>Tropical wet</v>
      </c>
      <c r="E65" s="38" t="str" cm="1">
        <f t="array" ref="E65">Common_InputFunctions.Utility_DisplayArrayInTable(Common_SourceData.Common_SourceData_WetAndDryZones_Data(), Table_SourceData_WetDryZones[[#Headers],[Climate zone]], 0)</f>
        <v>Wet climate zone</v>
      </c>
    </row>
    <row r="66" spans="1:5" ht="20" customHeight="1" x14ac:dyDescent="0.25">
      <c r="A66"/>
      <c r="D66" s="38" t="str" cm="1">
        <f t="array" ref="D66">Common_InputFunctions.Utility_DisplayArrayInTable(Common_SourceData.Common_SourceData_WetAndDryZones_Data(), Table_SourceData_WetDryZones[[#Headers],[Climate zone]], 0)</f>
        <v>Tropical moist</v>
      </c>
      <c r="E66" s="38" t="str" cm="1">
        <f t="array" ref="E66">Common_InputFunctions.Utility_DisplayArrayInTable(Common_SourceData.Common_SourceData_WetAndDryZones_Data(), Table_SourceData_WetDryZones[[#Headers],[Climate zone]], 0)</f>
        <v>Wet climate zone</v>
      </c>
    </row>
    <row r="67" spans="1:5" ht="20" customHeight="1" x14ac:dyDescent="0.25">
      <c r="A67"/>
      <c r="D67" s="38" t="str" cm="1">
        <f t="array" ref="D67">Common_InputFunctions.Utility_DisplayArrayInTable(Common_SourceData.Common_SourceData_WetAndDryZones_Data(), Table_SourceData_WetDryZones[[#Headers],[Climate zone]], 0)</f>
        <v>Tropical dry</v>
      </c>
      <c r="E67" s="38" t="str" cm="1">
        <f t="array" ref="E67">Common_InputFunctions.Utility_DisplayArrayInTable(Common_SourceData.Common_SourceData_WetAndDryZones_Data(), Table_SourceData_WetDryZones[[#Headers],[Climate zone]], 0)</f>
        <v>Dry climate zone</v>
      </c>
    </row>
    <row r="68" spans="1:5" ht="20" customHeight="1" x14ac:dyDescent="0.25">
      <c r="A68"/>
      <c r="D68" s="38" t="str" cm="1">
        <f t="array" ref="D68">Common_InputFunctions.Utility_DisplayArrayInTable(Common_SourceData.Common_SourceData_WetAndDryZones_Data(), Table_SourceData_WetDryZones[[#Headers],[Climate zone]], 0)</f>
        <v>Warm temperate moist</v>
      </c>
      <c r="E68" s="38" t="str" cm="1">
        <f t="array" ref="E68">Common_InputFunctions.Utility_DisplayArrayInTable(Common_SourceData.Common_SourceData_WetAndDryZones_Data(), Table_SourceData_WetDryZones[[#Headers],[Climate zone]], 0)</f>
        <v>Wet climate zone</v>
      </c>
    </row>
    <row r="69" spans="1:5" ht="20" customHeight="1" x14ac:dyDescent="0.25">
      <c r="A69"/>
      <c r="D69" s="38" t="str" cm="1">
        <f t="array" ref="D69">Common_InputFunctions.Utility_DisplayArrayInTable(Common_SourceData.Common_SourceData_WetAndDryZones_Data(), Table_SourceData_WetDryZones[[#Headers],[Climate zone]], 0)</f>
        <v>Warm temperate dry</v>
      </c>
      <c r="E69" s="38" t="str" cm="1">
        <f t="array" ref="E69">Common_InputFunctions.Utility_DisplayArrayInTable(Common_SourceData.Common_SourceData_WetAndDryZones_Data(), Table_SourceData_WetDryZones[[#Headers],[Climate zone]], 0)</f>
        <v>Dry climate zone</v>
      </c>
    </row>
    <row r="70" spans="1:5" ht="20" customHeight="1" x14ac:dyDescent="0.25">
      <c r="A70"/>
      <c r="D70" s="38" t="str" cm="1">
        <f t="array" ref="D70">Common_InputFunctions.Utility_DisplayArrayInTable(Common_SourceData.Common_SourceData_WetAndDryZones_Data(), Table_SourceData_WetDryZones[[#Headers],[Climate zone]], 0)</f>
        <v>Cool temperate moist</v>
      </c>
      <c r="E70" s="38" t="str" cm="1">
        <f t="array" ref="E70">Common_InputFunctions.Utility_DisplayArrayInTable(Common_SourceData.Common_SourceData_WetAndDryZones_Data(), Table_SourceData_WetDryZones[[#Headers],[Climate zone]], 0)</f>
        <v>Wet climate zone</v>
      </c>
    </row>
    <row r="71" spans="1:5" ht="20" customHeight="1" x14ac:dyDescent="0.25">
      <c r="A71"/>
      <c r="D71" s="38" t="str" cm="1">
        <f t="array" ref="D71">Common_InputFunctions.Utility_DisplayArrayInTable(Common_SourceData.Common_SourceData_WetAndDryZones_Data(), Table_SourceData_WetDryZones[[#Headers],[Climate zone]], 0)</f>
        <v>Cool temperate dry</v>
      </c>
      <c r="E71" s="38" t="str" cm="1">
        <f t="array" ref="E71">Common_InputFunctions.Utility_DisplayArrayInTable(Common_SourceData.Common_SourceData_WetAndDryZones_Data(), Table_SourceData_WetDryZones[[#Headers],[Climate zone]], 0)</f>
        <v>Dry climate zone</v>
      </c>
    </row>
    <row r="72" spans="1:5" ht="20" customHeight="1" x14ac:dyDescent="0.25">
      <c r="A72"/>
      <c r="D72" s="38" t="str" cm="1">
        <f t="array" ref="D72">Common_InputFunctions.Utility_DisplayArrayInTable(Common_SourceData.Common_SourceData_WetAndDryZones_Data(), Table_SourceData_WetDryZones[[#Headers],[Climate zone]], 0)</f>
        <v>Warm temperate moist - low frost</v>
      </c>
      <c r="E72" s="38" t="str" cm="1">
        <f t="array" ref="E72">Common_InputFunctions.Utility_DisplayArrayInTable(Common_SourceData.Common_SourceData_WetAndDryZones_Data(), Table_SourceData_WetDryZones[[#Headers],[Climate zone]], 0)</f>
        <v>Wet climate zone</v>
      </c>
    </row>
    <row r="73" spans="1:5" ht="20" customHeight="1" x14ac:dyDescent="0.25">
      <c r="A73"/>
      <c r="D73" s="38" t="str" cm="1">
        <f t="array" ref="D73">Common_InputFunctions.Utility_DisplayArrayInTable(Common_SourceData.Common_SourceData_WetAndDryZones_Data(), Table_SourceData_WetDryZones[[#Headers],[Climate zone]], 0)</f>
        <v>Warm temperate dry - low frost</v>
      </c>
      <c r="E73" s="38" t="str" cm="1">
        <f t="array" ref="E73">Common_InputFunctions.Utility_DisplayArrayInTable(Common_SourceData.Common_SourceData_WetAndDryZones_Data(), Table_SourceData_WetDryZones[[#Headers],[Climate zone]], 0)</f>
        <v>Dry climate zone</v>
      </c>
    </row>
    <row r="74" spans="1:5" ht="20" customHeight="1" x14ac:dyDescent="0.25">
      <c r="A74"/>
      <c r="D74" s="38" t="str" cm="1">
        <f t="array" ref="D74">Common_InputFunctions.Utility_DisplayArrayInTable(Common_SourceData.Common_SourceData_WetAndDryZones_Data(), Table_SourceData_WetDryZones[[#Headers],[Climate zone]], 0)</f>
        <v>Warm temperate moist - high temp</v>
      </c>
      <c r="E74" s="38" t="str" cm="1">
        <f t="array" ref="E74">Common_InputFunctions.Utility_DisplayArrayInTable(Common_SourceData.Common_SourceData_WetAndDryZones_Data(), Table_SourceData_WetDryZones[[#Headers],[Climate zone]], 0)</f>
        <v>Wet climate zone</v>
      </c>
    </row>
    <row r="75" spans="1:5" ht="20" customHeight="1" x14ac:dyDescent="0.25">
      <c r="A75"/>
      <c r="D75" s="38" t="str" cm="1">
        <f t="array" ref="D75">Common_InputFunctions.Utility_DisplayArrayInTable(Common_SourceData.Common_SourceData_WetAndDryZones_Data(), Table_SourceData_WetDryZones[[#Headers],[Climate zone]], 0)</f>
        <v>Warm temperate dry - high temp</v>
      </c>
      <c r="E75" s="38" t="str" cm="1">
        <f t="array" ref="E75">Common_InputFunctions.Utility_DisplayArrayInTable(Common_SourceData.Common_SourceData_WetAndDryZones_Data(), Table_SourceData_WetDryZones[[#Headers],[Climate zone]], 0)</f>
        <v>Dry climate zone</v>
      </c>
    </row>
    <row r="76" spans="1:5" ht="20" customHeight="1" x14ac:dyDescent="0.25">
      <c r="A76"/>
      <c r="D76" s="38" t="str" cm="1">
        <f t="array" ref="D76">Common_InputFunctions.Utility_DisplayArrayInTable(Common_SourceData.Common_SourceData_WetAndDryZones_Data(), Table_SourceData_WetDryZones[[#Headers],[Climate zone]], 0)</f>
        <v>Cool temperate moist - low frost</v>
      </c>
      <c r="E76" s="38" t="str" cm="1">
        <f t="array" ref="E76">Common_InputFunctions.Utility_DisplayArrayInTable(Common_SourceData.Common_SourceData_WetAndDryZones_Data(), Table_SourceData_WetDryZones[[#Headers],[Climate zone]], 0)</f>
        <v>Wet climate zone</v>
      </c>
    </row>
    <row r="77" spans="1:5" ht="20" customHeight="1" x14ac:dyDescent="0.25">
      <c r="A77"/>
      <c r="D77" s="38" t="str" cm="1">
        <f t="array" ref="D77">Common_InputFunctions.Utility_DisplayArrayInTable(Common_SourceData.Common_SourceData_WetAndDryZones_Data(), Table_SourceData_WetDryZones[[#Headers],[Climate zone]], 0)</f>
        <v>Cool temperate dry - low frost</v>
      </c>
      <c r="E77" s="38" t="str" cm="1">
        <f t="array" ref="E77">Common_InputFunctions.Utility_DisplayArrayInTable(Common_SourceData.Common_SourceData_WetAndDryZones_Data(), Table_SourceData_WetDryZones[[#Headers],[Climate zone]], 0)</f>
        <v>Dry climate zone</v>
      </c>
    </row>
    <row r="78" spans="1:5" ht="20" customHeight="1" x14ac:dyDescent="0.25">
      <c r="A78"/>
    </row>
    <row r="79" spans="1:5" ht="20" customHeight="1" x14ac:dyDescent="0.25">
      <c r="A79"/>
    </row>
    <row r="80" spans="1:5" ht="20" customHeight="1" x14ac:dyDescent="0.25">
      <c r="A80"/>
    </row>
    <row r="81" spans="1:20" ht="20" customHeight="1" x14ac:dyDescent="0.25">
      <c r="A81"/>
      <c r="D81" s="6" t="str" cm="1">
        <f t="array" ref="D81">Common_SourceData.Common_SourceData_ClimateZones_Title()</f>
        <v>VEERG Australian climate zones</v>
      </c>
    </row>
    <row r="82" spans="1:20" ht="20" customHeight="1" x14ac:dyDescent="0.25">
      <c r="A82"/>
      <c r="D82" s="5" t="str" cm="1">
        <f t="array" ref="D82">Common_SourceData.Common_SourceData_ClimateZones_Source()</f>
        <v>VEERG 2026: Table 1.3: Climate and Rainfall zone classifications and definitions</v>
      </c>
    </row>
    <row r="83" spans="1:20" ht="20" customHeight="1" x14ac:dyDescent="0.25">
      <c r="A83"/>
      <c r="D83" s="54" t="str" cm="1">
        <f t="array" ref="D83:D87">"⚠️" &amp; Common_SourceData.Common_SourceData_ClimateZones_Variation()</f>
        <v>⚠️VARIATION OF SOURCE DATA:</v>
      </c>
    </row>
    <row r="84" spans="1:20" ht="20" customHeight="1" x14ac:dyDescent="0.25">
      <c r="A84"/>
      <c r="D84" s="54" t="str">
        <v>⚠️Added warm / cool temperate moist / dry - low frost and high temp classes to accommodate climate scenarios excluded by VEERG criteria.</v>
      </c>
    </row>
    <row r="85" spans="1:20" ht="20" customHeight="1" x14ac:dyDescent="0.25">
      <c r="A85"/>
      <c r="D85" s="54" t="str">
        <v>⚠️Fixed typo in MAT value for warm temperate dry - changed 10 to 11.</v>
      </c>
    </row>
    <row r="86" spans="1:20" ht="20" customHeight="1" x14ac:dyDescent="0.25">
      <c r="A86"/>
      <c r="D86" s="54" t="str">
        <v>⚠️Added min and max columns for MAT, MAP, frost days per year, elevation, MAP:PET to calculate zones from real climate data.</v>
      </c>
    </row>
    <row r="87" spans="1:20" ht="20" customHeight="1" x14ac:dyDescent="0.25">
      <c r="A87"/>
      <c r="D87" s="54" t="str">
        <v>⚠️GAF accepts rainfall as a proxy for precipitation.</v>
      </c>
    </row>
    <row r="88" spans="1:20" ht="20" customHeight="1" x14ac:dyDescent="0.25">
      <c r="A88"/>
    </row>
    <row r="89" spans="1:20" ht="20" customHeight="1" x14ac:dyDescent="0.25">
      <c r="A89"/>
      <c r="D89" s="38" t="s">
        <v>7</v>
      </c>
      <c r="E89" s="38" t="s">
        <v>32</v>
      </c>
      <c r="F89" s="38" t="s">
        <v>33</v>
      </c>
      <c r="G89" s="38" t="s">
        <v>34</v>
      </c>
      <c r="H89" s="38" t="s">
        <v>35</v>
      </c>
      <c r="I89" s="38" t="s">
        <v>36</v>
      </c>
      <c r="J89" s="38" t="s">
        <v>37</v>
      </c>
      <c r="K89" s="38" t="s">
        <v>38</v>
      </c>
      <c r="L89" s="38" t="s">
        <v>39</v>
      </c>
      <c r="M89" s="38" t="s">
        <v>40</v>
      </c>
      <c r="N89" s="38" t="s">
        <v>41</v>
      </c>
      <c r="O89" s="38" t="s">
        <v>45</v>
      </c>
      <c r="P89" s="38" t="s">
        <v>42</v>
      </c>
      <c r="Q89" s="38" t="s">
        <v>46</v>
      </c>
      <c r="R89" s="38" t="s">
        <v>43</v>
      </c>
      <c r="S89" s="38" t="s">
        <v>47</v>
      </c>
      <c r="T89" s="38"/>
    </row>
    <row r="90" spans="1:20" ht="20" customHeight="1" x14ac:dyDescent="0.25">
      <c r="A90"/>
      <c r="D90" s="38" t="str" cm="1">
        <f t="array" ref="D90">Common_InputFunctions.Utility_DisplayArrayInTable(Common_SourceData.Common_SourceData_ClimateZones_Data(), Table_SourceData_ClimateZones[[#Headers],[Climate zone]], 0)</f>
        <v>Tropical montane</v>
      </c>
      <c r="E90" s="38" t="str" cm="1">
        <f t="array" ref="E90">Common_InputFunctions.Utility_DisplayArrayInTable(Common_SourceData.Common_SourceData_ClimateZones_Data(), Table_SourceData_ClimateZones[[#Headers],[Climate zone]], 0)</f>
        <v>&gt; 18 C</v>
      </c>
      <c r="F90" s="38" t="str" cm="1">
        <f t="array" ref="F90">Common_InputFunctions.Utility_DisplayArrayInTable(Common_SourceData.Common_SourceData_ClimateZones_Data(), Table_SourceData_ClimateZones[[#Headers],[Climate zone]], 0)</f>
        <v>Any</v>
      </c>
      <c r="G90" s="38" t="str" cm="1">
        <f t="array" ref="G90">Common_InputFunctions.Utility_DisplayArrayInTable(Common_SourceData.Common_SourceData_ClimateZones_Data(), Table_SourceData_ClimateZones[[#Headers],[Climate zone]], 0)</f>
        <v>≤ 7</v>
      </c>
      <c r="H90" s="38" t="str" cm="1">
        <f t="array" ref="H90">Common_InputFunctions.Utility_DisplayArrayInTable(Common_SourceData.Common_SourceData_ClimateZones_Data(), Table_SourceData_ClimateZones[[#Headers],[Climate zone]], 0)</f>
        <v>&gt; 1000 m</v>
      </c>
      <c r="I90" s="38" t="str" cm="1">
        <f t="array" ref="I90">Common_InputFunctions.Utility_DisplayArrayInTable(Common_SourceData.Common_SourceData_ClimateZones_Data(), Table_SourceData_ClimateZones[[#Headers],[Climate zone]], 0)</f>
        <v>Any</v>
      </c>
      <c r="J90" s="38" cm="1">
        <f t="array" ref="J90">Common_InputFunctions.Utility_DisplayArrayInTable(Common_SourceData.Common_SourceData_ClimateZones_Data(), Table_SourceData_ClimateZones[[#Headers],[Climate zone]], 0)</f>
        <v>18.001000000000001</v>
      </c>
      <c r="K90" s="38" cm="1">
        <f t="array" ref="K90">Common_InputFunctions.Utility_DisplayArrayInTable(Common_SourceData.Common_SourceData_ClimateZones_Data(), Table_SourceData_ClimateZones[[#Headers],[Climate zone]], 0)</f>
        <v>999999</v>
      </c>
      <c r="L90" s="38" cm="1">
        <f t="array" ref="L90">Common_InputFunctions.Utility_DisplayArrayInTable(Common_SourceData.Common_SourceData_ClimateZones_Data(), Table_SourceData_ClimateZones[[#Headers],[Climate zone]], 0)</f>
        <v>-999999</v>
      </c>
      <c r="M90" s="38" cm="1">
        <f t="array" ref="M90">Common_InputFunctions.Utility_DisplayArrayInTable(Common_SourceData.Common_SourceData_ClimateZones_Data(), Table_SourceData_ClimateZones[[#Headers],[Climate zone]], 0)</f>
        <v>999999</v>
      </c>
      <c r="N90" s="38" cm="1">
        <f t="array" ref="N90">Common_InputFunctions.Utility_DisplayArrayInTable(Common_SourceData.Common_SourceData_ClimateZones_Data(), Table_SourceData_ClimateZones[[#Headers],[Climate zone]], 0)</f>
        <v>-999999</v>
      </c>
      <c r="O90" s="38" cm="1">
        <f t="array" ref="O90">Common_InputFunctions.Utility_DisplayArrayInTable(Common_SourceData.Common_SourceData_ClimateZones_Data(), Table_SourceData_ClimateZones[[#Headers],[Climate zone]], 0)</f>
        <v>7</v>
      </c>
      <c r="P90" s="38" cm="1">
        <f t="array" ref="P90">Common_InputFunctions.Utility_DisplayArrayInTable(Common_SourceData.Common_SourceData_ClimateZones_Data(), Table_SourceData_ClimateZones[[#Headers],[Climate zone]], 0)</f>
        <v>1000</v>
      </c>
      <c r="Q90" s="38" cm="1">
        <f t="array" ref="Q90">Common_InputFunctions.Utility_DisplayArrayInTable(Common_SourceData.Common_SourceData_ClimateZones_Data(), Table_SourceData_ClimateZones[[#Headers],[Climate zone]], 0)</f>
        <v>999999</v>
      </c>
      <c r="R90" s="38" cm="1">
        <f t="array" ref="R90">Common_InputFunctions.Utility_DisplayArrayInTable(Common_SourceData.Common_SourceData_ClimateZones_Data(), Table_SourceData_ClimateZones[[#Headers],[Climate zone]], 0)</f>
        <v>-999999</v>
      </c>
      <c r="S90" s="38" cm="1">
        <f t="array" ref="S90">Common_InputFunctions.Utility_DisplayArrayInTable(Common_SourceData.Common_SourceData_ClimateZones_Data(), Table_SourceData_ClimateZones[[#Headers],[Climate zone]], 0)</f>
        <v>999999</v>
      </c>
      <c r="T90" s="38"/>
    </row>
    <row r="91" spans="1:20" ht="20" customHeight="1" x14ac:dyDescent="0.25">
      <c r="A91"/>
      <c r="D91" s="38" t="str" cm="1">
        <f t="array" ref="D91">Common_InputFunctions.Utility_DisplayArrayInTable(Common_SourceData.Common_SourceData_ClimateZones_Data(), Table_SourceData_ClimateZones[[#Headers],[Climate zone]], 0)</f>
        <v>Tropical wet</v>
      </c>
      <c r="E91" s="38" t="str" cm="1">
        <f t="array" ref="E91">Common_InputFunctions.Utility_DisplayArrayInTable(Common_SourceData.Common_SourceData_ClimateZones_Data(), Table_SourceData_ClimateZones[[#Headers],[Climate zone]], 0)</f>
        <v>&gt; 18 C</v>
      </c>
      <c r="F91" s="38" t="str" cm="1">
        <f t="array" ref="F91">Common_InputFunctions.Utility_DisplayArrayInTable(Common_SourceData.Common_SourceData_ClimateZones_Data(), Table_SourceData_ClimateZones[[#Headers],[Climate zone]], 0)</f>
        <v>&gt; 2000 mm</v>
      </c>
      <c r="G91" s="38" t="str" cm="1">
        <f t="array" ref="G91">Common_InputFunctions.Utility_DisplayArrayInTable(Common_SourceData.Common_SourceData_ClimateZones_Data(), Table_SourceData_ClimateZones[[#Headers],[Climate zone]], 0)</f>
        <v>≤ 7</v>
      </c>
      <c r="H91" s="38" t="str" cm="1">
        <f t="array" ref="H91">Common_InputFunctions.Utility_DisplayArrayInTable(Common_SourceData.Common_SourceData_ClimateZones_Data(), Table_SourceData_ClimateZones[[#Headers],[Climate zone]], 0)</f>
        <v>≤ 1000 m</v>
      </c>
      <c r="I91" s="38" t="str" cm="1">
        <f t="array" ref="I91">Common_InputFunctions.Utility_DisplayArrayInTable(Common_SourceData.Common_SourceData_ClimateZones_Data(), Table_SourceData_ClimateZones[[#Headers],[Climate zone]], 0)</f>
        <v>Any</v>
      </c>
      <c r="J91" s="38" cm="1">
        <f t="array" ref="J91">Common_InputFunctions.Utility_DisplayArrayInTable(Common_SourceData.Common_SourceData_ClimateZones_Data(), Table_SourceData_ClimateZones[[#Headers],[Climate zone]], 0)</f>
        <v>18.001000000000001</v>
      </c>
      <c r="K91" s="38" cm="1">
        <f t="array" ref="K91">Common_InputFunctions.Utility_DisplayArrayInTable(Common_SourceData.Common_SourceData_ClimateZones_Data(), Table_SourceData_ClimateZones[[#Headers],[Climate zone]], 0)</f>
        <v>999999</v>
      </c>
      <c r="L91" s="38" cm="1">
        <f t="array" ref="L91">Common_InputFunctions.Utility_DisplayArrayInTable(Common_SourceData.Common_SourceData_ClimateZones_Data(), Table_SourceData_ClimateZones[[#Headers],[Climate zone]], 0)</f>
        <v>2000.001</v>
      </c>
      <c r="M91" s="38" cm="1">
        <f t="array" ref="M91">Common_InputFunctions.Utility_DisplayArrayInTable(Common_SourceData.Common_SourceData_ClimateZones_Data(), Table_SourceData_ClimateZones[[#Headers],[Climate zone]], 0)</f>
        <v>999999</v>
      </c>
      <c r="N91" s="38" cm="1">
        <f t="array" ref="N91">Common_InputFunctions.Utility_DisplayArrayInTable(Common_SourceData.Common_SourceData_ClimateZones_Data(), Table_SourceData_ClimateZones[[#Headers],[Climate zone]], 0)</f>
        <v>-999999</v>
      </c>
      <c r="O91" s="38" cm="1">
        <f t="array" ref="O91">Common_InputFunctions.Utility_DisplayArrayInTable(Common_SourceData.Common_SourceData_ClimateZones_Data(), Table_SourceData_ClimateZones[[#Headers],[Climate zone]], 0)</f>
        <v>7</v>
      </c>
      <c r="P91" s="38" cm="1">
        <f t="array" ref="P91">Common_InputFunctions.Utility_DisplayArrayInTable(Common_SourceData.Common_SourceData_ClimateZones_Data(), Table_SourceData_ClimateZones[[#Headers],[Climate zone]], 0)</f>
        <v>-999999</v>
      </c>
      <c r="Q91" s="38" cm="1">
        <f t="array" ref="Q91">Common_InputFunctions.Utility_DisplayArrayInTable(Common_SourceData.Common_SourceData_ClimateZones_Data(), Table_SourceData_ClimateZones[[#Headers],[Climate zone]], 0)</f>
        <v>999.99900000000002</v>
      </c>
      <c r="R91" s="38" cm="1">
        <f t="array" ref="R91">Common_InputFunctions.Utility_DisplayArrayInTable(Common_SourceData.Common_SourceData_ClimateZones_Data(), Table_SourceData_ClimateZones[[#Headers],[Climate zone]], 0)</f>
        <v>-999999</v>
      </c>
      <c r="S91" s="38" cm="1">
        <f t="array" ref="S91">Common_InputFunctions.Utility_DisplayArrayInTable(Common_SourceData.Common_SourceData_ClimateZones_Data(), Table_SourceData_ClimateZones[[#Headers],[Climate zone]], 0)</f>
        <v>999999</v>
      </c>
      <c r="T91" s="38"/>
    </row>
    <row r="92" spans="1:20" ht="20" customHeight="1" x14ac:dyDescent="0.25">
      <c r="A92"/>
      <c r="D92" s="38" t="str" cm="1">
        <f t="array" ref="D92">Common_InputFunctions.Utility_DisplayArrayInTable(Common_SourceData.Common_SourceData_ClimateZones_Data(), Table_SourceData_ClimateZones[[#Headers],[Climate zone]], 0)</f>
        <v>Tropical moist</v>
      </c>
      <c r="E92" s="38" t="str" cm="1">
        <f t="array" ref="E92">Common_InputFunctions.Utility_DisplayArrayInTable(Common_SourceData.Common_SourceData_ClimateZones_Data(), Table_SourceData_ClimateZones[[#Headers],[Climate zone]], 0)</f>
        <v>&gt; 18 C</v>
      </c>
      <c r="F92" s="38" t="str" cm="1">
        <f t="array" ref="F92">Common_InputFunctions.Utility_DisplayArrayInTable(Common_SourceData.Common_SourceData_ClimateZones_Data(), Table_SourceData_ClimateZones[[#Headers],[Climate zone]], 0)</f>
        <v>&gt; 1000 mm - ≤ 2000 mm</v>
      </c>
      <c r="G92" s="38" t="str" cm="1">
        <f t="array" ref="G92">Common_InputFunctions.Utility_DisplayArrayInTable(Common_SourceData.Common_SourceData_ClimateZones_Data(), Table_SourceData_ClimateZones[[#Headers],[Climate zone]], 0)</f>
        <v>≤ 7</v>
      </c>
      <c r="H92" s="38" t="str" cm="1">
        <f t="array" ref="H92">Common_InputFunctions.Utility_DisplayArrayInTable(Common_SourceData.Common_SourceData_ClimateZones_Data(), Table_SourceData_ClimateZones[[#Headers],[Climate zone]], 0)</f>
        <v>≤ 1000 m</v>
      </c>
      <c r="I92" s="38" t="str" cm="1">
        <f t="array" ref="I92">Common_InputFunctions.Utility_DisplayArrayInTable(Common_SourceData.Common_SourceData_ClimateZones_Data(), Table_SourceData_ClimateZones[[#Headers],[Climate zone]], 0)</f>
        <v>Any</v>
      </c>
      <c r="J92" s="38" cm="1">
        <f t="array" ref="J92">Common_InputFunctions.Utility_DisplayArrayInTable(Common_SourceData.Common_SourceData_ClimateZones_Data(), Table_SourceData_ClimateZones[[#Headers],[Climate zone]], 0)</f>
        <v>18.001000000000001</v>
      </c>
      <c r="K92" s="38" cm="1">
        <f t="array" ref="K92">Common_InputFunctions.Utility_DisplayArrayInTable(Common_SourceData.Common_SourceData_ClimateZones_Data(), Table_SourceData_ClimateZones[[#Headers],[Climate zone]], 0)</f>
        <v>999999</v>
      </c>
      <c r="L92" s="38" cm="1">
        <f t="array" ref="L92">Common_InputFunctions.Utility_DisplayArrayInTable(Common_SourceData.Common_SourceData_ClimateZones_Data(), Table_SourceData_ClimateZones[[#Headers],[Climate zone]], 0)</f>
        <v>1000.001</v>
      </c>
      <c r="M92" s="38" cm="1">
        <f t="array" ref="M92">Common_InputFunctions.Utility_DisplayArrayInTable(Common_SourceData.Common_SourceData_ClimateZones_Data(), Table_SourceData_ClimateZones[[#Headers],[Climate zone]], 0)</f>
        <v>2000</v>
      </c>
      <c r="N92" s="38" cm="1">
        <f t="array" ref="N92">Common_InputFunctions.Utility_DisplayArrayInTable(Common_SourceData.Common_SourceData_ClimateZones_Data(), Table_SourceData_ClimateZones[[#Headers],[Climate zone]], 0)</f>
        <v>-999999</v>
      </c>
      <c r="O92" s="38" cm="1">
        <f t="array" ref="O92">Common_InputFunctions.Utility_DisplayArrayInTable(Common_SourceData.Common_SourceData_ClimateZones_Data(), Table_SourceData_ClimateZones[[#Headers],[Climate zone]], 0)</f>
        <v>7</v>
      </c>
      <c r="P92" s="38" cm="1">
        <f t="array" ref="P92">Common_InputFunctions.Utility_DisplayArrayInTable(Common_SourceData.Common_SourceData_ClimateZones_Data(), Table_SourceData_ClimateZones[[#Headers],[Climate zone]], 0)</f>
        <v>-999999</v>
      </c>
      <c r="Q92" s="38" cm="1">
        <f t="array" ref="Q92">Common_InputFunctions.Utility_DisplayArrayInTable(Common_SourceData.Common_SourceData_ClimateZones_Data(), Table_SourceData_ClimateZones[[#Headers],[Climate zone]], 0)</f>
        <v>999.99900000000002</v>
      </c>
      <c r="R92" s="38" cm="1">
        <f t="array" ref="R92">Common_InputFunctions.Utility_DisplayArrayInTable(Common_SourceData.Common_SourceData_ClimateZones_Data(), Table_SourceData_ClimateZones[[#Headers],[Climate zone]], 0)</f>
        <v>-999999</v>
      </c>
      <c r="S92" s="38" cm="1">
        <f t="array" ref="S92">Common_InputFunctions.Utility_DisplayArrayInTable(Common_SourceData.Common_SourceData_ClimateZones_Data(), Table_SourceData_ClimateZones[[#Headers],[Climate zone]], 0)</f>
        <v>999999</v>
      </c>
      <c r="T92" s="38"/>
    </row>
    <row r="93" spans="1:20" ht="20" customHeight="1" x14ac:dyDescent="0.25">
      <c r="A93"/>
      <c r="D93" s="38" t="str" cm="1">
        <f t="array" ref="D93">Common_InputFunctions.Utility_DisplayArrayInTable(Common_SourceData.Common_SourceData_ClimateZones_Data(), Table_SourceData_ClimateZones[[#Headers],[Climate zone]], 0)</f>
        <v>Tropical dry</v>
      </c>
      <c r="E93" s="38" t="str" cm="1">
        <f t="array" ref="E93">Common_InputFunctions.Utility_DisplayArrayInTable(Common_SourceData.Common_SourceData_ClimateZones_Data(), Table_SourceData_ClimateZones[[#Headers],[Climate zone]], 0)</f>
        <v>&gt; 18 C</v>
      </c>
      <c r="F93" s="38" t="str" cm="1">
        <f t="array" ref="F93">Common_InputFunctions.Utility_DisplayArrayInTable(Common_SourceData.Common_SourceData_ClimateZones_Data(), Table_SourceData_ClimateZones[[#Headers],[Climate zone]], 0)</f>
        <v>≤ 1000 mm</v>
      </c>
      <c r="G93" s="38" t="str" cm="1">
        <f t="array" ref="G93">Common_InputFunctions.Utility_DisplayArrayInTable(Common_SourceData.Common_SourceData_ClimateZones_Data(), Table_SourceData_ClimateZones[[#Headers],[Climate zone]], 0)</f>
        <v>≤ 7</v>
      </c>
      <c r="H93" s="38" t="str" cm="1">
        <f t="array" ref="H93">Common_InputFunctions.Utility_DisplayArrayInTable(Common_SourceData.Common_SourceData_ClimateZones_Data(), Table_SourceData_ClimateZones[[#Headers],[Climate zone]], 0)</f>
        <v>≤ 1000 m</v>
      </c>
      <c r="I93" s="38" t="str" cm="1">
        <f t="array" ref="I93">Common_InputFunctions.Utility_DisplayArrayInTable(Common_SourceData.Common_SourceData_ClimateZones_Data(), Table_SourceData_ClimateZones[[#Headers],[Climate zone]], 0)</f>
        <v>Any</v>
      </c>
      <c r="J93" s="38" cm="1">
        <f t="array" ref="J93">Common_InputFunctions.Utility_DisplayArrayInTable(Common_SourceData.Common_SourceData_ClimateZones_Data(), Table_SourceData_ClimateZones[[#Headers],[Climate zone]], 0)</f>
        <v>18.001000000000001</v>
      </c>
      <c r="K93" s="38" cm="1">
        <f t="array" ref="K93">Common_InputFunctions.Utility_DisplayArrayInTable(Common_SourceData.Common_SourceData_ClimateZones_Data(), Table_SourceData_ClimateZones[[#Headers],[Climate zone]], 0)</f>
        <v>999999</v>
      </c>
      <c r="L93" s="38" cm="1">
        <f t="array" ref="L93">Common_InputFunctions.Utility_DisplayArrayInTable(Common_SourceData.Common_SourceData_ClimateZones_Data(), Table_SourceData_ClimateZones[[#Headers],[Climate zone]], 0)</f>
        <v>-999999</v>
      </c>
      <c r="M93" s="38" cm="1">
        <f t="array" ref="M93">Common_InputFunctions.Utility_DisplayArrayInTable(Common_SourceData.Common_SourceData_ClimateZones_Data(), Table_SourceData_ClimateZones[[#Headers],[Climate zone]], 0)</f>
        <v>1000</v>
      </c>
      <c r="N93" s="38" cm="1">
        <f t="array" ref="N93">Common_InputFunctions.Utility_DisplayArrayInTable(Common_SourceData.Common_SourceData_ClimateZones_Data(), Table_SourceData_ClimateZones[[#Headers],[Climate zone]], 0)</f>
        <v>-999999</v>
      </c>
      <c r="O93" s="38" cm="1">
        <f t="array" ref="O93">Common_InputFunctions.Utility_DisplayArrayInTable(Common_SourceData.Common_SourceData_ClimateZones_Data(), Table_SourceData_ClimateZones[[#Headers],[Climate zone]], 0)</f>
        <v>7</v>
      </c>
      <c r="P93" s="38" cm="1">
        <f t="array" ref="P93">Common_InputFunctions.Utility_DisplayArrayInTable(Common_SourceData.Common_SourceData_ClimateZones_Data(), Table_SourceData_ClimateZones[[#Headers],[Climate zone]], 0)</f>
        <v>-999999</v>
      </c>
      <c r="Q93" s="38" cm="1">
        <f t="array" ref="Q93">Common_InputFunctions.Utility_DisplayArrayInTable(Common_SourceData.Common_SourceData_ClimateZones_Data(), Table_SourceData_ClimateZones[[#Headers],[Climate zone]], 0)</f>
        <v>999.99900000000002</v>
      </c>
      <c r="R93" s="38" cm="1">
        <f t="array" ref="R93">Common_InputFunctions.Utility_DisplayArrayInTable(Common_SourceData.Common_SourceData_ClimateZones_Data(), Table_SourceData_ClimateZones[[#Headers],[Climate zone]], 0)</f>
        <v>-999999</v>
      </c>
      <c r="S93" s="38" cm="1">
        <f t="array" ref="S93">Common_InputFunctions.Utility_DisplayArrayInTable(Common_SourceData.Common_SourceData_ClimateZones_Data(), Table_SourceData_ClimateZones[[#Headers],[Climate zone]], 0)</f>
        <v>999999</v>
      </c>
      <c r="T93" s="38"/>
    </row>
    <row r="94" spans="1:20" ht="20" customHeight="1" x14ac:dyDescent="0.25">
      <c r="A94"/>
      <c r="D94" s="38" t="str" cm="1">
        <f t="array" ref="D94">Common_InputFunctions.Utility_DisplayArrayInTable(Common_SourceData.Common_SourceData_ClimateZones_Data(), Table_SourceData_ClimateZones[[#Headers],[Climate zone]], 0)</f>
        <v>Warm temperate moist</v>
      </c>
      <c r="E94" s="38" t="str" cm="1">
        <f t="array" ref="E94">Common_InputFunctions.Utility_DisplayArrayInTable(Common_SourceData.Common_SourceData_ClimateZones_Data(), Table_SourceData_ClimateZones[[#Headers],[Climate zone]], 0)</f>
        <v>&gt; 10 C</v>
      </c>
      <c r="F94" s="38" t="str" cm="1">
        <f t="array" ref="F94">Common_InputFunctions.Utility_DisplayArrayInTable(Common_SourceData.Common_SourceData_ClimateZones_Data(), Table_SourceData_ClimateZones[[#Headers],[Climate zone]], 0)</f>
        <v>Any</v>
      </c>
      <c r="G94" s="38" t="str" cm="1">
        <f t="array" ref="G94">Common_InputFunctions.Utility_DisplayArrayInTable(Common_SourceData.Common_SourceData_ClimateZones_Data(), Table_SourceData_ClimateZones[[#Headers],[Climate zone]], 0)</f>
        <v>Any</v>
      </c>
      <c r="H94" s="38" t="str" cm="1">
        <f t="array" ref="H94">Common_InputFunctions.Utility_DisplayArrayInTable(Common_SourceData.Common_SourceData_ClimateZones_Data(), Table_SourceData_ClimateZones[[#Headers],[Climate zone]], 0)</f>
        <v>Any</v>
      </c>
      <c r="I94" s="38" t="str" cm="1">
        <f t="array" ref="I94">Common_InputFunctions.Utility_DisplayArrayInTable(Common_SourceData.Common_SourceData_ClimateZones_Data(), Table_SourceData_ClimateZones[[#Headers],[Climate zone]], 0)</f>
        <v>&gt; 1</v>
      </c>
      <c r="J94" s="38" cm="1">
        <f t="array" ref="J94">Common_InputFunctions.Utility_DisplayArrayInTable(Common_SourceData.Common_SourceData_ClimateZones_Data(), Table_SourceData_ClimateZones[[#Headers],[Climate zone]], 0)</f>
        <v>10.000999999999999</v>
      </c>
      <c r="K94" s="38" cm="1">
        <f t="array" ref="K94">Common_InputFunctions.Utility_DisplayArrayInTable(Common_SourceData.Common_SourceData_ClimateZones_Data(), Table_SourceData_ClimateZones[[#Headers],[Climate zone]], 0)</f>
        <v>999999</v>
      </c>
      <c r="L94" s="38" cm="1">
        <f t="array" ref="L94">Common_InputFunctions.Utility_DisplayArrayInTable(Common_SourceData.Common_SourceData_ClimateZones_Data(), Table_SourceData_ClimateZones[[#Headers],[Climate zone]], 0)</f>
        <v>-999999</v>
      </c>
      <c r="M94" s="38" cm="1">
        <f t="array" ref="M94">Common_InputFunctions.Utility_DisplayArrayInTable(Common_SourceData.Common_SourceData_ClimateZones_Data(), Table_SourceData_ClimateZones[[#Headers],[Climate zone]], 0)</f>
        <v>999999</v>
      </c>
      <c r="N94" s="38" cm="1">
        <f t="array" ref="N94">Common_InputFunctions.Utility_DisplayArrayInTable(Common_SourceData.Common_SourceData_ClimateZones_Data(), Table_SourceData_ClimateZones[[#Headers],[Climate zone]], 0)</f>
        <v>-999999</v>
      </c>
      <c r="O94" s="38" cm="1">
        <f t="array" ref="O94">Common_InputFunctions.Utility_DisplayArrayInTable(Common_SourceData.Common_SourceData_ClimateZones_Data(), Table_SourceData_ClimateZones[[#Headers],[Climate zone]], 0)</f>
        <v>999999</v>
      </c>
      <c r="P94" s="38" cm="1">
        <f t="array" ref="P94">Common_InputFunctions.Utility_DisplayArrayInTable(Common_SourceData.Common_SourceData_ClimateZones_Data(), Table_SourceData_ClimateZones[[#Headers],[Climate zone]], 0)</f>
        <v>-999999</v>
      </c>
      <c r="Q94" s="38" cm="1">
        <f t="array" ref="Q94">Common_InputFunctions.Utility_DisplayArrayInTable(Common_SourceData.Common_SourceData_ClimateZones_Data(), Table_SourceData_ClimateZones[[#Headers],[Climate zone]], 0)</f>
        <v>999999</v>
      </c>
      <c r="R94" s="38" cm="1">
        <f t="array" ref="R94">Common_InputFunctions.Utility_DisplayArrayInTable(Common_SourceData.Common_SourceData_ClimateZones_Data(), Table_SourceData_ClimateZones[[#Headers],[Climate zone]], 0)</f>
        <v>1.0009999999999999</v>
      </c>
      <c r="S94" s="38" cm="1">
        <f t="array" ref="S94">Common_InputFunctions.Utility_DisplayArrayInTable(Common_SourceData.Common_SourceData_ClimateZones_Data(), Table_SourceData_ClimateZones[[#Headers],[Climate zone]], 0)</f>
        <v>999999</v>
      </c>
      <c r="T94" s="38"/>
    </row>
    <row r="95" spans="1:20" ht="20" customHeight="1" x14ac:dyDescent="0.25">
      <c r="A95"/>
      <c r="D95" s="38" t="str" cm="1">
        <f t="array" ref="D95">Common_InputFunctions.Utility_DisplayArrayInTable(Common_SourceData.Common_SourceData_ClimateZones_Data(), Table_SourceData_ClimateZones[[#Headers],[Climate zone]], 0)</f>
        <v>Warm temperate dry</v>
      </c>
      <c r="E95" s="38" t="str" cm="1">
        <f t="array" ref="E95">Common_InputFunctions.Utility_DisplayArrayInTable(Common_SourceData.Common_SourceData_ClimateZones_Data(), Table_SourceData_ClimateZones[[#Headers],[Climate zone]], 0)</f>
        <v>&gt; 10 C</v>
      </c>
      <c r="F95" s="38" t="str" cm="1">
        <f t="array" ref="F95">Common_InputFunctions.Utility_DisplayArrayInTable(Common_SourceData.Common_SourceData_ClimateZones_Data(), Table_SourceData_ClimateZones[[#Headers],[Climate zone]], 0)</f>
        <v>Any</v>
      </c>
      <c r="G95" s="38" t="str" cm="1">
        <f t="array" ref="G95">Common_InputFunctions.Utility_DisplayArrayInTable(Common_SourceData.Common_SourceData_ClimateZones_Data(), Table_SourceData_ClimateZones[[#Headers],[Climate zone]], 0)</f>
        <v>Any</v>
      </c>
      <c r="H95" s="38" t="str" cm="1">
        <f t="array" ref="H95">Common_InputFunctions.Utility_DisplayArrayInTable(Common_SourceData.Common_SourceData_ClimateZones_Data(), Table_SourceData_ClimateZones[[#Headers],[Climate zone]], 0)</f>
        <v>Any</v>
      </c>
      <c r="I95" s="38" t="str" cm="1">
        <f t="array" ref="I95">Common_InputFunctions.Utility_DisplayArrayInTable(Common_SourceData.Common_SourceData_ClimateZones_Data(), Table_SourceData_ClimateZones[[#Headers],[Climate zone]], 0)</f>
        <v>≤ 1</v>
      </c>
      <c r="J95" s="38" cm="1">
        <f t="array" ref="J95">Common_InputFunctions.Utility_DisplayArrayInTable(Common_SourceData.Common_SourceData_ClimateZones_Data(), Table_SourceData_ClimateZones[[#Headers],[Climate zone]], 0)</f>
        <v>10.000999999999999</v>
      </c>
      <c r="K95" s="38" cm="1">
        <f t="array" ref="K95">Common_InputFunctions.Utility_DisplayArrayInTable(Common_SourceData.Common_SourceData_ClimateZones_Data(), Table_SourceData_ClimateZones[[#Headers],[Climate zone]], 0)</f>
        <v>999999</v>
      </c>
      <c r="L95" s="38" cm="1">
        <f t="array" ref="L95">Common_InputFunctions.Utility_DisplayArrayInTable(Common_SourceData.Common_SourceData_ClimateZones_Data(), Table_SourceData_ClimateZones[[#Headers],[Climate zone]], 0)</f>
        <v>-999999</v>
      </c>
      <c r="M95" s="38" cm="1">
        <f t="array" ref="M95">Common_InputFunctions.Utility_DisplayArrayInTable(Common_SourceData.Common_SourceData_ClimateZones_Data(), Table_SourceData_ClimateZones[[#Headers],[Climate zone]], 0)</f>
        <v>999999</v>
      </c>
      <c r="N95" s="38" cm="1">
        <f t="array" ref="N95">Common_InputFunctions.Utility_DisplayArrayInTable(Common_SourceData.Common_SourceData_ClimateZones_Data(), Table_SourceData_ClimateZones[[#Headers],[Climate zone]], 0)</f>
        <v>-999999</v>
      </c>
      <c r="O95" s="38" cm="1">
        <f t="array" ref="O95">Common_InputFunctions.Utility_DisplayArrayInTable(Common_SourceData.Common_SourceData_ClimateZones_Data(), Table_SourceData_ClimateZones[[#Headers],[Climate zone]], 0)</f>
        <v>999999</v>
      </c>
      <c r="P95" s="38" cm="1">
        <f t="array" ref="P95">Common_InputFunctions.Utility_DisplayArrayInTable(Common_SourceData.Common_SourceData_ClimateZones_Data(), Table_SourceData_ClimateZones[[#Headers],[Climate zone]], 0)</f>
        <v>-999999</v>
      </c>
      <c r="Q95" s="38" cm="1">
        <f t="array" ref="Q95">Common_InputFunctions.Utility_DisplayArrayInTable(Common_SourceData.Common_SourceData_ClimateZones_Data(), Table_SourceData_ClimateZones[[#Headers],[Climate zone]], 0)</f>
        <v>999999</v>
      </c>
      <c r="R95" s="38" cm="1">
        <f t="array" ref="R95">Common_InputFunctions.Utility_DisplayArrayInTable(Common_SourceData.Common_SourceData_ClimateZones_Data(), Table_SourceData_ClimateZones[[#Headers],[Climate zone]], 0)</f>
        <v>-999999</v>
      </c>
      <c r="S95" s="38" cm="1">
        <f t="array" ref="S95">Common_InputFunctions.Utility_DisplayArrayInTable(Common_SourceData.Common_SourceData_ClimateZones_Data(), Table_SourceData_ClimateZones[[#Headers],[Climate zone]], 0)</f>
        <v>1</v>
      </c>
      <c r="T95" s="38"/>
    </row>
    <row r="96" spans="1:20" ht="20" customHeight="1" x14ac:dyDescent="0.25">
      <c r="A96"/>
      <c r="D96" s="38" t="str" cm="1">
        <f t="array" ref="D96">Common_InputFunctions.Utility_DisplayArrayInTable(Common_SourceData.Common_SourceData_ClimateZones_Data(), Table_SourceData_ClimateZones[[#Headers],[Climate zone]], 0)</f>
        <v>Cool temperate moist</v>
      </c>
      <c r="E96" s="38" t="str" cm="1">
        <f t="array" ref="E96">Common_InputFunctions.Utility_DisplayArrayInTable(Common_SourceData.Common_SourceData_ClimateZones_Data(), Table_SourceData_ClimateZones[[#Headers],[Climate zone]], 0)</f>
        <v>&gt; 0 C - ≤ 10 C</v>
      </c>
      <c r="F96" s="38" t="str" cm="1">
        <f t="array" ref="F96">Common_InputFunctions.Utility_DisplayArrayInTable(Common_SourceData.Common_SourceData_ClimateZones_Data(), Table_SourceData_ClimateZones[[#Headers],[Climate zone]], 0)</f>
        <v>Any</v>
      </c>
      <c r="G96" s="38" t="str" cm="1">
        <f t="array" ref="G96">Common_InputFunctions.Utility_DisplayArrayInTable(Common_SourceData.Common_SourceData_ClimateZones_Data(), Table_SourceData_ClimateZones[[#Headers],[Climate zone]], 0)</f>
        <v>Any</v>
      </c>
      <c r="H96" s="38" t="str" cm="1">
        <f t="array" ref="H96">Common_InputFunctions.Utility_DisplayArrayInTable(Common_SourceData.Common_SourceData_ClimateZones_Data(), Table_SourceData_ClimateZones[[#Headers],[Climate zone]], 0)</f>
        <v>Any</v>
      </c>
      <c r="I96" s="38" t="str" cm="1">
        <f t="array" ref="I96">Common_InputFunctions.Utility_DisplayArrayInTable(Common_SourceData.Common_SourceData_ClimateZones_Data(), Table_SourceData_ClimateZones[[#Headers],[Climate zone]], 0)</f>
        <v>&gt; 1</v>
      </c>
      <c r="J96" s="38" cm="1">
        <f t="array" ref="J96">Common_InputFunctions.Utility_DisplayArrayInTable(Common_SourceData.Common_SourceData_ClimateZones_Data(), Table_SourceData_ClimateZones[[#Headers],[Climate zone]], 0)</f>
        <v>-999999</v>
      </c>
      <c r="K96" s="38" cm="1">
        <f t="array" ref="K96">Common_InputFunctions.Utility_DisplayArrayInTable(Common_SourceData.Common_SourceData_ClimateZones_Data(), Table_SourceData_ClimateZones[[#Headers],[Climate zone]], 0)</f>
        <v>10</v>
      </c>
      <c r="L96" s="38" cm="1">
        <f t="array" ref="L96">Common_InputFunctions.Utility_DisplayArrayInTable(Common_SourceData.Common_SourceData_ClimateZones_Data(), Table_SourceData_ClimateZones[[#Headers],[Climate zone]], 0)</f>
        <v>-999999</v>
      </c>
      <c r="M96" s="38" cm="1">
        <f t="array" ref="M96">Common_InputFunctions.Utility_DisplayArrayInTable(Common_SourceData.Common_SourceData_ClimateZones_Data(), Table_SourceData_ClimateZones[[#Headers],[Climate zone]], 0)</f>
        <v>999999</v>
      </c>
      <c r="N96" s="38" cm="1">
        <f t="array" ref="N96">Common_InputFunctions.Utility_DisplayArrayInTable(Common_SourceData.Common_SourceData_ClimateZones_Data(), Table_SourceData_ClimateZones[[#Headers],[Climate zone]], 0)</f>
        <v>-999999</v>
      </c>
      <c r="O96" s="38" cm="1">
        <f t="array" ref="O96">Common_InputFunctions.Utility_DisplayArrayInTable(Common_SourceData.Common_SourceData_ClimateZones_Data(), Table_SourceData_ClimateZones[[#Headers],[Climate zone]], 0)</f>
        <v>999999</v>
      </c>
      <c r="P96" s="38" cm="1">
        <f t="array" ref="P96">Common_InputFunctions.Utility_DisplayArrayInTable(Common_SourceData.Common_SourceData_ClimateZones_Data(), Table_SourceData_ClimateZones[[#Headers],[Climate zone]], 0)</f>
        <v>-999999</v>
      </c>
      <c r="Q96" s="38" cm="1">
        <f t="array" ref="Q96">Common_InputFunctions.Utility_DisplayArrayInTable(Common_SourceData.Common_SourceData_ClimateZones_Data(), Table_SourceData_ClimateZones[[#Headers],[Climate zone]], 0)</f>
        <v>999999</v>
      </c>
      <c r="R96" s="38" cm="1">
        <f t="array" ref="R96">Common_InputFunctions.Utility_DisplayArrayInTable(Common_SourceData.Common_SourceData_ClimateZones_Data(), Table_SourceData_ClimateZones[[#Headers],[Climate zone]], 0)</f>
        <v>1.0009999999999999</v>
      </c>
      <c r="S96" s="38" cm="1">
        <f t="array" ref="S96">Common_InputFunctions.Utility_DisplayArrayInTable(Common_SourceData.Common_SourceData_ClimateZones_Data(), Table_SourceData_ClimateZones[[#Headers],[Climate zone]], 0)</f>
        <v>999999</v>
      </c>
      <c r="T96" s="38"/>
    </row>
    <row r="97" spans="1:20" ht="20" customHeight="1" x14ac:dyDescent="0.25">
      <c r="A97"/>
      <c r="D97" s="38" t="str" cm="1">
        <f t="array" ref="D97">Common_InputFunctions.Utility_DisplayArrayInTable(Common_SourceData.Common_SourceData_ClimateZones_Data(), Table_SourceData_ClimateZones[[#Headers],[Climate zone]], 0)</f>
        <v>Cool temperate dry</v>
      </c>
      <c r="E97" s="38" t="str" cm="1">
        <f t="array" ref="E97">Common_InputFunctions.Utility_DisplayArrayInTable(Common_SourceData.Common_SourceData_ClimateZones_Data(), Table_SourceData_ClimateZones[[#Headers],[Climate zone]], 0)</f>
        <v>&gt; 0 C - ≤ 10 C</v>
      </c>
      <c r="F97" s="38" t="str" cm="1">
        <f t="array" ref="F97">Common_InputFunctions.Utility_DisplayArrayInTable(Common_SourceData.Common_SourceData_ClimateZones_Data(), Table_SourceData_ClimateZones[[#Headers],[Climate zone]], 0)</f>
        <v>Any</v>
      </c>
      <c r="G97" s="38" t="str" cm="1">
        <f t="array" ref="G97">Common_InputFunctions.Utility_DisplayArrayInTable(Common_SourceData.Common_SourceData_ClimateZones_Data(), Table_SourceData_ClimateZones[[#Headers],[Climate zone]], 0)</f>
        <v>Any</v>
      </c>
      <c r="H97" s="38" t="str" cm="1">
        <f t="array" ref="H97">Common_InputFunctions.Utility_DisplayArrayInTable(Common_SourceData.Common_SourceData_ClimateZones_Data(), Table_SourceData_ClimateZones[[#Headers],[Climate zone]], 0)</f>
        <v>Any</v>
      </c>
      <c r="I97" s="38" t="str" cm="1">
        <f t="array" ref="I97">Common_InputFunctions.Utility_DisplayArrayInTable(Common_SourceData.Common_SourceData_ClimateZones_Data(), Table_SourceData_ClimateZones[[#Headers],[Climate zone]], 0)</f>
        <v>≤ 1</v>
      </c>
      <c r="J97" s="38" cm="1">
        <f t="array" ref="J97">Common_InputFunctions.Utility_DisplayArrayInTable(Common_SourceData.Common_SourceData_ClimateZones_Data(), Table_SourceData_ClimateZones[[#Headers],[Climate zone]], 0)</f>
        <v>-999999</v>
      </c>
      <c r="K97" s="38" cm="1">
        <f t="array" ref="K97">Common_InputFunctions.Utility_DisplayArrayInTable(Common_SourceData.Common_SourceData_ClimateZones_Data(), Table_SourceData_ClimateZones[[#Headers],[Climate zone]], 0)</f>
        <v>10</v>
      </c>
      <c r="L97" s="38" cm="1">
        <f t="array" ref="L97">Common_InputFunctions.Utility_DisplayArrayInTable(Common_SourceData.Common_SourceData_ClimateZones_Data(), Table_SourceData_ClimateZones[[#Headers],[Climate zone]], 0)</f>
        <v>-999999</v>
      </c>
      <c r="M97" s="38" cm="1">
        <f t="array" ref="M97">Common_InputFunctions.Utility_DisplayArrayInTable(Common_SourceData.Common_SourceData_ClimateZones_Data(), Table_SourceData_ClimateZones[[#Headers],[Climate zone]], 0)</f>
        <v>999999</v>
      </c>
      <c r="N97" s="38" cm="1">
        <f t="array" ref="N97">Common_InputFunctions.Utility_DisplayArrayInTable(Common_SourceData.Common_SourceData_ClimateZones_Data(), Table_SourceData_ClimateZones[[#Headers],[Climate zone]], 0)</f>
        <v>-999999</v>
      </c>
      <c r="O97" s="38" cm="1">
        <f t="array" ref="O97">Common_InputFunctions.Utility_DisplayArrayInTable(Common_SourceData.Common_SourceData_ClimateZones_Data(), Table_SourceData_ClimateZones[[#Headers],[Climate zone]], 0)</f>
        <v>999999</v>
      </c>
      <c r="P97" s="38" cm="1">
        <f t="array" ref="P97">Common_InputFunctions.Utility_DisplayArrayInTable(Common_SourceData.Common_SourceData_ClimateZones_Data(), Table_SourceData_ClimateZones[[#Headers],[Climate zone]], 0)</f>
        <v>-999999</v>
      </c>
      <c r="Q97" s="38" cm="1">
        <f t="array" ref="Q97">Common_InputFunctions.Utility_DisplayArrayInTable(Common_SourceData.Common_SourceData_ClimateZones_Data(), Table_SourceData_ClimateZones[[#Headers],[Climate zone]], 0)</f>
        <v>999999</v>
      </c>
      <c r="R97" s="38" cm="1">
        <f t="array" ref="R97">Common_InputFunctions.Utility_DisplayArrayInTable(Common_SourceData.Common_SourceData_ClimateZones_Data(), Table_SourceData_ClimateZones[[#Headers],[Climate zone]], 0)</f>
        <v>-999999</v>
      </c>
      <c r="S97" s="38" cm="1">
        <f t="array" ref="S97">Common_InputFunctions.Utility_DisplayArrayInTable(Common_SourceData.Common_SourceData_ClimateZones_Data(), Table_SourceData_ClimateZones[[#Headers],[Climate zone]], 0)</f>
        <v>1</v>
      </c>
      <c r="T97" s="38"/>
    </row>
    <row r="98" spans="1:20" ht="20" customHeight="1" x14ac:dyDescent="0.25">
      <c r="A98"/>
    </row>
    <row r="99" spans="1:20" ht="20" customHeight="1" x14ac:dyDescent="0.25">
      <c r="A99"/>
      <c r="D99" s="53" t="str" cm="1">
        <f t="array" ref="D99:D102">Common_SourceData.Common_SourceData_ClimateZones_Appendices()</f>
        <v>Note:</v>
      </c>
    </row>
    <row r="100" spans="1:20" ht="20" customHeight="1" x14ac:dyDescent="0.25">
      <c r="A100"/>
      <c r="D100" s="53" t="str">
        <v>MAT = mean annual temperature</v>
      </c>
    </row>
    <row r="101" spans="1:20" ht="20" customHeight="1" x14ac:dyDescent="0.25">
      <c r="A101"/>
      <c r="D101" s="53" t="str">
        <v>MAP = mean annual precipitation</v>
      </c>
    </row>
    <row r="102" spans="1:20" ht="20" customHeight="1" x14ac:dyDescent="0.25">
      <c r="A102"/>
      <c r="D102" s="53" t="str">
        <v>PET = potential evapotranspiration</v>
      </c>
    </row>
    <row r="103" spans="1:20" ht="20" customHeight="1" x14ac:dyDescent="0.25">
      <c r="A103"/>
      <c r="D103" s="53"/>
    </row>
    <row r="104" spans="1:20" ht="20" customHeight="1" x14ac:dyDescent="0.25">
      <c r="A104"/>
    </row>
    <row r="105" spans="1:20" ht="20" customHeight="1" x14ac:dyDescent="0.25">
      <c r="A105"/>
      <c r="D105" s="6" t="str" cm="1">
        <f t="array" ref="D105">Common_SourceData.Common_SourceData_TemperatureZones_Title()</f>
        <v>VEERG Australian temperature zones</v>
      </c>
    </row>
    <row r="106" spans="1:20" ht="20" customHeight="1" x14ac:dyDescent="0.25">
      <c r="A106"/>
      <c r="D106" s="5" t="str" cm="1">
        <f t="array" ref="D106">Common_SourceData.Common_SourceData_TemperatureZones_Source()</f>
        <v>VEERG 2026: Table 1.3: Climate and Rainfall zone classifications and definitions</v>
      </c>
    </row>
    <row r="107" spans="1:20" ht="20" customHeight="1" x14ac:dyDescent="0.25">
      <c r="A107"/>
      <c r="D107" s="54" t="str" cm="1">
        <f t="array" ref="D107">"⚠️" &amp; Common_SourceData.Common_SourceData_TemperatureZones_Variation()</f>
        <v>⚠️VARIATION OF SOURCE DATA: Added extra MAT min and MAT max columns to calculate zone from real temperature data.</v>
      </c>
    </row>
    <row r="108" spans="1:20" ht="20" customHeight="1" x14ac:dyDescent="0.25">
      <c r="A108"/>
    </row>
    <row r="109" spans="1:20" ht="20" customHeight="1" x14ac:dyDescent="0.25">
      <c r="A109"/>
      <c r="D109" s="38" t="s">
        <v>51</v>
      </c>
      <c r="E109" s="38" t="s">
        <v>32</v>
      </c>
      <c r="F109" s="38" t="s">
        <v>52</v>
      </c>
      <c r="G109" s="38" t="s">
        <v>53</v>
      </c>
    </row>
    <row r="110" spans="1:20" ht="20" customHeight="1" x14ac:dyDescent="0.25">
      <c r="A110"/>
      <c r="D110" s="38" t="str" cm="1">
        <f t="array" ref="D110">Common_InputFunctions.Utility_DisplayArrayInTable(Common_SourceData.Common_SourceData_TemperatureZones_Data(),Table_SourceData_TemperatureZones[[#Headers],[Temperature Zone]],0)</f>
        <v>Warm</v>
      </c>
      <c r="E110" s="38" t="str" cm="1">
        <f t="array" ref="E110">Common_InputFunctions.Utility_DisplayArrayInTable(Common_SourceData.Common_SourceData_TemperatureZones_Data(),Table_SourceData_TemperatureZones[[#Headers],[Temperature Zone]],0)</f>
        <v>≥ 26 C</v>
      </c>
      <c r="F110" s="38" cm="1">
        <f t="array" ref="F110">Common_InputFunctions.Utility_DisplayArrayInTable(Common_SourceData.Common_SourceData_TemperatureZones_Data(),Table_SourceData_TemperatureZones[[#Headers],[Temperature Zone]],0)</f>
        <v>26</v>
      </c>
      <c r="G110" s="38" cm="1">
        <f t="array" ref="G110">Common_InputFunctions.Utility_DisplayArrayInTable(Common_SourceData.Common_SourceData_TemperatureZones_Data(),Table_SourceData_TemperatureZones[[#Headers],[Temperature Zone]],0)</f>
        <v>999999</v>
      </c>
    </row>
    <row r="111" spans="1:20" ht="20" customHeight="1" x14ac:dyDescent="0.25">
      <c r="A111"/>
      <c r="D111" s="38" t="str" cm="1">
        <f t="array" ref="D111">Common_InputFunctions.Utility_DisplayArrayInTable(Common_SourceData.Common_SourceData_TemperatureZones_Data(),Table_SourceData_TemperatureZones[[#Headers],[Temperature Zone]],0)</f>
        <v>Temperate</v>
      </c>
      <c r="E111" s="38" t="str" cm="1">
        <f t="array" ref="E111">Common_InputFunctions.Utility_DisplayArrayInTable(Common_SourceData.Common_SourceData_TemperatureZones_Data(),Table_SourceData_TemperatureZones[[#Headers],[Temperature Zone]],0)</f>
        <v>15 - 25 C</v>
      </c>
      <c r="F111" s="38" cm="1">
        <f t="array" ref="F111">Common_InputFunctions.Utility_DisplayArrayInTable(Common_SourceData.Common_SourceData_TemperatureZones_Data(),Table_SourceData_TemperatureZones[[#Headers],[Temperature Zone]],0)</f>
        <v>15</v>
      </c>
      <c r="G111" s="38" cm="1">
        <f t="array" ref="G111">Common_InputFunctions.Utility_DisplayArrayInTable(Common_SourceData.Common_SourceData_TemperatureZones_Data(),Table_SourceData_TemperatureZones[[#Headers],[Temperature Zone]],0)</f>
        <v>25.998999999999999</v>
      </c>
    </row>
    <row r="112" spans="1:20" ht="20" customHeight="1" x14ac:dyDescent="0.25">
      <c r="A112"/>
      <c r="D112" s="38" t="str" cm="1">
        <f t="array" ref="D112">Common_InputFunctions.Utility_DisplayArrayInTable(Common_SourceData.Common_SourceData_TemperatureZones_Data(),Table_SourceData_TemperatureZones[[#Headers],[Temperature Zone]],0)</f>
        <v>Cool</v>
      </c>
      <c r="E112" s="38" t="str" cm="1">
        <f t="array" ref="E112">Common_InputFunctions.Utility_DisplayArrayInTable(Common_SourceData.Common_SourceData_TemperatureZones_Data(),Table_SourceData_TemperatureZones[[#Headers],[Temperature Zone]],0)</f>
        <v>≤ 14 C</v>
      </c>
      <c r="F112" s="38" cm="1">
        <f t="array" ref="F112">Common_InputFunctions.Utility_DisplayArrayInTable(Common_SourceData.Common_SourceData_TemperatureZones_Data(),Table_SourceData_TemperatureZones[[#Headers],[Temperature Zone]],0)</f>
        <v>-999999</v>
      </c>
      <c r="G112" s="38" cm="1">
        <f t="array" ref="G112">Common_InputFunctions.Utility_DisplayArrayInTable(Common_SourceData.Common_SourceData_TemperatureZones_Data(),Table_SourceData_TemperatureZones[[#Headers],[Temperature Zone]],0)</f>
        <v>14.999000000000001</v>
      </c>
    </row>
    <row r="113" spans="1:66" ht="20" customHeight="1" x14ac:dyDescent="0.25">
      <c r="A113"/>
    </row>
    <row r="114" spans="1:66" ht="20" customHeight="1" x14ac:dyDescent="0.25">
      <c r="A114"/>
    </row>
    <row r="115" spans="1:66" ht="20" customHeight="1" x14ac:dyDescent="0.25">
      <c r="A115"/>
      <c r="D115" s="6" t="str" cm="1">
        <f t="array" ref="D115">Common_SourceData.Common_SourceData_RainfallZones_Title()</f>
        <v>VEERG Australian rainfall zones</v>
      </c>
      <c r="BN115" s="7"/>
    </row>
    <row r="116" spans="1:66" ht="20" customHeight="1" x14ac:dyDescent="0.25">
      <c r="A116"/>
      <c r="D116" s="5" t="str" cm="1">
        <f t="array" ref="D116">Common_SourceData.Common_SourceData_RainfallZones_Source()</f>
        <v>VEERG 2026: Table 1.3: Climate and Rainfall zone classifications and definitions</v>
      </c>
      <c r="BN116" s="7"/>
    </row>
    <row r="117" spans="1:66" ht="20" customHeight="1" x14ac:dyDescent="0.25">
      <c r="A117"/>
      <c r="D117" s="54" t="str" cm="1">
        <f t="array" ref="D117">"⚠️" &amp; Common_SourceData.Common_SourceData_RainfallZones_Variation()</f>
        <v>⚠️VARIATION OF SOURCE DATA: Added extra Rainfall min and Rainfall max columns to calculate zone from real rainfall data.</v>
      </c>
      <c r="BN117" s="7"/>
    </row>
    <row r="118" spans="1:66" ht="20" customHeight="1" x14ac:dyDescent="0.25">
      <c r="A118"/>
      <c r="BN118" s="7"/>
    </row>
    <row r="119" spans="1:66" ht="20" customHeight="1" x14ac:dyDescent="0.25">
      <c r="A119"/>
      <c r="D119" s="38" t="s">
        <v>54</v>
      </c>
      <c r="E119" s="38" t="s">
        <v>55</v>
      </c>
      <c r="F119" s="38" t="s">
        <v>39</v>
      </c>
      <c r="G119" s="38" t="s">
        <v>40</v>
      </c>
      <c r="BN119" s="7"/>
    </row>
    <row r="120" spans="1:66" ht="20" customHeight="1" x14ac:dyDescent="0.25">
      <c r="A120"/>
      <c r="D120" s="38" t="str" cm="1">
        <f t="array" ref="D120">Common_InputFunctions.Utility_DisplayArrayInTable(Common_SourceData.Common_SourceData_RainfallZones_Data(),Table_SourceData_RainfallZones[[#Headers],[Rainfall Zone]],0)</f>
        <v>High rainfall</v>
      </c>
      <c r="E120" s="38" t="str" cm="1">
        <f t="array" ref="E120">Common_InputFunctions.Utility_DisplayArrayInTable(Common_SourceData.Common_SourceData_RainfallZones_Data(),Table_SourceData_RainfallZones[[#Headers],[Rainfall Zone]],0)</f>
        <v>Annual rainfall &gt; 600mm</v>
      </c>
      <c r="F120" s="38" cm="1">
        <f t="array" ref="F120">Common_InputFunctions.Utility_DisplayArrayInTable(Common_SourceData.Common_SourceData_RainfallZones_Data(),Table_SourceData_RainfallZones[[#Headers],[Rainfall Zone]],0)</f>
        <v>600.00099999999998</v>
      </c>
      <c r="G120" s="38" cm="1">
        <f t="array" ref="G120">Common_InputFunctions.Utility_DisplayArrayInTable(Common_SourceData.Common_SourceData_RainfallZones_Data(),Table_SourceData_RainfallZones[[#Headers],[Rainfall Zone]],0)</f>
        <v>999999</v>
      </c>
      <c r="BN120" s="7"/>
    </row>
    <row r="121" spans="1:66" ht="20" customHeight="1" x14ac:dyDescent="0.25">
      <c r="A121"/>
      <c r="D121" s="38" t="str" cm="1">
        <f t="array" ref="D121">Common_InputFunctions.Utility_DisplayArrayInTable(Common_SourceData.Common_SourceData_RainfallZones_Data(),Table_SourceData_RainfallZones[[#Headers],[Rainfall Zone]],0)</f>
        <v>Low rainfall</v>
      </c>
      <c r="E121" s="38" t="str" cm="1">
        <f t="array" ref="E121">Common_InputFunctions.Utility_DisplayArrayInTable(Common_SourceData.Common_SourceData_RainfallZones_Data(),Table_SourceData_RainfallZones[[#Headers],[Rainfall Zone]],0)</f>
        <v>Annual rainfall ≤ 600mm</v>
      </c>
      <c r="F121" s="38" cm="1">
        <f t="array" ref="F121">Common_InputFunctions.Utility_DisplayArrayInTable(Common_SourceData.Common_SourceData_RainfallZones_Data(),Table_SourceData_RainfallZones[[#Headers],[Rainfall Zone]],0)</f>
        <v>-999999</v>
      </c>
      <c r="G121" s="38" cm="1">
        <f t="array" ref="G121">Common_InputFunctions.Utility_DisplayArrayInTable(Common_SourceData.Common_SourceData_RainfallZones_Data(),Table_SourceData_RainfallZones[[#Headers],[Rainfall Zone]],0)</f>
        <v>600</v>
      </c>
      <c r="BN121" s="7"/>
    </row>
    <row r="122" spans="1:66" ht="20" customHeight="1" x14ac:dyDescent="0.25">
      <c r="A122"/>
      <c r="BN122" s="7"/>
    </row>
    <row r="123" spans="1:66" ht="20" customHeight="1" x14ac:dyDescent="0.25">
      <c r="A123"/>
    </row>
    <row r="124" spans="1:66" ht="20" customHeight="1" x14ac:dyDescent="0.25">
      <c r="A124"/>
      <c r="D124" s="6" t="str" cm="1">
        <f t="array" ref="D124">Common_SourceData.Common_SourceData_LeachingZones_Title()</f>
        <v>VEERG Australian leaching zones</v>
      </c>
    </row>
    <row r="125" spans="1:66" ht="20" customHeight="1" x14ac:dyDescent="0.25">
      <c r="A125"/>
      <c r="D125" s="5" t="str" cm="1">
        <f t="array" ref="D125">Common_SourceData.Common_SourceData_LeachingZones_Source()</f>
        <v>VEERG 2026: Table 1.3: Climate and Rainfall zone classifications and definitions</v>
      </c>
    </row>
    <row r="126" spans="1:66" ht="20" customHeight="1" x14ac:dyDescent="0.25">
      <c r="A126"/>
    </row>
    <row r="127" spans="1:66" ht="20" customHeight="1" x14ac:dyDescent="0.25">
      <c r="A127"/>
      <c r="D127" s="38" t="s">
        <v>61</v>
      </c>
      <c r="E127" s="38" t="s">
        <v>62</v>
      </c>
    </row>
    <row r="128" spans="1:66" ht="20" customHeight="1" x14ac:dyDescent="0.25">
      <c r="A128"/>
      <c r="D128" s="38" t="str" cm="1">
        <f t="array" ref="D128">Common_InputFunctions.Utility_DisplayArrayInTable(Common_SourceData.Common_SourceData_LeachingZones_Data(), Table_SourceData_LeachingZones[[#Headers],[Leaching Zone]], 0)</f>
        <v>Leaching occurs</v>
      </c>
      <c r="E128" s="38"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 customHeight="1" x14ac:dyDescent="0.25">
      <c r="A129"/>
      <c r="D129" s="38" t="str" cm="1">
        <f t="array" ref="D129">Common_InputFunctions.Utility_DisplayArrayInTable(Common_SourceData.Common_SourceData_LeachingZones_Data(), Table_SourceData_LeachingZones[[#Headers],[Leaching Zone]], 0)</f>
        <v>Leaching does not occur</v>
      </c>
      <c r="E129" s="38"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 customHeight="1" x14ac:dyDescent="0.25">
      <c r="A130"/>
    </row>
    <row r="131" spans="1:77" ht="20" customHeight="1" x14ac:dyDescent="0.25">
      <c r="A131"/>
    </row>
    <row r="132" spans="1:77" ht="20" customHeight="1" x14ac:dyDescent="0.25">
      <c r="A132"/>
      <c r="D132" s="6" t="str" cm="1">
        <f t="array" ref="D132">Common_SourceData.Common_SourceData_FracWET_Title()</f>
        <v>Fraction of N that is available for leaching and runoff</v>
      </c>
      <c r="E132" s="23"/>
    </row>
    <row r="133" spans="1:77" ht="20" customHeight="1" x14ac:dyDescent="0.25">
      <c r="A133"/>
      <c r="D133" s="5" t="str" cm="1">
        <f t="array" ref="D133">Common_SourceData.Common_SourceData_FracWET_Source()</f>
        <v>VEERG 2026:5.5.2.3 Constant Parameters</v>
      </c>
      <c r="E133" s="23"/>
    </row>
    <row r="134" spans="1:77" ht="20" customHeight="1" x14ac:dyDescent="0.25">
      <c r="A134"/>
      <c r="D134" t="s">
        <v>78</v>
      </c>
      <c r="E134" t="s">
        <v>79</v>
      </c>
    </row>
    <row r="135" spans="1:77" ht="20"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 customHeight="1" x14ac:dyDescent="0.25">
      <c r="A136"/>
      <c r="D136" s="1" t="str" cm="1">
        <f t="array" ref="D136">Common_InputFunctions.Utility_DisplayArrayInTable(Common_SourceData.Common_SourceData_FracWET_Data(),Table_SourceData_FracWET[[#Headers],[Is in leaching zone]],0)</f>
        <v>No - not in leaching zone</v>
      </c>
      <c r="E136" s="38" cm="1">
        <f t="array" ref="E136">Common_InputFunctions.Utility_DisplayArrayInTable(Common_SourceData.Common_SourceData_FracWET_Data(),Table_SourceData_FracWET[[#Headers],[Is in leaching zone]],0)</f>
        <v>0</v>
      </c>
    </row>
    <row r="137" spans="1:77" ht="20" customHeight="1" x14ac:dyDescent="0.25">
      <c r="A137"/>
    </row>
    <row r="138" spans="1:77" ht="20" customHeight="1" x14ac:dyDescent="0.25">
      <c r="A138"/>
      <c r="BN138" s="7"/>
      <c r="BO138" s="7"/>
      <c r="BP138" s="7"/>
      <c r="BQ138" s="7"/>
      <c r="BR138" s="7"/>
      <c r="BS138" s="7"/>
      <c r="BT138" s="7"/>
      <c r="BU138" s="7"/>
      <c r="BV138" s="7"/>
      <c r="BW138" s="7"/>
      <c r="BX138" s="7"/>
      <c r="BY138" s="7"/>
    </row>
    <row r="139" spans="1:77" ht="20"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 customHeight="1" x14ac:dyDescent="0.25">
      <c r="A141"/>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 customHeight="1" x14ac:dyDescent="0.25">
      <c r="A142"/>
      <c r="D142" s="38" t="s">
        <v>112</v>
      </c>
      <c r="E142" s="38" t="s">
        <v>79</v>
      </c>
      <c r="BN142" s="7"/>
    </row>
    <row r="143" spans="1:77" ht="20" customHeight="1" x14ac:dyDescent="0.25">
      <c r="A143"/>
      <c r="D143" s="38" t="str" cm="1">
        <f t="array" ref="D143">Common_InputFunctions.Utility_DisplayArrayInTable(Common_SourceData.Common_SourceData_FracWETIrrigation_Data(), Table_SourceData_FracWETIrrigation[[#Headers],[Irrigation type i]], 0)</f>
        <v>Not irrigated</v>
      </c>
      <c r="E143" s="38" cm="1">
        <f t="array" ref="E143">Common_InputFunctions.Utility_DisplayArrayInTable(Common_SourceData.Common_SourceData_FracWETIrrigation_Data(), Table_SourceData_FracWETIrrigation[[#Headers],[Irrigation type i]], 0)</f>
        <v>0</v>
      </c>
      <c r="BN143" s="7"/>
    </row>
    <row r="144" spans="1:77" ht="20" customHeight="1" x14ac:dyDescent="0.25">
      <c r="A144"/>
      <c r="D144" s="1" t="str" cm="1">
        <f t="array" ref="D144">Common_InputFunctions.Utility_DisplayArrayInTable(Common_SourceData.Common_SourceData_FracWETIrrigation_Data(), Table_SourceData_FracWETIrrigation[[#Headers],[Irrigation type i]], 0)</f>
        <v>Drip irrigation</v>
      </c>
      <c r="E144" s="38" cm="1">
        <f t="array" ref="E144">Common_InputFunctions.Utility_DisplayArrayInTable(Common_SourceData.Common_SourceData_FracWETIrrigation_Data(), Table_SourceData_FracWETIrrigation[[#Headers],[Irrigation type i]], 0)</f>
        <v>0</v>
      </c>
      <c r="BN144" s="7"/>
    </row>
    <row r="145" spans="1:66" ht="20"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8" cm="1">
        <f t="array" ref="E145">Common_InputFunctions.Utility_DisplayArrayInTable(Common_SourceData.Common_SourceData_FracWETIrrigation_Data(), Table_SourceData_FracWETIrrigation[[#Headers],[Irrigation type i]], 0)</f>
        <v>1</v>
      </c>
      <c r="BN145" s="7"/>
    </row>
    <row r="146" spans="1:66" ht="20" customHeight="1" x14ac:dyDescent="0.25">
      <c r="A146"/>
      <c r="D146" s="1" t="str" cm="1">
        <f t="array" ref="D146">Common_InputFunctions.Utility_DisplayArrayInTable(Common_SourceData.Common_SourceData_FracWETIrrigation_Data(), Table_SourceData_FracWETIrrigation[[#Headers],[Irrigation type i]], 0)</f>
        <v>Surface irrigation</v>
      </c>
      <c r="E146" s="38" cm="1">
        <f t="array" ref="E146">Common_InputFunctions.Utility_DisplayArrayInTable(Common_SourceData.Common_SourceData_FracWETIrrigation_Data(), Table_SourceData_FracWETIrrigation[[#Headers],[Irrigation type i]], 0)</f>
        <v>1</v>
      </c>
      <c r="BN146" s="7"/>
    </row>
    <row r="147" spans="1:66" ht="20" customHeight="1" x14ac:dyDescent="0.25">
      <c r="A147"/>
      <c r="D147" s="1" t="str" cm="1">
        <f t="array" ref="D147">Common_InputFunctions.Utility_DisplayArrayInTable(Common_SourceData.Common_SourceData_FracWETIrrigation_Data(), Table_SourceData_FracWETIrrigation[[#Headers],[Irrigation type i]], 0)</f>
        <v>Other irrigation</v>
      </c>
      <c r="E147" s="38" cm="1">
        <f t="array" ref="E147">Common_InputFunctions.Utility_DisplayArrayInTable(Common_SourceData.Common_SourceData_FracWETIrrigation_Data(), Table_SourceData_FracWETIrrigation[[#Headers],[Irrigation type i]], 0)</f>
        <v>1</v>
      </c>
      <c r="BN147" s="7"/>
    </row>
    <row r="148" spans="1:66" ht="20" customHeight="1" x14ac:dyDescent="0.25">
      <c r="A148"/>
      <c r="BN148" s="7"/>
    </row>
    <row r="149" spans="1:66" ht="20" customHeight="1" x14ac:dyDescent="0.25">
      <c r="A149"/>
      <c r="BN149" s="7"/>
    </row>
    <row r="150" spans="1:66" ht="20" customHeight="1" x14ac:dyDescent="0.25">
      <c r="A150"/>
      <c r="D150" s="6" t="str" cm="1">
        <f t="array" ref="D150">Common_SourceData.Common_SourceData_DataScores_Scope3_Title()</f>
        <v>Australian data scores for scope 3</v>
      </c>
      <c r="BN150" s="7"/>
    </row>
    <row r="151" spans="1:66" ht="20" customHeight="1" x14ac:dyDescent="0.25">
      <c r="A151"/>
      <c r="D151" s="5" t="str" cm="1">
        <f t="array" ref="D151">Common_SourceData.Common_SourceData_DataScores_Scope3_Source()</f>
        <v>VEERG 2026: XXXXXXXX</v>
      </c>
      <c r="BN151" s="7"/>
    </row>
    <row r="152" spans="1:66" ht="20" customHeight="1" x14ac:dyDescent="0.25">
      <c r="A152"/>
      <c r="BN152" s="7"/>
    </row>
    <row r="153" spans="1:66" ht="20" customHeight="1" x14ac:dyDescent="0.25">
      <c r="A153"/>
      <c r="D153" s="38" t="s">
        <v>64</v>
      </c>
      <c r="E153" s="38" t="s">
        <v>65</v>
      </c>
      <c r="BC153" s="3"/>
      <c r="BD153" s="3"/>
      <c r="BE153" s="3"/>
      <c r="BF153" s="3"/>
      <c r="BG153" s="3"/>
      <c r="BH153" s="3"/>
      <c r="BI153" s="3"/>
      <c r="BJ153" s="3"/>
      <c r="BK153" s="3"/>
      <c r="BL153" s="3"/>
      <c r="BM153" s="3"/>
    </row>
    <row r="154" spans="1:66" ht="20" customHeight="1" x14ac:dyDescent="0.25">
      <c r="A154"/>
      <c r="D154" s="38" t="str" cm="1">
        <f t="array" ref="D154">Common_InputFunctions.Utility_DisplayArrayInTable(Common_SourceData.Common_SourceData_DataScores_Scope3_Data(), Table_SourceData_DataScores_Scope3[[#Headers],[Data source]], 0)</f>
        <v>International scope 3 database</v>
      </c>
      <c r="E154" s="38"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 customHeight="1" x14ac:dyDescent="0.25">
      <c r="A155"/>
      <c r="D155" s="38" t="str" cm="1">
        <f t="array" ref="D155">Common_InputFunctions.Utility_DisplayArrayInTable(Common_SourceData.Common_SourceData_DataScores_Scope3_Data(), Table_SourceData_DataScores_Scope3[[#Headers],[Data source]], 0)</f>
        <v>Australian scope 3 database</v>
      </c>
      <c r="E155" s="38"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 customHeight="1" x14ac:dyDescent="0.25">
      <c r="A156"/>
      <c r="D156" s="38" t="str" cm="1">
        <f t="array" ref="D156">Common_InputFunctions.Utility_DisplayArrayInTable(Common_SourceData.Common_SourceData_DataScores_Scope3_Data(), Table_SourceData_DataScores_Scope3[[#Headers],[Data source]], 0)</f>
        <v>State or regional scope 3 database</v>
      </c>
      <c r="E156" s="38" cm="1">
        <f t="array" ref="E156">Common_InputFunctions.Utility_DisplayArrayInTable(Common_SourceData.Common_SourceData_DataScores_Scope3_Data(), Table_SourceData_DataScores_Scope3[[#Headers],[Data source]], 0)</f>
        <v>3</v>
      </c>
    </row>
    <row r="157" spans="1:66" ht="20" customHeight="1" x14ac:dyDescent="0.25">
      <c r="A157"/>
      <c r="D157" s="38" t="str" cm="1">
        <f t="array" ref="D157">Common_InputFunctions.Utility_DisplayArrayInTable(Common_SourceData.Common_SourceData_DataScores_Scope3_Data(), Table_SourceData_DataScores_Scope3[[#Headers],[Data source]], 0)</f>
        <v>Emissions intensity calculated from approved method</v>
      </c>
      <c r="E157" s="38" cm="1">
        <f t="array" ref="E157">Common_InputFunctions.Utility_DisplayArrayInTable(Common_SourceData.Common_SourceData_DataScores_Scope3_Data(), Table_SourceData_DataScores_Scope3[[#Headers],[Data source]], 0)</f>
        <v>4</v>
      </c>
    </row>
    <row r="158" spans="1:66" ht="20" customHeight="1" x14ac:dyDescent="0.25">
      <c r="A158"/>
      <c r="D158" s="38" t="str" cm="1">
        <f t="array" ref="D158">Common_InputFunctions.Utility_DisplayArrayInTable(Common_SourceData.Common_SourceData_DataScores_Scope3_Data(), Table_SourceData_DataScores_Scope3[[#Headers],[Data source]], 0)</f>
        <v>Verified credential matching ISO14067</v>
      </c>
      <c r="E158" s="38" cm="1">
        <f t="array" ref="E158">Common_InputFunctions.Utility_DisplayArrayInTable(Common_SourceData.Common_SourceData_DataScores_Scope3_Data(), Table_SourceData_DataScores_Scope3[[#Headers],[Data source]], 0)</f>
        <v>5</v>
      </c>
    </row>
    <row r="159" spans="1:66" ht="20" customHeight="1" x14ac:dyDescent="0.25">
      <c r="A159"/>
    </row>
    <row r="160" spans="1:66" ht="20" customHeight="1" x14ac:dyDescent="0.25">
      <c r="A160"/>
    </row>
    <row r="161" spans="4:68" ht="20" customHeight="1" x14ac:dyDescent="0.25">
      <c r="D161" s="6" t="str" cm="1">
        <f t="array" ref="D161">Common_SourceData.Common_SourceData_FracLEACH_Title()</f>
        <v>Fraction of N that is available for leaching and runoff</v>
      </c>
      <c r="E161" s="23"/>
    </row>
    <row r="162" spans="4:68" ht="20" customHeight="1" x14ac:dyDescent="0.25">
      <c r="D162" s="5" t="str" cm="1">
        <f t="array" ref="D162">Common_SourceData.Common_SourceData_FracLEACH_Source()</f>
        <v>VEERG 2026:5.5.2.3 Constant Parameters</v>
      </c>
      <c r="E162" s="23"/>
    </row>
    <row r="163" spans="4:68" ht="20" customHeight="1" x14ac:dyDescent="0.25">
      <c r="D163" s="5" t="str" cm="1">
        <f t="array" ref="D163">Common_SourceData.Common_SourceData_FracLEACH_NIRReference()</f>
        <v>National Inventory Report Volume 1: Leaching and runoff (3.D.b.2)</v>
      </c>
      <c r="E163" s="23"/>
    </row>
    <row r="164" spans="4:68" ht="20" customHeight="1" x14ac:dyDescent="0.25">
      <c r="D164" s="23" t="str" cm="1">
        <f t="array" ref="D164:E164">Common_SourceData.Common_SourceData_FracLEACH_Data()</f>
        <v>FracLEACH</v>
      </c>
      <c r="E164" s="23">
        <v>0.24</v>
      </c>
    </row>
    <row r="165" spans="4:68" ht="20" customHeight="1" x14ac:dyDescent="0.25">
      <c r="BN165" s="7"/>
      <c r="BO165" s="7"/>
      <c r="BP165" s="7"/>
    </row>
    <row r="166" spans="4:68" ht="20" customHeight="1" x14ac:dyDescent="0.25">
      <c r="BN166" s="7"/>
      <c r="BO166" s="7"/>
      <c r="BP166" s="7"/>
    </row>
    <row r="167" spans="4:68" ht="20" customHeight="1" x14ac:dyDescent="0.25">
      <c r="D167" s="6" t="str" cm="1">
        <f t="array" ref="D167">Common_SourceData.Common_SourceData_EFleach_Title()</f>
        <v>Emission factor for nitrogen leaching and runoff</v>
      </c>
      <c r="BN167" s="7"/>
      <c r="BO167" s="7"/>
      <c r="BP167" s="7"/>
    </row>
    <row r="168" spans="4:68" ht="20" customHeight="1" x14ac:dyDescent="0.25">
      <c r="D168" s="5" t="str" cm="1">
        <f t="array" ref="D168">Common_SourceData.Common_SourceData_EFleach_Source()</f>
        <v>VEERG 2026:5.5.2.3 Constant Parameters</v>
      </c>
      <c r="BN168" s="7"/>
      <c r="BO168" s="7"/>
      <c r="BP168" s="7"/>
    </row>
    <row r="169" spans="4:68" ht="20" customHeight="1" x14ac:dyDescent="0.25">
      <c r="D169" s="5" t="str" cm="1">
        <f t="array" ref="D169">Common_SourceData.Common_SourceData_EFleach_NIRReference()</f>
        <v>National Inventory Report Volume 1: Equation 3.D.B_10</v>
      </c>
      <c r="BN169" s="7"/>
      <c r="BO169" s="7"/>
      <c r="BP169" s="7"/>
    </row>
    <row r="170" spans="4:68" ht="20" customHeight="1" x14ac:dyDescent="0.25">
      <c r="D170" s="1" t="str" cm="1">
        <f t="array" ref="D170:E170">Common_SourceData.Common_SourceData_EFleach_Data()</f>
        <v>EFleach</v>
      </c>
      <c r="E170" s="1">
        <v>1.0999999999999999E-2</v>
      </c>
      <c r="BN170" s="7"/>
      <c r="BO170" s="7"/>
      <c r="BP170" s="7"/>
    </row>
    <row r="171" spans="4:68" ht="20" customHeight="1" x14ac:dyDescent="0.25">
      <c r="BN171" s="7"/>
      <c r="BO171" s="7"/>
      <c r="BP171" s="7"/>
    </row>
    <row r="172" spans="4:68" ht="20" customHeight="1" x14ac:dyDescent="0.25">
      <c r="BN172" s="7"/>
      <c r="BO172" s="7"/>
      <c r="BP172" s="7"/>
    </row>
    <row r="173" spans="4:68" ht="20" customHeight="1" x14ac:dyDescent="0.25">
      <c r="D173" s="6" t="str" cm="1">
        <f t="array" ref="D173">Common_SourceData.Common_SourceData_DensityOfMethane_Title()</f>
        <v>p = density of methane</v>
      </c>
      <c r="BN173" s="7"/>
      <c r="BO173" s="7"/>
      <c r="BP173" s="7"/>
    </row>
    <row r="174" spans="4:68" ht="20" customHeight="1" x14ac:dyDescent="0.25">
      <c r="D174" s="5" t="str" cm="1">
        <f t="array" ref="D174">Common_SourceData.Common_SourceData_DensityOfMethane_Source()</f>
        <v>National Inventory Report 2023 Volume 1: Equations 3.B.1a_2, 3.B.1c_2, 3.B.3_1, 3.B.4g_2</v>
      </c>
      <c r="BN174" s="7"/>
      <c r="BO174" s="7"/>
      <c r="BP174" s="7"/>
    </row>
    <row r="175" spans="4:68" ht="20"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 customHeight="1" x14ac:dyDescent="0.25">
      <c r="BN176" s="7"/>
      <c r="BO176" s="7"/>
      <c r="BP176" s="7"/>
    </row>
    <row r="177" spans="4:68" ht="20" customHeight="1" x14ac:dyDescent="0.25">
      <c r="BN177" s="7"/>
      <c r="BO177" s="7"/>
      <c r="BP177" s="7"/>
    </row>
    <row r="178" spans="4:68" ht="20" customHeight="1" x14ac:dyDescent="0.25">
      <c r="D178" s="6" t="str" cm="1">
        <f t="array" ref="D178">Common_SourceData.Common_SourceData_EFN2O_Title()</f>
        <v>Nitrous oxide emission factors for inorganic fertiliser application</v>
      </c>
      <c r="BN178" s="7"/>
      <c r="BO178" s="7"/>
      <c r="BP178" s="7"/>
    </row>
    <row r="179" spans="4:68" ht="20" customHeight="1" x14ac:dyDescent="0.25">
      <c r="D179" s="5" t="str" cm="1">
        <f t="array" ref="D179">Common_SourceData.Common_SourceData_EFN2O_Source()</f>
        <v>VEERG 2026: Table A.2.2.1</v>
      </c>
      <c r="BN179" s="7"/>
      <c r="BO179" s="7"/>
      <c r="BP179" s="7"/>
    </row>
    <row r="180" spans="4:68" ht="20" customHeight="1" x14ac:dyDescent="0.25">
      <c r="D180" s="53" t="str" cm="1">
        <f t="array" ref="D180">Common_SourceData.Common_SourceData_EFN2O_Unit()</f>
        <v>(kg N2O-N / kg N</v>
      </c>
    </row>
    <row r="181" spans="4:68" ht="20" customHeight="1" x14ac:dyDescent="0.25">
      <c r="D181" s="54" t="str" cm="1">
        <f t="array" ref="D181:D185">Common_SourceData.Common_SourceData_EFN2O_Variation()</f>
        <v>VARIATION OF SOURCE DATA:</v>
      </c>
    </row>
    <row r="182" spans="4:68" ht="20" customHeight="1" x14ac:dyDescent="0.25">
      <c r="D182" s="54" t="str">
        <v>Removed duplicate 'Aquaculture' row.</v>
      </c>
    </row>
    <row r="183" spans="4:68" ht="20" customHeight="1" x14ac:dyDescent="0.25">
      <c r="D183" s="54" t="str">
        <v>Removed asterisks to aid lookup.</v>
      </c>
    </row>
    <row r="184" spans="4:68" ht="20" customHeight="1" x14ac:dyDescent="0.25">
      <c r="D184" s="54" t="str">
        <v>Added 'production system only', 'rainfall zone' and 'irrigation method' columns to aid lookup.</v>
      </c>
    </row>
    <row r="185" spans="4:68" ht="20" customHeight="1" x14ac:dyDescent="0.25">
      <c r="D185" s="54" t="str">
        <v>Duplicated 'non-irrigated pasture' row with same EF for low and high rainfall zones to aid lookup.</v>
      </c>
    </row>
    <row r="186" spans="4:68" ht="20" customHeight="1" x14ac:dyDescent="0.25">
      <c r="D186" s="38" t="s">
        <v>96</v>
      </c>
      <c r="E186" s="38" t="s">
        <v>97</v>
      </c>
      <c r="F186" s="38" t="s">
        <v>98</v>
      </c>
      <c r="G186" s="38" t="s">
        <v>99</v>
      </c>
      <c r="H186" s="38" t="s">
        <v>31</v>
      </c>
    </row>
    <row r="187" spans="4:68" ht="20" customHeight="1" x14ac:dyDescent="0.25">
      <c r="D187" s="38" t="str" cm="1">
        <f t="array" ref="D187">Common_InputFunctions.Utility_DisplayArrayInTable(Common_SourceData.Common_SourceData_EFN2O_Data(), Table_SourceData_Common_EFN2O[[#Headers],[Production system j]], 0)</f>
        <v>Irrigated pasture</v>
      </c>
      <c r="E187" s="38" cm="1">
        <f t="array" ref="E187">Common_InputFunctions.Utility_DisplayArrayInTable(Common_SourceData.Common_SourceData_EFN2O_Data(), Table_SourceData_Common_EFN2O[[#Headers],[Production system j]], 0)</f>
        <v>5.8999999999999999E-3</v>
      </c>
      <c r="F187" s="38" t="str" cm="1">
        <f t="array" ref="F187">Common_InputFunctions.Utility_DisplayArrayInTable(Common_SourceData.Common_SourceData_EFN2O_Data(), Table_SourceData_Common_EFN2O[[#Headers],[Production system j]], 0)</f>
        <v>Pasture</v>
      </c>
      <c r="G187" s="38" t="str" cm="1">
        <f t="array" ref="G187">Common_InputFunctions.Utility_DisplayArrayInTable(Common_SourceData.Common_SourceData_EFN2O_Data(), Table_SourceData_Common_EFN2O[[#Headers],[Production system j]], 0)</f>
        <v>Any</v>
      </c>
      <c r="H187" s="38" t="str" cm="1">
        <f t="array" ref="H187">Common_InputFunctions.Utility_DisplayArrayInTable(Common_SourceData.Common_SourceData_EFN2O_Data(), Table_SourceData_Common_EFN2O[[#Headers],[Production system j]], 0)</f>
        <v>Any</v>
      </c>
    </row>
    <row r="188" spans="4:68" ht="20" customHeight="1" x14ac:dyDescent="0.25">
      <c r="D188" s="38" t="str" cm="1">
        <f t="array" ref="D188">Common_InputFunctions.Utility_DisplayArrayInTable(Common_SourceData.Common_SourceData_EFN2O_Data(), Table_SourceData_Common_EFN2O[[#Headers],[Production system j]], 0)</f>
        <v>Irrigated crop</v>
      </c>
      <c r="E188" s="38" cm="1">
        <f t="array" ref="E188">Common_InputFunctions.Utility_DisplayArrayInTable(Common_SourceData.Common_SourceData_EFN2O_Data(), Table_SourceData_Common_EFN2O[[#Headers],[Production system j]], 0)</f>
        <v>7.0000000000000001E-3</v>
      </c>
      <c r="F188" s="38" t="str" cm="1">
        <f t="array" ref="F188">Common_InputFunctions.Utility_DisplayArrayInTable(Common_SourceData.Common_SourceData_EFN2O_Data(), Table_SourceData_Common_EFN2O[[#Headers],[Production system j]], 0)</f>
        <v>Crop</v>
      </c>
      <c r="G188" s="38" t="str" cm="1">
        <f t="array" ref="G188">Common_InputFunctions.Utility_DisplayArrayInTable(Common_SourceData.Common_SourceData_EFN2O_Data(), Table_SourceData_Common_EFN2O[[#Headers],[Production system j]], 0)</f>
        <v>Any</v>
      </c>
      <c r="H188" s="38" t="str" cm="1">
        <f t="array" ref="H188">Common_InputFunctions.Utility_DisplayArrayInTable(Common_SourceData.Common_SourceData_EFN2O_Data(), Table_SourceData_Common_EFN2O[[#Headers],[Production system j]], 0)</f>
        <v>Any</v>
      </c>
    </row>
    <row r="189" spans="4:68" ht="20" customHeight="1" x14ac:dyDescent="0.25">
      <c r="D189" s="38" t="str" cm="1">
        <f t="array" ref="D189">Common_InputFunctions.Utility_DisplayArrayInTable(Common_SourceData.Common_SourceData_EFN2O_Data(), Table_SourceData_Common_EFN2O[[#Headers],[Production system j]], 0)</f>
        <v>Non-irrigated pasture</v>
      </c>
      <c r="E189" s="38" cm="1">
        <f t="array" ref="E189">Common_InputFunctions.Utility_DisplayArrayInTable(Common_SourceData.Common_SourceData_EFN2O_Data(), Table_SourceData_Common_EFN2O[[#Headers],[Production system j]], 0)</f>
        <v>1.8E-3</v>
      </c>
      <c r="F189" s="38" t="str" cm="1">
        <f t="array" ref="F189">Common_InputFunctions.Utility_DisplayArrayInTable(Common_SourceData.Common_SourceData_EFN2O_Data(), Table_SourceData_Common_EFN2O[[#Headers],[Production system j]], 0)</f>
        <v>Pasture</v>
      </c>
      <c r="G189" s="38" t="str" cm="1">
        <f t="array" ref="G189">Common_InputFunctions.Utility_DisplayArrayInTable(Common_SourceData.Common_SourceData_EFN2O_Data(), Table_SourceData_Common_EFN2O[[#Headers],[Production system j]], 0)</f>
        <v>Not irrigated</v>
      </c>
      <c r="H189" s="38" t="str" cm="1">
        <f t="array" ref="H189">Common_InputFunctions.Utility_DisplayArrayInTable(Common_SourceData.Common_SourceData_EFN2O_Data(), Table_SourceData_Common_EFN2O[[#Headers],[Production system j]], 0)</f>
        <v>Low rainfall</v>
      </c>
    </row>
    <row r="190" spans="4:68" ht="20" customHeight="1" x14ac:dyDescent="0.25">
      <c r="D190" s="38" t="str" cm="1">
        <f t="array" ref="D190">Common_InputFunctions.Utility_DisplayArrayInTable(Common_SourceData.Common_SourceData_EFN2O_Data(), Table_SourceData_Common_EFN2O[[#Headers],[Production system j]], 0)</f>
        <v>Non-irrigated pasture</v>
      </c>
      <c r="E190" s="38" cm="1">
        <f t="array" ref="E190">Common_InputFunctions.Utility_DisplayArrayInTable(Common_SourceData.Common_SourceData_EFN2O_Data(), Table_SourceData_Common_EFN2O[[#Headers],[Production system j]], 0)</f>
        <v>1.8E-3</v>
      </c>
      <c r="F190" s="38" t="str" cm="1">
        <f t="array" ref="F190">Common_InputFunctions.Utility_DisplayArrayInTable(Common_SourceData.Common_SourceData_EFN2O_Data(), Table_SourceData_Common_EFN2O[[#Headers],[Production system j]], 0)</f>
        <v>Pasture</v>
      </c>
      <c r="G190" s="38" t="str" cm="1">
        <f t="array" ref="G190">Common_InputFunctions.Utility_DisplayArrayInTable(Common_SourceData.Common_SourceData_EFN2O_Data(), Table_SourceData_Common_EFN2O[[#Headers],[Production system j]], 0)</f>
        <v>Not irrigated</v>
      </c>
      <c r="H190" s="38" t="str" cm="1">
        <f t="array" ref="H190">Common_InputFunctions.Utility_DisplayArrayInTable(Common_SourceData.Common_SourceData_EFN2O_Data(), Table_SourceData_Common_EFN2O[[#Headers],[Production system j]], 0)</f>
        <v>High rainfall</v>
      </c>
    </row>
    <row r="191" spans="4:68" ht="20" customHeight="1" x14ac:dyDescent="0.25">
      <c r="D191" s="38" t="str" cm="1">
        <f t="array" ref="D191">Common_InputFunctions.Utility_DisplayArrayInTable(Common_SourceData.Common_SourceData_EFN2O_Data(), Table_SourceData_Common_EFN2O[[#Headers],[Production system j]], 0)</f>
        <v>Non-irrigated crop (low rainfall)</v>
      </c>
      <c r="E191" s="38" cm="1">
        <f t="array" ref="E191">Common_InputFunctions.Utility_DisplayArrayInTable(Common_SourceData.Common_SourceData_EFN2O_Data(), Table_SourceData_Common_EFN2O[[#Headers],[Production system j]], 0)</f>
        <v>2.8999999999999998E-3</v>
      </c>
      <c r="F191" s="38" t="str" cm="1">
        <f t="array" ref="F191">Common_InputFunctions.Utility_DisplayArrayInTable(Common_SourceData.Common_SourceData_EFN2O_Data(), Table_SourceData_Common_EFN2O[[#Headers],[Production system j]], 0)</f>
        <v>Crop</v>
      </c>
      <c r="G191" s="38" t="str" cm="1">
        <f t="array" ref="G191">Common_InputFunctions.Utility_DisplayArrayInTable(Common_SourceData.Common_SourceData_EFN2O_Data(), Table_SourceData_Common_EFN2O[[#Headers],[Production system j]], 0)</f>
        <v>Not irrigated</v>
      </c>
      <c r="H191" s="38" t="str" cm="1">
        <f t="array" ref="H191">Common_InputFunctions.Utility_DisplayArrayInTable(Common_SourceData.Common_SourceData_EFN2O_Data(), Table_SourceData_Common_EFN2O[[#Headers],[Production system j]], 0)</f>
        <v>Low rainfall</v>
      </c>
    </row>
    <row r="192" spans="4:68" ht="20" customHeight="1" x14ac:dyDescent="0.25">
      <c r="D192" s="38" t="str" cm="1">
        <f t="array" ref="D192">Common_InputFunctions.Utility_DisplayArrayInTable(Common_SourceData.Common_SourceData_EFN2O_Data(), Table_SourceData_Common_EFN2O[[#Headers],[Production system j]], 0)</f>
        <v>Non-irrigated crop (high rainfall)</v>
      </c>
      <c r="E192" s="38" cm="1">
        <f t="array" ref="E192">Common_InputFunctions.Utility_DisplayArrayInTable(Common_SourceData.Common_SourceData_EFN2O_Data(), Table_SourceData_Common_EFN2O[[#Headers],[Production system j]], 0)</f>
        <v>8.0000000000000002E-3</v>
      </c>
      <c r="F192" s="38" t="str" cm="1">
        <f t="array" ref="F192">Common_InputFunctions.Utility_DisplayArrayInTable(Common_SourceData.Common_SourceData_EFN2O_Data(), Table_SourceData_Common_EFN2O[[#Headers],[Production system j]], 0)</f>
        <v>Crop</v>
      </c>
      <c r="G192" s="38" t="str" cm="1">
        <f t="array" ref="G192">Common_InputFunctions.Utility_DisplayArrayInTable(Common_SourceData.Common_SourceData_EFN2O_Data(), Table_SourceData_Common_EFN2O[[#Headers],[Production system j]], 0)</f>
        <v>Not irrigated</v>
      </c>
      <c r="H192" s="38" t="str" cm="1">
        <f t="array" ref="H192">Common_InputFunctions.Utility_DisplayArrayInTable(Common_SourceData.Common_SourceData_EFN2O_Data(), Table_SourceData_Common_EFN2O[[#Headers],[Production system j]], 0)</f>
        <v>High rainfall</v>
      </c>
    </row>
    <row r="193" spans="4:8" ht="20" customHeight="1" x14ac:dyDescent="0.25">
      <c r="D193" s="38" t="str" cm="1">
        <f t="array" ref="D193">Common_InputFunctions.Utility_DisplayArrayInTable(Common_SourceData.Common_SourceData_EFN2O_Data(), Table_SourceData_Common_EFN2O[[#Headers],[Production system j]], 0)</f>
        <v>Sugar</v>
      </c>
      <c r="E193" s="38" cm="1">
        <f t="array" ref="E193">Common_InputFunctions.Utility_DisplayArrayInTable(Common_SourceData.Common_SourceData_EFN2O_Data(), Table_SourceData_Common_EFN2O[[#Headers],[Production system j]], 0)</f>
        <v>1.9900000000000001E-2</v>
      </c>
      <c r="F193" s="38" t="str" cm="1">
        <f t="array" ref="F193">Common_InputFunctions.Utility_DisplayArrayInTable(Common_SourceData.Common_SourceData_EFN2O_Data(), Table_SourceData_Common_EFN2O[[#Headers],[Production system j]], 0)</f>
        <v>Sugar</v>
      </c>
      <c r="G193" s="38" t="str" cm="1">
        <f t="array" ref="G193">Common_InputFunctions.Utility_DisplayArrayInTable(Common_SourceData.Common_SourceData_EFN2O_Data(), Table_SourceData_Common_EFN2O[[#Headers],[Production system j]], 0)</f>
        <v>Any</v>
      </c>
      <c r="H193" s="38" t="str" cm="1">
        <f t="array" ref="H193">Common_InputFunctions.Utility_DisplayArrayInTable(Common_SourceData.Common_SourceData_EFN2O_Data(), Table_SourceData_Common_EFN2O[[#Headers],[Production system j]], 0)</f>
        <v>Any</v>
      </c>
    </row>
    <row r="194" spans="4:8" ht="20" customHeight="1" x14ac:dyDescent="0.25">
      <c r="D194" s="38" t="str" cm="1">
        <f t="array" ref="D194">Common_InputFunctions.Utility_DisplayArrayInTable(Common_SourceData.Common_SourceData_EFN2O_Data(), Table_SourceData_Common_EFN2O[[#Headers],[Production system j]], 0)</f>
        <v>Cotton</v>
      </c>
      <c r="E194" s="38" cm="1">
        <f t="array" ref="E194">Common_InputFunctions.Utility_DisplayArrayInTable(Common_SourceData.Common_SourceData_EFN2O_Data(), Table_SourceData_Common_EFN2O[[#Headers],[Production system j]], 0)</f>
        <v>5.3E-3</v>
      </c>
      <c r="F194" s="38" t="str" cm="1">
        <f t="array" ref="F194">Common_InputFunctions.Utility_DisplayArrayInTable(Common_SourceData.Common_SourceData_EFN2O_Data(), Table_SourceData_Common_EFN2O[[#Headers],[Production system j]], 0)</f>
        <v>Cotton</v>
      </c>
      <c r="G194" s="38" t="str" cm="1">
        <f t="array" ref="G194">Common_InputFunctions.Utility_DisplayArrayInTable(Common_SourceData.Common_SourceData_EFN2O_Data(), Table_SourceData_Common_EFN2O[[#Headers],[Production system j]], 0)</f>
        <v>Any</v>
      </c>
      <c r="H194" s="38" t="str" cm="1">
        <f t="array" ref="H194">Common_InputFunctions.Utility_DisplayArrayInTable(Common_SourceData.Common_SourceData_EFN2O_Data(), Table_SourceData_Common_EFN2O[[#Headers],[Production system j]], 0)</f>
        <v>Any</v>
      </c>
    </row>
    <row r="195" spans="4:8" ht="20" customHeight="1" x14ac:dyDescent="0.25">
      <c r="D195" s="38" t="str" cm="1">
        <f t="array" ref="D195">Common_InputFunctions.Utility_DisplayArrayInTable(Common_SourceData.Common_SourceData_EFN2O_Data(), Table_SourceData_Common_EFN2O[[#Headers],[Production system j]], 0)</f>
        <v>Horticultural crops</v>
      </c>
      <c r="E195" s="38" cm="1">
        <f t="array" ref="E195">Common_InputFunctions.Utility_DisplayArrayInTable(Common_SourceData.Common_SourceData_EFN2O_Data(), Table_SourceData_Common_EFN2O[[#Headers],[Production system j]], 0)</f>
        <v>6.4000000000000003E-3</v>
      </c>
      <c r="F195" s="38" t="str" cm="1">
        <f t="array" ref="F195">Common_InputFunctions.Utility_DisplayArrayInTable(Common_SourceData.Common_SourceData_EFN2O_Data(), Table_SourceData_Common_EFN2O[[#Headers],[Production system j]], 0)</f>
        <v>Horticultural crops</v>
      </c>
      <c r="G195" s="38" t="str" cm="1">
        <f t="array" ref="G195">Common_InputFunctions.Utility_DisplayArrayInTable(Common_SourceData.Common_SourceData_EFN2O_Data(), Table_SourceData_Common_EFN2O[[#Headers],[Production system j]], 0)</f>
        <v>Any</v>
      </c>
      <c r="H195" s="38" t="str" cm="1">
        <f t="array" ref="H195">Common_InputFunctions.Utility_DisplayArrayInTable(Common_SourceData.Common_SourceData_EFN2O_Data(), Table_SourceData_Common_EFN2O[[#Headers],[Production system j]], 0)</f>
        <v>Any</v>
      </c>
    </row>
    <row r="196" spans="4:8" ht="20" customHeight="1" x14ac:dyDescent="0.25">
      <c r="D196" s="38" t="str" cm="1">
        <f t="array" ref="D196">Common_InputFunctions.Utility_DisplayArrayInTable(Common_SourceData.Common_SourceData_EFN2O_Data(), Table_SourceData_Common_EFN2O[[#Headers],[Production system j]], 0)</f>
        <v>Rice (continuous flooding)</v>
      </c>
      <c r="E196" s="38" cm="1">
        <f t="array" ref="E196">Common_InputFunctions.Utility_DisplayArrayInTable(Common_SourceData.Common_SourceData_EFN2O_Data(), Table_SourceData_Common_EFN2O[[#Headers],[Production system j]], 0)</f>
        <v>3.0000000000000001E-3</v>
      </c>
      <c r="F196" s="38" t="str" cm="1">
        <f t="array" ref="F196">Common_InputFunctions.Utility_DisplayArrayInTable(Common_SourceData.Common_SourceData_EFN2O_Data(), Table_SourceData_Common_EFN2O[[#Headers],[Production system j]], 0)</f>
        <v>Rice</v>
      </c>
      <c r="G196" s="38" t="str" cm="1">
        <f t="array" ref="G196">Common_InputFunctions.Utility_DisplayArrayInTable(Common_SourceData.Common_SourceData_EFN2O_Data(), Table_SourceData_Common_EFN2O[[#Headers],[Production system j]], 0)</f>
        <v>Continuous flooding</v>
      </c>
      <c r="H196" s="38" t="str" cm="1">
        <f t="array" ref="H196">Common_InputFunctions.Utility_DisplayArrayInTable(Common_SourceData.Common_SourceData_EFN2O_Data(), Table_SourceData_Common_EFN2O[[#Headers],[Production system j]], 0)</f>
        <v>Any</v>
      </c>
    </row>
    <row r="197" spans="4:8" x14ac:dyDescent="0.25" ht="20" customHeight="1">
      <c r="D197" s="38" t="str" cm="1">
        <f t="array" ref="D197">Common_InputFunctions.Utility_DisplayArrayInTable(Common_SourceData.Common_SourceData_EFN2O_Data(), Table_SourceData_Common_EFN2O[[#Headers],[Production system j]], 0)</f>
        <v>Rice (single and multiple drainage, or alternate wetting and drying)</v>
      </c>
      <c r="E197" s="38" cm="1">
        <f t="array" ref="E197">Common_InputFunctions.Utility_DisplayArrayInTable(Common_SourceData.Common_SourceData_EFN2O_Data(), Table_SourceData_Common_EFN2O[[#Headers],[Production system j]], 0)</f>
        <v>5.0000000000000001E-3</v>
      </c>
      <c r="F197" s="38" t="str" cm="1">
        <f t="array" ref="F197">Common_InputFunctions.Utility_DisplayArrayInTable(Common_SourceData.Common_SourceData_EFN2O_Data(), Table_SourceData_Common_EFN2O[[#Headers],[Production system j]], 0)</f>
        <v>Rice</v>
      </c>
      <c r="G197" s="38" t="str" cm="1">
        <f t="array" ref="G197">Common_InputFunctions.Utility_DisplayArrayInTable(Common_SourceData.Common_SourceData_EFN2O_Data(), Table_SourceData_Common_EFN2O[[#Headers],[Production system j]], 0)</f>
        <v>Single and multiple drainage, or alternate wetting and drying</v>
      </c>
      <c r="H197" s="38" t="str" cm="1">
        <f t="array" ref="H197">Common_InputFunctions.Utility_DisplayArrayInTable(Common_SourceData.Common_SourceData_EFN2O_Data(), Table_SourceData_Common_EFN2O[[#Headers],[Production system j]], 0)</f>
        <v>Any</v>
      </c>
    </row>
    <row r="198" spans="4:8" x14ac:dyDescent="0.25" ht="20" customHeight="1">
      <c r="D198" s="38" t="str" cm="1">
        <f t="array" ref="D198">Common_InputFunctions.Utility_DisplayArrayInTable(Common_SourceData.Common_SourceData_EFN2O_Data(), Table_SourceData_Common_EFN2O[[#Headers],[Production system j]], 0)</f>
        <v>Aquaculture</v>
      </c>
      <c r="E198" s="38" cm="1">
        <f t="array" ref="E198">Common_InputFunctions.Utility_DisplayArrayInTable(Common_SourceData.Common_SourceData_EFN2O_Data(), Table_SourceData_Common_EFN2O[[#Headers],[Production system j]], 0)</f>
        <v>2.5999999999999999E-3</v>
      </c>
      <c r="F198" s="38" t="str" cm="1">
        <f t="array" ref="F198">Common_InputFunctions.Utility_DisplayArrayInTable(Common_SourceData.Common_SourceData_EFN2O_Data(), Table_SourceData_Common_EFN2O[[#Headers],[Production system j]], 0)</f>
        <v>Aquaculture</v>
      </c>
      <c r="G198" s="38" t="str" cm="1">
        <f t="array" ref="G198">Common_InputFunctions.Utility_DisplayArrayInTable(Common_SourceData.Common_SourceData_EFN2O_Data(), Table_SourceData_Common_EFN2O[[#Headers],[Production system j]], 0)</f>
        <v>Any</v>
      </c>
      <c r="H198" s="38" t="str" cm="1">
        <f t="array" ref="H198">Common_InputFunctions.Utility_DisplayArrayInTable(Common_SourceData.Common_SourceData_EFN2O_Data(), Table_SourceData_Common_EFN2O[[#Headers],[Production system j]], 0)</f>
        <v>Any</v>
      </c>
    </row>
    <row r="199" spans="4:8" x14ac:dyDescent="0.25" ht="20" customHeight="1">
      <c r="D199" s="38" t="str" cm="1">
        <f t="array" ref="D199">Common_InputFunctions.Utility_DisplayArrayInTable(Common_SourceData.Common_SourceData_EFN2O_Data(), Table_SourceData_Common_EFN2O[[#Headers],[Production system j]], 0)</f>
        <v>Forestry</v>
      </c>
      <c r="E199" s="38" cm="1">
        <f t="array" ref="E199">Common_InputFunctions.Utility_DisplayArrayInTable(Common_SourceData.Common_SourceData_EFN2O_Data(), Table_SourceData_Common_EFN2O[[#Headers],[Production system j]], 0)</f>
        <v>1.8E-3</v>
      </c>
      <c r="F199" s="38" t="str" cm="1">
        <f t="array" ref="F199">Common_InputFunctions.Utility_DisplayArrayInTable(Common_SourceData.Common_SourceData_EFN2O_Data(), Table_SourceData_Common_EFN2O[[#Headers],[Production system j]], 0)</f>
        <v>Forestry</v>
      </c>
      <c r="G199" s="38" t="str" cm="1">
        <f t="array" ref="G199">Common_InputFunctions.Utility_DisplayArrayInTable(Common_SourceData.Common_SourceData_EFN2O_Data(), Table_SourceData_Common_EFN2O[[#Headers],[Production system j]], 0)</f>
        <v>Any</v>
      </c>
      <c r="H199" s="38" t="str" cm="1">
        <f t="array" ref="H199">Common_InputFunctions.Utility_DisplayArrayInTable(Common_SourceData.Common_SourceData_EFN2O_Data(), Table_SourceData_Common_EFN2O[[#Headers],[Production system j]], 0)</f>
        <v>Any</v>
      </c>
    </row>
    <row r="202" spans="4:8" ht="20" x14ac:dyDescent="0.25" customHeight="1">
      <c r="D202" s="6" t="str" cm="1">
        <f t="array" ref="D202">Common_SourceData.Common_SourceData_EFPastureRangeAndPaddock_Title()</f>
        <v>Emission factor for urine and dung deposited on pasture, range or paddock</v>
      </c>
    </row>
    <row r="203" spans="4:8" x14ac:dyDescent="0.25" ht="20" customHeight="1">
      <c r="D203" s="5" t="str" cm="1">
        <f t="array" ref="D203">Common_SourceData.Common_SourceData_EFPastureRangeAndPaddock_Source()</f>
        <v>VEERG 2026: Table A.2.2.2</v>
      </c>
    </row>
    <row r="204" spans="4:8" x14ac:dyDescent="0.25" ht="20" customHeight="1">
      <c r="D204" s="54" t="str" cm="1">
        <f t="array" ref="D204">Common_SourceData.Common_SourceData_EFPastureRangeAndPaddock_Variation()</f>
        <v>VARIATION FROM SOURCE DATA: Changed 'Dry climate zones' to singular 'Dry climate zone' to aid lookup.</v>
      </c>
    </row>
    <row r="205" spans="4:8" x14ac:dyDescent="0.25" ht="20" customHeight="1">
      <c r="D205" s="53" t="str" cm="1">
        <f t="array" ref="D205">Common_SourceData.Common_SourceData_EFPastureRangeAndPaddock_Unit()</f>
        <v>kg N2O - N / kg N</v>
      </c>
    </row>
    <row r="206" spans="4:8" x14ac:dyDescent="0.25" ht="20" customHeight="1">
      <c r="D206" s="38" t="s">
        <v>7</v>
      </c>
      <c r="E206" s="38" t="s">
        <v>113</v>
      </c>
    </row>
    <row r="207" spans="4:8" x14ac:dyDescent="0.25" ht="20" customHeight="1">
      <c r="D207" s="38" t="str" cm="1">
        <f t="array" ref="D207">Common_InputFunctions.Utility_DisplayArrayInTable(Common_SourceData.Common_SourceData_EFPastureRangeAndPaddock_Data(), Table_SourceData_EFPastureRangeAndPaddock[[#Headers],[Climate zone]], 0)</f>
        <v>Wet climate zone</v>
      </c>
      <c r="E207" s="38" cm="1">
        <f t="array" ref="E207">Common_InputFunctions.Utility_DisplayArrayInTable(Common_SourceData.Common_SourceData_EFPastureRangeAndPaddock_Data(), Table_SourceData_EFPastureRangeAndPaddock[[#Headers],[Climate zone]], 0)</f>
        <v>6.0000000000000001E-3</v>
      </c>
    </row>
    <row r="208" spans="4:8" x14ac:dyDescent="0.25" ht="20" customHeight="1">
      <c r="D208" s="1" t="str" cm="1">
        <f t="array" ref="D208">Common_InputFunctions.Utility_DisplayArrayInTable(Common_SourceData.Common_SourceData_EFPastureRangeAndPaddock_Data(), Table_SourceData_EFPastureRangeAndPaddock[[#Headers],[Climate zone]], 0)</f>
        <v>Dry climate zone</v>
      </c>
      <c r="E208" s="38" cm="1">
        <f t="array" ref="E208">Common_InputFunctions.Utility_DisplayArrayInTable(Common_SourceData.Common_SourceData_EFPastureRangeAndPaddock_Data(), Table_SourceData_EFPastureRangeAndPaddock[[#Headers],[Climate zone]], 0)</f>
        <v>2E-3</v>
      </c>
    </row>
    <row r="211" spans="4:5" x14ac:dyDescent="0.25" ht="20" customHeight="1">
      <c r="D211" s="1" t="str" cm="1">
        <f t="array" ref="D211">Common_SourceData.Common_SourceData_MonthsToSeasons_Title()</f>
        <v>Months to Seasons Mapping</v>
      </c>
    </row>
    <row r="212" spans="4:5" x14ac:dyDescent="0.25" ht="20" customHeight="1">
      <c r="D212" s="38" t="s">
        <v>114</v>
      </c>
      <c r="E212" s="38" t="s">
        <v>115</v>
      </c>
    </row>
    <row r="213" spans="4:5" x14ac:dyDescent="0.25" ht="20" customHeight="1">
      <c r="D213" s="38" t="str" cm="1">
        <f t="array" ref="D213">Common_InputFunctions.Utility_DisplayArrayInTable(Common_SourceData.Common_SourceData_MonthsToSeasons_Data(), Table_SourceData_Common_MonthToSeason[[#Headers],[Month]], 0)</f>
        <v>January</v>
      </c>
      <c r="E213" s="38" t="str" cm="1">
        <f t="array" ref="E213">Common_InputFunctions.Utility_DisplayArrayInTable(Common_SourceData.Common_SourceData_MonthsToSeasons_Data(), Table_SourceData_Common_MonthToSeason[[#Headers],[Month]], 0)</f>
        <v>Summer</v>
      </c>
    </row>
    <row r="214" spans="4:5" x14ac:dyDescent="0.25" ht="20" customHeight="1">
      <c r="D214" s="1" t="str" cm="1">
        <f t="array" ref="D214">Common_InputFunctions.Utility_DisplayArrayInTable(Common_SourceData.Common_SourceData_MonthsToSeasons_Data(), Table_SourceData_Common_MonthToSeason[[#Headers],[Month]], 0)</f>
        <v>February</v>
      </c>
      <c r="E214" s="38" t="str" cm="1">
        <f t="array" ref="E214">Common_InputFunctions.Utility_DisplayArrayInTable(Common_SourceData.Common_SourceData_MonthsToSeasons_Data(), Table_SourceData_Common_MonthToSeason[[#Headers],[Month]], 0)</f>
        <v>Summer</v>
      </c>
    </row>
    <row r="215" spans="4:5" x14ac:dyDescent="0.25" ht="20" customHeight="1">
      <c r="D215" s="1" t="str" cm="1">
        <f t="array" ref="D215">Common_InputFunctions.Utility_DisplayArrayInTable(Common_SourceData.Common_SourceData_MonthsToSeasons_Data(), Table_SourceData_Common_MonthToSeason[[#Headers],[Month]], 0)</f>
        <v>March</v>
      </c>
      <c r="E215" s="38" t="str" cm="1">
        <f t="array" ref="E215">Common_InputFunctions.Utility_DisplayArrayInTable(Common_SourceData.Common_SourceData_MonthsToSeasons_Data(), Table_SourceData_Common_MonthToSeason[[#Headers],[Month]], 0)</f>
        <v>Autumn</v>
      </c>
    </row>
    <row r="216" spans="4:5" x14ac:dyDescent="0.25" ht="20" customHeight="1">
      <c r="D216" s="1" t="str" cm="1">
        <f t="array" ref="D216">Common_InputFunctions.Utility_DisplayArrayInTable(Common_SourceData.Common_SourceData_MonthsToSeasons_Data(), Table_SourceData_Common_MonthToSeason[[#Headers],[Month]], 0)</f>
        <v>April</v>
      </c>
      <c r="E216" s="38" t="str" cm="1">
        <f t="array" ref="E216">Common_InputFunctions.Utility_DisplayArrayInTable(Common_SourceData.Common_SourceData_MonthsToSeasons_Data(), Table_SourceData_Common_MonthToSeason[[#Headers],[Month]], 0)</f>
        <v>Autumn</v>
      </c>
    </row>
    <row r="217" spans="4:5" x14ac:dyDescent="0.25" ht="20" customHeight="1">
      <c r="D217" s="1" t="str" cm="1">
        <f t="array" ref="D217">Common_InputFunctions.Utility_DisplayArrayInTable(Common_SourceData.Common_SourceData_MonthsToSeasons_Data(), Table_SourceData_Common_MonthToSeason[[#Headers],[Month]], 0)</f>
        <v>May</v>
      </c>
      <c r="E217" s="38" t="str" cm="1">
        <f t="array" ref="E217">Common_InputFunctions.Utility_DisplayArrayInTable(Common_SourceData.Common_SourceData_MonthsToSeasons_Data(), Table_SourceData_Common_MonthToSeason[[#Headers],[Month]], 0)</f>
        <v>Autumn</v>
      </c>
    </row>
    <row r="218" spans="4:5" x14ac:dyDescent="0.25" ht="20" customHeight="1">
      <c r="D218" s="1" t="str" cm="1">
        <f t="array" ref="D218">Common_InputFunctions.Utility_DisplayArrayInTable(Common_SourceData.Common_SourceData_MonthsToSeasons_Data(), Table_SourceData_Common_MonthToSeason[[#Headers],[Month]], 0)</f>
        <v>June</v>
      </c>
      <c r="E218" s="38" t="str" cm="1">
        <f t="array" ref="E218">Common_InputFunctions.Utility_DisplayArrayInTable(Common_SourceData.Common_SourceData_MonthsToSeasons_Data(), Table_SourceData_Common_MonthToSeason[[#Headers],[Month]], 0)</f>
        <v>Winter</v>
      </c>
    </row>
    <row r="219" spans="4:5" x14ac:dyDescent="0.25" ht="20" customHeight="1">
      <c r="D219" s="1" t="str" cm="1">
        <f t="array" ref="D219">Common_InputFunctions.Utility_DisplayArrayInTable(Common_SourceData.Common_SourceData_MonthsToSeasons_Data(), Table_SourceData_Common_MonthToSeason[[#Headers],[Month]], 0)</f>
        <v>July</v>
      </c>
      <c r="E219" s="38" t="str" cm="1">
        <f t="array" ref="E219">Common_InputFunctions.Utility_DisplayArrayInTable(Common_SourceData.Common_SourceData_MonthsToSeasons_Data(), Table_SourceData_Common_MonthToSeason[[#Headers],[Month]], 0)</f>
        <v>Winter</v>
      </c>
    </row>
    <row r="220" spans="4:5" x14ac:dyDescent="0.25" ht="20" customHeight="1">
      <c r="D220" s="1" t="str" cm="1">
        <f t="array" ref="D220">Common_InputFunctions.Utility_DisplayArrayInTable(Common_SourceData.Common_SourceData_MonthsToSeasons_Data(), Table_SourceData_Common_MonthToSeason[[#Headers],[Month]], 0)</f>
        <v>August</v>
      </c>
      <c r="E220" s="38" t="str" cm="1">
        <f t="array" ref="E220">Common_InputFunctions.Utility_DisplayArrayInTable(Common_SourceData.Common_SourceData_MonthsToSeasons_Data(), Table_SourceData_Common_MonthToSeason[[#Headers],[Month]], 0)</f>
        <v>Winter</v>
      </c>
    </row>
    <row r="221" spans="4:5" x14ac:dyDescent="0.25" ht="20" customHeight="1">
      <c r="D221" s="1" t="str" cm="1">
        <f t="array" ref="D221">Common_InputFunctions.Utility_DisplayArrayInTable(Common_SourceData.Common_SourceData_MonthsToSeasons_Data(), Table_SourceData_Common_MonthToSeason[[#Headers],[Month]], 0)</f>
        <v>September</v>
      </c>
      <c r="E221" s="38" t="str" cm="1">
        <f t="array" ref="E221">Common_InputFunctions.Utility_DisplayArrayInTable(Common_SourceData.Common_SourceData_MonthsToSeasons_Data(), Table_SourceData_Common_MonthToSeason[[#Headers],[Month]], 0)</f>
        <v>Spring</v>
      </c>
    </row>
    <row r="222" spans="4:5" x14ac:dyDescent="0.25" ht="20" customHeight="1">
      <c r="D222" s="1" t="str" cm="1">
        <f t="array" ref="D222">Common_InputFunctions.Utility_DisplayArrayInTable(Common_SourceData.Common_SourceData_MonthsToSeasons_Data(), Table_SourceData_Common_MonthToSeason[[#Headers],[Month]], 0)</f>
        <v>October</v>
      </c>
      <c r="E222" s="38" t="str" cm="1">
        <f t="array" ref="E222">Common_InputFunctions.Utility_DisplayArrayInTable(Common_SourceData.Common_SourceData_MonthsToSeasons_Data(), Table_SourceData_Common_MonthToSeason[[#Headers],[Month]], 0)</f>
        <v>Spring</v>
      </c>
    </row>
    <row r="223" spans="4:5" x14ac:dyDescent="0.25" ht="20" customHeight="1">
      <c r="D223" s="1" t="str" cm="1">
        <f t="array" ref="D223">Common_InputFunctions.Utility_DisplayArrayInTable(Common_SourceData.Common_SourceData_MonthsToSeasons_Data(), Table_SourceData_Common_MonthToSeason[[#Headers],[Month]], 0)</f>
        <v>November</v>
      </c>
      <c r="E223" s="38" t="str" cm="1">
        <f t="array" ref="E223">Common_InputFunctions.Utility_DisplayArrayInTable(Common_SourceData.Common_SourceData_MonthsToSeasons_Data(), Table_SourceData_Common_MonthToSeason[[#Headers],[Month]], 0)</f>
        <v>Spring</v>
      </c>
    </row>
    <row r="224" spans="4:5" x14ac:dyDescent="0.25" ht="20" customHeight="1">
      <c r="D224" s="1" t="str" cm="1">
        <f t="array" ref="D224">Common_InputFunctions.Utility_DisplayArrayInTable(Common_SourceData.Common_SourceData_MonthsToSeasons_Data(), Table_SourceData_Common_MonthToSeason[[#Headers],[Month]], 0)</f>
        <v>December</v>
      </c>
      <c r="E224" s="38" t="str" cm="1">
        <f t="array" ref="E224">Common_InputFunctions.Utility_DisplayArrayInTable(Common_SourceData.Common_SourceData_MonthsToSeasons_Data(), Table_SourceData_Common_MonthToSeason[[#Headers],[Month]], 0)</f>
        <v>Summer</v>
      </c>
    </row>
    <row r="227" spans="4:19" ht="20" x14ac:dyDescent="0.25" customHeight="1">
      <c r="D227" s="6" t="str" cm="1">
        <f t="array" ref="D227">Common_SourceData.Common_SourceData_MCFTemperatureZone_Title()</f>
        <v>Manure Management – Methane conversion factor per temperature zone (fraction) (MCFim)</v>
      </c>
    </row>
    <row r="228" spans="4:19" x14ac:dyDescent="0.25" ht="20" customHeight="1">
      <c r="D228" s="5" t="str" cm="1">
        <f t="array" ref="D228">Common_SourceData.Common_SourceData_MCFTemperatureZone_Source()</f>
        <v>VEERG 2026: Table A.1.8.1</v>
      </c>
    </row>
    <row r="229" spans="4:19" x14ac:dyDescent="0.25" ht="20" customHeight="1">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ht="20" customHeight="1">
      <c r="D231" s="38" t="s">
        <v>48</v>
      </c>
      <c r="E231" s="38" t="s">
        <v>123</v>
      </c>
      <c r="F231" s="37" t="s">
        <v>124</v>
      </c>
      <c r="G231" s="38" t="s">
        <v>125</v>
      </c>
      <c r="H231" s="38" t="s">
        <v>126</v>
      </c>
      <c r="I231" s="38" t="s">
        <v>127</v>
      </c>
      <c r="J231" s="38" t="s">
        <v>128</v>
      </c>
      <c r="K231" s="38" t="s">
        <v>129</v>
      </c>
      <c r="L231" s="38" t="s">
        <v>130</v>
      </c>
      <c r="M231" s="38" t="s">
        <v>131</v>
      </c>
      <c r="N231" s="38" t="s">
        <v>132</v>
      </c>
      <c r="O231" s="38" t="s">
        <v>133</v>
      </c>
      <c r="P231" s="38" t="s">
        <v>134</v>
      </c>
      <c r="Q231" s="38" t="s">
        <v>121</v>
      </c>
      <c r="R231" s="38" t="s">
        <v>135</v>
      </c>
      <c r="S231" s="38" t="s">
        <v>136</v>
      </c>
    </row>
    <row r="232" spans="4:19" x14ac:dyDescent="0.25" ht="20" customHeight="1">
      <c r="D232" s="38" t="str" cm="1">
        <f t="array" ref="D232">Common_InputFunctions.Utility_DisplayArrayInTable(Common_SourceData.Common_SourceData_MCFTemperatureZone_Data(),Table_SourceData_Common_MCFTemperatureZone[[#Headers],[Temperature zone]],0)</f>
        <v>Cool</v>
      </c>
      <c r="E232" s="38" t="str" cm="1">
        <f t="array" ref="E232">Common_InputFunctions.Utility_DisplayArrayInTable(Common_SourceData.Common_SourceData_MCFTemperatureZone_Data(),Table_SourceData_Common_MCFTemperatureZone[[#Headers],[Temperature zone]],0)</f>
        <v>≤10</v>
      </c>
      <c r="F232" s="38" cm="1">
        <f t="array" ref="F232">Common_InputFunctions.Utility_DisplayArrayInTable(Common_SourceData.Common_SourceData_MCFTemperatureZone_Data(),Table_SourceData_Common_MCFTemperatureZone[[#Headers],[Temperature zone]],0)</f>
        <v>0.66</v>
      </c>
      <c r="G232" s="38" cm="1">
        <f t="array" ref="G232">Common_InputFunctions.Utility_DisplayArrayInTable(Common_SourceData.Common_SourceData_MCFTemperatureZone_Data(),Table_SourceData_Common_MCFTemperatureZone[[#Headers],[Temperature zone]],0)</f>
        <v>0.1</v>
      </c>
      <c r="H232" s="38" cm="1">
        <f t="array" ref="H232">Common_InputFunctions.Utility_DisplayArrayInTable(Common_SourceData.Common_SourceData_MCFTemperatureZone_Data(),Table_SourceData_Common_MCFTemperatureZone[[#Headers],[Temperature zone]],0)</f>
        <v>0.1</v>
      </c>
      <c r="I232" s="38" cm="1">
        <f t="array" ref="I232">Common_InputFunctions.Utility_DisplayArrayInTable(Common_SourceData.Common_SourceData_MCFTemperatureZone_Data(),Table_SourceData_Common_MCFTemperatureZone[[#Headers],[Temperature zone]],0)</f>
        <v>1E-3</v>
      </c>
      <c r="J232" s="38" cm="1">
        <f t="array" ref="J232">Common_InputFunctions.Utility_DisplayArrayInTable(Common_SourceData.Common_SourceData_MCFTemperatureZone_Data(),Table_SourceData_Common_MCFTemperatureZone[[#Headers],[Temperature zone]],0)</f>
        <v>5.0000000000000001E-3</v>
      </c>
      <c r="K232" s="38" cm="1">
        <f t="array" ref="K232">Common_InputFunctions.Utility_DisplayArrayInTable(Common_SourceData.Common_SourceData_MCFTemperatureZone_Data(),Table_SourceData_Common_MCFTemperatureZone[[#Headers],[Temperature zone]],0)</f>
        <v>0.02</v>
      </c>
      <c r="L232" s="38" cm="1">
        <f t="array" ref="L232">Common_InputFunctions.Utility_DisplayArrayInTable(Common_SourceData.Common_SourceData_MCFTemperatureZone_Data(),Table_SourceData_Common_MCFTemperatureZone[[#Headers],[Temperature zone]],0)</f>
        <v>0.03</v>
      </c>
      <c r="M232" s="38" cm="1">
        <f t="array" ref="M232">Common_InputFunctions.Utility_DisplayArrayInTable(Common_SourceData.Common_SourceData_MCFTemperatureZone_Data(),Table_SourceData_Common_MCFTemperatureZone[[#Headers],[Temperature zone]],0)</f>
        <v>0.04</v>
      </c>
      <c r="N232" s="38" cm="1">
        <f t="array" ref="N232">Common_InputFunctions.Utility_DisplayArrayInTable(Common_SourceData.Common_SourceData_MCFTemperatureZone_Data(),Table_SourceData_Common_MCFTemperatureZone[[#Headers],[Temperature zone]],0)</f>
        <v>1.4999999999999999E-2</v>
      </c>
      <c r="O232" s="38" cm="1">
        <f t="array" ref="O232">Common_InputFunctions.Utility_DisplayArrayInTable(Common_SourceData.Common_SourceData_MCFTemperatureZone_Data(),Table_SourceData_Common_MCFTemperatureZone[[#Headers],[Temperature zone]],0)</f>
        <v>1.4999999999999999E-2</v>
      </c>
      <c r="P232" s="38" cm="1">
        <f t="array" ref="P232">Common_InputFunctions.Utility_DisplayArrayInTable(Common_SourceData.Common_SourceData_MCFTemperatureZone_Data(),Table_SourceData_Common_MCFTemperatureZone[[#Headers],[Temperature zone]],0)</f>
        <v>0</v>
      </c>
      <c r="Q232" s="38" cm="1">
        <f t="array" ref="Q232">Common_InputFunctions.Utility_DisplayArrayInTable(Common_SourceData.Common_SourceData_MCFTemperatureZone_Data(),Table_SourceData_Common_MCFTemperatureZone[[#Headers],[Temperature zone]],0)</f>
        <v>0</v>
      </c>
      <c r="R232" s="38" cm="1">
        <f t="array" ref="R232">Common_InputFunctions.Utility_DisplayArrayInTable(Common_SourceData.Common_SourceData_MCFTemperatureZone_Data(),Table_SourceData_Common_MCFTemperatureZone[[#Headers],[Temperature zone]],0)</f>
        <v>4.7000000000000002E-3</v>
      </c>
      <c r="S232" s="38" cm="1">
        <f t="array" ref="S232">Common_InputFunctions.Utility_DisplayArrayInTable(Common_SourceData.Common_SourceData_MCFTemperatureZone_Data(),Table_SourceData_Common_MCFTemperatureZone[[#Headers],[Temperature zone]],0)</f>
        <v>10</v>
      </c>
    </row>
    <row r="233" spans="4:19" x14ac:dyDescent="0.25" ht="20" customHeight="1">
      <c r="D233" s="1" t="str" cm="1">
        <f t="array" ref="D233">Common_InputFunctions.Utility_DisplayArrayInTable(Common_SourceData.Common_SourceData_MCFTemperatureZone_Data(),Table_SourceData_Common_MCFTemperatureZone[[#Headers],[Temperature zone]],0)</f>
        <v>Cool</v>
      </c>
      <c r="E233" s="38" cm="1">
        <f t="array" ref="E233">Common_InputFunctions.Utility_DisplayArrayInTable(Common_SourceData.Common_SourceData_MCFTemperatureZone_Data(),Table_SourceData_Common_MCFTemperatureZone[[#Headers],[Temperature zone]],0)</f>
        <v>11</v>
      </c>
      <c r="F233" s="38" cm="1">
        <f t="array" ref="F233">Common_InputFunctions.Utility_DisplayArrayInTable(Common_SourceData.Common_SourceData_MCFTemperatureZone_Data(),Table_SourceData_Common_MCFTemperatureZone[[#Headers],[Temperature zone]],0)</f>
        <v>0.68</v>
      </c>
      <c r="G233" s="38" cm="1">
        <f t="array" ref="G233">Common_InputFunctions.Utility_DisplayArrayInTable(Common_SourceData.Common_SourceData_MCFTemperatureZone_Data(),Table_SourceData_Common_MCFTemperatureZone[[#Headers],[Temperature zone]],0)</f>
        <v>0.1</v>
      </c>
      <c r="H233" s="38" cm="1">
        <f t="array" ref="H233">Common_InputFunctions.Utility_DisplayArrayInTable(Common_SourceData.Common_SourceData_MCFTemperatureZone_Data(),Table_SourceData_Common_MCFTemperatureZone[[#Headers],[Temperature zone]],0)</f>
        <v>0.11</v>
      </c>
      <c r="I233" s="38" cm="1">
        <f t="array" ref="I233">Common_InputFunctions.Utility_DisplayArrayInTable(Common_SourceData.Common_SourceData_MCFTemperatureZone_Data(),Table_SourceData_Common_MCFTemperatureZone[[#Headers],[Temperature zone]],0)</f>
        <v>1E-3</v>
      </c>
      <c r="J233" s="38" cm="1">
        <f t="array" ref="J233">Common_InputFunctions.Utility_DisplayArrayInTable(Common_SourceData.Common_SourceData_MCFTemperatureZone_Data(),Table_SourceData_Common_MCFTemperatureZone[[#Headers],[Temperature zone]],0)</f>
        <v>5.0000000000000001E-3</v>
      </c>
      <c r="K233" s="38" cm="1">
        <f t="array" ref="K233">Common_InputFunctions.Utility_DisplayArrayInTable(Common_SourceData.Common_SourceData_MCFTemperatureZone_Data(),Table_SourceData_Common_MCFTemperatureZone[[#Headers],[Temperature zone]],0)</f>
        <v>0.02</v>
      </c>
      <c r="L233" s="38" cm="1">
        <f t="array" ref="L233">Common_InputFunctions.Utility_DisplayArrayInTable(Common_SourceData.Common_SourceData_MCFTemperatureZone_Data(),Table_SourceData_Common_MCFTemperatureZone[[#Headers],[Temperature zone]],0)</f>
        <v>0.03</v>
      </c>
      <c r="M233" s="38" cm="1">
        <f t="array" ref="M233">Common_InputFunctions.Utility_DisplayArrayInTable(Common_SourceData.Common_SourceData_MCFTemperatureZone_Data(),Table_SourceData_Common_MCFTemperatureZone[[#Headers],[Temperature zone]],0)</f>
        <v>0.04</v>
      </c>
      <c r="N233" s="38" cm="1">
        <f t="array" ref="N233">Common_InputFunctions.Utility_DisplayArrayInTable(Common_SourceData.Common_SourceData_MCFTemperatureZone_Data(),Table_SourceData_Common_MCFTemperatureZone[[#Headers],[Temperature zone]],0)</f>
        <v>1.4999999999999999E-2</v>
      </c>
      <c r="O233" s="38" cm="1">
        <f t="array" ref="O233">Common_InputFunctions.Utility_DisplayArrayInTable(Common_SourceData.Common_SourceData_MCFTemperatureZone_Data(),Table_SourceData_Common_MCFTemperatureZone[[#Headers],[Temperature zone]],0)</f>
        <v>1.4999999999999999E-2</v>
      </c>
      <c r="P233" s="38" cm="1">
        <f t="array" ref="P233">Common_InputFunctions.Utility_DisplayArrayInTable(Common_SourceData.Common_SourceData_MCFTemperatureZone_Data(),Table_SourceData_Common_MCFTemperatureZone[[#Headers],[Temperature zone]],0)</f>
        <v>0</v>
      </c>
      <c r="Q233" s="38" cm="1">
        <f t="array" ref="Q233">Common_InputFunctions.Utility_DisplayArrayInTable(Common_SourceData.Common_SourceData_MCFTemperatureZone_Data(),Table_SourceData_Common_MCFTemperatureZone[[#Headers],[Temperature zone]],0)</f>
        <v>0</v>
      </c>
      <c r="R233" s="38" cm="1">
        <f t="array" ref="R233">Common_InputFunctions.Utility_DisplayArrayInTable(Common_SourceData.Common_SourceData_MCFTemperatureZone_Data(),Table_SourceData_Common_MCFTemperatureZone[[#Headers],[Temperature zone]],0)</f>
        <v>4.7000000000000002E-3</v>
      </c>
      <c r="S233" s="38" cm="1">
        <f t="array" ref="S233">Common_InputFunctions.Utility_DisplayArrayInTable(Common_SourceData.Common_SourceData_MCFTemperatureZone_Data(),Table_SourceData_Common_MCFTemperatureZone[[#Headers],[Temperature zone]],0)</f>
        <v>11</v>
      </c>
    </row>
    <row r="234" spans="4:19" x14ac:dyDescent="0.25" ht="20" customHeight="1">
      <c r="D234" s="1" t="str" cm="1">
        <f t="array" ref="D234">Common_InputFunctions.Utility_DisplayArrayInTable(Common_SourceData.Common_SourceData_MCFTemperatureZone_Data(),Table_SourceData_Common_MCFTemperatureZone[[#Headers],[Temperature zone]],0)</f>
        <v>Cool</v>
      </c>
      <c r="E234" s="38" cm="1">
        <f t="array" ref="E234">Common_InputFunctions.Utility_DisplayArrayInTable(Common_SourceData.Common_SourceData_MCFTemperatureZone_Data(),Table_SourceData_Common_MCFTemperatureZone[[#Headers],[Temperature zone]],0)</f>
        <v>12</v>
      </c>
      <c r="F234" s="38" cm="1">
        <f t="array" ref="F234">Common_InputFunctions.Utility_DisplayArrayInTable(Common_SourceData.Common_SourceData_MCFTemperatureZone_Data(),Table_SourceData_Common_MCFTemperatureZone[[#Headers],[Temperature zone]],0)</f>
        <v>0.7</v>
      </c>
      <c r="G234" s="38" cm="1">
        <f t="array" ref="G234">Common_InputFunctions.Utility_DisplayArrayInTable(Common_SourceData.Common_SourceData_MCFTemperatureZone_Data(),Table_SourceData_Common_MCFTemperatureZone[[#Headers],[Temperature zone]],0)</f>
        <v>0.1</v>
      </c>
      <c r="H234" s="38" cm="1">
        <f t="array" ref="H234">Common_InputFunctions.Utility_DisplayArrayInTable(Common_SourceData.Common_SourceData_MCFTemperatureZone_Data(),Table_SourceData_Common_MCFTemperatureZone[[#Headers],[Temperature zone]],0)</f>
        <v>0.13</v>
      </c>
      <c r="I234" s="38" cm="1">
        <f t="array" ref="I234">Common_InputFunctions.Utility_DisplayArrayInTable(Common_SourceData.Common_SourceData_MCFTemperatureZone_Data(),Table_SourceData_Common_MCFTemperatureZone[[#Headers],[Temperature zone]],0)</f>
        <v>1E-3</v>
      </c>
      <c r="J234" s="38" cm="1">
        <f t="array" ref="J234">Common_InputFunctions.Utility_DisplayArrayInTable(Common_SourceData.Common_SourceData_MCFTemperatureZone_Data(),Table_SourceData_Common_MCFTemperatureZone[[#Headers],[Temperature zone]],0)</f>
        <v>5.0000000000000001E-3</v>
      </c>
      <c r="K234" s="38" cm="1">
        <f t="array" ref="K234">Common_InputFunctions.Utility_DisplayArrayInTable(Common_SourceData.Common_SourceData_MCFTemperatureZone_Data(),Table_SourceData_Common_MCFTemperatureZone[[#Headers],[Temperature zone]],0)</f>
        <v>0.02</v>
      </c>
      <c r="L234" s="38" cm="1">
        <f t="array" ref="L234">Common_InputFunctions.Utility_DisplayArrayInTable(Common_SourceData.Common_SourceData_MCFTemperatureZone_Data(),Table_SourceData_Common_MCFTemperatureZone[[#Headers],[Temperature zone]],0)</f>
        <v>0.03</v>
      </c>
      <c r="M234" s="38" cm="1">
        <f t="array" ref="M234">Common_InputFunctions.Utility_DisplayArrayInTable(Common_SourceData.Common_SourceData_MCFTemperatureZone_Data(),Table_SourceData_Common_MCFTemperatureZone[[#Headers],[Temperature zone]],0)</f>
        <v>0.04</v>
      </c>
      <c r="N234" s="38" cm="1">
        <f t="array" ref="N234">Common_InputFunctions.Utility_DisplayArrayInTable(Common_SourceData.Common_SourceData_MCFTemperatureZone_Data(),Table_SourceData_Common_MCFTemperatureZone[[#Headers],[Temperature zone]],0)</f>
        <v>1.4999999999999999E-2</v>
      </c>
      <c r="O234" s="38" cm="1">
        <f t="array" ref="O234">Common_InputFunctions.Utility_DisplayArrayInTable(Common_SourceData.Common_SourceData_MCFTemperatureZone_Data(),Table_SourceData_Common_MCFTemperatureZone[[#Headers],[Temperature zone]],0)</f>
        <v>1.4999999999999999E-2</v>
      </c>
      <c r="P234" s="38" cm="1">
        <f t="array" ref="P234">Common_InputFunctions.Utility_DisplayArrayInTable(Common_SourceData.Common_SourceData_MCFTemperatureZone_Data(),Table_SourceData_Common_MCFTemperatureZone[[#Headers],[Temperature zone]],0)</f>
        <v>0</v>
      </c>
      <c r="Q234" s="38" cm="1">
        <f t="array" ref="Q234">Common_InputFunctions.Utility_DisplayArrayInTable(Common_SourceData.Common_SourceData_MCFTemperatureZone_Data(),Table_SourceData_Common_MCFTemperatureZone[[#Headers],[Temperature zone]],0)</f>
        <v>0</v>
      </c>
      <c r="R234" s="38" cm="1">
        <f t="array" ref="R234">Common_InputFunctions.Utility_DisplayArrayInTable(Common_SourceData.Common_SourceData_MCFTemperatureZone_Data(),Table_SourceData_Common_MCFTemperatureZone[[#Headers],[Temperature zone]],0)</f>
        <v>4.7000000000000002E-3</v>
      </c>
      <c r="S234" s="38" cm="1">
        <f t="array" ref="S234">Common_InputFunctions.Utility_DisplayArrayInTable(Common_SourceData.Common_SourceData_MCFTemperatureZone_Data(),Table_SourceData_Common_MCFTemperatureZone[[#Headers],[Temperature zone]],0)</f>
        <v>12</v>
      </c>
    </row>
    <row r="235" spans="4:19" x14ac:dyDescent="0.25" ht="20" customHeight="1">
      <c r="D235" s="1" t="str" cm="1">
        <f t="array" ref="D235">Common_InputFunctions.Utility_DisplayArrayInTable(Common_SourceData.Common_SourceData_MCFTemperatureZone_Data(),Table_SourceData_Common_MCFTemperatureZone[[#Headers],[Temperature zone]],0)</f>
        <v>Cool</v>
      </c>
      <c r="E235" s="38" cm="1">
        <f t="array" ref="E235">Common_InputFunctions.Utility_DisplayArrayInTable(Common_SourceData.Common_SourceData_MCFTemperatureZone_Data(),Table_SourceData_Common_MCFTemperatureZone[[#Headers],[Temperature zone]],0)</f>
        <v>13</v>
      </c>
      <c r="F235" s="38" cm="1">
        <f t="array" ref="F235">Common_InputFunctions.Utility_DisplayArrayInTable(Common_SourceData.Common_SourceData_MCFTemperatureZone_Data(),Table_SourceData_Common_MCFTemperatureZone[[#Headers],[Temperature zone]],0)</f>
        <v>0.71</v>
      </c>
      <c r="G235" s="38" cm="1">
        <f t="array" ref="G235">Common_InputFunctions.Utility_DisplayArrayInTable(Common_SourceData.Common_SourceData_MCFTemperatureZone_Data(),Table_SourceData_Common_MCFTemperatureZone[[#Headers],[Temperature zone]],0)</f>
        <v>0.1</v>
      </c>
      <c r="H235" s="38" cm="1">
        <f t="array" ref="H235">Common_InputFunctions.Utility_DisplayArrayInTable(Common_SourceData.Common_SourceData_MCFTemperatureZone_Data(),Table_SourceData_Common_MCFTemperatureZone[[#Headers],[Temperature zone]],0)</f>
        <v>0.14000000000000001</v>
      </c>
      <c r="I235" s="38" cm="1">
        <f t="array" ref="I235">Common_InputFunctions.Utility_DisplayArrayInTable(Common_SourceData.Common_SourceData_MCFTemperatureZone_Data(),Table_SourceData_Common_MCFTemperatureZone[[#Headers],[Temperature zone]],0)</f>
        <v>1E-3</v>
      </c>
      <c r="J235" s="38" cm="1">
        <f t="array" ref="J235">Common_InputFunctions.Utility_DisplayArrayInTable(Common_SourceData.Common_SourceData_MCFTemperatureZone_Data(),Table_SourceData_Common_MCFTemperatureZone[[#Headers],[Temperature zone]],0)</f>
        <v>5.0000000000000001E-3</v>
      </c>
      <c r="K235" s="38" cm="1">
        <f t="array" ref="K235">Common_InputFunctions.Utility_DisplayArrayInTable(Common_SourceData.Common_SourceData_MCFTemperatureZone_Data(),Table_SourceData_Common_MCFTemperatureZone[[#Headers],[Temperature zone]],0)</f>
        <v>0.02</v>
      </c>
      <c r="L235" s="38" cm="1">
        <f t="array" ref="L235">Common_InputFunctions.Utility_DisplayArrayInTable(Common_SourceData.Common_SourceData_MCFTemperatureZone_Data(),Table_SourceData_Common_MCFTemperatureZone[[#Headers],[Temperature zone]],0)</f>
        <v>0.03</v>
      </c>
      <c r="M235" s="38" cm="1">
        <f t="array" ref="M235">Common_InputFunctions.Utility_DisplayArrayInTable(Common_SourceData.Common_SourceData_MCFTemperatureZone_Data(),Table_SourceData_Common_MCFTemperatureZone[[#Headers],[Temperature zone]],0)</f>
        <v>0.04</v>
      </c>
      <c r="N235" s="38" cm="1">
        <f t="array" ref="N235">Common_InputFunctions.Utility_DisplayArrayInTable(Common_SourceData.Common_SourceData_MCFTemperatureZone_Data(),Table_SourceData_Common_MCFTemperatureZone[[#Headers],[Temperature zone]],0)</f>
        <v>1.4999999999999999E-2</v>
      </c>
      <c r="O235" s="38" cm="1">
        <f t="array" ref="O235">Common_InputFunctions.Utility_DisplayArrayInTable(Common_SourceData.Common_SourceData_MCFTemperatureZone_Data(),Table_SourceData_Common_MCFTemperatureZone[[#Headers],[Temperature zone]],0)</f>
        <v>1.4999999999999999E-2</v>
      </c>
      <c r="P235" s="38" cm="1">
        <f t="array" ref="P235">Common_InputFunctions.Utility_DisplayArrayInTable(Common_SourceData.Common_SourceData_MCFTemperatureZone_Data(),Table_SourceData_Common_MCFTemperatureZone[[#Headers],[Temperature zone]],0)</f>
        <v>0</v>
      </c>
      <c r="Q235" s="38" cm="1">
        <f t="array" ref="Q235">Common_InputFunctions.Utility_DisplayArrayInTable(Common_SourceData.Common_SourceData_MCFTemperatureZone_Data(),Table_SourceData_Common_MCFTemperatureZone[[#Headers],[Temperature zone]],0)</f>
        <v>0</v>
      </c>
      <c r="R235" s="38" cm="1">
        <f t="array" ref="R235">Common_InputFunctions.Utility_DisplayArrayInTable(Common_SourceData.Common_SourceData_MCFTemperatureZone_Data(),Table_SourceData_Common_MCFTemperatureZone[[#Headers],[Temperature zone]],0)</f>
        <v>4.7000000000000002E-3</v>
      </c>
      <c r="S235" s="38" cm="1">
        <f t="array" ref="S235">Common_InputFunctions.Utility_DisplayArrayInTable(Common_SourceData.Common_SourceData_MCFTemperatureZone_Data(),Table_SourceData_Common_MCFTemperatureZone[[#Headers],[Temperature zone]],0)</f>
        <v>13</v>
      </c>
    </row>
    <row r="236" spans="4:19" x14ac:dyDescent="0.25" ht="20" customHeight="1">
      <c r="D236" s="1" t="str" cm="1">
        <f t="array" ref="D236">Common_InputFunctions.Utility_DisplayArrayInTable(Common_SourceData.Common_SourceData_MCFTemperatureZone_Data(),Table_SourceData_Common_MCFTemperatureZone[[#Headers],[Temperature zone]],0)</f>
        <v>Cool</v>
      </c>
      <c r="E236" s="38" cm="1">
        <f t="array" ref="E236">Common_InputFunctions.Utility_DisplayArrayInTable(Common_SourceData.Common_SourceData_MCFTemperatureZone_Data(),Table_SourceData_Common_MCFTemperatureZone[[#Headers],[Temperature zone]],0)</f>
        <v>14</v>
      </c>
      <c r="F236" s="38" cm="1">
        <f t="array" ref="F236">Common_InputFunctions.Utility_DisplayArrayInTable(Common_SourceData.Common_SourceData_MCFTemperatureZone_Data(),Table_SourceData_Common_MCFTemperatureZone[[#Headers],[Temperature zone]],0)</f>
        <v>0.73</v>
      </c>
      <c r="G236" s="38" cm="1">
        <f t="array" ref="G236">Common_InputFunctions.Utility_DisplayArrayInTable(Common_SourceData.Common_SourceData_MCFTemperatureZone_Data(),Table_SourceData_Common_MCFTemperatureZone[[#Headers],[Temperature zone]],0)</f>
        <v>0.1</v>
      </c>
      <c r="H236" s="38" cm="1">
        <f t="array" ref="H236">Common_InputFunctions.Utility_DisplayArrayInTable(Common_SourceData.Common_SourceData_MCFTemperatureZone_Data(),Table_SourceData_Common_MCFTemperatureZone[[#Headers],[Temperature zone]],0)</f>
        <v>0.15</v>
      </c>
      <c r="I236" s="38" cm="1">
        <f t="array" ref="I236">Common_InputFunctions.Utility_DisplayArrayInTable(Common_SourceData.Common_SourceData_MCFTemperatureZone_Data(),Table_SourceData_Common_MCFTemperatureZone[[#Headers],[Temperature zone]],0)</f>
        <v>1E-3</v>
      </c>
      <c r="J236" s="38" cm="1">
        <f t="array" ref="J236">Common_InputFunctions.Utility_DisplayArrayInTable(Common_SourceData.Common_SourceData_MCFTemperatureZone_Data(),Table_SourceData_Common_MCFTemperatureZone[[#Headers],[Temperature zone]],0)</f>
        <v>5.0000000000000001E-3</v>
      </c>
      <c r="K236" s="38" cm="1">
        <f t="array" ref="K236">Common_InputFunctions.Utility_DisplayArrayInTable(Common_SourceData.Common_SourceData_MCFTemperatureZone_Data(),Table_SourceData_Common_MCFTemperatureZone[[#Headers],[Temperature zone]],0)</f>
        <v>0.02</v>
      </c>
      <c r="L236" s="38" cm="1">
        <f t="array" ref="L236">Common_InputFunctions.Utility_DisplayArrayInTable(Common_SourceData.Common_SourceData_MCFTemperatureZone_Data(),Table_SourceData_Common_MCFTemperatureZone[[#Headers],[Temperature zone]],0)</f>
        <v>0.03</v>
      </c>
      <c r="M236" s="38" cm="1">
        <f t="array" ref="M236">Common_InputFunctions.Utility_DisplayArrayInTable(Common_SourceData.Common_SourceData_MCFTemperatureZone_Data(),Table_SourceData_Common_MCFTemperatureZone[[#Headers],[Temperature zone]],0)</f>
        <v>0.04</v>
      </c>
      <c r="N236" s="38" cm="1">
        <f t="array" ref="N236">Common_InputFunctions.Utility_DisplayArrayInTable(Common_SourceData.Common_SourceData_MCFTemperatureZone_Data(),Table_SourceData_Common_MCFTemperatureZone[[#Headers],[Temperature zone]],0)</f>
        <v>1.4999999999999999E-2</v>
      </c>
      <c r="O236" s="38" cm="1">
        <f t="array" ref="O236">Common_InputFunctions.Utility_DisplayArrayInTable(Common_SourceData.Common_SourceData_MCFTemperatureZone_Data(),Table_SourceData_Common_MCFTemperatureZone[[#Headers],[Temperature zone]],0)</f>
        <v>1.4999999999999999E-2</v>
      </c>
      <c r="P236" s="38" cm="1">
        <f t="array" ref="P236">Common_InputFunctions.Utility_DisplayArrayInTable(Common_SourceData.Common_SourceData_MCFTemperatureZone_Data(),Table_SourceData_Common_MCFTemperatureZone[[#Headers],[Temperature zone]],0)</f>
        <v>0</v>
      </c>
      <c r="Q236" s="38" cm="1">
        <f t="array" ref="Q236">Common_InputFunctions.Utility_DisplayArrayInTable(Common_SourceData.Common_SourceData_MCFTemperatureZone_Data(),Table_SourceData_Common_MCFTemperatureZone[[#Headers],[Temperature zone]],0)</f>
        <v>0</v>
      </c>
      <c r="R236" s="38" cm="1">
        <f t="array" ref="R236">Common_InputFunctions.Utility_DisplayArrayInTable(Common_SourceData.Common_SourceData_MCFTemperatureZone_Data(),Table_SourceData_Common_MCFTemperatureZone[[#Headers],[Temperature zone]],0)</f>
        <v>4.7000000000000002E-3</v>
      </c>
      <c r="S236" s="38" cm="1">
        <f t="array" ref="S236">Common_InputFunctions.Utility_DisplayArrayInTable(Common_SourceData.Common_SourceData_MCFTemperatureZone_Data(),Table_SourceData_Common_MCFTemperatureZone[[#Headers],[Temperature zone]],0)</f>
        <v>14</v>
      </c>
    </row>
    <row r="237" spans="4:19" x14ac:dyDescent="0.25" ht="20" customHeight="1">
      <c r="D237" s="1" t="str" cm="1">
        <f t="array" ref="D237">Common_InputFunctions.Utility_DisplayArrayInTable(Common_SourceData.Common_SourceData_MCFTemperatureZone_Data(),Table_SourceData_Common_MCFTemperatureZone[[#Headers],[Temperature zone]],0)</f>
        <v>Temperate</v>
      </c>
      <c r="E237" s="38" cm="1">
        <f t="array" ref="E237">Common_InputFunctions.Utility_DisplayArrayInTable(Common_SourceData.Common_SourceData_MCFTemperatureZone_Data(),Table_SourceData_Common_MCFTemperatureZone[[#Headers],[Temperature zone]],0)</f>
        <v>15</v>
      </c>
      <c r="F237" s="38" cm="1">
        <f t="array" ref="F237">Common_InputFunctions.Utility_DisplayArrayInTable(Common_SourceData.Common_SourceData_MCFTemperatureZone_Data(),Table_SourceData_Common_MCFTemperatureZone[[#Headers],[Temperature zone]],0)</f>
        <v>0.74</v>
      </c>
      <c r="G237" s="38" cm="1">
        <f t="array" ref="G237">Common_InputFunctions.Utility_DisplayArrayInTable(Common_SourceData.Common_SourceData_MCFTemperatureZone_Data(),Table_SourceData_Common_MCFTemperatureZone[[#Headers],[Temperature zone]],0)</f>
        <v>0.1</v>
      </c>
      <c r="H237" s="38" cm="1">
        <f t="array" ref="H237">Common_InputFunctions.Utility_DisplayArrayInTable(Common_SourceData.Common_SourceData_MCFTemperatureZone_Data(),Table_SourceData_Common_MCFTemperatureZone[[#Headers],[Temperature zone]],0)</f>
        <v>0.17</v>
      </c>
      <c r="I237" s="38" cm="1">
        <f t="array" ref="I237">Common_InputFunctions.Utility_DisplayArrayInTable(Common_SourceData.Common_SourceData_MCFTemperatureZone_Data(),Table_SourceData_Common_MCFTemperatureZone[[#Headers],[Temperature zone]],0)</f>
        <v>5.0000000000000001E-3</v>
      </c>
      <c r="J237" s="38" cm="1">
        <f t="array" ref="J237">Common_InputFunctions.Utility_DisplayArrayInTable(Common_SourceData.Common_SourceData_MCFTemperatureZone_Data(),Table_SourceData_Common_MCFTemperatureZone[[#Headers],[Temperature zone]],0)</f>
        <v>0.01</v>
      </c>
      <c r="K237" s="38" cm="1">
        <f t="array" ref="K237">Common_InputFunctions.Utility_DisplayArrayInTable(Common_SourceData.Common_SourceData_MCFTemperatureZone_Data(),Table_SourceData_Common_MCFTemperatureZone[[#Headers],[Temperature zone]],0)</f>
        <v>0.02</v>
      </c>
      <c r="L237" s="38" cm="1">
        <f t="array" ref="L237">Common_InputFunctions.Utility_DisplayArrayInTable(Common_SourceData.Common_SourceData_MCFTemperatureZone_Data(),Table_SourceData_Common_MCFTemperatureZone[[#Headers],[Temperature zone]],0)</f>
        <v>0.03</v>
      </c>
      <c r="M237" s="38" cm="1">
        <f t="array" ref="M237">Common_InputFunctions.Utility_DisplayArrayInTable(Common_SourceData.Common_SourceData_MCFTemperatureZone_Data(),Table_SourceData_Common_MCFTemperatureZone[[#Headers],[Temperature zone]],0)</f>
        <v>0.04</v>
      </c>
      <c r="N237" s="38" cm="1">
        <f t="array" ref="N237">Common_InputFunctions.Utility_DisplayArrayInTable(Common_SourceData.Common_SourceData_MCFTemperatureZone_Data(),Table_SourceData_Common_MCFTemperatureZone[[#Headers],[Temperature zone]],0)</f>
        <v>1.4999999999999999E-2</v>
      </c>
      <c r="O237" s="38" cm="1">
        <f t="array" ref="O237">Common_InputFunctions.Utility_DisplayArrayInTable(Common_SourceData.Common_SourceData_MCFTemperatureZone_Data(),Table_SourceData_Common_MCFTemperatureZone[[#Headers],[Temperature zone]],0)</f>
        <v>1.4999999999999999E-2</v>
      </c>
      <c r="P237" s="38" cm="1">
        <f t="array" ref="P237">Common_InputFunctions.Utility_DisplayArrayInTable(Common_SourceData.Common_SourceData_MCFTemperatureZone_Data(),Table_SourceData_Common_MCFTemperatureZone[[#Headers],[Temperature zone]],0)</f>
        <v>0</v>
      </c>
      <c r="Q237" s="38" cm="1">
        <f t="array" ref="Q237">Common_InputFunctions.Utility_DisplayArrayInTable(Common_SourceData.Common_SourceData_MCFTemperatureZone_Data(),Table_SourceData_Common_MCFTemperatureZone[[#Headers],[Temperature zone]],0)</f>
        <v>0</v>
      </c>
      <c r="R237" s="38" cm="1">
        <f t="array" ref="R237">Common_InputFunctions.Utility_DisplayArrayInTable(Common_SourceData.Common_SourceData_MCFTemperatureZone_Data(),Table_SourceData_Common_MCFTemperatureZone[[#Headers],[Temperature zone]],0)</f>
        <v>4.7000000000000002E-3</v>
      </c>
      <c r="S237" s="38" cm="1">
        <f t="array" ref="S237">Common_InputFunctions.Utility_DisplayArrayInTable(Common_SourceData.Common_SourceData_MCFTemperatureZone_Data(),Table_SourceData_Common_MCFTemperatureZone[[#Headers],[Temperature zone]],0)</f>
        <v>15</v>
      </c>
    </row>
    <row r="238" spans="4:19" x14ac:dyDescent="0.25" ht="20" customHeight="1">
      <c r="D238" s="1" t="str" cm="1">
        <f t="array" ref="D238">Common_InputFunctions.Utility_DisplayArrayInTable(Common_SourceData.Common_SourceData_MCFTemperatureZone_Data(),Table_SourceData_Common_MCFTemperatureZone[[#Headers],[Temperature zone]],0)</f>
        <v>Temperate</v>
      </c>
      <c r="E238" s="38" cm="1">
        <f t="array" ref="E238">Common_InputFunctions.Utility_DisplayArrayInTable(Common_SourceData.Common_SourceData_MCFTemperatureZone_Data(),Table_SourceData_Common_MCFTemperatureZone[[#Headers],[Temperature zone]],0)</f>
        <v>16</v>
      </c>
      <c r="F238" s="38" cm="1">
        <f t="array" ref="F238">Common_InputFunctions.Utility_DisplayArrayInTable(Common_SourceData.Common_SourceData_MCFTemperatureZone_Data(),Table_SourceData_Common_MCFTemperatureZone[[#Headers],[Temperature zone]],0)</f>
        <v>0.75</v>
      </c>
      <c r="G238" s="38" cm="1">
        <f t="array" ref="G238">Common_InputFunctions.Utility_DisplayArrayInTable(Common_SourceData.Common_SourceData_MCFTemperatureZone_Data(),Table_SourceData_Common_MCFTemperatureZone[[#Headers],[Temperature zone]],0)</f>
        <v>0.1</v>
      </c>
      <c r="H238" s="38" cm="1">
        <f t="array" ref="H238">Common_InputFunctions.Utility_DisplayArrayInTable(Common_SourceData.Common_SourceData_MCFTemperatureZone_Data(),Table_SourceData_Common_MCFTemperatureZone[[#Headers],[Temperature zone]],0)</f>
        <v>0.18</v>
      </c>
      <c r="I238" s="38" cm="1">
        <f t="array" ref="I238">Common_InputFunctions.Utility_DisplayArrayInTable(Common_SourceData.Common_SourceData_MCFTemperatureZone_Data(),Table_SourceData_Common_MCFTemperatureZone[[#Headers],[Temperature zone]],0)</f>
        <v>5.0000000000000001E-3</v>
      </c>
      <c r="J238" s="38" cm="1">
        <f t="array" ref="J238">Common_InputFunctions.Utility_DisplayArrayInTable(Common_SourceData.Common_SourceData_MCFTemperatureZone_Data(),Table_SourceData_Common_MCFTemperatureZone[[#Headers],[Temperature zone]],0)</f>
        <v>0.01</v>
      </c>
      <c r="K238" s="38" cm="1">
        <f t="array" ref="K238">Common_InputFunctions.Utility_DisplayArrayInTable(Common_SourceData.Common_SourceData_MCFTemperatureZone_Data(),Table_SourceData_Common_MCFTemperatureZone[[#Headers],[Temperature zone]],0)</f>
        <v>0.02</v>
      </c>
      <c r="L238" s="38" cm="1">
        <f t="array" ref="L238">Common_InputFunctions.Utility_DisplayArrayInTable(Common_SourceData.Common_SourceData_MCFTemperatureZone_Data(),Table_SourceData_Common_MCFTemperatureZone[[#Headers],[Temperature zone]],0)</f>
        <v>0.03</v>
      </c>
      <c r="M238" s="38" cm="1">
        <f t="array" ref="M238">Common_InputFunctions.Utility_DisplayArrayInTable(Common_SourceData.Common_SourceData_MCFTemperatureZone_Data(),Table_SourceData_Common_MCFTemperatureZone[[#Headers],[Temperature zone]],0)</f>
        <v>0.04</v>
      </c>
      <c r="N238" s="38" cm="1">
        <f t="array" ref="N238">Common_InputFunctions.Utility_DisplayArrayInTable(Common_SourceData.Common_SourceData_MCFTemperatureZone_Data(),Table_SourceData_Common_MCFTemperatureZone[[#Headers],[Temperature zone]],0)</f>
        <v>1.4999999999999999E-2</v>
      </c>
      <c r="O238" s="38" cm="1">
        <f t="array" ref="O238">Common_InputFunctions.Utility_DisplayArrayInTable(Common_SourceData.Common_SourceData_MCFTemperatureZone_Data(),Table_SourceData_Common_MCFTemperatureZone[[#Headers],[Temperature zone]],0)</f>
        <v>1.4999999999999999E-2</v>
      </c>
      <c r="P238" s="38" cm="1">
        <f t="array" ref="P238">Common_InputFunctions.Utility_DisplayArrayInTable(Common_SourceData.Common_SourceData_MCFTemperatureZone_Data(),Table_SourceData_Common_MCFTemperatureZone[[#Headers],[Temperature zone]],0)</f>
        <v>0</v>
      </c>
      <c r="Q238" s="38" cm="1">
        <f t="array" ref="Q238">Common_InputFunctions.Utility_DisplayArrayInTable(Common_SourceData.Common_SourceData_MCFTemperatureZone_Data(),Table_SourceData_Common_MCFTemperatureZone[[#Headers],[Temperature zone]],0)</f>
        <v>0</v>
      </c>
      <c r="R238" s="38" cm="1">
        <f t="array" ref="R238">Common_InputFunctions.Utility_DisplayArrayInTable(Common_SourceData.Common_SourceData_MCFTemperatureZone_Data(),Table_SourceData_Common_MCFTemperatureZone[[#Headers],[Temperature zone]],0)</f>
        <v>4.7000000000000002E-3</v>
      </c>
      <c r="S238" s="38" cm="1">
        <f t="array" ref="S238">Common_InputFunctions.Utility_DisplayArrayInTable(Common_SourceData.Common_SourceData_MCFTemperatureZone_Data(),Table_SourceData_Common_MCFTemperatureZone[[#Headers],[Temperature zone]],0)</f>
        <v>16</v>
      </c>
    </row>
    <row r="239" spans="4:19" x14ac:dyDescent="0.25" ht="20" customHeight="1">
      <c r="D239" s="1" t="str" cm="1">
        <f t="array" ref="D239">Common_InputFunctions.Utility_DisplayArrayInTable(Common_SourceData.Common_SourceData_MCFTemperatureZone_Data(),Table_SourceData_Common_MCFTemperatureZone[[#Headers],[Temperature zone]],0)</f>
        <v>Temperate</v>
      </c>
      <c r="E239" s="38" cm="1">
        <f t="array" ref="E239">Common_InputFunctions.Utility_DisplayArrayInTable(Common_SourceData.Common_SourceData_MCFTemperatureZone_Data(),Table_SourceData_Common_MCFTemperatureZone[[#Headers],[Temperature zone]],0)</f>
        <v>17</v>
      </c>
      <c r="F239" s="38" cm="1">
        <f t="array" ref="F239">Common_InputFunctions.Utility_DisplayArrayInTable(Common_SourceData.Common_SourceData_MCFTemperatureZone_Data(),Table_SourceData_Common_MCFTemperatureZone[[#Headers],[Temperature zone]],0)</f>
        <v>0.76</v>
      </c>
      <c r="G239" s="38" cm="1">
        <f t="array" ref="G239">Common_InputFunctions.Utility_DisplayArrayInTable(Common_SourceData.Common_SourceData_MCFTemperatureZone_Data(),Table_SourceData_Common_MCFTemperatureZone[[#Headers],[Temperature zone]],0)</f>
        <v>0.1</v>
      </c>
      <c r="H239" s="38" cm="1">
        <f t="array" ref="H239">Common_InputFunctions.Utility_DisplayArrayInTable(Common_SourceData.Common_SourceData_MCFTemperatureZone_Data(),Table_SourceData_Common_MCFTemperatureZone[[#Headers],[Temperature zone]],0)</f>
        <v>0.2</v>
      </c>
      <c r="I239" s="38" cm="1">
        <f t="array" ref="I239">Common_InputFunctions.Utility_DisplayArrayInTable(Common_SourceData.Common_SourceData_MCFTemperatureZone_Data(),Table_SourceData_Common_MCFTemperatureZone[[#Headers],[Temperature zone]],0)</f>
        <v>5.0000000000000001E-3</v>
      </c>
      <c r="J239" s="38" cm="1">
        <f t="array" ref="J239">Common_InputFunctions.Utility_DisplayArrayInTable(Common_SourceData.Common_SourceData_MCFTemperatureZone_Data(),Table_SourceData_Common_MCFTemperatureZone[[#Headers],[Temperature zone]],0)</f>
        <v>0.01</v>
      </c>
      <c r="K239" s="38" cm="1">
        <f t="array" ref="K239">Common_InputFunctions.Utility_DisplayArrayInTable(Common_SourceData.Common_SourceData_MCFTemperatureZone_Data(),Table_SourceData_Common_MCFTemperatureZone[[#Headers],[Temperature zone]],0)</f>
        <v>0.02</v>
      </c>
      <c r="L239" s="38" cm="1">
        <f t="array" ref="L239">Common_InputFunctions.Utility_DisplayArrayInTable(Common_SourceData.Common_SourceData_MCFTemperatureZone_Data(),Table_SourceData_Common_MCFTemperatureZone[[#Headers],[Temperature zone]],0)</f>
        <v>0.03</v>
      </c>
      <c r="M239" s="38" cm="1">
        <f t="array" ref="M239">Common_InputFunctions.Utility_DisplayArrayInTable(Common_SourceData.Common_SourceData_MCFTemperatureZone_Data(),Table_SourceData_Common_MCFTemperatureZone[[#Headers],[Temperature zone]],0)</f>
        <v>0.04</v>
      </c>
      <c r="N239" s="38" cm="1">
        <f t="array" ref="N239">Common_InputFunctions.Utility_DisplayArrayInTable(Common_SourceData.Common_SourceData_MCFTemperatureZone_Data(),Table_SourceData_Common_MCFTemperatureZone[[#Headers],[Temperature zone]],0)</f>
        <v>1.4999999999999999E-2</v>
      </c>
      <c r="O239" s="38" cm="1">
        <f t="array" ref="O239">Common_InputFunctions.Utility_DisplayArrayInTable(Common_SourceData.Common_SourceData_MCFTemperatureZone_Data(),Table_SourceData_Common_MCFTemperatureZone[[#Headers],[Temperature zone]],0)</f>
        <v>1.4999999999999999E-2</v>
      </c>
      <c r="P239" s="38" cm="1">
        <f t="array" ref="P239">Common_InputFunctions.Utility_DisplayArrayInTable(Common_SourceData.Common_SourceData_MCFTemperatureZone_Data(),Table_SourceData_Common_MCFTemperatureZone[[#Headers],[Temperature zone]],0)</f>
        <v>0</v>
      </c>
      <c r="Q239" s="38" cm="1">
        <f t="array" ref="Q239">Common_InputFunctions.Utility_DisplayArrayInTable(Common_SourceData.Common_SourceData_MCFTemperatureZone_Data(),Table_SourceData_Common_MCFTemperatureZone[[#Headers],[Temperature zone]],0)</f>
        <v>0</v>
      </c>
      <c r="R239" s="38" cm="1">
        <f t="array" ref="R239">Common_InputFunctions.Utility_DisplayArrayInTable(Common_SourceData.Common_SourceData_MCFTemperatureZone_Data(),Table_SourceData_Common_MCFTemperatureZone[[#Headers],[Temperature zone]],0)</f>
        <v>4.7000000000000002E-3</v>
      </c>
      <c r="S239" s="38" cm="1">
        <f t="array" ref="S239">Common_InputFunctions.Utility_DisplayArrayInTable(Common_SourceData.Common_SourceData_MCFTemperatureZone_Data(),Table_SourceData_Common_MCFTemperatureZone[[#Headers],[Temperature zone]],0)</f>
        <v>17</v>
      </c>
    </row>
    <row r="240" spans="4:19" x14ac:dyDescent="0.25" ht="20" customHeight="1">
      <c r="D240" s="1" t="str" cm="1">
        <f t="array" ref="D240">Common_InputFunctions.Utility_DisplayArrayInTable(Common_SourceData.Common_SourceData_MCFTemperatureZone_Data(),Table_SourceData_Common_MCFTemperatureZone[[#Headers],[Temperature zone]],0)</f>
        <v>Temperate</v>
      </c>
      <c r="E240" s="38" cm="1">
        <f t="array" ref="E240">Common_InputFunctions.Utility_DisplayArrayInTable(Common_SourceData.Common_SourceData_MCFTemperatureZone_Data(),Table_SourceData_Common_MCFTemperatureZone[[#Headers],[Temperature zone]],0)</f>
        <v>18</v>
      </c>
      <c r="F240" s="38" cm="1">
        <f t="array" ref="F240">Common_InputFunctions.Utility_DisplayArrayInTable(Common_SourceData.Common_SourceData_MCFTemperatureZone_Data(),Table_SourceData_Common_MCFTemperatureZone[[#Headers],[Temperature zone]],0)</f>
        <v>0.77</v>
      </c>
      <c r="G240" s="38" cm="1">
        <f t="array" ref="G240">Common_InputFunctions.Utility_DisplayArrayInTable(Common_SourceData.Common_SourceData_MCFTemperatureZone_Data(),Table_SourceData_Common_MCFTemperatureZone[[#Headers],[Temperature zone]],0)</f>
        <v>0.1</v>
      </c>
      <c r="H240" s="38" cm="1">
        <f t="array" ref="H240">Common_InputFunctions.Utility_DisplayArrayInTable(Common_SourceData.Common_SourceData_MCFTemperatureZone_Data(),Table_SourceData_Common_MCFTemperatureZone[[#Headers],[Temperature zone]],0)</f>
        <v>0.22</v>
      </c>
      <c r="I240" s="38" cm="1">
        <f t="array" ref="I240">Common_InputFunctions.Utility_DisplayArrayInTable(Common_SourceData.Common_SourceData_MCFTemperatureZone_Data(),Table_SourceData_Common_MCFTemperatureZone[[#Headers],[Temperature zone]],0)</f>
        <v>5.0000000000000001E-3</v>
      </c>
      <c r="J240" s="38" cm="1">
        <f t="array" ref="J240">Common_InputFunctions.Utility_DisplayArrayInTable(Common_SourceData.Common_SourceData_MCFTemperatureZone_Data(),Table_SourceData_Common_MCFTemperatureZone[[#Headers],[Temperature zone]],0)</f>
        <v>0.01</v>
      </c>
      <c r="K240" s="38" cm="1">
        <f t="array" ref="K240">Common_InputFunctions.Utility_DisplayArrayInTable(Common_SourceData.Common_SourceData_MCFTemperatureZone_Data(),Table_SourceData_Common_MCFTemperatureZone[[#Headers],[Temperature zone]],0)</f>
        <v>0.02</v>
      </c>
      <c r="L240" s="38" cm="1">
        <f t="array" ref="L240">Common_InputFunctions.Utility_DisplayArrayInTable(Common_SourceData.Common_SourceData_MCFTemperatureZone_Data(),Table_SourceData_Common_MCFTemperatureZone[[#Headers],[Temperature zone]],0)</f>
        <v>0.03</v>
      </c>
      <c r="M240" s="38" cm="1">
        <f t="array" ref="M240">Common_InputFunctions.Utility_DisplayArrayInTable(Common_SourceData.Common_SourceData_MCFTemperatureZone_Data(),Table_SourceData_Common_MCFTemperatureZone[[#Headers],[Temperature zone]],0)</f>
        <v>0.04</v>
      </c>
      <c r="N240" s="38" cm="1">
        <f t="array" ref="N240">Common_InputFunctions.Utility_DisplayArrayInTable(Common_SourceData.Common_SourceData_MCFTemperatureZone_Data(),Table_SourceData_Common_MCFTemperatureZone[[#Headers],[Temperature zone]],0)</f>
        <v>1.4999999999999999E-2</v>
      </c>
      <c r="O240" s="38" cm="1">
        <f t="array" ref="O240">Common_InputFunctions.Utility_DisplayArrayInTable(Common_SourceData.Common_SourceData_MCFTemperatureZone_Data(),Table_SourceData_Common_MCFTemperatureZone[[#Headers],[Temperature zone]],0)</f>
        <v>1.4999999999999999E-2</v>
      </c>
      <c r="P240" s="38" cm="1">
        <f t="array" ref="P240">Common_InputFunctions.Utility_DisplayArrayInTable(Common_SourceData.Common_SourceData_MCFTemperatureZone_Data(),Table_SourceData_Common_MCFTemperatureZone[[#Headers],[Temperature zone]],0)</f>
        <v>0</v>
      </c>
      <c r="Q240" s="38" cm="1">
        <f t="array" ref="Q240">Common_InputFunctions.Utility_DisplayArrayInTable(Common_SourceData.Common_SourceData_MCFTemperatureZone_Data(),Table_SourceData_Common_MCFTemperatureZone[[#Headers],[Temperature zone]],0)</f>
        <v>0</v>
      </c>
      <c r="R240" s="38" cm="1">
        <f t="array" ref="R240">Common_InputFunctions.Utility_DisplayArrayInTable(Common_SourceData.Common_SourceData_MCFTemperatureZone_Data(),Table_SourceData_Common_MCFTemperatureZone[[#Headers],[Temperature zone]],0)</f>
        <v>4.7000000000000002E-3</v>
      </c>
      <c r="S240" s="38" cm="1">
        <f t="array" ref="S240">Common_InputFunctions.Utility_DisplayArrayInTable(Common_SourceData.Common_SourceData_MCFTemperatureZone_Data(),Table_SourceData_Common_MCFTemperatureZone[[#Headers],[Temperature zone]],0)</f>
        <v>18</v>
      </c>
    </row>
    <row r="241" spans="4:19" x14ac:dyDescent="0.25" ht="20" customHeight="1">
      <c r="D241" s="1" t="str" cm="1">
        <f t="array" ref="D241">Common_InputFunctions.Utility_DisplayArrayInTable(Common_SourceData.Common_SourceData_MCFTemperatureZone_Data(),Table_SourceData_Common_MCFTemperatureZone[[#Headers],[Temperature zone]],0)</f>
        <v>Temperate</v>
      </c>
      <c r="E241" s="38" cm="1">
        <f t="array" ref="E241">Common_InputFunctions.Utility_DisplayArrayInTable(Common_SourceData.Common_SourceData_MCFTemperatureZone_Data(),Table_SourceData_Common_MCFTemperatureZone[[#Headers],[Temperature zone]],0)</f>
        <v>19</v>
      </c>
      <c r="F241" s="38" cm="1">
        <f t="array" ref="F241">Common_InputFunctions.Utility_DisplayArrayInTable(Common_SourceData.Common_SourceData_MCFTemperatureZone_Data(),Table_SourceData_Common_MCFTemperatureZone[[#Headers],[Temperature zone]],0)</f>
        <v>0.77</v>
      </c>
      <c r="G241" s="38" cm="1">
        <f t="array" ref="G241">Common_InputFunctions.Utility_DisplayArrayInTable(Common_SourceData.Common_SourceData_MCFTemperatureZone_Data(),Table_SourceData_Common_MCFTemperatureZone[[#Headers],[Temperature zone]],0)</f>
        <v>0.1</v>
      </c>
      <c r="H241" s="38" cm="1">
        <f t="array" ref="H241">Common_InputFunctions.Utility_DisplayArrayInTable(Common_SourceData.Common_SourceData_MCFTemperatureZone_Data(),Table_SourceData_Common_MCFTemperatureZone[[#Headers],[Temperature zone]],0)</f>
        <v>0.24</v>
      </c>
      <c r="I241" s="38" cm="1">
        <f t="array" ref="I241">Common_InputFunctions.Utility_DisplayArrayInTable(Common_SourceData.Common_SourceData_MCFTemperatureZone_Data(),Table_SourceData_Common_MCFTemperatureZone[[#Headers],[Temperature zone]],0)</f>
        <v>5.0000000000000001E-3</v>
      </c>
      <c r="J241" s="38" cm="1">
        <f t="array" ref="J241">Common_InputFunctions.Utility_DisplayArrayInTable(Common_SourceData.Common_SourceData_MCFTemperatureZone_Data(),Table_SourceData_Common_MCFTemperatureZone[[#Headers],[Temperature zone]],0)</f>
        <v>0.01</v>
      </c>
      <c r="K241" s="38" cm="1">
        <f t="array" ref="K241">Common_InputFunctions.Utility_DisplayArrayInTable(Common_SourceData.Common_SourceData_MCFTemperatureZone_Data(),Table_SourceData_Common_MCFTemperatureZone[[#Headers],[Temperature zone]],0)</f>
        <v>0.02</v>
      </c>
      <c r="L241" s="38" cm="1">
        <f t="array" ref="L241">Common_InputFunctions.Utility_DisplayArrayInTable(Common_SourceData.Common_SourceData_MCFTemperatureZone_Data(),Table_SourceData_Common_MCFTemperatureZone[[#Headers],[Temperature zone]],0)</f>
        <v>0.03</v>
      </c>
      <c r="M241" s="38" cm="1">
        <f t="array" ref="M241">Common_InputFunctions.Utility_DisplayArrayInTable(Common_SourceData.Common_SourceData_MCFTemperatureZone_Data(),Table_SourceData_Common_MCFTemperatureZone[[#Headers],[Temperature zone]],0)</f>
        <v>0.04</v>
      </c>
      <c r="N241" s="38" cm="1">
        <f t="array" ref="N241">Common_InputFunctions.Utility_DisplayArrayInTable(Common_SourceData.Common_SourceData_MCFTemperatureZone_Data(),Table_SourceData_Common_MCFTemperatureZone[[#Headers],[Temperature zone]],0)</f>
        <v>1.4999999999999999E-2</v>
      </c>
      <c r="O241" s="38" cm="1">
        <f t="array" ref="O241">Common_InputFunctions.Utility_DisplayArrayInTable(Common_SourceData.Common_SourceData_MCFTemperatureZone_Data(),Table_SourceData_Common_MCFTemperatureZone[[#Headers],[Temperature zone]],0)</f>
        <v>1.4999999999999999E-2</v>
      </c>
      <c r="P241" s="38" cm="1">
        <f t="array" ref="P241">Common_InputFunctions.Utility_DisplayArrayInTable(Common_SourceData.Common_SourceData_MCFTemperatureZone_Data(),Table_SourceData_Common_MCFTemperatureZone[[#Headers],[Temperature zone]],0)</f>
        <v>0</v>
      </c>
      <c r="Q241" s="38" cm="1">
        <f t="array" ref="Q241">Common_InputFunctions.Utility_DisplayArrayInTable(Common_SourceData.Common_SourceData_MCFTemperatureZone_Data(),Table_SourceData_Common_MCFTemperatureZone[[#Headers],[Temperature zone]],0)</f>
        <v>0</v>
      </c>
      <c r="R241" s="38" cm="1">
        <f t="array" ref="R241">Common_InputFunctions.Utility_DisplayArrayInTable(Common_SourceData.Common_SourceData_MCFTemperatureZone_Data(),Table_SourceData_Common_MCFTemperatureZone[[#Headers],[Temperature zone]],0)</f>
        <v>4.7000000000000002E-3</v>
      </c>
      <c r="S241" s="38" cm="1">
        <f t="array" ref="S241">Common_InputFunctions.Utility_DisplayArrayInTable(Common_SourceData.Common_SourceData_MCFTemperatureZone_Data(),Table_SourceData_Common_MCFTemperatureZone[[#Headers],[Temperature zone]],0)</f>
        <v>19</v>
      </c>
    </row>
    <row r="242" spans="4:19" x14ac:dyDescent="0.25" ht="20" customHeight="1">
      <c r="D242" s="1" t="str" cm="1">
        <f t="array" ref="D242">Common_InputFunctions.Utility_DisplayArrayInTable(Common_SourceData.Common_SourceData_MCFTemperatureZone_Data(),Table_SourceData_Common_MCFTemperatureZone[[#Headers],[Temperature zone]],0)</f>
        <v>Temperate</v>
      </c>
      <c r="E242" s="38" cm="1">
        <f t="array" ref="E242">Common_InputFunctions.Utility_DisplayArrayInTable(Common_SourceData.Common_SourceData_MCFTemperatureZone_Data(),Table_SourceData_Common_MCFTemperatureZone[[#Headers],[Temperature zone]],0)</f>
        <v>20</v>
      </c>
      <c r="F242" s="38" cm="1">
        <f t="array" ref="F242">Common_InputFunctions.Utility_DisplayArrayInTable(Common_SourceData.Common_SourceData_MCFTemperatureZone_Data(),Table_SourceData_Common_MCFTemperatureZone[[#Headers],[Temperature zone]],0)</f>
        <v>0.78</v>
      </c>
      <c r="G242" s="38" cm="1">
        <f t="array" ref="G242">Common_InputFunctions.Utility_DisplayArrayInTable(Common_SourceData.Common_SourceData_MCFTemperatureZone_Data(),Table_SourceData_Common_MCFTemperatureZone[[#Headers],[Temperature zone]],0)</f>
        <v>0.1</v>
      </c>
      <c r="H242" s="38" cm="1">
        <f t="array" ref="H242">Common_InputFunctions.Utility_DisplayArrayInTable(Common_SourceData.Common_SourceData_MCFTemperatureZone_Data(),Table_SourceData_Common_MCFTemperatureZone[[#Headers],[Temperature zone]],0)</f>
        <v>0.26</v>
      </c>
      <c r="I242" s="38" cm="1">
        <f t="array" ref="I242">Common_InputFunctions.Utility_DisplayArrayInTable(Common_SourceData.Common_SourceData_MCFTemperatureZone_Data(),Table_SourceData_Common_MCFTemperatureZone[[#Headers],[Temperature zone]],0)</f>
        <v>5.0000000000000001E-3</v>
      </c>
      <c r="J242" s="38" cm="1">
        <f t="array" ref="J242">Common_InputFunctions.Utility_DisplayArrayInTable(Common_SourceData.Common_SourceData_MCFTemperatureZone_Data(),Table_SourceData_Common_MCFTemperatureZone[[#Headers],[Temperature zone]],0)</f>
        <v>0.01</v>
      </c>
      <c r="K242" s="38" cm="1">
        <f t="array" ref="K242">Common_InputFunctions.Utility_DisplayArrayInTable(Common_SourceData.Common_SourceData_MCFTemperatureZone_Data(),Table_SourceData_Common_MCFTemperatureZone[[#Headers],[Temperature zone]],0)</f>
        <v>0.02</v>
      </c>
      <c r="L242" s="38" cm="1">
        <f t="array" ref="L242">Common_InputFunctions.Utility_DisplayArrayInTable(Common_SourceData.Common_SourceData_MCFTemperatureZone_Data(),Table_SourceData_Common_MCFTemperatureZone[[#Headers],[Temperature zone]],0)</f>
        <v>0.03</v>
      </c>
      <c r="M242" s="38" cm="1">
        <f t="array" ref="M242">Common_InputFunctions.Utility_DisplayArrayInTable(Common_SourceData.Common_SourceData_MCFTemperatureZone_Data(),Table_SourceData_Common_MCFTemperatureZone[[#Headers],[Temperature zone]],0)</f>
        <v>0.04</v>
      </c>
      <c r="N242" s="38" cm="1">
        <f t="array" ref="N242">Common_InputFunctions.Utility_DisplayArrayInTable(Common_SourceData.Common_SourceData_MCFTemperatureZone_Data(),Table_SourceData_Common_MCFTemperatureZone[[#Headers],[Temperature zone]],0)</f>
        <v>1.4999999999999999E-2</v>
      </c>
      <c r="O242" s="38" cm="1">
        <f t="array" ref="O242">Common_InputFunctions.Utility_DisplayArrayInTable(Common_SourceData.Common_SourceData_MCFTemperatureZone_Data(),Table_SourceData_Common_MCFTemperatureZone[[#Headers],[Temperature zone]],0)</f>
        <v>1.4999999999999999E-2</v>
      </c>
      <c r="P242" s="38" cm="1">
        <f t="array" ref="P242">Common_InputFunctions.Utility_DisplayArrayInTable(Common_SourceData.Common_SourceData_MCFTemperatureZone_Data(),Table_SourceData_Common_MCFTemperatureZone[[#Headers],[Temperature zone]],0)</f>
        <v>0</v>
      </c>
      <c r="Q242" s="38" cm="1">
        <f t="array" ref="Q242">Common_InputFunctions.Utility_DisplayArrayInTable(Common_SourceData.Common_SourceData_MCFTemperatureZone_Data(),Table_SourceData_Common_MCFTemperatureZone[[#Headers],[Temperature zone]],0)</f>
        <v>0</v>
      </c>
      <c r="R242" s="38" cm="1">
        <f t="array" ref="R242">Common_InputFunctions.Utility_DisplayArrayInTable(Common_SourceData.Common_SourceData_MCFTemperatureZone_Data(),Table_SourceData_Common_MCFTemperatureZone[[#Headers],[Temperature zone]],0)</f>
        <v>4.7000000000000002E-3</v>
      </c>
      <c r="S242" s="38" cm="1">
        <f t="array" ref="S242">Common_InputFunctions.Utility_DisplayArrayInTable(Common_SourceData.Common_SourceData_MCFTemperatureZone_Data(),Table_SourceData_Common_MCFTemperatureZone[[#Headers],[Temperature zone]],0)</f>
        <v>20</v>
      </c>
    </row>
    <row r="243" spans="4:19" x14ac:dyDescent="0.25" ht="20" customHeight="1">
      <c r="D243" s="1" t="str" cm="1">
        <f t="array" ref="D243">Common_InputFunctions.Utility_DisplayArrayInTable(Common_SourceData.Common_SourceData_MCFTemperatureZone_Data(),Table_SourceData_Common_MCFTemperatureZone[[#Headers],[Temperature zone]],0)</f>
        <v>Temperate</v>
      </c>
      <c r="E243" s="38" cm="1">
        <f t="array" ref="E243">Common_InputFunctions.Utility_DisplayArrayInTable(Common_SourceData.Common_SourceData_MCFTemperatureZone_Data(),Table_SourceData_Common_MCFTemperatureZone[[#Headers],[Temperature zone]],0)</f>
        <v>21</v>
      </c>
      <c r="F243" s="38" cm="1">
        <f t="array" ref="F243">Common_InputFunctions.Utility_DisplayArrayInTable(Common_SourceData.Common_SourceData_MCFTemperatureZone_Data(),Table_SourceData_Common_MCFTemperatureZone[[#Headers],[Temperature zone]],0)</f>
        <v>0.78</v>
      </c>
      <c r="G243" s="38" cm="1">
        <f t="array" ref="G243">Common_InputFunctions.Utility_DisplayArrayInTable(Common_SourceData.Common_SourceData_MCFTemperatureZone_Data(),Table_SourceData_Common_MCFTemperatureZone[[#Headers],[Temperature zone]],0)</f>
        <v>0.1</v>
      </c>
      <c r="H243" s="38" cm="1">
        <f t="array" ref="H243">Common_InputFunctions.Utility_DisplayArrayInTable(Common_SourceData.Common_SourceData_MCFTemperatureZone_Data(),Table_SourceData_Common_MCFTemperatureZone[[#Headers],[Temperature zone]],0)</f>
        <v>0.28999999999999998</v>
      </c>
      <c r="I243" s="38" cm="1">
        <f t="array" ref="I243">Common_InputFunctions.Utility_DisplayArrayInTable(Common_SourceData.Common_SourceData_MCFTemperatureZone_Data(),Table_SourceData_Common_MCFTemperatureZone[[#Headers],[Temperature zone]],0)</f>
        <v>5.0000000000000001E-3</v>
      </c>
      <c r="J243" s="38" cm="1">
        <f t="array" ref="J243">Common_InputFunctions.Utility_DisplayArrayInTable(Common_SourceData.Common_SourceData_MCFTemperatureZone_Data(),Table_SourceData_Common_MCFTemperatureZone[[#Headers],[Temperature zone]],0)</f>
        <v>0.01</v>
      </c>
      <c r="K243" s="38" cm="1">
        <f t="array" ref="K243">Common_InputFunctions.Utility_DisplayArrayInTable(Common_SourceData.Common_SourceData_MCFTemperatureZone_Data(),Table_SourceData_Common_MCFTemperatureZone[[#Headers],[Temperature zone]],0)</f>
        <v>0.02</v>
      </c>
      <c r="L243" s="38" cm="1">
        <f t="array" ref="L243">Common_InputFunctions.Utility_DisplayArrayInTable(Common_SourceData.Common_SourceData_MCFTemperatureZone_Data(),Table_SourceData_Common_MCFTemperatureZone[[#Headers],[Temperature zone]],0)</f>
        <v>0.03</v>
      </c>
      <c r="M243" s="38" cm="1">
        <f t="array" ref="M243">Common_InputFunctions.Utility_DisplayArrayInTable(Common_SourceData.Common_SourceData_MCFTemperatureZone_Data(),Table_SourceData_Common_MCFTemperatureZone[[#Headers],[Temperature zone]],0)</f>
        <v>0.04</v>
      </c>
      <c r="N243" s="38" cm="1">
        <f t="array" ref="N243">Common_InputFunctions.Utility_DisplayArrayInTable(Common_SourceData.Common_SourceData_MCFTemperatureZone_Data(),Table_SourceData_Common_MCFTemperatureZone[[#Headers],[Temperature zone]],0)</f>
        <v>1.4999999999999999E-2</v>
      </c>
      <c r="O243" s="38" cm="1">
        <f t="array" ref="O243">Common_InputFunctions.Utility_DisplayArrayInTable(Common_SourceData.Common_SourceData_MCFTemperatureZone_Data(),Table_SourceData_Common_MCFTemperatureZone[[#Headers],[Temperature zone]],0)</f>
        <v>1.4999999999999999E-2</v>
      </c>
      <c r="P243" s="38" cm="1">
        <f t="array" ref="P243">Common_InputFunctions.Utility_DisplayArrayInTable(Common_SourceData.Common_SourceData_MCFTemperatureZone_Data(),Table_SourceData_Common_MCFTemperatureZone[[#Headers],[Temperature zone]],0)</f>
        <v>0</v>
      </c>
      <c r="Q243" s="38" cm="1">
        <f t="array" ref="Q243">Common_InputFunctions.Utility_DisplayArrayInTable(Common_SourceData.Common_SourceData_MCFTemperatureZone_Data(),Table_SourceData_Common_MCFTemperatureZone[[#Headers],[Temperature zone]],0)</f>
        <v>0</v>
      </c>
      <c r="R243" s="38" cm="1">
        <f t="array" ref="R243">Common_InputFunctions.Utility_DisplayArrayInTable(Common_SourceData.Common_SourceData_MCFTemperatureZone_Data(),Table_SourceData_Common_MCFTemperatureZone[[#Headers],[Temperature zone]],0)</f>
        <v>4.7000000000000002E-3</v>
      </c>
      <c r="S243" s="38" cm="1">
        <f t="array" ref="S243">Common_InputFunctions.Utility_DisplayArrayInTable(Common_SourceData.Common_SourceData_MCFTemperatureZone_Data(),Table_SourceData_Common_MCFTemperatureZone[[#Headers],[Temperature zone]],0)</f>
        <v>21</v>
      </c>
    </row>
    <row r="244" spans="4:19" x14ac:dyDescent="0.25" ht="20" customHeight="1">
      <c r="D244" s="1" t="str" cm="1">
        <f t="array" ref="D244">Common_InputFunctions.Utility_DisplayArrayInTable(Common_SourceData.Common_SourceData_MCFTemperatureZone_Data(),Table_SourceData_Common_MCFTemperatureZone[[#Headers],[Temperature zone]],0)</f>
        <v>Temperate</v>
      </c>
      <c r="E244" s="38" cm="1">
        <f t="array" ref="E244">Common_InputFunctions.Utility_DisplayArrayInTable(Common_SourceData.Common_SourceData_MCFTemperatureZone_Data(),Table_SourceData_Common_MCFTemperatureZone[[#Headers],[Temperature zone]],0)</f>
        <v>22</v>
      </c>
      <c r="F244" s="38" cm="1">
        <f t="array" ref="F244">Common_InputFunctions.Utility_DisplayArrayInTable(Common_SourceData.Common_SourceData_MCFTemperatureZone_Data(),Table_SourceData_Common_MCFTemperatureZone[[#Headers],[Temperature zone]],0)</f>
        <v>0.78</v>
      </c>
      <c r="G244" s="38" cm="1">
        <f t="array" ref="G244">Common_InputFunctions.Utility_DisplayArrayInTable(Common_SourceData.Common_SourceData_MCFTemperatureZone_Data(),Table_SourceData_Common_MCFTemperatureZone[[#Headers],[Temperature zone]],0)</f>
        <v>0.1</v>
      </c>
      <c r="H244" s="38" cm="1">
        <f t="array" ref="H244">Common_InputFunctions.Utility_DisplayArrayInTable(Common_SourceData.Common_SourceData_MCFTemperatureZone_Data(),Table_SourceData_Common_MCFTemperatureZone[[#Headers],[Temperature zone]],0)</f>
        <v>0.31</v>
      </c>
      <c r="I244" s="38" cm="1">
        <f t="array" ref="I244">Common_InputFunctions.Utility_DisplayArrayInTable(Common_SourceData.Common_SourceData_MCFTemperatureZone_Data(),Table_SourceData_Common_MCFTemperatureZone[[#Headers],[Temperature zone]],0)</f>
        <v>5.0000000000000001E-3</v>
      </c>
      <c r="J244" s="38" cm="1">
        <f t="array" ref="J244">Common_InputFunctions.Utility_DisplayArrayInTable(Common_SourceData.Common_SourceData_MCFTemperatureZone_Data(),Table_SourceData_Common_MCFTemperatureZone[[#Headers],[Temperature zone]],0)</f>
        <v>0.01</v>
      </c>
      <c r="K244" s="38" cm="1">
        <f t="array" ref="K244">Common_InputFunctions.Utility_DisplayArrayInTable(Common_SourceData.Common_SourceData_MCFTemperatureZone_Data(),Table_SourceData_Common_MCFTemperatureZone[[#Headers],[Temperature zone]],0)</f>
        <v>0.02</v>
      </c>
      <c r="L244" s="38" cm="1">
        <f t="array" ref="L244">Common_InputFunctions.Utility_DisplayArrayInTable(Common_SourceData.Common_SourceData_MCFTemperatureZone_Data(),Table_SourceData_Common_MCFTemperatureZone[[#Headers],[Temperature zone]],0)</f>
        <v>0.03</v>
      </c>
      <c r="M244" s="38" cm="1">
        <f t="array" ref="M244">Common_InputFunctions.Utility_DisplayArrayInTable(Common_SourceData.Common_SourceData_MCFTemperatureZone_Data(),Table_SourceData_Common_MCFTemperatureZone[[#Headers],[Temperature zone]],0)</f>
        <v>0.04</v>
      </c>
      <c r="N244" s="38" cm="1">
        <f t="array" ref="N244">Common_InputFunctions.Utility_DisplayArrayInTable(Common_SourceData.Common_SourceData_MCFTemperatureZone_Data(),Table_SourceData_Common_MCFTemperatureZone[[#Headers],[Temperature zone]],0)</f>
        <v>1.4999999999999999E-2</v>
      </c>
      <c r="O244" s="38" cm="1">
        <f t="array" ref="O244">Common_InputFunctions.Utility_DisplayArrayInTable(Common_SourceData.Common_SourceData_MCFTemperatureZone_Data(),Table_SourceData_Common_MCFTemperatureZone[[#Headers],[Temperature zone]],0)</f>
        <v>1.4999999999999999E-2</v>
      </c>
      <c r="P244" s="38" cm="1">
        <f t="array" ref="P244">Common_InputFunctions.Utility_DisplayArrayInTable(Common_SourceData.Common_SourceData_MCFTemperatureZone_Data(),Table_SourceData_Common_MCFTemperatureZone[[#Headers],[Temperature zone]],0)</f>
        <v>0</v>
      </c>
      <c r="Q244" s="38" cm="1">
        <f t="array" ref="Q244">Common_InputFunctions.Utility_DisplayArrayInTable(Common_SourceData.Common_SourceData_MCFTemperatureZone_Data(),Table_SourceData_Common_MCFTemperatureZone[[#Headers],[Temperature zone]],0)</f>
        <v>0</v>
      </c>
      <c r="R244" s="38" cm="1">
        <f t="array" ref="R244">Common_InputFunctions.Utility_DisplayArrayInTable(Common_SourceData.Common_SourceData_MCFTemperatureZone_Data(),Table_SourceData_Common_MCFTemperatureZone[[#Headers],[Temperature zone]],0)</f>
        <v>4.7000000000000002E-3</v>
      </c>
      <c r="S244" s="38" cm="1">
        <f t="array" ref="S244">Common_InputFunctions.Utility_DisplayArrayInTable(Common_SourceData.Common_SourceData_MCFTemperatureZone_Data(),Table_SourceData_Common_MCFTemperatureZone[[#Headers],[Temperature zone]],0)</f>
        <v>22</v>
      </c>
    </row>
    <row r="245" spans="4:19" x14ac:dyDescent="0.25" ht="20" customHeight="1">
      <c r="D245" s="1" t="str" cm="1">
        <f t="array" ref="D245">Common_InputFunctions.Utility_DisplayArrayInTable(Common_SourceData.Common_SourceData_MCFTemperatureZone_Data(),Table_SourceData_Common_MCFTemperatureZone[[#Headers],[Temperature zone]],0)</f>
        <v>Temperate</v>
      </c>
      <c r="E245" s="38" cm="1">
        <f t="array" ref="E245">Common_InputFunctions.Utility_DisplayArrayInTable(Common_SourceData.Common_SourceData_MCFTemperatureZone_Data(),Table_SourceData_Common_MCFTemperatureZone[[#Headers],[Temperature zone]],0)</f>
        <v>23</v>
      </c>
      <c r="F245" s="38" cm="1">
        <f t="array" ref="F245">Common_InputFunctions.Utility_DisplayArrayInTable(Common_SourceData.Common_SourceData_MCFTemperatureZone_Data(),Table_SourceData_Common_MCFTemperatureZone[[#Headers],[Temperature zone]],0)</f>
        <v>0.79</v>
      </c>
      <c r="G245" s="38" cm="1">
        <f t="array" ref="G245">Common_InputFunctions.Utility_DisplayArrayInTable(Common_SourceData.Common_SourceData_MCFTemperatureZone_Data(),Table_SourceData_Common_MCFTemperatureZone[[#Headers],[Temperature zone]],0)</f>
        <v>0.1</v>
      </c>
      <c r="H245" s="38" cm="1">
        <f t="array" ref="H245">Common_InputFunctions.Utility_DisplayArrayInTable(Common_SourceData.Common_SourceData_MCFTemperatureZone_Data(),Table_SourceData_Common_MCFTemperatureZone[[#Headers],[Temperature zone]],0)</f>
        <v>0.34</v>
      </c>
      <c r="I245" s="38" cm="1">
        <f t="array" ref="I245">Common_InputFunctions.Utility_DisplayArrayInTable(Common_SourceData.Common_SourceData_MCFTemperatureZone_Data(),Table_SourceData_Common_MCFTemperatureZone[[#Headers],[Temperature zone]],0)</f>
        <v>5.0000000000000001E-3</v>
      </c>
      <c r="J245" s="38" cm="1">
        <f t="array" ref="J245">Common_InputFunctions.Utility_DisplayArrayInTable(Common_SourceData.Common_SourceData_MCFTemperatureZone_Data(),Table_SourceData_Common_MCFTemperatureZone[[#Headers],[Temperature zone]],0)</f>
        <v>0.01</v>
      </c>
      <c r="K245" s="38" cm="1">
        <f t="array" ref="K245">Common_InputFunctions.Utility_DisplayArrayInTable(Common_SourceData.Common_SourceData_MCFTemperatureZone_Data(),Table_SourceData_Common_MCFTemperatureZone[[#Headers],[Temperature zone]],0)</f>
        <v>0.02</v>
      </c>
      <c r="L245" s="38" cm="1">
        <f t="array" ref="L245">Common_InputFunctions.Utility_DisplayArrayInTable(Common_SourceData.Common_SourceData_MCFTemperatureZone_Data(),Table_SourceData_Common_MCFTemperatureZone[[#Headers],[Temperature zone]],0)</f>
        <v>0.03</v>
      </c>
      <c r="M245" s="38" cm="1">
        <f t="array" ref="M245">Common_InputFunctions.Utility_DisplayArrayInTable(Common_SourceData.Common_SourceData_MCFTemperatureZone_Data(),Table_SourceData_Common_MCFTemperatureZone[[#Headers],[Temperature zone]],0)</f>
        <v>0.04</v>
      </c>
      <c r="N245" s="38" cm="1">
        <f t="array" ref="N245">Common_InputFunctions.Utility_DisplayArrayInTable(Common_SourceData.Common_SourceData_MCFTemperatureZone_Data(),Table_SourceData_Common_MCFTemperatureZone[[#Headers],[Temperature zone]],0)</f>
        <v>1.4999999999999999E-2</v>
      </c>
      <c r="O245" s="38" cm="1">
        <f t="array" ref="O245">Common_InputFunctions.Utility_DisplayArrayInTable(Common_SourceData.Common_SourceData_MCFTemperatureZone_Data(),Table_SourceData_Common_MCFTemperatureZone[[#Headers],[Temperature zone]],0)</f>
        <v>1.4999999999999999E-2</v>
      </c>
      <c r="P245" s="38" cm="1">
        <f t="array" ref="P245">Common_InputFunctions.Utility_DisplayArrayInTable(Common_SourceData.Common_SourceData_MCFTemperatureZone_Data(),Table_SourceData_Common_MCFTemperatureZone[[#Headers],[Temperature zone]],0)</f>
        <v>0</v>
      </c>
      <c r="Q245" s="38" cm="1">
        <f t="array" ref="Q245">Common_InputFunctions.Utility_DisplayArrayInTable(Common_SourceData.Common_SourceData_MCFTemperatureZone_Data(),Table_SourceData_Common_MCFTemperatureZone[[#Headers],[Temperature zone]],0)</f>
        <v>0</v>
      </c>
      <c r="R245" s="38" cm="1">
        <f t="array" ref="R245">Common_InputFunctions.Utility_DisplayArrayInTable(Common_SourceData.Common_SourceData_MCFTemperatureZone_Data(),Table_SourceData_Common_MCFTemperatureZone[[#Headers],[Temperature zone]],0)</f>
        <v>4.7000000000000002E-3</v>
      </c>
      <c r="S245" s="38" cm="1">
        <f t="array" ref="S245">Common_InputFunctions.Utility_DisplayArrayInTable(Common_SourceData.Common_SourceData_MCFTemperatureZone_Data(),Table_SourceData_Common_MCFTemperatureZone[[#Headers],[Temperature zone]],0)</f>
        <v>23</v>
      </c>
    </row>
    <row r="246" spans="4:19" x14ac:dyDescent="0.25" ht="20" customHeight="1">
      <c r="D246" s="1" t="str" cm="1">
        <f t="array" ref="D246">Common_InputFunctions.Utility_DisplayArrayInTable(Common_SourceData.Common_SourceData_MCFTemperatureZone_Data(),Table_SourceData_Common_MCFTemperatureZone[[#Headers],[Temperature zone]],0)</f>
        <v>Temperate</v>
      </c>
      <c r="E246" s="38" cm="1">
        <f t="array" ref="E246">Common_InputFunctions.Utility_DisplayArrayInTable(Common_SourceData.Common_SourceData_MCFTemperatureZone_Data(),Table_SourceData_Common_MCFTemperatureZone[[#Headers],[Temperature zone]],0)</f>
        <v>24</v>
      </c>
      <c r="F246" s="38" cm="1">
        <f t="array" ref="F246">Common_InputFunctions.Utility_DisplayArrayInTable(Common_SourceData.Common_SourceData_MCFTemperatureZone_Data(),Table_SourceData_Common_MCFTemperatureZone[[#Headers],[Temperature zone]],0)</f>
        <v>0.79</v>
      </c>
      <c r="G246" s="38" cm="1">
        <f t="array" ref="G246">Common_InputFunctions.Utility_DisplayArrayInTable(Common_SourceData.Common_SourceData_MCFTemperatureZone_Data(),Table_SourceData_Common_MCFTemperatureZone[[#Headers],[Temperature zone]],0)</f>
        <v>0.1</v>
      </c>
      <c r="H246" s="38" cm="1">
        <f t="array" ref="H246">Common_InputFunctions.Utility_DisplayArrayInTable(Common_SourceData.Common_SourceData_MCFTemperatureZone_Data(),Table_SourceData_Common_MCFTemperatureZone[[#Headers],[Temperature zone]],0)</f>
        <v>0.37</v>
      </c>
      <c r="I246" s="38" cm="1">
        <f t="array" ref="I246">Common_InputFunctions.Utility_DisplayArrayInTable(Common_SourceData.Common_SourceData_MCFTemperatureZone_Data(),Table_SourceData_Common_MCFTemperatureZone[[#Headers],[Temperature zone]],0)</f>
        <v>5.0000000000000001E-3</v>
      </c>
      <c r="J246" s="38" cm="1">
        <f t="array" ref="J246">Common_InputFunctions.Utility_DisplayArrayInTable(Common_SourceData.Common_SourceData_MCFTemperatureZone_Data(),Table_SourceData_Common_MCFTemperatureZone[[#Headers],[Temperature zone]],0)</f>
        <v>0.01</v>
      </c>
      <c r="K246" s="38" cm="1">
        <f t="array" ref="K246">Common_InputFunctions.Utility_DisplayArrayInTable(Common_SourceData.Common_SourceData_MCFTemperatureZone_Data(),Table_SourceData_Common_MCFTemperatureZone[[#Headers],[Temperature zone]],0)</f>
        <v>0.02</v>
      </c>
      <c r="L246" s="38" cm="1">
        <f t="array" ref="L246">Common_InputFunctions.Utility_DisplayArrayInTable(Common_SourceData.Common_SourceData_MCFTemperatureZone_Data(),Table_SourceData_Common_MCFTemperatureZone[[#Headers],[Temperature zone]],0)</f>
        <v>0.03</v>
      </c>
      <c r="M246" s="38" cm="1">
        <f t="array" ref="M246">Common_InputFunctions.Utility_DisplayArrayInTable(Common_SourceData.Common_SourceData_MCFTemperatureZone_Data(),Table_SourceData_Common_MCFTemperatureZone[[#Headers],[Temperature zone]],0)</f>
        <v>0.04</v>
      </c>
      <c r="N246" s="38" cm="1">
        <f t="array" ref="N246">Common_InputFunctions.Utility_DisplayArrayInTable(Common_SourceData.Common_SourceData_MCFTemperatureZone_Data(),Table_SourceData_Common_MCFTemperatureZone[[#Headers],[Temperature zone]],0)</f>
        <v>1.4999999999999999E-2</v>
      </c>
      <c r="O246" s="38" cm="1">
        <f t="array" ref="O246">Common_InputFunctions.Utility_DisplayArrayInTable(Common_SourceData.Common_SourceData_MCFTemperatureZone_Data(),Table_SourceData_Common_MCFTemperatureZone[[#Headers],[Temperature zone]],0)</f>
        <v>1.4999999999999999E-2</v>
      </c>
      <c r="P246" s="38" cm="1">
        <f t="array" ref="P246">Common_InputFunctions.Utility_DisplayArrayInTable(Common_SourceData.Common_SourceData_MCFTemperatureZone_Data(),Table_SourceData_Common_MCFTemperatureZone[[#Headers],[Temperature zone]],0)</f>
        <v>0</v>
      </c>
      <c r="Q246" s="38" cm="1">
        <f t="array" ref="Q246">Common_InputFunctions.Utility_DisplayArrayInTable(Common_SourceData.Common_SourceData_MCFTemperatureZone_Data(),Table_SourceData_Common_MCFTemperatureZone[[#Headers],[Temperature zone]],0)</f>
        <v>0</v>
      </c>
      <c r="R246" s="38" cm="1">
        <f t="array" ref="R246">Common_InputFunctions.Utility_DisplayArrayInTable(Common_SourceData.Common_SourceData_MCFTemperatureZone_Data(),Table_SourceData_Common_MCFTemperatureZone[[#Headers],[Temperature zone]],0)</f>
        <v>4.7000000000000002E-3</v>
      </c>
      <c r="S246" s="38" cm="1">
        <f t="array" ref="S246">Common_InputFunctions.Utility_DisplayArrayInTable(Common_SourceData.Common_SourceData_MCFTemperatureZone_Data(),Table_SourceData_Common_MCFTemperatureZone[[#Headers],[Temperature zone]],0)</f>
        <v>24</v>
      </c>
    </row>
    <row r="247" spans="4:19" x14ac:dyDescent="0.25" ht="20" customHeight="1">
      <c r="D247" s="1" t="str" cm="1">
        <f t="array" ref="D247">Common_InputFunctions.Utility_DisplayArrayInTable(Common_SourceData.Common_SourceData_MCFTemperatureZone_Data(),Table_SourceData_Common_MCFTemperatureZone[[#Headers],[Temperature zone]],0)</f>
        <v>Temperate</v>
      </c>
      <c r="E247" s="38" cm="1">
        <f t="array" ref="E247">Common_InputFunctions.Utility_DisplayArrayInTable(Common_SourceData.Common_SourceData_MCFTemperatureZone_Data(),Table_SourceData_Common_MCFTemperatureZone[[#Headers],[Temperature zone]],0)</f>
        <v>25</v>
      </c>
      <c r="F247" s="38" cm="1">
        <f t="array" ref="F247">Common_InputFunctions.Utility_DisplayArrayInTable(Common_SourceData.Common_SourceData_MCFTemperatureZone_Data(),Table_SourceData_Common_MCFTemperatureZone[[#Headers],[Temperature zone]],0)</f>
        <v>0.79</v>
      </c>
      <c r="G247" s="38" cm="1">
        <f t="array" ref="G247">Common_InputFunctions.Utility_DisplayArrayInTable(Common_SourceData.Common_SourceData_MCFTemperatureZone_Data(),Table_SourceData_Common_MCFTemperatureZone[[#Headers],[Temperature zone]],0)</f>
        <v>0.1</v>
      </c>
      <c r="H247" s="38" cm="1">
        <f t="array" ref="H247">Common_InputFunctions.Utility_DisplayArrayInTable(Common_SourceData.Common_SourceData_MCFTemperatureZone_Data(),Table_SourceData_Common_MCFTemperatureZone[[#Headers],[Temperature zone]],0)</f>
        <v>0.41</v>
      </c>
      <c r="I247" s="38" cm="1">
        <f t="array" ref="I247">Common_InputFunctions.Utility_DisplayArrayInTable(Common_SourceData.Common_SourceData_MCFTemperatureZone_Data(),Table_SourceData_Common_MCFTemperatureZone[[#Headers],[Temperature zone]],0)</f>
        <v>5.0000000000000001E-3</v>
      </c>
      <c r="J247" s="38" cm="1">
        <f t="array" ref="J247">Common_InputFunctions.Utility_DisplayArrayInTable(Common_SourceData.Common_SourceData_MCFTemperatureZone_Data(),Table_SourceData_Common_MCFTemperatureZone[[#Headers],[Temperature zone]],0)</f>
        <v>0.01</v>
      </c>
      <c r="K247" s="38" cm="1">
        <f t="array" ref="K247">Common_InputFunctions.Utility_DisplayArrayInTable(Common_SourceData.Common_SourceData_MCFTemperatureZone_Data(),Table_SourceData_Common_MCFTemperatureZone[[#Headers],[Temperature zone]],0)</f>
        <v>0.02</v>
      </c>
      <c r="L247" s="38" cm="1">
        <f t="array" ref="L247">Common_InputFunctions.Utility_DisplayArrayInTable(Common_SourceData.Common_SourceData_MCFTemperatureZone_Data(),Table_SourceData_Common_MCFTemperatureZone[[#Headers],[Temperature zone]],0)</f>
        <v>0.03</v>
      </c>
      <c r="M247" s="38" cm="1">
        <f t="array" ref="M247">Common_InputFunctions.Utility_DisplayArrayInTable(Common_SourceData.Common_SourceData_MCFTemperatureZone_Data(),Table_SourceData_Common_MCFTemperatureZone[[#Headers],[Temperature zone]],0)</f>
        <v>0.04</v>
      </c>
      <c r="N247" s="38" cm="1">
        <f t="array" ref="N247">Common_InputFunctions.Utility_DisplayArrayInTable(Common_SourceData.Common_SourceData_MCFTemperatureZone_Data(),Table_SourceData_Common_MCFTemperatureZone[[#Headers],[Temperature zone]],0)</f>
        <v>1.4999999999999999E-2</v>
      </c>
      <c r="O247" s="38" cm="1">
        <f t="array" ref="O247">Common_InputFunctions.Utility_DisplayArrayInTable(Common_SourceData.Common_SourceData_MCFTemperatureZone_Data(),Table_SourceData_Common_MCFTemperatureZone[[#Headers],[Temperature zone]],0)</f>
        <v>1.4999999999999999E-2</v>
      </c>
      <c r="P247" s="38" cm="1">
        <f t="array" ref="P247">Common_InputFunctions.Utility_DisplayArrayInTable(Common_SourceData.Common_SourceData_MCFTemperatureZone_Data(),Table_SourceData_Common_MCFTemperatureZone[[#Headers],[Temperature zone]],0)</f>
        <v>0</v>
      </c>
      <c r="Q247" s="38" cm="1">
        <f t="array" ref="Q247">Common_InputFunctions.Utility_DisplayArrayInTable(Common_SourceData.Common_SourceData_MCFTemperatureZone_Data(),Table_SourceData_Common_MCFTemperatureZone[[#Headers],[Temperature zone]],0)</f>
        <v>0</v>
      </c>
      <c r="R247" s="38" cm="1">
        <f t="array" ref="R247">Common_InputFunctions.Utility_DisplayArrayInTable(Common_SourceData.Common_SourceData_MCFTemperatureZone_Data(),Table_SourceData_Common_MCFTemperatureZone[[#Headers],[Temperature zone]],0)</f>
        <v>4.7000000000000002E-3</v>
      </c>
      <c r="S247" s="38" cm="1">
        <f t="array" ref="S247">Common_InputFunctions.Utility_DisplayArrayInTable(Common_SourceData.Common_SourceData_MCFTemperatureZone_Data(),Table_SourceData_Common_MCFTemperatureZone[[#Headers],[Temperature zone]],0)</f>
        <v>25</v>
      </c>
    </row>
    <row r="248" spans="4:19" x14ac:dyDescent="0.25" ht="20" customHeight="1">
      <c r="D248" s="1" t="str" cm="1">
        <f t="array" ref="D248">Common_InputFunctions.Utility_DisplayArrayInTable(Common_SourceData.Common_SourceData_MCFTemperatureZone_Data(),Table_SourceData_Common_MCFTemperatureZone[[#Headers],[Temperature zone]],0)</f>
        <v>Warm</v>
      </c>
      <c r="E248" s="38" cm="1">
        <f t="array" ref="E248">Common_InputFunctions.Utility_DisplayArrayInTable(Common_SourceData.Common_SourceData_MCFTemperatureZone_Data(),Table_SourceData_Common_MCFTemperatureZone[[#Headers],[Temperature zone]],0)</f>
        <v>26</v>
      </c>
      <c r="F248" s="38" cm="1">
        <f t="array" ref="F248">Common_InputFunctions.Utility_DisplayArrayInTable(Common_SourceData.Common_SourceData_MCFTemperatureZone_Data(),Table_SourceData_Common_MCFTemperatureZone[[#Headers],[Temperature zone]],0)</f>
        <v>0.79</v>
      </c>
      <c r="G248" s="38" cm="1">
        <f t="array" ref="G248">Common_InputFunctions.Utility_DisplayArrayInTable(Common_SourceData.Common_SourceData_MCFTemperatureZone_Data(),Table_SourceData_Common_MCFTemperatureZone[[#Headers],[Temperature zone]],0)</f>
        <v>0.1</v>
      </c>
      <c r="H248" s="38" cm="1">
        <f t="array" ref="H248">Common_InputFunctions.Utility_DisplayArrayInTable(Common_SourceData.Common_SourceData_MCFTemperatureZone_Data(),Table_SourceData_Common_MCFTemperatureZone[[#Headers],[Temperature zone]],0)</f>
        <v>0.44</v>
      </c>
      <c r="I248" s="38" cm="1">
        <f t="array" ref="I248">Common_InputFunctions.Utility_DisplayArrayInTable(Common_SourceData.Common_SourceData_MCFTemperatureZone_Data(),Table_SourceData_Common_MCFTemperatureZone[[#Headers],[Temperature zone]],0)</f>
        <v>0.01</v>
      </c>
      <c r="J248" s="38" cm="1">
        <f t="array" ref="J248">Common_InputFunctions.Utility_DisplayArrayInTable(Common_SourceData.Common_SourceData_MCFTemperatureZone_Data(),Table_SourceData_Common_MCFTemperatureZone[[#Headers],[Temperature zone]],0)</f>
        <v>1.4999999999999999E-2</v>
      </c>
      <c r="K248" s="38" cm="1">
        <f t="array" ref="K248">Common_InputFunctions.Utility_DisplayArrayInTable(Common_SourceData.Common_SourceData_MCFTemperatureZone_Data(),Table_SourceData_Common_MCFTemperatureZone[[#Headers],[Temperature zone]],0)</f>
        <v>0.02</v>
      </c>
      <c r="L248" s="38" cm="1">
        <f t="array" ref="L248">Common_InputFunctions.Utility_DisplayArrayInTable(Common_SourceData.Common_SourceData_MCFTemperatureZone_Data(),Table_SourceData_Common_MCFTemperatureZone[[#Headers],[Temperature zone]],0)</f>
        <v>0.03</v>
      </c>
      <c r="M248" s="38" cm="1">
        <f t="array" ref="M248">Common_InputFunctions.Utility_DisplayArrayInTable(Common_SourceData.Common_SourceData_MCFTemperatureZone_Data(),Table_SourceData_Common_MCFTemperatureZone[[#Headers],[Temperature zone]],0)</f>
        <v>0.04</v>
      </c>
      <c r="N248" s="38" cm="1">
        <f t="array" ref="N248">Common_InputFunctions.Utility_DisplayArrayInTable(Common_SourceData.Common_SourceData_MCFTemperatureZone_Data(),Table_SourceData_Common_MCFTemperatureZone[[#Headers],[Temperature zone]],0)</f>
        <v>1.4999999999999999E-2</v>
      </c>
      <c r="O248" s="38" cm="1">
        <f t="array" ref="O248">Common_InputFunctions.Utility_DisplayArrayInTable(Common_SourceData.Common_SourceData_MCFTemperatureZone_Data(),Table_SourceData_Common_MCFTemperatureZone[[#Headers],[Temperature zone]],0)</f>
        <v>1.4999999999999999E-2</v>
      </c>
      <c r="P248" s="38" cm="1">
        <f t="array" ref="P248">Common_InputFunctions.Utility_DisplayArrayInTable(Common_SourceData.Common_SourceData_MCFTemperatureZone_Data(),Table_SourceData_Common_MCFTemperatureZone[[#Headers],[Temperature zone]],0)</f>
        <v>0</v>
      </c>
      <c r="Q248" s="38" cm="1">
        <f t="array" ref="Q248">Common_InputFunctions.Utility_DisplayArrayInTable(Common_SourceData.Common_SourceData_MCFTemperatureZone_Data(),Table_SourceData_Common_MCFTemperatureZone[[#Headers],[Temperature zone]],0)</f>
        <v>0</v>
      </c>
      <c r="R248" s="38" cm="1">
        <f t="array" ref="R248">Common_InputFunctions.Utility_DisplayArrayInTable(Common_SourceData.Common_SourceData_MCFTemperatureZone_Data(),Table_SourceData_Common_MCFTemperatureZone[[#Headers],[Temperature zone]],0)</f>
        <v>4.7000000000000002E-3</v>
      </c>
      <c r="S248" s="38" cm="1">
        <f t="array" ref="S248">Common_InputFunctions.Utility_DisplayArrayInTable(Common_SourceData.Common_SourceData_MCFTemperatureZone_Data(),Table_SourceData_Common_MCFTemperatureZone[[#Headers],[Temperature zone]],0)</f>
        <v>26</v>
      </c>
    </row>
    <row r="249" spans="4:19" x14ac:dyDescent="0.25" ht="20" customHeight="1">
      <c r="D249" s="1" t="str" cm="1">
        <f t="array" ref="D249">Common_InputFunctions.Utility_DisplayArrayInTable(Common_SourceData.Common_SourceData_MCFTemperatureZone_Data(),Table_SourceData_Common_MCFTemperatureZone[[#Headers],[Temperature zone]],0)</f>
        <v>Warm</v>
      </c>
      <c r="E249" s="38" cm="1">
        <f t="array" ref="E249">Common_InputFunctions.Utility_DisplayArrayInTable(Common_SourceData.Common_SourceData_MCFTemperatureZone_Data(),Table_SourceData_Common_MCFTemperatureZone[[#Headers],[Temperature zone]],0)</f>
        <v>27</v>
      </c>
      <c r="F249" s="38" cm="1">
        <f t="array" ref="F249">Common_InputFunctions.Utility_DisplayArrayInTable(Common_SourceData.Common_SourceData_MCFTemperatureZone_Data(),Table_SourceData_Common_MCFTemperatureZone[[#Headers],[Temperature zone]],0)</f>
        <v>0.8</v>
      </c>
      <c r="G249" s="38" cm="1">
        <f t="array" ref="G249">Common_InputFunctions.Utility_DisplayArrayInTable(Common_SourceData.Common_SourceData_MCFTemperatureZone_Data(),Table_SourceData_Common_MCFTemperatureZone[[#Headers],[Temperature zone]],0)</f>
        <v>0.1</v>
      </c>
      <c r="H249" s="38" cm="1">
        <f t="array" ref="H249">Common_InputFunctions.Utility_DisplayArrayInTable(Common_SourceData.Common_SourceData_MCFTemperatureZone_Data(),Table_SourceData_Common_MCFTemperatureZone[[#Headers],[Temperature zone]],0)</f>
        <v>0.48</v>
      </c>
      <c r="I249" s="38" cm="1">
        <f t="array" ref="I249">Common_InputFunctions.Utility_DisplayArrayInTable(Common_SourceData.Common_SourceData_MCFTemperatureZone_Data(),Table_SourceData_Common_MCFTemperatureZone[[#Headers],[Temperature zone]],0)</f>
        <v>0.01</v>
      </c>
      <c r="J249" s="38" cm="1">
        <f t="array" ref="J249">Common_InputFunctions.Utility_DisplayArrayInTable(Common_SourceData.Common_SourceData_MCFTemperatureZone_Data(),Table_SourceData_Common_MCFTemperatureZone[[#Headers],[Temperature zone]],0)</f>
        <v>1.4999999999999999E-2</v>
      </c>
      <c r="K249" s="38" cm="1">
        <f t="array" ref="K249">Common_InputFunctions.Utility_DisplayArrayInTable(Common_SourceData.Common_SourceData_MCFTemperatureZone_Data(),Table_SourceData_Common_MCFTemperatureZone[[#Headers],[Temperature zone]],0)</f>
        <v>0.02</v>
      </c>
      <c r="L249" s="38" cm="1">
        <f t="array" ref="L249">Common_InputFunctions.Utility_DisplayArrayInTable(Common_SourceData.Common_SourceData_MCFTemperatureZone_Data(),Table_SourceData_Common_MCFTemperatureZone[[#Headers],[Temperature zone]],0)</f>
        <v>0.03</v>
      </c>
      <c r="M249" s="38" cm="1">
        <f t="array" ref="M249">Common_InputFunctions.Utility_DisplayArrayInTable(Common_SourceData.Common_SourceData_MCFTemperatureZone_Data(),Table_SourceData_Common_MCFTemperatureZone[[#Headers],[Temperature zone]],0)</f>
        <v>0.04</v>
      </c>
      <c r="N249" s="38" cm="1">
        <f t="array" ref="N249">Common_InputFunctions.Utility_DisplayArrayInTable(Common_SourceData.Common_SourceData_MCFTemperatureZone_Data(),Table_SourceData_Common_MCFTemperatureZone[[#Headers],[Temperature zone]],0)</f>
        <v>1.4999999999999999E-2</v>
      </c>
      <c r="O249" s="38" cm="1">
        <f t="array" ref="O249">Common_InputFunctions.Utility_DisplayArrayInTable(Common_SourceData.Common_SourceData_MCFTemperatureZone_Data(),Table_SourceData_Common_MCFTemperatureZone[[#Headers],[Temperature zone]],0)</f>
        <v>1.4999999999999999E-2</v>
      </c>
      <c r="P249" s="38" cm="1">
        <f t="array" ref="P249">Common_InputFunctions.Utility_DisplayArrayInTable(Common_SourceData.Common_SourceData_MCFTemperatureZone_Data(),Table_SourceData_Common_MCFTemperatureZone[[#Headers],[Temperature zone]],0)</f>
        <v>0</v>
      </c>
      <c r="Q249" s="38" cm="1">
        <f t="array" ref="Q249">Common_InputFunctions.Utility_DisplayArrayInTable(Common_SourceData.Common_SourceData_MCFTemperatureZone_Data(),Table_SourceData_Common_MCFTemperatureZone[[#Headers],[Temperature zone]],0)</f>
        <v>0</v>
      </c>
      <c r="R249" s="38" cm="1">
        <f t="array" ref="R249">Common_InputFunctions.Utility_DisplayArrayInTable(Common_SourceData.Common_SourceData_MCFTemperatureZone_Data(),Table_SourceData_Common_MCFTemperatureZone[[#Headers],[Temperature zone]],0)</f>
        <v>4.7000000000000002E-3</v>
      </c>
      <c r="S249" s="38" cm="1">
        <f t="array" ref="S249">Common_InputFunctions.Utility_DisplayArrayInTable(Common_SourceData.Common_SourceData_MCFTemperatureZone_Data(),Table_SourceData_Common_MCFTemperatureZone[[#Headers],[Temperature zone]],0)</f>
        <v>27</v>
      </c>
    </row>
    <row r="250" spans="4:19" x14ac:dyDescent="0.25" ht="20" customHeight="1">
      <c r="D250" s="1" t="str" cm="1">
        <f t="array" ref="D250">Common_InputFunctions.Utility_DisplayArrayInTable(Common_SourceData.Common_SourceData_MCFTemperatureZone_Data(),Table_SourceData_Common_MCFTemperatureZone[[#Headers],[Temperature zone]],0)</f>
        <v>Warm</v>
      </c>
      <c r="E250" s="38" t="str" cm="1">
        <f t="array" ref="E250">Common_InputFunctions.Utility_DisplayArrayInTable(Common_SourceData.Common_SourceData_MCFTemperatureZone_Data(),Table_SourceData_Common_MCFTemperatureZone[[#Headers],[Temperature zone]],0)</f>
        <v>≥28</v>
      </c>
      <c r="F250" s="38" cm="1">
        <f t="array" ref="F250">Common_InputFunctions.Utility_DisplayArrayInTable(Common_SourceData.Common_SourceData_MCFTemperatureZone_Data(),Table_SourceData_Common_MCFTemperatureZone[[#Headers],[Temperature zone]],0)</f>
        <v>0.8</v>
      </c>
      <c r="G250" s="38" cm="1">
        <f t="array" ref="G250">Common_InputFunctions.Utility_DisplayArrayInTable(Common_SourceData.Common_SourceData_MCFTemperatureZone_Data(),Table_SourceData_Common_MCFTemperatureZone[[#Headers],[Temperature zone]],0)</f>
        <v>0.1</v>
      </c>
      <c r="H250" s="38" cm="1">
        <f t="array" ref="H250">Common_InputFunctions.Utility_DisplayArrayInTable(Common_SourceData.Common_SourceData_MCFTemperatureZone_Data(),Table_SourceData_Common_MCFTemperatureZone[[#Headers],[Temperature zone]],0)</f>
        <v>0.5</v>
      </c>
      <c r="I250" s="38" cm="1">
        <f t="array" ref="I250">Common_InputFunctions.Utility_DisplayArrayInTable(Common_SourceData.Common_SourceData_MCFTemperatureZone_Data(),Table_SourceData_Common_MCFTemperatureZone[[#Headers],[Temperature zone]],0)</f>
        <v>0.01</v>
      </c>
      <c r="J250" s="38" cm="1">
        <f t="array" ref="J250">Common_InputFunctions.Utility_DisplayArrayInTable(Common_SourceData.Common_SourceData_MCFTemperatureZone_Data(),Table_SourceData_Common_MCFTemperatureZone[[#Headers],[Temperature zone]],0)</f>
        <v>1.4999999999999999E-2</v>
      </c>
      <c r="K250" s="38" cm="1">
        <f t="array" ref="K250">Common_InputFunctions.Utility_DisplayArrayInTable(Common_SourceData.Common_SourceData_MCFTemperatureZone_Data(),Table_SourceData_Common_MCFTemperatureZone[[#Headers],[Temperature zone]],0)</f>
        <v>0.02</v>
      </c>
      <c r="L250" s="38" cm="1">
        <f t="array" ref="L250">Common_InputFunctions.Utility_DisplayArrayInTable(Common_SourceData.Common_SourceData_MCFTemperatureZone_Data(),Table_SourceData_Common_MCFTemperatureZone[[#Headers],[Temperature zone]],0)</f>
        <v>0.03</v>
      </c>
      <c r="M250" s="38" cm="1">
        <f t="array" ref="M250">Common_InputFunctions.Utility_DisplayArrayInTable(Common_SourceData.Common_SourceData_MCFTemperatureZone_Data(),Table_SourceData_Common_MCFTemperatureZone[[#Headers],[Temperature zone]],0)</f>
        <v>0.04</v>
      </c>
      <c r="N250" s="38" cm="1">
        <f t="array" ref="N250">Common_InputFunctions.Utility_DisplayArrayInTable(Common_SourceData.Common_SourceData_MCFTemperatureZone_Data(),Table_SourceData_Common_MCFTemperatureZone[[#Headers],[Temperature zone]],0)</f>
        <v>1.4999999999999999E-2</v>
      </c>
      <c r="O250" s="38" cm="1">
        <f t="array" ref="O250">Common_InputFunctions.Utility_DisplayArrayInTable(Common_SourceData.Common_SourceData_MCFTemperatureZone_Data(),Table_SourceData_Common_MCFTemperatureZone[[#Headers],[Temperature zone]],0)</f>
        <v>1.4999999999999999E-2</v>
      </c>
      <c r="P250" s="38" cm="1">
        <f t="array" ref="P250">Common_InputFunctions.Utility_DisplayArrayInTable(Common_SourceData.Common_SourceData_MCFTemperatureZone_Data(),Table_SourceData_Common_MCFTemperatureZone[[#Headers],[Temperature zone]],0)</f>
        <v>0</v>
      </c>
      <c r="Q250" s="38" cm="1">
        <f t="array" ref="Q250">Common_InputFunctions.Utility_DisplayArrayInTable(Common_SourceData.Common_SourceData_MCFTemperatureZone_Data(),Table_SourceData_Common_MCFTemperatureZone[[#Headers],[Temperature zone]],0)</f>
        <v>0</v>
      </c>
      <c r="R250" s="38" cm="1">
        <f t="array" ref="R250">Common_InputFunctions.Utility_DisplayArrayInTable(Common_SourceData.Common_SourceData_MCFTemperatureZone_Data(),Table_SourceData_Common_MCFTemperatureZone[[#Headers],[Temperature zone]],0)</f>
        <v>4.7000000000000002E-3</v>
      </c>
      <c r="S250" s="38" cm="1">
        <f t="array" ref="S250">Common_InputFunctions.Utility_DisplayArrayInTable(Common_SourceData.Common_SourceData_MCFTemperatureZone_Data(),Table_SourceData_Common_MCFTemperatureZone[[#Headers],[Temperature zone]],0)</f>
        <v>28</v>
      </c>
    </row>
    <row r="253" spans="4:19" ht="20" x14ac:dyDescent="0.25" customHeight="1">
      <c r="D253" s="6" t="str" cm="1">
        <f t="array" ref="D253">Common_SourceData.Common_SourceData_EFOrganicFertiliserAndCropResidues_Title()</f>
        <v>Emission factor for organic fertiliser and crop residues returned to the soil</v>
      </c>
    </row>
    <row r="254" spans="4:19" x14ac:dyDescent="0.25" ht="20" customHeight="1">
      <c r="D254" s="5" t="str" cm="1">
        <f t="array" ref="D254">Common_SourceData.Common_SourceData_EFOrganicFertiliserAndCropResidues_Source()</f>
        <v>VEERG 2026: Table A.2.1.4</v>
      </c>
    </row>
    <row r="255" spans="4:19" x14ac:dyDescent="0.25" ht="20" customHeight="1">
      <c r="D255" s="1" t="str" cm="1">
        <f t="array" ref="D255">Common_SourceData.Common_SourceData_EFOrganicFertiliserAndCropResidues_Variable()</f>
        <v>EFNi &amp; EFN2Oi</v>
      </c>
    </row>
    <row r="256" spans="4:19" x14ac:dyDescent="0.25" ht="20" customHeight="1">
      <c r="D256" s="53" t="str" cm="1">
        <f t="array" ref="D256">Common_SourceData.Common_SourceData_EFOrganicFertiliserAndCropResidues_Unit()</f>
        <v>kg N2O - N / kg N</v>
      </c>
    </row>
    <row r="257" spans="4:6" x14ac:dyDescent="0.25" ht="20" customHeight="1">
      <c r="D257" s="38" t="s">
        <v>242</v>
      </c>
      <c r="E257" s="38" t="s">
        <v>243</v>
      </c>
    </row>
    <row r="258" spans="4:6" x14ac:dyDescent="0.25" ht="20" customHeight="1">
      <c r="D258" s="38" t="str" cm="1">
        <f t="array" ref="D258">Common_InputFunctions.Utility_DisplayArrayInTable(Common_SourceData.Common_SourceData_EFOrganicFertiliserAndCropResidues_Data(), Table_SourceData_Common_EFOrganicFertCropResidues[[#Headers],[Climate Zone]], 0)</f>
        <v>Wet climate zone</v>
      </c>
      <c r="E258" s="38" cm="1">
        <f t="array" ref="E258">Common_InputFunctions.Utility_DisplayArrayInTable(Common_SourceData.Common_SourceData_EFOrganicFertiliserAndCropResidues_Data(), Table_SourceData_Common_EFOrganicFertCropResidues[[#Headers],[Climate Zone]], 0)</f>
        <v>6.0000000000000001E-3</v>
      </c>
    </row>
    <row r="259" spans="4:6" x14ac:dyDescent="0.25" ht="20" customHeight="1">
      <c r="D259" s="1" t="str" cm="1">
        <f t="array" ref="D259">Common_InputFunctions.Utility_DisplayArrayInTable(Common_SourceData.Common_SourceData_EFOrganicFertiliserAndCropResidues_Data(), Table_SourceData_Common_EFOrganicFertCropResidues[[#Headers],[Climate Zone]], 0)</f>
        <v>Dry climate zone</v>
      </c>
      <c r="E259" s="38" cm="1">
        <f t="array" ref="E259">Common_InputFunctions.Utility_DisplayArrayInTable(Common_SourceData.Common_SourceData_EFOrganicFertiliserAndCropResidues_Data(), Table_SourceData_Common_EFOrganicFertCropResidues[[#Headers],[Climate Zone]], 0)</f>
        <v>5.0000000000000001E-3</v>
      </c>
    </row>
    <row r="263" spans="4:6" ht="20" x14ac:dyDescent="0.25" customHeight="1">
      <c r="D263" s="6" t="s">
        <v>245</v>
      </c>
    </row>
    <row r="264" spans="4:6" x14ac:dyDescent="0.25" ht="20" customHeight="1">
      <c r="D264" s="1" t="s">
        <v>246</v>
      </c>
    </row>
    <row r="265" spans="4:6" x14ac:dyDescent="0.25" ht="20" customHeight="1">
      <c r="D265" s="38" t="s">
        <v>247</v>
      </c>
      <c r="E265" s="38" t="s">
        <v>248</v>
      </c>
      <c r="F265" s="38" t="s">
        <v>249</v>
      </c>
    </row>
    <row r="266" spans="4:6" x14ac:dyDescent="0.25" ht="20" customHeight="1">
      <c r="D266" s="38" t="s">
        <v>250</v>
      </c>
      <c r="E266" s="38" t="s">
        <v>251</v>
      </c>
      <c r="F266" s="38">
        <v>5</v>
      </c>
    </row>
    <row r="267" spans="4:6" x14ac:dyDescent="0.25" ht="20" customHeight="1">
      <c r="D267" s="38" t="s">
        <v>252</v>
      </c>
      <c r="E267" s="38" t="s">
        <v>253</v>
      </c>
      <c r="F267" s="38">
        <v>4</v>
      </c>
    </row>
    <row r="268" spans="4:6" x14ac:dyDescent="0.25" ht="20" customHeight="1">
      <c r="D268" s="38" t="s">
        <v>254</v>
      </c>
      <c r="E268" s="38" t="s">
        <v>255</v>
      </c>
      <c r="F268" s="38">
        <v>3</v>
      </c>
    </row>
    <row r="269" spans="4:6" x14ac:dyDescent="0.25" ht="20" customHeight="1">
      <c r="D269" s="38" t="s">
        <v>256</v>
      </c>
      <c r="E269" s="38" t="s">
        <v>257</v>
      </c>
      <c r="F269" s="38">
        <v>2</v>
      </c>
    </row>
    <row r="270" spans="4:6" x14ac:dyDescent="0.25" ht="20" customHeight="1">
      <c r="D270" s="38" t="s">
        <v>258</v>
      </c>
      <c r="E270" s="38" t="s">
        <v>259</v>
      </c>
      <c r="F270" s="38">
        <v>1</v>
      </c>
    </row>
    <row r="273" spans="4:6" x14ac:dyDescent="0.25" ht="20" customHeight="1">
      <c r="D273" s="1" t="s">
        <v>260</v>
      </c>
    </row>
    <row r="274" spans="4:6" x14ac:dyDescent="0.25" ht="20" customHeight="1">
      <c r="D274" s="38" t="s">
        <v>247</v>
      </c>
      <c r="E274" s="38" t="s">
        <v>248</v>
      </c>
      <c r="F274" s="38" t="s">
        <v>249</v>
      </c>
    </row>
    <row r="275" spans="4:6" x14ac:dyDescent="0.25" ht="20" customHeight="1">
      <c r="D275" s="38" t="s">
        <v>261</v>
      </c>
      <c r="E275" s="38" t="s">
        <v>262</v>
      </c>
      <c r="F275" s="38">
        <v>5</v>
      </c>
    </row>
    <row r="276" spans="4:6" x14ac:dyDescent="0.25" ht="20" customHeight="1">
      <c r="D276" s="38" t="s">
        <v>263</v>
      </c>
      <c r="E276" s="38" t="s">
        <v>264</v>
      </c>
      <c r="F276" s="38">
        <v>4</v>
      </c>
    </row>
    <row r="277" spans="4:6" x14ac:dyDescent="0.25" ht="20" customHeight="1">
      <c r="D277" s="38" t="s">
        <v>265</v>
      </c>
      <c r="E277" s="38" t="s">
        <v>266</v>
      </c>
      <c r="F277" s="38">
        <v>3</v>
      </c>
    </row>
    <row r="278" spans="4:6" x14ac:dyDescent="0.25" ht="20" customHeight="1">
      <c r="D278" s="38" t="s">
        <v>267</v>
      </c>
      <c r="E278" s="38" t="s">
        <v>268</v>
      </c>
      <c r="F278" s="38">
        <v>2</v>
      </c>
    </row>
    <row r="279" spans="4:6" x14ac:dyDescent="0.25" ht="20" customHeight="1">
      <c r="D279" s="38" t="s">
        <v>269</v>
      </c>
      <c r="E279" s="38" t="s">
        <v>270</v>
      </c>
      <c r="F279" s="38">
        <v>1</v>
      </c>
    </row>
    <row r="282" spans="4:6" x14ac:dyDescent="0.25" ht="20" customHeight="1">
      <c r="D282" s="1" t="s">
        <v>271</v>
      </c>
    </row>
    <row r="283" spans="4:6" x14ac:dyDescent="0.25" ht="20" customHeight="1">
      <c r="D283" s="38" t="s">
        <v>247</v>
      </c>
      <c r="E283" s="38" t="s">
        <v>248</v>
      </c>
      <c r="F283" s="38" t="s">
        <v>249</v>
      </c>
    </row>
    <row r="284" spans="4:6" x14ac:dyDescent="0.25" ht="20" customHeight="1">
      <c r="D284" s="38" t="s">
        <v>272</v>
      </c>
      <c r="E284" s="38" t="s">
        <v>273</v>
      </c>
      <c r="F284" s="38">
        <v>5</v>
      </c>
    </row>
    <row r="285" spans="4:6" x14ac:dyDescent="0.25" ht="20" customHeight="1">
      <c r="D285" s="38" t="s">
        <v>274</v>
      </c>
      <c r="E285" s="38" t="s">
        <v>275</v>
      </c>
      <c r="F285" s="38">
        <v>4</v>
      </c>
    </row>
    <row r="286" spans="4:6" x14ac:dyDescent="0.25" ht="20" customHeight="1">
      <c r="D286" s="38" t="s">
        <v>276</v>
      </c>
      <c r="E286" s="38" t="s">
        <v>277</v>
      </c>
      <c r="F286" s="38">
        <v>3</v>
      </c>
    </row>
    <row r="287" spans="4:6" x14ac:dyDescent="0.25" ht="20" customHeight="1">
      <c r="D287" s="38" t="s">
        <v>278</v>
      </c>
      <c r="E287" s="38" t="s">
        <v>279</v>
      </c>
      <c r="F287" s="38">
        <v>2</v>
      </c>
    </row>
    <row r="288" spans="4:6" x14ac:dyDescent="0.25" ht="20" customHeight="1">
      <c r="D288" s="38" t="s">
        <v>280</v>
      </c>
      <c r="E288" s="38" t="s">
        <v>281</v>
      </c>
      <c r="F288" s="38">
        <v>1</v>
      </c>
    </row>
    <row r="291" spans="4:6" x14ac:dyDescent="0.25" ht="20" customHeight="1">
      <c r="D291" s="1" t="s">
        <v>282</v>
      </c>
    </row>
    <row r="292" spans="4:6" x14ac:dyDescent="0.25" ht="20" customHeight="1">
      <c r="D292" s="38" t="s">
        <v>247</v>
      </c>
      <c r="E292" s="38" t="s">
        <v>248</v>
      </c>
      <c r="F292" s="38" t="s">
        <v>249</v>
      </c>
    </row>
    <row r="293" spans="4:6" x14ac:dyDescent="0.25" ht="20" customHeight="1">
      <c r="D293" s="38" t="s">
        <v>283</v>
      </c>
      <c r="E293" s="38" t="s">
        <v>284</v>
      </c>
      <c r="F293" s="38">
        <v>5</v>
      </c>
    </row>
    <row r="294" spans="4:6" x14ac:dyDescent="0.25" ht="20" customHeight="1">
      <c r="D294" s="38" t="s">
        <v>285</v>
      </c>
      <c r="E294" s="38" t="s">
        <v>286</v>
      </c>
      <c r="F294" s="38">
        <v>4</v>
      </c>
    </row>
    <row r="295" spans="4:6" x14ac:dyDescent="0.25" ht="20" customHeight="1">
      <c r="D295" s="38" t="s">
        <v>287</v>
      </c>
      <c r="E295" s="38" t="s">
        <v>288</v>
      </c>
      <c r="F295" s="38">
        <v>3</v>
      </c>
    </row>
    <row r="296" spans="4:6" x14ac:dyDescent="0.25" ht="20" customHeight="1">
      <c r="D296" s="38" t="s">
        <v>289</v>
      </c>
      <c r="E296" s="38" t="s">
        <v>290</v>
      </c>
      <c r="F296" s="38">
        <v>2</v>
      </c>
    </row>
    <row r="297" spans="4:6" x14ac:dyDescent="0.25" ht="20" customHeight="1">
      <c r="D297" s="38" t="s">
        <v>291</v>
      </c>
      <c r="E297" s="38" t="s">
        <v>292</v>
      </c>
      <c r="F297" s="38">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sheetPr>
    <tabColor theme="2" tint="-0.499984740745262"/>
  </sheetPr>
  <dimension ref="A1:A8"/>
  <sheetViews>
    <sheetView zoomScaleNormal="100" workbookViewId="0">
      <selection activeCell="A24" sqref="A24"/>
    </sheetView>
  </sheetViews>
  <sheetFormatPr defaultRowHeight="20" x14ac:dyDescent="0.25" customHeight="1"/>
  <sheetData>
    <row r="1" spans="1:1" x14ac:dyDescent="0.25" ht="30" customHeight="1">
      <c r="A1" t="s">
        <v>293</v>
      </c>
    </row>
    <row r="3" spans="1:1" ht="20" x14ac:dyDescent="0.25" customHeight="1">
      <c r="A3" s="17" t="str">
        <f>HYPERLINK("#'Home'!A1", "Home")</f>
        <v>Home</v>
      </c>
    </row>
    <row r="6" spans="1:1" x14ac:dyDescent="0.25" ht="20" customHeight="1">
      <c r="A6" s="124" t="s">
        <v>1</v>
      </c>
    </row>
    <row r="7" spans="1:1" ht="20" x14ac:dyDescent="0.25" customHeight="1">
      <c r="A7" s="17" t="str">
        <f>HYPERLINK("#'Constants - Common'!A1", "Constants - Common")</f>
        <v>Constants - Common</v>
      </c>
    </row>
    <row r="8" spans="1:1" ht="20" x14ac:dyDescent="0.25" customHeight="1">
      <c r="A8" s="64" t="str">
        <f>HYPERLINK("#'Acknowledgements'!A1", "Acknowledgements")</f>
        <v>Acknowledgements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M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Q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x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8AdABoAGUAcgBMAGkAdgBlAHMAdABvAGMAawAiACwAIgB0AGUAeAB0ACIAOgAiAFwAbgAvACoAIABcAG4ALQAtAC0ALQAtAC0ALQAtAC0ALQAtAC0ALQAtAC0ALQAtAC0ALQAtAC0ALQAtAC0ALQAtAC0ALQAtAC0ALQAtAC0ALQAtAC0ALQAtAFwAbgBTAG8AdQByAGMAZQBEAGEAdABhAF8ATwB0AGgAZQByAEwAaQB2AGUAcwB0AG8AYwBrAF8ARQBuAHQAZQByAGkAYwBGAGUAcgBtAGUAbgB0AGEAdABpAG8AbgBFAG0AaQBzAHMAaQBvAG4ARgBhAGMAdABvAHIAXABuAFQAYQBiAGwAZQAgAEEALgAxAC4ANQAuADEAOgAgAE8AdABoAGUAcgAgAEwAaQB2AGUAcwB0AG8AYwBrACAALQAgAEUAbgB0AGUAcgBpAGMAIABmAGUAcgBtAGUAbgB0AGEAdABpAG8AbgAgAGUAbQBpAHMAcwBpAG8AbgAgAGYAYQBjAHQAbwByACAAZgBvAHIAIABlAGEAYwBoACAAbwB0AGgAZQByACAAbABpAHYAZQBzAHQAbwBjAGsAIAB0AHkAcABlACAAKABrAGcAIABDAEgANAAvAGgAZQBhAGQALwB5AGUAYQByACkAIAAoAE0AagApAFwAbgAtAC0ALQAtAC0ALQAtAC0ALQAtAC0ALQAtAC0ALQAtAC0ALQAtAC0ALQAtAC0ALQAtAC0ALQAtAC0ALQAtAC0ALQAtAC0ALQAtAC0AXABuACoALwBcAG4AXABuAFMAbwB1AHIAYwBlAEQAYQB0AGEAXwBPAHQAaABlAHIATABpAHYAZQBzAHQAbwBjAGsAXwBFAG4AdABlAHIAaQBjAEYAZQByAG0AZQBuAHQAYQB0AGkAbwBuAEUAbQBpAHMAcwBpAG8AbgBGAGEAYwB0AG8AcgBfAFQAaQB0AGwAZQBcAG4AIAAgAD0ATABBAE0AQgBEAEEAKABcACIATwB0AGgAZQByACAATABpAHYAZQBzAHQAbwBjAGsAIAAtACAARQBuAHQAZQByAGkAYwAgAGYAZQByAG0AZQBuAHQAYQB0AGkAbwBuACAAZQBtAGkAcwBzAGkAbwBuACAAZgBhAGMAdABvAHIAIABmAG8AcgAgAGUAYQBjAGgAIABvAHQAaABlAHIAIABsAGkAdgBlAHMAdABvAGMAawAgAHQAeQBwAGUAXAAiACkAOwBcAG4AXABuAFMAbwB1AHIAYwBlAEQAYQB0AGEAXwBPAHQAaABlAHIATABpAHYAZQBzAHQAbwBjAGsAXwBFAG4AdABlAHIAaQBjAEYAZQByAG0AZQBuAHQAYQB0AGkAbwBuAEUAbQBpAHMAcwBpAG8AbgBGAGEAYwB0AG8AcgBfAFYAYQByAGkAYQBiAGwAZQBcAG4AIAAgAD0ATABBAE0AQgBEAEEAKABcACIATQBqAFwAIgApADsAXABuAFwAbgBTAG8AdQByAGMAZQBEAGEAdABhAF8ATwB0AGgAZQByAEwAaQB2AGUAcwB0AG8AYwBrAF8ARQBuAHQAZQByAGkAYwBGAGUAcgBtAGUAbgB0AGEAdABpAG8AbgBFAG0AaQBzAHMAaQBvAG4ARgBhAGMAdABvAHIAXwBVAG4AaQB0AFwAbgAgACAAPQBMAEEATQBCAEQAQQAoAFwAIgBrAGcAIABDAEgANAAgAC8AIABoAGUAYQBkACAALwAgAHkAZQBhAHIAXAAiACkAOwBcAG4AXABuAFMAbwB1AHIAYwBlAEQAYQB0AGEAXwBPAHQAaABlAHIATABpAHYAZQBzAHQAbwBjAGsAXwBFAG4AdABlAHIAaQBjAEYAZQByAG0AZQBuAHQAYQB0AGkAbwBuAEUAbQBpAHMAcwBpAG8AbgBGAGEAYwB0AG8AcgBfAFMAbwB1AHIAYwBlAFwAbgAgACAAPQBMAEEATQBCAEQAQQAoAFwAIgBWAEUARQBSAEcAIAAyADAAMgA2ADoAIABUAGEAYgBsAGUAIABBAC4AMQAuADUALgAxAFwAIgApADsAXABuAFwAbgBTAG8AdQByAGMAZQBEAGEAdABhAF8ATwB0AGgAZQByAEwAaQB2AGUAcwB0AG8AYwBrAF8ARQBuAHQAZQByAGkAYwBGAGUAcgBtAGUAbgB0AGEAdABpAG8AbgBFAG0AaQBzAHMAaQBvAG4ARgBhAGMAdABvAHIAXwBWAGEAcgBpAGEAdABpAG8AbgBcAG4AIAAgAD0ATABBAE0AQgBEAEEAKABcACIAXAAiACkAOwBcAG4AXABuAFMAbwB1AHIAYwBlAEQAYQB0AGEAXwBPAHQAaABlAHIATABpAHYAZQBzAHQAbwBjAGsAXwBFAG4AdABlAHIAaQBjAEYAZQByAG0AZQBuAHQAYQB0AGkAbwBuAEUAbQBpAHMAcwBpAG8AbgBGAGEAYwB0AG8AcgBfAEQAYQB0AGEAXABuACAAIAA9AEwAQQBNAEIARABBACgAXABuACAAIAAgACAATQBBAEsARQBBAFIAUgBBAFkAKAA5ACwAIAAyACwAXABuACAAIAAgACAAIAAgAEwAQQBNAEIARABBACgAcgAsAGMALABcAG4AIAAgACAAIAAgACAAIAAgAEkATgBEAEUAWAAoAHsAXABuACAAIAAgACAAIAAgACAAIAAgACAAXAAiAE8AdABoAGUAcgAgAEwAaQB2AGUAcwB0AG8AYwBrACAAVAB5AHAAZQBcACIALAAgAFwAIgBNAGoAXAAiADsAXABuACAAIAAgACAAIAAgACAAIAAgACAAXAAiAEIAdQBmAGYAYQBsAG8AXAAiACwAIAA2ADgAOwBcAG4AIAAgACAAIAAgACAAIAAgACAAIABcACIARwBvAGEAdABzAFwAIgAsACAANQA7AFwAbgAgACAAIAAgACAAIAAgACAAIAAgAFwAIgBEAGUAZQByAFwAIgAsACAAMgAwADsAXABuACAAIAAgACAAIAAgACAAIAAgACAAXAAiAEMAYQBtAGUAbABzAFwAIgAsACAANAA2ADsAXABuACAAIAAgACAAIAAgACAAIAAgACAAXAAiAEEAbABwAGEAYwBhAHMAXAAiACwAIAA4ADsAXABuACAAIAAgACAAIAAgACAAIAAgACAAXAAiAEgAbwByAHMAZQBzAFwAIgAsACAAMQA4ADsAXABuACAAIAAgACAAIAAgACAAIAAgACAAXAAiAE0AdQBsAGUAcwAvAGEAcwBzAGUAcwBcACIALAAgADEAMAA7AFwAbgAgACAAIAAgACAAIAAgACAAIAAgAFwAIgBFAG0AdQBzAC8AbwBzAHQAcgBpAGMAaABlAHMAXAAiACwAIAA1AFwAbgAgACAAIAAgACAAIAAgACAAfQAsACAAcgAsACAAYwApAFwAbgAgACAAIAAgACAAIAApAFwAbgAgACAAIAAgACkAXABuACAAIAApADsAXABuAFwAbgBcAG4ALwAqACAAXABuAC0ALQAtAC0ALQAtAC0ALQAtAC0ALQAtAC0ALQAtAC0ALQAtAC0ALQAtAC0ALQAtAC0ALQAtAC0ALQAtAC0ALQAtAC0ALQAtAC0ALQBcAG4AUwBvAHUAcgBjAGUARABhAHQAYQBfAE8AdABoAGUAcgBMAGkAdgBlAHMAdABvAGMAawBfAFYAbwBsAGEAdABpAGwAZQBTAG8AbABpAGQAcwBQAHIAbwBkAHUAYwBlAGQAXABuAFQAYQBiAGwAZQAgAEEALgAxAC4ANQAuADIAOgAgAE8AdABoAGUAcgAgAEwAaQB2AGUAcwB0AG8AYwBrACAALQAgAFYAbwBsAGEAdABpAGwAZQAgAHMAbwBsAGkAZABzACAAcAByAG8AZAB1AGMAZQBkACAAYgB5ACAAZQBhAGMAaAAgAG8AdABoAGUAcgAgAGwAaQB2AGUAcwB0AG8AYwBrACAAdAB5AHAAZQAgACgAawBnACAAVgBTAC8AaABlAGEAZAAvAGQAYQB5ACkAIAAoAFYAUwBqACkAXABuAC0ALQAtAC0ALQAtAC0ALQAtAC0ALQAtAC0ALQAtAC0ALQAtAC0ALQAtAC0ALQAtAC0ALQAtAC0ALQAtAC0ALQAtAC0ALQAtAC0ALQBcAG4AKgAvAFwAbgBcAG4AUwBvAHUAcgBjAGUARABhAHQAYQBfAE8AdABoAGUAcgBMAGkAdgBlAHMAdABvAGMAawBfAFYAbwBsAGEAdABpAGwAZQBTAG8AbABpAGQAcwBQAHIAbwBkAHUAYwBlAGQAXwBUAGkAdABsAGUAXABuACAAIAA9AEwAQQBNAEIARABBACgAXAAiAE8AdABoAGUAcgAgAEwAaQB2AGUAcwB0AG8AYwBrACAALQAgAFYAbwBsAGEAdABpAGwAZQAgAHMAbwBsAGkAZABzACAAcAByAG8AZAB1AGMAZQBkACAAYgB5ACAAZQBhAGMAaAAgAG8AdABoAGUAcgAgAGwAaQB2AGUAcwB0AG8AYwBrACAAdAB5AHAAZQBcACIAKQA7AFwAbgBcAG4AUwBvAHUAcgBjAGUARABhAHQAYQBfAE8AdABoAGUAcgBMAGkAdgBlAHMAdABvAGMAawBfAFYAbwBsAGEAdABpAGwAZQBTAG8AbABpAGQAcwBQAHIAbwBkAHUAYwBlAGQAXwBWAGEAcgBpAGEAYgBsAGUAXABuACAAIAA9AEwAQQBNAEIARABBACgAXAAiAFYAUwBqAFwAIgApADsAXABuAFwAbgBTAG8AdQByAGMAZQBEAGEAdABhAF8ATwB0AGgAZQByAEwAaQB2AGUAcwB0AG8AYwBrAF8AVgBvAGwAYQB0AGkAbABlAFMAbwBsAGkAZABzAFAAcgBvAGQAdQBjAGUAZABfAFUAbgBpAHQAXABuACAAIAA9AEwAQQBNAEIARABBACgAXAAiAGsAZwAgAFYAUwAgAC8AIABoAGUAYQBkACAALwAgAGQAYQB5AFwAIgApADsAXABuAFwAbgBTAG8AdQByAGMAZQBEAGEAdABhAF8ATwB0AGgAZQByAEwAaQB2AGUAcwB0AG8AYwBrAF8AVgBvAGwAYQB0AGkAbABlAFMAbwBsAGkAZABzAFAAcgBvAGQAdQBjAGUAZABfAFMAbwB1AHIAYwBlAFwAbgAgACAAPQBMAEEATQBCAEQAQQAoAFwAIgBWAEUARQBSAEcAIAAyADAAMgA2ADoAIABUAGEAYgBsAGUAIABBAC4AMQAuADUALgAyAFwAIgApADsAXABuAFwAbgBTAG8AdQByAGMAZQBEAGEAdABhAF8ATwB0AGgAZQByAEwAaQB2AGUAcwB0AG8AYwBrAF8AVgBvAGwAYQB0AGkAbABlAFMAbwBsAGkAZABzAFAAcgBvAGQAdQBjAGUAZABfAFYAYQByAGkAYQB0AGkAbwBuAFwAbgAgACAAPQBMAEEATQBCAEQAQQAoAFwAIgBcACIAKQA7AFwAbgBcAG4AUwBvAHUAcgBjAGUARABhAHQAYQBfAE8AdABoAGUAcgBMAGkAdgBlAHMAdABvAGMAawBfAFYAbwBsAGEAdABpAGwAZQBTAG8AbABpAGQAcwBQAHIAbwBkAHUAYwBlAGQAXwBEAGEAdABhAFwAbgAgACAAPQBMAEEATQBCAEQAQQAoAFwAbgAgACAAIAAgAE0AQQBLAEUAQQBSAFIAQQBZACgAOQAsACAAMgAsAFwAbgAgACAAIAAgACAAIABMAEEATQBCAEQAQQAoAHIALABjACwAXABuACAAIAAgACAAIAAgACAAIABJAE4ARABFAFgAKAB7AFwAbgAgACAAIAAgACAAIAAgACAAIAAgAFwAIgBPAHQAaABlAHIAIABMAGkAdgBlAHMAdABvAGMAawAgAFQAeQBwAGUAXAAiACwAIABcACIAVgBTAGoAXAAiADsAXABuACAAIAAgACAAIAAgACAAIAAgACAAXAAiAEIAdQBmAGYAYQBsAG8AXAAiACwAIAAyAC4ANwAzADsAXABuACAAIAAgACAAIAAgACAAIAAgACAAXAAiAEcAbwBhAHQAcwBcACIALAAgADAALgAzADQAOwBcAG4AIAAgACAAIAAgACAAIAAgACAAIABcACIARABlAGUAcgBcACIALAAgADAALgA5ADEAOwBcAG4AIAAgACAAIAAgACAAIAAgACAAIABcACIAQwBhAG0AZQBsAHMAXAAiACwAIAAyAC4ANwAzADsAXABuACAAIAAgACAAIAAgACAAIAAgACAAXAAiAEEAbABwAGEAYwBhAHMAXAAiACwAIAAwAC4AMwA0ADsAXABuACAAIAAgACAAIAAgACAAIAAgACAAXAAiAEgAbwByAHMAZQBzAFwAIgAsACAAMgAuADcAMwA7AFwAbgAgACAAIAAgACAAIAAgACAAIAAgAFwAIgBNAHUAbABlAHMALwBhAHMAcwBlAHMAXAAiACwAIAAwAC4AOQAxADsAXABuACAAIAAgACAAIAAgACAAIAAgACAAXAAiAEUAbQB1AHMALwBvAHMAdAByAGkAYwBoAGUAcwBcACIALAAgADAALgAzADQAXABuACAAIAAgACAAIAAgACAAIAB9ACwAIAByACwAIABjACkAXABuACAAIAAgACAAIAAgACkAXABuACAAIAAgACAAKQBcAG4AIAAgACkAOwBcAG4AXABuAFwAbgAvACoAIABcAG4ALQAtAC0ALQAtAC0ALQAtAC0ALQAtAC0ALQAtAC0ALQAtAC0ALQAtAC0ALQAtAC0ALQAtAC0ALQAtAC0ALQAtAC0ALQAtAC0ALQAtAFwAbgBTAG8AdQByAGMAZQBEAGEAdABhAF8ATwB0AGgAZQByAEwAaQB2AGUAcwB0AG8AYwBrAF8ATgBpAHQAcgBvAGcAZQBuAEUAeABjAHIAZQB0AGUAZABcAG4AVABhAGIAbABlACAAQQAuADEALgA1AC4AMwA6ACAATwB0AGgAZQByACAATABpAHYAZQBzAHQAbwBjAGsAIAAtACAATgBpAHQAcgBvAGcAZQBuACAAZQB4AGMAcgBlAHQAZQBkACAAcABlAHIAIABsAGkAdgBlAHMAdABvAGMAawAgAHQAeQBwAGUAIAAoAGsAZwAgAE4AMgBPAC8AaABlAGEAZAAvAHkAZQBhAHIAKQAgACgATgBFAGoAKQBcAG4ALQAtAC0ALQAtAC0ALQAtAC0ALQAtAC0ALQAtAC0ALQAtAC0ALQAtAC0ALQAtAC0ALQAtAC0ALQAtAC0ALQAtAC0ALQAtAC0ALQAtAFwAbgAqAC8AXABuAFwAbgBTAG8AdQByAGMAZQBEAGEAdABhAF8ATwB0AGgAZQByAEwAaQB2AGUAcwB0AG8AYwBrAF8ATgBpAHQAcgBvAGcAZQBuAEUAeABjAHIAZQB0AGUAZABfAFQAaQB0AGwAZQBcAG4AIAAgAD0ATABBAE0AQgBEAEEAKABcACIATwB0AGgAZQByACAATABpAHYAZQBzAHQAbwBjAGsAIAAtACAATgBpAHQAcgBvAGcAZQBuACAAZQB4AGMAcgBlAHQAZQBkACAAcABlAHIAIABsAGkAdgBlAHMAdABvAGMAawAgAHQAeQBwAGUAXAAiACkAOwBcAG4AXABuAFMAbwB1AHIAYwBlAEQAYQB0AGEAXwBPAHQAaABlAHIATABpAHYAZQBzAHQAbwBjAGsAXwBOAGkAdAByAG8AZwBlAG4ARQB4AGMAcgBlAHQAZQBkAF8AVgBhAHIAaQBhAGIAbABlAFwAbgAgACAAPQBMAEEATQBCAEQAQQAoAFwAIgBOAEUAagBcACIAKQA7AFwAbgBcAG4AUwBvAHUAcgBjAGUARABhAHQAYQBfAE8AdABoAGUAcgBMAGkAdgBlAHMAdABvAGMAawBfAE4AaQB0AHIAbwBnAGUAbgBFAHgAYwByAGUAdABlAGQAXwBVAG4AaQB0AFwAbgAgACAAPQBMAEEATQBCAEQAQQAoAFwAIgBrAGcAIABOADIATwAgAC8AIABoAGUAYQBkACAALwAgAHkAZQBhAHIAXAAiACkAOwBcAG4AXABuAFMAbwB1AHIAYwBlAEQAYQB0AGEAXwBPAHQAaABlAHIATABpAHYAZQBzAHQAbwBjAGsAXwBOAGkAdAByAG8AZwBlAG4ARQB4AGMAcgBlAHQAZQBkAF8AUwBvAHUAcgBjAGUAXABuACAAIAA9AEwAQQBNAEIARABBACgAXAAiAFYARQBFAFIARwAgADIAMAAyADYAOgAgAFQAYQBiAGwAZQAgAEEALgAxAC4ANQAuADMAXAAiACkAOwBcAG4AXABuAFMAbwB1AHIAYwBlAEQAYQB0AGEAXwBPAHQAaABlAHIATABpAHYAZQBzAHQAbwBjAGsAXwBOAGkAdAByAG8AZwBlAG4ARQB4AGMAcgBlAHQAZQBkAF8AVgBhAHIAaQBhAHQAaQBvAG4AXABuACAAIAA9AEwAQQBNAEIARABBACgAXAAiAFwAIgApADsAXABuAFwAbgBTAG8AdQByAGMAZQBEAGEAdABhAF8ATwB0AGgAZQByAEwAaQB2AGUAcwB0AG8AYwBrAF8ATgBpAHQAcgBvAGcAZQBuAEUAeABjAHIAZQB0AGUAZABfAEQAYQB0AGEAXABuACAAIAA9AEwAQQBNAEIARABBACgAXABuACAAIAAgACAATQBBAEsARQBBAFIAUgBBAFkAKAA5ACwAIAAyACwAXABuACAAIAAgACAAIAAgAEwAQQBNAEIARABBACgAcgAsAGMALABcAG4AIAAgACAAIAAgACAAIAAgAEkATgBEAEUAWAAoAHsAXABuACAAIAAgACAAIAAgACAAIAAgACAAXAAiAE8AdABoAGUAcgAgAEwAaQB2AGUAcwB0AG8AYwBrACAAVAB5AHAAZQBcACIALAAgAFwAIgBOAEUAagBcACIAOwBcAG4AIAAgACAAIAAgACAAIAAgACAAIABcACIAQgB1AGYAZgBhAGwAbwBcACIALAAgADMAOQAuADUAOwBcAG4AIAAgACAAIAAgACAAIAAgACAAIABcACIARwBvAGEAdABzAFwAIgAsACAANwAuADAAOwBcAG4AIAAgACAAIAAgACAAIAAgACAAIABcACIARABlAGUAcgBcACIALAAgADEAMwAuADIAOwBcAG4AIAAgACAAIAAgACAAIAAgACAAIABcACIAQwBhAG0AZQBsAHMAXAAiACwAIAAzADkALgA1ADsAXABuACAAIAAgACAAIAAgACAAIAAgACAAXAAiAEEAbABwAGEAYwBhAHMAXAAiACwAIAA3AC4AMAA7AFwAbgAgACAAIAAgACAAIAAgACAAIAAgAFwAIgBIAG8AcgBzAGUAcwBcACIALAAgADMAOQAuADUAOwBcAG4AIAAgACAAIAAgACAAIAAgACAAIABcACIATQB1AGwAZQBzAC8AYQBzAHMAZQBzAFwAIgAsACAAMQAzAC4AMgA7AFwAbgAgACAAIAAgACAAIAAgACAAIAAgAFwAIgBFAG0AdQBzAC8AbwBzAHQAcgBpAGMAaABlAHMAXAAiACwAIAA3AC4AMABcAG4AIAAgACAAIAAgACAAIAAgAH0ALAAgAHIALAAgAGMAKQBcAG4AIAAgACAAIAAgACAAKQBcAG4AIAAgACAAIAApAFwAbgAgACAAKQA7AFwAbgBcAG4AXABuAC8AKgAgAFwAbgAtAC0ALQAtAC0ALQAtAC0ALQAtAC0ALQAtAC0ALQAtAC0ALQAtAC0ALQAtAC0ALQAtAC0ALQAtAC0ALQAtAC0ALQAtAC0ALQAtAC0AXABuAFMAbwB1AHIAYwBlAEQAYQB0AGEAXwBPAHQAaABlAHIATABpAHYAZQBzAHQAbwBjAGsAXwBBAHYAZQByAGEAZwBlAEwAaQB2AGUAdwBlAGkAZwBoAHQAXABuAFQAYQBiAGwAZQAgAEEALgAxAC4ANQAuADQAOgAgAE8AdABoAGUAcgAgAEwAaQB2AGUAcwB0AG8AYwBrACAALQAgAEEAdgBlAHIAYQBnAGUAIABMAGkAdgBlAHcAZQBpAGcAaAB0AHMAIAAoAFcAYwBvACkAIAAoAGsAZwApACAAXABuAC0ALQAtAC0ALQAtAC0ALQAtAC0ALQAtAC0ALQAtAC0ALQAtAC0ALQAtAC0ALQAtAC0ALQAtAC0ALQAtAC0ALQAtAC0ALQAtAC0ALQBcAG4AKgAvAFwAbgBcAG4AUwBvAHUAcgBjAGUARABhAHQAYQBfAE8AdABoAGUAcgBMAGkAdgBlAHMAdABvAGMAawBfAEEAdgBlAHIAYQBnAGUATABpAHYAZQB3AGUAaQBnAGgAdABfAFQAaQB0AGwAZQBcAG4AIAAgAD0ATABBAE0AQgBEAEEAKABcACIATwB0AGgAZQByACAATABpAHYAZQBzAHQAbwBjAGsAIAAtACAAQQB2AGUAcgBhAGcAZQAgAEwAaQB2AGUAdwBlAGkAZwBoAHQAcwBcACIAKQA7AFwAbgBcAG4AUwBvAHUAcgBjAGUARABhAHQAYQBfAE8AdABoAGUAcgBMAGkAdgBlAHMAdABvAGMAawBfAEEAdgBlAHIAYQBnAGUATABpAHYAZQB3AGUAaQBnAGgAdABfAFYAYQByAGkAYQBiAGwAZQBcAG4AIAAgAD0ATABBAE0AQgBEAEEAKABcACIAVwBjAG8AXAAiACkAOwBcAG4AXABuAFMAbwB1AHIAYwBlAEQAYQB0AGEAXwBPAHQAaABlAHIATABpAHYAZQBzAHQAbwBjAGsAXwBBAHYAZQByAGEAZwBlAEwAaQB2AGUAdwBlAGkAZwBoAHQAXwBVAG4AaQB0AFwAbgAgACAAPQBMAEEATQBCAEQAQQAoAFwAIgBrAGcAXAAiACkAOwBcAG4AXABuAFMAbwB1AHIAYwBlAEQAYQB0AGEAXwBPAHQAaABlAHIATABpAHYAZQBzAHQAbwBjAGsAXwBBAHYAZQByAGEAZwBlAEwAaQB2AGUAdwBlAGkAZwBoAHQAXwBTAG8AdQByAGMAZQBcAG4AIAAgAD0ATABBAE0AQgBEAEEAKABcACIAVgBFAEUAUgBHACAAMgAwADIANgA6ACAAVABhAGIAbABlACAAQQAuADEALgA1AC4ANABcACIAKQA7AFwAbgBcAG4AUwBvAHUAcgBjAGUARABhAHQAYQBfAE8AdABoAGUAcgBMAGkAdgBlAHMAdABvAGMAawBfAEEAdgBlAHIAYQBnAGUATABpAHYAZQB3AGUAaQBnAGgAdABfAFYAYQByAGkAYQB0AGkAbwBuAFwAbgAgACAAPQBMAEEATQBCAEQAQQAoAFwAIgBcACIAKQA7AFwAbgBcAG4AUwBvAHUAcgBjAGUARABhAHQAYQBfAE8AdABoAGUAcgBMAGkAdgBlAHMAdABvAGMAawBfAEEAdgBlAHIAYQBnAGUATABpAHYAZQB3AGUAaQBnAGgAdABfAEQAYQB0AGEAXABuACAAIAA9AEwAQQBNAEIARABBACgAXABuACAAIAAgACAATQBBAEsARQBBAFIAUgBBAFkAKAAxADEALAAgADMALABcAG4AIAAgACAAIAAgACAATABBAE0AQgBEAEEAKAByACwAYwAsAFwAbgAgACAAIAAgACAAIAAgACAASQBOAEQARQBYACgAewBcAG4AIAAgACAAIAAgACAAIAAgACAAIABcACIATwB0AGgAZQByACAATABpAHYAZQBzAHQAbwBjAGsAIABUAHkAcABlACAAagBcACIALAAgAFwAIgBBAHYAZQByAGEAZwBlACAATABpAHYAZQB3AGUAaQBnAGgAdABcACIALAAgAFwAIgBBAHYAZQByAGEAZwBlACAATABpAHYAZQB3AGUAaQBnAGgAdABcACIAOwBcAG4AIAAgACAAIAAgACAAIAAgACAAIABcACIAQgB1AGYAZgBhAGwAbwBcACIALAAgADMAMwA2ACwAIABcACIALQBcACIAOwBcAG4AIAAgACAAIAAgACAAIAAgACAAIABcACIARwBvAGEAdABzAFwAIgAsACAAMwAzACwAIABcACIAMgA4AGsAZwAgAC0AIABsAG8AdwAgAHAAcgBvAGQAdQBjAHQAaQB2AGkAdAB5ACAAcwB5AHMAdABlAG0AcwBcACIAOwBcAG4AIAAgACAAIAAgACAAIAAgACAAIABcACIARwBvAGEAdABzAFwAIgAsACAAMwAzACwAIABcACIANQAwAGsAZwAgAC0AIABoAGkAZwBoACAAcAByAG8AZAB1AGMAdABpAHYAaQB0AHkAIABzAHkAcwB0AGUAbQBzAFwAIgA7AFwAbgAgACAAIAAgACAAIAAgACAAIAAgAFwAIgBEAGUAZQByAFwAIgAsACAAMQAyADAALAAgADEAMgAwADsAXABuACAAIAAgACAAIAAgACAAIAAgACAAXAAiAEMAYQBtAGUAbABzAFwAIgAsACAAMgAxADcALAAgADUANwAwADsAXABuACAAIAAgACAAIAAgACAAIAAgACAAXAAiAEEAbABwAGEAYwBhAHMAXAAiACwAIABcACIALQBcACIALAAgADYANQA7AFwAbgAgACAAIAAgACAAIAAgACAAIAAgAFwAIgBIAG8AcgBzAGUAcwBcACIALAAgADMANwA3ACwAIAA1ADUAMAA7AFwAbgAgACAAIAAgACAAIAAgACAAIAAgAFwAIgBNAHUAbABlAHMALwBhAHMAcwBlAHMAXAAiACwAIAAxADMAMAAsACAAMgA0ADUAOwBcAG4AIAAgACAAIAAgACAAIAAgACAAIABcACIARQBtAHUAcwAvAG8AcwB0AHIAaQBjAGgAZQBzAFwAIgAsACAAMQAyADAALAAgADEAMgAwADsAXABuACAAIAAgACAAIAAgACAAIAAgACAAXAAiAFIAZQBmAGUAcgBlAG4AYwBlAFwAIgAsACAAXAAiAEkAUABDAEMAIAAyADAAMQA5ACAAVABhAGIAbABlACAAMQAwAEEALgA1ACAAWwAyAF0AXAAiACwAIABcACIASQBQAEMAQwAgADIAMAAxADkAIABUAGEAYgBsAGUAIAAxADAALgAxADAAIABbADIAX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wB0AGgAZQByAEwAaQB2AGUAcwB0AG8AYwBrAF8ARgByAGEAYwB0AGkAbwBuAFcAYQBzAHQAZQBJAG4ATQBNAFMAXABuAFQAYQBiAGwAZQAgAEEALgAxAC4ANQAuADUAOgAgAE8AdABoAGUAcgAgAEwAaQB2AGUAcwB0AG8AYwBrACAALQAgAEYAcgBhAGMAdABpAG8AbgAgAG8AZgAgAHcAYQBzAHQAZQAgAGkAbg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TwB0AGgAZQByAEwAaQB2AGUAcwB0AG8AYwBrAF8ARgByAGEAYwB0AGkAbwBuAFcAYQBzAHQAZQBJAG4ATQBNAFMAXwBUAGkAdABsAGUAXABuACAAIAA9AEwAQQBNAEIARABBACgAXAAiAE8AdABoAGUAcgAgAEwAaQB2AGUAcwB0AG8AYwBrACAALQAgAEYAcgBhAGMAdABpAG8AbgAgAG8AZgAgAHcAYQBzAHQAZQAgAGkAbgAgAGUAYQBjAGgAIABtAGEAbgB1AHIAZQAgAG0AYQBuAGEAZwBlAG0AZQBuAHQAIABzAHkAcwB0AGUAbQBcACIAKQA7AFwAbgBcAG4AUwBvAHUAcgBjAGUARABhAHQAYQBfAE8AdABoAGUAcgBMAGkAdgBlAHMAdABvAGMAawBfAEYAcgBhAGMAdABpAG8AbgBXAGEAcwB0AGUASQBuAE0ATQBTAF8AVgBhAHIAaQBhAGIAbABlAFwAbgAgACAAPQBMAEEATQBCAEQAQQAoAFwAIgBNAE0AUwBtAFwAIgApADsAXABuAFwAbgBTAG8AdQByAGMAZQBEAGEAdABhAF8ATwB0AGgAZQByAEwAaQB2AGUAcwB0AG8AYwBrAF8ARgByAGEAYwB0AGkAbwBuAFcAYQBzAHQAZQBJAG4ATQBNAFMAXwBVAG4AaQB0AFwAbgAgACAAPQBMAEEATQBCAEQAQQAoAFwAIgBmAHIAYQBjAHQAaQBvAG4AXAAiACkAOwBcAG4AXABuAFMAbwB1AHIAYwBlAEQAYQB0AGEAXwBPAHQAaABlAHIATABpAHYAZQBzAHQAbwBjAGsAXwBGAHIAYQBjAHQAaQBvAG4AVwBhAHMAdABlAEkAbgBNAE0AUwBfAFMAbwB1AHIAYwBlAFwAbgAgACAAPQBMAEEATQBCAEQAQQAoAFwAIgBWAEUARQBSAEcAIAAyADAAMgA2ADoAIABUAGEAYgBsAGUAIABBAC4AMQAuADUALgA1AFwAIgApADsAXABuAFwAbgBTAG8AdQByAGMAZQBEAGEAdABhAF8ATwB0AGgAZQByAEwAaQB2AGUAcwB0AG8AYwBrAF8ARgByAGEAYwB0AGkAbwBuAFcAYQBzAHQAZQBJAG4ATQBNAFMAXwBWAGEAcgBpAGEAdABpAG8AbgBcAG4AIAAgAD0ATABBAE0AQgBEAEEAKABcACIAXAAiACkAOwBcAG4AXABuAFMAbwB1AHIAYwBlAEQAYQB0AGEAXwBPAHQAaABlAHIATABpAHYAZQBzAHQAbwBjAGsAXwBGAHIAYQBjAHQAaQBvAG4AVwBhAHMAdABlAEkAbgBNAE0AUwBfAEQAYQB0AGEAXABuACAAIAA9AEwAQQBNAEIARABBACgAXABuACAAIAAgACAATQBBAEsARQBBAFIAUgBBAFkAKAA5ACwAIAAzACwAXABuACAAIAAgACAAIAAgAEwAQQBNAEIARABBACgAcgAsAGMALABcAG4AIAAgACAAIAAgACAAIAAgAEkATgBEAEUAWAAoAHsAXABuACAAIAAgACAAIAAgACAAIAAgACAAXAAiAFMAdABhAHQAZQBcACIALAAgAFwAIgBQAGEAcwB0AHUAcgBlACAAcgBhAG4AZwBlACAAYQBuAGQAIABwAGEAZABkAG8AYwBrAFwAIgAsACAAXAAiAFUAbgBjAG8AdgBlAHIAZQBkACAAQQBuAGEAZQByAG8AYgBpAGMAIABsAGEAZwBvAG8AbgBcACIAOwBcAG4AIAAgACAAIAAgACAAIAAgACAAIABcACIAQQBDAFQAXAAiACwAIAAgADkAOQAuADYANgAsACAAIAAwAC4AMwA0ADsAXABuACAAIAAgACAAIAAgACAAIAAgACAAXAAiAE4AUwBXAFwAIgAsACAAIAA5ADkALgA2ADYALAAgACAAMAAuADMANAA7AFwAbgAgACAAIAAgACAAIAAgACAAIAAgAFwAIgBOAFQAXAAiACwAIAAgADkAOQAuADYANgAsACAAIAAwAC4AMwA0ADsAXABuACAAIAAgACAAIAAgACAAIAAgACAAXAAiAFEATABEAFwAIgAsACAAIAA5ADkALgA2ADYALAAgACAAMAAuADMANAA7AFwAbgAgACAAIAAgACAAIAAgACAAIAAgAFwAIgBTAEEAXAAiACwAIAAgADkAOQAuADYANgAsACAAIAAwAC4AMwA0ADsAXABuACAAIAAgACAAIAAgACAAIAAgACAAXAAiAFQAQQBTAFwAIgAsACAAIAA5ADkALgA2ADYALAAgACAAMAAuADMANAA7AFwAbgAgACAAIAAgACAAIAAgACAAIAAgAFwAIgBWAEkAQwBcACIALAAgACAAOQA5AC4ANgA2ACwAIAAgADAALgAzADQAOwBcAG4AIAAgACAAIAAgACAAIAAgACAAIABcACIAVwBBAFwAIgAsACAAIAA5ADkALgA2ADYALAAgACAAMAAuADMANABcAG4AIAAgACAAIAAgACAAIAAgAH0ALAAgAHIALAAgAGMAKQBcAG4AIAAgACAAIAAgACAAKQBcAG4AIAAgACAAIAApAFwAbgAgACAAKQA7AFwAbgBcAG4AXABuAC8AKgAgAFwAbgAtAC0ALQAtAC0ALQAtAC0ALQAtAC0ALQAtAC0ALQAtAC0ALQAtAC0ALQAtAC0ALQAtAC0ALQAtAC0ALQAtAC0ALQAtAC0ALQAtAC0AXABuAFMAbwB1AHIAYwBlAEQAYQB0AGEAXwBPAHQAaABlAHIATABpAHYAZQBzAHQAbwBjAGsAXwBNAGUAdABoAGEAbgBlAEMAbwBuAHYAZQByAHMAaQBvAG4ARgBhAGMAdABvAHIAXABuAFQAYQBiAGwAZQAgAEEALgAxAC4ANQAuADYAOgAgAE8AdABoAGUAcgAgAEwAaQB2AGUAcwB0AG8AYwBr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E8AdABoAGUAcgBMAGkAdgBlAHMAdABvAGMAawBfAE0AZQB0AGgAYQBuAGUAQwBvAG4AdgBlAHIAcwBpAG8AbgBGAGEAYwB0AG8AcgBfAFQAaQB0AGwAZQBcAG4AIAAgAD0ATABBAE0AQgBEAEEAKABcACIATwB0AGgAZQByACAATABpAHYAZQBzAHQAbwBjAGsAIAAtACAATQBlAHQAaABhAG4AZQAgAGMAbwBuAHYAZQByAHMAaQBvAG4AIABmAGEAYwB0AG8AcgAgAHAAZQByACAAcgBlAGcAaQBvAG4AXAAiACkAOwBcAG4AXABuAFMAbwB1AHIAYwBlAEQAYQB0AGEAXwBPAHQAaABlAHIATABpAHYAZQBzAHQAbwBjAGsAXwBNAGUAdABoAGEAbgBlAEMAbwBuAHYAZQByAHMAaQBvAG4ARgBhAGMAdABvAHIAXwBWAGEAcgBpAGEAYgBsAGUAXABuACAAIAA9AEwAQQBNAEIARABBACgAXAAiAE0AQwBGAGkAbQBcACIAKQA7AFwAbgBcAG4AUwBvAHUAcgBjAGUARABhAHQAYQBfAE8AdABoAGUAcgBMAGkAdgBlAHMAdABvAGMAawBfAE0AZQB0AGgAYQBuAGUAQwBvAG4AdgBlAHIAcwBpAG8AbgBGAGEAYwB0AG8AcgBfAFUAbgBpAHQAXABuACAAIAA9AEwAQQBNAEIARABBACgAXAAiAGYAcgBhAGMAdABpAG8AbgBcACIAKQA7AFwAbgBcAG4AUwBvAHUAcgBjAGUARABhAHQAYQBfAE8AdABoAGUAcgBMAGkAdgBlAHMAdABvAGMAawBfAE0AZQB0AGgAYQBuAGUAQwBvAG4AdgBlAHIAcwBpAG8AbgBGAGEAYwB0AG8AcgBfAFMAbwB1AHIAYwBlAFwAbgAgACAAPQBMAEEATQBCAEQAQQAoAFwAIgBWAEUARQBSAEcAIAAyADAAMgA2ADoAIABUAGEAYgBsAGUAIABBAC4AMQAuADUALgA2AFwAIgApADsAXABuAFwAbgBTAG8AdQByAGMAZQBEAGEAdABhAF8ATwB0AGgAZQByAEwAaQB2AGUAcwB0AG8AYwBrAF8ATQBlAHQAaABhAG4AZQBDAG8AbgB2AGUAcgBzAGkAbwBuAEYAYQBjAHQAbwByAF8AVgBhAHIAaQBhAHQAaQBvAG4AXABuACAAIAA9AEwAQQBNAEIARABBACgAXAAiAFwAIgApADsAXABuAFwAbgBTAG8AdQByAGMAZQBEAGEAdABhAF8ATwB0AGgAZQByAEwAaQB2AGUAcwB0AG8AYwBrAF8ATQBlAHQAaABhAG4AZQBDAG8AbgB2AGUAcgBzAGkAbwBuAEYAYQBjAHQAbwByAF8ARABhAHQAYQBcAG4AIAAgAD0ATABBAE0AQgBEAEEAKABcAG4AIAAgACAAIABNAEEASwBFAEEAUgBSAEEAWQAoADkALAAgADMALABcAG4AIAAgACAAIAAgACAATABBAE0AQgBEAEEAKAByACwAYwAsAFwAbgAgACAAIAAgACAAIAAgACAASQBOAEQARQBYACgAewBcAG4AIAAgACAAIAAgACAAIAAgACAAIABcACIAUwB0AGEAdABlAFwAIgAsACAAXAAiAFAAYQBzAHQAdQByAGUAIAByAGEAbgBnAGUAIABhAG4AZAAgAHAAYQBkAGQAbwBjAGsAXAAiACwAIABcACIAVQBuAGMAbwB2AGUAcgBlAGQAIABBAG4AYQBlAHIAbwBiAGkAYwAgAGwAYQBnAG8AbwBuAFwAIgA7AFwAbgAgACAAIAAgACAAIAAgACAAIAAgAFwAIgBBAEMAVABcACIALAAgACAAMAAuADAAMAA0ADcALAAgACAAMAAuADcAMQA7AFwAbgAgACAAIAAgACAAIAAgACAAIAAgAFwAIgBOAFMAVwBcACIALAAgACAAMAAuADAAMAA0ADcALAAgACAAMAAuADcANQA7AFwAbgAgACAAIAAgACAAIAAgACAAIAAgAFwAIgBOAFQAXAAiACwAIAAgADAALgAwADAANAA3ACwAIAAgADAALgA4ADAAOwBcAG4AIAAgACAAIAAgACAAIAAgACAAIABcACIAUQBMAEQAXAAiACwAIAAgADAALgAwADAANAA3ACwAIAAgADAALgA3ADgAOwBcAG4AIAAgACAAIAAgACAAIAAgACAAIABcACIAUwBBAFwAIgAsACAAIAAwAC4AMAAwADQANwAsACAAIAAwAC4ANwA0ADsAXABuACAAIAAgACAAIAAgACAAIAAgACAAXAAiAFQAQQBTAFwAIgAsACAAIAAwAC4AMAAwADQANwAsACAAIAAwAC4ANwAwADsAXABuACAAIAAgACAAIAAgACAAIAAgACAAXAAiAFYASQBDAFwAIgAsACAAIAAwAC4AMAAwADQANwAsACAAIAAwAC4ANwA0ADsAXABuACAAIAAgACAAIAAgACAAIAAgACAAXAAiAFcAQQBcACIALAAgACAAMAAuADAAMAA0ADcALAAgACAAMAAuADcANgBcAG4AIAAgACAAIAAgACAAIAAgAH0ALAAgAHIALAAgAGMAKQBcAG4AIAAgACAAIAAgACAAKQBcAG4AIAAgACAAIAApAFwAbgAgACAAKQA7AFwAbgBcAG4AXABuAC8AKgAgAFwAbgAtAC0ALQAtAC0ALQAtAC0ALQAtAC0ALQAtAC0ALQAtAC0ALQAtAC0ALQAtAC0ALQAtAC0ALQAtAC0ALQAtAC0ALQAtAC0ALQAtAC0AXABuAFMAbwB1AHIAYwBlAEQAYQB0AGEAXwBPAHQAaABlAHIATABpAHYAZQBzAHQAbwBjAGsAXwBNAGUAdABoAGEAbgBlAEUAbQBpAHMAcwBpAG8AbgBzAFAAbwB0AGUAbgB0AGkAYQBsAFwAbgBUAGEAYgBsAGUAIABBAC4AMQAuADUALgBYADoAIABPAHQAaABlAHIAIABMAGkAdgBlAHMAdABvAGMAawAgAC0AIABNAGUAdABoAGEAbgBlACAAZQBtAGkAcwBzAGkAbwBuAHMAIABwAG8AdABlAG4AdABpAGEAbAAgACgAbQAzACAAQwBIADQAIAAvACAAawBnACAAVgBTACkAIAAoAEIATwApAFwAbgAtAC0ALQAtAC0ALQAtAC0ALQAtAC0ALQAtAC0ALQAtAC0ALQAtAC0ALQAtAC0ALQAtAC0ALQAtAC0ALQAtAC0ALQAtAC0ALQAtAC0AXABuACoALwBcAG4AXABuAFMAbwB1AHIAYwBlAEQAYQB0AGEAXwBPAHQAaABlAHIATABpAHYAZQBzAHQAbwBjAGsAXwBNAGUAdABoAGEAbgBlAEUAbQBpAHMAcwBpAG8AbgBzAFAAbwB0AGUAbgB0AGkAYQBsAF8AVABpAHQAbABlAFwAbgAgACAAPQBMAEEATQBCAEQAQQAoAFwAIgBPAHQAaABlAHIAIABMAGkAdgBlAHMAdABvAGMAawAgAC0AIABNAGUAdABoAGEAbgBlACAAZQBtAGkAcwBzAGkAbwBuAHMAIABwAG8AdABlAG4AdABpAGEAbABcACIAKQA7AFwAbgBcAG4AUwBvAHUAcgBjAGUARABhAHQAYQBfAE8AdABoAGUAcgBMAGkAdgBlAHMAdABvAGMAawBfAE0AZQB0AGgAYQBuAGUARQBtAGkAcwBzAGkAbwBuAHMAUABvAHQAZQBuAHQAaQBhAGwAXwBWAGEAcgBpAGEAYgBsAGUAXABuACAAIAA9AEwAQQBNAEIARABBACgAXAAiAEIATwBcACIAKQA7AFwAbgBcAG4AUwBvAHUAcgBjAGUARABhAHQAYQBfAE8AdABoAGUAcgBMAGkAdgBlAHMAdABvAGMAawBfAE0AZQB0AGgAYQBuAGUARQBtAGkAcwBzAGkAbwBuAHMAUABvAHQAZQBuAHQAaQBhAGwAXwBVAG4AaQB0AFwAbgAgACAAPQBMAEEATQBCAEQAQQAoAFwAIgBtADMAIABDAEgANAAgAC8AIABrAGcAIABWAFMAXAAiACkAOwBcAG4AXABuAFMAbwB1AHIAYwBlAEQAYQB0AGEAXwBPAHQAaABlAHIATABpAHYAZQBzAHQAbwBjAGsAXwBNAGUAdABoAGEAbgBlAEUAbQBpAHMAcwBpAG8AbgBzAFAAbwB0AGUAbgB0AGkAYQBsAF8AUwBvAHUAcgBjAGUAXABuACAAIAA9AEwAQQBNAEIARABBACgAXAAiAFYARQBFAFIARwAgADIAMAAyADYAOgAgAFQAYQBiAGwAZQAgAEEALgAxAC4ANQAuAFgAXAAiACkAOwBcAG4AXABuAFMAbwB1AHIAYwBlAEQAYQB0AGEAXwBPAHQAaABlAHIATABpAHYAZQBzAHQAbwBjAGsAXwBNAGUAdABoAGEAbgBlAEUAbQBpAHMAcwBpAG8AbgBzAFAAbwB0AGUAbgB0AGkAYQBsAF8AVgBhAHIAaQBhAHQAaQBvAG4AXABuACAAIAA9AEwAQQBNAEIARABBACgAXAAiAFYAQQBSAEkAQQBUAEkATwBOACAATwBOACAAUwBPAFUAUgBDAEUAOgAgAFQAaABlAHIAZQAgAHcAZQByAGUAIABuAG8AIAB2AGEAbAB1AGUAcwAgAGkAbgAgAFYARQBFAFIARwAgAHMAbwAgAHQAaABpAHMAIABkAGEAdABhACAAaABhAHMAIABiAGUAZQBuACAAZwBlAG4AZQByAGEAdABlAGQAIABiAHkAIAB1AHMAaQBuAGcAIABkAG8AYwB1AG0AZQBuAHQAZQBkACAAQgBPACAAdgBhAGwAdQBlAHMAIABmAHIAbwBtACAAbwB0AGgAZQByACAAbABpAHYAZQBzAHQAbwBjAGsAXAAiACkAOwBcAG4AXABuAFMAbwB1AHIAYwBlAEQAYQB0AGEAXwBPAHQAaABlAHIATABpAHYAZQBzAHQAbwBjAGsAXwBNAGUAdABoAGEAbgBlAEUAbQBpAHMAcwBpAG8AbgBzAFAAbwB0AGUAbgB0AGkAYQBsAF8ARABhAHQAYQBcAG4AIAAgAD0ATABBAE0AQgBEAEEAKABcAG4AIAAgACAAIABNAEEASwBFAEEAUgBSAEEAWQAoADkALAAgADMALABcAG4AIAAgACAAIAAgACAATABBAE0AQgBEAEEAKAByACwAYwAsAFwAbgAgACAAIAAgACAAIAAgACAASQBOAEQARQBYACgAewBcAG4AIAAgACAAIAAgACAAIAAgACAAIABcACIATwB0AGgAZQByACAATABpAHYAZQBzAHQAbwBjAGsAIABUAHkAcABlAFwAIgAsACAAXAAiAEIATwBcACIALAAgAFwAIgBUAGEAawBlAG4AIABmAHIAbwBtAFwAIgA7AFwAbgAgACAAIAAgACAAIAAgACAAIAAgAFwAIgBCAHUAZgBmAGEAbABvAFwAIgAsACAAMAAuADEAOQAsACAAXAAiAEYAZQBlAGQAbABvAHQALAAgAFAAYQBzAHQAdQByAGUAIABiAGUAZQBmAFwAIgA7AFwAbgAgACAAIAAgACAAIAAgACAAIAAgAFwAIgBHAG8AYQB0AHMAXAAiACwAIAAwAC4AMgA0ACwAIABcACIAUwBoAGUAZQBwAFwAIgA7AFwAbgAgACAAIAAgACAAIAAgACAAIAAgAFwAIgBEAGUAZQByAFwAIgAsACAAMAAuADIANAAsACAAXAAiAFMAaABlAGUAcABcACIAOwBcAG4AIAAgACAAIAAgACAAIAAgACAAIABcACIAQwBhAG0AZQBsAHMAXAAiACwAIAAwAC4AMgA0ACwAIABcACIAUwBoAGUAZQBwAFwAIgA7AFwAbgAgACAAIAAgACAAIAAgACAAIAAgAFwAIgBBAGwAcABhAGMAYQBzAFwAIgAsACAAMAAuADIANAAsACAAXAAiAFMAaABlAGUAcABcACIAOwBcAG4AIAAgACAAIAAgACAAIAAgACAAIABcACIASABvAHIAcwBlAHMAXAAiACwAIAAwAC4AMQA5ACwAIABcACIARgBlAGUAZABsAG8AdAAsACAAUABhAHMAdAB1AHIAZQAgAGIAZQBlAGYAXAAiADsAXABuACAAIAAgACAAIAAgACAAIAAgACAAXAAiAE0AdQBsAGUAcwAvAGEAcwBzAGUAcwBcACIALAAgADAALgAyADQALAAgAFwAIgBTAGgAZQBlAHAAXAAiADsAXABuACAAIAAgACAAIAAgACAAIAAgACAAXAAiAEUAbQB1AHMALwBvAHMAdAByAGkAYwBoAGUAcwBcACIALAAgADAALgAzADYALAAgAFwAIgBQAG8AdQBsAHQAcgB5ACAALQAgAG0AZQBhAHQAIABjAGgAaQBjAGsAZQBuAHMAXAAiAFwAbgAgACAAIAAgACAAIAAgACAAfQAsACAAcgAsACAAYwApAFwAbgAgACAAIAAgACAAIAApAFwAbgAgACAAIAAgACkAXABuACAAIAApADsAXABuAFwAbgBcAG4ALwAqACAAXABuAC0ALQAtAC0ALQAtAC0ALQAtAC0ALQAtAC0ALQAtAC0ALQAtAC0ALQAtAC0ALQAtAC0ALQAtAC0ALQAtAC0ALQAtAC0ALQAtAC0ALQBcAG4AUwBvAHUAcgBjAGUARABhAHQAYQBfAE8AdABoAGUAcgBMAGkAdgBlAHMAdABvAGMAaw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TwB0AGgAZQByAEwAaQB2AGUAcwB0AG8AYwBr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TwB0AGgAZQByAEwAaQB2AGUAcwB0AG8AYwBrAF8ARgByAGEAYwBHAEEAUwBNAFMAbwBpAGwAXwBWAGEAcgBpAGEAYgBsAGUAXABuACAAIAA9AEwAQQBNAEIARABBACgAXAAiAEYAcgBhAGMARwBBAFMATQBzAG8AaQBsAFwAIgApADsAXABuAFwAbgBTAG8AdQByAGMAZQBEAGEAdABhAF8ATwB0AGgAZQByAEwAaQB2AGUAcwB0AG8AYwBrAF8ARgByAGEAYwBHAEEAUwBNAFMAbwBpAGwAXwBVAG4AaQB0AFwAbgAgACAAPQBMAEEATQBCAEQAQQAoAFwAIgAoAGsAZwAgAE4ASAAzAC0ATgAgACsAIABOAE8AeAAtAE4AKQAvAGsAZwAgAE4AXAAiACkAOwBcAG4AXABuAFMAbwB1AHIAYwBlAEQAYQB0AGEAXwBPAHQAaABlAHIATABpAHYAZQBzAHQAbwBjAGsAXwBGAHIAYQBjAEcAQQBTAE0AUwBvAGkAbABfAFMAbwB1AHIAYwBlAFwAbgAgACAAPQBMAEEATQBCAEQAQQAoAFwAIgBWAEUARQBSAEcAIAAyADAAMgA2ADoAIAA0AC4ANwAuADIALgAzACAAQwBPAE4AUwBUAEEATgBUAFMAXAAiACkAOwBcAG4AXABuAFMAbwB1AHIAYwBlAEQAYQB0AGEAXwBPAHQAaABlAHIATABpAHYAZQBzAHQAbwBjAGsAXwBGAHIAYQBjAEcAQQBTAE0AUwBvAGkAbABfAFYAYQByAGkAYQB0AGkAbwBuAFwAbgAgACAAPQBMAEEATQBCAEQAQQAoAFwAIgBcACIAKQA7AFwAbgBcAG4AUwBvAHUAcgBjAGUARABhAHQAYQBfAE8AdABoAGUAcgBMAGkAdgBlAHMAdABvAGMAawBfAEYAcgBhAGMARwBBAFMATQBTAG8AaQBsAF8ARABhAHQAYQBcAG4AIAAgAD0ATABBAE0AQgBEAEEAKAAwAC4AMgAxACkAOwBcAG4AXABuACIAfQAsAHsAIgBwAGEAdABoACIAOgAiAC8AcAByAG8AagBlAGMAdABzAC8ATQBNAFMAXwBPAHQAaABlAHIATABpAHYAZQBzAHQAbwBjAGs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3ADoAIABNAGEAbgB1AHIAZQAgAE0AYQBuAGEAZwBlAG0AZQBuAHQAIAAtACAATwB0AGgAZQByACAATABpAHYAZQBzAHQAbwBjAGsAXABuAD0APQA9AD0APQA9AD0APQA9AD0APQA9AD0APQA9AD0APQA9AD0APQA9AD0APQA9AD0APQA9AD0APQA9AD0APQA9AD0APQA9AD0APQA9AD0APQA9AD0APQA9AD0APQA9AD0APQA9AD0APQA9AD0APQA9AD0APQA9AD0APQA9AD0APQA9AD0APQA9AD0APQA9AD0APQA9AD0AXABuADQALgA3AC4AMQAuADEAIABNAGUAdABoAG8AZAAgADEAIAAtACAATQBhAG4AdQByAGUAIABNAGUAdABoAGEAbgBlACAATwB0AGgAZQByACAATABpAHYAZQBzAHQAbwBjAGs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wBfADEAXwAxAF8AXwAxAF8AVABvAHQAYQBsAEEAbgBuAHUAYQBsAE0AZQB0AGgAYQBuAGUAUAByAG8AZAB1AGMAdABpAG8AbgBGAHIAbwBtAE0AYQBuAHUAcgBlAE0AYQBuAGEAZwBlAG0AZQBuAHQATwB0AGgAZQByAEwAaQB2AGUAcwB0AG8AYwBrAFwAbgBUAG8AdABhAGwAIABhAG4AbgB1AGEAbAAgAG0AZQB0AGgAYQBuAGUAIABwAHIAbwBkAHUAYwB0AGkAbwBuACAAZgByAG8AbQAgAG0AYQBuAHUAcgBlACAAbQBhAG4AYQBnAGUAbQBlAG4AdAAgAG8AZgAgAG8AdABoAGUAcgAgAGwAaQB2AGUAcwB0AG8AYwBrAFwAbgBFAF8AQwBIADQAXABuAHQAIABDAEgANABcAG4ARQBfAHsAQwBIADQAfQA9AFwAXABzAHUAbQBfAGoAXABcAHMAdQBtAF8AbQAoAE4AXwBqAFwAXAB0AGkAbQBlAHMAIABNAF8AagBtAFwAXAB0AGkAbQBlAHMAIAAzADYANQApAFwAXAB0AGkAbQBlAHMAIAAxADAAXgB7AC0AMwB9AFwAbgBOAF8AagAgAD0AIABhAHYAZQByAGEAZwBlACAAYQBuAG4AdQBhAGwAIABuAHUAbQBiAGUAcgAgAG8AZgAgAGwAaQB2AGUAcwB0AG8AYwBrACAAcABlAHIAIABsAGkAdgBlAHMAdABvAGMAawAgAHQAeQBwAGUAIABqACAAKABoAGUAYQBkACkAXABuAE0AXwBqAG0AIAA9ACAAYQBuAG4AdQBhAGwAIABtAGUAdABoAGEAbgBlACAAcAByAG8AZAB1AGMAdABpAG8AbgAgAGYAcgBvAG0AIABtAGEAbgB1AHIAZQAgAG0AYQBuAGEAZwBlAG0AZQBuAHQAIAAoAGsAZwAgAEMASAA0AC8AaABlAGEAZAAvAGQAYQB5ACkAXABuAC0ALQAtAC0ALQAtAC0ALQAtAC0ALQAtAC0ALQAtAC0ALQAtAC0ALQAtAC0ALQAtAC0ALQAtAC0ALQAtAC0ALQAtAC0ALQAtAC0ALQBcAG4AKgAvAFwAbgBcAG4AVgBFAEUAUgBHAF8ANABfADcAXwAxAF8AMQBfAF8AMQBfAFQAbwB0AGEAbABBAG4AbgB1AGEAbABNAGUAdABoAGEAbgBlAFAAcgBvAGQAdQBjAHQAaQBvAG4ARgByAG8AbQBNAGEAbgB1AHIAZQBNAGEAbgBhAGcAZQBtAGUAbgB0AE8AdABoAGUAcgBMAGkAdgBlAHMAdABvAGMAawBcAG4AIAAgAD0ATABBAE0AQgBEAEEAKABcAG4AIAAgACAAIABOAF8AagAsACAATQBfAGoAbQAsAFwAbgAgACAAIAAgAFMAVQBNACgATgBfAGoAIAAqACAATQBfAGoAbQAgACoAIAAzADYANQApACAAKgAgADEAMAAgAF4AIAAtADMAXABuACAAIAApADsAXABuAFwAbgBWAEUARQBSAEcAXwA0AF8ANwBfADEAXwAxAF8AXwAxAF8AVABvAHQAYQBsAEEAbgBuAHUAYQBsAE0AZQB0AGgAYQBuAGUAUAByAG8AZAB1AGMAdABpAG8AbgBGAHIAbwBtAE0AYQBuAHUAcgBlAE0AYQBuAGEAZwBlAG0AZQBuAHQATwB0AGgAZQByAEwAaQB2AGUAcwB0AG8AYwBrAF8AVABpAHQAbABlAFwAbgAgACAAPQBMAEEATQBCAEQAQQAoAFwAIgBUAG8AdABhAGwAIABhAG4AbgB1AGEAbAAgAG0AZQB0AGgAYQBuAGUAIABwAHIAbwBkAHUAYwB0AGkAbwBuACAAZgByAG8AbQAgAG0AYQBuAHUAcgBlACAAbQBhAG4AYQBnAGUAbQBlAG4AdAAgAG8AZgAgAG8AdABoAGUAcgAgAGwAaQB2AGUAcwB0AG8AYwBrAFwAIgApADsAXABuAFwAbgBWAEUARQBSAEcAXwA0AF8ANwBfADEAXwAxAF8AXwAxAF8AVABvAHQAYQBsAEEAbgBuAHUAYQBsAE0AZQB0AGgAYQBuAGUAUAByAG8AZAB1AGMAdABpAG8AbgBGAHIAbwBtAE0AYQBuAHUAcgBlAE0AYQBuAGEAZwBlAG0AZQBuAHQATwB0AGgAZQByAEwAaQB2AGUAcwB0AG8AYwBrAF8AVgBhAHIAaQBhAGIAbABlAFwAbgAgACAAPQBMAEEATQBCAEQAQQAoAFwAIgBFAF8AQwBIADQAXAAiACkAOwBcAG4AXABuAFYARQBFAFIARwBfADQAXwA3AF8AMQBfADEAXwBfADEAXwBUAG8AdABhAGwAQQBuAG4AdQBhAGwATQBlAHQAaABhAG4AZQBQAHIAbwBkAHUAYwB0AGkAbwBuAEYAcgBvAG0ATQBhAG4AdQByAGUATQBhAG4AYQBnAGUAbQBlAG4AdABPAHQAaABlAHIATABpAHYAZQBzAHQAbwBjAGsAXwBVAG4AaQB0AFwAbgAgACAAPQBMAEEATQBCAEQAQQAoAFwAIgB0ACAAQwBIADQAXAAiACkAOwBcAG4AXABuAFYARQBFAFIARwBfADQAXwA3AF8AMQBfADEAXwBfADEAXwBUAG8AdABhAGwAQQBuAG4AdQBhAGwATQBlAHQAaABhAG4AZQBQAHIAbwBkAHUAYwB0AGkAbwBuAEYAcgBvAG0ATQBhAG4AdQByAGUATQBhAG4AYQBnAGUAbQBlAG4AdABPAHQAaABlAHIATABpAHYAZQBzAHQAbwBjAGsAXwBTAG8AdQByAGMAZQBcAG4AIAAgAD0ATABBAE0AQgBEAEEAKABcACIAVgBFAEUAUgBHACAAMgAwADIANgA6ACAANAAuADcALgAxAC4AMQAsACAARQBxAHUAYQB0AGkAbwBuACAAKAAxACkAXAAiACkAOwBcAG4AXABuAFYARQBFAFIARwBfADQAXwA3AF8AMQBfADEAXwBfADEAXwBUAG8AdABhAGwAQQBuAG4AdQBhAGwATQBlAHQAaABhAG4AZQBQAHIAbwBkAHUAYwB0AGkAbwBuAEYAcgBvAG0ATQBhAG4AdQByAGUATQBhAG4AYQBnAGUAbQBlAG4AdABPAHQAaABlAHIATABpAHYAZQBzAHQAbwBjAGsAXwBOAEkAUgBSAGUAZgBlAHIAZQBuAGMAZQBcAG4AIAAgAD0ATABBAE0AQgBEAEEAKABcACIAXAAiACkAOwBcAG4AXABuAFYARQBFAFIARwBfADQAXwA3AF8AMQBfADEAXwBfADEAXwBUAG8AdABhAGwAQQBuAG4AdQBhAGwATQBlAHQAaABhAG4AZQBQAHIAbwBkAHUAYwB0AGkAbwBuAEYAcgBvAG0ATQBhAG4AdQByAGUATQBhAG4AYQBnAGUAbQBlAG4AdABPAHQAaABlAHIATABpAHYAZQBzAHQAbwBjAGsAXwBMAGEAdABlAHgARQBxAHUAYQB0AGkAbwBuAFwAbgAgACAAPQBMAEEATQBCAEQAQQAoAFwAIgBFAF8AewBDAEgANAB9AD0AXABcAHMAdQBtAFwAXABuAG8AbABpAG0AaQB0AHMAXwBqAFwAXABzAHUAbQBcAFwAbgBvAGwAaQBtAGkAdABzAF8AbQAoAE4AXwBqAFwAXAB0AGkAbQBlAHMAIABNAF8AagBtAFwAXAB0AGkAbQBlAHMAIAAzADYANQApAFwAXAB0AGkAbQBlAHMAIAAxADAAXgB7AC0AMwB9AFwAIgApADsAXABuAFwAbgBWAEUARQBSAEcAXwA0AF8ANwBfADEAXwAxAF8AXwAxAF8AVABvAHQAYQBsAEEAbgBuAHUAYQBsAE0AZQB0AGgAYQBuAGUAUAByAG8AZAB1AGMAdABpAG8AbgBGAHIAbwBtAE0AYQBuAHUAcgBlAE0AYQBuAGEAZwBlAG0AZQBuAHQATwB0AGgAZQByAEwAaQB2AGUAcwB0AG8AYwBrAF8AQQByAGcAdQBtAGUAbgB0AHMAXABuACAAIAA9AEwAQQBNAEIARABBACgAXABuACAAIAAgACAATQBBAEsARQBBAFIAUgBBAFkAKAA0ACwAIAA0ACwAXABuACAAIAAgACAAIAAgAEwAQQBNAEIARABBACgAcgAsAGMALABcAG4AIAAgACAAIAAgACAAIAAgAEkATgBEAEUAWAAoAHsAXABuACAAIAAgACAAIAAgACAAIAAgACAAXAAiAE4AXwBqAFwAIgAsACAAXAAiAGEAdgBlAHIAYQBnAGUAIABhAG4AbgB1AGEAbAAgAG4AdQBtAGIAZQByACAAbwBmACAAbABpAHYAZQBzAHQAbwBjAGsAIABwAGUAcgAgAGwAaQB2AGUAcwB0AG8AYwBrACAAdAB5AHAAZQAgAGoAXAAiACwAIABcACIAaABlAGEAZABcACIALAAgAFwAIgBJAG4AcAB1AHQAXAAiADsAXABuACAAIAAgACAAIAAgACAAIAAgACAAXAAiAE0AXwBqAG0AXAAiACwAIABcACIAYQBuAG4AdQBhAGwAIABtAGUAdABoAGEAbgBlACAAcAByAG8AZAB1AGMAdABpAG8AbgAgAGYAcgBvAG0AIABtAGEAbgB1AHIAZQAgAG0AYQBuAGEAZwBlAG0AZQBuAHQAXAAiACwAIABcACIAawBnACAAQwBIADQALwBoAGUAYQBkAC8AZABhAHkAXAAiACwAIABcACIAQwBhAGwAYwB1AGwAYQB0AGUAZAAgAGYAcgBvAG0AIAA0AC4ANwAuADEALgAxACwAIAAoADIAKQBcACIAOwBcAG4AIAAgACAAIAAgACAAIAAgACAAIABcACIAagBcACIALAAgAFwAIgBsAGkAdgBlAHMAdABvAGMAawAgAHQAeQBwAGUAXAAiACwAIABcACIAXAAiACwAIABcACIASQBuAHAAdQB0AFwAIgA7AFwAbgAgACAAIAAgACAAIAAgACAAIAAgAFwAIgBtAFwAIgAsACAAXAAiAG0AYQBuAHUAcgBlACAAbQBhAG4AYQBnAGUAbQBlAG4AdAAgAHMAeQBzAHQAZQBt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wBfADEAXwAxAF8AXwAyAF8AQQBuAG4AdQBhAGwATQBlAHQAaABhAG4AZQBQAHIAbwBkAHUAYwB0AGkAbwBuAEYAcgBvAG0ATQBhAG4AdQByAGUATQBhAG4AYQBnAGUAbQBlAG4AdABcAG4AQQBuAG4AdQBhAGwAIABtAGUAdABoAGEAbgBlACAAcAByAG8AZAB1AGMAdABpAG8AbgAgAGYAcgBvAG0AIABtAGEAbgB1AHIAZQAgAG0AYQBuAGEAZwBlAG0AZQBuAHQAXABuAE0AXwBqAG0AXABuAGsAZwAgAEMASAA0AC8AaABlAGEAZAAvAGQAYQB5AFwAbgBNAF8AagBtAD0AVgBTAF8AagBcAFwAdABpAG0AZQBzACAAQgBfAE8AXABcAHQAaQBtAGUAcwAgAE0ATQBTAF8AbQBcAFwAdABpAG0AZQBzACAATQBDAEYAXwBpAG0AXABcAHQAaQBtAGUAcwAgAFwAXAByAGgAbwBcAG4AVgBTAF8AagAgAD0AIAB2AG8AbABhAHQAaQBsAGUAIABzAG8AbABpAGQAIABwAHIAbwBkAHUAYwB0AGkAbwBuACAAKABrAGcALwBoAGUAYQBkAC8AZABhAHkAKQBcAG4AQgBfAE8AIAA9ACAAbQBlAHQAaABhAG4AZ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G0AYQBuAHUAcgBlACAAbQBhAG4AYQBnAGUAbQBlAG4AdAAgAHMAeQBzAHQAZQBtAFwAbgByAGgAbwAgAD0AIABkAGUAbgBzAGkAdAB5ACAAbwBmACAAbQBlAHQAaABhAG4AZQAgACgAawBnAC8AbQAzACkAXABuAC0ALQAtAC0ALQAtAC0ALQAtAC0ALQAtAC0ALQAtAC0ALQAtAC0ALQAtAC0ALQAtAC0ALQAtAC0ALQAtAC0ALQAtAC0ALQAtAC0ALQBcAG4AKgAvAFwAbgBcAG4AVgBFAEUAUgBHAF8ANABfADcAXwAxAF8AMQBfAF8AMgBfAEEAbgBuAHUAYQBsAE0AZQB0AGgAYQBuAGUAUAByAG8AZAB1AGMAdABpAG8AbgBGAHIAbwBtAE0AYQBuAHUAcgBlAE0AYQBuAGEAZwBlAG0AZQBuAHQAXABuACAAIAA9AEwAQQBNAEIARABBACgAXABuACAAIAAgACAAVgBTAF8AagAsACAAQgBfAE8ALAAgAE0ATQBTAF8AbQAsACAATQBDAEYAXwBpAG0ALAAgAHIAaABvACwAXABuACAAIAAgACAAVgBTAF8AagAgACoAIABCAF8ATwAgACoAIABNAE0AUwBfAG0AIAAqACAATQBDAEYAXwBpAG0AIAAqACAAcgBoAG8AXABuACAAIAApADsAXABuAFwAbgBWAEUARQBSAEcAXwA0AF8ANwBfADEAXwAxAF8AXwAyAF8AQQBuAG4AdQBhAGwATQBlAHQAaABhAG4AZQBQAHIAbwBkAHUAYwB0AGkAbwBuAEYAcgBvAG0ATQBhAG4AdQByAGUATQBhAG4AYQBnAGUAbQBlAG4AdABfAFQAaQB0AGwAZQBcAG4AIAAgAD0ATABBAE0AQgBEAEEAKABcACIAQQBuAG4AdQBhAGwAIABtAGUAdABoAGEAbgBlACAAcAByAG8AZAB1AGMAdABpAG8AbgAgAGYAcgBvAG0AIABtAGEAbgB1AHIAZQAgAG0AYQBuAGEAZwBlAG0AZQBuAHQAXAAiACkAOwBcAG4AXABuAFYARQBFAFIARwBfADQAXwA3AF8AMQBfADEAXwBfADIAXwBBAG4AbgB1AGEAbABNAGUAdABoAGEAbgBlAFAAcgBvAGQAdQBjAHQAaQBvAG4ARgByAG8AbQBNAGEAbgB1AHIAZQBNAGEAbgBhAGcAZQBtAGUAbgB0AF8AVgBhAHIAaQBhAGIAbABlAFwAbgAgACAAPQBMAEEATQBCAEQAQQAoAFwAIgBNAF8AagBtAFwAIgApADsAXABuAFwAbgBWAEUARQBSAEcAXwA0AF8ANwBfADEAXwAxAF8AXwAyAF8AQQBuAG4AdQBhAGwATQBlAHQAaABhAG4AZQBQAHIAbwBkAHUAYwB0AGkAbwBuAEYAcgBvAG0ATQBhAG4AdQByAGUATQBhAG4AYQBnAGUAbQBlAG4AdABfAFUAbgBpAHQAXABuACAAIAA9AEwAQQBNAEIARABBACgAXAAiAGsAZwAgAEMASAA0AC8AaABlAGEAZAAvAGQAYQB5AFwAIgApADsAXABuAFwAbgBWAEUARQBSAEcAXwA0AF8ANwBfADEAXwAxAF8AXwAyAF8AQQBuAG4AdQBhAGwATQBlAHQAaABhAG4AZQBQAHIAbwBkAHUAYwB0AGkAbwBuAEYAcgBvAG0ATQBhAG4AdQByAGUATQBhAG4AYQBnAGUAbQBlAG4AdABfAFMAbwB1AHIAYwBlAFwAbgAgACAAPQBMAEEATQBCAEQAQQAoAFwAIgBWAEUARQBSAEcAIAAyADAAMgA2ADoAIAA0AC4ANwAuADEALgAxACwAIABFAHEAdQBhAHQAaQBvAG4AIAAoADIAKQBcACIAKQA7AFwAbgBcAG4AVgBFAEUAUgBHAF8ANABfADcAXwAxAF8AMQBfAF8AMgBfAEEAbgBuAHUAYQBsAE0AZQB0AGgAYQBuAGUAUAByAG8AZAB1AGMAdABpAG8AbgBGAHIAbwBtAE0AYQBuAHUAcgBlAE0AYQBuAGEAZwBlAG0AZQBuAHQAXwBOAEkAUgBSAGUAZgBlAHIAZQBuAGMAZQBcAG4AIAAgAD0ATABBAE0AQgBEAEEAKABcACIAXAAiACkAOwBcAG4AXABuAFYARQBFAFIARwBfADQAXwA3AF8AMQBfADEAXwBfADIAXwBBAG4AbgB1AGEAbABNAGUAdABoAGEAbgBlAFAAcgBvAGQAdQBjAHQAaQBvAG4ARgByAG8AbQBNAGEAbgB1AHIAZQBNAGEAbgBhAGcAZQBtAGUAbgB0AF8ATABhAHQAZQB4AEUAcQB1AGEAdABpAG8AbgBcAG4AIAAgAD0ATABBAE0AQgBEAEEAKABcACIATQBfAHsAagBtAH0APQBWAFMAXwBqAFwAXAB0AGkAbQBlAHMAIABCAF8ATwBcAFwAdABpAG0AZQBzACAATQBNAFMAXwBtAFwAXAB0AGkAbQBlAHMAIABNAEMARgBfAHsAaQBtAH0AXABcAHQAaQBtAGUAcwAgAFwAXAByAGgAbwBcACIAKQA7AFwAbgBcAG4AVgBFAEUAUgBHAF8ANABfADcAXwAxAF8AMQBfAF8AMgBfAEEAbgBuAHUAYQBsAE0AZQB0AGgAYQBuAGUAUAByAG8AZAB1AGMAdABpAG8AbgBGAHIAbwBtAE0AYQBuAHUAcgBlAE0AYQBuAGEAZwBlAG0AZQBuAHQAXwBBAHIAZwB1AG0AZQBuAHQAcwBcAG4AIAAgAD0ATABBAE0AQgBEAEEAKABcAG4AIAAgACAAIABNAEEASwBFAEEAUgBSAEEAWQAoADYALAAgADQALABcAG4AIAAgACAAIAAgACAATABBAE0AQgBEAEEAKAByACwAYwAsAFwAbgAgACAAIAAgACAAIAAgACAASQBOAEQARQBYACgAewBcAG4AIAAgACAAIAAgACAAIAAgACAAIABcACIAVgBTAF8AagBcACIALAAgAFwAIgB2AG8AbABhAHQAaQBsAGUAIABzAG8AbABpAGQAIABwAHIAbwBkAHUAYwB0AGkAbwBuAFwAIgAsACAAXAAiAGsAZwAvAGgAZQBhAGQALwBkAGEAeQBcACIALAAgAFwAIgBDAG8AbgBzAHQAYQBuAHQAXAAiADsAXABuACAAIAAgACAAIAAgACAAIAAgACAAXAAiAEIAXwBPAFwAIgAsACAAXAAiAG0AZQB0AGgAYQBuAGUAIA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QwBvAG4AcwB0AGEAbgB0AFwAIgA7AFwAbgAgACAAIAAgACAAIAAgACAAIAAgAFwAIgBNAEMARgBfAGkAbQBcACIALAAgAFwAIgBtAGUAdABoAGEAbgBlACAAYwBvAG4AdgBlAHIAcwBpAG8AbgAgAGYAYQBjAHQAbwByACAAZgBvAHIAIABzAHQAYQB0AGUAIABhAG4AZAAgAG0AYQBuAHUAcgBlACAAbQBhAG4AYQBnAGUAbQBlAG4AdAAgAHMAeQBzAHQAZ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QAXwA3AF8AMQBfADEAXwBfADIAXwBBAG4AbgB1AGEAbABNAGUAdABoAGEAbgBlAFAAcgBvAGQAdQBjAHQAaQBvAG4ARgByAG8AbQBNAGEAbgB1AHIAZQBNAGEAbgBhAGcAZQBtAGUAbgB0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FwAIgAsACAAXAAiAHYAbwBsAGEAdABpAGwAZQAgAHMAbwBsAGkAZAAgAHAAcgBvAGQAdQBjAHQAaQBvAG4AXAAiACwAIABcACIAawBnAC8AaABlAGEAZAAvAGQAYQB5AFwAIgAsACAAXAAiAEMAbwBuAHMAdABhAG4AdABcACIAOwBcAG4AIAAgACAAIAAgACAAIAAgACAAIABcACIAQgBfAE8AXAAiACwAIABcACIAbQBlAHQAaABhAG4AZQAgAGUAbQBpAHMAcwBpAG8AbgBzACAAcABvAHQAZQBuAHQAaQBhAGwAXAAiACwAIABcACIAbQAzACAAQwBIADQALwBrAGcAIABWAFMAXAAiACwAIABcACIAQwBvAG4AcwB0AGEAbgB0AFwAIgA7AFwAbgAgACAAIAAgACAAIAAgACAAIAAgAFwAIgBNAE0AUwBfAG0AXAAiACwAIABcACIAZgByAGEAYwB0AGkAbwBuACAAbwBmACAAdwBhAHMAdABlACAAaQBuACAAZQBhAGMAaAAgAG0AYQBuAHUAcgBlACAAbQBhAG4AYQBnAGUAbQBlAG4AdAAgAHMAeQBzAHQAZQBtAFwAIgAsACAAXAAiAGYAcgBhAGMAdABpAG8AbgBcACIALAAgAFwAIgBDAG8AbgBzAHQAYQBuAHQAXAAiADsAXABuACAAIAAgACAAIAAgACAAIAAgACAAXAAiAE0AQwBGAF8AaQBtAFwAIgAsACAAXAAiAG0AZQB0AGgAYQBuAGUAIABjAG8AbgB2AGUAcgBzAGkAbwBuACAAZgBhAGMAdABvAHIAIABmAG8AcgAgAHQAZQBtAHAAZQByAGEAdAB1AHIAZQAgAHoAbwBuAGUAIABhAG4AZAAgAG0AYQBuAHUAcgBlACAAbQBhAG4AYQBnAGUAbQBlAG4AdAAgAHMAeQBzAHQAZ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GkAXAAiACwAIABcACIAbQBlAGEAbgAgAGEAbgBuAHUAYQBsACAAdABlAG0AcABlAHIAYQB0AHUAcgBlAFwAIgAsACAAXAAiAGQAZQBnAHIAZQBlAHMAIABDAGUAbABzAGkAdQBzAFwAIgAsACAAXAAiAEkAbgBwAHUAdABcACIAXABuACAAIAAgACAAIAAgACAAIAB9ACwAIAByACwAIABjACkAXABuACAAIAAgACAAIAAgACkAXABuACAAIAAgACAAKQBcAG4AIAAgACkAOwBcAG4AIgB9ACwAewAiAHAAYQB0AGgAIgA6ACIALwBwAHIAbwBqAGUAYwB0AHMALwBNAE0AUwBfAE8AdABoAGUAcgBMAGkAdgBlAHMAdABvAGMAawBfAFMAbwBpAGwAXwBOADIATwBEAGkAcgBlAGMAdAAiACwAIgB0AGUAeAB0ACIAOgAiAC8AKgBcAG4APQA9AD0APQA9AD0APQA9AD0APQA9AD0APQA9AD0APQA9AD0APQA9AD0APQA9AD0APQA9AD0APQA9AD0APQA9AD0APQA9AD0APQA9AD0APQA9AD0APQA9AD0APQA9AD0APQA9AD0APQA9AD0APQA9AD0APQA9AD0APQA9AD0APQA9AD0APQA9AD0APQA9AD0APQA9AD0APQBcAG4ANAAuADcAOgAgAE0AYQBuAHUAcgBlACAATQBhAG4AYQBnAGUAbQBlAG4AdAAgAC0AIABPAHQAaABlAHIAIABMAGkAdgBlAHMAdABvAGMAawBcAG4APQA9AD0APQA9AD0APQA9AD0APQA9AD0APQA9AD0APQA9AD0APQA9AD0APQA9AD0APQA9AD0APQA9AD0APQA9AD0APQA9AD0APQA9AD0APQA9AD0APQA9AD0APQA9AD0APQA9AD0APQA9AD0APQA9AD0APQA9AD0APQA9AD0APQA9AD0APQA9AD0APQA9AD0APQA9AD0APQBcAG4ANAAuADcALgAxAC4AMwAgAE0AZQB0AGgAbwBkACAAMQAgAC0AIABTAG8AaQBsACAARABpAHIAZQBjAHQAIABOADIATwAgAE8AdABoAGUAcgAgAEwAaQB2AGUAcwB0AG8AYwBr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cAXwAxAF8AMwBfAF8AMQBfAEQAaQByAGUAYwB0AE4AaQB0AHIAbwB1AHMATwB4AGkAZABlAEUAbQBpAHMAcwBpAG8AbgBzAEYAcgBvAG0AUwBvAGkAbABcAG4ARABpAHIAZQBjAHQAIABuAGkAdAByAG8AdQBzACAAbwB4AGkAZABlACAAZQBtAGkAcwBzAGkAbwBuAHMAIABmAHIAbwBtACAAYQBnAHIAaQBjAHUAbAB0AHUAcgBhAGwAIABzAG8AaQBsAHMAIABmAHIAbwBtACAAZABlAHAAbwBzAGkAdABpAG8AbgAgAG8AZgAgAHUAcgBpAG4AZQAgAGEAbgBkACAAZAB1AG4AZwAgAHQAbwAgAHAAYQBzAHQAdQByAGUAXABuAEUAXwBOADIATwBkAGkAcgBcAG4AdAAgAE4AMgBPAFwAbgBFAF8AewBOADIATwAsAGQAaQByAH0APQBBAEUAXABcAHQAaQBtAGUAcwAgAEUARgBfAHsAUABSAFAAfQBcAFwAdABpAG0AZQBzACAAQwBfAHsATgAyAE8AfQBcAFwAdABpAG0AZQBzACAAMQAwAF4AewAtADMAfQBcAG4AQQBFACAAPQAgAGEAbgBuAHUAYQBsACAAbgBpAHQAcgBvAGcAZQBuACAAZQB4AGMAcgBlAHQAZQBkACAAYgB5ACAAZQBhAGMAaAAgAGwAaQB2AGUAcwB0AG8AYwBrACAAdAB5AHAAZQAgACgAawBnACAATgAvAHkAZQBhAHI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cAXwAxAF8AMwBfAF8AMQBfAEQAaQByAGUAYwB0AE4AaQB0AHIAbwB1AHMATwB4AGkAZABlAEUAbQBpAHMAcwBpAG8AbgBzAEYAcgBvAG0AUwBvAGkAbABcAG4AIAAgAD0ATABBAE0AQgBEAEEAKABcAG4AIAAgACAAIABBAEUALAAgAEUARgBfAFAAUgBQACwAIABDAF8ATgAyAE8ALABcAG4AIAAgACAAIABBAEUAIAAqACAARQBGAF8AUABSAFAAIAAqACAAQwBfAE4AMgBPACAAKgAgADEAMAAgAF4AIAAtADMAXABuACAAIAApADsAXABuAFwAbgBWAEUARQBSAEcAXwA0AF8ANwBfADEAXwAzAF8AXwAxAF8ARABpAHIAZQBjAHQATgBpAHQAcgBvAHUAcwBPAHgAaQBkAGUARQBtAGkAcwBzAGkAbwBuAHMARgByAG8AbQBTAG8AaQBsAF8AVABpAHQAbABlAFwAbgAgACAAPQBMAEEATQBCAEQAQQAoAFwAIgBEAGkAcgBlAGMAdAAgAG4AaQB0AHIAbwB1AHMAIABvAHgAaQBkAGUAIABlAG0AaQBzAHMAaQBvAG4AcwAgAGYAcgBvAG0AIABhAGcAcgBpAGMAdQBsAHQAdQByAGEAbAAgAHMAbwBpAGwAcwAgAGYAcgBvAG0AIABkAGUAcABvAHMAaQB0AGkAbwBuACAAbwBmACAAdQByAGkAbgBlACAAYQBuAGQAIABkAHUAbgBnACAAdABvACAAcABhAHMAdAB1AHIAZQBcACIAKQA7AFwAbgBcAG4AVgBFAEUAUgBHAF8ANABfADcAXwAxAF8AMwBfAF8AMQBfAEQAaQByAGUAYwB0AE4AaQB0AHIAbwB1AHMATwB4AGkAZABlAEUAbQBpAHMAcwBpAG8AbgBzAEYAcgBvAG0AUwBvAGkAbABfAFYAYQByAGkAYQBiAGwAZQBcAG4AIAAgAD0ATABBAE0AQgBEAEEAKABcACIARQBfAE4AMgBPAGQAaQByAFwAIgApADsAXABuAFwAbgBWAEUARQBSAEcAXwA0AF8ANwBfADEAXwAzAF8AXwAxAF8ARABpAHIAZQBjAHQATgBpAHQAcgBvAHUAcwBPAHgAaQBkAGUARQBtAGkAcwBzAGkAbwBuAHMARgByAG8AbQBTAG8AaQBsAF8AVQBuAGkAdABcAG4AIAAgAD0ATABBAE0AQgBEAEEAKABcACIAdAAgAE4AMgBPAFwAIgApADsAXABuAFwAbgBWAEUARQBSAEcAXwA0AF8ANwBfADEAXwAzAF8AXwAxAF8ARABpAHIAZQBjAHQATgBpAHQAcgBvAHUAcwBPAHgAaQBkAGUARQBtAGkAcwBzAGkAbwBuAHMARgByAG8AbQBTAG8AaQBsAF8AUwBvAHUAcgBjAGUAXABuACAAIAA9AEwAQQBNAEIARABBACgAXAAiAFYARQBFAFIARwAgADIAMAAyADYAOgAgADQALgA3AC4AMQAuADMALAAgAEUAcQB1AGEAdABpAG8AbgAgACgAMQApAFwAIgApADsAXABuAFwAbgBWAEUARQBSAEcAXwA0AF8ANwBfADEAXwAzAF8AXwAxAF8ARABpAHIAZQBjAHQATgBpAHQAcgBvAHUAcwBPAHgAaQBkAGUARQBtAGkAcwBzAGkAbwBuAHMARgByAG8AbQBTAG8AaQBsAF8ATgBJAFIAUgBlAGYAZQByAGUAbgBjAGUAXABuACAAIAA9AEwAQQBNAEIARABBACgAXAAiAFwAIgApADsAXABuAFwAbgBWAEUARQBSAEcAXwA0AF8ANwBfADEAXwAzAF8AXwAxAF8ARABpAHIAZQBjAHQATgBpAHQAcgBvAHUAcwBPAHgAaQBkAGUARQBtAGkAcwBzAGkAbwBuAHMARgByAG8AbQBTAG8AaQBsAF8ATABhAHQAZQB4AEUAcQB1AGEAdABpAG8AbgBcAG4AIAAgAD0ATABBAE0AQgBEAEEAKABcACIARQBfAHsATgAyAE8ALABkAGkAcgB9AD0AQQBFAFwAXAB0AGkAbQBlAHMAIABFAEYAXwB7AFAAUgBQAH0AXABcAHQAaQBtAGUAcwAgAEMAXwB7AE4AMgBPAH0AXABcAHQAaQBtAGUAcwAgADEAMABeAHsALQAzAH0AXAAiACkAOwBcAG4AXABuAFYARQBFAFIARwBfADQAXwA3AF8AMQBfADMAXwBfADEAXwBEAGkAcgBlAGMAdABOAGkAdAByAG8AdQBzAE8AeABpAGQAZQBFAG0AaQBzAHMAaQBvAG4AcwBGAHIAbwBtAFMAbwBpAGwAXwBBAHIAZwB1AG0AZQBuAHQAcwBcAG4AIAAgAD0ATABBAE0AQgBEAEEAKABcAG4AIAAgACAAIABNAEEASwBFAEEAUgBSAEEAWQAoADQALAAgADQALABcAG4AIAAgACAAIAAgACAATABBAE0AQgBEAEEAKAByACwAYwAsAFwAbgAgACAAIAAgACAAIAAgACAASQBOAEQARQBYACgAewBcAG4AIAAgACAAIAAgACAAIAAgACAAIABcACIAQQBFAFwAIgAsACAAXAAiAGEAbgBuAHUAYQBsACAAbgBpAHQAcgBvAGcAZQBuACAAZQB4AGMAcgBlAHQAZQBkACAAYgB5ACAAZQBhAGMAaAAgAGwAaQB2AGUAcwB0AG8AYwBrACAAdAB5AHAAZQBcACIALAAgAFwAIgBrAGcAIABOAC8AeQBlAGEAcgBcACIALAAgAFwAIgBDAGEAbABjAHUAbABhAHQAZQBkACAAZgByAG8AbQAgADQALgA3AC4AMQAuADMALAAgACgAMgApAFwAIgA7AFwAbgAgACAAIAAgACAAIAAgACAAIAAgAFwAIgBFAEYAXwBQAFIAUABcACIALAAgAFwAIgBlAG0AaQBzAHMAaQBvAG4AIABmAGEAYwB0AG8AcgAgAGYAbwByACAAbgBpAHQAcgBvAHUAcwAgAG8AeABpAGQAZQAgAGYAcgBvAG0AIAB1AHIAaQBuAGUAIABhAG4AZAAgAGQAdQBuAGcAIABkAGUAcABvAHMAaQB0AGUAZAAgAHQAbwAgAHMAbwBpAGw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6AFwAIgAsACAAXAAiAHcAZQB0ACAAbwByACAAZAByAHkAIABjAGwAaQBtAGEAdABl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cAXwAxAF8AMwBfAF8AMgBfAEEAbgBuAHUAYQBsAE4AaQB0AHIAbwBnAGUAbgBFAHgAYwByAGUAdABlAGQAVABvAFAAYQBzAHQAdQByAGUAXABuAEEAbgBuAHUAYQBsACAAbgBpAHQAcgBvAGcAZQBuACAAZQB4AGMAcgBlAHQAZQBkACAAYgB5ACAAbABpAHYAZQBzAHQAbwBjAGsAIAB0AG8AIABwAGEAcwB0AHUAcgBlACwAIAByAGEAbgBnAGUAIABhAG4AZAAgAHAAYQBkAGQAbwBjAGsAXABuAEEARQBcAG4AawBnACAATgAvAHkAZQBhAHIAXABuAEEARQA9AFwAXABzAHUAbQBfAGoAKABOAF8AagBcAFwAdABpAG0AZQBzACAATgBFAF8AagBcAFwAdABpAG0AZQBzACAAMwA2ADUAKQBcAG4ATgBfAGoAIAA9ACAAbgB1AG0AYgBlAHIAIABvAGYAIABsAGkAdgBlAHMAdABvAGMAawAgAG8AZgAgAGUAYQBjAGgAIABsAGkAdgBlAHMAdABvAGMAawAgAHQAeQBwAGUAIABqACAAKABoAGUAYQBkACkAXABuAE4ARQBfAGoAIAA9ACAAbgBpAHQAcgBvAGcAZQBuACAAZQB4AGMAcgBlAHQAZQBkACAAYgB5ACAAZQBhAGMAaAAgAGwAaQB2AGUAcwB0AG8AYwBrACAAdAB5AHAAZQAgAGoAIAAoAGsAZwAgAE4ALwBoAGUAYQBkAC8AZABhAHkAKQBcAG4ALQAtAC0ALQAtAC0ALQAtAC0ALQAtAC0ALQAtAC0ALQAtAC0ALQAtAC0ALQAtAC0ALQAtAC0ALQAtAC0ALQAtAC0ALQAtAC0ALQAtAFwAbgAqAC8AXABuAFwAbgBWAEUARQBSAEcAXwA0AF8ANwBfADEAXwAzAF8AXwAyAF8AQQBuAG4AdQBhAGwATgBpAHQAcgBvAGcAZQBuAEUAeABjAHIAZQB0AGUAZABUAG8AUABhAHMAdAB1AHIAZQBcAG4AIAAgAD0ATABBAE0AQgBEAEEAKABcAG4AIAAgACAAIABOAF8AagAsACAATgBFAF8AagAsAFwAbgAgACAAIAAgAE4AXwBqACAAKgAgAE4ARQBfAGoAIAAqACAAMwA2ADUAXABuACAAIAApADsAXABuAFwAbgBWAEUARQBSAEcAXwA0AF8ANwBfADEAXwAzAF8AXwAyAF8AQQBuAG4AdQBhAGwATgBpAHQAcgBvAGcAZQBuAEUAeABjAHIAZQB0AGUAZABUAG8AUABhAHMAdAB1AHIAZQBfAFQAaQB0AGwAZQBcAG4AIAAgAD0ATABBAE0AQgBEAEEAKABcACIAQQBuAG4AdQBhAGwAIABuAGkAdAByAG8AZwBlAG4AIABlAHgAYwByAGUAdABlAGQAIABiAHkAIABsAGkAdgBlAHMAdABvAGMAawAgAHQAbwAgAHAAYQBzAHQAdQByAGUALAAgAHIAYQBuAGcAZQAgAGEAbgBkACAAcABhAGQAZABvAGMAawBcACIAKQA7AFwAbgBcAG4AVgBFAEUAUgBHAF8ANABfADcAXwAxAF8AMwBfAF8AMgBfAEEAbgBuAHUAYQBsAE4AaQB0AHIAbwBnAGUAbgBFAHgAYwByAGUAdABlAGQAVABvAFAAYQBzAHQAdQByAGUAXwBWAGEAcgBpAGEAYgBsAGUAXABuACAAIAA9AEwAQQBNAEIARABBACgAXAAiAEEARQBcACIAKQA7AFwAbgBcAG4AVgBFAEUAUgBHAF8ANABfADcAXwAxAF8AMwBfAF8AMgBfAEEAbgBuAHUAYQBsAE4AaQB0AHIAbwBnAGUAbgBFAHgAYwByAGUAdABlAGQAVABvAFAAYQBzAHQAdQByAGUAXwBVAG4AaQB0AFwAbgAgACAAPQBMAEEATQBCAEQAQQAoAFwAIgBrAGcAIABOAC8AeQBlAGEAcgBcACIAKQA7AFwAbgBcAG4AVgBFAEUAUgBHAF8ANABfADcAXwAxAF8AMwBfAF8AMgBfAEEAbgBuAHUAYQBsAE4AaQB0AHIAbwBnAGUAbgBFAHgAYwByAGUAdABlAGQAVABvAFAAYQBzAHQAdQByAGUAXwBTAG8AdQByAGMAZQBcAG4AIAAgAD0ATABBAE0AQgBEAEEAKABcACIAVgBFAEUAUgBHACAAMgAwADIANgA6ACAANAAuADcALgAxAC4AMwAsACAARQBxAHUAYQB0AGkAbwBuACAAKAAyACkAXAAiACkAOwBcAG4AXABuAFYARQBFAFIARwBfADQAXwA3AF8AMQBfADMAXwBfADIAXwBBAG4AbgB1AGEAbABOAGkAdAByAG8AZwBlAG4ARQB4AGMAcgBlAHQAZQBkAFQAbwBQAGEAcwB0AHUAcgBlAF8ATgBJAFIAUgBlAGYAZQByAGUAbgBjAGUAXABuACAAIAA9AEwAQQBNAEIARABBACgAXAAiAFwAIgApADsAXABuAFwAbgBWAEUARQBSAEcAXwA0AF8ANwBfADEAXwAzAF8AXwAyAF8AQQBuAG4AdQBhAGwATgBpAHQAcgBvAGcAZQBuAEUAeABjAHIAZQB0AGUAZABUAG8AUABhAHMAdAB1AHIAZQBfAEwAYQB0AGUAeABFAHEAdQBhAHQAaQBvAG4AXABuACAAIAA9AEwAQQBNAEIARABBACgAXAAiAEEARQA9AFwAXABzAHUAbQBcAFwAbgBvAGwAaQBtAGkAdABzAF8AagAoAE4AXwBqAFwAXAB0AGkAbQBlAHMAIABOAEUAXwBqAFwAXAB0AGkAbQBlAHMAIAAzADYANQApAFwAIgApADsAXABuAFwAbgBWAEUARQBSAEcAXwA0AF8ANwBfADEAXwAzAF8AXwAyAF8AQQBuAG4AdQBhAGwATgBpAHQAcgBvAGcAZQBuAEUAeABjAHIAZQB0AGUAZABUAG8AUABhAHMAdAB1AHIAZQBfAEEAcgBnAHUAbQBlAG4AdABzAFwAbgAgACAAPQBMAEEATQBCAEQAQQAoAFwAbgAgACAAIAAgAE0AQQBLAEUAQQBSAFIAQQBZACgAMwAsACAANAAsAFwAbgAgACAAIAAgACAAIABMAEEATQBCAEQAQQAoAHIALABjACwAXABuACAAIAAgACAAIAAgACAAIABJAE4ARABFAFgAKAB7AFwAbgAgACAAIAAgACAAIAAgACAAIAAgAFwAIgBOAF8AagBcACIALAAgAFwAIgBuAHUAbQBiAGUAcgAgAG8AZgAgAGwAaQB2AGUAcwB0AG8AYwBrACAAbwBmACAAZQBhAGMAaAAgAGwAaQB2AGUAcwB0AG8AYwBrACAAdAB5AHAAZQAgAGoAXAAiACwAIABcACIAaABlAGEAZABcACIALAAgAFwAIgBJAG4AcAB1AHQAXAAiADsAXABuACAAIAAgACAAIAAgACAAIAAgACAAXAAiAE4ARQBfAGoAXAAiACwAIABcACIAbgBpAHQAcgBvAGcAZQBuACAAZQB4AGMAcgBlAHQAZQBkACAAYgB5ACAAZQBhAGMAaAAgAGwAaQB2AGUAcwB0AG8AYwBrACAAdAB5AHAAZQAgAGoAXAAiACwAIABcACIAawBnACAATgAvAGgAZQBhAGQALwBkAGEAeQBcACIALAAgAFwAIgBDAG8AbgBzAHQAYQBuAHQAXAAiADsAXABuACAAIAAgACAAIAAgACAAIAAgACAAXAAiAGoAXAAiACwAIABcACIAbABpAHYAZQBzAHQAbwBjAGsAIAB0AHkAcABlAFwAIgAsACAAXAAiAFwAIgAsACAAXAAiAEkAbgBwAHUAdABcACIAXABuACAAIAAgACAAIAAgACAAIAB9ACwAIAByACwAIABjACkAXABuACAAIAAgACAAIAAgACkAXABuACAAIAAgACAAKQBcAG4AIAAgACkAOwBcAG4AIgB9ACwAewAiAHAAYQB0AGgAIgA6ACIALwBwAHIAbwBqAGUAYwB0AHMALwBNAE0AUwBfAE8AdABoAGUAcgBMAGkAdgBlAHMAdABvAGMAawBfAFMAbwBpAGwAXwBBAHQAbQBvAHMAcABoAGUAcgBpAGMARABlAHAAbwBzAGkAdABpAG8AbgAiACwAIgB0AGUAeAB0ACIAOgAiAC8AKgBcAG4APQA9AD0APQA9AD0APQA9AD0APQA9AD0APQA9AD0APQA9AD0APQA9AD0APQA9AD0APQA9AD0APQA9AD0APQA9AD0APQA9AD0APQA9AD0APQA9AD0APQA9AD0APQA9AD0APQA9AD0APQA9AD0APQA9AD0APQA9AD0APQA9AD0APQA9AD0APQA9AD0APQA9AD0APQA9AD0APQBcAG4ANAAuADcAOgAgAE0AYQBuAHUAcgBlACAATQBhAG4AYQBnAGUAbQBlAG4AdAAgAC0AIABPAHQAaABlAHIAIABMAGkAdgBlAHMAdABvAGMAawBcAG4APQA9AD0APQA9AD0APQA9AD0APQA9AD0APQA9AD0APQA9AD0APQA9AD0APQA9AD0APQA9AD0APQA9AD0APQA9AD0APQA9AD0APQA9AD0APQA9AD0APQA9AD0APQA9AD0APQA9AD0APQA9AD0APQA9AD0APQA9AD0APQA9AD0APQA9AD0APQA9AD0APQA9AD0APQA9AD0APQBcAG4ANAAuADcALgAxAC4ANQAgAE0AZQB0AGgAbwBkACAAMQAgAC0AIABTAG8AaQBsACAAQQB0AG0AbwBzAHAAaABlAHIAaQBjACAARABlAHAAbwBzAGkAdABpAG8AbgAgAE4AMgBPACAATwB0AGgAZQByACAATABpAHYAZQBzAHQAbwBjAGs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wBfADEAXwA1AF8AXwAxAF8AQQB0AG0AbwBzAHAAaABlAHIAaQBjAEQAZQBwAG8AcwBpAHQAaQBvAG4ARQBtAGkAcwBzAGkAbwBuAHMARgByAG8AbQ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cAXwAxAF8ANQBfAF8AMQBfAEEAdABtAG8AcwBwAGgAZQByAGkAYwBEAGUAcABvAHMAaQB0AGkAbwBuAEUAbQBpAHMAcwBpAG8AbgBzAEYAcgBvAG0AUABhAHMAdAB1AHIAZQBcAG4AIAAgAD0ATABBAE0AQgBEAEEAKABcAG4AIAAgACAAIABNAF8AdgBvAGwALAAgAEUARgBfAE4AMgBPACwAIABDAF8ATgAyAE8ALABcAG4AIAAgACAAIABNAF8AdgBvAGwAIAAqACAARQBGAF8ATgAyAE8AIAAqACAAQwBfAE4AMgBPACAAKgAgADEAMAAgAF4AIAAtADMAXABuACAAIAApADsAXABuAFwAbgBWAEUARQBSAEcAXwA0AF8ANwBfADEAXwA1AF8AXwAxAF8AQQB0AG0AbwBzAHAAaABlAHIAaQBjAEQAZQBwAG8AcwBpAHQAaQBvAG4ARQBtAGkAcwBzAGkAbwBuAHMARgByAG8AbQ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NwBfADEAXwA1AF8AXwAxAF8AQQB0AG0AbwBzAHAAaABlAHIAaQBjAEQAZQBwAG8AcwBpAHQAaQBvAG4ARQBtAGkAcwBzAGkAbwBuAHMARgByAG8AbQBQAGEAcwB0AHUAcgBlAF8AVgBhAHIAaQBhAGIAbABlAFwAbgAgACAAPQBMAEEATQBCAEQAQQAoAFwAIgBFAF8ATgAyAE8AYQBkAFwAIgApADsAXABuAFwAbgBWAEUARQBSAEcAXwA0AF8ANwBfADEAXwA1AF8AXwAxAF8AQQB0AG0AbwBzAHAAaABlAHIAaQBjAEQAZQBwAG8AcwBpAHQAaQBvAG4ARQBtAGkAcwBzAGkAbwBuAHMARgByAG8AbQBQAGEAcwB0AHUAcgBlAF8AVQBuAGkAdABcAG4AIAAgAD0ATABBAE0AQgBEAEEAKABcACIAdAAgAE4AMgBPAFwAIgApADsAXABuAFwAbgBWAEUARQBSAEcAXwA0AF8ANwBfADEAXwA1AF8AXwAxAF8AQQB0AG0AbwBzAHAAaABlAHIAaQBjAEQAZQBwAG8AcwBpAHQAaQBvAG4ARQBtAGkAcwBzAGkAbwBuAHMARgByAG8AbQBQAGEAcwB0AHUAcgBlAF8AUwBvAHUAcgBjAGUAXABuACAAIAA9AEwAQQBNAEIARABBACgAXAAiAFYARQBFAFIARwAgADIAMAAyADYAOgAgADQALgA3AC4AMQAuADUALAAgAEUAcQB1AGEAdABpAG8AbgAgACgAMQApAFwAIgApADsAXABuAFwAbgBWAEUARQBSAEcAXwA0AF8ANwBfADEAXwA1AF8AXwAxAF8AQQB0AG0AbwBzAHAAaABlAHIAaQBjAEQAZQBwAG8AcwBpAHQAaQBvAG4ARQBtAGkAcwBzAGkAbwBuAHMARgByAG8AbQBQAGEAcwB0AHUAcgBlAF8ATgBJAFIAUgBlAGYAZQByAGUAbgBjAGUAXABuACAAIAA9AEwAQQBNAEIARABBACgAXAAiAFwAIgApADsAXABuAFwAbgBWAEUARQBSAEcAXwA0AF8ANwBfADEAXwA1AF8AXwAxAF8AQQB0AG0AbwBzAHAAaABlAHIAaQBjAEQAZQBwAG8AcwBpAHQAaQBvAG4ARQBtAGkAcwBzAGkAbwBuAHMARgByAG8AbQ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cAXwAxAF8ANQBfAF8AMQBfAEEAdABtAG8AcwBwAGgAZQByAGkAYwBEAGUAcABvAHMAaQB0AGkAbwBuAEUAbQBpAHMAcwBpAG8AbgBzAEYAcgBvAG0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NwAuADEALgA1ACwAIAAoADIAKQBcACIAOwBcAG4AIAAgACAAIAAgACAAIAAgACAAIABcACIARQBGAF8ATgAyAE8AXAAiACwAIABcACI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FwAIgAsACAAXAAiAGkAcgByAGkAZwBhAHQAaQBvAG4AIABtAGUAdABoAG8AZABcACIALAAgAFwAIgBcACIALAAgAFwAIgBJAG4AcAB1AHQAXAAiADsAXABuACAAIAAgACAAIAAgACAAIAAgACAAXAAiAHIAXAAiACwAIABcACIAcgBhAGkAbgBmAGEAbABs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cAXwAxAF8ANQBfAF8AMgBfAE0AYQBzAHMATwBmAE4AaQB0AHIAbwBnAGUAbgBWAG8AbABhAHQAaQBsAGkAcwBlAGQARgByAG8AbQBQAGEAcwB0AHUAcgBlAFwAbgBNAGEAcwBzACAAbwBmACAAbgBpAHQAcgBvAGcAZQBuACAAdgBvAGwAYQB0AGkAbABpAHMAZQBkACAAZgByAG8AbQAgAHUAcgBpAG4AZQAgAGEAbgBkACAAZgBhAGUAYwBlAHMAIABkAGUAcABvAHMAaQB0AGUAZAAgAG8AbgAgAHAAYQBzAHQAdQByAGUAXABuAE0AXwB2AG8AbABcAG4AawBnACAATgBcAG4ATQBfAHsAdgBvAGwAfQA9AEEARQBcAFwAdABpAG0AZQBzACAARgByAGEAYwBHAEEAUwBNAHMAbwBpAGwAXABuAEEARQAgAD0AIABhAG4AbgB1AGEAbAAgAG4AaQB0AHIAbwBnAGUAbgAgAGUAeABjAHIAZQB0AGUAZAAgAGIAeQAgAGUAYQBjAGgAIABsAGkAdgBlAHMAdABvAGMAawAgAHQAeQBwAGUAIAAoAGsAZwAgAE4ALwB5AGUAYQBy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NwBfADEAXwA1AF8AXwAyAF8ATQBhAHMAcwBPAGYATgBpAHQAcgBvAGcAZQBuAFYAbwBsAGEAdABpAGwAaQBzAGUAZABGAHIAbwBtAFAAYQBzAHQAdQByAGUAXABuACAAIAA9AEwAQQBNAEIARABBACgAXABuACAAIAAgACAAQQBFACwAIABGAHIAYQBjAEcAQQBTAE0AcwBvAGkAbAAsAFwAbgAgACAAIAAgAEEARQAgACoAIABGAHIAYQBjAEcAQQBTAE0AcwBvAGkAbABcAG4AIAAgACkAOwBcAG4AXABuAFYARQBFAFIARwBfADQAXwA3AF8AMQBfADUAXwBfADIAXwBNAGEAcwBzAE8AZgBOAGkAdAByAG8AZwBlAG4AVgBvAGwAYQB0AGkAbABpAHMAZQBkAEYAcgBvAG0AUABhAHMAdAB1AHIAZQBfAFQAaQB0AGwAZQBcAG4AIAAgAD0ATABBAE0AQgBEAEEAKABcACIATQBhAHMAcwAgAG8AZgAgAG4AaQB0AHIAbwBnAGUAbgAgAHYAbwBsAGEAdABpAGwAaQBzAGUAZAAgAGYAcgBvAG0AIAB1AHIAaQBuAGUAIABhAG4AZAAgAGYAYQBlAGMAZQBzACAAZABlAHAAbwBzAGkAdABlAGQAIABvAG4AIABwAGEAcwB0AHUAcgBlAFwAIgApADsAXABuAFwAbgBWAEUARQBSAEcAXwA0AF8ANwBfADEAXwA1AF8AXwAyAF8ATQBhAHMAcwBPAGYATgBpAHQAcgBvAGcAZQBuAFYAbwBsAGEAdABpAGwAaQBzAGUAZABGAHIAbwBtAFAAYQBzAHQAdQByAGUAXwBWAGEAcgBpAGEAYgBsAGUAXABuACAAIAA9AEwAQQBNAEIARABBACgAXAAiAE0AXwB2AG8AbABcACIAKQA7AFwAbgBcAG4AVgBFAEUAUgBHAF8ANABfADcAXwAxAF8ANQBfAF8AMgBfAE0AYQBzAHMATwBmAE4AaQB0AHIAbwBnAGUAbgBWAG8AbABhAHQAaQBsAGkAcwBlAGQARgByAG8AbQBQAGEAcwB0AHUAcgBlAF8AVQBuAGkAdABcAG4AIAAgAD0ATABBAE0AQgBEAEEAKABcACIAawBnACAATgBcACIAKQA7AFwAbgBcAG4AVgBFAEUAUgBHAF8ANABfADcAXwAxAF8ANQBfAF8AMgBfAE0AYQBzAHMATwBmAE4AaQB0AHIAbwBnAGUAbgBWAG8AbABhAHQAaQBsAGkAcwBlAGQARgByAG8AbQBQAGEAcwB0AHUAcgBlAF8AUwBvAHUAcgBjAGUAXABuACAAIAA9AEwAQQBNAEIARABBACgAXAAiAFYARQBFAFIARwAgADIAMAAyADYAOgAgADQALgA3AC4AMQAuADUALAAgAEUAcQB1AGEAdABpAG8AbgAgACgAMgApAFwAIgApADsAXABuAFwAbgBWAEUARQBSAEcAXwA0AF8ANwBfADEAXwA1AF8AXwAyAF8ATQBhAHMAcwBPAGYATgBpAHQAcgBvAGcAZQBuAFYAbwBsAGEAdABpAGwAaQBzAGUAZABGAHIAbwBtAFAAYQBzAHQAdQByAGUAXwBOAEkAUgBSAGUAZgBlAHIAZQBuAGMAZQBcAG4AIAAgAD0ATABBAE0AQgBEAEEAKABcACIAXAAiACkAOwBcAG4AXABuAFYARQBFAFIARwBfADQAXwA3AF8AMQBfADUAXwBfADIAXwBNAGEAcwBzAE8AZgBOAGkAdAByAG8AZwBlAG4AVgBvAGwAYQB0AGkAbABpAHMAZQBkAEYAcgBvAG0AUABhAHMAdAB1AHIAZQBfAEwAYQB0AGUAeABFAHEAdQBhAHQAaQBvAG4AXABuACAAIAA9AEwAQQBNAEIARABBACgAXAAiAE0AXwB7AHYAbwBsAH0APQBBAEUAXABcAHQAaQBtAGUAcwAgAEYAcgBhAGMARwBBAFMATQBzAG8AaQBsAFwAIgApADsAXABuAFwAbgBWAEUARQBSAEcAXwA0AF8ANwBfADEAXwA1AF8AXwAyAF8ATQBhAHMAcwBPAGYATgBpAHQAcgBvAGcAZQBuAFYAbwBsAGEAdABpAGwAaQBzAGUAZABGAHIAbwBtAFAAYQBzAHQAdQByAGUAXwBBAHIAZwB1AG0AZQBuAHQAcwBcAG4AIAAgAD0ATABBAE0AQgBEAEEAKABcAG4AIAAgACAAIABNAEEASwBFAEEAUgBSAEEAWQAoADIALAAgADQALABcAG4AIAAgACAAIAAgACAATABBAE0AQgBEAEEAKAByACwAYwAsAFwAbgAgACAAIAAgACAAIAAgACAASQBOAEQARQBYACgAewBcAG4AIAAgACAAIAAgACAAIAAgACAAIABcACIAQQBFAFwAIgAsACAAXAAiAGEAbgBuAHUAYQBsACAAbgBpAHQAcgBvAGcAZQBuACAAZQB4AGMAcgBlAHQAZQBkACAAYgB5ACAAZQBhAGMAaAAgAGwAaQB2AGUAcwB0AG8AYwBrACAAdAB5AHAAZQBcACIALAAgAFwAIgBrAGcAIABOAC8AeQBlAGEAcgBcACIALAAgAFwAIgBDAGEAbABjAHUAbABhAHQAZQBkACAAYgB5ACAANAAuADcALgAxAC4AMwAs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TQBNAFMAXwBPAHQAaABlAHIATABpAHYAZQBzAHQAbwBjAGsAXwBTAG8AaQBsAF8ATABlAGEAYwBoAGkAbgBnAEEAbgBkAFIAdQBuAG8AZgBmACIALAAiAHQAZQB4AHQAIgA6ACIALwAqAFwAbgA9AD0APQA9AD0APQA9AD0APQA9AD0APQA9AD0APQA9AD0APQA9AD0APQA9AD0APQA9AD0APQA9AD0APQA9AD0APQA9AD0APQA9AD0APQA9AD0APQA9AD0APQA9AD0APQA9AD0APQA9AD0APQA9AD0APQA9AD0APQA9AD0APQA9AD0APQA9AD0APQA9AD0APQA9AD0APQA9AFwAbgA0AC4ANwA6ACAATQBhAG4AdQByAGUAIABNAGEAbgBhAGcAZQBtAGUAbgB0ACAALQAgAE8AdABoAGUAcgAgAEwAaQB2AGUAcwB0AG8AYwBrAFwAbgA9AD0APQA9AD0APQA9AD0APQA9AD0APQA9AD0APQA9AD0APQA9AD0APQA9AD0APQA9AD0APQA9AD0APQA9AD0APQA9AD0APQA9AD0APQA9AD0APQA9AD0APQA9AD0APQA9AD0APQA9AD0APQA9AD0APQA9AD0APQA9AD0APQA9AD0APQA9AD0APQA9AD0APQA9AD0APQA9AFwAbgA0AC4ANwAuADEALgA3ACAATQBlAHQAaABvAGQAIAAxACAALQAgAFMAbwBpAGwAIABMAGUAYQBjAGgAaQBuAGcAIABBAG4AZAAgAFIAdQBuAG8AZgBmACAATgAyAE8AIABPAHQAaABlAHIAIABMAGkAdgBlAHMAdABvAGMAa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3AF8AMQBfADcAXwBfADEAXwBMAGUAYQBjAGgAaQBuAGcAQQBuAGQAUgB1AG4AbwBmAGYARQBtAGkAcwBzAGkAbwBuAHMARgByAG8AbQBQAGEAcwB0AHUAcgBlAFwAbgBMAGUAYQBjAGgAaQBuAGcAIABhAG4AZAAgAHIAdQBuAG8AZgBmACAAZQBtAGkAcwBzAGkAbwBuAHMAIABmAHIAbwBtACAAdQByAGkAbgBlACAAYQBuAGQAIABkAHUAbgBnACAAZABlAHAAbwBzAGkAdABlAGQAIABvAG4AIABwAGEAcwB0AHUAcgBlAFwAbgBFAF8ATgAyAE8AbABlAGEAYwBoAFwAbgB0ACAATgAyAE8AXABuAEUAXwB7AE4AMgBPACwAbABlAGEAYwBoAH0APQBNAF8AewBsAGUAYQBjAGgAfQBcAFwAdABpAG0AZQBzACAARQBGAF8AewBsAGUAYQBjAGgAfQBcAFwAdABpAG0AZQBzACAAQwBfAHsATgAyAE8AfQBcAFwAdABpAG0AZQBzACAAMQAwAF4AewAtADMAfQBcAG4ATQBfAGwAZQBhAGMAaAAgAD0AIABtAGEAcwBzACAAbwBmACAAbgBpAHQAcgBvAGcAZQBuACAAbABvAHMAdAAgAHQAbwAgAGwAZQBhAGMAaABpAG4AZwAgAGEAbgBkACAAcgB1AG4AbwBmAGYAIAAoAGsAZwAgAE4AKQBcAG4ARQBGAF8AbABlAGEAYwBoACAAPQAgAGUAbQBpAHMAcwBpAG8AbgAgAGYAYQBjAHQAbwByACAAZgBvAHIAIABsAGUAYQBjAGgAaQBuAGcAIABhAG4AZAAgAHIAdQBuAG8AZgBmACAAKABrAGcAIABOADIATwAtAE4ALwBrAGcAIABOACkAXABuAEMAXwBOADIATwAgAD0AIABmAGEAYwB0AG8AcgAgAHQAbwAgAGMAbwBuAHYAZQByAHQAIABlAGwAZQBtAGUAbgB0AGEAbAAgAG0AYQBzAHMAIABvAGYAIABuAGkAdAByAG8AdQBzACAAbwB4AGkAZABlACAAdABvACAAbQBvAGwAZQBjAHUAbABhAHIAIABtAGEAcwBzAFwAbgAtAC0ALQAtAC0ALQAtAC0ALQAtAC0ALQAtAC0ALQAtAC0ALQAtAC0ALQAtAC0ALQAtAC0ALQAtAC0ALQAtAC0ALQAtAC0ALQAtAC0AXABuACoALwBcAG4AXABuAFYARQBFAFIARwBfADQAXwA3AF8AMQBfADcAXwBfADEAXwBMAGUAYQBjAGgAaQBuAGcAQQBuAGQAUgB1AG4AbwBmAGYARQBtAGkAcwBzAGkAbwBuAHMARgByAG8AbQ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NwBfADEAXwA3AF8AXwAxAF8ATABlAGEAYwBoAGkAbgBnAEEAbgBkAFIAdQBuAG8AZgBmAEUAbQBpAHMAcwBpAG8AbgBzAEYAcgBvAG0AUABhAHMAdAB1AHIAZQBfAFQAaQB0AGwAZQBcAG4AIAAgAD0ATABBAE0AQgBEAEEAKABcACIATABlAGEAYwBoAGkAbgBnACAAYQBuAGQAIAByAHUAbgBvAGYAZgAgAGUAbQBpAHMAcwBpAG8AbgBzACAAZgByAG8AbQAgAHUAcgBpAG4AZQAgAGEAbgBkACAAZAB1AG4AZwAgAGQAZQBwAG8AcwBpAHQAZQBkACAAbwBuACAAcABhAHMAdAB1AHIAZQBcACIAKQA7AFwAbgBcAG4AVgBFAEUAUgBHAF8ANABfADcAXwAxAF8ANwBfAF8AMQBfAEwAZQBhAGMAaABpAG4AZwBBAG4AZABSAHUAbgBvAGYAZgBFAG0AaQBzAHMAaQBvAG4AcwBGAHIAbwBtAFAAYQBzAHQAdQByAGUAXwBWAGEAcgBpAGEAYgBsAGUAXABuACAAIAA9AEwAQQBNAEIARABBACgAXAAiAEUAXwBOADIATwBsAGUAYQBjAGgAXAAiACkAOwBcAG4AXABuAFYARQBFAFIARwBfADQAXwA3AF8AMQBfADcAXwBfADEAXwBMAGUAYQBjAGgAaQBuAGcAQQBuAGQAUgB1AG4AbwBmAGYARQBtAGkAcwBzAGkAbwBuAHMARgByAG8AbQBQAGEAcwB0AHUAcgBlAF8AVQBuAGkAdABcAG4AIAAgAD0ATABBAE0AQgBEAEEAKABcACIAdAAgAE4AMgBPAFwAIgApADsAXABuAFwAbgBWAEUARQBSAEcAXwA0AF8ANwBfADEAXwA3AF8AXwAxAF8ATABlAGEAYwBoAGkAbgBnAEEAbgBkAFIAdQBuAG8AZgBmAEUAbQBpAHMAcwBpAG8AbgBzAEYAcgBvAG0AUABhAHMAdAB1AHIAZQBfAFMAbwB1AHIAYwBlAFwAbgAgACAAPQBMAEEATQBCAEQAQQAoAFwAIgBWAEUARQBSAEcAIAAyADAAMgA2ADoAIAA0AC4ANwAuADEALgA3ACwAIABFAHEAdQBhAHQAaQBvAG4AIAAoADEAKQBcACIAKQA7AFwAbgBcAG4AVgBFAEUAUgBHAF8ANABfADcAXwAxAF8ANwBfAF8AMQBfAEwAZQBhAGMAaABpAG4AZwBBAG4AZABSAHUAbgBvAGYAZgBFAG0AaQBzAHMAaQBvAG4AcwBGAHIAbwBtAFAAYQBzAHQAdQByAGUAXwBOAEkAUgBSAGUAZgBlAHIAZQBuAGMAZQBcAG4AIAAgAD0ATABBAE0AQgBEAEEAKABcACIAXAAiACkAOwBcAG4AXABuAFYARQBFAFIARwBfADQAXwA3AF8AMQBfADcAXwBfADEAXwBMAGUAYQBjAGgAaQBuAGcAQQBuAGQAUgB1AG4AbwBmAGYARQBtAGkAcwBzAGkAbwBuAHMARgByAG8AbQ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NwBfADEAXwA3AF8AXwAxAF8ATABlAGEAYwBoAGkAbgBnAEEAbgBkAFIAdQBuAG8AZgBmAEUAbQBpAHMAcwBpAG8AbgBzAEYAcgBvAG0AUABhAHMAdAB1AHIAZQBfAEEAcgBnAHUAbQBlAG4AdABzAFwAbgAgACAAPQBMAEEATQBCAEQAQQAoAFwAbgAgACAAIAAgAE0AQQBLAEUAQQBSAFIAQQBZACgAMwAsACAANAAsAFwAbgAgACAAIAAgACAAIABMAEEATQBCAEQAQQAoAHIALABjACwAXABuACAAIAAgACAAIAAgACAAIABJAE4ARABFAFgAKAB7AFwAbgAgACAAIAAgACAAIAAgACAAIAAgAFwAIgBNAF8AbABlAGEAYwBoAFwAIgAsACAAXAAiAG0AYQBzAHMAIABvAGYAIABuAGkAdAByAG8AZwBlAG4AIABsAG8AcwB0ACAAdABvACAAbABlAGEAYwBoAGkAbgBnACAAYQBuAGQAIAByAHUAbgBvAGYAZgBcACIALAAgAFwAIgBrAGcAIABOAFwAIgAsACAAXAAiAEMAYQBsAGMAdQBsAGEAdABlAGQAIABmAHIAbwBtACAANAAuADcALgAxAC4ANwAsACAAKAAyACkAXAAiADsAXABuACAAIAAgACAAIAAgACAAIAAgACAAXAAiAEUARgBfAGwAZQBhAGMAaABcACIALAAgAFwAIg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3AF8AMQBfADcAXwBfADIAXwBNAGEAcwBzAE8AZgBOAGkAdAByAG8AZwBlAG4ATABvAHMAdABUAG8ATABlAGEAYwBoAGkAbgBnAEEAbgBkAFIAdQBuAG8AZgBmAFwAbgBNAGEAcwBzACAAbwBmACAAbgBpAHQAcgBvAGcAZQBuACAAbABvAHMAdAAgAHQAbwAgAGwAZQBhAGMAaABpAG4AZwAgAGEAbgBkACAAcgB1AG4AbwBmAGYAXABuAE0AXwBsAGUAYQBjAGgAXABuAGsAZwAgAE4AXABuAE0AXwB7AGwAZQBhAGMAaAB9AD0AQQBFAFwAXAB0AGkAbQBlAHMAIABGAHIAYQBjAFcAZQB0AFwAXAB0AGkAbQBlAHMAIABGAHIAYQBjAEwARQBBAEMASABcAG4AQQBFACAAPQAgAGEAbgBuAHUAYQBsACAAbgBpAHQAcgBvAGcAZQBuACAAZQB4AGMAcgBlAHQAZQBkACAAYgB5ACAAZQBhAGMAaAAgAGwAaQB2AGUAcwB0AG8AYwBrACAAdAB5AHAAZQAgACgAawBnACAATgAvAHkAZQBhAHIAKQBcAG4ARgByAGEAYwBXAGUAdAAgAD0AIABmAHIAYQBjAHQAaQBvAG4AIABvAGYAIABuAGkAdAByAG8AZwBlAG4AIABhAHYAYQBpAGwAYQBiAGwAZQAgAGYAbwByACAAbABlAGEAYwBoAGkAbgBnACAAYQBuAGQAIAByAHUAbgBvAGYAZgBcAG4ARgByAGEAYwBMAEUAQQBDAEgAIAA9ACAAZgByAGEAYwB0AGkAbwBuACAAbwBmACAAYQBsAGwAIABuAGkAdAByAG8AZwBlAG4AIAB0AGgAYQB0ACAAaQBzACAAbABvAHMAdAAgAHQAaAByAG8AdQBnAGgAIABsAGUAYQBjAGgAaQBuAGcAIABhAG4AZAAgAHIAdQBuAG8AZgBmAFwAbgAtAC0ALQAtAC0ALQAtAC0ALQAtAC0ALQAtAC0ALQAtAC0ALQAtAC0ALQAtAC0ALQAtAC0ALQAtAC0ALQAtAC0ALQAtAC0ALQAtAC0AXABuACoALwBcAG4AXABuAFYARQBFAFIARwBfADQAXwA3AF8AMQBfADcAXwBfADIAXwBNAGEAcwBzAE8AZgBOAGkAdAByAG8AZwBlAG4ATABvAHMAdABUAG8ATABlAGEAYwBoAGkAbgBnAEEAbgBkAFIAdQBuAG8AZgBmAFwAbgAgACAAPQBMAEEATQBCAEQAQQAoAFwAbgAgACAAIAAgAEEARQAsACAARgByAGEAYwBXAGUAdAAsACAARgByAGEAYwBMAEUAQQBDAEgALABcAG4AIAAgACAAIABBAEUAIAAqACAARgByAGEAYwBXAGUAdAAgACoAIABGAHIAYQBjAEwARQBBAEMASABcAG4AIAAgACkAOwBcAG4AXABuAFYARQBFAFIARwBfADQAXwA3AF8AMQBfADcAXwBfADIAXwBNAGEAcwBzAE8AZgBOAGkAdAByAG8AZwBlAG4ATABvAHMAdABUAG8ATABlAGEAYwBoAGkAbgBnAEEAbgBkAFIAdQBuAG8AZgBmAF8AVABpAHQAbABlAFwAbgAgACAAPQBMAEEATQBCAEQAQQAoAFwAIgBNAGEAcwBzACAAbwBmACAAbgBpAHQAcgBvAGcAZQBuACAAbABvAHMAdAAgAHQAbwAgAGwAZQBhAGMAaABpAG4AZwAgAGEAbgBkACAAcgB1AG4AbwBmAGYAXAAiACkAOwBcAG4AXABuAFYARQBFAFIARwBfADQAXwA3AF8AMQBfADcAXwBfADIAXwBNAGEAcwBzAE8AZgBOAGkAdAByAG8AZwBlAG4ATABvAHMAdABUAG8ATABlAGEAYwBoAGkAbgBnAEEAbgBkAFIAdQBuAG8AZgBmAF8AVgBhAHIAaQBhAGIAbABlAFwAbgAgACAAPQBMAEEATQBCAEQAQQAoAFwAIgBNAF8AbABlAGEAYwBoAFwAIgApADsAXABuAFwAbgBWAEUARQBSAEcAXwA0AF8ANwBfADEAXwA3AF8AXwAyAF8ATQBhAHMAcwBPAGYATgBpAHQAcgBvAGcAZQBuAEwAbwBzAHQAVABvAEwAZQBhAGMAaABpAG4AZwBBAG4AZABSAHUAbgBvAGYAZgBfAFUAbgBpAHQAXABuACAAIAA9AEwAQQBNAEIARABBACgAXAAiAGsAZwAgAE4AXAAiACkAOwBcAG4AXABuAFYARQBFAFIARwBfADQAXwA3AF8AMQBfADcAXwBfADIAXwBNAGEAcwBzAE8AZgBOAGkAdAByAG8AZwBlAG4ATABvAHMAdABUAG8ATABlAGEAYwBoAGkAbgBnAEEAbgBkAFIAdQBuAG8AZgBmAF8AUwBvAHUAcgBjAGUAXABuACAAIAA9AEwAQQBNAEIARABBACgAXAAiAFYARQBFAFIARwAgADIAMAAyADYAOgAgADQALgA3AC4AMQAuADcALAAgAEUAcQB1AGEAdABpAG8AbgAgACgAMgApAFwAIgApADsAXABuAFwAbgBWAEUARQBSAEcAXwA0AF8ANwBfADEAXwA3AF8AXwAyAF8ATQBhAHMAcwBPAGYATgBpAHQAcgBvAGcAZQBuAEwAbwBzAHQAVABvAEwAZQBhAGMAaABpAG4AZwBBAG4AZABSAHUAbgBvAGYAZgBfAE4ASQBSAFIAZQBmAGUAcgBlAG4AYwBlAFwAbgAgACAAPQBMAEEATQBCAEQAQQAoAFwAIgBcACIAKQA7AFwAbgBcAG4AVgBFAEUAUgBHAF8ANABfADcAXwAxAF8ANwBfAF8AMgBfAE0AYQBzAHMATwBmAE4AaQB0AHIAbwBnAGUAbgBMAG8AcwB0AFQAbwBMAGUAYQBjAGgAaQBuAGcAQQBuAGQAUgB1AG4AbwBmAGYAXwBMAGEAdABlAHgARQBxAHUAYQB0AGkAbwBuAFwAbgAgACAAPQBMAEEATQBCAEQAQQAoAFwAIgBNAF8AewBsAGUAYQBjAGgAfQA9AEEARQBcAFwAdABpAG0AZQBzACAARgByAGEAYwBXAGUAdABcAFwAdABpAG0AZQBzACAARgByAGEAYwBMAEUAQQBDAEgAXAAiACkAOwBcAG4AXABuAFYARQBFAFIARwBfADQAXwA3AF8AMQBfADcAXwBfADIAXwBNAGEAcwBzAE8AZgBOAGkAdAByAG8AZwBlAG4ATABvAHMAdABUAG8ATABlAGEAYwBoAGkAbgBnAEEAbgBkAFIAdQBuAG8AZgBmAF8AQQByAGcAdQBtAGUAbgB0AHMAXABuACAAIAA9AEwAQQBNAEIARABBACgAXABuACAAIAAgACAATQBBAEsARQBBAFIAUgBBAFkAKAA2ACwAIAA0ACwAXABuACAAIAAgACAAIAAgAEwAQQBNAEIARABBACgAcgAsAGMALABcAG4AIAAgACAAIAAgACAAIAAgAEkATgBEAEUAWAAoAHsAXABuACAAIAAgACAAIAAgACAAIAAgACAAXAAiAEEARQBcACIALAAgAFwAIgBhAG4AbgB1AGEAbAAgAG4AaQB0AHIAbwBnAGUAbgAgAGUAeABjAHIAZQB0AGUAZAAgAGIAeQAgAGUAYQBjAGgAIABsAGkAdgBlAHMAdABvAGMAawAgAHQAeQBwAGUAXAAiACwAIABcACIAawBnACAATgAvAHkAZQBhAHIAXAAiACwAIABcACIAQwBhAGwAYwB1AGwAYQB0AGUAZAAgAGIAeQAgADQALgA3AC4AMQAuADMALAAgACgAMgApAFwAIgA7AFwAbgAgACAAIAAgACAAIAAgACAAIAAgAFwAIgBGAHIAYQBjAFcAZQB0AFwAIgAsACAAXAAiAGYAcgBhAGMAdABpAG8AbgAgAG8AZgAgAG4AaQB0AHIAbwBnAGUAbgAgAGEAdgBhAGkAbABhAGIAbABlACAAZgBvAHIAIABsAGUAYQBjAGgAaQBuAGcAIABhAG4AZAAgAHIAdQBuAG8AZgBmAFwAIgAsACAAXAAiAFwAIgAsACAAXAAiAEMAbwBuAHMAdABhAG4AdABcACIAOwBcAG4AIAAgACAAIAAgACAAIAAgACAAIABcACIARgByAGEAYwBMAEUAQQBDAEgAXAAiACwAIABcACIAZgByAGEAYwB0AGkAbwBuACAAbwBmACAAYQBsAGwAIABuAGkAdAByAG8AZwBlAG4AIAB0AGgAYQB0ACAAaQBzACAAbABvAHMAdAAgAHQAaAByAG8AdQBnAGgAIABsAGUAYQBjAGgAaQBuAGcAIABhAG4AZAAgAHIAdQBuAG8AZgBmAFwAIgAsACAAXAAi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E8AdABoAGUAcgBMAGkAdgBlAHMAdABvAGMAawAuAFMAbwB1AHIAYwBlAEQAYQB0AGEAXwBPAHQAaABlAHIATABpAHYAZQBzAHQAbwBjAGsAXwBFAG4AdABlAHIAaQBjAEYAZQByAG0AZQBuAHQAYQB0AGkAbwBuAEUAbQBpAHMAcwBpAG8AbgBGAGEAYwB0AG8AcgBfAFQAaQB0AGwAZQAiACwAIgBTAG8AdQByAGMAZQBEAGEAdABhAF8ATwB0AGgAZQByAEwAaQB2AGUAcwB0AG8AYwBrAC4AUwBvAHUAcgBjAGUARABhAHQAYQBfAE8AdABoAGUAcgBMAGkAdgBlAHMAdABvAGMAawBfAEUAbgB0AGUAcgBpAGMARgBlAHIAbQBlAG4AdABhAHQAaQBvAG4ARQBtAGkAcwBzAGkAbwBuAEYAYQBjAHQAbwByAF8AVgBhAHIAaQBhAGIAbABlACIALAAiAFMAbwB1AHIAYwBlAEQAYQB0AGEAXwBPAHQAaABlAHIATABpAHYAZQBzAHQAbwBjAGsALgBTAG8AdQByAGMAZQBEAGEAdABhAF8ATwB0AGgAZQByAEwAaQB2AGUAcwB0AG8AYwBrAF8ARQBuAHQAZQByAGkAYwBGAGUAcgBtAGUAbgB0AGEAdABpAG8AbgBFAG0AaQBzAHMAaQBvAG4ARgBhAGMAdABvAHIAXwBVAG4AaQB0ACIALAAiAFMAbwB1AHIAYwBlAEQAYQB0AGEAXwBPAHQAaABlAHIATABpAHYAZQBzAHQAbwBjAGsALgBTAG8AdQByAGMAZQBEAGEAdABhAF8ATwB0AGgAZQByAEwAaQB2AGUAcwB0AG8AYwBrAF8ARQBuAHQAZQByAGkAYwBGAGUAcgBtAGUAbgB0AGEAdABpAG8AbgBFAG0AaQBzAHMAaQBvAG4ARgBhAGMAdABvAHIAXwBTAG8AdQByAGMAZQAiACwAIgBTAG8AdQByAGMAZQBEAGEAdABhAF8ATwB0AGgAZQByAEwAaQB2AGUAcwB0AG8AYwBrAC4AUwBvAHUAcgBjAGUARABhAHQAYQBfAE8AdABoAGUAcgBMAGkAdgBlAHMAdABvAGMAawBfAEUAbgB0AGUAcgBpAGMARgBlAHIAbQBlAG4AdABhAHQAaQBvAG4ARQBtAGkAcwBzAGkAbwBuAEYAYQBjAHQAbwByAF8AVgBhAHIAaQBhAHQAaQBvAG4AIgAsACIAUwBvAHUAcgBjAGUARABhAHQAYQBfAE8AdABoAGUAcgBMAGkAdgBlAHMAdABvAGMAawAuAFMAbwB1AHIAYwBlAEQAYQB0AGEAXwBPAHQAaABlAHIATABpAHYAZQBzAHQAbwBjAGsAXwBFAG4AdABlAHIAaQBjAEYAZQByAG0AZQBuAHQAYQB0AGkAbwBuAEUAbQBpAHMAcwBpAG8AbgBGAGEAYwB0AG8AcgBfAEQAYQB0AGEAIgAsACIAUwBvAHUAcgBjAGUARABhAHQAYQBfAE8AdABoAGUAcgBMAGkAdgBlAHMAdABvAGMAawAuAFMAbwB1AHIAYwBlAEQAYQB0AGEAXwBPAHQAaABlAHIATABpAHYAZQBzAHQAbwBjAGsAXwBWAG8AbABhAHQAaQBsAGUAUwBvAGwAaQBkAHMAUAByAG8AZAB1AGMAZQBkAF8AVABpAHQAbABlACIALAAiAFMAbwB1AHIAYwBlAEQAYQB0AGEAXwBPAHQAaABlAHIATABpAHYAZQBzAHQAbwBjAGsALgBTAG8AdQByAGMAZQBEAGEAdABhAF8ATwB0AGgAZQByAEwAaQB2AGUAcwB0AG8AYwBrAF8AVgBvAGwAYQB0AGkAbABlAFMAbwBsAGkAZABzAFAAcgBvAGQAdQBjAGUAZABfAFYAYQByAGkAYQBiAGwAZQAiACwAIgBTAG8AdQByAGMAZQBEAGEAdABhAF8ATwB0AGgAZQByAEwAaQB2AGUAcwB0AG8AYwBrAC4AUwBvAHUAcgBjAGUARABhAHQAYQBfAE8AdABoAGUAcgBMAGkAdgBlAHMAdABvAGMAawBfAFYAbwBsAGEAdABpAGwAZQBTAG8AbABpAGQAcwBQAHIAbwBkAHUAYwBlAGQAXwBVAG4AaQB0ACIALAAiAFMAbwB1AHIAYwBlAEQAYQB0AGEAXwBPAHQAaABlAHIATABpAHYAZQBzAHQAbwBjAGsALgBTAG8AdQByAGMAZQBEAGEAdABhAF8ATwB0AGgAZQByAEwAaQB2AGUAcwB0AG8AYwBrAF8AVgBvAGwAYQB0AGkAbABlAFMAbwBsAGkAZABzAFAAcgBvAGQAdQBjAGUAZABfAFMAbwB1AHIAYwBlACIALAAiAFMAbwB1AHIAYwBlAEQAYQB0AGEAXwBPAHQAaABlAHIATABpAHYAZQBzAHQAbwBjAGsALgBTAG8AdQByAGMAZQBEAGEAdABhAF8ATwB0AGgAZQByAEwAaQB2AGUAcwB0AG8AYwBrAF8AVgBvAGwAYQB0AGkAbABlAFMAbwBsAGkAZABzAFAAcgBvAGQAdQBjAGUAZABfAFYAYQByAGkAYQB0AGkAbwBuACIALAAiAFMAbwB1AHIAYwBlAEQAYQB0AGEAXwBPAHQAaABlAHIATABpAHYAZQBzAHQAbwBjAGsALgBTAG8AdQByAGMAZQBEAGEAdABhAF8ATwB0AGgAZQByAEwAaQB2AGUAcwB0AG8AYwBrAF8AVgBvAGwAYQB0AGkAbABlAFMAbwBsAGkAZABzAFAAcgBvAGQAdQBjAGUAZABfAEQAYQB0AGEAIgAsACIAUwBvAHUAcgBjAGUARABhAHQAYQBfAE8AdABoAGUAcgBMAGkAdgBlAHMAdABvAGMAawAuAFMAbwB1AHIAYwBlAEQAYQB0AGEAXwBPAHQAaABlAHIATABpAHYAZQBzAHQAbwBjAGsAXwBOAGkAdAByAG8AZwBlAG4ARQB4AGMAcgBlAHQAZQBkAF8AVABpAHQAbABlACIALAAiAFMAbwB1AHIAYwBlAEQAYQB0AGEAXwBPAHQAaABlAHIATABpAHYAZQBzAHQAbwBjAGsALgBTAG8AdQByAGMAZQBEAGEAdABhAF8ATwB0AGgAZQByAEwAaQB2AGUAcwB0AG8AYwBrAF8ATgBpAHQAcgBvAGcAZQBuAEUAeABjAHIAZQB0AGUAZABfAFYAYQByAGkAYQBiAGwAZQAiACwAIgBTAG8AdQByAGMAZQBEAGEAdABhAF8ATwB0AGgAZQByAEwAaQB2AGUAcwB0AG8AYwBrAC4AUwBvAHUAcgBjAGUARABhAHQAYQBfAE8AdABoAGUAcgBMAGkAdgBlAHMAdABvAGMAawBfAE4AaQB0AHIAbwBnAGUAbgBFAHgAYwByAGUAdABlAGQAXwBVAG4AaQB0ACIALAAiAFMAbwB1AHIAYwBlAEQAYQB0AGEAXwBPAHQAaABlAHIATABpAHYAZQBzAHQAbwBjAGsALgBTAG8AdQByAGMAZQBEAGEAdABhAF8ATwB0AGgAZQByAEwAaQB2AGUAcwB0AG8AYwBrAF8ATgBpAHQAcgBvAGcAZQBuAEUAeABjAHIAZQB0AGUAZABfAFMAbwB1AHIAYwBlACIALAAiAFMAbwB1AHIAYwBlAEQAYQB0AGEAXwBPAHQAaABlAHIATABpAHYAZQBzAHQAbwBjAGsALgBTAG8AdQByAGMAZQBEAGEAdABhAF8ATwB0AGgAZQByAEwAaQB2AGUAcwB0AG8AYwBrAF8ATgBpAHQAcgBvAGcAZQBuAEUAeABjAHIAZQB0AGUAZABfAFYAYQByAGkAYQB0AGkAbwBuACIALAAiAFMAbwB1AHIAYwBlAEQAYQB0AGEAXwBPAHQAaABlAHIATABpAHYAZQBzAHQAbwBjAGsALgBTAG8AdQByAGMAZQBEAGEAdABhAF8ATwB0AGgAZQByAEwAaQB2AGUAcwB0AG8AYwBrAF8ATgBpAHQAcgBvAGcAZQBuAEUAeABjAHIAZQB0AGUAZABfAEQAYQB0AGEAIgAsACIAUwBvAHUAcgBjAGUARABhAHQAYQBfAE8AdABoAGUAcgBMAGkAdgBlAHMAdABvAGMAawAuAFMAbwB1AHIAYwBlAEQAYQB0AGEAXwBPAHQAaABlAHIATABpAHYAZQBzAHQAbwBjAGsAXwBBAHYAZQByAGEAZwBlAEwAaQB2AGUAdwBlAGkAZwBoAHQAXwBUAGkAdABsAGUAIgAsACIAUwBvAHUAcgBjAGUARABhAHQAYQBfAE8AdABoAGUAcgBMAGkAdgBlAHMAdABvAGMAawAuAFMAbwB1AHIAYwBlAEQAYQB0AGEAXwBPAHQAaABlAHIATABpAHYAZQBzAHQAbwBjAGsAXwBBAHYAZQByAGEAZwBlAEwAaQB2AGUAdwBlAGkAZwBoAHQAXwBWAGEAcgBpAGEAYgBsAGUAIgAsACIAUwBvAHUAcgBjAGUARABhAHQAYQBfAE8AdABoAGUAcgBMAGkAdgBlAHMAdABvAGMAawAuAFMAbwB1AHIAYwBlAEQAYQB0AGEAXwBPAHQAaABlAHIATABpAHYAZQBzAHQAbwBjAGsAXwBBAHYAZQByAGEAZwBlAEwAaQB2AGUAdwBlAGkAZwBoAHQAXwBVAG4AaQB0ACIALAAiAFMAbwB1AHIAYwBlAEQAYQB0AGEAXwBPAHQAaABlAHIATABpAHYAZQBzAHQAbwBjAGsALgBTAG8AdQByAGMAZQBEAGEAdABhAF8ATwB0AGgAZQByAEwAaQB2AGUAcwB0AG8AYwBrAF8AQQB2AGUAcgBhAGcAZQBMAGkAdgBlAHcAZQBpAGcAaAB0AF8AUwBvAHUAcgBjAGUAIgAsACIAUwBvAHUAcgBjAGUARABhAHQAYQBfAE8AdABoAGUAcgBMAGkAdgBlAHMAdABvAGMAawAuAFMAbwB1AHIAYwBlAEQAYQB0AGEAXwBPAHQAaABlAHIATABpAHYAZQBzAHQAbwBjAGsAXwBBAHYAZQByAGEAZwBlAEwAaQB2AGUAdwBlAGkAZwBoAHQAXwBWAGEAcgBpAGEAdABpAG8AbgAiACwAIgBTAG8AdQByAGMAZQBEAGEAdABhAF8ATwB0AGgAZQByAEwAaQB2AGUAcwB0AG8AYwBrAC4AUwBvAHUAcgBjAGUARABhAHQAYQBfAE8AdABoAGUAcgBMAGkAdgBlAHMAdABvAGMAawBfAEEAdgBlAHIAYQBnAGUATABpAHYAZQB3AGUAaQBnAGgAdABfAEQAYQB0AGEAIgAsACIAUwBvAHUAcgBjAGUARABhAHQAYQBfAE8AdABoAGUAcgBMAGkAdgBlAHMAdABvAGMAawAuAFMAbwB1AHIAYwBlAEQAYQB0AGEAXwBPAHQAaABlAHIATABpAHYAZQBzAHQAbwBjAGsAXwBGAHIAYQBjAHQAaQBvAG4AVwBhAHMAdABlAEkAbgBNAE0AUwBfAFQAaQB0AGwAZQAiACwAIgBTAG8AdQByAGMAZQBEAGEAdABhAF8ATwB0AGgAZQByAEwAaQB2AGUAcwB0AG8AYwBrAC4AUwBvAHUAcgBjAGUARABhAHQAYQBfAE8AdABoAGUAcgBMAGkAdgBlAHMAdABvAGMAawBfAEYAcgBhAGMAdABpAG8AbgBXAGEAcwB0AGUASQBuAE0ATQBTAF8AVgBhAHIAaQBhAGIAbABlACIALAAiAFMAbwB1AHIAYwBlAEQAYQB0AGEAXwBPAHQAaABlAHIATABpAHYAZQBzAHQAbwBjAGsALgBTAG8AdQByAGMAZQBEAGEAdABhAF8ATwB0AGgAZQByAEwAaQB2AGUAcwB0AG8AYwBrAF8ARgByAGEAYwB0AGkAbwBuAFcAYQBzAHQAZQBJAG4ATQBNAFMAXwBVAG4AaQB0ACIALAAiAFMAbwB1AHIAYwBlAEQAYQB0AGEAXwBPAHQAaABlAHIATABpAHYAZQBzAHQAbwBjAGsALgBTAG8AdQByAGMAZQBEAGEAdABhAF8ATwB0AGgAZQByAEwAaQB2AGUAcwB0AG8AYwBrAF8ARgByAGEAYwB0AGkAbwBuAFcAYQBzAHQAZQBJAG4ATQBNAFMAXwBTAG8AdQByAGMAZQAiACwAIgBTAG8AdQByAGMAZQBEAGEAdABhAF8ATwB0AGgAZQByAEwAaQB2AGUAcwB0AG8AYwBrAC4AUwBvAHUAcgBjAGUARABhAHQAYQBfAE8AdABoAGUAcgBMAGkAdgBlAHMAdABvAGMAawBfAEYAcgBhAGMAdABpAG8AbgBXAGEAcwB0AGUASQBuAE0ATQBTAF8AVgBhAHIAaQBhAHQAaQBvAG4AIgAsACIAUwBvAHUAcgBjAGUARABhAHQAYQBfAE8AdABoAGUAcgBMAGkAdgBlAHMAdABvAGMAawAuAFMAbwB1AHIAYwBlAEQAYQB0AGEAXwBPAHQAaABlAHIATABpAHYAZQBzAHQAbwBjAGsAXwBGAHIAYQBjAHQAaQBvAG4AVwBhAHMAdABlAEkAbgBNAE0AUwBfAEQAYQB0AGEAIgAsACIAUwBvAHUAcgBjAGUARABhAHQAYQBfAE8AdABoAGUAcgBMAGkAdgBlAHMAdABvAGMAawAuAFMAbwB1AHIAYwBlAEQAYQB0AGEAXwBPAHQAaABlAHIATABpAHYAZQBzAHQAbwBjAGsAXwBNAGUAdABoAGEAbgBlAEMAbwBuAHYAZQByAHMAaQBvAG4ARgBhAGMAdABvAHIAXwBUAGkAdABsAGUAIgAsACIAUwBvAHUAcgBjAGUARABhAHQAYQBfAE8AdABoAGUAcgBMAGkAdgBlAHMAdABvAGMAawAuAFMAbwB1AHIAYwBlAEQAYQB0AGEAXwBPAHQAaABlAHIATABpAHYAZQBzAHQAbwBjAGsAXwBNAGUAdABoAGEAbgBlAEMAbwBuAHYAZQByAHMAaQBvAG4ARgBhAGMAdABvAHIAXwBWAGEAcgBpAGEAYgBsAGUAIgAsACIAUwBvAHUAcgBjAGUARABhAHQAYQBfAE8AdABoAGUAcgBMAGkAdgBlAHMAdABvAGMAawAuAFMAbwB1AHIAYwBlAEQAYQB0AGEAXwBPAHQAaABlAHIATABpAHYAZQBzAHQAbwBjAGsAXwBNAGUAdABoAGEAbgBlAEMAbwBuAHYAZQByAHMAaQBvAG4ARgBhAGMAdABvAHIAXwBVAG4AaQB0ACIALAAiAFMAbwB1AHIAYwBlAEQAYQB0AGEAXwBPAHQAaABlAHIATABpAHYAZQBzAHQAbwBjAGsALgBTAG8AdQByAGMAZQBEAGEAdABhAF8ATwB0AGgAZQByAEwAaQB2AGUAcwB0AG8AYwBrAF8ATQBlAHQAaABhAG4AZQBDAG8AbgB2AGUAcgBzAGkAbwBuAEYAYQBjAHQAbwByAF8AUwBvAHUAcgBjAGUAIgAsACIAUwBvAHUAcgBjAGUARABhAHQAYQBfAE8AdABoAGUAcgBMAGkAdgBlAHMAdABvAGMAawAuAFMAbwB1AHIAYwBlAEQAYQB0AGEAXwBPAHQAaABlAHIATABpAHYAZQBzAHQAbwBjAGsAXwBNAGUAdABoAGEAbgBlAEMAbwBuAHYAZQByAHMAaQBvAG4ARgBhAGMAdABvAHIAXwBWAGEAcgBpAGEAdABpAG8AbgAiACwAIgBTAG8AdQByAGMAZQBEAGEAdABhAF8ATwB0AGgAZQByAEwAaQB2AGUAcwB0AG8AYwBrAC4AUwBvAHUAcgBjAGUARABhAHQAYQBfAE8AdABoAGUAcgBMAGkAdgBlAHMAdABvAGMAawBfAE0AZQB0AGgAYQBuAGUAQwBvAG4AdgBlAHIAcwBpAG8AbgBGAGEAYwB0AG8AcgBfAEQAYQB0AGEAIgAsACIAUwBvAHUAcgBjAGUARABhAHQAYQBfAE8AdABoAGUAcgBMAGkAdgBlAHMAdABvAGMAawAuAFMAbwB1AHIAYwBlAEQAYQB0AGEAXwBPAHQAaABlAHIATABpAHYAZQBzAHQAbwBjAGsAXwBNAGUAdABoAGEAbgBlAEUAbQBpAHMAcwBpAG8AbgBzAFAAbwB0AGUAbgB0AGkAYQBsAF8AVABpAHQAbABlACIALAAiAFMAbwB1AHIAYwBlAEQAYQB0AGEAXwBPAHQAaABlAHIATABpAHYAZQBzAHQAbwBjAGsALgBTAG8AdQByAGMAZQBEAGEAdABhAF8ATwB0AGgAZQByAEwAaQB2AGUAcwB0AG8AYwBrAF8ATQBlAHQAaABhAG4AZQBFAG0AaQBzAHMAaQBvAG4AcwBQAG8AdABlAG4AdABpAGEAbABfAFYAYQByAGkAYQBiAGwAZQAiACwAIgBTAG8AdQByAGMAZQBEAGEAdABhAF8ATwB0AGgAZQByAEwAaQB2AGUAcwB0AG8AYwBrAC4AUwBvAHUAcgBjAGUARABhAHQAYQBfAE8AdABoAGUAcgBMAGkAdgBlAHMAdABvAGMAawBfAE0AZQB0AGgAYQBuAGUARQBtAGkAcwBzAGkAbwBuAHMAUABvAHQAZQBuAHQAaQBhAGwAXwBVAG4AaQB0ACIALAAiAFMAbwB1AHIAYwBlAEQAYQB0AGEAXwBPAHQAaABlAHIATABpAHYAZQBzAHQAbwBjAGsALgBTAG8AdQByAGMAZQBEAGEAdABhAF8ATwB0AGgAZQByAEwAaQB2AGUAcwB0AG8AYwBrAF8ATQBlAHQAaABhAG4AZQBFAG0AaQBzAHMAaQBvAG4AcwBQAG8AdABlAG4AdABpAGEAbABfAFMAbwB1AHIAYwBlACIALAAiAFMAbwB1AHIAYwBlAEQAYQB0AGEAXwBPAHQAaABlAHIATABpAHYAZQBzAHQAbwBjAGsALgBTAG8AdQByAGMAZQBEAGEAdABhAF8ATwB0AGgAZQByAEwAaQB2AGUAcwB0AG8AYwBrAF8ATQBlAHQAaABhAG4AZQBFAG0AaQBzAHMAaQBvAG4AcwBQAG8AdABlAG4AdABpAGEAbABfAFYAYQByAGkAYQB0AGkAbwBuACIALAAiAFMAbwB1AHIAYwBlAEQAYQB0AGEAXwBPAHQAaABlAHIATABpAHYAZQBzAHQAbwBjAGsALgBTAG8AdQByAGMAZQBEAGEAdABhAF8ATwB0AGgAZQByAEwAaQB2AGUAcwB0AG8AYwBrAF8ATQBlAHQAaABhAG4AZQBFAG0AaQBzAHMAaQBvAG4AcwBQAG8AdABlAG4AdABpAGEAbABfAEQAYQB0AGEAIgAsACIAUwBvAHUAcgBjAGUARABhAHQAYQBfAE8AdABoAGUAcgBMAGkAdgBlAHMAdABvAGMAawAuAFMAbwB1AHIAYwBlAEQAYQB0AGEAXwBPAHQAaABlAHIATABpAHYAZQBzAHQAbwBjAGsAXwBGAHIAYQBjAEcAQQBTAE0AUwBvAGkAbABfAFQAaQB0AGwAZQAiACwAIgBTAG8AdQByAGMAZQBEAGEAdABhAF8ATwB0AGgAZQByAEwAaQB2AGUAcwB0AG8AYwBrAC4AUwBvAHUAcgBjAGUARABhAHQAYQBfAE8AdABoAGUAcgBMAGkAdgBlAHMAdABvAGMAawBfAEYAcgBhAGMARwBBAFMATQBTAG8AaQBsAF8AVgBhAHIAaQBhAGIAbABlACIALAAiAFMAbwB1AHIAYwBlAEQAYQB0AGEAXwBPAHQAaABlAHIATABpAHYAZQBzAHQAbwBjAGsALgBTAG8AdQByAGMAZQBEAGEAdABhAF8ATwB0AGgAZQByAEwAaQB2AGUAcwB0AG8AYwBrAF8ARgByAGEAYwBHAEEAUwBNAFMAbwBpAGwAXwBVAG4AaQB0ACIALAAiAFMAbwB1AHIAYwBlAEQAYQB0AGEAXwBPAHQAaABlAHIATABpAHYAZQBzAHQAbwBjAGsALgBTAG8AdQByAGMAZQBEAGEAdABhAF8ATwB0AGgAZQByAEwAaQB2AGUAcwB0AG8AYwBrAF8ARgByAGEAYwBHAEEAUwBNAFMAbwBpAGwAXwBTAG8AdQByAGMAZQAiACwAIgBTAG8AdQByAGMAZQBEAGEAdABhAF8ATwB0AGgAZQByAEwAaQB2AGUAcwB0AG8AYwBrAC4AUwBvAHUAcgBjAGUARABhAHQAYQBfAE8AdABoAGUAcgBMAGkAdgBlAHMAdABvAGMAawBfAEYAcgBhAGMARwBBAFMATQBTAG8AaQBsAF8AVgBhAHIAaQBhAHQAaQBvAG4AIgAsACIAUwBvAHUAcgBjAGUARABhAHQAYQBfAE8AdABoAGUAcgBMAGkAdgBlAHMAdABvAGMAawAuAFMAbwB1AHIAYwBlAEQAYQB0AGEAXwBPAHQAaABlAHIATABpAHYAZQBzAHQAbwBjAGsAXwBGAHIAYQBjAEcAQQBTAE0AUwBvAGkAbABfAEQAYQB0AGEAIgAsACIATQBNAFMAXwBPAHQAaABlAHIATABpAHYAZQBzAHQAbwBjAGsAXwBNAGUAdABoAGEAbgBlAF8ARQBxAHUAYQB0AGkAbwBuAHMALgBWAEUARQBSAEcAXwA0AF8ANwBfADEAXwAxAF8AXwAxAF8AVABvAHQAYQBsAEEAbgBuAHUAYQBsAE0AZQB0AGgAYQBuAGUAUAByAG8AZAB1AGMAdABpAG8AbgBGAHIAbwBtAE0AYQBuAHUAcgBlAE0AYQBuAGEAZwBlAG0AZQBuAHQATwB0AGgAZQByAEwAaQB2AGUAcwB0AG8AYwBrACIALAAiAE0ATQBTAF8ATwB0AGgAZQByAEwAaQB2AGUAcwB0AG8AYwBrAF8ATQBlAHQAaABhAG4AZQBfAEUAcQB1AGEAdABpAG8AbgBzAC4AVgBFAEUAUgBHAF8ANABfADcAXwAxAF8AMQBfAF8AMQBfAFQAbwB0AGEAbABBAG4AbgB1AGEAbABNAGUAdABoAGEAbgBlAFAAcgBvAGQAdQBjAHQAaQBvAG4ARgByAG8AbQBNAGEAbgB1AHIAZQBNAGEAbgBhAGcAZQBtAGUAbgB0AE8AdABoAGUAcgBMAGkAdgBlAHMAdABvAGMAawBfAFQAaQB0AGwAZQAiACwAIgBNAE0AUwBfAE8AdABoAGUAcgBMAGkAdgBlAHMAdABvAGMAawBfAE0AZQB0AGgAYQBuAGUAXwBFAHEAdQBhAHQAaQBvAG4AcwAuAFYARQBFAFIARwBfADQAXwA3AF8AMQBfADEAXwBfADEAXwBUAG8AdABhAGwAQQBuAG4AdQBhAGwATQBlAHQAaABhAG4AZQBQAHIAbwBkAHUAYwB0AGkAbwBuAEYAcgBvAG0ATQBhAG4AdQByAGUATQBhAG4AYQBnAGUAbQBlAG4AdABPAHQAaABlAHIATABpAHYAZQBzAHQAbwBjAGsAXwBWAGEAcgBpAGEAYgBsAGUAIgAsACIATQBNAFMAXwBPAHQAaABlAHIATABpAHYAZQBzAHQAbwBjAGsAXwBNAGUAdABoAGEAbgBlAF8ARQBxAHUAYQB0AGkAbwBuAHMALgBWAEUARQBSAEcAXwA0AF8ANwBfADEAXwAxAF8AXwAxAF8AVABvAHQAYQBsAEEAbgBuAHUAYQBsAE0AZQB0AGgAYQBuAGUAUAByAG8AZAB1AGMAdABpAG8AbgBGAHIAbwBtAE0AYQBuAHUAcgBlAE0AYQBuAGEAZwBlAG0AZQBuAHQATwB0AGgAZQByAEwAaQB2AGUAcwB0AG8AYwBrAF8AVQBuAGkAdAAiACwAIgBNAE0AUwBfAE8AdABoAGUAcgBMAGkAdgBlAHMAdABvAGMAawBfAE0AZQB0AGgAYQBuAGUAXwBFAHEAdQBhAHQAaQBvAG4AcwAuAFYARQBFAFIARwBfADQAXwA3AF8AMQBfADEAXwBfADEAXwBUAG8AdABhAGwAQQBuAG4AdQBhAGwATQBlAHQAaABhAG4AZQBQAHIAbwBkAHUAYwB0AGkAbwBuAEYAcgBvAG0ATQBhAG4AdQByAGUATQBhAG4AYQBnAGUAbQBlAG4AdABPAHQAaABlAHIATABpAHYAZQBzAHQAbwBjAGsAXwBTAG8AdQByAGMAZQAiACwAIgBNAE0AUwBfAE8AdABoAGUAcgBMAGkAdgBlAHMAdABvAGMAawBfAE0AZQB0AGgAYQBuAGUAXwBFAHEAdQBhAHQAaQBvAG4AcwAuAFYARQBFAFIARwBfADQAXwA3AF8AMQBfADEAXwBfADEAXwBUAG8AdABhAGwAQQBuAG4AdQBhAGwATQBlAHQAaABhAG4AZQBQAHIAbwBkAHUAYwB0AGkAbwBuAEYAcgBvAG0ATQBhAG4AdQByAGUATQBhAG4AYQBnAGUAbQBlAG4AdABPAHQAaABlAHIATABpAHYAZQBzAHQAbwBjAGsAXwBOAEkAUgBSAGUAZgBlAHIAZQBuAGMAZQAiACwAIgBNAE0AUwBfAE8AdABoAGUAcgBMAGkAdgBlAHMAdABvAGMAawBfAE0AZQB0AGgAYQBuAGUAXwBFAHEAdQBhAHQAaQBvAG4AcwAuAFYARQBFAFIARwBfADQAXwA3AF8AMQBfADEAXwBfADEAXwBUAG8AdABhAGwAQQBuAG4AdQBhAGwATQBlAHQAaABhAG4AZQBQAHIAbwBkAHUAYwB0AGkAbwBuAEYAcgBvAG0ATQBhAG4AdQByAGUATQBhAG4AYQBnAGUAbQBlAG4AdABPAHQAaABlAHIATABpAHYAZQBzAHQAbwBjAGsAXwBMAGEAdABlAHgARQBxAHUAYQB0AGkAbwBuACIALAAiAE0ATQBTAF8ATwB0AGgAZQByAEwAaQB2AGUAcwB0AG8AYwBrAF8ATQBlAHQAaABhAG4AZQBfAEUAcQB1AGEAdABpAG8AbgBzAC4AVgBFAEUAUgBHAF8ANABfADcAXwAxAF8AMQBfAF8AMQBfAFQAbwB0AGEAbABBAG4AbgB1AGEAbABNAGUAdABoAGEAbgBlAFAAcgBvAGQAdQBjAHQAaQBvAG4ARgByAG8AbQBNAGEAbgB1AHIAZQBNAGEAbgBhAGcAZQBtAGUAbgB0AE8AdABoAGUAcgBMAGkAdgBlAHMAdABvAGMAawBfAEEAcgBnAHUAbQBlAG4AdABzACIALAAiAE0ATQBTAF8ATwB0AGgAZQByAEwAaQB2AGUAcwB0AG8AYwBrAF8ATQBlAHQAaABhAG4AZQBfAEUAcQB1AGEAdABpAG8AbgBzAC4AVgBFAEUAUgBHAF8ANABfADcAXwAxAF8AMQBfAF8AMgBfAEEAbgBuAHUAYQBsAE0AZQB0AGgAYQBuAGUAUAByAG8AZAB1AGMAdABpAG8AbgBGAHIAbwBtAE0AYQBuAHUAcgBlAE0AYQBuAGEAZwBlAG0AZQBuAHQAIgAsACIATQBNAFMAXwBPAHQAaABlAHIATABpAHYAZQBzAHQAbwBjAGsAXwBNAGUAdABoAGEAbgBlAF8ARQBxAHUAYQB0AGkAbwBuAHMALgBWAEUARQBSAEcAXwA0AF8ANwBfADEAXwAxAF8AXwAyAF8AQQBuAG4AdQBhAGwATQBlAHQAaABhAG4AZQBQAHIAbwBkAHUAYwB0AGkAbwBuAEYAcgBvAG0ATQBhAG4AdQByAGUATQBhAG4AYQBnAGUAbQBlAG4AdABfAFQAaQB0AGwAZQAiACwAIgBNAE0AUwBfAE8AdABoAGUAcgBMAGkAdgBlAHMAdABvAGMAawBfAE0AZQB0AGgAYQBuAGUAXwBFAHEAdQBhAHQAaQBvAG4AcwAuAFYARQBFAFIARwBfADQAXwA3AF8AMQBfADEAXwBfADIAXwBBAG4AbgB1AGEAbABNAGUAdABoAGEAbgBlAFAAcgBvAGQAdQBjAHQAaQBvAG4ARgByAG8AbQBNAGEAbgB1AHIAZQBNAGEAbgBhAGcAZQBtAGUAbgB0AF8AVgBhAHIAaQBhAGIAbABlACIALAAiAE0ATQBTAF8ATwB0AGgAZQByAEwAaQB2AGUAcwB0AG8AYwBrAF8ATQBlAHQAaABhAG4AZQBfAEUAcQB1AGEAdABpAG8AbgBzAC4AVgBFAEUAUgBHAF8ANABfADcAXwAxAF8AMQBfAF8AMgBfAEEAbgBuAHUAYQBsAE0AZQB0AGgAYQBuAGUAUAByAG8AZAB1AGMAdABpAG8AbgBGAHIAbwBtAE0AYQBuAHUAcgBlAE0AYQBuAGEAZwBlAG0AZQBuAHQAXwBVAG4AaQB0ACIALAAiAE0ATQBTAF8ATwB0AGgAZQByAEwAaQB2AGUAcwB0AG8AYwBrAF8ATQBlAHQAaABhAG4AZQBfAEUAcQB1AGEAdABpAG8AbgBzAC4AVgBFAEUAUgBHAF8ANABfADcAXwAxAF8AMQBfAF8AMgBfAEEAbgBuAHUAYQBsAE0AZQB0AGgAYQBuAGUAUAByAG8AZAB1AGMAdABpAG8AbgBGAHIAbwBtAE0AYQBuAHUAcgBlAE0AYQBuAGEAZwBlAG0AZQBuAHQAXwBTAG8AdQByAGMAZQAiACwAIgBNAE0AUwBfAE8AdABoAGUAcgBMAGkAdgBlAHMAdABvAGMAawBfAE0AZQB0AGgAYQBuAGUAXwBFAHEAdQBhAHQAaQBvAG4AcwAuAFYARQBFAFIARwBfADQAXwA3AF8AMQBfADEAXwBfADIAXwBBAG4AbgB1AGEAbABNAGUAdABoAGEAbgBlAFAAcgBvAGQAdQBjAHQAaQBvAG4ARgByAG8AbQBNAGEAbgB1AHIAZQBNAGEAbgBhAGcAZQBtAGUAbgB0AF8ATgBJAFIAUgBlAGYAZQByAGUAbgBjAGUAIgAsACIATQBNAFMAXwBPAHQAaABlAHIATABpAHYAZQBzAHQAbwBjAGsAXwBNAGUAdABoAGEAbgBlAF8ARQBxAHUAYQB0AGkAbwBuAHMALgBWAEUARQBSAEcAXwA0AF8ANwBfADEAXwAxAF8AXwAyAF8AQQBuAG4AdQBhAGwATQBlAHQAaABhAG4AZQBQAHIAbwBkAHUAYwB0AGkAbwBuAEYAcgBvAG0ATQBhAG4AdQByAGUATQBhAG4AYQBnAGUAbQBlAG4AdABfAEwAYQB0AGUAeABFAHEAdQBhAHQAaQBvAG4AIgAsACIATQBNAFMAXwBPAHQAaABlAHIATABpAHYAZQBzAHQAbwBjAGsAXwBNAGUAdABoAGEAbgBlAF8ARQBxAHUAYQB0AGkAbwBuAHMALgBWAEUARQBSAEcAXwA0AF8ANwBfADEAXwAxAF8AXwAyAF8AQQBuAG4AdQBhAGwATQBlAHQAaABhAG4AZQBQAHIAbwBkAHUAYwB0AGkAbwBuAEYAcgBvAG0ATQBhAG4AdQByAGUATQBhAG4AYQBnAGUAbQBlAG4AdABfAEEAcgBnAHUAbQBlAG4AdABzACIALAAiAE0ATQBTAF8ATwB0AGgAZQByAEwAaQB2AGUAcwB0AG8AYwBrAF8ATQBlAHQAaABhAG4AZQBfAEUAcQB1AGEAdABpAG8AbgBzAC4AVgBFAEUAUgBHAF8ANABfADcAXwAxAF8AMQBfAF8AMgBfAEEAbgBuAHUAYQBsAE0AZQB0AGgAYQBuAGUAUAByAG8AZAB1AGMAdABpAG8AbgBGAHIAbwBtAE0AYQBuAHUAcgBlAE0AYQBuAGEAZwBlAG0AZQBuAHQAXwBBAHIAZwB1AG0AZQBuAHQAcwBfAE0AZQB0AGgAbwBkADIAIgAsACIATQBNAFMAXwBPAHQAaABlAHIATABpAHYAZQBzAHQAbwBjAGsAXwBTAG8AaQBsAF8ATgAyAE8ARABpAHIAZQBjAHQALgBWAEUARQBSAEcAXwA0AF8ANwBfADEAXwAzAF8AXwAxAF8ARABpAHIAZQBjAHQATgBpAHQAcgBvAHUAcwBPAHgAaQBkAGUARQBtAGkAcwBzAGkAbwBuAHMARgByAG8AbQBTAG8AaQBsACIALAAiAE0ATQBTAF8ATwB0AGgAZQByAEwAaQB2AGUAcwB0AG8AYwBrAF8AUwBvAGkAbABfAE4AMgBPAEQAaQByAGUAYwB0AC4AVgBFAEUAUgBHAF8ANABfADcAXwAxAF8AMwBfAF8AMQBfAEQAaQByAGUAYwB0AE4AaQB0AHIAbwB1AHMATwB4AGkAZABlAEUAbQBpAHMAcwBpAG8AbgBzAEYAcgBvAG0AUwBvAGkAbABfAFQAaQB0AGwAZQAiACwAIgBNAE0AUwBfAE8AdABoAGUAcgBMAGkAdgBlAHMAdABvAGMAawBfAFMAbwBpAGwAXwBOADIATwBEAGkAcgBlAGMAdAAuAFYARQBFAFIARwBfADQAXwA3AF8AMQBfADMAXwBfADEAXwBEAGkAcgBlAGMAdABOAGkAdAByAG8AdQBzAE8AeABpAGQAZQBFAG0AaQBzAHMAaQBvAG4AcwBGAHIAbwBtAFMAbwBpAGwAXwBWAGEAcgBpAGEAYgBsAGUAIgAsACIATQBNAFMAXwBPAHQAaABlAHIATABpAHYAZQBzAHQAbwBjAGsAXwBTAG8AaQBsAF8ATgAyAE8ARABpAHIAZQBjAHQALgBWAEUARQBSAEcAXwA0AF8ANwBfADEAXwAzAF8AXwAxAF8ARABpAHIAZQBjAHQATgBpAHQAcgBvAHUAcwBPAHgAaQBkAGUARQBtAGkAcwBzAGkAbwBuAHMARgByAG8AbQBTAG8AaQBsAF8AVQBuAGkAdAAiACwAIgBNAE0AUwBfAE8AdABoAGUAcgBMAGkAdgBlAHMAdABvAGMAawBfAFMAbwBpAGwAXwBOADIATwBEAGkAcgBlAGMAdAAuAFYARQBFAFIARwBfADQAXwA3AF8AMQBfADMAXwBfADEAXwBEAGkAcgBlAGMAdABOAGkAdAByAG8AdQBzAE8AeABpAGQAZQBFAG0AaQBzAHMAaQBvAG4AcwBGAHIAbwBtAFMAbwBpAGwAXwBTAG8AdQByAGMAZQAiACwAIgBNAE0AUwBfAE8AdABoAGUAcgBMAGkAdgBlAHMAdABvAGMAawBfAFMAbwBpAGwAXwBOADIATwBEAGkAcgBlAGMAdAAuAFYARQBFAFIARwBfADQAXwA3AF8AMQBfADMAXwBfADEAXwBEAGkAcgBlAGMAdABOAGkAdAByAG8AdQBzAE8AeABpAGQAZQBFAG0AaQBzAHMAaQBvAG4AcwBGAHIAbwBtAFMAbwBpAGwAXwBOAEkAUgBSAGUAZgBlAHIAZQBuAGMAZQAiACwAIgBNAE0AUwBfAE8AdABoAGUAcgBMAGkAdgBlAHMAdABvAGMAawBfAFMAbwBpAGwAXwBOADIATwBEAGkAcgBlAGMAdAAuAFYARQBFAFIARwBfADQAXwA3AF8AMQBfADMAXwBfADEAXwBEAGkAcgBlAGMAdABOAGkAdAByAG8AdQBzAE8AeABpAGQAZQBFAG0AaQBzAHMAaQBvAG4AcwBGAHIAbwBtAFMAbwBpAGwAXwBMAGEAdABlAHgARQBxAHUAYQB0AGkAbwBuACIALAAiAE0ATQBTAF8ATwB0AGgAZQByAEwAaQB2AGUAcwB0AG8AYwBrAF8AUwBvAGkAbABfAE4AMgBPAEQAaQByAGUAYwB0AC4AVgBFAEUAUgBHAF8ANABfADcAXwAxAF8AMwBfAF8AMQBfAEQAaQByAGUAYwB0AE4AaQB0AHIAbwB1AHMATwB4AGkAZABlAEUAbQBpAHMAcwBpAG8AbgBzAEYAcgBvAG0AUwBvAGkAbABfAEEAcgBnAHUAbQBlAG4AdABzACIALAAiAE0ATQBTAF8ATwB0AGgAZQByAEwAaQB2AGUAcwB0AG8AYwBrAF8AUwBvAGkAbABfAE4AMgBPAEQAaQByAGUAYwB0AC4AVgBFAEUAUgBHAF8ANABfADcAXwAxAF8AMwBfAF8AMgBfAEEAbgBuAHUAYQBsAE4AaQB0AHIAbwBnAGUAbgBFAHgAYwByAGUAdABlAGQAVABvAFAAYQBzAHQAdQByAGUAIgAsACIATQBNAFMAXwBPAHQAaABlAHIATABpAHYAZQBzAHQAbwBjAGsAXwBTAG8AaQBsAF8ATgAyAE8ARABpAHIAZQBjAHQALgBWAEUARQBSAEcAXwA0AF8ANwBfADEAXwAzAF8AXwAyAF8AQQBuAG4AdQBhAGwATgBpAHQAcgBvAGcAZQBuAEUAeABjAHIAZQB0AGUAZABUAG8AUABhAHMAdAB1AHIAZQBfAFQAaQB0AGwAZQAiACwAIgBNAE0AUwBfAE8AdABoAGUAcgBMAGkAdgBlAHMAdABvAGMAawBfAFMAbwBpAGwAXwBOADIATwBEAGkAcgBlAGMAdAAuAFYARQBFAFIARwBfADQAXwA3AF8AMQBfADMAXwBfADIAXwBBAG4AbgB1AGEAbABOAGkAdAByAG8AZwBlAG4ARQB4AGMAcgBlAHQAZQBkAFQAbwBQAGEAcwB0AHUAcgBlAF8AVgBhAHIAaQBhAGIAbABlACIALAAiAE0ATQBTAF8ATwB0AGgAZQByAEwAaQB2AGUAcwB0AG8AYwBrAF8AUwBvAGkAbABfAE4AMgBPAEQAaQByAGUAYwB0AC4AVgBFAEUAUgBHAF8ANABfADcAXwAxAF8AMwBfAF8AMgBfAEEAbgBuAHUAYQBsAE4AaQB0AHIAbwBnAGUAbgBFAHgAYwByAGUAdABlAGQAVABvAFAAYQBzAHQAdQByAGUAXwBVAG4AaQB0ACIALAAiAE0ATQBTAF8ATwB0AGgAZQByAEwAaQB2AGUAcwB0AG8AYwBrAF8AUwBvAGkAbABfAE4AMgBPAEQAaQByAGUAYwB0AC4AVgBFAEUAUgBHAF8ANABfADcAXwAxAF8AMwBfAF8AMgBfAEEAbgBuAHUAYQBsAE4AaQB0AHIAbwBnAGUAbgBFAHgAYwByAGUAdABlAGQAVABvAFAAYQBzAHQAdQByAGUAXwBTAG8AdQByAGMAZQAiACwAIgBNAE0AUwBfAE8AdABoAGUAcgBMAGkAdgBlAHMAdABvAGMAawBfAFMAbwBpAGwAXwBOADIATwBEAGkAcgBlAGMAdAAuAFYARQBFAFIARwBfADQAXwA3AF8AMQBfADMAXwBfADIAXwBBAG4AbgB1AGEAbABOAGkAdAByAG8AZwBlAG4ARQB4AGMAcgBlAHQAZQBkAFQAbwBQAGEAcwB0AHUAcgBlAF8ATgBJAFIAUgBlAGYAZQByAGUAbgBjAGUAIgAsACIATQBNAFMAXwBPAHQAaABlAHIATABpAHYAZQBzAHQAbwBjAGsAXwBTAG8AaQBsAF8ATgAyAE8ARABpAHIAZQBjAHQALgBWAEUARQBSAEcAXwA0AF8ANwBfADEAXwAzAF8AXwAyAF8AQQBuAG4AdQBhAGwATgBpAHQAcgBvAGcAZQBuAEUAeABjAHIAZQB0AGUAZABUAG8AUABhAHMAdAB1AHIAZQBfAEwAYQB0AGUAeABFAHEAdQBhAHQAaQBvAG4AIgAsACIATQBNAFMAXwBPAHQAaABlAHIATABpAHYAZQBzAHQAbwBjAGsAXwBTAG8AaQBsAF8ATgAyAE8ARABpAHIAZQBjAHQALgBWAEUARQBSAEcAXwA0AF8ANwBfADEAXwAzAF8AXwAyAF8AQQBuAG4AdQBhAGwATgBpAHQAcgBvAGcAZQBuAEUAeABjAHIAZQB0AGUAZABUAG8AUABhAHMAdAB1AHIAZQBfAEEAcgBnAHUAbQBlAG4AdABzACIALAAiAE0ATQBTAF8ATwB0AGgAZQByAEwAaQB2AGUAcwB0AG8AYwBrAF8AUwBvAGkAbABfAEEAdABtAG8AcwBwAGgAZQByAGkAYwBEAGUAcABvAHMAaQB0AGkAbwBuAC4AVgBFAEUAUgBHAF8ANABfADcAXwAxAF8ANQBfAF8AMQBfAEEAdABtAG8AcwBwAGgAZQByAGkAYwBEAGUAcABvAHMAaQB0AGkAbwBuAEUAbQBpAHMAcwBpAG8AbgBzAEYAcgBvAG0AUABhAHMAdAB1AHIAZQAiACwAIgBNAE0AUwBfAE8AdABoAGUAcgBMAGkAdgBlAHMAdABvAGMAawBfAFMAbwBpAGwAXwBBAHQAbQBvAHMAcABoAGUAcgBpAGMARABlAHAAbwBzAGkAdABpAG8AbgAuAFYARQBFAFIARwBfADQAXwA3AF8AMQBfADUAXwBfADEAXwBBAHQAbQBvAHMAcABoAGUAcgBpAGMARABlAHAAbwBzAGkAdABpAG8AbgBFAG0AaQBzAHMAaQBvAG4AcwBGAHIAbwBtAFAAYQBzAHQAdQByAGUAXwBUAGkAdABsAGUAIgAsACIATQBNAFMAXwBPAHQAaABlAHIATABpAHYAZQBzAHQAbwBjAGsAXwBTAG8AaQBsAF8AQQB0AG0AbwBzAHAAaABlAHIAaQBjAEQAZQBwAG8AcwBpAHQAaQBvAG4ALgBWAEUARQBSAEcAXwA0AF8ANwBfADEAXwA1AF8AXwAxAF8AQQB0AG0AbwBzAHAAaABlAHIAaQBjAEQAZQBwAG8AcwBpAHQAaQBvAG4ARQBtAGkAcwBzAGkAbwBuAHMARgByAG8AbQBQAGEAcwB0AHUAcgBlAF8AVgBhAHIAaQBhAGIAbABlACIALAAiAE0ATQBTAF8ATwB0AGgAZQByAEwAaQB2AGUAcwB0AG8AYwBrAF8AUwBvAGkAbABfAEEAdABtAG8AcwBwAGgAZQByAGkAYwBEAGUAcABvAHMAaQB0AGkAbwBuAC4AVgBFAEUAUgBHAF8ANABfADcAXwAxAF8ANQBfAF8AMQBfAEEAdABtAG8AcwBwAGgAZQByAGkAYwBEAGUAcABvAHMAaQB0AGkAbwBuAEUAbQBpAHMAcwBpAG8AbgBzAEYAcgBvAG0AUABhAHMAdAB1AHIAZQBfAFUAbgBpAHQAIgAsACIATQBNAFMAXwBPAHQAaABlAHIATABpAHYAZQBzAHQAbwBjAGsAXwBTAG8AaQBsAF8AQQB0AG0AbwBzAHAAaABlAHIAaQBjAEQAZQBwAG8AcwBpAHQAaQBvAG4ALgBWAEUARQBSAEcAXwA0AF8ANwBfADEAXwA1AF8AXwAxAF8AQQB0AG0AbwBzAHAAaABlAHIAaQBjAEQAZQBwAG8AcwBpAHQAaQBvAG4ARQBtAGkAcwBzAGkAbwBuAHMARgByAG8AbQBQAGEAcwB0AHUAcgBlAF8AUwBvAHUAcgBjAGUAIgAsACIATQBNAFMAXwBPAHQAaABlAHIATABpAHYAZQBzAHQAbwBjAGsAXwBTAG8AaQBsAF8AQQB0AG0AbwBzAHAAaABlAHIAaQBjAEQAZQBwAG8AcwBpAHQAaQBvAG4ALgBWAEUARQBSAEcAXwA0AF8ANwBfADEAXwA1AF8AXwAxAF8AQQB0AG0AbwBzAHAAaABlAHIAaQBjAEQAZQBwAG8AcwBpAHQAaQBvAG4ARQBtAGkAcwBzAGkAbwBuAHMARgByAG8AbQBQAGEAcwB0AHUAcgBlAF8ATgBJAFIAUgBlAGYAZQByAGUAbgBjAGUAIgAsACIATQBNAFMAXwBPAHQAaABlAHIATABpAHYAZQBzAHQAbwBjAGsAXwBTAG8AaQBsAF8AQQB0AG0AbwBzAHAAaABlAHIAaQBjAEQAZQBwAG8AcwBpAHQAaQBvAG4ALgBWAEUARQBSAEcAXwA0AF8ANwBfADEAXwA1AF8AXwAxAF8AQQB0AG0AbwBzAHAAaABlAHIAaQBjAEQAZQBwAG8AcwBpAHQAaQBvAG4ARQBtAGkAcwBzAGkAbwBuAHMARgByAG8AbQBQAGEAcwB0AHUAcgBlAF8ATABhAHQAZQB4AEUAcQB1AGEAdABpAG8AbgAiACwAIgBNAE0AUwBfAE8AdABoAGUAcgBMAGkAdgBlAHMAdABvAGMAawBfAFMAbwBpAGwAXwBBAHQAbQBvAHMAcABoAGUAcgBpAGMARABlAHAAbwBzAGkAdABpAG8AbgAuAFYARQBFAFIARwBfADQAXwA3AF8AMQBfADUAXwBfADEAXwBBAHQAbQBvAHMAcABoAGUAcgBpAGMARABlAHAAbwBzAGkAdABpAG8AbgBFAG0AaQBzAHMAaQBvAG4AcwBGAHIAbwBtAFAAYQBzAHQAdQByAGUAXwBBAHIAZwB1AG0AZQBuAHQAcwAiACwAIgBNAE0AUwBfAE8AdABoAGUAcgBMAGkAdgBlAHMAdABvAGMAawBfAFMAbwBpAGwAXwBBAHQAbQBvAHMAcABoAGUAcgBpAGMARABlAHAAbwBzAGkAdABpAG8AbgAuAFYARQBFAFIARwBfADQAXwA3AF8AMQBfADUAXwBfADIAXwBNAGEAcwBzAE8AZgBOAGkAdAByAG8AZwBlAG4AVgBvAGwAYQB0AGkAbABpAHMAZQBkAEYAcgBvAG0AUABhAHMAdAB1AHIAZQAiACwAIgBNAE0AUwBfAE8AdABoAGUAcgBMAGkAdgBlAHMAdABvAGMAawBfAFMAbwBpAGwAXwBBAHQAbQBvAHMAcABoAGUAcgBpAGMARABlAHAAbwBzAGkAdABpAG8AbgAuAFYARQBFAFIARwBfADQAXwA3AF8AMQBfADUAXwBfADIAXwBNAGEAcwBzAE8AZgBOAGkAdAByAG8AZwBlAG4AVgBvAGwAYQB0AGkAbABpAHMAZQBkAEYAcgBvAG0AUABhAHMAdAB1AHIAZQBfAFQAaQB0AGwAZQAiACwAIgBNAE0AUwBfAE8AdABoAGUAcgBMAGkAdgBlAHMAdABvAGMAawBfAFMAbwBpAGwAXwBBAHQAbQBvAHMAcABoAGUAcgBpAGMARABlAHAAbwBzAGkAdABpAG8AbgAuAFYARQBFAFIARwBfADQAXwA3AF8AMQBfADUAXwBfADIAXwBNAGEAcwBzAE8AZgBOAGkAdAByAG8AZwBlAG4AVgBvAGwAYQB0AGkAbABpAHMAZQBkAEYAcgBvAG0AUABhAHMAdAB1AHIAZQBfAFYAYQByAGkAYQBiAGwAZQAiACwAIgBNAE0AUwBfAE8AdABoAGUAcgBMAGkAdgBlAHMAdABvAGMAawBfAFMAbwBpAGwAXwBBAHQAbQBvAHMAcABoAGUAcgBpAGMARABlAHAAbwBzAGkAdABpAG8AbgAuAFYARQBFAFIARwBfADQAXwA3AF8AMQBfADUAXwBfADIAXwBNAGEAcwBzAE8AZgBOAGkAdAByAG8AZwBlAG4AVgBvAGwAYQB0AGkAbABpAHMAZQBkAEYAcgBvAG0AUABhAHMAdAB1AHIAZQBfAFUAbgBpAHQAIgAsACIATQBNAFMAXwBPAHQAaABlAHIATABpAHYAZQBzAHQAbwBjAGsAXwBTAG8AaQBsAF8AQQB0AG0AbwBzAHAAaABlAHIAaQBjAEQAZQBwAG8AcwBpAHQAaQBvAG4ALgBWAEUARQBSAEcAXwA0AF8ANwBfADEAXwA1AF8AXwAyAF8ATQBhAHMAcwBPAGYATgBpAHQAcgBvAGcAZQBuAFYAbwBsAGEAdABpAGwAaQBzAGUAZABGAHIAbwBtAFAAYQBzAHQAdQByAGUAXwBTAG8AdQByAGMAZQAiACwAIgBNAE0AUwBfAE8AdABoAGUAcgBMAGkAdgBlAHMAdABvAGMAawBfAFMAbwBpAGwAXwBBAHQAbQBvAHMAcABoAGUAcgBpAGMARABlAHAAbwBzAGkAdABpAG8AbgAuAFYARQBFAFIARwBfADQAXwA3AF8AMQBfADUAXwBfADIAXwBNAGEAcwBzAE8AZgBOAGkAdAByAG8AZwBlAG4AVgBvAGwAYQB0AGkAbABpAHMAZQBkAEYAcgBvAG0AUABhAHMAdAB1AHIAZQBfAE4ASQBSAFIAZQBmAGUAcgBlAG4AYwBlACIALAAiAE0ATQBTAF8ATwB0AGgAZQByAEwAaQB2AGUAcwB0AG8AYwBrAF8AUwBvAGkAbABfAEEAdABtAG8AcwBwAGgAZQByAGkAYwBEAGUAcABvAHMAaQB0AGkAbwBuAC4AVgBFAEUAUgBHAF8ANABfADcAXwAxAF8ANQBfAF8AMgBfAE0AYQBzAHMATwBmAE4AaQB0AHIAbwBnAGUAbgBWAG8AbABhAHQAaQBsAGkAcwBlAGQARgByAG8AbQBQAGEAcwB0AHUAcgBlAF8ATABhAHQAZQB4AEUAcQB1AGEAdABpAG8AbgAiACwAIgBNAE0AUwBfAE8AdABoAGUAcgBMAGkAdgBlAHMAdABvAGMAawBfAFMAbwBpAGwAXwBBAHQAbQBvAHMAcABoAGUAcgBpAGMARABlAHAAbwBzAGkAdABpAG8AbgAuAFYARQBFAFIARwBfADQAXwA3AF8AMQBfADUAXwBfADIAXwBNAGEAcwBzAE8AZgBOAGkAdAByAG8AZwBlAG4AVgBvAGwAYQB0AGkAbABpAHMAZQBkAEYAcgBvAG0AUABhAHMAdAB1AHIAZQBfAEEAcgBnAHUAbQBlAG4AdABzACIALAAiAE0ATQBTAF8ATwB0AGgAZQByAEwAaQB2AGUAcwB0AG8AYwBrAF8AUwBvAGkAbABfAEwAZQBhAGMAaABpAG4AZwBBAG4AZABSAHUAbgBvAGYAZgAuAFYARQBFAFIARwBfADQAXwA3AF8AMQBfADcAXwBfADEAXwBMAGUAYQBjAGgAaQBuAGcAQQBuAGQAUgB1AG4AbwBmAGYARQBtAGkAcwBzAGkAbwBuAHMARgByAG8AbQBQAGEAcwB0AHUAcgBlACIALAAiAE0ATQBTAF8ATwB0AGgAZQByAEwAaQB2AGUAcwB0AG8AYwBrAF8AUwBvAGkAbABfAEwAZQBhAGMAaABpAG4AZwBBAG4AZABSAHUAbgBvAGYAZgAuAFYARQBFAFIARwBfADQAXwA3AF8AMQBfADcAXwBfADEAXwBMAGUAYQBjAGgAaQBuAGcAQQBuAGQAUgB1AG4AbwBmAGYARQBtAGkAcwBzAGkAbwBuAHMARgByAG8AbQBQAGEAcwB0AHUAcgBlAF8AVABpAHQAbABlACIALAAiAE0ATQBTAF8ATwB0AGgAZQByAEwAaQB2AGUAcwB0AG8AYwBrAF8AUwBvAGkAbABfAEwAZQBhAGMAaABpAG4AZwBBAG4AZABSAHUAbgBvAGYAZgAuAFYARQBFAFIARwBfADQAXwA3AF8AMQBfADcAXwBfADEAXwBMAGUAYQBjAGgAaQBuAGcAQQBuAGQAUgB1AG4AbwBmAGYARQBtAGkAcwBzAGkAbwBuAHMARgByAG8AbQBQAGEAcwB0AHUAcgBlAF8AVgBhAHIAaQBhAGIAbABlACIALAAiAE0ATQBTAF8ATwB0AGgAZQByAEwAaQB2AGUAcwB0AG8AYwBrAF8AUwBvAGkAbABfAEwAZQBhAGMAaABpAG4AZwBBAG4AZABSAHUAbgBvAGYAZgAuAFYARQBFAFIARwBfADQAXwA3AF8AMQBfADcAXwBfADEAXwBMAGUAYQBjAGgAaQBuAGcAQQBuAGQAUgB1AG4AbwBmAGYARQBtAGkAcwBzAGkAbwBuAHMARgByAG8AbQBQAGEAcwB0AHUAcgBlAF8AVQBuAGkAdAAiACwAIgBNAE0AUwBfAE8AdABoAGUAcgBMAGkAdgBlAHMAdABvAGMAawBfAFMAbwBpAGwAXwBMAGUAYQBjAGgAaQBuAGcAQQBuAGQAUgB1AG4AbwBmAGYALgBWAEUARQBSAEcAXwA0AF8ANwBfADEAXwA3AF8AXwAxAF8ATABlAGEAYwBoAGkAbgBnAEEAbgBkAFIAdQBuAG8AZgBmAEUAbQBpAHMAcwBpAG8AbgBzAEYAcgBvAG0AUABhAHMAdAB1AHIAZQBfAFMAbwB1AHIAYwBlACIALAAiAE0ATQBTAF8ATwB0AGgAZQByAEwAaQB2AGUAcwB0AG8AYwBrAF8AUwBvAGkAbABfAEwAZQBhAGMAaABpAG4AZwBBAG4AZABSAHUAbgBvAGYAZgAuAFYARQBFAFIARwBfADQAXwA3AF8AMQBfADcAXwBfADEAXwBMAGUAYQBjAGgAaQBuAGcAQQBuAGQAUgB1AG4AbwBmAGYARQBtAGkAcwBzAGkAbwBuAHMARgByAG8AbQBQAGEAcwB0AHUAcgBlAF8ATgBJAFIAUgBlAGYAZQByAGUAbgBjAGUAIgAsACIATQBNAFMAXwBPAHQAaABlAHIATABpAHYAZQBzAHQAbwBjAGsAXwBTAG8AaQBsAF8ATABlAGEAYwBoAGkAbgBnAEEAbgBkAFIAdQBuAG8AZgBmAC4AVgBFAEUAUgBHAF8ANABfADcAXwAxAF8ANwBfAF8AMQBfAEwAZQBhAGMAaABpAG4AZwBBAG4AZABSAHUAbgBvAGYAZgBFAG0AaQBzAHMAaQBvAG4AcwBGAHIAbwBtAFAAYQBzAHQAdQByAGUAXwBMAGEAdABlAHgARQBxAHUAYQB0AGkAbwBuACIALAAiAE0ATQBTAF8ATwB0AGgAZQByAEwAaQB2AGUAcwB0AG8AYwBrAF8AUwBvAGkAbABfAEwAZQBhAGMAaABpAG4AZwBBAG4AZABSAHUAbgBvAGYAZgAuAFYARQBFAFIARwBfADQAXwA3AF8AMQBfADcAXwBfADEAXwBMAGUAYQBjAGgAaQBuAGcAQQBuAGQAUgB1AG4AbwBmAGYARQBtAGkAcwBzAGkAbwBuAHMARgByAG8AbQBQAGEAcwB0AHUAcgBlAF8AQQByAGcAdQBtAGUAbgB0AHMAIgAsACIATQBNAFMAXwBPAHQAaABlAHIATABpAHYAZQBzAHQAbwBjAGsAXwBTAG8AaQBsAF8ATABlAGEAYwBoAGkAbgBnAEEAbgBkAFIAdQBuAG8AZgBmAC4AVgBFAEUAUgBHAF8ANABfADcAXwAxAF8ANwBfAF8AMgBfAE0AYQBzAHMATwBmAE4AaQB0AHIAbwBnAGUAbgBMAG8AcwB0AFQAbwBMAGUAYQBjAGgAaQBuAGcAQQBuAGQAUgB1AG4AbwBmAGYAIgAsACIATQBNAFMAXwBPAHQAaABlAHIATABpAHYAZQBzAHQAbwBjAGsAXwBTAG8AaQBsAF8ATABlAGEAYwBoAGkAbgBnAEEAbgBkAFIAdQBuAG8AZgBmAC4AVgBFAEUAUgBHAF8ANABfADcAXwAxAF8ANwBfAF8AMgBfAE0AYQBzAHMATwBmAE4AaQB0AHIAbwBnAGUAbgBMAG8AcwB0AFQAbwBMAGUAYQBjAGgAaQBuAGcAQQBuAGQAUgB1AG4AbwBmAGYAXwBUAGkAdABsAGUAIgAsACIATQBNAFMAXwBPAHQAaABlAHIATABpAHYAZQBzAHQAbwBjAGsAXwBTAG8AaQBsAF8ATABlAGEAYwBoAGkAbgBnAEEAbgBkAFIAdQBuAG8AZgBmAC4AVgBFAEUAUgBHAF8ANABfADcAXwAxAF8ANwBfAF8AMgBfAE0AYQBzAHMATwBmAE4AaQB0AHIAbwBnAGUAbgBMAG8AcwB0AFQAbwBMAGUAYQBjAGgAaQBuAGcAQQBuAGQAUgB1AG4AbwBmAGYAXwBWAGEAcgBpAGEAYgBsAGUAIgAsACIATQBNAFMAXwBPAHQAaABlAHIATABpAHYAZQBzAHQAbwBjAGsAXwBTAG8AaQBsAF8ATABlAGEAYwBoAGkAbgBnAEEAbgBkAFIAdQBuAG8AZgBmAC4AVgBFAEUAUgBHAF8ANABfADcAXwAxAF8ANwBfAF8AMgBfAE0AYQBzAHMATwBmAE4AaQB0AHIAbwBnAGUAbgBMAG8AcwB0AFQAbwBMAGUAYQBjAGgAaQBuAGcAQQBuAGQAUgB1AG4AbwBmAGYAXwBVAG4AaQB0ACIALAAiAE0ATQBTAF8ATwB0AGgAZQByAEwAaQB2AGUAcwB0AG8AYwBrAF8AUwBvAGkAbABfAEwAZQBhAGMAaABpAG4AZwBBAG4AZABSAHUAbgBvAGYAZgAuAFYARQBFAFIARwBfADQAXwA3AF8AMQBfADcAXwBfADIAXwBNAGEAcwBzAE8AZgBOAGkAdAByAG8AZwBlAG4ATABvAHMAdABUAG8ATABlAGEAYwBoAGkAbgBnAEEAbgBkAFIAdQBuAG8AZgBmAF8AUwBvAHUAcgBjAGUAIgAsACIATQBNAFMAXwBPAHQAaABlAHIATABpAHYAZQBzAHQAbwBjAGsAXwBTAG8AaQBsAF8ATABlAGEAYwBoAGkAbgBnAEEAbgBkAFIAdQBuAG8AZgBmAC4AVgBFAEUAUgBHAF8ANABfADcAXwAxAF8ANwBfAF8AMgBfAE0AYQBzAHMATwBmAE4AaQB0AHIAbwBnAGUAbgBMAG8AcwB0AFQAbwBMAGUAYQBjAGgAaQBuAGcAQQBuAGQAUgB1AG4AbwBmAGYAXwBOAEkAUgBSAGUAZgBlAHIAZQBuAGMAZQAiACwAIgBNAE0AUwBfAE8AdABoAGUAcgBMAGkAdgBlAHMAdABvAGMAawBfAFMAbwBpAGwAXwBMAGUAYQBjAGgAaQBuAGcAQQBuAGQAUgB1AG4AbwBmAGYALgBWAEUARQBSAEcAXwA0AF8ANwBfADEAXwA3AF8AXwAyAF8ATQBhAHMAcwBPAGYATgBpAHQAcgBvAGcAZQBuAEwAbwBzAHQAVABvAEwAZQBhAGMAaABpAG4AZwBBAG4AZABSAHUAbgBvAGYAZgBfAEwAYQB0AGUAeABFAHEAdQBhAHQAaQBvAG4AIgAsACIATQBNAFMAXwBPAHQAaABlAHIATABpAHYAZQBzAHQAbwBjAGsAXwBTAG8AaQBsAF8ATABlAGEAYwBoAGkAbgBnAEEAbgBkAFIAdQBuAG8AZgBmAC4AVgBFAEUAUgBHAF8ANABfADcAXwAxAF8ANwBfAF8AMgBfAE0AYQBzAHMATwBmAE4AaQB0AHIAbwBnAGUAbgBMAG8AcwB0AFQAbwBMAGUAYQBjAGgAaQBuAGcAQQBuAGQAUgB1AG4AbwBmAGY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92</vt:i4>
      </vt:variant>
    </vt:vector>
  </HeadingPairs>
  <TitlesOfParts>
    <vt:vector size="105" baseType="lpstr">
      <vt:lpstr>Home</vt:lpstr>
      <vt:lpstr>Overview</vt:lpstr>
      <vt:lpstr>Results</vt:lpstr>
      <vt:lpstr>Input - Site</vt:lpstr>
      <vt:lpstr>Input - Other Livestock</vt:lpstr>
      <vt:lpstr>4.7.1.1-2 Manure Methane</vt:lpstr>
      <vt:lpstr>4.7.1.3-4 Soil Direct N2O</vt:lpstr>
      <vt:lpstr>4.7.1.5-6 Soil Atmos Deposition</vt:lpstr>
      <vt:lpstr>4.7.1.7-8 Soil Leaching Runoff</vt:lpstr>
      <vt:lpstr>Constants - Other Livestock</vt:lpstr>
      <vt:lpstr>Constants - Livestock</vt:lpstr>
      <vt:lpstr>Constants - Common</vt:lpstr>
      <vt:lpstr>Acknowledgements</vt:lpstr>
      <vt:lpstr>Common_SourceData_DensityOfMethane_Data</vt:lpstr>
      <vt:lpstr>M1_Table_E_CH4</vt:lpstr>
      <vt:lpstr>M1_Table_E_CH4_Consumer_1</vt:lpstr>
      <vt:lpstr>M1_Table_M_j_m</vt:lpstr>
      <vt:lpstr>M1_Table_MCF_i_m</vt:lpstr>
      <vt:lpstr>M2_Table_M_j_m</vt:lpstr>
      <vt:lpstr>M2_Table_MCF_i_m</vt:lpstr>
      <vt:lpstr>SourceData_OtherLivestock_FracGASMSoil_Data</vt:lpstr>
      <vt:lpstr>Table_AEj</vt:lpstr>
      <vt:lpstr>Table_AEj_Consumer_1</vt:lpstr>
      <vt:lpstr>Table_AEj_Consumer_2</vt:lpstr>
      <vt:lpstr>Table_B_O</vt:lpstr>
      <vt:lpstr>Table_E_N2O_ad</vt:lpstr>
      <vt:lpstr>Table_EF_N2O</vt:lpstr>
      <vt:lpstr>Table_Frac_Wet</vt:lpstr>
      <vt:lpstr>Table_M_leach</vt:lpstr>
      <vt:lpstr>Table_M_vol</vt:lpstr>
      <vt:lpstr>Table_MMS_m</vt:lpstr>
      <vt:lpstr>Table_N_j</vt:lpstr>
      <vt:lpstr>Table_N_j_Consumer_1</vt:lpstr>
      <vt:lpstr>Table_NE_j</vt:lpstr>
      <vt:lpstr>Table_VS_j</vt:lpstr>
      <vt:lpstr>VEERG_4_7_1_1__1_TotalAnnualMethaneProductionFromManureManagementOtherLivestock_Result_Method1</vt:lpstr>
      <vt:lpstr>VEERG_4_7_1_1__1_TotalAnnualMethaneProductionFromManureManagementOtherLivestock_Result_Method2</vt:lpstr>
      <vt:lpstr>VEERG_4_7_1_3__1_DirectNitrousOxideEmissionsFromSoil_Result_Method1</vt:lpstr>
      <vt:lpstr>VEERG_4_7_1_5__1_AtmosphericDepositionEmissionsFromPasture_Result_Method1</vt:lpstr>
      <vt:lpstr>VEERG_4_7_1_7__1_LeachingAndRunoffEmissionsFromPasture_Result_Method1</vt:lpstr>
      <vt:lpstr>X_Cell_OtherLivestock_Buffalo_CalculatedMMSAnaerobicLagoon</vt:lpstr>
      <vt:lpstr>X_Cell_OtherLivestock_Buffalo_CalculatedMMSPastureRangeAndPaddock</vt:lpstr>
      <vt:lpstr>X_Cell_OtherLivestock_Buffalo_FencedWater</vt:lpstr>
      <vt:lpstr>X_Cell_OtherLivestock_Buffalo_GrazingIrrigationMethod</vt:lpstr>
      <vt:lpstr>X_Cell_OtherLivestock_Buffalo_GrazingProductionSystem</vt:lpstr>
      <vt:lpstr>X_Cell_OtherLivestock_Deer_CalculatedMMSAnaerobicLagoon</vt:lpstr>
      <vt:lpstr>X_Cell_OtherLivestock_Deer_CalculatedMMSPastureRangeAndPaddock</vt:lpstr>
      <vt:lpstr>X_Cell_OtherLivestock_Deer_FencedWater</vt:lpstr>
      <vt:lpstr>X_Cell_OtherLivestock_Deer_GrazingIrrigationMethod</vt:lpstr>
      <vt:lpstr>X_Cell_OtherLivestock_Deer_GrazingProductionSystem</vt:lpstr>
      <vt:lpstr>X_Cell_OtherLivestock_Goats_CalculatedMMSAnaerobicLagoon</vt:lpstr>
      <vt:lpstr>X_Cell_OtherLivestock_Goats_CalculatedMMSPastureRangeAndPaddock</vt:lpstr>
      <vt:lpstr>X_Cell_OtherLivestock_Goats_FencedWater</vt:lpstr>
      <vt:lpstr>X_Cell_OtherLivestock_Goats_GrazingIrrigationMethod</vt:lpstr>
      <vt:lpstr>X_Cell_OtherLivestock_Goats_GrazingProductionSystem</vt:lpstr>
      <vt:lpstr>X_Cell_OtherLivestock_Others_Alpacas_CalculatedMMSAnaerobicLagoon</vt:lpstr>
      <vt:lpstr>X_Cell_OtherLivestock_Others_Alpacas_CalculatedMMSPastureRangeAndPaddock</vt:lpstr>
      <vt:lpstr>X_Cell_OtherLivestock_Others_Alpacas_FencedWater</vt:lpstr>
      <vt:lpstr>X_Cell_OtherLivestock_Others_Alpacas_GrazingIrrigationMethod</vt:lpstr>
      <vt:lpstr>X_Cell_OtherLivestock_Others_Alpacas_GrazingProductionSystem</vt:lpstr>
      <vt:lpstr>X_Cell_OtherLivestock_Others_Alpacas_Head</vt:lpstr>
      <vt:lpstr>X_Cell_OtherLivestock_Others_Camels_CalculatedMMSAnaerobicLagoon</vt:lpstr>
      <vt:lpstr>X_Cell_OtherLivestock_Others_Camels_CalculatedMMSPastureRangeAndPaddock</vt:lpstr>
      <vt:lpstr>X_Cell_OtherLivestock_Others_Camels_FencedWater</vt:lpstr>
      <vt:lpstr>X_Cell_OtherLivestock_Others_Camels_GrazingIrrigationMethod</vt:lpstr>
      <vt:lpstr>X_Cell_OtherLivestock_Others_Camels_GrazingProductionSystem</vt:lpstr>
      <vt:lpstr>X_Cell_OtherLivestock_Others_Camels_Head</vt:lpstr>
      <vt:lpstr>X_Cell_OtherLivestock_Others_Emus_CalculatedMMSAnaerobicLagoon</vt:lpstr>
      <vt:lpstr>X_Cell_OtherLivestock_Others_Emus_CalculatedMMSPastureRangeAndPaddock</vt:lpstr>
      <vt:lpstr>X_Cell_OtherLivestock_Others_Emus_FencedWater</vt:lpstr>
      <vt:lpstr>X_Cell_OtherLivestock_Others_Emus_GrazingIrrigationMethod</vt:lpstr>
      <vt:lpstr>X_Cell_OtherLivestock_Others_Emus_GrazingProductionSystem</vt:lpstr>
      <vt:lpstr>X_Cell_OtherLivestock_Others_Emus_Head</vt:lpstr>
      <vt:lpstr>X_Cell_OtherLivestock_Others_Horses_CalculatedMMSAnaerobicLagoon</vt:lpstr>
      <vt:lpstr>X_Cell_OtherLivestock_Others_Horses_CalculatedMMSPastureRangeAndPaddock</vt:lpstr>
      <vt:lpstr>X_Cell_OtherLivestock_Others_Horses_FencedWater</vt:lpstr>
      <vt:lpstr>X_Cell_OtherLivestock_Others_Horses_GrazingIrrigationMethod</vt:lpstr>
      <vt:lpstr>X_Cell_OtherLivestock_Others_Horses_GrazingProductionSystem</vt:lpstr>
      <vt:lpstr>X_Cell_OtherLivestock_Others_Horses_Head</vt:lpstr>
      <vt:lpstr>X_Cell_OtherLivestock_Others_Mules_CalculatedMMSAnaerobicLagoon</vt:lpstr>
      <vt:lpstr>X_Cell_OtherLivestock_Others_Mules_CalculatedMMSPastureRangeAndPaddock</vt:lpstr>
      <vt:lpstr>X_Cell_OtherLivestock_Others_Mules_FencedWater</vt:lpstr>
      <vt:lpstr>X_Cell_OtherLivestock_Others_Mules_GrazingIrrigationMethod</vt:lpstr>
      <vt:lpstr>X_Cell_OtherLivestock_Others_Mules_GrazingProductionSystem</vt:lpstr>
      <vt:lpstr>X_Cell_OtherLivestock_Others_Mules_Head</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X_Table_OtherLivestock_Buffalo_Head</vt:lpstr>
      <vt:lpstr>X_Table_OtherLivestock_Deer_Head</vt:lpstr>
      <vt:lpstr>X_Table_OtherLivestock_Goats_Head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2026-08-27T02:15:56Z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y fmtid="{D5CDD505-2E9C-101B-9397-08002B2CF9AE}" pid="4" name="RestyleFontsApplied">
    <vt:lpwstr>applied 2026-09-02T17:27:11; rename=True resize=True scope=all</vt:lpwstr>
  </property>
</Properties>
</file>