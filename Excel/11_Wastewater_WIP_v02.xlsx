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8224547-ACC8-4579-8B1D-0B9FD5D751C7}" xr6:coauthVersionLast="47" xr6:coauthVersionMax="47" xr10:uidLastSave="{00000000-0000-0000-0000-000000000000}"/>
  <bookViews>
    <workbookView xWindow="780" yWindow="285" windowWidth="37170" windowHeight="19920" activeTab="3"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VEERG_11_1_1_1__1_MethaneEmissionsFromWastewaterTreatment_Result_Method1">'11.1.1-2 Wastewater CH4'!$E$30</definedName>
    <definedName name="VEERG_11_1_3_1__1_NitrousOxideEmissionsFromFlaredBiogas_Result_Method1">'11.1.3-4 Wastewater N2O'!$E$17</definedName>
    <definedName name="Waste_EnergyContentFactorSludgeBiogasFlared_Data">'Constants - Wastewater'!$E$41</definedName>
    <definedName name="Waste_MethaneEmissionFactorSludge_Data">'Constants - Wastewater'!$E$36</definedName>
    <definedName name="Waste_MethaneEmissionFactorSludgeBiogasFlared_Data">'Constants - Wastewater'!$E$46</definedName>
    <definedName name="Waste_MethaneEmissionFactorWastewater_Data">'Constants - Wastewater'!$E$31</definedName>
    <definedName name="Waste_NitrousOxideEmissionFactorSludgeBiogasFlared_Data">'Constants - Wastewater'!$E$51</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9" l="1" a="1"/>
  <c r="E259" i="129" s="1"/>
  <c r="D259" i="129" a="1"/>
  <c r="D259" i="129" s="1"/>
  <c r="E258" i="129" a="1"/>
  <c r="E258" i="129" s="1"/>
  <c r="D258" i="129" a="1"/>
  <c r="D258" i="129" s="1"/>
  <c r="D256" i="129" a="1"/>
  <c r="D256" i="129" s="1"/>
  <c r="D255" i="129" a="1"/>
  <c r="D255" i="129" s="1"/>
  <c r="D254" i="129" a="1"/>
  <c r="D254" i="129" s="1"/>
  <c r="D253" i="129" a="1"/>
  <c r="D253" i="129" s="1"/>
  <c r="S250" i="129" a="1"/>
  <c r="S250" i="129" s="1"/>
  <c r="R250" i="129" a="1"/>
  <c r="R250" i="129" s="1"/>
  <c r="Q250" i="129" a="1"/>
  <c r="Q250" i="129" s="1"/>
  <c r="P250" i="129" a="1"/>
  <c r="P250" i="129" s="1"/>
  <c r="O250" i="129" a="1"/>
  <c r="O250" i="129" s="1"/>
  <c r="N250" i="129" a="1"/>
  <c r="N250" i="129" s="1"/>
  <c r="M250" i="129" a="1"/>
  <c r="M250" i="129" s="1"/>
  <c r="L250" i="129" a="1"/>
  <c r="L250" i="129" s="1"/>
  <c r="K250" i="129" a="1"/>
  <c r="K250" i="129" s="1"/>
  <c r="J250" i="129" a="1"/>
  <c r="J250" i="129" s="1"/>
  <c r="I250" i="129" a="1"/>
  <c r="I250" i="129" s="1"/>
  <c r="H250" i="129" a="1"/>
  <c r="H250" i="129" s="1"/>
  <c r="G250" i="129" a="1"/>
  <c r="G250" i="129" s="1"/>
  <c r="F250" i="129" a="1"/>
  <c r="F250" i="129" s="1"/>
  <c r="E250" i="129" a="1"/>
  <c r="E250" i="129" s="1"/>
  <c r="D250" i="129" a="1"/>
  <c r="D250" i="129" s="1"/>
  <c r="S249" i="129" a="1"/>
  <c r="S249" i="129" s="1"/>
  <c r="R249" i="129" a="1"/>
  <c r="R249" i="129" s="1"/>
  <c r="Q249" i="129" a="1"/>
  <c r="Q249" i="129" s="1"/>
  <c r="P249" i="129" a="1"/>
  <c r="P249" i="129" s="1"/>
  <c r="O249" i="129" a="1"/>
  <c r="O249" i="129" s="1"/>
  <c r="N249" i="129" a="1"/>
  <c r="N249" i="129" s="1"/>
  <c r="M249" i="129" a="1"/>
  <c r="M249" i="129" s="1"/>
  <c r="L249" i="129" a="1"/>
  <c r="L249" i="129" s="1"/>
  <c r="K249" i="129" a="1"/>
  <c r="K249" i="129" s="1"/>
  <c r="J249" i="129" a="1"/>
  <c r="J249" i="129" s="1"/>
  <c r="I249" i="129" a="1"/>
  <c r="I249" i="129" s="1"/>
  <c r="H249" i="129" a="1"/>
  <c r="H249" i="129" s="1"/>
  <c r="G249" i="129" a="1"/>
  <c r="G249" i="129" s="1"/>
  <c r="F249" i="129" a="1"/>
  <c r="F249" i="129" s="1"/>
  <c r="E249" i="129" a="1"/>
  <c r="E249" i="129" s="1"/>
  <c r="D249" i="129" a="1"/>
  <c r="D249" i="129" s="1"/>
  <c r="S248" i="129" a="1"/>
  <c r="S248" i="129" s="1"/>
  <c r="R248" i="129" a="1"/>
  <c r="R248" i="129" s="1"/>
  <c r="Q248" i="129" a="1"/>
  <c r="Q248" i="129" s="1"/>
  <c r="P248" i="129" a="1"/>
  <c r="P248" i="129" s="1"/>
  <c r="O248" i="129" a="1"/>
  <c r="O248" i="129" s="1"/>
  <c r="N248" i="129" a="1"/>
  <c r="N248" i="129" s="1"/>
  <c r="M248" i="129" a="1"/>
  <c r="M248" i="129" s="1"/>
  <c r="L248" i="129" a="1"/>
  <c r="L248" i="129" s="1"/>
  <c r="K248" i="129" a="1"/>
  <c r="K248" i="129" s="1"/>
  <c r="J248" i="129" a="1"/>
  <c r="J248" i="129" s="1"/>
  <c r="I248" i="129" a="1"/>
  <c r="I248" i="129" s="1"/>
  <c r="H248" i="129" a="1"/>
  <c r="H248" i="129" s="1"/>
  <c r="G248" i="129" a="1"/>
  <c r="G248" i="129" s="1"/>
  <c r="F248" i="129" a="1"/>
  <c r="F248" i="129" s="1"/>
  <c r="E248" i="129" a="1"/>
  <c r="E248" i="129" s="1"/>
  <c r="D248" i="129" a="1"/>
  <c r="D248" i="129" s="1"/>
  <c r="S247" i="129" a="1"/>
  <c r="S247" i="129" s="1"/>
  <c r="R247" i="129" a="1"/>
  <c r="R247" i="129" s="1"/>
  <c r="Q247" i="129" a="1"/>
  <c r="Q247" i="129" s="1"/>
  <c r="P247" i="129" a="1"/>
  <c r="P247" i="129" s="1"/>
  <c r="O247" i="129" a="1"/>
  <c r="O247" i="129" s="1"/>
  <c r="N247" i="129" a="1"/>
  <c r="N247" i="129" s="1"/>
  <c r="M247" i="129" a="1"/>
  <c r="M247" i="129" s="1"/>
  <c r="L247" i="129" a="1"/>
  <c r="L247" i="129" s="1"/>
  <c r="K247" i="129" a="1"/>
  <c r="K247" i="129" s="1"/>
  <c r="J247" i="129" a="1"/>
  <c r="J247" i="129" s="1"/>
  <c r="I247" i="129" a="1"/>
  <c r="I247" i="129" s="1"/>
  <c r="H247" i="129" a="1"/>
  <c r="H247" i="129" s="1"/>
  <c r="G247" i="129" a="1"/>
  <c r="G247" i="129" s="1"/>
  <c r="F247" i="129" a="1"/>
  <c r="F247" i="129" s="1"/>
  <c r="E247" i="129" a="1"/>
  <c r="E247" i="129" s="1"/>
  <c r="D247" i="129" a="1"/>
  <c r="D247" i="129" s="1"/>
  <c r="S246" i="129" a="1"/>
  <c r="S246" i="129" s="1"/>
  <c r="R246" i="129" a="1"/>
  <c r="R246" i="129" s="1"/>
  <c r="Q246" i="129" a="1"/>
  <c r="Q246" i="129" s="1"/>
  <c r="P246" i="129" a="1"/>
  <c r="P246" i="129" s="1"/>
  <c r="O246" i="129" a="1"/>
  <c r="O246" i="129" s="1"/>
  <c r="N246" i="129" a="1"/>
  <c r="N246" i="129" s="1"/>
  <c r="M246" i="129" a="1"/>
  <c r="M246" i="129" s="1"/>
  <c r="L246" i="129" a="1"/>
  <c r="L246" i="129" s="1"/>
  <c r="K246" i="129" a="1"/>
  <c r="K246" i="129" s="1"/>
  <c r="J246" i="129" a="1"/>
  <c r="J246" i="129" s="1"/>
  <c r="I246" i="129" a="1"/>
  <c r="I246" i="129" s="1"/>
  <c r="H246" i="129" a="1"/>
  <c r="H246" i="129" s="1"/>
  <c r="G246" i="129" a="1"/>
  <c r="G246" i="129" s="1"/>
  <c r="F246" i="129" a="1"/>
  <c r="F246" i="129" s="1"/>
  <c r="E246" i="129" a="1"/>
  <c r="E246" i="129" s="1"/>
  <c r="D246" i="129" a="1"/>
  <c r="D246" i="129" s="1"/>
  <c r="S245" i="129" a="1"/>
  <c r="S245" i="129" s="1"/>
  <c r="R245" i="129" a="1"/>
  <c r="R245" i="129" s="1"/>
  <c r="Q245" i="129" a="1"/>
  <c r="Q245" i="129" s="1"/>
  <c r="P245" i="129" a="1"/>
  <c r="P245" i="129" s="1"/>
  <c r="O245" i="129" a="1"/>
  <c r="O245" i="129" s="1"/>
  <c r="N245" i="129" a="1"/>
  <c r="N245" i="129" s="1"/>
  <c r="M245" i="129" a="1"/>
  <c r="M245" i="129" s="1"/>
  <c r="L245" i="129" a="1"/>
  <c r="L245" i="129" s="1"/>
  <c r="K245" i="129" a="1"/>
  <c r="K245" i="129" s="1"/>
  <c r="J245" i="129" a="1"/>
  <c r="J245" i="129" s="1"/>
  <c r="I245" i="129" a="1"/>
  <c r="I245" i="129" s="1"/>
  <c r="H245" i="129" a="1"/>
  <c r="H245" i="129" s="1"/>
  <c r="G245" i="129" a="1"/>
  <c r="G245" i="129" s="1"/>
  <c r="F245" i="129" a="1"/>
  <c r="F245" i="129" s="1"/>
  <c r="E245" i="129" a="1"/>
  <c r="E245" i="129" s="1"/>
  <c r="D245" i="129" a="1"/>
  <c r="D245" i="129" s="1"/>
  <c r="S244" i="129" a="1"/>
  <c r="S244" i="129" s="1"/>
  <c r="R244" i="129" a="1"/>
  <c r="R244" i="129" s="1"/>
  <c r="Q244" i="129" a="1"/>
  <c r="Q244" i="129" s="1"/>
  <c r="P244" i="129" a="1"/>
  <c r="P244" i="129" s="1"/>
  <c r="O244" i="129" a="1"/>
  <c r="O244" i="129" s="1"/>
  <c r="N244" i="129" a="1"/>
  <c r="N244" i="129" s="1"/>
  <c r="M244" i="129" a="1"/>
  <c r="M244" i="129" s="1"/>
  <c r="L244" i="129" a="1"/>
  <c r="L244" i="129" s="1"/>
  <c r="K244" i="129" a="1"/>
  <c r="K244" i="129" s="1"/>
  <c r="J244" i="129" a="1"/>
  <c r="J244" i="129" s="1"/>
  <c r="I244" i="129" a="1"/>
  <c r="I244" i="129" s="1"/>
  <c r="H244" i="129" a="1"/>
  <c r="H244" i="129" s="1"/>
  <c r="G244" i="129" a="1"/>
  <c r="G244" i="129" s="1"/>
  <c r="F244" i="129" a="1"/>
  <c r="F244" i="129" s="1"/>
  <c r="E244" i="129" a="1"/>
  <c r="E244" i="129" s="1"/>
  <c r="D244" i="129" a="1"/>
  <c r="D244" i="129" s="1"/>
  <c r="S243" i="129" a="1"/>
  <c r="S243" i="129" s="1"/>
  <c r="R243" i="129" a="1"/>
  <c r="R243" i="129" s="1"/>
  <c r="Q243" i="129" a="1"/>
  <c r="Q243" i="129" s="1"/>
  <c r="P243" i="129" a="1"/>
  <c r="P243" i="129" s="1"/>
  <c r="O243" i="129" a="1"/>
  <c r="O243" i="129" s="1"/>
  <c r="N243" i="129" a="1"/>
  <c r="N243" i="129" s="1"/>
  <c r="M243" i="129" a="1"/>
  <c r="M243" i="129" s="1"/>
  <c r="L243" i="129" a="1"/>
  <c r="L243" i="129" s="1"/>
  <c r="K243" i="129" a="1"/>
  <c r="K243" i="129" s="1"/>
  <c r="J243" i="129" a="1"/>
  <c r="J243" i="129" s="1"/>
  <c r="I243" i="129" a="1"/>
  <c r="I243" i="129" s="1"/>
  <c r="H243" i="129" a="1"/>
  <c r="H243" i="129" s="1"/>
  <c r="G243" i="129" a="1"/>
  <c r="G243" i="129" s="1"/>
  <c r="F243" i="129" a="1"/>
  <c r="F243" i="129" s="1"/>
  <c r="E243" i="129" a="1"/>
  <c r="E243" i="129" s="1"/>
  <c r="D243" i="129" a="1"/>
  <c r="D243" i="129" s="1"/>
  <c r="S242" i="129" a="1"/>
  <c r="S242" i="129" s="1"/>
  <c r="R242" i="129" a="1"/>
  <c r="R242" i="129" s="1"/>
  <c r="Q242" i="129" a="1"/>
  <c r="Q242" i="129" s="1"/>
  <c r="P242" i="129" a="1"/>
  <c r="P242" i="129" s="1"/>
  <c r="O242" i="129" a="1"/>
  <c r="O242" i="129" s="1"/>
  <c r="N242" i="129" a="1"/>
  <c r="N242" i="129" s="1"/>
  <c r="M242" i="129" a="1"/>
  <c r="M242" i="129" s="1"/>
  <c r="L242" i="129" a="1"/>
  <c r="L242" i="129" s="1"/>
  <c r="K242" i="129" a="1"/>
  <c r="K242" i="129" s="1"/>
  <c r="J242" i="129" a="1"/>
  <c r="J242" i="129" s="1"/>
  <c r="I242" i="129" a="1"/>
  <c r="I242" i="129" s="1"/>
  <c r="H242" i="129" a="1"/>
  <c r="H242" i="129" s="1"/>
  <c r="G242" i="129" a="1"/>
  <c r="G242" i="129" s="1"/>
  <c r="F242" i="129" a="1"/>
  <c r="F242" i="129" s="1"/>
  <c r="E242" i="129" a="1"/>
  <c r="E242" i="129" s="1"/>
  <c r="D242" i="129" a="1"/>
  <c r="D242" i="129" s="1"/>
  <c r="S241" i="129" a="1"/>
  <c r="S241" i="129" s="1"/>
  <c r="R241" i="129" a="1"/>
  <c r="R241" i="129" s="1"/>
  <c r="Q241" i="129" a="1"/>
  <c r="Q241" i="129" s="1"/>
  <c r="P241" i="129" a="1"/>
  <c r="P241" i="129" s="1"/>
  <c r="O241" i="129" a="1"/>
  <c r="O241" i="129" s="1"/>
  <c r="N241" i="129" a="1"/>
  <c r="N241" i="129" s="1"/>
  <c r="M241" i="129" a="1"/>
  <c r="M241" i="129" s="1"/>
  <c r="L241" i="129" a="1"/>
  <c r="L241" i="129" s="1"/>
  <c r="K241" i="129" a="1"/>
  <c r="K241" i="129" s="1"/>
  <c r="J241" i="129" a="1"/>
  <c r="J241" i="129" s="1"/>
  <c r="I241" i="129" a="1"/>
  <c r="I241" i="129" s="1"/>
  <c r="H241" i="129" a="1"/>
  <c r="H241" i="129" s="1"/>
  <c r="G241" i="129" a="1"/>
  <c r="G241" i="129" s="1"/>
  <c r="F241" i="129" a="1"/>
  <c r="F241" i="129" s="1"/>
  <c r="E241" i="129" a="1"/>
  <c r="E241" i="129" s="1"/>
  <c r="D241" i="129" a="1"/>
  <c r="D241" i="129" s="1"/>
  <c r="S240" i="129" a="1"/>
  <c r="S240" i="129" s="1"/>
  <c r="R240" i="129" a="1"/>
  <c r="R240" i="129" s="1"/>
  <c r="Q240" i="129" a="1"/>
  <c r="Q240" i="129" s="1"/>
  <c r="P240" i="129" a="1"/>
  <c r="P240" i="129" s="1"/>
  <c r="O240" i="129" a="1"/>
  <c r="O240" i="129" s="1"/>
  <c r="N240" i="129" a="1"/>
  <c r="N240" i="129" s="1"/>
  <c r="M240" i="129" a="1"/>
  <c r="M240" i="129" s="1"/>
  <c r="L240" i="129" a="1"/>
  <c r="L240" i="129" s="1"/>
  <c r="K240" i="129" a="1"/>
  <c r="K240" i="129" s="1"/>
  <c r="J240" i="129" a="1"/>
  <c r="J240" i="129" s="1"/>
  <c r="I240" i="129" a="1"/>
  <c r="I240" i="129" s="1"/>
  <c r="H240" i="129" a="1"/>
  <c r="H240" i="129" s="1"/>
  <c r="G240" i="129" a="1"/>
  <c r="G240" i="129" s="1"/>
  <c r="F240" i="129" a="1"/>
  <c r="F240" i="129" s="1"/>
  <c r="E240" i="129" a="1"/>
  <c r="E240" i="129" s="1"/>
  <c r="D240" i="129" a="1"/>
  <c r="D240" i="129" s="1"/>
  <c r="S239" i="129" a="1"/>
  <c r="S239" i="129" s="1"/>
  <c r="R239" i="129" a="1"/>
  <c r="R239" i="129" s="1"/>
  <c r="Q239" i="129" a="1"/>
  <c r="Q239" i="129" s="1"/>
  <c r="P239" i="129" a="1"/>
  <c r="P239" i="129" s="1"/>
  <c r="O239" i="129" a="1"/>
  <c r="O239" i="129" s="1"/>
  <c r="N239" i="129" a="1"/>
  <c r="N239" i="129" s="1"/>
  <c r="M239" i="129" a="1"/>
  <c r="M239" i="129" s="1"/>
  <c r="L239" i="129" a="1"/>
  <c r="L239" i="129" s="1"/>
  <c r="K239" i="129" a="1"/>
  <c r="K239" i="129" s="1"/>
  <c r="J239" i="129" a="1"/>
  <c r="J239" i="129" s="1"/>
  <c r="I239" i="129" a="1"/>
  <c r="I239" i="129" s="1"/>
  <c r="H239" i="129" a="1"/>
  <c r="H239" i="129" s="1"/>
  <c r="G239" i="129" a="1"/>
  <c r="G239" i="129" s="1"/>
  <c r="F239" i="129" a="1"/>
  <c r="F239" i="129" s="1"/>
  <c r="E239" i="129" a="1"/>
  <c r="E239" i="129" s="1"/>
  <c r="D239" i="129" a="1"/>
  <c r="D239" i="129" s="1"/>
  <c r="S238" i="129" a="1"/>
  <c r="S238" i="129" s="1"/>
  <c r="R238" i="129" a="1"/>
  <c r="R238" i="129" s="1"/>
  <c r="Q238" i="129" a="1"/>
  <c r="Q238" i="129" s="1"/>
  <c r="P238" i="129" a="1"/>
  <c r="P238" i="129" s="1"/>
  <c r="O238" i="129" a="1"/>
  <c r="O238" i="129" s="1"/>
  <c r="N238" i="129" a="1"/>
  <c r="N238" i="129" s="1"/>
  <c r="M238" i="129" a="1"/>
  <c r="M238" i="129" s="1"/>
  <c r="L238" i="129" a="1"/>
  <c r="L238" i="129" s="1"/>
  <c r="K238" i="129" a="1"/>
  <c r="K238" i="129" s="1"/>
  <c r="J238" i="129" a="1"/>
  <c r="J238" i="129" s="1"/>
  <c r="I238" i="129" a="1"/>
  <c r="I238" i="129" s="1"/>
  <c r="H238" i="129" a="1"/>
  <c r="H238" i="129" s="1"/>
  <c r="G238" i="129" a="1"/>
  <c r="G238" i="129" s="1"/>
  <c r="F238" i="129" a="1"/>
  <c r="F238" i="129" s="1"/>
  <c r="E238" i="129" a="1"/>
  <c r="E238" i="129" s="1"/>
  <c r="D238" i="129" a="1"/>
  <c r="D238" i="129" s="1"/>
  <c r="S237" i="129" a="1"/>
  <c r="S237" i="129" s="1"/>
  <c r="R237" i="129" a="1"/>
  <c r="R237" i="129" s="1"/>
  <c r="Q237" i="129" a="1"/>
  <c r="Q237" i="129" s="1"/>
  <c r="P237" i="129" a="1"/>
  <c r="P237" i="129" s="1"/>
  <c r="O237" i="129" a="1"/>
  <c r="O237" i="129" s="1"/>
  <c r="N237" i="129" a="1"/>
  <c r="N237" i="129" s="1"/>
  <c r="M237" i="129" a="1"/>
  <c r="M237" i="129" s="1"/>
  <c r="L237" i="129" a="1"/>
  <c r="L237" i="129" s="1"/>
  <c r="K237" i="129" a="1"/>
  <c r="K237" i="129" s="1"/>
  <c r="J237" i="129" a="1"/>
  <c r="J237" i="129" s="1"/>
  <c r="I237" i="129" a="1"/>
  <c r="I237" i="129" s="1"/>
  <c r="H237" i="129" a="1"/>
  <c r="H237" i="129" s="1"/>
  <c r="G237" i="129" a="1"/>
  <c r="G237" i="129" s="1"/>
  <c r="F237" i="129" a="1"/>
  <c r="F237" i="129" s="1"/>
  <c r="E237" i="129" a="1"/>
  <c r="E237" i="129" s="1"/>
  <c r="D237" i="129" a="1"/>
  <c r="D237" i="129" s="1"/>
  <c r="S236" i="129" a="1"/>
  <c r="S236" i="129" s="1"/>
  <c r="R236" i="129" a="1"/>
  <c r="R236" i="129" s="1"/>
  <c r="Q236" i="129" a="1"/>
  <c r="Q236" i="129" s="1"/>
  <c r="P236" i="129" a="1"/>
  <c r="P236" i="129" s="1"/>
  <c r="O236" i="129" a="1"/>
  <c r="O236" i="129" s="1"/>
  <c r="N236" i="129" a="1"/>
  <c r="N236" i="129" s="1"/>
  <c r="M236" i="129" a="1"/>
  <c r="M236" i="129" s="1"/>
  <c r="L236" i="129" a="1"/>
  <c r="L236" i="129" s="1"/>
  <c r="K236" i="129" a="1"/>
  <c r="K236" i="129" s="1"/>
  <c r="J236" i="129" a="1"/>
  <c r="J236" i="129" s="1"/>
  <c r="I236" i="129" a="1"/>
  <c r="I236" i="129" s="1"/>
  <c r="H236" i="129" a="1"/>
  <c r="H236" i="129" s="1"/>
  <c r="G236" i="129" a="1"/>
  <c r="G236" i="129" s="1"/>
  <c r="F236" i="129" a="1"/>
  <c r="F236" i="129" s="1"/>
  <c r="E236" i="129" a="1"/>
  <c r="E236" i="129" s="1"/>
  <c r="D236" i="129" a="1"/>
  <c r="D236" i="129" s="1"/>
  <c r="S235" i="129" a="1"/>
  <c r="S235" i="129" s="1"/>
  <c r="R235" i="129" a="1"/>
  <c r="R235" i="129" s="1"/>
  <c r="Q235" i="129" a="1"/>
  <c r="Q235" i="129" s="1"/>
  <c r="P235" i="129" a="1"/>
  <c r="P235" i="129" s="1"/>
  <c r="O235" i="129" a="1"/>
  <c r="O235" i="129" s="1"/>
  <c r="N235" i="129" a="1"/>
  <c r="N235" i="129" s="1"/>
  <c r="M235" i="129" a="1"/>
  <c r="M235" i="129" s="1"/>
  <c r="L235" i="129" a="1"/>
  <c r="L235" i="129" s="1"/>
  <c r="K235" i="129" a="1"/>
  <c r="K235" i="129" s="1"/>
  <c r="J235" i="129" a="1"/>
  <c r="J235" i="129" s="1"/>
  <c r="I235" i="129" a="1"/>
  <c r="I235" i="129" s="1"/>
  <c r="H235" i="129" a="1"/>
  <c r="H235" i="129" s="1"/>
  <c r="G235" i="129" a="1"/>
  <c r="G235" i="129" s="1"/>
  <c r="F235" i="129" a="1"/>
  <c r="F235" i="129" s="1"/>
  <c r="E235" i="129" a="1"/>
  <c r="E235" i="129" s="1"/>
  <c r="D235" i="129" a="1"/>
  <c r="D235" i="129" s="1"/>
  <c r="S234" i="129" a="1"/>
  <c r="S234" i="129" s="1"/>
  <c r="R234" i="129" a="1"/>
  <c r="R234" i="129" s="1"/>
  <c r="Q234" i="129" a="1"/>
  <c r="Q234" i="129" s="1"/>
  <c r="P234" i="129" a="1"/>
  <c r="P234" i="129" s="1"/>
  <c r="O234" i="129" a="1"/>
  <c r="O234" i="129" s="1"/>
  <c r="N234" i="129" a="1"/>
  <c r="N234" i="129" s="1"/>
  <c r="M234" i="129" a="1"/>
  <c r="M234" i="129" s="1"/>
  <c r="L234" i="129" a="1"/>
  <c r="L234" i="129" s="1"/>
  <c r="K234" i="129" a="1"/>
  <c r="K234" i="129" s="1"/>
  <c r="J234" i="129" a="1"/>
  <c r="J234" i="129" s="1"/>
  <c r="I234" i="129" a="1"/>
  <c r="I234" i="129" s="1"/>
  <c r="H234" i="129" a="1"/>
  <c r="H234" i="129" s="1"/>
  <c r="G234" i="129" a="1"/>
  <c r="G234" i="129" s="1"/>
  <c r="F234" i="129" a="1"/>
  <c r="F234" i="129" s="1"/>
  <c r="E234" i="129" a="1"/>
  <c r="E234" i="129" s="1"/>
  <c r="D234" i="129" a="1"/>
  <c r="D234" i="129" s="1"/>
  <c r="S233" i="129" a="1"/>
  <c r="S233" i="129" s="1"/>
  <c r="R233" i="129" a="1"/>
  <c r="R233" i="129" s="1"/>
  <c r="Q233" i="129" a="1"/>
  <c r="Q233" i="129" s="1"/>
  <c r="P233" i="129" a="1"/>
  <c r="P233" i="129" s="1"/>
  <c r="O233" i="129" a="1"/>
  <c r="O233" i="129" s="1"/>
  <c r="N233" i="129" a="1"/>
  <c r="N233" i="129" s="1"/>
  <c r="M233" i="129" a="1"/>
  <c r="M233" i="129" s="1"/>
  <c r="L233" i="129" a="1"/>
  <c r="L233" i="129" s="1"/>
  <c r="K233" i="129" a="1"/>
  <c r="K233" i="129" s="1"/>
  <c r="J233" i="129" a="1"/>
  <c r="J233" i="129" s="1"/>
  <c r="I233" i="129" a="1"/>
  <c r="I233" i="129" s="1"/>
  <c r="H233" i="129" a="1"/>
  <c r="H233" i="129" s="1"/>
  <c r="G233" i="129" a="1"/>
  <c r="G233" i="129" s="1"/>
  <c r="F233" i="129" a="1"/>
  <c r="F233" i="129" s="1"/>
  <c r="E233" i="129" a="1"/>
  <c r="E233" i="129" s="1"/>
  <c r="D233" i="129" a="1"/>
  <c r="D233" i="129" s="1"/>
  <c r="S232" i="129" a="1"/>
  <c r="S232" i="129" s="1"/>
  <c r="R232" i="129" a="1"/>
  <c r="R232" i="129" s="1"/>
  <c r="Q232" i="129" a="1"/>
  <c r="Q232" i="129" s="1"/>
  <c r="P232" i="129" a="1"/>
  <c r="P232" i="129" s="1"/>
  <c r="O232" i="129" a="1"/>
  <c r="O232" i="129" s="1"/>
  <c r="N232" i="129" a="1"/>
  <c r="N232" i="129" s="1"/>
  <c r="M232" i="129" a="1"/>
  <c r="M232" i="129" s="1"/>
  <c r="L232" i="129" a="1"/>
  <c r="L232" i="129" s="1"/>
  <c r="K232" i="129" a="1"/>
  <c r="K232" i="129" s="1"/>
  <c r="J232" i="129" a="1"/>
  <c r="J232" i="129" s="1"/>
  <c r="I232" i="129" a="1"/>
  <c r="I232" i="129" s="1"/>
  <c r="H232" i="129" a="1"/>
  <c r="H232" i="129" s="1"/>
  <c r="G232" i="129" a="1"/>
  <c r="G232" i="129" s="1"/>
  <c r="F232" i="129" a="1"/>
  <c r="F232" i="129" s="1"/>
  <c r="E232" i="129" a="1"/>
  <c r="E232" i="129" s="1"/>
  <c r="D232" i="129" a="1"/>
  <c r="D232" i="129" s="1"/>
  <c r="D229" i="129"/>
  <c r="D229" i="129" a="1"/>
  <c r="D228" i="129" a="1"/>
  <c r="D228" i="129" s="1"/>
  <c r="D227" i="129" a="1"/>
  <c r="D227" i="129" s="1"/>
  <c r="E224" i="129" a="1"/>
  <c r="E224" i="129" s="1"/>
  <c r="D224" i="129" a="1"/>
  <c r="D224" i="129" s="1"/>
  <c r="E223" i="129" a="1"/>
  <c r="E223" i="129" s="1"/>
  <c r="D223" i="129" a="1"/>
  <c r="D223" i="129" s="1"/>
  <c r="E222" i="129" a="1"/>
  <c r="E222" i="129" s="1"/>
  <c r="D222" i="129" a="1"/>
  <c r="D222" i="129" s="1"/>
  <c r="E221" i="129" a="1"/>
  <c r="E221" i="129" s="1"/>
  <c r="D221" i="129" a="1"/>
  <c r="D221" i="129" s="1"/>
  <c r="E220" i="129" a="1"/>
  <c r="E220" i="129" s="1"/>
  <c r="D220" i="129" a="1"/>
  <c r="D220" i="129" s="1"/>
  <c r="E219" i="129" a="1"/>
  <c r="E219" i="129" s="1"/>
  <c r="D219" i="129" a="1"/>
  <c r="D219" i="129" s="1"/>
  <c r="E218" i="129" a="1"/>
  <c r="E218" i="129" s="1"/>
  <c r="D218" i="129" a="1"/>
  <c r="D218" i="129" s="1"/>
  <c r="E217" i="129" a="1"/>
  <c r="E217" i="129" s="1"/>
  <c r="D217" i="129" a="1"/>
  <c r="D217" i="129" s="1"/>
  <c r="E216" i="129" a="1"/>
  <c r="E216" i="129" s="1"/>
  <c r="D216" i="129" a="1"/>
  <c r="D216" i="129" s="1"/>
  <c r="E215" i="129" a="1"/>
  <c r="E215" i="129" s="1"/>
  <c r="D215" i="129" a="1"/>
  <c r="D215" i="129" s="1"/>
  <c r="E214" i="129" a="1"/>
  <c r="E214" i="129" s="1"/>
  <c r="D214" i="129" a="1"/>
  <c r="D214" i="129" s="1"/>
  <c r="E213" i="129" a="1"/>
  <c r="E213" i="129" s="1"/>
  <c r="D213" i="129" a="1"/>
  <c r="D213" i="129" s="1"/>
  <c r="D211" i="129" a="1"/>
  <c r="D211" i="129" s="1"/>
  <c r="E208" i="129" a="1"/>
  <c r="E208" i="129" s="1"/>
  <c r="D208" i="129" a="1"/>
  <c r="D208" i="129" s="1"/>
  <c r="E207" i="129" a="1"/>
  <c r="E207" i="129" s="1"/>
  <c r="D207" i="129" a="1"/>
  <c r="D207" i="129" s="1"/>
  <c r="D205" i="129" a="1"/>
  <c r="D205" i="129" s="1"/>
  <c r="D204" i="129" a="1"/>
  <c r="D204" i="129" s="1"/>
  <c r="D203" i="129" a="1"/>
  <c r="D203" i="129" s="1"/>
  <c r="D202" i="129" a="1"/>
  <c r="D202" i="129" s="1"/>
  <c r="H199" i="129" a="1"/>
  <c r="H199" i="129" s="1"/>
  <c r="G199" i="129" a="1"/>
  <c r="G199" i="129" s="1"/>
  <c r="F199" i="129" a="1"/>
  <c r="F199" i="129" s="1"/>
  <c r="E199" i="129" a="1"/>
  <c r="E199" i="129" s="1"/>
  <c r="D199" i="129" a="1"/>
  <c r="D199" i="129" s="1"/>
  <c r="H198" i="129" a="1"/>
  <c r="H198" i="129" s="1"/>
  <c r="G198" i="129" a="1"/>
  <c r="G198" i="129" s="1"/>
  <c r="F198" i="129" a="1"/>
  <c r="F198" i="129" s="1"/>
  <c r="E198" i="129" a="1"/>
  <c r="E198" i="129" s="1"/>
  <c r="D198" i="129" a="1"/>
  <c r="D198" i="129" s="1"/>
  <c r="H197" i="129" a="1"/>
  <c r="H197" i="129" s="1"/>
  <c r="G197" i="129" a="1"/>
  <c r="G197" i="129" s="1"/>
  <c r="F197" i="129" a="1"/>
  <c r="F197" i="129" s="1"/>
  <c r="E197" i="129" a="1"/>
  <c r="E197" i="129" s="1"/>
  <c r="D197" i="129" a="1"/>
  <c r="D197" i="129" s="1"/>
  <c r="H196" i="129" a="1"/>
  <c r="H196" i="129" s="1"/>
  <c r="G196" i="129" a="1"/>
  <c r="G196" i="129" s="1"/>
  <c r="F196" i="129" a="1"/>
  <c r="F196" i="129" s="1"/>
  <c r="E196" i="129" a="1"/>
  <c r="E196" i="129" s="1"/>
  <c r="D196" i="129" a="1"/>
  <c r="D196" i="129" s="1"/>
  <c r="H195" i="129" a="1"/>
  <c r="H195" i="129" s="1"/>
  <c r="G195" i="129" a="1"/>
  <c r="G195" i="129" s="1"/>
  <c r="F195" i="129" a="1"/>
  <c r="F195" i="129" s="1"/>
  <c r="E195" i="129" a="1"/>
  <c r="E195" i="129" s="1"/>
  <c r="D195" i="129" a="1"/>
  <c r="D195" i="129" s="1"/>
  <c r="H194" i="129" a="1"/>
  <c r="H194" i="129" s="1"/>
  <c r="G194" i="129" a="1"/>
  <c r="G194" i="129" s="1"/>
  <c r="F194" i="129" a="1"/>
  <c r="F194" i="129" s="1"/>
  <c r="E194" i="129" a="1"/>
  <c r="E194" i="129" s="1"/>
  <c r="D194" i="129" a="1"/>
  <c r="D194" i="129" s="1"/>
  <c r="H193" i="129" a="1"/>
  <c r="H193" i="129" s="1"/>
  <c r="G193" i="129" a="1"/>
  <c r="G193" i="129" s="1"/>
  <c r="F193" i="129" a="1"/>
  <c r="F193" i="129" s="1"/>
  <c r="E193" i="129" a="1"/>
  <c r="E193" i="129" s="1"/>
  <c r="D193" i="129" a="1"/>
  <c r="D193" i="129" s="1"/>
  <c r="H192" i="129" a="1"/>
  <c r="H192" i="129" s="1"/>
  <c r="G192" i="129" a="1"/>
  <c r="G192" i="129" s="1"/>
  <c r="F192" i="129" a="1"/>
  <c r="F192" i="129" s="1"/>
  <c r="E192" i="129" a="1"/>
  <c r="E192" i="129" s="1"/>
  <c r="D192" i="129" a="1"/>
  <c r="D192" i="129" s="1"/>
  <c r="H191" i="129" a="1"/>
  <c r="H191" i="129" s="1"/>
  <c r="G191" i="129" a="1"/>
  <c r="G191" i="129" s="1"/>
  <c r="F191" i="129" a="1"/>
  <c r="F191" i="129" s="1"/>
  <c r="E191" i="129" a="1"/>
  <c r="E191" i="129" s="1"/>
  <c r="D191" i="129" a="1"/>
  <c r="D191" i="129" s="1"/>
  <c r="H190" i="129" a="1"/>
  <c r="H190" i="129" s="1"/>
  <c r="G190" i="129" a="1"/>
  <c r="G190" i="129" s="1"/>
  <c r="F190" i="129" a="1"/>
  <c r="F190" i="129" s="1"/>
  <c r="E190" i="129" a="1"/>
  <c r="E190" i="129" s="1"/>
  <c r="D190" i="129" a="1"/>
  <c r="D190" i="129" s="1"/>
  <c r="H189" i="129" a="1"/>
  <c r="H189" i="129" s="1"/>
  <c r="G189" i="129" a="1"/>
  <c r="G189" i="129" s="1"/>
  <c r="F189" i="129" a="1"/>
  <c r="F189" i="129" s="1"/>
  <c r="E189" i="129" a="1"/>
  <c r="E189" i="129" s="1"/>
  <c r="D189" i="129" a="1"/>
  <c r="D189" i="129" s="1"/>
  <c r="H188" i="129" a="1"/>
  <c r="H188" i="129" s="1"/>
  <c r="G188" i="129" a="1"/>
  <c r="G188" i="129" s="1"/>
  <c r="F188" i="129" a="1"/>
  <c r="F188" i="129" s="1"/>
  <c r="E188" i="129" a="1"/>
  <c r="E188" i="129" s="1"/>
  <c r="D188" i="129" a="1"/>
  <c r="D188" i="129" s="1"/>
  <c r="H187" i="129" a="1"/>
  <c r="H187" i="129" s="1"/>
  <c r="G187" i="129" a="1"/>
  <c r="G187" i="129" s="1"/>
  <c r="F187" i="129" a="1"/>
  <c r="F187" i="129" s="1"/>
  <c r="E187" i="129" a="1"/>
  <c r="E187" i="129" s="1"/>
  <c r="D187" i="129" a="1"/>
  <c r="D187" i="129" s="1"/>
  <c r="D181" i="129" a="1"/>
  <c r="D181" i="129" s="1"/>
  <c r="D180" i="129"/>
  <c r="D180" i="129" a="1"/>
  <c r="D179" i="129" a="1"/>
  <c r="D179" i="129" s="1"/>
  <c r="D178" i="129" a="1"/>
  <c r="D178" i="129" s="1"/>
  <c r="E175" i="129" a="1"/>
  <c r="E175" i="129" s="1"/>
  <c r="D175" i="129" a="1"/>
  <c r="D175" i="129" s="1"/>
  <c r="D174" i="129" a="1"/>
  <c r="D174" i="129" s="1"/>
  <c r="D173" i="129" a="1"/>
  <c r="D173" i="129" s="1"/>
  <c r="D170" i="129" a="1"/>
  <c r="D170" i="129" s="1"/>
  <c r="D169" i="129" a="1"/>
  <c r="D169" i="129" s="1"/>
  <c r="D168" i="129" a="1"/>
  <c r="D168" i="129" s="1"/>
  <c r="D167" i="129" a="1"/>
  <c r="D167" i="129" s="1"/>
  <c r="D164" i="129" a="1"/>
  <c r="D164" i="129" s="1"/>
  <c r="D163" i="129" a="1"/>
  <c r="D163" i="129" s="1"/>
  <c r="D162" i="129" a="1"/>
  <c r="D162" i="129" s="1"/>
  <c r="D161" i="129" a="1"/>
  <c r="D161" i="129" s="1"/>
  <c r="E158" i="129" a="1"/>
  <c r="E158" i="129" s="1"/>
  <c r="D158" i="129" a="1"/>
  <c r="D158" i="129" s="1"/>
  <c r="E157" i="129" a="1"/>
  <c r="E157" i="129" s="1"/>
  <c r="D157" i="129" a="1"/>
  <c r="D157" i="129" s="1"/>
  <c r="E156" i="129" a="1"/>
  <c r="E156" i="129" s="1"/>
  <c r="D156" i="129" a="1"/>
  <c r="D156" i="129" s="1"/>
  <c r="E155" i="129" a="1"/>
  <c r="E155" i="129" s="1"/>
  <c r="D155" i="129" a="1"/>
  <c r="D155" i="129" s="1"/>
  <c r="E154" i="129" a="1"/>
  <c r="E154" i="129" s="1"/>
  <c r="D154" i="129" a="1"/>
  <c r="D154" i="129" s="1"/>
  <c r="D151" i="129" a="1"/>
  <c r="D151" i="129" s="1"/>
  <c r="D150" i="129" a="1"/>
  <c r="D150" i="129" s="1"/>
  <c r="E147" i="129" a="1"/>
  <c r="E147" i="129" s="1"/>
  <c r="D147" i="129" a="1"/>
  <c r="D147" i="129" s="1"/>
  <c r="E146" i="129" a="1"/>
  <c r="E146" i="129" s="1"/>
  <c r="D146" i="129" a="1"/>
  <c r="D146" i="129" s="1"/>
  <c r="E145" i="129" a="1"/>
  <c r="E145" i="129" s="1"/>
  <c r="D145" i="129" a="1"/>
  <c r="D145" i="129" s="1"/>
  <c r="E144" i="129" a="1"/>
  <c r="E144" i="129" s="1"/>
  <c r="D144" i="129" a="1"/>
  <c r="D144" i="129" s="1"/>
  <c r="E143" i="129" a="1"/>
  <c r="E143" i="129" s="1"/>
  <c r="D143" i="129" a="1"/>
  <c r="D143" i="129" s="1"/>
  <c r="D141" i="129" a="1"/>
  <c r="D141" i="129" s="1"/>
  <c r="D140" i="129" a="1"/>
  <c r="D140" i="129" s="1"/>
  <c r="D139" i="129" a="1"/>
  <c r="D139" i="129" s="1"/>
  <c r="E136" i="129" a="1"/>
  <c r="E136" i="129" s="1"/>
  <c r="D136" i="129" a="1"/>
  <c r="D136" i="129" s="1"/>
  <c r="E135" i="129" a="1"/>
  <c r="E135" i="129" s="1"/>
  <c r="D135" i="129" a="1"/>
  <c r="D135" i="129" s="1"/>
  <c r="D133" i="129" a="1"/>
  <c r="D133" i="129" s="1"/>
  <c r="D132" i="129"/>
  <c r="D132" i="129" a="1"/>
  <c r="E129" i="129" a="1"/>
  <c r="E129" i="129" s="1"/>
  <c r="D129" i="129" a="1"/>
  <c r="D129" i="129" s="1"/>
  <c r="E128" i="129" a="1"/>
  <c r="E128" i="129" s="1"/>
  <c r="D128" i="129" a="1"/>
  <c r="D128" i="129" s="1"/>
  <c r="D125" i="129" a="1"/>
  <c r="D125" i="129" s="1"/>
  <c r="D124" i="129" a="1"/>
  <c r="D124" i="129" s="1"/>
  <c r="G121" i="129" a="1"/>
  <c r="G121" i="129" s="1"/>
  <c r="F121" i="129" a="1"/>
  <c r="F121" i="129" s="1"/>
  <c r="E121" i="129" a="1"/>
  <c r="E121" i="129" s="1"/>
  <c r="D121" i="129" a="1"/>
  <c r="D121" i="129" s="1"/>
  <c r="G120" i="129" a="1"/>
  <c r="G120" i="129" s="1"/>
  <c r="F120" i="129" a="1"/>
  <c r="F120" i="129" s="1"/>
  <c r="E120" i="129" a="1"/>
  <c r="E120" i="129" s="1"/>
  <c r="D120" i="129" a="1"/>
  <c r="D120" i="129" s="1"/>
  <c r="D117" i="129" a="1"/>
  <c r="D117" i="129" s="1"/>
  <c r="D116" i="129" a="1"/>
  <c r="D116" i="129" s="1"/>
  <c r="D115" i="129" a="1"/>
  <c r="D115" i="129" s="1"/>
  <c r="G112" i="129" a="1"/>
  <c r="G112" i="129" s="1"/>
  <c r="F112" i="129" a="1"/>
  <c r="F112" i="129" s="1"/>
  <c r="E112" i="129" a="1"/>
  <c r="E112" i="129" s="1"/>
  <c r="D112" i="129" a="1"/>
  <c r="D112" i="129" s="1"/>
  <c r="G111" i="129" a="1"/>
  <c r="G111" i="129" s="1"/>
  <c r="F111" i="129" a="1"/>
  <c r="F111" i="129" s="1"/>
  <c r="E111" i="129" a="1"/>
  <c r="E111" i="129" s="1"/>
  <c r="D111" i="129" a="1"/>
  <c r="D111" i="129" s="1"/>
  <c r="G110" i="129" a="1"/>
  <c r="G110" i="129" s="1"/>
  <c r="F110" i="129" a="1"/>
  <c r="F110" i="129" s="1"/>
  <c r="E110" i="129" a="1"/>
  <c r="E110" i="129" s="1"/>
  <c r="D110" i="129" a="1"/>
  <c r="D110" i="129" s="1"/>
  <c r="D107" i="129" a="1"/>
  <c r="D107" i="129" s="1"/>
  <c r="D106" i="129"/>
  <c r="D106" i="129" a="1"/>
  <c r="D105" i="129"/>
  <c r="D105" i="129" a="1"/>
  <c r="D99" i="129" a="1"/>
  <c r="D99" i="129" s="1"/>
  <c r="S97" i="129" a="1"/>
  <c r="S97" i="129" s="1"/>
  <c r="R97" i="129" a="1"/>
  <c r="R97" i="129" s="1"/>
  <c r="Q97" i="129" a="1"/>
  <c r="Q97" i="129" s="1"/>
  <c r="P97" i="129" a="1"/>
  <c r="P97" i="129" s="1"/>
  <c r="O97" i="129" a="1"/>
  <c r="O97" i="129" s="1"/>
  <c r="N97" i="129" a="1"/>
  <c r="N97" i="129" s="1"/>
  <c r="M97" i="129" a="1"/>
  <c r="M97" i="129" s="1"/>
  <c r="L97" i="129" a="1"/>
  <c r="L97" i="129" s="1"/>
  <c r="K97" i="129" a="1"/>
  <c r="K97" i="129" s="1"/>
  <c r="J97" i="129" a="1"/>
  <c r="J97" i="129" s="1"/>
  <c r="I97" i="129" a="1"/>
  <c r="I97" i="129" s="1"/>
  <c r="H97" i="129" a="1"/>
  <c r="H97" i="129" s="1"/>
  <c r="G97" i="129" a="1"/>
  <c r="G97" i="129" s="1"/>
  <c r="F97" i="129" a="1"/>
  <c r="F97" i="129" s="1"/>
  <c r="E97" i="129" a="1"/>
  <c r="E97" i="129" s="1"/>
  <c r="D97" i="129" a="1"/>
  <c r="D97" i="129" s="1"/>
  <c r="S96" i="129" a="1"/>
  <c r="S96" i="129" s="1"/>
  <c r="R96" i="129" a="1"/>
  <c r="R96" i="129" s="1"/>
  <c r="Q96" i="129" a="1"/>
  <c r="Q96" i="129" s="1"/>
  <c r="P96" i="129" a="1"/>
  <c r="P96" i="129" s="1"/>
  <c r="O96" i="129" a="1"/>
  <c r="O96" i="129" s="1"/>
  <c r="N96" i="129" a="1"/>
  <c r="N96" i="129" s="1"/>
  <c r="M96" i="129" a="1"/>
  <c r="M96" i="129" s="1"/>
  <c r="L96" i="129" a="1"/>
  <c r="L96" i="129" s="1"/>
  <c r="K96" i="129" a="1"/>
  <c r="K96" i="129" s="1"/>
  <c r="J96" i="129" a="1"/>
  <c r="J96" i="129" s="1"/>
  <c r="I96" i="129" a="1"/>
  <c r="I96" i="129" s="1"/>
  <c r="H96" i="129" a="1"/>
  <c r="H96" i="129" s="1"/>
  <c r="G96" i="129" a="1"/>
  <c r="G96" i="129" s="1"/>
  <c r="F96" i="129" a="1"/>
  <c r="F96" i="129" s="1"/>
  <c r="E96" i="129" a="1"/>
  <c r="E96" i="129" s="1"/>
  <c r="D96" i="129" a="1"/>
  <c r="D96" i="129" s="1"/>
  <c r="S95" i="129" a="1"/>
  <c r="S95" i="129" s="1"/>
  <c r="R95" i="129" a="1"/>
  <c r="R95" i="129" s="1"/>
  <c r="Q95" i="129" a="1"/>
  <c r="Q95" i="129" s="1"/>
  <c r="P95" i="129" a="1"/>
  <c r="P95" i="129" s="1"/>
  <c r="O95" i="129" a="1"/>
  <c r="O95" i="129" s="1"/>
  <c r="N95" i="129" a="1"/>
  <c r="N95" i="129" s="1"/>
  <c r="M95" i="129" a="1"/>
  <c r="M95" i="129" s="1"/>
  <c r="L95" i="129" a="1"/>
  <c r="L95" i="129" s="1"/>
  <c r="K95" i="129" a="1"/>
  <c r="K95" i="129" s="1"/>
  <c r="J95" i="129" a="1"/>
  <c r="J95" i="129" s="1"/>
  <c r="I95" i="129" a="1"/>
  <c r="I95" i="129" s="1"/>
  <c r="H95" i="129" a="1"/>
  <c r="H95" i="129" s="1"/>
  <c r="G95" i="129" a="1"/>
  <c r="G95" i="129" s="1"/>
  <c r="F95" i="129" a="1"/>
  <c r="F95" i="129" s="1"/>
  <c r="E95" i="129" a="1"/>
  <c r="E95" i="129" s="1"/>
  <c r="D95" i="129" a="1"/>
  <c r="D95" i="129" s="1"/>
  <c r="S94" i="129" a="1"/>
  <c r="S94" i="129" s="1"/>
  <c r="R94" i="129" a="1"/>
  <c r="R94" i="129" s="1"/>
  <c r="Q94" i="129" a="1"/>
  <c r="Q94" i="129" s="1"/>
  <c r="P94" i="129" a="1"/>
  <c r="P94" i="129" s="1"/>
  <c r="O94" i="129" a="1"/>
  <c r="O94" i="129" s="1"/>
  <c r="N94" i="129" a="1"/>
  <c r="N94" i="129" s="1"/>
  <c r="M94" i="129" a="1"/>
  <c r="M94" i="129" s="1"/>
  <c r="L94" i="129" a="1"/>
  <c r="L94" i="129" s="1"/>
  <c r="K94" i="129" a="1"/>
  <c r="K94" i="129" s="1"/>
  <c r="J94" i="129" a="1"/>
  <c r="J94" i="129" s="1"/>
  <c r="I94" i="129" a="1"/>
  <c r="I94" i="129" s="1"/>
  <c r="H94" i="129" a="1"/>
  <c r="H94" i="129" s="1"/>
  <c r="G94" i="129" a="1"/>
  <c r="G94" i="129" s="1"/>
  <c r="F94" i="129" a="1"/>
  <c r="F94" i="129" s="1"/>
  <c r="E94" i="129" a="1"/>
  <c r="E94" i="129" s="1"/>
  <c r="D94" i="129" a="1"/>
  <c r="D94" i="129" s="1"/>
  <c r="S93" i="129" a="1"/>
  <c r="S93" i="129" s="1"/>
  <c r="R93" i="129" a="1"/>
  <c r="R93" i="129" s="1"/>
  <c r="Q93" i="129" a="1"/>
  <c r="Q93" i="129" s="1"/>
  <c r="P93" i="129" a="1"/>
  <c r="P93" i="129" s="1"/>
  <c r="O93" i="129" a="1"/>
  <c r="O93" i="129" s="1"/>
  <c r="N93" i="129" a="1"/>
  <c r="N93" i="129" s="1"/>
  <c r="M93" i="129" a="1"/>
  <c r="M93" i="129" s="1"/>
  <c r="L93" i="129" a="1"/>
  <c r="L93" i="129" s="1"/>
  <c r="K93" i="129" a="1"/>
  <c r="K93" i="129" s="1"/>
  <c r="J93" i="129" a="1"/>
  <c r="J93" i="129" s="1"/>
  <c r="I93" i="129" a="1"/>
  <c r="I93" i="129" s="1"/>
  <c r="H93" i="129" a="1"/>
  <c r="H93" i="129" s="1"/>
  <c r="G93" i="129" a="1"/>
  <c r="G93" i="129" s="1"/>
  <c r="F93" i="129" a="1"/>
  <c r="F93" i="129" s="1"/>
  <c r="E93" i="129" a="1"/>
  <c r="E93" i="129" s="1"/>
  <c r="D93" i="129" a="1"/>
  <c r="D93" i="129" s="1"/>
  <c r="S92" i="129" a="1"/>
  <c r="S92" i="129" s="1"/>
  <c r="R92" i="129" a="1"/>
  <c r="R92" i="129" s="1"/>
  <c r="Q92" i="129" a="1"/>
  <c r="Q92" i="129" s="1"/>
  <c r="P92" i="129" a="1"/>
  <c r="P92" i="129" s="1"/>
  <c r="O92" i="129" a="1"/>
  <c r="O92" i="129" s="1"/>
  <c r="N92" i="129" a="1"/>
  <c r="N92" i="129" s="1"/>
  <c r="M92" i="129" a="1"/>
  <c r="M92" i="129" s="1"/>
  <c r="L92" i="129" a="1"/>
  <c r="L92" i="129" s="1"/>
  <c r="K92" i="129" a="1"/>
  <c r="K92" i="129" s="1"/>
  <c r="J92" i="129" a="1"/>
  <c r="J92" i="129" s="1"/>
  <c r="I92" i="129" a="1"/>
  <c r="I92" i="129" s="1"/>
  <c r="H92" i="129" a="1"/>
  <c r="H92" i="129" s="1"/>
  <c r="G92" i="129" a="1"/>
  <c r="G92" i="129" s="1"/>
  <c r="F92" i="129" a="1"/>
  <c r="F92" i="129" s="1"/>
  <c r="E92" i="129" a="1"/>
  <c r="E92" i="129" s="1"/>
  <c r="D92" i="129" a="1"/>
  <c r="D92" i="129" s="1"/>
  <c r="S91" i="129" a="1"/>
  <c r="S91" i="129" s="1"/>
  <c r="R91" i="129" a="1"/>
  <c r="R91" i="129" s="1"/>
  <c r="Q91" i="129" a="1"/>
  <c r="Q91" i="129" s="1"/>
  <c r="P91" i="129" a="1"/>
  <c r="P91" i="129" s="1"/>
  <c r="O91" i="129" a="1"/>
  <c r="O91" i="129" s="1"/>
  <c r="N91" i="129" a="1"/>
  <c r="N91" i="129" s="1"/>
  <c r="M91" i="129" a="1"/>
  <c r="M91" i="129" s="1"/>
  <c r="L91" i="129" a="1"/>
  <c r="L91" i="129" s="1"/>
  <c r="K91" i="129" a="1"/>
  <c r="K91" i="129" s="1"/>
  <c r="J91" i="129" a="1"/>
  <c r="J91" i="129" s="1"/>
  <c r="I91" i="129" a="1"/>
  <c r="I91" i="129" s="1"/>
  <c r="H91" i="129" a="1"/>
  <c r="H91" i="129" s="1"/>
  <c r="G91" i="129" a="1"/>
  <c r="G91" i="129" s="1"/>
  <c r="F91" i="129" a="1"/>
  <c r="F91" i="129" s="1"/>
  <c r="E91" i="129" a="1"/>
  <c r="E91" i="129" s="1"/>
  <c r="D91" i="129" a="1"/>
  <c r="D91" i="129" s="1"/>
  <c r="S90" i="129" a="1"/>
  <c r="S90" i="129" s="1"/>
  <c r="R90" i="129" a="1"/>
  <c r="R90" i="129" s="1"/>
  <c r="Q90" i="129" a="1"/>
  <c r="Q90" i="129" s="1"/>
  <c r="P90" i="129" a="1"/>
  <c r="P90" i="129" s="1"/>
  <c r="O90" i="129" a="1"/>
  <c r="O90" i="129" s="1"/>
  <c r="N90" i="129" a="1"/>
  <c r="N90" i="129" s="1"/>
  <c r="M90" i="129" a="1"/>
  <c r="M90" i="129" s="1"/>
  <c r="L90" i="129" a="1"/>
  <c r="L90" i="129" s="1"/>
  <c r="K90" i="129" a="1"/>
  <c r="K90" i="129" s="1"/>
  <c r="J90" i="129" a="1"/>
  <c r="J90" i="129" s="1"/>
  <c r="I90" i="129" a="1"/>
  <c r="I90" i="129" s="1"/>
  <c r="H90" i="129" a="1"/>
  <c r="H90" i="129" s="1"/>
  <c r="G90" i="129" a="1"/>
  <c r="G90" i="129" s="1"/>
  <c r="F90" i="129" a="1"/>
  <c r="F90" i="129" s="1"/>
  <c r="E90" i="129" a="1"/>
  <c r="E90" i="129" s="1"/>
  <c r="D90" i="129" a="1"/>
  <c r="D90" i="129" s="1"/>
  <c r="D83" i="129" a="1"/>
  <c r="D83" i="129" s="1"/>
  <c r="D82" i="129" a="1"/>
  <c r="D82" i="129" s="1"/>
  <c r="D81" i="129" a="1"/>
  <c r="D81" i="129" s="1"/>
  <c r="E77" i="129" a="1"/>
  <c r="E77" i="129" s="1"/>
  <c r="D77" i="129" a="1"/>
  <c r="D77" i="129" s="1"/>
  <c r="E76" i="129" a="1"/>
  <c r="E76" i="129" s="1"/>
  <c r="D76" i="129" a="1"/>
  <c r="D76" i="129" s="1"/>
  <c r="E75" i="129" a="1"/>
  <c r="E75" i="129" s="1"/>
  <c r="D75" i="129" a="1"/>
  <c r="D75" i="129" s="1"/>
  <c r="E74" i="129" a="1"/>
  <c r="E74" i="129" s="1"/>
  <c r="D74" i="129" a="1"/>
  <c r="D74" i="129" s="1"/>
  <c r="E73" i="129" a="1"/>
  <c r="E73" i="129" s="1"/>
  <c r="D73" i="129" a="1"/>
  <c r="D73" i="129" s="1"/>
  <c r="E72" i="129" a="1"/>
  <c r="E72" i="129" s="1"/>
  <c r="D72" i="129" a="1"/>
  <c r="D72" i="129" s="1"/>
  <c r="E71" i="129" a="1"/>
  <c r="E71" i="129" s="1"/>
  <c r="D71" i="129" a="1"/>
  <c r="D71" i="129" s="1"/>
  <c r="E70" i="129" a="1"/>
  <c r="E70" i="129" s="1"/>
  <c r="D70" i="129" a="1"/>
  <c r="D70" i="129" s="1"/>
  <c r="E69" i="129" a="1"/>
  <c r="E69" i="129" s="1"/>
  <c r="D69" i="129" a="1"/>
  <c r="D69" i="129" s="1"/>
  <c r="E68" i="129" a="1"/>
  <c r="E68" i="129" s="1"/>
  <c r="D68" i="129" a="1"/>
  <c r="D68" i="129" s="1"/>
  <c r="E67" i="129" a="1"/>
  <c r="E67" i="129" s="1"/>
  <c r="D67" i="129" a="1"/>
  <c r="D67" i="129" s="1"/>
  <c r="E66" i="129" a="1"/>
  <c r="E66" i="129" s="1"/>
  <c r="D66" i="129" a="1"/>
  <c r="D66" i="129" s="1"/>
  <c r="E65" i="129" a="1"/>
  <c r="E65" i="129" s="1"/>
  <c r="D65" i="129" a="1"/>
  <c r="D65" i="129" s="1"/>
  <c r="E64" i="129" a="1"/>
  <c r="E64" i="129" s="1"/>
  <c r="D64" i="129" a="1"/>
  <c r="D64" i="129" s="1"/>
  <c r="D59" i="129" a="1"/>
  <c r="D59" i="129" s="1"/>
  <c r="D58" i="129" a="1"/>
  <c r="D58" i="129" s="1"/>
  <c r="D57" i="129" a="1"/>
  <c r="D57" i="129" s="1"/>
  <c r="G54" i="129" a="1"/>
  <c r="G54" i="129" s="1"/>
  <c r="F54" i="129" a="1"/>
  <c r="F54" i="129" s="1"/>
  <c r="E54" i="129" a="1"/>
  <c r="E54" i="129" s="1"/>
  <c r="D54" i="129" a="1"/>
  <c r="D54" i="129" s="1"/>
  <c r="G53" i="129" a="1"/>
  <c r="G53" i="129" s="1"/>
  <c r="F53" i="129" a="1"/>
  <c r="F53" i="129" s="1"/>
  <c r="E53" i="129" a="1"/>
  <c r="E53" i="129" s="1"/>
  <c r="D53" i="129" a="1"/>
  <c r="D53" i="129" s="1"/>
  <c r="G52" i="129" a="1"/>
  <c r="G52" i="129" s="1"/>
  <c r="F52" i="129" a="1"/>
  <c r="F52" i="129" s="1"/>
  <c r="E52" i="129" a="1"/>
  <c r="E52" i="129" s="1"/>
  <c r="D52" i="129" a="1"/>
  <c r="D52" i="129" s="1"/>
  <c r="G51" i="129" a="1"/>
  <c r="G51" i="129" s="1"/>
  <c r="F51" i="129" a="1"/>
  <c r="F51" i="129" s="1"/>
  <c r="E51" i="129" a="1"/>
  <c r="E51" i="129" s="1"/>
  <c r="D51" i="129" a="1"/>
  <c r="D51" i="129" s="1"/>
  <c r="G50" i="129" a="1"/>
  <c r="G50" i="129" s="1"/>
  <c r="F50" i="129" a="1"/>
  <c r="F50" i="129" s="1"/>
  <c r="E50" i="129" a="1"/>
  <c r="E50" i="129" s="1"/>
  <c r="D50" i="129" a="1"/>
  <c r="D50" i="129" s="1"/>
  <c r="G49" i="129" a="1"/>
  <c r="G49" i="129" s="1"/>
  <c r="F49" i="129" a="1"/>
  <c r="F49" i="129" s="1"/>
  <c r="E49" i="129" a="1"/>
  <c r="E49" i="129" s="1"/>
  <c r="D49" i="129" a="1"/>
  <c r="D49" i="129" s="1"/>
  <c r="G48" i="129" a="1"/>
  <c r="G48" i="129" s="1"/>
  <c r="F48" i="129" a="1"/>
  <c r="F48" i="129" s="1"/>
  <c r="E48" i="129" a="1"/>
  <c r="E48" i="129" s="1"/>
  <c r="D48" i="129" a="1"/>
  <c r="D48" i="129" s="1"/>
  <c r="D46" i="129" a="1"/>
  <c r="D46" i="129" s="1"/>
  <c r="D45" i="129" a="1"/>
  <c r="D45" i="129" s="1"/>
  <c r="E43" i="129" a="1"/>
  <c r="E43" i="129" s="1"/>
  <c r="D43" i="129" a="1"/>
  <c r="D43" i="129" s="1"/>
  <c r="E42" i="129" a="1"/>
  <c r="E42" i="129" s="1"/>
  <c r="D42" i="129" a="1"/>
  <c r="D42" i="129" s="1"/>
  <c r="E41" i="129" a="1"/>
  <c r="E41" i="129" s="1"/>
  <c r="D41" i="129" a="1"/>
  <c r="D41" i="129" s="1"/>
  <c r="E40" i="129" a="1"/>
  <c r="E40" i="129" s="1"/>
  <c r="D40" i="129" a="1"/>
  <c r="D40" i="129" s="1"/>
  <c r="E39" i="129" a="1"/>
  <c r="E39" i="129" s="1"/>
  <c r="D39" i="129" a="1"/>
  <c r="D39" i="129" s="1"/>
  <c r="E38" i="129" a="1"/>
  <c r="E38" i="129" s="1"/>
  <c r="D38" i="129" a="1"/>
  <c r="D38" i="129" s="1"/>
  <c r="E37" i="129" a="1"/>
  <c r="E37" i="129" s="1"/>
  <c r="D37" i="129" a="1"/>
  <c r="D37" i="129" s="1"/>
  <c r="D35" i="129"/>
  <c r="D35" i="129" a="1"/>
  <c r="D34" i="129" a="1"/>
  <c r="D34" i="129" s="1"/>
  <c r="D30" i="129" a="1"/>
  <c r="D30" i="129" s="1"/>
  <c r="D29" i="129" a="1"/>
  <c r="D29" i="129" s="1"/>
  <c r="D28" i="129" a="1"/>
  <c r="D28" i="129" s="1"/>
  <c r="D27" i="129" a="1"/>
  <c r="D27" i="129" s="1"/>
  <c r="D26" i="129" a="1"/>
  <c r="D26" i="129" s="1"/>
  <c r="D25" i="129" a="1"/>
  <c r="D25" i="129" s="1"/>
  <c r="D24" i="129" a="1"/>
  <c r="D24" i="129" s="1"/>
  <c r="D23" i="129" a="1"/>
  <c r="D23" i="129" s="1"/>
  <c r="D22" i="129" a="1"/>
  <c r="D22" i="129" s="1"/>
  <c r="D21" i="129" a="1"/>
  <c r="D21" i="129" s="1"/>
  <c r="D19" i="129" a="1"/>
  <c r="D19" i="129" s="1"/>
  <c r="D18" i="129"/>
  <c r="D18" i="129" a="1"/>
  <c r="F14" i="129" a="1"/>
  <c r="F14" i="129" s="1"/>
  <c r="E14" i="129" a="1"/>
  <c r="E14" i="129" s="1"/>
  <c r="D14" i="129" a="1"/>
  <c r="D14" i="129" s="1"/>
  <c r="F13" i="129" a="1"/>
  <c r="F13" i="129" s="1"/>
  <c r="E13" i="129" a="1"/>
  <c r="E13" i="129" s="1"/>
  <c r="D13" i="129" a="1"/>
  <c r="D13" i="129" s="1"/>
  <c r="F12" i="129" a="1"/>
  <c r="F12" i="129" s="1"/>
  <c r="E12" i="129" a="1"/>
  <c r="E12" i="129" s="1"/>
  <c r="D12" i="129" a="1"/>
  <c r="D12" i="129" s="1"/>
  <c r="F11" i="129" a="1"/>
  <c r="F11" i="129" s="1"/>
  <c r="E11" i="129" a="1"/>
  <c r="E11" i="129" s="1"/>
  <c r="D11" i="129" a="1"/>
  <c r="D11" i="129" s="1"/>
  <c r="F10" i="129" a="1"/>
  <c r="F10" i="129" s="1"/>
  <c r="E10" i="129" a="1"/>
  <c r="E10" i="129" s="1"/>
  <c r="D10" i="129" a="1"/>
  <c r="D10" i="129" s="1"/>
  <c r="F9" i="129" a="1"/>
  <c r="F9" i="129" s="1"/>
  <c r="E9" i="129" a="1"/>
  <c r="E9" i="129" s="1"/>
  <c r="D9" i="129" a="1"/>
  <c r="D9" i="129" s="1"/>
  <c r="F8" i="129" a="1"/>
  <c r="F8" i="129" s="1"/>
  <c r="E8" i="129" a="1"/>
  <c r="E8" i="129" s="1"/>
  <c r="D8" i="129" a="1"/>
  <c r="D8" i="129" s="1"/>
  <c r="A8" i="129"/>
  <c r="F7" i="129" a="1"/>
  <c r="F7" i="129" s="1"/>
  <c r="E7" i="129" a="1"/>
  <c r="E7" i="129" s="1"/>
  <c r="D7" i="129" a="1"/>
  <c r="D7" i="129" s="1"/>
  <c r="A7" i="129"/>
  <c r="D5" i="129" a="1"/>
  <c r="D5" i="129" s="1"/>
  <c r="A3" i="129"/>
  <c r="A8" i="71"/>
  <c r="A7" i="71"/>
  <c r="A3" i="71"/>
  <c r="J27" i="69"/>
  <c r="J19" i="69"/>
  <c r="D57" i="70"/>
  <c r="A19" i="110"/>
  <c r="A18" i="110"/>
  <c r="A14" i="110"/>
  <c r="A13" i="110"/>
  <c r="A9" i="110"/>
  <c r="A5" i="110"/>
  <c r="A4" i="110"/>
  <c r="A3" i="110"/>
  <c r="A19" i="120"/>
  <c r="A18" i="120"/>
  <c r="A14" i="120"/>
  <c r="A13" i="120"/>
  <c r="A9" i="120"/>
  <c r="A5" i="120"/>
  <c r="A4" i="120"/>
  <c r="A3" i="120"/>
  <c r="A19" i="69"/>
  <c r="A18" i="69"/>
  <c r="A14" i="69"/>
  <c r="A13" i="69"/>
  <c r="A9" i="69"/>
  <c r="A5" i="69"/>
  <c r="A4" i="69"/>
  <c r="A3" i="69"/>
  <c r="A19" i="70"/>
  <c r="A18" i="70"/>
  <c r="A14" i="70"/>
  <c r="A13" i="70"/>
  <c r="A9" i="70"/>
  <c r="A5" i="70"/>
  <c r="A4" i="70"/>
  <c r="A3" i="70"/>
  <c r="A19" i="13"/>
  <c r="A18" i="13"/>
  <c r="A14" i="13"/>
  <c r="A13" i="13"/>
  <c r="A9" i="13"/>
  <c r="A5" i="13"/>
  <c r="A4" i="13"/>
  <c r="A3" i="13"/>
  <c r="A19" i="118"/>
  <c r="A18" i="118"/>
  <c r="A14" i="118"/>
  <c r="A13" i="118"/>
  <c r="A9" i="118"/>
  <c r="A5" i="118"/>
  <c r="A4" i="118"/>
  <c r="A3" i="118"/>
  <c r="I13" i="120"/>
  <c r="J28" i="69"/>
  <c r="J25" i="69"/>
  <c r="J24" i="69"/>
  <c r="J23" i="69"/>
  <c r="J20" i="69"/>
  <c r="J17" i="69"/>
  <c r="J16" i="69"/>
  <c r="J15" i="69"/>
  <c r="J14" i="69"/>
  <c r="D19" i="120" a="1"/>
  <c r="D19" i="120" s="1"/>
  <c r="F22" i="120" a="1"/>
  <c r="F22" i="120" s="1"/>
  <c r="G13" i="120" a="1"/>
  <c r="G13" i="120" s="1"/>
  <c r="D13" i="120" a="1"/>
  <c r="D13" i="120" s="1"/>
  <c r="E11" i="120" a="1"/>
  <c r="E11" i="120" s="1"/>
  <c r="F17" i="120" s="1"/>
  <c r="E10" i="120" a="1"/>
  <c r="E10" i="120" s="1"/>
  <c r="D6" i="120" a="1"/>
  <c r="D6" i="120" s="1"/>
  <c r="D5" i="120" a="1"/>
  <c r="D5" i="120" s="1"/>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I14" i="120"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F35" i="69" a="1"/>
  <c r="F35" i="69" s="1"/>
  <c r="D32" i="69" a="1"/>
  <c r="D32" i="69" s="1"/>
  <c r="E7" i="120"/>
  <c r="E8" i="69"/>
  <c r="H54" i="129" l="1"/>
  <c r="H53" i="129"/>
  <c r="H50" i="129"/>
  <c r="H48" i="129"/>
  <c r="H51" i="129"/>
  <c r="H49" i="129"/>
  <c r="H52" i="129"/>
  <c r="J26" i="69"/>
  <c r="E17" i="120" a="1"/>
  <c r="E17" i="120" s="1"/>
  <c r="E10" i="13" l="1"/>
  <c r="F10" i="13" s="1"/>
  <c r="G19" i="120"/>
  <c r="E22" i="120" a="1"/>
  <c r="E22" i="120" s="1"/>
  <c r="H10" i="13" s="1"/>
  <c r="I10" i="13" s="1"/>
  <c r="D7" i="69" a="1"/>
  <c r="D7" i="69" s="1"/>
  <c r="J21" i="69" a="1"/>
  <c r="J21" i="69" s="1"/>
  <c r="J18" i="69" a="1"/>
  <c r="J18" i="69" s="1"/>
  <c r="H14" i="69" a="1"/>
  <c r="H14" i="69" s="1"/>
  <c r="D14" i="69" a="1"/>
  <c r="D14" i="69" s="1"/>
  <c r="E12" i="69" a="1"/>
  <c r="E12" i="69" s="1"/>
  <c r="F30" i="69" s="1"/>
  <c r="E11" i="69" a="1"/>
  <c r="E11" i="69" s="1"/>
  <c r="D6" i="69" a="1"/>
  <c r="D6" i="69" s="1"/>
  <c r="D5" i="69" a="1"/>
  <c r="D5" i="69" s="1"/>
  <c r="E30" i="69" l="1" a="1"/>
  <c r="E30" i="69" s="1"/>
  <c r="E9" i="13" l="1"/>
  <c r="G32" i="69"/>
  <c r="E35" i="69" s="1" a="1"/>
  <c r="E35" i="69" s="1"/>
  <c r="H9" i="13" s="1"/>
  <c r="H11" i="13" l="1"/>
  <c r="I9" i="13"/>
  <c r="I11"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<sst xmlns="http://schemas.openxmlformats.org/spreadsheetml/2006/main" count="230" uniqueCount="180">
  <si>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</si>
  <si>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</si>
  <si>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</si>
  <si>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</si>
  <si>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</si>
  <si>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</si>
  <si>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</si>
  <si>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</si>
  <si>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</si>
  <si>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</si>
  <si>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</si>
  <si>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</si>
  <si>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</si>
  <si>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</si>
  <si>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</si>
  <si>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</si>
  <si>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</si>
  <si>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</si>
  <si>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</si>
  <si>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</si>
  <si>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</si>
  <si>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</si>
  <si>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</si>
  <si>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</si>
  <si>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</si>
  <si>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</si>
  <si>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</si>
  <si>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</si>
  <si>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</si>
  <si>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</si>
  <si>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</si>
  <si>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</si>
  <si>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</si>
  <si>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</si>
  <si>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</si>
  <si>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</si>
  <si>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</si>
  <si>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</si>
  <si>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</si>
  <si>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</si>
  <si>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</si>
  <si>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</si>
  <si>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</si>
  <si>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</si>
  <si>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</si>
  <si>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</si>
  <si>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</si>
  <si>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</si>
  <si>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</si>
  <si>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</si>
  <si>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</si>
  <si>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</si>
  <si>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</si>
  <si>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</si>
  <si>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</si>
  <si>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</si>
  <si>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</si>
  <si>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</si>
  <si>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</si>
  <si>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</si>
  <si>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</si>
  <si>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</si>
  <si>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</si>
  <si>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</si>
  <si>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</si>
  <si>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</si>
  <si>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</si>
  <si>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</si>
  <si>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</si>
  <si>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</si>
  <si>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</si>
  <si>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</si>
  <si>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</si>
  <si>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</si>
  <si>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</si>
  <si>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</si>
  <si>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</si>
  <si>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</si>
  <si>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</si>
  <si>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</si>
  <si>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</si>
  <si>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</si>
  <si>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</si>
  <si>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</si>
  <si>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</si>
  <si>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</si>
  <si>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</si>
  <si>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</si>
  <si>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</si>
  <si>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</si>
  <si>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</si>
  <si>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</si>
  <si>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</si>
  <si>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</si>
  <si>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</si>
  <si>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</si>
  <si>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</si>
  <si>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</si>
  <si>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</si>
  <si>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</si>
  <si>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</si>
  <si>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</si>
  <si>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</si>
  <si>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</si>
  <si>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</si>
  <si>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</si>
  <si>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</si>
  <si>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</si>
  <si>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</si>
  <si>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</si>
  <si>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</si>
  <si>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</si>
  <si>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</si>
  <si>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</si>
  <si>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</si>
  <si>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</si>
  <si>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</si>
  <si>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0"/>
        <color theme="1" tint="0.34998626667073579"/>
        <rFont val="Arial"/>
        <family val="1"/>
      </rPr>
      <t>←</t>
    </r>
    <r>
      <rPr>
        <i/>
        <sz val="10"/>
        <color theme="1" tint="0.34998626667073579"/>
        <rFont val="Arial"/>
        <family val="1"/>
      </rPr>
      <t xml:space="preserve"> Please select</t>
    </r>
  </si>
  <si>
    <t>Unmanaged aerobic treatment</t>
  </si>
  <si>
    <r>
      <rPr>
        <b/>
        <sz val="14"/>
        <color theme="1" tint="0.24994659260841701"/>
        <rFont val="Arial"/>
        <family val="1"/>
      </rPr>
      <t>E</t>
    </r>
    <r>
      <rPr>
        <b/>
        <vertAlign val="subscript"/>
        <sz val="14"/>
        <color theme="1" tint="0.24994659260841701"/>
        <rFont val="Arial"/>
        <family val="1"/>
      </rPr>
      <t>CH4</t>
    </r>
  </si>
  <si>
    <r>
      <t>E</t>
    </r>
    <r>
      <rPr>
        <vertAlign val="subscript"/>
        <sz val="10"/>
        <color theme="1" tint="0.24994659260841701"/>
        <rFont val="Arial"/>
        <family val="1"/>
      </rPr>
      <t>CO2e</t>
    </r>
  </si>
  <si>
    <t>Constants - Wastewater</t>
  </si>
  <si>
    <t>Input - Wastewater</t>
  </si>
  <si>
    <t>11.1.1-2 Wastewater CH4</t>
  </si>
  <si>
    <t>11.1.3-4 Wastewater N2O</t>
  </si>
  <si>
    <t>t CH4</t>
  </si>
  <si>
    <t>t N2O</t>
  </si>
  <si>
    <t>CO2-e emissions method 1</t>
  </si>
  <si>
    <t>CO2-e emissions method 2</t>
  </si>
  <si>
    <t>CO2-e unit</t>
  </si>
  <si>
    <t>Total</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</si>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</sst>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14"/>
      <color theme="1" tint="0.24994659260841701"/>
      <name val="Arial"/>
      <family val="1"/>
    </font>
    <font>
      <b/>
      <sz val="14"/>
      <color theme="1" tint="0.24994659260841701"/>
      <name val="Arial"/>
      <family val="1"/>
    </font>
    <font>
      <b/>
      <vertAlign val="subscript"/>
      <sz val="14"/>
      <color theme="1" tint="0.24994659260841701"/>
      <name val="Arial"/>
      <family val="1"/>
    </font>
    <font>
      <i/>
      <sz val="14"/>
      <color theme="1" tint="0.34998626667073579"/>
      <name val="Arial"/>
      <family val="1"/>
    </font>
    <font>
      <vertAlign val="subscript"/>
      <sz val="10"/>
      <color theme="1" tint="0.24994659260841701"/>
      <name val="Arial"/>
      <family val="1"/>
    </font>
    <font>
      <sz val="9"/>
      <color rgb="FF404040"/>
      <name val="Arial"/>
      <family val="1"/>
    </font>
    <font>
      <u/>
      <sz val="10"/>
      <color theme="10"/>
      <name val="Arial"/>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52" fillId="0" borderId="0" applyNumberFormat="0" applyFill="0" applyBorder="0" applyAlignment="0" applyProtection="0"/>
  </cellStyleXfs>
  <cellXfs count="76">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40" fillId="4" borderId="0" xfId="59">
      <alignment horizontal="left" vertical="center"/>
    </xf>
    <xf numFmtId="0" fontId="36" fillId="11" borderId="0" xfId="60">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34" fillId="13" borderId="14" xfId="39" applyBorder="1">
      <alignment horizontal="left" vertical="center"/>
    </xf>
    <xf numFmtId="0" fontId="34" fillId="13" borderId="15" xfId="39" applyBorder="1">
      <alignment horizontal="left" vertical="center"/>
    </xf>
    <xf numFmtId="0" fontId="47" fillId="4" borderId="1" xfId="8" applyFont="1" applyBorder="1">
      <alignment horizontal="left" vertical="center"/>
    </xf>
    <xf numFmtId="0" fontId="30" fillId="4" borderId="1" xfId="8" applyBorder="1">
      <alignment horizontal="left" vertical="center"/>
    </xf>
    <xf numFmtId="0" fontId="46"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49" fillId="4" borderId="1" xfId="53" applyFont="1" applyBorder="1">
      <alignment horizontal="left" vertical="center"/>
    </xf>
    <xf numFmtId="0" fontId="2" fillId="0" borderId="2" xfId="56">
      <alignment horizontal="center" vertical="center"/>
    </xf>
    <xf numFmtId="0" fontId="34" fillId="13" borderId="17" xfId="39" applyBorder="1">
      <alignment horizontal="left" vertical="center"/>
    </xf>
    <xf numFmtId="0" fontId="39"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xf numFmtId="0" fontId="51" fillId="9" borderId="4" xfId="34" applyFont="1">
      <alignment horizontal="left" vertical="center" indent="1"/>
    </xf>
    <xf numFmtId="0" fontId="52"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Equation table" pivot="0" count="6" xr9:uid="{B247698E-E41D-4CCD-AA0A-C14817E9DE65}">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900" b="0" i="0" u="none" strike="noStrike">
              <a:solidFill>
                <a:srgbClr val="0C769E"/>
              </a:solidFill>
              <a:latin typeface="Arial"/>
              <a:cs typeface="Arial"/>
            </a:rPr>
            <a:pPr algn="ctr"/>
            <a:t>Methane emissions from wastewater treatment</a:t>
          </a:fld>
          <a:endParaRPr lang="en-AU" sz="9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900" b="0" i="0" u="none" strike="noStrike">
              <a:solidFill>
                <a:srgbClr val="0C769E"/>
              </a:solidFill>
              <a:latin typeface="Arial"/>
              <a:cs typeface="Arial"/>
            </a:rPr>
            <a:pPr algn="ctr"/>
            <a:t>Nitrous oxide emissions from flared biogas</a:t>
          </a:fld>
          <a:endParaRPr lang="en-AU" sz="9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1</m:t>
                        </m:r>
                      </m:num>
                      <m:den>
                        <m:r>
                          <a:rPr lang="en-AU" sz="1000" i="1">
                            <a:latin typeface="Cambria Math" panose="02040503050406030204" pitchFamily="18" charset="0"/>
                          </a:rPr>
                          <m:t>1000</m:t>
                        </m:r>
                      </m:den>
                    </m:f>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𝑡</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r>
                                  <a:rPr lang="en-AU" sz="1000" i="1">
                                    <a:latin typeface="Cambria Math" panose="02040503050406030204" pitchFamily="18" charset="0"/>
                                  </a:rPr>
                                  <m:t>𝐶𝑂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𝑖𝑛</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𝑠𝑙𝑢𝑑𝑔𝑒</m:t>
                                        </m:r>
                                      </m:sub>
                                    </m:sSub>
                                  </m:e>
                                </m:d>
                                <m:r>
                                  <a:rPr lang="en-AU" sz="1000" i="1">
                                    <a:latin typeface="Cambria Math" panose="02040503050406030204" pitchFamily="18" charset="0"/>
                                  </a:rPr>
                                  <m:t>−</m:t>
                                </m:r>
                                <m:r>
                                  <a:rPr lang="en-AU" sz="1000" i="1">
                                    <a:latin typeface="Cambria Math" panose="02040503050406030204" pitchFamily="18" charset="0"/>
                                  </a:rPr>
                                  <m:t>𝐶𝑂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𝑜𝑢𝑡</m:t>
                                    </m:r>
                                  </m:sub>
                                </m:sSub>
                              </m:e>
                            </m:d>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𝑤𝑤</m:t>
                                </m:r>
                                <m:r>
                                  <a:rPr lang="en-AU" sz="1000" i="1">
                                    <a:latin typeface="Cambria Math" panose="02040503050406030204" pitchFamily="18" charset="0"/>
                                  </a:rPr>
                                  <m:t>,</m:t>
                                </m:r>
                                <m:r>
                                  <a:rPr lang="en-AU" sz="1000" i="1">
                                    <a:latin typeface="Cambria Math" panose="02040503050406030204" pitchFamily="18" charset="0"/>
                                  </a:rPr>
                                  <m:t>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𝑤𝑤</m:t>
                                </m:r>
                              </m:sub>
                            </m:sSub>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𝑡</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r>
                                  <a:rPr lang="en-AU" sz="1000" i="1">
                                    <a:latin typeface="Cambria Math" panose="02040503050406030204" pitchFamily="18" charset="0"/>
                                  </a:rPr>
                                  <m:t>𝐶𝑂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𝑖𝑛</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𝑠𝑙𝑢𝑑𝑔𝑒</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𝑟𝑒𝑚𝑜𝑣𝑒𝑑</m:t>
                                        </m:r>
                                      </m:sub>
                                    </m:sSub>
                                  </m:e>
                                </m:d>
                              </m:e>
                            </m:d>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𝑠𝑙𝑢𝑑𝑔𝑒</m:t>
                                </m:r>
                                <m:r>
                                  <a:rPr lang="en-AU" sz="1000" i="1">
                                    <a:latin typeface="Cambria Math" panose="02040503050406030204" pitchFamily="18" charset="0"/>
                                  </a:rPr>
                                  <m:t>,</m:t>
                                </m:r>
                                <m:r>
                                  <a:rPr lang="en-AU" sz="1000" i="1">
                                    <a:latin typeface="Cambria Math" panose="02040503050406030204" pitchFamily="18" charset="0"/>
                                  </a:rPr>
                                  <m:t>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𝑠𝑙𝑢𝑑𝑔𝑒</m:t>
                                </m:r>
                              </m:sub>
                            </m:sSub>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r>
                              <a:rPr lang="en-AU" sz="1000" i="1">
                                <a:latin typeface="Cambria Math" panose="02040503050406030204" pitchFamily="18" charset="0"/>
                              </a:rPr>
                              <m:t>6.784×</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𝑐𝑎𝑝</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𝑓𝑙𝑎𝑟𝑒𝑑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𝑜𝑢𝑡</m:t>
                                    </m:r>
                                  </m:sub>
                                </m:sSub>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𝑓𝑙𝑎𝑟𝑒𝑑</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𝑓𝑙𝑎𝑟𝑒𝑑</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𝑓𝑙𝑎𝑟𝑒𝑑</m:t>
                                    </m:r>
                                    <m:r>
                                      <a:rPr lang="en-AU" sz="1000" i="1">
                                        <a:latin typeface="Cambria Math" panose="02040503050406030204" pitchFamily="18" charset="0"/>
                                      </a:rPr>
                                      <m:t>,</m:t>
                                    </m:r>
                                    <m:r>
                                      <a:rPr lang="en-AU" sz="1000" i="1">
                                        <a:latin typeface="Cambria Math" panose="02040503050406030204" pitchFamily="18" charset="0"/>
                                      </a:rPr>
                                      <m:t>𝐶𝐻</m:t>
                                    </m:r>
                                    <m:r>
                                      <a:rPr lang="en-AU" sz="1000" i="1">
                                        <a:latin typeface="Cambria Math" panose="02040503050406030204" pitchFamily="18" charset="0"/>
                                      </a:rPr>
                                      <m:t>4</m:t>
                                    </m:r>
                                  </m:sub>
                                </m:sSub>
                              </m:e>
                            </m:d>
                          </m:e>
                        </m:d>
                      </m:e>
                    </m:d>
                  </m:oMath>
                </m:oMathPara>
              </a14:m>
              <a:endParaRPr lang="en-AU" sz="10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𝑓𝑙𝑎𝑟𝑒𝑑</m:t>
                            </m:r>
                          </m:sub>
                        </m:sSub>
                      </m:num>
                      <m:den>
                        <m:r>
                          <a:rPr lang="en-AU" sz="1000" i="1">
                            <a:latin typeface="Cambria Math" panose="02040503050406030204" pitchFamily="18" charset="0"/>
                          </a:rPr>
                          <m:t>1000</m:t>
                        </m:r>
                      </m:den>
                    </m:f>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𝑓𝑙𝑎𝑟𝑒𝑑</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𝑓𝑙𝑎𝑟𝑒𝑑</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22" dataCellStyle="Content normal">
  <autoFilter ref="D9:E14" xr:uid="{86752300-1056-4C92-8247-C96E2D7BEDD4}">
    <filterColumn colId="0" hiddenButton="1"/>
    <filterColumn colId="1" hiddenButton="1"/>
  </autoFilter>
  <tableColumns count="2">
    <tableColumn id="1" xr3:uid="{60322701-4B4B-459F-8E0D-E1FDA0005D7E}" name="Facility type t" dataDxfId="21"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20"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19" dataCellStyle="Content normal">
  <autoFilter ref="D21:E26" xr:uid="{CAC655BD-F756-4971-8D46-22867B90DE87}">
    <filterColumn colId="0" hiddenButton="1"/>
    <filterColumn colId="1" hiddenButton="1"/>
  </autoFilter>
  <tableColumns count="2">
    <tableColumn id="1" xr3:uid="{D1DF76B8-1010-4952-AD56-4DF4622F5028}" name="Facility type t" dataDxfId="18"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17"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72A8D-DF86-451B-8AFF-6DEE5BB4E20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EA1C953-5B94-4630-8F10-0305BA86AF71}" name="State/Territory">
      <calculatedColumnFormula array="1">Common_InputFunctions.Utility_DisplayArrayInTable(Common_SourceData.Common_SourceData_AustralianStatesTerritories_Data(),Table_AustralianStates[[#Headers],[State/Territory]],0)</calculatedColumnFormula>
    </tableColumn>
    <tableColumn id="2" xr3:uid="{DED33391-4AC4-44E3-98C3-E92E482604D4}" name="Common Name">
      <calculatedColumnFormula array="1">Common_InputFunctions.Utility_DisplayArrayInTable(Common_SourceData.Common_SourceData_AustralianStatesTerritories_Data(),Table_AustralianStates[[#Headers],[State/Territory]],0)</calculatedColumnFormula>
    </tableColumn>
    <tableColumn id="3" xr3:uid="{DC591A8C-0DD3-4449-B0A7-238F46FD095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D8F783-FF5E-4A8E-B229-E66BD0BD24B5}" name="Table_WASA4Areas" displayName="Table_WASA4Areas" ref="D20:D30" totalsRowShown="0">
  <autoFilter ref="D20:D30" xr:uid="{5FA81339-C6C8-4D36-BEEA-6C4AEDD9E676}">
    <filterColumn colId="0" hiddenButton="1"/>
  </autoFilter>
  <tableColumns count="1">
    <tableColumn id="1" xr3:uid="{57D457B0-16DA-4234-81CA-695F29A14A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8679D6-40F1-4AA2-91BA-A2938A82AB21}" name="Table_GWPData" displayName="Table_GWPData" ref="D36:E43" totalsRowShown="0">
  <autoFilter ref="D36:E43" xr:uid="{B8E87A66-3E41-4AD3-925D-01EE21B43D7A}">
    <filterColumn colId="0" hiddenButton="1"/>
    <filterColumn colId="1" hiddenButton="1"/>
  </autoFilter>
  <tableColumns count="2">
    <tableColumn id="1" xr3:uid="{CD81A0D8-CE74-4417-9203-E74F95905F87}" name="Gas">
      <calculatedColumnFormula array="1">Common_InputFunctions.Utility_DisplayArrayInTable(Common_SourceData.Common_SourceData_GWP_Data(), Table_GWPData[[#Headers],[Gas]], 0)</calculatedColumnFormula>
    </tableColumn>
    <tableColumn id="2" xr3:uid="{A231E93A-9912-4B68-89E2-9EF9EE5FFAAC}"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465201-873B-4BD0-94A6-E89F08B8E57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4450C4A-4303-4D5F-86FC-8374F657C690}" name="Gas">
      <calculatedColumnFormula array="1">Common_InputFunctions.Utility_DisplayArrayInTable(Common_SourceData.Common_SourceData_ConvertGasElementalToMolecular_Data(),Table_GasToMolecularConversionFactor[[#Headers],[Gas]], 0)</calculatedColumnFormula>
    </tableColumn>
    <tableColumn id="5" xr3:uid="{73E57748-BA2A-4AF0-962A-71A65F80760C}" name="Conversion factor">
      <calculatedColumnFormula array="1">Common_InputFunctions.Utility_DisplayArrayInTable(Common_SourceData.Common_SourceData_ConvertGasElementalToMolecular_Data(),Table_GasToMolecularConversionFactor[[#Headers],[Gas]], 0)</calculatedColumnFormula>
    </tableColumn>
    <tableColumn id="2" xr3:uid="{48187539-A20E-4A98-90DE-EB8E9869416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4EABA0-73AE-4826-93EE-A22BA070AB5C}"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0BFCF3A-4BB4-4267-B648-5BAA1EDB77D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75CB6A-954C-4D2D-BE58-B9E3477A82D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336B507-3CF8-4B13-B41C-64B611123BF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0AFA05B-F846-4F09-BCC3-5155DC6C6FAF}" name="MA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3" xr3:uid="{1EADFBCE-D8E7-40AD-9487-C9806769F5DD}" name="MA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4" xr3:uid="{13A93C35-FD53-4D19-8A00-9E2E4D110AD5}" name="Frost days per year"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5" xr3:uid="{1A5180E1-013A-4355-82DA-DDACF343C2C7}" name="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6" xr3:uid="{7600C676-B16A-4B9F-97CF-EFCEC0E92D79}" name="MAP:PE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7" xr3:uid="{7BEFB16C-C45F-4414-8C49-D7034AD6591F}" name="Min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8" xr3:uid="{CD61150E-E652-49B4-A7E0-74F1F3DB736F}" name="Max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9" xr3:uid="{3FDC559C-47C4-49A1-A383-D2A6FBF56659}" name="Min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0" xr3:uid="{97E9F712-907D-4214-9D6D-5E0376AC9EF5}" name="Max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1" xr3:uid="{3A9CD1C7-5A49-48D7-9C0D-DF3081251338}" name="Min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5" xr3:uid="{B81A7730-F9B7-4C21-89C3-3507FA7818F8}" name="Max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2" xr3:uid="{10DC1063-1B8B-4D02-B5F3-D026FD3324E8}" name="Min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6" xr3:uid="{6B21BAA7-9646-466D-A362-A7F9B2F2038A}" name="Max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3" xr3:uid="{FB08D2F2-FBCA-4F0B-B46E-DACBF04469A3}" name="Min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7" xr3:uid="{F8021037-EB2E-46B4-9EB6-6233501E4E55}" name="Max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3EE399-4B34-4CCE-9549-429C7ACA8A5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B82617-CA8B-4652-9B7E-D4C07E53EB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CB50675-78B6-4270-907E-2A3135446FDF}" name="Wet or Dry Zone" totalsRowDxfId="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BB7C1F-1D2B-481C-905D-379746A9BFA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8A7BBC5-E3EE-4377-97F7-2349C748A770}" name="Temperature Zone">
      <calculatedColumnFormula array="1">Common_InputFunctions.Utility_DisplayArrayInTable(Common_SourceData.Common_SourceData_TemperatureZones_Data(),Table_SourceData_TemperatureZones[[#Headers],[Temperature Zone]],0)</calculatedColumnFormula>
    </tableColumn>
    <tableColumn id="2" xr3:uid="{E0C4D65B-9011-4D7C-B79A-7A565C363A97}" name="MAT">
      <calculatedColumnFormula array="1">Common_InputFunctions.Utility_DisplayArrayInTable(Common_SourceData.Common_SourceData_TemperatureZones_Data(),Table_SourceData_TemperatureZones[[#Headers],[Temperature Zone]],0)</calculatedColumnFormula>
    </tableColumn>
    <tableColumn id="3" xr3:uid="{2DDE3186-A3D1-41BC-ABDF-44EB1089BFD2}" name="Min MAT">
      <calculatedColumnFormula array="1">Common_InputFunctions.Utility_DisplayArrayInTable(Common_SourceData.Common_SourceData_TemperatureZones_Data(),Table_SourceData_TemperatureZones[[#Headers],[Temperature Zone]],0)</calculatedColumnFormula>
    </tableColumn>
    <tableColumn id="4" xr3:uid="{728CD1FE-0F92-4CD6-AB09-E778C703BD9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5BFF2F4-667B-4B6B-98FC-91F9AF4E83D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A14F6EE-CBC5-4D61-9CB4-42F162299CCD}" name="Rainfall Zone">
      <calculatedColumnFormula array="1">Common_InputFunctions.Utility_DisplayArrayInTable(Common_SourceData.Common_SourceData_RainfallZones_Data(),Table_SourceData_RainfallZones[[#Headers],[Rainfall Zone]],0)</calculatedColumnFormula>
    </tableColumn>
    <tableColumn id="2" xr3:uid="{352CB851-3AB1-4FAC-950B-43BA1F941FB5}" name="Annual rainfall">
      <calculatedColumnFormula array="1">Common_InputFunctions.Utility_DisplayArrayInTable(Common_SourceData.Common_SourceData_RainfallZones_Data(),Table_SourceData_RainfallZones[[#Headers],[Rainfall Zone]],0)</calculatedColumnFormula>
    </tableColumn>
    <tableColumn id="3" xr3:uid="{45CD19A1-B216-493A-A99C-299F5FCC623E}" name="Min rainfall">
      <calculatedColumnFormula array="1">Common_InputFunctions.Utility_DisplayArrayInTable(Common_SourceData.Common_SourceData_RainfallZones_Data(),Table_SourceData_RainfallZones[[#Headers],[Rainfall Zone]],0)</calculatedColumnFormula>
    </tableColumn>
    <tableColumn id="4" xr3:uid="{E33362C0-2380-4D7D-8A53-8E1118D033B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AACA54-85EC-4CDD-971F-9C1804C2D3C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B353803-BBCC-4ED3-84C0-035ECBC75EEB}" name="Leaching Zone">
      <calculatedColumnFormula array="1">Common_InputFunctions.Utility_DisplayArrayInTable(Common_SourceData.Common_SourceData_LeachingZones_Data(), Table_SourceData_LeachingZones[[#Headers],[Leaching Zone]], 0)</calculatedColumnFormula>
    </tableColumn>
    <tableColumn id="2" xr3:uid="{A1772867-DD21-4491-BD6F-B93B5AD65D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A0CDD41-14C5-443F-83E6-3026BCCC015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1FBDE8D-87E9-4D26-A06F-F03C6CDD7E85}" name="Data source">
      <calculatedColumnFormula array="1">Common_InputFunctions.Utility_DisplayArrayInTable(Common_SourceData.Common_SourceData_DataScores_Scope3_Data(), Table_SourceData_DataScores_Scope3[[#Headers],[Data source]], 0)</calculatedColumnFormula>
    </tableColumn>
    <tableColumn id="2" xr3:uid="{9640CCD3-E6D8-493E-BA73-FFE0672080F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4AE7F69-AEA7-4A5A-873C-95323B383F84}" name="Table_SourceData_FracWET" displayName="Table_SourceData_FracWET" ref="D134:E136" totalsRowShown="0">
  <autoFilter ref="D134:E136" xr:uid="{308E99BE-FE1F-47A4-B2CA-97217277C4E9}">
    <filterColumn colId="0" hiddenButton="1"/>
    <filterColumn colId="1" hiddenButton="1"/>
  </autoFilter>
  <tableColumns count="2">
    <tableColumn id="1" xr3:uid="{7D309EE8-82D3-42EE-8FB2-6338A39CB572}" name="Is in leaching zone">
      <calculatedColumnFormula array="1">Common_InputFunctions.Utility_DisplayArrayInTable(Common_SourceData.Common_SourceData_FracWET_Data(),Table_SourceData_FracWET[[#Headers],[Is in leaching zone]],0)</calculatedColumnFormula>
    </tableColumn>
    <tableColumn id="2" xr3:uid="{77502946-B703-4560-A5B9-A7480ABCFA52}" name="FracWET" dataDxfId="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1C75FD-F058-401E-8BDE-B8020199BBB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A27077-2563-4E83-8D52-6C68A1A6464A}" name="Production system j">
      <calculatedColumnFormula array="1">Common_InputFunctions.Utility_DisplayArrayInTable(Common_SourceData.Common_SourceData_EFN2O_Data(), Table_SourceData_Common_EFN2O[[#Headers],[Production system j]], 0)</calculatedColumnFormula>
    </tableColumn>
    <tableColumn id="2" xr3:uid="{09D674C3-420C-4837-AB59-2243F195474B}" name="EFN2O">
      <calculatedColumnFormula array="1">Common_InputFunctions.Utility_DisplayArrayInTable(Common_SourceData.Common_SourceData_EFN2O_Data(), Table_SourceData_Common_EFN2O[[#Headers],[Production system j]], 0)</calculatedColumnFormula>
    </tableColumn>
    <tableColumn id="3" xr3:uid="{04EF3526-0473-4703-812E-91219DEA23DF}" name="Production system only">
      <calculatedColumnFormula array="1">Common_InputFunctions.Utility_DisplayArrayInTable(Common_SourceData.Common_SourceData_EFN2O_Data(), Table_SourceData_Common_EFN2O[[#Headers],[Production system j]], 0)</calculatedColumnFormula>
    </tableColumn>
    <tableColumn id="4" xr3:uid="{4275CAC0-E91E-4D54-A20E-F7D2FEB0B23A}" name="Irrigation method">
      <calculatedColumnFormula array="1">Common_InputFunctions.Utility_DisplayArrayInTable(Common_SourceData.Common_SourceData_EFN2O_Data(), Table_SourceData_Common_EFN2O[[#Headers],[Production system j]], 0)</calculatedColumnFormula>
    </tableColumn>
    <tableColumn id="5" xr3:uid="{AC3C9B01-538F-4AAB-9A31-4FFA5C54761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C4FF38-3ACD-40E9-A36D-D80E96A62FF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0B0270F-3508-43EE-98A2-DAD68249B30B}" name="Irrigation type i">
      <calculatedColumnFormula array="1">Common_InputFunctions.Utility_DisplayArrayInTable(Common_SourceData.Common_SourceData_FracWETIrrigation_Data(), Table_SourceData_FracWETIrrigation[[#Headers],[Irrigation type i]], 0)</calculatedColumnFormula>
    </tableColumn>
    <tableColumn id="2" xr3:uid="{1E3BBD7D-D62B-49EE-A5CD-ABF69BDC8B51}" name="FracWET" dataDxfId="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D7A91E-D57A-469F-92F1-B321C440F69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4C775BB-B185-4E70-AA6B-870A71ACB32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CD0B345-8E54-4B19-8003-74A93467D386}" name="EFPRP" dataDxfId="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64A8EDC-8D54-4129-92AC-5E64224ABFE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ADD8A82-26F4-455D-8EBD-85B7A91A4484}" name="Month">
      <calculatedColumnFormula array="1">Common_InputFunctions.Utility_DisplayArrayInTable(Common_SourceData.Common_SourceData_MonthsToSeasons_Data(), Table_SourceData_Common_MonthToSeason[[#Headers],[Month]], 0)</calculatedColumnFormula>
    </tableColumn>
    <tableColumn id="2" xr3:uid="{35CDA0E5-57EE-42EA-BC37-FFD5531658C2}" name="Season" dataDxfId="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9911224-BA21-46EA-9C09-4B8D0F0831D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3920CC1-6B77-48D5-82C6-6FCB15A3A4F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9F4CD6B-78C2-420B-B796-3C5AF4EBD48D}" name="MAT (ºC)"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68591D1D-9A0B-4068-BBEE-185F8C44F34C}" name="Anaerobic lagoon"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B1BC721-A489-47DD-A469-8F9A942561B0}" name="Digester / covered lagoon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E49035D-1AA2-438C-924A-E7B14407A418}" name="Liquid system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EDFF6CE-5347-425C-BC89-A4FCAF5ED9FB}" name="Daily spread"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CDB2360-5A2D-4897-8A78-B1ABAA9E7706}" name="Composting (passive windrow)"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70F07B8-B0BE-44E7-82F4-A26C3D227B6B}" name="Solid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CAE2D38-91EF-438E-A529-6AA6A6EFEBD6}" name="Pit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3FA715A-8C37-4D0F-8B4C-2D8CA1490660}" name="Deep litter"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21F5790-7668-407E-AE30-1105A33316BB}" name="Poultry manure with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61BA764-6850-4603-82F0-B0A953B3FF52}" name="Poultry manure without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C0E536E-8431-4C91-B11D-419B601788CF}" name="Direct process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085551-B369-41E0-9C27-52AF6CB5A7F7}" name="Direct applicati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3EF48A0-8354-4222-86F2-2322A5552E06}" name="Pasture range and paddock"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6F84F76-E661-4135-854A-DAB2C9ED62C1}" name="MAT ra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19D307-F38E-4961-BBB2-0070BE4782F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C286F2C-6FDA-4665-B931-E4283F90A3A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E57C9DB-9B3D-4BA4-B9A6-F1AF9CF7C3C6}" name="EFNi &amp; EFN2Oi" dataDxfId="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045E21E-B415-4669-9CC8-0A5512C3DFB9}"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AAF7F1A2-5FD5-4641-8AD1-B36AE7E0C72F}" name="Description" dataDxfId="23" dataCellStyle="Content normal"/>
    <tableColumn id="1" xr3:uid="{EED636AD-AF8B-4A4E-942E-C64B5DCA4C3E}" name="ID"/>
    <tableColumn id="3" xr3:uid="{C40C0E3F-8469-4620-9D5B-F8A9202EA180}" name="Score"/>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0BB838C-E067-4503-8347-22926CDBEB3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7ABF15B7-CEEE-401D-9230-C1B57193587E}" name="Description"/>
    <tableColumn id="2" xr3:uid="{5BA82D80-2566-4CE9-97E0-A077C7703AE0}" name="ID"/>
    <tableColumn id="3" xr3:uid="{47F922C6-5DBA-44D3-87F6-6014E286669C}" name="Score"/>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40F137C-2E91-4B8A-9FD8-14C5ECD0AA09}"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DAD3CA40-780F-4B72-A033-169670B0E7A3}" name="Description"/>
    <tableColumn id="2" xr3:uid="{5438A42F-6864-4923-ABA6-84301D8DCBE8}" name="ID"/>
    <tableColumn id="3" xr3:uid="{D9FCC087-5D1C-4CB3-A4EF-74EA026792D1}" name="Score"/>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3A2469E-C61B-43F7-835B-9FEBA92CA394}"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06E06ECD-6857-41EF-B8D7-FA56379C7B73}" name="Description"/>
    <tableColumn id="2" xr3:uid="{B4833C65-2FD4-4B8D-83D7-7DCB00DC6D84}" name="ID"/>
    <tableColumn id="3" xr3:uid="{43386E83-C501-4503-AD15-53EE8508B02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9" sqref="A19"/>
    </sheetView>
  </sheetViews>
  <sheetFormatPr defaultRowHeight="20" x14ac:dyDescent="0.25" customHeight="1"/>
  <sheetData>
    <row r="1" spans="1:1" x14ac:dyDescent="0.25" ht="30" customHeight="1">
      <c r="A1" t="s">
        <v>131</v>
      </c>
    </row>
    <row r="3" spans="1:1" x14ac:dyDescent="0.25" ht="20" customHeight="1">
      <c r="A3" s="75" t="str">
        <f>HYPERLINK("#'Home'!A1", "Home")</f>
        <v>Home</v>
      </c>
    </row>
    <row r="6" spans="1:1" x14ac:dyDescent="0.25" ht="20" customHeight="1">
      <c r="A6" s="74" t="s">
        <v>1</v>
      </c>
    </row>
    <row r="7" spans="1:1" ht="20" x14ac:dyDescent="0.25" customHeight="1">
      <c r="A7" s="12" t="str">
        <f>HYPERLINK("#'Constants - Common'!A1", "Constants - Common")</f>
        <v>Constants - Common</v>
      </c>
    </row>
    <row r="8" spans="1:1" ht="20" x14ac:dyDescent="0.25" customHeight="1">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48" t="s">
        <v>85</v>
      </c>
      <c r="D1" s="49"/>
      <c r="E1" s="49"/>
      <c r="F1" s="49"/>
      <c r="G1" s="49"/>
      <c r="H1" s="49"/>
      <c r="I1" s="49"/>
      <c r="J1" s="49"/>
      <c r="K1" s="49"/>
      <c r="L1" s="49"/>
      <c r="M1" s="49"/>
      <c r="N1" s="49"/>
      <c r="O1" s="49"/>
      <c r="P1" s="49"/>
    </row>
    <row r="2" spans="1:17" ht="20" customHeight="1" x14ac:dyDescent="0.25">
      <c r="C2" s="49"/>
      <c r="D2" s="49"/>
      <c r="E2" s="49"/>
      <c r="F2" s="49"/>
      <c r="G2" s="49"/>
      <c r="H2" s="49"/>
      <c r="I2" s="49"/>
      <c r="J2" s="49"/>
      <c r="K2" s="49"/>
      <c r="L2" s="49"/>
      <c r="M2" s="49"/>
      <c r="N2" s="49"/>
      <c r="O2" s="49"/>
      <c r="P2" s="49"/>
      <c r="Q2" s="50"/>
    </row>
    <row r="3" spans="1:17" ht="20" customHeight="1" x14ac:dyDescent="0.25">
      <c r="A3" s="12" t="str">
        <f>HYPERLINK("#'Home'!A1", "Home")</f>
        <v>Home</v>
      </c>
      <c r="C3" s="51"/>
      <c r="D3" s="51"/>
      <c r="E3" s="51"/>
      <c r="F3" s="51"/>
      <c r="G3" s="51"/>
      <c r="H3" s="51"/>
      <c r="I3" s="51"/>
      <c r="J3" s="51"/>
      <c r="K3" s="51"/>
      <c r="L3" s="51"/>
      <c r="M3" s="51"/>
      <c r="N3" s="51"/>
      <c r="O3" s="51"/>
      <c r="P3" s="51"/>
    </row>
    <row r="4" spans="1:17" ht="20" customHeight="1" x14ac:dyDescent="0.25">
      <c r="A4" s="39" t="str">
        <f>HYPERLINK("#'Overview'!A1", "Overview")</f>
        <v>Overview</v>
      </c>
    </row>
    <row r="5" spans="1:17" ht="20" customHeight="1" x14ac:dyDescent="0.25">
      <c r="A5" s="12" t="str">
        <f>HYPERLINK("#'Results'!A1", "Results")</f>
        <v>Results</v>
      </c>
      <c r="D5" s="37" t="s">
        <v>82</v>
      </c>
      <c r="E5" s="34"/>
      <c r="F5" s="34"/>
      <c r="G5" s="34"/>
      <c r="H5" s="34"/>
      <c r="I5" s="34"/>
      <c r="J5" s="34"/>
      <c r="K5" s="34"/>
      <c r="L5" s="34"/>
      <c r="M5" s="34"/>
      <c r="N5" s="34"/>
      <c r="O5" s="31"/>
    </row>
    <row r="6" spans="1:17" ht="20" customHeight="1" x14ac:dyDescent="0.25">
      <c r="D6" s="52" t="s">
        <v>83</v>
      </c>
      <c r="E6" s="33"/>
      <c r="F6" s="33"/>
      <c r="G6" s="33"/>
      <c r="H6" s="33"/>
      <c r="I6" s="33"/>
      <c r="J6" s="33"/>
      <c r="K6" s="33"/>
      <c r="L6" s="33"/>
      <c r="M6" s="33"/>
      <c r="N6" s="33"/>
      <c r="O6" s="32"/>
    </row>
    <row r="7" spans="1:17" ht="20" customHeight="1" x14ac:dyDescent="0.25"/>
    <row r="8" spans="1:17" ht="20" customHeight="1" x14ac:dyDescent="0.25">
      <c r="A8" s="14" t="s">
        <v>0</v>
      </c>
    </row>
    <row r="9" spans="1:17" ht="20" customHeight="1" x14ac:dyDescent="0.25">
      <c r="A9" s="12" t="str">
        <f>HYPERLINK("#'Input - Wastewater'!A1", "Wastewater")</f>
        <v>Wastewater</v>
      </c>
    </row>
    <row r="10" spans="1:17" ht="20" customHeight="1" x14ac:dyDescent="0.25"/>
    <row r="11" spans="1:17" ht="20" customHeight="1" x14ac:dyDescent="0.25"/>
    <row r="12" spans="1:17" ht="20" customHeight="1" x14ac:dyDescent="0.25">
      <c r="A12" s="13" t="s">
        <v>44</v>
      </c>
    </row>
    <row r="13" spans="1:17" ht="20" customHeight="1" x14ac:dyDescent="0.25">
      <c r="A13" s="12" t="str">
        <f>HYPERLINK("#'11.1.1-2 Wastewater CH4'!A1", "11.1.1-2 Wastewater CH4")</f>
        <v>11.1.1-2 Wastewater CH4</v>
      </c>
    </row>
    <row r="14" spans="1:17" ht="20" customHeight="1" x14ac:dyDescent="0.25">
      <c r="A14" s="12" t="str">
        <f>HYPERLINK("#'11.1.3-4 Wastewater N2O'!A1", "11.1.3-4 Wastewater N2O")</f>
        <v>11.1.3-4 Wastewater N2O</v>
      </c>
      <c r="O14" s="1" t="s">
        <v>84</v>
      </c>
    </row>
    <row r="15" spans="1:17" ht="20" customHeight="1" x14ac:dyDescent="0.25"/>
    <row r="16" spans="1:17" ht="20" customHeight="1" x14ac:dyDescent="0.25"/>
    <row r="17" spans="1:1" ht="20" customHeight="1" x14ac:dyDescent="0.25">
      <c r="A17" s="74" t="s">
        <v>1</v>
      </c>
    </row>
    <row r="18" spans="1:1" ht="20" customHeight="1" x14ac:dyDescent="0.25">
      <c r="A18" s="12" t="str">
        <f>HYPERLINK("#'Constants - Wastewater'!A1", "Constants - Wastewater")</f>
        <v>Constants - Wastewater</v>
      </c>
    </row>
    <row r="19" spans="1:1" ht="20" customHeight="1" x14ac:dyDescent="0.25">
      <c r="A19" s="12" t="str">
        <f>HYPERLINK("#'Constants - Common'!A1", "Constants - Common")</f>
        <v>Constants - Common</v>
      </c>
    </row>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80</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9" sqref="A19"/>
    </sheetView>
  </sheetViews>
  <sheetFormatPr defaultRowHeight="20" x14ac:dyDescent="0.25" customHeight="1"/>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0" t="e" vm="1">
        <v>#VALUE!</v>
      </c>
      <c r="C1" s="48" t="s">
        <v>86</v>
      </c>
    </row>
    <row r="2" spans="1:11" ht="20" customHeight="1" x14ac:dyDescent="0.25">
      <c r="C2" s="8"/>
    </row>
    <row r="3" spans="1:11" ht="20" customHeight="1" x14ac:dyDescent="0.25">
      <c r="A3" s="12" t="str">
        <f>HYPERLINK("#'Home'!A1", "Home")</f>
        <v>Home</v>
      </c>
      <c r="C3" s="16"/>
      <c r="D3" s="16"/>
      <c r="E3" s="16"/>
      <c r="F3" s="16"/>
      <c r="G3" s="16"/>
      <c r="H3" s="16"/>
      <c r="I3" s="16"/>
      <c r="J3" s="16"/>
      <c r="K3" s="16"/>
    </row>
    <row r="4" spans="1:11" ht="20" customHeight="1" x14ac:dyDescent="0.25">
      <c r="A4" s="12" t="str">
        <f>HYPERLINK("#'Overview'!A1", "Overview")</f>
        <v>Overview</v>
      </c>
      <c r="C4" s="16"/>
      <c r="D4" s="5" t="s">
        <v>2</v>
      </c>
      <c r="E4" s="17"/>
      <c r="F4" s="17"/>
      <c r="G4" s="17"/>
      <c r="H4" s="17"/>
      <c r="I4" s="17"/>
      <c r="J4" s="17"/>
      <c r="K4" s="18"/>
    </row>
    <row r="5" spans="1:11" ht="20" customHeight="1" x14ac:dyDescent="0.3">
      <c r="A5" s="39" t="str">
        <f>HYPERLINK("#'Results'!A1", "Results")</f>
        <v>Results</v>
      </c>
      <c r="C5" s="16"/>
      <c r="D5" s="19"/>
      <c r="E5" s="20"/>
      <c r="F5" s="20"/>
      <c r="G5" s="20"/>
      <c r="H5" s="20"/>
      <c r="I5" s="20"/>
      <c r="J5" s="20"/>
      <c r="K5" s="16"/>
    </row>
    <row r="6" spans="1:11" ht="20" customHeight="1" x14ac:dyDescent="0.25">
      <c r="C6" s="16"/>
      <c r="D6" s="15" t="s">
        <v>79</v>
      </c>
      <c r="E6" s="16"/>
      <c r="F6" s="16"/>
      <c r="G6" s="16"/>
      <c r="H6" s="16"/>
      <c r="I6" s="16"/>
      <c r="J6" s="16"/>
      <c r="K6" s="16"/>
    </row>
    <row r="7" spans="1:11" ht="20" customHeight="1" x14ac:dyDescent="0.25">
      <c r="C7" s="16"/>
      <c r="D7" s="16"/>
      <c r="E7" s="16"/>
      <c r="F7" s="16"/>
      <c r="G7" s="16"/>
      <c r="H7" s="16"/>
      <c r="I7" s="16"/>
      <c r="J7" s="16"/>
      <c r="K7" s="16"/>
    </row>
    <row r="8" spans="1:11" ht="20" customHeight="1" x14ac:dyDescent="0.25">
      <c r="A8" s="14" t="s">
        <v>0</v>
      </c>
      <c r="C8" s="16"/>
      <c r="D8" s="36" t="s">
        <v>49</v>
      </c>
      <c r="E8" s="36" t="s">
        <v>59</v>
      </c>
      <c r="F8" s="36" t="s">
        <v>60</v>
      </c>
      <c r="G8" s="36" t="s">
        <v>54</v>
      </c>
      <c r="H8" s="36" t="s">
        <v>127</v>
      </c>
      <c r="I8" s="36" t="s">
        <v>128</v>
      </c>
      <c r="J8" s="36" t="s">
        <v>129</v>
      </c>
      <c r="K8" s="16"/>
    </row>
    <row r="9" spans="1:11" ht="20" customHeight="1" x14ac:dyDescent="0.25">
      <c r="A9" s="12" t="str">
        <f>HYPERLINK("#'Input - Wastewater'!A1", "Wastewater")</f>
        <v>Wastewater</v>
      </c>
      <c r="C9" s="16"/>
      <c r="D9" s="1" t="s">
        <v>123</v>
      </c>
      <c r="E9" s="47">
        <f>VEERG_11_1_1_1__1_MethaneEmissionsFromWastewaterTreatment_Result_Method1</f>
        <v>4.7159433000000001E-2</v>
      </c>
      <c r="F9" s="47">
        <f>E9</f>
        <v>4.7159433000000001E-2</v>
      </c>
      <c r="G9" s="28" t="s">
        <v>125</v>
      </c>
      <c r="H9" s="47">
        <f>'11.1.1-2 Wastewater CH4'!E35</f>
        <v>1.3204641239999999</v>
      </c>
      <c r="I9" s="47">
        <f>H9</f>
        <v>1.3204641239999999</v>
      </c>
      <c r="J9" s="28" t="s">
        <v>57</v>
      </c>
      <c r="K9" s="16"/>
    </row>
    <row r="10" spans="1:11" ht="20" customHeight="1" x14ac:dyDescent="0.25">
      <c r="C10" s="16"/>
      <c r="D10" s="1" t="s">
        <v>124</v>
      </c>
      <c r="E10" s="70">
        <f>VEERG_11_1_3_1__1_NitrousOxideEmissionsFromFlaredBiogas_Result_Method1</f>
        <v>4.26764E-7</v>
      </c>
      <c r="F10" s="70">
        <f>E10</f>
        <v>4.26764E-7</v>
      </c>
      <c r="G10" s="28" t="s">
        <v>126</v>
      </c>
      <c r="H10" s="47">
        <f>'11.1.3-4 Wastewater N2O'!E22</f>
        <v>1.1309246E-4</v>
      </c>
      <c r="I10" s="47">
        <f>H10</f>
        <v>1.1309246E-4</v>
      </c>
      <c r="J10" s="28" t="s">
        <v>57</v>
      </c>
      <c r="K10" s="16"/>
    </row>
    <row r="11" spans="1:11" ht="20" customHeight="1" x14ac:dyDescent="0.3">
      <c r="C11" s="16"/>
      <c r="D11" s="71" t="s">
        <v>130</v>
      </c>
      <c r="E11" s="72"/>
      <c r="F11" s="72"/>
      <c r="G11" s="71"/>
      <c r="H11" s="73">
        <f>SUM(H9:H10)</f>
        <v>1.3205772164599998</v>
      </c>
      <c r="I11" s="73">
        <f>SUM(I9:I10)</f>
        <v>1.3205772164599998</v>
      </c>
      <c r="J11" s="69" t="s">
        <v>57</v>
      </c>
      <c r="K11" s="16"/>
    </row>
    <row r="12" spans="1:11" ht="20" customHeight="1" x14ac:dyDescent="0.25">
      <c r="A12" s="13" t="s">
        <v>44</v>
      </c>
      <c r="C12" s="16"/>
      <c r="D12" s="1"/>
      <c r="E12" s="1"/>
      <c r="F12" s="1"/>
      <c r="G12" s="1"/>
      <c r="H12" s="1"/>
      <c r="I12" s="1"/>
      <c r="J12" s="1"/>
      <c r="K12" s="16"/>
    </row>
    <row r="13" spans="1:11" ht="20" customHeight="1" x14ac:dyDescent="0.25">
      <c r="A13" s="12" t="str">
        <f>HYPERLINK("#'11.1.1-2 Wastewater CH4'!A1", "11.1.1-2 Wastewater CH4")</f>
        <v>11.1.1-2 Wastewater CH4</v>
      </c>
      <c r="C13" s="16"/>
      <c r="D13" s="1"/>
      <c r="E13" s="1"/>
      <c r="F13" s="1"/>
      <c r="G13" s="1"/>
      <c r="H13" s="1"/>
      <c r="I13" s="1"/>
      <c r="J13" s="1"/>
      <c r="K13" s="16"/>
    </row>
    <row r="14" spans="1:11" ht="20" customHeight="1" x14ac:dyDescent="0.25">
      <c r="A14" s="12" t="str">
        <f>HYPERLINK("#'11.1.3-4 Wastewater N2O'!A1", "11.1.3-4 Wastewater N2O")</f>
        <v>11.1.3-4 Wastewater N2O</v>
      </c>
      <c r="C14" s="16"/>
      <c r="D14" s="1"/>
      <c r="E14" s="1"/>
      <c r="F14" s="1"/>
      <c r="G14" s="1"/>
      <c r="H14" s="1"/>
      <c r="I14" s="1"/>
      <c r="J14" s="1"/>
      <c r="K14" s="16"/>
    </row>
    <row r="15" spans="1:11" ht="20" customHeight="1" x14ac:dyDescent="0.25">
      <c r="C15" s="16"/>
      <c r="D15" s="1"/>
      <c r="E15" s="1"/>
      <c r="F15" s="1"/>
      <c r="G15" s="1"/>
      <c r="H15" s="1"/>
      <c r="I15" s="1"/>
      <c r="J15" s="1"/>
      <c r="K15" s="16"/>
    </row>
    <row r="16" spans="1:11" ht="20" customHeight="1" x14ac:dyDescent="0.25">
      <c r="C16" s="16"/>
      <c r="D16" s="1"/>
      <c r="E16" s="1"/>
      <c r="F16" s="1"/>
      <c r="G16" s="1"/>
      <c r="H16" s="1"/>
      <c r="I16" s="1"/>
      <c r="J16" s="1"/>
      <c r="K16" s="16"/>
    </row>
    <row r="17" spans="1:11" ht="20" customHeight="1" x14ac:dyDescent="0.25">
      <c r="A17" s="74" t="s">
        <v>1</v>
      </c>
      <c r="C17" s="16"/>
      <c r="D17" s="1"/>
      <c r="E17" s="1"/>
      <c r="F17" s="1"/>
      <c r="G17" s="1"/>
      <c r="H17" s="1"/>
      <c r="I17" s="1"/>
      <c r="J17" s="1"/>
      <c r="K17" s="16"/>
    </row>
    <row r="18" spans="1:11" ht="20" customHeight="1" x14ac:dyDescent="0.25">
      <c r="A18" s="12" t="str">
        <f>HYPERLINK("#'Constants - Wastewater'!A1", "Constants - Wastewater")</f>
        <v>Constants - Wastewater</v>
      </c>
      <c r="C18" s="16"/>
      <c r="D18" s="1"/>
      <c r="E18" s="1"/>
      <c r="F18" s="1"/>
      <c r="G18" s="1"/>
      <c r="H18" s="1"/>
      <c r="I18" s="1"/>
      <c r="J18" s="1"/>
      <c r="K18" s="16"/>
    </row>
    <row r="19" spans="1:11" ht="20" customHeight="1" x14ac:dyDescent="0.25">
      <c r="A19" s="12" t="str">
        <f>HYPERLINK("#'Constants - Common'!A1", "Constants - Common")</f>
        <v>Constants - Common</v>
      </c>
      <c r="C19" s="16"/>
      <c r="D19" s="1"/>
      <c r="E19" s="1"/>
      <c r="F19" s="1"/>
      <c r="G19" s="1"/>
      <c r="H19" s="1"/>
      <c r="I19" s="1"/>
      <c r="J19" s="1"/>
      <c r="K19" s="16"/>
    </row>
    <row r="20" spans="1:11" ht="20" customHeight="1" x14ac:dyDescent="0.25">
      <c r="C20" s="16"/>
      <c r="D20" s="1"/>
      <c r="E20" s="1"/>
      <c r="F20" s="1"/>
      <c r="G20" s="1"/>
      <c r="H20" s="1"/>
      <c r="I20" s="1"/>
      <c r="J20" s="1"/>
      <c r="K20" s="16"/>
    </row>
    <row r="21" spans="1:11" ht="20" customHeight="1" x14ac:dyDescent="0.25">
      <c r="C21" s="16"/>
      <c r="D21" s="1"/>
      <c r="E21" s="1"/>
      <c r="F21" s="1"/>
      <c r="G21" s="1"/>
      <c r="H21" s="1"/>
      <c r="I21" s="1"/>
      <c r="J21" s="1"/>
      <c r="K21" s="16"/>
    </row>
    <row r="22" spans="1:11" ht="20" customHeight="1" x14ac:dyDescent="0.25">
      <c r="C22" s="16"/>
      <c r="D22" s="1"/>
      <c r="E22" s="1"/>
      <c r="F22" s="1"/>
      <c r="G22" s="1"/>
      <c r="H22" s="1"/>
      <c r="I22" s="1"/>
      <c r="J22" s="1"/>
      <c r="K22" s="16"/>
    </row>
    <row r="23" spans="1:11" ht="20" customHeight="1" x14ac:dyDescent="0.25">
      <c r="C23" s="16"/>
      <c r="D23" s="1"/>
      <c r="E23" s="1"/>
      <c r="F23" s="1"/>
      <c r="G23" s="1"/>
      <c r="H23" s="1"/>
      <c r="I23" s="1"/>
      <c r="J23" s="1"/>
      <c r="K23" s="16"/>
    </row>
    <row r="24" spans="1:11" ht="20" customHeight="1" x14ac:dyDescent="0.25">
      <c r="C24" s="16"/>
      <c r="D24" s="1"/>
      <c r="E24" s="1"/>
      <c r="F24" s="1"/>
      <c r="G24" s="1"/>
      <c r="H24" s="1"/>
      <c r="I24" s="1"/>
      <c r="J24" s="1"/>
      <c r="K24" s="16"/>
    </row>
    <row r="25" spans="1:11" ht="20" customHeight="1" x14ac:dyDescent="0.25">
      <c r="C25" s="16"/>
      <c r="D25" s="1"/>
      <c r="E25" s="1"/>
      <c r="F25" s="1"/>
      <c r="G25" s="1"/>
      <c r="H25" s="1"/>
      <c r="I25" s="1"/>
      <c r="J25" s="1"/>
      <c r="K25" s="16"/>
    </row>
    <row r="26" spans="1:11" ht="20" customHeight="1" x14ac:dyDescent="0.25">
      <c r="C26" s="16"/>
      <c r="D26" s="1"/>
      <c r="E26" s="1"/>
      <c r="F26" s="1"/>
      <c r="G26" s="1"/>
      <c r="H26" s="1"/>
      <c r="I26" s="1"/>
      <c r="J26" s="1"/>
      <c r="K26" s="16"/>
    </row>
    <row r="27" spans="1:11" ht="20" customHeight="1" x14ac:dyDescent="0.25">
      <c r="C27" s="16"/>
      <c r="D27" s="1"/>
      <c r="E27" s="1"/>
      <c r="F27" s="1"/>
      <c r="G27" s="1"/>
      <c r="H27" s="1"/>
      <c r="I27" s="1"/>
      <c r="J27" s="1"/>
      <c r="K27" s="16"/>
    </row>
    <row r="28" spans="1:11" ht="20" customHeight="1" x14ac:dyDescent="0.25">
      <c r="C28" s="16"/>
      <c r="D28" s="1"/>
      <c r="E28" s="1"/>
      <c r="F28" s="1"/>
      <c r="G28" s="1"/>
      <c r="H28" s="1"/>
      <c r="I28" s="1"/>
      <c r="J28" s="1"/>
      <c r="K28" s="16"/>
    </row>
    <row r="29" spans="1:11" ht="20" customHeight="1" x14ac:dyDescent="0.25">
      <c r="C29" s="16"/>
      <c r="D29" s="1"/>
      <c r="E29" s="1"/>
      <c r="F29" s="1"/>
      <c r="G29" s="1"/>
      <c r="H29" s="1"/>
      <c r="I29" s="1"/>
      <c r="J29" s="1"/>
      <c r="K29" s="16"/>
    </row>
    <row r="30" spans="1:11" ht="20" customHeight="1" x14ac:dyDescent="0.25">
      <c r="C30" s="16"/>
      <c r="D30" s="1"/>
      <c r="E30" s="1"/>
      <c r="F30" s="1"/>
      <c r="G30" s="1"/>
      <c r="H30" s="1"/>
      <c r="I30" s="1"/>
      <c r="J30" s="1"/>
      <c r="K30" s="16"/>
    </row>
    <row r="31" spans="1:11" ht="20" customHeight="1" x14ac:dyDescent="0.25">
      <c r="C31" s="16"/>
      <c r="D31" s="1"/>
      <c r="E31" s="1"/>
      <c r="F31" s="1"/>
      <c r="G31" s="1"/>
      <c r="H31" s="1"/>
      <c r="I31" s="1"/>
      <c r="J31" s="1"/>
      <c r="K31" s="16"/>
    </row>
    <row r="32" spans="1:11" ht="20" customHeight="1" x14ac:dyDescent="0.25">
      <c r="C32" s="16"/>
      <c r="D32" s="1"/>
      <c r="E32" s="1"/>
      <c r="F32" s="1"/>
      <c r="G32" s="1"/>
      <c r="H32" s="1"/>
      <c r="I32" s="1"/>
      <c r="J32" s="1"/>
      <c r="K32" s="16"/>
    </row>
    <row r="33" spans="3:11" ht="20" customHeight="1" x14ac:dyDescent="0.25">
      <c r="C33" s="16"/>
      <c r="D33" s="1"/>
      <c r="E33" s="1"/>
      <c r="F33" s="1"/>
      <c r="G33" s="1"/>
      <c r="H33" s="1"/>
      <c r="I33" s="1"/>
      <c r="J33" s="1"/>
      <c r="K33" s="16"/>
    </row>
    <row r="34" spans="3:11" ht="20" customHeight="1" x14ac:dyDescent="0.25">
      <c r="C34" s="16"/>
      <c r="D34" s="1"/>
      <c r="E34" s="1"/>
      <c r="F34" s="1"/>
      <c r="G34" s="1"/>
      <c r="H34" s="1"/>
      <c r="I34" s="1"/>
      <c r="J34" s="1"/>
      <c r="K34" s="16"/>
    </row>
    <row r="35" spans="3:11" ht="20" customHeight="1" x14ac:dyDescent="0.25">
      <c r="C35" s="16"/>
      <c r="D35" s="1"/>
      <c r="E35" s="1"/>
      <c r="F35" s="1"/>
      <c r="G35" s="1"/>
      <c r="H35" s="1"/>
      <c r="I35" s="1"/>
      <c r="J35" s="1"/>
      <c r="K35" s="16"/>
    </row>
    <row r="36" spans="3:11" ht="20" customHeight="1" x14ac:dyDescent="0.25">
      <c r="C36" s="16"/>
      <c r="D36" s="1"/>
      <c r="E36" s="1"/>
      <c r="F36" s="1"/>
      <c r="G36" s="1"/>
      <c r="H36" s="1"/>
      <c r="I36" s="1"/>
      <c r="J36" s="1"/>
      <c r="K36" s="16"/>
    </row>
    <row r="37" spans="3:11" ht="20" customHeight="1" x14ac:dyDescent="0.25">
      <c r="C37" s="16"/>
      <c r="D37" s="1"/>
      <c r="E37" s="1"/>
      <c r="F37" s="1"/>
      <c r="G37" s="1"/>
      <c r="H37" s="1"/>
      <c r="I37" s="1"/>
      <c r="J37" s="1"/>
      <c r="K37" s="16"/>
    </row>
    <row r="38" spans="3:11" ht="20" customHeight="1" x14ac:dyDescent="0.25">
      <c r="C38" s="16"/>
      <c r="D38" s="1"/>
      <c r="E38" s="1"/>
      <c r="F38" s="1"/>
      <c r="G38" s="1"/>
      <c r="H38" s="1"/>
      <c r="I38" s="1"/>
      <c r="J38" s="1"/>
      <c r="K38" s="16"/>
    </row>
    <row r="39" spans="3:11" ht="20" customHeight="1" x14ac:dyDescent="0.25">
      <c r="C39" s="16"/>
      <c r="D39" s="1"/>
      <c r="E39" s="1"/>
      <c r="F39" s="1"/>
      <c r="G39" s="1"/>
      <c r="H39" s="1"/>
      <c r="I39" s="1"/>
      <c r="J39" s="1"/>
      <c r="K39" s="16"/>
    </row>
    <row r="40" spans="3:11" ht="20" customHeight="1" x14ac:dyDescent="0.25">
      <c r="C40" s="16"/>
      <c r="D40" s="1"/>
      <c r="E40" s="1"/>
      <c r="F40" s="1"/>
      <c r="G40" s="1"/>
      <c r="H40" s="1"/>
      <c r="I40" s="1"/>
      <c r="J40" s="1"/>
      <c r="K40" s="16"/>
    </row>
    <row r="41" spans="3:11" ht="20" customHeight="1" x14ac:dyDescent="0.25">
      <c r="C41" s="16"/>
      <c r="D41" s="1"/>
      <c r="E41" s="1"/>
      <c r="F41" s="1"/>
      <c r="G41" s="1"/>
      <c r="H41" s="1"/>
      <c r="I41" s="1"/>
      <c r="J41" s="1"/>
      <c r="K41" s="16"/>
    </row>
    <row r="42" spans="3:11" ht="20" customHeight="1" x14ac:dyDescent="0.25">
      <c r="C42" s="16"/>
      <c r="D42" s="1"/>
      <c r="E42" s="1"/>
      <c r="F42" s="1"/>
      <c r="G42" s="1"/>
      <c r="H42" s="1"/>
      <c r="I42" s="1"/>
      <c r="J42" s="1"/>
      <c r="K42" s="16"/>
    </row>
    <row r="43" spans="3:11" ht="20" customHeight="1" x14ac:dyDescent="0.25">
      <c r="C43" s="16"/>
      <c r="D43" s="1"/>
      <c r="E43" s="1"/>
      <c r="F43" s="1"/>
      <c r="G43" s="1"/>
      <c r="H43" s="1"/>
      <c r="I43" s="1"/>
      <c r="J43" s="1"/>
      <c r="K43" s="16"/>
    </row>
    <row r="44" spans="3:11" ht="20" customHeight="1" x14ac:dyDescent="0.25">
      <c r="C44" s="16"/>
      <c r="D44" s="1"/>
      <c r="E44" s="1"/>
      <c r="F44" s="1"/>
      <c r="G44" s="1"/>
      <c r="H44" s="1"/>
      <c r="I44" s="1"/>
      <c r="J44" s="1"/>
      <c r="K44" s="16"/>
    </row>
    <row r="45" spans="3:11" ht="20" customHeight="1" x14ac:dyDescent="0.25">
      <c r="C45" s="16"/>
      <c r="D45" s="1"/>
      <c r="E45" s="1"/>
      <c r="F45" s="1"/>
      <c r="G45" s="1"/>
      <c r="H45" s="1"/>
      <c r="I45" s="1"/>
      <c r="J45" s="1"/>
      <c r="K45" s="16"/>
    </row>
    <row r="46" spans="3:11" ht="20" customHeight="1" x14ac:dyDescent="0.25">
      <c r="C46" s="16"/>
      <c r="D46" s="1"/>
      <c r="E46" s="1"/>
      <c r="F46" s="1"/>
      <c r="G46" s="1"/>
      <c r="H46" s="1"/>
      <c r="I46" s="1"/>
      <c r="J46" s="1"/>
      <c r="K46" s="16"/>
    </row>
    <row r="47" spans="3:11" ht="20" customHeight="1" x14ac:dyDescent="0.25">
      <c r="C47" s="16"/>
      <c r="D47" s="1"/>
      <c r="E47" s="1"/>
      <c r="F47" s="1"/>
      <c r="G47" s="1"/>
      <c r="H47" s="1"/>
      <c r="I47" s="1"/>
      <c r="J47" s="1"/>
      <c r="K47" s="16"/>
    </row>
    <row r="48" spans="3:11" ht="20" customHeight="1" x14ac:dyDescent="0.25">
      <c r="C48" s="16"/>
      <c r="D48" s="1"/>
      <c r="E48" s="1"/>
      <c r="F48" s="1"/>
      <c r="G48" s="1"/>
      <c r="H48" s="1"/>
      <c r="I48" s="1"/>
      <c r="J48" s="1"/>
      <c r="K48" s="16"/>
    </row>
    <row r="49" spans="3:11" ht="20" customHeight="1" x14ac:dyDescent="0.25">
      <c r="C49" s="16"/>
      <c r="D49" s="1"/>
      <c r="E49" s="1"/>
      <c r="F49" s="1"/>
      <c r="G49" s="1"/>
      <c r="H49" s="1"/>
      <c r="I49" s="1"/>
      <c r="J49" s="1"/>
      <c r="K49" s="16"/>
    </row>
    <row r="50" spans="3:11" ht="20" customHeight="1" x14ac:dyDescent="0.25">
      <c r="C50" s="16"/>
      <c r="D50" s="1"/>
      <c r="E50" s="1"/>
      <c r="F50" s="1"/>
      <c r="G50" s="1"/>
      <c r="H50" s="1"/>
      <c r="I50" s="1"/>
      <c r="J50" s="1"/>
      <c r="K50" s="16"/>
    </row>
    <row r="51" spans="3:11" ht="20" customHeight="1" x14ac:dyDescent="0.25">
      <c r="C51" s="16"/>
      <c r="D51" s="1"/>
      <c r="E51" s="1"/>
      <c r="F51" s="1"/>
      <c r="G51" s="1"/>
      <c r="H51" s="1"/>
      <c r="I51" s="1"/>
      <c r="J51" s="1"/>
      <c r="K51" s="16"/>
    </row>
    <row r="52" spans="3:11" ht="20" customHeight="1" x14ac:dyDescent="0.25">
      <c r="C52" s="16"/>
      <c r="D52" s="1"/>
      <c r="E52" s="1"/>
      <c r="F52" s="1"/>
      <c r="G52" s="1"/>
      <c r="H52" s="1"/>
      <c r="I52" s="1"/>
      <c r="J52" s="1"/>
      <c r="K52" s="16"/>
    </row>
    <row r="53" spans="3:11" ht="20" customHeight="1" x14ac:dyDescent="0.25">
      <c r="C53" s="16"/>
      <c r="D53" s="1"/>
      <c r="E53" s="1"/>
      <c r="F53" s="1"/>
      <c r="G53" s="1"/>
      <c r="H53" s="1"/>
      <c r="I53" s="1"/>
      <c r="J53" s="1"/>
      <c r="K53" s="16"/>
    </row>
    <row r="54" spans="3:11" ht="20" customHeight="1" x14ac:dyDescent="0.25">
      <c r="C54" s="16"/>
      <c r="D54" s="1"/>
      <c r="E54" s="1"/>
      <c r="F54" s="1"/>
      <c r="G54" s="1"/>
      <c r="H54" s="1"/>
      <c r="I54" s="1"/>
      <c r="J54" s="1"/>
      <c r="K54" s="16"/>
    </row>
    <row r="55" spans="3:11" ht="20" customHeight="1" x14ac:dyDescent="0.25">
      <c r="C55" s="16"/>
      <c r="D55" s="1"/>
      <c r="E55" s="1"/>
      <c r="F55" s="1"/>
      <c r="G55" s="1"/>
      <c r="H55" s="1"/>
      <c r="I55" s="1"/>
      <c r="J55" s="1"/>
      <c r="K55" s="16"/>
    </row>
    <row r="56" spans="3:11" ht="20" customHeight="1" x14ac:dyDescent="0.25">
      <c r="C56" s="16"/>
      <c r="D56" s="1"/>
      <c r="E56" s="1"/>
      <c r="F56" s="1"/>
      <c r="G56" s="1"/>
      <c r="H56" s="1"/>
      <c r="I56" s="1"/>
      <c r="J56" s="1"/>
      <c r="K56" s="16"/>
    </row>
    <row r="57" spans="3:11" ht="20" customHeight="1" x14ac:dyDescent="0.25">
      <c r="C57" s="16"/>
      <c r="D57" s="1"/>
      <c r="E57" s="1"/>
      <c r="F57" s="1"/>
      <c r="G57" s="1"/>
      <c r="H57" s="1"/>
      <c r="I57" s="1"/>
      <c r="J57" s="1"/>
      <c r="K57" s="16"/>
    </row>
    <row r="58" spans="3:11" ht="20" customHeight="1" x14ac:dyDescent="0.25">
      <c r="C58" s="16"/>
      <c r="D58" s="1"/>
      <c r="E58" s="22"/>
      <c r="F58" s="21"/>
      <c r="G58" s="16"/>
      <c r="H58" s="16"/>
      <c r="I58" s="16"/>
      <c r="J58" s="16"/>
      <c r="K58" s="16"/>
    </row>
    <row r="59" spans="3:11" ht="20" customHeight="1" x14ac:dyDescent="0.25">
      <c r="C59" s="16"/>
      <c r="D59" s="1"/>
      <c r="E59" s="1"/>
      <c r="F59" s="1"/>
      <c r="G59" s="1"/>
      <c r="H59" s="1"/>
      <c r="I59" s="1"/>
      <c r="J59" s="1"/>
      <c r="K59" s="16"/>
    </row>
    <row r="60" spans="3:11" ht="20" customHeight="1" x14ac:dyDescent="0.25">
      <c r="C60" s="16"/>
      <c r="D60" s="1"/>
      <c r="E60" s="1"/>
      <c r="F60" s="1"/>
      <c r="G60" s="1"/>
      <c r="H60" s="1"/>
      <c r="I60" s="1"/>
      <c r="J60" s="1"/>
      <c r="K60" s="16"/>
    </row>
    <row r="61" spans="3:11" ht="20" customHeight="1" x14ac:dyDescent="0.25">
      <c r="C61" s="16"/>
      <c r="D61" s="1"/>
      <c r="E61" s="1"/>
      <c r="F61" s="1"/>
      <c r="G61" s="1"/>
      <c r="H61" s="1"/>
      <c r="I61" s="1"/>
      <c r="J61" s="1"/>
      <c r="K61" s="16"/>
    </row>
    <row r="62" spans="3:11" ht="20" customHeight="1" x14ac:dyDescent="0.25">
      <c r="C62" s="16"/>
      <c r="D62" s="1"/>
      <c r="E62" s="1"/>
      <c r="F62" s="1"/>
      <c r="G62" s="1"/>
      <c r="H62" s="1"/>
      <c r="I62" s="1"/>
      <c r="J62" s="1"/>
      <c r="K62" s="16"/>
    </row>
    <row r="63" spans="3:11" ht="20" customHeight="1" x14ac:dyDescent="0.25">
      <c r="C63" s="16"/>
      <c r="D63" s="1"/>
      <c r="E63" s="1"/>
      <c r="F63" s="1"/>
      <c r="G63" s="1"/>
      <c r="H63" s="1"/>
      <c r="I63" s="1"/>
      <c r="J63" s="1"/>
      <c r="K63" s="16"/>
    </row>
    <row r="64" spans="3:11" ht="20" customHeight="1" x14ac:dyDescent="0.25">
      <c r="C64" s="16"/>
      <c r="D64" s="1"/>
      <c r="E64" s="1"/>
      <c r="F64" s="1"/>
      <c r="G64" s="1"/>
      <c r="H64" s="1"/>
      <c r="I64" s="1"/>
      <c r="J64" s="1"/>
      <c r="K64" s="16"/>
    </row>
    <row r="65" spans="3:11" ht="20" customHeight="1" x14ac:dyDescent="0.25">
      <c r="C65" s="16"/>
      <c r="D65" s="1"/>
      <c r="E65" s="1"/>
      <c r="F65" s="1"/>
      <c r="G65" s="1"/>
      <c r="H65" s="1"/>
      <c r="I65" s="1"/>
      <c r="J65" s="1"/>
      <c r="K65" s="16"/>
    </row>
    <row r="66" spans="3:11" ht="20" customHeight="1" x14ac:dyDescent="0.25">
      <c r="C66" s="16"/>
      <c r="D66" s="1"/>
      <c r="E66" s="1"/>
      <c r="F66" s="1"/>
      <c r="G66" s="1"/>
      <c r="H66" s="1"/>
      <c r="I66" s="1"/>
      <c r="J66" s="1"/>
      <c r="K66" s="16"/>
    </row>
    <row r="67" spans="3:11" ht="20" customHeight="1" x14ac:dyDescent="0.25">
      <c r="C67" s="16"/>
      <c r="D67" s="1"/>
      <c r="E67" s="1"/>
      <c r="F67" s="1"/>
      <c r="G67" s="1"/>
      <c r="H67" s="1"/>
      <c r="I67" s="1"/>
      <c r="J67" s="1"/>
      <c r="K67" s="16"/>
    </row>
    <row r="68" spans="3:11" ht="20" customHeight="1" x14ac:dyDescent="0.25">
      <c r="C68" s="16"/>
      <c r="D68" s="1"/>
      <c r="E68" s="1"/>
      <c r="F68" s="1"/>
      <c r="G68" s="1"/>
      <c r="H68" s="1"/>
      <c r="I68" s="1"/>
      <c r="J68" s="1"/>
      <c r="K68" s="16"/>
    </row>
    <row r="69" spans="3:11" ht="20" customHeight="1" x14ac:dyDescent="0.25">
      <c r="C69" s="16"/>
      <c r="D69" s="1"/>
      <c r="E69" s="1"/>
      <c r="F69" s="1"/>
      <c r="G69" s="1"/>
      <c r="H69" s="1"/>
      <c r="I69" s="1"/>
      <c r="J69" s="1"/>
      <c r="K69" s="16"/>
    </row>
    <row r="70" spans="3:11" ht="20" customHeight="1" x14ac:dyDescent="0.25">
      <c r="C70" s="16"/>
      <c r="D70" s="1"/>
      <c r="E70" s="1"/>
      <c r="F70" s="1"/>
      <c r="G70" s="1"/>
      <c r="H70" s="1"/>
      <c r="I70" s="1"/>
      <c r="J70" s="1"/>
      <c r="K70" s="16"/>
    </row>
    <row r="71" spans="3:11" ht="20" customHeight="1" x14ac:dyDescent="0.25">
      <c r="C71" s="16"/>
      <c r="D71" s="1"/>
      <c r="E71" s="1"/>
      <c r="F71" s="1"/>
      <c r="G71" s="1"/>
      <c r="H71" s="1"/>
      <c r="I71" s="1"/>
      <c r="J71" s="1"/>
      <c r="K71" s="16"/>
    </row>
    <row r="72" spans="3:11" ht="20" customHeight="1" x14ac:dyDescent="0.25">
      <c r="C72" s="16"/>
      <c r="D72" s="1"/>
      <c r="E72" s="1"/>
      <c r="F72" s="1"/>
      <c r="G72" s="1"/>
      <c r="H72" s="1"/>
      <c r="I72" s="1"/>
      <c r="J72" s="1"/>
      <c r="K72" s="16"/>
    </row>
    <row r="73" spans="3:11" ht="20" customHeight="1" x14ac:dyDescent="0.25">
      <c r="C73" s="16"/>
      <c r="D73" s="1"/>
      <c r="E73" s="1"/>
      <c r="F73" s="1"/>
      <c r="G73" s="1"/>
      <c r="H73" s="1"/>
      <c r="I73" s="1"/>
      <c r="J73" s="1"/>
      <c r="K73" s="16"/>
    </row>
    <row r="74" spans="3:11" ht="20" customHeight="1" x14ac:dyDescent="0.25">
      <c r="C74" s="16"/>
      <c r="D74" s="1"/>
      <c r="E74" s="1"/>
      <c r="F74" s="1"/>
      <c r="G74" s="1"/>
      <c r="H74" s="1"/>
      <c r="I74" s="1"/>
      <c r="J74" s="1"/>
      <c r="K74" s="16"/>
    </row>
    <row r="75" spans="3:11" ht="20" customHeight="1" x14ac:dyDescent="0.25">
      <c r="C75" s="16"/>
      <c r="D75" s="1"/>
      <c r="E75" s="1"/>
      <c r="F75" s="1"/>
      <c r="G75" s="1"/>
      <c r="H75" s="1"/>
      <c r="I75" s="1"/>
      <c r="J75" s="1"/>
      <c r="K75" s="16"/>
    </row>
    <row r="76" spans="3:11" ht="20" x14ac:dyDescent="0.25" customHeight="1">
      <c r="C76" s="16"/>
      <c r="D76" s="1"/>
      <c r="E76" s="1"/>
      <c r="F76" s="1"/>
      <c r="G76" s="1"/>
      <c r="H76" s="1"/>
      <c r="I76" s="1"/>
      <c r="J76" s="1"/>
      <c r="K76" s="16"/>
    </row>
    <row r="77" spans="3:11" ht="20" x14ac:dyDescent="0.25" customHeight="1">
      <c r="C77" s="16"/>
      <c r="D77" s="1"/>
      <c r="E77" s="1"/>
      <c r="F77" s="1"/>
      <c r="G77" s="1"/>
      <c r="H77" s="1"/>
      <c r="I77" s="1"/>
      <c r="J77" s="1"/>
      <c r="K77" s="16"/>
    </row>
    <row r="78" spans="3:11" ht="20" x14ac:dyDescent="0.25" customHeight="1">
      <c r="C78" s="16"/>
      <c r="D78" s="1"/>
      <c r="E78" s="1"/>
      <c r="F78" s="1"/>
      <c r="G78" s="1"/>
      <c r="H78" s="1"/>
      <c r="I78" s="1"/>
      <c r="J78" s="1"/>
      <c r="K78" s="16"/>
    </row>
    <row r="79" spans="3:11" ht="20" x14ac:dyDescent="0.25" customHeight="1">
      <c r="C79" s="16"/>
      <c r="D79" s="1"/>
      <c r="E79" s="1"/>
      <c r="F79" s="1"/>
      <c r="G79" s="1"/>
      <c r="H79" s="1"/>
      <c r="I79" s="1"/>
      <c r="J79" s="1"/>
      <c r="K79" s="16"/>
    </row>
    <row r="80" spans="3:11" ht="20" x14ac:dyDescent="0.25" customHeight="1">
      <c r="C80" s="16"/>
      <c r="D80" s="1"/>
      <c r="E80" s="1"/>
      <c r="F80" s="1"/>
      <c r="G80" s="1"/>
      <c r="H80" s="1"/>
      <c r="I80" s="1"/>
      <c r="J80" s="1"/>
      <c r="K80" s="16"/>
    </row>
    <row r="81" spans="3:11" ht="20" x14ac:dyDescent="0.25" customHeight="1">
      <c r="C81" s="16"/>
      <c r="D81" s="1"/>
      <c r="E81" s="1"/>
      <c r="F81" s="1"/>
      <c r="G81" s="1"/>
      <c r="H81" s="1"/>
      <c r="I81" s="1"/>
      <c r="J81" s="1"/>
      <c r="K81" s="16"/>
    </row>
    <row r="82" spans="3:11" ht="20" x14ac:dyDescent="0.25" customHeight="1">
      <c r="C82" s="16"/>
      <c r="D82" s="1"/>
      <c r="E82" s="1"/>
      <c r="F82" s="1"/>
      <c r="G82" s="1"/>
      <c r="H82" s="1"/>
      <c r="I82" s="1"/>
      <c r="J82" s="1"/>
      <c r="K82" s="16"/>
    </row>
    <row r="83" spans="3:11" ht="20" x14ac:dyDescent="0.25" customHeight="1">
      <c r="C83" s="16"/>
      <c r="D83" s="1"/>
      <c r="E83" s="1"/>
      <c r="F83" s="1"/>
      <c r="G83" s="1"/>
      <c r="H83" s="1"/>
      <c r="I83" s="1"/>
      <c r="J83" s="1"/>
      <c r="K83" s="16"/>
    </row>
    <row r="84" spans="3:11" ht="20" x14ac:dyDescent="0.25" customHeight="1">
      <c r="C84" s="16"/>
      <c r="D84" s="1"/>
      <c r="E84" s="1"/>
      <c r="F84" s="1"/>
      <c r="G84" s="1"/>
      <c r="H84" s="1"/>
      <c r="I84" s="1"/>
      <c r="J84" s="1"/>
      <c r="K84" s="16"/>
    </row>
    <row r="85" spans="3:11" ht="20" x14ac:dyDescent="0.25" customHeight="1">
      <c r="C85" s="16"/>
      <c r="D85" s="1"/>
      <c r="E85" s="1"/>
      <c r="F85" s="1"/>
      <c r="G85" s="1"/>
      <c r="H85" s="1"/>
      <c r="I85" s="1"/>
      <c r="J85" s="1"/>
      <c r="K85" s="16"/>
    </row>
    <row r="86" spans="3:11" x14ac:dyDescent="0.25" ht="20" customHeight="1">
      <c r="C86" s="16"/>
      <c r="D86" s="16"/>
      <c r="E86" s="16"/>
      <c r="F86" s="16"/>
      <c r="G86" s="16"/>
      <c r="H86" s="16"/>
      <c r="I86" s="16"/>
      <c r="J86" s="16"/>
      <c r="K86" s="16"/>
    </row>
    <row r="87" spans="3:11" x14ac:dyDescent="0.25" ht="20" customHeight="1">
      <c r="C87" s="16"/>
      <c r="D87" s="16"/>
      <c r="E87" s="16"/>
      <c r="F87" s="16"/>
      <c r="G87" s="16"/>
      <c r="H87" s="16"/>
      <c r="I87" s="16"/>
      <c r="J87" s="16"/>
      <c r="K87"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L371"/>
  <sheetViews>
    <sheetView showGridLines="0" tabSelected="1"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0" customFormat="1" ht="30" customHeight="1" x14ac:dyDescent="0.35">
      <c r="A1" s="30" t="e" vm="1">
        <v>#VALUE!</v>
      </c>
      <c r="C1" s="30" t="s">
        <v>122</v>
      </c>
    </row>
    <row r="2" spans="1:10" s="8" customFormat="1" ht="20" customHeight="1" x14ac:dyDescent="0.25">
      <c r="A2"/>
    </row>
    <row r="3" spans="1:10" ht="20" customHeight="1" x14ac:dyDescent="0.25">
      <c r="A3" s="12" t="str">
        <f>HYPERLINK("#'Home'!A1", "Home")</f>
        <v>Home</v>
      </c>
      <c r="C3" s="11"/>
      <c r="D3" s="11"/>
      <c r="E3" s="11"/>
      <c r="F3" s="11"/>
      <c r="G3" s="11"/>
      <c r="H3" s="11"/>
      <c r="I3" s="11"/>
      <c r="J3" s="11"/>
    </row>
    <row r="4" spans="1:10" ht="20" customHeight="1" x14ac:dyDescent="0.25">
      <c r="A4" s="12" t="str">
        <f>HYPERLINK("#'Overview'!A1", "Overview")</f>
        <v>Overview</v>
      </c>
    </row>
    <row r="5" spans="1:10" ht="20" customHeight="1" x14ac:dyDescent="0.25">
      <c r="A5" s="12" t="str">
        <f>HYPERLINK("#'Results'!A1", "Results")</f>
        <v>Results</v>
      </c>
      <c r="D5" s="5" t="s">
        <v>90</v>
      </c>
    </row>
    <row r="6" spans="1:10" ht="20" customHeight="1" x14ac:dyDescent="0.25"/>
    <row r="7" spans="1:10" ht="20" customHeight="1" x14ac:dyDescent="0.25">
      <c r="D7" s="1" t="s">
        <v>116</v>
      </c>
      <c r="F7" s="25" t="s">
        <v>118</v>
      </c>
      <c r="G7" s="65" t="s">
        <v>117</v>
      </c>
    </row>
    <row r="8" spans="1:10" ht="20" customHeight="1" x14ac:dyDescent="0.25">
      <c r="A8" s="14" t="s">
        <v>0</v>
      </c>
      <c r="D8" s="1" t="s">
        <v>92</v>
      </c>
      <c r="F8" s="62">
        <v>1000</v>
      </c>
      <c r="G8" s="65" t="s">
        <v>91</v>
      </c>
    </row>
    <row r="9" spans="1:10" ht="20" customHeight="1" x14ac:dyDescent="0.25">
      <c r="A9" s="38" t="str">
        <f>HYPERLINK("#'Input - Wastewater'!A1", "Wastewater")</f>
        <v>Wastewater</v>
      </c>
    </row>
    <row r="10" spans="1:10" ht="20" customHeight="1" x14ac:dyDescent="0.25">
      <c r="D10" s="64" t="s">
        <v>114</v>
      </c>
    </row>
    <row r="11" spans="1:10" ht="20" customHeight="1" x14ac:dyDescent="0.25"/>
    <row r="12" spans="1:10" ht="20" customHeight="1" x14ac:dyDescent="0.25">
      <c r="A12" s="13" t="s">
        <v>44</v>
      </c>
      <c r="D12" s="54" t="s">
        <v>115</v>
      </c>
      <c r="E12" s="63"/>
      <c r="F12" s="55"/>
    </row>
    <row r="13" spans="1:10" ht="20" customHeight="1" x14ac:dyDescent="0.25">
      <c r="A13" s="12" t="str">
        <f>HYPERLINK("#'11.1.1-2 Wastewater CH4'!A1", "11.1.1-2 Wastewater CH4")</f>
        <v>11.1.1-2 Wastewater CH4</v>
      </c>
    </row>
    <row r="14" spans="1:10" ht="20" customHeight="1" x14ac:dyDescent="0.25">
      <c r="A14" s="12" t="str">
        <f>HYPERLINK("#'11.1.3-4 Wastewater N2O'!A1", "11.1.3-4 Wastewater N2O")</f>
        <v>11.1.3-4 Wastewater N2O</v>
      </c>
      <c r="D14" s="1" t="s">
        <v>93</v>
      </c>
      <c r="F14" s="62">
        <v>0.9</v>
      </c>
      <c r="G14" s="65" t="s">
        <v>94</v>
      </c>
    </row>
    <row r="15" spans="1:10" ht="20" customHeight="1" x14ac:dyDescent="0.25">
      <c r="D15" s="1" t="s">
        <v>101</v>
      </c>
      <c r="F15" s="62">
        <v>0.5</v>
      </c>
      <c r="G15" s="65" t="s">
        <v>100</v>
      </c>
    </row>
    <row r="16" spans="1:10" ht="20" customHeight="1" x14ac:dyDescent="0.25">
      <c r="D16" s="1" t="s">
        <v>113</v>
      </c>
      <c r="F16" s="62">
        <v>0.2</v>
      </c>
      <c r="G16" s="65" t="s">
        <v>100</v>
      </c>
    </row>
    <row r="17" spans="1:11" ht="20" customHeight="1" x14ac:dyDescent="0.25">
      <c r="A17" s="74" t="s">
        <v>1</v>
      </c>
      <c r="D17" s="1" t="s">
        <v>95</v>
      </c>
      <c r="F17" s="62">
        <v>0.1</v>
      </c>
      <c r="G17" s="65" t="s">
        <v>94</v>
      </c>
    </row>
    <row r="18" spans="1:11" ht="20" customHeight="1" x14ac:dyDescent="0.25">
      <c r="A18" s="12" t="str">
        <f>HYPERLINK("#'Constants - Wastewater'!A1", "Constants - Wastewater")</f>
        <v>Constants - Wastewater</v>
      </c>
    </row>
    <row r="19" spans="1:11" ht="20" customHeight="1" x14ac:dyDescent="0.25">
      <c r="A19" s="12" t="str">
        <f>HYPERLINK("#'Constants - Common'!A1", "Constants - Common")</f>
        <v>Constants - Common</v>
      </c>
    </row>
    <row r="20" spans="1:11" ht="20" customHeight="1" x14ac:dyDescent="0.25">
      <c r="D20" s="64" t="s">
        <v>112</v>
      </c>
    </row>
    <row r="21" spans="1:11" ht="20" customHeight="1" x14ac:dyDescent="0.25"/>
    <row r="22" spans="1:11" ht="20" customHeight="1" x14ac:dyDescent="0.25">
      <c r="D22" s="54" t="s">
        <v>111</v>
      </c>
      <c r="E22" s="63"/>
      <c r="F22" s="55"/>
    </row>
    <row r="23" spans="1:11" ht="20" customHeight="1" x14ac:dyDescent="0.25"/>
    <row r="24" spans="1:11" ht="20" customHeight="1" x14ac:dyDescent="0.25">
      <c r="D24" s="1" t="s">
        <v>96</v>
      </c>
      <c r="F24" s="62">
        <v>100</v>
      </c>
      <c r="G24" s="65" t="s">
        <v>99</v>
      </c>
    </row>
    <row r="25" spans="1:11" ht="20" customHeight="1" x14ac:dyDescent="0.25">
      <c r="D25" s="1" t="s">
        <v>97</v>
      </c>
      <c r="F25" s="62">
        <v>100</v>
      </c>
      <c r="G25" s="65" t="s">
        <v>99</v>
      </c>
    </row>
    <row r="26" spans="1:11" ht="20" customHeight="1" x14ac:dyDescent="0.25">
      <c r="D26" s="1" t="s">
        <v>98</v>
      </c>
      <c r="F26" s="62">
        <v>100</v>
      </c>
      <c r="G26" s="65" t="s">
        <v>99</v>
      </c>
    </row>
    <row r="27" spans="1:11" ht="20" customHeight="1" x14ac:dyDescent="0.25"/>
    <row r="28" spans="1:11" ht="20" customHeight="1" x14ac:dyDescent="0.25"/>
    <row r="29" spans="1:11" ht="20" customHeight="1" x14ac:dyDescent="0.25">
      <c r="K29" s="43"/>
    </row>
    <row r="30" spans="1:11" ht="20" customHeight="1" x14ac:dyDescent="0.25">
      <c r="K30" s="43"/>
    </row>
    <row r="31" spans="1:11" ht="20" customHeight="1" x14ac:dyDescent="0.25">
      <c r="K31" s="43"/>
    </row>
    <row r="32" spans="1:11" ht="20" customHeight="1" x14ac:dyDescent="0.25">
      <c r="K32" s="43"/>
    </row>
    <row r="33" spans="1:12" ht="20" customHeight="1" x14ac:dyDescent="0.25">
      <c r="K33" s="43"/>
    </row>
    <row r="34" spans="1:12" ht="20" customHeight="1" x14ac:dyDescent="0.25">
      <c r="K34" s="43"/>
    </row>
    <row r="35" spans="1:12" ht="20" customHeight="1" x14ac:dyDescent="0.25"/>
    <row r="36" spans="1:12" ht="20" customHeight="1" x14ac:dyDescent="0.25">
      <c r="L36" s="43"/>
    </row>
    <row r="37" spans="1:12" ht="20" customHeight="1" x14ac:dyDescent="0.25">
      <c r="L37" s="43"/>
    </row>
    <row r="38" spans="1:12" ht="20" customHeight="1" x14ac:dyDescent="0.25">
      <c r="C38" s="42"/>
    </row>
    <row r="39" spans="1:12" ht="20" customHeight="1" x14ac:dyDescent="0.25">
      <c r="C39" s="42"/>
      <c r="J39" s="42"/>
    </row>
    <row r="40" spans="1:12" s="43" customFormat="1" ht="20" customHeight="1" x14ac:dyDescent="0.25">
      <c r="A40"/>
      <c r="C40" s="1"/>
      <c r="D40" s="1"/>
      <c r="E40" s="1"/>
      <c r="F40" s="1"/>
      <c r="G40" s="1"/>
      <c r="H40" s="1"/>
      <c r="I40" s="1"/>
      <c r="J40" s="1"/>
    </row>
    <row r="41" spans="1:12" s="43" customFormat="1" ht="20" customHeight="1" x14ac:dyDescent="0.25">
      <c r="A41"/>
      <c r="C41" s="1"/>
      <c r="D41" s="1"/>
      <c r="E41" s="1"/>
      <c r="F41" s="1"/>
      <c r="G41" s="1"/>
      <c r="H41" s="1"/>
      <c r="I41" s="1"/>
      <c r="J41" s="1"/>
      <c r="L41" s="43" t="s">
        <v>84</v>
      </c>
    </row>
    <row r="42" spans="1:12" ht="20" customHeight="1" x14ac:dyDescent="0.25"/>
    <row r="43" spans="1:12" ht="20" customHeight="1" x14ac:dyDescent="0.25"/>
    <row r="44" spans="1:12" ht="20" customHeight="1" x14ac:dyDescent="0.25"/>
    <row r="45" spans="1:12" ht="20" customHeight="1" x14ac:dyDescent="0.25"/>
    <row r="46" spans="1:12" ht="20" customHeight="1" x14ac:dyDescent="0.25"/>
    <row r="47" spans="1:12" ht="20" customHeight="1" x14ac:dyDescent="0.25"/>
    <row r="48" spans="1:12" ht="20" customHeight="1" x14ac:dyDescent="0.25"/>
    <row r="49" spans="4:5" ht="20" customHeight="1" x14ac:dyDescent="0.25"/>
    <row r="50" spans="4:5" ht="20" customHeight="1" x14ac:dyDescent="0.25"/>
    <row r="51" spans="4:5" ht="20" customHeight="1" x14ac:dyDescent="0.25"/>
    <row r="52" spans="4:5" ht="20" customHeight="1" x14ac:dyDescent="0.25"/>
    <row r="53" spans="4:5" ht="20" customHeight="1" x14ac:dyDescent="0.25"/>
    <row r="54" spans="4:5" ht="20" customHeight="1" x14ac:dyDescent="0.25">
      <c r="D54" s="1" t="s">
        <v>103</v>
      </c>
    </row>
    <row r="55" spans="4:5" ht="20" customHeight="1" x14ac:dyDescent="0.25">
      <c r="E55" s="1" t="s">
        <v>109</v>
      </c>
    </row>
    <row r="56" spans="4:5" ht="20" customHeight="1" x14ac:dyDescent="0.25">
      <c r="D56" s="1" t="s">
        <v>102</v>
      </c>
    </row>
    <row r="57" spans="4:5" ht="20" customHeight="1" x14ac:dyDescent="0.25">
      <c r="D57" s="1">
        <f>X_Cell_Wastewater_QuantityInM3*(X_Cell_Wastewater_InletCOD*(1-X_Cell_Wastewater_FractionCODRemovedAsSludge)-X_Cell_Wastewater_OutletCOD)</f>
        <v>350</v>
      </c>
    </row>
    <row r="58" spans="4:5" ht="20" customHeight="1" x14ac:dyDescent="0.25"/>
    <row r="59" spans="4:5" ht="20" customHeight="1" x14ac:dyDescent="0.25">
      <c r="E59" s="1" t="s">
        <v>109</v>
      </c>
    </row>
    <row r="60" spans="4:5" ht="20" customHeight="1" x14ac:dyDescent="0.25">
      <c r="D60" s="1" t="s">
        <v>104</v>
      </c>
    </row>
    <row r="61" spans="4:5" ht="20" customHeight="1" x14ac:dyDescent="0.25"/>
    <row r="62" spans="4:5" ht="20" customHeight="1" x14ac:dyDescent="0.25">
      <c r="D62" s="1" t="s">
        <v>107</v>
      </c>
    </row>
    <row r="63" spans="4:5" ht="20" customHeight="1" x14ac:dyDescent="0.25"/>
    <row r="64" spans="4:5" ht="20" customHeight="1" x14ac:dyDescent="0.25"/>
    <row r="65" spans="4:5" ht="20" customHeight="1" x14ac:dyDescent="0.25">
      <c r="D65" s="1" t="s">
        <v>106</v>
      </c>
      <c r="E65" s="1" t="s">
        <v>108</v>
      </c>
    </row>
    <row r="66" spans="4:5" ht="20" customHeight="1" x14ac:dyDescent="0.25"/>
    <row r="67" spans="4:5" ht="20" customHeight="1" x14ac:dyDescent="0.25"/>
    <row r="68" spans="4:5" ht="20" customHeight="1" x14ac:dyDescent="0.25">
      <c r="D68" s="1" t="s">
        <v>105</v>
      </c>
    </row>
    <row r="69" spans="4:5" ht="20" customHeight="1" x14ac:dyDescent="0.25"/>
    <row r="70" spans="4:5" ht="20" customHeight="1" x14ac:dyDescent="0.25">
      <c r="D70" s="1" t="s">
        <v>110</v>
      </c>
    </row>
    <row r="71" spans="4:5" ht="20" customHeight="1" x14ac:dyDescent="0.25"/>
    <row r="72" spans="4:5" ht="20" customHeight="1" x14ac:dyDescent="0.25"/>
    <row r="73" spans="4:5" ht="20" customHeight="1" x14ac:dyDescent="0.25"/>
    <row r="74" spans="4:5" ht="20" customHeight="1" x14ac:dyDescent="0.25"/>
    <row r="75" spans="4:5" ht="20" customHeight="1" x14ac:dyDescent="0.25"/>
    <row r="76" spans="4:5" ht="20" customHeight="1" x14ac:dyDescent="0.25"/>
    <row r="77" spans="4:5" ht="20" customHeight="1" x14ac:dyDescent="0.25"/>
    <row r="78" spans="4:5" ht="20" customHeight="1" x14ac:dyDescent="0.25"/>
    <row r="79" spans="4:5" ht="20" customHeight="1" x14ac:dyDescent="0.25"/>
    <row r="80" spans="4:5"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71" spans="4:4" x14ac:dyDescent="0.25" ht="20" customHeight="1">
      <c r="D371" s="35"/>
    </row>
  </sheetData>
  <conditionalFormatting sqref="D39:H43">
    <cfRule type="cellIs" dxfId="16" priority="1" operator="lessThan">
      <formula>0</formula>
    </cfRule>
  </conditionalFormatting>
  <conditionalFormatting sqref="F148:F149">
    <cfRule type="cellIs" dxfId="15" priority="21" operator="lessThan">
      <formula>0</formula>
    </cfRule>
  </conditionalFormatting>
  <conditionalFormatting sqref="F160:F161">
    <cfRule type="cellIs" dxfId="14" priority="20" operator="lessThan">
      <formula>0</formula>
    </cfRule>
  </conditionalFormatting>
  <conditionalFormatting sqref="F172:F173">
    <cfRule type="cellIs" dxfId="13" priority="19" operator="lessThan">
      <formula>0</formula>
    </cfRule>
  </conditionalFormatting>
  <conditionalFormatting sqref="F260:F261">
    <cfRule type="cellIs" dxfId="12" priority="94" operator="lessThan">
      <formula>0</formula>
    </cfRule>
  </conditionalFormatting>
  <conditionalFormatting sqref="F265:F266">
    <cfRule type="cellIs" dxfId="11" priority="93" operator="lessThan">
      <formula>0</formula>
    </cfRule>
  </conditionalFormatting>
  <conditionalFormatting sqref="F270:F271">
    <cfRule type="cellIs" dxfId="10" priority="92" operator="lessThan">
      <formula>0</formula>
    </cfRule>
  </conditionalFormatting>
  <conditionalFormatting sqref="F294:F295">
    <cfRule type="cellIs" dxfId="9" priority="86" operator="lessThan">
      <formula>0</formula>
    </cfRule>
  </conditionalFormatting>
  <conditionalFormatting sqref="F299:F300">
    <cfRule type="cellIs" dxfId="8" priority="85" operator="lessThan">
      <formula>0</formula>
    </cfRule>
  </conditionalFormatting>
  <conditionalFormatting sqref="F304:F305">
    <cfRule type="cellIs" dxfId="7" priority="84" operator="lessThan">
      <formula>0</formula>
    </cfRule>
  </conditionalFormatting>
  <conditionalFormatting sqref="I65:I69">
    <cfRule type="cellIs" dxfId="6" priority="6" operator="lessThan">
      <formula>0</formula>
    </cfRule>
  </conditionalFormatting>
  <conditionalFormatting sqref="I73 I132">
    <cfRule type="cellIs" dxfId="5" priority="75" operator="lessThan">
      <formula>0</formula>
    </cfRule>
  </conditionalFormatting>
  <conditionalFormatting sqref="I84:I86">
    <cfRule type="cellIs" dxfId="4" priority="5" operator="lessThan">
      <formula>0</formula>
    </cfRule>
  </conditionalFormatting>
  <conditionalFormatting sqref="I90:I93">
    <cfRule type="cellIs" dxfId="3" priority="4" operator="lessThan">
      <formula>0</formula>
    </cfRule>
  </conditionalFormatting>
  <conditionalFormatting sqref="I97:I101">
    <cfRule type="cellIs" dxfId="2" priority="2" operator="lessThan">
      <formula>0</formula>
    </cfRule>
  </conditionalFormatting>
  <conditionalFormatting sqref="J8 I51:I52 H53:H55 I54 I56:I58 I60:I61 I212 I218 E220:G220">
    <cfRule type="cellIs" dxfId="1" priority="80" operator="lessThan">
      <formula>0</formula>
    </cfRule>
  </conditionalFormatting>
  <conditionalFormatting sqref="J37 I45 F136:F137">
    <cfRule type="cellIs" dxfId="0"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L342"/>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0" t="e" vm="1">
        <v>#VALUE!</v>
      </c>
      <c r="C1" s="7" t="s">
        <v>123</v>
      </c>
    </row>
    <row r="2" spans="1:12" s="8" customFormat="1" ht="20" customHeight="1" x14ac:dyDescent="0.25">
      <c r="A2"/>
    </row>
    <row r="3" spans="1:12" ht="20" customHeight="1" x14ac:dyDescent="0.25">
      <c r="A3" s="12" t="str">
        <f>HYPERLINK("#'Home'!A1", "Home")</f>
        <v>Home</v>
      </c>
      <c r="C3" s="3"/>
      <c r="D3" s="3" t="s">
        <v>48</v>
      </c>
      <c r="E3" s="3"/>
      <c r="F3" s="3"/>
      <c r="G3" s="3"/>
      <c r="H3" s="3"/>
      <c r="I3" s="3"/>
      <c r="J3" s="3"/>
      <c r="K3" s="3"/>
      <c r="L3" s="3"/>
    </row>
    <row r="4" spans="1:12" ht="20" customHeight="1" x14ac:dyDescent="0.25">
      <c r="A4" s="12" t="str">
        <f>HYPERLINK("#'Overview'!A1", "Overview")</f>
        <v>Overview</v>
      </c>
    </row>
    <row r="5" spans="1:12" ht="20" customHeight="1" x14ac:dyDescent="0.25">
      <c r="A5" s="12" t="str">
        <f>HYPERLINK("#'Results'!A1", "Results")</f>
        <v>Results</v>
      </c>
      <c r="D5" s="5" t="str" cm="1">
        <f t="array" ref="D5">Wastewater_Methane_Equations.VEERG_11_1_1_1__1_MethaneEmissionsFromWastewaterTreatment_Title()</f>
        <v>Methane emissions from wastewater treatment</v>
      </c>
    </row>
    <row r="6" spans="1:12" ht="20" customHeight="1" x14ac:dyDescent="0.25">
      <c r="D6" s="4" t="str" cm="1">
        <f t="array" ref="D6">Wastewater_Methane_Equations.VEERG_11_1_1_1__1_MethaneEmissionsFromWastewaterTreatment_Source()</f>
        <v>VEERG 2026: 11.1.1.1, Equation (1)</v>
      </c>
    </row>
    <row r="7" spans="1:12" ht="20" customHeight="1" x14ac:dyDescent="0.25">
      <c r="D7" s="29" t="str" cm="1">
        <f t="array" ref="D7">Wastewater_Methane_Equations.VEERG_11_1_1_1__1_MethaneEmissionsFromWastewaterTreatment_Variation()</f>
        <v xml:space="preserve">VARIATION ON SOURCE: Changed units of EF_ww, EF_Sludge and EF_flared from CO2e to CH4 to match data in Table </v>
      </c>
    </row>
    <row r="8" spans="1:12" ht="20" customHeight="1" x14ac:dyDescent="0.25">
      <c r="A8" s="14" t="s">
        <v>0</v>
      </c>
      <c r="D8" s="10" t="s">
        <v>9</v>
      </c>
      <c r="E8" s="10" t="str">
        <f ca="1">Common_InputFunctions.Utility_DisplayFunctionName(VEERG_11_1_1_1__1_MethaneEmissionsFromWastewaterTreatment_Result_Method1)</f>
        <v>=Wastewater_Methane_Equations.VEERG_11_1_1_1__1_MethaneEmissionsFromWastewaterTreatment</v>
      </c>
    </row>
    <row r="9" spans="1:12" ht="20" customHeight="1" x14ac:dyDescent="0.25">
      <c r="A9" s="12" t="str">
        <f>HYPERLINK("#'Input - Wastewater'!A1", "Wastewater")</f>
        <v>Wastewater</v>
      </c>
    </row>
    <row r="10" spans="1:12" ht="20" customHeight="1" x14ac:dyDescent="0.25"/>
    <row r="11" spans="1:12" ht="20" customHeight="1" x14ac:dyDescent="0.25">
      <c r="D11" s="27" t="s">
        <v>12</v>
      </c>
      <c r="E11" s="1" t="str" cm="1">
        <f t="array" ref="E11">Wastewater_Methane_Equations.VEERG_11_1_1_1__1_MethaneEmissionsFromWastewaterTreatment_Variable()</f>
        <v>E_CH4</v>
      </c>
    </row>
    <row r="12" spans="1:12" ht="20" customHeight="1" x14ac:dyDescent="0.25">
      <c r="A12" s="13" t="s">
        <v>44</v>
      </c>
      <c r="D12" s="27" t="s">
        <v>4</v>
      </c>
      <c r="E12" s="28" t="str" cm="1">
        <f t="array" ref="E12">Wastewater_Methane_Equations.VEERG_11_1_1_1__1_MethaneEmissionsFromWastewaterTreatment_Unit()</f>
        <v>t CH4</v>
      </c>
    </row>
    <row r="13" spans="1:12" ht="20" customHeight="1" x14ac:dyDescent="0.25">
      <c r="A13" s="60" t="str">
        <f>HYPERLINK("#'11.1.1-2 Wastewater CH4'!A1", "11.1.1-2 Wastewater CH4")</f>
        <v>11.1.1-2 Wastewater CH4</v>
      </c>
    </row>
    <row r="14" spans="1:12" ht="20" customHeight="1" x14ac:dyDescent="0.25">
      <c r="A14" s="12" t="str">
        <f>HYPERLINK("#'11.1.3-4 Wastewater N2O'!A1", "11.1.3-4 Wastewater N2O")</f>
        <v>11.1.3-4 Wastewater N2O</v>
      </c>
      <c r="D14" s="44" t="str" cm="1">
        <f t="array" ref="D14:E28">_xlfn.CHOOSECOLS(Wastewater_Methane_Equations.VEERG_11_1_1_1__1_MethaneEmissionsFromWastewaterTreatment_Arguments(),1,2)</f>
        <v>W_t</v>
      </c>
      <c r="E14" s="46" t="str">
        <v>quantity of wastewater treated at facility type t</v>
      </c>
      <c r="F14" s="59"/>
      <c r="G14" s="45"/>
      <c r="H14" s="44" t="str" cm="1">
        <f t="array" ref="H14:I28">_xlfn.CHOOSECOLS(Wastewater_Methane_Equations.VEERG_11_1_1_1__1_MethaneEmissionsFromWastewaterTreatment_Arguments(),3,4)</f>
        <v>m3</v>
      </c>
      <c r="I14" s="41" t="str">
        <v>Input</v>
      </c>
      <c r="J14" s="44">
        <f>X_Cell_Wastewater_QuantityInM3</f>
        <v>1000</v>
      </c>
    </row>
    <row r="15" spans="1:12" ht="20" customHeight="1" x14ac:dyDescent="0.25">
      <c r="D15" s="44" t="str">
        <v>COD_in</v>
      </c>
      <c r="E15" s="46" t="str">
        <v>average inlet Chemical Oxygen Demand concentration of wastewater</v>
      </c>
      <c r="F15" s="59"/>
      <c r="G15" s="45"/>
      <c r="H15" s="44" t="str">
        <v>kg COD/m3</v>
      </c>
      <c r="I15" s="41" t="str">
        <v>Input</v>
      </c>
      <c r="J15" s="44">
        <f>X_Cell_Wastewater_InletCOD</f>
        <v>0.9</v>
      </c>
    </row>
    <row r="16" spans="1:12" ht="20" customHeight="1" x14ac:dyDescent="0.25">
      <c r="D16" s="44" t="str">
        <v>F_sludge</v>
      </c>
      <c r="E16" s="46" t="str">
        <v>fraction of COD removed from wastewater as sludge</v>
      </c>
      <c r="F16" s="59"/>
      <c r="G16" s="45"/>
      <c r="H16" s="44" t="str">
        <v>fraction</v>
      </c>
      <c r="I16" s="41" t="str">
        <v>Input</v>
      </c>
      <c r="J16" s="44">
        <f>X_Cell_Wastewater_FractionCODRemovedAsSludge</f>
        <v>0.5</v>
      </c>
    </row>
    <row r="17" spans="1:10" ht="20" customHeight="1" x14ac:dyDescent="0.25">
      <c r="A17" s="74" t="s">
        <v>1</v>
      </c>
      <c r="D17" s="44" t="str">
        <v>COD_out</v>
      </c>
      <c r="E17" s="46" t="str">
        <v>average outlet COD concentration of wastewater</v>
      </c>
      <c r="F17" s="59"/>
      <c r="G17" s="45"/>
      <c r="H17" s="44" t="str">
        <v>kg COD/m3</v>
      </c>
      <c r="I17" s="41" t="str">
        <v>Input</v>
      </c>
      <c r="J17" s="44">
        <f>X_Cell_Wastewater_OutletCOD</f>
        <v>0.1</v>
      </c>
    </row>
    <row r="18" spans="1:10" ht="20" customHeight="1" x14ac:dyDescent="0.25">
      <c r="A18" s="12" t="str">
        <f>HYPERLINK("#'Constants - Wastewater'!A1", "Constants - Wastewater")</f>
        <v>Constants - Wastewater</v>
      </c>
      <c r="D18" s="44" t="str">
        <v>CF_ww_t</v>
      </c>
      <c r="E18" s="46" t="str">
        <v>methane correction factor for facility type t used to treat wastewater</v>
      </c>
      <c r="F18" s="59"/>
      <c r="G18" s="45"/>
      <c r="H18" s="44" t="str">
        <v>fraction</v>
      </c>
      <c r="I18" s="40" t="str">
        <v>Constant</v>
      </c>
      <c r="J18" s="44" cm="1">
        <f t="array" ref="J18">Common_InputFunctions.Utility_LookupValueInTableNumber(J28,Table_SourceData_MCF_Wastewater[Facility type t],Table_SourceData_MCF_Wastewater[CFww,t])</f>
        <v>0.3</v>
      </c>
    </row>
    <row r="19" spans="1:10" ht="20" customHeight="1" x14ac:dyDescent="0.25">
      <c r="A19" s="12" t="str">
        <f>HYPERLINK("#'Constants - Common'!A1", "Constants - Common")</f>
        <v>Constants - Common</v>
      </c>
      <c r="D19" s="44" t="str">
        <v>EF_ww</v>
      </c>
      <c r="E19" s="46" t="str">
        <v>methane emission factor for wastewater</v>
      </c>
      <c r="F19" s="59"/>
      <c r="G19" s="45"/>
      <c r="H19" s="44" t="str">
        <v>kg CH4/kg COD</v>
      </c>
      <c r="I19" s="40" t="str">
        <v>Constant</v>
      </c>
      <c r="J19" s="44">
        <f>Waste_MethaneEmissionFactorWastewater_Data</f>
        <v>0.25</v>
      </c>
    </row>
    <row r="20" spans="1:10" ht="20" customHeight="1" x14ac:dyDescent="0.25">
      <c r="D20" s="44" t="str">
        <v>F_removed</v>
      </c>
      <c r="E20" s="46" t="str">
        <v>fraction of COD removed from the wastewater treatment facility and transferred elsewhere</v>
      </c>
      <c r="F20" s="59"/>
      <c r="G20" s="45"/>
      <c r="H20" s="44" t="str">
        <v>fraction</v>
      </c>
      <c r="I20" s="41" t="str">
        <v>Input</v>
      </c>
      <c r="J20" s="44">
        <f>X_Cell_Wastewater_FractionCODRemovedAndTransferred</f>
        <v>0.2</v>
      </c>
    </row>
    <row r="21" spans="1:10" ht="20" customHeight="1" x14ac:dyDescent="0.25">
      <c r="D21" s="44" t="str">
        <v>CF_sludge_t</v>
      </c>
      <c r="E21" s="46" t="str">
        <v>methane correction factor for facility type t used to treat sludge</v>
      </c>
      <c r="F21" s="59"/>
      <c r="G21" s="45"/>
      <c r="H21" s="44" t="str">
        <v>fraction</v>
      </c>
      <c r="I21" s="40" t="str">
        <v>Constant</v>
      </c>
      <c r="J21" s="44" cm="1">
        <f t="array" ref="J21">Common_InputFunctions.Utility_LookupValueInTableNumber(J28,Table_SourceData_MCF_Sludge[Facility type t],Table_SourceData_MCF_Sludge[CFsludge,t])</f>
        <v>0.3</v>
      </c>
    </row>
    <row r="22" spans="1:10" ht="20" customHeight="1" x14ac:dyDescent="0.25">
      <c r="D22" s="44" t="str">
        <v>EF_sludge</v>
      </c>
      <c r="E22" s="46" t="str">
        <v>methane emission factor for sludge</v>
      </c>
      <c r="F22" s="59"/>
      <c r="G22" s="45"/>
      <c r="H22" s="44" t="str">
        <v>kg CH4/kg COD</v>
      </c>
      <c r="I22" s="40" t="str">
        <v>Constant</v>
      </c>
      <c r="J22" s="44">
        <f>Waste_MethaneEmissionFactorSludge_Data</f>
        <v>0.25</v>
      </c>
    </row>
    <row r="23" spans="1:10" ht="20" customHeight="1" x14ac:dyDescent="0.25">
      <c r="D23" s="44" t="str">
        <v>Q_cap</v>
      </c>
      <c r="E23" s="46" t="str">
        <v>quantity of methane in sludge biogas captured for combustion</v>
      </c>
      <c r="F23" s="59"/>
      <c r="G23" s="45"/>
      <c r="H23" s="44" t="str">
        <v>m3 CH4</v>
      </c>
      <c r="I23" s="41" t="str">
        <v>Input</v>
      </c>
      <c r="J23" s="44">
        <f>X_Cell_Wastewater_SludgeMethaneCapturedForCombustion</f>
        <v>100</v>
      </c>
    </row>
    <row r="24" spans="1:10" ht="20" customHeight="1" x14ac:dyDescent="0.25">
      <c r="D24" s="44" t="str">
        <v>Q_flared</v>
      </c>
      <c r="E24" s="46" t="str">
        <v>quantity of methane in sludge biogas flared by the treatment facility</v>
      </c>
      <c r="F24" s="59"/>
      <c r="G24" s="45"/>
      <c r="H24" s="44" t="str">
        <v>m3 CH4</v>
      </c>
      <c r="I24" s="41" t="str">
        <v>Input</v>
      </c>
      <c r="J24" s="44">
        <f>X_Cell_Wastewater_SludgeMethaneFlared</f>
        <v>100</v>
      </c>
    </row>
    <row r="25" spans="1:10" ht="20" customHeight="1" x14ac:dyDescent="0.25">
      <c r="D25" s="44" t="str">
        <v>Q_out</v>
      </c>
      <c r="E25" s="46" t="str">
        <v>quantity of methane in sludge biogas transferred out of the treatment facility</v>
      </c>
      <c r="F25" s="59"/>
      <c r="G25" s="45"/>
      <c r="H25" s="44" t="str">
        <v>m3 CH4</v>
      </c>
      <c r="I25" s="41" t="str">
        <v>Input</v>
      </c>
      <c r="J25" s="44">
        <f>X_Cell_Wastewater_SludgeMethaneTransferred</f>
        <v>100</v>
      </c>
    </row>
    <row r="26" spans="1:10" ht="20" customHeight="1" x14ac:dyDescent="0.25">
      <c r="D26" s="44" t="str">
        <v>EC_flared</v>
      </c>
      <c r="E26" s="46" t="str">
        <v>energy content factor of methane in sludge biogas flared</v>
      </c>
      <c r="F26" s="59"/>
      <c r="G26" s="45"/>
      <c r="H26" s="44" t="str">
        <v>GJ/m3</v>
      </c>
      <c r="I26" s="40" t="str">
        <v>Constant</v>
      </c>
      <c r="J26" s="44">
        <f>Waste_EnergyContentFactorSludgeBiogasFlared_Data</f>
        <v>3.7699999999999997E-2</v>
      </c>
    </row>
    <row r="27" spans="1:10" ht="20" customHeight="1" x14ac:dyDescent="0.25">
      <c r="D27" s="44" t="str">
        <v>EF_flaredCH4</v>
      </c>
      <c r="E27" s="46" t="str">
        <v>methane emission factor for sludge biogas flared</v>
      </c>
      <c r="F27" s="59"/>
      <c r="G27" s="45"/>
      <c r="H27" s="44" t="str">
        <v>kg CH4/GJ</v>
      </c>
      <c r="I27" s="40" t="str">
        <v>Constant</v>
      </c>
      <c r="J27" s="44">
        <f>Waste_MethaneEmissionFactorSludgeBiogasFlared_Data</f>
        <v>0.22889999999999999</v>
      </c>
    </row>
    <row r="28" spans="1:10" ht="20" customHeight="1" x14ac:dyDescent="0.25">
      <c r="D28" s="44" t="str">
        <v>t</v>
      </c>
      <c r="E28" s="46" t="str">
        <v>treatment facility type</v>
      </c>
      <c r="F28" s="59"/>
      <c r="G28" s="45"/>
      <c r="H28" s="44" t="str">
        <v/>
      </c>
      <c r="I28" s="41" t="str">
        <v>Input</v>
      </c>
      <c r="J28" s="44" t="str">
        <f>X_Cell_Wastewater_TreatmentFacilityType</f>
        <v>Unmanaged aerobic treatment</v>
      </c>
    </row>
    <row r="29" spans="1:10" ht="20" customHeight="1" x14ac:dyDescent="0.25"/>
    <row r="30" spans="1:10" ht="20" customHeight="1" x14ac:dyDescent="0.25">
      <c r="D30" s="56" t="s">
        <v>119</v>
      </c>
      <c r="E30" s="58" cm="1">
        <f t="array" ref="E30">Wastewater_Methane_Equations.VEERG_11_1_1_1__1_MethaneEmissionsFromWastewaterTreatment(J14,J15,J16,J17,J18,J19,J20,J21,J22,J23,J24,J25,J26,J27)</f>
        <v>4.7159433000000001E-2</v>
      </c>
      <c r="F30" s="61" t="str">
        <f>$E$12</f>
        <v>t CH4</v>
      </c>
    </row>
    <row r="31" spans="1:10" ht="20" customHeight="1" x14ac:dyDescent="0.25"/>
    <row r="32" spans="1:10" ht="20" customHeight="1" x14ac:dyDescent="0.25">
      <c r="D32" s="66" t="str" cm="1">
        <f t="array" ref="D32:E33">Common_Equations.Common_ConvertCH4ToCO2e_Arguments()</f>
        <v>ECH4</v>
      </c>
      <c r="E32" s="67" t="str">
        <v>Methane emissions (t CH4)</v>
      </c>
      <c r="F32" s="68"/>
      <c r="G32" s="26">
        <f>VEERG_11_1_1_1__1_MethaneEmissionsFromWastewaterTreatment_Result_Method1</f>
        <v>4.7159433000000001E-2</v>
      </c>
    </row>
    <row r="33" spans="4:7" ht="20" customHeight="1" x14ac:dyDescent="0.25">
      <c r="D33" s="66" t="str">
        <v>GWPCH4</v>
      </c>
      <c r="E33" s="67" t="str">
        <v>Global warming potential for methane (t CO2-e / t CH4)</v>
      </c>
      <c r="F33" s="68"/>
      <c r="G33" s="26">
        <v>28</v>
      </c>
    </row>
    <row r="34" spans="4:7" ht="20" customHeight="1" x14ac:dyDescent="0.25"/>
    <row r="35" spans="4:7" ht="20" customHeight="1" x14ac:dyDescent="0.25">
      <c r="D35" s="57" t="s">
        <v>120</v>
      </c>
      <c r="E35" s="57" cm="1">
        <f t="array" ref="E35">Common_Equations.Common_ConvertN2OToCO2e(G32,G33)</f>
        <v>1.3204641239999999</v>
      </c>
      <c r="F35" s="69" t="str" cm="1">
        <f t="array" ref="F35">Common_Equations.Common_ConvertN2OToCO2e_Unit()</f>
        <v>t CO2e</v>
      </c>
    </row>
    <row r="36" spans="4:7" ht="20" customHeight="1" x14ac:dyDescent="0.25"/>
    <row r="37" spans="4:7" ht="20" customHeight="1" x14ac:dyDescent="0.25"/>
    <row r="38" spans="4:7" ht="20" customHeight="1" x14ac:dyDescent="0.25"/>
    <row r="39" spans="4:7" ht="20" customHeight="1" x14ac:dyDescent="0.25"/>
    <row r="40" spans="4:7" ht="20" customHeight="1" x14ac:dyDescent="0.25"/>
    <row r="41" spans="4:7" ht="20" customHeight="1" x14ac:dyDescent="0.25"/>
    <row r="42" spans="4:7" ht="20" customHeight="1" x14ac:dyDescent="0.25"/>
    <row r="43" spans="4:7" ht="20" customHeight="1" x14ac:dyDescent="0.25"/>
    <row r="44" spans="4:7" ht="20" customHeight="1" x14ac:dyDescent="0.25"/>
    <row r="45" spans="4:7" ht="20" customHeight="1" x14ac:dyDescent="0.25"/>
    <row r="46" spans="4:7" ht="20" customHeight="1" x14ac:dyDescent="0.25"/>
    <row r="47" spans="4:7" ht="20" customHeight="1" x14ac:dyDescent="0.25"/>
    <row r="48" spans="4:7"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6"/>
    </row>
    <row r="342" spans="8:8" x14ac:dyDescent="0.25" ht="20" customHeight="1">
      <c r="H342" s="16"/>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sheetPr>
    <tabColor rgb="FF008000"/>
  </sheetPr>
  <dimension ref="A1:J342"/>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0" t="e" vm="1">
        <v>#VALUE!</v>
      </c>
      <c r="C1" s="7" t="s">
        <v>124</v>
      </c>
    </row>
    <row r="2" spans="1:10" s="8" customFormat="1" ht="20" customHeight="1" x14ac:dyDescent="0.25">
      <c r="A2"/>
    </row>
    <row r="3" spans="1:10" ht="20" customHeight="1" x14ac:dyDescent="0.25">
      <c r="A3" s="12" t="str">
        <f>HYPERLINK("#'Home'!A1", "Home")</f>
        <v>Home</v>
      </c>
      <c r="C3" s="3"/>
      <c r="D3" s="3" t="s">
        <v>48</v>
      </c>
      <c r="E3" s="3"/>
      <c r="F3" s="3"/>
      <c r="G3" s="3"/>
      <c r="H3" s="3"/>
      <c r="I3" s="3"/>
      <c r="J3" s="3"/>
    </row>
    <row r="4" spans="1:10" ht="20" customHeight="1" x14ac:dyDescent="0.25">
      <c r="A4" s="12" t="str">
        <f>HYPERLINK("#'Overview'!A1", "Overview")</f>
        <v>Overview</v>
      </c>
    </row>
    <row r="5" spans="1:10" ht="20" customHeight="1" x14ac:dyDescent="0.25">
      <c r="A5" s="12" t="str">
        <f>HYPERLINK("#'Results'!A1", "Results")</f>
        <v>Results</v>
      </c>
      <c r="D5" s="5" t="str" cm="1">
        <f t="array" ref="D5">Wastewater_N2O_Equations.VEERG_11_1_3_1__1_NitrousOxideEmissionsFromFlaredBiogas_Title()</f>
        <v>Nitrous oxide emissions from flared biogas</v>
      </c>
    </row>
    <row r="6" spans="1:10" ht="20" customHeight="1" x14ac:dyDescent="0.25">
      <c r="D6" s="4" t="str" cm="1">
        <f t="array" ref="D6">Wastewater_N2O_Equations.VEERG_11_1_3_1__1_NitrousOxideEmissionsFromFlaredBiogas_Source()</f>
        <v>VEERG 2026: 11.1.3.1, Equation (1)</v>
      </c>
    </row>
    <row r="7" spans="1:10" ht="20" customHeight="1" x14ac:dyDescent="0.25">
      <c r="D7" s="10" t="s">
        <v>9</v>
      </c>
      <c r="E7" s="10" t="str">
        <f ca="1">Common_InputFunctions.Utility_DisplayFunctionName(VEERG_11_1_3_1__1_NitrousOxideEmissionsFromFlaredBiogas_Result_Method1)</f>
        <v>=Wastewater_N2O_Equations.VEERG_11_1_3_1__1_NitrousOxideEmissionsFromFlaredBiogas</v>
      </c>
    </row>
    <row r="8" spans="1:10" ht="20" customHeight="1" x14ac:dyDescent="0.25">
      <c r="A8" s="14" t="s">
        <v>0</v>
      </c>
    </row>
    <row r="9" spans="1:10" ht="20" customHeight="1" x14ac:dyDescent="0.25">
      <c r="A9" s="12" t="str">
        <f>HYPERLINK("#'Input - Wastewater'!A1", "Wastewater")</f>
        <v>Wastewater</v>
      </c>
    </row>
    <row r="10" spans="1:10" ht="20" customHeight="1" x14ac:dyDescent="0.25">
      <c r="D10" s="27" t="s">
        <v>12</v>
      </c>
      <c r="E10" s="1" t="str" cm="1">
        <f t="array" ref="E10">Wastewater_N2O_Equations.VEERG_11_1_3_1__1_NitrousOxideEmissionsFromFlaredBiogas_Variable()</f>
        <v>E_N2O</v>
      </c>
    </row>
    <row r="11" spans="1:10" ht="20" customHeight="1" x14ac:dyDescent="0.25">
      <c r="D11" s="27" t="s">
        <v>4</v>
      </c>
      <c r="E11" s="28" t="str" cm="1">
        <f t="array" ref="E11">Wastewater_N2O_Equations.VEERG_11_1_3_1__1_NitrousOxideEmissionsFromFlaredBiogas_Unit()</f>
        <v>t N2O</v>
      </c>
    </row>
    <row r="12" spans="1:10" ht="20" customHeight="1" x14ac:dyDescent="0.25">
      <c r="A12" s="13" t="s">
        <v>44</v>
      </c>
    </row>
    <row r="13" spans="1:10" ht="20" customHeight="1" x14ac:dyDescent="0.25">
      <c r="A13" s="12" t="str">
        <f>HYPERLINK("#'11.1.1-2 Wastewater CH4'!A1", "11.1.1-2 Wastewater CH4")</f>
        <v>11.1.1-2 Wastewater CH4</v>
      </c>
      <c r="D13" s="44" t="str" cm="1">
        <f t="array" ref="D13:E15">_xlfn.CHOOSECOLS(Wastewater_N2O_Equations.VEERG_11_1_3_1__1_NitrousOxideEmissionsFromFlaredBiogas_Arguments(),1,2)</f>
        <v>Q_flared</v>
      </c>
      <c r="E13" s="46" t="str">
        <v>volume of biogas flared</v>
      </c>
      <c r="F13" s="45"/>
      <c r="G13" s="44" t="str" cm="1">
        <f t="array" ref="G13:H15">_xlfn.CHOOSECOLS(Wastewater_N2O_Equations.VEERG_11_1_3_1__1_NitrousOxideEmissionsFromFlaredBiogas_Arguments(),3,4)</f>
        <v>m3</v>
      </c>
      <c r="H13" s="41" t="str">
        <v>Input</v>
      </c>
      <c r="I13" s="44">
        <f>X_Cell_Wastewater_SludgeMethaneFlared</f>
        <v>100</v>
      </c>
    </row>
    <row r="14" spans="1:10" ht="20" customHeight="1" x14ac:dyDescent="0.25">
      <c r="A14" s="60" t="str">
        <f>HYPERLINK("#'11.1.3-4 Wastewater N2O'!A1", "11.1.3-4 Wastewater N2O")</f>
        <v>11.1.3-4 Wastewater N2O</v>
      </c>
      <c r="D14" s="44" t="str">
        <v>EC_flared</v>
      </c>
      <c r="E14" s="46" t="str">
        <v>energy content factor of sludge biogas flared</v>
      </c>
      <c r="F14" s="45"/>
      <c r="G14" s="44" t="str">
        <v>GJ/m3</v>
      </c>
      <c r="H14" s="40" t="str">
        <v>Constant</v>
      </c>
      <c r="I14" s="44">
        <f>Waste_EnergyContentFactorSludgeBiogasFlared_Data</f>
        <v>3.7699999999999997E-2</v>
      </c>
    </row>
    <row r="15" spans="1:10" ht="20" customHeight="1" x14ac:dyDescent="0.25">
      <c r="D15" s="44" t="str">
        <v>EF_flaredN2O</v>
      </c>
      <c r="E15" s="46" t="str">
        <v>nitrous oxide emission factor for flared biogas</v>
      </c>
      <c r="F15" s="45"/>
      <c r="G15" s="44" t="str">
        <v>kg N2O/GJ</v>
      </c>
      <c r="H15" s="40" t="str">
        <v>Constant</v>
      </c>
      <c r="I15" s="44">
        <f>Waste_NitrousOxideEmissionFactorSludgeBiogasFlared_Data</f>
        <v>1.132E-4</v>
      </c>
    </row>
    <row r="16" spans="1:10" ht="20" customHeight="1" x14ac:dyDescent="0.25"/>
    <row r="17" spans="1:7" ht="20" customHeight="1" x14ac:dyDescent="0.25">
      <c r="A17" s="74" t="s">
        <v>1</v>
      </c>
      <c r="D17" s="56" t="s">
        <v>119</v>
      </c>
      <c r="E17" s="58" cm="1">
        <f t="array" ref="E17">Wastewater_N2O_Equations.VEERG_11_1_3_1__1_NitrousOxideEmissionsFromFlaredBiogas(I13,I14,I15)</f>
        <v>4.26764E-7</v>
      </c>
      <c r="F17" s="61" t="str">
        <f>$E$11</f>
        <v>t N2O</v>
      </c>
    </row>
    <row r="18" spans="1:7" ht="20" customHeight="1" x14ac:dyDescent="0.25">
      <c r="A18" s="12" t="str">
        <f>HYPERLINK("#'Constants - Wastewater'!A1", "Constants - Wastewater")</f>
        <v>Constants - Wastewater</v>
      </c>
    </row>
    <row r="19" spans="1:7" ht="20" customHeight="1" x14ac:dyDescent="0.25">
      <c r="A19" s="12" t="str">
        <f>HYPERLINK("#'Constants - Common'!A1", "Constants - Common")</f>
        <v>Constants - Common</v>
      </c>
      <c r="D19" s="66" t="str" cm="1">
        <f t="array" ref="D19:E20">Common_Equations.Common_ConvertN2OToCO2e_Arguments()</f>
        <v>EN2O</v>
      </c>
      <c r="E19" s="67" t="str">
        <v>Nitrous oxide emissions (t N2O)</v>
      </c>
      <c r="F19" s="68"/>
      <c r="G19" s="26">
        <f>VEERG_11_1_3_1__1_NitrousOxideEmissionsFromFlaredBiogas_Result_Method1</f>
        <v>4.26764E-7</v>
      </c>
    </row>
    <row r="20" spans="1:7" ht="20" customHeight="1" x14ac:dyDescent="0.25">
      <c r="D20" s="66" t="str">
        <v>GWPN2O</v>
      </c>
      <c r="E20" s="67" t="str">
        <v>Global warming potential for nitrous oxide (t CO2-e / t N2O)</v>
      </c>
      <c r="F20" s="68"/>
      <c r="G20" s="26">
        <v>265</v>
      </c>
    </row>
    <row r="21" spans="1:7" ht="20" customHeight="1" x14ac:dyDescent="0.25"/>
    <row r="22" spans="1:7" ht="20" customHeight="1" x14ac:dyDescent="0.25">
      <c r="D22" s="57" t="s">
        <v>120</v>
      </c>
      <c r="E22" s="57" cm="1">
        <f t="array" ref="E22">Common_Equations.Common_ConvertN2OToCO2e(G19,G20)</f>
        <v>1.1309246E-4</v>
      </c>
      <c r="F22" s="69" t="str" cm="1">
        <f t="array" ref="F22">Common_Equations.Common_ConvertN2OToCO2e_Unit()</f>
        <v>t CO2e</v>
      </c>
    </row>
    <row r="23" spans="1:7" ht="20" customHeight="1" x14ac:dyDescent="0.25"/>
    <row r="24" spans="1:7" ht="20" customHeight="1" x14ac:dyDescent="0.25"/>
    <row r="25" spans="1:7" ht="20" customHeight="1" x14ac:dyDescent="0.25"/>
    <row r="26" spans="1:7" ht="20" customHeight="1" x14ac:dyDescent="0.25"/>
    <row r="27" spans="1:7" ht="20" customHeight="1" x14ac:dyDescent="0.25"/>
    <row r="28" spans="1:7" ht="20" customHeight="1" x14ac:dyDescent="0.25"/>
    <row r="29" spans="1:7" ht="20" customHeight="1" x14ac:dyDescent="0.25"/>
    <row r="30" spans="1:7" ht="20" customHeight="1" x14ac:dyDescent="0.25"/>
    <row r="31" spans="1:7" ht="20" customHeight="1" x14ac:dyDescent="0.25"/>
    <row r="32" spans="1:7"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6"/>
    </row>
    <row r="342" spans="8:8" x14ac:dyDescent="0.25" ht="20" customHeight="1">
      <c r="H342" s="16"/>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topLeftCell="A2"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121</v>
      </c>
      <c r="AG1"/>
      <c r="AH1"/>
      <c r="AI1"/>
    </row>
    <row r="2" spans="1:35" s="8" customFormat="1" ht="20" customHeight="1" x14ac:dyDescent="0.25">
      <c r="A2"/>
      <c r="AG2"/>
      <c r="AH2"/>
      <c r="AI2"/>
    </row>
    <row r="3" spans="1:35" ht="20"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 customHeight="1" x14ac:dyDescent="0.25">
      <c r="A4" s="12" t="str">
        <f>HYPERLINK("#'Overview'!A1", "Overview")</f>
        <v>Overview</v>
      </c>
    </row>
    <row r="5" spans="1:35" ht="20" customHeight="1" x14ac:dyDescent="0.25">
      <c r="A5" s="12" t="str">
        <f>HYPERLINK("#'Results'!A1", "Results")</f>
        <v>Results</v>
      </c>
      <c r="D5" s="5" t="str" cm="1">
        <f t="array" ref="D5">Wastewater_SourceData.Waste_MethaneCorrectionFactorWastewater_Title()</f>
        <v>Methane correction factor for treatment facility type t used to treat wastewater</v>
      </c>
    </row>
    <row r="6" spans="1:35" ht="20" customHeight="1" x14ac:dyDescent="0.25">
      <c r="D6" s="4" t="str" cm="1">
        <f t="array" ref="D6">Wastewater_SourceData.Waste_MethaneCorrectionFactorWastewater_Source()</f>
        <v>VEERG 2026: Table A.4.1.3</v>
      </c>
    </row>
    <row r="7" spans="1:35" ht="20" customHeight="1" x14ac:dyDescent="0.25">
      <c r="D7" s="1" t="str" cm="1">
        <f t="array" ref="D7">Wastewater_SourceData.Waste_MethaneCorrectionFactorWastewater_Variable()</f>
        <v>CFww,t</v>
      </c>
    </row>
    <row r="8" spans="1:35" ht="20" customHeight="1" x14ac:dyDescent="0.25">
      <c r="A8" s="14" t="s">
        <v>0</v>
      </c>
      <c r="D8" s="28" t="str" cm="1">
        <f t="array" ref="D8">Wastewater_SourceData.Waste_MethaneCorrectionFactorWastewater_Unit()</f>
        <v>fraction</v>
      </c>
    </row>
    <row r="9" spans="1:35" ht="20" customHeight="1" x14ac:dyDescent="0.25">
      <c r="A9" s="12" t="str">
        <f>HYPERLINK("#'Input - Wastewater'!A1", "Wastewater")</f>
        <v>Wastewater</v>
      </c>
      <c r="D9" s="24" t="s">
        <v>87</v>
      </c>
      <c r="E9" s="24" t="s">
        <v>88</v>
      </c>
    </row>
    <row r="10" spans="1:35" ht="20" customHeight="1" x14ac:dyDescent="0.25">
      <c r="D10" s="24" t="str" cm="1">
        <f t="array" ref="D10">Common_InputFunctions.Utility_DisplayArrayInTable(Wastewater_SourceData.Waste_MethaneCorrectionFactorWastewater_Data(), Table_SourceData_MCF_Wastewater[[#Headers],[Facility type t]], 0)</f>
        <v>Managed aerobic treatment</v>
      </c>
      <c r="E10" s="24" cm="1">
        <f t="array" ref="E10">Common_InputFunctions.Utility_DisplayArrayInTable(Wastewater_SourceData.Waste_MethaneCorrectionFactorWastewater_Data(), Table_SourceData_MCF_Wastewater[[#Headers],[Facility type t]], 0)</f>
        <v>0</v>
      </c>
    </row>
    <row r="11" spans="1:35" ht="20" customHeight="1" x14ac:dyDescent="0.25">
      <c r="D11" s="24" t="str" cm="1">
        <f t="array" ref="D11">Common_InputFunctions.Utility_DisplayArrayInTable(Wastewater_SourceData.Waste_MethaneCorrectionFactorWastewater_Data(), Table_SourceData_MCF_Wastewater[[#Headers],[Facility type t]], 0)</f>
        <v>Unmanaged aerobic treatment</v>
      </c>
      <c r="E11" s="24" cm="1">
        <f t="array" ref="E11">Common_InputFunctions.Utility_DisplayArrayInTable(Wastewater_SourceData.Waste_MethaneCorrectionFactorWastewater_Data(), Table_SourceData_MCF_Wastewater[[#Headers],[Facility type t]], 0)</f>
        <v>0.3</v>
      </c>
    </row>
    <row r="12" spans="1:35" ht="20" customHeight="1" x14ac:dyDescent="0.25">
      <c r="A12" s="13" t="s">
        <v>44</v>
      </c>
      <c r="D12" s="24" t="str" cm="1">
        <f t="array" ref="D12">Common_InputFunctions.Utility_DisplayArrayInTable(Wastewater_SourceData.Waste_MethaneCorrectionFactorWastewater_Data(), Table_SourceData_MCF_Wastewater[[#Headers],[Facility type t]], 0)</f>
        <v>Anaerobic digestor/reactor</v>
      </c>
      <c r="E12" s="24" cm="1">
        <f t="array" ref="E12">Common_InputFunctions.Utility_DisplayArrayInTable(Wastewater_SourceData.Waste_MethaneCorrectionFactorWastewater_Data(), Table_SourceData_MCF_Wastewater[[#Headers],[Facility type t]], 0)</f>
        <v>0.8</v>
      </c>
    </row>
    <row r="13" spans="1:35" ht="20" customHeight="1" x14ac:dyDescent="0.25">
      <c r="A13" s="12" t="str">
        <f>HYPERLINK("#'11.1.1-2 Wastewater CH4'!A1", "11.1.1-2 Wastewater CH4")</f>
        <v>11.1.1-2 Wastewater CH4</v>
      </c>
      <c r="D13" s="24" t="str" cm="1">
        <f t="array" ref="D13">Common_InputFunctions.Utility_DisplayArrayInTable(Wastewater_SourceData.Waste_MethaneCorrectionFactorWastewater_Data(), Table_SourceData_MCF_Wastewater[[#Headers],[Facility type t]], 0)</f>
        <v>Shallow anaerobic lagoon (≤ 2 m)</v>
      </c>
      <c r="E13" s="24" cm="1">
        <f t="array" ref="E13">Common_InputFunctions.Utility_DisplayArrayInTable(Wastewater_SourceData.Waste_MethaneCorrectionFactorWastewater_Data(), Table_SourceData_MCF_Wastewater[[#Headers],[Facility type t]], 0)</f>
        <v>0.2</v>
      </c>
    </row>
    <row r="14" spans="1:35" ht="20" customHeight="1" x14ac:dyDescent="0.25">
      <c r="A14" s="12" t="str">
        <f>HYPERLINK("#'11.1.3-4 Wastewater N2O'!A1", "11.1.3-4 Wastewater N2O")</f>
        <v>11.1.3-4 Wastewater N2O</v>
      </c>
      <c r="D14" s="24" t="str" cm="1">
        <f t="array" ref="D14">Common_InputFunctions.Utility_DisplayArrayInTable(Wastewater_SourceData.Waste_MethaneCorrectionFactorWastewater_Data(), Table_SourceData_MCF_Wastewater[[#Headers],[Facility type t]], 0)</f>
        <v>Deep anaerobic lagoon (&gt; 2m)</v>
      </c>
      <c r="E14" s="24" cm="1">
        <f t="array" ref="E14">Common_InputFunctions.Utility_DisplayArrayInTable(Wastewater_SourceData.Waste_MethaneCorrectionFactorWastewater_Data(), Table_SourceData_MCF_Wastewater[[#Headers],[Facility type t]], 0)</f>
        <v>0.8</v>
      </c>
    </row>
    <row r="15" spans="1:35" ht="20" customHeight="1" x14ac:dyDescent="0.25"/>
    <row r="16" spans="1:35" ht="20" customHeight="1" x14ac:dyDescent="0.25"/>
    <row r="17" spans="1:6" ht="20" customHeight="1" x14ac:dyDescent="0.25">
      <c r="A17" s="74" t="s">
        <v>1</v>
      </c>
      <c r="D17" s="5" t="str" cm="1">
        <f t="array" ref="D17">Wastewater_SourceData.Waste_MethaneCorrectionFactorSludge_Title()</f>
        <v>Methane correction factor for treatment facility type t used to treat sludge</v>
      </c>
    </row>
    <row r="18" spans="1:6" ht="20" customHeight="1" x14ac:dyDescent="0.25">
      <c r="A18" s="53" t="str">
        <f>HYPERLINK("#'Constants - Wastewater'!A1", "Constants - Wastewater")</f>
        <v>Constants - Wastewater</v>
      </c>
      <c r="D18" s="4" t="str" cm="1">
        <f t="array" ref="D18">Wastewater_SourceData.Waste_MethaneCorrectionFactorSludge_Source()</f>
        <v>VEERG 2026: Table A.4.1.4</v>
      </c>
    </row>
    <row r="19" spans="1:6" ht="20" customHeight="1" x14ac:dyDescent="0.25">
      <c r="A19" s="12" t="str">
        <f>HYPERLINK("#'Constants - Common'!A1", "Constants - Common")</f>
        <v>Constants - Common</v>
      </c>
      <c r="D19" s="1" t="str" cm="1">
        <f t="array" ref="D19">Wastewater_SourceData.Waste_MethaneCorrectionFactorSludge_Variable()</f>
        <v>CFsludge,t</v>
      </c>
    </row>
    <row r="20" spans="1:6" ht="20" customHeight="1" x14ac:dyDescent="0.25">
      <c r="D20" s="28" t="str" cm="1">
        <f t="array" ref="D20">Wastewater_SourceData.Waste_MethaneCorrectionFactorSludge_Unit()</f>
        <v>fraction</v>
      </c>
    </row>
    <row r="21" spans="1:6" ht="20" customHeight="1" x14ac:dyDescent="0.25">
      <c r="D21" s="24" t="s">
        <v>87</v>
      </c>
      <c r="E21" s="24" t="s">
        <v>89</v>
      </c>
    </row>
    <row r="22" spans="1:6" ht="20" customHeight="1" x14ac:dyDescent="0.25">
      <c r="D22" s="24" t="str" cm="1">
        <f t="array" ref="D22">Common_InputFunctions.Utility_DisplayArrayInTable(Wastewater_SourceData.Waste_MethaneCorrectionFactorSludge_Data(), Table_SourceData_MCF_Sludge[[#Headers],[Facility type t]], 0)</f>
        <v>Managed aerobic treatment</v>
      </c>
      <c r="E22" s="24" cm="1">
        <f t="array" ref="E22">Common_InputFunctions.Utility_DisplayArrayInTable(Wastewater_SourceData.Waste_MethaneCorrectionFactorSludge_Data(), Table_SourceData_MCF_Sludge[[#Headers],[Facility type t]], 0)</f>
        <v>0</v>
      </c>
    </row>
    <row r="23" spans="1:6" ht="20" customHeight="1" x14ac:dyDescent="0.25">
      <c r="D23" s="24" t="str" cm="1">
        <f t="array" ref="D23">Common_InputFunctions.Utility_DisplayArrayInTable(Wastewater_SourceData.Waste_MethaneCorrectionFactorSludge_Data(), Table_SourceData_MCF_Sludge[[#Headers],[Facility type t]], 0)</f>
        <v>Unmanaged aerobic treatment</v>
      </c>
      <c r="E23" s="24" cm="1">
        <f t="array" ref="E23">Common_InputFunctions.Utility_DisplayArrayInTable(Wastewater_SourceData.Waste_MethaneCorrectionFactorSludge_Data(), Table_SourceData_MCF_Sludge[[#Headers],[Facility type t]], 0)</f>
        <v>0.3</v>
      </c>
    </row>
    <row r="24" spans="1:6" ht="20" customHeight="1" x14ac:dyDescent="0.25">
      <c r="D24" s="24" t="str" cm="1">
        <f t="array" ref="D24">Common_InputFunctions.Utility_DisplayArrayInTable(Wastewater_SourceData.Waste_MethaneCorrectionFactorSludge_Data(), Table_SourceData_MCF_Sludge[[#Headers],[Facility type t]], 0)</f>
        <v>Anaerobic digestor/reactor</v>
      </c>
      <c r="E24" s="24" cm="1">
        <f t="array" ref="E24">Common_InputFunctions.Utility_DisplayArrayInTable(Wastewater_SourceData.Waste_MethaneCorrectionFactorSludge_Data(), Table_SourceData_MCF_Sludge[[#Headers],[Facility type t]], 0)</f>
        <v>0.8</v>
      </c>
    </row>
    <row r="25" spans="1:6" ht="20" customHeight="1" x14ac:dyDescent="0.25">
      <c r="D25" s="24" t="str" cm="1">
        <f t="array" ref="D25">Common_InputFunctions.Utility_DisplayArrayInTable(Wastewater_SourceData.Waste_MethaneCorrectionFactorSludge_Data(), Table_SourceData_MCF_Sludge[[#Headers],[Facility type t]], 0)</f>
        <v>Shallow anaerobic lagoon (≤ 2 m)</v>
      </c>
      <c r="E25" s="24" cm="1">
        <f t="array" ref="E25">Common_InputFunctions.Utility_DisplayArrayInTable(Wastewater_SourceData.Waste_MethaneCorrectionFactorSludge_Data(), Table_SourceData_MCF_Sludge[[#Headers],[Facility type t]], 0)</f>
        <v>0.2</v>
      </c>
    </row>
    <row r="26" spans="1:6" ht="20" customHeight="1" x14ac:dyDescent="0.25">
      <c r="D26" s="24" t="str" cm="1">
        <f t="array" ref="D26">Common_InputFunctions.Utility_DisplayArrayInTable(Wastewater_SourceData.Waste_MethaneCorrectionFactorSludge_Data(), Table_SourceData_MCF_Sludge[[#Headers],[Facility type t]], 0)</f>
        <v>Deep anaerobic lagoon (&gt; 2m)</v>
      </c>
      <c r="E26" s="24" cm="1">
        <f t="array" ref="E26">Common_InputFunctions.Utility_DisplayArrayInTable(Wastewater_SourceData.Waste_MethaneCorrectionFactorSludge_Data(), Table_SourceData_MCF_Sludge[[#Headers],[Facility type t]], 0)</f>
        <v>0.8</v>
      </c>
    </row>
    <row r="27" spans="1:6" ht="20" customHeight="1" x14ac:dyDescent="0.25"/>
    <row r="28" spans="1:6" ht="20" customHeight="1" x14ac:dyDescent="0.25"/>
    <row r="29" spans="1:6" ht="20" customHeight="1" x14ac:dyDescent="0.25">
      <c r="D29" s="5" t="str" cm="1">
        <f t="array" ref="D29">Wastewater_SourceData.Waste_MethaneEmissionFactorWastewater_Title()</f>
        <v>Methane emission factor for wastewater</v>
      </c>
    </row>
    <row r="30" spans="1:6" ht="20" customHeight="1" x14ac:dyDescent="0.25">
      <c r="D30" s="4" t="str" cm="1">
        <f t="array" ref="D30">Wastewater_SourceData.Waste_MethaneEmissionFactorWastewater_Source()</f>
        <v>VEERG 2026: 11.2.3 Constants</v>
      </c>
    </row>
    <row r="31" spans="1:6" ht="20" customHeight="1" x14ac:dyDescent="0.25">
      <c r="D31" s="27" t="str" cm="1">
        <f t="array" ref="D31">Wastewater_SourceData.Waste_MethaneEmissionFactorWastewater_Variable()</f>
        <v>EFww</v>
      </c>
      <c r="E31" s="1" cm="1">
        <f t="array" ref="E31">Wastewater_SourceData.Waste_MethaneEmissionFactorWastewater_Data()</f>
        <v>0.25</v>
      </c>
      <c r="F31" s="28" t="str" cm="1">
        <f t="array" ref="F31">Wastewater_SourceData.Waste_MethaneEmissionFactorWastewater_Unit()</f>
        <v>kg CH4 / kg COD</v>
      </c>
    </row>
    <row r="32" spans="1:6" ht="20" customHeight="1" x14ac:dyDescent="0.25"/>
    <row r="33" spans="4:6" ht="20" customHeight="1" x14ac:dyDescent="0.25"/>
    <row r="34" spans="4:6" ht="20" customHeight="1" x14ac:dyDescent="0.25">
      <c r="D34" s="5" t="str" cm="1">
        <f t="array" ref="D34">Wastewater_SourceData.Waste_MethaneEmissionFactorSludge_Title()</f>
        <v>Methane emission factor for sludge</v>
      </c>
    </row>
    <row r="35" spans="4:6" ht="20" customHeight="1" x14ac:dyDescent="0.25">
      <c r="D35" s="4" t="str" cm="1">
        <f t="array" ref="D35">Wastewater_SourceData.Waste_MethaneEmissionFactorSludge_Source()</f>
        <v>VEERG 2026: 11.2.3 Constants</v>
      </c>
    </row>
    <row r="36" spans="4:6" ht="20" customHeight="1" x14ac:dyDescent="0.25">
      <c r="D36" s="27" t="str" cm="1">
        <f t="array" ref="D36">Wastewater_SourceData.Waste_MethaneEmissionFactorSludge_Variable()</f>
        <v>EFsludge</v>
      </c>
      <c r="E36" s="1" cm="1">
        <f t="array" ref="E36">Wastewater_SourceData.Waste_MethaneEmissionFactorSludge_Data()</f>
        <v>0.25</v>
      </c>
      <c r="F36" s="28" t="str" cm="1">
        <f t="array" ref="F36">Wastewater_SourceData.Waste_MethaneEmissionFactorSludge_Unit()</f>
        <v>kg CH4 / kg COD</v>
      </c>
    </row>
    <row r="37" spans="4:6" ht="20" customHeight="1" x14ac:dyDescent="0.25"/>
    <row r="38" spans="4:6" ht="20" customHeight="1" x14ac:dyDescent="0.25"/>
    <row r="39" spans="4:6" ht="20" customHeight="1" x14ac:dyDescent="0.25">
      <c r="D39" s="5" t="str" cm="1">
        <f t="array" ref="D39">Wastewater_SourceData.Waste_EnergyContentFactorSludgeBiogasFlared_Title()</f>
        <v>Energy content factor of sludge biogas flared</v>
      </c>
    </row>
    <row r="40" spans="4:6" ht="20" customHeight="1" x14ac:dyDescent="0.25">
      <c r="D40" s="4" t="str" cm="1">
        <f t="array" ref="D40">Wastewater_SourceData.Waste_EnergyContentFactorSludgeBiogasFlared_Source()</f>
        <v>VEERG 2026: 11.2.3 Constants</v>
      </c>
    </row>
    <row r="41" spans="4:6" ht="20" customHeight="1" x14ac:dyDescent="0.25">
      <c r="D41" s="27" t="str" cm="1">
        <f t="array" ref="D41">Wastewater_SourceData.Waste_EnergyContentFactorSludgeBiogasFlared_Variable()</f>
        <v>ECflared</v>
      </c>
      <c r="E41" s="1" cm="1">
        <f t="array" ref="E41">Wastewater_SourceData.Waste_EnergyContentFactorSludgeBiogasFlared_Data()</f>
        <v>3.7699999999999997E-2</v>
      </c>
      <c r="F41" s="28" t="str" cm="1">
        <f t="array" ref="F41">Wastewater_SourceData.Waste_EnergyContentFactorSludgeBiogasFlared_Unit()</f>
        <v>GJ / m3</v>
      </c>
    </row>
    <row r="42" spans="4:6" ht="20" customHeight="1" x14ac:dyDescent="0.25"/>
    <row r="43" spans="4:6" ht="20" customHeight="1" x14ac:dyDescent="0.25"/>
    <row r="44" spans="4:6" ht="20" customHeight="1" x14ac:dyDescent="0.25">
      <c r="D44" s="5" t="str" cm="1">
        <f t="array" ref="D44">Wastewater_SourceData.Waste_MethaneEmissionFactorSludgeBiogasFlared_Title()</f>
        <v>Methane emission factor for sludge biogas flared</v>
      </c>
    </row>
    <row r="45" spans="4:6" ht="20" customHeight="1" x14ac:dyDescent="0.25">
      <c r="D45" s="4" t="str" cm="1">
        <f t="array" ref="D45">Wastewater_SourceData.Waste_MethaneEmissionFactorSludgeBiogasFlared_Source()</f>
        <v>VEERG 2026: 11.2.3 Constants</v>
      </c>
    </row>
    <row r="46" spans="4:6" ht="20" customHeight="1" x14ac:dyDescent="0.25">
      <c r="D46" s="27" t="str" cm="1">
        <f t="array" ref="D46">Wastewater_SourceData.Waste_MethaneEmissionFactorSludgeBiogasFlared_Variable()</f>
        <v>EFflared,CH4</v>
      </c>
      <c r="E46" s="1" cm="1">
        <f t="array" ref="E46">Wastewater_SourceData.Waste_MethaneEmissionFactorSludgeBiogasFlared_Data()</f>
        <v>0.22889999999999999</v>
      </c>
      <c r="F46" s="28" t="str" cm="1">
        <f t="array" ref="F46">Wastewater_SourceData.Waste_MethaneEmissionFactorSludgeBiogasFlared_Unit()</f>
        <v>kg CH4 / GJ</v>
      </c>
    </row>
    <row r="47" spans="4:6" ht="20" customHeight="1" x14ac:dyDescent="0.25"/>
    <row r="48" spans="4:6" ht="20" customHeight="1" x14ac:dyDescent="0.25"/>
    <row r="49" spans="4:6" ht="20" customHeight="1" x14ac:dyDescent="0.25">
      <c r="D49" s="5" t="str" cm="1">
        <f t="array" ref="D49">Wastewater_SourceData.Waste_NitrousOxideEmissionFactorSludgeBiogasFlared_Title()</f>
        <v>Nitrous oxide emission factor for sludge biogas flared</v>
      </c>
    </row>
    <row r="50" spans="4:6" ht="20" customHeight="1" x14ac:dyDescent="0.25">
      <c r="D50" s="4" t="str" cm="1">
        <f t="array" ref="D50">Wastewater_SourceData.Waste_NitrousOxideEmissionFactorSludgeBiogasFlared_Source()</f>
        <v>VEERG 2026: 11.2.3 Constants</v>
      </c>
    </row>
    <row r="51" spans="4:6" ht="20" customHeight="1" x14ac:dyDescent="0.25">
      <c r="D51" s="27" t="str" cm="1">
        <f t="array" ref="D51">Wastewater_SourceData.Waste_NitrousOxideEmissionFactorSludgeBiogasFlared_Variable()</f>
        <v>EFflared,N2O</v>
      </c>
      <c r="E51" s="1" cm="1">
        <f t="array" ref="E51">Wastewater_SourceData.Waste_NitrousOxideEmissionFactorSludgeBiogasFlared_Data()</f>
        <v>1.132E-4</v>
      </c>
      <c r="F51" s="28" t="str" cm="1">
        <f t="array" ref="F51">Wastewater_SourceData.Waste_NitrousOxideEmissionFactorSludgeBiogasFlared_Unit()</f>
        <v>kg N2O / GJ</v>
      </c>
    </row>
    <row r="52" spans="4:6" ht="20" customHeight="1" x14ac:dyDescent="0.25"/>
    <row r="53" spans="4:6" ht="20" customHeight="1" x14ac:dyDescent="0.25"/>
    <row r="54" spans="4:6" ht="20" customHeight="1" x14ac:dyDescent="0.25"/>
    <row r="55" spans="4:6" ht="20" customHeight="1" x14ac:dyDescent="0.25"/>
    <row r="56" spans="4:6" ht="20" customHeight="1" x14ac:dyDescent="0.25"/>
    <row r="57" spans="4:6" ht="20" customHeight="1" x14ac:dyDescent="0.25"/>
    <row r="58" spans="4:6" ht="20" customHeight="1" x14ac:dyDescent="0.25"/>
    <row r="59" spans="4:6" ht="20" customHeight="1" x14ac:dyDescent="0.25"/>
    <row r="60" spans="4:6" ht="20" customHeight="1" x14ac:dyDescent="0.25"/>
    <row r="61" spans="4:6" ht="20" customHeight="1" x14ac:dyDescent="0.25"/>
    <row r="62" spans="4:6" ht="20" customHeight="1" x14ac:dyDescent="0.25"/>
    <row r="63" spans="4:6" ht="20" customHeight="1" x14ac:dyDescent="0.25"/>
    <row r="64" spans="4:6"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069B-11FF-4EB1-8F8A-B2A3A981C26E}">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 customHeight="1" x14ac:dyDescent="0.25">
      <c r="A2"/>
    </row>
    <row r="3" spans="1:65" ht="20"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 customHeight="1" x14ac:dyDescent="0.25">
      <c r="A4"/>
      <c r="BM4" s="2"/>
    </row>
    <row r="5" spans="1:65" ht="20" customHeight="1" x14ac:dyDescent="0.25">
      <c r="A5"/>
      <c r="D5" s="5" t="str" cm="1">
        <f t="array" ref="D5">Common_SourceData.Common_SourceData_AustralianStatesTerritories_Title()</f>
        <v>Australian states and territories</v>
      </c>
      <c r="BM5" s="2"/>
    </row>
    <row r="6" spans="1:65" ht="20" customHeight="1" x14ac:dyDescent="0.25">
      <c r="A6" s="74" t="s">
        <v>1</v>
      </c>
      <c r="D6" s="24" t="s">
        <v>5</v>
      </c>
      <c r="E6" s="24" t="s">
        <v>6</v>
      </c>
      <c r="F6" s="24" t="s">
        <v>7</v>
      </c>
    </row>
    <row r="7" spans="1:65" ht="20" customHeight="1" x14ac:dyDescent="0.25">
      <c r="A7" s="53" t="str">
        <f>HYPERLINK("#'Constants - Common'!A1", "Constants - Common")</f>
        <v>Constants - Common</v>
      </c>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 customHeight="1" x14ac:dyDescent="0.25">
      <c r="A8" s="12" t="str">
        <f>HYPERLINK("#'Acknowledgements'!A1", "Acknowledgements")</f>
        <v>Acknowledgements</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 customHeight="1" x14ac:dyDescent="0.25">
      <c r="A9"/>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 customHeight="1" x14ac:dyDescent="0.25">
      <c r="A12"/>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 customHeight="1" x14ac:dyDescent="0.25">
      <c r="A13"/>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 customHeight="1" x14ac:dyDescent="0.25">
      <c r="A14"/>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5" t="str" cm="1">
        <f t="array" ref="D18">Common_SourceData.Common_SourceData_WASA4Areas_Title()</f>
        <v>ABS Statistcal Areas Level 4 - Western Australia</v>
      </c>
    </row>
    <row r="19" spans="1:4" ht="20" customHeight="1" x14ac:dyDescent="0.25">
      <c r="A19"/>
      <c r="D19" s="4" t="str" cm="1">
        <f t="array" ref="D19">Common_SourceData.Common_SourceData_WASA4Areas_Source()</f>
        <v>Australian Bureau of Statistics (ABS) - Statistical Areas Level 2 - 2021 - Shapefile</v>
      </c>
    </row>
    <row r="20" spans="1:4" ht="20" customHeight="1" x14ac:dyDescent="0.25">
      <c r="A20"/>
      <c r="D20" s="24" t="s">
        <v>8</v>
      </c>
    </row>
    <row r="21" spans="1:4" ht="20" customHeight="1" x14ac:dyDescent="0.25">
      <c r="A21"/>
      <c r="D21" s="24" t="str" cm="1">
        <f t="array" ref="D21">Common_InputFunctions.Utility_DisplayArrayInTable(Common_SourceData.Common_SourceData_WASA4Areas_Data(), Table_WASA4Areas[[#Headers],[SA 4 Name]], 0)</f>
        <v>Bunbury</v>
      </c>
    </row>
    <row r="22" spans="1:4" ht="20" customHeight="1" x14ac:dyDescent="0.25">
      <c r="A22"/>
      <c r="D22" s="24" t="str" cm="1">
        <f t="array" ref="D22">Common_InputFunctions.Utility_DisplayArrayInTable(Common_SourceData.Common_SourceData_WASA4Areas_Data(), Table_WASA4Areas[[#Headers],[SA 4 Name]], 0)</f>
        <v>Mandurah</v>
      </c>
    </row>
    <row r="23" spans="1:4" ht="20" customHeight="1" x14ac:dyDescent="0.25">
      <c r="A23"/>
      <c r="D23" s="24" t="str" cm="1">
        <f t="array" ref="D23">Common_InputFunctions.Utility_DisplayArrayInTable(Common_SourceData.Common_SourceData_WASA4Areas_Data(), Table_WASA4Areas[[#Headers],[SA 4 Name]], 0)</f>
        <v>Perth - Inner</v>
      </c>
    </row>
    <row r="24" spans="1:4" ht="20" customHeight="1" x14ac:dyDescent="0.25">
      <c r="A24"/>
      <c r="D24" s="24" t="str" cm="1">
        <f t="array" ref="D24">Common_InputFunctions.Utility_DisplayArrayInTable(Common_SourceData.Common_SourceData_WASA4Areas_Data(), Table_WASA4Areas[[#Headers],[SA 4 Name]], 0)</f>
        <v>Perth - North East</v>
      </c>
    </row>
    <row r="25" spans="1:4" ht="20" customHeight="1" x14ac:dyDescent="0.25">
      <c r="A25"/>
      <c r="D25" s="24" t="str" cm="1">
        <f t="array" ref="D25">Common_InputFunctions.Utility_DisplayArrayInTable(Common_SourceData.Common_SourceData_WASA4Areas_Data(), Table_WASA4Areas[[#Headers],[SA 4 Name]], 0)</f>
        <v>Perth - North West</v>
      </c>
    </row>
    <row r="26" spans="1:4" ht="20" customHeight="1" x14ac:dyDescent="0.25">
      <c r="A26"/>
      <c r="D26" s="24" t="str" cm="1">
        <f t="array" ref="D26">Common_InputFunctions.Utility_DisplayArrayInTable(Common_SourceData.Common_SourceData_WASA4Areas_Data(), Table_WASA4Areas[[#Headers],[SA 4 Name]], 0)</f>
        <v>Perth - South East</v>
      </c>
    </row>
    <row r="27" spans="1:4" ht="20" customHeight="1" x14ac:dyDescent="0.25">
      <c r="A27"/>
      <c r="D27" s="24" t="str" cm="1">
        <f t="array" ref="D27">Common_InputFunctions.Utility_DisplayArrayInTable(Common_SourceData.Common_SourceData_WASA4Areas_Data(), Table_WASA4Areas[[#Headers],[SA 4 Name]], 0)</f>
        <v>Perth - South West</v>
      </c>
    </row>
    <row r="28" spans="1:4" ht="20" customHeight="1" x14ac:dyDescent="0.25">
      <c r="A28"/>
      <c r="D28" s="24" t="str" cm="1">
        <f t="array" ref="D28">Common_InputFunctions.Utility_DisplayArrayInTable(Common_SourceData.Common_SourceData_WASA4Areas_Data(), Table_WASA4Areas[[#Headers],[SA 4 Name]], 0)</f>
        <v>Western Australia - Wheat Belt</v>
      </c>
    </row>
    <row r="29" spans="1:4" ht="20" customHeight="1" x14ac:dyDescent="0.25">
      <c r="A29"/>
      <c r="D29" s="24" t="str" cm="1">
        <f t="array" ref="D29">Common_InputFunctions.Utility_DisplayArrayInTable(Common_SourceData.Common_SourceData_WASA4Areas_Data(), Table_WASA4Areas[[#Headers],[SA 4 Name]], 0)</f>
        <v>Western Australia - Outback (North)</v>
      </c>
    </row>
    <row r="30" spans="1:4" ht="20" customHeight="1" x14ac:dyDescent="0.25">
      <c r="A30"/>
      <c r="D30" s="24"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5" t="str" cm="1">
        <f t="array" ref="D34">Common_SourceData.Common_SourceData_GWP_Title()</f>
        <v>Global warming potential for greenhouse gases</v>
      </c>
    </row>
    <row r="35" spans="1:8" ht="20" customHeight="1" x14ac:dyDescent="0.25">
      <c r="A35"/>
      <c r="D35" s="4" t="str" cm="1">
        <f t="array" ref="D35">Common_SourceData.Common_SourceData_GWP_Source()</f>
        <v>XXXXXXX</v>
      </c>
    </row>
    <row r="36" spans="1:8" ht="20" customHeight="1" x14ac:dyDescent="0.25">
      <c r="A36"/>
      <c r="D36" s="24" t="s">
        <v>10</v>
      </c>
      <c r="E36" s="24" t="s">
        <v>11</v>
      </c>
    </row>
    <row r="37" spans="1:8" ht="20"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5" t="str" cm="1">
        <f t="array" ref="D45">Common_SourceData.Common_SourceData_ConvertGasElementalToMolecular_Title()</f>
        <v>Factor to convert elemental mass of gas to molecular mass</v>
      </c>
    </row>
    <row r="46" spans="1:8" ht="20" customHeight="1" x14ac:dyDescent="0.25">
      <c r="A46"/>
      <c r="D46" s="4" t="str" cm="1">
        <f t="array" ref="D46">Common_SourceData.Common_SourceData_ConvertGasElementalToMolecular_Source()</f>
        <v>XXXXXXX</v>
      </c>
    </row>
    <row r="47" spans="1:8" ht="20" customHeight="1" x14ac:dyDescent="0.25">
      <c r="A47"/>
      <c r="D47" s="24" t="s">
        <v>10</v>
      </c>
      <c r="E47" s="24" t="s">
        <v>13</v>
      </c>
      <c r="F47" s="24" t="s">
        <v>14</v>
      </c>
      <c r="G47" s="24" t="s">
        <v>15</v>
      </c>
      <c r="H47" s="24" t="s">
        <v>16</v>
      </c>
    </row>
    <row r="48" spans="1:8" ht="20"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5" t="str" cm="1">
        <f t="array" ref="D57">Common_SourceData.Common_SourceData_WetAndDryZones_Title()</f>
        <v>VEERG Australian wet and dry zones</v>
      </c>
    </row>
    <row r="58" spans="1:8" ht="20" customHeight="1" x14ac:dyDescent="0.25">
      <c r="A58"/>
      <c r="D58" s="4" t="str" cm="1">
        <f t="array" ref="D58">Common_SourceData.Common_SourceData_WetAndDryZones_Source()</f>
        <v>VEERG 2026: Table 1.2: Translating climate zones to wet and dry zones</v>
      </c>
    </row>
    <row r="59" spans="1:8" ht="20" customHeight="1" x14ac:dyDescent="0.25">
      <c r="A59"/>
      <c r="D59" s="29" t="str" cm="1">
        <f t="array" ref="D59:D61">"⚠️" &amp; Common_SourceData.Common_SourceData_WetAndDryZones_Variation()</f>
        <v>⚠️VARIATION OF SOURCE DATA:</v>
      </c>
    </row>
    <row r="60" spans="1:8" ht="20" customHeight="1" x14ac:dyDescent="0.25">
      <c r="A60"/>
      <c r="D60" s="29" t="str">
        <v>⚠️Added warm / cool temperate moist / dry - low frost and high temp classes to accommodate climate scenarios excluded by VEERG criteria.</v>
      </c>
    </row>
    <row r="61" spans="1:8" ht="20" customHeight="1" x14ac:dyDescent="0.25">
      <c r="A61"/>
      <c r="D61" s="29" t="str">
        <v>⚠️Fixed typo - Changed 'Fry' to 'Dry'.</v>
      </c>
    </row>
    <row r="62" spans="1:8" ht="20" customHeight="1" x14ac:dyDescent="0.25">
      <c r="A62"/>
    </row>
    <row r="63" spans="1:8" ht="20" customHeight="1" x14ac:dyDescent="0.25">
      <c r="A63"/>
      <c r="D63" s="24" t="s">
        <v>3</v>
      </c>
      <c r="E63" s="24" t="s">
        <v>30</v>
      </c>
    </row>
    <row r="64" spans="1:8" ht="20"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5" t="str" cm="1">
        <f t="array" ref="D81">Common_SourceData.Common_SourceData_ClimateZones_Title()</f>
        <v>VEERG Australian climate zones</v>
      </c>
    </row>
    <row r="82" spans="1:20" ht="20" customHeight="1" x14ac:dyDescent="0.25">
      <c r="A82"/>
      <c r="D82" s="4" t="str" cm="1">
        <f t="array" ref="D82">Common_SourceData.Common_SourceData_ClimateZones_Source()</f>
        <v>VEERG 2026: Table 1.3: Climate and Rainfall zone classifications and definitions</v>
      </c>
    </row>
    <row r="83" spans="1:20" ht="20" customHeight="1" x14ac:dyDescent="0.25">
      <c r="A83"/>
      <c r="D83" s="29" t="str" cm="1">
        <f t="array" ref="D83:D87">"⚠️" &amp; Common_SourceData.Common_SourceData_ClimateZones_Variation()</f>
        <v>⚠️VARIATION OF SOURCE DATA:</v>
      </c>
    </row>
    <row r="84" spans="1:20" ht="20" customHeight="1" x14ac:dyDescent="0.25">
      <c r="A84"/>
      <c r="D84" s="29" t="str">
        <v>⚠️Added warm / cool temperate moist / dry - low frost and high temp classes to accommodate climate scenarios excluded by VEERG criteria.</v>
      </c>
    </row>
    <row r="85" spans="1:20" ht="20" customHeight="1" x14ac:dyDescent="0.25">
      <c r="A85"/>
      <c r="D85" s="29" t="str">
        <v>⚠️Fixed typo in MAT value for warm temperate dry - changed 10 to 11.</v>
      </c>
    </row>
    <row r="86" spans="1:20" ht="20" customHeight="1" x14ac:dyDescent="0.25">
      <c r="A86"/>
      <c r="D86" s="29" t="str">
        <v>⚠️Added min and max columns for MAT, MAP, frost days per year, elevation, MAP:PET to calculate zones from real climate data.</v>
      </c>
    </row>
    <row r="87" spans="1:20" ht="20" customHeight="1" x14ac:dyDescent="0.25">
      <c r="A87"/>
      <c r="D87" s="29" t="str">
        <v>⚠️GAF accepts rainfall as a proxy for precipitation.</v>
      </c>
    </row>
    <row r="88" spans="1:20" ht="20" customHeight="1" x14ac:dyDescent="0.25">
      <c r="A88"/>
    </row>
    <row r="89" spans="1:20" ht="20"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 customHeight="1" x14ac:dyDescent="0.25">
      <c r="A98"/>
    </row>
    <row r="99" spans="1:20" ht="20" customHeight="1" x14ac:dyDescent="0.25">
      <c r="A99"/>
      <c r="D99" s="28" t="str" cm="1">
        <f t="array" ref="D99:D102">Common_SourceData.Common_SourceData_ClimateZones_Appendices()</f>
        <v>Note:</v>
      </c>
    </row>
    <row r="100" spans="1:20" ht="20" customHeight="1" x14ac:dyDescent="0.25">
      <c r="A100"/>
      <c r="D100" s="28" t="str">
        <v>MAT = mean annual temperature</v>
      </c>
    </row>
    <row r="101" spans="1:20" ht="20" customHeight="1" x14ac:dyDescent="0.25">
      <c r="A101"/>
      <c r="D101" s="28" t="str">
        <v>MAP = mean annual precipitation</v>
      </c>
    </row>
    <row r="102" spans="1:20" ht="20" customHeight="1" x14ac:dyDescent="0.25">
      <c r="A102"/>
      <c r="D102" s="28" t="str">
        <v>PET = potential evapotranspiration</v>
      </c>
    </row>
    <row r="103" spans="1:20" ht="20" customHeight="1" x14ac:dyDescent="0.25">
      <c r="A103"/>
      <c r="D103" s="28"/>
    </row>
    <row r="104" spans="1:20" ht="20" customHeight="1" x14ac:dyDescent="0.25">
      <c r="A104"/>
    </row>
    <row r="105" spans="1:20" ht="20" customHeight="1" x14ac:dyDescent="0.25">
      <c r="A105"/>
      <c r="D105" s="5" t="str" cm="1">
        <f t="array" ref="D105">Common_SourceData.Common_SourceData_TemperatureZones_Title()</f>
        <v>VEERG Australian temperature zones</v>
      </c>
    </row>
    <row r="106" spans="1:20" ht="20" customHeight="1" x14ac:dyDescent="0.25">
      <c r="A106"/>
      <c r="D106" s="4" t="str" cm="1">
        <f t="array" ref="D106">Common_SourceData.Common_SourceData_TemperatureZones_Source()</f>
        <v>VEERG 2026: Table 1.3: Climate and Rainfall zone classifications and definitions</v>
      </c>
    </row>
    <row r="107" spans="1:20" ht="20"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4" t="s">
        <v>35</v>
      </c>
      <c r="E109" s="24" t="s">
        <v>18</v>
      </c>
      <c r="F109" s="24" t="s">
        <v>36</v>
      </c>
      <c r="G109" s="24" t="s">
        <v>37</v>
      </c>
    </row>
    <row r="110" spans="1:20" ht="20"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5" t="str" cm="1">
        <f t="array" ref="D115">Common_SourceData.Common_SourceData_RainfallZones_Title()</f>
        <v>VEERG Australian rainfall zones</v>
      </c>
      <c r="BN115" s="6"/>
    </row>
    <row r="116" spans="1:66" ht="20" customHeight="1" x14ac:dyDescent="0.25">
      <c r="A116"/>
      <c r="D116" s="4" t="str" cm="1">
        <f t="array" ref="D116">Common_SourceData.Common_SourceData_RainfallZones_Source()</f>
        <v>VEERG 2026: Table 1.3: Climate and Rainfall zone classifications and definitions</v>
      </c>
      <c r="BN116" s="6"/>
    </row>
    <row r="117" spans="1:66" ht="20"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 customHeight="1" x14ac:dyDescent="0.25">
      <c r="A118"/>
      <c r="BN118" s="6"/>
    </row>
    <row r="119" spans="1:66" ht="20" customHeight="1" x14ac:dyDescent="0.25">
      <c r="A119"/>
      <c r="D119" s="24" t="s">
        <v>38</v>
      </c>
      <c r="E119" s="24" t="s">
        <v>39</v>
      </c>
      <c r="F119" s="24" t="s">
        <v>25</v>
      </c>
      <c r="G119" s="24" t="s">
        <v>26</v>
      </c>
      <c r="BN119" s="6"/>
    </row>
    <row r="120" spans="1:66" ht="20"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 customHeight="1" x14ac:dyDescent="0.25">
      <c r="A122"/>
      <c r="BN122" s="6"/>
    </row>
    <row r="123" spans="1:66" ht="20" customHeight="1" x14ac:dyDescent="0.25">
      <c r="A123"/>
    </row>
    <row r="124" spans="1:66" ht="20" customHeight="1" x14ac:dyDescent="0.25">
      <c r="A124"/>
      <c r="D124" s="5" t="str" cm="1">
        <f t="array" ref="D124">Common_SourceData.Common_SourceData_LeachingZones_Title()</f>
        <v>VEERG Australian leaching zones</v>
      </c>
    </row>
    <row r="125" spans="1:66" ht="20" customHeight="1" x14ac:dyDescent="0.25">
      <c r="A125"/>
      <c r="D125" s="4"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4" t="s">
        <v>40</v>
      </c>
      <c r="E127" s="24" t="s">
        <v>41</v>
      </c>
    </row>
    <row r="128" spans="1:66" ht="20"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5" t="str" cm="1">
        <f t="array" ref="D132">Common_SourceData.Common_SourceData_FracWET_Title()</f>
        <v>Fraction of N that is available for leaching and runoff</v>
      </c>
      <c r="E132" s="16"/>
    </row>
    <row r="133" spans="1:77" ht="20" customHeight="1" x14ac:dyDescent="0.25">
      <c r="A133"/>
      <c r="D133" s="4" t="str" cm="1">
        <f t="array" ref="D133">Common_SourceData.Common_SourceData_FracWET_Source()</f>
        <v>VEERG 2026:5.5.2.3 Constant Parameters</v>
      </c>
      <c r="E133" s="16"/>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6"/>
      <c r="BO138" s="6"/>
      <c r="BP138" s="6"/>
      <c r="BQ138" s="6"/>
      <c r="BR138" s="6"/>
      <c r="BS138" s="6"/>
      <c r="BT138" s="6"/>
      <c r="BU138" s="6"/>
      <c r="BV138" s="6"/>
      <c r="BW138" s="6"/>
      <c r="BX138" s="6"/>
      <c r="BY138" s="6"/>
    </row>
    <row r="139" spans="1:77" ht="20"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 customHeight="1" x14ac:dyDescent="0.25">
      <c r="A142"/>
      <c r="D142" s="24" t="s">
        <v>56</v>
      </c>
      <c r="E142" s="24" t="s">
        <v>47</v>
      </c>
      <c r="BN142" s="6"/>
    </row>
    <row r="143" spans="1:77" ht="20"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 customHeight="1" x14ac:dyDescent="0.25">
      <c r="A148"/>
      <c r="BN148" s="6"/>
    </row>
    <row r="149" spans="1:66" ht="20" customHeight="1" x14ac:dyDescent="0.25">
      <c r="A149"/>
      <c r="BN149" s="6"/>
    </row>
    <row r="150" spans="1:66" ht="20" customHeight="1" x14ac:dyDescent="0.25">
      <c r="A150"/>
      <c r="D150" s="5" t="str" cm="1">
        <f t="array" ref="D150">Common_SourceData.Common_SourceData_DataScores_Scope3_Title()</f>
        <v>Australian data scores for scope 3</v>
      </c>
      <c r="BN150" s="6"/>
    </row>
    <row r="151" spans="1:66" ht="20" customHeight="1" x14ac:dyDescent="0.25">
      <c r="A151"/>
      <c r="D151" s="4" t="str" cm="1">
        <f t="array" ref="D151">Common_SourceData.Common_SourceData_DataScores_Scope3_Source()</f>
        <v>VEERG 2026: XXXXXXXX</v>
      </c>
      <c r="BN151" s="6"/>
    </row>
    <row r="152" spans="1:66" ht="20" customHeight="1" x14ac:dyDescent="0.25">
      <c r="A152"/>
      <c r="BN152" s="6"/>
    </row>
    <row r="153" spans="1:66" ht="20" customHeight="1" x14ac:dyDescent="0.25">
      <c r="A153"/>
      <c r="D153" s="24" t="s">
        <v>42</v>
      </c>
      <c r="E153" s="24" t="s">
        <v>43</v>
      </c>
      <c r="BC153" s="2"/>
      <c r="BD153" s="2"/>
      <c r="BE153" s="2"/>
      <c r="BF153" s="2"/>
      <c r="BG153" s="2"/>
      <c r="BH153" s="2"/>
      <c r="BI153" s="2"/>
      <c r="BJ153" s="2"/>
      <c r="BK153" s="2"/>
      <c r="BL153" s="2"/>
      <c r="BM153" s="2"/>
    </row>
    <row r="154" spans="1:66" ht="20"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5" t="str" cm="1">
        <f t="array" ref="D161">Common_SourceData.Common_SourceData_FracLEACH_Title()</f>
        <v>Fraction of N that is available for leaching and runoff</v>
      </c>
      <c r="E161" s="16"/>
    </row>
    <row r="162" spans="4:68" ht="20" customHeight="1" x14ac:dyDescent="0.25">
      <c r="D162" s="4" t="str" cm="1">
        <f t="array" ref="D162">Common_SourceData.Common_SourceData_FracLEACH_Source()</f>
        <v>VEERG 2026:5.5.2.3 Constant Parameters</v>
      </c>
      <c r="E162" s="16"/>
    </row>
    <row r="163" spans="4:68" ht="20" customHeight="1" x14ac:dyDescent="0.25">
      <c r="D163" s="4" t="str" cm="1">
        <f t="array" ref="D163">Common_SourceData.Common_SourceData_FracLEACH_NIRReference()</f>
        <v>National Inventory Report Volume 1: Leaching and runoff (3.D.b.2)</v>
      </c>
      <c r="E163" s="16"/>
    </row>
    <row r="164" spans="4:68" ht="20" customHeight="1" x14ac:dyDescent="0.25">
      <c r="D164" s="16" t="str" cm="1">
        <f t="array" ref="D164:E164">Common_SourceData.Common_SourceData_FracLEACH_Data()</f>
        <v>FracLEACH</v>
      </c>
      <c r="E164" s="16">
        <v>0.24</v>
      </c>
    </row>
    <row r="165" spans="4:68" ht="20" customHeight="1" x14ac:dyDescent="0.25">
      <c r="BN165" s="6"/>
      <c r="BO165" s="6"/>
      <c r="BP165" s="6"/>
    </row>
    <row r="166" spans="4:68" ht="20" customHeight="1" x14ac:dyDescent="0.25">
      <c r="BN166" s="6"/>
      <c r="BO166" s="6"/>
      <c r="BP166" s="6"/>
    </row>
    <row r="167" spans="4:68" ht="20" customHeight="1" x14ac:dyDescent="0.25">
      <c r="D167" s="5" t="str" cm="1">
        <f t="array" ref="D167">Common_SourceData.Common_SourceData_EFleach_Title()</f>
        <v>Emission factor for nitrogen leaching and runoff</v>
      </c>
      <c r="BN167" s="6"/>
      <c r="BO167" s="6"/>
      <c r="BP167" s="6"/>
    </row>
    <row r="168" spans="4:68" ht="20" customHeight="1" x14ac:dyDescent="0.25">
      <c r="D168" s="4" t="str" cm="1">
        <f t="array" ref="D168">Common_SourceData.Common_SourceData_EFleach_Source()</f>
        <v>VEERG 2026:5.5.2.3 Constant Parameters</v>
      </c>
      <c r="BN168" s="6"/>
      <c r="BO168" s="6"/>
      <c r="BP168" s="6"/>
    </row>
    <row r="169" spans="4:68" ht="20" customHeight="1" x14ac:dyDescent="0.25">
      <c r="D169" s="4" t="str" cm="1">
        <f t="array" ref="D169">Common_SourceData.Common_SourceData_EFleach_NIRReference()</f>
        <v>National Inventory Report Volume 1: Equation 3.D.B_10</v>
      </c>
      <c r="BN169" s="6"/>
      <c r="BO169" s="6"/>
      <c r="BP169" s="6"/>
    </row>
    <row r="170" spans="4:68" ht="20" customHeight="1" x14ac:dyDescent="0.25">
      <c r="D170" s="1" t="str" cm="1">
        <f t="array" ref="D170:E170">Common_SourceData.Common_SourceData_EFleach_Data()</f>
        <v>EFleach</v>
      </c>
      <c r="E170" s="1">
        <v>1.0999999999999999E-2</v>
      </c>
      <c r="BN170" s="6"/>
      <c r="BO170" s="6"/>
      <c r="BP170" s="6"/>
    </row>
    <row r="171" spans="4:68" ht="20" customHeight="1" x14ac:dyDescent="0.25">
      <c r="BN171" s="6"/>
      <c r="BO171" s="6"/>
      <c r="BP171" s="6"/>
    </row>
    <row r="172" spans="4:68" ht="20" customHeight="1" x14ac:dyDescent="0.25">
      <c r="BN172" s="6"/>
      <c r="BO172" s="6"/>
      <c r="BP172" s="6"/>
    </row>
    <row r="173" spans="4:68" ht="20" customHeight="1" x14ac:dyDescent="0.25">
      <c r="D173" s="5" t="str" cm="1">
        <f t="array" ref="D173">Common_SourceData.Common_SourceData_DensityOfMethane_Title()</f>
        <v>p = density of methane</v>
      </c>
      <c r="BN173" s="6"/>
      <c r="BO173" s="6"/>
      <c r="BP173" s="6"/>
    </row>
    <row r="174" spans="4:68" ht="20" customHeight="1" x14ac:dyDescent="0.25">
      <c r="D174" s="4" t="str" cm="1">
        <f t="array" ref="D174">Common_SourceData.Common_SourceData_DensityOfMethane_Source()</f>
        <v>National Inventory Report 2023 Volume 1: Equations 3.B.1a_2, 3.B.1c_2, 3.B.3_1, 3.B.4g_2</v>
      </c>
      <c r="BN174" s="6"/>
      <c r="BO174" s="6"/>
      <c r="BP174" s="6"/>
    </row>
    <row r="175" spans="4:68" ht="20"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 customHeight="1" x14ac:dyDescent="0.25">
      <c r="BN176" s="6"/>
      <c r="BO176" s="6"/>
      <c r="BP176" s="6"/>
    </row>
    <row r="177" spans="4:68" ht="20" customHeight="1" x14ac:dyDescent="0.25">
      <c r="BN177" s="6"/>
      <c r="BO177" s="6"/>
      <c r="BP177" s="6"/>
    </row>
    <row r="178" spans="4:68" ht="20" customHeight="1" x14ac:dyDescent="0.25">
      <c r="D178" s="5" t="str" cm="1">
        <f t="array" ref="D178">Common_SourceData.Common_SourceData_EFN2O_Title()</f>
        <v>Nitrous oxide emission factors for inorganic fertiliser application</v>
      </c>
      <c r="BN178" s="6"/>
      <c r="BO178" s="6"/>
      <c r="BP178" s="6"/>
    </row>
    <row r="179" spans="4:68" ht="20" customHeight="1" x14ac:dyDescent="0.25">
      <c r="D179" s="4" t="str" cm="1">
        <f t="array" ref="D179">Common_SourceData.Common_SourceData_EFN2O_Source()</f>
        <v>VEERG 2026: Table A.2.2.1</v>
      </c>
      <c r="BN179" s="6"/>
      <c r="BO179" s="6"/>
      <c r="BP179" s="6"/>
    </row>
    <row r="180" spans="4:68" ht="20" customHeight="1" x14ac:dyDescent="0.25">
      <c r="D180" s="28" t="str" cm="1">
        <f t="array" ref="D180">Common_SourceData.Common_SourceData_EFN2O_Unit()</f>
        <v>(kg N2O-N / kg N</v>
      </c>
    </row>
    <row r="181" spans="4:68" ht="20" customHeight="1" x14ac:dyDescent="0.25">
      <c r="D181" s="29" t="str" cm="1">
        <f t="array" ref="D181:D185">Common_SourceData.Common_SourceData_EFN2O_Variation()</f>
        <v>VARIATION OF SOURCE DATA:</v>
      </c>
    </row>
    <row r="182" spans="4:68" ht="20" customHeight="1" x14ac:dyDescent="0.25">
      <c r="D182" s="29" t="str">
        <v>Removed duplicate 'Aquaculture' row.</v>
      </c>
    </row>
    <row r="183" spans="4:68" ht="20" customHeight="1" x14ac:dyDescent="0.25">
      <c r="D183" s="29" t="str">
        <v>Removed asterisks to aid lookup.</v>
      </c>
    </row>
    <row r="184" spans="4:68" ht="20" customHeight="1" x14ac:dyDescent="0.25">
      <c r="D184" s="29" t="str">
        <v>Added 'production system only', 'rainfall zone' and 'irrigation method' columns to aid lookup.</v>
      </c>
    </row>
    <row r="185" spans="4:68" ht="20" customHeight="1" x14ac:dyDescent="0.25">
      <c r="D185" s="29" t="str">
        <v>Duplicated 'non-irrigated pasture' row with same EF for low and high rainfall zones to aid lookup.</v>
      </c>
    </row>
    <row r="186" spans="4:68" ht="20" customHeight="1" x14ac:dyDescent="0.25">
      <c r="D186" s="24" t="s">
        <v>50</v>
      </c>
      <c r="E186" s="24" t="s">
        <v>51</v>
      </c>
      <c r="F186" s="24" t="s">
        <v>52</v>
      </c>
      <c r="G186" s="24" t="s">
        <v>53</v>
      </c>
      <c r="H186" s="24" t="s">
        <v>17</v>
      </c>
    </row>
    <row r="187" spans="4:68" ht="20"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ht="20" customHeight="1">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ht="20" customHeight="1">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ht="20" customHeight="1">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0" x14ac:dyDescent="0.25" customHeight="1">
      <c r="D202" s="5" t="str" cm="1">
        <f t="array" ref="D202">Common_SourceData.Common_SourceData_EFPastureRangeAndPaddock_Title()</f>
        <v>Emission factor for urine and dung deposited on pasture, range or paddock</v>
      </c>
    </row>
    <row r="203" spans="4:8" x14ac:dyDescent="0.25" ht="20" customHeight="1">
      <c r="D203" s="4" t="str" cm="1">
        <f t="array" ref="D203">Common_SourceData.Common_SourceData_EFPastureRangeAndPaddock_Source()</f>
        <v>VEERG 2026: Table A.2.2.2</v>
      </c>
    </row>
    <row r="204" spans="4:8" x14ac:dyDescent="0.25" ht="20" customHeight="1">
      <c r="D204" s="29" t="str" cm="1">
        <f t="array" ref="D204">Common_SourceData.Common_SourceData_EFPastureRangeAndPaddock_Variation()</f>
        <v>VARIATION FROM SOURCE DATA: Changed 'Dry climate zones' to singular 'Dry climate zone' to aid lookup.</v>
      </c>
    </row>
    <row r="205" spans="4:8" x14ac:dyDescent="0.25" ht="20" customHeight="1">
      <c r="D205" s="28" t="str" cm="1">
        <f t="array" ref="D205">Common_SourceData.Common_SourceData_EFPastureRangeAndPaddock_Unit()</f>
        <v>kg N2O - N / kg N</v>
      </c>
    </row>
    <row r="206" spans="4:8" x14ac:dyDescent="0.25" ht="20" customHeight="1">
      <c r="D206" s="24" t="s">
        <v>3</v>
      </c>
      <c r="E206" s="24" t="s">
        <v>58</v>
      </c>
    </row>
    <row r="207" spans="4:8" x14ac:dyDescent="0.25" ht="20" customHeight="1">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4" t="s">
        <v>55</v>
      </c>
      <c r="E212" s="24" t="s">
        <v>61</v>
      </c>
    </row>
    <row r="213" spans="4:5" x14ac:dyDescent="0.25" ht="20" customHeight="1">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0" x14ac:dyDescent="0.25" customHeight="1">
      <c r="D227" s="5" t="str" cm="1">
        <f t="array" ref="D227">Common_SourceData.Common_SourceData_MCFTemperatureZone_Title()</f>
        <v>Manure Management – Methane conversion factor per temperature zone (fraction) (MCFim)</v>
      </c>
    </row>
    <row r="228" spans="4:19" x14ac:dyDescent="0.25" ht="20" customHeight="1">
      <c r="D228" s="4" t="str" cm="1">
        <f t="array" ref="D228">Common_SourceData.Common_SourceData_MCFTemperatureZone_Source()</f>
        <v>VEERG 2026: Table A.1.8.1</v>
      </c>
    </row>
    <row r="229" spans="4:19" x14ac:dyDescent="0.25" ht="20" customHeight="1">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4" t="s">
        <v>34</v>
      </c>
      <c r="E231" s="24" t="s">
        <v>69</v>
      </c>
      <c r="F231" s="23" t="s">
        <v>70</v>
      </c>
      <c r="G231" s="24" t="s">
        <v>65</v>
      </c>
      <c r="H231" s="24" t="s">
        <v>71</v>
      </c>
      <c r="I231" s="24" t="s">
        <v>72</v>
      </c>
      <c r="J231" s="24" t="s">
        <v>64</v>
      </c>
      <c r="K231" s="24" t="s">
        <v>63</v>
      </c>
      <c r="L231" s="24" t="s">
        <v>73</v>
      </c>
      <c r="M231" s="24" t="s">
        <v>74</v>
      </c>
      <c r="N231" s="24" t="s">
        <v>62</v>
      </c>
      <c r="O231" s="24" t="s">
        <v>75</v>
      </c>
      <c r="P231" s="24" t="s">
        <v>67</v>
      </c>
      <c r="Q231" s="24" t="s">
        <v>68</v>
      </c>
      <c r="R231" s="24" t="s">
        <v>66</v>
      </c>
      <c r="S231" s="24" t="s">
        <v>76</v>
      </c>
    </row>
    <row r="232" spans="4:19" x14ac:dyDescent="0.25" ht="20" customHeight="1">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0" x14ac:dyDescent="0.25" customHeight="1">
      <c r="D253" s="5" t="str" cm="1">
        <f t="array" ref="D253">Common_SourceData.Common_SourceData_EFOrganicFertiliserAndCropResidues_Title()</f>
        <v>Emission factor for organic fertiliser and crop residues returned to the soil</v>
      </c>
    </row>
    <row r="254" spans="4:19" x14ac:dyDescent="0.25" ht="20" customHeight="1">
      <c r="D254" s="4"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28" t="str" cm="1">
        <f t="array" ref="D256">Common_SourceData.Common_SourceData_EFOrganicFertiliserAndCropResidues_Unit()</f>
        <v>kg N2O - N / kg N</v>
      </c>
    </row>
    <row r="257" spans="4:6" x14ac:dyDescent="0.25" ht="20" customHeight="1">
      <c r="D257" s="24" t="s">
        <v>77</v>
      </c>
      <c r="E257" s="24" t="s">
        <v>78</v>
      </c>
    </row>
    <row r="258" spans="4:6" x14ac:dyDescent="0.25" ht="20" customHeight="1">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5" t="s">
        <v>132</v>
      </c>
    </row>
    <row r="264" spans="4:6" x14ac:dyDescent="0.25" ht="20" customHeight="1">
      <c r="D264" s="1" t="s">
        <v>133</v>
      </c>
    </row>
    <row r="265" spans="4:6" x14ac:dyDescent="0.25" ht="20" customHeight="1">
      <c r="D265" s="24" t="s">
        <v>134</v>
      </c>
      <c r="E265" s="24" t="s">
        <v>135</v>
      </c>
      <c r="F265" s="24" t="s">
        <v>136</v>
      </c>
    </row>
    <row r="266" spans="4:6" x14ac:dyDescent="0.25" ht="20" customHeight="1">
      <c r="D266" s="24" t="s">
        <v>137</v>
      </c>
      <c r="E266" s="24" t="s">
        <v>138</v>
      </c>
      <c r="F266" s="24">
        <v>5</v>
      </c>
    </row>
    <row r="267" spans="4:6" x14ac:dyDescent="0.25" ht="20" customHeight="1">
      <c r="D267" s="24" t="s">
        <v>139</v>
      </c>
      <c r="E267" s="24" t="s">
        <v>140</v>
      </c>
      <c r="F267" s="24">
        <v>4</v>
      </c>
    </row>
    <row r="268" spans="4:6" x14ac:dyDescent="0.25" ht="20" customHeight="1">
      <c r="D268" s="24" t="s">
        <v>141</v>
      </c>
      <c r="E268" s="24" t="s">
        <v>142</v>
      </c>
      <c r="F268" s="24">
        <v>3</v>
      </c>
    </row>
    <row r="269" spans="4:6" x14ac:dyDescent="0.25" ht="20" customHeight="1">
      <c r="D269" s="24" t="s">
        <v>143</v>
      </c>
      <c r="E269" s="24" t="s">
        <v>144</v>
      </c>
      <c r="F269" s="24">
        <v>2</v>
      </c>
    </row>
    <row r="270" spans="4:6" x14ac:dyDescent="0.25" ht="20" customHeight="1">
      <c r="D270" s="24" t="s">
        <v>145</v>
      </c>
      <c r="E270" s="24" t="s">
        <v>146</v>
      </c>
      <c r="F270" s="24">
        <v>1</v>
      </c>
    </row>
    <row r="273" spans="4:6" x14ac:dyDescent="0.25" ht="20" customHeight="1">
      <c r="D273" s="1" t="s">
        <v>147</v>
      </c>
    </row>
    <row r="274" spans="4:6" x14ac:dyDescent="0.25" ht="20" customHeight="1">
      <c r="D274" s="24" t="s">
        <v>134</v>
      </c>
      <c r="E274" s="24" t="s">
        <v>135</v>
      </c>
      <c r="F274" s="24" t="s">
        <v>136</v>
      </c>
    </row>
    <row r="275" spans="4:6" x14ac:dyDescent="0.25" ht="20" customHeight="1">
      <c r="D275" s="24" t="s">
        <v>148</v>
      </c>
      <c r="E275" s="24" t="s">
        <v>149</v>
      </c>
      <c r="F275" s="24">
        <v>5</v>
      </c>
    </row>
    <row r="276" spans="4:6" x14ac:dyDescent="0.25" ht="20" customHeight="1">
      <c r="D276" s="24" t="s">
        <v>150</v>
      </c>
      <c r="E276" s="24" t="s">
        <v>151</v>
      </c>
      <c r="F276" s="24">
        <v>4</v>
      </c>
    </row>
    <row r="277" spans="4:6" x14ac:dyDescent="0.25" ht="20" customHeight="1">
      <c r="D277" s="24" t="s">
        <v>152</v>
      </c>
      <c r="E277" s="24" t="s">
        <v>153</v>
      </c>
      <c r="F277" s="24">
        <v>3</v>
      </c>
    </row>
    <row r="278" spans="4:6" x14ac:dyDescent="0.25" ht="20" customHeight="1">
      <c r="D278" s="24" t="s">
        <v>154</v>
      </c>
      <c r="E278" s="24" t="s">
        <v>155</v>
      </c>
      <c r="F278" s="24">
        <v>2</v>
      </c>
    </row>
    <row r="279" spans="4:6" x14ac:dyDescent="0.25" ht="20" customHeight="1">
      <c r="D279" s="24" t="s">
        <v>156</v>
      </c>
      <c r="E279" s="24" t="s">
        <v>157</v>
      </c>
      <c r="F279" s="24">
        <v>1</v>
      </c>
    </row>
    <row r="282" spans="4:6" x14ac:dyDescent="0.25" ht="20" customHeight="1">
      <c r="D282" s="1" t="s">
        <v>158</v>
      </c>
    </row>
    <row r="283" spans="4:6" x14ac:dyDescent="0.25" ht="20" customHeight="1">
      <c r="D283" s="24" t="s">
        <v>134</v>
      </c>
      <c r="E283" s="24" t="s">
        <v>135</v>
      </c>
      <c r="F283" s="24" t="s">
        <v>136</v>
      </c>
    </row>
    <row r="284" spans="4:6" x14ac:dyDescent="0.25" ht="20" customHeight="1">
      <c r="D284" s="24" t="s">
        <v>159</v>
      </c>
      <c r="E284" s="24" t="s">
        <v>160</v>
      </c>
      <c r="F284" s="24">
        <v>5</v>
      </c>
    </row>
    <row r="285" spans="4:6" x14ac:dyDescent="0.25" ht="20" customHeight="1">
      <c r="D285" s="24" t="s">
        <v>161</v>
      </c>
      <c r="E285" s="24" t="s">
        <v>162</v>
      </c>
      <c r="F285" s="24">
        <v>4</v>
      </c>
    </row>
    <row r="286" spans="4:6" x14ac:dyDescent="0.25" ht="20" customHeight="1">
      <c r="D286" s="24" t="s">
        <v>163</v>
      </c>
      <c r="E286" s="24" t="s">
        <v>164</v>
      </c>
      <c r="F286" s="24">
        <v>3</v>
      </c>
    </row>
    <row r="287" spans="4:6" x14ac:dyDescent="0.25" ht="20" customHeight="1">
      <c r="D287" s="24" t="s">
        <v>165</v>
      </c>
      <c r="E287" s="24" t="s">
        <v>166</v>
      </c>
      <c r="F287" s="24">
        <v>2</v>
      </c>
    </row>
    <row r="288" spans="4:6" x14ac:dyDescent="0.25" ht="20" customHeight="1">
      <c r="D288" s="24" t="s">
        <v>167</v>
      </c>
      <c r="E288" s="24" t="s">
        <v>168</v>
      </c>
      <c r="F288" s="24">
        <v>1</v>
      </c>
    </row>
    <row r="291" spans="4:6" x14ac:dyDescent="0.25" ht="20" customHeight="1">
      <c r="D291" s="1" t="s">
        <v>169</v>
      </c>
    </row>
    <row r="292" spans="4:6" x14ac:dyDescent="0.25" ht="20" customHeight="1">
      <c r="D292" s="24" t="s">
        <v>134</v>
      </c>
      <c r="E292" s="24" t="s">
        <v>135</v>
      </c>
      <c r="F292" s="24" t="s">
        <v>136</v>
      </c>
    </row>
    <row r="293" spans="4:6" x14ac:dyDescent="0.25" ht="20" customHeight="1">
      <c r="D293" s="24" t="s">
        <v>170</v>
      </c>
      <c r="E293" s="24" t="s">
        <v>171</v>
      </c>
      <c r="F293" s="24">
        <v>5</v>
      </c>
    </row>
    <row r="294" spans="4:6" x14ac:dyDescent="0.25" ht="20" customHeight="1">
      <c r="D294" s="24" t="s">
        <v>172</v>
      </c>
      <c r="E294" s="24" t="s">
        <v>173</v>
      </c>
      <c r="F294" s="24">
        <v>4</v>
      </c>
    </row>
    <row r="295" spans="4:6" x14ac:dyDescent="0.25" ht="20" customHeight="1">
      <c r="D295" s="24" t="s">
        <v>174</v>
      </c>
      <c r="E295" s="24" t="s">
        <v>175</v>
      </c>
      <c r="F295" s="24">
        <v>3</v>
      </c>
    </row>
    <row r="296" spans="4:6" x14ac:dyDescent="0.25" ht="20" customHeight="1">
      <c r="D296" s="24" t="s">
        <v>176</v>
      </c>
      <c r="E296" s="24" t="s">
        <v>177</v>
      </c>
      <c r="F296" s="24">
        <v>2</v>
      </c>
    </row>
    <row r="297" spans="4:6" x14ac:dyDescent="0.25" ht="20" customHeight="1">
      <c r="D297" s="24" t="s">
        <v>178</v>
      </c>
      <c r="E297" s="24" t="s">
        <v>179</v>
      </c>
      <c r="F297" s="2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Waste_EnergyContentFactorSludgeBiogasFlared_Data</vt:lpstr>
      <vt:lpstr>Waste_MethaneEmissionFactorSludge_Data</vt:lpstr>
      <vt:lpstr>Waste_MethaneEmissionFactorSludgeBiogasFlared_Data</vt:lpstr>
      <vt:lpstr>Waste_MethaneEmissionFactorWastewater_Data</vt:lpstr>
      <vt:lpstr>Waste_NitrousOxideEmissionFactorSludgeBiogasFlared_Data</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2026-09-02T17:26:59; rename=True resize=True scope=all</vt:lpwstr>
  </property>
</Properties>
</file>