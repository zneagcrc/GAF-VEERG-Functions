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1F40557-3C2A-4A41-9682-8F4E3AF8FC2C}" xr6:coauthVersionLast="47" xr6:coauthVersionMax="47" xr10:uidLastSave="{00000000-0000-0000-0000-000000000000}"/>
  <bookViews>
    <workbookView xWindow="1830" yWindow="375" windowWidth="36330" windowHeight="19485" firstSheet="1" activeTab="8"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6" r:id="rId11"/>
    <sheet name="Constants - Common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Feedlot_GrazingIrrigationMethod">'Input - Feedlot'!$E$46</definedName>
    <definedName name="X_Cell_Feedlot_GrazingProductionSystem">'Input - Feedlot'!$E$45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Feedlot_HerdMovement">'Input - Feedlot'!$D$7:$G$9</definedName>
    <definedName name="X_Table_Feedlot_Intake_Method1">'Input - Feedlot'!$D$13:$G$19</definedName>
    <definedName name="X_Table_Feedlot_Intake_Method2">'Input - Feedlot'!$D$21:$G$27</definedName>
    <definedName name="X_Table_Feedlot_MMS_Stage1">'Input - Feedlot'!$D$31:$G$32</definedName>
    <definedName name="X_Table_Feedlot_MMS_Stage2">'Input - Feedlot'!$D$34:$G$38</definedName>
    <definedName name="X_Table_Feedlot_MMS_Stage2_Destinations">'Input - Feedlot'!$I$34:$K$38</definedName>
    <definedName name="X_Table_Feedlot_MMS_Stage3">'Input - Feedlot'!$D$40:$G$42</definedName>
    <definedName name="X_Table_Feedlot_MMS_Stage3_Destinations">'Input - Feedlot'!$I$40:$K$42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3" i="82" l="1"/>
  <c r="A23" i="74"/>
  <c r="A23" i="43"/>
  <c r="A23" i="79"/>
  <c r="A23" i="81"/>
  <c r="A23" i="82"/>
  <c r="A23" i="76"/>
  <c r="A23" i="69"/>
  <c r="A23" i="70"/>
  <c r="A23" i="15"/>
  <c r="A23" i="13"/>
  <c r="A23" i="100"/>
  <c r="D9" i="70"/>
  <c r="D8" i="70"/>
  <c r="A8" i="72"/>
  <c r="A7" i="72"/>
  <c r="A3" i="72"/>
  <c r="G29" i="79"/>
  <c r="G28" i="79"/>
  <c r="P68" i="82"/>
  <c r="G68" i="82"/>
  <c r="I60" i="82"/>
  <c r="R215" i="76"/>
  <c r="G215" i="76"/>
  <c r="I190" i="76"/>
  <c r="P174" i="69"/>
  <c r="G174" i="69"/>
  <c r="I115" i="69"/>
  <c r="I75" i="69"/>
  <c r="R47" i="69"/>
  <c r="I47" i="69"/>
  <c r="E33" i="15"/>
  <c r="E32" i="15"/>
  <c r="E31" i="15"/>
  <c r="E30" i="15"/>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c r="D45" i="106" a="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c r="D35" i="106" a="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c r="D5" i="106" a="1"/>
  <c r="A3" i="106"/>
  <c r="A8" i="71"/>
  <c r="A7" i="71"/>
  <c r="A3" i="71"/>
  <c r="E29" i="15"/>
  <c r="E13" i="15"/>
  <c r="A25" i="74"/>
  <c r="A24" i="74"/>
  <c r="A22" i="74"/>
  <c r="A21" i="74"/>
  <c r="A17" i="74"/>
  <c r="A16" i="74"/>
  <c r="A15" i="74"/>
  <c r="A14" i="74"/>
  <c r="A10" i="74"/>
  <c r="A9" i="74"/>
  <c r="A5" i="74"/>
  <c r="A4" i="74"/>
  <c r="A3" i="74"/>
  <c r="A25" i="43"/>
  <c r="A24" i="43"/>
  <c r="A22" i="43"/>
  <c r="A21" i="43"/>
  <c r="A17" i="43"/>
  <c r="A16" i="43"/>
  <c r="A15" i="43"/>
  <c r="A14" i="43"/>
  <c r="A10" i="43"/>
  <c r="A9" i="43"/>
  <c r="A5" i="43"/>
  <c r="A4" i="43"/>
  <c r="A3" i="43"/>
  <c r="A25" i="79"/>
  <c r="A24" i="79"/>
  <c r="A22" i="79"/>
  <c r="A21" i="79"/>
  <c r="A17" i="79"/>
  <c r="A16" i="79"/>
  <c r="A15" i="79"/>
  <c r="A14" i="79"/>
  <c r="A10" i="79"/>
  <c r="A9" i="79"/>
  <c r="A5" i="79"/>
  <c r="A4" i="79"/>
  <c r="A3" i="79"/>
  <c r="A25" i="81"/>
  <c r="A24" i="81"/>
  <c r="A22" i="81"/>
  <c r="A21" i="81"/>
  <c r="A17" i="81"/>
  <c r="A16" i="81"/>
  <c r="A15" i="81"/>
  <c r="A14" i="81"/>
  <c r="A10" i="81"/>
  <c r="A9" i="81"/>
  <c r="A5" i="81"/>
  <c r="A4" i="81"/>
  <c r="A3" i="81"/>
  <c r="A25" i="82"/>
  <c r="A24" i="82"/>
  <c r="A22" i="82"/>
  <c r="A21" i="82"/>
  <c r="A17" i="82"/>
  <c r="A16" i="82"/>
  <c r="A15" i="82"/>
  <c r="A14" i="82"/>
  <c r="A10" i="82"/>
  <c r="A9" i="82"/>
  <c r="A5" i="82"/>
  <c r="A4" i="82"/>
  <c r="A3" i="82"/>
  <c r="A25" i="76"/>
  <c r="A24" i="76"/>
  <c r="A22" i="76"/>
  <c r="A21" i="76"/>
  <c r="A17" i="76"/>
  <c r="A16" i="76"/>
  <c r="A15" i="76"/>
  <c r="A14" i="76"/>
  <c r="A10" i="76"/>
  <c r="A9" i="76"/>
  <c r="A5" i="76"/>
  <c r="A4" i="76"/>
  <c r="A3" i="76"/>
  <c r="A25" i="69"/>
  <c r="A24" i="69"/>
  <c r="A22" i="69"/>
  <c r="A21" i="69"/>
  <c r="A17" i="69"/>
  <c r="A16" i="69"/>
  <c r="A15" i="69"/>
  <c r="A14" i="69"/>
  <c r="A10" i="69"/>
  <c r="A9" i="69"/>
  <c r="A5" i="69"/>
  <c r="A4" i="69"/>
  <c r="A3" i="69"/>
  <c r="A25" i="70"/>
  <c r="A24" i="70"/>
  <c r="A22" i="70"/>
  <c r="A21" i="70"/>
  <c r="A17" i="70"/>
  <c r="A16" i="70"/>
  <c r="A15" i="70"/>
  <c r="A14" i="70"/>
  <c r="A10" i="70"/>
  <c r="A9" i="70"/>
  <c r="A5" i="70"/>
  <c r="A4" i="70"/>
  <c r="A3" i="70"/>
  <c r="A25" i="15"/>
  <c r="A24" i="15"/>
  <c r="A22" i="15"/>
  <c r="A21" i="15"/>
  <c r="A17" i="15"/>
  <c r="A16" i="15"/>
  <c r="A15" i="15"/>
  <c r="A14" i="15"/>
  <c r="A10" i="15"/>
  <c r="A9" i="15"/>
  <c r="A5" i="15"/>
  <c r="A4" i="15"/>
  <c r="A3" i="15"/>
  <c r="A25" i="13"/>
  <c r="A24" i="13"/>
  <c r="A22" i="13"/>
  <c r="A21" i="13"/>
  <c r="A17" i="13"/>
  <c r="A16" i="13"/>
  <c r="A15" i="13"/>
  <c r="A14" i="13"/>
  <c r="A10" i="13"/>
  <c r="A9" i="13"/>
  <c r="A5" i="13"/>
  <c r="A4" i="13"/>
  <c r="A3" i="13"/>
  <c r="A25" i="100"/>
  <c r="A24" i="100"/>
  <c r="A22" i="100"/>
  <c r="A21" i="100"/>
  <c r="A17" i="100"/>
  <c r="A16" i="100"/>
  <c r="A15" i="100"/>
  <c r="A14" i="100"/>
  <c r="A10" i="100"/>
  <c r="A9" i="100"/>
  <c r="A5" i="100"/>
  <c r="A4" i="100"/>
  <c r="A3" i="100"/>
  <c r="I114" i="69"/>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O89" i="69" s="1"/>
  <c r="M89" i="69"/>
  <c r="E89" i="69"/>
  <c r="M88" i="69"/>
  <c r="M87" i="69"/>
  <c r="R75" i="69"/>
  <c r="M57" i="69"/>
  <c r="D57" i="69"/>
  <c r="D52" i="69"/>
  <c r="E52" i="82"/>
  <c r="H51" i="106" l="1"/>
  <c r="H54" i="106"/>
  <c r="H48" i="106"/>
  <c r="H52" i="106"/>
  <c r="H50" i="106"/>
  <c r="H53" i="106"/>
  <c r="H49" i="106"/>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8" i="70"/>
  <c r="E50" i="81" s="1"/>
  <c r="K37" i="70"/>
  <c r="E49" i="81" s="1"/>
  <c r="K36" i="70"/>
  <c r="E48" i="81" s="1"/>
  <c r="K42" i="70"/>
  <c r="E51" i="81" s="1"/>
  <c r="D41" i="70"/>
  <c r="D35" i="70"/>
  <c r="G38" i="70"/>
  <c r="F38" i="70"/>
  <c r="E38"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I59" i="82" s="1"/>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2" a="1"/>
  <c r="E181" i="76" a="1"/>
  <c r="E67" i="81" a="1"/>
  <c r="E7" i="81" a="1"/>
  <c r="F46" i="82" l="1"/>
  <c r="F87" i="81"/>
  <c r="G18" i="13" s="1"/>
  <c r="O65" i="82"/>
  <c r="F65" i="82"/>
  <c r="G9" i="13" s="1"/>
  <c r="H40" i="82"/>
  <c r="O46" i="82"/>
  <c r="E7" i="82"/>
  <c r="R56" i="81"/>
  <c r="P61" i="81"/>
  <c r="P87" i="81"/>
  <c r="E67" i="81"/>
  <c r="E7" i="81"/>
  <c r="H82" i="81"/>
  <c r="H106" i="81"/>
  <c r="R82" i="81"/>
  <c r="H56" i="81"/>
  <c r="R106"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60" i="76" a="1"/>
  <c r="E7" i="76" a="1"/>
  <c r="E89" i="76" a="1"/>
  <c r="E112" i="76" a="1"/>
  <c r="E135" i="76" a="1"/>
  <c r="E36" i="76" a="1"/>
  <c r="E155" i="76" a="1"/>
  <c r="F15" i="70" l="1" a="1"/>
  <c r="F15" i="70" s="1"/>
  <c r="F24" i="70" a="1"/>
  <c r="F24" i="70" s="1"/>
  <c r="E24" i="70" a="1"/>
  <c r="E24" i="70" s="1"/>
  <c r="F16" i="70" a="1"/>
  <c r="F16" i="70" s="1"/>
  <c r="G24" i="70" a="1"/>
  <c r="G24" i="70" s="1"/>
  <c r="E16" i="70" a="1"/>
  <c r="E16" i="70" s="1"/>
  <c r="G15" i="70" a="1"/>
  <c r="G15" i="70" s="1"/>
  <c r="E15" i="70" a="1"/>
  <c r="E15" i="70" s="1"/>
  <c r="G23" i="70" a="1"/>
  <c r="G23" i="70" s="1"/>
  <c r="F23" i="70" a="1"/>
  <c r="F23" i="70" s="1"/>
  <c r="E23" i="70" a="1"/>
  <c r="E23" i="70" s="1"/>
  <c r="G16" i="70" a="1"/>
  <c r="G16" i="70" s="1"/>
  <c r="R45" i="69"/>
  <c r="I111" i="69"/>
  <c r="I71" i="69"/>
  <c r="R43" i="69"/>
  <c r="I43" i="69"/>
  <c r="F42" i="70"/>
  <c r="E42" i="70"/>
  <c r="G42" i="70"/>
  <c r="F89" i="69" a="1"/>
  <c r="F89" i="69" s="1"/>
  <c r="E33" i="81"/>
  <c r="E42" i="81"/>
  <c r="H129" i="76"/>
  <c r="E32" i="82"/>
  <c r="E195" i="76"/>
  <c r="E30" i="81"/>
  <c r="G19" i="70" a="1"/>
  <c r="G19" i="70" s="1"/>
  <c r="E22" i="70" a="1"/>
  <c r="E22" i="70" s="1"/>
  <c r="E39" i="81"/>
  <c r="E27" i="70" a="1"/>
  <c r="E27" i="70" s="1"/>
  <c r="O49" i="76" s="1" a="1"/>
  <c r="O49" i="76" s="1"/>
  <c r="F27" i="70" a="1"/>
  <c r="F27" i="70" s="1"/>
  <c r="G27" i="70" a="1"/>
  <c r="G27" i="70" s="1"/>
  <c r="E19" i="70" a="1"/>
  <c r="E19" i="70" s="1"/>
  <c r="F19" i="70" a="1"/>
  <c r="F19"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7" i="70" a="1"/>
  <c r="E17" i="70" s="1"/>
  <c r="F14" i="70" a="1"/>
  <c r="F14" i="70" s="1"/>
  <c r="E14" i="70" a="1"/>
  <c r="E14" i="70" s="1"/>
  <c r="G26" i="70" a="1"/>
  <c r="G26" i="70" s="1"/>
  <c r="F22" i="70" a="1"/>
  <c r="F22" i="70" s="1"/>
  <c r="G22" i="70" a="1"/>
  <c r="G22" i="70" s="1"/>
  <c r="G17" i="70" a="1"/>
  <c r="G17" i="70" s="1"/>
  <c r="E18" i="70" a="1"/>
  <c r="E18" i="70" s="1"/>
  <c r="F18" i="70" a="1"/>
  <c r="F18" i="70" s="1"/>
  <c r="G18" i="70" a="1"/>
  <c r="G18" i="70" s="1"/>
  <c r="E25" i="70" a="1"/>
  <c r="E25" i="70" s="1"/>
  <c r="E26" i="70" a="1"/>
  <c r="E26" i="70" s="1"/>
  <c r="F26" i="70" a="1"/>
  <c r="F26" i="70" s="1"/>
  <c r="F17" i="70" a="1"/>
  <c r="F17" i="70" s="1"/>
  <c r="F25" i="70" a="1"/>
  <c r="F25" i="70" s="1"/>
  <c r="G25" i="70" a="1"/>
  <c r="G25" i="70" s="1"/>
  <c r="I15" i="76"/>
  <c r="D173" i="69" a="1"/>
  <c r="D173" i="69" s="1"/>
  <c r="F176" i="69" a="1"/>
  <c r="F176" i="69" s="1"/>
  <c r="E131" i="69" a="1"/>
  <c r="D49" i="76" l="1" a="1"/>
  <c r="D49" i="76" s="1"/>
  <c r="D25" i="76" a="1"/>
  <c r="D25" i="76" s="1"/>
  <c r="D25" i="69" a="1"/>
  <c r="D25" i="69" s="1"/>
  <c r="O25" i="76" a="1"/>
  <c r="O25" i="76" s="1"/>
  <c r="M25" i="69" a="1"/>
  <c r="M25" i="69" s="1"/>
  <c r="D20" i="69" a="1"/>
  <c r="D20" i="69" s="1"/>
  <c r="D20" i="76" a="1"/>
  <c r="D20" i="76" s="1"/>
  <c r="M20" i="69" a="1"/>
  <c r="M20" i="69" s="1"/>
  <c r="O20" i="76" a="1"/>
  <c r="O20" i="76"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36" i="69" a="1"/>
  <c r="E7"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6" i="70" s="1"/>
  <c r="D30" i="79"/>
  <c r="D37" i="70" s="1"/>
  <c r="D42" i="70"/>
  <c r="D41" i="81" l="1"/>
  <c r="E41" i="81" s="1"/>
  <c r="D97" i="69"/>
  <c r="D57" i="81"/>
  <c r="M25" i="82"/>
  <c r="D197" i="76"/>
  <c r="E197" i="76" s="1"/>
  <c r="E152" i="69"/>
  <c r="N57" i="81"/>
  <c r="N152" i="69"/>
  <c r="D99" i="81"/>
  <c r="D32" i="81"/>
  <c r="E32" i="81" s="1"/>
  <c r="M42" i="82"/>
  <c r="D42" i="82"/>
  <c r="N166" i="69"/>
  <c r="N88" i="69"/>
  <c r="O88" i="69" s="1"/>
  <c r="D25" i="82"/>
  <c r="E166" i="69"/>
  <c r="O175" i="76"/>
  <c r="E88" i="69"/>
  <c r="F88" i="69" s="1" a="1"/>
  <c r="F88" i="69" s="1"/>
  <c r="N107" i="81"/>
  <c r="D175" i="76"/>
  <c r="D107" i="81"/>
  <c r="N83" i="81"/>
  <c r="D49" i="81"/>
  <c r="O208" i="76"/>
  <c r="D83" i="81"/>
  <c r="N23" i="81"/>
  <c r="D208" i="76"/>
  <c r="D23" i="81"/>
  <c r="D34" i="82"/>
  <c r="E34" i="82" s="1"/>
  <c r="M97" i="69"/>
  <c r="D22" i="81"/>
  <c r="D31" i="81"/>
  <c r="D40" i="81"/>
  <c r="M96" i="69"/>
  <c r="M24" i="82"/>
  <c r="D96" i="69"/>
  <c r="D196" i="76"/>
  <c r="N151" i="69"/>
  <c r="D98" i="81"/>
  <c r="E151" i="69"/>
  <c r="D24" i="82"/>
  <c r="N56" i="81"/>
  <c r="D56" i="81"/>
  <c r="M41" i="82"/>
  <c r="D41" i="82"/>
  <c r="N165" i="69"/>
  <c r="E165" i="69"/>
  <c r="N87" i="69"/>
  <c r="O87" i="69" s="1"/>
  <c r="O174" i="76"/>
  <c r="D167" i="76" a="1"/>
  <c r="D167" i="76" s="1"/>
  <c r="N106" i="81"/>
  <c r="D48" i="81"/>
  <c r="D174" i="76"/>
  <c r="E87" i="69"/>
  <c r="D106" i="81"/>
  <c r="N82" i="81"/>
  <c r="O207" i="76"/>
  <c r="E80" i="69" a="1"/>
  <c r="E80" i="69" s="1"/>
  <c r="D82" i="81"/>
  <c r="N22" i="81"/>
  <c r="D33" i="82"/>
  <c r="E33" i="82" s="1"/>
  <c r="D207" i="76"/>
  <c r="D101" i="81"/>
  <c r="N59" i="81"/>
  <c r="N109" i="81"/>
  <c r="D59" i="81"/>
  <c r="M44" i="82"/>
  <c r="M27" i="82"/>
  <c r="D34" i="81"/>
  <c r="E34" i="81" s="1"/>
  <c r="D44" i="82"/>
  <c r="D198" i="76"/>
  <c r="E198" i="76" s="1"/>
  <c r="N168" i="69"/>
  <c r="E168" i="69"/>
  <c r="D109" i="81"/>
  <c r="N85" i="81"/>
  <c r="O210" i="76"/>
  <c r="D85" i="81"/>
  <c r="N25" i="81"/>
  <c r="D210" i="76"/>
  <c r="D51" i="81"/>
  <c r="D25" i="81"/>
  <c r="M125" i="69"/>
  <c r="R113" i="69" s="1"/>
  <c r="D27" i="82"/>
  <c r="D125" i="69"/>
  <c r="D120" i="69" a="1"/>
  <c r="D35" i="82"/>
  <c r="E35" i="82" s="1"/>
  <c r="D124" i="76" a="1"/>
  <c r="D43" i="81"/>
  <c r="O129" i="76"/>
  <c r="N154" i="69"/>
  <c r="D129" i="76"/>
  <c r="E154" i="69"/>
  <c r="E40" i="81"/>
  <c r="E43" i="81"/>
  <c r="N98" i="69" l="1" a="1"/>
  <c r="N98" i="69" s="1"/>
  <c r="O153" i="69" s="1"/>
  <c r="P98" i="69" a="1"/>
  <c r="P98" i="69" s="1"/>
  <c r="Q153"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P153"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H153" i="69" l="1"/>
  <c r="H167" i="69" s="1" a="1"/>
  <c r="H167" i="69" s="1"/>
  <c r="G153" i="69"/>
  <c r="G167" i="69" s="1" a="1"/>
  <c r="G167" i="69" s="1"/>
  <c r="O149" i="76"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F153" i="69"/>
  <c r="F167" i="69" s="1" a="1"/>
  <c r="F167" i="69" s="1"/>
  <c r="O167" i="69" a="1"/>
  <c r="O167" i="69" s="1"/>
  <c r="Q167" i="69" a="1"/>
  <c r="Q167" i="69" s="1"/>
  <c r="P167" i="69"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<sst xmlns="http://schemas.openxmlformats.org/spreadsheetml/2006/main" count="893" uniqueCount="412">
  <si>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</si>
  <si>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</si>
  <si>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</si>
  <si>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</si>
  <si>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</si>
  <si>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</si>
  <si>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</si>
  <si>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</si>
  <si>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</si>
  <si>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</si>
  <si>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</si>
  <si>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</si>
  <si>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</si>
  <si>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</si>
  <si>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</si>
  <si>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</si>
  <si>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</si>
  <si>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</si>
  <si>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</si>
  <si>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</si>
  <si>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</si>
  <si>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</si>
  <si>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</si>
  <si>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</si>
  <si>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</si>
  <si>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</si>
  <si>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</si>
  <si>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</si>
  <si>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</si>
  <si>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</si>
  <si>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</si>
  <si>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</si>
  <si>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</si>
  <si>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</si>
  <si>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</si>
  <si>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</si>
  <si>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</si>
  <si>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</si>
  <si>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</si>
  <si>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</si>
  <si>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</si>
  <si>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</si>
  <si>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</si>
  <si>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</si>
  <si>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</si>
  <si>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</si>
  <si>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</si>
  <si>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</si>
  <si>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</si>
  <si>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</si>
  <si>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</si>
  <si>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</si>
  <si>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</si>
  <si>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</si>
  <si>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</si>
  <si>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</si>
  <si>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</si>
  <si>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</si>
  <si>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</si>
  <si>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</si>
  <si>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</si>
  <si>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</si>
  <si>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</si>
  <si>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</si>
  <si>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</si>
  <si>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</si>
  <si>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</si>
  <si>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</si>
  <si>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</si>
  <si>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</si>
  <si>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</si>
  <si>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</si>
  <si>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</si>
  <si>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</si>
  <si>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</si>
  <si>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</si>
  <si>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</si>
  <si>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</si>
  <si>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</si>
  <si>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</si>
  <si>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</si>
  <si>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</si>
  <si>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</si>
  <si>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</si>
  <si>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</si>
  <si>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</si>
  <si>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</si>
  <si>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</si>
  <si>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</si>
  <si>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</si>
  <si>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</si>
  <si>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</si>
  <si>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</si>
  <si>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</si>
  <si>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</si>
  <si>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</si>
  <si>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</si>
  <si>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</si>
  <si>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</si>
  <si>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</si>
  <si>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</si>
  <si>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</si>
  <si>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</si>
  <si>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</si>
  <si>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</si>
  <si>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</si>
  <si>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</si>
  <si>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</si>
  <si>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</si>
  <si>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</si>
  <si>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</si>
  <si>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</si>
  <si>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</si>
  <si>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</si>
  <si>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</si>
  <si>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</si>
  <si>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</si>
  <si>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</si>
  <si>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</si>
  <si>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</si>
  <si>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</si>
  <si>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</si>
  <si>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</si>
  <si>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</si>
  <si>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</si>
  <si>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</si>
  <si>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</si>
  <si>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</si>
  <si>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</si>
  <si>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</si>
  <si>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</si>
  <si>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</si>
  <si>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</si>
  <si>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</si>
  <si>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</si>
  <si>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</si>
  <si>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</si>
  <si>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</si>
  <si>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</si>
  <si>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</si>
  <si>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</si>
  <si>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</si>
  <si>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</si>
  <si>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</si>
  <si>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</si>
  <si>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</si>
  <si>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</si>
  <si>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</si>
  <si>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</si>
  <si>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</si>
  <si>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</si>
  <si>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</si>
  <si>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</si>
  <si>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</si>
  <si>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</si>
  <si>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</si>
  <si>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</si>
  <si>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</si>
  <si>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</si>
  <si>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</si>
  <si>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</si>
  <si>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</si>
  <si>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</si>
  <si>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</si>
  <si>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</si>
  <si>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</si>
  <si>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</si>
  <si>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</si>
  <si>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</si>
  <si>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</si>
  <si>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</si>
  <si>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</si>
  <si>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</si>
  <si>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</si>
  <si>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</si>
  <si>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</si>
  <si>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</si>
  <si>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</si>
  <si>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</si>
  <si>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</si>
  <si>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</si>
  <si>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</si>
  <si>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</si>
  <si>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</si>
  <si>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</si>
  <si>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</si>
  <si>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</si>
  <si>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</si>
  <si>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</si>
  <si>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</si>
  <si>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</si>
  <si>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</si>
  <si>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</si>
  <si>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</si>
  <si>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</si>
  <si>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</si>
  <si>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</si>
  <si>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</si>
  <si>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</si>
  <si>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</si>
  <si>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</si>
  <si>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</si>
  <si>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</si>
  <si>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</si>
  <si>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</si>
  <si>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</si>
  <si>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</si>
  <si>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</si>
  <si>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</si>
  <si>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</si>
  <si>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</si>
  <si>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</si>
  <si>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</si>
  <si>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</si>
  <si>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</si>
  <si>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</si>
  <si>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</si>
  <si>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</si>
  <si>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</si>
  <si>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</si>
  <si>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</si>
  <si>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</si>
  <si>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</si>
  <si>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</si>
  <si>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</si>
  <si>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</si>
  <si>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</si>
  <si>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</si>
  <si>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</si>
  <si>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</si>
  <si>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</si>
  <si>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</si>
  <si>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</si>
  <si>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</si>
  <si>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</si>
  <si>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</si>
  <si>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</si>
  <si>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</si>
  <si>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</si>
  <si>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</si>
  <si>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</si>
  <si>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</si>
  <si>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</si>
  <si>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</si>
  <si>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</si>
  <si>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</si>
  <si>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</si>
  <si>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</si>
  <si>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</si>
  <si>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</si>
  <si>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</si>
  <si>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</si>
  <si>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</si>
  <si>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</si>
  <si>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</si>
  <si>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</si>
  <si>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</si>
  <si>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</si>
  <si>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</si>
  <si>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</si>
  <si>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</si>
  <si>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</si>
  <si>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</si>
  <si>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</si>
  <si>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</si>
  <si>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</si>
  <si>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</si>
  <si>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</si>
  <si>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</si>
  <si>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</si>
  <si>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</si>
  <si>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</si>
  <si>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</si>
  <si>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</si>
  <si>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</si>
  <si>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</si>
  <si>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</si>
  <si>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</si>
  <si>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</si>
  <si>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</si>
  <si>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</si>
  <si>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</si>
  <si>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</si>
  <si>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</si>
  <si>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</si>
  <si>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</si>
  <si>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</si>
  <si>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</si>
  <si>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</si>
  <si>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</si>
  <si>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</si>
  <si>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</si>
  <si>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</si>
  <si>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</si>
  <si>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</si>
  <si>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</si>
  <si>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</si>
  <si>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</si>
  <si>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</si>
  <si>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</si>
  <si>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</si>
  <si>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</si>
  <si>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</si>
  <si>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</si>
  <si>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</si>
  <si>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</si>
  <si>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</si>
  <si>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</si>
  <si>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</si>
  <si>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</si>
  <si>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</si>
  <si>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</si>
  <si>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</si>
  <si>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</si>
  <si>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</si>
  <si>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</si>
  <si>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</si>
  <si>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</si>
  <si>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</si>
  <si>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</si>
  <si>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</si>
  <si>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</si>
  <si>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</si>
  <si>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</si>
  <si>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</si>
  <si>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</si>
  <si>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</si>
  <si>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</si>
  <si>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</si>
  <si>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</si>
  <si>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</si>
  <si>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</si>
  <si>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</si>
  <si>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</si>
  <si>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</si>
  <si>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</si>
  <si>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</si>
  <si>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</si>
  <si>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</si>
  <si>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</si>
  <si>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</si>
  <si>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</si>
  <si>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</si>
  <si>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</si>
  <si>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</si>
  <si>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</si>
  <si>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</si>
  <si>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</si>
  <si>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</si>
  <si>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</si>
  <si>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</si>
  <si>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</si>
  <si>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</si>
  <si>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</si>
  <si>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</si>
  <si>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</si>
  <si>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</si>
  <si>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</si>
  <si>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</si>
  <si>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</si>
  <si>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</si>
  <si>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</si>
  <si>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</si>
  <si>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</si>
  <si>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</si>
  <si>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</si>
  <si>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</si>
  <si>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</si>
  <si>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</si>
  <si>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</si>
  <si>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</si>
  <si>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</si>
  <si>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</si>
  <si>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</si>
  <si>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</si>
  <si>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</si>
  <si>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</si>
  <si>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</si>
  <si>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</si>
  <si>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</si>
  <si>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</si>
  <si>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</si>
  <si>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</si>
  <si>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</si>
  <si>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</si>
  <si>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</si>
  <si>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</si>
  <si>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</si>
  <si>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</si>
  <si>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</si>
  <si>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</si>
  <si>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</si>
  <si>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</si>
  <si>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</si>
  <si>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</si>
  <si>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</si>
  <si>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</si>
  <si>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</si>
  <si>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</si>
  <si>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</si>
  <si>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</si>
  <si>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</si>
  <si>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</si>
  <si>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</si>
  <si>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</si>
  <si>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</si>
  <si>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</si>
  <si>
    <t>Ether extract</t>
  </si>
  <si>
    <t>NDF</t>
  </si>
  <si>
    <t>Livestock classes</t>
  </si>
  <si>
    <t>Livestock class</t>
  </si>
  <si>
    <t>Table_LivestockClasses_Feedlot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</si>
</sst>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BBAD58-C03F-403E-8210-DBAB7DC4CCCB}" name="Table_LivestockClasses_Feedlot" displayName="Table_LivestockClasses_Feedlot" ref="L27:L30" totalsRowShown="0">
  <autoFilter ref="L27:L30" xr:uid="{92BBAD58-C03F-403E-8210-DBAB7DC4CCCB}">
    <filterColumn colId="0" hiddenButton="1"/>
  </autoFilter>
  <tableColumns count="1">
    <tableColumn id="1" xr3:uid="{F8BAC5BB-7E8F-49A2-80CB-4949B49142F8}" name="Livestock class"/>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17EA89D-ED63-4F20-B648-63035AA0331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6F7F04-A704-42B7-90E6-50FFAF320098}" name="State/Territory">
      <calculatedColumnFormula array="1">Common_InputFunctions.Utility_DisplayArrayInTable(Common_SourceData.Common_SourceData_AustralianStatesTerritories_Data(),Table_AustralianStates[[#Headers],[State/Territory]],0)</calculatedColumnFormula>
    </tableColumn>
    <tableColumn id="2" xr3:uid="{F3000B37-6A76-421C-B752-E2AC28FF687D}" name="Common Name">
      <calculatedColumnFormula array="1">Common_InputFunctions.Utility_DisplayArrayInTable(Common_SourceData.Common_SourceData_AustralianStatesTerritories_Data(),Table_AustralianStates[[#Headers],[State/Territory]],0)</calculatedColumnFormula>
    </tableColumn>
    <tableColumn id="3" xr3:uid="{2EC40060-BE4A-4651-9C17-9FEE8A7FADA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52D110-D7FA-46DF-8FDF-50ADA5B8D899}" name="Table_WASA4Areas" displayName="Table_WASA4Areas" ref="D20:D30" totalsRowShown="0">
  <autoFilter ref="D20:D30" xr:uid="{5FA81339-C6C8-4D36-BEEA-6C4AEDD9E676}">
    <filterColumn colId="0" hiddenButton="1"/>
  </autoFilter>
  <tableColumns count="1">
    <tableColumn id="1" xr3:uid="{C26F4198-9663-4E7D-AF03-E4959B35384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4226C40-2BBC-496A-B2E0-61D406610B88}" name="Table_GWPData" displayName="Table_GWPData" ref="D36:E43" totalsRowShown="0">
  <autoFilter ref="D36:E43" xr:uid="{B8E87A66-3E41-4AD3-925D-01EE21B43D7A}">
    <filterColumn colId="0" hiddenButton="1"/>
    <filterColumn colId="1" hiddenButton="1"/>
  </autoFilter>
  <tableColumns count="2">
    <tableColumn id="1" xr3:uid="{61A75658-05EE-42FF-A12F-1BD5CCC6EA50}" name="Gas">
      <calculatedColumnFormula array="1">Common_InputFunctions.Utility_DisplayArrayInTable(Common_SourceData.Common_SourceData_GWP_Data(), Table_GWPData[[#Headers],[Gas]], 0)</calculatedColumnFormula>
    </tableColumn>
    <tableColumn id="2" xr3:uid="{81807736-2098-4DE3-AF00-6076AABC923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E6ABE54-6ED4-48D5-829A-AABEFA545F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9AE4552-C90E-409E-81DD-12143AAC320B}" name="Gas">
      <calculatedColumnFormula array="1">Common_InputFunctions.Utility_DisplayArrayInTable(Common_SourceData.Common_SourceData_ConvertGasElementalToMolecular_Data(),Table_GasToMolecularConversionFactor[[#Headers],[Gas]], 0)</calculatedColumnFormula>
    </tableColumn>
    <tableColumn id="5" xr3:uid="{61481A1E-139A-42A3-87C1-3D2B887A42DA}" name="Conversion factor">
      <calculatedColumnFormula array="1">Common_InputFunctions.Utility_DisplayArrayInTable(Common_SourceData.Common_SourceData_ConvertGasElementalToMolecular_Data(),Table_GasToMolecularConversionFactor[[#Headers],[Gas]], 0)</calculatedColumnFormula>
    </tableColumn>
    <tableColumn id="2" xr3:uid="{74CE7FD0-32D6-4426-A5BF-3B28B32CEF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04D84CA-04DA-472B-99C1-B2B6EB54F6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6FF847-A99F-47A7-8E70-6DE89901B2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EE6952-C576-40A5-B3D3-5878A9A533F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D3BFFF-B3E2-4CA7-BA31-8916CE18F92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C10F859-2ECA-4663-89AC-125865DD5B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93432CF1-ACDA-4007-90C2-46CDFED0FE6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69B85A7-DA47-4A2E-B4CB-9607297BDAE8}"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A2BF0949-C289-45EC-8383-310C6890B05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0237139-323B-4328-B7C0-522F7A1CB32F}"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EAC10D6-CE2F-49AE-9A8B-E2E0FC881D2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AEDC1287-B9AE-4427-BDEB-3C8AD3D7502D}"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E810DD86-4129-4C6F-B007-4EBB85F557C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1DD484CE-DCAC-4C45-AC85-501CB661F17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ABCC129F-6D96-406C-BDCE-665C9FE7616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80ADD70-7139-40E7-A4F4-7CDFCCC4D8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03E5454-313A-4934-8269-C6BAF602861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F92D3B1-0744-4C6E-8750-65FF6F95096E}"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3AAB1D7-2E7A-4562-ABB4-92F7C0864A8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D20983EF-5C2D-4B53-AF35-A659F842318C}"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57C8927-F7B7-4D06-8B9D-DE2D0520840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124BBC2-1B94-42CF-8AC8-DF4A25A7B2C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36F6F35-AF43-4ABB-90A5-0666D838904E}"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A158AB-0395-49AB-95C6-27FAA0E57B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9541DB0-7A44-4B20-B2B5-F3C2E02201FE}" name="Temperature Zone">
      <calculatedColumnFormula array="1">Common_InputFunctions.Utility_DisplayArrayInTable(Common_SourceData.Common_SourceData_TemperatureZones_Data(),Table_SourceData_TemperatureZones[[#Headers],[Temperature Zone]],0)</calculatedColumnFormula>
    </tableColumn>
    <tableColumn id="2" xr3:uid="{873F6514-DCB4-46F5-901D-61CA79A3117B}" name="MAT">
      <calculatedColumnFormula array="1">Common_InputFunctions.Utility_DisplayArrayInTable(Common_SourceData.Common_SourceData_TemperatureZones_Data(),Table_SourceData_TemperatureZones[[#Headers],[Temperature Zone]],0)</calculatedColumnFormula>
    </tableColumn>
    <tableColumn id="3" xr3:uid="{FADD8036-4F96-4216-94A1-5BC107DFF23A}" name="Min MAT">
      <calculatedColumnFormula array="1">Common_InputFunctions.Utility_DisplayArrayInTable(Common_SourceData.Common_SourceData_TemperatureZones_Data(),Table_SourceData_TemperatureZones[[#Headers],[Temperature Zone]],0)</calculatedColumnFormula>
    </tableColumn>
    <tableColumn id="4" xr3:uid="{604EB7BD-589A-4CE3-87EA-64333C3C463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1372755-25ED-4553-9FD9-8DC1D39646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A88149-AF4F-444F-9010-F7F01C70A934}" name="Rainfall Zone">
      <calculatedColumnFormula array="1">Common_InputFunctions.Utility_DisplayArrayInTable(Common_SourceData.Common_SourceData_RainfallZones_Data(),Table_SourceData_RainfallZones[[#Headers],[Rainfall Zone]],0)</calculatedColumnFormula>
    </tableColumn>
    <tableColumn id="2" xr3:uid="{896A8369-4A00-4951-97DF-CEB08A42B949}" name="Annual rainfall">
      <calculatedColumnFormula array="1">Common_InputFunctions.Utility_DisplayArrayInTable(Common_SourceData.Common_SourceData_RainfallZones_Data(),Table_SourceData_RainfallZones[[#Headers],[Rainfall Zone]],0)</calculatedColumnFormula>
    </tableColumn>
    <tableColumn id="3" xr3:uid="{3FD719C1-DA25-486C-8580-BDAF3DEC6732}" name="Min rainfall">
      <calculatedColumnFormula array="1">Common_InputFunctions.Utility_DisplayArrayInTable(Common_SourceData.Common_SourceData_RainfallZones_Data(),Table_SourceData_RainfallZones[[#Headers],[Rainfall Zone]],0)</calculatedColumnFormula>
    </tableColumn>
    <tableColumn id="4" xr3:uid="{B2E30F4C-6BA3-4780-96AA-8CAE7ED62EA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AE74E8-6327-4BF4-A5FB-B1A7EDAD2A5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3E12D70-8A6D-43A8-A8C6-1ED09237C734}" name="Leaching Zone">
      <calculatedColumnFormula array="1">Common_InputFunctions.Utility_DisplayArrayInTable(Common_SourceData.Common_SourceData_LeachingZones_Data(), Table_SourceData_LeachingZones[[#Headers],[Leaching Zone]], 0)</calculatedColumnFormula>
    </tableColumn>
    <tableColumn id="2" xr3:uid="{AE5468C2-CA5A-46CB-AF65-52C9ADEA22C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2447C6F-7630-490C-AA0C-974FF092EA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806E290-D755-4A68-9C18-14C54A91F7C9}" name="Data source">
      <calculatedColumnFormula array="1">Common_InputFunctions.Utility_DisplayArrayInTable(Common_SourceData.Common_SourceData_DataScores_Scope3_Data(), Table_SourceData_DataScores_Scope3[[#Headers],[Data source]], 0)</calculatedColumnFormula>
    </tableColumn>
    <tableColumn id="2" xr3:uid="{E295B2BD-6E5A-48EC-AD28-7D88AEFF972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C27A366-F39C-4A2C-9FB0-BCED1B8A4C25}" name="Table_SourceData_FracWET" displayName="Table_SourceData_FracWET" ref="D134:E136" totalsRowShown="0">
  <autoFilter ref="D134:E136" xr:uid="{308E99BE-FE1F-47A4-B2CA-97217277C4E9}">
    <filterColumn colId="0" hiddenButton="1"/>
    <filterColumn colId="1" hiddenButton="1"/>
  </autoFilter>
  <tableColumns count="2">
    <tableColumn id="1" xr3:uid="{E9B42BED-9AB7-4E70-B01D-23DCF7A51EF6}" name="Is in leaching zone">
      <calculatedColumnFormula array="1">Common_InputFunctions.Utility_DisplayArrayInTable(Common_SourceData.Common_SourceData_FracWET_Data(),Table_SourceData_FracWET[[#Headers],[Is in leaching zone]],0)</calculatedColumnFormula>
    </tableColumn>
    <tableColumn id="2" xr3:uid="{ED4B5D61-D65C-4A8D-9881-59B5822D1C2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0182A4C-FD1B-42C5-ADA1-D0922CEB705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6C5601E-AE8C-45CE-B033-CC1F3A334F16}" name="Production system j">
      <calculatedColumnFormula array="1">Common_InputFunctions.Utility_DisplayArrayInTable(Common_SourceData.Common_SourceData_EFN2O_Data(), Table_SourceData_Common_EFN2O[[#Headers],[Production system j]], 0)</calculatedColumnFormula>
    </tableColumn>
    <tableColumn id="2" xr3:uid="{FC750381-E6FC-4424-A90E-AAD69DB211FC}" name="EFN2O">
      <calculatedColumnFormula array="1">Common_InputFunctions.Utility_DisplayArrayInTable(Common_SourceData.Common_SourceData_EFN2O_Data(), Table_SourceData_Common_EFN2O[[#Headers],[Production system j]], 0)</calculatedColumnFormula>
    </tableColumn>
    <tableColumn id="3" xr3:uid="{1409F416-5CF2-494A-BF12-C5A7BF990C4C}" name="Production system only">
      <calculatedColumnFormula array="1">Common_InputFunctions.Utility_DisplayArrayInTable(Common_SourceData.Common_SourceData_EFN2O_Data(), Table_SourceData_Common_EFN2O[[#Headers],[Production system j]], 0)</calculatedColumnFormula>
    </tableColumn>
    <tableColumn id="4" xr3:uid="{BC640B0C-624E-4406-9647-4661A4C3CF86}" name="Irrigation method">
      <calculatedColumnFormula array="1">Common_InputFunctions.Utility_DisplayArrayInTable(Common_SourceData.Common_SourceData_EFN2O_Data(), Table_SourceData_Common_EFN2O[[#Headers],[Production system j]], 0)</calculatedColumnFormula>
    </tableColumn>
    <tableColumn id="5" xr3:uid="{A358B440-E53B-46CF-8131-9EC21490F5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13E3437-5838-4BD7-8F2C-1E960BECB17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C925E3F-90AE-42B3-B0B0-10F1F15D5A94}" name="Irrigation type i">
      <calculatedColumnFormula array="1">Common_InputFunctions.Utility_DisplayArrayInTable(Common_SourceData.Common_SourceData_FracWETIrrigation_Data(), Table_SourceData_FracWETIrrigation[[#Headers],[Irrigation type i]], 0)</calculatedColumnFormula>
    </tableColumn>
    <tableColumn id="2" xr3:uid="{3A1486F8-4BDE-41EA-8F12-3E72965D7D1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783DCF2-FAB7-4E36-80B6-E3766A33287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2A3484-4576-400B-BF02-2BA2BA15CC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CC4379D-8655-422B-8FF0-AA17854FAF7A}"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14D05E-6D84-4432-BD1A-AAEDE4FAFB7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CCF204F-F10B-4B5B-888D-ADADD76441CE}" name="Month">
      <calculatedColumnFormula array="1">Common_InputFunctions.Utility_DisplayArrayInTable(Common_SourceData.Common_SourceData_MonthsToSeasons_Data(), Table_SourceData_Common_MonthToSeason[[#Headers],[Month]], 0)</calculatedColumnFormula>
    </tableColumn>
    <tableColumn id="2" xr3:uid="{E57B1625-54DC-4874-BABD-B416E167257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1A47E01-AA53-4CC3-9E00-5A5CD66A41A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875EDE-D48C-4226-B7B5-C89CE3CCEC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FD9B489-459F-4C1C-A691-D7299F05307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B0F9497-50B5-4622-A29A-1FF792C7B756}"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7ADA9D-0BBA-460C-A091-FE2D703131C2}"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CA6C83A-48C8-423F-BE78-D5C44B180809}"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81FC88F-1BE0-4B3B-8B4D-226D9D65F3F9}"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8DF2DEC-849E-4A8C-8CA4-1A5192E8BB5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D9BC3D-57AE-48D5-8F71-C55A3FA11F8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0DDB6C5-EE65-4168-93E2-97BEE76C5E7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E5C7ACC-B6D6-4F0F-8703-B9749788359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0BA4C-6CD9-4A01-9C0F-BF226691E3AA}"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489225D-63F0-4A3C-8555-D46DABE8069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D70B15-477A-45F6-B4BA-900CAD8D193C}"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4A73B9B-ABA2-4381-908F-F542549755E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BA161CC-FBF1-4D0A-B450-AAF38252E3B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48E0045-5DC2-4910-9A85-04EA9DE961FA}"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9B59D3-028F-4908-B78C-BFC042336F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6E915B-7EB3-472E-9579-D58D9E97CC9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567BFB-ECB1-4C92-8622-396B0559A2E1}"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1C32FB-9502-43AE-9377-E3370D3A68A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7EF746D-311C-47D7-BC8B-BA248A71090E}" name="Description" dataDxfId="0" dataCellStyle="Content normal"/>
    <tableColumn id="1" xr3:uid="{54C0B6F9-435C-46D7-ACA0-A27133C12E22}" name="ID"/>
    <tableColumn id="3" xr3:uid="{F0F028F8-E2FB-4F8F-A065-BD1D2F6572C1}"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9178CB8-A4DF-4882-9C11-1E5CD689479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34CF320-D353-44DA-AA58-4D4148380DC3}" name="Description"/>
    <tableColumn id="2" xr3:uid="{4F25DBF4-AC0F-424C-B6D5-D6380F224878}" name="ID"/>
    <tableColumn id="3" xr3:uid="{DC6D70C8-D3CD-4EAB-8492-BB1C192D3C7B}"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6A95753-DB21-4851-BC28-A42F6330CB4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750C5D5-77BF-4C5D-B3DD-DE4E78212A22}" name="Description"/>
    <tableColumn id="2" xr3:uid="{441EA0E9-746A-4934-8B63-1E18E687E016}" name="ID"/>
    <tableColumn id="3" xr3:uid="{E74A744A-E9D1-4118-8AC5-8117B352D1F0}"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A691A2-5E29-4CD7-9EF0-1D6FC0C9559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CCF145B-0804-482E-B169-2B20615C2804}" name="Description"/>
    <tableColumn id="2" xr3:uid="{83AC46A7-914A-44C6-8498-5723FF9CEF32}" name="ID"/>
    <tableColumn id="3" xr3:uid="{13CC559F-1DC5-4891-8E66-FC76D1650A4B}" name="Score"/>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5" sqref="A25"/>
    </sheetView>
  </sheetViews>
  <sheetFormatPr defaultRowHeight="15" x14ac:dyDescent="0.25"/>
  <sheetData>
    <row r="1" spans="1:1" x14ac:dyDescent="0.25">
      <c r="A1" t="s">
        <v>357</v>
      </c>
    </row>
    <row r="3" spans="1:1" x14ac:dyDescent="0.25">
      <c r="A3" s="146"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 livestock'!A1", "Constants - Common livestock")</f>
        <v>Constants - Common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Common livestock'!A1", "Constants - Common livestock")</f>
        <v>Constants - Common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Common livestock'!A1", "Constants - Common livestock")</f>
        <v>Constants - Common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topLeftCell="A6" zoomScaleNormal="100" workbookViewId="0">
      <selection activeCell="A16" sqref="A16"/>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TEXT(X_Cell_Site_EndDate,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407</v>
      </c>
      <c r="E15" s="53" cm="1">
        <f t="array" ref="E15">_xlfn.XLOOKUP(1, (Table_SourceData_Feedlot_DietProperties[Feedlot type] = E$13) * (Table_SourceData_Feedlot_DietProperties[Nutrient analysis] = $D$15), Table_SourceData_Feedlot_DietProperties[2020-2023 Converted to fraction], "Not Found")</f>
        <v>4.8</v>
      </c>
      <c r="F15" s="53" cm="1">
        <f t="array" ref="F15">_xlfn.XLOOKUP(1, (Table_SourceData_Feedlot_DietProperties[Feedlot type] = F$13) * (Table_SourceData_Feedlot_DietProperties[Nutrient analysis] = $D$15), Table_SourceData_Feedlot_DietProperties[2020-2023 Converted to fraction], "Not Found")</f>
        <v>5</v>
      </c>
      <c r="G15" s="53" cm="1">
        <f t="array" ref="G15">_xlfn.XLOOKUP(1, (Table_SourceData_Feedlot_DietProperties[Feedlot type] = G$13) * (Table_SourceData_Feedlot_DietProperties[Nutrient analysis] = $D$15), Table_SourceData_Feedlot_DietProperties[2020-2023 Converted to fraction], "Not Found")</f>
        <v>5.5</v>
      </c>
      <c r="H15" s="2" t="s">
        <v>317</v>
      </c>
    </row>
    <row r="16" spans="1:21" ht="20.100000000000001" customHeight="1" x14ac:dyDescent="0.25">
      <c r="A16" s="17" t="str">
        <f>HYPERLINK("#'4.1.1.5-6 Atmos Deposition'!A1", "4.1.1.5-6 Atmos Deposition")</f>
        <v>4.1.1.5-6 Atmos Deposition</v>
      </c>
      <c r="D16" s="1" t="s">
        <v>408</v>
      </c>
      <c r="E16" s="53" cm="1">
        <f t="array" ref="E16">_xlfn.XLOOKUP(1, (Table_SourceData_Feedlot_DietProperties[Feedlot type] = E$13) * (Table_SourceData_Feedlot_DietProperties[Nutrient analysis] = $D$16), Table_SourceData_Feedlot_DietProperties[2020-2023 Converted to fraction], "Not Found")</f>
        <v>22</v>
      </c>
      <c r="F16" s="53" cm="1">
        <f t="array" ref="F16">_xlfn.XLOOKUP(1, (Table_SourceData_Feedlot_DietProperties[Feedlot type] = F$13) * (Table_SourceData_Feedlot_DietProperties[Nutrient analysis] = $D$16), Table_SourceData_Feedlot_DietProperties[2020-2023 Converted to fraction], "Not Found")</f>
        <v>22</v>
      </c>
      <c r="G16" s="53" cm="1">
        <f t="array" ref="G16">_xlfn.XLOOKUP(1, (Table_SourceData_Feedlot_DietProperties[Feedlot type] = G$13) * (Table_SourceData_Feedlot_DietProperties[Nutrient analysis] = $D$16), Table_SourceData_Feedlot_DietProperties[2020-2023 Converted to fraction], "Not Found")</f>
        <v>24</v>
      </c>
      <c r="H16" s="2" t="s">
        <v>317</v>
      </c>
    </row>
    <row r="17" spans="1:11" ht="20.100000000000001" customHeight="1" x14ac:dyDescent="0.25">
      <c r="A17" s="17" t="str">
        <f>HYPERLINK("#'4.1.1.9 Manure applied to soils'!A1", "4.1.1.9 Manure applied to soils")</f>
        <v>4.1.1.9 Manure applied to soils</v>
      </c>
      <c r="D17" s="1" t="s">
        <v>15</v>
      </c>
      <c r="E17" s="53" cm="1">
        <f t="array" ref="E17">_xlfn.XLOOKUP(1, (Table_SourceData_Feedlot_DietProperties[Feedlot type] = E$13) * (Table_SourceData_Feedlot_DietProperties[Nutrient analysis] = $D$17), Table_SourceData_Feedlot_DietProperties[2020-2023 Converted to fraction], "Not Found")</f>
        <v>0.81</v>
      </c>
      <c r="F17" s="53" cm="1">
        <f t="array" ref="F17">_xlfn.XLOOKUP(1, (Table_SourceData_Feedlot_DietProperties[Feedlot type] = F$13) * (Table_SourceData_Feedlot_DietProperties[Nutrient analysis] = $D$17), Table_SourceData_Feedlot_DietProperties[2020-2023 Converted to fraction], "Not Found")</f>
        <v>0.81</v>
      </c>
      <c r="G17" s="53" cm="1">
        <f t="array" ref="G17">_xlfn.XLOOKUP(1, (Table_SourceData_Feedlot_DietProperties[Feedlot type] = G$13) * (Table_SourceData_Feedlot_DietProperties[Nutrient analysis] = $D$17), Table_SourceData_Feedlot_DietProperties[2020-2023 Converted to fraction], "Not Found")</f>
        <v>0.81</v>
      </c>
      <c r="H17" s="2" t="s">
        <v>317</v>
      </c>
      <c r="I17" s="2"/>
      <c r="J17" s="2"/>
      <c r="K17" s="2"/>
    </row>
    <row r="18" spans="1:11" ht="20.100000000000001" customHeight="1" x14ac:dyDescent="0.25">
      <c r="D18" s="1" t="s">
        <v>124</v>
      </c>
      <c r="E18" s="53" cm="1">
        <f t="array" ref="E18">_xlfn.XLOOKUP(1, (Table_SourceData_Feedlot_DietProperties[Feedlot type] = E$13) * (Table_SourceData_Feedlot_DietProperties[Nutrient analysis] = $D$18), Table_SourceData_Feedlot_DietProperties[2020-2023 Converted to fraction], "Not Found")</f>
        <v>0.14000000000000001</v>
      </c>
      <c r="F18" s="53" cm="1">
        <f t="array" ref="F18">_xlfn.XLOOKUP(1, (Table_SourceData_Feedlot_DietProperties[Feedlot type] = F$13) * (Table_SourceData_Feedlot_DietProperties[Nutrient analysis] = $D$18), Table_SourceData_Feedlot_DietProperties[2020-2023 Converted to fraction], "Not Found")</f>
        <v>0.12</v>
      </c>
      <c r="G18" s="53" cm="1">
        <f t="array" ref="G18">_xlfn.XLOOKUP(1, (Table_SourceData_Feedlot_DietProperties[Feedlot type] = G$13) * (Table_SourceData_Feedlot_DietProperties[Nutrient analysis] = $D$18), Table_SourceData_Feedlot_DietProperties[2020-2023 Converted to fraction], "Not Found")</f>
        <v>0.12</v>
      </c>
      <c r="H18" s="2" t="s">
        <v>317</v>
      </c>
      <c r="I18" s="2"/>
      <c r="J18" s="2"/>
      <c r="K18" s="2"/>
    </row>
    <row r="19" spans="1:11" ht="20.100000000000001" customHeight="1" x14ac:dyDescent="0.25">
      <c r="D19" s="1" t="s">
        <v>141</v>
      </c>
      <c r="E19" s="53" cm="1">
        <f t="array" ref="E19">_xlfn.XLOOKUP(1, (Table_SourceData_Feedlot_AnimalCharacteristics[Feedlot type] = E$13) * (Table_SourceData_Feedlot_AnimalCharacteristics[Characteristic] = $D$19), Table_SourceData_Feedlot_AnimalCharacteristics[2020-2023], "Not Found")</f>
        <v>20.399999999999999</v>
      </c>
      <c r="F19" s="53" cm="1">
        <f t="array" ref="F19">_xlfn.XLOOKUP(1, (Table_SourceData_Feedlot_AnimalCharacteristics[Feedlot type] = F$13) * (Table_SourceData_Feedlot_AnimalCharacteristics[Characteristic] = $D$19), Table_SourceData_Feedlot_AnimalCharacteristics[2020-2023], "Not Found")</f>
        <v>12.7</v>
      </c>
      <c r="G19" s="53" cm="1">
        <f t="array" ref="G19">_xlfn.XLOOKUP(1, (Table_SourceData_Feedlot_AnimalCharacteristics[Feedlot type] = G$13) * (Table_SourceData_Feedlot_AnimalCharacteristics[Characteristic] = $D$19), Table_SourceData_Feedlot_AnimalCharacteristics[2020-2023], "Not Found")</f>
        <v>7</v>
      </c>
      <c r="H19" s="2" t="s">
        <v>319</v>
      </c>
      <c r="I19" s="2"/>
      <c r="J19" s="2"/>
      <c r="K19" s="2"/>
    </row>
    <row r="20" spans="1:11" ht="20.100000000000001" customHeight="1" x14ac:dyDescent="0.25">
      <c r="A20" s="145" t="s">
        <v>1</v>
      </c>
    </row>
    <row r="21" spans="1:11" ht="20.100000000000001" customHeight="1" x14ac:dyDescent="0.25">
      <c r="A21" s="17" t="str">
        <f>HYPERLINK("#'Constants - Feedlot'!A1", "Constants - Feedlot")</f>
        <v>Constants - Feedlot</v>
      </c>
      <c r="D21" s="63" t="s">
        <v>291</v>
      </c>
      <c r="E21" s="40" t="s">
        <v>131</v>
      </c>
      <c r="F21" s="40" t="s">
        <v>132</v>
      </c>
      <c r="G21" s="40" t="s">
        <v>133</v>
      </c>
    </row>
    <row r="22" spans="1:11" ht="20.100000000000001" customHeight="1" x14ac:dyDescent="0.25">
      <c r="A22" s="17" t="str">
        <f>HYPERLINK("#'Constants - Common'!A1", "Constants - Common")</f>
        <v>Constants - Common</v>
      </c>
      <c r="D22" s="1" t="s">
        <v>137</v>
      </c>
      <c r="E22" s="65" cm="1">
        <f t="array" ref="E22">_xlfn.XLOOKUP(1, (Table_SourceData_Feedlot_AnimalCharacteristics[Feedlot type] = E$21) * (Table_SourceData_Feedlot_AnimalCharacteristics[Characteristic] = $D$22), Table_SourceData_Feedlot_AnimalCharacteristics[2020-2023], "Not Found")</f>
        <v>10.4</v>
      </c>
      <c r="F22" s="65" cm="1">
        <f t="array" ref="F22">_xlfn.XLOOKUP(1, (Table_SourceData_Feedlot_AnimalCharacteristics[Feedlot type] = F$21) * (Table_SourceData_Feedlot_AnimalCharacteristics[Characteristic] = $D$22), Table_SourceData_Feedlot_AnimalCharacteristics[2020-2023], "Not Found")</f>
        <v>10.8</v>
      </c>
      <c r="G22" s="65" cm="1">
        <f t="array" ref="G22">_xlfn.XLOOKUP(1, (Table_SourceData_Feedlot_AnimalCharacteristics[Feedlot type] = G$21) * (Table_SourceData_Feedlot_AnimalCharacteristics[Characteristic] = $D$22), Table_SourceData_Feedlot_AnimalCharacteristics[2020-2023], "Not Found")</f>
        <v>8.1999999999999993</v>
      </c>
      <c r="H22" s="2" t="s">
        <v>101</v>
      </c>
      <c r="I22" s="2"/>
      <c r="J22" s="2"/>
      <c r="K22" s="2"/>
    </row>
    <row r="23" spans="1:11" ht="20.100000000000001" customHeight="1" x14ac:dyDescent="0.25">
      <c r="A23" s="17" t="str">
        <f>HYPERLINK("#'Constants - Common livestock'!A1", "Constants - Common livestock")</f>
        <v>Constants - Common livestock</v>
      </c>
      <c r="D23" s="1" t="s">
        <v>407</v>
      </c>
      <c r="E23" s="65" cm="1">
        <f t="array" ref="E23">_xlfn.XLOOKUP(1, (Table_SourceData_Feedlot_DietProperties[Feedlot type] = E$21) * (Table_SourceData_Feedlot_DietProperties[Nutrient analysis] = $D$23), Table_SourceData_Feedlot_DietProperties[2020-2023 Converted to fraction], "Not Found")</f>
        <v>4.8</v>
      </c>
      <c r="F23" s="65" cm="1">
        <f t="array" ref="F23">_xlfn.XLOOKUP(1, (Table_SourceData_Feedlot_DietProperties[Feedlot type] = F$21) * (Table_SourceData_Feedlot_DietProperties[Nutrient analysis] = $D$23), Table_SourceData_Feedlot_DietProperties[2020-2023 Converted to fraction], "Not Found")</f>
        <v>5</v>
      </c>
      <c r="G23" s="65" cm="1">
        <f t="array" ref="G23">_xlfn.XLOOKUP(1, (Table_SourceData_Feedlot_DietProperties[Feedlot type] = G$21) * (Table_SourceData_Feedlot_DietProperties[Nutrient analysis] = $D$23), Table_SourceData_Feedlot_DietProperties[2020-2023 Converted to fraction], "Not Found")</f>
        <v>5.5</v>
      </c>
      <c r="H23" s="2" t="s">
        <v>317</v>
      </c>
    </row>
    <row r="24" spans="1:11" ht="20.100000000000001" customHeight="1" x14ac:dyDescent="0.25">
      <c r="A24" s="17" t="str">
        <f>HYPERLINK("#'Acknowledgements'!A1", "Acknowledgements")</f>
        <v>Acknowledgements</v>
      </c>
      <c r="D24" s="1" t="s">
        <v>408</v>
      </c>
      <c r="E24" s="65" cm="1">
        <f t="array" ref="E24">_xlfn.XLOOKUP(1, (Table_SourceData_Feedlot_DietProperties[Feedlot type] = E$21) * (Table_SourceData_Feedlot_DietProperties[Nutrient analysis] = $D$24), Table_SourceData_Feedlot_DietProperties[2020-2023 Converted to fraction], "Not Found")</f>
        <v>22</v>
      </c>
      <c r="F24" s="65" cm="1">
        <f t="array" ref="F24">_xlfn.XLOOKUP(1, (Table_SourceData_Feedlot_DietProperties[Feedlot type] = F$21) * (Table_SourceData_Feedlot_DietProperties[Nutrient analysis] = $D$24), Table_SourceData_Feedlot_DietProperties[2020-2023 Converted to fraction], "Not Found")</f>
        <v>22</v>
      </c>
      <c r="G24" s="65" cm="1">
        <f t="array" ref="G24">_xlfn.XLOOKUP(1, (Table_SourceData_Feedlot_DietProperties[Feedlot type] = G$21) * (Table_SourceData_Feedlot_DietProperties[Nutrient analysis] = $D$24), Table_SourceData_Feedlot_DietProperties[2020-2023 Converted to fraction], "Not Found")</f>
        <v>24</v>
      </c>
      <c r="H24" s="2" t="s">
        <v>317</v>
      </c>
    </row>
    <row r="25" spans="1:11" ht="20.100000000000001" customHeight="1" x14ac:dyDescent="0.25">
      <c r="A25" s="17" t="str">
        <f>HYPERLINK("#'Tab template'!A1", "Tab template")</f>
        <v>Tab template</v>
      </c>
      <c r="D25" s="1" t="s">
        <v>15</v>
      </c>
      <c r="E25" s="65" cm="1">
        <f t="array" ref="E25">_xlfn.XLOOKUP(1, (Table_SourceData_Feedlot_DietProperties[Feedlot type] = E$21) * (Table_SourceData_Feedlot_DietProperties[Nutrient analysis] = $D$25), Table_SourceData_Feedlot_DietProperties[2020-2023 Converted to fraction], "Not Found")</f>
        <v>0.81</v>
      </c>
      <c r="F25" s="65" cm="1">
        <f t="array" ref="F25">_xlfn.XLOOKUP(1, (Table_SourceData_Feedlot_DietProperties[Feedlot type] = F$21) * (Table_SourceData_Feedlot_DietProperties[Nutrient analysis] = $D$25), Table_SourceData_Feedlot_DietProperties[2020-2023 Converted to fraction], "Not Found")</f>
        <v>0.81</v>
      </c>
      <c r="G25" s="65" cm="1">
        <f t="array" ref="G25">_xlfn.XLOOKUP(1, (Table_SourceData_Feedlot_DietProperties[Feedlot type] = G$21) * (Table_SourceData_Feedlot_DietProperties[Nutrient analysis] = $D$25), Table_SourceData_Feedlot_DietProperties[2020-2023 Converted to fraction], "Not Found")</f>
        <v>0.81</v>
      </c>
      <c r="H25" s="2" t="s">
        <v>317</v>
      </c>
      <c r="I25" s="2"/>
      <c r="J25" s="2"/>
      <c r="K25" s="2"/>
    </row>
    <row r="26" spans="1:11" ht="20.100000000000001" customHeight="1" x14ac:dyDescent="0.25">
      <c r="D26" s="1" t="s">
        <v>124</v>
      </c>
      <c r="E26" s="65" cm="1">
        <f t="array" ref="E26">_xlfn.XLOOKUP(1, (Table_SourceData_Feedlot_DietProperties[Feedlot type] = E$21) * (Table_SourceData_Feedlot_DietProperties[Nutrient analysis] = $D$26), Table_SourceData_Feedlot_DietProperties[2020-2023 Converted to fraction], "Not Found")</f>
        <v>0.14000000000000001</v>
      </c>
      <c r="F26" s="65" cm="1">
        <f t="array" ref="F26">_xlfn.XLOOKUP(1, (Table_SourceData_Feedlot_DietProperties[Feedlot type] = F$21) * (Table_SourceData_Feedlot_DietProperties[Nutrient analysis] = $D$26), Table_SourceData_Feedlot_DietProperties[2020-2023 Converted to fraction], "Not Found")</f>
        <v>0.12</v>
      </c>
      <c r="G26" s="65" cm="1">
        <f t="array" ref="G26">_xlfn.XLOOKUP(1, (Table_SourceData_Feedlot_DietProperties[Feedlot type] = G$21) * (Table_SourceData_Feedlot_DietProperties[Nutrient analysis] = $D$26), Table_SourceData_Feedlot_DietProperties[2020-2023 Converted to fraction], "Not Found")</f>
        <v>0.12</v>
      </c>
      <c r="H26" s="2" t="s">
        <v>317</v>
      </c>
      <c r="I26" s="2"/>
      <c r="J26" s="2"/>
      <c r="K26" s="2"/>
    </row>
    <row r="27" spans="1:11" ht="20.100000000000001" customHeight="1" x14ac:dyDescent="0.25">
      <c r="D27" s="1" t="s">
        <v>141</v>
      </c>
      <c r="E27" s="65" cm="1">
        <f t="array" ref="E27">_xlfn.XLOOKUP(1, (Table_SourceData_Feedlot_AnimalCharacteristics[Feedlot type] = E$21) * (Table_SourceData_Feedlot_AnimalCharacteristics[Characteristic] = $D$27), Table_SourceData_Feedlot_AnimalCharacteristics[2020-2023], "Not Found")</f>
        <v>20.399999999999999</v>
      </c>
      <c r="F27" s="65" cm="1">
        <f t="array" ref="F27">_xlfn.XLOOKUP(1, (Table_SourceData_Feedlot_AnimalCharacteristics[Feedlot type] = F$21) * (Table_SourceData_Feedlot_AnimalCharacteristics[Characteristic] = $D$27), Table_SourceData_Feedlot_AnimalCharacteristics[2020-2023], "Not Found")</f>
        <v>12.7</v>
      </c>
      <c r="G27" s="65" cm="1">
        <f t="array" ref="G27">_xlfn.XLOOKUP(1, (Table_SourceData_Feedlot_AnimalCharacteristics[Feedlot type] = G$21) * (Table_SourceData_Feedlot_AnimalCharacteristics[Characteristic] = $D$27), Table_SourceData_Feedlot_AnimalCharacteristics[2020-2023], "Not Found")</f>
        <v>7</v>
      </c>
      <c r="H27" s="2" t="s">
        <v>319</v>
      </c>
      <c r="I27" s="2"/>
      <c r="J27" s="2"/>
      <c r="K27" s="2"/>
    </row>
    <row r="28" spans="1:11" ht="20.100000000000001" customHeight="1" x14ac:dyDescent="0.25"/>
    <row r="29" spans="1:11" ht="20.100000000000001" customHeight="1" x14ac:dyDescent="0.25">
      <c r="D29" s="6" t="s">
        <v>105</v>
      </c>
    </row>
    <row r="30" spans="1:11" ht="20.100000000000001" customHeight="1" x14ac:dyDescent="0.25"/>
    <row r="31" spans="1:11" ht="20.100000000000001" customHeight="1" x14ac:dyDescent="0.25">
      <c r="D31" s="63" t="s">
        <v>99</v>
      </c>
      <c r="E31" s="96" t="s">
        <v>131</v>
      </c>
      <c r="F31" s="96" t="s">
        <v>132</v>
      </c>
      <c r="G31" s="96" t="s">
        <v>133</v>
      </c>
    </row>
    <row r="32" spans="1:11" ht="20.100000000000001" customHeight="1" x14ac:dyDescent="0.25">
      <c r="D32" s="130" t="s">
        <v>94</v>
      </c>
      <c r="E32" s="97">
        <v>1</v>
      </c>
      <c r="F32" s="97">
        <v>1</v>
      </c>
      <c r="G32" s="97">
        <v>1</v>
      </c>
      <c r="H32" s="2" t="s">
        <v>318</v>
      </c>
      <c r="I32" s="2"/>
      <c r="J32" s="2"/>
      <c r="K32" s="2"/>
    </row>
    <row r="33" spans="4:11" ht="20.100000000000001" customHeight="1" x14ac:dyDescent="0.25">
      <c r="D33" s="127" t="s">
        <v>310</v>
      </c>
    </row>
    <row r="34" spans="4:11" ht="20.100000000000001" customHeight="1" x14ac:dyDescent="0.25">
      <c r="D34" s="128" t="s">
        <v>95</v>
      </c>
      <c r="E34" s="96" t="s">
        <v>131</v>
      </c>
      <c r="F34" s="96" t="s">
        <v>132</v>
      </c>
      <c r="G34" s="96" t="s">
        <v>133</v>
      </c>
      <c r="H34" s="133" t="s">
        <v>314</v>
      </c>
      <c r="I34" s="63" t="s">
        <v>321</v>
      </c>
      <c r="J34" s="63"/>
      <c r="K34" s="63"/>
    </row>
    <row r="35" spans="4:11" ht="20.100000000000001" customHeight="1" x14ac:dyDescent="0.25">
      <c r="D35" s="131" t="str">
        <f>"From Stage 1: " &amp; $D$32 &amp; " to:"</f>
        <v>From Stage 1: Drylot (feed pad) to:</v>
      </c>
      <c r="E35" s="56"/>
      <c r="I35" s="121" t="s">
        <v>311</v>
      </c>
      <c r="J35" s="121" t="s">
        <v>312</v>
      </c>
      <c r="K35" s="121" t="s">
        <v>313</v>
      </c>
    </row>
    <row r="36" spans="4:11" ht="20.100000000000001" customHeight="1" x14ac:dyDescent="0.25">
      <c r="D36" s="132" t="str">
        <f>'Constants - Feedlot'!D29</f>
        <v>Solid storage</v>
      </c>
      <c r="E36" s="47">
        <v>0.2</v>
      </c>
      <c r="F36" s="47">
        <v>0.2</v>
      </c>
      <c r="G36" s="47">
        <v>0.2</v>
      </c>
      <c r="H36" s="2" t="s">
        <v>318</v>
      </c>
      <c r="I36" s="47">
        <v>0.25</v>
      </c>
      <c r="J36" s="47">
        <v>0.25</v>
      </c>
      <c r="K36" s="97">
        <f t="shared" ref="K36:K38" si="0">1-SUM(I36:J36)</f>
        <v>0.5</v>
      </c>
    </row>
    <row r="37" spans="4:11" ht="20.100000000000001" customHeight="1" x14ac:dyDescent="0.25">
      <c r="D37" s="132" t="str">
        <f>'Constants - Feedlot'!D30</f>
        <v>Composting (passive windrow)</v>
      </c>
      <c r="E37" s="47">
        <v>0.2</v>
      </c>
      <c r="F37" s="47">
        <v>0.2</v>
      </c>
      <c r="G37" s="47">
        <v>0.2</v>
      </c>
      <c r="H37" s="2" t="s">
        <v>318</v>
      </c>
      <c r="I37" s="47">
        <v>0.25</v>
      </c>
      <c r="J37" s="47">
        <v>0.25</v>
      </c>
      <c r="K37" s="97">
        <f t="shared" si="0"/>
        <v>0.5</v>
      </c>
    </row>
    <row r="38" spans="4:11" ht="20.100000000000001" customHeight="1" x14ac:dyDescent="0.25">
      <c r="D38" s="132" t="s">
        <v>309</v>
      </c>
      <c r="E38" s="97">
        <f>1-SUM(E36, E37)</f>
        <v>0.6</v>
      </c>
      <c r="F38" s="97">
        <f t="shared" ref="F38:G38" si="1">1-SUM(F36, F37)</f>
        <v>0.6</v>
      </c>
      <c r="G38" s="97">
        <f t="shared" si="1"/>
        <v>0.6</v>
      </c>
      <c r="H38" s="2" t="s">
        <v>318</v>
      </c>
      <c r="I38" s="97">
        <v>0</v>
      </c>
      <c r="J38" s="97">
        <v>0</v>
      </c>
      <c r="K38" s="97">
        <f t="shared" si="0"/>
        <v>1</v>
      </c>
    </row>
    <row r="39" spans="4:11" ht="20.100000000000001" customHeight="1" x14ac:dyDescent="0.25"/>
    <row r="40" spans="4:11" ht="20.100000000000001" customHeight="1" x14ac:dyDescent="0.25">
      <c r="D40" s="129" t="s">
        <v>110</v>
      </c>
      <c r="E40" s="96" t="s">
        <v>131</v>
      </c>
      <c r="F40" s="96" t="s">
        <v>132</v>
      </c>
      <c r="G40" s="96" t="s">
        <v>133</v>
      </c>
      <c r="H40" s="133" t="s">
        <v>314</v>
      </c>
      <c r="I40" s="63" t="s">
        <v>320</v>
      </c>
      <c r="J40" s="63"/>
      <c r="K40" s="63"/>
    </row>
    <row r="41" spans="4:11" ht="20.100000000000001" customHeight="1" x14ac:dyDescent="0.25">
      <c r="D41" s="131" t="str">
        <f>"From Stage 1: " &amp; $D$32 &amp; " to:"</f>
        <v>From Stage 1: Drylot (feed pad) to:</v>
      </c>
      <c r="I41" s="121" t="s">
        <v>311</v>
      </c>
      <c r="J41" s="121" t="s">
        <v>312</v>
      </c>
      <c r="K41" s="121" t="s">
        <v>313</v>
      </c>
    </row>
    <row r="42" spans="4:11" ht="20.100000000000001" customHeight="1" x14ac:dyDescent="0.25">
      <c r="D42" s="132" t="str">
        <f>'Constants - Feedlot'!$D$32</f>
        <v>Anaerobic lagoon</v>
      </c>
      <c r="E42" s="97">
        <f>SourceData_Feedlot_MMSm1T3_Data</f>
        <v>0.02</v>
      </c>
      <c r="F42" s="97">
        <f>SourceData_Feedlot_MMSm1T3_Data</f>
        <v>0.02</v>
      </c>
      <c r="G42" s="97">
        <f>SourceData_Feedlot_MMSm1T3_Data</f>
        <v>0.02</v>
      </c>
      <c r="H42" s="2" t="s">
        <v>318</v>
      </c>
      <c r="I42" s="47">
        <v>0.25</v>
      </c>
      <c r="J42" s="47">
        <v>0.25</v>
      </c>
      <c r="K42" s="97">
        <f>1-SUM(I42:J42)</f>
        <v>0.5</v>
      </c>
    </row>
    <row r="43" spans="4:11" ht="20.100000000000001" customHeight="1" x14ac:dyDescent="0.25"/>
    <row r="44" spans="4:11" ht="20.100000000000001" customHeight="1" x14ac:dyDescent="0.25"/>
    <row r="45" spans="4:11" ht="20.100000000000001" customHeight="1" x14ac:dyDescent="0.25">
      <c r="D45" s="1" t="s">
        <v>297</v>
      </c>
      <c r="E45" s="41" t="s">
        <v>265</v>
      </c>
      <c r="F45" s="2" t="s">
        <v>8</v>
      </c>
    </row>
    <row r="46" spans="4:11" ht="20.100000000000001" customHeight="1" x14ac:dyDescent="0.25">
      <c r="E46" s="41" t="s">
        <v>269</v>
      </c>
      <c r="F46" s="2" t="s">
        <v>8</v>
      </c>
    </row>
    <row r="47" spans="4:11" ht="20.100000000000001" customHeight="1" x14ac:dyDescent="0.25">
      <c r="I47" s="2"/>
      <c r="J47" s="2"/>
      <c r="K47" s="2"/>
    </row>
    <row r="48" spans="4:11" ht="20.100000000000001" customHeight="1" x14ac:dyDescent="0.25">
      <c r="I48" s="2"/>
      <c r="J48" s="2"/>
      <c r="K48" s="2"/>
    </row>
    <row r="49" spans="4:11" ht="20.100000000000001" customHeight="1" x14ac:dyDescent="0.25">
      <c r="I49" s="2"/>
      <c r="J49" s="2"/>
      <c r="K49" s="2"/>
    </row>
    <row r="50" spans="4:11" ht="20.100000000000001" customHeight="1" x14ac:dyDescent="0.25"/>
    <row r="51" spans="4:11" ht="20.100000000000001" customHeight="1" x14ac:dyDescent="0.25"/>
    <row r="52" spans="4:11" ht="20.100000000000001" customHeight="1" x14ac:dyDescent="0.25">
      <c r="I52" s="2"/>
      <c r="J52" s="2"/>
      <c r="K52" s="2"/>
    </row>
    <row r="53" spans="4:11" ht="20.100000000000001" customHeight="1" x14ac:dyDescent="0.25">
      <c r="I53" s="2"/>
      <c r="J53" s="2"/>
      <c r="K53" s="2"/>
    </row>
    <row r="54" spans="4:11" ht="20.100000000000001" customHeight="1" x14ac:dyDescent="0.25"/>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32:G32" xr:uid="{AD2F5710-950E-4169-B1DB-B494F727C0BB}">
      <formula1>1</formula1>
    </dataValidation>
    <dataValidation operator="equal" allowBlank="1" showInputMessage="1" showErrorMessage="1" sqref="E42:G42" xr:uid="{C4745536-8208-45E9-8F7A-99B1E2C94379}"/>
    <dataValidation type="list" allowBlank="1" showInputMessage="1" showErrorMessage="1" sqref="E45" xr:uid="{AF94BFC8-A9BD-4286-932B-111409BF1EB6}">
      <formula1>INDIRECT("Table_SourceData_Feedlot_CropProdSystems[Production system]")</formula1>
    </dataValidation>
    <dataValidation type="list" allowBlank="1" showInputMessage="1" showErrorMessage="1" sqref="E46"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opLeftCell="A12" zoomScaleNormal="100" workbookViewId="0">
      <selection activeCell="M26" sqref="M2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Common livestock'!A1", "Constants - Common livestock")</f>
        <v>Constants - Common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4, 1, 1, 3)</f>
        <v>0.81</v>
      </c>
      <c r="E25" s="53">
        <f ca="1"/>
        <v>0.81</v>
      </c>
      <c r="F25" s="53">
        <f ca="1"/>
        <v>0.81</v>
      </c>
      <c r="G25" s="2" t="s">
        <v>317</v>
      </c>
      <c r="M25" s="53" cm="1">
        <f t="array" aca="1" ref="M25:O25" ca="1">OFFSET(X_Table_Feedlot_Intake_Method2, 4,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$F$98</f>
        <v>0</v>
      </c>
      <c r="H153" s="53">
        <f ca="1">$G$98</f>
        <v>0</v>
      </c>
      <c r="I153" s="2"/>
      <c r="M153" s="53">
        <v>2</v>
      </c>
      <c r="N153" s="53" t="str">
        <f>INDEX(X_Table_Feedlot_MMS_Stage2,5,1)</f>
        <v>Direct application</v>
      </c>
      <c r="O153" s="53">
        <f ca="1">$N$98</f>
        <v>0</v>
      </c>
      <c r="P153" s="53">
        <f ca="1">$O$98</f>
        <v>0</v>
      </c>
      <c r="Q153" s="53">
        <f ca="1">$P$98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T217"/>
  <sheetViews>
    <sheetView showGridLines="0" topLeftCell="A155" zoomScaleNormal="100" workbookViewId="0">
      <selection activeCell="E167" sqref="E16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Common livestock'!A1", "Constants - Common livestock")</f>
        <v>Constants - Common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OFFSET(X_Table_Feedlot_Intake_Method1,5,1,1,3)</f>
        <v>0.14000000000000001</v>
      </c>
      <c r="E25" s="53">
        <f ca="1"/>
        <v>0.12</v>
      </c>
      <c r="F25" s="53">
        <f ca="1"/>
        <v>0.12</v>
      </c>
      <c r="G25" s="2" t="s">
        <v>317</v>
      </c>
      <c r="H25" s="2"/>
      <c r="I25" s="2"/>
      <c r="J25" s="2"/>
      <c r="K25" s="2"/>
      <c r="O25" s="53" cm="1">
        <f t="array" aca="1" ref="O25:Q25" ca="1">OFFSET(X_Table_Feedlot_Intake_Method2,5,1,1,3)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OFFSET(X_Table_Feedlot_Intake_Method1,6,1,1,3)/100</f>
        <v>0.20399999999999999</v>
      </c>
      <c r="E49" s="53">
        <f ca="1"/>
        <v>0.127</v>
      </c>
      <c r="F49" s="53">
        <f ca="1"/>
        <v>7.0000000000000007E-2</v>
      </c>
      <c r="G49" s="2" t="s">
        <v>154</v>
      </c>
      <c r="H49" s="2"/>
      <c r="I49" s="2"/>
      <c r="J49" s="2"/>
      <c r="K49" s="2"/>
      <c r="O49" s="53" cm="1">
        <f t="array" aca="1" ref="O49:Q49" ca="1">OFFSET(X_Table_Feedlot_Intake_Method2,6,1,1,3)/100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disablePrompts="1"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S165"/>
  <sheetViews>
    <sheetView showGridLines="0" topLeftCell="A41" zoomScaleNormal="100" workbookViewId="0">
      <selection activeCell="I64" sqref="I6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Common livestock'!A1", "Constants - Common livestock")</f>
        <v>Constants - Common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Feedlot'!$E$45</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Feedlot'!$E$46</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X_Cell_Site_RainfallZone</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S165"/>
  <sheetViews>
    <sheetView showGridLines="0" tabSelected="1" topLeftCell="A80" zoomScaleNormal="100" workbookViewId="0">
      <selection activeCell="O115" sqref="O1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Common livestock'!A1", "Constants - Common livestock")</f>
        <v>Constants - Common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row>
    <row r="33" spans="4:10" ht="20.100000000000001" customHeight="1" x14ac:dyDescent="0.25">
      <c r="D33" s="53" t="s">
        <v>309</v>
      </c>
      <c r="E33" s="53">
        <f>_xlfn.XLOOKUP($D$33, Table_SourceData_Feedlot_NO2EFs[NIR definition], Table_SourceData_Feedlot_NO2EFs[EF mT])</f>
        <v>0</v>
      </c>
      <c r="F33" s="2"/>
    </row>
    <row r="34" spans="4:10" ht="20.100000000000001" customHeight="1" x14ac:dyDescent="0.25">
      <c r="D34" s="53" t="str">
        <f>INDEX(X_Table_Feedlot_MMS_Stage3,3,1)</f>
        <v>Anaerobic lagoon</v>
      </c>
      <c r="E34" s="53">
        <f>_xlfn.XLOOKUP($D$34, Table_SourceData_Feedlot_NO2EFs[NIR definition], Table_SourceData_Feedlot_NO2EFs[EF mT])</f>
        <v>0</v>
      </c>
      <c r="F34" s="2"/>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c r="H49" s="2"/>
      <c r="I49" s="2"/>
      <c r="J49" s="2"/>
    </row>
    <row r="50" spans="3:19" ht="20.100000000000001" customHeight="1" x14ac:dyDescent="0.25">
      <c r="D50" s="53" t="str">
        <f>INDEX(X_Table_Feedlot_MMS_Stage2,5,1)</f>
        <v>Direct application</v>
      </c>
      <c r="E50" s="53">
        <f ca="1">SUM(OFFSET(X_Table_Feedlot_MMS_Stage2_Destinations, 4,1,1,2))</f>
        <v>1</v>
      </c>
      <c r="F50" s="2"/>
      <c r="H50" s="2"/>
      <c r="I50" s="2"/>
      <c r="J50" s="2"/>
    </row>
    <row r="51" spans="3:19" ht="20.100000000000001" customHeight="1" x14ac:dyDescent="0.25">
      <c r="D51" s="53" t="str">
        <f>INDEX(X_Table_Feedlot_MMS_Stage3,3,1)</f>
        <v>Anaerobic lagoon</v>
      </c>
      <c r="E51" s="53">
        <f ca="1">SUM(OFFSET(X_Table_Feedlot_MMS_Stage3_Destinations, 2,1,1,2))</f>
        <v>0.75</v>
      </c>
      <c r="F51" s="2"/>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row>
    <row r="100" spans="4:18" ht="20.100000000000001" customHeight="1" x14ac:dyDescent="0.25">
      <c r="D100" s="53" t="str">
        <f>INDEX(X_Table_Feedlot_MMS_Stage2,5,1)</f>
        <v>Direct application</v>
      </c>
      <c r="E100" s="53">
        <v>0</v>
      </c>
      <c r="F100" s="2"/>
    </row>
    <row r="101" spans="4:18" ht="20.100000000000001" customHeight="1" x14ac:dyDescent="0.25">
      <c r="D101" s="53" t="str">
        <f>INDEX(X_Table_Feedlot_MMS_Stage3,3,1)</f>
        <v>Anaerobic lagoon</v>
      </c>
      <c r="E101" s="53">
        <f>INDEX(X_Table_Feedlot_MMS_Stage3_Destinations,3,2)</f>
        <v>0.25</v>
      </c>
      <c r="F101" s="2"/>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H12" zoomScaleNormal="100" workbookViewId="0">
      <selection activeCell="L27" sqref="L27"/>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Common livestock'!A1", "Constants - Common livestock")</f>
        <v>Constants - Common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L25" s="6" t="s">
        <v>409</v>
      </c>
      <c r="M25" s="1"/>
    </row>
    <row r="26" spans="1:13" ht="20.100000000000001" customHeight="1" x14ac:dyDescent="0.25">
      <c r="L26" s="1" t="s">
        <v>411</v>
      </c>
      <c r="M26" s="1"/>
    </row>
    <row r="27" spans="1:13" ht="20.100000000000001" customHeight="1" x14ac:dyDescent="0.25">
      <c r="D27" s="98" t="s">
        <v>64</v>
      </c>
      <c r="E27" s="38" t="s">
        <v>75</v>
      </c>
      <c r="G27" s="38" t="s">
        <v>267</v>
      </c>
      <c r="J27" s="38" t="s">
        <v>264</v>
      </c>
      <c r="L27" s="38" t="s">
        <v>410</v>
      </c>
      <c r="M27" s="1"/>
    </row>
    <row r="28" spans="1:13" ht="20.100000000000001" customHeight="1" x14ac:dyDescent="0.25">
      <c r="D28" s="38" t="str">
        <f>'Constants - Common livestock'!$E$16</f>
        <v>Drylot (feed pad)</v>
      </c>
      <c r="E28" s="38" t="str">
        <f>'Constants - Common livestock'!$F$16</f>
        <v>Drylot (feed pad) (m=5)</v>
      </c>
      <c r="G28" s="38" t="str">
        <f>'Constants - Common'!$F$188</f>
        <v>Crop</v>
      </c>
      <c r="J28" s="38" t="s">
        <v>269</v>
      </c>
      <c r="L28" s="38" t="s">
        <v>131</v>
      </c>
      <c r="M28" s="1"/>
    </row>
    <row r="29" spans="1:13" ht="20.100000000000001" customHeight="1" x14ac:dyDescent="0.25">
      <c r="D29" s="38" t="str">
        <f>'Constants - Common livestock'!$E$15</f>
        <v>Solid storage</v>
      </c>
      <c r="E29" s="38" t="str">
        <f>'Constants - Common livestock'!$F$15</f>
        <v>Solid storage (m=4)</v>
      </c>
      <c r="G29" s="1" t="str">
        <f>'Constants - Common'!$F$187</f>
        <v>Pasture</v>
      </c>
      <c r="J29" s="38" t="s">
        <v>270</v>
      </c>
      <c r="L29" s="38" t="s">
        <v>132</v>
      </c>
      <c r="M29" s="1"/>
    </row>
    <row r="30" spans="1:13" ht="20.100000000000001" customHeight="1" x14ac:dyDescent="0.25">
      <c r="D30" s="38" t="str">
        <f>'Constants - Common livestock'!$E$17</f>
        <v>Composting (passive windrow)</v>
      </c>
      <c r="E30" s="38" t="str">
        <f>'Constants - Common livestock'!$F$17</f>
        <v>Composting (passive windrow) (m=6)</v>
      </c>
      <c r="J30" s="1" t="s">
        <v>271</v>
      </c>
      <c r="L30" s="38" t="s">
        <v>133</v>
      </c>
      <c r="M30" s="1"/>
    </row>
    <row r="31" spans="1:13" ht="20.100000000000001" customHeight="1" x14ac:dyDescent="0.25">
      <c r="D31" s="38" t="str">
        <f>'Constants - Common livestock'!$E$26</f>
        <v>Direct application</v>
      </c>
      <c r="E31" s="38" t="str">
        <f>'Constants - Common livestock'!$F$26</f>
        <v>Direct application (m=13)</v>
      </c>
      <c r="J31" s="1" t="s">
        <v>272</v>
      </c>
      <c r="M31" s="1"/>
    </row>
    <row r="32" spans="1:13" ht="20.100000000000001" customHeight="1" x14ac:dyDescent="0.25">
      <c r="D32" s="1" t="str">
        <f>'Constants - Common livestock'!$E$10</f>
        <v>Anaerobic lagoon</v>
      </c>
      <c r="E32" s="1" t="str">
        <f>'Constants - Common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6F25-26A3-4520-984A-0571CD11C947}">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8" t="s">
        <v>18</v>
      </c>
      <c r="E6" s="38" t="s">
        <v>19</v>
      </c>
      <c r="F6" s="38" t="s">
        <v>20</v>
      </c>
    </row>
    <row r="7" spans="1:65" ht="20.100000000000001" customHeight="1" x14ac:dyDescent="0.25">
      <c r="A7" s="67"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345</v>
      </c>
      <c r="E257" s="38" t="s">
        <v>346</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358</v>
      </c>
    </row>
    <row r="264" spans="4:6" x14ac:dyDescent="0.25">
      <c r="D264" s="1" t="s">
        <v>359</v>
      </c>
    </row>
    <row r="265" spans="4:6" x14ac:dyDescent="0.25">
      <c r="D265" s="38" t="s">
        <v>360</v>
      </c>
      <c r="E265" s="38" t="s">
        <v>361</v>
      </c>
      <c r="F265" s="38" t="s">
        <v>362</v>
      </c>
    </row>
    <row r="266" spans="4:6" x14ac:dyDescent="0.25">
      <c r="D266" s="38" t="s">
        <v>363</v>
      </c>
      <c r="E266" s="38" t="s">
        <v>364</v>
      </c>
      <c r="F266" s="38">
        <v>5</v>
      </c>
    </row>
    <row r="267" spans="4:6" x14ac:dyDescent="0.25">
      <c r="D267" s="38" t="s">
        <v>365</v>
      </c>
      <c r="E267" s="38" t="s">
        <v>366</v>
      </c>
      <c r="F267" s="38">
        <v>4</v>
      </c>
    </row>
    <row r="268" spans="4:6" x14ac:dyDescent="0.25">
      <c r="D268" s="38" t="s">
        <v>367</v>
      </c>
      <c r="E268" s="38" t="s">
        <v>368</v>
      </c>
      <c r="F268" s="38">
        <v>3</v>
      </c>
    </row>
    <row r="269" spans="4:6" x14ac:dyDescent="0.25">
      <c r="D269" s="38" t="s">
        <v>369</v>
      </c>
      <c r="E269" s="38" t="s">
        <v>370</v>
      </c>
      <c r="F269" s="38">
        <v>2</v>
      </c>
    </row>
    <row r="270" spans="4:6" x14ac:dyDescent="0.25">
      <c r="D270" s="38" t="s">
        <v>371</v>
      </c>
      <c r="E270" s="38" t="s">
        <v>372</v>
      </c>
      <c r="F270" s="38">
        <v>1</v>
      </c>
    </row>
    <row r="273" spans="4:6" x14ac:dyDescent="0.25">
      <c r="D273" s="1" t="s">
        <v>373</v>
      </c>
    </row>
    <row r="274" spans="4:6" x14ac:dyDescent="0.25">
      <c r="D274" s="38" t="s">
        <v>360</v>
      </c>
      <c r="E274" s="38" t="s">
        <v>361</v>
      </c>
      <c r="F274" s="38" t="s">
        <v>362</v>
      </c>
    </row>
    <row r="275" spans="4:6" x14ac:dyDescent="0.25">
      <c r="D275" s="38" t="s">
        <v>374</v>
      </c>
      <c r="E275" s="38" t="s">
        <v>375</v>
      </c>
      <c r="F275" s="38">
        <v>5</v>
      </c>
    </row>
    <row r="276" spans="4:6" x14ac:dyDescent="0.25">
      <c r="D276" s="38" t="s">
        <v>376</v>
      </c>
      <c r="E276" s="38" t="s">
        <v>377</v>
      </c>
      <c r="F276" s="38">
        <v>4</v>
      </c>
    </row>
    <row r="277" spans="4:6" x14ac:dyDescent="0.25">
      <c r="D277" s="38" t="s">
        <v>378</v>
      </c>
      <c r="E277" s="38" t="s">
        <v>379</v>
      </c>
      <c r="F277" s="38">
        <v>3</v>
      </c>
    </row>
    <row r="278" spans="4:6" x14ac:dyDescent="0.25">
      <c r="D278" s="38" t="s">
        <v>380</v>
      </c>
      <c r="E278" s="38" t="s">
        <v>381</v>
      </c>
      <c r="F278" s="38">
        <v>2</v>
      </c>
    </row>
    <row r="279" spans="4:6" x14ac:dyDescent="0.25">
      <c r="D279" s="38" t="s">
        <v>382</v>
      </c>
      <c r="E279" s="38" t="s">
        <v>383</v>
      </c>
      <c r="F279" s="38">
        <v>1</v>
      </c>
    </row>
    <row r="282" spans="4:6" x14ac:dyDescent="0.25">
      <c r="D282" s="1" t="s">
        <v>384</v>
      </c>
    </row>
    <row r="283" spans="4:6" x14ac:dyDescent="0.25">
      <c r="D283" s="38" t="s">
        <v>360</v>
      </c>
      <c r="E283" s="38" t="s">
        <v>361</v>
      </c>
      <c r="F283" s="38" t="s">
        <v>362</v>
      </c>
    </row>
    <row r="284" spans="4:6" x14ac:dyDescent="0.25">
      <c r="D284" s="38" t="s">
        <v>385</v>
      </c>
      <c r="E284" s="38" t="s">
        <v>386</v>
      </c>
      <c r="F284" s="38">
        <v>5</v>
      </c>
    </row>
    <row r="285" spans="4:6" x14ac:dyDescent="0.25">
      <c r="D285" s="38" t="s">
        <v>387</v>
      </c>
      <c r="E285" s="38" t="s">
        <v>388</v>
      </c>
      <c r="F285" s="38">
        <v>4</v>
      </c>
    </row>
    <row r="286" spans="4:6" x14ac:dyDescent="0.25">
      <c r="D286" s="38" t="s">
        <v>389</v>
      </c>
      <c r="E286" s="38" t="s">
        <v>390</v>
      </c>
      <c r="F286" s="38">
        <v>3</v>
      </c>
    </row>
    <row r="287" spans="4:6" x14ac:dyDescent="0.25">
      <c r="D287" s="38" t="s">
        <v>391</v>
      </c>
      <c r="E287" s="38" t="s">
        <v>392</v>
      </c>
      <c r="F287" s="38">
        <v>2</v>
      </c>
    </row>
    <row r="288" spans="4:6" x14ac:dyDescent="0.25">
      <c r="D288" s="38" t="s">
        <v>393</v>
      </c>
      <c r="E288" s="38" t="s">
        <v>394</v>
      </c>
      <c r="F288" s="38">
        <v>1</v>
      </c>
    </row>
    <row r="291" spans="4:6" x14ac:dyDescent="0.25">
      <c r="D291" s="1" t="s">
        <v>395</v>
      </c>
    </row>
    <row r="292" spans="4:6" x14ac:dyDescent="0.25">
      <c r="D292" s="38" t="s">
        <v>360</v>
      </c>
      <c r="E292" s="38" t="s">
        <v>361</v>
      </c>
      <c r="F292" s="38" t="s">
        <v>362</v>
      </c>
    </row>
    <row r="293" spans="4:6" x14ac:dyDescent="0.25">
      <c r="D293" s="38" t="s">
        <v>396</v>
      </c>
      <c r="E293" s="38" t="s">
        <v>397</v>
      </c>
      <c r="F293" s="38">
        <v>5</v>
      </c>
    </row>
    <row r="294" spans="4:6" x14ac:dyDescent="0.25">
      <c r="D294" s="38" t="s">
        <v>398</v>
      </c>
      <c r="E294" s="38" t="s">
        <v>399</v>
      </c>
      <c r="F294" s="38">
        <v>4</v>
      </c>
    </row>
    <row r="295" spans="4:6" x14ac:dyDescent="0.25">
      <c r="D295" s="38" t="s">
        <v>400</v>
      </c>
      <c r="E295" s="38" t="s">
        <v>401</v>
      </c>
      <c r="F295" s="38">
        <v>3</v>
      </c>
    </row>
    <row r="296" spans="4:6" x14ac:dyDescent="0.25">
      <c r="D296" s="38" t="s">
        <v>402</v>
      </c>
      <c r="E296" s="38" t="s">
        <v>403</v>
      </c>
      <c r="F296" s="38">
        <v>2</v>
      </c>
    </row>
    <row r="297" spans="4:6" x14ac:dyDescent="0.25">
      <c r="D297" s="38" t="s">
        <v>404</v>
      </c>
      <c r="E297" s="38" t="s">
        <v>405</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Common livestock'!A1", "Constants - Common livestock")</f>
        <v>Constants - Common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5" sqref="A25"/>
    </sheetView>
  </sheetViews>
  <sheetFormatPr defaultRowHeight="15" x14ac:dyDescent="0.25"/>
  <sheetData>
    <row r="1" spans="1:1" x14ac:dyDescent="0.25">
      <c r="A1" t="s">
        <v>406</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67" t="str">
        <f>HYPERLINK("#'Acknowledgements'!A1", "Acknowledgements")</f>
        <v>Acknowledgements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Common livestock'!A1", "Constants - Common livestock")</f>
        <v>Constants - Common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110</vt:i4>
      </vt:variant>
    </vt:vector>
  </HeadingPairs>
  <TitlesOfParts>
    <vt:vector size="124"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Common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X_Cell_Feedlot_GrazingIrrigationMethod</vt:lpstr>
      <vt:lpstr>X_Cell_Feedlot_GrazingProductionSystem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2026-08-31T05:07:57Z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