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1F40557-3C2A-4A41-9682-8F4E3AF8FC2C}" xr6:coauthVersionLast="47" xr6:coauthVersionMax="47" xr10:uidLastSave="{00000000-0000-0000-0000-000000000000}"/>
  <bookViews>
    <workbookView xWindow="1830" yWindow="375" windowWidth="36330" windowHeight="19485" firstSheet="1" activeTab="8" xr2:uid="{992023F3-CAB7-4E5B-A348-08D563A0EF40}"/>
  </bookViews>
  <sheets>
    <sheet name="Home" sheetId="71" r:id="rId1"/>
    <sheet name="Overview" sheetId="100" r:id="rId2"/>
    <sheet name="Results" sheetId="13" r:id="rId3"/>
    <sheet name="Input - Site" sheetId="15" r:id="rId4"/>
    <sheet name="Input - Feedlot" sheetId="70" r:id="rId5"/>
    <sheet name="4.1.1.1-2 Methane" sheetId="69" r:id="rId6"/>
    <sheet name="4.1.1.3-4 Direct N20" sheetId="76" r:id="rId7"/>
    <sheet name="4.1.1.5-6 Atmos Deposition" sheetId="82" r:id="rId8"/>
    <sheet name="4.1.1.9 Manure applied to soils" sheetId="81" r:id="rId9"/>
    <sheet name="Constants - Feedlot" sheetId="79" r:id="rId10"/>
    <sheet name="Constants - Common" sheetId="106" r:id="rId11"/>
    <sheet name="Constants - Common livestock" sheetId="43" r:id="rId12"/>
    <sheet name="Acknowledgements" sheetId="72" r:id="rId13"/>
    <sheet name="Tab template" sheetId="74" r:id="rId14"/>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'4.1.1.3-4 Direct N20'!$D$82:$F$83</definedName>
    <definedName name="M1_Table_CP_j">'4.1.1.3-4 Direct N20'!$D$24:$F$25</definedName>
    <definedName name="M1_Table_DMD_j">'4.1.1.1-2 Methane'!$D$24:$F$25</definedName>
    <definedName name="M1_Table_E_N2O_dir">'4.1.1.3-4 Direct N20'!$D$205:$G$210</definedName>
    <definedName name="M1_Table_I_j">'4.1.1.3-4 Direct N20'!$D$19:$F$20</definedName>
    <definedName name="M1_Table_I_j_Consumer_1">'4.1.1.1-2 Methane'!$D$19:$F$20</definedName>
    <definedName name="M1_Table_M_j_m_T">'4.1.1.1-2 Methane'!$D$149:$H$154</definedName>
    <definedName name="M1_Table_M_j_m_T2">'4.1.1.1-2 Methane'!$D$95:$G$98</definedName>
    <definedName name="M1_Table_M_j_m1_T3">'4.1.1.1-2 Methane'!$D$124:$G$125</definedName>
    <definedName name="M1_Table_M_j_m5_T1">'4.1.1.1-2 Methane'!$D$56:$G$57</definedName>
    <definedName name="M1_Table_MCF_i_m">'4.1.1.1-2 Methane'!$D$86:$F$89</definedName>
    <definedName name="M1_Table_MMS_ATMOS">'4.1.1.5-6 Atmos Deposition'!$D$39:$G$44</definedName>
    <definedName name="M1_Table_MN_j_m_T">'4.1.1.5-6 Atmos Deposition'!$D$22:$G$27</definedName>
    <definedName name="M1_Table_MN_j_m_T2">'4.1.1.3-4 Direct N20'!$O$173:$R$176</definedName>
    <definedName name="M1_Table_MN_j_m_T2_Consumer_1">'4.1.1.3-4 Direct N20'!$D$173:$G$176</definedName>
    <definedName name="M1_Table_MN_j_m_T23">'4.1.1.9 Manure applied to soils'!$D$21:$G$25</definedName>
    <definedName name="M1_Table_MN_j_m1_T3">'4.1.1.3-4 Direct N20'!$D$128:$G$129</definedName>
    <definedName name="M1_Table_MN_j_m5_T1">'4.1.1.3-4 Direct N20'!$D$105:$G$106</definedName>
    <definedName name="M1_Table_MNSoil_scope1">'4.1.1.9 Manure applied to soils'!$D$55:$G$59</definedName>
    <definedName name="M1_Table_MNSoil_scope3">'4.1.1.9 Manure applied to soils'!$D$81:$G$85</definedName>
    <definedName name="M1_Table_MNSoil_scope3_fert">'4.1.1.9 Manure applied to soils'!$D$105:$G$109</definedName>
    <definedName name="M1_Table_NE_j">'4.1.1.3-4 Direct N20'!$D$53:$F$54</definedName>
    <definedName name="M1_Table_NI_j">'4.1.1.3-4 Direct N20'!$D$29:$F$30</definedName>
    <definedName name="M1_Table_NR_j">'4.1.1.3-4 Direct N20'!$D$48:$F$49</definedName>
    <definedName name="M1_Table_NT_j_m_T2">'4.1.1.3-4 Direct N20'!$D$148:$F$149</definedName>
    <definedName name="M1_Table_VS_j">'4.1.1.1-2 Methane'!$D$29:$F$30</definedName>
    <definedName name="M2_Table_AE_j">'4.1.1.3-4 Direct N20'!$O$82:$Q$83</definedName>
    <definedName name="M2_Table_CP_j">'4.1.1.3-4 Direct N20'!$O$24:$Q$25</definedName>
    <definedName name="M2_Table_DMD_j">'4.1.1.1-2 Methane'!$M$24:$O$25</definedName>
    <definedName name="M2_Table_E_N2O_dir">'4.1.1.3-4 Direct N20'!$O$205:$R$210</definedName>
    <definedName name="M2_Table_I_j">'4.1.1.3-4 Direct N20'!$O$19:$Q$20</definedName>
    <definedName name="M2_Table_I_j_Consumer_1">'4.1.1.1-2 Methane'!$M$19:$O$20</definedName>
    <definedName name="M2_Table_M_j_m_T">'4.1.1.1-2 Methane'!$M$149:$Q$154</definedName>
    <definedName name="M2_Table_M_j_m_T2">'4.1.1.1-2 Methane'!$M$95:$P$98</definedName>
    <definedName name="M2_Table_M_j_m1_T3">'4.1.1.1-2 Methane'!$M$124:$P$125</definedName>
    <definedName name="M2_Table_M_j_m5_T1">'4.1.1.1-2 Methane'!$M$56:$P$57</definedName>
    <definedName name="M2_Table_MCF_i_m">'4.1.1.1-2 Methane'!$M$86:$O$89</definedName>
    <definedName name="M2_Table_MMS_ATMOS">'4.1.1.5-6 Atmos Deposition'!$M$39:$P$44</definedName>
    <definedName name="M2_Table_MN_j_m_T">'4.1.1.5-6 Atmos Deposition'!$M$22:$P$27</definedName>
    <definedName name="M2_Table_MN_j_m_T23">'4.1.1.9 Manure applied to soils'!$N$21:$Q$25</definedName>
    <definedName name="M2_Table_MN_j_m1_T3">'4.1.1.3-4 Direct N20'!$O$128:$R$129</definedName>
    <definedName name="M2_Table_MN_j_m5_T1">'4.1.1.3-4 Direct N20'!$O$105:$R$106</definedName>
    <definedName name="M2_Table_MNSoil_scope1">'4.1.1.9 Manure applied to soils'!$N$55:$Q$59</definedName>
    <definedName name="M2_Table_MNSoil_scope3">'4.1.1.9 Manure applied to soils'!$N$81:$Q$85</definedName>
    <definedName name="M2_Table_MNSoil_scope3_fert">'4.1.1.9 Manure applied to soils'!$N$105:$Q$109</definedName>
    <definedName name="M2_Table_NE_j">'4.1.1.3-4 Direct N20'!$O$53:$Q$54</definedName>
    <definedName name="M2_Table_NI_j">'4.1.1.3-4 Direct N20'!$O$29:$Q$30</definedName>
    <definedName name="M2_Table_NR_j">'4.1.1.3-4 Direct N20'!$O$48:$Q$49</definedName>
    <definedName name="M2_Table_NT_j_m_T2">'4.1.1.3-4 Direct N20'!$O$148:$Q$149</definedName>
    <definedName name="M2_Table_VS_j">'4.1.1.1-2 Methane'!$M$29:$O$30</definedName>
    <definedName name="MMS_Feedlot_AtmosphericDeposition_Equations.VEERG_4_1_1_5__1_TotalAnnualAtmosphericDepositionEmissions">_xlfn.LAMBDA(_xlpm.MMS_ATMOS,_xlpm.EF_N2O,_xlpm.C_N2O, (_xlpm.MMS_ATMOS * _xlpm.EF_N2O * _xlpm.C_N2O) * 10 ^ -3)</definedName>
    <definedName name="MMS_Feedlot_AtmosphericDeposition_Equations.VEERG_4_1_1_5__1_TotalAnnualAtmosphericDepositionEmissions_Arguments">_xlfn.LAMBDA(_xlfn.MAKEARRAY(6, 4, _xlfn.LAMBDA(_xlpm.r,_xlpm.c, INDEX({"MMS_ATMOS","mass of N volatilised from MMS","kg N","Calculated from 4.1.1.5 (2)";"EF_N2O","nitrous oxide emission factor for atmospheric deposition","kg N2O-N/kg N","Constant";"C_N2O","factor to convert elemental mass of nitrous oxide to molecular mass","","Constant";"j","production system","","Input";"i","irrigation method","","Input";"r","rainfall zone","","Input"}, _xlpm.r, _xlpm.c))))</definedName>
    <definedName name="MMS_Feedlot_AtmosphericDeposition_Equations.VEERG_4_1_1_5__1_TotalAnnualAtmosphericDepositionEmissions_LatexEquation">_xlfn.LAMBDA("E_{N2O,ad}=(MMS_{ATMOS}\times EF_{N2O}\times C_{N2O})\times10^{-3}")</definedName>
    <definedName name="MMS_Feedlot_AtmosphericDeposition_Equations.VEERG_4_1_1_5__1_TotalAnnualAtmosphericDepositionEmissions_NIRReference">_xlfn.LAMBDA("")</definedName>
    <definedName name="MMS_Feedlot_AtmosphericDeposition_Equations.VEERG_4_1_1_5__1_TotalAnnualAtmosphericDepositionEmissions_Source">_xlfn.LAMBDA("VEERG 2026: 4.1.1.5, Equation (1)")</definedName>
    <definedName name="MMS_Feedlot_AtmosphericDeposition_Equations.VEERG_4_1_1_5__1_TotalAnnualAtmosphericDepositionEmissions_Title">_xlfn.LAMBDA("Total annual atmospheric deposition emissions from manure management")</definedName>
    <definedName name="MMS_Feedlot_AtmosphericDeposition_Equations.VEERG_4_1_1_5__1_TotalAnnualAtmosphericDepositionEmissions_Unit">_xlfn.LAMBDA("t N2O")</definedName>
    <definedName name="MMS_Feedlot_AtmosphericDeposition_Equations.VEERG_4_1_1_5__1_TotalAnnualAtmosphericDepositionEmissions_Variable">_xlfn.LAMBDA("E_N2Oad")</definedName>
    <definedName name="MMS_Feedlot_AtmosphericDeposition_Equations.VEERG_4_1_1_5__2_VolatilisedNitrogenFromManureManagement">_xlfn.LAMBDA(_xlpm.MN_jmT,_xlpm.FracGASM_mT, _xlpm.MN_jmT * _xlpm.FracGASM_mT)</definedName>
    <definedName name="MMS_Feedlot_AtmosphericDeposition_Equations.VEERG_4_1_1_5__2_VolatilisedNitrogenFromManureManagement_Arguments">_xlfn.LAMBDA(_xlfn.MAKEARRAY(2, 4, _xlfn.LAMBDA(_xlpm.r,_xlpm.c, INDEX({"MN_jmT","nitrogen in each treatment stage MMS (excluding MN_ijm13T2)","kg N","Calculated from 4.1.1.3 (2)(6)(8)";"FracGASM_mT","fraction of N volatilised in each MMS","(kg NH3-N + NOx-N)/kg N","Constant"}, _xlpm.r, _xlpm.c))))</definedName>
    <definedName name="MMS_Feedlot_AtmosphericDeposition_Equations.VEERG_4_1_1_5__2_VolatilisedNitrogenFromManureManagement_LatexEquation">_xlfn.LAMBDA("MMS_{ATMOS}=\sum_{j}\sum_{m}\sum_{T}(MN_{jmT}\times FracGASM_{mT})")</definedName>
    <definedName name="MMS_Feedlot_AtmosphericDeposition_Equations.VEERG_4_1_1_5__2_VolatilisedNitrogenFromManureManagement_NIRReference">_xlfn.LAMBDA("")</definedName>
    <definedName name="MMS_Feedlot_AtmosphericDeposition_Equations.VEERG_4_1_1_5__2_VolatilisedNitrogenFromManureManagement_Source">_xlfn.LAMBDA("VEERG 2026: 4.1.1.5, Equation (2)")</definedName>
    <definedName name="MMS_Feedlot_AtmosphericDeposition_Equations.VEERG_4_1_1_5__2_VolatilisedNitrogenFromManureManagement_Title">_xlfn.LAMBDA("Volatilised nitrogen from manure management")</definedName>
    <definedName name="MMS_Feedlot_AtmosphericDeposition_Equations.VEERG_4_1_1_5__2_VolatilisedNitrogenFromManureManagement_Unit">_xlfn.LAMBDA("kg N")</definedName>
    <definedName name="MMS_Feedlot_AtmosphericDeposition_Equations.VEERG_4_1_1_5__2_VolatilisedNitrogenFromManureManagement_Variable">_xlfn.LAMBDA("MMS_ATMOS")</definedName>
    <definedName name="MMS_Feedlot_ManureAppliedToSoils_Equations.VEERG_4_1_1_9__1_MassOfNitrogenAppliedToSoilsScope1">_xlfn.LAMBDA(_xlpm.MN_jmT23,_xlpm.EF_mT23,_xlpm.FracGASM_mT23,_xlpm.PF, (_xlpm.MN_jmT23 * (1 - _xlpm.EF_mT23 - _xlpm.FracGASM_mT23)) * _xlpm.PF)</definedName>
    <definedName name="MMS_Feedlot_ManureAppliedToSoils_Equations.VEERG_4_1_1_9__1_MassOfNitrogenAppliedToSoilsScope1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1_MassOfNitrogenAppliedToSoilsScope1_LatexEquation">_xlfn.LAMBDA("MNSoil_{scope1}=\sum_{j}\sum_{m}\sum_{T}(MN_{jmT=2,3}\times(1-EF_{mT=2,3}-FracGASM_{mT=2,3}))\times PF")</definedName>
    <definedName name="MMS_Feedlot_ManureAppliedToSoils_Equations.VEERG_4_1_1_9__1_MassOfNitrogenAppliedToSoilsScope1_NIRReference">_xlfn.LAMBDA("")</definedName>
    <definedName name="MMS_Feedlot_ManureAppliedToSoils_Equations.VEERG_4_1_1_9__1_MassOfNitrogenAppliedToSoilsScope1_Source">_xlfn.LAMBDA("VEERG 2026: 4.1.1.9, Equation (1)")</definedName>
    <definedName name="MMS_Feedlot_ManureAppliedToSoils_Equations.VEERG_4_1_1_9__1_MassOfNitrogenAppliedToSoilsScope1_Title">_xlfn.LAMBDA("Mass of nitrogen applied to soils for scope 1 emissions")</definedName>
    <definedName name="MMS_Feedlot_ManureAppliedToSoils_Equations.VEERG_4_1_1_9__1_MassOfNitrogenAppliedToSoilsScope1_Unit">_xlfn.LAMBDA("kg N")</definedName>
    <definedName name="MMS_Feedlot_ManureAppliedToSoils_Equations.VEERG_4_1_1_9__1_MassOfNitrogenAppliedToSoilsScope1_Variable">_xlfn.LAMBDA("MNSoil_scope1")</definedName>
    <definedName name="MMS_Feedlot_ManureAppliedToSoils_Equations.VEERG_4_1_1_9__2_MassOfNitrogenAppliedToSoilsScope3">_xlfn.LAMBDA(_xlpm.MN_jmT23,_xlpm.EF_mT23,_xlpm.FracGASM_mT23,_xlpm.PF, (_xlpm.MN_jmT23 * (1 - _xlpm.EF_mT23 - _xlpm.FracGASM_mT23)) * (1 - _xlpm.PF))</definedName>
    <definedName name="MMS_Feedlot_ManureAppliedToSoils_Equations.VEERG_4_1_1_9__2_MassOfNitrogenAppliedToSoilsScope3_Arguments">_xlfn.LAMBDA(_xlfn.MAKEARRAY(4, 4, _xlfn.LAMBDA(_xlpm.r,_xlpm.c, INDEX({"MN_jmT23","mass of N in secondary and tertiary treatment MMS stages as calculated for manure management","kg N","Calculated from 4.1.1.3 (6)(8)";"EF_mT23","nitrous oxide emission factor for each MMS","kg N2O-N/kg N","Constant";"FracGASM_mT23","fraction of animal waste N volatilised in each MMS for each cattle group","(kg NH3-N + NOx-N)/kg N","Constant";"PF","fraction of manure applied to soil within the feedlot boundary","fraction","Input"}, _xlpm.r, _xlpm.c))))</definedName>
    <definedName name="MMS_Feedlot_ManureAppliedToSoils_Equations.VEERG_4_1_1_9__2_MassOfNitrogenAppliedToSoilsScope3_LatexEquation">_xlfn.LAMBDA("MNSoil_{scope3}=\sum_{j}\sum_{m}\sum_{T}(MN_{jmT=2,3}\times(1-EF_{mT=2,3}-FracGASM_{mT=2,3}))\times(1-PF)")</definedName>
    <definedName name="MMS_Feedlot_ManureAppliedToSoils_Equations.VEERG_4_1_1_9__2_MassOfNitrogenAppliedToSoilsScope3_NIRReference">_xlfn.LAMBDA("")</definedName>
    <definedName name="MMS_Feedlot_ManureAppliedToSoils_Equations.VEERG_4_1_1_9__2_MassOfNitrogenAppliedToSoilsScope3_Source">_xlfn.LAMBDA("VEERG 2026: 4.1.1.9, Equation (2)")</definedName>
    <definedName name="MMS_Feedlot_ManureAppliedToSoils_Equations.VEERG_4_1_1_9__2_MassOfNitrogenAppliedToSoilsScope3_Title">_xlfn.LAMBDA("Mass of nitrogen applied to soils for scope 3 emissions")</definedName>
    <definedName name="MMS_Feedlot_ManureAppliedToSoils_Equations.VEERG_4_1_1_9__2_MassOfNitrogenAppliedToSoilsScope3_Unit">_xlfn.LAMBDA("kg N")</definedName>
    <definedName name="MMS_Feedlot_ManureAppliedToSoils_Equations.VEERG_4_1_1_9__2_MassOfNitrogenAppliedToSoilsScope3_Variable">_xlfn.LAMBDA("MNSoil_scope3")</definedName>
    <definedName name="MMS_Feedlot_Methane_Equations.VEERG_4_1_1_1__1_TotalAnnualMethaneEmissions">_xlfn.LAMBDA(_xlpm.D_j,_xlpm.M_jmT,_xlpm.N_j, (_xlpm.D_j * _xlpm.M_jmT * _xlpm.N_j) * 10 ^ -3)</definedName>
    <definedName name="MMS_Feedlot_Methane_Equations.VEERG_4_1_1_1__1_TotalAnnualMethaneEmissions_Arguments">_xlfn.LAMBDA(_xlfn.MAKEARRAY(3, 4, _xlfn.LAMBDA(_xlpm.r,_xlpm.c, INDEX({"D_j","length of stay of each cattle group","days","Input";"M_jmT","methane production from manure per cattle group, MMS, and treatment stage","kg CH4/head/day","Calculated from 4.1.1.1 (2)(3)(4)";"N_j","numbers of beef cattle in each group","head","Input"}, _xlpm.r, _xlpm.c))))</definedName>
    <definedName name="MMS_Feedlot_Methane_Equations.VEERG_4_1_1_1__1_TotalAnnualMethaneEmissions_LatexEquation">_xlfn.LAMBDA("{E}_{CH4}=\sum_{j}\sum_{m}\sum_{T}(D_{j}\times M_{jmT}\times N_{j})\times10^{-3}")</definedName>
    <definedName name="MMS_Feedlot_Methane_Equations.VEERG_4_1_1_1__1_TotalAnnualMethaneEmissions_NIRReference">_xlfn.LAMBDA("")</definedName>
    <definedName name="MMS_Feedlot_Methane_Equations.VEERG_4_1_1_1__1_TotalAnnualMethaneEmissions_Source">_xlfn.LAMBDA("VEERG 2026: 4.1.1.1, Equation (1)")</definedName>
    <definedName name="MMS_Feedlot_Methane_Equations.VEERG_4_1_1_1__1_TotalAnnualMethaneEmissions_Title">_xlfn.LAMBDA("Total annual methane emissions from manure management")</definedName>
    <definedName name="MMS_Feedlot_Methane_Equations.VEERG_4_1_1_1__1_TotalAnnualMethaneEmissions_Unit">_xlfn.LAMBDA("t CH4")</definedName>
    <definedName name="MMS_Feedlot_Methane_Equations.VEERG_4_1_1_1__1_TotalAnnualMethaneEmissions_Variable">_xlfn.LAMBDA("E_CH4")</definedName>
    <definedName name="MMS_Feedlot_Methane_Equations.VEERG_4_1_1_1__2_Stage1MethaneProductionDrylot">_xlfn.LAMBDA(_xlpm.VS_j,_xlpm.BO,_xlpm.MMS_m5T1,_xlpm.MCF_im5,_xlpm.rho, _xlfn.LET(_xlpm.MCF_im5, IF(ISNUMBER(_xlpm.MCF_im5), _xlpm.MCF_im5, 0), _xlpm.VS_j * _xlpm.BO * _xlpm.MMS_m5T1 * _xlpm.MCF_im5 * _xlpm.rho))</definedName>
    <definedName name="MMS_Feedlot_Methane_Equations.VEERG_4_1_1_1__2_Stage1MethaneProductionDrylot_Arguments">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Arguments_Method2">_xlfn.LAMBDA(_xlfn.MAKEARRAY(6, 4, _xlfn.LAMBDA(_xlpm.r,_xlpm.c, INDEX({"VS_j","volatile solid production from feedlot cattle in each group","kg/head/day","Calculated from 4.1.1.1 (5)";"BO","emissions potential","m3 CH4/kg VS","Constant";"MMS_m5T1","fraction of manure in primary system drylot MMS","fraction","Input";"MCF_im5","methane conversion factor for state and drylot system","fraction","Constant";"rho","density of methane","kg/m3","Constant";"i","state","","Input"}, _xlpm.r, _xlpm.c))))</definedName>
    <definedName name="MMS_Feedlot_Methane_Equations.VEERG_4_1_1_1__2_Stage1MethaneProductionDrylot_LatexEquation">_xlfn.LAMBDA("M_{jm=5,T=1}=VS_{j}\times BO\times MMS_{m=5,T=1}\times MCF_{im=5}\times \rho")</definedName>
    <definedName name="MMS_Feedlot_Methane_Equations.VEERG_4_1_1_1__2_Stage1MethaneProductionDrylot_NIRReference">_xlfn.LAMBDA("")</definedName>
    <definedName name="MMS_Feedlot_Methane_Equations.VEERG_4_1_1_1__2_Stage1MethaneProductionDrylot_Source">_xlfn.LAMBDA("VEERG 2026: 4.1.1.1, Equation (2)")</definedName>
    <definedName name="MMS_Feedlot_Methane_Equations.VEERG_4_1_1_1__2_Stage1MethaneProductionDrylot_Title">_xlfn.LAMBDA("Production of methane in treatment stage 1 MMS")</definedName>
    <definedName name="MMS_Feedlot_Methane_Equations.VEERG_4_1_1_1__2_Stage1MethaneProductionDrylot_Unit">_xlfn.LAMBDA("kg CH4/head/day")</definedName>
    <definedName name="MMS_Feedlot_Methane_Equations.VEERG_4_1_1_1__2_Stage1MethaneProductionDrylot_Variable">_xlfn.LAMBDA("M_jm5T1")</definedName>
    <definedName name="MMS_Feedlot_Methane_Equations.VEERG_4_1_1_1__3_Stage2MethaneProduction">_xlfn.LAMBDA(_xlpm.VSL,_xlpm.VS_j,_xlpm.BO,_xlpm.MMS_mT2,_xlpm.MCF_im,_xlpm.rho, (1 - _xlpm.VSL) * _xlpm.VS_j * _xlpm.BO * _xlpm.MMS_mT2 * _xlpm.MCF_im * _xlpm.rho)</definedName>
    <definedName name="MMS_Feedlot_Methane_Equations.VEERG_4_1_1_1__3_Stage2MethaneProduction_Arguments">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state and MMS","fraction","Constant";"rho","density of methane","kg/m3","Constant";"i","state","","Input"}, _xlpm.r, _xlpm.c))))</definedName>
    <definedName name="MMS_Feedlot_Methane_Equations.VEERG_4_1_1_1__3_Stage2MethaneProduction_Arguments_Method2">_xlfn.LAMBDA(_xlfn.MAKEARRAY(7, 4, _xlfn.LAMBDA(_xlpm.r,_xlpm.c, INDEX({"VSL","fraction of volatile solids lost during storage in the primary system","fraction","Constant";"VS_j","volatile solid production from feedlot cattle in each group","kg/head/day","Calculated from 4.1.1.1 (5)";"BO","emissions potential","m3 CH4/kg VS","Constant";"MMS_mT2","fraction of manure in each secondary system","fraction","Input";"MCF_im","methane conversion factor for mean annual temperature and MMS","fraction","Constant";"rho","density of methane","kg/m3","Constant";"i","Mean annual temperature","","Input"}, _xlpm.r, _xlpm.c))))</definedName>
    <definedName name="MMS_Feedlot_Methane_Equations.VEERG_4_1_1_1__3_Stage2MethaneProduction_LatexEquation">_xlfn.LAMBDA("M_{jmT=2}=(1-VSL)\times VS_{j}\times BO\times MMS_{mT=2}\times MCF_{im}\times \rho")</definedName>
    <definedName name="MMS_Feedlot_Methane_Equations.VEERG_4_1_1_1__3_Stage2MethaneProduction_NIRReference">_xlfn.LAMBDA("")</definedName>
    <definedName name="MMS_Feedlot_Methane_Equations.VEERG_4_1_1_1__3_Stage2MethaneProduction_Source">_xlfn.LAMBDA("VEERG 2026: 4.1.1.1, Equation (3)")</definedName>
    <definedName name="MMS_Feedlot_Methane_Equations.VEERG_4_1_1_1__3_Stage2MethaneProduction_Title">_xlfn.LAMBDA("Production of methane in treatment stage 2 MMS")</definedName>
    <definedName name="MMS_Feedlot_Methane_Equations.VEERG_4_1_1_1__3_Stage2MethaneProduction_Unit">_xlfn.LAMBDA("kg CH4/head/day")</definedName>
    <definedName name="MMS_Feedlot_Methane_Equations.VEERG_4_1_1_1__3_Stage2MethaneProduction_Variable">_xlfn.LAMBDA("M_jmT2")</definedName>
    <definedName name="MMS_Feedlot_Methane_Equations.VEERG_4_1_1_1__4_Stage3MethaneProductionAnaerobicLagoon">_xlfn.LAMBDA(_xlpm.VS_j,_xlpm.BO,_xlpm.MMS_m1T3,_xlpm.MCF_im1,_xlpm.rho, _xlpm.VS_j * _xlpm.BO * _xlpm.MMS_m1T3 * _xlpm.MCF_im1 * _xlpm.rho)</definedName>
    <definedName name="MMS_Feedlot_Methane_Equations.VEERG_4_1_1_1__4_Stage3MethaneProductionAnaerobicLagoon_Arguments">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state and anaerobic lagoon system","fraction","Constant";"rho","density of methane","kg/m3","Constant";"i","state","","Input"}, _xlpm.r, _xlpm.c))))</definedName>
    <definedName name="MMS_Feedlot_Methane_Equations.VEERG_4_1_1_1__4_Stage3MethaneProductionAnaerobicLagoon_Arguments_Method2">_xlfn.LAMBDA(_xlfn.MAKEARRAY(6, 4, _xlfn.LAMBDA(_xlpm.r,_xlpm.c, INDEX({"VS_j","volatile solid production from feedlot cattle in each group j","kg/head/day","Calculated from 4.1.1.1 (5)";"BO","emissions potential","m3 CH4/kg VS","Constant";"MMS_m1T3","fraction of manure to tertiary anaerobic lagoon system","fraction","Input";"MCF_im1","methane conversion factor for mean annual temperature and anaerobic lagoon system","fraction","Constant";"rho","density of methane","kg/m3","Constant";"i","Mean annual temperature","","Input"}, _xlpm.r, _xlpm.c))))</definedName>
    <definedName name="MMS_Feedlot_Methane_Equations.VEERG_4_1_1_1__4_Stage3MethaneProductionAnaerobicLagoon_LatexEquation">_xlfn.LAMBDA("M_{jm=1,T=3}=VS_{j}\times BO\times MMS_{m=1,T=3}\times MCF_{im=1}\times \rho")</definedName>
    <definedName name="MMS_Feedlot_Methane_Equations.VEERG_4_1_1_1__4_Stage3MethaneProductionAnaerobicLagoon_NIRReference">_xlfn.LAMBDA("")</definedName>
    <definedName name="MMS_Feedlot_Methane_Equations.VEERG_4_1_1_1__4_Stage3MethaneProductionAnaerobicLagoon_Source">_xlfn.LAMBDA("VEERG 2026: 4.1.1.1, Equation (4)")</definedName>
    <definedName name="MMS_Feedlot_Methane_Equations.VEERG_4_1_1_1__4_Stage3MethaneProductionAnaerobicLagoon_Title">_xlfn.LAMBDA("Production of methane in treatment stage 3 MMS")</definedName>
    <definedName name="MMS_Feedlot_Methane_Equations.VEERG_4_1_1_1__4_Stage3MethaneProductionAnaerobicLagoon_Unit">_xlfn.LAMBDA("kg CH4/head/day")</definedName>
    <definedName name="MMS_Feedlot_Methane_Equations.VEERG_4_1_1_1__4_Stage3MethaneProductionAnaerobicLagoon_Variable">_xlfn.LAMBDA("M_jm1T3")</definedName>
    <definedName name="MMS_Feedlot_Methane_Equations.VEERG_4_1_1_1__5_VolatileSolidProduction">_xlfn.LAMBDA(_xlpm.I_j,_xlpm.DMD_j,_xlpm.A, _xlpm.I_j * (1 - _xlpm.DMD_j) * (1 - _xlpm.A))</definedName>
    <definedName name="MMS_Feedlot_Methane_Equations.VEERG_4_1_1_1__5_VolatileSolidProduction_Arguments">_xlfn.LAMBDA(_xlfn.MAKEARRAY(3, 4, _xlfn.LAMBDA(_xlpm.r,_xlpm.c, INDEX({"I_j","dry matter intake for each group j","kg DM/head/day","Input";"DMD_j","dry matter digestibility for each group j","fraction","Input";"A","ash content of manure","fraction","Constant"}, _xlpm.r, _xlpm.c))))</definedName>
    <definedName name="MMS_Feedlot_Methane_Equations.VEERG_4_1_1_1__5_VolatileSolidProduction_LatexEquation">_xlfn.LAMBDA("VS_{j}=I_{j}\times(1-DMD_{j})\times(1-A)")</definedName>
    <definedName name="MMS_Feedlot_Methane_Equations.VEERG_4_1_1_1__5_VolatileSolidProduction_NIRReference">_xlfn.LAMBDA("")</definedName>
    <definedName name="MMS_Feedlot_Methane_Equations.VEERG_4_1_1_1__5_VolatileSolidProduction_Source">_xlfn.LAMBDA("VEERG 2026: 4.1.1.1, Equation (5)")</definedName>
    <definedName name="MMS_Feedlot_Methane_Equations.VEERG_4_1_1_1__5_VolatileSolidProduction_Title">_xlfn.LAMBDA("Volatile solid production")</definedName>
    <definedName name="MMS_Feedlot_Methane_Equations.VEERG_4_1_1_1__5_VolatileSolidProduction_Unit">_xlfn.LAMBDA("kg/head/day")</definedName>
    <definedName name="MMS_Feedlot_Methane_Equations.VEERG_4_1_1_1__5_VolatileSolidProduction_Variable">_xlfn.LAMBDA("VS_j")</definedName>
    <definedName name="MMS_Feedlot_N2ODirect_Equations.VEERG_4_1_1_3__1_TotalAnnualDirectNitrousOxideEmissions">_xlfn.LAMBDA(_xlpm.MN_jmT,_xlpm.EF_jm,_xlpm.C_N2O, SUMPRODUCT(_xlpm.MN_jmT, _xlpm.EF_jm, _xlpm.C_N2O) * 10 ^ -3)</definedName>
    <definedName name="MMS_Feedlot_N2ODirect_Equations.VEERG_4_1_1_3__1_TotalAnnualDirectNitrousOxideEmissions_Arguments">_xlfn.LAMBDA(_xlfn.MAKEARRAY(3, 4, _xlfn.LAMBDA(_xlpm.r,_xlpm.c, INDEX({"MN_jmT","nitrogen per cattle group, MMS and treatment stage","kg N","Calculated from 4.1.1.3 (2)(6)(8)";"EF_jm","nitrous oxide emission factor for MMS","kg N2O-N/kg N","Constant";"C_N2O","factor to convert elemental mass of nitrous oxide to molecular mass","ratio","Constant"}, _xlpm.r, _xlpm.c))))</definedName>
    <definedName name="MMS_Feedlot_N2ODirect_Equations.VEERG_4_1_1_3__1_TotalAnnualDirectNitrousOxideEmissions_LatexEquation">_xlfn.LAMBDA("E_{N2O,dir}=\sum_{j}\sum_{m}\sum_{T}(MN_{jmT}\times EF_{jm}\times C_{N2O})\times10^{-3}")</definedName>
    <definedName name="MMS_Feedlot_N2ODirect_Equations.VEERG_4_1_1_3__1_TotalAnnualDirectNitrousOxideEmissions_NIRReference">_xlfn.LAMBDA("")</definedName>
    <definedName name="MMS_Feedlot_N2ODirect_Equations.VEERG_4_1_1_3__1_TotalAnnualDirectNitrousOxideEmissions_Source">_xlfn.LAMBDA("VEERG 2026: 4.1.1.3, Equation (1)")</definedName>
    <definedName name="MMS_Feedlot_N2ODirect_Equations.VEERG_4_1_1_3__1_TotalAnnualDirectNitrousOxideEmissions_Title">_xlfn.LAMBDA("Total annual direct nitrous oxide emissions from manure management systems")</definedName>
    <definedName name="MMS_Feedlot_N2ODirect_Equations.VEERG_4_1_1_3__1_TotalAnnualDirectNitrousOxideEmissions_Unit">_xlfn.LAMBDA("t N2O")</definedName>
    <definedName name="MMS_Feedlot_N2ODirect_Equations.VEERG_4_1_1_3__1_TotalAnnualDirectNitrousOxideEmissions_Variable">_xlfn.LAMBDA("E_N2Odir")</definedName>
    <definedName name="MMS_Feedlot_N2ODirect_Equations.VEERG_4_1_1_3__2_Stage1NitrogenInMMSDrylot">_xlfn.LAMBDA(_xlpm.AE_j,_xlpm.MMS_jm5T1, _xlpm.AE_j * _xlpm.MMS_jm5T1)</definedName>
    <definedName name="MMS_Feedlot_N2ODirect_Equations.VEERG_4_1_1_3__2_Stage1NitrogenInMMSDrylot_Arguments">_xlfn.LAMBDA(_xlfn.MAKEARRAY(2, 4, _xlfn.LAMBDA(_xlpm.r,_xlpm.c, INDEX({"AE_j","total nitrogen excreted by each cattle group","kg N","Calculated from 4.1.1.3 (3)";"MMS_jm5T1","fraction of manure in primary system drylot MMS","fraction","Input"}, _xlpm.r, _xlpm.c))))</definedName>
    <definedName name="MMS_Feedlot_N2ODirect_Equations.VEERG_4_1_1_3__2_Stage1NitrogenInMMSDrylot_LatexEquation">_xlfn.LAMBDA("MN_{jm=5,T=1}=AE_{j}\times MMS_{jm=5,T=1}")</definedName>
    <definedName name="MMS_Feedlot_N2ODirect_Equations.VEERG_4_1_1_3__2_Stage1NitrogenInMMSDrylot_NIRReference">_xlfn.LAMBDA("")</definedName>
    <definedName name="MMS_Feedlot_N2ODirect_Equations.VEERG_4_1_1_3__2_Stage1NitrogenInMMSDrylot_Source">_xlfn.LAMBDA("VEERG 2026: 4.1.1.3, Equation (2)")</definedName>
    <definedName name="MMS_Feedlot_N2ODirect_Equations.VEERG_4_1_1_3__2_Stage1NitrogenInMMSDrylot_Title">_xlfn.LAMBDA("Nitrogen in treatment stage 1 MMS")</definedName>
    <definedName name="MMS_Feedlot_N2ODirect_Equations.VEERG_4_1_1_3__2_Stage1NitrogenInMMSDrylot_Unit">_xlfn.LAMBDA("kg N")</definedName>
    <definedName name="MMS_Feedlot_N2ODirect_Equations.VEERG_4_1_1_3__2_Stage1NitrogenInMMSDrylot_Variable">_xlfn.LAMBDA("MN_jm5T1")</definedName>
    <definedName name="MMS_Feedlot_N2ODirect_Equations.VEERG_4_1_1_3__3_AnnualNitrogenExcretion">_xlfn.LAMBDA(_xlpm.N_j,_xlpm.NE_j,_xlpm.D_j, _xlpm.N_j * _xlpm.NE_j * _xlpm.D_j)</definedName>
    <definedName name="MMS_Feedlot_N2ODirect_Equations.VEERG_4_1_1_3__3_AnnualNitrogenExcretion_Arguments">_xlfn.LAMBDA(_xlfn.MAKEARRAY(3, 4, _xlfn.LAMBDA(_xlpm.r,_xlpm.c, INDEX({"N_j","number of cattle in each group","head","Input";"NE_j","nitrogen excretion","kg N/head/day","Calculated from 4.1.1.3 (4)";"D_j","duration of stay of cattle group","days","Input"}, _xlpm.r, _xlpm.c))))</definedName>
    <definedName name="MMS_Feedlot_N2ODirect_Equations.VEERG_4_1_1_3__3_AnnualNitrogenExcretion_LatexEquation">_xlfn.LAMBDA("AE_{j}=N_{j}\times NE_{j}\times D_{j}")</definedName>
    <definedName name="MMS_Feedlot_N2ODirect_Equations.VEERG_4_1_1_3__3_AnnualNitrogenExcretion_NIRReference">_xlfn.LAMBDA("")</definedName>
    <definedName name="MMS_Feedlot_N2ODirect_Equations.VEERG_4_1_1_3__3_AnnualNitrogenExcretion_Source">_xlfn.LAMBDA("VEERG 2026: 4.1.1.3, Equation (3)")</definedName>
    <definedName name="MMS_Feedlot_N2ODirect_Equations.VEERG_4_1_1_3__3_AnnualNitrogenExcretion_Title">_xlfn.LAMBDA("Annual nitrogen excretion from each feedlot cattle group")</definedName>
    <definedName name="MMS_Feedlot_N2ODirect_Equations.VEERG_4_1_1_3__3_AnnualNitrogenExcretion_Unit">_xlfn.LAMBDA("kg N")</definedName>
    <definedName name="MMS_Feedlot_N2ODirect_Equations.VEERG_4_1_1_3__3_AnnualNitrogenExcretion_Variable">_xlfn.LAMBDA("AE_j")</definedName>
    <definedName name="MMS_Feedlot_N2ODirect_Equations.VEERG_4_1_1_3__4_NitrogenExcretionPerHead">_xlfn.LAMBDA(_xlpm.NI_j,_xlpm.NR_j, _xlpm.NI_j * (1 - _xlpm.NR_j))</definedName>
    <definedName name="MMS_Feedlot_N2ODirect_Equations.VEERG_4_1_1_3__4_NitrogenExcretionPerHead_Arguments">_xlfn.LAMBDA(_xlfn.MAKEARRAY(2, 4, _xlfn.LAMBDA(_xlpm.r,_xlpm.c, INDEX({"NI_j","nitrogen intake","kg N/head/day","Calculated from 4.1.1.3 (5)";"NR_j","nitrogen retention expressed as a fraction of intake","fraction","Input"}, _xlpm.r, _xlpm.c))))</definedName>
    <definedName name="MMS_Feedlot_N2ODirect_Equations.VEERG_4_1_1_3__4_NitrogenExcretionPerHead_LatexEquation">_xlfn.LAMBDA("NE_{j}=NI_{j}\times(1-NR_{j})")</definedName>
    <definedName name="MMS_Feedlot_N2ODirect_Equations.VEERG_4_1_1_3__4_NitrogenExcretionPerHead_NIRReference">_xlfn.LAMBDA("")</definedName>
    <definedName name="MMS_Feedlot_N2ODirect_Equations.VEERG_4_1_1_3__4_NitrogenExcretionPerHead_Source">_xlfn.LAMBDA("VEERG 2026: 4.1.1.3, Equation (4)")</definedName>
    <definedName name="MMS_Feedlot_N2ODirect_Equations.VEERG_4_1_1_3__4_NitrogenExcretionPerHead_Title">_xlfn.LAMBDA("Nitrogen excretion per head per day")</definedName>
    <definedName name="MMS_Feedlot_N2ODirect_Equations.VEERG_4_1_1_3__4_NitrogenExcretionPerHead_Unit">_xlfn.LAMBDA("kg N/head/day")</definedName>
    <definedName name="MMS_Feedlot_N2ODirect_Equations.VEERG_4_1_1_3__4_NitrogenExcretionPerHead_Variable">_xlfn.LAMBDA("NE_j")</definedName>
    <definedName name="MMS_Feedlot_N2ODirect_Equations.VEERG_4_1_1_3__5_NitrogenIntake">_xlfn.LAMBDA(_xlpm.I_j,_xlpm.CP_j, _xlpm.I_j * _xlpm.CP_j / 6.25)</definedName>
    <definedName name="MMS_Feedlot_N2ODirect_Equations.VEERG_4_1_1_3__5_NitrogenIntake_Arguments">_xlfn.LAMBDA(_xlfn.MAKEARRAY(3, 4, _xlfn.LAMBDA(_xlpm.r,_xlpm.c, INDEX({"I_j","dry matter intake","kg DM/head/day","Input";"CP_j","crude protein content of feed","fraction","Input";"6.25","factor for converting crude protein into nitrogen","ratio","Constant"}, _xlpm.r, _xlpm.c))))</definedName>
    <definedName name="MMS_Feedlot_N2ODirect_Equations.VEERG_4_1_1_3__5_NitrogenIntake_LatexEquation">_xlfn.LAMBDA("NI_{j}=I_{j}\times CP_{j}\div 6.25")</definedName>
    <definedName name="MMS_Feedlot_N2ODirect_Equations.VEERG_4_1_1_3__5_NitrogenIntake_NIRReference">_xlfn.LAMBDA("")</definedName>
    <definedName name="MMS_Feedlot_N2ODirect_Equations.VEERG_4_1_1_3__5_NitrogenIntake_Source">_xlfn.LAMBDA("VEERG 2026: 4.1.1.3, Equation (5)")</definedName>
    <definedName name="MMS_Feedlot_N2ODirect_Equations.VEERG_4_1_1_3__5_NitrogenIntake_Title">_xlfn.LAMBDA("Nitrogen intake of feedlot cattle")</definedName>
    <definedName name="MMS_Feedlot_N2ODirect_Equations.VEERG_4_1_1_3__5_NitrogenIntake_Unit">_xlfn.LAMBDA("kg N/head/day")</definedName>
    <definedName name="MMS_Feedlot_N2ODirect_Equations.VEERG_4_1_1_3__5_NitrogenIntake_Variable">_xlfn.LAMBDA("NI_j")</definedName>
    <definedName name="MMS_Feedlot_N2ODirect_Equations.VEERG_4_1_1_3__6_Stage2NitrogenInMMS">_xlfn.LAMBDA(_xlpm.NT_jmT2,_xlpm.MMS_jmT2, _xlpm.NT_jmT2 * _xlpm.MMS_jmT2)</definedName>
    <definedName name="MMS_Feedlot_N2ODirect_Equations.VEERG_4_1_1_3__6_Stage2NitrogenInMMS_Arguments">_xlfn.LAMBDA(_xlfn.MAKEARRAY(2, 4, _xlfn.LAMBDA(_xlpm.r,_xlpm.c, INDEX({"NT_jmT2","nitrogen transferred to secondary treatment MMS","kg N","Calculated from 4.1.1.3 (7)";"MMS_jmT2","fraction of manure in each secondary system","fraction","Input"}, _xlpm.r, _xlpm.c))))</definedName>
    <definedName name="MMS_Feedlot_N2ODirect_Equations.VEERG_4_1_1_3__6_Stage2NitrogenInMMS_LatexEquation">_xlfn.LAMBDA("MN_{jm,T=2}=NT_{jm,T=2}\times MMS_{jm,T=2}")</definedName>
    <definedName name="MMS_Feedlot_N2ODirect_Equations.VEERG_4_1_1_3__6_Stage2NitrogenInMMS_NIRReference">_xlfn.LAMBDA("")</definedName>
    <definedName name="MMS_Feedlot_N2ODirect_Equations.VEERG_4_1_1_3__6_Stage2NitrogenInMMS_Source">_xlfn.LAMBDA("VEERG 2026: 4.1.1.3, Equation (6)")</definedName>
    <definedName name="MMS_Feedlot_N2ODirect_Equations.VEERG_4_1_1_3__6_Stage2NitrogenInMMS_Title">_xlfn.LAMBDA("Nitrogen in treatment stage 2 MMS")</definedName>
    <definedName name="MMS_Feedlot_N2ODirect_Equations.VEERG_4_1_1_3__6_Stage2NitrogenInMMS_Unit">_xlfn.LAMBDA("kg N")</definedName>
    <definedName name="MMS_Feedlot_N2ODirect_Equations.VEERG_4_1_1_3__6_Stage2NitrogenInMMS_Variable">_xlfn.LAMBDA("MN_jmT2")</definedName>
    <definedName name="MMS_Feedlot_N2ODirect_Equations.VEERG_4_1_1_3__7_NitrogenTransferredToStage2">_xlfn.LAMBDA(_xlpm.MN_jm5T1,_xlpm.FracGASM_m5,_xlpm.EF_m5,_xlpm.MN_jmT3, (_xlpm.MN_jm5T1 * (1 - _xlpm.FracGASM_m5 - _xlpm.EF_m5)) - _xlpm.MN_jmT3)</definedName>
    <definedName name="MMS_Feedlot_N2ODirect_Equations.VEERG_4_1_1_3__7_NitrogenTransferredToStage2_Arguments">_xlfn.LAMBDA(_xlfn.MAKEARRAY(4, 4, _xlfn.LAMBDA(_xlpm.r,_xlpm.c, INDEX({"MN_jm5T1","nitrogen in MMS treatment stage 1","kg N","Calculated from 4.1.1.3 (2)";"FracGASM_m5","fraction of N volatilised from drylot MMS","fraction","Constant";"EF_m5","nitrous oxide emission factor for drylot MMS","kg N2O-N/kg N deposited","Constant";"MN_jmT3","nitrogen in MMS treatment stage 3","kg N","Calculated from 4.1.1.3 (8)"}, _xlpm.r, _xlpm.c))))</definedName>
    <definedName name="MMS_Feedlot_N2ODirect_Equations.VEERG_4_1_1_3__7_NitrogenTransferredToStage2_LatexEquation">_xlfn.LAMBDA("NT_{jm,T=2}=(MN_{jm=5,T=1}\times(1-FracGASM_{m=5}-EF_{m=5}))-MN_{jm,T=3}")</definedName>
    <definedName name="MMS_Feedlot_N2ODirect_Equations.VEERG_4_1_1_3__7_NitrogenTransferredToStage2_NIRReference">_xlfn.LAMBDA("")</definedName>
    <definedName name="MMS_Feedlot_N2ODirect_Equations.VEERG_4_1_1_3__7_NitrogenTransferredToStage2_Source">_xlfn.LAMBDA("VEERG 2026: 4.1.1.3, Equation (7)")</definedName>
    <definedName name="MMS_Feedlot_N2ODirect_Equations.VEERG_4_1_1_3__7_NitrogenTransferredToStage2_Title">_xlfn.LAMBDA("Nitrogen transferred to treatment stage 2 MMS")</definedName>
    <definedName name="MMS_Feedlot_N2ODirect_Equations.VEERG_4_1_1_3__7_NitrogenTransferredToStage2_Unit">_xlfn.LAMBDA("kg N")</definedName>
    <definedName name="MMS_Feedlot_N2ODirect_Equations.VEERG_4_1_1_3__7_NitrogenTransferredToStage2_Variable">_xlfn.LAMBDA("NT_jmT2")</definedName>
    <definedName name="MMS_Feedlot_N2ODirect_Equations.VEERG_4_1_1_3__8_Stage3NitrogenInMMSAnaerobicLagoon">_xlfn.LAMBDA(_xlpm.AE_j,_xlpm.MMS_jm1T3, _xlpm.AE_j * _xlpm.MMS_jm1T3)</definedName>
    <definedName name="MMS_Feedlot_N2ODirect_Equations.VEERG_4_1_1_3__8_Stage3NitrogenInMMSAnaerobicLagoon_Arguments">_xlfn.LAMBDA(_xlfn.MAKEARRAY(2, 4, _xlfn.LAMBDA(_xlpm.r,_xlpm.c, INDEX({"AE_j","total nitrogen excreted by each cattle group","kg N","Calculated from 4.1.1.3 (3)";"MMS_jm1T3","fraction of manure to tertiary anaerobic lagoon system","fraction","Input"}, _xlpm.r, _xlpm.c))))</definedName>
    <definedName name="MMS_Feedlot_N2ODirect_Equations.VEERG_4_1_1_3__8_Stage3NitrogenInMMSAnaerobicLagoon_LatexEquation">_xlfn.LAMBDA("MN_{jm=1,T=3}=AE_{j}\times MMS_{jm=1,T=3}")</definedName>
    <definedName name="MMS_Feedlot_N2ODirect_Equations.VEERG_4_1_1_3__8_Stage3NitrogenInMMSAnaerobicLagoon_NIRReference">_xlfn.LAMBDA("")</definedName>
    <definedName name="MMS_Feedlot_N2ODirect_Equations.VEERG_4_1_1_3__8_Stage3NitrogenInMMSAnaerobicLagoon_Source">_xlfn.LAMBDA("VEERG 2026: 4.1.1.3, Equation (8)")</definedName>
    <definedName name="MMS_Feedlot_N2ODirect_Equations.VEERG_4_1_1_3__8_Stage3NitrogenInMMSAnaerobicLagoon_Title">_xlfn.LAMBDA("Nitrogen in treatment stage 3 MMS")</definedName>
    <definedName name="MMS_Feedlot_N2ODirect_Equations.VEERG_4_1_1_3__8_Stage3NitrogenInMMSAnaerobicLagoon_Unit">_xlfn.LAMBDA("kg N")</definedName>
    <definedName name="MMS_Feedlot_N2ODirect_Equations.VEERG_4_1_1_3__8_Stage3NitrogenInMMSAnaerobicLagoon_Variable">_xlfn.LAMBDA("MN_jm1T3")</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Table_D_j">'4.1.1.3-4 Direct N20'!$D$77:$F$78</definedName>
    <definedName name="Table_D_j_Consumer_1">'4.1.1.1-2 Methane'!$D$144:$F$145</definedName>
    <definedName name="Table_E_CH4">'4.1.1.1-2 Methane'!$M$163:$Q$168</definedName>
    <definedName name="Table_E_CH4_Consumer_1">'4.1.1.1-2 Methane'!$D$163:$H$168</definedName>
    <definedName name="Table_EF_j_m">'4.1.1.3-4 Direct N20'!$D$194:$E$198</definedName>
    <definedName name="Table_EF_j_m_T23">'4.1.1.9 Manure applied to soils'!$D$29:$E$34</definedName>
    <definedName name="Table_FracGASM_m_T23">'4.1.1.9 Manure applied to soils'!$D$38:$E$43</definedName>
    <definedName name="Table_FracGASM_m_T23_Consumer_1">'4.1.1.5-6 Atmos Deposition'!$D$31:$E$35</definedName>
    <definedName name="Table_MMS_j_m_T2">'4.1.1.3-4 Direct N20'!$D$166:$G$169</definedName>
    <definedName name="Table_MMS_j_m1_T3">'4.1.1.3-4 Direct N20'!$D$123:$G$124</definedName>
    <definedName name="Table_MMS_j_m5_T1">'4.1.1.3-4 Direct N20'!$D$100:$G$101</definedName>
    <definedName name="Table_MMS_m_T2">'4.1.1.1-2 Methane'!$D$79:$H$82</definedName>
    <definedName name="Table_MMS_m1_T3">'4.1.1.1-2 Methane'!$D$119:$G$120</definedName>
    <definedName name="Table_MMS_m5_T1">'4.1.1.1-2 Methane'!$D$51:$G$52</definedName>
    <definedName name="Table_N_j">'4.1.1.3-4 Direct N20'!$D$72:$F$73</definedName>
    <definedName name="Table_N_j_Consumer_1">'4.1.1.1-2 Methane'!$D$158:$F$159</definedName>
    <definedName name="Table_PF">'4.1.1.9 Manure applied to soils'!$D$47:$E$51</definedName>
    <definedName name="Table_PF_fert">'4.1.1.9 Manure applied to soils'!$D$97:$E$101</definedName>
    <definedName name="VEERG_4_1_1_1__1_TotalAnnualMethaneEmissions_Result_Method1">'4.1.1.1-2 Methane'!$E$171</definedName>
    <definedName name="VEERG_4_1_1_1__1_TotalAnnualMethaneEmissions_Result_Method2">'4.1.1.1-2 Methane'!$N$171</definedName>
    <definedName name="VEERG_4_1_1_3__1_TotalAnnualDirectNitrousOxideEmissions_Result_Method1">'4.1.1.3-4 Direct N20'!$E$212</definedName>
    <definedName name="VEERG_4_1_1_3__1_TotalAnnualDirectNitrousOxideEmissions_Result_Method2">'4.1.1.3-4 Direct N20'!$P$212</definedName>
    <definedName name="VEERG_4_1_1_5__1_TotalAnnualAtmosphericDepositionEmissions_Result_Method1">'4.1.1.5-6 Atmos Deposition'!$E$65</definedName>
    <definedName name="VEERG_4_1_1_5__1_TotalAnnualAtmosphericDepositionEmissions_Result_Method2">'4.1.1.5-6 Atmos Deposition'!$N$65</definedName>
    <definedName name="VEERG_4_1_1_9__1_MassOfNitrogenAppliedToSoilsScope1_Result_Method1">'4.1.1.9 Manure applied to soils'!$E$61</definedName>
    <definedName name="VEERG_4_1_1_9__1_MassOfNitrogenAppliedToSoilsScope1_Result_Method2">'4.1.1.9 Manure applied to soils'!$O$61</definedName>
    <definedName name="VEERG_4_1_1_9__2_MassOfNitrogenAppliedToSoilsScope3_Result_Method1">'4.1.1.9 Manure applied to soils'!$E$87</definedName>
    <definedName name="VEERG_4_1_1_9__2_MassOfNitrogenAppliedToSoilsScope3_Result_Method2">'4.1.1.9 Manure applied to soils'!$O$87</definedName>
    <definedName name="X_Cell_Feedlot_GrazingIrrigationMethod">'Input - Feedlot'!$E$46</definedName>
    <definedName name="X_Cell_Feedlot_GrazingProductionSystem">'Input - Feedlot'!$E$45</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Feedlot_HerdMovement">'Input - Feedlot'!$D$7:$G$9</definedName>
    <definedName name="X_Table_Feedlot_Intake_Method1">'Input - Feedlot'!$D$13:$G$19</definedName>
    <definedName name="X_Table_Feedlot_Intake_Method2">'Input - Feedlot'!$D$21:$G$27</definedName>
    <definedName name="X_Table_Feedlot_MMS_Stage1">'Input - Feedlot'!$D$31:$G$32</definedName>
    <definedName name="X_Table_Feedlot_MMS_Stage2">'Input - Feedlot'!$D$34:$G$38</definedName>
    <definedName name="X_Table_Feedlot_MMS_Stage2_Destinations">'Input - Feedlot'!$I$34:$K$38</definedName>
    <definedName name="X_Table_Feedlot_MMS_Stage3">'Input - Feedlot'!$D$40:$G$42</definedName>
    <definedName name="X_Table_Feedlot_MMS_Stage3_Destinations">'Input - Feedlot'!$I$40:$K$42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3" i="82" l="1"/>
  <c r="A23" i="74"/>
  <c r="A23" i="43"/>
  <c r="A23" i="79"/>
  <c r="A23" i="81"/>
  <c r="A23" i="82"/>
  <c r="A23" i="76"/>
  <c r="A23" i="69"/>
  <c r="A23" i="70"/>
  <c r="A23" i="15"/>
  <c r="A23" i="13"/>
  <c r="A23" i="100"/>
  <c r="D9" i="70"/>
  <c r="D8" i="70"/>
  <c r="A8" i="72"/>
  <c r="A7" i="72"/>
  <c r="A3" i="72"/>
  <c r="G29" i="79"/>
  <c r="G28" i="79"/>
  <c r="P68" i="82"/>
  <c r="G68" i="82"/>
  <c r="I60" i="82"/>
  <c r="R215" i="76"/>
  <c r="G215" i="76"/>
  <c r="I190" i="76"/>
  <c r="P174" i="69"/>
  <c r="G174" i="69"/>
  <c r="I115" i="69"/>
  <c r="I75" i="69"/>
  <c r="R47" i="69"/>
  <c r="I47" i="69"/>
  <c r="E33" i="15"/>
  <c r="E32" i="15"/>
  <c r="E31" i="15"/>
  <c r="E30" i="15"/>
  <c r="E259" i="106" a="1"/>
  <c r="E259" i="106" s="1"/>
  <c r="D259" i="106" a="1"/>
  <c r="D259" i="106" s="1"/>
  <c r="E258" i="106" a="1"/>
  <c r="E258" i="106" s="1"/>
  <c r="D258" i="106" a="1"/>
  <c r="D258" i="106" s="1"/>
  <c r="D256" i="106" a="1"/>
  <c r="D256" i="106" s="1"/>
  <c r="D255" i="106" a="1"/>
  <c r="D255" i="106" s="1"/>
  <c r="D254" i="106" a="1"/>
  <c r="D254" i="106" s="1"/>
  <c r="D253" i="106" a="1"/>
  <c r="D253" i="106" s="1"/>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9" i="106" a="1"/>
  <c r="D229"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a="1"/>
  <c r="D211" i="106" s="1"/>
  <c r="E208" i="106" a="1"/>
  <c r="E208" i="106" s="1"/>
  <c r="D208" i="106" a="1"/>
  <c r="D208" i="106" s="1"/>
  <c r="E207" i="106" a="1"/>
  <c r="E207" i="106" s="1"/>
  <c r="D207" i="106" a="1"/>
  <c r="D207" i="106" s="1"/>
  <c r="D205" i="106" a="1"/>
  <c r="D205" i="106" s="1"/>
  <c r="D204" i="106" a="1"/>
  <c r="D204" i="106" s="1"/>
  <c r="D203" i="106" a="1"/>
  <c r="D203" i="106" s="1"/>
  <c r="D202" i="106" a="1"/>
  <c r="D202" i="106" s="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a="1"/>
  <c r="D179" i="106" s="1"/>
  <c r="D178" i="106" a="1"/>
  <c r="D178" i="106" s="1"/>
  <c r="E175" i="106" a="1"/>
  <c r="E175" i="106" s="1"/>
  <c r="D175" i="106" a="1"/>
  <c r="D175" i="106" s="1"/>
  <c r="D174" i="106" a="1"/>
  <c r="D174" i="106" s="1"/>
  <c r="D173" i="106" a="1"/>
  <c r="D173" i="106" s="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a="1"/>
  <c r="D133" i="106" s="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a="1"/>
  <c r="D116" i="106" s="1"/>
  <c r="D115" i="106" a="1"/>
  <c r="D115" i="106" s="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9" i="106" a="1"/>
  <c r="D99"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c r="D45" i="106" a="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c r="D35" i="106" a="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A8" i="106"/>
  <c r="F7" i="106" a="1"/>
  <c r="F7" i="106" s="1"/>
  <c r="E7" i="106" a="1"/>
  <c r="E7" i="106" s="1"/>
  <c r="D7" i="106" a="1"/>
  <c r="D7" i="106" s="1"/>
  <c r="A7" i="106"/>
  <c r="D5" i="106"/>
  <c r="D5" i="106" a="1"/>
  <c r="A3" i="106"/>
  <c r="A8" i="71"/>
  <c r="A7" i="71"/>
  <c r="A3" i="71"/>
  <c r="E29" i="15"/>
  <c r="E13" i="15"/>
  <c r="A25" i="74"/>
  <c r="A24" i="74"/>
  <c r="A22" i="74"/>
  <c r="A21" i="74"/>
  <c r="A17" i="74"/>
  <c r="A16" i="74"/>
  <c r="A15" i="74"/>
  <c r="A14" i="74"/>
  <c r="A10" i="74"/>
  <c r="A9" i="74"/>
  <c r="A5" i="74"/>
  <c r="A4" i="74"/>
  <c r="A3" i="74"/>
  <c r="A25" i="43"/>
  <c r="A24" i="43"/>
  <c r="A22" i="43"/>
  <c r="A21" i="43"/>
  <c r="A17" i="43"/>
  <c r="A16" i="43"/>
  <c r="A15" i="43"/>
  <c r="A14" i="43"/>
  <c r="A10" i="43"/>
  <c r="A9" i="43"/>
  <c r="A5" i="43"/>
  <c r="A4" i="43"/>
  <c r="A3" i="43"/>
  <c r="A25" i="79"/>
  <c r="A24" i="79"/>
  <c r="A22" i="79"/>
  <c r="A21" i="79"/>
  <c r="A17" i="79"/>
  <c r="A16" i="79"/>
  <c r="A15" i="79"/>
  <c r="A14" i="79"/>
  <c r="A10" i="79"/>
  <c r="A9" i="79"/>
  <c r="A5" i="79"/>
  <c r="A4" i="79"/>
  <c r="A3" i="79"/>
  <c r="A25" i="81"/>
  <c r="A24" i="81"/>
  <c r="A22" i="81"/>
  <c r="A21" i="81"/>
  <c r="A17" i="81"/>
  <c r="A16" i="81"/>
  <c r="A15" i="81"/>
  <c r="A14" i="81"/>
  <c r="A10" i="81"/>
  <c r="A9" i="81"/>
  <c r="A5" i="81"/>
  <c r="A4" i="81"/>
  <c r="A3" i="81"/>
  <c r="A25" i="82"/>
  <c r="A24" i="82"/>
  <c r="A22" i="82"/>
  <c r="A21" i="82"/>
  <c r="A17" i="82"/>
  <c r="A16" i="82"/>
  <c r="A15" i="82"/>
  <c r="A14" i="82"/>
  <c r="A10" i="82"/>
  <c r="A9" i="82"/>
  <c r="A5" i="82"/>
  <c r="A4" i="82"/>
  <c r="A3" i="82"/>
  <c r="A25" i="76"/>
  <c r="A24" i="76"/>
  <c r="A22" i="76"/>
  <c r="A21" i="76"/>
  <c r="A17" i="76"/>
  <c r="A16" i="76"/>
  <c r="A15" i="76"/>
  <c r="A14" i="76"/>
  <c r="A10" i="76"/>
  <c r="A9" i="76"/>
  <c r="A5" i="76"/>
  <c r="A4" i="76"/>
  <c r="A3" i="76"/>
  <c r="A25" i="69"/>
  <c r="A24" i="69"/>
  <c r="A22" i="69"/>
  <c r="A21" i="69"/>
  <c r="A17" i="69"/>
  <c r="A16" i="69"/>
  <c r="A15" i="69"/>
  <c r="A14" i="69"/>
  <c r="A10" i="69"/>
  <c r="A9" i="69"/>
  <c r="A5" i="69"/>
  <c r="A4" i="69"/>
  <c r="A3" i="69"/>
  <c r="A25" i="70"/>
  <c r="A24" i="70"/>
  <c r="A22" i="70"/>
  <c r="A21" i="70"/>
  <c r="A17" i="70"/>
  <c r="A16" i="70"/>
  <c r="A15" i="70"/>
  <c r="A14" i="70"/>
  <c r="A10" i="70"/>
  <c r="A9" i="70"/>
  <c r="A5" i="70"/>
  <c r="A4" i="70"/>
  <c r="A3" i="70"/>
  <c r="A25" i="15"/>
  <c r="A24" i="15"/>
  <c r="A22" i="15"/>
  <c r="A21" i="15"/>
  <c r="A17" i="15"/>
  <c r="A16" i="15"/>
  <c r="A15" i="15"/>
  <c r="A14" i="15"/>
  <c r="A10" i="15"/>
  <c r="A9" i="15"/>
  <c r="A5" i="15"/>
  <c r="A4" i="15"/>
  <c r="A3" i="15"/>
  <c r="A25" i="13"/>
  <c r="A24" i="13"/>
  <c r="A22" i="13"/>
  <c r="A21" i="13"/>
  <c r="A17" i="13"/>
  <c r="A16" i="13"/>
  <c r="A15" i="13"/>
  <c r="A14" i="13"/>
  <c r="A10" i="13"/>
  <c r="A9" i="13"/>
  <c r="A5" i="13"/>
  <c r="A4" i="13"/>
  <c r="A3" i="13"/>
  <c r="A25" i="100"/>
  <c r="A24" i="100"/>
  <c r="A22" i="100"/>
  <c r="A21" i="100"/>
  <c r="A17" i="100"/>
  <c r="A16" i="100"/>
  <c r="A15" i="100"/>
  <c r="A14" i="100"/>
  <c r="A10" i="100"/>
  <c r="A9" i="100"/>
  <c r="A5" i="100"/>
  <c r="A4" i="100"/>
  <c r="A3" i="100"/>
  <c r="I114" i="69"/>
  <c r="D26" i="82"/>
  <c r="D23" i="82"/>
  <c r="E101" i="76" a="1"/>
  <c r="E101" i="76" s="1"/>
  <c r="D78" i="76" a="1"/>
  <c r="D78" i="76" s="1"/>
  <c r="D73" i="76" a="1"/>
  <c r="D73" i="76" s="1"/>
  <c r="D159" i="69" a="1"/>
  <c r="D159" i="69" s="1"/>
  <c r="D145" i="69" a="1"/>
  <c r="D145" i="69" s="1"/>
  <c r="R112" i="69" a="1"/>
  <c r="R112" i="69" s="1"/>
  <c r="E52" i="69" a="1"/>
  <c r="E52" i="69" s="1"/>
  <c r="N108" i="81"/>
  <c r="D108" i="81"/>
  <c r="E101" i="81"/>
  <c r="D100" i="81"/>
  <c r="E99" i="81"/>
  <c r="E98" i="81"/>
  <c r="N84" i="81"/>
  <c r="D84" i="81"/>
  <c r="N58" i="81"/>
  <c r="D58" i="81"/>
  <c r="D50" i="81"/>
  <c r="D42" i="81"/>
  <c r="D39" i="81"/>
  <c r="D30" i="81"/>
  <c r="N24" i="81"/>
  <c r="D24" i="81"/>
  <c r="M43" i="82"/>
  <c r="D43" i="82"/>
  <c r="M40" i="82"/>
  <c r="D40" i="82"/>
  <c r="D32" i="82"/>
  <c r="M26" i="82"/>
  <c r="M23" i="82"/>
  <c r="O209" i="76"/>
  <c r="D209" i="76"/>
  <c r="O206" i="76"/>
  <c r="D206" i="76"/>
  <c r="D195" i="76"/>
  <c r="O176" i="76"/>
  <c r="D176" i="76"/>
  <c r="O106" i="76"/>
  <c r="D106" i="76"/>
  <c r="N167" i="69"/>
  <c r="E167" i="69"/>
  <c r="N164" i="69"/>
  <c r="E164" i="69"/>
  <c r="N153" i="69"/>
  <c r="E153" i="69"/>
  <c r="N150" i="69"/>
  <c r="E150" i="69"/>
  <c r="R115" i="69"/>
  <c r="M98" i="69"/>
  <c r="D98" i="69"/>
  <c r="N89" i="69"/>
  <c r="O89" i="69" s="1"/>
  <c r="M89" i="69"/>
  <c r="E89" i="69"/>
  <c r="M88" i="69"/>
  <c r="M87" i="69"/>
  <c r="R75" i="69"/>
  <c r="M57" i="69"/>
  <c r="D57" i="69"/>
  <c r="D52" i="69"/>
  <c r="E52" i="82"/>
  <c r="H51" i="106" l="1"/>
  <c r="H54" i="106"/>
  <c r="H48" i="106"/>
  <c r="H52" i="106"/>
  <c r="H50" i="106"/>
  <c r="H53" i="106"/>
  <c r="H49" i="106"/>
  <c r="I46" i="69"/>
  <c r="R46" i="69"/>
  <c r="I74" i="69"/>
  <c r="I140" i="69" a="1"/>
  <c r="I140" i="69" s="1"/>
  <c r="I139" i="69" a="1"/>
  <c r="I139" i="69" s="1"/>
  <c r="I138" i="69" a="1"/>
  <c r="I138" i="69" s="1"/>
  <c r="G138" i="69" a="1"/>
  <c r="G138" i="69" s="1"/>
  <c r="G145" i="69" s="1"/>
  <c r="D138" i="69" a="1"/>
  <c r="D138" i="69" s="1"/>
  <c r="P110" i="69" a="1"/>
  <c r="P110" i="69" s="1"/>
  <c r="M110" i="69" a="1"/>
  <c r="M110" i="69" s="1"/>
  <c r="I112" i="69" a="1"/>
  <c r="I112" i="69" s="1"/>
  <c r="I110" i="69" a="1"/>
  <c r="I110" i="69" s="1"/>
  <c r="G110" i="69" a="1"/>
  <c r="G110" i="69" s="1"/>
  <c r="D110" i="69" a="1"/>
  <c r="D110" i="69" s="1"/>
  <c r="R73" i="69" a="1"/>
  <c r="R73" i="69" s="1"/>
  <c r="P69" i="69" a="1"/>
  <c r="P69" i="69" s="1"/>
  <c r="M69" i="69" a="1"/>
  <c r="M69" i="69" s="1"/>
  <c r="I73" i="69" a="1"/>
  <c r="I73" i="69" s="1"/>
  <c r="I72" i="69" a="1"/>
  <c r="I72" i="69" s="1"/>
  <c r="I70" i="69" a="1"/>
  <c r="I70" i="69" s="1"/>
  <c r="G69" i="69" a="1"/>
  <c r="G69" i="69" s="1"/>
  <c r="D69" i="69" a="1"/>
  <c r="D69" i="69" s="1"/>
  <c r="R150" i="69" l="1"/>
  <c r="P87" i="69"/>
  <c r="G159" i="69"/>
  <c r="G87" i="69"/>
  <c r="I150" i="69"/>
  <c r="I80" i="69"/>
  <c r="H120" i="69"/>
  <c r="P42" i="69" a="1"/>
  <c r="P42" i="69" s="1"/>
  <c r="M42" i="69" a="1"/>
  <c r="M42" i="69" s="1"/>
  <c r="R44" i="69" a="1"/>
  <c r="R44" i="69" s="1"/>
  <c r="R42" i="69" a="1"/>
  <c r="R42" i="69" s="1"/>
  <c r="I44" i="69" a="1"/>
  <c r="I44" i="69" s="1"/>
  <c r="I42" i="69" a="1"/>
  <c r="I42" i="69" s="1"/>
  <c r="G42" i="69" a="1"/>
  <c r="G42" i="69" s="1"/>
  <c r="D42" i="69" a="1"/>
  <c r="D42" i="69" s="1"/>
  <c r="H14" i="69" a="1"/>
  <c r="H14" i="69" s="1"/>
  <c r="H13" i="69" a="1"/>
  <c r="H13" i="69" s="1"/>
  <c r="K188" i="76" l="1" a="1"/>
  <c r="K188" i="76" s="1"/>
  <c r="J188" i="76" a="1"/>
  <c r="J188" i="76" s="1"/>
  <c r="I188" i="76" a="1"/>
  <c r="I188" i="76" s="1"/>
  <c r="I189" i="76" a="1"/>
  <c r="I189" i="76" s="1"/>
  <c r="G188" i="76" a="1"/>
  <c r="G188" i="76" s="1"/>
  <c r="D188" i="76" a="1"/>
  <c r="D188" i="76" s="1"/>
  <c r="I162" i="76" a="1"/>
  <c r="I162" i="76" s="1"/>
  <c r="I161" i="76" a="1"/>
  <c r="I161" i="76" s="1"/>
  <c r="G161" i="76" a="1"/>
  <c r="G161" i="76" s="1"/>
  <c r="D161" i="76" a="1"/>
  <c r="D161" i="76" s="1"/>
  <c r="I141" i="76" a="1"/>
  <c r="I141" i="76" s="1"/>
  <c r="I144" i="76" a="1"/>
  <c r="I144" i="76" s="1"/>
  <c r="G141" i="76" a="1"/>
  <c r="G141" i="76" s="1"/>
  <c r="D141" i="76" a="1"/>
  <c r="D141" i="76" s="1"/>
  <c r="I119" i="76" a="1"/>
  <c r="I119" i="76" s="1"/>
  <c r="I118" i="76" a="1"/>
  <c r="I118" i="76" s="1"/>
  <c r="G118" i="76" a="1"/>
  <c r="G118" i="76" s="1"/>
  <c r="D118" i="76" a="1"/>
  <c r="D118" i="76" s="1"/>
  <c r="I96" i="76" a="1"/>
  <c r="I96" i="76" s="1"/>
  <c r="I95" i="76" a="1"/>
  <c r="I95" i="76" s="1"/>
  <c r="G95" i="76" a="1"/>
  <c r="G95" i="76" s="1"/>
  <c r="D95" i="76" a="1"/>
  <c r="D95" i="76" s="1"/>
  <c r="H68" i="76" a="1"/>
  <c r="H68" i="76" s="1"/>
  <c r="H67" i="76" a="1"/>
  <c r="H67" i="76" s="1"/>
  <c r="H66" i="76" a="1"/>
  <c r="H66" i="76" s="1"/>
  <c r="I43" i="76" a="1"/>
  <c r="I43" i="76" s="1"/>
  <c r="I44" i="76" a="1"/>
  <c r="I44" i="76" s="1"/>
  <c r="G43" i="76" a="1"/>
  <c r="G43" i="76" s="1"/>
  <c r="D43" i="76" a="1"/>
  <c r="D43" i="76" s="1"/>
  <c r="I14" i="76" a="1"/>
  <c r="I14" i="76" s="1"/>
  <c r="I13" i="76" a="1"/>
  <c r="I13" i="76" s="1"/>
  <c r="G13" i="76" a="1"/>
  <c r="G13" i="76" s="1"/>
  <c r="D13" i="76" a="1"/>
  <c r="D13" i="76" s="1"/>
  <c r="J77" i="81" a="1"/>
  <c r="J77" i="81" s="1"/>
  <c r="J76" i="81" a="1"/>
  <c r="J76" i="81" s="1"/>
  <c r="J75" i="81" a="1"/>
  <c r="J75" i="81" s="1"/>
  <c r="J74" i="81" a="1"/>
  <c r="J74" i="81" s="1"/>
  <c r="J17" i="81" a="1"/>
  <c r="J17" i="81" s="1"/>
  <c r="J16" i="81" a="1"/>
  <c r="J16" i="81" s="1"/>
  <c r="J15" i="81" a="1"/>
  <c r="J15" i="81" s="1"/>
  <c r="J14" i="81" a="1"/>
  <c r="J14" i="81" s="1"/>
  <c r="H74" i="81" a="1"/>
  <c r="H74" i="81" s="1"/>
  <c r="D74" i="81" a="1"/>
  <c r="D74" i="81" s="1"/>
  <c r="H14" i="81" a="1"/>
  <c r="H14" i="81" s="1"/>
  <c r="D14" i="81" a="1"/>
  <c r="D14" i="81" s="1"/>
  <c r="P58" i="82" a="1"/>
  <c r="P58" i="82" s="1"/>
  <c r="M58" i="82" a="1"/>
  <c r="M58" i="82" s="1"/>
  <c r="G58" i="82" a="1"/>
  <c r="G58" i="82" s="1"/>
  <c r="D58" i="82" a="1"/>
  <c r="D58" i="82" s="1"/>
  <c r="I15" i="82" a="1"/>
  <c r="I15" i="82" s="1"/>
  <c r="I14" i="82" a="1"/>
  <c r="I14" i="82" s="1"/>
  <c r="G14" i="82" l="1" a="1"/>
  <c r="D14" i="82" a="1"/>
  <c r="D14" i="82" s="1"/>
  <c r="K38" i="70"/>
  <c r="E50" i="81" s="1"/>
  <c r="K37" i="70"/>
  <c r="E49" i="81" s="1"/>
  <c r="K36" i="70"/>
  <c r="E48" i="81" s="1"/>
  <c r="K42" i="70"/>
  <c r="E51" i="81" s="1"/>
  <c r="D41" i="70"/>
  <c r="D35" i="70"/>
  <c r="G38" i="70"/>
  <c r="F38" i="70"/>
  <c r="E38" i="70"/>
  <c r="G14" i="82" l="1"/>
  <c r="F32" i="82"/>
  <c r="Q23" i="82" l="1"/>
  <c r="H23" i="82"/>
  <c r="E186" i="76" a="1"/>
  <c r="E186" i="76" s="1"/>
  <c r="E185" i="76" a="1"/>
  <c r="E185" i="76" s="1"/>
  <c r="D180" i="76" a="1"/>
  <c r="D180" i="76" s="1"/>
  <c r="D179" i="76" a="1"/>
  <c r="D179" i="76" s="1"/>
  <c r="E159" i="76" a="1"/>
  <c r="E159" i="76" s="1"/>
  <c r="E158" i="76" a="1"/>
  <c r="E158" i="76" s="1"/>
  <c r="D154" i="76" a="1"/>
  <c r="D154" i="76" s="1"/>
  <c r="D153" i="76" a="1"/>
  <c r="D153" i="76" s="1"/>
  <c r="E139" i="76" a="1"/>
  <c r="E139" i="76" s="1"/>
  <c r="E138" i="76" a="1"/>
  <c r="E138" i="76" s="1"/>
  <c r="D134" i="76" a="1"/>
  <c r="D134" i="76" s="1"/>
  <c r="D133" i="76" a="1"/>
  <c r="D133" i="76" s="1"/>
  <c r="E116" i="76" a="1"/>
  <c r="E116" i="76" s="1"/>
  <c r="E115" i="76" a="1"/>
  <c r="E115" i="76" s="1"/>
  <c r="D111" i="76" a="1"/>
  <c r="D111" i="76" s="1"/>
  <c r="D110" i="76" a="1"/>
  <c r="D110" i="76" s="1"/>
  <c r="E93" i="76" a="1"/>
  <c r="E93" i="76" s="1"/>
  <c r="E92" i="76" a="1"/>
  <c r="E92" i="76" s="1"/>
  <c r="D88" i="76" a="1"/>
  <c r="D88" i="76" s="1"/>
  <c r="D87" i="76" a="1"/>
  <c r="D87" i="76" s="1"/>
  <c r="D66" i="76" a="1"/>
  <c r="D66" i="76" s="1"/>
  <c r="E64" i="76" a="1"/>
  <c r="E64" i="76" s="1"/>
  <c r="E63" i="76" a="1"/>
  <c r="E63" i="76" s="1"/>
  <c r="D59" i="76" a="1"/>
  <c r="D59" i="76" s="1"/>
  <c r="D58" i="76" a="1"/>
  <c r="D58" i="76" s="1"/>
  <c r="E41" i="76" a="1"/>
  <c r="E41" i="76" s="1"/>
  <c r="E40" i="76" a="1"/>
  <c r="E40" i="76" s="1"/>
  <c r="D35" i="76" a="1"/>
  <c r="D35" i="76" s="1"/>
  <c r="D34" i="76" a="1"/>
  <c r="D34" i="76" s="1"/>
  <c r="E11" i="76" a="1"/>
  <c r="E11" i="76" s="1"/>
  <c r="E10" i="76" a="1"/>
  <c r="E10" i="76" s="1"/>
  <c r="D6" i="76" a="1"/>
  <c r="D6" i="76" s="1"/>
  <c r="D5" i="76" a="1"/>
  <c r="D5" i="76" s="1"/>
  <c r="H176" i="76" l="1"/>
  <c r="S176" i="76"/>
  <c r="H209" i="76"/>
  <c r="S209" i="76"/>
  <c r="O70" i="82" a="1"/>
  <c r="O70" i="82" s="1"/>
  <c r="M67" i="82" a="1"/>
  <c r="M67" i="82" s="1"/>
  <c r="F70" i="82" a="1"/>
  <c r="F70" i="82" s="1"/>
  <c r="D67" i="82" a="1"/>
  <c r="D67" i="82" s="1"/>
  <c r="D51" i="82" a="1"/>
  <c r="D51" i="82" s="1"/>
  <c r="I61" i="82"/>
  <c r="I62" i="82"/>
  <c r="I59" i="82" s="1"/>
  <c r="E56" i="82" l="1" a="1"/>
  <c r="E56" i="82" s="1"/>
  <c r="E55" i="82" a="1"/>
  <c r="E55" i="82" s="1"/>
  <c r="D50" i="82" a="1"/>
  <c r="D50" i="82" s="1"/>
  <c r="D6" i="82" a="1"/>
  <c r="D6" i="82" s="1"/>
  <c r="E11" i="82" a="1"/>
  <c r="E11" i="82" s="1"/>
  <c r="E12" i="82" a="1"/>
  <c r="E12" i="82" s="1"/>
  <c r="Q40" i="82" s="1"/>
  <c r="D5" i="82" a="1"/>
  <c r="D5" i="82" s="1"/>
  <c r="D66" i="81" a="1"/>
  <c r="D66" i="81" s="1"/>
  <c r="E71" i="81" a="1"/>
  <c r="E71" i="81" s="1"/>
  <c r="E72" i="81" a="1"/>
  <c r="E72" i="81" s="1"/>
  <c r="D65" i="81" a="1"/>
  <c r="D65" i="81" s="1"/>
  <c r="D6" i="81" a="1"/>
  <c r="D6" i="81" s="1"/>
  <c r="D91" i="81" s="1"/>
  <c r="E11" i="81" a="1"/>
  <c r="E11" i="81" s="1"/>
  <c r="E12" i="81" a="1"/>
  <c r="E12" i="81" s="1"/>
  <c r="D5" i="81" a="1"/>
  <c r="D5" i="81" s="1"/>
  <c r="O176" i="69" a="1"/>
  <c r="O176" i="69" s="1"/>
  <c r="M173" i="69" a="1"/>
  <c r="M173" i="69" s="1"/>
  <c r="Q217" i="76" a="1"/>
  <c r="Q217" i="76" s="1"/>
  <c r="O214" i="76" a="1"/>
  <c r="O214" i="76" s="1"/>
  <c r="D214" i="76" a="1"/>
  <c r="D214" i="76" s="1"/>
  <c r="F217" i="76" a="1"/>
  <c r="F217" i="76" s="1"/>
  <c r="E7" i="82" a="1"/>
  <c r="E181" i="76" a="1"/>
  <c r="E67" i="81" a="1"/>
  <c r="E7" i="81" a="1"/>
  <c r="F46" i="82" l="1"/>
  <c r="F87" i="81"/>
  <c r="G18" i="13" s="1"/>
  <c r="O65" i="82"/>
  <c r="F65" i="82"/>
  <c r="G9" i="13" s="1"/>
  <c r="H40" i="82"/>
  <c r="O46" i="82"/>
  <c r="E7" i="82"/>
  <c r="R56" i="81"/>
  <c r="P61" i="81"/>
  <c r="P87" i="81"/>
  <c r="E67" i="81"/>
  <c r="E7" i="81"/>
  <c r="H82" i="81"/>
  <c r="H106" i="81"/>
  <c r="R82" i="81"/>
  <c r="H56" i="81"/>
  <c r="R106" i="81"/>
  <c r="F111" i="81"/>
  <c r="G17" i="13" s="1"/>
  <c r="P111" i="81"/>
  <c r="F61" i="81"/>
  <c r="G16" i="13" s="1"/>
  <c r="E181" i="76"/>
  <c r="G149" i="76" l="1"/>
  <c r="S106" i="76"/>
  <c r="R83" i="76"/>
  <c r="R54" i="76"/>
  <c r="D117" i="79"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I142" i="76"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I143" i="76"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H15" i="6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I69" i="69" s="1"/>
  <c r="D7" i="79" a="1"/>
  <c r="D7" i="79" s="1"/>
  <c r="D6" i="79" a="1"/>
  <c r="D6" i="79" s="1"/>
  <c r="D5" i="79" a="1"/>
  <c r="D5" i="79" s="1"/>
  <c r="R30" i="76"/>
  <c r="E60" i="76" a="1"/>
  <c r="E7" i="76" a="1"/>
  <c r="E89" i="76" a="1"/>
  <c r="E112" i="76" a="1"/>
  <c r="E135" i="76" a="1"/>
  <c r="E36" i="76" a="1"/>
  <c r="E155" i="76" a="1"/>
  <c r="F15" i="70" l="1" a="1"/>
  <c r="F15" i="70" s="1"/>
  <c r="F24" i="70" a="1"/>
  <c r="F24" i="70" s="1"/>
  <c r="E24" i="70" a="1"/>
  <c r="E24" i="70" s="1"/>
  <c r="F16" i="70" a="1"/>
  <c r="F16" i="70" s="1"/>
  <c r="G24" i="70" a="1"/>
  <c r="G24" i="70" s="1"/>
  <c r="E16" i="70" a="1"/>
  <c r="E16" i="70" s="1"/>
  <c r="G15" i="70" a="1"/>
  <c r="G15" i="70" s="1"/>
  <c r="E15" i="70" a="1"/>
  <c r="E15" i="70" s="1"/>
  <c r="G23" i="70" a="1"/>
  <c r="G23" i="70" s="1"/>
  <c r="F23" i="70" a="1"/>
  <c r="F23" i="70" s="1"/>
  <c r="E23" i="70" a="1"/>
  <c r="E23" i="70" s="1"/>
  <c r="G16" i="70" a="1"/>
  <c r="G16" i="70" s="1"/>
  <c r="R45" i="69"/>
  <c r="I111" i="69"/>
  <c r="I71" i="69"/>
  <c r="R43" i="69"/>
  <c r="I43" i="69"/>
  <c r="F42" i="70"/>
  <c r="E42" i="70"/>
  <c r="G42" i="70"/>
  <c r="F89" i="69" a="1"/>
  <c r="F89" i="69" s="1"/>
  <c r="E33" i="81"/>
  <c r="E42" i="81"/>
  <c r="H129" i="76"/>
  <c r="E32" i="82"/>
  <c r="E195" i="76"/>
  <c r="E30" i="81"/>
  <c r="G19" i="70" a="1"/>
  <c r="G19" i="70" s="1"/>
  <c r="E22" i="70" a="1"/>
  <c r="E22" i="70" s="1"/>
  <c r="E39" i="81"/>
  <c r="E27" i="70" a="1"/>
  <c r="E27" i="70" s="1"/>
  <c r="O49" i="76" s="1" a="1"/>
  <c r="O49" i="76" s="1"/>
  <c r="F27" i="70" a="1"/>
  <c r="F27" i="70" s="1"/>
  <c r="G27" i="70" a="1"/>
  <c r="G27" i="70" s="1"/>
  <c r="E19" i="70" a="1"/>
  <c r="E19" i="70" s="1"/>
  <c r="F19" i="70" a="1"/>
  <c r="F19" i="70" s="1"/>
  <c r="S175" i="76"/>
  <c r="S174" i="76"/>
  <c r="H174" i="76"/>
  <c r="H175" i="76"/>
  <c r="S129" i="76"/>
  <c r="R149" i="76"/>
  <c r="S207" i="76"/>
  <c r="Q212" i="76"/>
  <c r="S210" i="76"/>
  <c r="F212" i="76"/>
  <c r="G8" i="13" s="1"/>
  <c r="S208" i="76"/>
  <c r="H210" i="76"/>
  <c r="H208" i="76"/>
  <c r="H207" i="76"/>
  <c r="H206" i="76"/>
  <c r="S206" i="76"/>
  <c r="E155" i="76"/>
  <c r="E135" i="76"/>
  <c r="E112" i="76"/>
  <c r="H106" i="76"/>
  <c r="E60" i="76"/>
  <c r="E89" i="76"/>
  <c r="G83" i="76"/>
  <c r="G30" i="76"/>
  <c r="G54" i="76"/>
  <c r="E36" i="76"/>
  <c r="E7" i="76"/>
  <c r="G14" i="70" a="1"/>
  <c r="G14" i="70" s="1"/>
  <c r="E17" i="70" a="1"/>
  <c r="E17" i="70" s="1"/>
  <c r="F14" i="70" a="1"/>
  <c r="F14" i="70" s="1"/>
  <c r="E14" i="70" a="1"/>
  <c r="E14" i="70" s="1"/>
  <c r="G26" i="70" a="1"/>
  <c r="G26" i="70" s="1"/>
  <c r="F22" i="70" a="1"/>
  <c r="F22" i="70" s="1"/>
  <c r="G22" i="70" a="1"/>
  <c r="G22" i="70" s="1"/>
  <c r="G17" i="70" a="1"/>
  <c r="G17" i="70" s="1"/>
  <c r="E18" i="70" a="1"/>
  <c r="E18" i="70" s="1"/>
  <c r="F18" i="70" a="1"/>
  <c r="F18" i="70" s="1"/>
  <c r="G18" i="70" a="1"/>
  <c r="G18" i="70" s="1"/>
  <c r="E25" i="70" a="1"/>
  <c r="E25" i="70" s="1"/>
  <c r="E26" i="70" a="1"/>
  <c r="E26" i="70" s="1"/>
  <c r="F26" i="70" a="1"/>
  <c r="F26" i="70" s="1"/>
  <c r="F17" i="70" a="1"/>
  <c r="F17" i="70" s="1"/>
  <c r="F25" i="70" a="1"/>
  <c r="F25" i="70" s="1"/>
  <c r="G25" i="70" a="1"/>
  <c r="G25" i="70" s="1"/>
  <c r="I15" i="76"/>
  <c r="D173" i="69" a="1"/>
  <c r="D173" i="69" s="1"/>
  <c r="F176" i="69" a="1"/>
  <c r="F176" i="69" s="1"/>
  <c r="E131" i="69" a="1"/>
  <c r="D49" i="76" l="1" a="1"/>
  <c r="D49" i="76" s="1"/>
  <c r="D25" i="76" a="1"/>
  <c r="D25" i="76" s="1"/>
  <c r="D25" i="69" a="1"/>
  <c r="D25" i="69" s="1"/>
  <c r="O25" i="76" a="1"/>
  <c r="O25" i="76" s="1"/>
  <c r="M25" i="69" a="1"/>
  <c r="M25" i="69" s="1"/>
  <c r="D20" i="69" a="1"/>
  <c r="D20" i="69" s="1"/>
  <c r="D20" i="76" a="1"/>
  <c r="D20" i="76" s="1"/>
  <c r="M20" i="69" a="1"/>
  <c r="M20" i="69" s="1"/>
  <c r="O20" i="76" a="1"/>
  <c r="O20" i="76" s="1"/>
  <c r="E131" i="69"/>
  <c r="D30" i="76" l="1" a="1"/>
  <c r="D30" i="76" s="1"/>
  <c r="D54" i="76" s="1" a="1"/>
  <c r="D54" i="76" s="1"/>
  <c r="D83" i="76" s="1" a="1"/>
  <c r="D83" i="76" s="1"/>
  <c r="E106" i="76" s="1" a="1"/>
  <c r="E106" i="76" s="1"/>
  <c r="E23" i="82" s="1"/>
  <c r="F30" i="76" a="1"/>
  <c r="F30" i="76" s="1"/>
  <c r="F54" i="76" s="1" a="1"/>
  <c r="F54" i="76" s="1"/>
  <c r="F83" i="76" s="1" a="1"/>
  <c r="F83" i="76" s="1"/>
  <c r="G106" i="76" s="1" a="1"/>
  <c r="G106" i="76" s="1"/>
  <c r="G23" i="82" s="1"/>
  <c r="G40" i="82" s="1" a="1"/>
  <c r="G40" i="82" s="1"/>
  <c r="E30" i="76" a="1"/>
  <c r="E30" i="76" s="1"/>
  <c r="E54" i="76" s="1" a="1"/>
  <c r="E54" i="76" s="1"/>
  <c r="E83" i="76" s="1" a="1"/>
  <c r="E83" i="76" s="1"/>
  <c r="F106" i="76" s="1" a="1"/>
  <c r="F106" i="76" s="1"/>
  <c r="F23" i="82" s="1"/>
  <c r="F40" i="82" s="1" a="1"/>
  <c r="F40" i="82" s="1"/>
  <c r="Q30" i="76" a="1"/>
  <c r="Q30" i="76" s="1"/>
  <c r="Q54" i="76" s="1" a="1"/>
  <c r="Q54" i="76" s="1"/>
  <c r="Q83" i="76" s="1" a="1"/>
  <c r="Q83" i="76" s="1"/>
  <c r="P30" i="76" a="1"/>
  <c r="P30" i="76" s="1"/>
  <c r="P54" i="76" s="1" a="1"/>
  <c r="P54" i="76" s="1"/>
  <c r="P83" i="76" s="1" a="1"/>
  <c r="P83" i="76" s="1"/>
  <c r="O30" i="76" a="1"/>
  <c r="O30" i="76" s="1"/>
  <c r="O54" i="76" s="1" a="1"/>
  <c r="O54" i="76" s="1"/>
  <c r="O83" i="76" s="1" a="1"/>
  <c r="O83" i="76" s="1"/>
  <c r="G206" i="76" l="1" a="1"/>
  <c r="G206" i="76" s="1"/>
  <c r="F206" i="76" a="1"/>
  <c r="F206" i="76" s="1"/>
  <c r="P106" i="76" a="1"/>
  <c r="P106" i="76" s="1"/>
  <c r="N23" i="82" s="1"/>
  <c r="Q106" i="76" a="1"/>
  <c r="Q106" i="76" s="1"/>
  <c r="O23" i="82" s="1"/>
  <c r="E206" i="76" a="1"/>
  <c r="E206" i="76" s="1"/>
  <c r="R106" i="76" a="1"/>
  <c r="R106" i="76" s="1"/>
  <c r="P23" i="82" s="1"/>
  <c r="E40" i="82" a="1"/>
  <c r="E40" i="82" s="1"/>
  <c r="E136" i="69" a="1"/>
  <c r="E136" i="69" s="1"/>
  <c r="E135" i="69" a="1"/>
  <c r="E135" i="69" s="1"/>
  <c r="D130" i="69" a="1"/>
  <c r="D130" i="69" s="1"/>
  <c r="D129" i="69" a="1"/>
  <c r="D129" i="69" s="1"/>
  <c r="D103" i="69" a="1"/>
  <c r="D103" i="69" s="1"/>
  <c r="E107" i="69" a="1"/>
  <c r="E107" i="69" s="1"/>
  <c r="E108" i="69" a="1"/>
  <c r="E108" i="69" s="1"/>
  <c r="D102" i="69" a="1"/>
  <c r="D102" i="69" s="1"/>
  <c r="E67" i="69" a="1"/>
  <c r="E67" i="69" s="1"/>
  <c r="E66" i="69" a="1"/>
  <c r="E66" i="69" s="1"/>
  <c r="D62" i="69" a="1"/>
  <c r="D62" i="69" s="1"/>
  <c r="D61" i="69" a="1"/>
  <c r="D61" i="69" s="1"/>
  <c r="E40" i="69" a="1"/>
  <c r="E40" i="69" s="1"/>
  <c r="E39" i="69" a="1"/>
  <c r="E39" i="69" s="1"/>
  <c r="D35" i="69" a="1"/>
  <c r="D35" i="69" s="1"/>
  <c r="D34" i="69" a="1"/>
  <c r="D34" i="69" s="1"/>
  <c r="D13" i="69" a="1"/>
  <c r="D13" i="69" s="1"/>
  <c r="E11" i="69" a="1"/>
  <c r="E11" i="69" s="1"/>
  <c r="E10" i="69" a="1"/>
  <c r="E10" i="69" s="1"/>
  <c r="D6" i="69" a="1"/>
  <c r="D6" i="69" s="1"/>
  <c r="D5" i="69" a="1"/>
  <c r="D5" i="69" s="1"/>
  <c r="E104" i="69" a="1"/>
  <c r="E63" i="69" a="1"/>
  <c r="P206" i="76" l="1" a="1"/>
  <c r="P206" i="76" s="1"/>
  <c r="N40" i="82" a="1"/>
  <c r="N40" i="82" s="1"/>
  <c r="Q206" i="76" a="1"/>
  <c r="Q206" i="76" s="1"/>
  <c r="O40" i="82" a="1"/>
  <c r="O40" i="82" s="1"/>
  <c r="R206" i="76" a="1"/>
  <c r="R206" i="76" s="1"/>
  <c r="P40" i="82" a="1"/>
  <c r="P40" i="82" s="1"/>
  <c r="G30" i="69"/>
  <c r="P30" i="69"/>
  <c r="I45" i="69"/>
  <c r="R164" i="69"/>
  <c r="H173" i="69"/>
  <c r="Q173" i="69"/>
  <c r="I164" i="69"/>
  <c r="O171" i="69"/>
  <c r="F171" i="69"/>
  <c r="G7" i="13" s="1"/>
  <c r="H125" i="69"/>
  <c r="Q125" i="69"/>
  <c r="H96" i="69"/>
  <c r="Q96" i="69"/>
  <c r="H57" i="69"/>
  <c r="Q57" i="69"/>
  <c r="E63" i="69"/>
  <c r="E104" i="69"/>
  <c r="E36" i="69" a="1"/>
  <c r="E7" i="69" a="1"/>
  <c r="D30" i="69" l="1" a="1"/>
  <c r="D30" i="69" s="1"/>
  <c r="M30" i="69" a="1"/>
  <c r="M30" i="69" s="1"/>
  <c r="O30" i="69" a="1"/>
  <c r="O30" i="69" s="1"/>
  <c r="N30" i="69" a="1"/>
  <c r="N30" i="69" s="1"/>
  <c r="E30" i="69" a="1"/>
  <c r="E30" i="69" s="1"/>
  <c r="F30" i="69" a="1"/>
  <c r="F30" i="69" s="1"/>
  <c r="I113" i="69"/>
  <c r="D58" i="69"/>
  <c r="E36" i="69"/>
  <c r="E7" i="69"/>
  <c r="O57" i="69" l="1" a="1"/>
  <c r="O57" i="69" s="1"/>
  <c r="P150" i="69" s="1"/>
  <c r="P164" i="69" s="1" a="1"/>
  <c r="P164" i="69" s="1"/>
  <c r="P57" i="69" a="1"/>
  <c r="P57" i="69" s="1"/>
  <c r="Q150" i="69" s="1"/>
  <c r="Q164" i="69" s="1" a="1"/>
  <c r="Q164" i="69" s="1"/>
  <c r="N57" i="69" a="1"/>
  <c r="N57" i="69" s="1"/>
  <c r="O150" i="69" s="1"/>
  <c r="O164" i="69" s="1" a="1"/>
  <c r="O164" i="69" s="1"/>
  <c r="G57" i="69" a="1"/>
  <c r="G57" i="69" s="1"/>
  <c r="H150" i="69" s="1"/>
  <c r="H164" i="69" s="1" a="1"/>
  <c r="H164" i="69" s="1"/>
  <c r="E57" i="69" a="1"/>
  <c r="E57" i="69" s="1"/>
  <c r="F57" i="69" a="1"/>
  <c r="F57" i="69" s="1"/>
  <c r="G150" i="69" s="1"/>
  <c r="G164" i="69" s="1" a="1"/>
  <c r="G164" i="69" s="1"/>
  <c r="F150" i="69" l="1"/>
  <c r="F164" i="69" s="1" a="1"/>
  <c r="F164"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6" i="70" s="1"/>
  <c r="D30" i="79"/>
  <c r="D37" i="70" s="1"/>
  <c r="D42" i="70"/>
  <c r="D41" i="81" l="1"/>
  <c r="E41" i="81" s="1"/>
  <c r="D97" i="69"/>
  <c r="D57" i="81"/>
  <c r="M25" i="82"/>
  <c r="D197" i="76"/>
  <c r="E197" i="76" s="1"/>
  <c r="E152" i="69"/>
  <c r="N57" i="81"/>
  <c r="N152" i="69"/>
  <c r="D99" i="81"/>
  <c r="D32" i="81"/>
  <c r="E32" i="81" s="1"/>
  <c r="M42" i="82"/>
  <c r="D42" i="82"/>
  <c r="N166" i="69"/>
  <c r="N88" i="69"/>
  <c r="O88" i="69" s="1"/>
  <c r="D25" i="82"/>
  <c r="E166" i="69"/>
  <c r="O175" i="76"/>
  <c r="E88" i="69"/>
  <c r="F88" i="69" s="1" a="1"/>
  <c r="F88" i="69" s="1"/>
  <c r="N107" i="81"/>
  <c r="D175" i="76"/>
  <c r="D107" i="81"/>
  <c r="N83" i="81"/>
  <c r="D49" i="81"/>
  <c r="O208" i="76"/>
  <c r="D83" i="81"/>
  <c r="N23" i="81"/>
  <c r="D208" i="76"/>
  <c r="D23" i="81"/>
  <c r="D34" i="82"/>
  <c r="E34" i="82" s="1"/>
  <c r="M97" i="69"/>
  <c r="D22" i="81"/>
  <c r="D31" i="81"/>
  <c r="D40" i="81"/>
  <c r="M96" i="69"/>
  <c r="M24" i="82"/>
  <c r="D96" i="69"/>
  <c r="D196" i="76"/>
  <c r="N151" i="69"/>
  <c r="D98" i="81"/>
  <c r="E151" i="69"/>
  <c r="D24" i="82"/>
  <c r="N56" i="81"/>
  <c r="D56" i="81"/>
  <c r="M41" i="82"/>
  <c r="D41" i="82"/>
  <c r="N165" i="69"/>
  <c r="E165" i="69"/>
  <c r="N87" i="69"/>
  <c r="O87" i="69" s="1"/>
  <c r="O174" i="76"/>
  <c r="D167" i="76" a="1"/>
  <c r="D167" i="76" s="1"/>
  <c r="N106" i="81"/>
  <c r="D48" i="81"/>
  <c r="D174" i="76"/>
  <c r="E87" i="69"/>
  <c r="D106" i="81"/>
  <c r="N82" i="81"/>
  <c r="O207" i="76"/>
  <c r="E80" i="69" a="1"/>
  <c r="E80" i="69" s="1"/>
  <c r="D82" i="81"/>
  <c r="N22" i="81"/>
  <c r="D33" i="82"/>
  <c r="E33" i="82" s="1"/>
  <c r="D207" i="76"/>
  <c r="D101" i="81"/>
  <c r="N59" i="81"/>
  <c r="N109" i="81"/>
  <c r="D59" i="81"/>
  <c r="M44" i="82"/>
  <c r="M27" i="82"/>
  <c r="D34" i="81"/>
  <c r="E34" i="81" s="1"/>
  <c r="D44" i="82"/>
  <c r="D198" i="76"/>
  <c r="E198" i="76" s="1"/>
  <c r="N168" i="69"/>
  <c r="E168" i="69"/>
  <c r="D109" i="81"/>
  <c r="N85" i="81"/>
  <c r="O210" i="76"/>
  <c r="D85" i="81"/>
  <c r="N25" i="81"/>
  <c r="D210" i="76"/>
  <c r="D51" i="81"/>
  <c r="D25" i="81"/>
  <c r="M125" i="69"/>
  <c r="R113" i="69" s="1"/>
  <c r="D27" i="82"/>
  <c r="D125" i="69"/>
  <c r="D120" i="69" a="1"/>
  <c r="D35" i="82"/>
  <c r="E35" i="82" s="1"/>
  <c r="D124" i="76" a="1"/>
  <c r="D43" i="81"/>
  <c r="O129" i="76"/>
  <c r="N154" i="69"/>
  <c r="D129" i="76"/>
  <c r="E154" i="69"/>
  <c r="E40" i="81"/>
  <c r="E43" i="81"/>
  <c r="N98" i="69" l="1" a="1"/>
  <c r="N98" i="69" s="1"/>
  <c r="O153" i="69" s="1"/>
  <c r="P98" i="69" a="1"/>
  <c r="P98" i="69" s="1"/>
  <c r="Q153" i="69" s="1"/>
  <c r="D124" i="76"/>
  <c r="G129" i="76" a="1"/>
  <c r="G129" i="76" s="1"/>
  <c r="G210" i="76" s="1" a="1"/>
  <c r="G210" i="76" s="1"/>
  <c r="R129" i="76" a="1"/>
  <c r="R129" i="76" s="1"/>
  <c r="R210" i="76" s="1" a="1"/>
  <c r="R210" i="76" s="1"/>
  <c r="F129" i="76" a="1"/>
  <c r="F129" i="76" s="1"/>
  <c r="Q129" i="76" a="1"/>
  <c r="Q129" i="76" s="1"/>
  <c r="Q210" i="76" s="1" a="1"/>
  <c r="Q210" i="76" s="1"/>
  <c r="E129" i="76" a="1"/>
  <c r="E129" i="76" s="1"/>
  <c r="P129" i="76" a="1"/>
  <c r="P129" i="76" s="1"/>
  <c r="P210" i="76" s="1" a="1"/>
  <c r="P210" i="76" s="1"/>
  <c r="O98" i="69" a="1"/>
  <c r="O98" i="69" s="1"/>
  <c r="P153" i="69" s="1"/>
  <c r="D120" i="69"/>
  <c r="G125" i="69" a="1"/>
  <c r="G125" i="69" s="1"/>
  <c r="H154" i="69" s="1"/>
  <c r="H168" i="69" s="1" a="1"/>
  <c r="H168" i="69" s="1"/>
  <c r="E125" i="69" a="1"/>
  <c r="E125" i="69" s="1"/>
  <c r="F154" i="69" s="1"/>
  <c r="F168" i="69" s="1" a="1"/>
  <c r="F168" i="69" s="1"/>
  <c r="F125" i="69" a="1"/>
  <c r="F125" i="69" s="1"/>
  <c r="G154" i="69" s="1"/>
  <c r="G168" i="69" s="1" a="1"/>
  <c r="G168" i="69" s="1"/>
  <c r="F87" i="69" a="1"/>
  <c r="F87" i="69" s="1"/>
  <c r="G96" i="69" s="1" a="1"/>
  <c r="G96" i="69" s="1"/>
  <c r="H151" i="69" s="1"/>
  <c r="H165" i="69" s="1" a="1"/>
  <c r="H165" i="69" s="1"/>
  <c r="E98" i="69" a="1"/>
  <c r="E98" i="69" s="1"/>
  <c r="G98" i="69" a="1"/>
  <c r="G98" i="69" s="1"/>
  <c r="F98" i="69" a="1"/>
  <c r="F98" i="69" s="1"/>
  <c r="E97" i="69" a="1"/>
  <c r="E97" i="69" s="1"/>
  <c r="F152" i="69" s="1"/>
  <c r="F166" i="69" s="1" a="1"/>
  <c r="F166" i="69" s="1"/>
  <c r="G97" i="69" a="1"/>
  <c r="G97" i="69" s="1"/>
  <c r="H152" i="69" s="1"/>
  <c r="H166" i="69" s="1" a="1"/>
  <c r="H166" i="69" s="1"/>
  <c r="F97" i="69" a="1"/>
  <c r="F97" i="69" s="1"/>
  <c r="G152" i="69" s="1"/>
  <c r="G166" i="69" s="1" a="1"/>
  <c r="G166" i="69" s="1"/>
  <c r="P97" i="69" a="1"/>
  <c r="P97" i="69" s="1"/>
  <c r="Q152" i="69" s="1"/>
  <c r="Q166" i="69" s="1" a="1"/>
  <c r="Q166" i="69" s="1"/>
  <c r="O97" i="69" a="1"/>
  <c r="O97" i="69" s="1"/>
  <c r="P152" i="69" s="1"/>
  <c r="P166" i="69" s="1" a="1"/>
  <c r="P166" i="69" s="1"/>
  <c r="N97" i="69" a="1"/>
  <c r="N97" i="69" s="1"/>
  <c r="O152" i="69" s="1"/>
  <c r="O166" i="69" s="1" a="1"/>
  <c r="O166" i="69" s="1"/>
  <c r="N125" i="69" a="1"/>
  <c r="N125" i="69" s="1"/>
  <c r="O154" i="69" s="1"/>
  <c r="O168" i="69" s="1" a="1"/>
  <c r="O168" i="69" s="1"/>
  <c r="O125" i="69" a="1"/>
  <c r="O125" i="69" s="1"/>
  <c r="P154" i="69" s="1"/>
  <c r="P168" i="69" s="1" a="1"/>
  <c r="P168" i="69" s="1"/>
  <c r="P125" i="69" a="1"/>
  <c r="P125" i="69" s="1"/>
  <c r="Q154" i="69" s="1"/>
  <c r="Q168" i="69" s="1" a="1"/>
  <c r="Q168" i="69" s="1"/>
  <c r="O96" i="69" a="1"/>
  <c r="O96" i="69" s="1"/>
  <c r="P151" i="69" s="1"/>
  <c r="P165" i="69" s="1" a="1"/>
  <c r="P165" i="69" s="1"/>
  <c r="N96" i="69" a="1"/>
  <c r="N96" i="69" s="1"/>
  <c r="O151" i="69" s="1"/>
  <c r="O165" i="69" s="1" a="1"/>
  <c r="O165" i="69" s="1"/>
  <c r="P96" i="69" a="1"/>
  <c r="P96" i="69" s="1"/>
  <c r="Q151" i="69" s="1"/>
  <c r="Q165" i="69" s="1" a="1"/>
  <c r="Q165" i="69" s="1"/>
  <c r="E31" i="81"/>
  <c r="E196" i="76"/>
  <c r="H153" i="69" l="1"/>
  <c r="H167" i="69" s="1" a="1"/>
  <c r="H167" i="69" s="1"/>
  <c r="G153" i="69"/>
  <c r="G167" i="69" s="1" a="1"/>
  <c r="G167" i="69" s="1"/>
  <c r="O149" i="76" a="1"/>
  <c r="O149" i="76" s="1"/>
  <c r="O25" i="81"/>
  <c r="N27" i="82"/>
  <c r="N44" i="82" s="1" a="1"/>
  <c r="N44" i="82" s="1"/>
  <c r="E27" i="82"/>
  <c r="E44" i="82" s="1" a="1"/>
  <c r="E44" i="82" s="1"/>
  <c r="E25" i="81"/>
  <c r="D149" i="76" a="1"/>
  <c r="D149" i="76" s="1"/>
  <c r="F27" i="82"/>
  <c r="F44" i="82" s="1" a="1"/>
  <c r="F44" i="82" s="1"/>
  <c r="E149" i="76" a="1"/>
  <c r="E149" i="76" s="1"/>
  <c r="F25" i="81"/>
  <c r="E210" i="76" a="1"/>
  <c r="E210" i="76" s="1"/>
  <c r="Q149" i="76" a="1"/>
  <c r="Q149" i="76" s="1"/>
  <c r="Q25" i="81"/>
  <c r="P27" i="82"/>
  <c r="P44" i="82" s="1" a="1"/>
  <c r="P44" i="82" s="1"/>
  <c r="F210" i="76" a="1"/>
  <c r="F210" i="76" s="1"/>
  <c r="G27" i="82"/>
  <c r="G44" i="82" s="1" a="1"/>
  <c r="G44" i="82" s="1"/>
  <c r="F149" i="76" a="1"/>
  <c r="F149" i="76" s="1"/>
  <c r="G25" i="81"/>
  <c r="O27" i="82"/>
  <c r="O44" i="82" s="1" a="1"/>
  <c r="O44" i="82" s="1"/>
  <c r="P149" i="76" a="1"/>
  <c r="P149" i="76" s="1"/>
  <c r="P25" i="81"/>
  <c r="F96" i="69" a="1"/>
  <c r="F96" i="69" s="1"/>
  <c r="G151" i="69" s="1"/>
  <c r="G165" i="69" s="1" a="1"/>
  <c r="G165" i="69" s="1"/>
  <c r="E96" i="69" a="1"/>
  <c r="E96" i="69" s="1"/>
  <c r="F151" i="69" s="1"/>
  <c r="F165" i="69" s="1" a="1"/>
  <c r="F165" i="69" s="1"/>
  <c r="F153" i="69"/>
  <c r="F167" i="69" s="1" a="1"/>
  <c r="F167" i="69" s="1"/>
  <c r="O167" i="69" a="1"/>
  <c r="O167" i="69" s="1"/>
  <c r="Q167" i="69" a="1"/>
  <c r="Q167" i="69" s="1"/>
  <c r="P167" i="69" a="1"/>
  <c r="P167" i="69" s="1"/>
  <c r="Q85" i="81" l="1" a="1"/>
  <c r="Q85" i="81" s="1"/>
  <c r="Q109" i="81" a="1"/>
  <c r="Q109" i="81" s="1"/>
  <c r="Q59" i="81" a="1"/>
  <c r="Q59" i="81" s="1"/>
  <c r="F109" i="81" a="1"/>
  <c r="F109" i="81" s="1"/>
  <c r="F85" i="81" a="1"/>
  <c r="F85" i="81" s="1"/>
  <c r="F59" i="81" a="1"/>
  <c r="F59" i="81" s="1"/>
  <c r="F176" i="76" a="1"/>
  <c r="F176" i="76" s="1"/>
  <c r="F24" i="81" s="1"/>
  <c r="F174" i="76" a="1"/>
  <c r="F174" i="76" s="1"/>
  <c r="F175" i="76" a="1"/>
  <c r="F175" i="76" s="1"/>
  <c r="R176" i="76" a="1"/>
  <c r="R176" i="76" s="1"/>
  <c r="Q24" i="81" s="1"/>
  <c r="R175" i="76" a="1"/>
  <c r="R175" i="76" s="1"/>
  <c r="R174" i="76" a="1"/>
  <c r="R174" i="76" s="1"/>
  <c r="Q176" i="76" a="1"/>
  <c r="Q176" i="76" s="1"/>
  <c r="P24" i="81" s="1"/>
  <c r="Q175" i="76" a="1"/>
  <c r="Q175" i="76" s="1"/>
  <c r="Q174" i="76" a="1"/>
  <c r="Q174" i="76" s="1"/>
  <c r="E85" i="81" a="1"/>
  <c r="E85" i="81" s="1"/>
  <c r="E59" i="81" a="1"/>
  <c r="E59" i="81" s="1"/>
  <c r="E109" i="81" a="1"/>
  <c r="E109" i="81" s="1"/>
  <c r="E176" i="76" a="1"/>
  <c r="E176" i="76" s="1"/>
  <c r="E24" i="81" s="1"/>
  <c r="E174" i="76" a="1"/>
  <c r="E174" i="76" s="1"/>
  <c r="E175" i="76" a="1"/>
  <c r="E175" i="76" s="1"/>
  <c r="P109" i="81" a="1"/>
  <c r="P109" i="81" s="1"/>
  <c r="P85" i="81" a="1"/>
  <c r="P85" i="81" s="1"/>
  <c r="P59" i="81" a="1"/>
  <c r="P59" i="81" s="1"/>
  <c r="G85" i="81" a="1"/>
  <c r="G85" i="81" s="1"/>
  <c r="G59" i="81" a="1"/>
  <c r="G59" i="81" s="1"/>
  <c r="G109" i="81" a="1"/>
  <c r="G109" i="81" s="1"/>
  <c r="G176" i="76" a="1"/>
  <c r="G176" i="76" s="1"/>
  <c r="G24" i="81" s="1"/>
  <c r="G174" i="76" a="1"/>
  <c r="G174" i="76" s="1"/>
  <c r="G175" i="76" a="1"/>
  <c r="G175" i="76" s="1"/>
  <c r="O109" i="81" a="1"/>
  <c r="O109" i="81" s="1"/>
  <c r="O85" i="81" a="1"/>
  <c r="O85" i="81" s="1"/>
  <c r="O59" i="81" a="1"/>
  <c r="O59" i="81" s="1"/>
  <c r="P176" i="76" a="1"/>
  <c r="P176" i="76" s="1"/>
  <c r="O24" i="81" s="1"/>
  <c r="P175" i="76" a="1"/>
  <c r="P175" i="76" s="1"/>
  <c r="P174" i="76" a="1"/>
  <c r="P174" i="76" s="1"/>
  <c r="N171" i="69"/>
  <c r="P173" i="69" s="1"/>
  <c r="E171" i="69"/>
  <c r="G173" i="69" s="1"/>
  <c r="P84" i="81" l="1" a="1"/>
  <c r="P84" i="81" s="1"/>
  <c r="P108" i="81" a="1"/>
  <c r="P108" i="81" s="1"/>
  <c r="P58" i="81" a="1"/>
  <c r="P58" i="81" s="1"/>
  <c r="Q22" i="81"/>
  <c r="P24" i="82"/>
  <c r="P41" i="82" s="1" a="1"/>
  <c r="P41" i="82" s="1"/>
  <c r="R207" i="76" a="1"/>
  <c r="R207" i="76" s="1"/>
  <c r="Q84" i="81" a="1"/>
  <c r="Q84" i="81" s="1"/>
  <c r="Q108" i="81" a="1"/>
  <c r="Q108" i="81" s="1"/>
  <c r="Q58" i="81" a="1"/>
  <c r="Q58" i="81" s="1"/>
  <c r="F23" i="81"/>
  <c r="F25" i="82"/>
  <c r="F42" i="82" s="1" a="1"/>
  <c r="F42" i="82" s="1"/>
  <c r="F208" i="76" a="1"/>
  <c r="F208" i="76" s="1"/>
  <c r="O22" i="81"/>
  <c r="N24" i="82"/>
  <c r="N41" i="82" s="1" a="1"/>
  <c r="N41" i="82" s="1"/>
  <c r="P207" i="76" a="1"/>
  <c r="P207" i="76" s="1"/>
  <c r="F24" i="82"/>
  <c r="F41" i="82" s="1" a="1"/>
  <c r="F41" i="82" s="1"/>
  <c r="F22" i="81"/>
  <c r="F207" i="76" a="1"/>
  <c r="F207" i="76" s="1"/>
  <c r="P23" i="81"/>
  <c r="O25" i="82"/>
  <c r="O42" i="82" s="1" a="1"/>
  <c r="O42" i="82" s="1"/>
  <c r="Q208" i="76" a="1"/>
  <c r="Q208" i="76" s="1"/>
  <c r="O84" i="81" a="1"/>
  <c r="O84" i="81" s="1"/>
  <c r="O108" i="81" a="1"/>
  <c r="O108" i="81" s="1"/>
  <c r="O58" i="81" a="1"/>
  <c r="O58" i="81" s="1"/>
  <c r="E58" i="81" a="1"/>
  <c r="E58" i="81" s="1"/>
  <c r="E84" i="81" a="1"/>
  <c r="E84" i="81" s="1"/>
  <c r="E108" i="81" a="1"/>
  <c r="E108" i="81" s="1"/>
  <c r="E25" i="82"/>
  <c r="E42" i="82" s="1" a="1"/>
  <c r="E42" i="82" s="1"/>
  <c r="E23" i="81"/>
  <c r="E208" i="76" a="1"/>
  <c r="E208" i="76" s="1"/>
  <c r="G108" i="81" a="1"/>
  <c r="G108" i="81" s="1"/>
  <c r="G58" i="81" a="1"/>
  <c r="G58" i="81" s="1"/>
  <c r="G84" i="81" a="1"/>
  <c r="G84" i="81" s="1"/>
  <c r="O23" i="81"/>
  <c r="N25" i="82"/>
  <c r="N42" i="82" s="1" a="1"/>
  <c r="N42" i="82" s="1"/>
  <c r="P208" i="76" a="1"/>
  <c r="P208" i="76" s="1"/>
  <c r="E24" i="82"/>
  <c r="E41" i="82" s="1" a="1"/>
  <c r="E41" i="82" s="1"/>
  <c r="E22" i="81"/>
  <c r="E207" i="76" a="1"/>
  <c r="E207" i="76" s="1"/>
  <c r="G25" i="82"/>
  <c r="G42" i="82" s="1" a="1"/>
  <c r="G42" i="82" s="1"/>
  <c r="G23" i="81"/>
  <c r="G208" i="76" a="1"/>
  <c r="G208" i="76" s="1"/>
  <c r="P25" i="82"/>
  <c r="P42" i="82" s="1" a="1"/>
  <c r="P42" i="82" s="1"/>
  <c r="Q23" i="81"/>
  <c r="R208" i="76" a="1"/>
  <c r="R208" i="76" s="1"/>
  <c r="F84" i="81" a="1"/>
  <c r="F84" i="81" s="1"/>
  <c r="F108" i="81" a="1"/>
  <c r="F108" i="81" s="1"/>
  <c r="F58" i="81" a="1"/>
  <c r="F58" i="81" s="1"/>
  <c r="G24" i="82"/>
  <c r="G41" i="82" s="1" a="1"/>
  <c r="G41" i="82" s="1"/>
  <c r="G22" i="81"/>
  <c r="G207" i="76" a="1"/>
  <c r="G207" i="76" s="1"/>
  <c r="P22" i="81"/>
  <c r="O24" i="82"/>
  <c r="O41" i="82" s="1" a="1"/>
  <c r="O41" i="82" s="1"/>
  <c r="Q207" i="76" a="1"/>
  <c r="Q207" i="76" s="1"/>
  <c r="E176" i="69" a="1"/>
  <c r="E176" i="69" s="1"/>
  <c r="H7" i="13" s="1"/>
  <c r="E7" i="13"/>
  <c r="N176" i="69" a="1"/>
  <c r="N176" i="69" s="1"/>
  <c r="I7" i="13" s="1"/>
  <c r="F7" i="13"/>
  <c r="E212" i="76" l="1"/>
  <c r="N46" i="82"/>
  <c r="R58" i="82" s="1"/>
  <c r="N65" i="82" s="1" a="1"/>
  <c r="N65" i="82" s="1"/>
  <c r="P67" i="82" s="1"/>
  <c r="G57" i="81" a="1"/>
  <c r="G57" i="81" s="1"/>
  <c r="G83" i="81" a="1"/>
  <c r="G83" i="81" s="1"/>
  <c r="G107" i="81" a="1"/>
  <c r="G107" i="81" s="1"/>
  <c r="O56" i="81" a="1"/>
  <c r="O56" i="81" s="1"/>
  <c r="O106" i="81" a="1"/>
  <c r="O106" i="81" s="1"/>
  <c r="O82" i="81" a="1"/>
  <c r="O82" i="81" s="1"/>
  <c r="E46" i="82"/>
  <c r="I58" i="82" s="1"/>
  <c r="E65" i="82" s="1" a="1"/>
  <c r="E65" i="82" s="1"/>
  <c r="G67" i="82" s="1"/>
  <c r="Q82" i="81" a="1"/>
  <c r="Q82" i="81" s="1"/>
  <c r="Q56" i="81" a="1"/>
  <c r="Q56" i="81" s="1"/>
  <c r="Q106" i="81" a="1"/>
  <c r="Q106" i="81" s="1"/>
  <c r="P56" i="81" a="1"/>
  <c r="P56" i="81" s="1"/>
  <c r="P82" i="81" a="1"/>
  <c r="P82" i="81" s="1"/>
  <c r="P106" i="81" a="1"/>
  <c r="P106" i="81" s="1"/>
  <c r="E56" i="81" a="1"/>
  <c r="E56" i="81" s="1"/>
  <c r="E106" i="81" a="1"/>
  <c r="E106" i="81" s="1"/>
  <c r="E82" i="81" a="1"/>
  <c r="E82" i="81" s="1"/>
  <c r="P83" i="81" a="1"/>
  <c r="P83" i="81" s="1"/>
  <c r="P57" i="81" a="1"/>
  <c r="P57" i="81" s="1"/>
  <c r="P107" i="81" a="1"/>
  <c r="P107" i="81" s="1"/>
  <c r="F56" i="81" a="1"/>
  <c r="F56" i="81" s="1"/>
  <c r="F106" i="81" a="1"/>
  <c r="F106" i="81" s="1"/>
  <c r="F82" i="81" a="1"/>
  <c r="F82" i="81" s="1"/>
  <c r="O57" i="81" a="1"/>
  <c r="O57" i="81" s="1"/>
  <c r="O83" i="81" a="1"/>
  <c r="O83" i="81" s="1"/>
  <c r="O107" i="81" a="1"/>
  <c r="O107" i="81" s="1"/>
  <c r="Q83" i="81" a="1"/>
  <c r="Q83" i="81" s="1"/>
  <c r="Q57" i="81" a="1"/>
  <c r="Q57" i="81" s="1"/>
  <c r="Q107" i="81" a="1"/>
  <c r="Q107" i="81" s="1"/>
  <c r="F57" i="81" a="1"/>
  <c r="F57" i="81" s="1"/>
  <c r="F107" i="81" a="1"/>
  <c r="F107" i="81" s="1"/>
  <c r="F83" i="81" a="1"/>
  <c r="F83" i="81" s="1"/>
  <c r="G106" i="81" a="1"/>
  <c r="G106" i="81" s="1"/>
  <c r="G82" i="81" a="1"/>
  <c r="G82" i="81" s="1"/>
  <c r="G56" i="81" a="1"/>
  <c r="G56" i="81" s="1"/>
  <c r="E57" i="81" a="1"/>
  <c r="E57" i="81" s="1"/>
  <c r="E107" i="81" a="1"/>
  <c r="E107" i="81" s="1"/>
  <c r="E83" i="81" a="1"/>
  <c r="E83" i="81" s="1"/>
  <c r="P212" i="76"/>
  <c r="R214" i="76" s="1"/>
  <c r="E8" i="13" l="1"/>
  <c r="G214" i="76"/>
  <c r="E217" i="76" s="1" a="1"/>
  <c r="E217" i="76" s="1"/>
  <c r="H8" i="13" s="1"/>
  <c r="F8" i="13"/>
  <c r="P217" i="76" a="1"/>
  <c r="P217" i="76" s="1"/>
  <c r="I8" i="13" s="1"/>
  <c r="E9" i="13"/>
  <c r="E70" i="82" a="1"/>
  <c r="E70" i="82" s="1"/>
  <c r="H9" i="13" s="1"/>
  <c r="E87" i="81"/>
  <c r="E18" i="13" s="1"/>
  <c r="O61" i="81"/>
  <c r="F16" i="13" s="1"/>
  <c r="E111" i="81"/>
  <c r="E17" i="13" s="1"/>
  <c r="O87" i="81"/>
  <c r="F17" i="13" s="1"/>
  <c r="O111" i="81"/>
  <c r="F18" i="13" s="1"/>
  <c r="E61" i="81"/>
  <c r="E16" i="13" s="1"/>
  <c r="F9" i="13"/>
  <c r="N70" i="82" a="1"/>
  <c r="N70" i="82" s="1"/>
  <c r="I9" i="13" s="1"/>
  <c r="H10" i="13" l="1"/>
  <c r="I10"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<sst xmlns="http://schemas.openxmlformats.org/spreadsheetml/2006/main" count="893" uniqueCount="412">
  <si>
    <t>INPUTS</t>
  </si>
  <si>
    <t>APPENDICES</t>
  </si>
  <si>
    <t>Emissions breakdown</t>
  </si>
  <si>
    <t>Test Farms</t>
  </si>
  <si>
    <t>Farm name</t>
  </si>
  <si>
    <t>State</t>
  </si>
  <si>
    <t>Leaching zone</t>
  </si>
  <si>
    <t>Climate zone</t>
  </si>
  <si>
    <r>
      <rPr>
        <sz val="10"/>
        <color theme="1" tint="0.34998626667073579"/>
        <rFont val="Arial"/>
        <family val="1"/>
      </rPr>
      <t xml:space="preserve">← </t>
    </r>
    <r>
      <rPr>
        <i/>
        <sz val="10"/>
        <color theme="1" tint="0.34998626667073579"/>
        <rFont val="Arial"/>
        <family val="1"/>
      </rPr>
      <t>Please select</t>
    </r>
  </si>
  <si>
    <t>Degrees celsius</t>
  </si>
  <si>
    <t>Millimetres</t>
  </si>
  <si>
    <t>Location and climate</t>
  </si>
  <si>
    <t>Your business</t>
  </si>
  <si>
    <t>Location information is used to reference some region and climate-specific emission factors</t>
  </si>
  <si>
    <r>
      <rPr>
        <sz val="10"/>
        <color theme="1" tint="0.34998626667073579"/>
        <rFont val="Arial"/>
        <family val="1"/>
      </rPr>
      <t xml:space="preserve">← </t>
    </r>
    <r>
      <rPr>
        <i/>
        <sz val="10"/>
        <color theme="1" tint="0.34998626667073579"/>
        <rFont val="Arial"/>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</si>
  <si>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</si>
  <si>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</si>
  <si>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</si>
  <si>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</si>
  <si>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</si>
  <si>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</si>
  <si>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</si>
  <si>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</si>
  <si>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</si>
  <si>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</si>
  <si>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</si>
  <si>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</si>
  <si>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</si>
  <si>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</si>
  <si>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</si>
  <si>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</si>
  <si>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</si>
  <si>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</si>
  <si>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</si>
  <si>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</si>
  <si>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</si>
  <si>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</si>
  <si>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</si>
  <si>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</si>
  <si>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</si>
  <si>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</si>
  <si>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</si>
  <si>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</si>
  <si>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</si>
  <si>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</si>
  <si>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</si>
  <si>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</si>
  <si>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</si>
  <si>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</si>
  <si>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</si>
  <si>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</si>
  <si>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</si>
  <si>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</si>
  <si>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</si>
  <si>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</si>
  <si>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</si>
  <si>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</si>
  <si>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</si>
  <si>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</si>
  <si>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</si>
  <si>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</si>
  <si>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</si>
  <si>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</si>
  <si>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</si>
  <si>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</si>
  <si>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</si>
  <si>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</si>
  <si>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0"/>
        <color theme="1" tint="0.34998626667073579"/>
        <rFont val="Arial"/>
        <family val="1"/>
      </rPr>
      <t xml:space="preserve">← </t>
    </r>
    <r>
      <rPr>
        <i/>
        <sz val="10"/>
        <color theme="1" tint="0.34998626667073579"/>
        <rFont val="Arial"/>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</si>
  <si>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</si>
  <si>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</si>
  <si>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</si>
  <si>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</si>
  <si>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</si>
  <si>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</si>
  <si>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</si>
  <si>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</si>
  <si>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</si>
  <si>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</si>
  <si>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</si>
  <si>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</si>
  <si>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</si>
  <si>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</si>
  <si>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</si>
  <si>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</si>
  <si>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</si>
  <si>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</si>
  <si>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</si>
  <si>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</si>
  <si>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</si>
  <si>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</si>
  <si>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</si>
  <si>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</si>
  <si>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0"/>
        <color rgb="FF183C1B"/>
        <rFont val="Arial"/>
        <family val="1"/>
      </rPr>
      <t>im</t>
    </r>
  </si>
  <si>
    <t>NIR definition</t>
  </si>
  <si>
    <t>Drylot (feed pad)</t>
  </si>
  <si>
    <t>Stage 2 MMS</t>
  </si>
  <si>
    <t>Intake</t>
  </si>
  <si>
    <t>kg DM/head/day</t>
  </si>
  <si>
    <t>MMS m</t>
  </si>
  <si>
    <t>Stage 1 MMS</t>
  </si>
  <si>
    <t>Input - MMS - Feedlot</t>
  </si>
  <si>
    <t>kg dry matter / head  day</t>
  </si>
  <si>
    <t>Fraction of manure in primary system drylot</t>
  </si>
  <si>
    <t>Treatment stage T</t>
  </si>
  <si>
    <t>Table_MMS_m-5_T-1</t>
  </si>
  <si>
    <t>Manure management systems</t>
  </si>
  <si>
    <t>Table_MMS_m_T-2</t>
  </si>
  <si>
    <t>Fraction of manure sent to stage 2 MMS</t>
  </si>
  <si>
    <t>Feedlot manure management systems</t>
  </si>
  <si>
    <t>Table_MMS_m-1_T-3</t>
  </si>
  <si>
    <t>Stage 3 MMS</t>
  </si>
  <si>
    <t>Fraction of manure sent to tertiary MMS</t>
  </si>
  <si>
    <t>Herd movement</t>
  </si>
  <si>
    <t>Duration of stay</t>
  </si>
  <si>
    <t>head</t>
  </si>
  <si>
    <t>Table_D_j</t>
  </si>
  <si>
    <t>Table_N_j</t>
  </si>
  <si>
    <t>Number of head in each group</t>
  </si>
  <si>
    <t>Head</t>
  </si>
  <si>
    <t>Stage</t>
  </si>
  <si>
    <r>
      <t>E</t>
    </r>
    <r>
      <rPr>
        <vertAlign val="subscript"/>
        <sz val="10"/>
        <color theme="1" tint="0.24994659260841701"/>
        <rFont val="Arial"/>
        <family val="1"/>
      </rPr>
      <t>CO2e</t>
    </r>
  </si>
  <si>
    <t>Table_E_CH4</t>
  </si>
  <si>
    <t>Methane emissions for each group, MMS and treatment stage</t>
  </si>
  <si>
    <t>Formula name</t>
  </si>
  <si>
    <t>Crude protein</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</si>
  <si>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</si>
  <si>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</si>
  <si>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</si>
  <si>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</si>
  <si>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</si>
  <si>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</si>
  <si>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</si>
  <si>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</si>
  <si>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</si>
  <si>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</si>
  <si>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</si>
  <si>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</si>
  <si>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</si>
  <si>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</si>
  <si>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</si>
  <si>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</si>
  <si>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N retention</t>
  </si>
  <si>
    <t>M1_Table_I_j</t>
  </si>
  <si>
    <t>M1_Table_CP_j</t>
  </si>
  <si>
    <t>M1_Table_NI_j</t>
  </si>
  <si>
    <t>M2_Table_I_j</t>
  </si>
  <si>
    <t>M2_Table_CP_j</t>
  </si>
  <si>
    <t>M2_Table_NI_j</t>
  </si>
  <si>
    <t>M1_Table_NR_j</t>
  </si>
  <si>
    <t>M2_Table_NR_j</t>
  </si>
  <si>
    <t>M1_Table_NE_j</t>
  </si>
  <si>
    <t>M2_Table_NE_j</t>
  </si>
  <si>
    <t>Method 1</t>
  </si>
  <si>
    <t>Method 2</t>
  </si>
  <si>
    <t>Fraction of intake</t>
  </si>
  <si>
    <t>M1_Table_AE_j</t>
  </si>
  <si>
    <t>M2_Table_AE_j</t>
  </si>
  <si>
    <t>Table_MMS_j_m-5_T-1</t>
  </si>
  <si>
    <t>M1_Table_MN_j_m-5_T-1</t>
  </si>
  <si>
    <t>M2_Table_MN_j_m-5_T-1</t>
  </si>
  <si>
    <t>Table_MMS_j_m_T-2</t>
  </si>
  <si>
    <t>Fraction of manure sent to stage 3 MMS</t>
  </si>
  <si>
    <t>Table_MMS_j_m-1_T-3</t>
  </si>
  <si>
    <t>Table_EF_j_m</t>
  </si>
  <si>
    <t>EFs for MMS</t>
  </si>
  <si>
    <r>
      <t>EF</t>
    </r>
    <r>
      <rPr>
        <b/>
        <vertAlign val="subscript"/>
        <sz val="10"/>
        <color rgb="FF183C1B"/>
        <rFont val="Arial"/>
        <family val="1"/>
      </rPr>
      <t>jm</t>
    </r>
  </si>
  <si>
    <r>
      <t>E</t>
    </r>
    <r>
      <rPr>
        <b/>
        <vertAlign val="subscript"/>
        <sz val="14"/>
        <color theme="1" tint="0.24994659260841701"/>
        <rFont val="Arial"/>
        <family val="1"/>
      </rPr>
      <t>N2O,dir</t>
    </r>
  </si>
  <si>
    <t>M1_Table_MN_j_m-1_T-3</t>
  </si>
  <si>
    <t>M2_Table_MN_j_m-1_T-3</t>
  </si>
  <si>
    <t>M1_Table_NT_j_m-_T-2</t>
  </si>
  <si>
    <t>M2_Table_NT_j_m-_T-2</t>
  </si>
  <si>
    <t>M1_Table_MN_j_m_T-2</t>
  </si>
  <si>
    <t>M1_Table_E_N2O_dir</t>
  </si>
  <si>
    <t>Total annual N2O emissions (Method 1)</t>
  </si>
  <si>
    <t>Total annual N2O emissions (Method 2)</t>
  </si>
  <si>
    <t>Nitrogen in stage 2 MMS (Method 1)</t>
  </si>
  <si>
    <t>Nitrogen in stage 2 MMS (Method 2)</t>
  </si>
  <si>
    <t>Nitrogen transferred to stage 2 MMS (Method 1)</t>
  </si>
  <si>
    <t>Nitrogen transferred to stage 2 MMS (Method 2)</t>
  </si>
  <si>
    <t>Nitrogen in stage 3 MMS (Method 1)</t>
  </si>
  <si>
    <t>Nitrogen in stage 3 MMS (Method 2)</t>
  </si>
  <si>
    <t>Nitrogen in stage 1 MMS (Method 1)</t>
  </si>
  <si>
    <t>Nitrogen in stage 1 MMS (Method 2)</t>
  </si>
  <si>
    <t>Annual nitrogen excretion (Method 1)</t>
  </si>
  <si>
    <t>Annual nitrogen excretion (Method 2)</t>
  </si>
  <si>
    <t>Nitrogen retention (Method 1)</t>
  </si>
  <si>
    <t>Nitrogen retention (Method 2)</t>
  </si>
  <si>
    <t>Nitrogen intake (Method 1)</t>
  </si>
  <si>
    <t>Crude protein content of feed (Method 1)</t>
  </si>
  <si>
    <t>Dry matter intake (Method 1)</t>
  </si>
  <si>
    <t>Dry matter intake (Method 2)</t>
  </si>
  <si>
    <t>Crude protein content of feed (Method 2)</t>
  </si>
  <si>
    <t>Nitrogen intake (Method 2)</t>
  </si>
  <si>
    <t>M1_Table_DMD_j</t>
  </si>
  <si>
    <t>M1_Table_VS_j</t>
  </si>
  <si>
    <t>Volatile solid production (Method 1)</t>
  </si>
  <si>
    <t>Dry matter digestibility (Method 1)</t>
  </si>
  <si>
    <t>M2_Table_DMD_j</t>
  </si>
  <si>
    <t>M2_Table_VS_j</t>
  </si>
  <si>
    <t>Volatile solid production (Method 2)</t>
  </si>
  <si>
    <t>M1_Table_M_j_m-5_T-1</t>
  </si>
  <si>
    <t>Production of methane stage 1 MMS (Method 1)</t>
  </si>
  <si>
    <t>M2_Table_M_j_m-5_T-1</t>
  </si>
  <si>
    <t>Production of methane stage 1 MMS (Method 2)</t>
  </si>
  <si>
    <t>M1_Table_M_j_m_T-2</t>
  </si>
  <si>
    <t>Production of methane in stage 2 MMS (Method 1)</t>
  </si>
  <si>
    <t>M2_Table_M_j_m_T-2</t>
  </si>
  <si>
    <t>Production of methane in stage 2 MMS (Method 2)</t>
  </si>
  <si>
    <t>M1_Table_M_j_m-1_T-3</t>
  </si>
  <si>
    <t>Production of methane in stage 3 MMS (Method 1)</t>
  </si>
  <si>
    <t>M2_Table_M_j_m-1_T-3</t>
  </si>
  <si>
    <t>Production of methane in stage 3 MMS (Method 2)</t>
  </si>
  <si>
    <t>M1_Table_M_j_m_T</t>
  </si>
  <si>
    <t>Methane production for all livestock groups, MMS and treatment stages (Method 1)</t>
  </si>
  <si>
    <t>M2_Table_M_j_m_T</t>
  </si>
  <si>
    <t>Methane production for all livestock groups, MMS and treatment stages (Method 2)</t>
  </si>
  <si>
    <t>ECH4 (Method 1)</t>
  </si>
  <si>
    <t>ECH4 (Method 2)</t>
  </si>
  <si>
    <r>
      <t>E</t>
    </r>
    <r>
      <rPr>
        <vertAlign val="subscript"/>
        <sz val="10"/>
        <color theme="1" tint="0.24994659260841701"/>
        <rFont val="Arial"/>
        <family val="1"/>
      </rPr>
      <t>CO2e</t>
    </r>
    <r>
      <rPr>
        <sz val="10"/>
        <color theme="1" tint="0.24994659260841701"/>
        <rFont val="Arial"/>
        <family val="1"/>
      </rPr>
      <t xml:space="preserve"> (Method 1)</t>
    </r>
  </si>
  <si>
    <r>
      <t>E</t>
    </r>
    <r>
      <rPr>
        <vertAlign val="subscript"/>
        <sz val="10"/>
        <color theme="1" tint="0.24994659260841701"/>
        <rFont val="Arial"/>
        <family val="1"/>
      </rPr>
      <t>CO2e</t>
    </r>
    <r>
      <rPr>
        <sz val="10"/>
        <color theme="1" tint="0.24994659260841701"/>
        <rFont val="Arial"/>
        <family val="1"/>
      </rPr>
      <t xml:space="preserve"> (Method 2)</t>
    </r>
  </si>
  <si>
    <t>4.1.1.9 Manure applied to soils</t>
  </si>
  <si>
    <t>kg N</t>
  </si>
  <si>
    <t>M1_Table_MN_j_m_T-2-3</t>
  </si>
  <si>
    <t>Table_FracGASM_m_T-2-3</t>
  </si>
  <si>
    <t>Table_EF_j_m_T-2-3</t>
  </si>
  <si>
    <t>Fraction of N volatilised in each MMS</t>
  </si>
  <si>
    <t>Table_PF</t>
  </si>
  <si>
    <t>Fraction of manure applied to soil from MMS</t>
  </si>
  <si>
    <t>kg N2O/kg N</t>
  </si>
  <si>
    <t>(kg NH3-N + NOx-N)/kg N</t>
  </si>
  <si>
    <t>M2_Table_MN_j_m_T-2-3</t>
  </si>
  <si>
    <t>Mass on N in stage 2 and 3 MMS (Method 2)</t>
  </si>
  <si>
    <t>Mass on N in stage 2 and 3 MMS (Method 1)</t>
  </si>
  <si>
    <t>M1_Table_MNSoil_scope1</t>
  </si>
  <si>
    <r>
      <t>MNSoil</t>
    </r>
    <r>
      <rPr>
        <b/>
        <vertAlign val="subscript"/>
        <sz val="14"/>
        <color theme="1" tint="0.24994659260841701"/>
        <rFont val="Arial"/>
        <family val="1"/>
      </rPr>
      <t>scope1</t>
    </r>
  </si>
  <si>
    <t>Table_PF_fert</t>
  </si>
  <si>
    <t>Fraction of manure applied to as fertiliser on own farm from MMS</t>
  </si>
  <si>
    <t>M1_Table_MNSoil_scope3</t>
  </si>
  <si>
    <t>M1_Table_MNSoil_scope3_fert</t>
  </si>
  <si>
    <r>
      <t>MNSoil</t>
    </r>
    <r>
      <rPr>
        <b/>
        <vertAlign val="subscript"/>
        <sz val="14"/>
        <color theme="1" tint="0.24994659260841701"/>
        <rFont val="Arial"/>
        <family val="1"/>
      </rPr>
      <t>fert,scope3</t>
    </r>
  </si>
  <si>
    <t>M2_Table_MNSoil_scope3_fert</t>
  </si>
  <si>
    <t>Mass of N applied to own farm as fertiliser (Method 2)</t>
  </si>
  <si>
    <t>M2_Table_MNSoil_scope3</t>
  </si>
  <si>
    <t>Mass of N applied to soils as fertiliser (Method 2)</t>
  </si>
  <si>
    <t>Mass of N applied to own farm as fertiliser (Method 1)</t>
  </si>
  <si>
    <t>Mass of N applied to soils as fertiliser (Method 1)</t>
  </si>
  <si>
    <t>M2_Table_MNSoil_scope1</t>
  </si>
  <si>
    <t>Mass of N applied to soils (Method 2)</t>
  </si>
  <si>
    <t>Mass of N applied to soils (Method 1)</t>
  </si>
  <si>
    <t>* Manure that is removed from stage 2 and 3 MMS and used as fertiliser on the farm, for other enterprises (eg crops)</t>
  </si>
  <si>
    <r>
      <t>MNSoil</t>
    </r>
    <r>
      <rPr>
        <b/>
        <vertAlign val="subscript"/>
        <sz val="14"/>
        <color theme="1" tint="0.24994659260841701"/>
        <rFont val="Arial"/>
        <family val="1"/>
      </rPr>
      <t>scope3,fert</t>
    </r>
  </si>
  <si>
    <t>Scope 1 source</t>
  </si>
  <si>
    <t>4.1.1.1-2 Manure Methane</t>
  </si>
  <si>
    <t>4.1.1.3-4 Manure Direct N2O</t>
  </si>
  <si>
    <t>4.1.1.5-6 Manure Atmospheric Deposition</t>
  </si>
  <si>
    <t>M1_Table_MN_j_m_T</t>
  </si>
  <si>
    <t>M1_Table_MMS_ATMOS</t>
  </si>
  <si>
    <t>Nitrogen in each MMS excluding direct application (Method 1)</t>
  </si>
  <si>
    <t>M2_Table_MN_j_m_T</t>
  </si>
  <si>
    <t>Nitrogen in each MMS excluding direct application (Method 2)</t>
  </si>
  <si>
    <r>
      <t>MMS</t>
    </r>
    <r>
      <rPr>
        <b/>
        <vertAlign val="subscript"/>
        <sz val="10"/>
        <color theme="1" tint="0.24994659260841701"/>
        <rFont val="Arial"/>
        <family val="1"/>
      </rPr>
      <t>ATMOS</t>
    </r>
  </si>
  <si>
    <t>Production system j</t>
  </si>
  <si>
    <t>EFN2O</t>
  </si>
  <si>
    <t>Production system only</t>
  </si>
  <si>
    <t>Irrigation method</t>
  </si>
  <si>
    <t>Pasture</t>
  </si>
  <si>
    <t>Feedlot crop or pasture production systems</t>
  </si>
  <si>
    <t>Production system</t>
  </si>
  <si>
    <t>Irrigation methods</t>
  </si>
  <si>
    <t>Not irrigated</t>
  </si>
  <si>
    <t>Drip irrigation</t>
  </si>
  <si>
    <t>Sprinkler irrigation</t>
  </si>
  <si>
    <t>Surface irrigation</t>
  </si>
  <si>
    <t>Other irrigation</t>
  </si>
  <si>
    <r>
      <t>E</t>
    </r>
    <r>
      <rPr>
        <b/>
        <vertAlign val="subscript"/>
        <sz val="14"/>
        <color theme="1" tint="0.24994659260841701"/>
        <rFont val="Arial"/>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</si>
  <si>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</si>
  <si>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</si>
  <si>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</si>
  <si>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</si>
  <si>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</si>
  <si>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</si>
  <si>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</si>
  <si>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</si>
  <si>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</si>
  <si>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</si>
  <si>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</si>
  <si>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</si>
  <si>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</si>
  <si>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</si>
  <si>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4.1 Manure management: Beef Feedlot: Results</t>
  </si>
  <si>
    <t>Method 1 default values (Do not edit)</t>
  </si>
  <si>
    <t>Method 2 custom values (Edit if known)</t>
  </si>
  <si>
    <t>Irrigation type i</t>
  </si>
  <si>
    <t>EFPRP</t>
  </si>
  <si>
    <t>Scope 1 - This feedlot</t>
  </si>
  <si>
    <t>Month</t>
  </si>
  <si>
    <t>Season</t>
  </si>
  <si>
    <t>Where manure was deposited on farm soils, what is the closest match?</t>
  </si>
  <si>
    <t>Scope 1: Mass of nitrogen applied as fertiliser on own farm</t>
  </si>
  <si>
    <t>Manure nitrogen deposited on farm soils (including use as fertiliser for other enterprises on own farm eg crops)</t>
  </si>
  <si>
    <t>4.1.1.1-2 Method 1 Manure methane</t>
  </si>
  <si>
    <t>4.1.1.3-4 Method 1 Manure direct N2O</t>
  </si>
  <si>
    <t>4.1.1.5-6 Method 1 Manure atmospheric deposition</t>
  </si>
  <si>
    <t>GHG emissions method 1</t>
  </si>
  <si>
    <t>GHG emissions method 2</t>
  </si>
  <si>
    <t>CO2-e emissions method 1</t>
  </si>
  <si>
    <t>t CO2e</t>
  </si>
  <si>
    <t>CO2-e emissions method 2</t>
  </si>
  <si>
    <t>N/A</t>
  </si>
  <si>
    <t>Direct application</t>
  </si>
  <si>
    <t>▼</t>
  </si>
  <si>
    <t>Sold</t>
  </si>
  <si>
    <t>Fert for own farm (eg crop)</t>
  </si>
  <si>
    <t>Direct application to soil</t>
  </si>
  <si>
    <t>►</t>
  </si>
  <si>
    <t>PF</t>
  </si>
  <si>
    <t>days</t>
  </si>
  <si>
    <t>fraction</t>
  </si>
  <si>
    <t>percent</t>
  </si>
  <si>
    <t>percent of intake</t>
  </si>
  <si>
    <r>
      <t xml:space="preserve">Destination after stage 3 MMS </t>
    </r>
    <r>
      <rPr>
        <i/>
        <sz val="10"/>
        <color rgb="FF533001"/>
        <rFont val="Arial"/>
        <family val="1"/>
      </rPr>
      <t>(Percent)</t>
    </r>
  </si>
  <si>
    <r>
      <t xml:space="preserve">Destination after stage 2 MMS </t>
    </r>
    <r>
      <rPr>
        <i/>
        <sz val="10"/>
        <color rgb="FF533001"/>
        <rFont val="Arial"/>
        <family val="1"/>
      </rPr>
      <t>(Percent)</t>
    </r>
  </si>
  <si>
    <t>and instead is handled in 'Manure applied to soils'.</t>
  </si>
  <si>
    <r>
      <rPr>
        <b/>
        <sz val="10"/>
        <color rgb="FF0070C0"/>
        <rFont val="Arial"/>
        <family val="1"/>
      </rPr>
      <t>Note:</t>
    </r>
    <r>
      <rPr>
        <sz val="10"/>
        <color rgb="FF0070C0"/>
        <rFont val="Arial"/>
        <family val="1"/>
      </rPr>
      <t xml:space="preserve"> Manure that is directly applied to soil after stage 1 is not included in Atmospheric Deposition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</si>
  <si>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</si>
  <si>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</si>
  <si>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</si>
  <si>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</si>
  <si>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</si>
  <si>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</si>
  <si>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</si>
  <si>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</si>
  <si>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</si>
  <si>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</si>
  <si>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</si>
  <si>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</si>
  <si>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</si>
  <si>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</si>
  <si>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r>
      <t>PF</t>
    </r>
    <r>
      <rPr>
        <b/>
        <vertAlign val="subscript"/>
        <sz val="10"/>
        <color rgb="FF533001"/>
        <rFont val="Arial"/>
        <family val="1"/>
      </rPr>
      <t>fert</t>
    </r>
  </si>
  <si>
    <r>
      <rPr>
        <b/>
        <sz val="10"/>
        <color rgb="FF0070C0"/>
        <rFont val="Arial"/>
        <family val="1"/>
      </rPr>
      <t>Note:</t>
    </r>
    <r>
      <rPr>
        <sz val="10"/>
        <color rgb="FF0070C0"/>
        <rFont val="Arial"/>
        <family val="1"/>
      </rPr>
      <t xml:space="preserve"> Manure that is directly applied to soil after stage 1 is not included in direct nitrous oxide calculations</t>
    </r>
  </si>
  <si>
    <r>
      <rPr>
        <b/>
        <sz val="10"/>
        <color rgb="FF0070C0"/>
        <rFont val="Arial"/>
        <family val="1"/>
      </rPr>
      <t>Note:</t>
    </r>
    <r>
      <rPr>
        <sz val="10"/>
        <color rgb="FF0070C0"/>
        <rFont val="Arial"/>
        <family val="1"/>
      </rPr>
      <t xml:space="preserve"> Manure that is directly applied to soils after it is scraped from the feed pad is calculated as having zero methane emissions.</t>
    </r>
  </si>
  <si>
    <t>NOTE: Drylot MCF is state based</t>
  </si>
  <si>
    <t>💡 Below is a diagram that maps the equations used to calculate emissions, how they interact with each other and how they align with dairy manure management processes.</t>
  </si>
  <si>
    <t xml:space="preserve">    Click on a box to go to the corresponding calculation.</t>
  </si>
  <si>
    <t>4.1: Manure Management: Beef feedlot: Overview</t>
  </si>
  <si>
    <t>Climate Zone</t>
  </si>
  <si>
    <t>EFNi &amp; EFN2Oi</t>
  </si>
  <si>
    <t>Dry matter digestibility (Method 2)</t>
  </si>
  <si>
    <t>M2_Table_MCF_i_m</t>
  </si>
  <si>
    <t>Methane conversion factor for state and MMS (Method 2)</t>
  </si>
  <si>
    <t>M1_Table_MCF_i_m</t>
  </si>
  <si>
    <t>Methane conversion factor for state and MMS (Method 1)</t>
  </si>
  <si>
    <t>M2_Table_E_N2O_dir</t>
  </si>
  <si>
    <t>M2_Table_MMS_ATMOS</t>
  </si>
  <si>
    <t xml:space="preserve">N in manure (Method 1) </t>
  </si>
  <si>
    <t xml:space="preserve">N in manure (Method 2) </t>
  </si>
  <si>
    <t>Western Australia</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</si>
  <si>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</si>
  <si>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</si>
  <si>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</si>
  <si>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</si>
  <si>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</si>
  <si>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</si>
  <si>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</si>
  <si>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</si>
  <si>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</si>
  <si>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</si>
  <si>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</si>
  <si>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</si>
  <si>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</si>
  <si>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</si>
  <si>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</si>
  <si>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</si>
  <si>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</si>
  <si>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</si>
  <si>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</si>
  <si>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</si>
  <si>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</si>
  <si>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</si>
  <si>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</si>
  <si>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</si>
  <si>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</si>
  <si>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</si>
  <si>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</si>
  <si>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</si>
  <si>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</si>
  <si>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</si>
  <si>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</si>
  <si>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</si>
  <si>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</si>
  <si>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</si>
  <si>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</si>
  <si>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</si>
  <si>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</si>
  <si>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</si>
  <si>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</si>
  <si>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</si>
  <si>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</si>
  <si>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</si>
  <si>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</si>
  <si>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</si>
  <si>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</si>
  <si>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</si>
  <si>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</si>
  <si>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</si>
  <si>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</si>
  <si>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</si>
  <si>
    <t>Ether extract</t>
  </si>
  <si>
    <t>NDF</t>
  </si>
  <si>
    <t>Livestock classes</t>
  </si>
  <si>
    <t>Livestock class</t>
  </si>
  <si>
    <t>Table_LivestockClasses_Feedlot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</si>
</sst>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70"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i/>
      <sz val="9"/>
      <color theme="1" tint="0.34998626667073579"/>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u/>
      <sz val="10"/>
      <color theme="10"/>
      <name val="Arial"/>
      <family val="2"/>
    </font>
    <font>
      <sz val="9"/>
      <color theme="1" tint="0.249977111117893"/>
      <name val="Arial"/>
      <family val="1"/>
    </font>
    <font>
      <sz val="9"/>
      <color rgb="FF008000"/>
      <name val="Arial"/>
      <family val="1"/>
    </font>
    <font>
      <sz val="9"/>
      <color rgb="FFCC6600"/>
      <name val="Arial"/>
      <family val="1"/>
    </font>
    <font>
      <sz val="10"/>
      <color theme="0"/>
      <name val="Arial"/>
      <family val="1"/>
    </font>
    <font>
      <sz val="8"/>
      <name val="Arial"/>
      <family val="2"/>
    </font>
    <font>
      <sz val="10"/>
      <color theme="1" tint="0.499984740745262"/>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b/>
      <sz val="10"/>
      <color theme="1"/>
      <name val="Arial"/>
      <family val="1"/>
    </font>
    <font>
      <b/>
      <sz val="12"/>
      <color theme="1"/>
      <name val="Arial"/>
      <family val="1"/>
    </font>
    <font>
      <sz val="10"/>
      <color rgb="FF242424"/>
      <name val="Consolas"/>
      <family val="3"/>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b/>
      <vertAlign val="subscript"/>
      <sz val="10"/>
      <color rgb="FF183C1B"/>
      <name val="Arial"/>
      <family val="1"/>
    </font>
    <font>
      <b/>
      <sz val="10"/>
      <color theme="1" tint="0.24994659260841701"/>
      <name val="Arial"/>
      <family val="1"/>
    </font>
    <font>
      <sz val="10"/>
      <color rgb="FFC44340"/>
      <name val="Arial"/>
      <family val="1"/>
    </font>
    <font>
      <sz val="10"/>
      <color rgb="FF008000"/>
      <name val="Arial"/>
      <family val="1"/>
    </font>
    <font>
      <b/>
      <sz val="10"/>
      <color theme="5" tint="-0.499984740745262"/>
      <name val="Arial"/>
      <family val="1"/>
    </font>
    <font>
      <sz val="10"/>
      <color rgb="FF0070C0"/>
      <name val="Arial"/>
      <family val="1"/>
    </font>
    <font>
      <b/>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b/>
      <sz val="10"/>
      <color rgb="FFC44340"/>
      <name val="Arial"/>
      <family val="1"/>
    </font>
    <font>
      <b/>
      <sz val="14"/>
      <color theme="1" tint="0.24994659260841701"/>
      <name val="Arial"/>
      <family val="1"/>
    </font>
    <font>
      <sz val="14"/>
      <color theme="1" tint="0.24994659260841701"/>
      <name val="Arial"/>
      <family val="1"/>
    </font>
    <font>
      <i/>
      <sz val="14"/>
      <color theme="1" tint="0.34998626667073579"/>
      <name val="Arial"/>
      <family val="1"/>
    </font>
    <font>
      <vertAlign val="subscript"/>
      <sz val="10"/>
      <color theme="1" tint="0.24994659260841701"/>
      <name val="Arial"/>
      <family val="1"/>
    </font>
    <font>
      <sz val="12"/>
      <color theme="1" tint="0.34998626667073579"/>
      <name val="Arial"/>
      <family val="1"/>
    </font>
    <font>
      <b/>
      <sz val="10"/>
      <color rgb="FFCC6600"/>
      <name val="Arial"/>
      <family val="1"/>
    </font>
    <font>
      <b/>
      <sz val="10"/>
      <color theme="1"/>
      <name val="Arial"/>
      <family val="2"/>
    </font>
    <font>
      <b/>
      <vertAlign val="subscript"/>
      <sz val="14"/>
      <color theme="1" tint="0.24994659260841701"/>
      <name val="Arial"/>
      <family val="1"/>
    </font>
    <font>
      <b/>
      <vertAlign val="subscript"/>
      <sz val="10"/>
      <color theme="1" tint="0.24994659260841701"/>
      <name val="Arial"/>
      <family val="1"/>
    </font>
    <font>
      <sz val="10"/>
      <color rgb="FFCC6600"/>
      <name val="Arial"/>
      <family val="1"/>
    </font>
    <font>
      <b/>
      <sz val="18"/>
      <color theme="4" tint="-0.249977111117893"/>
      <name val="Arial"/>
      <family val="1"/>
    </font>
    <font>
      <i/>
      <sz val="9"/>
      <color theme="5" tint="-0.499984740745262"/>
      <name val="Arial"/>
      <family val="1"/>
    </font>
    <font>
      <i/>
      <sz val="9"/>
      <color theme="6" tint="-0.499984740745262"/>
      <name val="Arial"/>
      <family val="1"/>
    </font>
    <font>
      <b/>
      <sz val="20"/>
      <color theme="5" tint="-0.499984740745262"/>
      <name val="Arial"/>
      <family val="1"/>
    </font>
    <font>
      <i/>
      <sz val="10"/>
      <color rgb="FF533001"/>
      <name val="Arial"/>
      <family val="1"/>
    </font>
    <font>
      <u/>
      <sz val="9"/>
      <color theme="1" tint="0.34998626667073579"/>
      <name val="Arial"/>
      <family val="1"/>
    </font>
    <font>
      <b/>
      <vertAlign val="subscript"/>
      <sz val="10"/>
      <color rgb="FF533001"/>
      <name val="Arial"/>
      <family val="1"/>
    </font>
    <font>
      <b/>
      <sz val="18"/>
      <color theme="3" tint="9.9978637043366805E-2"/>
      <name val="Arial"/>
      <family val="1"/>
    </font>
    <font>
      <sz val="9"/>
      <color rgb="FF404040"/>
      <name val="Arial"/>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3">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9">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6" fillId="4" borderId="0">
      <alignment horizontal="left" vertical="center"/>
    </xf>
    <xf numFmtId="0" fontId="47" fillId="11" borderId="0">
      <alignment horizontal="center" vertical="center"/>
    </xf>
    <xf numFmtId="0" fontId="22" fillId="11" borderId="0">
      <alignment horizontal="left" vertical="center" indent="1"/>
    </xf>
    <xf numFmtId="0" fontId="62" fillId="14" borderId="2">
      <alignment horizontal="center" vertical="center"/>
    </xf>
    <xf numFmtId="0" fontId="63" fillId="15" borderId="2">
      <alignment horizontal="center" vertical="center"/>
    </xf>
    <xf numFmtId="0" fontId="35" fillId="4" borderId="2">
      <alignment horizontal="left" vertical="center"/>
    </xf>
    <xf numFmtId="0" fontId="66" fillId="4" borderId="2">
      <alignment horizontal="left" vertical="center"/>
    </xf>
  </cellStyleXfs>
  <cellXfs count="147">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9"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8"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1"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4"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5" fillId="13" borderId="12" xfId="41" applyBorder="1">
      <alignment horizontal="left" vertical="center"/>
    </xf>
    <xf numFmtId="0" fontId="45" fillId="13" borderId="17" xfId="41" applyBorder="1">
      <alignment horizontal="left" vertical="center"/>
    </xf>
    <xf numFmtId="0" fontId="45" fillId="13" borderId="19" xfId="41" applyBorder="1">
      <alignment horizontal="left" vertical="center"/>
    </xf>
    <xf numFmtId="0" fontId="46" fillId="13" borderId="10" xfId="41" applyFont="1" applyBorder="1">
      <alignment horizontal="left" vertical="center"/>
    </xf>
    <xf numFmtId="0" fontId="44" fillId="6" borderId="0" xfId="30" applyFont="1" applyProtection="1">
      <alignment horizontal="center"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0" fontId="50" fillId="4" borderId="0" xfId="57" applyFo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20" xfId="55" applyBorder="1">
      <alignment horizontal="center" vertical="center"/>
    </xf>
    <xf numFmtId="0" fontId="6" fillId="4" borderId="1" xfId="56" applyBorder="1">
      <alignment horizontal="left" vertical="center"/>
    </xf>
    <xf numFmtId="0" fontId="56" fillId="4" borderId="0" xfId="62">
      <alignment horizontal="left" vertical="center"/>
    </xf>
    <xf numFmtId="0" fontId="57" fillId="2" borderId="0" xfId="8" applyFont="1" applyFill="1">
      <alignment horizontal="left" vertical="center"/>
    </xf>
    <xf numFmtId="0" fontId="5" fillId="2" borderId="0" xfId="1">
      <alignment horizontal="left" vertical="center" indent="1"/>
      <protection locked="0"/>
    </xf>
    <xf numFmtId="0" fontId="45" fillId="13" borderId="10" xfId="41" applyBorder="1">
      <alignment horizontal="left" vertical="center"/>
    </xf>
    <xf numFmtId="0" fontId="0" fillId="0" borderId="1" xfId="0" applyBorder="1"/>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39" fillId="4" borderId="6" xfId="8" applyBorder="1">
      <alignment horizontal="left"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39" fillId="4" borderId="0" xfId="8" applyAlignment="1">
      <alignment horizontal="center" vertical="center"/>
    </xf>
    <xf numFmtId="0" fontId="47" fillId="11" borderId="0" xfId="63">
      <alignment horizontal="center" vertical="center"/>
    </xf>
    <xf numFmtId="0" fontId="22" fillId="11" borderId="0" xfId="64">
      <alignment horizontal="left" vertical="center" indent="1"/>
    </xf>
    <xf numFmtId="0" fontId="61" fillId="0" borderId="0" xfId="2" applyFont="1"/>
    <xf numFmtId="0" fontId="62" fillId="14" borderId="2" xfId="65">
      <alignment horizontal="center" vertical="center"/>
    </xf>
    <xf numFmtId="0" fontId="63" fillId="15" borderId="2" xfId="66">
      <alignment horizontal="center" vertical="center"/>
    </xf>
    <xf numFmtId="0" fontId="64" fillId="4" borderId="0" xfId="62" applyFont="1" applyAlignment="1">
      <alignment horizontal="left" vertical="center" indent="2"/>
    </xf>
    <xf numFmtId="0" fontId="44" fillId="6" borderId="0" xfId="30" applyFont="1" applyAlignment="1" applyProtection="1">
      <alignment horizontal="left" vertical="center" indent="3"/>
    </xf>
    <xf numFmtId="0" fontId="13" fillId="6" borderId="0" xfId="29" applyAlignment="1">
      <alignment horizontal="left" vertical="center" indent="3"/>
    </xf>
    <xf numFmtId="0" fontId="39" fillId="4" borderId="0" xfId="8" applyAlignment="1">
      <alignment horizontal="left" vertical="center" indent="3"/>
    </xf>
    <xf numFmtId="0" fontId="41" fillId="4" borderId="0" xfId="8" applyFont="1" applyAlignment="1">
      <alignment horizontal="left" vertical="center" indent="6"/>
    </xf>
    <xf numFmtId="0" fontId="39" fillId="4" borderId="0" xfId="8" applyAlignment="1">
      <alignment horizontal="left" vertical="center" indent="6"/>
    </xf>
    <xf numFmtId="0" fontId="64" fillId="4" borderId="0" xfId="62" applyFont="1">
      <alignment horizontal="left" vertical="center"/>
    </xf>
    <xf numFmtId="0" fontId="35" fillId="4" borderId="2" xfId="67">
      <alignment horizontal="left" vertical="center"/>
    </xf>
    <xf numFmtId="0" fontId="66" fillId="4" borderId="2" xfId="68">
      <alignment horizontal="left" vertical="center"/>
    </xf>
    <xf numFmtId="0" fontId="35" fillId="4" borderId="7" xfId="67" applyBorder="1">
      <alignment horizontal="left" vertical="center"/>
    </xf>
    <xf numFmtId="0" fontId="35" fillId="4" borderId="8" xfId="67" applyBorder="1">
      <alignment horizontal="left" vertical="center"/>
    </xf>
    <xf numFmtId="0" fontId="35" fillId="4" borderId="20" xfId="67" applyBorder="1">
      <alignment horizontal="left" vertical="center"/>
    </xf>
    <xf numFmtId="0" fontId="68" fillId="9" borderId="0" xfId="33" applyFont="1" applyFill="1"/>
    <xf numFmtId="0" fontId="39" fillId="9" borderId="0" xfId="8" applyFill="1">
      <alignment horizontal="left" vertical="center"/>
    </xf>
    <xf numFmtId="0" fontId="17" fillId="11" borderId="0" xfId="32" applyFill="1">
      <alignment vertical="center"/>
    </xf>
    <xf numFmtId="0" fontId="45" fillId="13" borderId="21" xfId="41" applyBorder="1">
      <alignment horizontal="left" vertical="center"/>
    </xf>
    <xf numFmtId="0" fontId="46" fillId="13" borderId="22" xfId="41" applyFont="1" applyBorder="1">
      <alignment horizontal="left" vertical="center"/>
    </xf>
    <xf numFmtId="0" fontId="45" fillId="13" borderId="22" xfId="41" applyBorder="1">
      <alignment horizontal="left" vertical="center"/>
    </xf>
    <xf numFmtId="0" fontId="69" fillId="9" borderId="5" xfId="36" applyFont="1">
      <alignment horizontal="left" vertical="center" indent="1"/>
    </xf>
    <xf numFmtId="0" fontId="18" fillId="0" borderId="0" xfId="34"/>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7">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6"/>
      <tableStyleElement type="headerRow" dxfId="75"/>
      <tableStyleElement type="totalRow" dxfId="74"/>
      <tableStyleElement type="firstColumn" dxfId="73"/>
      <tableStyleElement type="firstRowStripe" dxfId="72"/>
      <tableStyleElement type="secondRowStripe" dxfId="71"/>
    </tableStyle>
    <tableStyle name="Equation table" pivot="0" count="6" xr9:uid="{B247698E-E41D-4CCD-AA0A-C14817E9DE65}">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1.1.3-4 Direct N20'!D58"/><Relationship Id="rId13" Type="http://schemas.openxmlformats.org/officeDocument/2006/relationships/hyperlink" Target="#'4.1.1.3-4 Direct N20'!D179"/><Relationship Id="rId3" Type="http://schemas.openxmlformats.org/officeDocument/2006/relationships/hyperlink" Target="#'4.1.1.1-2 Methane'!D34"/><Relationship Id="rId7" Type="http://schemas.openxmlformats.org/officeDocument/2006/relationships/hyperlink" Target="#'4.1.1.3-4 Direct N20'!D34"/><Relationship Id="rId12" Type="http://schemas.openxmlformats.org/officeDocument/2006/relationships/hyperlink" Target="#'4.1.1.3-4 Direct N20'!D153"/><Relationship Id="rId17" Type="http://schemas.openxmlformats.org/officeDocument/2006/relationships/hyperlink" Target="#'4.1.1.5-6 Atmos Deposition'!D50"/><Relationship Id="rId2" Type="http://schemas.openxmlformats.org/officeDocument/2006/relationships/hyperlink" Target="#'4.1.1.1-2 Methane'!D5"/><Relationship Id="rId16" Type="http://schemas.openxmlformats.org/officeDocument/2006/relationships/hyperlink" Target="#'4.1.1.5-6 Atmos Deposition'!D5"/><Relationship Id="rId1" Type="http://schemas.openxmlformats.org/officeDocument/2006/relationships/hyperlink" Target="#'4.1.1.3-4 Direct N20'!D5"/><Relationship Id="rId6" Type="http://schemas.openxmlformats.org/officeDocument/2006/relationships/hyperlink" Target="#'4.1.1.1-2 Methane'!D129"/><Relationship Id="rId11" Type="http://schemas.openxmlformats.org/officeDocument/2006/relationships/hyperlink" Target="#'4.1.1.3-4 Direct N20'!D133"/><Relationship Id="rId5" Type="http://schemas.openxmlformats.org/officeDocument/2006/relationships/hyperlink" Target="#'4.1.1.1-2 Methane'!D102"/><Relationship Id="rId15" Type="http://schemas.openxmlformats.org/officeDocument/2006/relationships/hyperlink" Target="#'4.1.1.9 Manure applied to soils'!D65"/><Relationship Id="rId10" Type="http://schemas.openxmlformats.org/officeDocument/2006/relationships/hyperlink" Target="#'4.1.1.3-4 Direct N20'!D110"/><Relationship Id="rId4" Type="http://schemas.openxmlformats.org/officeDocument/2006/relationships/hyperlink" Target="#'4.1.1.1-2 Methane'!D61"/><Relationship Id="rId9" Type="http://schemas.openxmlformats.org/officeDocument/2006/relationships/hyperlink" Target="#'4.1.1.3-4 Direct N20'!D87"/><Relationship Id="rId14" Type="http://schemas.openxmlformats.org/officeDocument/2006/relationships/hyperlink" Target="#'4.1.1.9 Manure applied to soils'!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5</xdr:col>
      <xdr:colOff>255874</xdr:colOff>
      <xdr:row>7</xdr:row>
      <xdr:rowOff>106369</xdr:rowOff>
    </xdr:from>
    <xdr:ext cx="1928078" cy="298800"/>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4161124"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0C769E"/>
              </a:solidFill>
            </a:rPr>
            <a:t>4.1.1.1-2 Methane</a:t>
          </a:r>
        </a:p>
      </xdr:txBody>
    </xdr:sp>
    <xdr:clientData/>
  </xdr:oneCellAnchor>
  <xdr:oneCellAnchor>
    <xdr:from>
      <xdr:col>13</xdr:col>
      <xdr:colOff>540480</xdr:colOff>
      <xdr:row>7</xdr:row>
      <xdr:rowOff>106369</xdr:rowOff>
    </xdr:from>
    <xdr:ext cx="1946138" cy="298800"/>
    <xdr:sp macro="" textlink="">
      <xdr:nvSpPr>
        <xdr:cNvPr id="4" name="TextBox 3">
          <a:extLst>
            <a:ext uri="{FF2B5EF4-FFF2-40B4-BE49-F238E27FC236}">
              <a16:creationId xmlns:a16="http://schemas.microsoft.com/office/drawing/2014/main" id="{C4257C06-9F2B-4941-8D4B-9A2D04E1F9C9}"/>
            </a:ext>
          </a:extLst>
        </xdr:cNvPr>
        <xdr:cNvSpPr txBox="1"/>
      </xdr:nvSpPr>
      <xdr:spPr>
        <a:xfrm>
          <a:off x="9344301"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chemeClr val="accent5">
                  <a:lumMod val="75000"/>
                </a:schemeClr>
              </a:solidFill>
            </a:rPr>
            <a:t>4.3.1.3-4 Direct</a:t>
          </a:r>
          <a:r>
            <a:rPr lang="en-AU" sz="1200" b="0" baseline="0">
              <a:solidFill>
                <a:schemeClr val="accent5">
                  <a:lumMod val="75000"/>
                </a:schemeClr>
              </a:solidFill>
            </a:rPr>
            <a:t> N2O</a:t>
          </a:r>
          <a:endParaRPr lang="en-AU" sz="1200" b="0">
            <a:solidFill>
              <a:schemeClr val="accent5">
                <a:lumMod val="75000"/>
              </a:schemeClr>
            </a:solidFill>
          </a:endParaRPr>
        </a:p>
      </xdr:txBody>
    </xdr:sp>
    <xdr:clientData/>
  </xdr:oneCellAnchor>
  <xdr:twoCellAnchor>
    <xdr:from>
      <xdr:col>14</xdr:col>
      <xdr:colOff>42365</xdr:colOff>
      <xdr:row>9</xdr:row>
      <xdr:rowOff>180108</xdr:rowOff>
    </xdr:from>
    <xdr:to>
      <xdr:col>16</xdr:col>
      <xdr:colOff>337886</xdr:colOff>
      <xdr:row>12</xdr:row>
      <xdr:rowOff>157158</xdr:rowOff>
    </xdr:to>
    <xdr:sp macro="" textlink="'4.1.1.3-4 Direct N20'!D5">
      <xdr:nvSpPr>
        <xdr:cNvPr id="5" name="TextBox 4">
          <a:hlinkClick xmlns:r="http://schemas.openxmlformats.org/officeDocument/2006/relationships" r:id="rId1"/>
          <a:extLst>
            <a:ext uri="{FF2B5EF4-FFF2-40B4-BE49-F238E27FC236}">
              <a16:creationId xmlns:a16="http://schemas.microsoft.com/office/drawing/2014/main" id="{1D9A1F2E-1D34-44C4-A814-116FF25706CF}"/>
            </a:ext>
          </a:extLst>
        </xdr:cNvPr>
        <xdr:cNvSpPr txBox="1"/>
      </xdr:nvSpPr>
      <xdr:spPr>
        <a:xfrm>
          <a:off x="9458508"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67FA7FA-A945-49A9-8775-81857228AAAF}" type="TxLink">
            <a:rPr lang="en-US" sz="900" b="0" i="0" u="none" strike="noStrike">
              <a:solidFill>
                <a:srgbClr val="002060"/>
              </a:solidFill>
              <a:latin typeface="Arial"/>
              <a:cs typeface="Arial"/>
            </a:rPr>
            <a:pPr algn="ctr"/>
            <a:t>Nitrogen intake of feedlot cattle</a:t>
          </a:fld>
          <a:endParaRPr lang="en-AU" sz="900">
            <a:solidFill>
              <a:srgbClr val="002060"/>
            </a:solidFill>
          </a:endParaRPr>
        </a:p>
      </xdr:txBody>
    </xdr:sp>
    <xdr:clientData/>
  </xdr:twoCellAnchor>
  <xdr:oneCellAnchor>
    <xdr:from>
      <xdr:col>22</xdr:col>
      <xdr:colOff>226635</xdr:colOff>
      <xdr:row>7</xdr:row>
      <xdr:rowOff>3136</xdr:rowOff>
    </xdr:from>
    <xdr:ext cx="1905000" cy="505267"/>
    <xdr:sp macro="" textlink="">
      <xdr:nvSpPr>
        <xdr:cNvPr id="6" name="TextBox 5">
          <a:extLst>
            <a:ext uri="{FF2B5EF4-FFF2-40B4-BE49-F238E27FC236}">
              <a16:creationId xmlns:a16="http://schemas.microsoft.com/office/drawing/2014/main" id="{802EA2E0-B0F7-4C24-B5E1-096DFC74BC99}"/>
            </a:ext>
          </a:extLst>
        </xdr:cNvPr>
        <xdr:cNvSpPr txBox="1"/>
      </xdr:nvSpPr>
      <xdr:spPr>
        <a:xfrm>
          <a:off x="14541349"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7030A0"/>
              </a:solidFill>
            </a:rPr>
            <a:t>4.3.1.5 </a:t>
          </a:r>
          <a:br>
            <a:rPr lang="en-AU" sz="1200" b="0">
              <a:solidFill>
                <a:srgbClr val="7030A0"/>
              </a:solidFill>
            </a:rPr>
          </a:br>
          <a:r>
            <a:rPr lang="en-AU" sz="1200" b="0">
              <a:solidFill>
                <a:srgbClr val="7030A0"/>
              </a:solidFill>
            </a:rPr>
            <a:t>Atmospheric</a:t>
          </a:r>
          <a:r>
            <a:rPr lang="en-AU" sz="1200" b="0" baseline="0">
              <a:solidFill>
                <a:srgbClr val="7030A0"/>
              </a:solidFill>
            </a:rPr>
            <a:t> </a:t>
          </a:r>
          <a:r>
            <a:rPr lang="en-AU" sz="1200" b="0">
              <a:solidFill>
                <a:srgbClr val="7030A0"/>
              </a:solidFill>
            </a:rPr>
            <a:t>deposition</a:t>
          </a:r>
        </a:p>
      </xdr:txBody>
    </xdr:sp>
    <xdr:clientData/>
  </xdr:oneCellAnchor>
  <xdr:oneCellAnchor>
    <xdr:from>
      <xdr:col>26</xdr:col>
      <xdr:colOff>413380</xdr:colOff>
      <xdr:row>7</xdr:row>
      <xdr:rowOff>106369</xdr:rowOff>
    </xdr:from>
    <xdr:ext cx="1683647" cy="505267"/>
    <xdr:sp macro="" textlink="">
      <xdr:nvSpPr>
        <xdr:cNvPr id="8" name="TextBox 7">
          <a:extLst>
            <a:ext uri="{FF2B5EF4-FFF2-40B4-BE49-F238E27FC236}">
              <a16:creationId xmlns:a16="http://schemas.microsoft.com/office/drawing/2014/main" id="{3B546504-E89D-477B-AF73-C368EECD911A}"/>
            </a:ext>
          </a:extLst>
        </xdr:cNvPr>
        <xdr:cNvSpPr txBox="1"/>
      </xdr:nvSpPr>
      <xdr:spPr>
        <a:xfrm>
          <a:off x="17177380"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rgbClr val="C00000"/>
              </a:solidFill>
            </a:rPr>
            <a:t>4.3.1.8 Manure applied</a:t>
          </a:r>
          <a:r>
            <a:rPr lang="en-AU" sz="1200" b="0" baseline="0">
              <a:solidFill>
                <a:srgbClr val="C00000"/>
              </a:solidFill>
            </a:rPr>
            <a:t> to soils</a:t>
          </a:r>
          <a:endParaRPr lang="en-AU" sz="1200" b="0">
            <a:solidFill>
              <a:srgbClr val="C00000"/>
            </a:solidFill>
          </a:endParaRPr>
        </a:p>
      </xdr:txBody>
    </xdr:sp>
    <xdr:clientData/>
  </xdr:oneCellAnchor>
  <xdr:twoCellAnchor>
    <xdr:from>
      <xdr:col>5</xdr:col>
      <xdr:colOff>427882</xdr:colOff>
      <xdr:row>9</xdr:row>
      <xdr:rowOff>101310</xdr:rowOff>
    </xdr:from>
    <xdr:to>
      <xdr:col>8</xdr:col>
      <xdr:colOff>108361</xdr:colOff>
      <xdr:row>12</xdr:row>
      <xdr:rowOff>78361</xdr:rowOff>
    </xdr:to>
    <xdr:sp macro="" textlink="'4.1.1.1-2 Methane'!D5">
      <xdr:nvSpPr>
        <xdr:cNvPr id="16" name="TextBox 15">
          <a:hlinkClick xmlns:r="http://schemas.openxmlformats.org/officeDocument/2006/relationships" r:id="rId2"/>
          <a:extLst>
            <a:ext uri="{FF2B5EF4-FFF2-40B4-BE49-F238E27FC236}">
              <a16:creationId xmlns:a16="http://schemas.microsoft.com/office/drawing/2014/main" id="{A391DA18-C458-4E43-BCCB-7D7FA0C9843E}"/>
            </a:ext>
          </a:extLst>
        </xdr:cNvPr>
        <xdr:cNvSpPr txBox="1"/>
      </xdr:nvSpPr>
      <xdr:spPr>
        <a:xfrm>
          <a:off x="4333132" y="2441739"/>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900" b="0" i="0" u="none" strike="noStrike">
              <a:solidFill>
                <a:srgbClr val="0C769E"/>
              </a:solidFill>
              <a:latin typeface="Arial"/>
              <a:cs typeface="Arial"/>
            </a:rPr>
            <a:pPr algn="ctr"/>
            <a:t>Volatile solid production</a:t>
          </a:fld>
          <a:endParaRPr lang="en-AU" sz="900">
            <a:solidFill>
              <a:srgbClr val="0C769E"/>
            </a:solidFill>
          </a:endParaRPr>
        </a:p>
      </xdr:txBody>
    </xdr:sp>
    <xdr:clientData/>
  </xdr:twoCellAnchor>
  <xdr:twoCellAnchor>
    <xdr:from>
      <xdr:col>5</xdr:col>
      <xdr:colOff>400668</xdr:colOff>
      <xdr:row>25</xdr:row>
      <xdr:rowOff>136699</xdr:rowOff>
    </xdr:from>
    <xdr:to>
      <xdr:col>8</xdr:col>
      <xdr:colOff>81147</xdr:colOff>
      <xdr:row>28</xdr:row>
      <xdr:rowOff>113750</xdr:rowOff>
    </xdr:to>
    <xdr:sp macro="" textlink="'4.1.1.1-2 Methane'!D34">
      <xdr:nvSpPr>
        <xdr:cNvPr id="17" name="TextBox 16">
          <a:hlinkClick xmlns:r="http://schemas.openxmlformats.org/officeDocument/2006/relationships" r:id="rId3"/>
          <a:extLst>
            <a:ext uri="{FF2B5EF4-FFF2-40B4-BE49-F238E27FC236}">
              <a16:creationId xmlns:a16="http://schemas.microsoft.com/office/drawing/2014/main" id="{9ED85EC4-102D-4B84-A4DB-A75D705FCB82}"/>
            </a:ext>
          </a:extLst>
        </xdr:cNvPr>
        <xdr:cNvSpPr txBox="1"/>
      </xdr:nvSpPr>
      <xdr:spPr>
        <a:xfrm>
          <a:off x="4305918" y="6395985"/>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A3A0C68-BDAE-46FC-A775-03F813873A32}" type="TxLink">
            <a:rPr lang="en-US" sz="900" b="0" i="0" u="none" strike="noStrike">
              <a:solidFill>
                <a:srgbClr val="0C769E"/>
              </a:solidFill>
              <a:latin typeface="Arial"/>
              <a:cs typeface="Arial"/>
            </a:rPr>
            <a:pPr algn="ctr"/>
            <a:t>Production of methane in treatment stage 1 MMS</a:t>
          </a:fld>
          <a:endParaRPr lang="en-AU" sz="900">
            <a:solidFill>
              <a:srgbClr val="0C769E"/>
            </a:solidFill>
          </a:endParaRPr>
        </a:p>
      </xdr:txBody>
    </xdr:sp>
    <xdr:clientData/>
  </xdr:twoCellAnchor>
  <xdr:twoCellAnchor>
    <xdr:from>
      <xdr:col>2</xdr:col>
      <xdr:colOff>270039</xdr:colOff>
      <xdr:row>25</xdr:row>
      <xdr:rowOff>129649</xdr:rowOff>
    </xdr:from>
    <xdr:to>
      <xdr:col>5</xdr:col>
      <xdr:colOff>249875</xdr:colOff>
      <xdr:row>28</xdr:row>
      <xdr:rowOff>106699</xdr:rowOff>
    </xdr:to>
    <xdr:sp macro="" textlink="'4.1.1.1-2 Methane'!D61">
      <xdr:nvSpPr>
        <xdr:cNvPr id="18" name="TextBox 17">
          <a:hlinkClick xmlns:r="http://schemas.openxmlformats.org/officeDocument/2006/relationships" r:id="rId4"/>
          <a:extLst>
            <a:ext uri="{FF2B5EF4-FFF2-40B4-BE49-F238E27FC236}">
              <a16:creationId xmlns:a16="http://schemas.microsoft.com/office/drawing/2014/main" id="{1B25ABC7-3CBE-4E1C-8106-702095C3BEB8}"/>
            </a:ext>
          </a:extLst>
        </xdr:cNvPr>
        <xdr:cNvSpPr txBox="1"/>
      </xdr:nvSpPr>
      <xdr:spPr>
        <a:xfrm>
          <a:off x="2637682" y="6388935"/>
          <a:ext cx="1517443" cy="7118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F619CA-80C9-4012-9F75-E5DB8A3A4941}" type="TxLink">
            <a:rPr lang="en-US" sz="900" b="0" i="0" u="none" strike="noStrike">
              <a:solidFill>
                <a:srgbClr val="0C769E"/>
              </a:solidFill>
              <a:latin typeface="Arial"/>
              <a:cs typeface="Arial"/>
            </a:rPr>
            <a:pPr algn="ctr"/>
            <a:t>Production of methane in treatment stage 2 MMS</a:t>
          </a:fld>
          <a:endParaRPr lang="en-AU" sz="900">
            <a:solidFill>
              <a:srgbClr val="0C769E"/>
            </a:solidFill>
          </a:endParaRPr>
        </a:p>
      </xdr:txBody>
    </xdr:sp>
    <xdr:clientData/>
  </xdr:twoCellAnchor>
  <xdr:twoCellAnchor>
    <xdr:from>
      <xdr:col>8</xdr:col>
      <xdr:colOff>215611</xdr:colOff>
      <xdr:row>25</xdr:row>
      <xdr:rowOff>151420</xdr:rowOff>
    </xdr:from>
    <xdr:to>
      <xdr:col>10</xdr:col>
      <xdr:colOff>508411</xdr:colOff>
      <xdr:row>28</xdr:row>
      <xdr:rowOff>128471</xdr:rowOff>
    </xdr:to>
    <xdr:sp macro="" textlink="'4.1.1.1-2 Methane'!D102">
      <xdr:nvSpPr>
        <xdr:cNvPr id="19" name="TextBox 18">
          <a:hlinkClick xmlns:r="http://schemas.openxmlformats.org/officeDocument/2006/relationships" r:id="rId5"/>
          <a:extLst>
            <a:ext uri="{FF2B5EF4-FFF2-40B4-BE49-F238E27FC236}">
              <a16:creationId xmlns:a16="http://schemas.microsoft.com/office/drawing/2014/main" id="{383CC1C9-6920-4A93-8AA2-E16731E21081}"/>
            </a:ext>
          </a:extLst>
        </xdr:cNvPr>
        <xdr:cNvSpPr txBox="1"/>
      </xdr:nvSpPr>
      <xdr:spPr>
        <a:xfrm>
          <a:off x="5957825" y="6410706"/>
          <a:ext cx="1517443" cy="71183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30751CC-91EA-40A7-9FA0-BD9AD2C0FA72}" type="TxLink">
            <a:rPr lang="en-US" sz="900" b="0" i="0" u="none" strike="noStrike">
              <a:solidFill>
                <a:srgbClr val="0C769E"/>
              </a:solidFill>
              <a:latin typeface="Arial"/>
              <a:cs typeface="Arial"/>
            </a:rPr>
            <a:pPr algn="ctr"/>
            <a:t>Production of methane in treatment stage 3 MMS</a:t>
          </a:fld>
          <a:endParaRPr lang="en-AU" sz="900">
            <a:solidFill>
              <a:srgbClr val="0C769E"/>
            </a:solidFill>
          </a:endParaRPr>
        </a:p>
      </xdr:txBody>
    </xdr:sp>
    <xdr:clientData/>
  </xdr:twoCellAnchor>
  <xdr:twoCellAnchor>
    <xdr:from>
      <xdr:col>5</xdr:col>
      <xdr:colOff>400668</xdr:colOff>
      <xdr:row>48</xdr:row>
      <xdr:rowOff>178735</xdr:rowOff>
    </xdr:from>
    <xdr:to>
      <xdr:col>8</xdr:col>
      <xdr:colOff>81147</xdr:colOff>
      <xdr:row>51</xdr:row>
      <xdr:rowOff>150835</xdr:rowOff>
    </xdr:to>
    <xdr:sp macro="" textlink="'4.1.1.1-2 Methane'!D129">
      <xdr:nvSpPr>
        <xdr:cNvPr id="20" name="TextBox 19">
          <a:hlinkClick xmlns:r="http://schemas.openxmlformats.org/officeDocument/2006/relationships" r:id="rId6"/>
          <a:extLst>
            <a:ext uri="{FF2B5EF4-FFF2-40B4-BE49-F238E27FC236}">
              <a16:creationId xmlns:a16="http://schemas.microsoft.com/office/drawing/2014/main" id="{050A7C22-4BD7-4D52-9D6E-89987EDCC59C}"/>
            </a:ext>
          </a:extLst>
        </xdr:cNvPr>
        <xdr:cNvSpPr txBox="1"/>
      </xdr:nvSpPr>
      <xdr:spPr>
        <a:xfrm>
          <a:off x="4305918" y="12071378"/>
          <a:ext cx="151744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900" b="1" i="0" u="none" strike="noStrike">
              <a:solidFill>
                <a:srgbClr val="0C769E"/>
              </a:solidFill>
              <a:latin typeface="Arial"/>
              <a:cs typeface="Arial"/>
            </a:rPr>
            <a:pPr algn="ctr"/>
            <a:t>Total annual methane emissions from manure management</a:t>
          </a:fld>
          <a:endParaRPr lang="en-AU" sz="900" b="1">
            <a:solidFill>
              <a:srgbClr val="0C769E"/>
            </a:solidFill>
          </a:endParaRPr>
        </a:p>
      </xdr:txBody>
    </xdr:sp>
    <xdr:clientData/>
  </xdr:twoCellAnchor>
  <xdr:twoCellAnchor>
    <xdr:from>
      <xdr:col>6</xdr:col>
      <xdr:colOff>547069</xdr:colOff>
      <xdr:row>12</xdr:row>
      <xdr:rowOff>78361</xdr:rowOff>
    </xdr:from>
    <xdr:to>
      <xdr:col>6</xdr:col>
      <xdr:colOff>574283</xdr:colOff>
      <xdr:row>25</xdr:row>
      <xdr:rowOff>136699</xdr:rowOff>
    </xdr:to>
    <xdr:cxnSp macro="">
      <xdr:nvCxnSpPr>
        <xdr:cNvPr id="24" name="Connector: Curved 23">
          <a:extLst>
            <a:ext uri="{FF2B5EF4-FFF2-40B4-BE49-F238E27FC236}">
              <a16:creationId xmlns:a16="http://schemas.microsoft.com/office/drawing/2014/main" id="{DC7C8163-CA33-4F29-8BC7-CA3B1B1A1E9F}"/>
            </a:ext>
          </a:extLst>
        </xdr:cNvPr>
        <xdr:cNvCxnSpPr>
          <a:stCxn id="16" idx="2"/>
          <a:endCxn id="17" idx="0"/>
        </xdr:cNvCxnSpPr>
      </xdr:nvCxnSpPr>
      <xdr:spPr>
        <a:xfrm rot="5400000">
          <a:off x="3457042" y="4761173"/>
          <a:ext cx="3242410"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547069</xdr:colOff>
      <xdr:row>28</xdr:row>
      <xdr:rowOff>128472</xdr:rowOff>
    </xdr:from>
    <xdr:to>
      <xdr:col>9</xdr:col>
      <xdr:colOff>362011</xdr:colOff>
      <xdr:row>48</xdr:row>
      <xdr:rowOff>178736</xdr:rowOff>
    </xdr:to>
    <xdr:cxnSp macro="">
      <xdr:nvCxnSpPr>
        <xdr:cNvPr id="27" name="Connector: Curved 26">
          <a:extLst>
            <a:ext uri="{FF2B5EF4-FFF2-40B4-BE49-F238E27FC236}">
              <a16:creationId xmlns:a16="http://schemas.microsoft.com/office/drawing/2014/main" id="{420D402C-C81A-432C-84CC-BD6496E6007B}"/>
            </a:ext>
          </a:extLst>
        </xdr:cNvPr>
        <xdr:cNvCxnSpPr>
          <a:stCxn id="19" idx="2"/>
          <a:endCxn id="20" idx="0"/>
        </xdr:cNvCxnSpPr>
      </xdr:nvCxnSpPr>
      <xdr:spPr>
        <a:xfrm rot="5400000">
          <a:off x="3416176" y="8771007"/>
          <a:ext cx="4948836" cy="1651907"/>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13</xdr:row>
      <xdr:rowOff>244791</xdr:rowOff>
    </xdr:from>
    <xdr:to>
      <xdr:col>16</xdr:col>
      <xdr:colOff>337886</xdr:colOff>
      <xdr:row>16</xdr:row>
      <xdr:rowOff>221842</xdr:rowOff>
    </xdr:to>
    <xdr:sp macro="" textlink="'4.1.1.3-4 Direct N20'!D34">
      <xdr:nvSpPr>
        <xdr:cNvPr id="28" name="TextBox 27">
          <a:hlinkClick xmlns:r="http://schemas.openxmlformats.org/officeDocument/2006/relationships" r:id="rId7"/>
          <a:extLst>
            <a:ext uri="{FF2B5EF4-FFF2-40B4-BE49-F238E27FC236}">
              <a16:creationId xmlns:a16="http://schemas.microsoft.com/office/drawing/2014/main" id="{9698555D-C7EC-4EA2-890F-C4B4DFF81AF8}"/>
            </a:ext>
          </a:extLst>
        </xdr:cNvPr>
        <xdr:cNvSpPr txBox="1"/>
      </xdr:nvSpPr>
      <xdr:spPr>
        <a:xfrm>
          <a:off x="9458508" y="3564934"/>
          <a:ext cx="1520164"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40F1BE-B098-436B-985C-CFD018301CA2}" type="TxLink">
            <a:rPr lang="en-US" sz="900" b="0" i="0" u="none" strike="noStrike">
              <a:solidFill>
                <a:srgbClr val="002060"/>
              </a:solidFill>
              <a:latin typeface="Arial"/>
              <a:cs typeface="Arial"/>
            </a:rPr>
            <a:pPr algn="ctr"/>
            <a:t>Nitrogen excretion per head per day</a:t>
          </a:fld>
          <a:endParaRPr lang="en-AU" sz="900">
            <a:solidFill>
              <a:srgbClr val="002060"/>
            </a:solidFill>
          </a:endParaRPr>
        </a:p>
      </xdr:txBody>
    </xdr:sp>
    <xdr:clientData/>
  </xdr:twoCellAnchor>
  <xdr:twoCellAnchor>
    <xdr:from>
      <xdr:col>14</xdr:col>
      <xdr:colOff>42365</xdr:colOff>
      <xdr:row>18</xdr:row>
      <xdr:rowOff>56167</xdr:rowOff>
    </xdr:from>
    <xdr:to>
      <xdr:col>16</xdr:col>
      <xdr:colOff>337886</xdr:colOff>
      <xdr:row>21</xdr:row>
      <xdr:rowOff>30743</xdr:rowOff>
    </xdr:to>
    <xdr:sp macro="" textlink="'4.1.1.3-4 Direct N20'!D58">
      <xdr:nvSpPr>
        <xdr:cNvPr id="30" name="TextBox 29">
          <a:hlinkClick xmlns:r="http://schemas.openxmlformats.org/officeDocument/2006/relationships" r:id="rId8"/>
          <a:extLst>
            <a:ext uri="{FF2B5EF4-FFF2-40B4-BE49-F238E27FC236}">
              <a16:creationId xmlns:a16="http://schemas.microsoft.com/office/drawing/2014/main" id="{6CF139F8-6FBC-41FC-886C-5AF068F9C78F}"/>
            </a:ext>
          </a:extLst>
        </xdr:cNvPr>
        <xdr:cNvSpPr txBox="1"/>
      </xdr:nvSpPr>
      <xdr:spPr>
        <a:xfrm>
          <a:off x="9458508" y="4600953"/>
          <a:ext cx="1520164" cy="70936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45B2A11-30ED-4A4A-84FE-A5BD6492E8CA}" type="TxLink">
            <a:rPr lang="en-US" sz="900" b="0" i="0" u="none" strike="noStrike">
              <a:solidFill>
                <a:srgbClr val="002060"/>
              </a:solidFill>
              <a:latin typeface="Arial"/>
              <a:cs typeface="Arial"/>
            </a:rPr>
            <a:pPr algn="ctr"/>
            <a:t>Annual nitrogen excretion from each feedlot cattle group</a:t>
          </a:fld>
          <a:endParaRPr lang="en-AU" sz="900">
            <a:solidFill>
              <a:srgbClr val="002060"/>
            </a:solidFill>
          </a:endParaRPr>
        </a:p>
      </xdr:txBody>
    </xdr:sp>
    <xdr:clientData/>
  </xdr:twoCellAnchor>
  <xdr:twoCellAnchor>
    <xdr:from>
      <xdr:col>15</xdr:col>
      <xdr:colOff>183776</xdr:colOff>
      <xdr:row>12</xdr:row>
      <xdr:rowOff>163508</xdr:rowOff>
    </xdr:from>
    <xdr:to>
      <xdr:col>15</xdr:col>
      <xdr:colOff>196476</xdr:colOff>
      <xdr:row>14</xdr:row>
      <xdr:rowOff>6213</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10052309" y="3398653"/>
          <a:ext cx="33256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42365</xdr:colOff>
      <xdr:row>25</xdr:row>
      <xdr:rowOff>171225</xdr:rowOff>
    </xdr:from>
    <xdr:to>
      <xdr:col>16</xdr:col>
      <xdr:colOff>337886</xdr:colOff>
      <xdr:row>28</xdr:row>
      <xdr:rowOff>148274</xdr:rowOff>
    </xdr:to>
    <xdr:sp macro="" textlink="'4.1.1.3-4 Direct N20'!D87">
      <xdr:nvSpPr>
        <xdr:cNvPr id="32" name="TextBox 31">
          <a:hlinkClick xmlns:r="http://schemas.openxmlformats.org/officeDocument/2006/relationships" r:id="rId9"/>
          <a:extLst>
            <a:ext uri="{FF2B5EF4-FFF2-40B4-BE49-F238E27FC236}">
              <a16:creationId xmlns:a16="http://schemas.microsoft.com/office/drawing/2014/main" id="{9827B40B-8680-48EC-8C9A-32D34BCC0790}"/>
            </a:ext>
          </a:extLst>
        </xdr:cNvPr>
        <xdr:cNvSpPr txBox="1"/>
      </xdr:nvSpPr>
      <xdr:spPr>
        <a:xfrm>
          <a:off x="9458508" y="6430511"/>
          <a:ext cx="1520164" cy="71183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60E4A7-8531-4E49-88D3-D15008B776AC}" type="TxLink">
            <a:rPr lang="en-US" sz="900" b="0" i="0" u="none" strike="noStrike">
              <a:solidFill>
                <a:srgbClr val="002060"/>
              </a:solidFill>
              <a:latin typeface="Arial"/>
              <a:cs typeface="Arial"/>
            </a:rPr>
            <a:pPr algn="ctr"/>
            <a:t>Nitrogen in treatment stage 1 MMS</a:t>
          </a:fld>
          <a:endParaRPr lang="en-AU" sz="900">
            <a:solidFill>
              <a:srgbClr val="002060"/>
            </a:solidFill>
          </a:endParaRPr>
        </a:p>
      </xdr:txBody>
    </xdr:sp>
    <xdr:clientData/>
  </xdr:twoCellAnchor>
  <xdr:twoCellAnchor>
    <xdr:from>
      <xdr:col>16</xdr:col>
      <xdr:colOff>476146</xdr:colOff>
      <xdr:row>25</xdr:row>
      <xdr:rowOff>171198</xdr:rowOff>
    </xdr:from>
    <xdr:to>
      <xdr:col>19</xdr:col>
      <xdr:colOff>155160</xdr:colOff>
      <xdr:row>28</xdr:row>
      <xdr:rowOff>148250</xdr:rowOff>
    </xdr:to>
    <xdr:sp macro="" textlink="'4.1.1.3-4 Direct N20'!D110">
      <xdr:nvSpPr>
        <xdr:cNvPr id="33" name="TextBox 32">
          <a:hlinkClick xmlns:r="http://schemas.openxmlformats.org/officeDocument/2006/relationships" r:id="rId10"/>
          <a:extLst>
            <a:ext uri="{FF2B5EF4-FFF2-40B4-BE49-F238E27FC236}">
              <a16:creationId xmlns:a16="http://schemas.microsoft.com/office/drawing/2014/main" id="{AC4808CF-39AC-4490-AE04-3BCC5E415458}"/>
            </a:ext>
          </a:extLst>
        </xdr:cNvPr>
        <xdr:cNvSpPr txBox="1"/>
      </xdr:nvSpPr>
      <xdr:spPr>
        <a:xfrm>
          <a:off x="11116932" y="6430484"/>
          <a:ext cx="1515978" cy="71183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592E86-EE0D-4016-8964-BB728D0237AE}" type="TxLink">
            <a:rPr lang="en-US" sz="900" b="0" i="0" u="none" strike="noStrike">
              <a:solidFill>
                <a:srgbClr val="002060"/>
              </a:solidFill>
              <a:latin typeface="Arial"/>
              <a:cs typeface="Arial"/>
            </a:rPr>
            <a:pPr algn="ctr"/>
            <a:t>Nitrogen in treatment stage 3 MMS</a:t>
          </a:fld>
          <a:endParaRPr lang="en-AU" sz="900">
            <a:solidFill>
              <a:srgbClr val="002060"/>
            </a:solidFill>
          </a:endParaRPr>
        </a:p>
      </xdr:txBody>
    </xdr:sp>
    <xdr:clientData/>
  </xdr:twoCellAnchor>
  <xdr:twoCellAnchor>
    <xdr:from>
      <xdr:col>11</xdr:col>
      <xdr:colOff>364704</xdr:colOff>
      <xdr:row>31</xdr:row>
      <xdr:rowOff>46406</xdr:rowOff>
    </xdr:from>
    <xdr:to>
      <xdr:col>14</xdr:col>
      <xdr:colOff>47031</xdr:colOff>
      <xdr:row>34</xdr:row>
      <xdr:rowOff>91271</xdr:rowOff>
    </xdr:to>
    <xdr:sp macro="" textlink="'4.1.1.3-4 Direct N20'!D133">
      <xdr:nvSpPr>
        <xdr:cNvPr id="34" name="TextBox 33">
          <a:hlinkClick xmlns:r="http://schemas.openxmlformats.org/officeDocument/2006/relationships" r:id="rId11"/>
          <a:extLst>
            <a:ext uri="{FF2B5EF4-FFF2-40B4-BE49-F238E27FC236}">
              <a16:creationId xmlns:a16="http://schemas.microsoft.com/office/drawing/2014/main" id="{982520B3-7ED0-4B59-AF9F-66CD49ADE410}"/>
            </a:ext>
          </a:extLst>
        </xdr:cNvPr>
        <xdr:cNvSpPr txBox="1"/>
      </xdr:nvSpPr>
      <xdr:spPr>
        <a:xfrm>
          <a:off x="7943883" y="7775263"/>
          <a:ext cx="1519291" cy="77965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2D53CF0-75F0-4A83-9D13-D73B0E28A8D2}" type="TxLink">
            <a:rPr lang="en-US" sz="900" b="0" i="0" u="none" strike="noStrike">
              <a:solidFill>
                <a:srgbClr val="002060"/>
              </a:solidFill>
              <a:latin typeface="Arial"/>
              <a:cs typeface="Arial"/>
            </a:rPr>
            <a:pPr algn="ctr"/>
            <a:t>Nitrogen transferred to treatment stage 2 MMS</a:t>
          </a:fld>
          <a:endParaRPr lang="en-AU" sz="900">
            <a:solidFill>
              <a:srgbClr val="002060"/>
            </a:solidFill>
          </a:endParaRPr>
        </a:p>
      </xdr:txBody>
    </xdr:sp>
    <xdr:clientData/>
  </xdr:twoCellAnchor>
  <xdr:twoCellAnchor>
    <xdr:from>
      <xdr:col>11</xdr:col>
      <xdr:colOff>357301</xdr:colOff>
      <xdr:row>35</xdr:row>
      <xdr:rowOff>13998</xdr:rowOff>
    </xdr:from>
    <xdr:to>
      <xdr:col>14</xdr:col>
      <xdr:colOff>30622</xdr:colOff>
      <xdr:row>37</xdr:row>
      <xdr:rowOff>235975</xdr:rowOff>
    </xdr:to>
    <xdr:sp macro="" textlink="'4.1.1.3-4 Direct N20'!D153">
      <xdr:nvSpPr>
        <xdr:cNvPr id="36" name="TextBox 35">
          <a:hlinkClick xmlns:r="http://schemas.openxmlformats.org/officeDocument/2006/relationships" r:id="rId12"/>
          <a:extLst>
            <a:ext uri="{FF2B5EF4-FFF2-40B4-BE49-F238E27FC236}">
              <a16:creationId xmlns:a16="http://schemas.microsoft.com/office/drawing/2014/main" id="{465393D9-6FD0-4F85-ACE3-5BE1C534D81A}"/>
            </a:ext>
          </a:extLst>
        </xdr:cNvPr>
        <xdr:cNvSpPr txBox="1"/>
      </xdr:nvSpPr>
      <xdr:spPr>
        <a:xfrm>
          <a:off x="7936480" y="8722569"/>
          <a:ext cx="1510285"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D4D054-9E39-4D29-8876-3277150A2BDC}" type="TxLink">
            <a:rPr lang="en-US" sz="900" b="0" i="0" u="none" strike="noStrike">
              <a:solidFill>
                <a:srgbClr val="002060"/>
              </a:solidFill>
              <a:latin typeface="Arial"/>
              <a:cs typeface="Arial"/>
            </a:rPr>
            <a:pPr algn="ctr"/>
            <a:t>Nitrogen in treatment stage 2 MMS</a:t>
          </a:fld>
          <a:endParaRPr lang="en-AU" sz="900">
            <a:solidFill>
              <a:srgbClr val="002060"/>
            </a:solidFill>
          </a:endParaRPr>
        </a:p>
      </xdr:txBody>
    </xdr:sp>
    <xdr:clientData/>
  </xdr:twoCellAnchor>
  <xdr:twoCellAnchor>
    <xdr:from>
      <xdr:col>14</xdr:col>
      <xdr:colOff>45212</xdr:colOff>
      <xdr:row>48</xdr:row>
      <xdr:rowOff>154904</xdr:rowOff>
    </xdr:from>
    <xdr:to>
      <xdr:col>16</xdr:col>
      <xdr:colOff>335040</xdr:colOff>
      <xdr:row>51</xdr:row>
      <xdr:rowOff>129478</xdr:rowOff>
    </xdr:to>
    <xdr:sp macro="" textlink="'4.1.1.3-4 Direct N20'!D179">
      <xdr:nvSpPr>
        <xdr:cNvPr id="37" name="TextBox 36">
          <a:hlinkClick xmlns:r="http://schemas.openxmlformats.org/officeDocument/2006/relationships" r:id="rId13"/>
          <a:extLst>
            <a:ext uri="{FF2B5EF4-FFF2-40B4-BE49-F238E27FC236}">
              <a16:creationId xmlns:a16="http://schemas.microsoft.com/office/drawing/2014/main" id="{35C3F104-C11B-43D7-BE90-153D19BDFEE2}"/>
            </a:ext>
          </a:extLst>
        </xdr:cNvPr>
        <xdr:cNvSpPr txBox="1"/>
      </xdr:nvSpPr>
      <xdr:spPr>
        <a:xfrm>
          <a:off x="9461355" y="12047547"/>
          <a:ext cx="1514471"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A1F4DB-2531-4D25-A904-2A8437BD8D75}" type="TxLink">
            <a:rPr lang="en-US" sz="900" b="1" i="0" u="none" strike="noStrike">
              <a:solidFill>
                <a:srgbClr val="002060"/>
              </a:solidFill>
              <a:latin typeface="Arial"/>
              <a:cs typeface="Arial"/>
            </a:rPr>
            <a:pPr algn="ctr"/>
            <a:t>Total annual direct nitrous oxide emissions from manure management systems</a:t>
          </a:fld>
          <a:endParaRPr lang="en-AU" sz="900" b="1">
            <a:solidFill>
              <a:srgbClr val="002060"/>
            </a:solidFill>
          </a:endParaRPr>
        </a:p>
      </xdr:txBody>
    </xdr:sp>
    <xdr:clientData/>
  </xdr:twoCellAnchor>
  <xdr:twoCellAnchor>
    <xdr:from>
      <xdr:col>15</xdr:col>
      <xdr:colOff>183776</xdr:colOff>
      <xdr:row>16</xdr:row>
      <xdr:rowOff>228192</xdr:rowOff>
    </xdr:from>
    <xdr:to>
      <xdr:col>15</xdr:col>
      <xdr:colOff>196476</xdr:colOff>
      <xdr:row>18</xdr:row>
      <xdr:rowOff>62517</xdr:rowOff>
    </xdr:to>
    <xdr:cxnSp macro="">
      <xdr:nvCxnSpPr>
        <xdr:cNvPr id="38" name="Connector: Curved 37">
          <a:extLst>
            <a:ext uri="{FF2B5EF4-FFF2-40B4-BE49-F238E27FC236}">
              <a16:creationId xmlns:a16="http://schemas.microsoft.com/office/drawing/2014/main" id="{3405DE52-A53B-482F-86E6-CF7546240779}"/>
            </a:ext>
          </a:extLst>
        </xdr:cNvPr>
        <xdr:cNvCxnSpPr>
          <a:stCxn id="28" idx="2"/>
          <a:endCxn id="30" idx="0"/>
        </xdr:cNvCxnSpPr>
      </xdr:nvCxnSpPr>
      <xdr:spPr>
        <a:xfrm rot="5400000">
          <a:off x="10056499" y="4438862"/>
          <a:ext cx="324182"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73167</xdr:colOff>
      <xdr:row>47</xdr:row>
      <xdr:rowOff>94465</xdr:rowOff>
    </xdr:from>
    <xdr:to>
      <xdr:col>23</xdr:col>
      <xdr:colOff>76066</xdr:colOff>
      <xdr:row>48</xdr:row>
      <xdr:rowOff>167790</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14842526" y="11899856"/>
          <a:ext cx="318254"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415580</xdr:colOff>
      <xdr:row>55</xdr:row>
      <xdr:rowOff>34904</xdr:rowOff>
    </xdr:from>
    <xdr:to>
      <xdr:col>28</xdr:col>
      <xdr:colOff>98780</xdr:colOff>
      <xdr:row>58</xdr:row>
      <xdr:rowOff>24516</xdr:rowOff>
    </xdr:to>
    <xdr:sp macro="" textlink="'4.1.1.9 Manure applied to soils'!D5">
      <xdr:nvSpPr>
        <xdr:cNvPr id="54" name="TextBox 53">
          <a:hlinkClick xmlns:r="http://schemas.openxmlformats.org/officeDocument/2006/relationships" r:id="rId14"/>
          <a:extLst>
            <a:ext uri="{FF2B5EF4-FFF2-40B4-BE49-F238E27FC236}">
              <a16:creationId xmlns:a16="http://schemas.microsoft.com/office/drawing/2014/main" id="{95ED6D80-A9CA-4BE0-8876-0A2123740055}"/>
            </a:ext>
          </a:extLst>
        </xdr:cNvPr>
        <xdr:cNvSpPr txBox="1"/>
      </xdr:nvSpPr>
      <xdr:spPr>
        <a:xfrm>
          <a:off x="16567259" y="13642047"/>
          <a:ext cx="1520164" cy="72439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F0E734-185C-44CF-9F85-27961AC85E01}" type="TxLink">
            <a:rPr lang="en-US" sz="900" b="1" i="0" u="none" strike="noStrike">
              <a:solidFill>
                <a:srgbClr val="C00000"/>
              </a:solidFill>
              <a:latin typeface="Arial"/>
              <a:cs typeface="Arial"/>
            </a:rPr>
            <a:pPr algn="ctr"/>
            <a:t>Mass of nitrogen applied to soils for scope 1 emissions</a:t>
          </a:fld>
          <a:endParaRPr lang="en-AU" sz="900" b="1">
            <a:solidFill>
              <a:srgbClr val="C00000"/>
            </a:solidFill>
          </a:endParaRPr>
        </a:p>
      </xdr:txBody>
    </xdr:sp>
    <xdr:clientData/>
  </xdr:twoCellAnchor>
  <xdr:twoCellAnchor>
    <xdr:from>
      <xdr:col>28</xdr:col>
      <xdr:colOff>298432</xdr:colOff>
      <xdr:row>55</xdr:row>
      <xdr:rowOff>46981</xdr:rowOff>
    </xdr:from>
    <xdr:to>
      <xdr:col>30</xdr:col>
      <xdr:colOff>598142</xdr:colOff>
      <xdr:row>58</xdr:row>
      <xdr:rowOff>19081</xdr:rowOff>
    </xdr:to>
    <xdr:sp macro="" textlink="'4.1.1.9 Manure applied to soils'!D65">
      <xdr:nvSpPr>
        <xdr:cNvPr id="56" name="TextBox 55">
          <a:hlinkClick xmlns:r="http://schemas.openxmlformats.org/officeDocument/2006/relationships" r:id="rId15"/>
          <a:extLst>
            <a:ext uri="{FF2B5EF4-FFF2-40B4-BE49-F238E27FC236}">
              <a16:creationId xmlns:a16="http://schemas.microsoft.com/office/drawing/2014/main" id="{5FA3B127-61AF-470F-B0DC-C1C9FB586772}"/>
            </a:ext>
          </a:extLst>
        </xdr:cNvPr>
        <xdr:cNvSpPr txBox="1"/>
      </xdr:nvSpPr>
      <xdr:spPr>
        <a:xfrm>
          <a:off x="18287075" y="13654124"/>
          <a:ext cx="1524353"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F77E59-AFF0-4560-ACBB-3A30834AA712}" type="TxLink">
            <a:rPr lang="en-US" sz="900" b="1" i="0" u="none" strike="noStrike">
              <a:solidFill>
                <a:srgbClr val="C00000"/>
              </a:solidFill>
              <a:latin typeface="Arial"/>
              <a:cs typeface="Arial"/>
            </a:rPr>
            <a:pPr algn="ctr"/>
            <a:t>Mass of nitrogen applied to soils for scope 3 emissions</a:t>
          </a:fld>
          <a:endParaRPr lang="en-AU" sz="900" b="1">
            <a:solidFill>
              <a:srgbClr val="C00000"/>
            </a:solidFill>
          </a:endParaRPr>
        </a:p>
      </xdr:txBody>
    </xdr:sp>
    <xdr:clientData/>
  </xdr:twoCellAnchor>
  <xdr:twoCellAnchor>
    <xdr:from>
      <xdr:col>31</xdr:col>
      <xdr:colOff>598714</xdr:colOff>
      <xdr:row>32</xdr:row>
      <xdr:rowOff>162046</xdr:rowOff>
    </xdr:from>
    <xdr:to>
      <xdr:col>34</xdr:col>
      <xdr:colOff>423344</xdr:colOff>
      <xdr:row>37</xdr:row>
      <xdr:rowOff>-1</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20424321" y="8135832"/>
          <a:ext cx="1661594" cy="10625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Manure sent to MMS other than drylot and anaerobic lagoon </a:t>
          </a:r>
        </a:p>
      </xdr:txBody>
    </xdr:sp>
    <xdr:clientData/>
  </xdr:twoCellAnchor>
  <xdr:twoCellAnchor>
    <xdr:from>
      <xdr:col>31</xdr:col>
      <xdr:colOff>587828</xdr:colOff>
      <xdr:row>27</xdr:row>
      <xdr:rowOff>15090</xdr:rowOff>
    </xdr:from>
    <xdr:to>
      <xdr:col>34</xdr:col>
      <xdr:colOff>412458</xdr:colOff>
      <xdr:row>30</xdr:row>
      <xdr:rowOff>167243</xdr:rowOff>
    </xdr:to>
    <xdr:sp macro="" textlink="">
      <xdr:nvSpPr>
        <xdr:cNvPr id="67" name="Rectangle 66">
          <a:extLst>
            <a:ext uri="{FF2B5EF4-FFF2-40B4-BE49-F238E27FC236}">
              <a16:creationId xmlns:a16="http://schemas.microsoft.com/office/drawing/2014/main" id="{002F7092-75A2-4F27-9B2F-7C7C15E35918}"/>
            </a:ext>
          </a:extLst>
        </xdr:cNvPr>
        <xdr:cNvSpPr/>
      </xdr:nvSpPr>
      <xdr:spPr>
        <a:xfrm>
          <a:off x="20413435" y="6764233"/>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Manure stored in drylot</a:t>
          </a:r>
        </a:p>
      </xdr:txBody>
    </xdr:sp>
    <xdr:clientData/>
  </xdr:twoCellAnchor>
  <xdr:twoCellAnchor>
    <xdr:from>
      <xdr:col>40</xdr:col>
      <xdr:colOff>536122</xdr:colOff>
      <xdr:row>27</xdr:row>
      <xdr:rowOff>99455</xdr:rowOff>
    </xdr:from>
    <xdr:to>
      <xdr:col>43</xdr:col>
      <xdr:colOff>360752</xdr:colOff>
      <xdr:row>31</xdr:row>
      <xdr:rowOff>6680</xdr:rowOff>
    </xdr:to>
    <xdr:sp macro="" textlink="">
      <xdr:nvSpPr>
        <xdr:cNvPr id="68" name="Rectangle 67">
          <a:extLst>
            <a:ext uri="{FF2B5EF4-FFF2-40B4-BE49-F238E27FC236}">
              <a16:creationId xmlns:a16="http://schemas.microsoft.com/office/drawing/2014/main" id="{A9271D4A-A59D-4E2F-A886-407604454F97}"/>
            </a:ext>
          </a:extLst>
        </xdr:cNvPr>
        <xdr:cNvSpPr/>
      </xdr:nvSpPr>
      <xdr:spPr>
        <a:xfrm>
          <a:off x="25872622" y="6848598"/>
          <a:ext cx="1661594" cy="88693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Manure gradually sent to anaerobic lagoon</a:t>
          </a:r>
        </a:p>
      </xdr:txBody>
    </xdr:sp>
    <xdr:clientData/>
  </xdr:twoCellAnchor>
  <xdr:twoCellAnchor>
    <xdr:from>
      <xdr:col>33</xdr:col>
      <xdr:colOff>70757</xdr:colOff>
      <xdr:row>55</xdr:row>
      <xdr:rowOff>97971</xdr:rowOff>
    </xdr:from>
    <xdr:to>
      <xdr:col>35</xdr:col>
      <xdr:colOff>507706</xdr:colOff>
      <xdr:row>58</xdr:row>
      <xdr:rowOff>29935</xdr:rowOff>
    </xdr:to>
    <xdr:sp macro="" textlink="">
      <xdr:nvSpPr>
        <xdr:cNvPr id="74" name="Rectangle 73">
          <a:extLst>
            <a:ext uri="{FF2B5EF4-FFF2-40B4-BE49-F238E27FC236}">
              <a16:creationId xmlns:a16="http://schemas.microsoft.com/office/drawing/2014/main" id="{27904827-F06E-438A-9F0A-77A8714C8984}"/>
            </a:ext>
          </a:extLst>
        </xdr:cNvPr>
        <xdr:cNvSpPr/>
      </xdr:nvSpPr>
      <xdr:spPr>
        <a:xfrm>
          <a:off x="21121007" y="13705114"/>
          <a:ext cx="166159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Direct application</a:t>
          </a:r>
        </a:p>
      </xdr:txBody>
    </xdr:sp>
    <xdr:clientData/>
  </xdr:twoCellAnchor>
  <xdr:twoCellAnchor>
    <xdr:from>
      <xdr:col>35</xdr:col>
      <xdr:colOff>556691</xdr:colOff>
      <xdr:row>55</xdr:row>
      <xdr:rowOff>97971</xdr:rowOff>
    </xdr:from>
    <xdr:to>
      <xdr:col>38</xdr:col>
      <xdr:colOff>381320</xdr:colOff>
      <xdr:row>58</xdr:row>
      <xdr:rowOff>29935</xdr:rowOff>
    </xdr:to>
    <xdr:sp macro="" textlink="">
      <xdr:nvSpPr>
        <xdr:cNvPr id="75" name="Rectangle 74">
          <a:extLst>
            <a:ext uri="{FF2B5EF4-FFF2-40B4-BE49-F238E27FC236}">
              <a16:creationId xmlns:a16="http://schemas.microsoft.com/office/drawing/2014/main" id="{F967C426-9B13-4B11-BC81-25A1AFFE24A3}"/>
            </a:ext>
          </a:extLst>
        </xdr:cNvPr>
        <xdr:cNvSpPr/>
      </xdr:nvSpPr>
      <xdr:spPr>
        <a:xfrm>
          <a:off x="22831584" y="13705114"/>
          <a:ext cx="166159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Used as fertiliser on own farm</a:t>
          </a:r>
        </a:p>
      </xdr:txBody>
    </xdr:sp>
    <xdr:clientData/>
  </xdr:twoCellAnchor>
  <xdr:twoCellAnchor>
    <xdr:from>
      <xdr:col>38</xdr:col>
      <xdr:colOff>458880</xdr:colOff>
      <xdr:row>55</xdr:row>
      <xdr:rowOff>97971</xdr:rowOff>
    </xdr:from>
    <xdr:to>
      <xdr:col>41</xdr:col>
      <xdr:colOff>283510</xdr:colOff>
      <xdr:row>58</xdr:row>
      <xdr:rowOff>29935</xdr:rowOff>
    </xdr:to>
    <xdr:sp macro="" textlink="">
      <xdr:nvSpPr>
        <xdr:cNvPr id="76" name="Rectangle 75">
          <a:extLst>
            <a:ext uri="{FF2B5EF4-FFF2-40B4-BE49-F238E27FC236}">
              <a16:creationId xmlns:a16="http://schemas.microsoft.com/office/drawing/2014/main" id="{E5DF650F-FC84-49C6-B041-049D79C3FDF6}"/>
            </a:ext>
          </a:extLst>
        </xdr:cNvPr>
        <xdr:cNvSpPr/>
      </xdr:nvSpPr>
      <xdr:spPr>
        <a:xfrm>
          <a:off x="24570737" y="13705114"/>
          <a:ext cx="166159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Sold</a:t>
          </a:r>
        </a:p>
      </xdr:txBody>
    </xdr:sp>
    <xdr:clientData/>
  </xdr:twoCellAnchor>
  <xdr:twoCellAnchor>
    <xdr:from>
      <xdr:col>33</xdr:col>
      <xdr:colOff>193982</xdr:colOff>
      <xdr:row>30</xdr:row>
      <xdr:rowOff>167243</xdr:rowOff>
    </xdr:from>
    <xdr:to>
      <xdr:col>33</xdr:col>
      <xdr:colOff>204868</xdr:colOff>
      <xdr:row>32</xdr:row>
      <xdr:rowOff>162046</xdr:rowOff>
    </xdr:to>
    <xdr:cxnSp macro="">
      <xdr:nvCxnSpPr>
        <xdr:cNvPr id="77" name="Connector: Curved 76">
          <a:extLst>
            <a:ext uri="{FF2B5EF4-FFF2-40B4-BE49-F238E27FC236}">
              <a16:creationId xmlns:a16="http://schemas.microsoft.com/office/drawing/2014/main" id="{45D3BFD0-5625-4B70-A13F-3755781F8A37}"/>
            </a:ext>
          </a:extLst>
        </xdr:cNvPr>
        <xdr:cNvCxnSpPr>
          <a:stCxn id="67" idx="2"/>
          <a:endCxn id="66" idx="0"/>
        </xdr:cNvCxnSpPr>
      </xdr:nvCxnSpPr>
      <xdr:spPr>
        <a:xfrm rot="16200000" flipH="1">
          <a:off x="21007345" y="7888059"/>
          <a:ext cx="48466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289233</xdr:colOff>
      <xdr:row>31</xdr:row>
      <xdr:rowOff>6679</xdr:rowOff>
    </xdr:from>
    <xdr:to>
      <xdr:col>42</xdr:col>
      <xdr:colOff>142277</xdr:colOff>
      <xdr:row>55</xdr:row>
      <xdr:rowOff>97970</xdr:rowOff>
    </xdr:to>
    <xdr:cxnSp macro="">
      <xdr:nvCxnSpPr>
        <xdr:cNvPr id="78" name="Connector: Curved 77">
          <a:extLst>
            <a:ext uri="{FF2B5EF4-FFF2-40B4-BE49-F238E27FC236}">
              <a16:creationId xmlns:a16="http://schemas.microsoft.com/office/drawing/2014/main" id="{AB43F1BF-2950-4E57-9CAF-F48D5DA770B5}"/>
            </a:ext>
          </a:extLst>
        </xdr:cNvPr>
        <xdr:cNvCxnSpPr>
          <a:cxnSpLocks/>
          <a:stCxn id="68" idx="2"/>
          <a:endCxn id="74" idx="0"/>
        </xdr:cNvCxnSpPr>
      </xdr:nvCxnSpPr>
      <xdr:spPr>
        <a:xfrm rot="5400000">
          <a:off x="21342823" y="8344517"/>
          <a:ext cx="5969577" cy="47516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209550</xdr:colOff>
      <xdr:row>16</xdr:row>
      <xdr:rowOff>2967</xdr:rowOff>
    </xdr:from>
    <xdr:to>
      <xdr:col>39</xdr:col>
      <xdr:colOff>34179</xdr:colOff>
      <xdr:row>19</xdr:row>
      <xdr:rowOff>152646</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23096764" y="4057896"/>
          <a:ext cx="1661594" cy="884464"/>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Manure excreted on</a:t>
          </a:r>
          <a:r>
            <a:rPr lang="en-AU" sz="1200" baseline="0"/>
            <a:t> feed pad</a:t>
          </a:r>
          <a:endParaRPr lang="en-AU" sz="1200"/>
        </a:p>
      </xdr:txBody>
    </xdr:sp>
    <xdr:clientData/>
  </xdr:twoCellAnchor>
  <xdr:twoCellAnchor>
    <xdr:from>
      <xdr:col>33</xdr:col>
      <xdr:colOff>193983</xdr:colOff>
      <xdr:row>19</xdr:row>
      <xdr:rowOff>152646</xdr:rowOff>
    </xdr:from>
    <xdr:to>
      <xdr:col>37</xdr:col>
      <xdr:colOff>428026</xdr:colOff>
      <xdr:row>27</xdr:row>
      <xdr:rowOff>15090</xdr:rowOff>
    </xdr:to>
    <xdr:cxnSp macro="">
      <xdr:nvCxnSpPr>
        <xdr:cNvPr id="85" name="Connector: Curved 84">
          <a:extLst>
            <a:ext uri="{FF2B5EF4-FFF2-40B4-BE49-F238E27FC236}">
              <a16:creationId xmlns:a16="http://schemas.microsoft.com/office/drawing/2014/main" id="{1BC07B9E-FF90-42C1-8E3C-B5A95D054FED}"/>
            </a:ext>
          </a:extLst>
        </xdr:cNvPr>
        <xdr:cNvCxnSpPr>
          <a:stCxn id="84" idx="2"/>
          <a:endCxn id="67" idx="0"/>
        </xdr:cNvCxnSpPr>
      </xdr:nvCxnSpPr>
      <xdr:spPr>
        <a:xfrm rot="5400000">
          <a:off x="21674961" y="4511632"/>
          <a:ext cx="1821873" cy="26833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428025</xdr:colOff>
      <xdr:row>19</xdr:row>
      <xdr:rowOff>152646</xdr:rowOff>
    </xdr:from>
    <xdr:to>
      <xdr:col>42</xdr:col>
      <xdr:colOff>142276</xdr:colOff>
      <xdr:row>27</xdr:row>
      <xdr:rowOff>99455</xdr:rowOff>
    </xdr:to>
    <xdr:cxnSp macro="">
      <xdr:nvCxnSpPr>
        <xdr:cNvPr id="86" name="Connector: Curved 85">
          <a:extLst>
            <a:ext uri="{FF2B5EF4-FFF2-40B4-BE49-F238E27FC236}">
              <a16:creationId xmlns:a16="http://schemas.microsoft.com/office/drawing/2014/main" id="{B9D6E775-042B-4A6C-B5D0-AA5BE0E89F69}"/>
            </a:ext>
          </a:extLst>
        </xdr:cNvPr>
        <xdr:cNvCxnSpPr>
          <a:stCxn id="84" idx="2"/>
          <a:endCxn id="68" idx="0"/>
        </xdr:cNvCxnSpPr>
      </xdr:nvCxnSpPr>
      <xdr:spPr>
        <a:xfrm rot="16200000" flipH="1">
          <a:off x="24362371" y="4507550"/>
          <a:ext cx="1906238" cy="277585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35</xdr:col>
      <xdr:colOff>377041</xdr:colOff>
      <xdr:row>7</xdr:row>
      <xdr:rowOff>138597</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22651934" y="198916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200" b="0">
              <a:solidFill>
                <a:schemeClr val="accent3">
                  <a:lumMod val="75000"/>
                </a:schemeClr>
              </a:solidFill>
            </a:rPr>
            <a:t>Manure management process</a:t>
          </a:r>
        </a:p>
      </xdr:txBody>
    </xdr:sp>
    <xdr:clientData/>
  </xdr:oneCellAnchor>
  <xdr:twoCellAnchor>
    <xdr:from>
      <xdr:col>12</xdr:col>
      <xdr:colOff>512029</xdr:colOff>
      <xdr:row>28</xdr:row>
      <xdr:rowOff>148274</xdr:rowOff>
    </xdr:from>
    <xdr:to>
      <xdr:col>15</xdr:col>
      <xdr:colOff>188033</xdr:colOff>
      <xdr:row>31</xdr:row>
      <xdr:rowOff>46406</xdr:rowOff>
    </xdr:to>
    <xdr:cxnSp macro="">
      <xdr:nvCxnSpPr>
        <xdr:cNvPr id="108" name="Connector: Curved 107">
          <a:extLst>
            <a:ext uri="{FF2B5EF4-FFF2-40B4-BE49-F238E27FC236}">
              <a16:creationId xmlns:a16="http://schemas.microsoft.com/office/drawing/2014/main" id="{0086E3E5-6A8B-7715-07FA-9B09C64336D4}"/>
            </a:ext>
          </a:extLst>
        </xdr:cNvPr>
        <xdr:cNvCxnSpPr>
          <a:stCxn id="32" idx="2"/>
          <a:endCxn id="34" idx="0"/>
        </xdr:cNvCxnSpPr>
      </xdr:nvCxnSpPr>
      <xdr:spPr>
        <a:xfrm rot="5400000">
          <a:off x="9143554" y="6702320"/>
          <a:ext cx="632918" cy="1512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190125</xdr:colOff>
      <xdr:row>28</xdr:row>
      <xdr:rowOff>148274</xdr:rowOff>
    </xdr:from>
    <xdr:to>
      <xdr:col>15</xdr:col>
      <xdr:colOff>190126</xdr:colOff>
      <xdr:row>48</xdr:row>
      <xdr:rowOff>154904</xdr:rowOff>
    </xdr:to>
    <xdr:cxnSp macro="">
      <xdr:nvCxnSpPr>
        <xdr:cNvPr id="110" name="Connector: Curved 109">
          <a:extLst>
            <a:ext uri="{FF2B5EF4-FFF2-40B4-BE49-F238E27FC236}">
              <a16:creationId xmlns:a16="http://schemas.microsoft.com/office/drawing/2014/main" id="{438742CF-3F80-78E1-F6F0-3FA21AB29D51}"/>
            </a:ext>
          </a:extLst>
        </xdr:cNvPr>
        <xdr:cNvCxnSpPr>
          <a:stCxn id="32" idx="2"/>
          <a:endCxn id="37" idx="0"/>
        </xdr:cNvCxnSpPr>
      </xdr:nvCxnSpPr>
      <xdr:spPr>
        <a:xfrm rot="16200000" flipH="1">
          <a:off x="7765989" y="9594945"/>
          <a:ext cx="4905202" cy="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15</xdr:col>
      <xdr:colOff>190128</xdr:colOff>
      <xdr:row>48</xdr:row>
      <xdr:rowOff>154903</xdr:rowOff>
    </xdr:to>
    <xdr:cxnSp macro="">
      <xdr:nvCxnSpPr>
        <xdr:cNvPr id="112" name="Connector: Curved 111">
          <a:extLst>
            <a:ext uri="{FF2B5EF4-FFF2-40B4-BE49-F238E27FC236}">
              <a16:creationId xmlns:a16="http://schemas.microsoft.com/office/drawing/2014/main" id="{F5729C8A-551F-BAC1-397E-2E8AF91195C4}"/>
            </a:ext>
          </a:extLst>
        </xdr:cNvPr>
        <xdr:cNvCxnSpPr>
          <a:stCxn id="36" idx="2"/>
          <a:endCxn id="37" idx="0"/>
        </xdr:cNvCxnSpPr>
      </xdr:nvCxnSpPr>
      <xdr:spPr>
        <a:xfrm rot="16200000" flipH="1">
          <a:off x="8148536" y="9977491"/>
          <a:ext cx="2613143" cy="152696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148250</xdr:rowOff>
    </xdr:from>
    <xdr:to>
      <xdr:col>18</xdr:col>
      <xdr:colOff>9492</xdr:colOff>
      <xdr:row>48</xdr:row>
      <xdr:rowOff>154904</xdr:rowOff>
    </xdr:to>
    <xdr:cxnSp macro="">
      <xdr:nvCxnSpPr>
        <xdr:cNvPr id="114" name="Connector: Curved 113">
          <a:extLst>
            <a:ext uri="{FF2B5EF4-FFF2-40B4-BE49-F238E27FC236}">
              <a16:creationId xmlns:a16="http://schemas.microsoft.com/office/drawing/2014/main" id="{011B9CDC-95BE-1D24-7A42-5788B8FE3FE7}"/>
            </a:ext>
          </a:extLst>
        </xdr:cNvPr>
        <xdr:cNvCxnSpPr>
          <a:stCxn id="33" idx="2"/>
          <a:endCxn id="37" idx="0"/>
        </xdr:cNvCxnSpPr>
      </xdr:nvCxnSpPr>
      <xdr:spPr>
        <a:xfrm rot="5400000">
          <a:off x="8594143" y="8766769"/>
          <a:ext cx="4905226" cy="165633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34</xdr:row>
      <xdr:rowOff>91270</xdr:rowOff>
    </xdr:from>
    <xdr:to>
      <xdr:col>12</xdr:col>
      <xdr:colOff>512030</xdr:colOff>
      <xdr:row>35</xdr:row>
      <xdr:rowOff>13997</xdr:rowOff>
    </xdr:to>
    <xdr:cxnSp macro="">
      <xdr:nvCxnSpPr>
        <xdr:cNvPr id="116" name="Connector: Curved 115">
          <a:extLst>
            <a:ext uri="{FF2B5EF4-FFF2-40B4-BE49-F238E27FC236}">
              <a16:creationId xmlns:a16="http://schemas.microsoft.com/office/drawing/2014/main" id="{75F677A2-21CD-FFA8-8DA8-15D7E66944F7}"/>
            </a:ext>
          </a:extLst>
        </xdr:cNvPr>
        <xdr:cNvCxnSpPr>
          <a:stCxn id="34" idx="2"/>
          <a:endCxn id="36" idx="0"/>
        </xdr:cNvCxnSpPr>
      </xdr:nvCxnSpPr>
      <xdr:spPr>
        <a:xfrm rot="5400000">
          <a:off x="8613749" y="8632788"/>
          <a:ext cx="167655" cy="11906"/>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181684</xdr:colOff>
      <xdr:row>21</xdr:row>
      <xdr:rowOff>37092</xdr:rowOff>
    </xdr:from>
    <xdr:to>
      <xdr:col>15</xdr:col>
      <xdr:colOff>194384</xdr:colOff>
      <xdr:row>25</xdr:row>
      <xdr:rowOff>177574</xdr:rowOff>
    </xdr:to>
    <xdr:cxnSp macro="">
      <xdr:nvCxnSpPr>
        <xdr:cNvPr id="119" name="Connector: Curved 118">
          <a:extLst>
            <a:ext uri="{FF2B5EF4-FFF2-40B4-BE49-F238E27FC236}">
              <a16:creationId xmlns:a16="http://schemas.microsoft.com/office/drawing/2014/main" id="{BDF3AD73-4BC2-4569-A439-8F8E9F87148D}"/>
            </a:ext>
          </a:extLst>
        </xdr:cNvPr>
        <xdr:cNvCxnSpPr>
          <a:stCxn id="30" idx="2"/>
          <a:endCxn id="32" idx="0"/>
        </xdr:cNvCxnSpPr>
      </xdr:nvCxnSpPr>
      <xdr:spPr>
        <a:xfrm rot="5400000">
          <a:off x="9656399" y="5870412"/>
          <a:ext cx="1120197"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188033</xdr:colOff>
      <xdr:row>21</xdr:row>
      <xdr:rowOff>30743</xdr:rowOff>
    </xdr:from>
    <xdr:to>
      <xdr:col>18</xdr:col>
      <xdr:colOff>9492</xdr:colOff>
      <xdr:row>25</xdr:row>
      <xdr:rowOff>171198</xdr:rowOff>
    </xdr:to>
    <xdr:cxnSp macro="">
      <xdr:nvCxnSpPr>
        <xdr:cNvPr id="121" name="Connector: Curved 120">
          <a:extLst>
            <a:ext uri="{FF2B5EF4-FFF2-40B4-BE49-F238E27FC236}">
              <a16:creationId xmlns:a16="http://schemas.microsoft.com/office/drawing/2014/main" id="{964AA21C-D6E7-FC1F-D143-2BF19281E82E}"/>
            </a:ext>
          </a:extLst>
        </xdr:cNvPr>
        <xdr:cNvCxnSpPr>
          <a:stCxn id="30" idx="2"/>
          <a:endCxn id="33" idx="0"/>
        </xdr:cNvCxnSpPr>
      </xdr:nvCxnSpPr>
      <xdr:spPr>
        <a:xfrm rot="16200000" flipH="1">
          <a:off x="10485624" y="5041187"/>
          <a:ext cx="1120170" cy="165842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23</xdr:col>
      <xdr:colOff>73167</xdr:colOff>
      <xdr:row>44</xdr:row>
      <xdr:rowOff>117413</xdr:rowOff>
    </xdr:to>
    <xdr:cxnSp macro="">
      <xdr:nvCxnSpPr>
        <xdr:cNvPr id="139" name="Connector: Curved 138">
          <a:extLst>
            <a:ext uri="{FF2B5EF4-FFF2-40B4-BE49-F238E27FC236}">
              <a16:creationId xmlns:a16="http://schemas.microsoft.com/office/drawing/2014/main" id="{48F06A56-045E-D3BD-BF23-DEDDC47B3C3C}"/>
            </a:ext>
          </a:extLst>
        </xdr:cNvPr>
        <xdr:cNvCxnSpPr>
          <a:stCxn id="36" idx="2"/>
          <a:endCxn id="53" idx="0"/>
        </xdr:cNvCxnSpPr>
      </xdr:nvCxnSpPr>
      <xdr:spPr>
        <a:xfrm rot="16200000" flipH="1">
          <a:off x="11047944" y="7078082"/>
          <a:ext cx="1595938" cy="630858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190127</xdr:colOff>
      <xdr:row>28</xdr:row>
      <xdr:rowOff>148273</xdr:rowOff>
    </xdr:from>
    <xdr:to>
      <xdr:col>23</xdr:col>
      <xdr:colOff>73169</xdr:colOff>
      <xdr:row>44</xdr:row>
      <xdr:rowOff>117412</xdr:rowOff>
    </xdr:to>
    <xdr:cxnSp macro="">
      <xdr:nvCxnSpPr>
        <xdr:cNvPr id="143" name="Connector: Curved 142">
          <a:extLst>
            <a:ext uri="{FF2B5EF4-FFF2-40B4-BE49-F238E27FC236}">
              <a16:creationId xmlns:a16="http://schemas.microsoft.com/office/drawing/2014/main" id="{C6C40DA1-58EB-A9D7-81E9-8D1017FF94D0}"/>
            </a:ext>
          </a:extLst>
        </xdr:cNvPr>
        <xdr:cNvCxnSpPr>
          <a:stCxn id="32" idx="2"/>
          <a:endCxn id="53" idx="0"/>
        </xdr:cNvCxnSpPr>
      </xdr:nvCxnSpPr>
      <xdr:spPr>
        <a:xfrm rot="16200000" flipH="1">
          <a:off x="10665399" y="6695536"/>
          <a:ext cx="3887997" cy="47816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23</xdr:col>
      <xdr:colOff>73168</xdr:colOff>
      <xdr:row>44</xdr:row>
      <xdr:rowOff>117412</xdr:rowOff>
    </xdr:to>
    <xdr:cxnSp macro="">
      <xdr:nvCxnSpPr>
        <xdr:cNvPr id="145" name="Connector: Curved 144">
          <a:extLst>
            <a:ext uri="{FF2B5EF4-FFF2-40B4-BE49-F238E27FC236}">
              <a16:creationId xmlns:a16="http://schemas.microsoft.com/office/drawing/2014/main" id="{C3CBE010-CC2B-E0E8-CC33-10968E272B9A}"/>
            </a:ext>
          </a:extLst>
        </xdr:cNvPr>
        <xdr:cNvCxnSpPr>
          <a:stCxn id="33" idx="2"/>
          <a:endCxn id="53" idx="0"/>
        </xdr:cNvCxnSpPr>
      </xdr:nvCxnSpPr>
      <xdr:spPr>
        <a:xfrm rot="16200000" flipH="1">
          <a:off x="11493552" y="7523689"/>
          <a:ext cx="3888021" cy="312528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500124</xdr:colOff>
      <xdr:row>37</xdr:row>
      <xdr:rowOff>235974</xdr:rowOff>
    </xdr:from>
    <xdr:to>
      <xdr:col>26</xdr:col>
      <xdr:colOff>563342</xdr:colOff>
      <xdr:row>55</xdr:row>
      <xdr:rowOff>34903</xdr:rowOff>
    </xdr:to>
    <xdr:cxnSp macro="">
      <xdr:nvCxnSpPr>
        <xdr:cNvPr id="147" name="Connector: Curved 146">
          <a:extLst>
            <a:ext uri="{FF2B5EF4-FFF2-40B4-BE49-F238E27FC236}">
              <a16:creationId xmlns:a16="http://schemas.microsoft.com/office/drawing/2014/main" id="{2D6ABF97-3025-C6BB-36C6-4AA74B179BD5}"/>
            </a:ext>
          </a:extLst>
        </xdr:cNvPr>
        <xdr:cNvCxnSpPr>
          <a:stCxn id="36" idx="2"/>
          <a:endCxn id="54" idx="0"/>
        </xdr:cNvCxnSpPr>
      </xdr:nvCxnSpPr>
      <xdr:spPr>
        <a:xfrm rot="16200000" flipH="1">
          <a:off x="10905661" y="7220366"/>
          <a:ext cx="4207643" cy="8635718"/>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500122</xdr:colOff>
      <xdr:row>37</xdr:row>
      <xdr:rowOff>235975</xdr:rowOff>
    </xdr:from>
    <xdr:to>
      <xdr:col>29</xdr:col>
      <xdr:colOff>448287</xdr:colOff>
      <xdr:row>55</xdr:row>
      <xdr:rowOff>46981</xdr:rowOff>
    </xdr:to>
    <xdr:cxnSp macro="">
      <xdr:nvCxnSpPr>
        <xdr:cNvPr id="149" name="Connector: Curved 148">
          <a:extLst>
            <a:ext uri="{FF2B5EF4-FFF2-40B4-BE49-F238E27FC236}">
              <a16:creationId xmlns:a16="http://schemas.microsoft.com/office/drawing/2014/main" id="{FF141CF7-4618-45A5-8A8B-AE010549E469}"/>
            </a:ext>
          </a:extLst>
        </xdr:cNvPr>
        <xdr:cNvCxnSpPr>
          <a:stCxn id="36" idx="2"/>
          <a:endCxn id="56" idx="0"/>
        </xdr:cNvCxnSpPr>
      </xdr:nvCxnSpPr>
      <xdr:spPr>
        <a:xfrm rot="16200000" flipH="1">
          <a:off x="11760577" y="6365449"/>
          <a:ext cx="4219720" cy="10357629"/>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148250</xdr:rowOff>
    </xdr:from>
    <xdr:to>
      <xdr:col>26</xdr:col>
      <xdr:colOff>563341</xdr:colOff>
      <xdr:row>55</xdr:row>
      <xdr:rowOff>34904</xdr:rowOff>
    </xdr:to>
    <xdr:cxnSp macro="">
      <xdr:nvCxnSpPr>
        <xdr:cNvPr id="151" name="Connector: Curved 150">
          <a:extLst>
            <a:ext uri="{FF2B5EF4-FFF2-40B4-BE49-F238E27FC236}">
              <a16:creationId xmlns:a16="http://schemas.microsoft.com/office/drawing/2014/main" id="{77FEF7D6-5953-1995-757B-CC6A6D5C7723}"/>
            </a:ext>
          </a:extLst>
        </xdr:cNvPr>
        <xdr:cNvCxnSpPr>
          <a:stCxn id="33" idx="2"/>
          <a:endCxn id="54" idx="0"/>
        </xdr:cNvCxnSpPr>
      </xdr:nvCxnSpPr>
      <xdr:spPr>
        <a:xfrm rot="16200000" flipH="1">
          <a:off x="11351268" y="7665974"/>
          <a:ext cx="6499726" cy="5452420"/>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9492</xdr:colOff>
      <xdr:row>28</xdr:row>
      <xdr:rowOff>148249</xdr:rowOff>
    </xdr:from>
    <xdr:to>
      <xdr:col>29</xdr:col>
      <xdr:colOff>448288</xdr:colOff>
      <xdr:row>55</xdr:row>
      <xdr:rowOff>46980</xdr:rowOff>
    </xdr:to>
    <xdr:cxnSp macro="">
      <xdr:nvCxnSpPr>
        <xdr:cNvPr id="153" name="Connector: Curved 152">
          <a:extLst>
            <a:ext uri="{FF2B5EF4-FFF2-40B4-BE49-F238E27FC236}">
              <a16:creationId xmlns:a16="http://schemas.microsoft.com/office/drawing/2014/main" id="{64F2B78A-E309-DC62-CD77-5D21F91D3B1B}"/>
            </a:ext>
          </a:extLst>
        </xdr:cNvPr>
        <xdr:cNvCxnSpPr>
          <a:stCxn id="33" idx="2"/>
          <a:endCxn id="56" idx="0"/>
        </xdr:cNvCxnSpPr>
      </xdr:nvCxnSpPr>
      <xdr:spPr>
        <a:xfrm rot="16200000" flipH="1">
          <a:off x="12206185" y="6811056"/>
          <a:ext cx="6511803" cy="717433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539089</xdr:colOff>
      <xdr:row>44</xdr:row>
      <xdr:rowOff>117413</xdr:rowOff>
    </xdr:from>
    <xdr:to>
      <xdr:col>24</xdr:col>
      <xdr:colOff>219568</xdr:colOff>
      <xdr:row>47</xdr:row>
      <xdr:rowOff>94465</xdr:rowOff>
    </xdr:to>
    <xdr:sp macro="" textlink="'4.1.1.5-6 Atmos Deposition'!D5">
      <xdr:nvSpPr>
        <xdr:cNvPr id="53" name="TextBox 52">
          <a:hlinkClick xmlns:r="http://schemas.openxmlformats.org/officeDocument/2006/relationships" r:id="rId16"/>
          <a:extLst>
            <a:ext uri="{FF2B5EF4-FFF2-40B4-BE49-F238E27FC236}">
              <a16:creationId xmlns:a16="http://schemas.microsoft.com/office/drawing/2014/main" id="{BA71A6CA-D1BA-4D4D-990E-27D8C087EF33}"/>
            </a:ext>
          </a:extLst>
        </xdr:cNvPr>
        <xdr:cNvSpPr txBox="1"/>
      </xdr:nvSpPr>
      <xdr:spPr>
        <a:xfrm>
          <a:off x="14241482" y="11030342"/>
          <a:ext cx="1517443" cy="71183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B8E89C-34E5-4523-B85B-4076038A1229}" type="TxLink">
            <a:rPr lang="en-US" sz="900" b="0" i="0" u="none" strike="noStrike">
              <a:solidFill>
                <a:srgbClr val="7030A0"/>
              </a:solidFill>
              <a:latin typeface="Arial"/>
              <a:cs typeface="Arial"/>
            </a:rPr>
            <a:pPr algn="ctr"/>
            <a:t>Volatilised nitrogen from manure management</a:t>
          </a:fld>
          <a:endParaRPr lang="en-AU" sz="900">
            <a:solidFill>
              <a:srgbClr val="7030A0"/>
            </a:solidFill>
          </a:endParaRPr>
        </a:p>
      </xdr:txBody>
    </xdr:sp>
    <xdr:clientData/>
  </xdr:twoCellAnchor>
  <xdr:twoCellAnchor>
    <xdr:from>
      <xdr:col>21</xdr:col>
      <xdr:colOff>541988</xdr:colOff>
      <xdr:row>48</xdr:row>
      <xdr:rowOff>167790</xdr:rowOff>
    </xdr:from>
    <xdr:to>
      <xdr:col>24</xdr:col>
      <xdr:colOff>222467</xdr:colOff>
      <xdr:row>51</xdr:row>
      <xdr:rowOff>139890</xdr:rowOff>
    </xdr:to>
    <xdr:sp macro="" textlink="'4.1.1.5-6 Atmos Deposition'!D50">
      <xdr:nvSpPr>
        <xdr:cNvPr id="55" name="TextBox 54">
          <a:hlinkClick xmlns:r="http://schemas.openxmlformats.org/officeDocument/2006/relationships" r:id="rId17"/>
          <a:extLst>
            <a:ext uri="{FF2B5EF4-FFF2-40B4-BE49-F238E27FC236}">
              <a16:creationId xmlns:a16="http://schemas.microsoft.com/office/drawing/2014/main" id="{D2D728C0-C301-4FC2-953C-540E832F0A32}"/>
            </a:ext>
          </a:extLst>
        </xdr:cNvPr>
        <xdr:cNvSpPr txBox="1"/>
      </xdr:nvSpPr>
      <xdr:spPr>
        <a:xfrm>
          <a:off x="14244381" y="12060433"/>
          <a:ext cx="1517443"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A084BFA-076B-4C23-A7D1-E1829E1A5978}" type="TxLink">
            <a:rPr lang="en-US" sz="900" b="1" i="0" u="none" strike="noStrike">
              <a:solidFill>
                <a:srgbClr val="7030A0"/>
              </a:solidFill>
              <a:latin typeface="Arial"/>
              <a:cs typeface="Arial"/>
            </a:rPr>
            <a:pPr algn="ctr"/>
            <a:t>Total annual atmospheric deposition emissions from manure management</a:t>
          </a:fld>
          <a:endParaRPr lang="en-AU" sz="900" b="1">
            <a:solidFill>
              <a:srgbClr val="7030A0"/>
            </a:solidFill>
          </a:endParaRPr>
        </a:p>
      </xdr:txBody>
    </xdr:sp>
    <xdr:clientData/>
  </xdr:twoCellAnchor>
  <xdr:twoCellAnchor>
    <xdr:from>
      <xdr:col>4</xdr:col>
      <xdr:colOff>103475</xdr:colOff>
      <xdr:row>28</xdr:row>
      <xdr:rowOff>106699</xdr:rowOff>
    </xdr:from>
    <xdr:to>
      <xdr:col>6</xdr:col>
      <xdr:colOff>547069</xdr:colOff>
      <xdr:row>48</xdr:row>
      <xdr:rowOff>178735</xdr:rowOff>
    </xdr:to>
    <xdr:cxnSp macro="">
      <xdr:nvCxnSpPr>
        <xdr:cNvPr id="162" name="Connector: Curved 161">
          <a:extLst>
            <a:ext uri="{FF2B5EF4-FFF2-40B4-BE49-F238E27FC236}">
              <a16:creationId xmlns:a16="http://schemas.microsoft.com/office/drawing/2014/main" id="{20CF9FC9-20C8-C6DE-BCAD-1D89D965E668}"/>
            </a:ext>
          </a:extLst>
        </xdr:cNvPr>
        <xdr:cNvCxnSpPr>
          <a:stCxn id="18" idx="2"/>
          <a:endCxn id="20" idx="0"/>
        </xdr:cNvCxnSpPr>
      </xdr:nvCxnSpPr>
      <xdr:spPr>
        <a:xfrm rot="16200000" flipH="1">
          <a:off x="1745218" y="8751956"/>
          <a:ext cx="4970608" cy="1668236"/>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540720</xdr:colOff>
      <xdr:row>28</xdr:row>
      <xdr:rowOff>120099</xdr:rowOff>
    </xdr:from>
    <xdr:to>
      <xdr:col>6</xdr:col>
      <xdr:colOff>553420</xdr:colOff>
      <xdr:row>48</xdr:row>
      <xdr:rowOff>185084</xdr:rowOff>
    </xdr:to>
    <xdr:cxnSp macro="">
      <xdr:nvCxnSpPr>
        <xdr:cNvPr id="164" name="Connector: Curved 163">
          <a:extLst>
            <a:ext uri="{FF2B5EF4-FFF2-40B4-BE49-F238E27FC236}">
              <a16:creationId xmlns:a16="http://schemas.microsoft.com/office/drawing/2014/main" id="{2F3040AE-BFB4-E5B5-84D4-F9889CAC796B}"/>
            </a:ext>
          </a:extLst>
        </xdr:cNvPr>
        <xdr:cNvCxnSpPr>
          <a:stCxn id="17" idx="2"/>
          <a:endCxn id="20" idx="0"/>
        </xdr:cNvCxnSpPr>
      </xdr:nvCxnSpPr>
      <xdr:spPr>
        <a:xfrm rot="5400000">
          <a:off x="2582862" y="9589599"/>
          <a:ext cx="496355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103475</xdr:colOff>
      <xdr:row>12</xdr:row>
      <xdr:rowOff>78361</xdr:rowOff>
    </xdr:from>
    <xdr:to>
      <xdr:col>6</xdr:col>
      <xdr:colOff>574283</xdr:colOff>
      <xdr:row>25</xdr:row>
      <xdr:rowOff>129649</xdr:rowOff>
    </xdr:to>
    <xdr:cxnSp macro="">
      <xdr:nvCxnSpPr>
        <xdr:cNvPr id="166" name="Connector: Curved 165">
          <a:extLst>
            <a:ext uri="{FF2B5EF4-FFF2-40B4-BE49-F238E27FC236}">
              <a16:creationId xmlns:a16="http://schemas.microsoft.com/office/drawing/2014/main" id="{3590FD43-27CB-7576-8399-9ABEF0533E4B}"/>
            </a:ext>
          </a:extLst>
        </xdr:cNvPr>
        <xdr:cNvCxnSpPr>
          <a:stCxn id="16" idx="2"/>
          <a:endCxn id="18" idx="0"/>
        </xdr:cNvCxnSpPr>
      </xdr:nvCxnSpPr>
      <xdr:spPr>
        <a:xfrm rot="5400000">
          <a:off x="2626449" y="3923530"/>
          <a:ext cx="3235360" cy="16954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574283</xdr:colOff>
      <xdr:row>12</xdr:row>
      <xdr:rowOff>78360</xdr:rowOff>
    </xdr:from>
    <xdr:to>
      <xdr:col>9</xdr:col>
      <xdr:colOff>362011</xdr:colOff>
      <xdr:row>25</xdr:row>
      <xdr:rowOff>151419</xdr:rowOff>
    </xdr:to>
    <xdr:cxnSp macro="">
      <xdr:nvCxnSpPr>
        <xdr:cNvPr id="168" name="Connector: Curved 167">
          <a:extLst>
            <a:ext uri="{FF2B5EF4-FFF2-40B4-BE49-F238E27FC236}">
              <a16:creationId xmlns:a16="http://schemas.microsoft.com/office/drawing/2014/main" id="{74FD6A73-0382-933A-9732-6270945A5EA2}"/>
            </a:ext>
          </a:extLst>
        </xdr:cNvPr>
        <xdr:cNvCxnSpPr>
          <a:stCxn id="16" idx="2"/>
          <a:endCxn id="19" idx="0"/>
        </xdr:cNvCxnSpPr>
      </xdr:nvCxnSpPr>
      <xdr:spPr>
        <a:xfrm rot="16200000" flipH="1">
          <a:off x="4275635" y="3969793"/>
          <a:ext cx="3257131" cy="1624693"/>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204868</xdr:colOff>
      <xdr:row>37</xdr:row>
      <xdr:rowOff>-1</xdr:rowOff>
    </xdr:from>
    <xdr:to>
      <xdr:col>40</xdr:col>
      <xdr:colOff>65034</xdr:colOff>
      <xdr:row>55</xdr:row>
      <xdr:rowOff>97971</xdr:rowOff>
    </xdr:to>
    <xdr:cxnSp macro="">
      <xdr:nvCxnSpPr>
        <xdr:cNvPr id="197" name="Connector: Curved 196">
          <a:extLst>
            <a:ext uri="{FF2B5EF4-FFF2-40B4-BE49-F238E27FC236}">
              <a16:creationId xmlns:a16="http://schemas.microsoft.com/office/drawing/2014/main" id="{8B1F34AB-CD02-A4B0-C013-B32F3EAFE01B}"/>
            </a:ext>
          </a:extLst>
        </xdr:cNvPr>
        <xdr:cNvCxnSpPr>
          <a:stCxn id="66" idx="2"/>
          <a:endCxn id="76" idx="0"/>
        </xdr:cNvCxnSpPr>
      </xdr:nvCxnSpPr>
      <xdr:spPr>
        <a:xfrm rot="16200000" flipH="1">
          <a:off x="21074983" y="9378563"/>
          <a:ext cx="4506686" cy="414641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37</xdr:col>
      <xdr:colOff>162844</xdr:colOff>
      <xdr:row>55</xdr:row>
      <xdr:rowOff>97971</xdr:rowOff>
    </xdr:to>
    <xdr:cxnSp macro="">
      <xdr:nvCxnSpPr>
        <xdr:cNvPr id="199" name="Connector: Curved 198">
          <a:extLst>
            <a:ext uri="{FF2B5EF4-FFF2-40B4-BE49-F238E27FC236}">
              <a16:creationId xmlns:a16="http://schemas.microsoft.com/office/drawing/2014/main" id="{07BB15C6-FCC3-2F75-2436-473CEABDEEC8}"/>
            </a:ext>
          </a:extLst>
        </xdr:cNvPr>
        <xdr:cNvCxnSpPr>
          <a:stCxn id="66" idx="2"/>
          <a:endCxn id="75" idx="0"/>
        </xdr:cNvCxnSpPr>
      </xdr:nvCxnSpPr>
      <xdr:spPr>
        <a:xfrm rot="16200000" flipH="1">
          <a:off x="20205406" y="10248139"/>
          <a:ext cx="4506686" cy="24072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204867</xdr:colOff>
      <xdr:row>37</xdr:row>
      <xdr:rowOff>-1</xdr:rowOff>
    </xdr:from>
    <xdr:to>
      <xdr:col>34</xdr:col>
      <xdr:colOff>289231</xdr:colOff>
      <xdr:row>55</xdr:row>
      <xdr:rowOff>97971</xdr:rowOff>
    </xdr:to>
    <xdr:cxnSp macro="">
      <xdr:nvCxnSpPr>
        <xdr:cNvPr id="201" name="Connector: Curved 200">
          <a:extLst>
            <a:ext uri="{FF2B5EF4-FFF2-40B4-BE49-F238E27FC236}">
              <a16:creationId xmlns:a16="http://schemas.microsoft.com/office/drawing/2014/main" id="{BCFA1F32-DBB6-4311-E4BC-20D995D46ACF}"/>
            </a:ext>
          </a:extLst>
        </xdr:cNvPr>
        <xdr:cNvCxnSpPr>
          <a:stCxn id="66" idx="2"/>
          <a:endCxn id="74" idx="0"/>
        </xdr:cNvCxnSpPr>
      </xdr:nvCxnSpPr>
      <xdr:spPr>
        <a:xfrm rot="16200000" flipH="1">
          <a:off x="19350117" y="11103428"/>
          <a:ext cx="4506686" cy="6966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162846</xdr:colOff>
      <xdr:row>31</xdr:row>
      <xdr:rowOff>6679</xdr:rowOff>
    </xdr:from>
    <xdr:to>
      <xdr:col>42</xdr:col>
      <xdr:colOff>142277</xdr:colOff>
      <xdr:row>55</xdr:row>
      <xdr:rowOff>97970</xdr:rowOff>
    </xdr:to>
    <xdr:cxnSp macro="">
      <xdr:nvCxnSpPr>
        <xdr:cNvPr id="205" name="Connector: Curved 204">
          <a:extLst>
            <a:ext uri="{FF2B5EF4-FFF2-40B4-BE49-F238E27FC236}">
              <a16:creationId xmlns:a16="http://schemas.microsoft.com/office/drawing/2014/main" id="{79452B7B-4A9E-78DB-B37E-AB4F7BAF1606}"/>
            </a:ext>
          </a:extLst>
        </xdr:cNvPr>
        <xdr:cNvCxnSpPr>
          <a:stCxn id="68" idx="2"/>
          <a:endCxn id="75" idx="0"/>
        </xdr:cNvCxnSpPr>
      </xdr:nvCxnSpPr>
      <xdr:spPr>
        <a:xfrm rot="5400000">
          <a:off x="22198112" y="9199806"/>
          <a:ext cx="5969577" cy="304103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65035</xdr:colOff>
      <xdr:row>31</xdr:row>
      <xdr:rowOff>6680</xdr:rowOff>
    </xdr:from>
    <xdr:to>
      <xdr:col>42</xdr:col>
      <xdr:colOff>142277</xdr:colOff>
      <xdr:row>55</xdr:row>
      <xdr:rowOff>97971</xdr:rowOff>
    </xdr:to>
    <xdr:cxnSp macro="">
      <xdr:nvCxnSpPr>
        <xdr:cNvPr id="207" name="Connector: Curved 206">
          <a:extLst>
            <a:ext uri="{FF2B5EF4-FFF2-40B4-BE49-F238E27FC236}">
              <a16:creationId xmlns:a16="http://schemas.microsoft.com/office/drawing/2014/main" id="{3961B662-1C73-78DD-6F40-0CA7F1D6315B}"/>
            </a:ext>
          </a:extLst>
        </xdr:cNvPr>
        <xdr:cNvCxnSpPr>
          <a:stCxn id="68" idx="2"/>
          <a:endCxn id="76" idx="0"/>
        </xdr:cNvCxnSpPr>
      </xdr:nvCxnSpPr>
      <xdr:spPr>
        <a:xfrm rot="5400000">
          <a:off x="23067689" y="10069383"/>
          <a:ext cx="5969577" cy="1301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𝐴</m:t>
                        </m:r>
                      </m:e>
                    </m:d>
                  </m:oMath>
                </m:oMathPara>
              </a14:m>
              <a:endParaRPr lang="en-AU" sz="10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𝑉𝑆_𝑗=𝐼_𝑗×(1−𝐷𝑀𝐷_𝑗 )×(1−𝐴)</a:t>
              </a:r>
              <a:endParaRPr lang="en-AU" sz="10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r>
                          <a:rPr lang="en-AU" sz="1000" i="1">
                            <a:latin typeface="Cambria Math" panose="02040503050406030204" pitchFamily="18" charset="0"/>
                          </a:rPr>
                          <m:t>=5</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𝑀_(𝑗𝑚=5,𝑇=1)=𝑉𝑆_𝑗×𝐵𝑂×𝑀𝑀𝑆_(𝑚=5,𝑇=1)×𝑀𝐶𝐹_(𝑖𝑚=5)×𝜌</a:t>
              </a:r>
              <a:endParaRPr lang="en-AU" sz="10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𝑗𝑚𝑇</m:t>
                        </m:r>
                        <m:r>
                          <a:rPr lang="en-AU" sz="1000" i="1">
                            <a:latin typeface="Cambria Math" panose="02040503050406030204" pitchFamily="18" charset="0"/>
                          </a:rPr>
                          <m:t>=2</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𝑉𝑆𝐿</m:t>
                        </m:r>
                      </m:e>
                    </m:d>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𝑀_(𝑗𝑚𝑇=2)=(1−𝑉𝑆𝐿)×𝑉𝑆_𝑗×𝐵𝑂×𝑀𝑀𝑆_(𝑚𝑇=2)×𝑀𝐶𝐹_𝑖𝑚×𝜌</a:t>
              </a:r>
              <a:endParaRPr lang="en-AU" sz="1000"/>
            </a:p>
          </xdr:txBody>
        </xdr:sp>
      </mc:Fallback>
    </mc:AlternateContent>
    <xdr:clientData/>
  </xdr:oneCellAnchor>
  <xdr:oneCellAnchor>
    <xdr:from>
      <xdr:col>3</xdr:col>
      <xdr:colOff>14287</xdr:colOff>
      <xdr:row>104</xdr:row>
      <xdr:rowOff>133350</xdr:rowOff>
    </xdr:from>
    <xdr:ext cx="3287760"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=3</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=3</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3" name="TextBox 2">
              <a:extLst>
                <a:ext uri="{FF2B5EF4-FFF2-40B4-BE49-F238E27FC236}">
                  <a16:creationId xmlns:a16="http://schemas.microsoft.com/office/drawing/2014/main" id="{E02E1FF6-299D-2F64-EA9D-F02CB24C30E2}"/>
                </a:ext>
              </a:extLst>
            </xdr:cNvPr>
            <xdr:cNvSpPr txBox="1"/>
          </xdr:nvSpPr>
          <xdr:spPr>
            <a:xfrm>
              <a:off x="2690812" y="23793450"/>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𝑀_(𝑗𝑚=1,𝑇=3)=𝑉𝑆_𝑗×𝐵𝑂×𝑀𝑀𝑆_(𝑚=1,𝑇=3)×𝑀𝐶𝐹_(𝑖𝑚=1)×𝜌</a:t>
              </a:r>
              <a:endParaRPr lang="en-AU" sz="1000"/>
            </a:p>
          </xdr:txBody>
        </xdr:sp>
      </mc:Fallback>
    </mc:AlternateContent>
    <xdr:clientData/>
  </xdr:oneCellAnchor>
  <xdr:oneCellAnchor>
    <xdr:from>
      <xdr:col>3</xdr:col>
      <xdr:colOff>14287</xdr:colOff>
      <xdr:row>131</xdr:row>
      <xdr:rowOff>133350</xdr:rowOff>
    </xdr:from>
    <xdr:ext cx="2614114"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32213550"/>
              <a:ext cx="261411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𝐸_𝐶𝐻4=∑_𝑗▒∑_𝑚▒∑_𝑇▒(𝐷_𝑗×𝑀_𝑗𝑚𝑇×𝑁_𝑗 ) ×10^(−3)</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14287</xdr:colOff>
      <xdr:row>7</xdr:row>
      <xdr:rowOff>166687</xdr:rowOff>
    </xdr:from>
    <xdr:ext cx="130939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m:t>
                        </m:r>
                      </m:sub>
                    </m:sSub>
                    <m:r>
                      <a:rPr lang="en-AU" sz="1000" i="1">
                        <a:latin typeface="Cambria Math" panose="02040503050406030204" pitchFamily="18" charset="0"/>
                      </a:rPr>
                      <m:t>÷6.25</m:t>
                    </m:r>
                  </m:oMath>
                </m:oMathPara>
              </a14:m>
              <a:endParaRPr lang="en-AU" sz="1000"/>
            </a:p>
          </xdr:txBody>
        </xdr:sp>
      </mc:Choice>
      <mc:Fallback xmlns="">
        <xdr:sp macro="" textlink="">
          <xdr:nvSpPr>
            <xdr:cNvPr id="2" name="TextBox 1">
              <a:extLst>
                <a:ext uri="{FF2B5EF4-FFF2-40B4-BE49-F238E27FC236}">
                  <a16:creationId xmlns:a16="http://schemas.microsoft.com/office/drawing/2014/main" id="{04FBBC28-92BA-BCAF-E275-0817EB68A195}"/>
                </a:ext>
              </a:extLst>
            </xdr:cNvPr>
            <xdr:cNvSpPr txBox="1"/>
          </xdr:nvSpPr>
          <xdr:spPr>
            <a:xfrm>
              <a:off x="2690812" y="2033587"/>
              <a:ext cx="13093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𝑁𝐼_𝑗=𝐼_𝑗×𝐶𝑃_𝑗÷6.25</a:t>
              </a:r>
              <a:endParaRPr lang="en-AU" sz="1000"/>
            </a:p>
          </xdr:txBody>
        </xdr:sp>
      </mc:Fallback>
    </mc:AlternateContent>
    <xdr:clientData/>
  </xdr:oneCellAnchor>
  <xdr:oneCellAnchor>
    <xdr:from>
      <xdr:col>3</xdr:col>
      <xdr:colOff>4762</xdr:colOff>
      <xdr:row>36</xdr:row>
      <xdr:rowOff>204787</xdr:rowOff>
    </xdr:from>
    <xdr:ext cx="1424557"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A4CBD226-9D22-F2AD-7D36-BEF74594578E}"/>
                </a:ext>
              </a:extLst>
            </xdr:cNvPr>
            <xdr:cNvSpPr txBox="1"/>
          </xdr:nvSpPr>
          <xdr:spPr>
            <a:xfrm>
              <a:off x="2681287" y="9253537"/>
              <a:ext cx="142455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𝑁𝐸_𝑗=𝑁𝐼_𝑗×(1−𝑁𝑅_𝑗 )</a:t>
              </a:r>
              <a:endParaRPr lang="en-AU" sz="1000"/>
            </a:p>
          </xdr:txBody>
        </xdr:sp>
      </mc:Fallback>
    </mc:AlternateContent>
    <xdr:clientData/>
  </xdr:oneCellAnchor>
  <xdr:oneCellAnchor>
    <xdr:from>
      <xdr:col>3</xdr:col>
      <xdr:colOff>61912</xdr:colOff>
      <xdr:row>60</xdr:row>
      <xdr:rowOff>138112</xdr:rowOff>
    </xdr:from>
    <xdr:ext cx="1266308"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0055BCCE-D0ED-D622-512F-3B4B65078212}"/>
                </a:ext>
              </a:extLst>
            </xdr:cNvPr>
            <xdr:cNvSpPr txBox="1"/>
          </xdr:nvSpPr>
          <xdr:spPr>
            <a:xfrm>
              <a:off x="2738437" y="15130462"/>
              <a:ext cx="126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𝐴𝐸_𝑗=𝑁_𝑗×𝑁𝐸_𝑗×𝐷_𝑗</a:t>
              </a:r>
              <a:endParaRPr lang="en-AU" sz="1000"/>
            </a:p>
          </xdr:txBody>
        </xdr:sp>
      </mc:Fallback>
    </mc:AlternateContent>
    <xdr:clientData/>
  </xdr:oneCellAnchor>
  <xdr:oneCellAnchor>
    <xdr:from>
      <xdr:col>2</xdr:col>
      <xdr:colOff>290512</xdr:colOff>
      <xdr:row>89</xdr:row>
      <xdr:rowOff>52387</xdr:rowOff>
    </xdr:from>
    <xdr:ext cx="2118016"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oMath>
                </m:oMathPara>
              </a14:m>
              <a:endParaRPr lang="en-AU" sz="1000"/>
            </a:p>
          </xdr:txBody>
        </xdr:sp>
      </mc:Choice>
      <mc:Fallback xmlns="">
        <xdr:sp macro="" textlink="">
          <xdr:nvSpPr>
            <xdr:cNvPr id="5" name="TextBox 4">
              <a:extLst>
                <a:ext uri="{FF2B5EF4-FFF2-40B4-BE49-F238E27FC236}">
                  <a16:creationId xmlns:a16="http://schemas.microsoft.com/office/drawing/2014/main" id="{3B02F942-BC57-AB03-23C9-57D4A8BEB3E5}"/>
                </a:ext>
              </a:extLst>
            </xdr:cNvPr>
            <xdr:cNvSpPr txBox="1"/>
          </xdr:nvSpPr>
          <xdr:spPr>
            <a:xfrm>
              <a:off x="2652712" y="22226587"/>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𝑀𝑁_(𝑗𝑚=5,𝑇=1)=𝐴𝐸_𝑗×𝑀𝑀𝑆_(𝑗𝑚=5,𝑇=1)</a:t>
              </a:r>
              <a:endParaRPr lang="en-AU" sz="1000"/>
            </a:p>
          </xdr:txBody>
        </xdr:sp>
      </mc:Fallback>
    </mc:AlternateContent>
    <xdr:clientData/>
  </xdr:oneCellAnchor>
  <xdr:oneCellAnchor>
    <xdr:from>
      <xdr:col>3</xdr:col>
      <xdr:colOff>14287</xdr:colOff>
      <xdr:row>155</xdr:row>
      <xdr:rowOff>147637</xdr:rowOff>
    </xdr:from>
    <xdr:ext cx="2169825"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oMath>
                </m:oMathPara>
              </a14:m>
              <a:endParaRPr lang="en-AU" sz="1000"/>
            </a:p>
          </xdr:txBody>
        </xdr:sp>
      </mc:Choice>
      <mc:Fallback xmlns="">
        <xdr:sp macro="" textlink="">
          <xdr:nvSpPr>
            <xdr:cNvPr id="7" name="TextBox 6">
              <a:extLst>
                <a:ext uri="{FF2B5EF4-FFF2-40B4-BE49-F238E27FC236}">
                  <a16:creationId xmlns:a16="http://schemas.microsoft.com/office/drawing/2014/main" id="{5401A1C8-1FBA-1450-7875-6F1DF2F79BDE}"/>
                </a:ext>
              </a:extLst>
            </xdr:cNvPr>
            <xdr:cNvSpPr txBox="1"/>
          </xdr:nvSpPr>
          <xdr:spPr>
            <a:xfrm>
              <a:off x="2690812" y="28017787"/>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𝑀𝑁_(𝑗𝑚,𝑇=2)=𝑁𝑇_(𝑗𝑚,𝑇=2)×𝑀𝑀𝑆_(𝑗𝑚,𝑇=2)</a:t>
              </a:r>
              <a:endParaRPr lang="en-AU" sz="1000"/>
            </a:p>
          </xdr:txBody>
        </xdr:sp>
      </mc:Fallback>
    </mc:AlternateContent>
    <xdr:clientData/>
  </xdr:oneCellAnchor>
  <xdr:oneCellAnchor>
    <xdr:from>
      <xdr:col>2</xdr:col>
      <xdr:colOff>290512</xdr:colOff>
      <xdr:row>135</xdr:row>
      <xdr:rowOff>90487</xdr:rowOff>
    </xdr:from>
    <xdr:ext cx="4350422" cy="2533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=5,</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=5</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=5</m:t>
                                </m:r>
                              </m:sub>
                            </m:sSub>
                          </m:e>
                        </m:d>
                      </m:e>
                    </m:d>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=3</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75FB8B97-6A84-D5A1-ABFB-1784A65182B7}"/>
                </a:ext>
              </a:extLst>
            </xdr:cNvPr>
            <xdr:cNvSpPr txBox="1"/>
          </xdr:nvSpPr>
          <xdr:spPr>
            <a:xfrm>
              <a:off x="2652712" y="27960637"/>
              <a:ext cx="4350422"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𝑁𝑇_(𝑗𝑚,𝑇=2)=(𝑀𝑁_(𝑗𝑚=5,𝑇=1)×(1−𝐹𝑟𝑎𝑐𝐺𝐴𝑆𝑀_(𝑚=5)−𝐸𝐹_(𝑚=5) ))−𝑀𝑁_(𝑗𝑚,𝑇=3)</a:t>
              </a:r>
              <a:endParaRPr lang="en-AU" sz="1000"/>
            </a:p>
          </xdr:txBody>
        </xdr:sp>
      </mc:Fallback>
    </mc:AlternateContent>
    <xdr:clientData/>
  </xdr:oneCellAnchor>
  <xdr:oneCellAnchor>
    <xdr:from>
      <xdr:col>3</xdr:col>
      <xdr:colOff>14287</xdr:colOff>
      <xdr:row>112</xdr:row>
      <xdr:rowOff>138112</xdr:rowOff>
    </xdr:from>
    <xdr:ext cx="2118016" cy="1828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=3</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=1,</m:t>
                        </m:r>
                        <m:r>
                          <a:rPr lang="en-AU" sz="1000" i="1">
                            <a:latin typeface="Cambria Math" panose="02040503050406030204" pitchFamily="18" charset="0"/>
                          </a:rPr>
                          <m:t>𝑇</m:t>
                        </m:r>
                        <m:r>
                          <a:rPr lang="en-AU" sz="1000" i="1">
                            <a:latin typeface="Cambria Math" panose="02040503050406030204" pitchFamily="18" charset="0"/>
                          </a:rPr>
                          <m:t>=3</m:t>
                        </m:r>
                      </m:sub>
                    </m:sSub>
                  </m:oMath>
                </m:oMathPara>
              </a14:m>
              <a:endParaRPr lang="en-AU" sz="1000"/>
            </a:p>
          </xdr:txBody>
        </xdr:sp>
      </mc:Choice>
      <mc:Fallback xmlns="">
        <xdr:sp macro="" textlink="">
          <xdr:nvSpPr>
            <xdr:cNvPr id="9" name="TextBox 8">
              <a:extLst>
                <a:ext uri="{FF2B5EF4-FFF2-40B4-BE49-F238E27FC236}">
                  <a16:creationId xmlns:a16="http://schemas.microsoft.com/office/drawing/2014/main" id="{41AEC3DD-B968-638A-B039-8ADA4270C77A}"/>
                </a:ext>
              </a:extLst>
            </xdr:cNvPr>
            <xdr:cNvSpPr txBox="1"/>
          </xdr:nvSpPr>
          <xdr:spPr>
            <a:xfrm>
              <a:off x="2690812" y="28008262"/>
              <a:ext cx="2118016"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𝑀𝑁_(𝑗𝑚=1,𝑇=3)=𝐴𝐸_𝑗×𝑀𝑀𝑆_(𝑗𝑚=1,𝑇=3)</a:t>
              </a:r>
              <a:endParaRPr lang="en-AU" sz="1000"/>
            </a:p>
          </xdr:txBody>
        </xdr:sp>
      </mc:Fallback>
    </mc:AlternateContent>
    <xdr:clientData/>
  </xdr:oneCellAnchor>
  <xdr:oneCellAnchor>
    <xdr:from>
      <xdr:col>2</xdr:col>
      <xdr:colOff>309562</xdr:colOff>
      <xdr:row>181</xdr:row>
      <xdr:rowOff>138112</xdr:rowOff>
    </xdr:from>
    <xdr:ext cx="3236784"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0" name="TextBox 9">
              <a:extLst>
                <a:ext uri="{FF2B5EF4-FFF2-40B4-BE49-F238E27FC236}">
                  <a16:creationId xmlns:a16="http://schemas.microsoft.com/office/drawing/2014/main" id="{AF8CD801-C054-CDC2-C2C2-8AA899BCC360}"/>
                </a:ext>
              </a:extLst>
            </xdr:cNvPr>
            <xdr:cNvSpPr txBox="1"/>
          </xdr:nvSpPr>
          <xdr:spPr>
            <a:xfrm>
              <a:off x="2671762" y="44229337"/>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𝐸_(𝑁2𝑂,𝑑𝑖𝑟)=∑_𝑗▒∑_𝑚▒∑_𝑇▒(𝑀𝑁_𝑗𝑚𝑇×𝐸𝐹_𝑗𝑚×𝐶_𝑁2𝑂 ) ×10^(−3)</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166687</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sub>
                                    </m:sSub>
                                  </m:e>
                                </m:d>
                              </m:e>
                            </m:nary>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6D7DD845-09DD-AE9D-3D44-5C1F1777C524}"/>
                </a:ext>
              </a:extLst>
            </xdr:cNvPr>
            <xdr:cNvSpPr txBox="1"/>
          </xdr:nvSpPr>
          <xdr:spPr>
            <a:xfrm>
              <a:off x="2671762" y="2033587"/>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𝑀𝑀𝑆_𝐴𝑇𝑀𝑂𝑆=∑8_𝑗▒∑8_𝑚▒∑8_𝑇▒(𝑀𝑁_𝑗𝑚𝑇×𝐹𝑟𝑎𝑐𝐺𝐴𝑆𝑀_𝑚𝑇 ) </a:t>
              </a:r>
              <a:endParaRPr lang="en-AU" sz="1000"/>
            </a:p>
          </xdr:txBody>
        </xdr:sp>
      </mc:Fallback>
    </mc:AlternateContent>
    <xdr:clientData/>
  </xdr:oneCellAnchor>
  <xdr:oneCellAnchor>
    <xdr:from>
      <xdr:col>3</xdr:col>
      <xdr:colOff>14287</xdr:colOff>
      <xdr:row>52</xdr:row>
      <xdr:rowOff>138112</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FA9A526F-039B-A542-A6DE-A37AC4F4381A}"/>
                </a:ext>
              </a:extLst>
            </xdr:cNvPr>
            <xdr:cNvSpPr txBox="1"/>
          </xdr:nvSpPr>
          <xdr:spPr>
            <a:xfrm>
              <a:off x="2690812" y="11911012"/>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𝐸_(𝑁2𝑂,𝑎𝑑)=(𝑀𝑀𝑆_𝐴𝑇𝑀𝑂𝑆×𝐸𝐹_𝑁2𝑂×𝐶_𝑁2𝑂 )×10^(−3)</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138112</xdr:rowOff>
    </xdr:from>
    <xdr:ext cx="508177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1</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r>
                                          <a:rPr lang="en-AU" sz="1000" i="1">
                                            <a:latin typeface="Cambria Math" panose="02040503050406030204" pitchFamily="18" charset="0"/>
                                          </a:rPr>
                                          <m:t>=2,3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𝑚𝑇</m:t>
                                            </m:r>
                                            <m:r>
                                              <a:rPr lang="en-AU" sz="1000" i="1">
                                                <a:latin typeface="Cambria Math" panose="02040503050406030204" pitchFamily="18" charset="0"/>
                                              </a:rPr>
                                              <m:t>=2,3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r>
                                              <a:rPr lang="en-AU" sz="1000" i="1">
                                                <a:latin typeface="Cambria Math" panose="02040503050406030204" pitchFamily="18" charset="0"/>
                                              </a:rPr>
                                              <m:t>=2,3</m:t>
                                            </m:r>
                                          </m:sub>
                                        </m:sSub>
                                      </m:e>
                                    </m:d>
                                  </m:e>
                                </m:d>
                              </m:e>
                            </m:nary>
                          </m:e>
                        </m:nary>
                      </m:e>
                    </m:nary>
                    <m:r>
                      <a:rPr lang="en-AU" sz="1000" i="1">
                        <a:latin typeface="Cambria Math" panose="02040503050406030204" pitchFamily="18" charset="0"/>
                      </a:rPr>
                      <m:t>×</m:t>
                    </m:r>
                    <m:r>
                      <a:rPr lang="en-AU" sz="1000" i="1">
                        <a:latin typeface="Cambria Math" panose="02040503050406030204" pitchFamily="18" charset="0"/>
                      </a:rPr>
                      <m:t>𝑃𝐹</m:t>
                    </m:r>
                  </m:oMath>
                </m:oMathPara>
              </a14:m>
              <a:endParaRPr lang="en-AU" sz="1000"/>
            </a:p>
          </xdr:txBody>
        </xdr:sp>
      </mc:Choice>
      <mc:Fallback xmlns="">
        <xdr:sp macro="" textlink="">
          <xdr:nvSpPr>
            <xdr:cNvPr id="2" name="TextBox 1">
              <a:extLst>
                <a:ext uri="{FF2B5EF4-FFF2-40B4-BE49-F238E27FC236}">
                  <a16:creationId xmlns:a16="http://schemas.microsoft.com/office/drawing/2014/main" id="{49C16F34-0FB7-CBFB-7AF7-18714D40E30E}"/>
                </a:ext>
              </a:extLst>
            </xdr:cNvPr>
            <xdr:cNvSpPr txBox="1"/>
          </xdr:nvSpPr>
          <xdr:spPr>
            <a:xfrm>
              <a:off x="2671762" y="2005012"/>
              <a:ext cx="508177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i="0">
                  <a:latin typeface="Cambria Math" panose="02040503050406030204" pitchFamily="18" charset="0"/>
                </a:rPr>
                <a:t>𝑀𝑁𝑆𝑜𝑖𝑙_𝑠𝑐𝑜𝑝𝑒1=∑8_𝑗▒∑8_𝑚▒∑8_𝑇▒(𝑀𝑁_(𝑗𝑚𝑇=2,3)×(1−𝐸𝐹_(𝑚𝑇=2,3)−𝐹𝑟𝑎𝑐𝐺𝐴𝑆𝑀_(𝑚𝑇=2,3) )) ×𝑃𝐹</a:t>
              </a:r>
              <a:endParaRPr lang="en-AU" sz="1000"/>
            </a:p>
          </xdr:txBody>
        </xdr:sp>
      </mc:Fallback>
    </mc:AlternateContent>
    <xdr:clientData/>
  </xdr:oneCellAnchor>
  <xdr:oneCellAnchor>
    <xdr:from>
      <xdr:col>3</xdr:col>
      <xdr:colOff>14287</xdr:colOff>
      <xdr:row>67</xdr:row>
      <xdr:rowOff>147637</xdr:rowOff>
    </xdr:from>
    <xdr:ext cx="5445080"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3</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𝑗𝑚𝑇</m:t>
                                        </m:r>
                                        <m:r>
                                          <a:rPr lang="en-AU" sz="1000" i="1">
                                            <a:latin typeface="Cambria Math" panose="02040503050406030204" pitchFamily="18" charset="0"/>
                                          </a:rPr>
                                          <m:t>=2,3</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𝑚𝑇</m:t>
                                            </m:r>
                                            <m:r>
                                              <a:rPr lang="en-AU" sz="1000" i="1">
                                                <a:latin typeface="Cambria Math" panose="02040503050406030204" pitchFamily="18" charset="0"/>
                                              </a:rPr>
                                              <m:t>=2,3</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r>
                                              <a:rPr lang="en-AU" sz="1000" i="1">
                                                <a:latin typeface="Cambria Math" panose="02040503050406030204" pitchFamily="18" charset="0"/>
                                              </a:rPr>
                                              <m:t>=2,3</m:t>
                                            </m:r>
                                          </m:sub>
                                        </m:sSub>
                                      </m:e>
                                    </m:d>
                                  </m:e>
                                </m:d>
                              </m:e>
                            </m:nary>
                          </m:e>
                        </m:nary>
                      </m:e>
                    </m:nary>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𝑃𝐹</m:t>
                        </m:r>
                      </m:e>
                    </m:d>
                  </m:oMath>
                </m:oMathPara>
              </a14:m>
              <a:endParaRPr lang="en-AU" sz="1000"/>
            </a:p>
          </xdr:txBody>
        </xdr:sp>
      </mc:Choice>
      <mc:Fallback xmlns="">
        <xdr:sp macro="" textlink="">
          <xdr:nvSpPr>
            <xdr:cNvPr id="3" name="TextBox 2">
              <a:extLst>
                <a:ext uri="{FF2B5EF4-FFF2-40B4-BE49-F238E27FC236}">
                  <a16:creationId xmlns:a16="http://schemas.microsoft.com/office/drawing/2014/main" id="{0B26EC1C-A1D3-9549-A900-9E039B9260AA}"/>
                </a:ext>
              </a:extLst>
            </xdr:cNvPr>
            <xdr:cNvSpPr txBox="1"/>
          </xdr:nvSpPr>
          <xdr:spPr>
            <a:xfrm>
              <a:off x="2690812" y="15635287"/>
              <a:ext cx="5445080"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𝑀𝑁𝑆𝑜𝑖𝑙_𝑠𝑐𝑜𝑝𝑒3=∑_𝑗▒∑_𝑚▒∑_𝑇▒(𝑀𝑁_(𝑗𝑚𝑇=2,3)×(1−𝐸𝐹_(𝑚𝑇=2,3)−𝐹𝑟𝑎𝑐𝐺𝐴𝑆𝑀_(𝑚𝑇=2,3) )) ×(1−𝑃𝐹)</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4"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3"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2"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1"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60"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9"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8"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7"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6"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5"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4"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3"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1"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40"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7"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2BBAD58-C03F-403E-8210-DBAB7DC4CCCB}" name="Table_LivestockClasses_Feedlot" displayName="Table_LivestockClasses_Feedlot" ref="L27:L30" totalsRowShown="0">
  <autoFilter ref="L27:L30" xr:uid="{92BBAD58-C03F-403E-8210-DBAB7DC4CCCB}">
    <filterColumn colId="0" hiddenButton="1"/>
  </autoFilter>
  <tableColumns count="1">
    <tableColumn id="1" xr3:uid="{F8BAC5BB-7E8F-49A2-80CB-4949B49142F8}" name="Livestock class"/>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17EA89D-ED63-4F20-B648-63035AA0331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46F7F04-A704-42B7-90E6-50FFAF320098}" name="State/Territory">
      <calculatedColumnFormula array="1">Common_InputFunctions.Utility_DisplayArrayInTable(Common_SourceData.Common_SourceData_AustralianStatesTerritories_Data(),Table_AustralianStates[[#Headers],[State/Territory]],0)</calculatedColumnFormula>
    </tableColumn>
    <tableColumn id="2" xr3:uid="{F3000B37-6A76-421C-B752-E2AC28FF687D}" name="Common Name">
      <calculatedColumnFormula array="1">Common_InputFunctions.Utility_DisplayArrayInTable(Common_SourceData.Common_SourceData_AustralianStatesTerritories_Data(),Table_AustralianStates[[#Headers],[State/Territory]],0)</calculatedColumnFormula>
    </tableColumn>
    <tableColumn id="3" xr3:uid="{2EC40060-BE4A-4651-9C17-9FEE8A7FADA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052D110-D7FA-46DF-8FDF-50ADA5B8D899}" name="Table_WASA4Areas" displayName="Table_WASA4Areas" ref="D20:D30" totalsRowShown="0">
  <autoFilter ref="D20:D30" xr:uid="{5FA81339-C6C8-4D36-BEEA-6C4AEDD9E676}">
    <filterColumn colId="0" hiddenButton="1"/>
  </autoFilter>
  <tableColumns count="1">
    <tableColumn id="1" xr3:uid="{C26F4198-9663-4E7D-AF03-E4959B35384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4226C40-2BBC-496A-B2E0-61D406610B88}" name="Table_GWPData" displayName="Table_GWPData" ref="D36:E43" totalsRowShown="0">
  <autoFilter ref="D36:E43" xr:uid="{B8E87A66-3E41-4AD3-925D-01EE21B43D7A}">
    <filterColumn colId="0" hiddenButton="1"/>
    <filterColumn colId="1" hiddenButton="1"/>
  </autoFilter>
  <tableColumns count="2">
    <tableColumn id="1" xr3:uid="{61A75658-05EE-42FF-A12F-1BD5CCC6EA50}" name="Gas">
      <calculatedColumnFormula array="1">Common_InputFunctions.Utility_DisplayArrayInTable(Common_SourceData.Common_SourceData_GWP_Data(), Table_GWPData[[#Headers],[Gas]], 0)</calculatedColumnFormula>
    </tableColumn>
    <tableColumn id="2" xr3:uid="{81807736-2098-4DE3-AF00-6076AABC923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E6ABE54-6ED4-48D5-829A-AABEFA545FB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19AE4552-C90E-409E-81DD-12143AAC320B}" name="Gas">
      <calculatedColumnFormula array="1">Common_InputFunctions.Utility_DisplayArrayInTable(Common_SourceData.Common_SourceData_ConvertGasElementalToMolecular_Data(),Table_GasToMolecularConversionFactor[[#Headers],[Gas]], 0)</calculatedColumnFormula>
    </tableColumn>
    <tableColumn id="5" xr3:uid="{61481A1E-139A-42A3-87C1-3D2B887A42DA}" name="Conversion factor">
      <calculatedColumnFormula array="1">Common_InputFunctions.Utility_DisplayArrayInTable(Common_SourceData.Common_SourceData_ConvertGasElementalToMolecular_Data(),Table_GasToMolecularConversionFactor[[#Headers],[Gas]], 0)</calculatedColumnFormula>
    </tableColumn>
    <tableColumn id="2" xr3:uid="{74CE7FD0-32D6-4426-A5BF-3B28B32CEF1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04D84CA-04DA-472B-99C1-B2B6EB54F67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46FF847-A99F-47A7-8E70-6DE89901B27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7EE6952-C576-40A5-B3D3-5878A9A533F3}"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1D3BFFF-B3E2-4CA7-BA31-8916CE18F92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C10F859-2ECA-4663-89AC-125865DD5BC3}"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93432CF1-ACDA-4007-90C2-46CDFED0FE61}"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369B85A7-DA47-4A2E-B4CB-9607297BDAE8}"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A2BF0949-C289-45EC-8383-310C6890B057}"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60237139-323B-4328-B7C0-522F7A1CB32F}"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9EAC10D6-CE2F-49AE-9A8B-E2E0FC881D22}"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AEDC1287-B9AE-4427-BDEB-3C8AD3D7502D}"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E810DD86-4129-4C6F-B007-4EBB85F557CE}"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1DD484CE-DCAC-4C45-AC85-501CB661F17E}"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ABCC129F-6D96-406C-BDCE-665C9FE7616C}"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780ADD70-7139-40E7-A4F4-7CDFCCC4D847}"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203E5454-313A-4934-8269-C6BAF602861B}"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6F92D3B1-0744-4C6E-8750-65FF6F95096E}"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C3AAB1D7-2E7A-4562-ABB4-92F7C0864A8E}"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D20983EF-5C2D-4B53-AF35-A659F842318C}"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57C8927-F7B7-4D06-8B9D-DE2D0520840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124BBC2-1B94-42CF-8AC8-DF4A25A7B2C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36F6F35-AF43-4ABB-90A5-0666D838904E}"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A158AB-0395-49AB-95C6-27FAA0E57B8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9541DB0-7A44-4B20-B2B5-F3C2E02201FE}" name="Temperature Zone">
      <calculatedColumnFormula array="1">Common_InputFunctions.Utility_DisplayArrayInTable(Common_SourceData.Common_SourceData_TemperatureZones_Data(),Table_SourceData_TemperatureZones[[#Headers],[Temperature Zone]],0)</calculatedColumnFormula>
    </tableColumn>
    <tableColumn id="2" xr3:uid="{873F6514-DCB4-46F5-901D-61CA79A3117B}" name="MAT">
      <calculatedColumnFormula array="1">Common_InputFunctions.Utility_DisplayArrayInTable(Common_SourceData.Common_SourceData_TemperatureZones_Data(),Table_SourceData_TemperatureZones[[#Headers],[Temperature Zone]],0)</calculatedColumnFormula>
    </tableColumn>
    <tableColumn id="3" xr3:uid="{FADD8036-4F96-4216-94A1-5BC107DFF23A}" name="Min MAT">
      <calculatedColumnFormula array="1">Common_InputFunctions.Utility_DisplayArrayInTable(Common_SourceData.Common_SourceData_TemperatureZones_Data(),Table_SourceData_TemperatureZones[[#Headers],[Temperature Zone]],0)</calculatedColumnFormula>
    </tableColumn>
    <tableColumn id="4" xr3:uid="{604EB7BD-589A-4CE3-87EA-64333C3C463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1372755-25ED-4553-9FD9-8DC1D39646BA}"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2A88149-AF4F-444F-9010-F7F01C70A934}" name="Rainfall Zone">
      <calculatedColumnFormula array="1">Common_InputFunctions.Utility_DisplayArrayInTable(Common_SourceData.Common_SourceData_RainfallZones_Data(),Table_SourceData_RainfallZones[[#Headers],[Rainfall Zone]],0)</calculatedColumnFormula>
    </tableColumn>
    <tableColumn id="2" xr3:uid="{896A8369-4A00-4951-97DF-CEB08A42B949}" name="Annual rainfall">
      <calculatedColumnFormula array="1">Common_InputFunctions.Utility_DisplayArrayInTable(Common_SourceData.Common_SourceData_RainfallZones_Data(),Table_SourceData_RainfallZones[[#Headers],[Rainfall Zone]],0)</calculatedColumnFormula>
    </tableColumn>
    <tableColumn id="3" xr3:uid="{3FD719C1-DA25-486C-8580-BDAF3DEC6732}" name="Min rainfall">
      <calculatedColumnFormula array="1">Common_InputFunctions.Utility_DisplayArrayInTable(Common_SourceData.Common_SourceData_RainfallZones_Data(),Table_SourceData_RainfallZones[[#Headers],[Rainfall Zone]],0)</calculatedColumnFormula>
    </tableColumn>
    <tableColumn id="4" xr3:uid="{B2E30F4C-6BA3-4780-96AA-8CAE7ED62EA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FCAE74E8-6327-4BF4-A5FB-B1A7EDAD2A5E}"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03E12D70-8A6D-43A8-A8C6-1ED09237C734}" name="Leaching Zone">
      <calculatedColumnFormula array="1">Common_InputFunctions.Utility_DisplayArrayInTable(Common_SourceData.Common_SourceData_LeachingZones_Data(), Table_SourceData_LeachingZones[[#Headers],[Leaching Zone]], 0)</calculatedColumnFormula>
    </tableColumn>
    <tableColumn id="2" xr3:uid="{AE5468C2-CA5A-46CB-AF65-52C9ADEA22C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2447C6F-7630-490C-AA0C-974FF092EA8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806E290-D755-4A68-9C18-14C54A91F7C9}" name="Data source">
      <calculatedColumnFormula array="1">Common_InputFunctions.Utility_DisplayArrayInTable(Common_SourceData.Common_SourceData_DataScores_Scope3_Data(), Table_SourceData_DataScores_Scope3[[#Headers],[Data source]], 0)</calculatedColumnFormula>
    </tableColumn>
    <tableColumn id="2" xr3:uid="{E295B2BD-6E5A-48EC-AD28-7D88AEFF972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C27A366-F39C-4A2C-9FB0-BCED1B8A4C25}" name="Table_SourceData_FracWET" displayName="Table_SourceData_FracWET" ref="D134:E136" totalsRowShown="0">
  <autoFilter ref="D134:E136" xr:uid="{308E99BE-FE1F-47A4-B2CA-97217277C4E9}">
    <filterColumn colId="0" hiddenButton="1"/>
    <filterColumn colId="1" hiddenButton="1"/>
  </autoFilter>
  <tableColumns count="2">
    <tableColumn id="1" xr3:uid="{E9B42BED-9AB7-4E70-B01D-23DCF7A51EF6}" name="Is in leaching zone">
      <calculatedColumnFormula array="1">Common_InputFunctions.Utility_DisplayArrayInTable(Common_SourceData.Common_SourceData_FracWET_Data(),Table_SourceData_FracWET[[#Headers],[Is in leaching zone]],0)</calculatedColumnFormula>
    </tableColumn>
    <tableColumn id="2" xr3:uid="{ED4B5D61-D65C-4A8D-9881-59B5822D1C2F}"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0182A4C-FD1B-42C5-ADA1-D0922CEB705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66C5601E-AE8C-45CE-B033-CC1F3A334F16}" name="Production system j">
      <calculatedColumnFormula array="1">Common_InputFunctions.Utility_DisplayArrayInTable(Common_SourceData.Common_SourceData_EFN2O_Data(), Table_SourceData_Common_EFN2O[[#Headers],[Production system j]], 0)</calculatedColumnFormula>
    </tableColumn>
    <tableColumn id="2" xr3:uid="{FC750381-E6FC-4424-A90E-AAD69DB211FC}" name="EFN2O">
      <calculatedColumnFormula array="1">Common_InputFunctions.Utility_DisplayArrayInTable(Common_SourceData.Common_SourceData_EFN2O_Data(), Table_SourceData_Common_EFN2O[[#Headers],[Production system j]], 0)</calculatedColumnFormula>
    </tableColumn>
    <tableColumn id="3" xr3:uid="{1409F416-5CF2-494A-BF12-C5A7BF990C4C}" name="Production system only">
      <calculatedColumnFormula array="1">Common_InputFunctions.Utility_DisplayArrayInTable(Common_SourceData.Common_SourceData_EFN2O_Data(), Table_SourceData_Common_EFN2O[[#Headers],[Production system j]], 0)</calculatedColumnFormula>
    </tableColumn>
    <tableColumn id="4" xr3:uid="{BC640B0C-624E-4406-9647-4661A4C3CF86}" name="Irrigation method">
      <calculatedColumnFormula array="1">Common_InputFunctions.Utility_DisplayArrayInTable(Common_SourceData.Common_SourceData_EFN2O_Data(), Table_SourceData_Common_EFN2O[[#Headers],[Production system j]], 0)</calculatedColumnFormula>
    </tableColumn>
    <tableColumn id="5" xr3:uid="{A358B440-E53B-46CF-8131-9EC21490F53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13E3437-5838-4BD7-8F2C-1E960BECB17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C925E3F-90AE-42B3-B0B0-10F1F15D5A94}" name="Irrigation type i">
      <calculatedColumnFormula array="1">Common_InputFunctions.Utility_DisplayArrayInTable(Common_SourceData.Common_SourceData_FracWETIrrigation_Data(), Table_SourceData_FracWETIrrigation[[#Headers],[Irrigation type i]], 0)</calculatedColumnFormula>
    </tableColumn>
    <tableColumn id="2" xr3:uid="{3A1486F8-4BDE-41EA-8F12-3E72965D7D17}"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783DCF2-FAB7-4E36-80B6-E3766A332871}"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B2A3484-4576-400B-BF02-2BA2BA15CC9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CC4379D-8655-422B-8FF0-AA17854FAF7A}"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14D05E-6D84-4432-BD1A-AAEDE4FAFB77}"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CCF204F-F10B-4B5B-888D-ADADD76441CE}" name="Month">
      <calculatedColumnFormula array="1">Common_InputFunctions.Utility_DisplayArrayInTable(Common_SourceData.Common_SourceData_MonthsToSeasons_Data(), Table_SourceData_Common_MonthToSeason[[#Headers],[Month]], 0)</calculatedColumnFormula>
    </tableColumn>
    <tableColumn id="2" xr3:uid="{E57B1625-54DC-4874-BABD-B416E1672579}"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1A47E01-AA53-4CC3-9E00-5A5CD66A41A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3875EDE-D48C-4226-B7B5-C89CE3CCECFA}"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FD9B489-459F-4C1C-A691-D7299F05307C}"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B0F9497-50B5-4622-A29A-1FF792C7B756}"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A7ADA9D-0BBA-460C-A091-FE2D703131C2}"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8CA6C83A-48C8-423F-BE78-D5C44B180809}"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181FC88F-1BE0-4B3B-8B4D-226D9D65F3F9}"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8DF2DEC-849E-4A8C-8CA4-1A5192E8BB52}"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2D9BC3D-57AE-48D5-8F71-C55A3FA11F83}"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0DDB6C5-EE65-4168-93E2-97BEE76C5E7B}"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E5C7ACC-B6D6-4F0F-8703-B9749788359A}"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AB0BA4C-6CD9-4A01-9C0F-BF226691E3AA}"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489225D-63F0-4A3C-8555-D46DABE80699}"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CD70B15-477A-45F6-B4BA-900CAD8D193C}"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44A73B9B-ABA2-4381-908F-F542549755EF}"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BA161CC-FBF1-4D0A-B450-AAF38252E3BC}"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48E0045-5DC2-4910-9A85-04EA9DE961FA}"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F9B59D3-028F-4908-B78C-BFC042336FE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6E915B-7EB3-472E-9579-D58D9E97CC9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567BFB-ECB1-4C92-8622-396B0559A2E1}"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9D1C32FB-9502-43AE-9377-E3370D3A68AE}"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E7EF746D-311C-47D7-BC8B-BA248A71090E}" name="Description" dataDxfId="0" dataCellStyle="Content normal"/>
    <tableColumn id="1" xr3:uid="{54C0B6F9-435C-46D7-ACA0-A27133C12E22}" name="ID"/>
    <tableColumn id="3" xr3:uid="{F0F028F8-E2FB-4F8F-A065-BD1D2F6572C1}"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39178CB8-A4DF-4882-9C11-1E5CD6894798}"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E34CF320-D353-44DA-AA58-4D4148380DC3}" name="Description"/>
    <tableColumn id="2" xr3:uid="{4F25DBF4-AC0F-424C-B6D5-D6380F224878}" name="ID"/>
    <tableColumn id="3" xr3:uid="{DC6D70C8-D3CD-4EAB-8492-BB1C192D3C7B}"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26A95753-DB21-4851-BC28-A42F6330CB4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8750C5D5-77BF-4C5D-B3DD-DE4E78212A22}" name="Description"/>
    <tableColumn id="2" xr3:uid="{441EA0E9-746A-4934-8B63-1E18E687E016}" name="ID"/>
    <tableColumn id="3" xr3:uid="{E74A744A-E9D1-4118-8AC5-8117B352D1F0}" name="Score"/>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4A691A2-5E29-4CD7-9EF0-1D6FC0C9559B}"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6CCF145B-0804-482E-B169-2B20615C2804}" name="Description"/>
    <tableColumn id="2" xr3:uid="{83AC46A7-914A-44C6-8498-5723FF9CEF32}" name="ID"/>
    <tableColumn id="3" xr3:uid="{13CC559F-1DC5-4891-8E66-FC76D1650A4B}" name="Score"/>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9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17.xml"/><Relationship Id="rId13" Type="http://schemas.openxmlformats.org/officeDocument/2006/relationships/table" Target="../tables/table22.xml"/><Relationship Id="rId18" Type="http://schemas.openxmlformats.org/officeDocument/2006/relationships/table" Target="../tables/table27.xml"/><Relationship Id="rId3" Type="http://schemas.openxmlformats.org/officeDocument/2006/relationships/table" Target="../tables/table12.xml"/><Relationship Id="rId21" Type="http://schemas.openxmlformats.org/officeDocument/2006/relationships/table" Target="../tables/table30.xml"/><Relationship Id="rId7" Type="http://schemas.openxmlformats.org/officeDocument/2006/relationships/table" Target="../tables/table16.xml"/><Relationship Id="rId12" Type="http://schemas.openxmlformats.org/officeDocument/2006/relationships/table" Target="../tables/table21.xml"/><Relationship Id="rId17" Type="http://schemas.openxmlformats.org/officeDocument/2006/relationships/table" Target="../tables/table26.xml"/><Relationship Id="rId2" Type="http://schemas.openxmlformats.org/officeDocument/2006/relationships/table" Target="../tables/table11.xml"/><Relationship Id="rId16" Type="http://schemas.openxmlformats.org/officeDocument/2006/relationships/table" Target="../tables/table25.xml"/><Relationship Id="rId20" Type="http://schemas.openxmlformats.org/officeDocument/2006/relationships/table" Target="../tables/table29.xml"/><Relationship Id="rId1" Type="http://schemas.openxmlformats.org/officeDocument/2006/relationships/printerSettings" Target="../printerSettings/printerSettings7.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5" Type="http://schemas.openxmlformats.org/officeDocument/2006/relationships/table" Target="../tables/table24.xml"/><Relationship Id="rId10" Type="http://schemas.openxmlformats.org/officeDocument/2006/relationships/table" Target="../tables/table19.xml"/><Relationship Id="rId19" Type="http://schemas.openxmlformats.org/officeDocument/2006/relationships/table" Target="../tables/table28.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 Id="rId22" Type="http://schemas.openxmlformats.org/officeDocument/2006/relationships/table" Target="../tables/table31.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5" sqref="A25"/>
    </sheetView>
  </sheetViews>
  <sheetFormatPr defaultRowHeight="20" x14ac:dyDescent="0.25" customHeight="1"/>
  <sheetData>
    <row r="1" spans="1:1" x14ac:dyDescent="0.25" ht="30" customHeight="1">
      <c r="A1" t="s">
        <v>357</v>
      </c>
    </row>
    <row r="3" spans="1:1" x14ac:dyDescent="0.25" ht="20" customHeight="1">
      <c r="A3" s="146" t="str">
        <f>HYPERLINK("#'Home'!A1", "Home")</f>
        <v>Home</v>
      </c>
    </row>
    <row r="6" spans="1:1" x14ac:dyDescent="0.25" ht="20" customHeight="1">
      <c r="A6" s="145" t="s">
        <v>1</v>
      </c>
    </row>
    <row r="7" spans="1:1" ht="20" x14ac:dyDescent="0.25" customHeight="1">
      <c r="A7" s="17" t="str">
        <f>HYPERLINK("#'Constants - Common'!A1", "Constants - Common")</f>
        <v>Constants - Common</v>
      </c>
    </row>
    <row r="8" spans="1:1" ht="20" x14ac:dyDescent="0.25" customHeight="1">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sheetPr>
    <tabColor rgb="FF0C769E"/>
  </sheetPr>
  <dimension ref="A1:BL82"/>
  <sheetViews>
    <sheetView showGridLines="0" zoomScaleNormal="100" workbookViewId="0">
      <selection activeCell="A25" sqref="A25"/>
    </sheetView>
  </sheetViews>
  <sheetFormatPr defaultRowHeight="20" x14ac:dyDescent="0.25" customHeight="1"/>
  <cols>
    <col min="1" max="1" width="30.7109375" customWidth="1"/>
    <col min="2" max="3" width="4.7109375" customWidth="1"/>
  </cols>
  <sheetData>
    <row r="1" spans="1:64" ht="30" customHeight="1" x14ac:dyDescent="0.35">
      <c r="A1" s="66" t="e" vm="1">
        <v>#VALUE!</v>
      </c>
      <c r="C1" s="139" t="s">
        <v>344</v>
      </c>
      <c r="D1" s="140"/>
      <c r="E1" s="140"/>
      <c r="F1" s="140"/>
      <c r="G1" s="140"/>
      <c r="H1" s="140"/>
      <c r="I1" s="140"/>
      <c r="J1" s="140"/>
      <c r="K1" s="140"/>
      <c r="L1" s="140"/>
      <c r="M1" s="140"/>
      <c r="N1" s="140"/>
      <c r="O1" s="140"/>
      <c r="P1" s="140"/>
      <c r="Q1" s="140"/>
      <c r="R1" s="140"/>
      <c r="S1" s="140"/>
      <c r="T1" s="140"/>
      <c r="U1" s="140"/>
      <c r="V1" s="140"/>
      <c r="W1" s="140"/>
      <c r="X1" s="140"/>
      <c r="Y1" s="140"/>
      <c r="Z1" s="140"/>
      <c r="AA1" s="140"/>
      <c r="AB1" s="140"/>
      <c r="AC1" s="140"/>
      <c r="AD1" s="140"/>
      <c r="AE1" s="140"/>
      <c r="AF1" s="140"/>
      <c r="AG1" s="140"/>
    </row>
    <row r="2" spans="1:64" ht="20" customHeight="1" x14ac:dyDescent="0.25">
      <c r="C2" s="140"/>
      <c r="D2" s="140"/>
      <c r="E2" s="140"/>
      <c r="F2" s="140"/>
      <c r="G2" s="140"/>
      <c r="H2" s="140"/>
      <c r="I2" s="140"/>
      <c r="J2" s="140"/>
      <c r="K2" s="140"/>
      <c r="L2" s="140"/>
      <c r="M2" s="140"/>
      <c r="N2" s="140"/>
      <c r="O2" s="140"/>
      <c r="P2" s="140"/>
      <c r="Q2" s="140"/>
      <c r="R2" s="140"/>
      <c r="S2" s="140"/>
      <c r="T2" s="140"/>
      <c r="U2" s="140"/>
      <c r="V2" s="140"/>
      <c r="W2" s="140"/>
      <c r="X2" s="140"/>
      <c r="Y2" s="140"/>
      <c r="Z2" s="140"/>
      <c r="AA2" s="140"/>
      <c r="AB2" s="140"/>
      <c r="AC2" s="140"/>
      <c r="AD2" s="140"/>
      <c r="AE2" s="140"/>
      <c r="AF2" s="140"/>
      <c r="AG2" s="140"/>
    </row>
    <row r="3" spans="1:64" ht="20" customHeight="1" x14ac:dyDescent="0.25">
      <c r="A3" s="17" t="str">
        <f>HYPERLINK("#'Home'!A1", "Home")</f>
        <v>Home</v>
      </c>
      <c r="C3" s="141"/>
      <c r="D3" s="141"/>
      <c r="E3" s="141"/>
      <c r="F3" s="141"/>
      <c r="G3" s="141"/>
      <c r="H3" s="141"/>
      <c r="I3" s="141"/>
      <c r="J3" s="141"/>
      <c r="K3" s="141"/>
      <c r="L3" s="141"/>
      <c r="M3" s="141"/>
      <c r="N3" s="141"/>
      <c r="O3" s="141"/>
      <c r="P3" s="141"/>
      <c r="Q3" s="141"/>
      <c r="R3" s="141"/>
      <c r="S3" s="141"/>
      <c r="T3" s="141"/>
      <c r="U3" s="141"/>
      <c r="V3" s="141"/>
      <c r="W3" s="141"/>
      <c r="X3" s="141"/>
      <c r="Y3" s="141"/>
      <c r="Z3" s="141"/>
      <c r="AA3" s="141"/>
      <c r="AB3" s="141"/>
      <c r="AC3" s="141"/>
      <c r="AD3" s="141"/>
      <c r="AE3" s="141"/>
      <c r="AF3" s="141"/>
      <c r="AG3" s="141"/>
      <c r="AH3" s="141"/>
      <c r="AI3" s="141"/>
      <c r="AJ3" s="141"/>
      <c r="AK3" s="141"/>
      <c r="AL3" s="141"/>
      <c r="AM3" s="141"/>
      <c r="AN3" s="141"/>
      <c r="AO3" s="141"/>
      <c r="AP3" s="141"/>
      <c r="AQ3" s="141"/>
      <c r="AR3" s="141"/>
      <c r="AS3" s="141"/>
      <c r="AT3" s="141"/>
      <c r="AU3" s="141"/>
      <c r="AV3" s="141"/>
      <c r="AW3" s="141"/>
      <c r="AX3" s="141"/>
      <c r="AY3" s="141"/>
      <c r="AZ3" s="141"/>
      <c r="BA3" s="141"/>
      <c r="BB3" s="141"/>
      <c r="BC3" s="141"/>
      <c r="BD3" s="141"/>
      <c r="BE3" s="141"/>
      <c r="BF3" s="141"/>
      <c r="BG3" s="141"/>
      <c r="BH3" s="141"/>
      <c r="BI3" s="141"/>
      <c r="BJ3" s="141"/>
      <c r="BK3" s="141"/>
      <c r="BL3" s="141"/>
    </row>
    <row r="4" spans="1:64" ht="20"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 customHeight="1" x14ac:dyDescent="0.25">
      <c r="A5" s="17" t="str">
        <f>HYPERLINK("#'Results'!A1", "Results")</f>
        <v>Results</v>
      </c>
      <c r="C5" s="1"/>
      <c r="D5" s="142" t="s">
        <v>342</v>
      </c>
      <c r="E5" s="142"/>
      <c r="F5" s="142"/>
      <c r="G5" s="142"/>
      <c r="H5" s="142"/>
      <c r="I5" s="112"/>
      <c r="J5" s="90"/>
      <c r="K5" s="90"/>
      <c r="L5" s="90"/>
      <c r="M5" s="90"/>
      <c r="N5" s="90"/>
      <c r="O5" s="90"/>
      <c r="P5" s="90"/>
      <c r="Q5" s="90"/>
      <c r="R5" s="90"/>
      <c r="S5" s="90"/>
      <c r="T5" s="90"/>
      <c r="U5" s="90"/>
      <c r="V5" s="86"/>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 customHeight="1" x14ac:dyDescent="0.25">
      <c r="C6" s="1"/>
      <c r="D6" s="143" t="s">
        <v>343</v>
      </c>
      <c r="E6" s="144"/>
      <c r="F6" s="144"/>
      <c r="G6" s="144"/>
      <c r="H6" s="144"/>
      <c r="I6" s="92"/>
      <c r="J6" s="89"/>
      <c r="K6" s="89"/>
      <c r="L6" s="89"/>
      <c r="M6" s="89"/>
      <c r="N6" s="89"/>
      <c r="O6" s="89"/>
      <c r="P6" s="89"/>
      <c r="Q6" s="89"/>
      <c r="R6" s="89"/>
      <c r="S6" s="89"/>
      <c r="T6" s="89"/>
      <c r="U6" s="89"/>
      <c r="V6" s="87"/>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 customHeight="1" x14ac:dyDescent="0.25">
      <c r="A10" s="17" t="str">
        <f>HYPERLINK("#'Input - Feedlot'!A1", "Feedlot")</f>
        <v>Feedlot</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 customHeight="1" x14ac:dyDescent="0.25">
      <c r="A13" s="18" t="s">
        <v>71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 customHeight="1" x14ac:dyDescent="0.25">
      <c r="A14" s="17" t="str">
        <f>HYPERLINK("#'4.1.1.1-2 Methane'!A1", "4.1.1.1-2 Methane")</f>
        <v>4.1.1.1-2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 customHeight="1" x14ac:dyDescent="0.25">
      <c r="A15" s="17" t="str">
        <f>HYPERLINK("#'4.1.1.3-4 Direct N20'!A1", "4.1.1.3-4 Direct N20")</f>
        <v>4.1.1.3-4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 customHeight="1" x14ac:dyDescent="0.25">
      <c r="A16" s="17" t="str">
        <f>HYPERLINK("#'4.1.1.5-6 Atmos Deposition'!A1", "4.1.1.5-6 Atmos Deposition")</f>
        <v>4.1.1.5-6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 customHeight="1" x14ac:dyDescent="0.25">
      <c r="A17" s="17" t="str">
        <f>HYPERLINK("#'4.1.1.9 Manure applied to soils'!A1", "4.1.1.9 Manure applied to soils")</f>
        <v>4.1.1.9 Manure applied to soils</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 customHeight="1" x14ac:dyDescent="0.25">
      <c r="A20" s="145" t="s">
        <v>1</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 customHeight="1" x14ac:dyDescent="0.25">
      <c r="A21" s="17" t="str">
        <f>HYPERLINK("#'Constants - Feedlot'!A1", "Constants - Feedlot")</f>
        <v>Constants - Feedlot</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 customHeight="1" x14ac:dyDescent="0.25">
      <c r="A22" s="17" t="str">
        <f>HYPERLINK("#'Constants - Common'!A1", "Constants - Common")</f>
        <v>Constants - Common</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 customHeight="1" x14ac:dyDescent="0.25">
      <c r="A23" s="17" t="str">
        <f>HYPERLINK("#'Constants - Common livestock'!A1", "Constants - Common livestock")</f>
        <v>Constants - Common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 customHeight="1" x14ac:dyDescent="0.25">
      <c r="A24" s="17" t="str">
        <f>HYPERLINK("#'Acknowledgements'!A1", "Acknowledgements")</f>
        <v>Acknowledgements</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 customHeight="1" x14ac:dyDescent="0.25">
      <c r="A25" s="17" t="str">
        <f>HYPERLINK("#'Tab template'!A1", "Tab template")</f>
        <v>Tab template</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ht="20" customHeight="1">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ht="20" customHeight="1">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ht="20" customHeight="1">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ht="20" customHeight="1">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ht="20" customHeight="1">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ht="20" customHeight="1">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ht="20" customHeight="1">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ht="20" customHeight="1">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ht="20" customHeight="1">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ht="20" customHeight="1">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ht="20" customHeight="1">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ht="20" customHeight="1">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ht="20" customHeight="1">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ht="20" customHeight="1">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ht="20" customHeight="1">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ht="20" customHeight="1">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ht="20" customHeight="1">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ht="20" customHeight="1">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ht="20" customHeight="1">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ht="20" customHeight="1">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ht="20" customHeight="1">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ht="20" customHeight="1">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ht="20" customHeight="1">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ht="20" customHeight="1">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L87"/>
  <sheetViews>
    <sheetView showGridLines="0" zoomScaleNormal="100" workbookViewId="0">
      <selection activeCell="A25" sqref="A25"/>
    </sheetView>
  </sheetViews>
  <sheetFormatPr defaultRowHeight="20" x14ac:dyDescent="0.25" customHeight="1"/>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6" t="e" vm="1">
        <v>#VALUE!</v>
      </c>
      <c r="C1" s="124" t="s">
        <v>289</v>
      </c>
    </row>
    <row r="2" spans="1:12" ht="20" customHeight="1" x14ac:dyDescent="0.25">
      <c r="C2" s="9"/>
    </row>
    <row r="3" spans="1:12" ht="20" customHeight="1" x14ac:dyDescent="0.25">
      <c r="A3" s="17" t="str">
        <f>HYPERLINK("#'Home'!A1", "Home")</f>
        <v>Home</v>
      </c>
      <c r="C3" s="23"/>
      <c r="D3" s="23"/>
      <c r="E3" s="23"/>
      <c r="F3" s="23"/>
      <c r="G3" s="23"/>
      <c r="H3" s="23"/>
      <c r="I3" s="23"/>
      <c r="J3" s="23"/>
      <c r="K3" s="23"/>
      <c r="L3" s="23"/>
    </row>
    <row r="4" spans="1:12" ht="20" customHeight="1" x14ac:dyDescent="0.25">
      <c r="A4" s="17" t="str">
        <f>HYPERLINK("#'Overview'!A1", "Overview")</f>
        <v>Overview</v>
      </c>
      <c r="C4" s="23"/>
      <c r="D4" s="6" t="s">
        <v>2</v>
      </c>
      <c r="E4" s="25"/>
      <c r="F4" s="25"/>
      <c r="G4" s="25"/>
      <c r="H4" s="6"/>
      <c r="I4" s="6"/>
      <c r="J4" s="6"/>
      <c r="K4" s="6"/>
      <c r="L4" s="26"/>
    </row>
    <row r="5" spans="1:12" ht="20" customHeight="1" x14ac:dyDescent="0.3">
      <c r="A5" s="123" t="str">
        <f>HYPERLINK("#'Results'!A1", "Results")</f>
        <v>Results</v>
      </c>
      <c r="C5" s="23"/>
      <c r="D5" s="27"/>
      <c r="E5" s="28"/>
      <c r="F5" s="28"/>
      <c r="G5" s="28"/>
      <c r="H5" s="25"/>
      <c r="I5" s="23"/>
      <c r="J5" s="23"/>
      <c r="K5" s="23"/>
      <c r="L5" s="23"/>
    </row>
    <row r="6" spans="1:12" ht="20" customHeight="1" x14ac:dyDescent="0.25">
      <c r="C6" s="23"/>
      <c r="D6" s="122" t="s">
        <v>251</v>
      </c>
      <c r="E6" s="122" t="s">
        <v>303</v>
      </c>
      <c r="F6" s="122" t="s">
        <v>304</v>
      </c>
      <c r="G6" s="122" t="s">
        <v>277</v>
      </c>
      <c r="H6" s="122" t="s">
        <v>305</v>
      </c>
      <c r="I6" s="122" t="s">
        <v>307</v>
      </c>
      <c r="J6" s="122" t="s">
        <v>278</v>
      </c>
      <c r="K6" s="23"/>
      <c r="L6" s="23"/>
    </row>
    <row r="7" spans="1:12" ht="20" customHeight="1" x14ac:dyDescent="0.25">
      <c r="C7" s="23"/>
      <c r="D7" s="1" t="s">
        <v>300</v>
      </c>
      <c r="E7" s="115">
        <f ca="1">VEERG_4_1_1_1__1_TotalAnnualMethaneEmissions_Result_Method1</f>
        <v>2.6279077661491193</v>
      </c>
      <c r="F7" s="115">
        <f ca="1">VEERG_4_1_1_1__1_TotalAnnualMethaneEmissions_Result_Method2</f>
        <v>2.6279077661491193</v>
      </c>
      <c r="G7" s="55" t="str">
        <f>'4.1.1.1-2 Methane'!F171</f>
        <v>t CH4</v>
      </c>
      <c r="H7" s="115">
        <f ca="1">'4.1.1.1-2 Methane'!E176</f>
        <v>73.581417452175344</v>
      </c>
      <c r="I7" s="115">
        <f ca="1">'4.1.1.1-2 Methane'!N176</f>
        <v>73.581417452175344</v>
      </c>
      <c r="J7" s="55" t="s">
        <v>306</v>
      </c>
      <c r="K7" s="23"/>
      <c r="L7" s="23"/>
    </row>
    <row r="8" spans="1:12" ht="20" customHeight="1" x14ac:dyDescent="0.25">
      <c r="A8" s="19" t="s">
        <v>0</v>
      </c>
      <c r="C8" s="23"/>
      <c r="D8" s="1" t="s">
        <v>301</v>
      </c>
      <c r="E8" s="115">
        <f ca="1">VEERG_4_1_1_3__1_TotalAnnualDirectNitrousOxideEmissions_Result_Method1</f>
        <v>0.80616789491492569</v>
      </c>
      <c r="F8" s="115">
        <f ca="1">VEERG_4_1_1_3__1_TotalAnnualDirectNitrousOxideEmissions_Result_Method2</f>
        <v>0.80616789491492569</v>
      </c>
      <c r="G8" s="55" t="str">
        <f>'4.1.1.3-4 Direct N20'!F212</f>
        <v>t N2O</v>
      </c>
      <c r="H8" s="115">
        <f ca="1">'4.1.1.3-4 Direct N20'!E217</f>
        <v>213.63449215245529</v>
      </c>
      <c r="I8" s="115">
        <f ca="1">'4.1.1.3-4 Direct N20'!P217</f>
        <v>213.63449215245529</v>
      </c>
      <c r="J8" s="55" t="s">
        <v>306</v>
      </c>
      <c r="K8" s="23"/>
      <c r="L8" s="23"/>
    </row>
    <row r="9" spans="1:12" ht="20" customHeight="1" x14ac:dyDescent="0.25">
      <c r="A9" s="17" t="str">
        <f>HYPERLINK("#'Input - Site'!A1", "Site")</f>
        <v>Site</v>
      </c>
      <c r="C9" s="23"/>
      <c r="D9" s="1" t="s">
        <v>302</v>
      </c>
      <c r="E9" s="115">
        <f ca="1">VEERG_4_1_1_5__1_TotalAnnualAtmosphericDepositionEmissions_Result_Method1</f>
        <v>0.1458482506281413</v>
      </c>
      <c r="F9" s="115">
        <f ca="1">VEERG_4_1_1_5__1_TotalAnnualAtmosphericDepositionEmissions_Result_Method2</f>
        <v>0.1458482506281413</v>
      </c>
      <c r="G9" s="55" t="str">
        <f>'4.1.1.5-6 Atmos Deposition'!$F$65</f>
        <v>t N2O</v>
      </c>
      <c r="H9" s="115">
        <f ca="1">'4.1.1.5-6 Atmos Deposition'!$E$70</f>
        <v>38.649786416457445</v>
      </c>
      <c r="I9" s="115">
        <f ca="1">'4.1.1.5-6 Atmos Deposition'!$N$70</f>
        <v>38.649786416457445</v>
      </c>
      <c r="J9" s="55" t="s">
        <v>306</v>
      </c>
      <c r="K9" s="23"/>
      <c r="L9" s="23"/>
    </row>
    <row r="10" spans="1:12" ht="20" customHeight="1" x14ac:dyDescent="0.3">
      <c r="A10" s="17" t="str">
        <f>HYPERLINK("#'Input - Feedlot'!A1", "Feedlot")</f>
        <v>Feedlot</v>
      </c>
      <c r="C10" s="23"/>
      <c r="D10" s="30" t="s">
        <v>275</v>
      </c>
      <c r="E10" s="24"/>
      <c r="F10" s="30"/>
      <c r="G10" s="30"/>
      <c r="H10" s="119">
        <f ca="1">SUM(H7:H9)</f>
        <v>325.86569602108807</v>
      </c>
      <c r="I10" s="119">
        <f ca="1">SUM(I7:I9)</f>
        <v>325.86569602108807</v>
      </c>
      <c r="J10" s="108" t="s">
        <v>306</v>
      </c>
      <c r="K10" s="23"/>
      <c r="L10" s="23"/>
    </row>
    <row r="11" spans="1:12" ht="20" customHeight="1" x14ac:dyDescent="0.25">
      <c r="C11" s="23"/>
      <c r="D11" s="1"/>
      <c r="E11" s="1"/>
      <c r="F11" s="1"/>
      <c r="G11" s="25"/>
      <c r="H11" s="23"/>
      <c r="I11" s="1"/>
      <c r="J11" s="1"/>
      <c r="K11" s="23"/>
      <c r="L11" s="23"/>
    </row>
    <row r="12" spans="1:12" ht="20" customHeight="1" x14ac:dyDescent="0.25">
      <c r="C12" s="23"/>
      <c r="D12" s="49" t="s">
        <v>220</v>
      </c>
      <c r="E12" s="1"/>
      <c r="F12" s="1"/>
      <c r="G12" s="1"/>
      <c r="H12" s="25"/>
      <c r="I12" s="23"/>
      <c r="J12" s="23"/>
      <c r="K12" s="23"/>
      <c r="L12" s="23"/>
    </row>
    <row r="13" spans="1:12" ht="20" customHeight="1" x14ac:dyDescent="0.25">
      <c r="A13" s="18" t="s">
        <v>71</v>
      </c>
      <c r="C13" s="23"/>
      <c r="D13" s="109" t="s">
        <v>282</v>
      </c>
      <c r="E13" s="1"/>
      <c r="F13" s="1"/>
      <c r="G13" s="1"/>
      <c r="H13" s="1"/>
      <c r="I13" s="1"/>
      <c r="J13" s="1"/>
      <c r="K13" s="23"/>
      <c r="L13" s="23"/>
    </row>
    <row r="14" spans="1:12" ht="20" customHeight="1" x14ac:dyDescent="0.25">
      <c r="A14" s="17" t="str">
        <f>HYPERLINK("#'4.1.1.1-2 Methane'!A1", "4.1.1.1-2 Methane")</f>
        <v>4.1.1.1-2 Methane</v>
      </c>
      <c r="C14" s="23"/>
      <c r="D14" s="120" t="s">
        <v>288</v>
      </c>
      <c r="E14" s="1"/>
      <c r="F14" s="1"/>
      <c r="G14" s="1"/>
      <c r="H14" s="1"/>
      <c r="I14" s="1"/>
      <c r="J14" s="1"/>
      <c r="K14" s="23"/>
      <c r="L14" s="23"/>
    </row>
    <row r="15" spans="1:12" ht="20" customHeight="1" x14ac:dyDescent="0.25">
      <c r="A15" s="17" t="str">
        <f>HYPERLINK("#'4.1.1.3-4 Direct N20'!A1", "4.1.1.3-4 Direct N20")</f>
        <v>4.1.1.3-4 Direct N20</v>
      </c>
      <c r="C15" s="23"/>
      <c r="D15" s="122" t="s">
        <v>283</v>
      </c>
      <c r="E15" s="122" t="s">
        <v>354</v>
      </c>
      <c r="F15" s="122" t="s">
        <v>355</v>
      </c>
      <c r="G15" s="122" t="s">
        <v>281</v>
      </c>
      <c r="H15" s="122" t="s">
        <v>276</v>
      </c>
      <c r="I15" s="122" t="s">
        <v>287</v>
      </c>
      <c r="J15" s="1"/>
      <c r="K15" s="23"/>
      <c r="L15" s="23"/>
    </row>
    <row r="16" spans="1:12" ht="20" customHeight="1" x14ac:dyDescent="0.25">
      <c r="A16" s="17" t="str">
        <f>HYPERLINK("#'4.1.1.5-6 Atmos Deposition'!A1", "4.1.1.5-6 Atmos Deposition")</f>
        <v>4.1.1.5-6 Atmos Deposition</v>
      </c>
      <c r="C16" s="23"/>
      <c r="D16" s="1" t="s">
        <v>299</v>
      </c>
      <c r="E16" s="121">
        <f ca="1">VEERG_4_1_1_9__1_MassOfNitrogenAppliedToSoilsScope1_Result_Method1</f>
        <v>24340.194998288636</v>
      </c>
      <c r="F16" s="121">
        <f ca="1">VEERG_4_1_1_9__1_MassOfNitrogenAppliedToSoilsScope1_Result_Method2</f>
        <v>24340.194998288636</v>
      </c>
      <c r="G16" s="55" t="str">
        <f>'4.1.1.9 Manure applied to soils'!$F$61</f>
        <v>kg N</v>
      </c>
      <c r="H16" s="1" t="s">
        <v>294</v>
      </c>
      <c r="I16" s="1" t="s">
        <v>286</v>
      </c>
      <c r="J16" s="1"/>
      <c r="K16" s="23"/>
      <c r="L16" s="23"/>
    </row>
    <row r="17" spans="1:12" ht="20" customHeight="1" x14ac:dyDescent="0.25">
      <c r="A17" s="17" t="str">
        <f>HYPERLINK("#'4.1.1.9 Manure applied to soils'!A1", "4.1.1.9 Manure applied to soils")</f>
        <v>4.1.1.9 Manure applied to soils</v>
      </c>
      <c r="C17" s="23"/>
      <c r="D17" s="1" t="s">
        <v>284</v>
      </c>
      <c r="E17" s="121">
        <f ca="1">'4.1.1.9 Manure applied to soils'!$E$111</f>
        <v>2221.8698202508799</v>
      </c>
      <c r="F17" s="121">
        <f ca="1">VEERG_4_1_1_9__2_MassOfNitrogenAppliedToSoilsScope3_Result_Method2</f>
        <v>2221.8698202508799</v>
      </c>
      <c r="G17" s="55" t="str">
        <f>'4.1.1.9 Manure applied to soils'!$F$111</f>
        <v>kg N</v>
      </c>
      <c r="H17" s="1" t="s">
        <v>294</v>
      </c>
      <c r="I17" s="1" t="s">
        <v>286</v>
      </c>
      <c r="J17" s="1"/>
      <c r="K17" s="23"/>
      <c r="L17" s="23"/>
    </row>
    <row r="18" spans="1:12" ht="20" customHeight="1" x14ac:dyDescent="0.25">
      <c r="C18" s="23"/>
      <c r="D18" s="1" t="s">
        <v>279</v>
      </c>
      <c r="E18" s="121">
        <f ca="1">VEERG_4_1_1_9__2_MassOfNitrogenAppliedToSoilsScope3_Result_Method1</f>
        <v>2221.8698202508799</v>
      </c>
      <c r="F18" s="121">
        <f ca="1">'4.1.1.9 Manure applied to soils'!O111</f>
        <v>2221.8698202508799</v>
      </c>
      <c r="G18" s="55" t="str">
        <f>'4.1.1.9 Manure applied to soils'!F87</f>
        <v>kg N</v>
      </c>
      <c r="H18" s="1" t="s">
        <v>280</v>
      </c>
      <c r="I18" s="1" t="s">
        <v>285</v>
      </c>
      <c r="J18" s="1"/>
      <c r="K18" s="23"/>
      <c r="L18" s="23"/>
    </row>
    <row r="19" spans="1:12" ht="20" customHeight="1" x14ac:dyDescent="0.25">
      <c r="C19" s="23"/>
      <c r="D19" s="1"/>
      <c r="E19" s="1"/>
      <c r="F19" s="1"/>
      <c r="G19" s="1"/>
      <c r="H19" s="1"/>
      <c r="I19" s="1"/>
      <c r="J19" s="1"/>
      <c r="K19" s="23"/>
      <c r="L19" s="23"/>
    </row>
    <row r="20" spans="1:12" ht="20" customHeight="1" x14ac:dyDescent="0.25">
      <c r="A20" s="145" t="s">
        <v>1</v>
      </c>
      <c r="C20" s="23"/>
      <c r="D20" s="1"/>
      <c r="E20" s="1"/>
      <c r="F20" s="1"/>
      <c r="G20" s="1"/>
      <c r="H20" s="1"/>
      <c r="I20" s="1"/>
      <c r="J20" s="1"/>
      <c r="K20" s="23"/>
      <c r="L20" s="23"/>
    </row>
    <row r="21" spans="1:12" ht="20" customHeight="1" x14ac:dyDescent="0.25">
      <c r="A21" s="17" t="str">
        <f>HYPERLINK("#'Constants - Feedlot'!A1", "Constants - Feedlot")</f>
        <v>Constants - Feedlot</v>
      </c>
      <c r="C21" s="23"/>
      <c r="D21" s="1"/>
      <c r="E21" s="1"/>
      <c r="F21" s="1"/>
      <c r="G21" s="1"/>
      <c r="H21" s="1"/>
      <c r="I21" s="1"/>
      <c r="J21" s="1"/>
      <c r="K21" s="23"/>
      <c r="L21" s="23"/>
    </row>
    <row r="22" spans="1:12" ht="20" customHeight="1" x14ac:dyDescent="0.25">
      <c r="A22" s="17" t="str">
        <f>HYPERLINK("#'Constants - Common'!A1", "Constants - Common")</f>
        <v>Constants - Common</v>
      </c>
      <c r="C22" s="23"/>
      <c r="D22" s="1"/>
      <c r="E22" s="1"/>
      <c r="F22" s="1"/>
      <c r="G22" s="1"/>
      <c r="H22" s="1"/>
      <c r="I22" s="1"/>
      <c r="J22" s="1"/>
      <c r="K22" s="23"/>
      <c r="L22" s="23"/>
    </row>
    <row r="23" spans="1:12" ht="20" customHeight="1" x14ac:dyDescent="0.25">
      <c r="A23" s="17" t="str">
        <f>HYPERLINK("#'Constants - Common livestock'!A1", "Constants - Common livestock")</f>
        <v>Constants - Common livestock</v>
      </c>
      <c r="C23" s="23"/>
      <c r="D23" s="1"/>
      <c r="E23" s="1"/>
      <c r="F23" s="1"/>
      <c r="G23" s="1"/>
      <c r="H23" s="1"/>
      <c r="I23" s="1"/>
      <c r="J23" s="1"/>
      <c r="K23" s="23"/>
      <c r="L23" s="23"/>
    </row>
    <row r="24" spans="1:12" ht="20" customHeight="1" x14ac:dyDescent="0.25">
      <c r="A24" s="17" t="str">
        <f>HYPERLINK("#'Acknowledgements'!A1", "Acknowledgements")</f>
        <v>Acknowledgements</v>
      </c>
      <c r="C24" s="23"/>
      <c r="D24" s="1"/>
      <c r="E24" s="1"/>
      <c r="F24" s="1"/>
      <c r="G24" s="1"/>
      <c r="H24" s="1"/>
      <c r="I24" s="1"/>
      <c r="J24" s="1"/>
      <c r="K24" s="23"/>
      <c r="L24" s="23"/>
    </row>
    <row r="25" spans="1:12" ht="20" customHeight="1" x14ac:dyDescent="0.25">
      <c r="A25" s="17" t="str">
        <f>HYPERLINK("#'Tab template'!A1", "Tab template")</f>
        <v>Tab template</v>
      </c>
      <c r="C25" s="23"/>
      <c r="D25" s="1"/>
      <c r="E25" s="1"/>
      <c r="F25" s="1"/>
      <c r="G25" s="1"/>
      <c r="H25" s="1"/>
      <c r="I25" s="1"/>
      <c r="J25" s="1"/>
      <c r="K25" s="23"/>
      <c r="L25" s="23"/>
    </row>
    <row r="26" spans="1:12" ht="20" customHeight="1" x14ac:dyDescent="0.25">
      <c r="C26" s="23"/>
      <c r="D26" s="1"/>
      <c r="E26" s="1"/>
      <c r="F26" s="1"/>
      <c r="G26" s="1"/>
      <c r="H26" s="1"/>
      <c r="I26" s="1"/>
      <c r="J26" s="1"/>
      <c r="K26" s="23"/>
      <c r="L26" s="23"/>
    </row>
    <row r="27" spans="1:12" ht="20" customHeight="1" x14ac:dyDescent="0.25">
      <c r="C27" s="23"/>
      <c r="D27" s="1"/>
      <c r="E27" s="1"/>
      <c r="F27" s="1"/>
      <c r="G27" s="1"/>
      <c r="H27" s="1"/>
      <c r="I27" s="1"/>
      <c r="J27" s="1"/>
      <c r="K27" s="23"/>
      <c r="L27" s="23"/>
    </row>
    <row r="28" spans="1:12" ht="20" customHeight="1" x14ac:dyDescent="0.25">
      <c r="C28" s="23"/>
      <c r="D28" s="1"/>
      <c r="E28" s="1"/>
      <c r="F28" s="1"/>
      <c r="G28" s="1"/>
      <c r="H28" s="1"/>
      <c r="I28" s="1"/>
      <c r="J28" s="1"/>
      <c r="K28" s="23"/>
      <c r="L28" s="23"/>
    </row>
    <row r="29" spans="1:12" ht="20" customHeight="1" x14ac:dyDescent="0.25">
      <c r="C29" s="23"/>
      <c r="D29" s="1"/>
      <c r="E29" s="1"/>
      <c r="F29" s="1"/>
      <c r="G29" s="1"/>
      <c r="H29" s="23"/>
      <c r="I29" s="23"/>
      <c r="J29" s="23"/>
      <c r="K29" s="23"/>
      <c r="L29" s="23"/>
    </row>
    <row r="30" spans="1:12" ht="20" customHeight="1" x14ac:dyDescent="0.25">
      <c r="C30" s="23"/>
      <c r="D30" s="1"/>
      <c r="E30" s="1"/>
      <c r="F30" s="1"/>
      <c r="G30" s="1"/>
      <c r="H30" s="23"/>
      <c r="I30" s="23"/>
      <c r="J30" s="23"/>
      <c r="K30" s="23"/>
      <c r="L30" s="23"/>
    </row>
    <row r="31" spans="1:12" ht="20" customHeight="1" x14ac:dyDescent="0.25">
      <c r="C31" s="23"/>
      <c r="D31" s="1"/>
      <c r="E31" s="1"/>
      <c r="F31" s="1"/>
      <c r="G31" s="1"/>
      <c r="H31" s="23"/>
      <c r="I31" s="23"/>
      <c r="J31" s="23"/>
      <c r="K31" s="23"/>
      <c r="L31" s="23"/>
    </row>
    <row r="32" spans="1:12" ht="20" customHeight="1" x14ac:dyDescent="0.25">
      <c r="C32" s="23"/>
      <c r="D32" s="1"/>
      <c r="E32" s="1"/>
      <c r="F32" s="1"/>
      <c r="G32" s="1"/>
      <c r="H32" s="25"/>
      <c r="I32" s="23"/>
      <c r="J32" s="23"/>
      <c r="K32" s="23"/>
      <c r="L32" s="23"/>
    </row>
    <row r="33" spans="3:12" ht="20" customHeight="1" x14ac:dyDescent="0.3">
      <c r="C33" s="23"/>
      <c r="D33" s="1"/>
      <c r="E33" s="1"/>
      <c r="F33" s="1"/>
      <c r="G33" s="1"/>
      <c r="H33" s="28"/>
      <c r="I33" s="23"/>
      <c r="J33" s="23"/>
      <c r="K33" s="23"/>
      <c r="L33" s="23"/>
    </row>
    <row r="34" spans="3:12" ht="20" customHeight="1" x14ac:dyDescent="0.25">
      <c r="C34" s="23"/>
      <c r="D34" s="1"/>
      <c r="E34" s="1"/>
      <c r="F34" s="1"/>
      <c r="G34" s="1"/>
      <c r="H34" s="1"/>
      <c r="I34" s="23"/>
      <c r="J34" s="23"/>
      <c r="K34" s="23"/>
      <c r="L34" s="23"/>
    </row>
    <row r="35" spans="3:12" ht="20" customHeight="1" x14ac:dyDescent="0.25">
      <c r="C35" s="23"/>
      <c r="D35" s="1"/>
      <c r="E35" s="1"/>
      <c r="F35" s="1"/>
      <c r="G35" s="1"/>
      <c r="H35" s="1"/>
      <c r="I35" s="23"/>
      <c r="J35" s="23"/>
      <c r="K35" s="23"/>
      <c r="L35" s="23"/>
    </row>
    <row r="36" spans="3:12" ht="20" customHeight="1" x14ac:dyDescent="0.25">
      <c r="C36" s="23"/>
      <c r="D36" s="1"/>
      <c r="E36" s="1"/>
      <c r="F36" s="1"/>
      <c r="G36" s="1"/>
      <c r="H36" s="1"/>
      <c r="I36" s="23"/>
      <c r="J36" s="23"/>
      <c r="K36" s="23"/>
      <c r="L36" s="23"/>
    </row>
    <row r="37" spans="3:12" ht="20" customHeight="1" x14ac:dyDescent="0.25">
      <c r="C37" s="23"/>
      <c r="D37" s="1"/>
      <c r="E37" s="1"/>
      <c r="F37" s="1"/>
      <c r="G37" s="1"/>
      <c r="H37" s="1"/>
      <c r="I37" s="23"/>
      <c r="J37" s="23"/>
      <c r="K37" s="23"/>
      <c r="L37" s="23"/>
    </row>
    <row r="38" spans="3:12" ht="20" customHeight="1" x14ac:dyDescent="0.25">
      <c r="C38" s="23"/>
      <c r="D38" s="1"/>
      <c r="E38" s="1"/>
      <c r="F38" s="1"/>
      <c r="G38" s="1"/>
      <c r="H38" s="1"/>
      <c r="I38" s="114"/>
      <c r="J38" s="114"/>
      <c r="K38" s="114"/>
      <c r="L38" s="23"/>
    </row>
    <row r="39" spans="3:12" ht="20" customHeight="1" x14ac:dyDescent="0.25">
      <c r="C39" s="23"/>
      <c r="D39" s="1"/>
      <c r="E39" s="1"/>
      <c r="F39" s="1"/>
      <c r="G39" s="1"/>
      <c r="H39" s="1"/>
      <c r="I39" s="114"/>
      <c r="J39" s="114"/>
      <c r="K39" s="114"/>
      <c r="L39" s="23"/>
    </row>
    <row r="40" spans="3:12" ht="20" customHeight="1" x14ac:dyDescent="0.25">
      <c r="C40" s="23"/>
      <c r="D40" s="1"/>
      <c r="E40" s="1"/>
      <c r="F40" s="1"/>
      <c r="G40" s="1"/>
      <c r="H40" s="1"/>
      <c r="I40" s="114"/>
      <c r="J40" s="114"/>
      <c r="K40" s="114"/>
      <c r="L40" s="23"/>
    </row>
    <row r="41" spans="3:12" ht="20" customHeight="1" x14ac:dyDescent="0.25">
      <c r="C41" s="23"/>
      <c r="D41" s="1"/>
      <c r="E41" s="1"/>
      <c r="F41" s="1"/>
      <c r="G41" s="1"/>
      <c r="H41" s="1"/>
      <c r="I41" s="114"/>
      <c r="J41" s="114"/>
      <c r="K41" s="114"/>
      <c r="L41" s="23"/>
    </row>
    <row r="42" spans="3:12" ht="20" customHeight="1" x14ac:dyDescent="0.25">
      <c r="C42" s="23"/>
      <c r="D42" s="1"/>
      <c r="E42" s="1"/>
      <c r="F42" s="1"/>
      <c r="G42" s="1"/>
      <c r="H42" s="1"/>
      <c r="I42" s="114"/>
      <c r="J42" s="114"/>
      <c r="K42" s="114"/>
      <c r="L42" s="23"/>
    </row>
    <row r="43" spans="3:12" ht="20" customHeight="1" x14ac:dyDescent="0.25">
      <c r="C43" s="23"/>
      <c r="D43" s="1"/>
      <c r="E43" s="1"/>
      <c r="F43" s="1"/>
      <c r="G43" s="1"/>
      <c r="H43" s="1"/>
      <c r="I43" s="114"/>
      <c r="J43" s="114"/>
      <c r="K43" s="114"/>
      <c r="L43" s="23"/>
    </row>
    <row r="44" spans="3:12" ht="20" customHeight="1" x14ac:dyDescent="0.25">
      <c r="C44" s="23"/>
      <c r="D44" s="1"/>
      <c r="E44" s="1"/>
      <c r="F44" s="1"/>
      <c r="G44" s="1"/>
      <c r="H44" s="1"/>
      <c r="I44" s="114"/>
      <c r="J44" s="114"/>
      <c r="K44" s="114"/>
      <c r="L44" s="23"/>
    </row>
    <row r="45" spans="3:12" ht="20" customHeight="1" x14ac:dyDescent="0.25">
      <c r="C45" s="23"/>
      <c r="D45" s="1"/>
      <c r="E45" s="1"/>
      <c r="F45" s="1"/>
      <c r="G45" s="1"/>
      <c r="H45" s="1"/>
      <c r="I45" s="114"/>
      <c r="J45" s="114"/>
      <c r="K45" s="114"/>
      <c r="L45" s="23"/>
    </row>
    <row r="46" spans="3:12" ht="20" customHeight="1" x14ac:dyDescent="0.25">
      <c r="C46" s="23"/>
      <c r="D46" s="1"/>
      <c r="E46" s="1"/>
      <c r="F46" s="1"/>
      <c r="G46" s="1"/>
      <c r="H46" s="1"/>
      <c r="I46" s="114"/>
      <c r="J46" s="114"/>
      <c r="K46" s="114"/>
      <c r="L46" s="23"/>
    </row>
    <row r="47" spans="3:12" ht="20" customHeight="1" x14ac:dyDescent="0.25">
      <c r="C47" s="23"/>
      <c r="D47" s="1"/>
      <c r="E47" s="1"/>
      <c r="F47" s="1"/>
      <c r="G47" s="1"/>
      <c r="H47" s="1"/>
      <c r="I47" s="114"/>
      <c r="J47" s="114"/>
      <c r="K47" s="114"/>
      <c r="L47" s="23"/>
    </row>
    <row r="48" spans="3:12" ht="20" customHeight="1" x14ac:dyDescent="0.25">
      <c r="C48" s="23"/>
      <c r="D48" s="1"/>
      <c r="E48" s="1"/>
      <c r="F48" s="1"/>
      <c r="G48" s="1"/>
      <c r="H48" s="1"/>
      <c r="I48" s="114"/>
      <c r="J48" s="114"/>
      <c r="K48" s="114"/>
      <c r="L48" s="23"/>
    </row>
    <row r="49" spans="3:12" ht="20" customHeight="1" x14ac:dyDescent="0.25">
      <c r="C49" s="23"/>
      <c r="D49" s="1"/>
      <c r="E49" s="1"/>
      <c r="F49" s="1"/>
      <c r="G49" s="1"/>
      <c r="H49" s="114"/>
      <c r="I49" s="114"/>
      <c r="J49" s="114"/>
      <c r="K49" s="114"/>
      <c r="L49" s="23"/>
    </row>
    <row r="50" spans="3:12" ht="20" customHeight="1" x14ac:dyDescent="0.25">
      <c r="C50" s="23"/>
      <c r="D50" s="1"/>
      <c r="E50" s="1"/>
      <c r="F50" s="1"/>
      <c r="G50" s="1"/>
      <c r="H50" s="114"/>
      <c r="I50" s="114"/>
      <c r="J50" s="114"/>
      <c r="K50" s="114"/>
      <c r="L50" s="23"/>
    </row>
    <row r="51" spans="3:12" ht="20" customHeight="1" x14ac:dyDescent="0.25">
      <c r="C51" s="23"/>
      <c r="D51" s="1"/>
      <c r="E51" s="1"/>
      <c r="F51" s="1"/>
      <c r="G51" s="1"/>
      <c r="H51" s="114"/>
      <c r="I51" s="114"/>
      <c r="J51" s="114"/>
      <c r="K51" s="114"/>
      <c r="L51" s="23"/>
    </row>
    <row r="52" spans="3:12" ht="20" customHeight="1" x14ac:dyDescent="0.25">
      <c r="C52" s="23"/>
      <c r="D52" s="1"/>
      <c r="E52" s="1"/>
      <c r="F52" s="1"/>
      <c r="G52" s="1"/>
      <c r="H52" s="114"/>
      <c r="I52" s="114"/>
      <c r="J52" s="114"/>
      <c r="K52" s="114"/>
      <c r="L52" s="23"/>
    </row>
    <row r="53" spans="3:12" ht="20" customHeight="1" x14ac:dyDescent="0.25">
      <c r="C53" s="23"/>
      <c r="D53" s="1"/>
      <c r="E53" s="1"/>
      <c r="F53" s="1"/>
      <c r="G53" s="1"/>
      <c r="H53" s="114"/>
      <c r="I53" s="114"/>
      <c r="J53" s="114"/>
      <c r="K53" s="114"/>
      <c r="L53" s="23"/>
    </row>
    <row r="54" spans="3:12" ht="20" customHeight="1" x14ac:dyDescent="0.25">
      <c r="C54" s="23"/>
      <c r="D54" s="1"/>
      <c r="E54" s="1"/>
      <c r="F54" s="1"/>
      <c r="G54" s="1"/>
      <c r="H54" s="23"/>
      <c r="I54" s="23"/>
      <c r="J54" s="23"/>
      <c r="K54" s="23"/>
      <c r="L54" s="23"/>
    </row>
    <row r="55" spans="3:12" ht="20" customHeight="1" x14ac:dyDescent="0.25">
      <c r="C55" s="23"/>
      <c r="D55" s="1"/>
      <c r="E55" s="1"/>
      <c r="F55" s="1"/>
      <c r="G55" s="1"/>
      <c r="H55" s="23"/>
      <c r="I55" s="23"/>
      <c r="J55" s="23"/>
      <c r="K55" s="23"/>
      <c r="L55" s="23"/>
    </row>
    <row r="56" spans="3:12" ht="20" customHeight="1" x14ac:dyDescent="0.25">
      <c r="C56" s="23"/>
      <c r="D56" s="1"/>
      <c r="E56" s="1"/>
      <c r="F56" s="1"/>
      <c r="G56" s="1"/>
      <c r="H56" s="23"/>
      <c r="I56" s="23"/>
      <c r="J56" s="23"/>
      <c r="K56" s="23"/>
      <c r="L56" s="23"/>
    </row>
    <row r="57" spans="3:12" ht="20" customHeight="1" x14ac:dyDescent="0.25">
      <c r="C57" s="23"/>
      <c r="D57" s="1"/>
      <c r="E57" s="1"/>
      <c r="F57" s="1"/>
      <c r="G57" s="1"/>
      <c r="H57" s="23"/>
      <c r="I57" s="23"/>
      <c r="J57" s="23"/>
      <c r="K57" s="23"/>
      <c r="L57" s="23"/>
    </row>
    <row r="58" spans="3:12" ht="20" customHeight="1" x14ac:dyDescent="0.25">
      <c r="C58" s="23"/>
      <c r="D58" s="1"/>
      <c r="E58" s="31"/>
      <c r="F58" s="29"/>
      <c r="G58" s="23"/>
      <c r="H58" s="23"/>
      <c r="I58" s="23"/>
      <c r="J58" s="23"/>
      <c r="K58" s="23"/>
      <c r="L58" s="23"/>
    </row>
    <row r="59" spans="3:12" ht="20" customHeight="1" x14ac:dyDescent="0.25">
      <c r="C59" s="23"/>
      <c r="D59" s="1"/>
      <c r="E59" s="1"/>
      <c r="F59" s="1"/>
      <c r="G59" s="1"/>
      <c r="H59" s="1"/>
      <c r="I59" s="1"/>
      <c r="J59" s="1"/>
      <c r="K59" s="1"/>
      <c r="L59" s="23"/>
    </row>
    <row r="60" spans="3:12" ht="20" customHeight="1" x14ac:dyDescent="0.25">
      <c r="C60" s="23"/>
      <c r="D60" s="1"/>
      <c r="E60" s="1"/>
      <c r="F60" s="1"/>
      <c r="G60" s="1"/>
      <c r="H60" s="1"/>
      <c r="I60" s="1"/>
      <c r="J60" s="1"/>
      <c r="K60" s="1"/>
      <c r="L60" s="23"/>
    </row>
    <row r="61" spans="3:12" ht="20" customHeight="1" x14ac:dyDescent="0.25">
      <c r="C61" s="23"/>
      <c r="D61" s="1"/>
      <c r="E61" s="1"/>
      <c r="F61" s="1"/>
      <c r="G61" s="1"/>
      <c r="H61" s="1"/>
      <c r="I61" s="1"/>
      <c r="J61" s="1"/>
      <c r="K61" s="1"/>
      <c r="L61" s="23"/>
    </row>
    <row r="62" spans="3:12" ht="20" customHeight="1" x14ac:dyDescent="0.25">
      <c r="C62" s="23"/>
      <c r="D62" s="1"/>
      <c r="E62" s="1"/>
      <c r="F62" s="1"/>
      <c r="G62" s="1"/>
      <c r="H62" s="1"/>
      <c r="I62" s="1"/>
      <c r="J62" s="1"/>
      <c r="K62" s="1"/>
      <c r="L62" s="23"/>
    </row>
    <row r="63" spans="3:12" ht="20" customHeight="1" x14ac:dyDescent="0.25">
      <c r="C63" s="23"/>
      <c r="D63" s="1"/>
      <c r="E63" s="1"/>
      <c r="F63" s="1"/>
      <c r="G63" s="1"/>
      <c r="H63" s="1"/>
      <c r="I63" s="1"/>
      <c r="J63" s="1"/>
      <c r="K63" s="1"/>
      <c r="L63" s="23"/>
    </row>
    <row r="64" spans="3:12" ht="20" customHeight="1" x14ac:dyDescent="0.25">
      <c r="C64" s="23"/>
      <c r="D64" s="1"/>
      <c r="E64" s="1"/>
      <c r="F64" s="1"/>
      <c r="G64" s="1"/>
      <c r="H64" s="1"/>
      <c r="I64" s="1"/>
      <c r="J64" s="1"/>
      <c r="K64" s="1"/>
      <c r="L64" s="23"/>
    </row>
    <row r="65" spans="3:12" ht="20" customHeight="1" x14ac:dyDescent="0.25">
      <c r="C65" s="23"/>
      <c r="D65" s="1"/>
      <c r="E65" s="1"/>
      <c r="F65" s="1"/>
      <c r="G65" s="1"/>
      <c r="H65" s="1"/>
      <c r="I65" s="1"/>
      <c r="J65" s="1"/>
      <c r="K65" s="1"/>
      <c r="L65" s="23"/>
    </row>
    <row r="66" spans="3:12" ht="20" customHeight="1" x14ac:dyDescent="0.25">
      <c r="C66" s="23"/>
      <c r="D66" s="1"/>
      <c r="E66" s="1"/>
      <c r="F66" s="1"/>
      <c r="G66" s="1"/>
      <c r="H66" s="1"/>
      <c r="I66" s="1"/>
      <c r="J66" s="1"/>
      <c r="K66" s="1"/>
      <c r="L66" s="23"/>
    </row>
    <row r="67" spans="3:12" ht="20" customHeight="1" x14ac:dyDescent="0.25">
      <c r="C67" s="23"/>
      <c r="D67" s="1"/>
      <c r="E67" s="1"/>
      <c r="F67" s="1"/>
      <c r="G67" s="1"/>
      <c r="H67" s="1"/>
      <c r="I67" s="1"/>
      <c r="J67" s="1"/>
      <c r="K67" s="1"/>
      <c r="L67" s="23"/>
    </row>
    <row r="68" spans="3:12" ht="20" customHeight="1" x14ac:dyDescent="0.25">
      <c r="C68" s="23"/>
      <c r="D68" s="1"/>
      <c r="E68" s="1"/>
      <c r="F68" s="1"/>
      <c r="G68" s="1"/>
      <c r="H68" s="1"/>
      <c r="I68" s="1"/>
      <c r="J68" s="1"/>
      <c r="K68" s="1"/>
      <c r="L68" s="23"/>
    </row>
    <row r="69" spans="3:12" ht="20" customHeight="1" x14ac:dyDescent="0.25">
      <c r="C69" s="23"/>
      <c r="D69" s="1"/>
      <c r="E69" s="1"/>
      <c r="F69" s="1"/>
      <c r="G69" s="1"/>
      <c r="H69" s="1"/>
      <c r="I69" s="1"/>
      <c r="J69" s="1"/>
      <c r="K69" s="1"/>
      <c r="L69" s="23"/>
    </row>
    <row r="70" spans="3:12" ht="20" customHeight="1" x14ac:dyDescent="0.25">
      <c r="C70" s="23"/>
      <c r="D70" s="1"/>
      <c r="E70" s="1"/>
      <c r="F70" s="1"/>
      <c r="G70" s="1"/>
      <c r="H70" s="1"/>
      <c r="I70" s="1"/>
      <c r="J70" s="1"/>
      <c r="K70" s="1"/>
      <c r="L70" s="23"/>
    </row>
    <row r="71" spans="3:12" ht="20" customHeight="1" x14ac:dyDescent="0.25">
      <c r="C71" s="23"/>
      <c r="D71" s="1"/>
      <c r="E71" s="1"/>
      <c r="F71" s="1"/>
      <c r="G71" s="1"/>
      <c r="H71" s="1"/>
      <c r="I71" s="1"/>
      <c r="J71" s="1"/>
      <c r="K71" s="1"/>
      <c r="L71" s="23"/>
    </row>
    <row r="72" spans="3:12" ht="20" customHeight="1" x14ac:dyDescent="0.25">
      <c r="C72" s="23"/>
      <c r="D72" s="1"/>
      <c r="E72" s="1"/>
      <c r="F72" s="1"/>
      <c r="G72" s="1"/>
      <c r="H72" s="1"/>
      <c r="I72" s="1"/>
      <c r="J72" s="1"/>
      <c r="K72" s="1"/>
      <c r="L72" s="23"/>
    </row>
    <row r="73" spans="3:12" ht="20" customHeight="1" x14ac:dyDescent="0.25">
      <c r="C73" s="23"/>
      <c r="D73" s="1"/>
      <c r="E73" s="1"/>
      <c r="F73" s="1"/>
      <c r="G73" s="1"/>
      <c r="H73" s="1"/>
      <c r="I73" s="1"/>
      <c r="J73" s="1"/>
      <c r="K73" s="1"/>
      <c r="L73" s="23"/>
    </row>
    <row r="74" spans="3:12" ht="20" customHeight="1" x14ac:dyDescent="0.25">
      <c r="C74" s="23"/>
      <c r="D74" s="1"/>
      <c r="E74" s="1"/>
      <c r="F74" s="1"/>
      <c r="G74" s="1"/>
      <c r="H74" s="1"/>
      <c r="I74" s="1"/>
      <c r="J74" s="1"/>
      <c r="K74" s="1"/>
      <c r="L74" s="23"/>
    </row>
    <row r="75" spans="3:12" ht="20" customHeight="1" x14ac:dyDescent="0.25">
      <c r="C75" s="23"/>
      <c r="D75" s="1"/>
      <c r="E75" s="1"/>
      <c r="F75" s="1"/>
      <c r="G75" s="1"/>
      <c r="H75" s="1"/>
      <c r="I75" s="1"/>
      <c r="J75" s="1"/>
      <c r="K75" s="1"/>
      <c r="L75" s="23"/>
    </row>
    <row r="76" spans="3:12" ht="20" x14ac:dyDescent="0.25" customHeight="1">
      <c r="C76" s="23"/>
      <c r="D76" s="1"/>
      <c r="E76" s="1"/>
      <c r="F76" s="1"/>
      <c r="G76" s="1"/>
      <c r="H76" s="1"/>
      <c r="I76" s="1"/>
      <c r="J76" s="1"/>
      <c r="K76" s="1"/>
      <c r="L76" s="23"/>
    </row>
    <row r="77" spans="3:12" ht="20" x14ac:dyDescent="0.25" customHeight="1">
      <c r="C77" s="23"/>
      <c r="D77" s="1"/>
      <c r="E77" s="1"/>
      <c r="F77" s="1"/>
      <c r="G77" s="1"/>
      <c r="H77" s="1"/>
      <c r="I77" s="1"/>
      <c r="J77" s="1"/>
      <c r="K77" s="1"/>
      <c r="L77" s="23"/>
    </row>
    <row r="78" spans="3:12" ht="20" x14ac:dyDescent="0.25" customHeight="1">
      <c r="C78" s="23"/>
      <c r="D78" s="1"/>
      <c r="E78" s="1"/>
      <c r="F78" s="1"/>
      <c r="G78" s="1"/>
      <c r="H78" s="1"/>
      <c r="I78" s="1"/>
      <c r="J78" s="1"/>
      <c r="K78" s="1"/>
      <c r="L78" s="23"/>
    </row>
    <row r="79" spans="3:12" ht="20" x14ac:dyDescent="0.25" customHeight="1">
      <c r="C79" s="23"/>
      <c r="D79" s="1"/>
      <c r="E79" s="1"/>
      <c r="F79" s="1"/>
      <c r="G79" s="1"/>
      <c r="H79" s="1"/>
      <c r="I79" s="1"/>
      <c r="J79" s="1"/>
      <c r="K79" s="1"/>
      <c r="L79" s="23"/>
    </row>
    <row r="80" spans="3:12" ht="20" x14ac:dyDescent="0.25" customHeight="1">
      <c r="C80" s="23"/>
      <c r="D80" s="1"/>
      <c r="E80" s="1"/>
      <c r="F80" s="1"/>
      <c r="G80" s="1"/>
      <c r="H80" s="1"/>
      <c r="I80" s="1"/>
      <c r="J80" s="1"/>
      <c r="K80" s="1"/>
      <c r="L80" s="23"/>
    </row>
    <row r="81" spans="3:12" ht="20" x14ac:dyDescent="0.25" customHeight="1">
      <c r="C81" s="23"/>
      <c r="D81" s="1"/>
      <c r="E81" s="1"/>
      <c r="F81" s="1"/>
      <c r="G81" s="1"/>
      <c r="H81" s="1"/>
      <c r="I81" s="1"/>
      <c r="J81" s="1"/>
      <c r="K81" s="1"/>
      <c r="L81" s="23"/>
    </row>
    <row r="82" spans="3:12" ht="20" x14ac:dyDescent="0.25" customHeight="1">
      <c r="C82" s="23"/>
      <c r="D82" s="1"/>
      <c r="E82" s="1"/>
      <c r="F82" s="1"/>
      <c r="G82" s="1"/>
      <c r="H82" s="1"/>
      <c r="I82" s="1"/>
      <c r="J82" s="1"/>
      <c r="K82" s="1"/>
      <c r="L82" s="23"/>
    </row>
    <row r="83" spans="3:12" ht="20" x14ac:dyDescent="0.25" customHeight="1">
      <c r="C83" s="23"/>
      <c r="D83" s="1"/>
      <c r="E83" s="1"/>
      <c r="F83" s="1"/>
      <c r="G83" s="1"/>
      <c r="H83" s="1"/>
      <c r="I83" s="1"/>
      <c r="J83" s="1"/>
      <c r="K83" s="1"/>
      <c r="L83" s="23"/>
    </row>
    <row r="84" spans="3:12" ht="20" x14ac:dyDescent="0.25" customHeight="1">
      <c r="C84" s="23"/>
      <c r="D84" s="1"/>
      <c r="E84" s="1"/>
      <c r="F84" s="1"/>
      <c r="G84" s="1"/>
      <c r="H84" s="1"/>
      <c r="I84" s="1"/>
      <c r="J84" s="1"/>
      <c r="K84" s="1"/>
      <c r="L84" s="23"/>
    </row>
    <row r="85" spans="3:12" ht="20" x14ac:dyDescent="0.25" customHeight="1">
      <c r="C85" s="23"/>
      <c r="D85" s="1"/>
      <c r="E85" s="1"/>
      <c r="F85" s="1"/>
      <c r="G85" s="1"/>
      <c r="H85" s="1"/>
      <c r="I85" s="1"/>
      <c r="J85" s="1"/>
      <c r="K85" s="1"/>
      <c r="L85" s="23"/>
    </row>
    <row r="86" spans="3:12" x14ac:dyDescent="0.25" ht="20" customHeight="1">
      <c r="C86" s="23"/>
      <c r="D86" s="23"/>
      <c r="E86" s="23"/>
      <c r="F86" s="23"/>
      <c r="G86" s="23"/>
      <c r="H86" s="23"/>
      <c r="I86" s="23"/>
      <c r="J86" s="23"/>
      <c r="K86" s="23"/>
      <c r="L86" s="23"/>
    </row>
    <row r="87" spans="3:12" x14ac:dyDescent="0.25" ht="20" customHeight="1">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zoomScaleNormal="100" workbookViewId="0">
      <selection activeCell="E33" sqref="E33"/>
    </sheetView>
  </sheetViews>
  <sheetFormatPr defaultColWidth="9.140625" defaultRowHeight="20" x14ac:dyDescent="0.25" customHeight="1"/>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85</v>
      </c>
    </row>
    <row r="2" spans="1:24" s="7" customFormat="1" ht="20" customHeight="1" x14ac:dyDescent="0.25">
      <c r="A2"/>
      <c r="C2" s="9"/>
      <c r="D2" s="9"/>
      <c r="E2" s="9"/>
      <c r="F2" s="9"/>
      <c r="G2" s="9"/>
      <c r="H2" s="9"/>
      <c r="I2" s="9"/>
      <c r="J2" s="9"/>
    </row>
    <row r="3" spans="1:24" ht="20"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 customHeight="1" x14ac:dyDescent="0.25">
      <c r="A4" s="17" t="str">
        <f>HYPERLINK("#'Overview'!A1", "Overview")</f>
        <v>Overview</v>
      </c>
      <c r="C4" s="68"/>
      <c r="D4" s="68"/>
      <c r="E4" s="68"/>
      <c r="F4" s="68"/>
      <c r="G4" s="68"/>
      <c r="H4" s="68"/>
      <c r="I4" s="68"/>
      <c r="J4" s="68"/>
      <c r="K4" s="68"/>
    </row>
    <row r="5" spans="1:24" ht="20" customHeight="1" x14ac:dyDescent="0.25">
      <c r="A5" s="17" t="str">
        <f>HYPERLINK("#'Results'!A1", "Results")</f>
        <v>Results</v>
      </c>
      <c r="D5" s="6" t="s">
        <v>12</v>
      </c>
      <c r="N5" s="42"/>
    </row>
    <row r="6" spans="1:24" ht="20" customHeight="1" x14ac:dyDescent="0.25">
      <c r="A6"/>
      <c r="D6" s="14"/>
      <c r="N6" s="43"/>
    </row>
    <row r="7" spans="1:24" ht="20" customHeight="1" x14ac:dyDescent="0.25">
      <c r="A7"/>
      <c r="D7" s="1" t="s">
        <v>4</v>
      </c>
      <c r="E7" s="34" t="s">
        <v>3</v>
      </c>
      <c r="F7" s="2"/>
    </row>
    <row r="8" spans="1:24" ht="20" customHeight="1" x14ac:dyDescent="0.25">
      <c r="A8" s="19" t="s">
        <v>0</v>
      </c>
      <c r="D8" s="10" t="s">
        <v>69</v>
      </c>
      <c r="E8" s="34" t="s">
        <v>70</v>
      </c>
    </row>
    <row r="9" spans="1:24" ht="20" customHeight="1" x14ac:dyDescent="0.25">
      <c r="A9" s="20" t="str">
        <f>HYPERLINK("#'Input - Site'!A1", "Site")</f>
        <v>Site</v>
      </c>
      <c r="N9" s="44"/>
    </row>
    <row r="10" spans="1:24" ht="20" customHeight="1" x14ac:dyDescent="0.25">
      <c r="A10" s="17" t="str">
        <f>HYPERLINK("#'Input - Feedlot'!A1", "Feedlot")</f>
        <v>Feedlot</v>
      </c>
      <c r="D10" s="93" t="s">
        <v>84</v>
      </c>
      <c r="E10" s="91"/>
      <c r="F10" s="94"/>
      <c r="G10" s="88"/>
      <c r="N10" s="44"/>
    </row>
    <row r="11" spans="1:24" ht="20" customHeight="1" x14ac:dyDescent="0.25">
      <c r="A11"/>
      <c r="N11" s="45"/>
    </row>
    <row r="12" spans="1:24" ht="20" customHeight="1" x14ac:dyDescent="0.25">
      <c r="A12"/>
      <c r="D12" s="10" t="s">
        <v>90</v>
      </c>
      <c r="E12" s="64">
        <v>45292</v>
      </c>
      <c r="F12" s="2" t="s">
        <v>67</v>
      </c>
    </row>
    <row r="13" spans="1:24" ht="20" customHeight="1" x14ac:dyDescent="0.25">
      <c r="A13" s="18" t="s">
        <v>71</v>
      </c>
      <c r="D13" s="10" t="s">
        <v>91</v>
      </c>
      <c r="E13" s="69">
        <f>DATE(YEAR(X_Cell_Site_StartDate)+1,MONTH(X_Cell_Site_StartDate),DAY(X_Cell_Site_StartDate))-1</f>
        <v>45657</v>
      </c>
      <c r="F13" s="2" t="s">
        <v>14</v>
      </c>
      <c r="N13" s="39"/>
      <c r="O13" s="39"/>
    </row>
    <row r="14" spans="1:24" ht="20" customHeight="1" x14ac:dyDescent="0.25">
      <c r="A14" s="17" t="str">
        <f>HYPERLINK("#'4.1.1.1-2 Methane'!A1", "4.1.1.1-2 Methane")</f>
        <v>4.1.1.1-2 Methane</v>
      </c>
      <c r="N14" s="39"/>
      <c r="O14" s="39"/>
    </row>
    <row r="15" spans="1:24" ht="20" customHeight="1" x14ac:dyDescent="0.25">
      <c r="A15" s="17" t="str">
        <f>HYPERLINK("#'4.1.1.3-4 Direct N20'!A1", "4.1.1.3-4 Direct N20")</f>
        <v>4.1.1.3-4 Direct N20</v>
      </c>
      <c r="N15" s="39"/>
      <c r="O15" s="39"/>
    </row>
    <row r="16" spans="1:24" ht="20" customHeight="1" x14ac:dyDescent="0.25">
      <c r="A16" s="17" t="str">
        <f>HYPERLINK("#'4.1.1.5-6 Atmos Deposition'!A1", "4.1.1.5-6 Atmos Deposition")</f>
        <v>4.1.1.5-6 Atmos Deposition</v>
      </c>
      <c r="D16" s="6" t="s">
        <v>11</v>
      </c>
      <c r="N16" s="39"/>
      <c r="O16" s="39"/>
    </row>
    <row r="17" spans="1:25" ht="20" customHeight="1" x14ac:dyDescent="0.25">
      <c r="A17" s="17" t="str">
        <f>HYPERLINK("#'4.1.1.9 Manure applied to soils'!A1", "4.1.1.9 Manure applied to soils")</f>
        <v>4.1.1.9 Manure applied to soils</v>
      </c>
    </row>
    <row r="18" spans="1:25" ht="20" customHeight="1" x14ac:dyDescent="0.25">
      <c r="A18"/>
      <c r="D18" s="95" t="s">
        <v>13</v>
      </c>
      <c r="E18" s="90"/>
      <c r="F18" s="90"/>
      <c r="G18" s="86"/>
    </row>
    <row r="19" spans="1:25" ht="20" customHeight="1" x14ac:dyDescent="0.25">
      <c r="A19"/>
      <c r="D19" s="92" t="s">
        <v>68</v>
      </c>
      <c r="E19" s="89"/>
      <c r="F19" s="89"/>
      <c r="G19" s="87"/>
      <c r="N19" s="42"/>
    </row>
    <row r="20" spans="1:25" ht="20" customHeight="1" x14ac:dyDescent="0.25">
      <c r="A20" s="145" t="s">
        <v>1</v>
      </c>
      <c r="D20" s="1"/>
      <c r="E20" s="32"/>
      <c r="F20" s="2"/>
      <c r="N20" s="43"/>
    </row>
    <row r="21" spans="1:25" ht="20" customHeight="1" x14ac:dyDescent="0.25">
      <c r="A21" s="17" t="str">
        <f>HYPERLINK("#'Constants - Feedlot'!A1", "Constants - Feedlot")</f>
        <v>Constants - Feedlot</v>
      </c>
      <c r="D21" s="1" t="s">
        <v>5</v>
      </c>
      <c r="E21" s="41" t="s">
        <v>356</v>
      </c>
      <c r="F21" s="2" t="s">
        <v>8</v>
      </c>
    </row>
    <row r="22" spans="1:25" ht="20" customHeight="1" x14ac:dyDescent="0.25">
      <c r="A22" s="17" t="str">
        <f>HYPERLINK("#'Constants - Common'!A1", "Constants - Common")</f>
        <v>Constants - Common</v>
      </c>
      <c r="D22" s="1" t="s">
        <v>22</v>
      </c>
      <c r="E22" s="41" t="s">
        <v>31</v>
      </c>
      <c r="F22" s="2" t="s">
        <v>8</v>
      </c>
      <c r="G22" s="1"/>
    </row>
    <row r="23" spans="1:25" ht="20" customHeight="1" x14ac:dyDescent="0.25">
      <c r="A23" s="17" t="str">
        <f>HYPERLINK("#'Constants - Common livestock'!A1", "Constants - Common livestock")</f>
        <v>Constants - Common livestock</v>
      </c>
      <c r="D23" s="1" t="s">
        <v>6</v>
      </c>
      <c r="E23" s="41" t="s">
        <v>89</v>
      </c>
      <c r="F23" s="2" t="s">
        <v>8</v>
      </c>
    </row>
    <row r="24" spans="1:25" ht="20" customHeight="1" x14ac:dyDescent="0.25">
      <c r="A24" s="17" t="str">
        <f>HYPERLINK("#'Acknowledgements'!A1", "Acknowledgements")</f>
        <v>Acknowledgements</v>
      </c>
      <c r="D24" s="1" t="s">
        <v>36</v>
      </c>
      <c r="E24" s="34">
        <v>307.7</v>
      </c>
      <c r="F24" s="2" t="s">
        <v>50</v>
      </c>
    </row>
    <row r="25" spans="1:25" ht="20" customHeight="1" x14ac:dyDescent="0.25">
      <c r="A25" s="17" t="str">
        <f>HYPERLINK("#'Tab template'!A1", "Tab template")</f>
        <v>Tab template</v>
      </c>
      <c r="D25" s="1" t="s">
        <v>58</v>
      </c>
      <c r="E25" s="34">
        <v>18</v>
      </c>
      <c r="F25" s="2" t="s">
        <v>9</v>
      </c>
      <c r="N25" s="43"/>
    </row>
    <row r="26" spans="1:25" ht="20" customHeight="1" x14ac:dyDescent="0.25">
      <c r="A26"/>
      <c r="D26" s="1" t="s">
        <v>59</v>
      </c>
      <c r="E26" s="34">
        <v>601</v>
      </c>
      <c r="F26" s="2" t="s">
        <v>10</v>
      </c>
    </row>
    <row r="27" spans="1:25" ht="20" customHeight="1" x14ac:dyDescent="0.25">
      <c r="A27"/>
      <c r="D27" s="10" t="s">
        <v>60</v>
      </c>
      <c r="E27" s="34">
        <v>1326</v>
      </c>
      <c r="F27" s="2" t="s">
        <v>10</v>
      </c>
    </row>
    <row r="28" spans="1:25" ht="20" customHeight="1" x14ac:dyDescent="0.25">
      <c r="A28"/>
      <c r="D28" s="1" t="s">
        <v>61</v>
      </c>
      <c r="E28" s="34">
        <v>7</v>
      </c>
      <c r="F28" s="2" t="s">
        <v>51</v>
      </c>
    </row>
    <row r="29" spans="1:25" ht="20" customHeight="1" x14ac:dyDescent="0.25">
      <c r="A29"/>
      <c r="D29" s="10" t="s">
        <v>57</v>
      </c>
      <c r="E29" s="53">
        <f>X_Cell_Site_TotalRainfall/X_Cell_Site_PotentialEvapotranspiration</f>
        <v>0.45324283559577677</v>
      </c>
      <c r="F29" s="2"/>
    </row>
    <row r="30" spans="1:25" ht="20" customHeight="1" x14ac:dyDescent="0.25">
      <c r="A30"/>
      <c r="D30" s="10" t="s">
        <v>32</v>
      </c>
      <c r="E30" s="53" t="str">
        <f>Common_InputFunctions.Utility_LookupItemFromMinMax(X_Cell_Site_TotalRainfall,Table_SourceData_RainfallZones[Min rainfall],Table_SourceData_RainfallZones[Max rainfall],Table_SourceData_RainfallZones[Rainfall Zone])</f>
        <v>High rainfall</v>
      </c>
      <c r="G30" s="33"/>
      <c r="L30" s="50"/>
      <c r="M30" s="50"/>
      <c r="N30" s="50"/>
      <c r="O30" s="50"/>
      <c r="P30" s="50"/>
      <c r="Q30" s="50"/>
      <c r="R30" s="50"/>
      <c r="S30" s="50"/>
      <c r="T30" s="50"/>
      <c r="U30" s="50"/>
      <c r="V30" s="50"/>
      <c r="W30" s="50"/>
      <c r="X30" s="50"/>
      <c r="Y30" s="50"/>
    </row>
    <row r="31" spans="1:25" ht="20" customHeight="1" x14ac:dyDescent="0.25">
      <c r="A31"/>
      <c r="D31" s="1" t="s">
        <v>7</v>
      </c>
      <c r="E31" s="53" t="str">
        <f>Common_InputFunctions.Utility_GetClimateZone(X_Cell_Site_AverageTemperature,X_Cell_Site_TotalRainfall,X_Cell_Site_FrostDays,X_Cell_Site_Elevation,E29,Table_SourceData_ClimateZones[Min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8"/>
      <c r="M31" s="48"/>
      <c r="N31" s="48"/>
      <c r="O31" s="48"/>
      <c r="P31" s="48"/>
      <c r="Q31" s="48"/>
      <c r="R31" s="48"/>
      <c r="S31" s="48"/>
      <c r="T31" s="48"/>
      <c r="U31" s="48"/>
      <c r="V31" s="48"/>
      <c r="W31" s="48"/>
      <c r="X31" s="48"/>
      <c r="Y31" s="48"/>
    </row>
    <row r="32" spans="1:25" ht="20" customHeight="1" x14ac:dyDescent="0.25">
      <c r="A32"/>
      <c r="D32" s="1" t="s">
        <v>86</v>
      </c>
      <c r="E32" s="53" t="str">
        <f>Common_InputFunctions.Utility_LookupValueInTable($E$31,Table_SourceData_WetDryZones[Climate zone],Table_SourceData_WetDryZones[Wet or Dry Zone])</f>
        <v>Dry climate zone</v>
      </c>
      <c r="F32" s="1"/>
      <c r="G32" s="32"/>
      <c r="L32" s="48"/>
      <c r="M32" s="48"/>
      <c r="N32" s="48"/>
      <c r="O32" s="48"/>
      <c r="P32" s="48"/>
      <c r="Q32" s="48"/>
      <c r="R32" s="48"/>
      <c r="S32" s="48"/>
      <c r="T32" s="48"/>
      <c r="U32" s="48"/>
      <c r="V32" s="48"/>
      <c r="W32" s="48"/>
      <c r="X32" s="48"/>
      <c r="Y32" s="48"/>
    </row>
    <row r="33" spans="1:25" ht="20" customHeight="1" x14ac:dyDescent="0.25">
      <c r="A33"/>
      <c r="D33" s="1" t="s">
        <v>49</v>
      </c>
      <c r="E33" s="53" t="str">
        <f>Common_InputFunctions.Utility_LookupItemFromMinMax(X_Cell_Site_AverageTemperature,Table_SourceData_TemperatureZones[Min MAT],Table_SourceData_TemperatureZones[Max MAT],Table_SourceData_TemperatureZones[Temperature Zone])</f>
        <v>Temperate</v>
      </c>
      <c r="G33" s="70"/>
      <c r="L33" s="48"/>
      <c r="M33" s="48"/>
      <c r="N33" s="48"/>
      <c r="O33" s="48"/>
      <c r="P33" s="48"/>
      <c r="Q33" s="48"/>
      <c r="R33" s="48"/>
      <c r="S33" s="48"/>
      <c r="T33" s="48"/>
      <c r="U33" s="48"/>
      <c r="V33" s="48"/>
      <c r="W33" s="48"/>
      <c r="X33" s="48"/>
      <c r="Y33" s="48"/>
    </row>
    <row r="34" spans="1:25" ht="20" customHeight="1" x14ac:dyDescent="0.25">
      <c r="A34"/>
      <c r="J34" s="61"/>
      <c r="K34" s="73"/>
      <c r="L34" s="48"/>
      <c r="M34" s="48"/>
      <c r="N34" s="48"/>
      <c r="O34" s="48"/>
      <c r="P34" s="48"/>
      <c r="Q34" s="48"/>
      <c r="R34" s="48"/>
      <c r="S34" s="48"/>
      <c r="T34" s="48"/>
      <c r="U34" s="48"/>
      <c r="V34" s="48"/>
      <c r="W34" s="48"/>
      <c r="X34" s="48"/>
      <c r="Y34" s="48"/>
    </row>
    <row r="35" spans="1:25" ht="20" customHeight="1" x14ac:dyDescent="0.25">
      <c r="A35"/>
      <c r="J35" s="61"/>
      <c r="K35" s="73"/>
      <c r="L35" s="48"/>
      <c r="M35" s="48"/>
      <c r="N35" s="48"/>
      <c r="O35" s="48"/>
      <c r="P35" s="48"/>
      <c r="Q35" s="48"/>
      <c r="R35" s="48"/>
      <c r="S35" s="48"/>
      <c r="T35" s="48"/>
      <c r="U35" s="48"/>
      <c r="V35" s="48"/>
      <c r="W35" s="48"/>
      <c r="X35" s="48"/>
      <c r="Y35" s="48"/>
    </row>
    <row r="36" spans="1:25" ht="20" customHeight="1" x14ac:dyDescent="0.25">
      <c r="A36"/>
      <c r="D36" s="71"/>
      <c r="E36" s="71"/>
      <c r="F36" s="72"/>
      <c r="G36" s="61"/>
      <c r="H36" s="61"/>
      <c r="I36" s="62"/>
      <c r="J36" s="61"/>
      <c r="K36" s="73"/>
      <c r="L36" s="48"/>
      <c r="M36" s="48"/>
      <c r="N36" s="48"/>
      <c r="O36" s="48"/>
      <c r="P36" s="48"/>
      <c r="Q36" s="48"/>
      <c r="R36" s="48"/>
      <c r="S36" s="48"/>
      <c r="T36" s="48"/>
      <c r="U36" s="48"/>
      <c r="V36" s="48"/>
      <c r="W36" s="48"/>
      <c r="X36" s="48"/>
      <c r="Y36" s="48"/>
    </row>
    <row r="37" spans="1:25" ht="20" customHeight="1" x14ac:dyDescent="0.25">
      <c r="A37"/>
      <c r="D37" s="71"/>
      <c r="E37" s="71"/>
      <c r="F37" s="72"/>
      <c r="G37" s="61"/>
      <c r="H37" s="61"/>
      <c r="I37" s="62"/>
      <c r="J37" s="61"/>
      <c r="K37" s="73"/>
      <c r="L37" s="48"/>
      <c r="M37" s="48"/>
      <c r="N37" s="48"/>
      <c r="O37" s="48"/>
      <c r="P37" s="48"/>
      <c r="Q37" s="48"/>
      <c r="R37" s="48"/>
      <c r="S37" s="48"/>
      <c r="T37" s="48"/>
      <c r="U37" s="48"/>
      <c r="V37" s="48"/>
      <c r="W37" s="48"/>
      <c r="X37" s="48"/>
      <c r="Y37" s="48"/>
    </row>
    <row r="38" spans="1:25" ht="20" customHeight="1" x14ac:dyDescent="0.25">
      <c r="A38"/>
      <c r="D38" s="71"/>
      <c r="E38" s="71"/>
      <c r="F38" s="72"/>
      <c r="G38" s="61"/>
      <c r="H38" s="61"/>
      <c r="I38" s="62"/>
      <c r="J38" s="61"/>
      <c r="K38" s="73"/>
      <c r="L38" s="48"/>
      <c r="M38" s="48"/>
      <c r="N38" s="48"/>
      <c r="O38" s="48"/>
      <c r="P38" s="48"/>
      <c r="Q38" s="48"/>
      <c r="R38" s="48"/>
      <c r="S38" s="48"/>
      <c r="T38" s="48"/>
      <c r="U38" s="48"/>
      <c r="V38" s="48"/>
      <c r="W38" s="48"/>
      <c r="X38" s="48"/>
      <c r="Y38" s="48"/>
    </row>
    <row r="39" spans="1:25" ht="20" customHeight="1" x14ac:dyDescent="0.25">
      <c r="A39"/>
      <c r="D39" s="71"/>
      <c r="E39" s="71"/>
      <c r="F39" s="72"/>
      <c r="G39" s="61"/>
      <c r="H39" s="61"/>
      <c r="I39" s="62"/>
      <c r="J39" s="61"/>
      <c r="K39" s="73"/>
      <c r="L39" s="48"/>
      <c r="M39" s="48"/>
      <c r="N39" s="48"/>
      <c r="O39" s="48"/>
      <c r="P39" s="48"/>
      <c r="Q39" s="48"/>
      <c r="R39" s="48"/>
      <c r="S39" s="48"/>
      <c r="T39" s="48"/>
      <c r="U39" s="48"/>
      <c r="V39" s="48"/>
      <c r="W39" s="48"/>
      <c r="X39" s="48"/>
      <c r="Y39" s="48"/>
    </row>
    <row r="40" spans="1:25" ht="20" customHeight="1" x14ac:dyDescent="0.25">
      <c r="A40"/>
      <c r="D40" s="74"/>
      <c r="E40" s="74"/>
      <c r="F40" s="74"/>
      <c r="G40" s="75"/>
      <c r="H40" s="76"/>
      <c r="I40" s="76"/>
      <c r="J40" s="76"/>
      <c r="K40" s="76"/>
      <c r="L40" s="51"/>
      <c r="M40" s="51"/>
      <c r="N40" s="51"/>
      <c r="O40" s="51"/>
      <c r="P40" s="51"/>
      <c r="Q40" s="51"/>
      <c r="R40" s="51"/>
      <c r="S40" s="51"/>
      <c r="T40" s="51"/>
      <c r="U40" s="51"/>
      <c r="V40" s="51"/>
      <c r="W40" s="51"/>
      <c r="X40" s="51"/>
      <c r="Y40" s="51"/>
    </row>
    <row r="41" spans="1:25" ht="20" customHeight="1" x14ac:dyDescent="0.25">
      <c r="A41"/>
    </row>
    <row r="42" spans="1:25" ht="20" customHeight="1" x14ac:dyDescent="0.25">
      <c r="A42"/>
    </row>
    <row r="43" spans="1:25" ht="20" customHeight="1" x14ac:dyDescent="0.25">
      <c r="A43"/>
    </row>
    <row r="44" spans="1:25" ht="20" customHeight="1" x14ac:dyDescent="0.25">
      <c r="A44"/>
    </row>
    <row r="45" spans="1:25" ht="20" customHeight="1" x14ac:dyDescent="0.25">
      <c r="A45"/>
      <c r="D45" s="6"/>
    </row>
    <row r="46" spans="1:25" ht="20" customHeight="1" x14ac:dyDescent="0.25">
      <c r="A46"/>
      <c r="D46" s="22"/>
    </row>
    <row r="47" spans="1:25" ht="20" customHeight="1" x14ac:dyDescent="0.25">
      <c r="A47"/>
      <c r="D47" s="77"/>
      <c r="E47" s="77"/>
      <c r="F47" s="77"/>
      <c r="G47" s="77"/>
      <c r="H47" s="77"/>
    </row>
    <row r="48" spans="1:25" ht="20" customHeight="1" x14ac:dyDescent="0.25">
      <c r="A48"/>
      <c r="D48" s="35"/>
      <c r="E48" s="35"/>
      <c r="F48" s="36"/>
      <c r="G48" s="36"/>
      <c r="H48" s="35"/>
    </row>
    <row r="49" spans="1:8" ht="20" customHeight="1" x14ac:dyDescent="0.25">
      <c r="A49"/>
      <c r="D49" s="35"/>
      <c r="E49" s="35"/>
      <c r="F49" s="36"/>
      <c r="G49" s="36"/>
      <c r="H49" s="35"/>
    </row>
    <row r="50" spans="1:8" ht="20" customHeight="1" x14ac:dyDescent="0.25">
      <c r="A50"/>
      <c r="D50" s="35"/>
      <c r="E50" s="35"/>
      <c r="F50" s="36"/>
      <c r="G50" s="36"/>
      <c r="H50" s="35"/>
    </row>
    <row r="51" spans="1:8" ht="20" customHeight="1" x14ac:dyDescent="0.25">
      <c r="A51"/>
      <c r="D51" s="78"/>
      <c r="E51" s="79"/>
      <c r="F51" s="79"/>
      <c r="G51" s="79"/>
      <c r="H51" s="80"/>
    </row>
    <row r="52" spans="1:8" ht="20" customHeight="1" x14ac:dyDescent="0.25">
      <c r="A52"/>
    </row>
    <row r="53" spans="1:8" ht="20" customHeight="1" x14ac:dyDescent="0.25">
      <c r="A53"/>
    </row>
    <row r="54" spans="1:8" ht="20" customHeight="1" x14ac:dyDescent="0.25">
      <c r="A54"/>
      <c r="G54" s="81"/>
    </row>
    <row r="55" spans="1:8" ht="20" customHeight="1" x14ac:dyDescent="0.25">
      <c r="A55"/>
      <c r="D55" s="6"/>
    </row>
    <row r="56" spans="1:8" ht="20" customHeight="1" x14ac:dyDescent="0.25">
      <c r="A56"/>
    </row>
    <row r="57" spans="1:8" ht="20" customHeight="1" x14ac:dyDescent="0.25">
      <c r="A57"/>
      <c r="D57" s="22"/>
      <c r="F57" s="82"/>
    </row>
    <row r="58" spans="1:8" ht="20" customHeight="1" x14ac:dyDescent="0.25">
      <c r="A58"/>
      <c r="D58" s="1"/>
      <c r="E58" s="83"/>
    </row>
    <row r="59" spans="1:8" ht="20" customHeight="1" x14ac:dyDescent="0.25">
      <c r="A59"/>
      <c r="D59" s="1"/>
      <c r="E59" s="83"/>
    </row>
    <row r="60" spans="1:8" ht="20" customHeight="1" x14ac:dyDescent="0.25">
      <c r="A60"/>
      <c r="D60" s="1"/>
      <c r="E60" s="84"/>
    </row>
    <row r="61" spans="1:8" ht="20" customHeight="1" x14ac:dyDescent="0.25">
      <c r="A61"/>
      <c r="D61" s="1"/>
    </row>
    <row r="62" spans="1:8" ht="20" customHeight="1" x14ac:dyDescent="0.25">
      <c r="A62"/>
    </row>
    <row r="63" spans="1:8" ht="20" customHeight="1" x14ac:dyDescent="0.25">
      <c r="A63"/>
      <c r="D63" s="22"/>
    </row>
    <row r="64" spans="1:8" ht="20" customHeight="1" x14ac:dyDescent="0.25">
      <c r="A64"/>
      <c r="D64" s="1"/>
      <c r="E64" s="83"/>
    </row>
    <row r="65" spans="1:9" ht="20" customHeight="1" x14ac:dyDescent="0.25">
      <c r="A65"/>
      <c r="D65" s="1"/>
      <c r="E65" s="83"/>
    </row>
    <row r="66" spans="1:9" ht="20" customHeight="1" x14ac:dyDescent="0.25">
      <c r="A66"/>
      <c r="D66" s="1"/>
      <c r="E66" s="84"/>
    </row>
    <row r="67" spans="1:9" ht="20" customHeight="1" x14ac:dyDescent="0.25">
      <c r="A67"/>
    </row>
    <row r="68" spans="1:9" ht="20" customHeight="1" x14ac:dyDescent="0.25">
      <c r="A68"/>
    </row>
    <row r="69" spans="1:9" ht="20" customHeight="1" x14ac:dyDescent="0.25">
      <c r="A69"/>
      <c r="D69" s="60"/>
      <c r="E69" s="60"/>
      <c r="F69" s="60"/>
      <c r="G69" s="60"/>
      <c r="H69" s="60"/>
      <c r="I69" s="60"/>
    </row>
    <row r="70" spans="1:9" ht="20" customHeight="1" x14ac:dyDescent="0.25">
      <c r="A70"/>
      <c r="D70" s="60"/>
      <c r="E70" s="60"/>
      <c r="F70" s="60"/>
      <c r="G70" s="60"/>
      <c r="H70" s="60"/>
      <c r="I70" s="60"/>
    </row>
    <row r="71" spans="1:9" ht="20" customHeight="1" x14ac:dyDescent="0.25">
      <c r="A71"/>
      <c r="D71" s="60"/>
      <c r="E71" s="60"/>
      <c r="F71" s="60"/>
      <c r="G71" s="60"/>
      <c r="H71" s="60"/>
      <c r="I71" s="60"/>
    </row>
    <row r="72" spans="1:9" ht="20" customHeight="1" x14ac:dyDescent="0.25">
      <c r="A72"/>
      <c r="D72" s="60"/>
      <c r="E72" s="60"/>
      <c r="F72" s="60"/>
      <c r="G72" s="60"/>
      <c r="H72" s="60"/>
      <c r="I72" s="60"/>
    </row>
    <row r="73" spans="1:9" ht="20" customHeight="1" x14ac:dyDescent="0.25">
      <c r="A73"/>
    </row>
    <row r="74" spans="1:9" ht="20" customHeight="1" x14ac:dyDescent="0.25">
      <c r="A74"/>
    </row>
    <row r="75" spans="1:9" ht="20" customHeight="1" x14ac:dyDescent="0.25">
      <c r="A75"/>
    </row>
    <row r="76" spans="1:9" ht="20" customHeight="1" x14ac:dyDescent="0.25">
      <c r="A76"/>
    </row>
    <row r="77" spans="1:9" ht="20" customHeight="1" x14ac:dyDescent="0.25">
      <c r="A77"/>
    </row>
    <row r="78" spans="1:9" ht="20" customHeight="1" x14ac:dyDescent="0.25">
      <c r="A78"/>
      <c r="D78" s="85"/>
    </row>
    <row r="79" spans="1:9" ht="20" customHeight="1" x14ac:dyDescent="0.25">
      <c r="A79"/>
      <c r="D79" s="85"/>
    </row>
    <row r="80" spans="1:9" ht="20" customHeight="1" x14ac:dyDescent="0.25">
      <c r="A80"/>
      <c r="D80" s="85"/>
    </row>
    <row r="81" spans="1:4" ht="20" customHeight="1" x14ac:dyDescent="0.25">
      <c r="A81"/>
      <c r="D81" s="85"/>
    </row>
    <row r="82" spans="1:4" ht="20" customHeight="1" x14ac:dyDescent="0.25">
      <c r="A82"/>
      <c r="D82" s="85"/>
    </row>
    <row r="83" spans="1:4" ht="20" customHeight="1" x14ac:dyDescent="0.25">
      <c r="A83"/>
    </row>
    <row r="84" spans="1:4" ht="20" customHeight="1" x14ac:dyDescent="0.25">
      <c r="A84"/>
    </row>
    <row r="85" spans="1:4" ht="20" customHeight="1" x14ac:dyDescent="0.25">
      <c r="A85"/>
    </row>
    <row r="86" spans="1:4" ht="20" customHeight="1" x14ac:dyDescent="0.25">
      <c r="A86"/>
    </row>
    <row r="87" spans="1:4" ht="20" customHeight="1" x14ac:dyDescent="0.25">
      <c r="A87"/>
    </row>
    <row r="88" spans="1:4" ht="20" customHeight="1" x14ac:dyDescent="0.25">
      <c r="A88"/>
    </row>
    <row r="89" spans="1:4" ht="20" customHeight="1" x14ac:dyDescent="0.25">
      <c r="A89"/>
    </row>
    <row r="90" spans="1:4" ht="20" customHeight="1" x14ac:dyDescent="0.25">
      <c r="A90"/>
    </row>
    <row r="91" spans="1:4" ht="20" customHeight="1" x14ac:dyDescent="0.25">
      <c r="A91"/>
    </row>
    <row r="92" spans="1:4" ht="20" customHeight="1" x14ac:dyDescent="0.25">
      <c r="A92"/>
    </row>
    <row r="93" spans="1:4" ht="20" customHeight="1" x14ac:dyDescent="0.25">
      <c r="A93"/>
    </row>
    <row r="94" spans="1:4" ht="20" customHeight="1" x14ac:dyDescent="0.25">
      <c r="A94"/>
    </row>
    <row r="95" spans="1:4" ht="20" customHeight="1" x14ac:dyDescent="0.25">
      <c r="A95"/>
    </row>
    <row r="96" spans="1:4" ht="20" customHeight="1" x14ac:dyDescent="0.25">
      <c r="A96"/>
    </row>
    <row r="97" spans="1:1" ht="20" customHeight="1" x14ac:dyDescent="0.25">
      <c r="A97"/>
    </row>
    <row r="98" spans="1:1" ht="20" customHeight="1" x14ac:dyDescent="0.25">
      <c r="A98"/>
    </row>
    <row r="99" spans="1:1" ht="20" customHeight="1" x14ac:dyDescent="0.25">
      <c r="A99"/>
    </row>
    <row r="100" spans="1:1" ht="20" customHeight="1" x14ac:dyDescent="0.25">
      <c r="A100"/>
    </row>
    <row r="101" spans="1:1" ht="20" customHeight="1" x14ac:dyDescent="0.25">
      <c r="A101"/>
    </row>
    <row r="102" spans="1:1" ht="20" customHeight="1" x14ac:dyDescent="0.25">
      <c r="A102"/>
    </row>
    <row r="103" spans="1:1" ht="20" customHeight="1" x14ac:dyDescent="0.25">
      <c r="A103"/>
    </row>
    <row r="104" spans="1:1" ht="20" customHeight="1" x14ac:dyDescent="0.25">
      <c r="A104"/>
    </row>
    <row r="105" spans="1:1" ht="20" customHeight="1" x14ac:dyDescent="0.25">
      <c r="A105"/>
    </row>
    <row r="106" spans="1:1" ht="20" customHeight="1" x14ac:dyDescent="0.25">
      <c r="A106"/>
    </row>
    <row r="107" spans="1:1" ht="20" customHeight="1" x14ac:dyDescent="0.25">
      <c r="A107"/>
    </row>
    <row r="108" spans="1:1" ht="20" customHeight="1" x14ac:dyDescent="0.25">
      <c r="A108"/>
    </row>
    <row r="109" spans="1:1" ht="20" customHeight="1" x14ac:dyDescent="0.25">
      <c r="A109"/>
    </row>
    <row r="110" spans="1:1" ht="20" customHeight="1" x14ac:dyDescent="0.25">
      <c r="A110"/>
    </row>
    <row r="111" spans="1:1" ht="20" customHeight="1" x14ac:dyDescent="0.25">
      <c r="A111"/>
    </row>
    <row r="112" spans="1:1" ht="20" customHeight="1" x14ac:dyDescent="0.25">
      <c r="A112"/>
    </row>
    <row r="113" spans="1:1" ht="20" customHeight="1" x14ac:dyDescent="0.25">
      <c r="A113"/>
    </row>
    <row r="114" spans="1:1" ht="20" customHeight="1" x14ac:dyDescent="0.25">
      <c r="A114"/>
    </row>
    <row r="115" spans="1:1" ht="20" customHeight="1" x14ac:dyDescent="0.25">
      <c r="A115"/>
    </row>
    <row r="116" spans="1:1" x14ac:dyDescent="0.25" ht="20" customHeight="1">
      <c r="A116"/>
    </row>
    <row r="117" spans="1:1" x14ac:dyDescent="0.25" ht="20" customHeight="1">
      <c r="A117"/>
    </row>
    <row r="118" spans="1:1" x14ac:dyDescent="0.25" ht="20" customHeight="1">
      <c r="A118"/>
    </row>
    <row r="119" spans="1:1" x14ac:dyDescent="0.25" ht="20" customHeight="1">
      <c r="A119"/>
    </row>
    <row r="120" spans="1:1" x14ac:dyDescent="0.25" ht="20" customHeight="1">
      <c r="A120"/>
    </row>
    <row r="121" spans="1:1" x14ac:dyDescent="0.25" ht="20" customHeight="1">
      <c r="A121"/>
    </row>
    <row r="122" spans="1:1" x14ac:dyDescent="0.25" ht="20" customHeight="1">
      <c r="A122"/>
    </row>
    <row r="123" spans="1:1" x14ac:dyDescent="0.25" ht="20" customHeight="1">
      <c r="A123"/>
    </row>
    <row r="124" spans="1:1" x14ac:dyDescent="0.25" ht="20" customHeight="1">
      <c r="A124"/>
    </row>
    <row r="125" spans="1:1" x14ac:dyDescent="0.25" ht="20" customHeight="1">
      <c r="A125"/>
    </row>
    <row r="126" spans="1:1" x14ac:dyDescent="0.25" ht="20" customHeight="1">
      <c r="A126"/>
    </row>
    <row r="127" spans="1:1" x14ac:dyDescent="0.25" ht="20" customHeight="1">
      <c r="A127"/>
    </row>
    <row r="128" spans="1:1" x14ac:dyDescent="0.25" ht="20" customHeight="1">
      <c r="A128"/>
    </row>
    <row r="129" spans="1:1" x14ac:dyDescent="0.25" ht="20" customHeight="1">
      <c r="A129"/>
    </row>
    <row r="130" spans="1:1" x14ac:dyDescent="0.25" ht="20" customHeight="1">
      <c r="A130"/>
    </row>
    <row r="131" spans="1:1" x14ac:dyDescent="0.25" ht="20" customHeight="1">
      <c r="A131"/>
    </row>
    <row r="132" spans="1:1" x14ac:dyDescent="0.25" ht="20" customHeight="1">
      <c r="A132"/>
    </row>
    <row r="133" spans="1:1" x14ac:dyDescent="0.25" ht="20" customHeight="1">
      <c r="A133"/>
    </row>
    <row r="134" spans="1:1" x14ac:dyDescent="0.25" ht="20" customHeight="1">
      <c r="A134"/>
    </row>
    <row r="135" spans="1:1" x14ac:dyDescent="0.25" ht="20" customHeight="1">
      <c r="A135"/>
    </row>
    <row r="136" spans="1:1" x14ac:dyDescent="0.25" ht="20" customHeight="1">
      <c r="A136"/>
    </row>
    <row r="137" spans="1:1" x14ac:dyDescent="0.25" ht="20" customHeight="1">
      <c r="A137"/>
    </row>
    <row r="138" spans="1:1" x14ac:dyDescent="0.25" ht="20" customHeight="1">
      <c r="A138"/>
    </row>
    <row r="139" spans="1:1" x14ac:dyDescent="0.25" ht="20" customHeight="1">
      <c r="A139"/>
    </row>
    <row r="140" spans="1:1" x14ac:dyDescent="0.25" ht="20" customHeight="1">
      <c r="A140"/>
    </row>
    <row r="141" spans="1:1" x14ac:dyDescent="0.25" ht="20" customHeight="1">
      <c r="A141"/>
    </row>
    <row r="142" spans="1:1" x14ac:dyDescent="0.25" ht="20" customHeight="1">
      <c r="A142"/>
    </row>
    <row r="143" spans="1:1" x14ac:dyDescent="0.25" ht="20" customHeight="1">
      <c r="A143"/>
    </row>
    <row r="144" spans="1:1" x14ac:dyDescent="0.25" ht="20" customHeight="1">
      <c r="A144"/>
    </row>
    <row r="145" spans="1:1" x14ac:dyDescent="0.25" ht="20" customHeight="1">
      <c r="A145"/>
    </row>
    <row r="146" spans="1:1" x14ac:dyDescent="0.25" ht="20" customHeight="1">
      <c r="A146"/>
    </row>
    <row r="147" spans="1:1" x14ac:dyDescent="0.25" ht="20" customHeight="1">
      <c r="A147"/>
    </row>
    <row r="148" spans="1:1" x14ac:dyDescent="0.25" ht="20" customHeight="1">
      <c r="A148"/>
    </row>
    <row r="149" spans="1:1" x14ac:dyDescent="0.25" ht="20" customHeight="1">
      <c r="A149"/>
    </row>
    <row r="150" spans="1:1" x14ac:dyDescent="0.25" ht="20" customHeight="1">
      <c r="A150"/>
    </row>
    <row r="151" spans="1:1" x14ac:dyDescent="0.25" ht="20" customHeight="1">
      <c r="A151"/>
    </row>
    <row r="152" spans="1:1" x14ac:dyDescent="0.25" ht="20" customHeight="1">
      <c r="A152"/>
    </row>
    <row r="153" spans="1:1" x14ac:dyDescent="0.25" ht="20" customHeight="1">
      <c r="A153"/>
    </row>
    <row r="154" spans="1:1" x14ac:dyDescent="0.25" ht="20" customHeight="1">
      <c r="A154"/>
    </row>
    <row r="155" spans="1:1" x14ac:dyDescent="0.25" ht="20" customHeight="1">
      <c r="A155"/>
    </row>
    <row r="156" spans="1:1" x14ac:dyDescent="0.25" ht="20" customHeight="1">
      <c r="A156"/>
    </row>
    <row r="157" spans="1:1" x14ac:dyDescent="0.25" ht="20" customHeight="1">
      <c r="A157"/>
    </row>
    <row r="158" spans="1:1" x14ac:dyDescent="0.25" ht="20" customHeight="1">
      <c r="A158"/>
    </row>
    <row r="159" spans="1:1" x14ac:dyDescent="0.25" ht="20" customHeight="1">
      <c r="A159"/>
    </row>
    <row r="160" spans="1:1" x14ac:dyDescent="0.25" ht="20" customHeight="1">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U165"/>
  <sheetViews>
    <sheetView showGridLines="0" topLeftCell="A6" zoomScaleNormal="100" workbookViewId="0">
      <selection activeCell="A16" sqref="A16"/>
    </sheetView>
  </sheetViews>
  <sheetFormatPr defaultRowHeight="20" x14ac:dyDescent="0.25" customHeight="1"/>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7" customWidth="1"/>
    <col min="15" max="20" width="30.7109375" style="57" customWidth="1"/>
    <col min="21" max="21" width="4.7109375" style="57" customWidth="1"/>
  </cols>
  <sheetData>
    <row r="1" spans="1:21" s="66" customFormat="1" ht="30" customHeight="1" x14ac:dyDescent="0.35">
      <c r="A1" s="66" t="e" vm="1">
        <v>#VALUE!</v>
      </c>
      <c r="C1" s="66" t="s">
        <v>100</v>
      </c>
      <c r="N1" s="57"/>
      <c r="O1" s="57"/>
      <c r="P1" s="57"/>
      <c r="Q1" s="57"/>
      <c r="R1" s="57"/>
      <c r="S1" s="57"/>
      <c r="T1" s="57"/>
      <c r="U1" s="57"/>
    </row>
    <row r="2" spans="1:21" s="9" customFormat="1" ht="20" customHeight="1" x14ac:dyDescent="0.25">
      <c r="A2"/>
      <c r="N2" s="57"/>
      <c r="O2" s="57"/>
      <c r="P2" s="57"/>
      <c r="Q2" s="57"/>
      <c r="R2" s="57"/>
      <c r="S2" s="57"/>
      <c r="T2" s="57"/>
      <c r="U2" s="57"/>
    </row>
    <row r="3" spans="1:21" ht="20" customHeight="1" x14ac:dyDescent="0.25">
      <c r="A3" s="17" t="str">
        <f>HYPERLINK("#'Home'!A1", "Home")</f>
        <v>Home</v>
      </c>
      <c r="C3" s="15"/>
      <c r="D3" s="15"/>
      <c r="E3" s="15"/>
      <c r="F3" s="15"/>
      <c r="G3" s="15"/>
      <c r="H3" s="15"/>
      <c r="I3" s="15"/>
      <c r="J3" s="15"/>
      <c r="K3" s="15"/>
      <c r="L3" s="15"/>
    </row>
    <row r="4" spans="1:21" ht="20" customHeight="1" x14ac:dyDescent="0.25">
      <c r="A4" s="17" t="str">
        <f>HYPERLINK("#'Overview'!A1", "Overview")</f>
        <v>Overview</v>
      </c>
    </row>
    <row r="5" spans="1:21" ht="20" customHeight="1" x14ac:dyDescent="0.25">
      <c r="A5" s="17" t="str">
        <f>HYPERLINK("#'Results'!A1", "Results")</f>
        <v>Results</v>
      </c>
      <c r="D5" s="6" t="s">
        <v>112</v>
      </c>
    </row>
    <row r="6" spans="1:21" ht="20" customHeight="1" x14ac:dyDescent="0.25"/>
    <row r="7" spans="1:21" ht="20" customHeight="1" x14ac:dyDescent="0.25">
      <c r="D7" s="63"/>
      <c r="E7" s="40" t="s">
        <v>131</v>
      </c>
      <c r="F7" s="40" t="s">
        <v>132</v>
      </c>
      <c r="G7" s="40" t="s">
        <v>133</v>
      </c>
    </row>
    <row r="8" spans="1:21" ht="20" customHeight="1" x14ac:dyDescent="0.25">
      <c r="A8" s="19" t="s">
        <v>0</v>
      </c>
      <c r="D8" s="1" t="str">
        <f>"Average number of head between " &amp; TEXT(X_Cell_Site_StartDate, "dd mmm yy") &amp; " and " &amp; TEXT(X_Cell_Site_EndDate, "dd mmm yy")</f>
        <v>Average number of head between 01 Jan 24 and 31 Dec 24</v>
      </c>
      <c r="E8" s="102">
        <v>1000</v>
      </c>
      <c r="F8" s="102">
        <v>1000</v>
      </c>
      <c r="G8" s="102">
        <v>1000</v>
      </c>
      <c r="H8" s="2" t="s">
        <v>114</v>
      </c>
      <c r="I8" s="2"/>
      <c r="J8" s="2"/>
      <c r="K8" s="2"/>
    </row>
    <row r="9" spans="1:21" ht="20" customHeight="1" x14ac:dyDescent="0.25">
      <c r="A9" s="17" t="str">
        <f>HYPERLINK("#'Input - Site'!A1", "Site")</f>
        <v>Site</v>
      </c>
      <c r="D9" s="1" t="str">
        <f>"Average duration of stay between " &amp; TEXT(X_Cell_Site_StartDate, "dd mmm yy") &amp; " and " &amp; TEXT(X_Cell_Site_EndDate, "dd mmm yy")</f>
        <v>Average duration of stay between 01 Jan 24 and 31 Dec 24</v>
      </c>
      <c r="E9" s="102">
        <v>90</v>
      </c>
      <c r="F9" s="102">
        <v>140</v>
      </c>
      <c r="G9" s="102">
        <v>250</v>
      </c>
      <c r="H9" s="2" t="s">
        <v>316</v>
      </c>
      <c r="I9" s="2"/>
      <c r="J9" s="2"/>
      <c r="K9" s="2"/>
    </row>
    <row r="10" spans="1:21" ht="20" customHeight="1" x14ac:dyDescent="0.25">
      <c r="A10" s="20" t="str">
        <f>HYPERLINK("#'Input - Feedlot'!A1", "Feedlot")</f>
        <v>Feedlot</v>
      </c>
    </row>
    <row r="11" spans="1:21" ht="20" customHeight="1" x14ac:dyDescent="0.25">
      <c r="D11" s="6" t="s">
        <v>96</v>
      </c>
    </row>
    <row r="12" spans="1:21" ht="20" customHeight="1" x14ac:dyDescent="0.25"/>
    <row r="13" spans="1:21" ht="20" customHeight="1" x14ac:dyDescent="0.25">
      <c r="A13" s="18" t="s">
        <v>71</v>
      </c>
      <c r="D13" s="63" t="s">
        <v>290</v>
      </c>
      <c r="E13" s="40" t="s">
        <v>131</v>
      </c>
      <c r="F13" s="40" t="s">
        <v>132</v>
      </c>
      <c r="G13" s="40" t="s">
        <v>133</v>
      </c>
    </row>
    <row r="14" spans="1:21" ht="20" customHeight="1" x14ac:dyDescent="0.25">
      <c r="A14" s="17" t="str">
        <f>HYPERLINK("#'4.1.1.1-2 Methane'!A1", "4.1.1.1-2 Methane")</f>
        <v>4.1.1.1-2 Methane</v>
      </c>
      <c r="D14" s="1" t="s">
        <v>137</v>
      </c>
      <c r="E14" s="53" cm="1">
        <f t="array" ref="E14">_xlfn.XLOOKUP(1, (Table_SourceData_Feedlot_AnimalCharacteristics[Feedlot type] = E$13) * (Table_SourceData_Feedlot_AnimalCharacteristics[Characteristic] = $D$14), Table_SourceData_Feedlot_AnimalCharacteristics[2020-2023], "Not Found")</f>
        <v>10.4</v>
      </c>
      <c r="F14" s="53" cm="1">
        <f t="array" ref="F14">_xlfn.XLOOKUP(1, (Table_SourceData_Feedlot_AnimalCharacteristics[Feedlot type] = F$13) * (Table_SourceData_Feedlot_AnimalCharacteristics[Characteristic] = $D$14), Table_SourceData_Feedlot_AnimalCharacteristics[2020-2023], "Not Found")</f>
        <v>10.8</v>
      </c>
      <c r="G14" s="53" cm="1">
        <f t="array" ref="G14">_xlfn.XLOOKUP(1, (Table_SourceData_Feedlot_AnimalCharacteristics[Feedlot type] = G$13) * (Table_SourceData_Feedlot_AnimalCharacteristics[Characteristic] = $D$14), Table_SourceData_Feedlot_AnimalCharacteristics[2020-2023], "Not Found")</f>
        <v>8.1999999999999993</v>
      </c>
      <c r="H14" s="2" t="s">
        <v>101</v>
      </c>
      <c r="I14" s="2"/>
      <c r="J14" s="2"/>
      <c r="K14" s="2"/>
    </row>
    <row r="15" spans="1:21" ht="20" customHeight="1" x14ac:dyDescent="0.25">
      <c r="A15" s="17" t="str">
        <f>HYPERLINK("#'4.1.1.3-4 Direct N20'!A1", "4.1.1.3-4 Direct N20")</f>
        <v>4.1.1.3-4 Direct N20</v>
      </c>
      <c r="D15" s="1" t="s">
        <v>407</v>
      </c>
      <c r="E15" s="53" cm="1">
        <f t="array" ref="E15">_xlfn.XLOOKUP(1, (Table_SourceData_Feedlot_DietProperties[Feedlot type] = E$13) * (Table_SourceData_Feedlot_DietProperties[Nutrient analysis] = $D$15), Table_SourceData_Feedlot_DietProperties[2020-2023 Converted to fraction], "Not Found")</f>
        <v>4.8</v>
      </c>
      <c r="F15" s="53" cm="1">
        <f t="array" ref="F15">_xlfn.XLOOKUP(1, (Table_SourceData_Feedlot_DietProperties[Feedlot type] = F$13) * (Table_SourceData_Feedlot_DietProperties[Nutrient analysis] = $D$15), Table_SourceData_Feedlot_DietProperties[2020-2023 Converted to fraction], "Not Found")</f>
        <v>5</v>
      </c>
      <c r="G15" s="53" cm="1">
        <f t="array" ref="G15">_xlfn.XLOOKUP(1, (Table_SourceData_Feedlot_DietProperties[Feedlot type] = G$13) * (Table_SourceData_Feedlot_DietProperties[Nutrient analysis] = $D$15), Table_SourceData_Feedlot_DietProperties[2020-2023 Converted to fraction], "Not Found")</f>
        <v>5.5</v>
      </c>
      <c r="H15" s="2" t="s">
        <v>317</v>
      </c>
    </row>
    <row r="16" spans="1:21" ht="20" customHeight="1" x14ac:dyDescent="0.25">
      <c r="A16" s="17" t="str">
        <f>HYPERLINK("#'4.1.1.5-6 Atmos Deposition'!A1", "4.1.1.5-6 Atmos Deposition")</f>
        <v>4.1.1.5-6 Atmos Deposition</v>
      </c>
      <c r="D16" s="1" t="s">
        <v>408</v>
      </c>
      <c r="E16" s="53" cm="1">
        <f t="array" ref="E16">_xlfn.XLOOKUP(1, (Table_SourceData_Feedlot_DietProperties[Feedlot type] = E$13) * (Table_SourceData_Feedlot_DietProperties[Nutrient analysis] = $D$16), Table_SourceData_Feedlot_DietProperties[2020-2023 Converted to fraction], "Not Found")</f>
        <v>22</v>
      </c>
      <c r="F16" s="53" cm="1">
        <f t="array" ref="F16">_xlfn.XLOOKUP(1, (Table_SourceData_Feedlot_DietProperties[Feedlot type] = F$13) * (Table_SourceData_Feedlot_DietProperties[Nutrient analysis] = $D$16), Table_SourceData_Feedlot_DietProperties[2020-2023 Converted to fraction], "Not Found")</f>
        <v>22</v>
      </c>
      <c r="G16" s="53" cm="1">
        <f t="array" ref="G16">_xlfn.XLOOKUP(1, (Table_SourceData_Feedlot_DietProperties[Feedlot type] = G$13) * (Table_SourceData_Feedlot_DietProperties[Nutrient analysis] = $D$16), Table_SourceData_Feedlot_DietProperties[2020-2023 Converted to fraction], "Not Found")</f>
        <v>24</v>
      </c>
      <c r="H16" s="2" t="s">
        <v>317</v>
      </c>
    </row>
    <row r="17" spans="1:11" ht="20" customHeight="1" x14ac:dyDescent="0.25">
      <c r="A17" s="17" t="str">
        <f>HYPERLINK("#'4.1.1.9 Manure applied to soils'!A1", "4.1.1.9 Manure applied to soils")</f>
        <v>4.1.1.9 Manure applied to soils</v>
      </c>
      <c r="D17" s="1" t="s">
        <v>15</v>
      </c>
      <c r="E17" s="53" cm="1">
        <f t="array" ref="E17">_xlfn.XLOOKUP(1, (Table_SourceData_Feedlot_DietProperties[Feedlot type] = E$13) * (Table_SourceData_Feedlot_DietProperties[Nutrient analysis] = $D$17), Table_SourceData_Feedlot_DietProperties[2020-2023 Converted to fraction], "Not Found")</f>
        <v>0.81</v>
      </c>
      <c r="F17" s="53" cm="1">
        <f t="array" ref="F17">_xlfn.XLOOKUP(1, (Table_SourceData_Feedlot_DietProperties[Feedlot type] = F$13) * (Table_SourceData_Feedlot_DietProperties[Nutrient analysis] = $D$17), Table_SourceData_Feedlot_DietProperties[2020-2023 Converted to fraction], "Not Found")</f>
        <v>0.81</v>
      </c>
      <c r="G17" s="53" cm="1">
        <f t="array" ref="G17">_xlfn.XLOOKUP(1, (Table_SourceData_Feedlot_DietProperties[Feedlot type] = G$13) * (Table_SourceData_Feedlot_DietProperties[Nutrient analysis] = $D$17), Table_SourceData_Feedlot_DietProperties[2020-2023 Converted to fraction], "Not Found")</f>
        <v>0.81</v>
      </c>
      <c r="H17" s="2" t="s">
        <v>317</v>
      </c>
      <c r="I17" s="2"/>
      <c r="J17" s="2"/>
      <c r="K17" s="2"/>
    </row>
    <row r="18" spans="1:11" ht="20" customHeight="1" x14ac:dyDescent="0.25">
      <c r="D18" s="1" t="s">
        <v>124</v>
      </c>
      <c r="E18" s="53" cm="1">
        <f t="array" ref="E18">_xlfn.XLOOKUP(1, (Table_SourceData_Feedlot_DietProperties[Feedlot type] = E$13) * (Table_SourceData_Feedlot_DietProperties[Nutrient analysis] = $D$18), Table_SourceData_Feedlot_DietProperties[2020-2023 Converted to fraction], "Not Found")</f>
        <v>0.14000000000000001</v>
      </c>
      <c r="F18" s="53" cm="1">
        <f t="array" ref="F18">_xlfn.XLOOKUP(1, (Table_SourceData_Feedlot_DietProperties[Feedlot type] = F$13) * (Table_SourceData_Feedlot_DietProperties[Nutrient analysis] = $D$18), Table_SourceData_Feedlot_DietProperties[2020-2023 Converted to fraction], "Not Found")</f>
        <v>0.12</v>
      </c>
      <c r="G18" s="53" cm="1">
        <f t="array" ref="G18">_xlfn.XLOOKUP(1, (Table_SourceData_Feedlot_DietProperties[Feedlot type] = G$13) * (Table_SourceData_Feedlot_DietProperties[Nutrient analysis] = $D$18), Table_SourceData_Feedlot_DietProperties[2020-2023 Converted to fraction], "Not Found")</f>
        <v>0.12</v>
      </c>
      <c r="H18" s="2" t="s">
        <v>317</v>
      </c>
      <c r="I18" s="2"/>
      <c r="J18" s="2"/>
      <c r="K18" s="2"/>
    </row>
    <row r="19" spans="1:11" ht="20" customHeight="1" x14ac:dyDescent="0.25">
      <c r="D19" s="1" t="s">
        <v>141</v>
      </c>
      <c r="E19" s="53" cm="1">
        <f t="array" ref="E19">_xlfn.XLOOKUP(1, (Table_SourceData_Feedlot_AnimalCharacteristics[Feedlot type] = E$13) * (Table_SourceData_Feedlot_AnimalCharacteristics[Characteristic] = $D$19), Table_SourceData_Feedlot_AnimalCharacteristics[2020-2023], "Not Found")</f>
        <v>20.399999999999999</v>
      </c>
      <c r="F19" s="53" cm="1">
        <f t="array" ref="F19">_xlfn.XLOOKUP(1, (Table_SourceData_Feedlot_AnimalCharacteristics[Feedlot type] = F$13) * (Table_SourceData_Feedlot_AnimalCharacteristics[Characteristic] = $D$19), Table_SourceData_Feedlot_AnimalCharacteristics[2020-2023], "Not Found")</f>
        <v>12.7</v>
      </c>
      <c r="G19" s="53" cm="1">
        <f t="array" ref="G19">_xlfn.XLOOKUP(1, (Table_SourceData_Feedlot_AnimalCharacteristics[Feedlot type] = G$13) * (Table_SourceData_Feedlot_AnimalCharacteristics[Characteristic] = $D$19), Table_SourceData_Feedlot_AnimalCharacteristics[2020-2023], "Not Found")</f>
        <v>7</v>
      </c>
      <c r="H19" s="2" t="s">
        <v>319</v>
      </c>
      <c r="I19" s="2"/>
      <c r="J19" s="2"/>
      <c r="K19" s="2"/>
    </row>
    <row r="20" spans="1:11" ht="20" customHeight="1" x14ac:dyDescent="0.25">
      <c r="A20" s="145" t="s">
        <v>1</v>
      </c>
    </row>
    <row r="21" spans="1:11" ht="20" customHeight="1" x14ac:dyDescent="0.25">
      <c r="A21" s="17" t="str">
        <f>HYPERLINK("#'Constants - Feedlot'!A1", "Constants - Feedlot")</f>
        <v>Constants - Feedlot</v>
      </c>
      <c r="D21" s="63" t="s">
        <v>291</v>
      </c>
      <c r="E21" s="40" t="s">
        <v>131</v>
      </c>
      <c r="F21" s="40" t="s">
        <v>132</v>
      </c>
      <c r="G21" s="40" t="s">
        <v>133</v>
      </c>
    </row>
    <row r="22" spans="1:11" ht="20" customHeight="1" x14ac:dyDescent="0.25">
      <c r="A22" s="17" t="str">
        <f>HYPERLINK("#'Constants - Common'!A1", "Constants - Common")</f>
        <v>Constants - Common</v>
      </c>
      <c r="D22" s="1" t="s">
        <v>137</v>
      </c>
      <c r="E22" s="65" cm="1">
        <f t="array" ref="E22">_xlfn.XLOOKUP(1, (Table_SourceData_Feedlot_AnimalCharacteristics[Feedlot type] = E$21) * (Table_SourceData_Feedlot_AnimalCharacteristics[Characteristic] = $D$22), Table_SourceData_Feedlot_AnimalCharacteristics[2020-2023], "Not Found")</f>
        <v>10.4</v>
      </c>
      <c r="F22" s="65" cm="1">
        <f t="array" ref="F22">_xlfn.XLOOKUP(1, (Table_SourceData_Feedlot_AnimalCharacteristics[Feedlot type] = F$21) * (Table_SourceData_Feedlot_AnimalCharacteristics[Characteristic] = $D$22), Table_SourceData_Feedlot_AnimalCharacteristics[2020-2023], "Not Found")</f>
        <v>10.8</v>
      </c>
      <c r="G22" s="65" cm="1">
        <f t="array" ref="G22">_xlfn.XLOOKUP(1, (Table_SourceData_Feedlot_AnimalCharacteristics[Feedlot type] = G$21) * (Table_SourceData_Feedlot_AnimalCharacteristics[Characteristic] = $D$22), Table_SourceData_Feedlot_AnimalCharacteristics[2020-2023], "Not Found")</f>
        <v>8.1999999999999993</v>
      </c>
      <c r="H22" s="2" t="s">
        <v>101</v>
      </c>
      <c r="I22" s="2"/>
      <c r="J22" s="2"/>
      <c r="K22" s="2"/>
    </row>
    <row r="23" spans="1:11" ht="20" customHeight="1" x14ac:dyDescent="0.25">
      <c r="A23" s="17" t="str">
        <f>HYPERLINK("#'Constants - Common livestock'!A1", "Constants - Common livestock")</f>
        <v>Constants - Common livestock</v>
      </c>
      <c r="D23" s="1" t="s">
        <v>407</v>
      </c>
      <c r="E23" s="65" cm="1">
        <f t="array" ref="E23">_xlfn.XLOOKUP(1, (Table_SourceData_Feedlot_DietProperties[Feedlot type] = E$21) * (Table_SourceData_Feedlot_DietProperties[Nutrient analysis] = $D$23), Table_SourceData_Feedlot_DietProperties[2020-2023 Converted to fraction], "Not Found")</f>
        <v>4.8</v>
      </c>
      <c r="F23" s="65" cm="1">
        <f t="array" ref="F23">_xlfn.XLOOKUP(1, (Table_SourceData_Feedlot_DietProperties[Feedlot type] = F$21) * (Table_SourceData_Feedlot_DietProperties[Nutrient analysis] = $D$23), Table_SourceData_Feedlot_DietProperties[2020-2023 Converted to fraction], "Not Found")</f>
        <v>5</v>
      </c>
      <c r="G23" s="65" cm="1">
        <f t="array" ref="G23">_xlfn.XLOOKUP(1, (Table_SourceData_Feedlot_DietProperties[Feedlot type] = G$21) * (Table_SourceData_Feedlot_DietProperties[Nutrient analysis] = $D$23), Table_SourceData_Feedlot_DietProperties[2020-2023 Converted to fraction], "Not Found")</f>
        <v>5.5</v>
      </c>
      <c r="H23" s="2" t="s">
        <v>317</v>
      </c>
    </row>
    <row r="24" spans="1:11" ht="20" customHeight="1" x14ac:dyDescent="0.25">
      <c r="A24" s="17" t="str">
        <f>HYPERLINK("#'Acknowledgements'!A1", "Acknowledgements")</f>
        <v>Acknowledgements</v>
      </c>
      <c r="D24" s="1" t="s">
        <v>408</v>
      </c>
      <c r="E24" s="65" cm="1">
        <f t="array" ref="E24">_xlfn.XLOOKUP(1, (Table_SourceData_Feedlot_DietProperties[Feedlot type] = E$21) * (Table_SourceData_Feedlot_DietProperties[Nutrient analysis] = $D$24), Table_SourceData_Feedlot_DietProperties[2020-2023 Converted to fraction], "Not Found")</f>
        <v>22</v>
      </c>
      <c r="F24" s="65" cm="1">
        <f t="array" ref="F24">_xlfn.XLOOKUP(1, (Table_SourceData_Feedlot_DietProperties[Feedlot type] = F$21) * (Table_SourceData_Feedlot_DietProperties[Nutrient analysis] = $D$24), Table_SourceData_Feedlot_DietProperties[2020-2023 Converted to fraction], "Not Found")</f>
        <v>22</v>
      </c>
      <c r="G24" s="65" cm="1">
        <f t="array" ref="G24">_xlfn.XLOOKUP(1, (Table_SourceData_Feedlot_DietProperties[Feedlot type] = G$21) * (Table_SourceData_Feedlot_DietProperties[Nutrient analysis] = $D$24), Table_SourceData_Feedlot_DietProperties[2020-2023 Converted to fraction], "Not Found")</f>
        <v>24</v>
      </c>
      <c r="H24" s="2" t="s">
        <v>317</v>
      </c>
    </row>
    <row r="25" spans="1:11" ht="20" customHeight="1" x14ac:dyDescent="0.25">
      <c r="A25" s="17" t="str">
        <f>HYPERLINK("#'Tab template'!A1", "Tab template")</f>
        <v>Tab template</v>
      </c>
      <c r="D25" s="1" t="s">
        <v>15</v>
      </c>
      <c r="E25" s="65" cm="1">
        <f t="array" ref="E25">_xlfn.XLOOKUP(1, (Table_SourceData_Feedlot_DietProperties[Feedlot type] = E$21) * (Table_SourceData_Feedlot_DietProperties[Nutrient analysis] = $D$25), Table_SourceData_Feedlot_DietProperties[2020-2023 Converted to fraction], "Not Found")</f>
        <v>0.81</v>
      </c>
      <c r="F25" s="65" cm="1">
        <f t="array" ref="F25">_xlfn.XLOOKUP(1, (Table_SourceData_Feedlot_DietProperties[Feedlot type] = F$21) * (Table_SourceData_Feedlot_DietProperties[Nutrient analysis] = $D$25), Table_SourceData_Feedlot_DietProperties[2020-2023 Converted to fraction], "Not Found")</f>
        <v>0.81</v>
      </c>
      <c r="G25" s="65" cm="1">
        <f t="array" ref="G25">_xlfn.XLOOKUP(1, (Table_SourceData_Feedlot_DietProperties[Feedlot type] = G$21) * (Table_SourceData_Feedlot_DietProperties[Nutrient analysis] = $D$25), Table_SourceData_Feedlot_DietProperties[2020-2023 Converted to fraction], "Not Found")</f>
        <v>0.81</v>
      </c>
      <c r="H25" s="2" t="s">
        <v>317</v>
      </c>
      <c r="I25" s="2"/>
      <c r="J25" s="2"/>
      <c r="K25" s="2"/>
    </row>
    <row r="26" spans="1:11" ht="20" customHeight="1" x14ac:dyDescent="0.25">
      <c r="D26" s="1" t="s">
        <v>124</v>
      </c>
      <c r="E26" s="65" cm="1">
        <f t="array" ref="E26">_xlfn.XLOOKUP(1, (Table_SourceData_Feedlot_DietProperties[Feedlot type] = E$21) * (Table_SourceData_Feedlot_DietProperties[Nutrient analysis] = $D$26), Table_SourceData_Feedlot_DietProperties[2020-2023 Converted to fraction], "Not Found")</f>
        <v>0.14000000000000001</v>
      </c>
      <c r="F26" s="65" cm="1">
        <f t="array" ref="F26">_xlfn.XLOOKUP(1, (Table_SourceData_Feedlot_DietProperties[Feedlot type] = F$21) * (Table_SourceData_Feedlot_DietProperties[Nutrient analysis] = $D$26), Table_SourceData_Feedlot_DietProperties[2020-2023 Converted to fraction], "Not Found")</f>
        <v>0.12</v>
      </c>
      <c r="G26" s="65" cm="1">
        <f t="array" ref="G26">_xlfn.XLOOKUP(1, (Table_SourceData_Feedlot_DietProperties[Feedlot type] = G$21) * (Table_SourceData_Feedlot_DietProperties[Nutrient analysis] = $D$26), Table_SourceData_Feedlot_DietProperties[2020-2023 Converted to fraction], "Not Found")</f>
        <v>0.12</v>
      </c>
      <c r="H26" s="2" t="s">
        <v>317</v>
      </c>
      <c r="I26" s="2"/>
      <c r="J26" s="2"/>
      <c r="K26" s="2"/>
    </row>
    <row r="27" spans="1:11" ht="20" customHeight="1" x14ac:dyDescent="0.25">
      <c r="D27" s="1" t="s">
        <v>141</v>
      </c>
      <c r="E27" s="65" cm="1">
        <f t="array" ref="E27">_xlfn.XLOOKUP(1, (Table_SourceData_Feedlot_AnimalCharacteristics[Feedlot type] = E$21) * (Table_SourceData_Feedlot_AnimalCharacteristics[Characteristic] = $D$27), Table_SourceData_Feedlot_AnimalCharacteristics[2020-2023], "Not Found")</f>
        <v>20.399999999999999</v>
      </c>
      <c r="F27" s="65" cm="1">
        <f t="array" ref="F27">_xlfn.XLOOKUP(1, (Table_SourceData_Feedlot_AnimalCharacteristics[Feedlot type] = F$21) * (Table_SourceData_Feedlot_AnimalCharacteristics[Characteristic] = $D$27), Table_SourceData_Feedlot_AnimalCharacteristics[2020-2023], "Not Found")</f>
        <v>12.7</v>
      </c>
      <c r="G27" s="65" cm="1">
        <f t="array" ref="G27">_xlfn.XLOOKUP(1, (Table_SourceData_Feedlot_AnimalCharacteristics[Feedlot type] = G$21) * (Table_SourceData_Feedlot_AnimalCharacteristics[Characteristic] = $D$27), Table_SourceData_Feedlot_AnimalCharacteristics[2020-2023], "Not Found")</f>
        <v>7</v>
      </c>
      <c r="H27" s="2" t="s">
        <v>319</v>
      </c>
      <c r="I27" s="2"/>
      <c r="J27" s="2"/>
      <c r="K27" s="2"/>
    </row>
    <row r="28" spans="1:11" ht="20" customHeight="1" x14ac:dyDescent="0.25"/>
    <row r="29" spans="1:11" ht="20" customHeight="1" x14ac:dyDescent="0.25">
      <c r="D29" s="6" t="s">
        <v>105</v>
      </c>
    </row>
    <row r="30" spans="1:11" ht="20" customHeight="1" x14ac:dyDescent="0.25"/>
    <row r="31" spans="1:11" ht="20" customHeight="1" x14ac:dyDescent="0.25">
      <c r="D31" s="63" t="s">
        <v>99</v>
      </c>
      <c r="E31" s="96" t="s">
        <v>131</v>
      </c>
      <c r="F31" s="96" t="s">
        <v>132</v>
      </c>
      <c r="G31" s="96" t="s">
        <v>133</v>
      </c>
    </row>
    <row r="32" spans="1:11" ht="20" customHeight="1" x14ac:dyDescent="0.25">
      <c r="D32" s="130" t="s">
        <v>94</v>
      </c>
      <c r="E32" s="97">
        <v>1</v>
      </c>
      <c r="F32" s="97">
        <v>1</v>
      </c>
      <c r="G32" s="97">
        <v>1</v>
      </c>
      <c r="H32" s="2" t="s">
        <v>318</v>
      </c>
      <c r="I32" s="2"/>
      <c r="J32" s="2"/>
      <c r="K32" s="2"/>
    </row>
    <row r="33" spans="4:11" ht="20" customHeight="1" x14ac:dyDescent="0.25">
      <c r="D33" s="127" t="s">
        <v>310</v>
      </c>
    </row>
    <row r="34" spans="4:11" ht="20" customHeight="1" x14ac:dyDescent="0.25">
      <c r="D34" s="128" t="s">
        <v>95</v>
      </c>
      <c r="E34" s="96" t="s">
        <v>131</v>
      </c>
      <c r="F34" s="96" t="s">
        <v>132</v>
      </c>
      <c r="G34" s="96" t="s">
        <v>133</v>
      </c>
      <c r="H34" s="133" t="s">
        <v>314</v>
      </c>
      <c r="I34" s="63" t="s">
        <v>321</v>
      </c>
      <c r="J34" s="63"/>
      <c r="K34" s="63"/>
    </row>
    <row r="35" spans="4:11" ht="20" customHeight="1" x14ac:dyDescent="0.25">
      <c r="D35" s="131" t="str">
        <f>"From Stage 1: " &amp; $D$32 &amp; " to:"</f>
        <v>From Stage 1: Drylot (feed pad) to:</v>
      </c>
      <c r="E35" s="56"/>
      <c r="I35" s="121" t="s">
        <v>311</v>
      </c>
      <c r="J35" s="121" t="s">
        <v>312</v>
      </c>
      <c r="K35" s="121" t="s">
        <v>313</v>
      </c>
    </row>
    <row r="36" spans="4:11" ht="20" customHeight="1" x14ac:dyDescent="0.25">
      <c r="D36" s="132" t="str">
        <f>'Constants - Feedlot'!D29</f>
        <v>Solid storage</v>
      </c>
      <c r="E36" s="47">
        <v>0.2</v>
      </c>
      <c r="F36" s="47">
        <v>0.2</v>
      </c>
      <c r="G36" s="47">
        <v>0.2</v>
      </c>
      <c r="H36" s="2" t="s">
        <v>318</v>
      </c>
      <c r="I36" s="47">
        <v>0.25</v>
      </c>
      <c r="J36" s="47">
        <v>0.25</v>
      </c>
      <c r="K36" s="97">
        <f t="shared" ref="K36:K38" si="0">1-SUM(I36:J36)</f>
        <v>0.5</v>
      </c>
    </row>
    <row r="37" spans="4:11" ht="20" customHeight="1" x14ac:dyDescent="0.25">
      <c r="D37" s="132" t="str">
        <f>'Constants - Feedlot'!D30</f>
        <v>Composting (passive windrow)</v>
      </c>
      <c r="E37" s="47">
        <v>0.2</v>
      </c>
      <c r="F37" s="47">
        <v>0.2</v>
      </c>
      <c r="G37" s="47">
        <v>0.2</v>
      </c>
      <c r="H37" s="2" t="s">
        <v>318</v>
      </c>
      <c r="I37" s="47">
        <v>0.25</v>
      </c>
      <c r="J37" s="47">
        <v>0.25</v>
      </c>
      <c r="K37" s="97">
        <f t="shared" si="0"/>
        <v>0.5</v>
      </c>
    </row>
    <row r="38" spans="4:11" ht="20" customHeight="1" x14ac:dyDescent="0.25">
      <c r="D38" s="132" t="s">
        <v>309</v>
      </c>
      <c r="E38" s="97">
        <f>1-SUM(E36, E37)</f>
        <v>0.6</v>
      </c>
      <c r="F38" s="97">
        <f t="shared" ref="F38:G38" si="1">1-SUM(F36, F37)</f>
        <v>0.6</v>
      </c>
      <c r="G38" s="97">
        <f t="shared" si="1"/>
        <v>0.6</v>
      </c>
      <c r="H38" s="2" t="s">
        <v>318</v>
      </c>
      <c r="I38" s="97">
        <v>0</v>
      </c>
      <c r="J38" s="97">
        <v>0</v>
      </c>
      <c r="K38" s="97">
        <f t="shared" si="0"/>
        <v>1</v>
      </c>
    </row>
    <row r="39" spans="4:11" ht="20" customHeight="1" x14ac:dyDescent="0.25"/>
    <row r="40" spans="4:11" ht="20" customHeight="1" x14ac:dyDescent="0.25">
      <c r="D40" s="129" t="s">
        <v>110</v>
      </c>
      <c r="E40" s="96" t="s">
        <v>131</v>
      </c>
      <c r="F40" s="96" t="s">
        <v>132</v>
      </c>
      <c r="G40" s="96" t="s">
        <v>133</v>
      </c>
      <c r="H40" s="133" t="s">
        <v>314</v>
      </c>
      <c r="I40" s="63" t="s">
        <v>320</v>
      </c>
      <c r="J40" s="63"/>
      <c r="K40" s="63"/>
    </row>
    <row r="41" spans="4:11" ht="20" customHeight="1" x14ac:dyDescent="0.25">
      <c r="D41" s="131" t="str">
        <f>"From Stage 1: " &amp; $D$32 &amp; " to:"</f>
        <v>From Stage 1: Drylot (feed pad) to:</v>
      </c>
      <c r="I41" s="121" t="s">
        <v>311</v>
      </c>
      <c r="J41" s="121" t="s">
        <v>312</v>
      </c>
      <c r="K41" s="121" t="s">
        <v>313</v>
      </c>
    </row>
    <row r="42" spans="4:11" ht="20" customHeight="1" x14ac:dyDescent="0.25">
      <c r="D42" s="132" t="str">
        <f>'Constants - Feedlot'!$D$32</f>
        <v>Anaerobic lagoon</v>
      </c>
      <c r="E42" s="97">
        <f>SourceData_Feedlot_MMSm1T3_Data</f>
        <v>0.02</v>
      </c>
      <c r="F42" s="97">
        <f>SourceData_Feedlot_MMSm1T3_Data</f>
        <v>0.02</v>
      </c>
      <c r="G42" s="97">
        <f>SourceData_Feedlot_MMSm1T3_Data</f>
        <v>0.02</v>
      </c>
      <c r="H42" s="2" t="s">
        <v>318</v>
      </c>
      <c r="I42" s="47">
        <v>0.25</v>
      </c>
      <c r="J42" s="47">
        <v>0.25</v>
      </c>
      <c r="K42" s="97">
        <f>1-SUM(I42:J42)</f>
        <v>0.5</v>
      </c>
    </row>
    <row r="43" spans="4:11" ht="20" customHeight="1" x14ac:dyDescent="0.25"/>
    <row r="44" spans="4:11" ht="20" customHeight="1" x14ac:dyDescent="0.25"/>
    <row r="45" spans="4:11" ht="20" customHeight="1" x14ac:dyDescent="0.25">
      <c r="D45" s="1" t="s">
        <v>297</v>
      </c>
      <c r="E45" s="41" t="s">
        <v>265</v>
      </c>
      <c r="F45" s="2" t="s">
        <v>8</v>
      </c>
    </row>
    <row r="46" spans="4:11" ht="20" customHeight="1" x14ac:dyDescent="0.25">
      <c r="E46" s="41" t="s">
        <v>269</v>
      </c>
      <c r="F46" s="2" t="s">
        <v>8</v>
      </c>
    </row>
    <row r="47" spans="4:11" ht="20" customHeight="1" x14ac:dyDescent="0.25">
      <c r="I47" s="2"/>
      <c r="J47" s="2"/>
      <c r="K47" s="2"/>
    </row>
    <row r="48" spans="4:11" ht="20" customHeight="1" x14ac:dyDescent="0.25">
      <c r="I48" s="2"/>
      <c r="J48" s="2"/>
      <c r="K48" s="2"/>
    </row>
    <row r="49" spans="4:11" ht="20" customHeight="1" x14ac:dyDescent="0.25">
      <c r="I49" s="2"/>
      <c r="J49" s="2"/>
      <c r="K49" s="2"/>
    </row>
    <row r="50" spans="4:11" ht="20" customHeight="1" x14ac:dyDescent="0.25"/>
    <row r="51" spans="4:11" ht="20" customHeight="1" x14ac:dyDescent="0.25"/>
    <row r="52" spans="4:11" ht="20" customHeight="1" x14ac:dyDescent="0.25">
      <c r="I52" s="2"/>
      <c r="J52" s="2"/>
      <c r="K52" s="2"/>
    </row>
    <row r="53" spans="4:11" ht="20" customHeight="1" x14ac:dyDescent="0.25">
      <c r="I53" s="2"/>
      <c r="J53" s="2"/>
      <c r="K53" s="2"/>
    </row>
    <row r="54" spans="4:11" ht="20" customHeight="1" x14ac:dyDescent="0.25"/>
    <row r="55" spans="4:11" ht="20" customHeight="1" x14ac:dyDescent="0.25">
      <c r="I55" s="2"/>
      <c r="J55" s="2"/>
      <c r="K55" s="2"/>
    </row>
    <row r="56" spans="4:11" ht="20" customHeight="1" x14ac:dyDescent="0.25">
      <c r="I56" s="2"/>
      <c r="J56" s="2"/>
      <c r="K56" s="2"/>
    </row>
    <row r="57" spans="4:11" ht="20" customHeight="1" x14ac:dyDescent="0.25">
      <c r="D57" s="109"/>
    </row>
    <row r="58" spans="4:11" ht="20" customHeight="1" x14ac:dyDescent="0.25"/>
    <row r="59" spans="4:11" ht="20" customHeight="1" x14ac:dyDescent="0.25"/>
    <row r="60" spans="4:11" ht="20" customHeight="1" x14ac:dyDescent="0.25"/>
    <row r="61" spans="4:11" ht="20" customHeight="1" x14ac:dyDescent="0.25"/>
    <row r="62" spans="4:11" ht="20" customHeight="1" x14ac:dyDescent="0.25"/>
    <row r="63" spans="4:11" ht="20" customHeight="1" x14ac:dyDescent="0.25"/>
    <row r="64" spans="4:11"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dataValidations count="4">
    <dataValidation type="whole" operator="equal" allowBlank="1" showInputMessage="1" showErrorMessage="1" sqref="E32:G32" xr:uid="{AD2F5710-950E-4169-B1DB-B494F727C0BB}">
      <formula1>1</formula1>
    </dataValidation>
    <dataValidation operator="equal" allowBlank="1" showInputMessage="1" showErrorMessage="1" sqref="E42:G42" xr:uid="{C4745536-8208-45E9-8F7A-99B1E2C94379}"/>
    <dataValidation type="list" allowBlank="1" showInputMessage="1" showErrorMessage="1" sqref="E45" xr:uid="{AF94BFC8-A9BD-4286-932B-111409BF1EB6}">
      <formula1>INDIRECT("Table_SourceData_Feedlot_CropProdSystems[Production system]")</formula1>
    </dataValidation>
    <dataValidation type="list" allowBlank="1" showInputMessage="1" showErrorMessage="1" sqref="E46" xr:uid="{20E9D9A1-CABD-46A5-B149-02F06B30AA0E}">
      <formula1>INDIRECT("Table_SourceData_Feedlot_IrrigationMethods[Irrigation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S183"/>
  <sheetViews>
    <sheetView showGridLines="0" topLeftCell="A12" zoomScaleNormal="100" workbookViewId="0">
      <selection activeCell="M26" sqref="M26"/>
    </sheetView>
  </sheetViews>
  <sheetFormatPr defaultRowHeight="20" x14ac:dyDescent="0.25" customHeight="1"/>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6" t="e" vm="1">
        <v>#VALUE!</v>
      </c>
      <c r="C1" s="8" t="s">
        <v>252</v>
      </c>
    </row>
    <row r="2" spans="1:19" s="9" customFormat="1" ht="20" customHeight="1" x14ac:dyDescent="0.25">
      <c r="A2"/>
    </row>
    <row r="3" spans="1:19" ht="20" customHeight="1" x14ac:dyDescent="0.25">
      <c r="A3" s="17" t="str">
        <f>HYPERLINK("#'Home'!A1", "Home")</f>
        <v>Home</v>
      </c>
      <c r="C3" s="4"/>
      <c r="D3" s="4" t="s">
        <v>152</v>
      </c>
      <c r="E3" s="4"/>
      <c r="F3" s="4"/>
      <c r="G3" s="4"/>
      <c r="H3" s="4"/>
      <c r="I3" s="4"/>
      <c r="J3" s="4"/>
      <c r="L3" s="4"/>
      <c r="M3" s="4" t="s">
        <v>153</v>
      </c>
      <c r="N3" s="4"/>
      <c r="O3" s="4"/>
      <c r="P3" s="4"/>
      <c r="Q3" s="4"/>
      <c r="R3" s="4"/>
      <c r="S3" s="4"/>
    </row>
    <row r="4" spans="1:19" ht="20" customHeight="1" x14ac:dyDescent="0.25">
      <c r="A4" s="17" t="str">
        <f>HYPERLINK("#'Overview'!A1", "Overview")</f>
        <v>Overview</v>
      </c>
    </row>
    <row r="5" spans="1:19" ht="20" customHeight="1" x14ac:dyDescent="0.25">
      <c r="A5" s="17" t="str">
        <f>HYPERLINK("#'Results'!A1", "Results")</f>
        <v>Results</v>
      </c>
      <c r="D5" s="6" t="str" cm="1">
        <f t="array" ref="D5">MMS_Feedlot_Methane_Equations.VEERG_4_1_1_1__5_VolatileSolidProduction_Title()</f>
        <v>Volatile solid production</v>
      </c>
    </row>
    <row r="6" spans="1:19" ht="20" customHeight="1" x14ac:dyDescent="0.25">
      <c r="D6" s="5" t="str" cm="1">
        <f t="array" ref="D6">MMS_Feedlot_Methane_Equations.VEERG_4_1_1_1__5_VolatileSolidProduction_Source()</f>
        <v>VEERG 2026: 4.1.1.1, Equation (5)</v>
      </c>
    </row>
    <row r="7" spans="1:19" ht="20" customHeight="1" x14ac:dyDescent="0.25">
      <c r="D7" s="13" t="s">
        <v>23</v>
      </c>
      <c r="E7" s="13" t="str" cm="1">
        <f t="array" aca="1" ref="E7" ca="1">Common_InputFunctions.Utility_DisplayFunctionName(D30)</f>
        <v>=MMS_Feedlot_Methane_Equations.VEERG_4_1_1_1__5_VolatileSolidProduction</v>
      </c>
    </row>
    <row r="8" spans="1:19" ht="20" customHeight="1" x14ac:dyDescent="0.25">
      <c r="A8" s="19" t="s">
        <v>0</v>
      </c>
    </row>
    <row r="9" spans="1:19" ht="20" customHeight="1" x14ac:dyDescent="0.25">
      <c r="A9" s="17" t="str">
        <f>HYPERLINK("#'Input - Site'!A1", "Site")</f>
        <v>Site</v>
      </c>
    </row>
    <row r="10" spans="1:19" ht="20" customHeight="1" x14ac:dyDescent="0.25">
      <c r="A10" s="17" t="str">
        <f>HYPERLINK("#'Input - Feedlot'!A1", "Feedlot")</f>
        <v>Feedlot</v>
      </c>
      <c r="D10" s="54" t="s">
        <v>26</v>
      </c>
      <c r="E10" s="1" t="str" cm="1">
        <f t="array" ref="E10">MMS_Feedlot_Methane_Equations.VEERG_4_1_1_1__5_VolatileSolidProduction_Variable()</f>
        <v>VS_j</v>
      </c>
    </row>
    <row r="11" spans="1:19" ht="20" customHeight="1" x14ac:dyDescent="0.25">
      <c r="D11" s="54" t="s">
        <v>16</v>
      </c>
      <c r="E11" s="55" t="str" cm="1">
        <f t="array" ref="E11">MMS_Feedlot_Methane_Equations.VEERG_4_1_1_1__5_VolatileSolidProduction_Unit()</f>
        <v>kg/head/day</v>
      </c>
    </row>
    <row r="12" spans="1:19" ht="20" customHeight="1" x14ac:dyDescent="0.25"/>
    <row r="13" spans="1:19" ht="20" customHeight="1" x14ac:dyDescent="0.25">
      <c r="A13" s="18" t="s">
        <v>71</v>
      </c>
      <c r="D13" s="134" t="str" cm="1">
        <f t="array" ref="D13:G15">MMS_Feedlot_Methane_Equations.VEERG_4_1_1_1__5_VolatileSolidProduction_Arguments()</f>
        <v>I_j</v>
      </c>
      <c r="E13" s="134" t="str">
        <v>dry matter intake for each group j</v>
      </c>
      <c r="F13" s="134" t="str">
        <v>kg DM/head/day</v>
      </c>
      <c r="G13" s="125" t="str">
        <v>Input</v>
      </c>
      <c r="H13" s="135" t="str" cm="1">
        <f t="array" aca="1" ref="H13" ca="1">HYPERLINK(Common_InputFunctions.Utility_SourceHyperlink($D$17),$D$17)</f>
        <v>M1_Table_I_j</v>
      </c>
    </row>
    <row r="14" spans="1:19" ht="20" customHeight="1" x14ac:dyDescent="0.25">
      <c r="A14" s="21" t="str">
        <f>HYPERLINK("#'4.1.1.1-2 Methane'!A1", "4.1.1.1-2 Methane")</f>
        <v>4.1.1.1-2 Methane</v>
      </c>
      <c r="D14" s="134" t="str">
        <v>DMD_j</v>
      </c>
      <c r="E14" s="134" t="str">
        <v>dry matter digestibility for each group j</v>
      </c>
      <c r="F14" s="134" t="str">
        <v>fraction</v>
      </c>
      <c r="G14" s="125" t="str">
        <v>Input</v>
      </c>
      <c r="H14" s="135" t="str" cm="1">
        <f t="array" aca="1" ref="H14" ca="1">HYPERLINK(Common_InputFunctions.Utility_SourceHyperlink($D$22),$D$22)</f>
        <v>M1_Table_DMD_j</v>
      </c>
    </row>
    <row r="15" spans="1:19" ht="20" customHeight="1" x14ac:dyDescent="0.25">
      <c r="A15" s="17" t="str">
        <f>HYPERLINK("#'4.1.1.3-4 Direct N20'!A1", "4.1.1.3-4 Direct N20")</f>
        <v>4.1.1.3-4 Direct N20</v>
      </c>
      <c r="D15" s="134" t="str">
        <v>A</v>
      </c>
      <c r="E15" s="134" t="str">
        <v>ash content of manure</v>
      </c>
      <c r="F15" s="134" t="str">
        <v>fraction</v>
      </c>
      <c r="G15" s="126" t="str">
        <v>Constant</v>
      </c>
      <c r="H15" s="134">
        <f>SourceData_Feedlot_AshContent_Data</f>
        <v>0.16</v>
      </c>
    </row>
    <row r="16" spans="1:19" ht="20" customHeight="1" x14ac:dyDescent="0.25">
      <c r="A16" s="17" t="str">
        <f>HYPERLINK("#'4.1.1.5-6 Atmos Deposition'!A1", "4.1.1.5-6 Atmos Deposition")</f>
        <v>4.1.1.5-6 Atmos Deposition</v>
      </c>
    </row>
    <row r="17" spans="1:16" ht="20" customHeight="1" x14ac:dyDescent="0.25">
      <c r="A17" s="17" t="str">
        <f>HYPERLINK("#'4.1.1.9 Manure applied to soils'!A1", "4.1.1.9 Manure applied to soils")</f>
        <v>4.1.1.9 Manure applied to soils</v>
      </c>
      <c r="D17" s="100" t="s">
        <v>142</v>
      </c>
      <c r="M17" s="100" t="s">
        <v>145</v>
      </c>
    </row>
    <row r="18" spans="1:16" ht="20" customHeight="1" x14ac:dyDescent="0.25">
      <c r="D18" s="99" t="s">
        <v>189</v>
      </c>
      <c r="M18" s="99" t="s">
        <v>190</v>
      </c>
    </row>
    <row r="19" spans="1:16" ht="20" customHeight="1" x14ac:dyDescent="0.25">
      <c r="D19" s="40" t="s">
        <v>131</v>
      </c>
      <c r="E19" s="40" t="s">
        <v>132</v>
      </c>
      <c r="F19" s="40" t="s">
        <v>133</v>
      </c>
      <c r="M19" s="40" t="s">
        <v>131</v>
      </c>
      <c r="N19" s="40" t="s">
        <v>132</v>
      </c>
      <c r="O19" s="40" t="s">
        <v>133</v>
      </c>
    </row>
    <row r="20" spans="1:16" ht="20" customHeight="1" x14ac:dyDescent="0.25">
      <c r="A20" s="145" t="s">
        <v>1</v>
      </c>
      <c r="D20" s="53" cm="1">
        <f t="array" aca="1" ref="D20:F20" ca="1">OFFSET(X_Table_Feedlot_Intake_Method1, 1, 1, 1, 3)</f>
        <v>10.4</v>
      </c>
      <c r="E20" s="53">
        <f ca="1"/>
        <v>10.8</v>
      </c>
      <c r="F20" s="53">
        <f ca="1"/>
        <v>8.1999999999999993</v>
      </c>
      <c r="G20" s="2" t="s">
        <v>97</v>
      </c>
      <c r="M20" s="53" cm="1">
        <f t="array" aca="1" ref="M20:O20" ca="1">OFFSET(X_Table_Feedlot_Intake_Method2, 1, 1, 1, 3)</f>
        <v>10.4</v>
      </c>
      <c r="N20" s="53">
        <f ca="1"/>
        <v>10.8</v>
      </c>
      <c r="O20" s="53">
        <f ca="1"/>
        <v>8.1999999999999993</v>
      </c>
      <c r="P20" s="2" t="s">
        <v>97</v>
      </c>
    </row>
    <row r="21" spans="1:16" ht="20" customHeight="1" x14ac:dyDescent="0.25">
      <c r="A21" s="17" t="str">
        <f>HYPERLINK("#'Constants - Feedlot'!A1", "Constants - Feedlot")</f>
        <v>Constants - Feedlot</v>
      </c>
    </row>
    <row r="22" spans="1:16" ht="20" customHeight="1" x14ac:dyDescent="0.25">
      <c r="A22" s="17" t="str">
        <f>HYPERLINK("#'Constants - Common'!A1", "Constants - Common")</f>
        <v>Constants - Common</v>
      </c>
      <c r="D22" s="100" t="s">
        <v>193</v>
      </c>
      <c r="M22" s="100" t="s">
        <v>197</v>
      </c>
    </row>
    <row r="23" spans="1:16" ht="20" customHeight="1" x14ac:dyDescent="0.25">
      <c r="A23" s="17" t="str">
        <f>HYPERLINK("#'Constants - Common livestock'!A1", "Constants - Common livestock")</f>
        <v>Constants - Common livestock</v>
      </c>
      <c r="D23" s="99" t="s">
        <v>196</v>
      </c>
      <c r="M23" s="99" t="s">
        <v>347</v>
      </c>
    </row>
    <row r="24" spans="1:16" ht="20" customHeight="1" x14ac:dyDescent="0.25">
      <c r="A24" s="17" t="str">
        <f>HYPERLINK("#'Acknowledgements'!A1", "Acknowledgements")</f>
        <v>Acknowledgements</v>
      </c>
      <c r="D24" s="40" t="s">
        <v>131</v>
      </c>
      <c r="E24" s="40" t="s">
        <v>132</v>
      </c>
      <c r="F24" s="40" t="s">
        <v>133</v>
      </c>
      <c r="M24" s="40" t="s">
        <v>131</v>
      </c>
      <c r="N24" s="40" t="s">
        <v>132</v>
      </c>
      <c r="O24" s="40" t="s">
        <v>133</v>
      </c>
    </row>
    <row r="25" spans="1:16" ht="20" customHeight="1" x14ac:dyDescent="0.25">
      <c r="A25" s="17" t="str">
        <f>HYPERLINK("#'Tab template'!A1", "Tab template")</f>
        <v>Tab template</v>
      </c>
      <c r="D25" s="53" cm="1">
        <f t="array" aca="1" ref="D25:F25" ca="1">OFFSET(X_Table_Feedlot_Intake_Method1, 4, 1, 1, 3)</f>
        <v>0.81</v>
      </c>
      <c r="E25" s="53">
        <f ca="1"/>
        <v>0.81</v>
      </c>
      <c r="F25" s="53">
        <f ca="1"/>
        <v>0.81</v>
      </c>
      <c r="G25" s="2" t="s">
        <v>317</v>
      </c>
      <c r="M25" s="53" cm="1">
        <f t="array" aca="1" ref="M25:O25" ca="1">OFFSET(X_Table_Feedlot_Intake_Method2, 4, 1, 1, 3)</f>
        <v>0.81</v>
      </c>
      <c r="N25" s="53">
        <f ca="1"/>
        <v>0.81</v>
      </c>
      <c r="O25" s="53">
        <f ca="1"/>
        <v>0.81</v>
      </c>
      <c r="P25" s="2" t="s">
        <v>317</v>
      </c>
    </row>
    <row r="26" spans="1:16" ht="20" customHeight="1" x14ac:dyDescent="0.25"/>
    <row r="27" spans="1:16" ht="20" customHeight="1" x14ac:dyDescent="0.25">
      <c r="D27" s="100" t="s">
        <v>194</v>
      </c>
      <c r="M27" s="100" t="s">
        <v>198</v>
      </c>
    </row>
    <row r="28" spans="1:16" ht="20" customHeight="1" x14ac:dyDescent="0.25">
      <c r="D28" s="99" t="s">
        <v>195</v>
      </c>
      <c r="M28" s="99" t="s">
        <v>199</v>
      </c>
    </row>
    <row r="29" spans="1:16" ht="20" customHeight="1" x14ac:dyDescent="0.25">
      <c r="D29" s="52" t="s">
        <v>131</v>
      </c>
      <c r="E29" s="52" t="s">
        <v>132</v>
      </c>
      <c r="F29" s="52" t="s">
        <v>133</v>
      </c>
      <c r="M29" s="52" t="s">
        <v>131</v>
      </c>
      <c r="N29" s="52" t="s">
        <v>132</v>
      </c>
      <c r="O29" s="52" t="s">
        <v>133</v>
      </c>
    </row>
    <row r="30" spans="1:16" ht="20" customHeight="1" x14ac:dyDescent="0.25">
      <c r="D30" s="53" cm="1">
        <f t="array" aca="1" ref="D30" ca="1">MMS_Feedlot_Methane_Equations.VEERG_4_1_1_1__5_VolatileSolidProduction(D20,D25,$H$15)</f>
        <v>1.6598399999999995</v>
      </c>
      <c r="E30" s="53" cm="1">
        <f t="array" aca="1" ref="E30" ca="1">MMS_Feedlot_Methane_Equations.VEERG_4_1_1_1__5_VolatileSolidProduction(E20,E25,$H$15)</f>
        <v>1.7236799999999997</v>
      </c>
      <c r="F30" s="53" cm="1">
        <f t="array" aca="1" ref="F30" ca="1">MMS_Feedlot_Methane_Equations.VEERG_4_1_1_1__5_VolatileSolidProduction(F20,F25,$H$15)</f>
        <v>1.3087199999999994</v>
      </c>
      <c r="G30" s="2" t="str">
        <f>$E$11</f>
        <v>kg/head/day</v>
      </c>
      <c r="M30" s="53" cm="1">
        <f t="array" aca="1" ref="M30" ca="1">MMS_Feedlot_Methane_Equations.VEERG_4_1_1_1__5_VolatileSolidProduction(M20,M25,$H$15)</f>
        <v>1.6598399999999995</v>
      </c>
      <c r="N30" s="53" cm="1">
        <f t="array" aca="1" ref="N30" ca="1">MMS_Feedlot_Methane_Equations.VEERG_4_1_1_1__5_VolatileSolidProduction(N20,N25,$H$15)</f>
        <v>1.7236799999999997</v>
      </c>
      <c r="O30" s="53" cm="1">
        <f t="array" aca="1" ref="O30" ca="1">MMS_Feedlot_Methane_Equations.VEERG_4_1_1_1__5_VolatileSolidProduction(O20,O25,$H$15)</f>
        <v>1.3087199999999994</v>
      </c>
      <c r="P30" s="2" t="str">
        <f>$E$11</f>
        <v>kg/head/day</v>
      </c>
    </row>
    <row r="31" spans="1:16" ht="20" customHeight="1" x14ac:dyDescent="0.25"/>
    <row r="32" spans="1:16" ht="20" customHeight="1" x14ac:dyDescent="0.25"/>
    <row r="33" spans="3:18" ht="20" customHeight="1" x14ac:dyDescent="0.25">
      <c r="C33" s="46"/>
      <c r="D33" s="46"/>
      <c r="E33" s="46"/>
      <c r="F33" s="46"/>
      <c r="G33" s="46"/>
      <c r="H33" s="46"/>
      <c r="I33" s="46"/>
      <c r="J33" s="46"/>
      <c r="L33" s="46"/>
      <c r="M33" s="46"/>
      <c r="N33" s="46"/>
      <c r="O33" s="46"/>
      <c r="P33" s="46"/>
      <c r="Q33" s="46"/>
      <c r="R33" s="46"/>
    </row>
    <row r="34" spans="3:18" ht="20" customHeight="1" x14ac:dyDescent="0.25">
      <c r="D34" s="6" t="str" cm="1">
        <f t="array" ref="D34">MMS_Feedlot_Methane_Equations.VEERG_4_1_1_1__2_Stage1MethaneProductionDrylot_Title()</f>
        <v>Production of methane in treatment stage 1 MMS</v>
      </c>
    </row>
    <row r="35" spans="3:18" ht="20" customHeight="1" x14ac:dyDescent="0.25">
      <c r="D35" s="5" t="str" cm="1">
        <f t="array" ref="D35">MMS_Feedlot_Methane_Equations.VEERG_4_1_1_1__2_Stage1MethaneProductionDrylot_Source()</f>
        <v>VEERG 2026: 4.1.1.1, Equation (2)</v>
      </c>
    </row>
    <row r="36" spans="3:18" ht="20" customHeight="1" x14ac:dyDescent="0.25">
      <c r="D36" s="13" t="s">
        <v>23</v>
      </c>
      <c r="E36" s="13" t="str" cm="1">
        <f t="array" aca="1" ref="E36" ca="1">Common_InputFunctions.Utility_DisplayFunctionName(E57)</f>
        <v>=MMS_Feedlot_Methane_Equations.VEERG_4_1_1_1__2_Stage1MethaneProductionDrylot</v>
      </c>
    </row>
    <row r="37" spans="3:18" ht="20" customHeight="1" x14ac:dyDescent="0.25"/>
    <row r="38" spans="3:18" ht="20" customHeight="1" x14ac:dyDescent="0.25"/>
    <row r="39" spans="3:18" ht="20" customHeight="1" x14ac:dyDescent="0.25">
      <c r="D39" s="54" t="s">
        <v>26</v>
      </c>
      <c r="E39" s="1" t="str" cm="1">
        <f t="array" ref="E39">MMS_Feedlot_Methane_Equations.VEERG_4_1_1_1__2_Stage1MethaneProductionDrylot_Variable()</f>
        <v>M_jm5T1</v>
      </c>
    </row>
    <row r="40" spans="3:18" ht="20" customHeight="1" x14ac:dyDescent="0.25">
      <c r="D40" s="54" t="s">
        <v>16</v>
      </c>
      <c r="E40" s="55" t="str" cm="1">
        <f t="array" ref="E40">MMS_Feedlot_Methane_Equations.VEERG_4_1_1_1__2_Stage1MethaneProductionDrylot_Unit()</f>
        <v>kg CH4/head/day</v>
      </c>
      <c r="M40" s="93" t="s">
        <v>341</v>
      </c>
      <c r="N40" s="88"/>
    </row>
    <row r="41" spans="3:18" ht="20" customHeight="1" x14ac:dyDescent="0.25"/>
    <row r="42" spans="3:18" ht="20" customHeight="1" x14ac:dyDescent="0.25">
      <c r="D42" s="134" t="str" cm="1">
        <f t="array" ref="D42:E47">_xlfn.CHOOSECOLS(MMS_Feedlot_Methane_Equations.VEERG_4_1_1_1__2_Stage1MethaneProductionDrylot_Arguments(),1,2)</f>
        <v>VS_j</v>
      </c>
      <c r="E42" s="137" t="str">
        <v>volatile solid production from feedlot cattle in each group</v>
      </c>
      <c r="F42" s="136"/>
      <c r="G42" s="134" t="str" cm="1">
        <f t="array" ref="G42:H47">_xlfn.CHOOSECOLS(MMS_Feedlot_Methane_Equations.VEERG_4_1_1_1__2_Stage1MethaneProductionDrylot_Arguments(),3,4)</f>
        <v>kg/head/day</v>
      </c>
      <c r="H42" s="126" t="str">
        <v>Calculated from 4.1.1.1 (5)</v>
      </c>
      <c r="I42" s="135" t="str" cm="1">
        <f t="array" aca="1" ref="I42" ca="1">HYPERLINK(Common_InputFunctions.Utility_SourceHyperlink($D$27),$D$27)</f>
        <v>M1_Table_VS_j</v>
      </c>
      <c r="M42" s="134" t="str" cm="1">
        <f t="array" ref="M42:N47">_xlfn.CHOOSECOLS(MMS_Feedlot_Methane_Equations.VEERG_4_1_1_1__2_Stage1MethaneProductionDrylot_Arguments_Method2(),1,2)</f>
        <v>VS_j</v>
      </c>
      <c r="N42" s="137" t="str">
        <v>volatile solid production from feedlot cattle in each group</v>
      </c>
      <c r="O42" s="136"/>
      <c r="P42" s="134" t="str" cm="1">
        <f t="array" ref="P42:Q47">_xlfn.CHOOSECOLS(MMS_Feedlot_Methane_Equations.VEERG_4_1_1_1__2_Stage1MethaneProductionDrylot_Arguments_Method2(),3,4)</f>
        <v>kg/head/day</v>
      </c>
      <c r="Q42" s="126" t="str">
        <v>Calculated from 4.1.1.1 (5)</v>
      </c>
      <c r="R42" s="135" t="str" cm="1">
        <f t="array" aca="1" ref="R42" ca="1">HYPERLINK(Common_InputFunctions.Utility_SourceHyperlink($D$27),$D$27)</f>
        <v>M1_Table_VS_j</v>
      </c>
    </row>
    <row r="43" spans="3:18" ht="20" customHeight="1" x14ac:dyDescent="0.25">
      <c r="D43" s="134" t="str">
        <v>BO</v>
      </c>
      <c r="E43" s="137" t="str">
        <v>emissions potential</v>
      </c>
      <c r="F43" s="136"/>
      <c r="G43" s="134" t="str">
        <v>m3 CH4/kg VS</v>
      </c>
      <c r="H43" s="126" t="str">
        <v>Constant</v>
      </c>
      <c r="I43" s="134">
        <f>SourceData_Feedlot_MethaneEmissionsPotential_Data</f>
        <v>0.19</v>
      </c>
      <c r="M43" s="134" t="str">
        <v>BO</v>
      </c>
      <c r="N43" s="137" t="str">
        <v>emissions potential</v>
      </c>
      <c r="O43" s="136"/>
      <c r="P43" s="134" t="str">
        <v>m3 CH4/kg VS</v>
      </c>
      <c r="Q43" s="126" t="str">
        <v>Constant</v>
      </c>
      <c r="R43" s="134">
        <f>SourceData_Feedlot_MethaneEmissionsPotential_Data</f>
        <v>0.19</v>
      </c>
    </row>
    <row r="44" spans="3:18" ht="20" customHeight="1" x14ac:dyDescent="0.25">
      <c r="D44" s="134" t="str">
        <v>MMS_m5T1</v>
      </c>
      <c r="E44" s="137" t="str">
        <v>fraction of manure in primary system drylot MMS</v>
      </c>
      <c r="F44" s="136"/>
      <c r="G44" s="134" t="str">
        <v>fraction</v>
      </c>
      <c r="H44" s="125" t="str">
        <v>Input</v>
      </c>
      <c r="I44" s="135" t="str" cm="1">
        <f t="array" aca="1" ref="I44" ca="1">HYPERLINK(Common_InputFunctions.Utility_SourceHyperlink($D$49),$D$49)</f>
        <v>Table_MMS_m-5_T-1</v>
      </c>
      <c r="M44" s="134" t="str">
        <v>MMS_m5T1</v>
      </c>
      <c r="N44" s="137" t="str">
        <v>fraction of manure in primary system drylot MMS</v>
      </c>
      <c r="O44" s="136"/>
      <c r="P44" s="134" t="str">
        <v>fraction</v>
      </c>
      <c r="Q44" s="125" t="str">
        <v>Input</v>
      </c>
      <c r="R44" s="135" t="str" cm="1">
        <f t="array" aca="1" ref="R44" ca="1">HYPERLINK(Common_InputFunctions.Utility_SourceHyperlink($D$49),$D$49)</f>
        <v>Table_MMS_m-5_T-1</v>
      </c>
    </row>
    <row r="45" spans="3:18" ht="20" customHeight="1" x14ac:dyDescent="0.25">
      <c r="D45" s="134" t="str">
        <v>MCF_im5</v>
      </c>
      <c r="E45" s="137" t="str">
        <v>methane conversion factor for state and drylot system</v>
      </c>
      <c r="F45" s="136"/>
      <c r="G45" s="134" t="str">
        <v>fraction</v>
      </c>
      <c r="H45" s="126" t="str">
        <v>Constant</v>
      </c>
      <c r="I45" s="134">
        <f>HLOOKUP(I47, Table_SourceData_Feedlot_MCF[#All], 2, FALSE)</f>
        <v>0.01</v>
      </c>
      <c r="M45" s="134" t="str">
        <v>MCF_im5</v>
      </c>
      <c r="N45" s="137" t="str">
        <v>methane conversion factor for state and drylot system</v>
      </c>
      <c r="O45" s="136"/>
      <c r="P45" s="134" t="str">
        <v>fraction</v>
      </c>
      <c r="Q45" s="126" t="str">
        <v>Constant</v>
      </c>
      <c r="R45" s="134">
        <f>HLOOKUP(I47, Table_SourceData_Feedlot_MCF[#All], 2, FALSE)</f>
        <v>0.01</v>
      </c>
    </row>
    <row r="46" spans="3:18" ht="20" customHeight="1" x14ac:dyDescent="0.25">
      <c r="D46" s="134" t="str">
        <v>rho</v>
      </c>
      <c r="E46" s="137" t="str">
        <v>density of methane</v>
      </c>
      <c r="F46" s="136"/>
      <c r="G46" s="134" t="str">
        <v>kg/m3</v>
      </c>
      <c r="H46" s="126" t="str">
        <v>Constant</v>
      </c>
      <c r="I46" s="134">
        <f>Common_SourceData_DensityOfMethane_Data</f>
        <v>0.6784</v>
      </c>
      <c r="M46" s="134" t="str">
        <v>rho</v>
      </c>
      <c r="N46" s="137" t="str">
        <v>density of methane</v>
      </c>
      <c r="O46" s="136"/>
      <c r="P46" s="134" t="str">
        <v>kg/m3</v>
      </c>
      <c r="Q46" s="126" t="str">
        <v>Constant</v>
      </c>
      <c r="R46" s="134">
        <f>Common_SourceData_DensityOfMethane_Data</f>
        <v>0.6784</v>
      </c>
    </row>
    <row r="47" spans="3:18" ht="20" customHeight="1" x14ac:dyDescent="0.25">
      <c r="D47" s="134" t="str">
        <v>i</v>
      </c>
      <c r="E47" s="137" t="str">
        <v>state</v>
      </c>
      <c r="F47" s="136"/>
      <c r="G47" s="134" t="str">
        <v/>
      </c>
      <c r="H47" s="125" t="str">
        <v>Input</v>
      </c>
      <c r="I47" s="134" t="str">
        <f>Common_InputFunctions.Utility_LookupValueInTable(X_Cell_Site_State,Table_AustralianStates[Common Name],Table_AustralianStates[Abbreviation])</f>
        <v>WA</v>
      </c>
      <c r="M47" s="134" t="str">
        <v>i</v>
      </c>
      <c r="N47" s="137" t="str">
        <v>state</v>
      </c>
      <c r="O47" s="136"/>
      <c r="P47" s="134" t="str">
        <v/>
      </c>
      <c r="Q47" s="125" t="str">
        <v>Input</v>
      </c>
      <c r="R47" s="134" t="str">
        <f>Common_InputFunctions.Utility_LookupValueInTable(X_Cell_Site_State,Table_AustralianStates[Common Name],Table_AustralianStates[Abbreviation])</f>
        <v>WA</v>
      </c>
    </row>
    <row r="48" spans="3:18" ht="20" customHeight="1" x14ac:dyDescent="0.25"/>
    <row r="49" spans="3:18" ht="20" customHeight="1" x14ac:dyDescent="0.25">
      <c r="D49" s="100" t="s">
        <v>104</v>
      </c>
    </row>
    <row r="50" spans="3:18" ht="20" customHeight="1" x14ac:dyDescent="0.25">
      <c r="D50" s="99" t="s">
        <v>102</v>
      </c>
    </row>
    <row r="51" spans="3:18" ht="20" customHeight="1" x14ac:dyDescent="0.25">
      <c r="D51" s="40" t="s">
        <v>99</v>
      </c>
      <c r="E51" s="40" t="s">
        <v>131</v>
      </c>
      <c r="F51" s="40" t="s">
        <v>132</v>
      </c>
      <c r="G51" s="40" t="s">
        <v>133</v>
      </c>
    </row>
    <row r="52" spans="3:18" ht="20" customHeight="1" x14ac:dyDescent="0.25">
      <c r="D52" s="53" t="str">
        <f>INDEX(X_Table_Feedlot_MMS_Stage1,2,1)</f>
        <v>Drylot (feed pad)</v>
      </c>
      <c r="E52" s="53" cm="1">
        <f t="array" aca="1" ref="E52:G52" ca="1">OFFSET(X_Table_Feedlot_MMS_Stage1, 1,1,1,3)</f>
        <v>1</v>
      </c>
      <c r="F52" s="53">
        <f ca="1"/>
        <v>1</v>
      </c>
      <c r="G52" s="53">
        <f ca="1"/>
        <v>1</v>
      </c>
      <c r="H52" s="2" t="s">
        <v>317</v>
      </c>
    </row>
    <row r="53" spans="3:18" ht="20" customHeight="1" x14ac:dyDescent="0.25"/>
    <row r="54" spans="3:18" ht="20" customHeight="1" x14ac:dyDescent="0.25">
      <c r="D54" s="100" t="s">
        <v>200</v>
      </c>
      <c r="M54" s="100" t="s">
        <v>202</v>
      </c>
    </row>
    <row r="55" spans="3:18" ht="20" customHeight="1" x14ac:dyDescent="0.25">
      <c r="D55" s="99" t="s">
        <v>201</v>
      </c>
      <c r="M55" s="99" t="s">
        <v>203</v>
      </c>
    </row>
    <row r="56" spans="3:18" ht="20" customHeight="1" x14ac:dyDescent="0.25">
      <c r="D56" s="52" t="s">
        <v>99</v>
      </c>
      <c r="E56" s="52" t="s">
        <v>131</v>
      </c>
      <c r="F56" s="52" t="s">
        <v>132</v>
      </c>
      <c r="G56" s="52" t="s">
        <v>133</v>
      </c>
      <c r="M56" s="52" t="s">
        <v>99</v>
      </c>
      <c r="N56" s="52" t="s">
        <v>131</v>
      </c>
      <c r="O56" s="52" t="s">
        <v>132</v>
      </c>
      <c r="P56" s="52" t="s">
        <v>133</v>
      </c>
    </row>
    <row r="57" spans="3:18" ht="20" customHeight="1" x14ac:dyDescent="0.25">
      <c r="D57" s="53" t="str">
        <f>INDEX(X_Table_Feedlot_MMS_Stage1,2,1)</f>
        <v>Drylot (feed pad)</v>
      </c>
      <c r="E57" s="53" cm="1">
        <f t="array" aca="1" ref="E57" ca="1">MMS_Feedlot_Methane_Equations.VEERG_4_1_1_1__2_Stage1MethaneProductionDrylot(D30,$I$43,E52,$I$45,$I$46)</f>
        <v>2.1394673663999997E-3</v>
      </c>
      <c r="F57" s="53" cm="1">
        <f t="array" aca="1" ref="F57" ca="1">MMS_Feedlot_Methane_Equations.VEERG_4_1_1_1__2_Stage1MethaneProductionDrylot(E30,$I$43,F52,$I$45,$I$46)</f>
        <v>2.2217545727999995E-3</v>
      </c>
      <c r="G57" s="53" cm="1">
        <f t="array" aca="1" ref="G57" ca="1">MMS_Feedlot_Methane_Equations.VEERG_4_1_1_1__2_Stage1MethaneProductionDrylot(F30,$I$43,G52,$I$45,$I$46)</f>
        <v>1.6868877311999992E-3</v>
      </c>
      <c r="H57" s="2" t="str">
        <f>$E$40</f>
        <v>kg CH4/head/day</v>
      </c>
      <c r="M57" s="53" t="str">
        <f>INDEX(X_Table_Feedlot_MMS_Stage1,2,1)</f>
        <v>Drylot (feed pad)</v>
      </c>
      <c r="N57" s="53" cm="1">
        <f t="array" aca="1" ref="N57" ca="1">MMS_Feedlot_Methane_Equations.VEERG_4_1_1_1__2_Stage1MethaneProductionDrylot(M30,$I$43,E52,$I$45,$I$46)</f>
        <v>2.1394673663999997E-3</v>
      </c>
      <c r="O57" s="53" cm="1">
        <f t="array" aca="1" ref="O57" ca="1">MMS_Feedlot_Methane_Equations.VEERG_4_1_1_1__2_Stage1MethaneProductionDrylot(N30,$I$43,F52,$I$45,$I$46)</f>
        <v>2.2217545727999995E-3</v>
      </c>
      <c r="P57" s="53" cm="1">
        <f t="array" aca="1" ref="P57" ca="1">MMS_Feedlot_Methane_Equations.VEERG_4_1_1_1__2_Stage1MethaneProductionDrylot(O30,$I$43,G52,$I$45,$I$46)</f>
        <v>1.6868877311999992E-3</v>
      </c>
      <c r="Q57" s="2" t="str">
        <f>$E$40</f>
        <v>kg CH4/head/day</v>
      </c>
    </row>
    <row r="58" spans="3:18" ht="20" customHeight="1" x14ac:dyDescent="0.25">
      <c r="D58" s="101" t="str">
        <f>IF(ISNUMBER($I$45),"", "⚠️ ALERT: No MCFim5 data provided. Zero is used instead.")</f>
        <v/>
      </c>
    </row>
    <row r="59" spans="3:18" ht="20" customHeight="1" x14ac:dyDescent="0.25"/>
    <row r="60" spans="3:18" ht="20" customHeight="1" x14ac:dyDescent="0.25">
      <c r="C60" s="46"/>
      <c r="D60" s="46"/>
      <c r="E60" s="46"/>
      <c r="F60" s="46"/>
      <c r="G60" s="46"/>
      <c r="H60" s="46"/>
      <c r="I60" s="46"/>
      <c r="J60" s="46"/>
      <c r="L60" s="46"/>
      <c r="M60" s="46"/>
      <c r="N60" s="46"/>
      <c r="O60" s="46"/>
      <c r="P60" s="46"/>
      <c r="Q60" s="46"/>
      <c r="R60" s="46"/>
    </row>
    <row r="61" spans="3:18" ht="20" customHeight="1" x14ac:dyDescent="0.25">
      <c r="D61" s="6" t="str" cm="1">
        <f t="array" ref="D61">MMS_Feedlot_Methane_Equations.VEERG_4_1_1_1__3_Stage2MethaneProduction_Title()</f>
        <v>Production of methane in treatment stage 2 MMS</v>
      </c>
    </row>
    <row r="62" spans="3:18" ht="20" customHeight="1" x14ac:dyDescent="0.25">
      <c r="D62" s="5" t="str" cm="1">
        <f t="array" ref="D62">MMS_Feedlot_Methane_Equations.VEERG_4_1_1_1__3_Stage2MethaneProduction_Source()</f>
        <v>VEERG 2026: 4.1.1.1, Equation (3)</v>
      </c>
    </row>
    <row r="63" spans="3:18" ht="20" customHeight="1" x14ac:dyDescent="0.25">
      <c r="D63" s="13" t="s">
        <v>23</v>
      </c>
      <c r="E63" s="13" t="str" cm="1">
        <f t="array" aca="1" ref="E63" ca="1">Common_InputFunctions.Utility_DisplayFunctionName(E96)</f>
        <v>=MMS_Feedlot_Methane_Equations.VEERG_4_1_1_1__3_Stage2MethaneProduction</v>
      </c>
    </row>
    <row r="64" spans="3:18" ht="20" customHeight="1" x14ac:dyDescent="0.25"/>
    <row r="65" spans="4:18" ht="20" customHeight="1" x14ac:dyDescent="0.25">
      <c r="D65" s="6"/>
    </row>
    <row r="66" spans="4:18" ht="20" customHeight="1" x14ac:dyDescent="0.25">
      <c r="D66" s="54" t="s">
        <v>26</v>
      </c>
      <c r="E66" s="1" t="str" cm="1">
        <f t="array" ref="E66">MMS_Feedlot_Methane_Equations.VEERG_4_1_1_1__3_Stage2MethaneProduction_Variable()</f>
        <v>M_jmT2</v>
      </c>
    </row>
    <row r="67" spans="4:18" ht="20" customHeight="1" x14ac:dyDescent="0.25">
      <c r="D67" s="54" t="s">
        <v>16</v>
      </c>
      <c r="E67" s="55" t="str" cm="1">
        <f t="array" ref="E67">MMS_Feedlot_Methane_Equations.VEERG_4_1_1_1__3_Stage2MethaneProduction_Unit()</f>
        <v>kg CH4/head/day</v>
      </c>
    </row>
    <row r="68" spans="4:18" ht="20" customHeight="1" x14ac:dyDescent="0.25"/>
    <row r="69" spans="4:18" ht="20" customHeight="1" x14ac:dyDescent="0.25">
      <c r="D69" s="134" t="str" cm="1">
        <f t="array" ref="D69:E75">_xlfn.CHOOSECOLS(MMS_Feedlot_Methane_Equations.VEERG_4_1_1_1__3_Stage2MethaneProduction_Arguments(),1,2)</f>
        <v>VSL</v>
      </c>
      <c r="E69" s="137" t="str">
        <v>fraction of volatile solids lost during storage in the primary system</v>
      </c>
      <c r="F69" s="136"/>
      <c r="G69" s="134" t="str" cm="1">
        <f t="array" ref="G69:H75">_xlfn.CHOOSECOLS(MMS_Feedlot_Methane_Equations.VEERG_4_1_1_1__3_Stage2MethaneProduction_Arguments(),3,4)</f>
        <v>fraction</v>
      </c>
      <c r="H69" s="126" t="str">
        <v>Constant</v>
      </c>
      <c r="I69" s="58">
        <f>SourceData_Feedlot_VSL_Data</f>
        <v>0.5</v>
      </c>
      <c r="M69" s="134" t="str" cm="1">
        <f t="array" ref="M69:N75">_xlfn.CHOOSECOLS(MMS_Feedlot_Methane_Equations.VEERG_4_1_1_1__3_Stage2MethaneProduction_Arguments_Method2(),1,2)</f>
        <v>VSL</v>
      </c>
      <c r="N69" s="137" t="str">
        <v>fraction of volatile solids lost during storage in the primary system</v>
      </c>
      <c r="O69" s="136"/>
      <c r="P69" s="134" t="str" cm="1">
        <f t="array" ref="P69:Q75">_xlfn.CHOOSECOLS(MMS_Feedlot_Methane_Equations.VEERG_4_1_1_1__3_Stage2MethaneProduction_Arguments_Method2(),3,4)</f>
        <v>fraction</v>
      </c>
      <c r="Q69" s="126" t="str">
        <v>Constant</v>
      </c>
      <c r="R69" s="58"/>
    </row>
    <row r="70" spans="4:18" ht="20" customHeight="1" x14ac:dyDescent="0.25">
      <c r="D70" s="134" t="str">
        <v>VS_j</v>
      </c>
      <c r="E70" s="137" t="str">
        <v>volatile solid production from feedlot cattle in each group</v>
      </c>
      <c r="F70" s="136"/>
      <c r="G70" s="134" t="str">
        <v>kg/head/day</v>
      </c>
      <c r="H70" s="126" t="str">
        <v>Calculated from 4.1.1.1 (5)</v>
      </c>
      <c r="I70" s="135" t="str" cm="1">
        <f t="array" aca="1" ref="I70" ca="1">HYPERLINK(Common_InputFunctions.Utility_SourceHyperlink($D$27),$D$27)</f>
        <v>M1_Table_VS_j</v>
      </c>
      <c r="M70" s="134" t="str">
        <v>VS_j</v>
      </c>
      <c r="N70" s="137" t="str">
        <v>volatile solid production from feedlot cattle in each group</v>
      </c>
      <c r="O70" s="136"/>
      <c r="P70" s="134" t="str">
        <v>kg/head/day</v>
      </c>
      <c r="Q70" s="126" t="str">
        <v>Calculated from 4.1.1.1 (5)</v>
      </c>
      <c r="R70" s="135"/>
    </row>
    <row r="71" spans="4:18" ht="20" customHeight="1" x14ac:dyDescent="0.25">
      <c r="D71" s="134" t="str">
        <v>BO</v>
      </c>
      <c r="E71" s="137" t="str">
        <v>emissions potential</v>
      </c>
      <c r="F71" s="136"/>
      <c r="G71" s="134" t="str">
        <v>m3 CH4/kg VS</v>
      </c>
      <c r="H71" s="126" t="str">
        <v>Constant</v>
      </c>
      <c r="I71" s="58">
        <f>SourceData_Feedlot_MethaneEmissionsPotential_Data</f>
        <v>0.19</v>
      </c>
      <c r="M71" s="134" t="str">
        <v>BO</v>
      </c>
      <c r="N71" s="137" t="str">
        <v>emissions potential</v>
      </c>
      <c r="O71" s="136"/>
      <c r="P71" s="134" t="str">
        <v>m3 CH4/kg VS</v>
      </c>
      <c r="Q71" s="126" t="str">
        <v>Constant</v>
      </c>
      <c r="R71" s="58"/>
    </row>
    <row r="72" spans="4:18" ht="20" customHeight="1" x14ac:dyDescent="0.25">
      <c r="D72" s="134" t="str">
        <v>MMS_mT2</v>
      </c>
      <c r="E72" s="137" t="str">
        <v>fraction of manure in each secondary system</v>
      </c>
      <c r="F72" s="136"/>
      <c r="G72" s="134" t="str">
        <v>fraction</v>
      </c>
      <c r="H72" s="125" t="str">
        <v>Input</v>
      </c>
      <c r="I72" s="135" t="str" cm="1">
        <f t="array" aca="1" ref="I72" ca="1">HYPERLINK(Common_InputFunctions.Utility_SourceHyperlink($D$77),$D$77)</f>
        <v>Table_MMS_m_T-2</v>
      </c>
      <c r="M72" s="134" t="str">
        <v>MMS_mT2</v>
      </c>
      <c r="N72" s="137" t="str">
        <v>fraction of manure in each secondary system</v>
      </c>
      <c r="O72" s="136"/>
      <c r="P72" s="134" t="str">
        <v>fraction</v>
      </c>
      <c r="Q72" s="125" t="str">
        <v>Input</v>
      </c>
      <c r="R72" s="135"/>
    </row>
    <row r="73" spans="4:18" ht="20" customHeight="1" x14ac:dyDescent="0.25">
      <c r="D73" s="134" t="str">
        <v>MCF_im</v>
      </c>
      <c r="E73" s="137" t="str">
        <v>methane conversion factor for state and MMS</v>
      </c>
      <c r="F73" s="136"/>
      <c r="G73" s="134" t="str">
        <v>fraction</v>
      </c>
      <c r="H73" s="126" t="str">
        <v>Constant</v>
      </c>
      <c r="I73" s="135" t="str" cm="1">
        <f t="array" aca="1" ref="I73" ca="1">HYPERLINK(Common_InputFunctions.Utility_SourceHyperlink($D$84),$D$84)</f>
        <v>M1_Table_MCF_i_m</v>
      </c>
      <c r="M73" s="134" t="str">
        <v>MCF_im</v>
      </c>
      <c r="N73" s="137" t="str">
        <v>methane conversion factor for mean annual temperature and MMS</v>
      </c>
      <c r="O73" s="136"/>
      <c r="P73" s="134" t="str">
        <v>fraction</v>
      </c>
      <c r="Q73" s="126" t="str">
        <v>Constant</v>
      </c>
      <c r="R73" s="135" t="str" cm="1">
        <f t="array" aca="1" ref="R73" ca="1">HYPERLINK(Common_InputFunctions.Utility_SourceHyperlink($M$84),$M$84)</f>
        <v>M2_Table_MCF_i_m</v>
      </c>
    </row>
    <row r="74" spans="4:18" ht="20" customHeight="1" x14ac:dyDescent="0.25">
      <c r="D74" s="134" t="str">
        <v>rho</v>
      </c>
      <c r="E74" s="137" t="str">
        <v>density of methane</v>
      </c>
      <c r="F74" s="136"/>
      <c r="G74" s="134" t="str">
        <v>kg/m3</v>
      </c>
      <c r="H74" s="126" t="str">
        <v>Constant</v>
      </c>
      <c r="I74" s="58">
        <f>Common_SourceData_DensityOfMethane_Data</f>
        <v>0.6784</v>
      </c>
      <c r="M74" s="134" t="str">
        <v>rho</v>
      </c>
      <c r="N74" s="137" t="str">
        <v>density of methane</v>
      </c>
      <c r="O74" s="136"/>
      <c r="P74" s="134" t="str">
        <v>kg/m3</v>
      </c>
      <c r="Q74" s="126" t="str">
        <v>Constant</v>
      </c>
      <c r="R74" s="58"/>
    </row>
    <row r="75" spans="4:18" ht="20" customHeight="1" x14ac:dyDescent="0.25">
      <c r="D75" s="134" t="str">
        <v>i</v>
      </c>
      <c r="E75" s="137" t="str">
        <v>state</v>
      </c>
      <c r="F75" s="136"/>
      <c r="G75" s="134" t="str">
        <v/>
      </c>
      <c r="H75" s="125" t="str">
        <v>Input</v>
      </c>
      <c r="I75" s="58" t="str">
        <f>Common_InputFunctions.Utility_LookupValueInTable(X_Cell_Site_State,Table_AustralianStates[Common Name],Table_AustralianStates[Abbreviation])</f>
        <v>WA</v>
      </c>
      <c r="M75" s="134" t="str">
        <v>i</v>
      </c>
      <c r="N75" s="137" t="str">
        <v>Mean annual temperature</v>
      </c>
      <c r="O75" s="136"/>
      <c r="P75" s="134" t="str">
        <v/>
      </c>
      <c r="Q75" s="125" t="str">
        <v>Input</v>
      </c>
      <c r="R75" s="58">
        <f>X_Cell_Site_AverageTemperature</f>
        <v>18</v>
      </c>
    </row>
    <row r="76" spans="4:18" ht="20" customHeight="1" x14ac:dyDescent="0.25"/>
    <row r="77" spans="4:18" ht="20" customHeight="1" x14ac:dyDescent="0.25">
      <c r="D77" s="100" t="s">
        <v>106</v>
      </c>
    </row>
    <row r="78" spans="4:18" ht="20" customHeight="1" x14ac:dyDescent="0.25">
      <c r="D78" s="99" t="s">
        <v>107</v>
      </c>
    </row>
    <row r="79" spans="4:18" ht="20" customHeight="1" x14ac:dyDescent="0.25">
      <c r="D79" s="40" t="s">
        <v>99</v>
      </c>
      <c r="E79" s="40" t="s">
        <v>95</v>
      </c>
      <c r="F79" s="40" t="s">
        <v>131</v>
      </c>
      <c r="G79" s="40" t="s">
        <v>132</v>
      </c>
      <c r="H79" s="40" t="s">
        <v>133</v>
      </c>
    </row>
    <row r="80" spans="4:18" ht="20" customHeight="1" x14ac:dyDescent="0.25">
      <c r="D80" s="53" t="s">
        <v>94</v>
      </c>
      <c r="E80" s="53" t="str" cm="1">
        <f t="array" aca="1" ref="E80:H82" ca="1">OFFSET(X_Table_Feedlot_MMS_Stage2,2, 0, 3, 4)</f>
        <v>Solid storage</v>
      </c>
      <c r="F80" s="53">
        <f ca="1"/>
        <v>0.2</v>
      </c>
      <c r="G80" s="53">
        <f ca="1"/>
        <v>0.2</v>
      </c>
      <c r="H80" s="53">
        <f ca="1"/>
        <v>0.2</v>
      </c>
      <c r="I80" s="2" t="str">
        <f>G72</f>
        <v>fraction</v>
      </c>
    </row>
    <row r="81" spans="4:17" ht="20" customHeight="1" x14ac:dyDescent="0.25">
      <c r="D81" s="53" t="s">
        <v>94</v>
      </c>
      <c r="E81" s="53" t="str">
        <f ca="1"/>
        <v>Composting (passive windrow)</v>
      </c>
      <c r="F81" s="53">
        <f ca="1"/>
        <v>0.2</v>
      </c>
      <c r="G81" s="53">
        <f ca="1"/>
        <v>0.2</v>
      </c>
      <c r="H81" s="53">
        <f ca="1"/>
        <v>0.2</v>
      </c>
      <c r="I81" s="2"/>
    </row>
    <row r="82" spans="4:17" ht="20" customHeight="1" x14ac:dyDescent="0.25">
      <c r="D82" s="53" t="s">
        <v>94</v>
      </c>
      <c r="E82" s="53" t="str">
        <f ca="1"/>
        <v>Direct application</v>
      </c>
      <c r="F82" s="53">
        <f ca="1"/>
        <v>0.6</v>
      </c>
      <c r="G82" s="53">
        <f ca="1"/>
        <v>0.6</v>
      </c>
      <c r="H82" s="53">
        <f ca="1"/>
        <v>0.6</v>
      </c>
      <c r="I82" s="2"/>
    </row>
    <row r="83" spans="4:17" ht="20" customHeight="1" x14ac:dyDescent="0.25"/>
    <row r="84" spans="4:17" ht="20" customHeight="1" x14ac:dyDescent="0.25">
      <c r="D84" s="100" t="s">
        <v>350</v>
      </c>
      <c r="M84" s="100" t="s">
        <v>348</v>
      </c>
    </row>
    <row r="85" spans="4:17" ht="20" customHeight="1" x14ac:dyDescent="0.25">
      <c r="D85" s="99" t="s">
        <v>351</v>
      </c>
      <c r="M85" s="99" t="s">
        <v>349</v>
      </c>
    </row>
    <row r="86" spans="4:17" ht="20" customHeight="1" x14ac:dyDescent="0.25">
      <c r="D86" s="52" t="s">
        <v>99</v>
      </c>
      <c r="E86" s="52" t="s">
        <v>95</v>
      </c>
      <c r="F86" s="52" t="s">
        <v>92</v>
      </c>
      <c r="M86" s="52" t="s">
        <v>99</v>
      </c>
      <c r="N86" s="52" t="s">
        <v>95</v>
      </c>
      <c r="O86" s="52" t="s">
        <v>92</v>
      </c>
    </row>
    <row r="87" spans="4:17" ht="20" customHeight="1" x14ac:dyDescent="0.25">
      <c r="D87" s="53" t="s">
        <v>94</v>
      </c>
      <c r="E87" s="53" t="str">
        <f>INDEX(X_Table_Feedlot_MMS_Stage2,3,1)</f>
        <v>Solid storage</v>
      </c>
      <c r="F87" s="53" cm="1">
        <f t="array" ref="F87">_xlfn.XLOOKUP($I$75, Table_SourceData_Feedlot_MCF[#Headers], _xlfn.XLOOKUP(E87, Table_SourceData_Feedlot_MCF[NIR definition], Table_SourceData_Feedlot_MCF[]))</f>
        <v>0.02</v>
      </c>
      <c r="G87" s="2" t="str">
        <f>G73</f>
        <v>fraction</v>
      </c>
      <c r="M87" s="53" t="str">
        <f>INDEX(X_Table_Feedlot_MMS_Stage1,2,1)</f>
        <v>Drylot (feed pad)</v>
      </c>
      <c r="N87" s="53" t="str">
        <f>INDEX(X_Table_Feedlot_MMS_Stage2,3,1)</f>
        <v>Solid storage</v>
      </c>
      <c r="O87" s="53">
        <f>Common_InputFunctions.Common_GetMCFTemperatureZone($R$75,N87,Table_SourceData_Common_MCFTemperatureZone[MAT (ºC)],Table_SourceData_Common_MCFTemperatureZone[#Headers],Table_SourceData_Common_MCFTemperatureZone[])</f>
        <v>0.02</v>
      </c>
      <c r="P87" s="2" t="str">
        <f>P73</f>
        <v>fraction</v>
      </c>
    </row>
    <row r="88" spans="4:17" ht="20" customHeight="1" x14ac:dyDescent="0.25">
      <c r="D88" s="53" t="s">
        <v>94</v>
      </c>
      <c r="E88" s="53" t="str">
        <f>INDEX(X_Table_Feedlot_MMS_Stage2,4,1)</f>
        <v>Composting (passive windrow)</v>
      </c>
      <c r="F88" s="53" cm="1">
        <f t="array" ref="F88">_xlfn.XLOOKUP($I$75, Table_SourceData_Feedlot_MCF[#Headers], _xlfn.XLOOKUP(E88, Table_SourceData_Feedlot_MCF[NIR definition], Table_SourceData_Feedlot_MCF[]))</f>
        <v>0.01</v>
      </c>
      <c r="G88" s="2"/>
      <c r="M88" s="53" t="str">
        <f>INDEX(X_Table_Feedlot_MMS_Stage1,2,1)</f>
        <v>Drylot (feed pad)</v>
      </c>
      <c r="N88" s="53" t="str">
        <f>INDEX(X_Table_Feedlot_MMS_Stage2,4,1)</f>
        <v>Composting (passive windrow)</v>
      </c>
      <c r="O88" s="53">
        <f>Common_InputFunctions.Common_GetMCFTemperatureZone($R$75,N88,Table_SourceData_Common_MCFTemperatureZone[MAT (ºC)],Table_SourceData_Common_MCFTemperatureZone[#Headers],Table_SourceData_Common_MCFTemperatureZone[])</f>
        <v>0.01</v>
      </c>
      <c r="P88" s="2"/>
    </row>
    <row r="89" spans="4:17" ht="20" customHeight="1" x14ac:dyDescent="0.25">
      <c r="D89" s="53" t="s">
        <v>94</v>
      </c>
      <c r="E89" s="53" t="str">
        <f>INDEX(X_Table_Feedlot_MMS_Stage2,5,1)</f>
        <v>Direct application</v>
      </c>
      <c r="F89" s="53" cm="1">
        <f t="array" ref="F89">_xlfn.XLOOKUP($I$75, Table_SourceData_Feedlot_MCF[#Headers], _xlfn.XLOOKUP(E89, Table_SourceData_Feedlot_MCF[NIR definition], Table_SourceData_Feedlot_MCF[]))</f>
        <v>0</v>
      </c>
      <c r="M89" s="53" t="str">
        <f>INDEX(X_Table_Feedlot_MMS_Stage1,2,1)</f>
        <v>Drylot (feed pad)</v>
      </c>
      <c r="N89" s="53" t="str">
        <f>INDEX(X_Table_Feedlot_MMS_Stage2,5,1)</f>
        <v>Direct application</v>
      </c>
      <c r="O89" s="53">
        <f>Common_InputFunctions.Common_GetMCFTemperatureZone($R$75,N89,Table_SourceData_Common_MCFTemperatureZone[MAT (ºC)],Table_SourceData_Common_MCFTemperatureZone[#Headers],Table_SourceData_Common_MCFTemperatureZone[])</f>
        <v>0</v>
      </c>
    </row>
    <row r="90" spans="4:17" ht="20" customHeight="1" x14ac:dyDescent="0.25"/>
    <row r="91" spans="4:17" ht="20" customHeight="1" x14ac:dyDescent="0.25">
      <c r="D91" s="93" t="s">
        <v>340</v>
      </c>
      <c r="E91" s="94"/>
      <c r="F91" s="94"/>
      <c r="G91" s="94"/>
      <c r="H91" s="88"/>
    </row>
    <row r="92" spans="4:17" ht="20" customHeight="1" x14ac:dyDescent="0.25"/>
    <row r="93" spans="4:17" ht="20" customHeight="1" x14ac:dyDescent="0.25">
      <c r="D93" s="100" t="s">
        <v>204</v>
      </c>
      <c r="M93" s="100" t="s">
        <v>206</v>
      </c>
    </row>
    <row r="94" spans="4:17" ht="20" customHeight="1" x14ac:dyDescent="0.25">
      <c r="D94" s="99" t="s">
        <v>205</v>
      </c>
      <c r="M94" s="99" t="s">
        <v>207</v>
      </c>
    </row>
    <row r="95" spans="4:17" ht="20" customHeight="1" x14ac:dyDescent="0.25">
      <c r="D95" s="52" t="s">
        <v>95</v>
      </c>
      <c r="E95" s="52" t="s">
        <v>131</v>
      </c>
      <c r="F95" s="52" t="s">
        <v>132</v>
      </c>
      <c r="G95" s="52" t="s">
        <v>133</v>
      </c>
      <c r="M95" s="52" t="s">
        <v>95</v>
      </c>
      <c r="N95" s="52" t="s">
        <v>131</v>
      </c>
      <c r="O95" s="52" t="s">
        <v>132</v>
      </c>
      <c r="P95" s="52" t="s">
        <v>133</v>
      </c>
    </row>
    <row r="96" spans="4:17" ht="20" customHeight="1" x14ac:dyDescent="0.25">
      <c r="D96" s="53" t="str">
        <f>INDEX(X_Table_Feedlot_MMS_Stage2,3,1)</f>
        <v>Solid storage</v>
      </c>
      <c r="E96" s="53" cm="1">
        <f t="array" aca="1" ref="E96" ca="1">MMS_Feedlot_Methane_Equations.VEERG_4_1_1_1__3_Stage2MethaneProduction($I$69,D$30,$I$71,F80,_xlfn.XLOOKUP($D96,$E$87:$E$89,$F$87:$F$89),$I$74)</f>
        <v>4.2789347327999993E-4</v>
      </c>
      <c r="F96" s="53" cm="1">
        <f t="array" aca="1" ref="F96" ca="1">MMS_Feedlot_Methane_Equations.VEERG_4_1_1_1__3_Stage2MethaneProduction($I$69,E$30,$I$71,G80,_xlfn.XLOOKUP($D96,$E$87:$E$89,$F$87:$F$89),$I$74)</f>
        <v>4.4435091455999993E-4</v>
      </c>
      <c r="G96" s="53" cm="1">
        <f t="array" aca="1" ref="G96" ca="1">MMS_Feedlot_Methane_Equations.VEERG_4_1_1_1__3_Stage2MethaneProduction($I$69,F$30,$I$71,H80,_xlfn.XLOOKUP($D96,$E$87:$E$89,$F$87:$F$89),$I$74)</f>
        <v>3.3737754623999993E-4</v>
      </c>
      <c r="H96" s="2" t="str">
        <f>$E$67</f>
        <v>kg CH4/head/day</v>
      </c>
      <c r="M96" s="53" t="str">
        <f>INDEX(X_Table_Feedlot_MMS_Stage2,3,1)</f>
        <v>Solid storage</v>
      </c>
      <c r="N96" s="53" cm="1">
        <f t="array" aca="1" ref="N96" ca="1">MMS_Feedlot_Methane_Equations.VEERG_4_1_1_1__3_Stage2MethaneProduction($I$69,M$30,$I$71,F80,_xlfn.XLOOKUP($M96,$N$87:$N$89,$O$87:$O$89),$I$74)</f>
        <v>4.2789347327999993E-4</v>
      </c>
      <c r="O96" s="53" cm="1">
        <f t="array" aca="1" ref="O96" ca="1">MMS_Feedlot_Methane_Equations.VEERG_4_1_1_1__3_Stage2MethaneProduction($I$69,N$30,$I$71,G80,_xlfn.XLOOKUP($M96,$N$87:$N$89,$O$87:$O$89),$I$74)</f>
        <v>4.4435091455999993E-4</v>
      </c>
      <c r="P96" s="53" cm="1">
        <f t="array" aca="1" ref="P96" ca="1">MMS_Feedlot_Methane_Equations.VEERG_4_1_1_1__3_Stage2MethaneProduction($I$69,O$30,$I$71,H80,_xlfn.XLOOKUP($M96,$N$87:$N$89,$O$87:$O$89),$I$74)</f>
        <v>3.3737754623999993E-4</v>
      </c>
      <c r="Q96" s="2" t="str">
        <f>$E$67</f>
        <v>kg CH4/head/day</v>
      </c>
    </row>
    <row r="97" spans="3:18" ht="20" customHeight="1" x14ac:dyDescent="0.25">
      <c r="D97" s="53" t="str">
        <f>INDEX(X_Table_Feedlot_MMS_Stage2,4,1)</f>
        <v>Composting (passive windrow)</v>
      </c>
      <c r="E97" s="53" cm="1">
        <f t="array" aca="1" ref="E97" ca="1">MMS_Feedlot_Methane_Equations.VEERG_4_1_1_1__3_Stage2MethaneProduction($I$69,D$30,$I$71,F81,_xlfn.XLOOKUP($D97,$E$87:$E$89,$F$87:$F$89),$I$74)</f>
        <v>2.1394673663999996E-4</v>
      </c>
      <c r="F97" s="53" cm="1">
        <f t="array" aca="1" ref="F97" ca="1">MMS_Feedlot_Methane_Equations.VEERG_4_1_1_1__3_Stage2MethaneProduction($I$69,E$30,$I$71,G81,_xlfn.XLOOKUP($D97,$E$87:$E$89,$F$87:$F$89),$I$74)</f>
        <v>2.2217545727999996E-4</v>
      </c>
      <c r="G97" s="53" cm="1">
        <f t="array" aca="1" ref="G97" ca="1">MMS_Feedlot_Methane_Equations.VEERG_4_1_1_1__3_Stage2MethaneProduction($I$69,F$30,$I$71,H81,_xlfn.XLOOKUP($D97,$E$87:$E$89,$F$87:$F$89),$I$74)</f>
        <v>1.6868877311999997E-4</v>
      </c>
      <c r="H97" s="2"/>
      <c r="M97" s="53" t="str">
        <f>INDEX(X_Table_Feedlot_MMS_Stage2,4,1)</f>
        <v>Composting (passive windrow)</v>
      </c>
      <c r="N97" s="53" cm="1">
        <f t="array" aca="1" ref="N97" ca="1">MMS_Feedlot_Methane_Equations.VEERG_4_1_1_1__3_Stage2MethaneProduction($I$69,M$30,$I$71,F81,_xlfn.XLOOKUP($M97,$N$87:$N$89,$O$87:$O$89),$I$74)</f>
        <v>2.1394673663999996E-4</v>
      </c>
      <c r="O97" s="53" cm="1">
        <f t="array" aca="1" ref="O97" ca="1">MMS_Feedlot_Methane_Equations.VEERG_4_1_1_1__3_Stage2MethaneProduction($I$69,N$30,$I$71,G81,_xlfn.XLOOKUP($M97,$N$87:$N$89,$O$87:$O$89),$I$74)</f>
        <v>2.2217545727999996E-4</v>
      </c>
      <c r="P97" s="53" cm="1">
        <f t="array" aca="1" ref="P97" ca="1">MMS_Feedlot_Methane_Equations.VEERG_4_1_1_1__3_Stage2MethaneProduction($I$69,O$30,$I$71,H81,_xlfn.XLOOKUP($M97,$N$87:$N$89,$O$87:$O$89),$I$74)</f>
        <v>1.6868877311999997E-4</v>
      </c>
      <c r="Q97" s="2"/>
    </row>
    <row r="98" spans="3:18" ht="20" customHeight="1" x14ac:dyDescent="0.25">
      <c r="D98" s="53" t="str">
        <f>INDEX(X_Table_Feedlot_MMS_Stage2,5,1)</f>
        <v>Direct application</v>
      </c>
      <c r="E98" s="53" cm="1">
        <f t="array" aca="1" ref="E98" ca="1">MMS_Feedlot_Methane_Equations.VEERG_4_1_1_1__3_Stage2MethaneProduction($I$69,D$30,$I$71,F82,_xlfn.XLOOKUP($D98,$E$87:$E$89,$F$87:$F$89),$I$74)</f>
        <v>0</v>
      </c>
      <c r="F98" s="53" cm="1">
        <f t="array" aca="1" ref="F98" ca="1">MMS_Feedlot_Methane_Equations.VEERG_4_1_1_1__3_Stage2MethaneProduction($I$69,E$30,$I$71,G82,_xlfn.XLOOKUP($D98,$E$87:$E$89,$F$87:$F$89),$I$74)</f>
        <v>0</v>
      </c>
      <c r="G98" s="53" cm="1">
        <f t="array" aca="1" ref="G98" ca="1">MMS_Feedlot_Methane_Equations.VEERG_4_1_1_1__3_Stage2MethaneProduction($I$69,F$30,$I$71,H82,_xlfn.XLOOKUP($D98,$E$87:$E$89,$F$87:$F$89),$I$74)</f>
        <v>0</v>
      </c>
      <c r="H98" s="2"/>
      <c r="M98" s="53" t="str">
        <f>INDEX(X_Table_Feedlot_MMS_Stage2,5,1)</f>
        <v>Direct application</v>
      </c>
      <c r="N98" s="53" cm="1">
        <f t="array" aca="1" ref="N98" ca="1">MMS_Feedlot_Methane_Equations.VEERG_4_1_1_1__3_Stage2MethaneProduction($I$69,M$30,$I$71,F82,_xlfn.XLOOKUP($M98,$N$87:$N$89,$O$87:$O$89),$I$74)</f>
        <v>0</v>
      </c>
      <c r="O98" s="53" cm="1">
        <f t="array" aca="1" ref="O98" ca="1">MMS_Feedlot_Methane_Equations.VEERG_4_1_1_1__3_Stage2MethaneProduction($I$69,N$30,$I$71,G82,_xlfn.XLOOKUP($M98,$N$87:$N$89,$O$87:$O$89),$I$74)</f>
        <v>0</v>
      </c>
      <c r="P98" s="53" cm="1">
        <f t="array" aca="1" ref="P98" ca="1">MMS_Feedlot_Methane_Equations.VEERG_4_1_1_1__3_Stage2MethaneProduction($I$69,O$30,$I$71,H82,_xlfn.XLOOKUP($M98,$N$87:$N$89,$O$87:$O$89),$I$74)</f>
        <v>0</v>
      </c>
      <c r="Q98" s="2"/>
    </row>
    <row r="99" spans="3:18" ht="20" customHeight="1" x14ac:dyDescent="0.25"/>
    <row r="100" spans="3:18" ht="20" customHeight="1" x14ac:dyDescent="0.25"/>
    <row r="101" spans="3:18" ht="20" customHeight="1" x14ac:dyDescent="0.25">
      <c r="C101" s="46"/>
      <c r="D101" s="46"/>
      <c r="E101" s="46"/>
      <c r="F101" s="46"/>
      <c r="G101" s="46"/>
      <c r="H101" s="46"/>
      <c r="I101" s="46"/>
      <c r="J101" s="46"/>
      <c r="L101" s="46"/>
      <c r="M101" s="46"/>
      <c r="N101" s="46"/>
      <c r="O101" s="46"/>
      <c r="P101" s="46"/>
      <c r="Q101" s="46"/>
      <c r="R101" s="46"/>
    </row>
    <row r="102" spans="3:18" ht="20" customHeight="1" x14ac:dyDescent="0.25">
      <c r="D102" s="6" t="str" cm="1">
        <f t="array" ref="D102">MMS_Feedlot_Methane_Equations.VEERG_4_1_1_1__4_Stage3MethaneProductionAnaerobicLagoon_Title()</f>
        <v>Production of methane in treatment stage 3 MMS</v>
      </c>
    </row>
    <row r="103" spans="3:18" ht="20" customHeight="1" x14ac:dyDescent="0.25">
      <c r="D103" s="5" t="str" cm="1">
        <f t="array" ref="D103">MMS_Feedlot_Methane_Equations.VEERG_4_1_1_1__4_Stage3MethaneProductionAnaerobicLagoon_Source()</f>
        <v>VEERG 2026: 4.1.1.1, Equation (4)</v>
      </c>
    </row>
    <row r="104" spans="3:18" ht="20" customHeight="1" x14ac:dyDescent="0.25">
      <c r="D104" s="13" t="s">
        <v>23</v>
      </c>
      <c r="E104" s="13" t="str" cm="1">
        <f t="array" aca="1" ref="E104" ca="1">Common_InputFunctions.Utility_DisplayFunctionName(E125)</f>
        <v>=MMS_Feedlot_Methane_Equations.VEERG_4_1_1_1__4_Stage3MethaneProductionAnaerobicLagoon</v>
      </c>
    </row>
    <row r="105" spans="3:18" ht="20" customHeight="1" x14ac:dyDescent="0.25"/>
    <row r="106" spans="3:18" ht="20" customHeight="1" x14ac:dyDescent="0.25">
      <c r="D106" s="6"/>
    </row>
    <row r="107" spans="3:18" ht="20" customHeight="1" x14ac:dyDescent="0.25">
      <c r="D107" s="54" t="s">
        <v>26</v>
      </c>
      <c r="E107" s="1" t="str" cm="1">
        <f t="array" ref="E107">MMS_Feedlot_Methane_Equations.VEERG_4_1_1_1__4_Stage3MethaneProductionAnaerobicLagoon_Variable()</f>
        <v>M_jm1T3</v>
      </c>
    </row>
    <row r="108" spans="3:18" ht="20" customHeight="1" x14ac:dyDescent="0.25">
      <c r="D108" s="54" t="s">
        <v>16</v>
      </c>
      <c r="E108" s="55" t="str" cm="1">
        <f t="array" ref="E108">MMS_Feedlot_Methane_Equations.VEERG_4_1_1_1__4_Stage3MethaneProductionAnaerobicLagoon_Unit()</f>
        <v>kg CH4/head/day</v>
      </c>
    </row>
    <row r="109" spans="3:18" ht="20" customHeight="1" x14ac:dyDescent="0.25"/>
    <row r="110" spans="3:18" ht="20" customHeight="1" x14ac:dyDescent="0.25">
      <c r="D110" s="134" t="str" cm="1">
        <f t="array" ref="D110:E115">_xlfn.CHOOSECOLS(MMS_Feedlot_Methane_Equations.VEERG_4_1_1_1__4_Stage3MethaneProductionAnaerobicLagoon_Arguments(),1,2)</f>
        <v>VS_j</v>
      </c>
      <c r="E110" s="137" t="str">
        <v>volatile solid production from feedlot cattle in each group j</v>
      </c>
      <c r="F110" s="136"/>
      <c r="G110" s="134" t="str" cm="1">
        <f t="array" ref="G110:H115">_xlfn.CHOOSECOLS(MMS_Feedlot_Methane_Equations.VEERG_4_1_1_1__4_Stage3MethaneProductionAnaerobicLagoon_Arguments(),3,4)</f>
        <v>kg/head/day</v>
      </c>
      <c r="H110" s="126" t="str">
        <v>Calculated from 4.1.1.1 (5)</v>
      </c>
      <c r="I110" s="135" t="str" cm="1">
        <f t="array" aca="1" ref="I110" ca="1">HYPERLINK(Common_InputFunctions.Utility_SourceHyperlink($D$27),$D$27)</f>
        <v>M1_Table_VS_j</v>
      </c>
      <c r="M110" s="134" t="str" cm="1">
        <f t="array" ref="M110:N115">_xlfn.CHOOSECOLS(MMS_Feedlot_Methane_Equations.VEERG_4_1_1_1__4_Stage3MethaneProductionAnaerobicLagoon_Arguments_Method2(),1,2)</f>
        <v>VS_j</v>
      </c>
      <c r="N110" s="137" t="str">
        <v>volatile solid production from feedlot cattle in each group j</v>
      </c>
      <c r="O110" s="136"/>
      <c r="P110" s="134" t="str" cm="1">
        <f t="array" ref="P110:Q115">_xlfn.CHOOSECOLS(MMS_Feedlot_Methane_Equations.VEERG_4_1_1_1__4_Stage3MethaneProductionAnaerobicLagoon_Arguments_Method2(),3,4)</f>
        <v>kg/head/day</v>
      </c>
      <c r="Q110" s="126" t="str">
        <v>Calculated from 4.1.1.1 (5)</v>
      </c>
      <c r="R110" s="135"/>
    </row>
    <row r="111" spans="3:18" ht="20" customHeight="1" x14ac:dyDescent="0.25">
      <c r="D111" s="134" t="str">
        <v>BO</v>
      </c>
      <c r="E111" s="137" t="str">
        <v>emissions potential</v>
      </c>
      <c r="F111" s="136"/>
      <c r="G111" s="134" t="str">
        <v>m3 CH4/kg VS</v>
      </c>
      <c r="H111" s="126" t="str">
        <v>Constant</v>
      </c>
      <c r="I111" s="134">
        <f>SourceData_Feedlot_MethaneEmissionsPotential_Data</f>
        <v>0.19</v>
      </c>
      <c r="M111" s="134" t="str">
        <v>BO</v>
      </c>
      <c r="N111" s="137" t="str">
        <v>emissions potential</v>
      </c>
      <c r="O111" s="136"/>
      <c r="P111" s="134" t="str">
        <v>m3 CH4/kg VS</v>
      </c>
      <c r="Q111" s="126" t="str">
        <v>Constant</v>
      </c>
      <c r="R111" s="134"/>
    </row>
    <row r="112" spans="3:18" ht="20" customHeight="1" x14ac:dyDescent="0.25">
      <c r="D112" s="134" t="str">
        <v>MMS_m1T3</v>
      </c>
      <c r="E112" s="137" t="str">
        <v>fraction of manure to tertiary anaerobic lagoon system</v>
      </c>
      <c r="F112" s="136"/>
      <c r="G112" s="134" t="str">
        <v>fraction</v>
      </c>
      <c r="H112" s="125" t="str">
        <v>Input</v>
      </c>
      <c r="I112" s="135" t="str" cm="1">
        <f t="array" aca="1" ref="I112" ca="1">HYPERLINK(Common_InputFunctions.Utility_SourceHyperlink($D$117),$D$117)</f>
        <v>Table_MMS_m-1_T-3</v>
      </c>
      <c r="M112" s="134" t="str">
        <v>MMS_m1T3</v>
      </c>
      <c r="N112" s="137" t="str">
        <v>fraction of manure to tertiary anaerobic lagoon system</v>
      </c>
      <c r="O112" s="136"/>
      <c r="P112" s="134" t="str">
        <v>fraction</v>
      </c>
      <c r="Q112" s="125" t="str">
        <v>Input</v>
      </c>
      <c r="R112" s="135" t="str" cm="1">
        <f t="array" aca="1" ref="R112" ca="1">HYPERLINK(Common_InputFunctions.Utility_SourceHyperlink($D$117),$D$117)</f>
        <v>Table_MMS_m-1_T-3</v>
      </c>
    </row>
    <row r="113" spans="3:18" ht="20" customHeight="1" x14ac:dyDescent="0.25">
      <c r="D113" s="134" t="str">
        <v>MCF_im1</v>
      </c>
      <c r="E113" s="137" t="str">
        <v>methane conversion factor for state and anaerobic lagoon system</v>
      </c>
      <c r="F113" s="136"/>
      <c r="G113" s="134" t="str">
        <v>fraction</v>
      </c>
      <c r="H113" s="126" t="str">
        <v>Constant</v>
      </c>
      <c r="I113" s="134">
        <f>HLOOKUP(I115, Table_SourceData_Feedlot_MCF[#All], 6, FALSE)</f>
        <v>0.77</v>
      </c>
      <c r="M113" s="134" t="str">
        <v>MCF_im1</v>
      </c>
      <c r="N113" s="137" t="str">
        <v>methane conversion factor for mean annual temperature and anaerobic lagoon system</v>
      </c>
      <c r="O113" s="136"/>
      <c r="P113" s="134" t="str">
        <v>fraction</v>
      </c>
      <c r="Q113" s="126" t="str">
        <v>Constant</v>
      </c>
      <c r="R113" s="134">
        <f>Common_InputFunctions.Common_GetMCFTemperatureZone(R115,M125,Table_SourceData_Common_MCFTemperatureZone[MAT (ºC)],Table_SourceData_Common_MCFTemperatureZone[#Headers],Table_SourceData_Common_MCFTemperatureZone[])</f>
        <v>0.77</v>
      </c>
    </row>
    <row r="114" spans="3:18" ht="20" customHeight="1" x14ac:dyDescent="0.25">
      <c r="D114" s="134" t="str">
        <v>rho</v>
      </c>
      <c r="E114" s="137" t="str">
        <v>density of methane</v>
      </c>
      <c r="F114" s="136"/>
      <c r="G114" s="134" t="str">
        <v>kg/m3</v>
      </c>
      <c r="H114" s="126" t="str">
        <v>Constant</v>
      </c>
      <c r="I114" s="134">
        <f>Common_SourceData_DensityOfMethane_Data</f>
        <v>0.6784</v>
      </c>
      <c r="M114" s="134" t="str">
        <v>rho</v>
      </c>
      <c r="N114" s="137" t="str">
        <v>density of methane</v>
      </c>
      <c r="O114" s="136"/>
      <c r="P114" s="134" t="str">
        <v>kg/m3</v>
      </c>
      <c r="Q114" s="126" t="str">
        <v>Constant</v>
      </c>
      <c r="R114" s="134"/>
    </row>
    <row r="115" spans="3:18" ht="20" customHeight="1" x14ac:dyDescent="0.25">
      <c r="D115" s="134" t="str">
        <v>i</v>
      </c>
      <c r="E115" s="137" t="str">
        <v>state</v>
      </c>
      <c r="F115" s="136"/>
      <c r="G115" s="134" t="str">
        <v/>
      </c>
      <c r="H115" s="125" t="str">
        <v>Input</v>
      </c>
      <c r="I115" s="134" t="str">
        <f>Common_InputFunctions.Utility_LookupValueInTable(X_Cell_Site_State,Table_AustralianStates[Common Name],Table_AustralianStates[Abbreviation])</f>
        <v>WA</v>
      </c>
      <c r="M115" s="134" t="str">
        <v>i</v>
      </c>
      <c r="N115" s="137" t="str">
        <v>Mean annual temperature</v>
      </c>
      <c r="O115" s="136"/>
      <c r="P115" s="134" t="str">
        <v/>
      </c>
      <c r="Q115" s="125" t="str">
        <v>Input</v>
      </c>
      <c r="R115" s="58">
        <f>X_Cell_Site_AverageTemperature</f>
        <v>18</v>
      </c>
    </row>
    <row r="116" spans="3:18" ht="20" customHeight="1" x14ac:dyDescent="0.25"/>
    <row r="117" spans="3:18" ht="20" customHeight="1" x14ac:dyDescent="0.25">
      <c r="D117" s="100" t="s">
        <v>109</v>
      </c>
    </row>
    <row r="118" spans="3:18" ht="20" customHeight="1" x14ac:dyDescent="0.25">
      <c r="D118" s="99" t="s">
        <v>111</v>
      </c>
    </row>
    <row r="119" spans="3:18" ht="20" customHeight="1" x14ac:dyDescent="0.25">
      <c r="D119" s="40" t="s">
        <v>110</v>
      </c>
      <c r="E119" s="40" t="s">
        <v>131</v>
      </c>
      <c r="F119" s="40" t="s">
        <v>132</v>
      </c>
      <c r="G119" s="40" t="s">
        <v>133</v>
      </c>
    </row>
    <row r="120" spans="3:18" ht="20" customHeight="1" x14ac:dyDescent="0.25">
      <c r="D120" s="53" t="str" cm="1">
        <f t="array" aca="1" ref="D120:G120" ca="1">OFFSET(X_Table_Feedlot_MMS_Stage3,2,0,1,4)</f>
        <v>Anaerobic lagoon</v>
      </c>
      <c r="E120" s="53">
        <f ca="1"/>
        <v>0.02</v>
      </c>
      <c r="F120" s="53">
        <f ca="1"/>
        <v>0.02</v>
      </c>
      <c r="G120" s="53">
        <f ca="1"/>
        <v>0.02</v>
      </c>
      <c r="H120" s="2" t="str">
        <f>G112</f>
        <v>fraction</v>
      </c>
    </row>
    <row r="121" spans="3:18" ht="20" customHeight="1" x14ac:dyDescent="0.25"/>
    <row r="122" spans="3:18" ht="20" customHeight="1" x14ac:dyDescent="0.25">
      <c r="D122" s="100" t="s">
        <v>208</v>
      </c>
      <c r="M122" s="100" t="s">
        <v>210</v>
      </c>
    </row>
    <row r="123" spans="3:18" ht="20" customHeight="1" x14ac:dyDescent="0.25">
      <c r="D123" s="99" t="s">
        <v>209</v>
      </c>
      <c r="M123" s="99" t="s">
        <v>211</v>
      </c>
    </row>
    <row r="124" spans="3:18" ht="20" customHeight="1" x14ac:dyDescent="0.25">
      <c r="D124" s="52" t="s">
        <v>110</v>
      </c>
      <c r="E124" s="52" t="s">
        <v>131</v>
      </c>
      <c r="F124" s="52" t="s">
        <v>132</v>
      </c>
      <c r="G124" s="52" t="s">
        <v>133</v>
      </c>
      <c r="M124" s="52" t="s">
        <v>110</v>
      </c>
      <c r="N124" s="52" t="s">
        <v>131</v>
      </c>
      <c r="O124" s="52" t="s">
        <v>132</v>
      </c>
      <c r="P124" s="52" t="s">
        <v>133</v>
      </c>
    </row>
    <row r="125" spans="3:18" ht="20" customHeight="1" x14ac:dyDescent="0.25">
      <c r="D125" s="53" t="str">
        <f>INDEX(X_Table_Feedlot_MMS_Stage3,3,1)</f>
        <v>Anaerobic lagoon</v>
      </c>
      <c r="E125" s="53" cm="1">
        <f t="array" aca="1" ref="E125" ca="1">MMS_Feedlot_Methane_Equations.VEERG_4_1_1_1__4_Stage3MethaneProductionAnaerobicLagoon(D$30, $I$111,E120,$I$113,$I$114)</f>
        <v>3.2947797442559996E-3</v>
      </c>
      <c r="F125" s="53" cm="1">
        <f t="array" aca="1" ref="F125" ca="1">MMS_Feedlot_Methane_Equations.VEERG_4_1_1_1__4_Stage3MethaneProductionAnaerobicLagoon(E$30, $I$111,F120,$I$113,$I$114)</f>
        <v>3.4215020421119995E-3</v>
      </c>
      <c r="G125" s="53" cm="1">
        <f t="array" aca="1" ref="G125" ca="1">MMS_Feedlot_Methane_Equations.VEERG_4_1_1_1__4_Stage3MethaneProductionAnaerobicLagoon(F$30, $I$111,G120,$I$113,$I$114)</f>
        <v>2.5978071060479987E-3</v>
      </c>
      <c r="H125" s="2" t="str">
        <f>$E$108</f>
        <v>kg CH4/head/day</v>
      </c>
      <c r="M125" s="53" t="str">
        <f>INDEX(X_Table_Feedlot_MMS_Stage3,3,1)</f>
        <v>Anaerobic lagoon</v>
      </c>
      <c r="N125" s="53" cm="1">
        <f t="array" aca="1" ref="N125" ca="1">MMS_Feedlot_Methane_Equations.VEERG_4_1_1_1__4_Stage3MethaneProductionAnaerobicLagoon(M$30, $I$111,E120,$R$113,$I$114)</f>
        <v>3.2947797442559996E-3</v>
      </c>
      <c r="O125" s="53" cm="1">
        <f t="array" aca="1" ref="O125" ca="1">MMS_Feedlot_Methane_Equations.VEERG_4_1_1_1__4_Stage3MethaneProductionAnaerobicLagoon(N$30, $I$111,F120,$R$113,$I$114)</f>
        <v>3.4215020421119995E-3</v>
      </c>
      <c r="P125" s="53" cm="1">
        <f t="array" aca="1" ref="P125" ca="1">MMS_Feedlot_Methane_Equations.VEERG_4_1_1_1__4_Stage3MethaneProductionAnaerobicLagoon(O$30, $I$111,G120,$R$113,$I$114)</f>
        <v>2.5978071060479987E-3</v>
      </c>
      <c r="Q125" s="2" t="str">
        <f>$E$108</f>
        <v>kg CH4/head/day</v>
      </c>
    </row>
    <row r="126" spans="3:18" ht="20" customHeight="1" x14ac:dyDescent="0.25"/>
    <row r="127" spans="3:18" ht="20" customHeight="1" x14ac:dyDescent="0.25"/>
    <row r="128" spans="3:18" ht="20" customHeight="1" x14ac:dyDescent="0.25">
      <c r="C128" s="46"/>
      <c r="D128" s="46"/>
      <c r="E128" s="46"/>
      <c r="F128" s="46"/>
      <c r="G128" s="46"/>
      <c r="H128" s="46"/>
      <c r="I128" s="46"/>
      <c r="J128" s="46"/>
      <c r="L128" s="46"/>
      <c r="M128" s="46"/>
      <c r="N128" s="46"/>
      <c r="O128" s="46"/>
      <c r="P128" s="46"/>
      <c r="Q128" s="46"/>
      <c r="R128" s="46"/>
    </row>
    <row r="129" spans="4:9" ht="20" customHeight="1" x14ac:dyDescent="0.25">
      <c r="D129" s="6" t="str" cm="1">
        <f t="array" ref="D129">MMS_Feedlot_Methane_Equations.VEERG_4_1_1_1__1_TotalAnnualMethaneEmissions_Title()</f>
        <v>Total annual methane emissions from manure management</v>
      </c>
    </row>
    <row r="130" spans="4:9" ht="20" customHeight="1" x14ac:dyDescent="0.25">
      <c r="D130" s="5" t="str" cm="1">
        <f t="array" ref="D130">MMS_Feedlot_Methane_Equations.VEERG_4_1_1_1__1_TotalAnnualMethaneEmissions_Source()</f>
        <v>VEERG 2026: 4.1.1.1, Equation (1)</v>
      </c>
    </row>
    <row r="131" spans="4:9" ht="20" customHeight="1" x14ac:dyDescent="0.25">
      <c r="D131" s="13" t="s">
        <v>23</v>
      </c>
      <c r="E131" s="13" t="str" cm="1">
        <f t="array" aca="1" ref="E131" ca="1">Common_InputFunctions.Utility_DisplayFunctionName(F164)</f>
        <v>=MMS_Feedlot_Methane_Equations.VEERG_4_1_1_1__1_TotalAnnualMethaneEmissions</v>
      </c>
    </row>
    <row r="132" spans="4:9" ht="20" customHeight="1" x14ac:dyDescent="0.25"/>
    <row r="133" spans="4:9" ht="20" customHeight="1" x14ac:dyDescent="0.25">
      <c r="D133" s="6"/>
    </row>
    <row r="134" spans="4:9" ht="20" customHeight="1" x14ac:dyDescent="0.25"/>
    <row r="135" spans="4:9" ht="20" customHeight="1" x14ac:dyDescent="0.25">
      <c r="D135" s="54" t="s">
        <v>26</v>
      </c>
      <c r="E135" s="1" t="str" cm="1">
        <f t="array" ref="E135">MMS_Feedlot_Methane_Equations.VEERG_4_1_1_1__1_TotalAnnualMethaneEmissions_Variable()</f>
        <v>E_CH4</v>
      </c>
    </row>
    <row r="136" spans="4:9" ht="20" customHeight="1" x14ac:dyDescent="0.25">
      <c r="D136" s="54" t="s">
        <v>16</v>
      </c>
      <c r="E136" s="55" t="str" cm="1">
        <f t="array" ref="E136">MMS_Feedlot_Methane_Equations.VEERG_4_1_1_1__1_TotalAnnualMethaneEmissions_Unit()</f>
        <v>t CH4</v>
      </c>
    </row>
    <row r="137" spans="4:9" ht="20" customHeight="1" x14ac:dyDescent="0.25"/>
    <row r="138" spans="4:9" ht="20" customHeight="1" x14ac:dyDescent="0.25">
      <c r="D138" s="134" t="str" cm="1">
        <f t="array" ref="D138:E140">_xlfn.CHOOSECOLS(MMS_Feedlot_Methane_Equations.VEERG_4_1_1_1__1_TotalAnnualMethaneEmissions_Arguments(),1,2)</f>
        <v>D_j</v>
      </c>
      <c r="E138" s="137" t="str">
        <v>length of stay of each cattle group</v>
      </c>
      <c r="F138" s="136"/>
      <c r="G138" s="134" t="str" cm="1">
        <f t="array" ref="G138:H140">_xlfn.CHOOSECOLS(MMS_Feedlot_Methane_Equations.VEERG_4_1_1_1__1_TotalAnnualMethaneEmissions_Arguments(),3,4)</f>
        <v>days</v>
      </c>
      <c r="H138" s="125" t="str">
        <v>Input</v>
      </c>
      <c r="I138" s="135" t="str" cm="1">
        <f t="array" aca="1" ref="I138" ca="1">HYPERLINK(Common_InputFunctions.Utility_SourceHyperlink($D$142),$D$142)</f>
        <v>Table_D_j</v>
      </c>
    </row>
    <row r="139" spans="4:9" ht="20" customHeight="1" x14ac:dyDescent="0.25">
      <c r="D139" s="134" t="str">
        <v>M_jmT</v>
      </c>
      <c r="E139" s="137" t="str">
        <v>methane production from manure per cattle group, MMS, and treatment stage</v>
      </c>
      <c r="F139" s="136"/>
      <c r="G139" s="134" t="str">
        <v>kg CH4/head/day</v>
      </c>
      <c r="H139" s="126" t="str">
        <v>Calculated from 4.1.1.1 (2)(3)(4)</v>
      </c>
      <c r="I139" s="135" t="str" cm="1">
        <f t="array" aca="1" ref="I139" ca="1">HYPERLINK(Common_InputFunctions.Utility_SourceHyperlink($D$147),$D$147)</f>
        <v>M1_Table_M_j_m_T</v>
      </c>
    </row>
    <row r="140" spans="4:9" ht="20" customHeight="1" x14ac:dyDescent="0.25">
      <c r="D140" s="134" t="str">
        <v>N_j</v>
      </c>
      <c r="E140" s="137" t="str">
        <v>numbers of beef cattle in each group</v>
      </c>
      <c r="F140" s="136"/>
      <c r="G140" s="134" t="str">
        <v>head</v>
      </c>
      <c r="H140" s="125" t="str">
        <v>Input</v>
      </c>
      <c r="I140" s="135" t="str" cm="1">
        <f t="array" aca="1" ref="I140" ca="1">HYPERLINK(Common_InputFunctions.Utility_SourceHyperlink($D$156),$D$156)</f>
        <v>Table_N_j</v>
      </c>
    </row>
    <row r="141" spans="4:9" ht="20" customHeight="1" x14ac:dyDescent="0.25"/>
    <row r="142" spans="4:9" ht="20" customHeight="1" x14ac:dyDescent="0.25">
      <c r="D142" s="100" t="s">
        <v>115</v>
      </c>
    </row>
    <row r="143" spans="4:9" ht="20" customHeight="1" x14ac:dyDescent="0.25">
      <c r="D143" s="99" t="s">
        <v>113</v>
      </c>
    </row>
    <row r="144" spans="4:9" ht="20" customHeight="1" x14ac:dyDescent="0.25">
      <c r="D144" s="40" t="s">
        <v>131</v>
      </c>
      <c r="E144" s="40" t="s">
        <v>132</v>
      </c>
      <c r="F144" s="40" t="s">
        <v>133</v>
      </c>
    </row>
    <row r="145" spans="4:18" ht="20" customHeight="1" x14ac:dyDescent="0.25">
      <c r="D145" s="103" cm="1">
        <f t="array" aca="1" ref="D145:F145" ca="1">OFFSET(X_Table_Feedlot_HerdMovement,2,1,1,3)</f>
        <v>90</v>
      </c>
      <c r="E145" s="103">
        <f ca="1"/>
        <v>140</v>
      </c>
      <c r="F145" s="103">
        <f ca="1"/>
        <v>250</v>
      </c>
      <c r="G145" s="2" t="str">
        <f>G138</f>
        <v>days</v>
      </c>
    </row>
    <row r="146" spans="4:18" ht="20" customHeight="1" x14ac:dyDescent="0.25"/>
    <row r="147" spans="4:18" ht="20" customHeight="1" x14ac:dyDescent="0.25">
      <c r="D147" s="100" t="s">
        <v>212</v>
      </c>
      <c r="M147" s="100" t="s">
        <v>214</v>
      </c>
    </row>
    <row r="148" spans="4:18" ht="20" customHeight="1" x14ac:dyDescent="0.25">
      <c r="D148" s="99" t="s">
        <v>213</v>
      </c>
      <c r="M148" s="99" t="s">
        <v>215</v>
      </c>
    </row>
    <row r="149" spans="4:18" ht="20" customHeight="1" x14ac:dyDescent="0.25">
      <c r="D149" s="52" t="s">
        <v>119</v>
      </c>
      <c r="E149" s="52" t="s">
        <v>64</v>
      </c>
      <c r="F149" s="52" t="s">
        <v>131</v>
      </c>
      <c r="G149" s="52" t="s">
        <v>132</v>
      </c>
      <c r="H149" s="52" t="s">
        <v>133</v>
      </c>
      <c r="M149" s="52" t="s">
        <v>119</v>
      </c>
      <c r="N149" s="52" t="s">
        <v>64</v>
      </c>
      <c r="O149" s="52" t="s">
        <v>131</v>
      </c>
      <c r="P149" s="52" t="s">
        <v>132</v>
      </c>
      <c r="Q149" s="52" t="s">
        <v>133</v>
      </c>
    </row>
    <row r="150" spans="4:18" ht="20" customHeight="1" x14ac:dyDescent="0.25">
      <c r="D150" s="53">
        <v>1</v>
      </c>
      <c r="E150" s="53" t="str">
        <f>INDEX(X_Table_Feedlot_MMS_Stage1,2,1)</f>
        <v>Drylot (feed pad)</v>
      </c>
      <c r="F150" s="53">
        <f ca="1">$E$57</f>
        <v>2.1394673663999997E-3</v>
      </c>
      <c r="G150" s="53">
        <f ca="1">$F$57</f>
        <v>2.2217545727999995E-3</v>
      </c>
      <c r="H150" s="53">
        <f ca="1">$G$57</f>
        <v>1.6868877311999992E-3</v>
      </c>
      <c r="I150" s="2" t="str">
        <f>$G$139</f>
        <v>kg CH4/head/day</v>
      </c>
      <c r="M150" s="53">
        <v>1</v>
      </c>
      <c r="N150" s="53" t="str">
        <f>INDEX(X_Table_Feedlot_MMS_Stage1,2,1)</f>
        <v>Drylot (feed pad)</v>
      </c>
      <c r="O150" s="53">
        <f ca="1">$N$57</f>
        <v>2.1394673663999997E-3</v>
      </c>
      <c r="P150" s="53">
        <f ca="1">$O$57</f>
        <v>2.2217545727999995E-3</v>
      </c>
      <c r="Q150" s="53">
        <f ca="1">$P$57</f>
        <v>1.6868877311999992E-3</v>
      </c>
      <c r="R150" s="2" t="str">
        <f>$G$139</f>
        <v>kg CH4/head/day</v>
      </c>
    </row>
    <row r="151" spans="4:18" ht="20" customHeight="1" x14ac:dyDescent="0.25">
      <c r="D151" s="53">
        <v>2</v>
      </c>
      <c r="E151" s="53" t="str">
        <f>INDEX(X_Table_Feedlot_MMS_Stage2,3,1)</f>
        <v>Solid storage</v>
      </c>
      <c r="F151" s="53">
        <f ca="1">$E$96</f>
        <v>4.2789347327999993E-4</v>
      </c>
      <c r="G151" s="53">
        <f ca="1">$F$96</f>
        <v>4.4435091455999993E-4</v>
      </c>
      <c r="H151" s="53">
        <f ca="1">$G$96</f>
        <v>3.3737754623999993E-4</v>
      </c>
      <c r="I151" s="2"/>
      <c r="M151" s="53">
        <v>2</v>
      </c>
      <c r="N151" s="53" t="str">
        <f>INDEX(X_Table_Feedlot_MMS_Stage2,3,1)</f>
        <v>Solid storage</v>
      </c>
      <c r="O151" s="53">
        <f ca="1">$N$96</f>
        <v>4.2789347327999993E-4</v>
      </c>
      <c r="P151" s="53">
        <f ca="1">$O$96</f>
        <v>4.4435091455999993E-4</v>
      </c>
      <c r="Q151" s="53">
        <f ca="1">$P$96</f>
        <v>3.3737754623999993E-4</v>
      </c>
      <c r="R151" s="2"/>
    </row>
    <row r="152" spans="4:18" ht="20" customHeight="1" x14ac:dyDescent="0.25">
      <c r="D152" s="53">
        <v>2</v>
      </c>
      <c r="E152" s="53" t="str">
        <f>INDEX(X_Table_Feedlot_MMS_Stage2,4,1)</f>
        <v>Composting (passive windrow)</v>
      </c>
      <c r="F152" s="53">
        <f ca="1">$E$97</f>
        <v>2.1394673663999996E-4</v>
      </c>
      <c r="G152" s="53">
        <f ca="1">$F$97</f>
        <v>2.2217545727999996E-4</v>
      </c>
      <c r="H152" s="53">
        <f ca="1">$G$97</f>
        <v>1.6868877311999997E-4</v>
      </c>
      <c r="I152" s="2"/>
      <c r="M152" s="53">
        <v>2</v>
      </c>
      <c r="N152" s="53" t="str">
        <f>INDEX(X_Table_Feedlot_MMS_Stage2,4,1)</f>
        <v>Composting (passive windrow)</v>
      </c>
      <c r="O152" s="53">
        <f ca="1">$N$97</f>
        <v>2.1394673663999996E-4</v>
      </c>
      <c r="P152" s="53">
        <f ca="1">$O$97</f>
        <v>2.2217545727999996E-4</v>
      </c>
      <c r="Q152" s="53">
        <f ca="1">$P$97</f>
        <v>1.6868877311999997E-4</v>
      </c>
      <c r="R152" s="2"/>
    </row>
    <row r="153" spans="4:18" ht="20" customHeight="1" x14ac:dyDescent="0.25">
      <c r="D153" s="53">
        <v>2</v>
      </c>
      <c r="E153" s="53" t="str">
        <f>INDEX(X_Table_Feedlot_MMS_Stage2,5,1)</f>
        <v>Direct application</v>
      </c>
      <c r="F153" s="53">
        <f ca="1">$E$98</f>
        <v>0</v>
      </c>
      <c r="G153" s="53">
        <f ca="1">$F$98</f>
        <v>0</v>
      </c>
      <c r="H153" s="53">
        <f ca="1">$G$98</f>
        <v>0</v>
      </c>
      <c r="I153" s="2"/>
      <c r="M153" s="53">
        <v>2</v>
      </c>
      <c r="N153" s="53" t="str">
        <f>INDEX(X_Table_Feedlot_MMS_Stage2,5,1)</f>
        <v>Direct application</v>
      </c>
      <c r="O153" s="53">
        <f ca="1">$N$98</f>
        <v>0</v>
      </c>
      <c r="P153" s="53">
        <f ca="1">$O$98</f>
        <v>0</v>
      </c>
      <c r="Q153" s="53">
        <f ca="1">$P$98</f>
        <v>0</v>
      </c>
      <c r="R153" s="2"/>
    </row>
    <row r="154" spans="4:18" ht="20" customHeight="1" x14ac:dyDescent="0.25">
      <c r="D154" s="53">
        <v>3</v>
      </c>
      <c r="E154" s="53" t="str">
        <f>INDEX(X_Table_Feedlot_MMS_Stage3,3,1)</f>
        <v>Anaerobic lagoon</v>
      </c>
      <c r="F154" s="53">
        <f ca="1">$E$125</f>
        <v>3.2947797442559996E-3</v>
      </c>
      <c r="G154" s="53">
        <f ca="1">$F$125</f>
        <v>3.4215020421119995E-3</v>
      </c>
      <c r="H154" s="53">
        <f ca="1">$G$125</f>
        <v>2.5978071060479987E-3</v>
      </c>
      <c r="I154" s="2"/>
      <c r="M154" s="53">
        <v>3</v>
      </c>
      <c r="N154" s="53" t="str">
        <f>INDEX(X_Table_Feedlot_MMS_Stage3,3,1)</f>
        <v>Anaerobic lagoon</v>
      </c>
      <c r="O154" s="53">
        <f ca="1">$N$125</f>
        <v>3.2947797442559996E-3</v>
      </c>
      <c r="P154" s="53">
        <f ca="1">$O$125</f>
        <v>3.4215020421119995E-3</v>
      </c>
      <c r="Q154" s="53">
        <f ca="1">$P$125</f>
        <v>2.5978071060479987E-3</v>
      </c>
      <c r="R154" s="2"/>
    </row>
    <row r="155" spans="4:18" ht="20" customHeight="1" x14ac:dyDescent="0.25"/>
    <row r="156" spans="4:18" ht="20" customHeight="1" x14ac:dyDescent="0.25">
      <c r="D156" s="100" t="s">
        <v>116</v>
      </c>
    </row>
    <row r="157" spans="4:18" ht="20" customHeight="1" x14ac:dyDescent="0.25">
      <c r="D157" s="99" t="s">
        <v>117</v>
      </c>
    </row>
    <row r="158" spans="4:18" ht="20" customHeight="1" x14ac:dyDescent="0.25">
      <c r="D158" s="40" t="s">
        <v>131</v>
      </c>
      <c r="E158" s="40" t="s">
        <v>132</v>
      </c>
      <c r="F158" s="40" t="s">
        <v>133</v>
      </c>
    </row>
    <row r="159" spans="4:18" ht="20" customHeight="1" x14ac:dyDescent="0.25">
      <c r="D159" s="103" cm="1">
        <f t="array" aca="1" ref="D159:F159" ca="1">OFFSET(X_Table_Feedlot_HerdMovement,1,1,1,3)</f>
        <v>1000</v>
      </c>
      <c r="E159" s="103">
        <f ca="1"/>
        <v>1000</v>
      </c>
      <c r="F159" s="103">
        <f ca="1"/>
        <v>1000</v>
      </c>
      <c r="G159" s="2" t="str">
        <f>G140</f>
        <v>head</v>
      </c>
    </row>
    <row r="160" spans="4:18" ht="20" customHeight="1" x14ac:dyDescent="0.25"/>
    <row r="161" spans="4:18" ht="20" customHeight="1" x14ac:dyDescent="0.25">
      <c r="D161" s="100" t="s">
        <v>121</v>
      </c>
      <c r="M161" s="100" t="s">
        <v>121</v>
      </c>
    </row>
    <row r="162" spans="4:18" ht="20" customHeight="1" x14ac:dyDescent="0.25">
      <c r="D162" s="99" t="s">
        <v>122</v>
      </c>
      <c r="M162" s="99" t="s">
        <v>122</v>
      </c>
    </row>
    <row r="163" spans="4:18" ht="20" customHeight="1" x14ac:dyDescent="0.25">
      <c r="D163" s="52" t="s">
        <v>119</v>
      </c>
      <c r="E163" s="52" t="s">
        <v>64</v>
      </c>
      <c r="F163" s="52" t="s">
        <v>131</v>
      </c>
      <c r="G163" s="52" t="s">
        <v>132</v>
      </c>
      <c r="H163" s="52" t="s">
        <v>133</v>
      </c>
      <c r="M163" s="52" t="s">
        <v>119</v>
      </c>
      <c r="N163" s="52" t="s">
        <v>64</v>
      </c>
      <c r="O163" s="52" t="s">
        <v>131</v>
      </c>
      <c r="P163" s="52" t="s">
        <v>132</v>
      </c>
      <c r="Q163" s="52" t="s">
        <v>133</v>
      </c>
    </row>
    <row r="164" spans="4:18" ht="20" customHeight="1" x14ac:dyDescent="0.25">
      <c r="D164" s="53">
        <v>1</v>
      </c>
      <c r="E164" s="53" t="str">
        <f>INDEX(X_Table_Feedlot_MMS_Stage1,2,1)</f>
        <v>Drylot (feed pad)</v>
      </c>
      <c r="F164" s="53" cm="1">
        <f t="array" aca="1" ref="F164" ca="1">MMS_Feedlot_Methane_Equations.VEERG_4_1_1_1__1_TotalAnnualMethaneEmissions(D$145, F150, D$159)</f>
        <v>0.19255206297599997</v>
      </c>
      <c r="G164" s="53" cm="1">
        <f t="array" aca="1" ref="G164" ca="1">MMS_Feedlot_Methane_Equations.VEERG_4_1_1_1__1_TotalAnnualMethaneEmissions(E$145, G150, E$159)</f>
        <v>0.31104564019199998</v>
      </c>
      <c r="H164" s="53" cm="1">
        <f t="array" aca="1" ref="H164" ca="1">MMS_Feedlot_Methane_Equations.VEERG_4_1_1_1__1_TotalAnnualMethaneEmissions(F$145, H150, F$159)</f>
        <v>0.42172193279999981</v>
      </c>
      <c r="I164" s="2" t="str">
        <f>$E$136</f>
        <v>t CH4</v>
      </c>
      <c r="M164" s="53">
        <v>1</v>
      </c>
      <c r="N164" s="53" t="str">
        <f>INDEX(X_Table_Feedlot_MMS_Stage1,2,1)</f>
        <v>Drylot (feed pad)</v>
      </c>
      <c r="O164" s="53" cm="1">
        <f t="array" aca="1" ref="O164" ca="1">MMS_Feedlot_Methane_Equations.VEERG_4_1_1_1__1_TotalAnnualMethaneEmissions(D$145, O150, D$159)</f>
        <v>0.19255206297599997</v>
      </c>
      <c r="P164" s="53" cm="1">
        <f t="array" aca="1" ref="P164" ca="1">MMS_Feedlot_Methane_Equations.VEERG_4_1_1_1__1_TotalAnnualMethaneEmissions(E$145, P150, E$159)</f>
        <v>0.31104564019199998</v>
      </c>
      <c r="Q164" s="53" cm="1">
        <f t="array" aca="1" ref="Q164" ca="1">MMS_Feedlot_Methane_Equations.VEERG_4_1_1_1__1_TotalAnnualMethaneEmissions(F$145, Q150, F$159)</f>
        <v>0.42172193279999981</v>
      </c>
      <c r="R164" s="2" t="str">
        <f>$E$136</f>
        <v>t CH4</v>
      </c>
    </row>
    <row r="165" spans="4:18" ht="20" customHeight="1" x14ac:dyDescent="0.25">
      <c r="D165" s="53">
        <v>2</v>
      </c>
      <c r="E165" s="53" t="str">
        <f>INDEX(X_Table_Feedlot_MMS_Stage2,3,1)</f>
        <v>Solid storage</v>
      </c>
      <c r="F165" s="53" cm="1">
        <f t="array" aca="1" ref="F165" ca="1">MMS_Feedlot_Methane_Equations.VEERG_4_1_1_1__1_TotalAnnualMethaneEmissions(D$145, F151, D$159)</f>
        <v>3.8510412595199994E-2</v>
      </c>
      <c r="G165" s="53" cm="1">
        <f t="array" aca="1" ref="G165" ca="1">MMS_Feedlot_Methane_Equations.VEERG_4_1_1_1__1_TotalAnnualMethaneEmissions(E$145, G151, E$159)</f>
        <v>6.2209128038399987E-2</v>
      </c>
      <c r="H165" s="53" cm="1">
        <f t="array" aca="1" ref="H165" ca="1">MMS_Feedlot_Methane_Equations.VEERG_4_1_1_1__1_TotalAnnualMethaneEmissions(F$145, H151, F$159)</f>
        <v>8.4344386559999998E-2</v>
      </c>
      <c r="I165" s="2"/>
      <c r="M165" s="53">
        <v>2</v>
      </c>
      <c r="N165" s="53" t="str">
        <f>INDEX(X_Table_Feedlot_MMS_Stage2,3,1)</f>
        <v>Solid storage</v>
      </c>
      <c r="O165" s="53" cm="1">
        <f t="array" aca="1" ref="O165" ca="1">MMS_Feedlot_Methane_Equations.VEERG_4_1_1_1__1_TotalAnnualMethaneEmissions(D$145, O151, D$159)</f>
        <v>3.8510412595199994E-2</v>
      </c>
      <c r="P165" s="53" cm="1">
        <f t="array" aca="1" ref="P165" ca="1">MMS_Feedlot_Methane_Equations.VEERG_4_1_1_1__1_TotalAnnualMethaneEmissions(E$145, P151, E$159)</f>
        <v>6.2209128038399987E-2</v>
      </c>
      <c r="Q165" s="53" cm="1">
        <f t="array" aca="1" ref="Q165" ca="1">MMS_Feedlot_Methane_Equations.VEERG_4_1_1_1__1_TotalAnnualMethaneEmissions(F$145, Q151, F$159)</f>
        <v>8.4344386559999998E-2</v>
      </c>
      <c r="R165" s="2"/>
    </row>
    <row r="166" spans="4:18" ht="20" customHeight="1" x14ac:dyDescent="0.25">
      <c r="D166" s="53">
        <v>2</v>
      </c>
      <c r="E166" s="53" t="str">
        <f>INDEX(X_Table_Feedlot_MMS_Stage2,4,1)</f>
        <v>Composting (passive windrow)</v>
      </c>
      <c r="F166" s="53" cm="1">
        <f t="array" aca="1" ref="F166" ca="1">MMS_Feedlot_Methane_Equations.VEERG_4_1_1_1__1_TotalAnnualMethaneEmissions(D$145, F152, D$159)</f>
        <v>1.9255206297599997E-2</v>
      </c>
      <c r="G166" s="53" cm="1">
        <f t="array" aca="1" ref="G166" ca="1">MMS_Feedlot_Methane_Equations.VEERG_4_1_1_1__1_TotalAnnualMethaneEmissions(E$145, G152, E$159)</f>
        <v>3.1104564019199994E-2</v>
      </c>
      <c r="H166" s="53" cm="1">
        <f t="array" aca="1" ref="H166" ca="1">MMS_Feedlot_Methane_Equations.VEERG_4_1_1_1__1_TotalAnnualMethaneEmissions(F$145, H152, F$159)</f>
        <v>4.2172193279999999E-2</v>
      </c>
      <c r="I166" s="2"/>
      <c r="M166" s="53">
        <v>2</v>
      </c>
      <c r="N166" s="53" t="str">
        <f>INDEX(X_Table_Feedlot_MMS_Stage2,4,1)</f>
        <v>Composting (passive windrow)</v>
      </c>
      <c r="O166" s="53" cm="1">
        <f t="array" aca="1" ref="O166" ca="1">MMS_Feedlot_Methane_Equations.VEERG_4_1_1_1__1_TotalAnnualMethaneEmissions(D$145, O152, D$159)</f>
        <v>1.9255206297599997E-2</v>
      </c>
      <c r="P166" s="53" cm="1">
        <f t="array" aca="1" ref="P166" ca="1">MMS_Feedlot_Methane_Equations.VEERG_4_1_1_1__1_TotalAnnualMethaneEmissions(E$145, P152, E$159)</f>
        <v>3.1104564019199994E-2</v>
      </c>
      <c r="Q166" s="53" cm="1">
        <f t="array" aca="1" ref="Q166" ca="1">MMS_Feedlot_Methane_Equations.VEERG_4_1_1_1__1_TotalAnnualMethaneEmissions(F$145, Q152, F$159)</f>
        <v>4.2172193279999999E-2</v>
      </c>
      <c r="R166" s="2"/>
    </row>
    <row r="167" spans="4:18" ht="20" customHeight="1" x14ac:dyDescent="0.25">
      <c r="D167" s="53">
        <v>2</v>
      </c>
      <c r="E167" s="53" t="str">
        <f>INDEX(X_Table_Feedlot_MMS_Stage2,5,1)</f>
        <v>Direct application</v>
      </c>
      <c r="F167" s="53" cm="1">
        <f t="array" aca="1" ref="F167" ca="1">MMS_Feedlot_Methane_Equations.VEERG_4_1_1_1__1_TotalAnnualMethaneEmissions(D$145, F153, D$159)</f>
        <v>0</v>
      </c>
      <c r="G167" s="53" cm="1">
        <f t="array" aca="1" ref="G167" ca="1">MMS_Feedlot_Methane_Equations.VEERG_4_1_1_1__1_TotalAnnualMethaneEmissions(E$145, G153, E$159)</f>
        <v>0</v>
      </c>
      <c r="H167" s="53" cm="1">
        <f t="array" aca="1" ref="H167" ca="1">MMS_Feedlot_Methane_Equations.VEERG_4_1_1_1__1_TotalAnnualMethaneEmissions(F$145, H153, F$159)</f>
        <v>0</v>
      </c>
      <c r="I167" s="2"/>
      <c r="M167" s="53">
        <v>2</v>
      </c>
      <c r="N167" s="53" t="str">
        <f>INDEX(X_Table_Feedlot_MMS_Stage2,5,1)</f>
        <v>Direct application</v>
      </c>
      <c r="O167" s="53" cm="1">
        <f t="array" aca="1" ref="O167" ca="1">MMS_Feedlot_Methane_Equations.VEERG_4_1_1_1__1_TotalAnnualMethaneEmissions(D$145, O153, D$159)</f>
        <v>0</v>
      </c>
      <c r="P167" s="53" cm="1">
        <f t="array" aca="1" ref="P167" ca="1">MMS_Feedlot_Methane_Equations.VEERG_4_1_1_1__1_TotalAnnualMethaneEmissions(E$145, P153, E$159)</f>
        <v>0</v>
      </c>
      <c r="Q167" s="53" cm="1">
        <f t="array" aca="1" ref="Q167" ca="1">MMS_Feedlot_Methane_Equations.VEERG_4_1_1_1__1_TotalAnnualMethaneEmissions(F$145, Q153, F$159)</f>
        <v>0</v>
      </c>
      <c r="R167" s="2"/>
    </row>
    <row r="168" spans="4:18" ht="20" customHeight="1" x14ac:dyDescent="0.25">
      <c r="D168" s="53">
        <v>3</v>
      </c>
      <c r="E168" s="53" t="str">
        <f>INDEX(X_Table_Feedlot_MMS_Stage3,3,1)</f>
        <v>Anaerobic lagoon</v>
      </c>
      <c r="F168" s="53" cm="1">
        <f t="array" aca="1" ref="F168" ca="1">MMS_Feedlot_Methane_Equations.VEERG_4_1_1_1__1_TotalAnnualMethaneEmissions(D$145, F154, D$159)</f>
        <v>0.29653017698303996</v>
      </c>
      <c r="G168" s="53" cm="1">
        <f t="array" aca="1" ref="G168" ca="1">MMS_Feedlot_Methane_Equations.VEERG_4_1_1_1__1_TotalAnnualMethaneEmissions(E$145, G154, E$159)</f>
        <v>0.47901028589567995</v>
      </c>
      <c r="H168" s="53" cm="1">
        <f t="array" aca="1" ref="H168" ca="1">MMS_Feedlot_Methane_Equations.VEERG_4_1_1_1__1_TotalAnnualMethaneEmissions(F$145, H154, F$159)</f>
        <v>0.6494517765119997</v>
      </c>
      <c r="I168" s="2"/>
      <c r="M168" s="53">
        <v>3</v>
      </c>
      <c r="N168" s="53" t="str">
        <f>INDEX(X_Table_Feedlot_MMS_Stage3,3,1)</f>
        <v>Anaerobic lagoon</v>
      </c>
      <c r="O168" s="53" cm="1">
        <f t="array" aca="1" ref="O168" ca="1">MMS_Feedlot_Methane_Equations.VEERG_4_1_1_1__1_TotalAnnualMethaneEmissions(D$145, O154, D$159)</f>
        <v>0.29653017698303996</v>
      </c>
      <c r="P168" s="53" cm="1">
        <f t="array" aca="1" ref="P168" ca="1">MMS_Feedlot_Methane_Equations.VEERG_4_1_1_1__1_TotalAnnualMethaneEmissions(E$145, P154, E$159)</f>
        <v>0.47901028589567995</v>
      </c>
      <c r="Q168" s="53" cm="1">
        <f t="array" aca="1" ref="Q168" ca="1">MMS_Feedlot_Methane_Equations.VEERG_4_1_1_1__1_TotalAnnualMethaneEmissions(F$145, Q154, F$159)</f>
        <v>0.6494517765119997</v>
      </c>
      <c r="R168" s="2"/>
    </row>
    <row r="169" spans="4:18" ht="20" customHeight="1" x14ac:dyDescent="0.25"/>
    <row r="170" spans="4:18" ht="20" customHeight="1" x14ac:dyDescent="0.25"/>
    <row r="171" spans="4:18" ht="20" customHeight="1" x14ac:dyDescent="0.25">
      <c r="D171" s="104" t="s">
        <v>216</v>
      </c>
      <c r="E171" s="105">
        <f ca="1">SUM(F164:H168)</f>
        <v>2.6279077661491193</v>
      </c>
      <c r="F171" s="106" t="str">
        <f>$E$136</f>
        <v>t CH4</v>
      </c>
      <c r="M171" s="104" t="s">
        <v>217</v>
      </c>
      <c r="N171" s="105">
        <f ca="1">SUM(O164:Q168)</f>
        <v>2.6279077661491193</v>
      </c>
      <c r="O171" s="106" t="str">
        <f>$E$136</f>
        <v>t CH4</v>
      </c>
    </row>
    <row r="172" spans="4:18" ht="20" customHeight="1" x14ac:dyDescent="0.25"/>
    <row r="173" spans="4:18" ht="20" customHeight="1" x14ac:dyDescent="0.25">
      <c r="D173" s="58" t="str" cm="1">
        <f t="array" ref="D173:E174">Common_Equations.Common_ConvertCH4ToCO2e_Arguments()</f>
        <v>ECH4</v>
      </c>
      <c r="E173" s="59" t="str">
        <v>Methane emissions (t CH4)</v>
      </c>
      <c r="F173" s="107"/>
      <c r="G173" s="53">
        <f ca="1">VEERG_4_1_1_1__1_TotalAnnualMethaneEmissions_Result_Method1</f>
        <v>2.6279077661491193</v>
      </c>
      <c r="H173" s="2" t="str">
        <f>$E$136</f>
        <v>t CH4</v>
      </c>
      <c r="M173" s="58" t="str" cm="1">
        <f t="array" ref="M173:N174">Common_Equations.Common_ConvertCH4ToCO2e_Arguments()</f>
        <v>ECH4</v>
      </c>
      <c r="N173" s="59" t="str">
        <v>Methane emissions (t CH4)</v>
      </c>
      <c r="O173" s="107"/>
      <c r="P173" s="53">
        <f ca="1">VEERG_4_1_1_1__1_TotalAnnualMethaneEmissions_Result_Method2</f>
        <v>2.6279077661491193</v>
      </c>
      <c r="Q173" s="2" t="str">
        <f>$E$136</f>
        <v>t CH4</v>
      </c>
    </row>
    <row r="174" spans="4:18" ht="20" customHeight="1" x14ac:dyDescent="0.25">
      <c r="D174" s="58" t="str">
        <v>GWPCH4</v>
      </c>
      <c r="E174" s="59" t="str">
        <v>Global warming potential for methane (t CO2-e / t CH4)</v>
      </c>
      <c r="F174" s="107"/>
      <c r="G174" s="53">
        <f>Common_InputFunctions.Utility_LookupValueInTableNumber("CH4",Table_GWPData[Gas],Table_GWPData[CO2-e factor])</f>
        <v>28</v>
      </c>
      <c r="M174" s="58" t="str">
        <v>GWPCH4</v>
      </c>
      <c r="N174" s="59" t="str">
        <v>Global warming potential for methane (t CO2-e / t CH4)</v>
      </c>
      <c r="O174" s="107"/>
      <c r="P174" s="53">
        <f>Common_InputFunctions.Utility_LookupValueInTableNumber("CH4",Table_GWPData[Gas],Table_GWPData[CO2-e factor])</f>
        <v>28</v>
      </c>
    </row>
    <row r="175" spans="4:18" ht="20" customHeight="1" x14ac:dyDescent="0.25"/>
    <row r="176" spans="4:18" ht="20" customHeight="1" x14ac:dyDescent="0.25">
      <c r="D176" s="46" t="s">
        <v>218</v>
      </c>
      <c r="E176" s="46" cm="1">
        <f t="array" aca="1" ref="E176" ca="1">Common_Equations.Common_ConvertCH4ToCO2e(G173,G174)</f>
        <v>73.581417452175344</v>
      </c>
      <c r="F176" s="108" t="str" cm="1">
        <f t="array" ref="F176">Common_Equations.Common_ConvertN2OToCO2e_Unit()</f>
        <v>t CO2e</v>
      </c>
      <c r="M176" s="46" t="s">
        <v>219</v>
      </c>
      <c r="N176" s="46" cm="1">
        <f t="array" aca="1" ref="N176" ca="1">Common_Equations.Common_ConvertCH4ToCO2e(P173,P174)</f>
        <v>73.581417452175344</v>
      </c>
      <c r="O176" s="108" t="str" cm="1">
        <f t="array" ref="O176">Common_Equations.Common_ConvertN2OToCO2e_Unit()</f>
        <v>t CO2e</v>
      </c>
    </row>
    <row r="177" ht="20" customHeight="1" x14ac:dyDescent="0.25"/>
    <row r="178" ht="20" customHeight="1" x14ac:dyDescent="0.25"/>
    <row r="179" ht="20" customHeight="1" x14ac:dyDescent="0.25"/>
    <row r="180" ht="20" customHeight="1" x14ac:dyDescent="0.25"/>
    <row r="181" ht="20" customHeight="1" x14ac:dyDescent="0.25"/>
    <row r="182" ht="20" customHeight="1" x14ac:dyDescent="0.25"/>
    <row r="183" ht="20" customHeight="1" x14ac:dyDescent="0.25"/>
  </sheetData>
  <dataValidations count="1">
    <dataValidation operator="equal" allowBlank="1" showInputMessage="1" showErrorMessage="1" sqref="E52:G52 E57:G57 E120:G120 E125:G125 D145:F145 N125:P125 N57:P57 D159:F15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T217"/>
  <sheetViews>
    <sheetView showGridLines="0" topLeftCell="A155" zoomScaleNormal="100" workbookViewId="0">
      <selection activeCell="E167" sqref="E167"/>
    </sheetView>
  </sheetViews>
  <sheetFormatPr defaultRowHeight="20" x14ac:dyDescent="0.25" customHeight="1"/>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19" width="30.7109375" style="1" customWidth="1"/>
    <col min="20" max="20" width="4.7109375" style="1" customWidth="1"/>
  </cols>
  <sheetData>
    <row r="1" spans="1:20" s="8" customFormat="1" ht="30" customHeight="1" x14ac:dyDescent="0.35">
      <c r="A1" s="66" t="e" vm="1">
        <v>#VALUE!</v>
      </c>
      <c r="C1" s="8" t="s">
        <v>253</v>
      </c>
    </row>
    <row r="2" spans="1:20" s="9" customFormat="1" ht="20" customHeight="1" x14ac:dyDescent="0.25">
      <c r="A2"/>
    </row>
    <row r="3" spans="1:20" ht="20" customHeight="1" x14ac:dyDescent="0.25">
      <c r="A3" s="17" t="str">
        <f>HYPERLINK("#'Home'!A1", "Home")</f>
        <v>Home</v>
      </c>
      <c r="C3" s="4"/>
      <c r="D3" s="4" t="s">
        <v>152</v>
      </c>
      <c r="E3" s="4"/>
      <c r="F3" s="4"/>
      <c r="G3" s="4"/>
      <c r="H3" s="4"/>
      <c r="I3" s="4"/>
      <c r="J3" s="4"/>
      <c r="K3" s="4"/>
      <c r="L3" s="4"/>
      <c r="N3" s="4"/>
      <c r="O3" s="4" t="s">
        <v>153</v>
      </c>
      <c r="P3" s="4"/>
      <c r="Q3" s="4"/>
      <c r="R3" s="4"/>
      <c r="S3" s="4"/>
      <c r="T3" s="4"/>
    </row>
    <row r="4" spans="1:20" ht="20" customHeight="1" x14ac:dyDescent="0.25">
      <c r="A4" s="17" t="str">
        <f>HYPERLINK("#'Overview'!A1", "Overview")</f>
        <v>Overview</v>
      </c>
    </row>
    <row r="5" spans="1:20" ht="20" customHeight="1" x14ac:dyDescent="0.25">
      <c r="A5" s="17" t="str">
        <f>HYPERLINK("#'Results'!A1", "Results")</f>
        <v>Results</v>
      </c>
      <c r="D5" s="6" t="str" cm="1">
        <f t="array" ref="D5">MMS_Feedlot_N2ODirect_Equations.VEERG_4_1_1_3__5_NitrogenIntake_Title()</f>
        <v>Nitrogen intake of feedlot cattle</v>
      </c>
    </row>
    <row r="6" spans="1:20" ht="20" customHeight="1" x14ac:dyDescent="0.25">
      <c r="D6" s="5" t="str" cm="1">
        <f t="array" ref="D6">MMS_Feedlot_N2ODirect_Equations.VEERG_4_1_1_3__5_NitrogenIntake_Source()</f>
        <v>VEERG 2026: 4.1.1.3, Equation (5)</v>
      </c>
    </row>
    <row r="7" spans="1:20" ht="20" customHeight="1" x14ac:dyDescent="0.25">
      <c r="D7" s="13" t="s">
        <v>123</v>
      </c>
      <c r="E7" s="13" t="str" cm="1">
        <f t="array" aca="1" ref="E7" ca="1">Common_InputFunctions.Utility_DisplayFunctionName(D30)</f>
        <v>=MMS_Feedlot_N2ODirect_Equations.VEERG_4_1_1_3__5_NitrogenIntake</v>
      </c>
    </row>
    <row r="8" spans="1:20" ht="20" customHeight="1" x14ac:dyDescent="0.25">
      <c r="A8" s="19" t="s">
        <v>0</v>
      </c>
    </row>
    <row r="9" spans="1:20" ht="20" customHeight="1" x14ac:dyDescent="0.25">
      <c r="A9" s="17" t="str">
        <f>HYPERLINK("#'Input - Site'!A1", "Site")</f>
        <v>Site</v>
      </c>
    </row>
    <row r="10" spans="1:20" ht="20" customHeight="1" x14ac:dyDescent="0.25">
      <c r="A10" s="17" t="str">
        <f>HYPERLINK("#'Input - Feedlot'!A1", "Feedlot")</f>
        <v>Feedlot</v>
      </c>
      <c r="D10" s="54" t="s">
        <v>26</v>
      </c>
      <c r="E10" s="1" t="str" cm="1">
        <f t="array" ref="E10">MMS_Feedlot_N2ODirect_Equations.VEERG_4_1_1_3__5_NitrogenIntake_Variable()</f>
        <v>NI_j</v>
      </c>
    </row>
    <row r="11" spans="1:20" ht="20" customHeight="1" x14ac:dyDescent="0.25">
      <c r="D11" s="54" t="s">
        <v>16</v>
      </c>
      <c r="E11" s="55" t="str" cm="1">
        <f t="array" ref="E11">MMS_Feedlot_N2ODirect_Equations.VEERG_4_1_1_3__5_NitrogenIntake_Unit()</f>
        <v>kg N/head/day</v>
      </c>
    </row>
    <row r="12" spans="1:20" ht="20" customHeight="1" x14ac:dyDescent="0.25"/>
    <row r="13" spans="1:20" ht="20" customHeight="1" x14ac:dyDescent="0.25">
      <c r="A13" s="18" t="s">
        <v>71</v>
      </c>
      <c r="D13" s="134" t="str" cm="1">
        <f t="array" ref="D13:E15">_xlfn.CHOOSECOLS(MMS_Feedlot_N2ODirect_Equations.VEERG_4_1_1_3__5_NitrogenIntake_Arguments(),1,2)</f>
        <v>I_j</v>
      </c>
      <c r="E13" s="137" t="str">
        <v>dry matter intake</v>
      </c>
      <c r="F13" s="136"/>
      <c r="G13" s="134" t="str" cm="1">
        <f t="array" ref="G13:H15">_xlfn.CHOOSECOLS(MMS_Feedlot_N2ODirect_Equations.VEERG_4_1_1_3__5_NitrogenIntake_Arguments(),3,4)</f>
        <v>kg DM/head/day</v>
      </c>
      <c r="H13" s="125" t="str">
        <v>Input</v>
      </c>
      <c r="I13" s="135" t="str" cm="1">
        <f t="array" aca="1" ref="I13" ca="1">HYPERLINK(Common_InputFunctions.Utility_SourceHyperlink($D$17),$D$17)</f>
        <v>M1_Table_I_j</v>
      </c>
    </row>
    <row r="14" spans="1:20" ht="20" customHeight="1" x14ac:dyDescent="0.25">
      <c r="A14" s="17" t="str">
        <f>HYPERLINK("#'4.1.1.1-2 Methane'!A1", "4.1.1.1-2 Methane")</f>
        <v>4.1.1.1-2 Methane</v>
      </c>
      <c r="D14" s="134" t="str">
        <v>CP_j</v>
      </c>
      <c r="E14" s="137" t="str">
        <v>crude protein content of feed</v>
      </c>
      <c r="F14" s="136"/>
      <c r="G14" s="134" t="str">
        <v>fraction</v>
      </c>
      <c r="H14" s="125" t="str">
        <v>Input</v>
      </c>
      <c r="I14" s="135" t="str" cm="1">
        <f t="array" aca="1" ref="I14" ca="1">HYPERLINK(Common_InputFunctions.Utility_SourceHyperlink($D$22),$D$22)</f>
        <v>M1_Table_CP_j</v>
      </c>
    </row>
    <row r="15" spans="1:20" ht="20" customHeight="1" x14ac:dyDescent="0.25">
      <c r="A15" s="21" t="str">
        <f>HYPERLINK("#'4.1.1.3-4 Direct N20'!A1", "4.1.1.3-4 Direct N20")</f>
        <v>4.1.1.3-4 Direct N20</v>
      </c>
      <c r="D15" s="134" t="str">
        <v>6.25</v>
      </c>
      <c r="E15" s="137" t="str">
        <v>factor for converting crude protein into nitrogen</v>
      </c>
      <c r="F15" s="136"/>
      <c r="G15" s="134" t="str">
        <v>ratio</v>
      </c>
      <c r="H15" s="126" t="str">
        <v>Constant</v>
      </c>
      <c r="I15" s="134" t="str">
        <f>D15</f>
        <v>6.25</v>
      </c>
    </row>
    <row r="16" spans="1:20" ht="20" customHeight="1" x14ac:dyDescent="0.25">
      <c r="A16" s="17" t="str">
        <f>HYPERLINK("#'4.1.1.5-6 Atmos Deposition'!A1", "4.1.1.5-6 Atmos Deposition")</f>
        <v>4.1.1.5-6 Atmos Deposition</v>
      </c>
    </row>
    <row r="17" spans="1:19" ht="20" customHeight="1" x14ac:dyDescent="0.25">
      <c r="A17" s="17" t="str">
        <f>HYPERLINK("#'4.1.1.9 Manure applied to soils'!A1", "4.1.1.9 Manure applied to soils")</f>
        <v>4.1.1.9 Manure applied to soils</v>
      </c>
      <c r="D17" s="100" t="s">
        <v>142</v>
      </c>
      <c r="O17" s="100" t="s">
        <v>145</v>
      </c>
    </row>
    <row r="18" spans="1:19" ht="20" customHeight="1" x14ac:dyDescent="0.25">
      <c r="D18" s="99" t="s">
        <v>189</v>
      </c>
      <c r="O18" s="99" t="s">
        <v>190</v>
      </c>
    </row>
    <row r="19" spans="1:19" ht="20" customHeight="1" x14ac:dyDescent="0.25">
      <c r="D19" s="40" t="s">
        <v>131</v>
      </c>
      <c r="E19" s="40" t="s">
        <v>132</v>
      </c>
      <c r="F19" s="40" t="s">
        <v>133</v>
      </c>
      <c r="O19" s="40" t="s">
        <v>131</v>
      </c>
      <c r="P19" s="40" t="s">
        <v>132</v>
      </c>
      <c r="Q19" s="40" t="s">
        <v>133</v>
      </c>
    </row>
    <row r="20" spans="1:19" ht="20" customHeight="1" x14ac:dyDescent="0.25">
      <c r="A20" s="145" t="s">
        <v>1</v>
      </c>
      <c r="D20" s="53" cm="1">
        <f t="array" aca="1" ref="D20:F20" ca="1">OFFSET(X_Table_Feedlot_Intake_Method1,1,1,1,3)</f>
        <v>10.4</v>
      </c>
      <c r="E20" s="53">
        <f ca="1"/>
        <v>10.8</v>
      </c>
      <c r="F20" s="53">
        <f ca="1"/>
        <v>8.1999999999999993</v>
      </c>
      <c r="G20" s="2" t="s">
        <v>97</v>
      </c>
      <c r="H20" s="2"/>
      <c r="I20" s="2"/>
      <c r="J20" s="2"/>
      <c r="K20" s="2"/>
      <c r="O20" s="53" cm="1">
        <f t="array" aca="1" ref="O20:Q20" ca="1">OFFSET(X_Table_Feedlot_Intake_Method2,1,1,1,3)</f>
        <v>10.4</v>
      </c>
      <c r="P20" s="53">
        <f ca="1"/>
        <v>10.8</v>
      </c>
      <c r="Q20" s="53">
        <f ca="1"/>
        <v>8.1999999999999993</v>
      </c>
      <c r="R20" s="2" t="s">
        <v>97</v>
      </c>
      <c r="S20" s="2"/>
    </row>
    <row r="21" spans="1:19" ht="20" customHeight="1" x14ac:dyDescent="0.25">
      <c r="A21" s="17" t="str">
        <f>HYPERLINK("#'Constants - Feedlot'!A1", "Constants - Feedlot")</f>
        <v>Constants - Feedlot</v>
      </c>
    </row>
    <row r="22" spans="1:19" ht="20" customHeight="1" x14ac:dyDescent="0.25">
      <c r="A22" s="17" t="str">
        <f>HYPERLINK("#'Constants - Common'!A1", "Constants - Common")</f>
        <v>Constants - Common</v>
      </c>
      <c r="D22" s="100" t="s">
        <v>143</v>
      </c>
      <c r="O22" s="100" t="s">
        <v>146</v>
      </c>
    </row>
    <row r="23" spans="1:19" ht="20" customHeight="1" x14ac:dyDescent="0.25">
      <c r="A23" s="17" t="str">
        <f>HYPERLINK("#'Constants - Common livestock'!A1", "Constants - Common livestock")</f>
        <v>Constants - Common livestock</v>
      </c>
      <c r="D23" s="99" t="s">
        <v>188</v>
      </c>
      <c r="O23" s="99" t="s">
        <v>191</v>
      </c>
    </row>
    <row r="24" spans="1:19" ht="20" customHeight="1" x14ac:dyDescent="0.25">
      <c r="A24" s="17" t="str">
        <f>HYPERLINK("#'Acknowledgements'!A1", "Acknowledgements")</f>
        <v>Acknowledgements</v>
      </c>
      <c r="D24" s="40" t="s">
        <v>131</v>
      </c>
      <c r="E24" s="40" t="s">
        <v>132</v>
      </c>
      <c r="F24" s="40" t="s">
        <v>133</v>
      </c>
      <c r="O24" s="40" t="s">
        <v>131</v>
      </c>
      <c r="P24" s="40" t="s">
        <v>132</v>
      </c>
      <c r="Q24" s="40" t="s">
        <v>133</v>
      </c>
    </row>
    <row r="25" spans="1:19" ht="20" customHeight="1" x14ac:dyDescent="0.25">
      <c r="A25" s="17" t="str">
        <f>HYPERLINK("#'Tab template'!A1", "Tab template")</f>
        <v>Tab template</v>
      </c>
      <c r="D25" s="53" cm="1">
        <f t="array" aca="1" ref="D25:F25" ca="1">OFFSET(X_Table_Feedlot_Intake_Method1,5,1,1,3)</f>
        <v>0.14000000000000001</v>
      </c>
      <c r="E25" s="53">
        <f ca="1"/>
        <v>0.12</v>
      </c>
      <c r="F25" s="53">
        <f ca="1"/>
        <v>0.12</v>
      </c>
      <c r="G25" s="2" t="s">
        <v>317</v>
      </c>
      <c r="H25" s="2"/>
      <c r="I25" s="2"/>
      <c r="J25" s="2"/>
      <c r="K25" s="2"/>
      <c r="O25" s="53" cm="1">
        <f t="array" aca="1" ref="O25:Q25" ca="1">OFFSET(X_Table_Feedlot_Intake_Method2,5,1,1,3)</f>
        <v>0.14000000000000001</v>
      </c>
      <c r="P25" s="53">
        <f ca="1"/>
        <v>0.12</v>
      </c>
      <c r="Q25" s="53">
        <f ca="1"/>
        <v>0.12</v>
      </c>
      <c r="R25" s="2" t="s">
        <v>317</v>
      </c>
      <c r="S25" s="2"/>
    </row>
    <row r="26" spans="1:19" ht="20" customHeight="1" x14ac:dyDescent="0.25"/>
    <row r="27" spans="1:19" ht="20" customHeight="1" x14ac:dyDescent="0.25">
      <c r="D27" s="100" t="s">
        <v>144</v>
      </c>
      <c r="O27" s="100" t="s">
        <v>147</v>
      </c>
    </row>
    <row r="28" spans="1:19" ht="20" customHeight="1" x14ac:dyDescent="0.25">
      <c r="D28" s="99" t="s">
        <v>187</v>
      </c>
      <c r="O28" s="99" t="s">
        <v>192</v>
      </c>
    </row>
    <row r="29" spans="1:19" ht="20" customHeight="1" x14ac:dyDescent="0.25">
      <c r="D29" s="52" t="s">
        <v>131</v>
      </c>
      <c r="E29" s="52" t="s">
        <v>132</v>
      </c>
      <c r="F29" s="52" t="s">
        <v>133</v>
      </c>
      <c r="O29" s="52" t="s">
        <v>131</v>
      </c>
      <c r="P29" s="52" t="s">
        <v>132</v>
      </c>
      <c r="Q29" s="52" t="s">
        <v>133</v>
      </c>
    </row>
    <row r="30" spans="1:19" ht="20" customHeight="1" x14ac:dyDescent="0.25">
      <c r="D30" s="53" cm="1">
        <f t="array" aca="1" ref="D30" ca="1">MMS_Feedlot_N2ODirect_Equations.VEERG_4_1_1_3__5_NitrogenIntake(D20,D25)</f>
        <v>0.23296000000000003</v>
      </c>
      <c r="E30" s="53" cm="1">
        <f t="array" aca="1" ref="E30" ca="1">MMS_Feedlot_N2ODirect_Equations.VEERG_4_1_1_3__5_NitrogenIntake(E20,E25)</f>
        <v>0.20736000000000002</v>
      </c>
      <c r="F30" s="53" cm="1">
        <f t="array" aca="1" ref="F30" ca="1">MMS_Feedlot_N2ODirect_Equations.VEERG_4_1_1_3__5_NitrogenIntake(F20,F25)</f>
        <v>0.15743999999999997</v>
      </c>
      <c r="G30" s="2" t="str">
        <f>$E$11</f>
        <v>kg N/head/day</v>
      </c>
      <c r="H30" s="2"/>
      <c r="I30" s="2"/>
      <c r="J30" s="2"/>
      <c r="K30" s="2"/>
      <c r="O30" s="53" cm="1">
        <f t="array" aca="1" ref="O30" ca="1">MMS_Feedlot_N2ODirect_Equations.VEERG_4_1_1_3__5_NitrogenIntake(O20,O25)</f>
        <v>0.23296000000000003</v>
      </c>
      <c r="P30" s="53" cm="1">
        <f t="array" aca="1" ref="P30" ca="1">MMS_Feedlot_N2ODirect_Equations.VEERG_4_1_1_3__5_NitrogenIntake(P20,P25)</f>
        <v>0.20736000000000002</v>
      </c>
      <c r="Q30" s="53" cm="1">
        <f t="array" aca="1" ref="Q30" ca="1">MMS_Feedlot_N2ODirect_Equations.VEERG_4_1_1_3__5_NitrogenIntake(Q20,Q25)</f>
        <v>0.15743999999999997</v>
      </c>
      <c r="R30" s="2" t="str">
        <f>$E$11</f>
        <v>kg N/head/day</v>
      </c>
      <c r="S30" s="2"/>
    </row>
    <row r="31" spans="1:19" ht="20" customHeight="1" x14ac:dyDescent="0.25"/>
    <row r="32" spans="1:19" ht="20" customHeight="1" x14ac:dyDescent="0.25"/>
    <row r="33" spans="3:20" ht="20" customHeight="1" x14ac:dyDescent="0.25">
      <c r="C33" s="46"/>
      <c r="D33" s="46"/>
      <c r="E33" s="46"/>
      <c r="F33" s="46"/>
      <c r="G33" s="46"/>
      <c r="H33" s="46"/>
      <c r="I33" s="46"/>
      <c r="J33" s="46"/>
      <c r="K33" s="46"/>
      <c r="L33" s="46"/>
      <c r="N33" s="46"/>
      <c r="O33" s="46"/>
      <c r="P33" s="46"/>
      <c r="Q33" s="46"/>
      <c r="R33" s="46"/>
      <c r="S33" s="46"/>
      <c r="T33" s="46"/>
    </row>
    <row r="34" spans="3:20" ht="20" customHeight="1" x14ac:dyDescent="0.25">
      <c r="D34" s="6" t="str" cm="1">
        <f t="array" ref="D34">MMS_Feedlot_N2ODirect_Equations.VEERG_4_1_1_3__4_NitrogenExcretionPerHead_Title()</f>
        <v>Nitrogen excretion per head per day</v>
      </c>
    </row>
    <row r="35" spans="3:20" ht="20" customHeight="1" x14ac:dyDescent="0.25">
      <c r="D35" s="5" t="str" cm="1">
        <f t="array" ref="D35">MMS_Feedlot_N2ODirect_Equations.VEERG_4_1_1_3__4_NitrogenExcretionPerHead_Source()</f>
        <v>VEERG 2026: 4.1.1.3, Equation (4)</v>
      </c>
    </row>
    <row r="36" spans="3:20" ht="20" customHeight="1" x14ac:dyDescent="0.25">
      <c r="D36" s="13" t="s">
        <v>23</v>
      </c>
      <c r="E36" s="13" t="str" cm="1">
        <f t="array" aca="1" ref="E36" ca="1">Common_InputFunctions.Utility_DisplayFunctionName(D54)</f>
        <v>=MMS_Feedlot_N2ODirect_Equations.VEERG_4_1_1_3__4_NitrogenExcretionPerHead</v>
      </c>
    </row>
    <row r="37" spans="3:20" ht="20" customHeight="1" x14ac:dyDescent="0.25"/>
    <row r="38" spans="3:20" ht="20" customHeight="1" x14ac:dyDescent="0.25">
      <c r="D38" s="6"/>
    </row>
    <row r="39" spans="3:20" ht="20" customHeight="1" x14ac:dyDescent="0.25"/>
    <row r="40" spans="3:20" ht="20" customHeight="1" x14ac:dyDescent="0.25">
      <c r="D40" s="54" t="s">
        <v>26</v>
      </c>
      <c r="E40" s="1" t="str" cm="1">
        <f t="array" ref="E40">MMS_Feedlot_N2ODirect_Equations.VEERG_4_1_1_3__4_NitrogenExcretionPerHead_Variable()</f>
        <v>NE_j</v>
      </c>
    </row>
    <row r="41" spans="3:20" ht="20" customHeight="1" x14ac:dyDescent="0.25">
      <c r="D41" s="54" t="s">
        <v>16</v>
      </c>
      <c r="E41" s="55" t="str" cm="1">
        <f t="array" ref="E41">MMS_Feedlot_N2ODirect_Equations.VEERG_4_1_1_3__4_NitrogenExcretionPerHead_Unit()</f>
        <v>kg N/head/day</v>
      </c>
    </row>
    <row r="42" spans="3:20" ht="20" customHeight="1" x14ac:dyDescent="0.25"/>
    <row r="43" spans="3:20" ht="20" customHeight="1" x14ac:dyDescent="0.25">
      <c r="D43" s="134" t="str" cm="1">
        <f t="array" ref="D43:E44">_xlfn.CHOOSECOLS(MMS_Feedlot_N2ODirect_Equations.VEERG_4_1_1_3__4_NitrogenExcretionPerHead_Arguments(),1,2)</f>
        <v>NI_j</v>
      </c>
      <c r="E43" s="137" t="str">
        <v>nitrogen intake</v>
      </c>
      <c r="F43" s="136"/>
      <c r="G43" s="134" t="str" cm="1">
        <f t="array" ref="G43:H44">_xlfn.CHOOSECOLS(MMS_Feedlot_N2ODirect_Equations.VEERG_4_1_1_3__4_NitrogenExcretionPerHead_Arguments(),3,4)</f>
        <v>kg N/head/day</v>
      </c>
      <c r="H43" s="126" t="str">
        <v>Calculated from 4.1.1.3 (5)</v>
      </c>
      <c r="I43" s="135" t="str" cm="1">
        <f t="array" aca="1" ref="I43" ca="1">HYPERLINK(Common_InputFunctions.Utility_SourceHyperlink($D$27),$D$27)</f>
        <v>M1_Table_NI_j</v>
      </c>
    </row>
    <row r="44" spans="3:20" ht="20" customHeight="1" x14ac:dyDescent="0.25">
      <c r="D44" s="134" t="str">
        <v>NR_j</v>
      </c>
      <c r="E44" s="137" t="str">
        <v>nitrogen retention expressed as a fraction of intake</v>
      </c>
      <c r="F44" s="136"/>
      <c r="G44" s="134" t="str">
        <v>fraction</v>
      </c>
      <c r="H44" s="125" t="str">
        <v>Input</v>
      </c>
      <c r="I44" s="135" t="str" cm="1">
        <f t="array" aca="1" ref="I44" ca="1">HYPERLINK(Common_InputFunctions.Utility_SourceHyperlink($D$46),$D$46)</f>
        <v>M1_Table_NR_j</v>
      </c>
    </row>
    <row r="45" spans="3:20" ht="20" customHeight="1" x14ac:dyDescent="0.25"/>
    <row r="46" spans="3:20" ht="20" customHeight="1" x14ac:dyDescent="0.25">
      <c r="D46" s="100" t="s">
        <v>148</v>
      </c>
      <c r="E46" s="2"/>
      <c r="F46" s="2"/>
      <c r="O46" s="100" t="s">
        <v>149</v>
      </c>
      <c r="P46" s="2"/>
      <c r="Q46" s="2"/>
    </row>
    <row r="47" spans="3:20" ht="20" customHeight="1" x14ac:dyDescent="0.25">
      <c r="D47" s="99" t="s">
        <v>185</v>
      </c>
      <c r="O47" s="99" t="s">
        <v>186</v>
      </c>
    </row>
    <row r="48" spans="3:20" ht="20" customHeight="1" x14ac:dyDescent="0.25">
      <c r="D48" s="40" t="s">
        <v>131</v>
      </c>
      <c r="E48" s="40" t="s">
        <v>132</v>
      </c>
      <c r="F48" s="40" t="s">
        <v>133</v>
      </c>
      <c r="O48" s="40" t="s">
        <v>131</v>
      </c>
      <c r="P48" s="40" t="s">
        <v>132</v>
      </c>
      <c r="Q48" s="40" t="s">
        <v>133</v>
      </c>
    </row>
    <row r="49" spans="3:20" ht="20" customHeight="1" x14ac:dyDescent="0.25">
      <c r="D49" s="53" cm="1">
        <f t="array" aca="1" ref="D49:F49" ca="1">OFFSET(X_Table_Feedlot_Intake_Method1,6,1,1,3)/100</f>
        <v>0.20399999999999999</v>
      </c>
      <c r="E49" s="53">
        <f ca="1"/>
        <v>0.127</v>
      </c>
      <c r="F49" s="53">
        <f ca="1"/>
        <v>7.0000000000000007E-2</v>
      </c>
      <c r="G49" s="2" t="s">
        <v>154</v>
      </c>
      <c r="H49" s="2"/>
      <c r="I49" s="2"/>
      <c r="J49" s="2"/>
      <c r="K49" s="2"/>
      <c r="O49" s="53" cm="1">
        <f t="array" aca="1" ref="O49:Q49" ca="1">OFFSET(X_Table_Feedlot_Intake_Method2,6,1,1,3)/100</f>
        <v>0.20399999999999999</v>
      </c>
      <c r="P49" s="53">
        <f ca="1"/>
        <v>0.127</v>
      </c>
      <c r="Q49" s="53">
        <f ca="1"/>
        <v>7.0000000000000007E-2</v>
      </c>
      <c r="R49" s="2" t="s">
        <v>317</v>
      </c>
      <c r="S49" s="2"/>
    </row>
    <row r="50" spans="3:20" ht="20" customHeight="1" x14ac:dyDescent="0.25"/>
    <row r="51" spans="3:20" ht="20" customHeight="1" x14ac:dyDescent="0.25">
      <c r="D51" s="100" t="s">
        <v>150</v>
      </c>
      <c r="O51" s="100" t="s">
        <v>151</v>
      </c>
    </row>
    <row r="52" spans="3:20" ht="20" customHeight="1" x14ac:dyDescent="0.25">
      <c r="D52" s="99" t="s">
        <v>185</v>
      </c>
      <c r="O52" s="99" t="s">
        <v>186</v>
      </c>
    </row>
    <row r="53" spans="3:20" ht="20" customHeight="1" x14ac:dyDescent="0.25">
      <c r="D53" s="52" t="s">
        <v>131</v>
      </c>
      <c r="E53" s="52" t="s">
        <v>132</v>
      </c>
      <c r="F53" s="52" t="s">
        <v>133</v>
      </c>
      <c r="O53" s="52" t="s">
        <v>131</v>
      </c>
      <c r="P53" s="52" t="s">
        <v>132</v>
      </c>
      <c r="Q53" s="52" t="s">
        <v>133</v>
      </c>
    </row>
    <row r="54" spans="3:20" ht="20" customHeight="1" x14ac:dyDescent="0.25">
      <c r="D54" s="53" cm="1">
        <f t="array" aca="1" ref="D54" ca="1">MMS_Feedlot_N2ODirect_Equations.VEERG_4_1_1_3__4_NitrogenExcretionPerHead(D30,D49)</f>
        <v>0.18543616000000004</v>
      </c>
      <c r="E54" s="53" cm="1">
        <f t="array" aca="1" ref="E54" ca="1">MMS_Feedlot_N2ODirect_Equations.VEERG_4_1_1_3__4_NitrogenExcretionPerHead(E30,E49)</f>
        <v>0.18102528000000001</v>
      </c>
      <c r="F54" s="53" cm="1">
        <f t="array" aca="1" ref="F54" ca="1">MMS_Feedlot_N2ODirect_Equations.VEERG_4_1_1_3__4_NitrogenExcretionPerHead(F30,F49)</f>
        <v>0.14641919999999997</v>
      </c>
      <c r="G54" s="2" t="str">
        <f>$E$41</f>
        <v>kg N/head/day</v>
      </c>
      <c r="H54" s="2"/>
      <c r="I54" s="2"/>
      <c r="J54" s="2"/>
      <c r="K54" s="2"/>
      <c r="O54" s="53" cm="1">
        <f t="array" aca="1" ref="O54" ca="1">MMS_Feedlot_N2ODirect_Equations.VEERG_4_1_1_3__4_NitrogenExcretionPerHead(O30,O49)</f>
        <v>0.18543616000000004</v>
      </c>
      <c r="P54" s="53" cm="1">
        <f t="array" aca="1" ref="P54" ca="1">MMS_Feedlot_N2ODirect_Equations.VEERG_4_1_1_3__4_NitrogenExcretionPerHead(P30,P49)</f>
        <v>0.18102528000000001</v>
      </c>
      <c r="Q54" s="53" cm="1">
        <f t="array" aca="1" ref="Q54" ca="1">MMS_Feedlot_N2ODirect_Equations.VEERG_4_1_1_3__4_NitrogenExcretionPerHead(Q30,Q49)</f>
        <v>0.14641919999999997</v>
      </c>
      <c r="R54" s="2" t="str">
        <f>$E$41</f>
        <v>kg N/head/day</v>
      </c>
      <c r="S54" s="2"/>
    </row>
    <row r="55" spans="3:20" ht="20" customHeight="1" x14ac:dyDescent="0.25"/>
    <row r="56" spans="3:20" ht="20" customHeight="1" x14ac:dyDescent="0.25"/>
    <row r="57" spans="3:20" ht="20" customHeight="1" x14ac:dyDescent="0.25">
      <c r="C57" s="46"/>
      <c r="D57" s="46"/>
      <c r="E57" s="46"/>
      <c r="F57" s="46"/>
      <c r="G57" s="46"/>
      <c r="H57" s="46"/>
      <c r="I57" s="46"/>
      <c r="J57" s="46"/>
      <c r="K57" s="46"/>
      <c r="L57" s="46"/>
      <c r="N57" s="46"/>
      <c r="O57" s="46"/>
      <c r="P57" s="46"/>
      <c r="Q57" s="46"/>
      <c r="R57" s="46"/>
      <c r="S57" s="46"/>
      <c r="T57" s="46"/>
    </row>
    <row r="58" spans="3:20" ht="20" customHeight="1" x14ac:dyDescent="0.25">
      <c r="D58" s="6" t="str" cm="1">
        <f t="array" ref="D58">MMS_Feedlot_N2ODirect_Equations.VEERG_4_1_1_3__3_AnnualNitrogenExcretion_Title()</f>
        <v>Annual nitrogen excretion from each feedlot cattle group</v>
      </c>
    </row>
    <row r="59" spans="3:20" ht="20" customHeight="1" x14ac:dyDescent="0.25">
      <c r="D59" s="5" t="str" cm="1">
        <f t="array" ref="D59">MMS_Feedlot_N2ODirect_Equations.VEERG_4_1_1_3__3_AnnualNitrogenExcretion_Source()</f>
        <v>VEERG 2026: 4.1.1.3, Equation (3)</v>
      </c>
    </row>
    <row r="60" spans="3:20" ht="20" customHeight="1" x14ac:dyDescent="0.25">
      <c r="D60" s="13" t="s">
        <v>23</v>
      </c>
      <c r="E60" s="13" t="str" cm="1">
        <f t="array" aca="1" ref="E60" ca="1">Common_InputFunctions.Utility_DisplayFunctionName(D83)</f>
        <v>=MMS_Feedlot_N2ODirect_Equations.VEERG_4_1_1_3__3_AnnualNitrogenExcretion</v>
      </c>
    </row>
    <row r="61" spans="3:20" ht="20" customHeight="1" x14ac:dyDescent="0.25"/>
    <row r="62" spans="3:20" ht="20" customHeight="1" x14ac:dyDescent="0.25">
      <c r="D62" s="6"/>
    </row>
    <row r="63" spans="3:20" ht="20" customHeight="1" x14ac:dyDescent="0.25">
      <c r="D63" s="54" t="s">
        <v>26</v>
      </c>
      <c r="E63" s="1" t="str" cm="1">
        <f t="array" ref="E63">MMS_Feedlot_N2ODirect_Equations.VEERG_4_1_1_3__3_AnnualNitrogenExcretion_Variable()</f>
        <v>AE_j</v>
      </c>
    </row>
    <row r="64" spans="3:20" ht="20" customHeight="1" x14ac:dyDescent="0.25">
      <c r="D64" s="54" t="s">
        <v>16</v>
      </c>
      <c r="E64" s="55" t="str" cm="1">
        <f t="array" ref="E64">MMS_Feedlot_N2ODirect_Equations.VEERG_4_1_1_3__3_AnnualNitrogenExcretion_Unit()</f>
        <v>kg N</v>
      </c>
    </row>
    <row r="65" spans="4:15" ht="20" customHeight="1" x14ac:dyDescent="0.25"/>
    <row r="66" spans="4:15" ht="20" customHeight="1" x14ac:dyDescent="0.25">
      <c r="D66" s="134" t="str" cm="1">
        <f t="array" ref="D66:G68">MMS_Feedlot_N2ODirect_Equations.VEERG_4_1_1_3__3_AnnualNitrogenExcretion_Arguments()</f>
        <v>N_j</v>
      </c>
      <c r="E66" s="134" t="str">
        <v>number of cattle in each group</v>
      </c>
      <c r="F66" s="134" t="str">
        <v>head</v>
      </c>
      <c r="G66" s="125" t="str">
        <v>Input</v>
      </c>
      <c r="H66" s="135" t="str" cm="1">
        <f t="array" aca="1" ref="H66" ca="1">HYPERLINK(Common_InputFunctions.Utility_SourceHyperlink($D$70),$D$70)</f>
        <v>Table_N_j</v>
      </c>
    </row>
    <row r="67" spans="4:15" ht="20" customHeight="1" x14ac:dyDescent="0.25">
      <c r="D67" s="134" t="str">
        <v>NE_j</v>
      </c>
      <c r="E67" s="134" t="str">
        <v>nitrogen excretion</v>
      </c>
      <c r="F67" s="134" t="str">
        <v>kg N/head/day</v>
      </c>
      <c r="G67" s="126" t="str">
        <v>Calculated from 4.1.1.3 (4)</v>
      </c>
      <c r="H67" s="135" t="str" cm="1">
        <f t="array" aca="1" ref="H67" ca="1">HYPERLINK(Common_InputFunctions.Utility_SourceHyperlink($D$51),$D$51)</f>
        <v>M1_Table_NE_j</v>
      </c>
    </row>
    <row r="68" spans="4:15" ht="20" customHeight="1" x14ac:dyDescent="0.25">
      <c r="D68" s="134" t="str">
        <v>D_j</v>
      </c>
      <c r="E68" s="134" t="str">
        <v>duration of stay of cattle group</v>
      </c>
      <c r="F68" s="134" t="str">
        <v>days</v>
      </c>
      <c r="G68" s="125" t="str">
        <v>Input</v>
      </c>
      <c r="H68" s="135" t="str" cm="1">
        <f t="array" aca="1" ref="H68" ca="1">HYPERLINK(Common_InputFunctions.Utility_SourceHyperlink($D$75),$D$75)</f>
        <v>Table_D_j</v>
      </c>
    </row>
    <row r="69" spans="4:15" ht="20" customHeight="1" x14ac:dyDescent="0.25"/>
    <row r="70" spans="4:15" ht="20" customHeight="1" x14ac:dyDescent="0.25">
      <c r="D70" s="100" t="s">
        <v>116</v>
      </c>
    </row>
    <row r="71" spans="4:15" ht="20" customHeight="1" x14ac:dyDescent="0.25">
      <c r="D71" s="99" t="s">
        <v>117</v>
      </c>
    </row>
    <row r="72" spans="4:15" ht="20" customHeight="1" x14ac:dyDescent="0.25">
      <c r="D72" s="40" t="s">
        <v>131</v>
      </c>
      <c r="E72" s="40" t="s">
        <v>132</v>
      </c>
      <c r="F72" s="40" t="s">
        <v>133</v>
      </c>
    </row>
    <row r="73" spans="4:15" ht="20" customHeight="1" x14ac:dyDescent="0.25">
      <c r="D73" s="103" cm="1">
        <f t="array" aca="1" ref="D73:F73" ca="1">OFFSET(X_Table_Feedlot_HerdMovement,1,1,1,3)</f>
        <v>1000</v>
      </c>
      <c r="E73" s="103">
        <f ca="1"/>
        <v>1000</v>
      </c>
      <c r="F73" s="103">
        <f ca="1"/>
        <v>1000</v>
      </c>
      <c r="G73" s="2" t="s">
        <v>118</v>
      </c>
      <c r="H73" s="2"/>
      <c r="I73" s="2"/>
      <c r="J73" s="2"/>
      <c r="K73" s="2"/>
    </row>
    <row r="74" spans="4:15" ht="20" customHeight="1" x14ac:dyDescent="0.25"/>
    <row r="75" spans="4:15" ht="20" customHeight="1" x14ac:dyDescent="0.25">
      <c r="D75" s="100" t="s">
        <v>115</v>
      </c>
    </row>
    <row r="76" spans="4:15" ht="20" customHeight="1" x14ac:dyDescent="0.25">
      <c r="D76" s="99" t="s">
        <v>113</v>
      </c>
    </row>
    <row r="77" spans="4:15" ht="20" customHeight="1" x14ac:dyDescent="0.25">
      <c r="D77" s="40" t="s">
        <v>131</v>
      </c>
      <c r="E77" s="40" t="s">
        <v>132</v>
      </c>
      <c r="F77" s="40" t="s">
        <v>133</v>
      </c>
    </row>
    <row r="78" spans="4:15" ht="20" customHeight="1" x14ac:dyDescent="0.25">
      <c r="D78" s="103" cm="1">
        <f t="array" aca="1" ref="D78:F78" ca="1">OFFSET(X_Table_Feedlot_HerdMovement,2,1,1,3)</f>
        <v>90</v>
      </c>
      <c r="E78" s="103">
        <f ca="1"/>
        <v>140</v>
      </c>
      <c r="F78" s="103">
        <f ca="1"/>
        <v>250</v>
      </c>
      <c r="G78" s="2" t="s">
        <v>51</v>
      </c>
      <c r="H78" s="2"/>
      <c r="I78" s="2"/>
      <c r="J78" s="2"/>
      <c r="K78" s="2"/>
    </row>
    <row r="79" spans="4:15" ht="20" customHeight="1" x14ac:dyDescent="0.25"/>
    <row r="80" spans="4:15" ht="20" customHeight="1" x14ac:dyDescent="0.25">
      <c r="D80" s="100" t="s">
        <v>155</v>
      </c>
      <c r="O80" s="100" t="s">
        <v>156</v>
      </c>
    </row>
    <row r="81" spans="3:20" ht="20" customHeight="1" x14ac:dyDescent="0.25">
      <c r="D81" s="99" t="s">
        <v>183</v>
      </c>
      <c r="O81" s="99" t="s">
        <v>184</v>
      </c>
    </row>
    <row r="82" spans="3:20" ht="20" customHeight="1" x14ac:dyDescent="0.25">
      <c r="D82" s="52" t="s">
        <v>131</v>
      </c>
      <c r="E82" s="52" t="s">
        <v>132</v>
      </c>
      <c r="F82" s="52" t="s">
        <v>133</v>
      </c>
      <c r="O82" s="52" t="s">
        <v>131</v>
      </c>
      <c r="P82" s="52" t="s">
        <v>132</v>
      </c>
      <c r="Q82" s="52" t="s">
        <v>133</v>
      </c>
    </row>
    <row r="83" spans="3:20" ht="20" customHeight="1" x14ac:dyDescent="0.25">
      <c r="D83" s="103" cm="1">
        <f t="array" aca="1" ref="D83" ca="1">MMS_Feedlot_N2ODirect_Equations.VEERG_4_1_1_3__3_AnnualNitrogenExcretion(D73,D54,D78)</f>
        <v>16689.254400000005</v>
      </c>
      <c r="E83" s="103" cm="1">
        <f t="array" aca="1" ref="E83" ca="1">MMS_Feedlot_N2ODirect_Equations.VEERG_4_1_1_3__3_AnnualNitrogenExcretion(E73,E54,E78)</f>
        <v>25343.539200000003</v>
      </c>
      <c r="F83" s="103" cm="1">
        <f t="array" aca="1" ref="F83" ca="1">MMS_Feedlot_N2ODirect_Equations.VEERG_4_1_1_3__3_AnnualNitrogenExcretion(F73,F54,F78)</f>
        <v>36604.799999999988</v>
      </c>
      <c r="G83" s="2" t="str">
        <f>$E$64</f>
        <v>kg N</v>
      </c>
      <c r="H83" s="2"/>
      <c r="I83" s="2"/>
      <c r="J83" s="2"/>
      <c r="K83" s="2"/>
      <c r="O83" s="103" cm="1">
        <f t="array" aca="1" ref="O83" ca="1">MMS_Feedlot_N2ODirect_Equations.VEERG_4_1_1_3__3_AnnualNitrogenExcretion(D73,O54,D78)</f>
        <v>16689.254400000005</v>
      </c>
      <c r="P83" s="103" cm="1">
        <f t="array" aca="1" ref="P83" ca="1">MMS_Feedlot_N2ODirect_Equations.VEERG_4_1_1_3__3_AnnualNitrogenExcretion(E73,P54,E78)</f>
        <v>25343.539200000003</v>
      </c>
      <c r="Q83" s="103" cm="1">
        <f t="array" aca="1" ref="Q83" ca="1">MMS_Feedlot_N2ODirect_Equations.VEERG_4_1_1_3__3_AnnualNitrogenExcretion(F73,Q54,F78)</f>
        <v>36604.799999999988</v>
      </c>
      <c r="R83" s="2" t="str">
        <f>$E$64</f>
        <v>kg N</v>
      </c>
      <c r="S83" s="2"/>
    </row>
    <row r="84" spans="3:20" ht="20" customHeight="1" x14ac:dyDescent="0.25"/>
    <row r="85" spans="3:20" ht="20" customHeight="1" x14ac:dyDescent="0.25"/>
    <row r="86" spans="3:20" ht="20" customHeight="1" x14ac:dyDescent="0.25">
      <c r="C86" s="46"/>
      <c r="D86" s="46"/>
      <c r="E86" s="46"/>
      <c r="F86" s="46"/>
      <c r="G86" s="46"/>
      <c r="H86" s="46"/>
      <c r="I86" s="46"/>
      <c r="J86" s="46"/>
      <c r="K86" s="46"/>
      <c r="L86" s="46"/>
      <c r="N86" s="46"/>
      <c r="O86" s="46"/>
      <c r="P86" s="46"/>
      <c r="Q86" s="46"/>
      <c r="R86" s="46"/>
      <c r="S86" s="46"/>
      <c r="T86" s="46"/>
    </row>
    <row r="87" spans="3:20" ht="20" customHeight="1" x14ac:dyDescent="0.25">
      <c r="D87" s="6" t="str" cm="1">
        <f t="array" ref="D87">MMS_Feedlot_N2ODirect_Equations.VEERG_4_1_1_3__2_Stage1NitrogenInMMSDrylot_Title()</f>
        <v>Nitrogen in treatment stage 1 MMS</v>
      </c>
    </row>
    <row r="88" spans="3:20" ht="20" customHeight="1" x14ac:dyDescent="0.25">
      <c r="D88" s="5" t="str" cm="1">
        <f t="array" ref="D88">MMS_Feedlot_N2ODirect_Equations.VEERG_4_1_1_3__2_Stage1NitrogenInMMSDrylot_Source()</f>
        <v>VEERG 2026: 4.1.1.3, Equation (2)</v>
      </c>
    </row>
    <row r="89" spans="3:20" ht="20" customHeight="1" x14ac:dyDescent="0.25">
      <c r="D89" s="13" t="s">
        <v>23</v>
      </c>
      <c r="E89" s="13" t="str" cm="1">
        <f t="array" aca="1" ref="E89" ca="1">Common_InputFunctions.Utility_DisplayFunctionName(E106)</f>
        <v>=MMS_Feedlot_N2ODirect_Equations.VEERG_4_1_1_3__2_Stage1NitrogenInMMSDrylot</v>
      </c>
    </row>
    <row r="90" spans="3:20" ht="20" customHeight="1" x14ac:dyDescent="0.25"/>
    <row r="91" spans="3:20" ht="20" customHeight="1" x14ac:dyDescent="0.25">
      <c r="D91" s="6"/>
    </row>
    <row r="92" spans="3:20" ht="20" customHeight="1" x14ac:dyDescent="0.25">
      <c r="D92" s="54" t="s">
        <v>26</v>
      </c>
      <c r="E92" s="1" t="str" cm="1">
        <f t="array" ref="E92">MMS_Feedlot_N2ODirect_Equations.VEERG_4_1_1_3__2_Stage1NitrogenInMMSDrylot_Variable()</f>
        <v>MN_jm5T1</v>
      </c>
    </row>
    <row r="93" spans="3:20" ht="20" customHeight="1" x14ac:dyDescent="0.25">
      <c r="D93" s="54" t="s">
        <v>16</v>
      </c>
      <c r="E93" s="55" t="str" cm="1">
        <f t="array" ref="E93">MMS_Feedlot_N2ODirect_Equations.VEERG_4_1_1_3__2_Stage1NitrogenInMMSDrylot_Unit()</f>
        <v>kg N</v>
      </c>
    </row>
    <row r="94" spans="3:20" ht="20" customHeight="1" x14ac:dyDescent="0.25"/>
    <row r="95" spans="3:20" ht="20" customHeight="1" x14ac:dyDescent="0.25">
      <c r="D95" s="134" t="str" cm="1">
        <f t="array" ref="D95:E96">_xlfn.CHOOSECOLS(MMS_Feedlot_N2ODirect_Equations.VEERG_4_1_1_3__2_Stage1NitrogenInMMSDrylot_Arguments(),1,2)</f>
        <v>AE_j</v>
      </c>
      <c r="E95" s="137" t="str">
        <v>total nitrogen excreted by each cattle group</v>
      </c>
      <c r="F95" s="136"/>
      <c r="G95" s="134" t="str" cm="1">
        <f t="array" ref="G95:H96">_xlfn.CHOOSECOLS(MMS_Feedlot_N2ODirect_Equations.VEERG_4_1_1_3__2_Stage1NitrogenInMMSDrylot_Arguments(),3,4)</f>
        <v>kg N</v>
      </c>
      <c r="H95" s="126" t="str">
        <v>Calculated from 4.1.1.3 (3)</v>
      </c>
      <c r="I95" s="135" t="str" cm="1">
        <f t="array" aca="1" ref="I95" ca="1">HYPERLINK(Common_InputFunctions.Utility_SourceHyperlink($D$80),$D$80)</f>
        <v>M1_Table_AE_j</v>
      </c>
    </row>
    <row r="96" spans="3:20" ht="20" customHeight="1" x14ac:dyDescent="0.25">
      <c r="D96" s="134" t="str">
        <v>MMS_jm5T1</v>
      </c>
      <c r="E96" s="137" t="str">
        <v>fraction of manure in primary system drylot MMS</v>
      </c>
      <c r="F96" s="136"/>
      <c r="G96" s="134" t="str">
        <v>fraction</v>
      </c>
      <c r="H96" s="125" t="str">
        <v>Input</v>
      </c>
      <c r="I96" s="135" t="str" cm="1">
        <f t="array" aca="1" ref="I96" ca="1">HYPERLINK(Common_InputFunctions.Utility_SourceHyperlink($D$98),$D$98)</f>
        <v>Table_MMS_j_m-5_T-1</v>
      </c>
    </row>
    <row r="97" spans="3:20" ht="20" customHeight="1" x14ac:dyDescent="0.25"/>
    <row r="98" spans="3:20" ht="20" customHeight="1" x14ac:dyDescent="0.25">
      <c r="D98" s="100" t="s">
        <v>157</v>
      </c>
    </row>
    <row r="99" spans="3:20" ht="20" customHeight="1" x14ac:dyDescent="0.25">
      <c r="D99" s="99" t="s">
        <v>102</v>
      </c>
    </row>
    <row r="100" spans="3:20" ht="20" customHeight="1" x14ac:dyDescent="0.25">
      <c r="D100" s="40" t="s">
        <v>99</v>
      </c>
      <c r="E100" s="40" t="s">
        <v>131</v>
      </c>
      <c r="F100" s="40" t="s">
        <v>132</v>
      </c>
      <c r="G100" s="40" t="s">
        <v>133</v>
      </c>
    </row>
    <row r="101" spans="3:20" ht="20" customHeight="1" x14ac:dyDescent="0.25">
      <c r="D101" s="53" t="s">
        <v>94</v>
      </c>
      <c r="E101" s="53" cm="1">
        <f t="array" aca="1" ref="E101:G101" ca="1">OFFSET(X_Table_Feedlot_MMS_Stage1, 1,1,1,3)</f>
        <v>1</v>
      </c>
      <c r="F101" s="53">
        <f ca="1"/>
        <v>1</v>
      </c>
      <c r="G101" s="53">
        <f ca="1"/>
        <v>1</v>
      </c>
      <c r="H101" s="2" t="s">
        <v>317</v>
      </c>
      <c r="I101" s="2"/>
      <c r="J101" s="2"/>
      <c r="K101" s="2"/>
    </row>
    <row r="102" spans="3:20" ht="20" customHeight="1" x14ac:dyDescent="0.25"/>
    <row r="103" spans="3:20" ht="20" customHeight="1" x14ac:dyDescent="0.25">
      <c r="D103" s="100" t="s">
        <v>158</v>
      </c>
      <c r="O103" s="100" t="s">
        <v>159</v>
      </c>
    </row>
    <row r="104" spans="3:20" ht="20" customHeight="1" x14ac:dyDescent="0.25">
      <c r="D104" s="99" t="s">
        <v>181</v>
      </c>
      <c r="O104" s="99" t="s">
        <v>182</v>
      </c>
    </row>
    <row r="105" spans="3:20" ht="20" customHeight="1" x14ac:dyDescent="0.25">
      <c r="D105" s="52" t="s">
        <v>99</v>
      </c>
      <c r="E105" s="52" t="s">
        <v>131</v>
      </c>
      <c r="F105" s="52" t="s">
        <v>132</v>
      </c>
      <c r="G105" s="52" t="s">
        <v>133</v>
      </c>
      <c r="O105" s="52" t="s">
        <v>99</v>
      </c>
      <c r="P105" s="52" t="s">
        <v>131</v>
      </c>
      <c r="Q105" s="52" t="s">
        <v>132</v>
      </c>
      <c r="R105" s="52" t="s">
        <v>133</v>
      </c>
    </row>
    <row r="106" spans="3:20" ht="20" customHeight="1" x14ac:dyDescent="0.25">
      <c r="D106" s="53" t="str">
        <f>INDEX(X_Table_Feedlot_MMS_Stage1,2,1)</f>
        <v>Drylot (feed pad)</v>
      </c>
      <c r="E106" s="53" cm="1">
        <f t="array" aca="1" ref="E106" ca="1">MMS_Feedlot_N2ODirect_Equations.VEERG_4_1_1_3__2_Stage1NitrogenInMMSDrylot(D83,E101)</f>
        <v>16689.254400000005</v>
      </c>
      <c r="F106" s="53" cm="1">
        <f t="array" aca="1" ref="F106" ca="1">MMS_Feedlot_N2ODirect_Equations.VEERG_4_1_1_3__2_Stage1NitrogenInMMSDrylot(E83,F101)</f>
        <v>25343.539200000003</v>
      </c>
      <c r="G106" s="53" cm="1">
        <f t="array" aca="1" ref="G106" ca="1">MMS_Feedlot_N2ODirect_Equations.VEERG_4_1_1_3__2_Stage1NitrogenInMMSDrylot(F83,G101)</f>
        <v>36604.799999999988</v>
      </c>
      <c r="H106" s="2" t="str">
        <f>$E$93</f>
        <v>kg N</v>
      </c>
      <c r="I106" s="2"/>
      <c r="J106" s="2"/>
      <c r="K106" s="2"/>
      <c r="O106" s="53" t="str">
        <f>INDEX(X_Table_Feedlot_MMS_Stage1,2,1)</f>
        <v>Drylot (feed pad)</v>
      </c>
      <c r="P106" s="53" cm="1">
        <f t="array" aca="1" ref="P106" ca="1">MMS_Feedlot_N2ODirect_Equations.VEERG_4_1_1_3__2_Stage1NitrogenInMMSDrylot(O83,E101)</f>
        <v>16689.254400000005</v>
      </c>
      <c r="Q106" s="53" cm="1">
        <f t="array" aca="1" ref="Q106" ca="1">MMS_Feedlot_N2ODirect_Equations.VEERG_4_1_1_3__2_Stage1NitrogenInMMSDrylot(P83,F101)</f>
        <v>25343.539200000003</v>
      </c>
      <c r="R106" s="53" cm="1">
        <f t="array" aca="1" ref="R106" ca="1">MMS_Feedlot_N2ODirect_Equations.VEERG_4_1_1_3__2_Stage1NitrogenInMMSDrylot(Q83,G101)</f>
        <v>36604.799999999988</v>
      </c>
      <c r="S106" s="2" t="str">
        <f>$E$93</f>
        <v>kg N</v>
      </c>
    </row>
    <row r="107" spans="3:20" ht="20" customHeight="1" x14ac:dyDescent="0.25"/>
    <row r="108" spans="3:20" ht="20" customHeight="1" x14ac:dyDescent="0.25"/>
    <row r="109" spans="3:20" ht="20" customHeight="1" x14ac:dyDescent="0.25">
      <c r="C109" s="46"/>
      <c r="D109" s="46"/>
      <c r="E109" s="46"/>
      <c r="F109" s="46"/>
      <c r="G109" s="46"/>
      <c r="H109" s="46"/>
      <c r="I109" s="46"/>
      <c r="J109" s="46"/>
      <c r="K109" s="46"/>
      <c r="L109" s="46"/>
      <c r="N109" s="46"/>
      <c r="O109" s="46"/>
      <c r="P109" s="46"/>
      <c r="Q109" s="46"/>
      <c r="R109" s="46"/>
      <c r="S109" s="46"/>
      <c r="T109" s="46"/>
    </row>
    <row r="110" spans="3:20" ht="20" customHeight="1" x14ac:dyDescent="0.25">
      <c r="D110" s="6" t="str" cm="1">
        <f t="array" ref="D110">MMS_Feedlot_N2ODirect_Equations.VEERG_4_1_1_3__8_Stage3NitrogenInMMSAnaerobicLagoon_Title()</f>
        <v>Nitrogen in treatment stage 3 MMS</v>
      </c>
    </row>
    <row r="111" spans="3:20" ht="20" customHeight="1" x14ac:dyDescent="0.25">
      <c r="D111" s="5" t="str" cm="1">
        <f t="array" ref="D111">MMS_Feedlot_N2ODirect_Equations.VEERG_4_1_1_3__8_Stage3NitrogenInMMSAnaerobicLagoon_Source()</f>
        <v>VEERG 2026: 4.1.1.3, Equation (8)</v>
      </c>
    </row>
    <row r="112" spans="3:20" ht="20" customHeight="1" x14ac:dyDescent="0.25">
      <c r="D112" s="13" t="s">
        <v>23</v>
      </c>
      <c r="E112" s="13" t="str" cm="1">
        <f t="array" aca="1" ref="E112" ca="1">Common_InputFunctions.Utility_DisplayFunctionName(E138)</f>
        <v>=MMS_Feedlot_N2ODirect_Equations.VEERG_4_1_1_3__7_NitrogenTransferredToStage2_Variable</v>
      </c>
    </row>
    <row r="113" spans="4:18" ht="20" customHeight="1" x14ac:dyDescent="0.25">
      <c r="D113" s="6"/>
    </row>
    <row r="114" spans="4:18" ht="20" customHeight="1" x14ac:dyDescent="0.25"/>
    <row r="115" spans="4:18" ht="20" customHeight="1" x14ac:dyDescent="0.25">
      <c r="D115" s="54" t="s">
        <v>26</v>
      </c>
      <c r="E115" s="1" t="str" cm="1">
        <f t="array" ref="E115">MMS_Feedlot_N2ODirect_Equations.VEERG_4_1_1_3__8_Stage3NitrogenInMMSAnaerobicLagoon_Variable()</f>
        <v>MN_jm1T3</v>
      </c>
    </row>
    <row r="116" spans="4:18" ht="20" customHeight="1" x14ac:dyDescent="0.25">
      <c r="D116" s="54" t="s">
        <v>16</v>
      </c>
      <c r="E116" s="55" t="str" cm="1">
        <f t="array" ref="E116">MMS_Feedlot_N2ODirect_Equations.VEERG_4_1_1_3__8_Stage3NitrogenInMMSAnaerobicLagoon_Unit()</f>
        <v>kg N</v>
      </c>
    </row>
    <row r="117" spans="4:18" ht="20" customHeight="1" x14ac:dyDescent="0.25"/>
    <row r="118" spans="4:18" ht="20" customHeight="1" x14ac:dyDescent="0.25">
      <c r="D118" s="134" t="str" cm="1">
        <f t="array" ref="D118:E119">_xlfn.CHOOSECOLS(MMS_Feedlot_N2ODirect_Equations.VEERG_4_1_1_3__8_Stage3NitrogenInMMSAnaerobicLagoon_Arguments(),1,2)</f>
        <v>AE_j</v>
      </c>
      <c r="E118" s="137" t="str">
        <v>total nitrogen excreted by each cattle group</v>
      </c>
      <c r="F118" s="136"/>
      <c r="G118" s="134" t="str" cm="1">
        <f t="array" ref="G118:H119">_xlfn.CHOOSECOLS(MMS_Feedlot_N2ODirect_Equations.VEERG_4_1_1_3__8_Stage3NitrogenInMMSAnaerobicLagoon_Arguments(),3,4)</f>
        <v>kg N</v>
      </c>
      <c r="H118" s="126" t="str">
        <v>Calculated from 4.1.1.3 (3)</v>
      </c>
      <c r="I118" s="135" t="str" cm="1">
        <f t="array" aca="1" ref="I118" ca="1">HYPERLINK(Common_InputFunctions.Utility_SourceHyperlink($D$80),$D$80)</f>
        <v>M1_Table_AE_j</v>
      </c>
    </row>
    <row r="119" spans="4:18" ht="20" customHeight="1" x14ac:dyDescent="0.25">
      <c r="D119" s="134" t="str">
        <v>MMS_jm1T3</v>
      </c>
      <c r="E119" s="137" t="str">
        <v>fraction of manure to tertiary anaerobic lagoon system</v>
      </c>
      <c r="F119" s="136"/>
      <c r="G119" s="134" t="str">
        <v>fraction</v>
      </c>
      <c r="H119" s="125" t="str">
        <v>Input</v>
      </c>
      <c r="I119" s="135" t="str" cm="1">
        <f t="array" aca="1" ref="I119" ca="1">HYPERLINK(Common_InputFunctions.Utility_SourceHyperlink($D$121),$D$121)</f>
        <v>Table_MMS_j_m-1_T-3</v>
      </c>
    </row>
    <row r="120" spans="4:18" ht="20" customHeight="1" x14ac:dyDescent="0.25"/>
    <row r="121" spans="4:18" ht="20" customHeight="1" x14ac:dyDescent="0.25">
      <c r="D121" s="100" t="s">
        <v>162</v>
      </c>
    </row>
    <row r="122" spans="4:18" ht="20" customHeight="1" x14ac:dyDescent="0.25">
      <c r="D122" s="99" t="s">
        <v>161</v>
      </c>
    </row>
    <row r="123" spans="4:18" ht="20" customHeight="1" x14ac:dyDescent="0.25">
      <c r="D123" s="40" t="s">
        <v>110</v>
      </c>
      <c r="E123" s="40" t="s">
        <v>131</v>
      </c>
      <c r="F123" s="40" t="s">
        <v>132</v>
      </c>
      <c r="G123" s="40" t="s">
        <v>133</v>
      </c>
    </row>
    <row r="124" spans="4:18" ht="20" customHeight="1" x14ac:dyDescent="0.25">
      <c r="D124" s="53" t="str" cm="1">
        <f t="array" aca="1" ref="D124:G124" ca="1">OFFSET(X_Table_Feedlot_MMS_Stage3,2,0,1,4)</f>
        <v>Anaerobic lagoon</v>
      </c>
      <c r="E124" s="53">
        <f ca="1"/>
        <v>0.02</v>
      </c>
      <c r="F124" s="53">
        <f ca="1"/>
        <v>0.02</v>
      </c>
      <c r="G124" s="53">
        <f ca="1"/>
        <v>0.02</v>
      </c>
      <c r="H124" s="2" t="s">
        <v>317</v>
      </c>
      <c r="I124" s="2"/>
      <c r="J124" s="2"/>
      <c r="K124" s="2"/>
    </row>
    <row r="125" spans="4:18" ht="20" customHeight="1" x14ac:dyDescent="0.25"/>
    <row r="126" spans="4:18" ht="20" customHeight="1" x14ac:dyDescent="0.25">
      <c r="D126" s="100" t="s">
        <v>167</v>
      </c>
      <c r="O126" s="100" t="s">
        <v>168</v>
      </c>
    </row>
    <row r="127" spans="4:18" ht="20" customHeight="1" x14ac:dyDescent="0.25">
      <c r="D127" s="99" t="s">
        <v>179</v>
      </c>
      <c r="O127" s="99" t="s">
        <v>180</v>
      </c>
    </row>
    <row r="128" spans="4:18" ht="20" customHeight="1" x14ac:dyDescent="0.25">
      <c r="D128" s="52" t="s">
        <v>110</v>
      </c>
      <c r="E128" s="52" t="s">
        <v>131</v>
      </c>
      <c r="F128" s="52" t="s">
        <v>132</v>
      </c>
      <c r="G128" s="52" t="s">
        <v>133</v>
      </c>
      <c r="O128" s="52" t="s">
        <v>110</v>
      </c>
      <c r="P128" s="52" t="s">
        <v>131</v>
      </c>
      <c r="Q128" s="52" t="s">
        <v>132</v>
      </c>
      <c r="R128" s="52" t="s">
        <v>133</v>
      </c>
    </row>
    <row r="129" spans="3:20" ht="20" customHeight="1" x14ac:dyDescent="0.25">
      <c r="D129" s="53" t="str">
        <f>INDEX(X_Table_Feedlot_MMS_Stage3,3,1)</f>
        <v>Anaerobic lagoon</v>
      </c>
      <c r="E129" s="53" cm="1">
        <f t="array" aca="1" ref="E129" ca="1">MMS_Feedlot_N2ODirect_Equations.VEERG_4_1_1_3__8_Stage3NitrogenInMMSAnaerobicLagoon(D83,E124)</f>
        <v>333.78508800000009</v>
      </c>
      <c r="F129" s="53" cm="1">
        <f t="array" aca="1" ref="F129" ca="1">MMS_Feedlot_N2ODirect_Equations.VEERG_4_1_1_3__8_Stage3NitrogenInMMSAnaerobicLagoon(E83,F124)</f>
        <v>506.87078400000007</v>
      </c>
      <c r="G129" s="53" cm="1">
        <f t="array" aca="1" ref="G129" ca="1">MMS_Feedlot_N2ODirect_Equations.VEERG_4_1_1_3__8_Stage3NitrogenInMMSAnaerobicLagoon(F83,G124)</f>
        <v>732.09599999999978</v>
      </c>
      <c r="H129" s="2" t="str">
        <f>$E$116</f>
        <v>kg N</v>
      </c>
      <c r="I129" s="2"/>
      <c r="J129" s="2"/>
      <c r="K129" s="2"/>
      <c r="O129" s="53" t="str">
        <f>INDEX(X_Table_Feedlot_MMS_Stage3,3,1)</f>
        <v>Anaerobic lagoon</v>
      </c>
      <c r="P129" s="53" cm="1">
        <f t="array" aca="1" ref="P129" ca="1">MMS_Feedlot_N2ODirect_Equations.VEERG_4_1_1_3__8_Stage3NitrogenInMMSAnaerobicLagoon(O83,E124)</f>
        <v>333.78508800000009</v>
      </c>
      <c r="Q129" s="53" cm="1">
        <f t="array" aca="1" ref="Q129" ca="1">MMS_Feedlot_N2ODirect_Equations.VEERG_4_1_1_3__8_Stage3NitrogenInMMSAnaerobicLagoon(P83,F124)</f>
        <v>506.87078400000007</v>
      </c>
      <c r="R129" s="53" cm="1">
        <f t="array" aca="1" ref="R129" ca="1">MMS_Feedlot_N2ODirect_Equations.VEERG_4_1_1_3__8_Stage3NitrogenInMMSAnaerobicLagoon(Q83,G124)</f>
        <v>732.09599999999978</v>
      </c>
      <c r="S129" s="2" t="str">
        <f>$E$116</f>
        <v>kg N</v>
      </c>
    </row>
    <row r="130" spans="3:20" ht="20" customHeight="1" x14ac:dyDescent="0.25"/>
    <row r="131" spans="3:20" ht="20" customHeight="1" x14ac:dyDescent="0.25"/>
    <row r="132" spans="3:20" ht="20" customHeight="1" x14ac:dyDescent="0.25">
      <c r="C132" s="46"/>
      <c r="D132" s="46"/>
      <c r="E132" s="46"/>
      <c r="F132" s="46"/>
      <c r="G132" s="46"/>
      <c r="H132" s="46"/>
      <c r="I132" s="46"/>
      <c r="J132" s="46"/>
      <c r="K132" s="46"/>
      <c r="L132" s="46"/>
      <c r="N132" s="46"/>
      <c r="O132" s="46"/>
      <c r="P132" s="46"/>
      <c r="Q132" s="46"/>
      <c r="R132" s="46"/>
      <c r="S132" s="46"/>
      <c r="T132" s="46"/>
    </row>
    <row r="133" spans="3:20" ht="20" customHeight="1" x14ac:dyDescent="0.25">
      <c r="D133" s="6" t="str" cm="1">
        <f t="array" ref="D133">MMS_Feedlot_N2ODirect_Equations.VEERG_4_1_1_3__7_NitrogenTransferredToStage2_Title()</f>
        <v>Nitrogen transferred to treatment stage 2 MMS</v>
      </c>
    </row>
    <row r="134" spans="3:20" ht="20" customHeight="1" x14ac:dyDescent="0.25">
      <c r="D134" s="5" t="str" cm="1">
        <f t="array" ref="D134">MMS_Feedlot_N2ODirect_Equations.VEERG_4_1_1_3__7_NitrogenTransferredToStage2_Source()</f>
        <v>VEERG 2026: 4.1.1.3, Equation (7)</v>
      </c>
    </row>
    <row r="135" spans="3:20" ht="20" customHeight="1" x14ac:dyDescent="0.25">
      <c r="D135" s="13" t="s">
        <v>23</v>
      </c>
      <c r="E135" s="13" t="str" cm="1">
        <f t="array" aca="1" ref="E135" ca="1">Common_InputFunctions.Utility_DisplayFunctionName(D149)</f>
        <v>=MMS_Feedlot_N2ODirect_Equations.VEERG_4_1_1_3__7_NitrogenTransferredToStage2</v>
      </c>
    </row>
    <row r="136" spans="3:20" ht="20" customHeight="1" x14ac:dyDescent="0.25"/>
    <row r="137" spans="3:20" ht="20" customHeight="1" x14ac:dyDescent="0.25">
      <c r="D137" s="6"/>
    </row>
    <row r="138" spans="3:20" ht="20" customHeight="1" x14ac:dyDescent="0.25">
      <c r="D138" s="54" t="s">
        <v>26</v>
      </c>
      <c r="E138" s="1" t="str" cm="1">
        <f t="array" ref="E138">MMS_Feedlot_N2ODirect_Equations.VEERG_4_1_1_3__7_NitrogenTransferredToStage2_Variable()</f>
        <v>NT_jmT2</v>
      </c>
    </row>
    <row r="139" spans="3:20" ht="20" customHeight="1" x14ac:dyDescent="0.25">
      <c r="D139" s="54" t="s">
        <v>16</v>
      </c>
      <c r="E139" s="55" t="str" cm="1">
        <f t="array" ref="E139">MMS_Feedlot_N2ODirect_Equations.VEERG_4_1_1_3__7_NitrogenTransferredToStage2_Unit()</f>
        <v>kg N</v>
      </c>
    </row>
    <row r="140" spans="3:20" ht="20" customHeight="1" x14ac:dyDescent="0.25"/>
    <row r="141" spans="3:20" ht="20" customHeight="1" x14ac:dyDescent="0.25">
      <c r="D141" s="134" t="str" cm="1">
        <f t="array" ref="D141:E144">_xlfn.CHOOSECOLS(MMS_Feedlot_N2ODirect_Equations.VEERG_4_1_1_3__7_NitrogenTransferredToStage2_Arguments(),1,2)</f>
        <v>MN_jm5T1</v>
      </c>
      <c r="E141" s="137" t="str">
        <v>nitrogen in MMS treatment stage 1</v>
      </c>
      <c r="F141" s="136"/>
      <c r="G141" s="134" t="str" cm="1">
        <f t="array" ref="G141:H144">_xlfn.CHOOSECOLS(MMS_Feedlot_N2ODirect_Equations.VEERG_4_1_1_3__7_NitrogenTransferredToStage2_Arguments(),3,4)</f>
        <v>kg N</v>
      </c>
      <c r="H141" s="126" t="str">
        <v>Calculated from 4.1.1.3 (2)</v>
      </c>
      <c r="I141" s="135" t="str" cm="1">
        <f t="array" aca="1" ref="I141" ca="1">HYPERLINK(Common_InputFunctions.Utility_SourceHyperlink($D$103),$D$103)</f>
        <v>M1_Table_MN_j_m-5_T-1</v>
      </c>
    </row>
    <row r="142" spans="3:20" ht="20" customHeight="1" x14ac:dyDescent="0.25">
      <c r="D142" s="134" t="str">
        <v>FracGASM_m5</v>
      </c>
      <c r="E142" s="137" t="str">
        <v>fraction of N volatilised from drylot MMS</v>
      </c>
      <c r="F142" s="136"/>
      <c r="G142" s="134" t="str">
        <v>fraction</v>
      </c>
      <c r="H142" s="126" t="str">
        <v>Constant</v>
      </c>
      <c r="I142" s="134">
        <f>'Constants - Feedlot'!$F$113</f>
        <v>0.6</v>
      </c>
    </row>
    <row r="143" spans="3:20" ht="20" customHeight="1" x14ac:dyDescent="0.25">
      <c r="D143" s="134" t="str">
        <v>EF_m5</v>
      </c>
      <c r="E143" s="137" t="str">
        <v>nitrous oxide emission factor for drylot MMS</v>
      </c>
      <c r="F143" s="136"/>
      <c r="G143" s="134" t="str">
        <v>kg N2O-N/kg N deposited</v>
      </c>
      <c r="H143" s="126" t="str">
        <v>Constant</v>
      </c>
      <c r="I143" s="134">
        <f>'Constants - Feedlot'!$F$101</f>
        <v>5.4000000000000003E-3</v>
      </c>
    </row>
    <row r="144" spans="3:20" ht="20" customHeight="1" x14ac:dyDescent="0.25">
      <c r="D144" s="134" t="str">
        <v>MN_jmT3</v>
      </c>
      <c r="E144" s="137" t="str">
        <v>nitrogen in MMS treatment stage 3</v>
      </c>
      <c r="F144" s="136"/>
      <c r="G144" s="134" t="str">
        <v>kg N</v>
      </c>
      <c r="H144" s="126" t="str">
        <v>Calculated from 4.1.1.3 (8)</v>
      </c>
      <c r="I144" s="135" t="str" cm="1">
        <f t="array" aca="1" ref="I144" ca="1">HYPERLINK(Common_InputFunctions.Utility_SourceHyperlink($D$126),$D$126)</f>
        <v>M1_Table_MN_j_m-1_T-3</v>
      </c>
    </row>
    <row r="145" spans="3:20" ht="20" customHeight="1" x14ac:dyDescent="0.25"/>
    <row r="146" spans="3:20" ht="20" customHeight="1" x14ac:dyDescent="0.25">
      <c r="D146" s="100" t="s">
        <v>169</v>
      </c>
      <c r="O146" s="100" t="s">
        <v>170</v>
      </c>
    </row>
    <row r="147" spans="3:20" ht="20" customHeight="1" x14ac:dyDescent="0.25">
      <c r="D147" s="99" t="s">
        <v>177</v>
      </c>
      <c r="O147" s="99" t="s">
        <v>178</v>
      </c>
    </row>
    <row r="148" spans="3:20" ht="20" customHeight="1" x14ac:dyDescent="0.25">
      <c r="D148" s="52" t="s">
        <v>131</v>
      </c>
      <c r="E148" s="52" t="s">
        <v>132</v>
      </c>
      <c r="F148" s="52" t="s">
        <v>133</v>
      </c>
      <c r="O148" s="52" t="s">
        <v>131</v>
      </c>
      <c r="P148" s="52" t="s">
        <v>132</v>
      </c>
      <c r="Q148" s="52" t="s">
        <v>133</v>
      </c>
    </row>
    <row r="149" spans="3:20" ht="20" customHeight="1" x14ac:dyDescent="0.25">
      <c r="D149" s="53" cm="1">
        <f t="array" aca="1" ref="D149" ca="1">MMS_Feedlot_N2ODirect_Equations.VEERG_4_1_1_3__7_NitrogenTransferredToStage2(E106,$I$142,$I$143,E129)</f>
        <v>6251.7946982400026</v>
      </c>
      <c r="E149" s="53" cm="1">
        <f t="array" aca="1" ref="E149" ca="1">MMS_Feedlot_N2ODirect_Equations.VEERG_4_1_1_3__7_NitrogenTransferredToStage2(F106,$I$142,$I$143,F129)</f>
        <v>9493.6897843200004</v>
      </c>
      <c r="F149" s="53" cm="1">
        <f t="array" aca="1" ref="F149" ca="1">MMS_Feedlot_N2ODirect_Equations.VEERG_4_1_1_3__7_NitrogenTransferredToStage2(G106,$I$142,$I$143,G129)</f>
        <v>13712.158079999996</v>
      </c>
      <c r="G149" s="2" t="str">
        <f>$E$116</f>
        <v>kg N</v>
      </c>
      <c r="O149" s="53" cm="1">
        <f t="array" aca="1" ref="O149" ca="1">MMS_Feedlot_N2ODirect_Equations.VEERG_4_1_1_3__7_NitrogenTransferredToStage2(P106,$I$142,$I$143,P129)</f>
        <v>6251.7946982400026</v>
      </c>
      <c r="P149" s="53" cm="1">
        <f t="array" aca="1" ref="P149" ca="1">MMS_Feedlot_N2ODirect_Equations.VEERG_4_1_1_3__7_NitrogenTransferredToStage2(Q106,$I$142,$I$143,Q129)</f>
        <v>9493.6897843200004</v>
      </c>
      <c r="Q149" s="53" cm="1">
        <f t="array" aca="1" ref="Q149" ca="1">MMS_Feedlot_N2ODirect_Equations.VEERG_4_1_1_3__7_NitrogenTransferredToStage2(R106,$I$142,$I$143,R129)</f>
        <v>13712.158079999996</v>
      </c>
      <c r="R149" s="2" t="str">
        <f>$E$116</f>
        <v>kg N</v>
      </c>
    </row>
    <row r="150" spans="3:20" ht="20" customHeight="1" x14ac:dyDescent="0.25"/>
    <row r="151" spans="3:20" ht="20" customHeight="1" x14ac:dyDescent="0.25"/>
    <row r="152" spans="3:20" ht="20" customHeight="1" x14ac:dyDescent="0.25">
      <c r="C152" s="46"/>
      <c r="D152" s="46"/>
      <c r="E152" s="46"/>
      <c r="F152" s="46"/>
      <c r="G152" s="46"/>
      <c r="H152" s="46"/>
      <c r="I152" s="46"/>
      <c r="J152" s="46"/>
      <c r="K152" s="46"/>
      <c r="L152" s="46"/>
      <c r="N152" s="46"/>
      <c r="O152" s="46"/>
      <c r="P152" s="46"/>
      <c r="Q152" s="46"/>
      <c r="R152" s="46"/>
      <c r="S152" s="46"/>
      <c r="T152" s="46"/>
    </row>
    <row r="153" spans="3:20" ht="20" customHeight="1" x14ac:dyDescent="0.25">
      <c r="D153" s="6" t="str" cm="1">
        <f t="array" ref="D153">MMS_Feedlot_N2ODirect_Equations.VEERG_4_1_1_3__6_Stage2NitrogenInMMS_Title()</f>
        <v>Nitrogen in treatment stage 2 MMS</v>
      </c>
    </row>
    <row r="154" spans="3:20" ht="20" customHeight="1" x14ac:dyDescent="0.25">
      <c r="D154" s="5" t="str" cm="1">
        <f t="array" ref="D154">MMS_Feedlot_N2ODirect_Equations.VEERG_4_1_1_3__6_Stage2NitrogenInMMS_Source()</f>
        <v>VEERG 2026: 4.1.1.3, Equation (6)</v>
      </c>
    </row>
    <row r="155" spans="3:20" ht="20" customHeight="1" x14ac:dyDescent="0.25">
      <c r="D155" s="13" t="s">
        <v>23</v>
      </c>
      <c r="E155" s="13" t="str" cm="1">
        <f t="array" aca="1" ref="E155" ca="1">Common_InputFunctions.Utility_DisplayFunctionName(E174)</f>
        <v>=MMS_Feedlot_N2ODirect_Equations.VEERG_4_1_1_3__6_Stage2NitrogenInMMS</v>
      </c>
    </row>
    <row r="156" spans="3:20" ht="20" customHeight="1" x14ac:dyDescent="0.25"/>
    <row r="157" spans="3:20" ht="20" customHeight="1" x14ac:dyDescent="0.25">
      <c r="D157" s="6"/>
    </row>
    <row r="158" spans="3:20" ht="20" customHeight="1" x14ac:dyDescent="0.25">
      <c r="D158" s="54" t="s">
        <v>26</v>
      </c>
      <c r="E158" s="1" t="str" cm="1">
        <f t="array" ref="E158">MMS_Feedlot_N2ODirect_Equations.VEERG_4_1_1_3__6_Stage2NitrogenInMMS_Variable()</f>
        <v>MN_jmT2</v>
      </c>
    </row>
    <row r="159" spans="3:20" ht="20" customHeight="1" x14ac:dyDescent="0.25">
      <c r="D159" s="54" t="s">
        <v>16</v>
      </c>
      <c r="E159" s="55" t="str" cm="1">
        <f t="array" ref="E159">MMS_Feedlot_N2ODirect_Equations.VEERG_4_1_1_3__6_Stage2NitrogenInMMS_Unit()</f>
        <v>kg N</v>
      </c>
    </row>
    <row r="160" spans="3:20" ht="20" customHeight="1" x14ac:dyDescent="0.25"/>
    <row r="161" spans="4:19" ht="20" customHeight="1" x14ac:dyDescent="0.25">
      <c r="D161" s="134" t="str" cm="1">
        <f t="array" ref="D161:E162">_xlfn.CHOOSECOLS(MMS_Feedlot_N2ODirect_Equations.VEERG_4_1_1_3__6_Stage2NitrogenInMMS_Arguments(),1,2)</f>
        <v>NT_jmT2</v>
      </c>
      <c r="E161" s="137" t="str">
        <v>nitrogen transferred to secondary treatment MMS</v>
      </c>
      <c r="F161" s="136"/>
      <c r="G161" s="134" t="str" cm="1">
        <f t="array" ref="G161:H162">_xlfn.CHOOSECOLS(MMS_Feedlot_N2ODirect_Equations.VEERG_4_1_1_3__6_Stage2NitrogenInMMS_Arguments(),3,4)</f>
        <v>kg N</v>
      </c>
      <c r="H161" s="126" t="str">
        <v>Calculated from 4.1.1.3 (7)</v>
      </c>
      <c r="I161" s="135" t="str" cm="1">
        <f t="array" aca="1" ref="I161" ca="1">HYPERLINK(Common_InputFunctions.Utility_SourceHyperlink($D$146),$D$146)</f>
        <v>M1_Table_NT_j_m-_T-2</v>
      </c>
    </row>
    <row r="162" spans="4:19" ht="20" customHeight="1" x14ac:dyDescent="0.25">
      <c r="D162" s="134" t="str">
        <v>MMS_jmT2</v>
      </c>
      <c r="E162" s="137" t="str">
        <v>fraction of manure in each secondary system</v>
      </c>
      <c r="F162" s="136"/>
      <c r="G162" s="134" t="str">
        <v>fraction</v>
      </c>
      <c r="H162" s="125" t="str">
        <v>Input</v>
      </c>
      <c r="I162" s="135" t="str" cm="1">
        <f t="array" aca="1" ref="I162" ca="1">HYPERLINK(Common_InputFunctions.Utility_SourceHyperlink($D$164),$D$164)</f>
        <v>Table_MMS_j_m_T-2</v>
      </c>
    </row>
    <row r="163" spans="4:19" ht="20" customHeight="1" x14ac:dyDescent="0.25">
      <c r="L163" s="2"/>
    </row>
    <row r="164" spans="4:19" ht="20" customHeight="1" x14ac:dyDescent="0.25">
      <c r="D164" s="100" t="s">
        <v>160</v>
      </c>
      <c r="L164" s="2"/>
    </row>
    <row r="165" spans="4:19" ht="20" customHeight="1" x14ac:dyDescent="0.25">
      <c r="D165" s="99" t="s">
        <v>107</v>
      </c>
    </row>
    <row r="166" spans="4:19" ht="20" customHeight="1" x14ac:dyDescent="0.25">
      <c r="D166" s="40" t="s">
        <v>95</v>
      </c>
      <c r="E166" s="40" t="s">
        <v>131</v>
      </c>
      <c r="F166" s="40" t="s">
        <v>132</v>
      </c>
      <c r="G166" s="40" t="s">
        <v>133</v>
      </c>
    </row>
    <row r="167" spans="4:19" ht="20" customHeight="1" x14ac:dyDescent="0.25">
      <c r="D167" s="53" t="str" cm="1">
        <f t="array" aca="1" ref="D167:G169" ca="1">OFFSET(X_Table_Feedlot_MMS_Stage2,2, 0, 3, 4)</f>
        <v>Solid storage</v>
      </c>
      <c r="E167" s="53">
        <f ca="1"/>
        <v>0.2</v>
      </c>
      <c r="F167" s="53">
        <f ca="1"/>
        <v>0.2</v>
      </c>
      <c r="G167" s="53">
        <f ca="1"/>
        <v>0.2</v>
      </c>
      <c r="H167" s="2" t="s">
        <v>317</v>
      </c>
      <c r="I167" s="2"/>
      <c r="J167" s="2"/>
      <c r="K167" s="2"/>
    </row>
    <row r="168" spans="4:19" ht="20" customHeight="1" x14ac:dyDescent="0.25">
      <c r="D168" s="53" t="str">
        <f ca="1"/>
        <v>Composting (passive windrow)</v>
      </c>
      <c r="E168" s="53">
        <f ca="1"/>
        <v>0.2</v>
      </c>
      <c r="F168" s="53">
        <f ca="1"/>
        <v>0.2</v>
      </c>
      <c r="G168" s="53">
        <f ca="1"/>
        <v>0.2</v>
      </c>
      <c r="H168" s="2" t="s">
        <v>317</v>
      </c>
      <c r="I168" s="2"/>
      <c r="J168" s="2"/>
      <c r="K168" s="2"/>
    </row>
    <row r="169" spans="4:19" ht="20" customHeight="1" x14ac:dyDescent="0.25">
      <c r="D169" s="53" t="str">
        <f ca="1"/>
        <v>Direct application</v>
      </c>
      <c r="E169" s="53">
        <f ca="1"/>
        <v>0.6</v>
      </c>
      <c r="F169" s="53">
        <f ca="1"/>
        <v>0.6</v>
      </c>
      <c r="G169" s="53">
        <f ca="1"/>
        <v>0.6</v>
      </c>
    </row>
    <row r="170" spans="4:19" ht="20" customHeight="1" x14ac:dyDescent="0.25"/>
    <row r="171" spans="4:19" ht="20" customHeight="1" x14ac:dyDescent="0.25">
      <c r="D171" s="100" t="s">
        <v>171</v>
      </c>
      <c r="O171" s="100" t="s">
        <v>171</v>
      </c>
    </row>
    <row r="172" spans="4:19" ht="20" customHeight="1" x14ac:dyDescent="0.25">
      <c r="D172" s="99" t="s">
        <v>175</v>
      </c>
      <c r="O172" s="99" t="s">
        <v>176</v>
      </c>
    </row>
    <row r="173" spans="4:19" ht="20" customHeight="1" x14ac:dyDescent="0.25">
      <c r="D173" s="52" t="s">
        <v>95</v>
      </c>
      <c r="E173" s="52" t="s">
        <v>131</v>
      </c>
      <c r="F173" s="52" t="s">
        <v>132</v>
      </c>
      <c r="G173" s="52" t="s">
        <v>133</v>
      </c>
      <c r="O173" s="52" t="s">
        <v>95</v>
      </c>
      <c r="P173" s="52" t="s">
        <v>131</v>
      </c>
      <c r="Q173" s="52" t="s">
        <v>132</v>
      </c>
      <c r="R173" s="52" t="s">
        <v>133</v>
      </c>
    </row>
    <row r="174" spans="4:19" ht="20" customHeight="1" x14ac:dyDescent="0.25">
      <c r="D174" s="53" t="str">
        <f>INDEX(X_Table_Feedlot_MMS_Stage2,3,1)</f>
        <v>Solid storage</v>
      </c>
      <c r="E174" s="53" cm="1">
        <f t="array" aca="1" ref="E174" ca="1">MMS_Feedlot_N2ODirect_Equations.VEERG_4_1_1_3__6_Stage2NitrogenInMMS(D$149,E167)</f>
        <v>1250.3589396480006</v>
      </c>
      <c r="F174" s="53" cm="1">
        <f t="array" aca="1" ref="F174" ca="1">MMS_Feedlot_N2ODirect_Equations.VEERG_4_1_1_3__6_Stage2NitrogenInMMS(E$149,F167)</f>
        <v>1898.7379568640001</v>
      </c>
      <c r="G174" s="53" cm="1">
        <f t="array" aca="1" ref="G174" ca="1">MMS_Feedlot_N2ODirect_Equations.VEERG_4_1_1_3__6_Stage2NitrogenInMMS(F$149,G167)</f>
        <v>2742.4316159999994</v>
      </c>
      <c r="H174" s="2" t="str">
        <f>$E$159</f>
        <v>kg N</v>
      </c>
      <c r="I174" s="2"/>
      <c r="J174" s="2"/>
      <c r="K174" s="2"/>
      <c r="O174" s="53" t="str">
        <f>INDEX(X_Table_Feedlot_MMS_Stage2,3,1)</f>
        <v>Solid storage</v>
      </c>
      <c r="P174" s="53" cm="1">
        <f t="array" aca="1" ref="P174" ca="1">MMS_Feedlot_N2ODirect_Equations.VEERG_4_1_1_3__6_Stage2NitrogenInMMS(O$149,E167)</f>
        <v>1250.3589396480006</v>
      </c>
      <c r="Q174" s="53" cm="1">
        <f t="array" aca="1" ref="Q174" ca="1">MMS_Feedlot_N2ODirect_Equations.VEERG_4_1_1_3__6_Stage2NitrogenInMMS(P$149,F167)</f>
        <v>1898.7379568640001</v>
      </c>
      <c r="R174" s="53" cm="1">
        <f t="array" aca="1" ref="R174" ca="1">MMS_Feedlot_N2ODirect_Equations.VEERG_4_1_1_3__6_Stage2NitrogenInMMS(Q$149,G167)</f>
        <v>2742.4316159999994</v>
      </c>
      <c r="S174" s="2" t="str">
        <f>$E$159</f>
        <v>kg N</v>
      </c>
    </row>
    <row r="175" spans="4:19" ht="20" customHeight="1" x14ac:dyDescent="0.25">
      <c r="D175" s="53" t="str">
        <f>INDEX(X_Table_Feedlot_MMS_Stage2,4,1)</f>
        <v>Composting (passive windrow)</v>
      </c>
      <c r="E175" s="53" cm="1">
        <f t="array" aca="1" ref="E175" ca="1">MMS_Feedlot_N2ODirect_Equations.VEERG_4_1_1_3__6_Stage2NitrogenInMMS(D$149,E168)</f>
        <v>1250.3589396480006</v>
      </c>
      <c r="F175" s="53" cm="1">
        <f t="array" aca="1" ref="F175" ca="1">MMS_Feedlot_N2ODirect_Equations.VEERG_4_1_1_3__6_Stage2NitrogenInMMS(E$149,F168)</f>
        <v>1898.7379568640001</v>
      </c>
      <c r="G175" s="53" cm="1">
        <f t="array" aca="1" ref="G175" ca="1">MMS_Feedlot_N2ODirect_Equations.VEERG_4_1_1_3__6_Stage2NitrogenInMMS(F$149,G168)</f>
        <v>2742.4316159999994</v>
      </c>
      <c r="H175" s="2" t="str">
        <f>$E$159</f>
        <v>kg N</v>
      </c>
      <c r="I175" s="2"/>
      <c r="J175" s="2"/>
      <c r="K175" s="2"/>
      <c r="O175" s="53" t="str">
        <f>INDEX(X_Table_Feedlot_MMS_Stage2,4,1)</f>
        <v>Composting (passive windrow)</v>
      </c>
      <c r="P175" s="53" cm="1">
        <f t="array" aca="1" ref="P175" ca="1">MMS_Feedlot_N2ODirect_Equations.VEERG_4_1_1_3__6_Stage2NitrogenInMMS(O$149,E168)</f>
        <v>1250.3589396480006</v>
      </c>
      <c r="Q175" s="53" cm="1">
        <f t="array" aca="1" ref="Q175" ca="1">MMS_Feedlot_N2ODirect_Equations.VEERG_4_1_1_3__6_Stage2NitrogenInMMS(P$149,F168)</f>
        <v>1898.7379568640001</v>
      </c>
      <c r="R175" s="53" cm="1">
        <f t="array" aca="1" ref="R175" ca="1">MMS_Feedlot_N2ODirect_Equations.VEERG_4_1_1_3__6_Stage2NitrogenInMMS(Q$149,G168)</f>
        <v>2742.4316159999994</v>
      </c>
      <c r="S175" s="2" t="str">
        <f>$E$159</f>
        <v>kg N</v>
      </c>
    </row>
    <row r="176" spans="4:19" ht="20" customHeight="1" x14ac:dyDescent="0.25">
      <c r="D176" s="53" t="str">
        <f>INDEX(X_Table_Feedlot_MMS_Stage2,5,1)</f>
        <v>Direct application</v>
      </c>
      <c r="E176" s="53" cm="1">
        <f t="array" aca="1" ref="E176" ca="1">MMS_Feedlot_N2ODirect_Equations.VEERG_4_1_1_3__6_Stage2NitrogenInMMS(D$149,E169)</f>
        <v>3751.0768189440014</v>
      </c>
      <c r="F176" s="53" cm="1">
        <f t="array" aca="1" ref="F176" ca="1">MMS_Feedlot_N2ODirect_Equations.VEERG_4_1_1_3__6_Stage2NitrogenInMMS(E$149,F169)</f>
        <v>5696.2138705919997</v>
      </c>
      <c r="G176" s="53" cm="1">
        <f t="array" aca="1" ref="G176" ca="1">MMS_Feedlot_N2ODirect_Equations.VEERG_4_1_1_3__6_Stage2NitrogenInMMS(F$149,G169)</f>
        <v>8227.2948479999977</v>
      </c>
      <c r="H176" s="2" t="str">
        <f>$E$159</f>
        <v>kg N</v>
      </c>
      <c r="I176" s="2"/>
      <c r="J176" s="2"/>
      <c r="K176" s="2"/>
      <c r="O176" s="53" t="str">
        <f>INDEX(X_Table_Feedlot_MMS_Stage2,5,1)</f>
        <v>Direct application</v>
      </c>
      <c r="P176" s="53" cm="1">
        <f t="array" aca="1" ref="P176" ca="1">MMS_Feedlot_N2ODirect_Equations.VEERG_4_1_1_3__6_Stage2NitrogenInMMS(O$149,E169)</f>
        <v>3751.0768189440014</v>
      </c>
      <c r="Q176" s="53" cm="1">
        <f t="array" aca="1" ref="Q176" ca="1">MMS_Feedlot_N2ODirect_Equations.VEERG_4_1_1_3__6_Stage2NitrogenInMMS(P$149,F169)</f>
        <v>5696.2138705919997</v>
      </c>
      <c r="R176" s="53" cm="1">
        <f t="array" aca="1" ref="R176" ca="1">MMS_Feedlot_N2ODirect_Equations.VEERG_4_1_1_3__6_Stage2NitrogenInMMS(Q$149,G169)</f>
        <v>8227.2948479999977</v>
      </c>
      <c r="S176" s="2" t="str">
        <f>$E$159</f>
        <v>kg N</v>
      </c>
    </row>
    <row r="177" spans="3:20" ht="20" customHeight="1" x14ac:dyDescent="0.25"/>
    <row r="178" spans="3:20" ht="20" customHeight="1" x14ac:dyDescent="0.25">
      <c r="C178" s="46"/>
      <c r="D178" s="46"/>
      <c r="E178" s="46"/>
      <c r="F178" s="46"/>
      <c r="G178" s="46"/>
      <c r="H178" s="46"/>
      <c r="I178" s="46"/>
      <c r="J178" s="46"/>
      <c r="K178" s="46"/>
      <c r="L178" s="46"/>
      <c r="N178" s="46"/>
      <c r="O178" s="46"/>
      <c r="P178" s="46"/>
      <c r="Q178" s="46"/>
      <c r="R178" s="46"/>
      <c r="S178" s="46"/>
      <c r="T178" s="46"/>
    </row>
    <row r="179" spans="3:20" ht="20" customHeight="1" x14ac:dyDescent="0.25">
      <c r="D179" s="6" t="str" cm="1">
        <f t="array" ref="D179">MMS_Feedlot_N2ODirect_Equations.VEERG_4_1_1_3__1_TotalAnnualDirectNitrousOxideEmissions_Title()</f>
        <v>Total annual direct nitrous oxide emissions from manure management systems</v>
      </c>
    </row>
    <row r="180" spans="3:20" ht="20" customHeight="1" x14ac:dyDescent="0.25">
      <c r="D180" s="5" t="str" cm="1">
        <f t="array" ref="D180">MMS_Feedlot_N2ODirect_Equations.VEERG_4_1_1_3__1_TotalAnnualDirectNitrousOxideEmissions_Source()</f>
        <v>VEERG 2026: 4.1.1.3, Equation (1)</v>
      </c>
    </row>
    <row r="181" spans="3:20" ht="20" customHeight="1" x14ac:dyDescent="0.25">
      <c r="D181" s="13" t="s">
        <v>23</v>
      </c>
      <c r="E181" s="13" t="str" cm="1">
        <f t="array" aca="1" ref="E181" ca="1">Common_InputFunctions.Utility_DisplayFunctionName(E206)</f>
        <v>=MMS_Feedlot_N2ODirect_Equations.VEERG_4_1_1_3__1_TotalAnnualDirectNitrousOxideEmissions</v>
      </c>
    </row>
    <row r="182" spans="3:20" ht="20" customHeight="1" x14ac:dyDescent="0.25"/>
    <row r="183" spans="3:20" ht="20" customHeight="1" x14ac:dyDescent="0.25">
      <c r="D183" s="6"/>
    </row>
    <row r="184" spans="3:20" ht="20" customHeight="1" x14ac:dyDescent="0.25"/>
    <row r="185" spans="3:20" ht="20" customHeight="1" x14ac:dyDescent="0.25">
      <c r="D185" s="54" t="s">
        <v>26</v>
      </c>
      <c r="E185" s="1" t="str" cm="1">
        <f t="array" ref="E185">MMS_Feedlot_N2ODirect_Equations.VEERG_4_1_1_3__1_TotalAnnualDirectNitrousOxideEmissions_Variable()</f>
        <v>E_N2Odir</v>
      </c>
    </row>
    <row r="186" spans="3:20" ht="20" customHeight="1" x14ac:dyDescent="0.25">
      <c r="D186" s="54" t="s">
        <v>16</v>
      </c>
      <c r="E186" s="55" t="str" cm="1">
        <f t="array" ref="E186">MMS_Feedlot_N2ODirect_Equations.VEERG_4_1_1_3__1_TotalAnnualDirectNitrousOxideEmissions_Unit()</f>
        <v>t N2O</v>
      </c>
    </row>
    <row r="187" spans="3:20" ht="20" customHeight="1" x14ac:dyDescent="0.25"/>
    <row r="188" spans="3:20" ht="20" customHeight="1" x14ac:dyDescent="0.25">
      <c r="D188" s="134" t="str" cm="1">
        <f t="array" ref="D188:E190">_xlfn.CHOOSECOLS(MMS_Feedlot_N2ODirect_Equations.VEERG_4_1_1_3__1_TotalAnnualDirectNitrousOxideEmissions_Arguments(),1,2)</f>
        <v>MN_jmT</v>
      </c>
      <c r="E188" s="137" t="str">
        <v>nitrogen per cattle group, MMS and treatment stage</v>
      </c>
      <c r="F188" s="136"/>
      <c r="G188" s="134" t="str" cm="1">
        <f t="array" ref="G188:H190">_xlfn.CHOOSECOLS(MMS_Feedlot_N2ODirect_Equations.VEERG_4_1_1_3__1_TotalAnnualDirectNitrousOxideEmissions_Arguments(),3,4)</f>
        <v>kg N</v>
      </c>
      <c r="H188" s="126" t="str">
        <v>Calculated from 4.1.1.3 (2)(6)(8)</v>
      </c>
      <c r="I188" s="135" t="str" cm="1">
        <f t="array" aca="1" ref="I188" ca="1">HYPERLINK(Common_InputFunctions.Utility_SourceHyperlink($D$103),$D$103)</f>
        <v>M1_Table_MN_j_m-5_T-1</v>
      </c>
      <c r="J188" s="135" t="str" cm="1">
        <f t="array" aca="1" ref="J188" ca="1">HYPERLINK(Common_InputFunctions.Utility_SourceHyperlink($D$171),$D$171)</f>
        <v>M1_Table_MN_j_m_T-2</v>
      </c>
      <c r="K188" s="135" t="str" cm="1">
        <f t="array" aca="1" ref="K188" ca="1">HYPERLINK(Common_InputFunctions.Utility_SourceHyperlink($D$126),$D$126)</f>
        <v>M1_Table_MN_j_m-1_T-3</v>
      </c>
    </row>
    <row r="189" spans="3:20" ht="20" customHeight="1" x14ac:dyDescent="0.25">
      <c r="D189" s="134" t="str">
        <v>EF_jm</v>
      </c>
      <c r="E189" s="137" t="str">
        <v>nitrous oxide emission factor for MMS</v>
      </c>
      <c r="F189" s="136"/>
      <c r="G189" s="134" t="str">
        <v>kg N2O-N/kg N</v>
      </c>
      <c r="H189" s="126" t="str">
        <v>Constant</v>
      </c>
      <c r="I189" s="135" t="str" cm="1">
        <f t="array" aca="1" ref="I189" ca="1">HYPERLINK(Common_InputFunctions.Utility_SourceHyperlink($D$192),$D$192)</f>
        <v>Table_EF_j_m</v>
      </c>
      <c r="J189" s="134"/>
      <c r="K189" s="134"/>
    </row>
    <row r="190" spans="3:20" ht="20" customHeight="1" x14ac:dyDescent="0.25">
      <c r="D190" s="134" t="str">
        <v>C_N2O</v>
      </c>
      <c r="E190" s="137" t="str">
        <v>factor to convert elemental mass of nitrous oxide to molecular mass</v>
      </c>
      <c r="F190" s="136"/>
      <c r="G190" s="134" t="str">
        <v>ratio</v>
      </c>
      <c r="H190" s="126" t="str">
        <v>Constant</v>
      </c>
      <c r="I190" s="134">
        <f>Common_InputFunctions.Utility_LookupValueInTableNumber("N2O",Table_GasToMolecularConversionFactor[Gas],Table_GasToMolecularConversionFactor[Conversion factor combined])</f>
        <v>1.5714285714285714</v>
      </c>
      <c r="J190" s="134"/>
      <c r="K190" s="134"/>
    </row>
    <row r="191" spans="3:20" ht="20" customHeight="1" x14ac:dyDescent="0.25"/>
    <row r="192" spans="3:20" ht="20" customHeight="1" x14ac:dyDescent="0.25">
      <c r="D192" s="100" t="s">
        <v>163</v>
      </c>
    </row>
    <row r="193" spans="4:19" ht="20" customHeight="1" x14ac:dyDescent="0.25">
      <c r="D193" s="99" t="s">
        <v>164</v>
      </c>
    </row>
    <row r="194" spans="4:19" ht="20" customHeight="1" x14ac:dyDescent="0.25">
      <c r="D194" s="111" t="s">
        <v>64</v>
      </c>
      <c r="E194" s="111" t="s">
        <v>165</v>
      </c>
    </row>
    <row r="195" spans="4:19" ht="20" customHeight="1" x14ac:dyDescent="0.25">
      <c r="D195" s="53" t="str">
        <f>INDEX(X_Table_Feedlot_MMS_Stage1,2,1)</f>
        <v>Drylot (feed pad)</v>
      </c>
      <c r="E195" s="53">
        <f>_xlfn.XLOOKUP($D$195, Table_SourceData_Feedlot_NO2EFs[NIR definition], Table_SourceData_Feedlot_NO2EFs[EF mT])</f>
        <v>5.4000000000000003E-3</v>
      </c>
    </row>
    <row r="196" spans="4:19" ht="20" customHeight="1" x14ac:dyDescent="0.25">
      <c r="D196" s="53" t="str">
        <f>INDEX(X_Table_Feedlot_MMS_Stage2,3,1)</f>
        <v>Solid storage</v>
      </c>
      <c r="E196" s="53">
        <f>_xlfn.XLOOKUP($D$196, Table_SourceData_Feedlot_NO2EFs[NIR definition], Table_SourceData_Feedlot_NO2EFs[EF mT])</f>
        <v>5.0000000000000001E-3</v>
      </c>
    </row>
    <row r="197" spans="4:19" ht="20" customHeight="1" x14ac:dyDescent="0.25">
      <c r="D197" s="53" t="str">
        <f>INDEX(X_Table_Feedlot_MMS_Stage2,4,1)</f>
        <v>Composting (passive windrow)</v>
      </c>
      <c r="E197" s="53">
        <f>_xlfn.XLOOKUP($D$197, Table_SourceData_Feedlot_NO2EFs[NIR definition], Table_SourceData_Feedlot_NO2EFs[EF mT])</f>
        <v>0.01</v>
      </c>
    </row>
    <row r="198" spans="4:19" ht="20" customHeight="1" x14ac:dyDescent="0.25">
      <c r="D198" s="53" t="str">
        <f>INDEX(X_Table_Feedlot_MMS_Stage3,3,1)</f>
        <v>Anaerobic lagoon</v>
      </c>
      <c r="E198" s="53">
        <f>_xlfn.XLOOKUP($D$198, Table_SourceData_Feedlot_NO2EFs[NIR definition], Table_SourceData_Feedlot_NO2EFs[EF mT])</f>
        <v>0</v>
      </c>
    </row>
    <row r="199" spans="4:19" ht="20" customHeight="1" x14ac:dyDescent="0.25"/>
    <row r="200" spans="4:19" ht="20" customHeight="1" x14ac:dyDescent="0.25">
      <c r="D200" s="112" t="s">
        <v>339</v>
      </c>
      <c r="E200" s="90"/>
      <c r="F200" s="90"/>
      <c r="G200" s="86"/>
    </row>
    <row r="201" spans="4:19" ht="20" customHeight="1" x14ac:dyDescent="0.25">
      <c r="D201" s="92" t="s">
        <v>322</v>
      </c>
      <c r="E201" s="89"/>
      <c r="F201" s="89"/>
      <c r="G201" s="87"/>
    </row>
    <row r="202" spans="4:19" ht="20" customHeight="1" x14ac:dyDescent="0.25"/>
    <row r="203" spans="4:19" ht="20" customHeight="1" x14ac:dyDescent="0.25">
      <c r="D203" s="100" t="s">
        <v>172</v>
      </c>
      <c r="O203" s="100" t="s">
        <v>352</v>
      </c>
    </row>
    <row r="204" spans="4:19" ht="20" customHeight="1" x14ac:dyDescent="0.25">
      <c r="D204" s="99" t="s">
        <v>173</v>
      </c>
      <c r="O204" s="99" t="s">
        <v>174</v>
      </c>
    </row>
    <row r="205" spans="4:19" ht="20" customHeight="1" x14ac:dyDescent="0.25">
      <c r="D205" s="111" t="s">
        <v>64</v>
      </c>
      <c r="E205" s="52" t="s">
        <v>131</v>
      </c>
      <c r="F205" s="52" t="s">
        <v>132</v>
      </c>
      <c r="G205" s="52" t="s">
        <v>133</v>
      </c>
      <c r="O205" s="111" t="s">
        <v>64</v>
      </c>
      <c r="P205" s="52" t="s">
        <v>131</v>
      </c>
      <c r="Q205" s="52" t="s">
        <v>132</v>
      </c>
      <c r="R205" s="52" t="s">
        <v>133</v>
      </c>
    </row>
    <row r="206" spans="4:19" ht="20" customHeight="1" x14ac:dyDescent="0.25">
      <c r="D206" s="53" t="str">
        <f>INDEX(X_Table_Feedlot_MMS_Stage1,2,1)</f>
        <v>Drylot (feed pad)</v>
      </c>
      <c r="E206" s="53" cm="1">
        <f t="array" aca="1" ref="E206" ca="1">MMS_Feedlot_N2ODirect_Equations.VEERG_4_1_1_3__1_TotalAnnualDirectNitrousOxideEmissions(E$106,$E195,$I$190)</f>
        <v>0.14162024448000005</v>
      </c>
      <c r="F206" s="53" cm="1">
        <f t="array" aca="1" ref="F206" ca="1">MMS_Feedlot_N2ODirect_Equations.VEERG_4_1_1_3__1_TotalAnnualDirectNitrousOxideEmissions(F$106,$E195,$I$190)</f>
        <v>0.21505803264000004</v>
      </c>
      <c r="G206" s="53" cm="1">
        <f t="array" aca="1" ref="G206" ca="1">MMS_Feedlot_N2ODirect_Equations.VEERG_4_1_1_3__1_TotalAnnualDirectNitrousOxideEmissions(G$106,$E195,$I$190)</f>
        <v>0.31061787428571419</v>
      </c>
      <c r="H206" s="2" t="str">
        <f>$E$186</f>
        <v>t N2O</v>
      </c>
      <c r="I206" s="2"/>
      <c r="J206" s="2"/>
      <c r="K206" s="2"/>
      <c r="O206" s="53" t="str">
        <f>INDEX(X_Table_Feedlot_MMS_Stage1,2,1)</f>
        <v>Drylot (feed pad)</v>
      </c>
      <c r="P206" s="53" cm="1">
        <f t="array" aca="1" ref="P206" ca="1">MMS_Feedlot_N2ODirect_Equations.VEERG_4_1_1_3__1_TotalAnnualDirectNitrousOxideEmissions(P$106,$E195,$I$190)</f>
        <v>0.14162024448000005</v>
      </c>
      <c r="Q206" s="53" cm="1">
        <f t="array" aca="1" ref="Q206" ca="1">MMS_Feedlot_N2ODirect_Equations.VEERG_4_1_1_3__1_TotalAnnualDirectNitrousOxideEmissions(Q$106,$E195,$I$190)</f>
        <v>0.21505803264000004</v>
      </c>
      <c r="R206" s="53" cm="1">
        <f t="array" aca="1" ref="R206" ca="1">MMS_Feedlot_N2ODirect_Equations.VEERG_4_1_1_3__1_TotalAnnualDirectNitrousOxideEmissions(R$106,$E195,$I$190)</f>
        <v>0.31061787428571419</v>
      </c>
      <c r="S206" s="2" t="str">
        <f>$E$186</f>
        <v>t N2O</v>
      </c>
    </row>
    <row r="207" spans="4:19" ht="20" customHeight="1" x14ac:dyDescent="0.25">
      <c r="D207" s="53" t="str">
        <f>INDEX(X_Table_Feedlot_MMS_Stage2,3,1)</f>
        <v>Solid storage</v>
      </c>
      <c r="E207" s="53" cm="1">
        <f t="array" aca="1" ref="E207" ca="1">MMS_Feedlot_N2ODirect_Equations.VEERG_4_1_1_3__1_TotalAnnualDirectNitrousOxideEmissions(E$174,$E196,$I$190)</f>
        <v>9.8242488115200047E-3</v>
      </c>
      <c r="F207" s="53" cm="1">
        <f t="array" aca="1" ref="F207" ca="1">MMS_Feedlot_N2ODirect_Equations.VEERG_4_1_1_3__1_TotalAnnualDirectNitrousOxideEmissions(F$174,$E196,$I$190)</f>
        <v>1.4918655375360001E-2</v>
      </c>
      <c r="G207" s="53" cm="1">
        <f t="array" aca="1" ref="G207" ca="1">MMS_Feedlot_N2ODirect_Equations.VEERG_4_1_1_3__1_TotalAnnualDirectNitrousOxideEmissions(G$174,$E196,$I$190)</f>
        <v>2.1547676982857138E-2</v>
      </c>
      <c r="H207" s="2" t="str">
        <f>$E$186</f>
        <v>t N2O</v>
      </c>
      <c r="I207" s="2"/>
      <c r="J207" s="2"/>
      <c r="K207" s="2"/>
      <c r="O207" s="53" t="str">
        <f>INDEX(X_Table_Feedlot_MMS_Stage2,3,1)</f>
        <v>Solid storage</v>
      </c>
      <c r="P207" s="53" cm="1">
        <f t="array" aca="1" ref="P207" ca="1">MMS_Feedlot_N2ODirect_Equations.VEERG_4_1_1_3__1_TotalAnnualDirectNitrousOxideEmissions(P$174,$E196,$I$190)</f>
        <v>9.8242488115200047E-3</v>
      </c>
      <c r="Q207" s="53" cm="1">
        <f t="array" aca="1" ref="Q207" ca="1">MMS_Feedlot_N2ODirect_Equations.VEERG_4_1_1_3__1_TotalAnnualDirectNitrousOxideEmissions(Q$174,$E196,$I$190)</f>
        <v>1.4918655375360001E-2</v>
      </c>
      <c r="R207" s="53" cm="1">
        <f t="array" aca="1" ref="R207" ca="1">MMS_Feedlot_N2ODirect_Equations.VEERG_4_1_1_3__1_TotalAnnualDirectNitrousOxideEmissions(R$174,$E196,$I$190)</f>
        <v>2.1547676982857138E-2</v>
      </c>
      <c r="S207" s="2" t="str">
        <f>$E$186</f>
        <v>t N2O</v>
      </c>
    </row>
    <row r="208" spans="4:19" ht="20" customHeight="1" x14ac:dyDescent="0.25">
      <c r="D208" s="53" t="str">
        <f>INDEX(X_Table_Feedlot_MMS_Stage2,4,1)</f>
        <v>Composting (passive windrow)</v>
      </c>
      <c r="E208" s="53" cm="1">
        <f t="array" aca="1" ref="E208" ca="1">MMS_Feedlot_N2ODirect_Equations.VEERG_4_1_1_3__1_TotalAnnualDirectNitrousOxideEmissions(E$175,$E197,$I$190)</f>
        <v>1.9648497623040009E-2</v>
      </c>
      <c r="F208" s="53" cm="1">
        <f t="array" aca="1" ref="F208" ca="1">MMS_Feedlot_N2ODirect_Equations.VEERG_4_1_1_3__1_TotalAnnualDirectNitrousOxideEmissions(F$175,$E197,$I$190)</f>
        <v>2.9837310750720002E-2</v>
      </c>
      <c r="G208" s="53" cm="1">
        <f t="array" aca="1" ref="G208" ca="1">MMS_Feedlot_N2ODirect_Equations.VEERG_4_1_1_3__1_TotalAnnualDirectNitrousOxideEmissions(G$175,$E197,$I$190)</f>
        <v>4.3095353965714275E-2</v>
      </c>
      <c r="H208" s="2" t="str">
        <f>$E$186</f>
        <v>t N2O</v>
      </c>
      <c r="I208" s="2"/>
      <c r="J208" s="2"/>
      <c r="K208" s="2"/>
      <c r="O208" s="53" t="str">
        <f>INDEX(X_Table_Feedlot_MMS_Stage2,4,1)</f>
        <v>Composting (passive windrow)</v>
      </c>
      <c r="P208" s="53" cm="1">
        <f t="array" aca="1" ref="P208" ca="1">MMS_Feedlot_N2ODirect_Equations.VEERG_4_1_1_3__1_TotalAnnualDirectNitrousOxideEmissions(P$175,$E197,$I$190)</f>
        <v>1.9648497623040009E-2</v>
      </c>
      <c r="Q208" s="53" cm="1">
        <f t="array" aca="1" ref="Q208" ca="1">MMS_Feedlot_N2ODirect_Equations.VEERG_4_1_1_3__1_TotalAnnualDirectNitrousOxideEmissions(Q$175,$E197,$I$190)</f>
        <v>2.9837310750720002E-2</v>
      </c>
      <c r="R208" s="53" cm="1">
        <f t="array" aca="1" ref="R208" ca="1">MMS_Feedlot_N2ODirect_Equations.VEERG_4_1_1_3__1_TotalAnnualDirectNitrousOxideEmissions(R$175,$E197,$I$190)</f>
        <v>4.3095353965714275E-2</v>
      </c>
      <c r="S208" s="2" t="str">
        <f>$E$186</f>
        <v>t N2O</v>
      </c>
    </row>
    <row r="209" spans="4:19" ht="20" customHeight="1" x14ac:dyDescent="0.25">
      <c r="D209" s="53" t="str">
        <f>INDEX(X_Table_Feedlot_MMS_Stage2,5,1)</f>
        <v>Direct application</v>
      </c>
      <c r="E209" s="53" t="s">
        <v>308</v>
      </c>
      <c r="F209" s="53" t="s">
        <v>308</v>
      </c>
      <c r="G209" s="53" t="s">
        <v>308</v>
      </c>
      <c r="H209" s="2" t="str">
        <f>$E$186</f>
        <v>t N2O</v>
      </c>
      <c r="I209" s="2"/>
      <c r="J209" s="2"/>
      <c r="K209" s="2"/>
      <c r="O209" s="53" t="str">
        <f>INDEX(X_Table_Feedlot_MMS_Stage2,5,1)</f>
        <v>Direct application</v>
      </c>
      <c r="P209" s="53" t="s">
        <v>308</v>
      </c>
      <c r="Q209" s="53" t="s">
        <v>308</v>
      </c>
      <c r="R209" s="53" t="s">
        <v>308</v>
      </c>
      <c r="S209" s="2" t="str">
        <f>$E$186</f>
        <v>t N2O</v>
      </c>
    </row>
    <row r="210" spans="4:19" ht="20" customHeight="1" x14ac:dyDescent="0.25">
      <c r="D210" s="53" t="str">
        <f>INDEX(X_Table_Feedlot_MMS_Stage3,3,1)</f>
        <v>Anaerobic lagoon</v>
      </c>
      <c r="E210" s="53" cm="1">
        <f t="array" aca="1" ref="E210" ca="1">MMS_Feedlot_N2ODirect_Equations.VEERG_4_1_1_3__1_TotalAnnualDirectNitrousOxideEmissions(E$129,$E198,$I$190)</f>
        <v>0</v>
      </c>
      <c r="F210" s="53" cm="1">
        <f t="array" aca="1" ref="F210" ca="1">MMS_Feedlot_N2ODirect_Equations.VEERG_4_1_1_3__1_TotalAnnualDirectNitrousOxideEmissions(F$129,$E198,$I$190)</f>
        <v>0</v>
      </c>
      <c r="G210" s="53" cm="1">
        <f t="array" aca="1" ref="G210" ca="1">MMS_Feedlot_N2ODirect_Equations.VEERG_4_1_1_3__1_TotalAnnualDirectNitrousOxideEmissions(G$129,$E198,$I$190)</f>
        <v>0</v>
      </c>
      <c r="H210" s="2" t="str">
        <f>$E$186</f>
        <v>t N2O</v>
      </c>
      <c r="I210" s="2"/>
      <c r="J210" s="2"/>
      <c r="K210" s="2"/>
      <c r="O210" s="53" t="str">
        <f>INDEX(X_Table_Feedlot_MMS_Stage3,3,1)</f>
        <v>Anaerobic lagoon</v>
      </c>
      <c r="P210" s="53" cm="1">
        <f t="array" aca="1" ref="P210" ca="1">MMS_Feedlot_N2ODirect_Equations.VEERG_4_1_1_3__1_TotalAnnualDirectNitrousOxideEmissions(P$129,$E198,$I$190)</f>
        <v>0</v>
      </c>
      <c r="Q210" s="53" cm="1">
        <f t="array" aca="1" ref="Q210" ca="1">MMS_Feedlot_N2ODirect_Equations.VEERG_4_1_1_3__1_TotalAnnualDirectNitrousOxideEmissions(Q$129,$E198,$I$190)</f>
        <v>0</v>
      </c>
      <c r="R210" s="53" cm="1">
        <f t="array" aca="1" ref="R210" ca="1">MMS_Feedlot_N2ODirect_Equations.VEERG_4_1_1_3__1_TotalAnnualDirectNitrousOxideEmissions(R$129,$E198,$I$190)</f>
        <v>0</v>
      </c>
      <c r="S210" s="2" t="str">
        <f>$E$186</f>
        <v>t N2O</v>
      </c>
    </row>
    <row r="211" spans="4:19" ht="20" customHeight="1" x14ac:dyDescent="0.25"/>
    <row r="212" spans="4:19" ht="20" customHeight="1" x14ac:dyDescent="0.25">
      <c r="D212" s="104" t="s">
        <v>166</v>
      </c>
      <c r="E212" s="105">
        <f ca="1">SUM(E206:G210)</f>
        <v>0.80616789491492569</v>
      </c>
      <c r="F212" s="106" t="str">
        <f>$E$186</f>
        <v>t N2O</v>
      </c>
      <c r="O212" s="104" t="s">
        <v>166</v>
      </c>
      <c r="P212" s="105">
        <f ca="1">SUM(P206:R210)</f>
        <v>0.80616789491492569</v>
      </c>
      <c r="Q212" s="106" t="str">
        <f>$E$186</f>
        <v>t N2O</v>
      </c>
    </row>
    <row r="213" spans="4:19" ht="20" customHeight="1" x14ac:dyDescent="0.25"/>
    <row r="214" spans="4:19" ht="20" customHeight="1" x14ac:dyDescent="0.25">
      <c r="D214" s="58" t="str" cm="1">
        <f t="array" ref="D214:E215">Common_Equations.Common_ConvertN2OToCO2e_Arguments()</f>
        <v>EN2O</v>
      </c>
      <c r="E214" s="59" t="str">
        <v>Nitrous oxide emissions (t N2O)</v>
      </c>
      <c r="F214" s="107"/>
      <c r="G214" s="53">
        <f ca="1">VEERG_4_1_1_3__1_TotalAnnualDirectNitrousOxideEmissions_Result_Method1</f>
        <v>0.80616789491492569</v>
      </c>
      <c r="O214" s="58" t="str" cm="1">
        <f t="array" ref="O214:P215">Common_Equations.Common_ConvertN2OToCO2e_Arguments()</f>
        <v>EN2O</v>
      </c>
      <c r="P214" s="59" t="str">
        <v>Nitrous oxide emissions (t N2O)</v>
      </c>
      <c r="Q214" s="107"/>
      <c r="R214" s="53">
        <f ca="1">VEERG_4_1_1_3__1_TotalAnnualDirectNitrousOxideEmissions_Result_Method2</f>
        <v>0.80616789491492569</v>
      </c>
    </row>
    <row r="215" spans="4:19" ht="20" customHeight="1" x14ac:dyDescent="0.25">
      <c r="D215" s="58" t="str">
        <v>GWPN2O</v>
      </c>
      <c r="E215" s="59" t="str">
        <v>Global warming potential for nitrous oxide (t CO2-e / t N2O)</v>
      </c>
      <c r="F215" s="107"/>
      <c r="G215" s="53">
        <f>Common_InputFunctions.Utility_LookupValueInTableNumber("N2O",Table_GWPData[Gas],Table_GWPData[CO2-e factor])</f>
        <v>265</v>
      </c>
      <c r="O215" s="58" t="str">
        <v>GWPN2O</v>
      </c>
      <c r="P215" s="59" t="str">
        <v>Global warming potential for nitrous oxide (t CO2-e / t N2O)</v>
      </c>
      <c r="Q215" s="107"/>
      <c r="R215" s="53">
        <f>Common_InputFunctions.Utility_LookupValueInTableNumber("N2O",Table_GWPData[Gas],Table_GWPData[CO2-e factor])</f>
        <v>265</v>
      </c>
    </row>
    <row r="216" spans="4:19" ht="20" customHeight="1" x14ac:dyDescent="0.25"/>
    <row r="217" spans="4:19" ht="20" customHeight="1" x14ac:dyDescent="0.25">
      <c r="D217" s="46" t="s">
        <v>120</v>
      </c>
      <c r="E217" s="46" cm="1">
        <f t="array" aca="1" ref="E217" ca="1">Common_Equations.Common_ConvertN2OToCO2e(G214,G215)</f>
        <v>213.63449215245529</v>
      </c>
      <c r="F217" s="108" t="str" cm="1">
        <f t="array" ref="F217">Common_Equations.Common_ConvertN2OToCO2e_Unit()</f>
        <v>t CO2e</v>
      </c>
      <c r="O217" s="46" t="s">
        <v>120</v>
      </c>
      <c r="P217" s="46" cm="1">
        <f t="array" aca="1" ref="P217" ca="1">Common_Equations.Common_ConvertN2OToCO2e(R214,R215)</f>
        <v>213.63449215245529</v>
      </c>
      <c r="Q217" s="108" t="str" cm="1">
        <f t="array" ref="Q217">Common_Equations.Common_ConvertN2OToCO2e_Unit()</f>
        <v>t CO2e</v>
      </c>
    </row>
  </sheetData>
  <dataValidations disablePrompts="1" count="1">
    <dataValidation operator="equal" allowBlank="1" showInputMessage="1" showErrorMessage="1" sqref="P106:S106 D73:F73 D83:F83 O83:Q83 E106:K106 D78:F78 E101:K101 E124:G124"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sheetPr>
    <tabColor rgb="FF008000"/>
  </sheetPr>
  <dimension ref="A1:S165"/>
  <sheetViews>
    <sheetView showGridLines="0" topLeftCell="A41" zoomScaleNormal="100" workbookViewId="0">
      <selection activeCell="I64" sqref="I64"/>
    </sheetView>
  </sheetViews>
  <sheetFormatPr defaultRowHeight="20" x14ac:dyDescent="0.25" customHeight="1"/>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6" t="e" vm="1">
        <v>#VALUE!</v>
      </c>
      <c r="C1" s="8" t="s">
        <v>254</v>
      </c>
    </row>
    <row r="2" spans="1:19" s="9" customFormat="1" ht="20" customHeight="1" x14ac:dyDescent="0.25">
      <c r="A2"/>
    </row>
    <row r="3" spans="1:19" ht="20" customHeight="1" x14ac:dyDescent="0.25">
      <c r="A3" s="17" t="str">
        <f>HYPERLINK("#'Home'!A1", "Home")</f>
        <v>Home</v>
      </c>
      <c r="C3" s="4"/>
      <c r="D3" s="4" t="s">
        <v>152</v>
      </c>
      <c r="E3" s="4"/>
      <c r="F3" s="4"/>
      <c r="G3" s="4"/>
      <c r="H3" s="4"/>
      <c r="I3" s="4"/>
      <c r="J3" s="4"/>
      <c r="L3" s="4"/>
      <c r="M3" s="4" t="s">
        <v>153</v>
      </c>
      <c r="N3" s="4"/>
      <c r="O3" s="4"/>
      <c r="P3" s="4"/>
      <c r="Q3" s="4"/>
      <c r="R3" s="4"/>
      <c r="S3" s="4"/>
    </row>
    <row r="4" spans="1:19" ht="20" customHeight="1" x14ac:dyDescent="0.25">
      <c r="A4" s="17" t="str">
        <f>HYPERLINK("#'Overview'!A1", "Overview")</f>
        <v>Overview</v>
      </c>
    </row>
    <row r="5" spans="1:19" ht="20" customHeight="1" x14ac:dyDescent="0.25">
      <c r="A5" s="17" t="str">
        <f>HYPERLINK("#'Results'!A1", "Results")</f>
        <v>Results</v>
      </c>
      <c r="D5" s="6" t="str" cm="1">
        <f t="array" ref="D5">MMS_Feedlot_AtmosphericDeposition_Equations.VEERG_4_1_1_5__2_VolatilisedNitrogenFromManureManagement_Title()</f>
        <v>Volatilised nitrogen from manure management</v>
      </c>
    </row>
    <row r="6" spans="1:19" ht="20" customHeight="1" x14ac:dyDescent="0.25">
      <c r="D6" s="5" t="str" cm="1">
        <f t="array" ref="D6">MMS_Feedlot_AtmosphericDeposition_Equations.VEERG_4_1_1_5__2_VolatilisedNitrogenFromManureManagement_Source()</f>
        <v>VEERG 2026: 4.1.1.5, Equation (2)</v>
      </c>
    </row>
    <row r="7" spans="1:19" ht="20" customHeight="1" x14ac:dyDescent="0.25">
      <c r="D7" s="13" t="s">
        <v>23</v>
      </c>
      <c r="E7" s="13" t="str" cm="1">
        <f t="array" aca="1" ref="E7" ca="1">Common_InputFunctions.Utility_DisplayFunctionName(E40)</f>
        <v>=MMS_Feedlot_AtmosphericDeposition_Equations.VEERG_4_1_1_5__2_VolatilisedNitrogenFromManureManagement</v>
      </c>
    </row>
    <row r="8" spans="1:19" ht="20" customHeight="1" x14ac:dyDescent="0.25">
      <c r="A8" s="19" t="s">
        <v>0</v>
      </c>
    </row>
    <row r="9" spans="1:19" ht="20" customHeight="1" x14ac:dyDescent="0.25">
      <c r="A9" s="17" t="str">
        <f>HYPERLINK("#'Input - Site'!A1", "Site")</f>
        <v>Site</v>
      </c>
    </row>
    <row r="10" spans="1:19" ht="20" customHeight="1" x14ac:dyDescent="0.25">
      <c r="A10" s="17" t="str">
        <f>HYPERLINK("#'Input - Feedlot'!A1", "Feedlot")</f>
        <v>Feedlot</v>
      </c>
    </row>
    <row r="11" spans="1:19" ht="20" customHeight="1" x14ac:dyDescent="0.25">
      <c r="D11" s="54" t="s">
        <v>26</v>
      </c>
      <c r="E11" s="1" t="str" cm="1">
        <f t="array" ref="E11">MMS_Feedlot_AtmosphericDeposition_Equations.VEERG_4_1_1_5__2_VolatilisedNitrogenFromManureManagement_Variable()</f>
        <v>MMS_ATMOS</v>
      </c>
    </row>
    <row r="12" spans="1:19" ht="20" customHeight="1" x14ac:dyDescent="0.25">
      <c r="D12" s="54" t="s">
        <v>16</v>
      </c>
      <c r="E12" s="55" t="str" cm="1">
        <f t="array" ref="E12">MMS_Feedlot_AtmosphericDeposition_Equations.VEERG_4_1_1_5__2_VolatilisedNitrogenFromManureManagement_Unit()</f>
        <v>kg N</v>
      </c>
    </row>
    <row r="13" spans="1:19" ht="20" customHeight="1" x14ac:dyDescent="0.25">
      <c r="A13" s="18" t="s">
        <v>71</v>
      </c>
    </row>
    <row r="14" spans="1:19" ht="20" customHeight="1" x14ac:dyDescent="0.25">
      <c r="A14" s="17" t="str">
        <f>HYPERLINK("#'4.1.1.1-2 Methane'!A1", "4.1.1.1-2 Methane")</f>
        <v>4.1.1.1-2 Methane</v>
      </c>
      <c r="D14" s="134" t="str" cm="1">
        <f t="array" ref="D14:E15">_xlfn.CHOOSECOLS(MMS_Feedlot_AtmosphericDeposition_Equations.VEERG_4_1_1_5__2_VolatilisedNitrogenFromManureManagement_Arguments(),1,2)</f>
        <v>MN_jmT</v>
      </c>
      <c r="E14" s="134" t="str">
        <v>nitrogen in each treatment stage MMS (excluding MN_ijm13T2)</v>
      </c>
      <c r="F14" s="134"/>
      <c r="G14" s="134" t="str" cm="1">
        <f t="array" ref="G14:H15">_xlfn.CHOOSECOLS(MMS_Feedlot_AtmosphericDeposition_Equations.VEERG_4_1_1_5__2_VolatilisedNitrogenFromManureManagement_Arguments(),3,4)</f>
        <v>kg N</v>
      </c>
      <c r="H14" s="126" t="str">
        <v>Calculated from 4.1.1.3 (2)(6)(8)</v>
      </c>
      <c r="I14" s="135" t="str" cm="1">
        <f t="array" aca="1" ref="I14" ca="1">HYPERLINK(Common_InputFunctions.Utility_SourceHyperlink($D$20),$D$20)</f>
        <v>M1_Table_MN_j_m_T</v>
      </c>
    </row>
    <row r="15" spans="1:19" ht="20" customHeight="1" x14ac:dyDescent="0.25">
      <c r="A15" s="17" t="str">
        <f>HYPERLINK("#'4.1.1.3-4 Direct N20'!A1", "4.1.1.3-4 Direct N20")</f>
        <v>4.1.1.3-4 Direct N20</v>
      </c>
      <c r="D15" s="134" t="str">
        <v>FracGASM_mT</v>
      </c>
      <c r="E15" s="134" t="str">
        <v>fraction of N volatilised in each MMS</v>
      </c>
      <c r="F15" s="134"/>
      <c r="G15" s="134" t="str">
        <v>(kg NH3-N + NOx-N)/kg N</v>
      </c>
      <c r="H15" s="126" t="str">
        <v>Constant</v>
      </c>
      <c r="I15" s="135" t="str" cm="1">
        <f t="array" aca="1" ref="I15" ca="1">HYPERLINK(Common_InputFunctions.Utility_SourceHyperlink($D$29),$D$29)</f>
        <v>Table_FracGASM_m_T-2-3</v>
      </c>
    </row>
    <row r="16" spans="1:19" ht="20" customHeight="1" x14ac:dyDescent="0.25">
      <c r="A16" s="21" t="str">
        <f>HYPERLINK("#'4.1.1.5-6 Atmos Deposition'!A1", "4.1.1.5-6 Atmos Deposition")</f>
        <v>4.1.1.5-6 Atmos Deposition</v>
      </c>
    </row>
    <row r="17" spans="1:18" ht="20" customHeight="1" x14ac:dyDescent="0.25">
      <c r="A17" s="17" t="str">
        <f>HYPERLINK("#'4.1.1.9 Manure applied to soils'!A1", "4.1.1.9 Manure applied to soils")</f>
        <v>4.1.1.9 Manure applied to soils</v>
      </c>
      <c r="D17" s="112" t="s">
        <v>323</v>
      </c>
      <c r="E17" s="90"/>
      <c r="F17" s="90"/>
      <c r="G17" s="86"/>
    </row>
    <row r="18" spans="1:18" ht="20" customHeight="1" x14ac:dyDescent="0.25">
      <c r="D18" s="92" t="s">
        <v>322</v>
      </c>
      <c r="E18" s="89"/>
      <c r="F18" s="89"/>
      <c r="G18" s="87"/>
    </row>
    <row r="19" spans="1:18" ht="20" customHeight="1" x14ac:dyDescent="0.25"/>
    <row r="20" spans="1:18" ht="20" customHeight="1" x14ac:dyDescent="0.25">
      <c r="A20" s="145" t="s">
        <v>1</v>
      </c>
      <c r="D20" s="100" t="s">
        <v>255</v>
      </c>
      <c r="M20" s="100" t="s">
        <v>258</v>
      </c>
    </row>
    <row r="21" spans="1:18" ht="20" customHeight="1" x14ac:dyDescent="0.25">
      <c r="A21" s="17" t="str">
        <f>HYPERLINK("#'Constants - Feedlot'!A1", "Constants - Feedlot")</f>
        <v>Constants - Feedlot</v>
      </c>
      <c r="D21" s="99" t="s">
        <v>257</v>
      </c>
      <c r="M21" s="99" t="s">
        <v>259</v>
      </c>
    </row>
    <row r="22" spans="1:18" ht="20" customHeight="1" x14ac:dyDescent="0.25">
      <c r="A22" s="17" t="str">
        <f>HYPERLINK("#'Constants - Common'!A1", "Constants - Common")</f>
        <v>Constants - Common</v>
      </c>
      <c r="D22" s="111" t="s">
        <v>64</v>
      </c>
      <c r="E22" s="52" t="s">
        <v>131</v>
      </c>
      <c r="F22" s="52" t="s">
        <v>132</v>
      </c>
      <c r="G22" s="52" t="s">
        <v>133</v>
      </c>
      <c r="M22" s="111" t="s">
        <v>64</v>
      </c>
      <c r="N22" s="52" t="s">
        <v>131</v>
      </c>
      <c r="O22" s="52" t="s">
        <v>132</v>
      </c>
      <c r="P22" s="52" t="s">
        <v>133</v>
      </c>
    </row>
    <row r="23" spans="1:18" ht="20" customHeight="1" x14ac:dyDescent="0.25">
      <c r="A23" s="17" t="str">
        <f>HYPERLINK("#'Constants - Common livestock'!A1", "Constants - Common livestock")</f>
        <v>Constants - Common livestock</v>
      </c>
      <c r="D23" s="53" t="str">
        <f>INDEX(X_Table_Feedlot_MMS_Stage1,2,1)</f>
        <v>Drylot (feed pad)</v>
      </c>
      <c r="E23" s="53">
        <f ca="1">INDEX(M1_Table_MN_j_m5_T1,2,2)</f>
        <v>16689.254400000005</v>
      </c>
      <c r="F23" s="53">
        <f ca="1">INDEX(M1_Table_MN_j_m5_T1,2,3)</f>
        <v>25343.539200000003</v>
      </c>
      <c r="G23" s="53">
        <f ca="1">INDEX(M1_Table_MN_j_m5_T1,2,4)</f>
        <v>36604.799999999988</v>
      </c>
      <c r="H23" s="2" t="str">
        <f>$G$14</f>
        <v>kg N</v>
      </c>
      <c r="I23" s="2"/>
      <c r="M23" s="53" t="str">
        <f>INDEX(X_Table_Feedlot_MMS_Stage1,2,1)</f>
        <v>Drylot (feed pad)</v>
      </c>
      <c r="N23" s="53">
        <f ca="1">INDEX(M2_Table_MN_j_m5_T1,2,2)</f>
        <v>16689.254400000005</v>
      </c>
      <c r="O23" s="53">
        <f ca="1">INDEX(M2_Table_MN_j_m5_T1,2,3)</f>
        <v>25343.539200000003</v>
      </c>
      <c r="P23" s="53">
        <f ca="1">INDEX(M2_Table_MN_j_m5_T1,2,4)</f>
        <v>36604.799999999988</v>
      </c>
      <c r="Q23" s="2" t="str">
        <f>$G$14</f>
        <v>kg N</v>
      </c>
      <c r="R23" s="2"/>
    </row>
    <row r="24" spans="1:18" ht="20" customHeight="1" x14ac:dyDescent="0.25">
      <c r="A24" s="17" t="str">
        <f>HYPERLINK("#'Acknowledgements'!A1", "Acknowledgements")</f>
        <v>Acknowledgements</v>
      </c>
      <c r="D24" s="53" t="str">
        <f>INDEX(X_Table_Feedlot_MMS_Stage2,3,1)</f>
        <v>Solid storage</v>
      </c>
      <c r="E24" s="53">
        <f ca="1">INDEX(M1_Table_MN_j_m_T2_Consumer_1,2,2)</f>
        <v>1250.3589396480006</v>
      </c>
      <c r="F24" s="53">
        <f ca="1">INDEX(M1_Table_MN_j_m_T2_Consumer_1,2,3)</f>
        <v>1898.7379568640001</v>
      </c>
      <c r="G24" s="53">
        <f ca="1">INDEX(M1_Table_MN_j_m_T2_Consumer_1,2,4)</f>
        <v>2742.4316159999994</v>
      </c>
      <c r="H24" s="2"/>
      <c r="I24" s="2"/>
      <c r="M24" s="53" t="str">
        <f>INDEX(X_Table_Feedlot_MMS_Stage2,3,1)</f>
        <v>Solid storage</v>
      </c>
      <c r="N24" s="53">
        <f ca="1">INDEX(M1_Table_MN_j_m_T2,2,2)</f>
        <v>1250.3589396480006</v>
      </c>
      <c r="O24" s="53">
        <f ca="1">INDEX(M1_Table_MN_j_m_T2,2,3)</f>
        <v>1898.7379568640001</v>
      </c>
      <c r="P24" s="53">
        <f ca="1">INDEX(M1_Table_MN_j_m_T2,2,4)</f>
        <v>2742.4316159999994</v>
      </c>
      <c r="Q24" s="2"/>
      <c r="R24" s="2"/>
    </row>
    <row r="25" spans="1:18" ht="20" customHeight="1" x14ac:dyDescent="0.25">
      <c r="A25" s="17" t="str">
        <f>HYPERLINK("#'Tab template'!A1", "Tab template")</f>
        <v>Tab template</v>
      </c>
      <c r="D25" s="53" t="str">
        <f>INDEX(X_Table_Feedlot_MMS_Stage2,4,1)</f>
        <v>Composting (passive windrow)</v>
      </c>
      <c r="E25" s="53">
        <f ca="1">INDEX(M1_Table_MN_j_m_T2_Consumer_1,3,2)</f>
        <v>1250.3589396480006</v>
      </c>
      <c r="F25" s="53">
        <f ca="1">INDEX(M1_Table_MN_j_m_T2_Consumer_1,3,3)</f>
        <v>1898.7379568640001</v>
      </c>
      <c r="G25" s="53">
        <f ca="1">INDEX(M1_Table_MN_j_m_T2_Consumer_1,3,4)</f>
        <v>2742.4316159999994</v>
      </c>
      <c r="H25" s="2"/>
      <c r="I25" s="2"/>
      <c r="M25" s="53" t="str">
        <f>INDEX(X_Table_Feedlot_MMS_Stage2,4,1)</f>
        <v>Composting (passive windrow)</v>
      </c>
      <c r="N25" s="53">
        <f ca="1">INDEX(M1_Table_MN_j_m_T2,3,2)</f>
        <v>1250.3589396480006</v>
      </c>
      <c r="O25" s="53">
        <f ca="1">INDEX(M1_Table_MN_j_m_T2,3,3)</f>
        <v>1898.7379568640001</v>
      </c>
      <c r="P25" s="53">
        <f ca="1">INDEX(M1_Table_MN_j_m_T2,3,4)</f>
        <v>2742.4316159999994</v>
      </c>
      <c r="Q25" s="2"/>
      <c r="R25" s="2"/>
    </row>
    <row r="26" spans="1:18" ht="20" customHeight="1" x14ac:dyDescent="0.25">
      <c r="D26" s="53" t="str">
        <f>INDEX(X_Table_Feedlot_MMS_Stage2,5,1)</f>
        <v>Direct application</v>
      </c>
      <c r="E26" s="53" t="s">
        <v>308</v>
      </c>
      <c r="F26" s="53" t="s">
        <v>308</v>
      </c>
      <c r="G26" s="53" t="s">
        <v>308</v>
      </c>
      <c r="H26" s="2"/>
      <c r="I26" s="2"/>
      <c r="M26" s="53" t="str">
        <f>INDEX(X_Table_Feedlot_MMS_Stage2,5,1)</f>
        <v>Direct application</v>
      </c>
      <c r="N26" s="53" t="s">
        <v>308</v>
      </c>
      <c r="O26" s="53" t="s">
        <v>308</v>
      </c>
      <c r="P26" s="53" t="s">
        <v>308</v>
      </c>
      <c r="Q26" s="2"/>
      <c r="R26" s="2"/>
    </row>
    <row r="27" spans="1:18" ht="20" customHeight="1" x14ac:dyDescent="0.25">
      <c r="D27" s="53" t="str">
        <f>INDEX(X_Table_Feedlot_MMS_Stage3,3,1)</f>
        <v>Anaerobic lagoon</v>
      </c>
      <c r="E27" s="53">
        <f ca="1">INDEX(M1_Table_MN_j_m1_T3,2,2)</f>
        <v>333.78508800000009</v>
      </c>
      <c r="F27" s="53">
        <f ca="1">INDEX(M1_Table_MN_j_m1_T3,2,3)</f>
        <v>506.87078400000007</v>
      </c>
      <c r="G27" s="53">
        <f ca="1">INDEX(M1_Table_MN_j_m1_T3,2,4)</f>
        <v>732.09599999999978</v>
      </c>
      <c r="H27" s="2"/>
      <c r="I27" s="2"/>
      <c r="M27" s="53" t="str">
        <f>INDEX(X_Table_Feedlot_MMS_Stage3,3,1)</f>
        <v>Anaerobic lagoon</v>
      </c>
      <c r="N27" s="53">
        <f ca="1">INDEX(M2_Table_MN_j_m1_T3,2,2)</f>
        <v>333.78508800000009</v>
      </c>
      <c r="O27" s="53">
        <f ca="1">INDEX(M2_Table_MN_j_m1_T3,2,3)</f>
        <v>506.87078400000007</v>
      </c>
      <c r="P27" s="53">
        <f ca="1">INDEX(M2_Table_MN_j_m1_T3,2,4)</f>
        <v>732.09599999999978</v>
      </c>
      <c r="Q27" s="2"/>
      <c r="R27" s="2"/>
    </row>
    <row r="28" spans="1:18" ht="20" customHeight="1" x14ac:dyDescent="0.25"/>
    <row r="29" spans="1:18" ht="20" customHeight="1" x14ac:dyDescent="0.25">
      <c r="D29" s="100" t="s">
        <v>223</v>
      </c>
    </row>
    <row r="30" spans="1:18" ht="20" customHeight="1" x14ac:dyDescent="0.25">
      <c r="D30" s="99" t="s">
        <v>225</v>
      </c>
    </row>
    <row r="31" spans="1:18" ht="20" customHeight="1" x14ac:dyDescent="0.25">
      <c r="D31" s="111" t="s">
        <v>64</v>
      </c>
      <c r="E31" s="111" t="s">
        <v>165</v>
      </c>
    </row>
    <row r="32" spans="1:18" ht="20" customHeight="1" x14ac:dyDescent="0.25">
      <c r="D32" s="53" t="str">
        <f>INDEX(X_Table_Feedlot_MMS_Stage1,2,1)</f>
        <v>Drylot (feed pad)</v>
      </c>
      <c r="E32" s="53">
        <f>_xlfn.XLOOKUP(D32, Table_SourceData_Feedlot_FracGASMmT[NIR definition], Table_SourceData_Feedlot_FracGASMmT[FracGASMmT])</f>
        <v>0.6</v>
      </c>
      <c r="F32" s="2" t="str">
        <f>G15</f>
        <v>(kg NH3-N + NOx-N)/kg N</v>
      </c>
    </row>
    <row r="33" spans="3:19" ht="20" customHeight="1" x14ac:dyDescent="0.25">
      <c r="D33" s="53" t="str">
        <f>INDEX(X_Table_Feedlot_MMS_Stage2,3,1)</f>
        <v>Solid storage</v>
      </c>
      <c r="E33" s="53">
        <f>_xlfn.XLOOKUP(D33, Table_SourceData_Feedlot_FracGASMmT[NIR definition], Table_SourceData_Feedlot_FracGASMmT[FracGASMmT])</f>
        <v>0.25</v>
      </c>
      <c r="F33" s="2"/>
    </row>
    <row r="34" spans="3:19" ht="20" customHeight="1" x14ac:dyDescent="0.25">
      <c r="D34" s="53" t="str">
        <f>INDEX(X_Table_Feedlot_MMS_Stage2,4,1)</f>
        <v>Composting (passive windrow)</v>
      </c>
      <c r="E34" s="53">
        <f>_xlfn.XLOOKUP(D34, Table_SourceData_Feedlot_FracGASMmT[NIR definition], Table_SourceData_Feedlot_FracGASMmT[FracGASMmT])</f>
        <v>0.4</v>
      </c>
      <c r="F34" s="2"/>
    </row>
    <row r="35" spans="3:19" ht="20" customHeight="1" x14ac:dyDescent="0.25">
      <c r="D35" s="53" t="str">
        <f>INDEX(X_Table_Feedlot_MMS_Stage3,3,1)</f>
        <v>Anaerobic lagoon</v>
      </c>
      <c r="E35" s="53">
        <f>_xlfn.XLOOKUP(D35, Table_SourceData_Feedlot_FracGASMmT[NIR definition], Table_SourceData_Feedlot_FracGASMmT[FracGASMmT])</f>
        <v>0.35</v>
      </c>
      <c r="F35" s="2"/>
    </row>
    <row r="36" spans="3:19" ht="20" customHeight="1" x14ac:dyDescent="0.25"/>
    <row r="37" spans="3:19" ht="20" customHeight="1" x14ac:dyDescent="0.25">
      <c r="D37" s="100" t="s">
        <v>256</v>
      </c>
      <c r="M37" s="100" t="s">
        <v>353</v>
      </c>
    </row>
    <row r="38" spans="3:19" ht="20" customHeight="1" x14ac:dyDescent="0.25">
      <c r="D38" s="99" t="s">
        <v>257</v>
      </c>
      <c r="M38" s="99" t="s">
        <v>259</v>
      </c>
    </row>
    <row r="39" spans="3:19" ht="20" customHeight="1" x14ac:dyDescent="0.25">
      <c r="D39" s="111" t="s">
        <v>64</v>
      </c>
      <c r="E39" s="52" t="s">
        <v>131</v>
      </c>
      <c r="F39" s="52" t="s">
        <v>132</v>
      </c>
      <c r="G39" s="52" t="s">
        <v>133</v>
      </c>
      <c r="M39" s="111" t="s">
        <v>64</v>
      </c>
      <c r="N39" s="52" t="s">
        <v>131</v>
      </c>
      <c r="O39" s="52" t="s">
        <v>132</v>
      </c>
      <c r="P39" s="52" t="s">
        <v>133</v>
      </c>
    </row>
    <row r="40" spans="3:19" ht="20" customHeight="1" x14ac:dyDescent="0.25">
      <c r="D40" s="53" t="str">
        <f>INDEX(X_Table_Feedlot_MMS_Stage1,2,1)</f>
        <v>Drylot (feed pad)</v>
      </c>
      <c r="E40" s="53" cm="1">
        <f t="array" aca="1" ref="E40" ca="1">MMS_Feedlot_AtmosphericDeposition_Equations.VEERG_4_1_1_5__2_VolatilisedNitrogenFromManureManagement(E23,$E32)</f>
        <v>10013.552640000004</v>
      </c>
      <c r="F40" s="53" cm="1">
        <f t="array" aca="1" ref="F40" ca="1">MMS_Feedlot_AtmosphericDeposition_Equations.VEERG_4_1_1_5__2_VolatilisedNitrogenFromManureManagement(F23,$E32)</f>
        <v>15206.123520000001</v>
      </c>
      <c r="G40" s="53" cm="1">
        <f t="array" aca="1" ref="G40" ca="1">MMS_Feedlot_AtmosphericDeposition_Equations.VEERG_4_1_1_5__2_VolatilisedNitrogenFromManureManagement(G23,$E32)</f>
        <v>21962.879999999994</v>
      </c>
      <c r="H40" s="2" t="str">
        <f>$E$12</f>
        <v>kg N</v>
      </c>
      <c r="I40" s="2"/>
      <c r="M40" s="53" t="str">
        <f>INDEX(X_Table_Feedlot_MMS_Stage1,2,1)</f>
        <v>Drylot (feed pad)</v>
      </c>
      <c r="N40" s="53" cm="1">
        <f t="array" aca="1" ref="N40" ca="1">MMS_Feedlot_AtmosphericDeposition_Equations.VEERG_4_1_1_5__2_VolatilisedNitrogenFromManureManagement(N23,$E32)</f>
        <v>10013.552640000004</v>
      </c>
      <c r="O40" s="53" cm="1">
        <f t="array" aca="1" ref="O40" ca="1">MMS_Feedlot_AtmosphericDeposition_Equations.VEERG_4_1_1_5__2_VolatilisedNitrogenFromManureManagement(O23,$E32)</f>
        <v>15206.123520000001</v>
      </c>
      <c r="P40" s="53" cm="1">
        <f t="array" aca="1" ref="P40" ca="1">MMS_Feedlot_AtmosphericDeposition_Equations.VEERG_4_1_1_5__2_VolatilisedNitrogenFromManureManagement(P23,$E32)</f>
        <v>21962.879999999994</v>
      </c>
      <c r="Q40" s="2" t="str">
        <f>$E$12</f>
        <v>kg N</v>
      </c>
      <c r="R40" s="2"/>
    </row>
    <row r="41" spans="3:19" ht="20" customHeight="1" x14ac:dyDescent="0.25">
      <c r="D41" s="53" t="str">
        <f>INDEX(X_Table_Feedlot_MMS_Stage2,3,1)</f>
        <v>Solid storage</v>
      </c>
      <c r="E41" s="53" cm="1">
        <f t="array" aca="1" ref="E41" ca="1">MMS_Feedlot_AtmosphericDeposition_Equations.VEERG_4_1_1_5__2_VolatilisedNitrogenFromManureManagement(E24,$E33)</f>
        <v>312.58973491200015</v>
      </c>
      <c r="F41" s="53" cm="1">
        <f t="array" aca="1" ref="F41" ca="1">MMS_Feedlot_AtmosphericDeposition_Equations.VEERG_4_1_1_5__2_VolatilisedNitrogenFromManureManagement(F24,$E33)</f>
        <v>474.68448921600003</v>
      </c>
      <c r="G41" s="53" cm="1">
        <f t="array" aca="1" ref="G41" ca="1">MMS_Feedlot_AtmosphericDeposition_Equations.VEERG_4_1_1_5__2_VolatilisedNitrogenFromManureManagement(G24,$E33)</f>
        <v>685.60790399999985</v>
      </c>
      <c r="H41" s="2"/>
      <c r="I41" s="2"/>
      <c r="M41" s="53" t="str">
        <f>INDEX(X_Table_Feedlot_MMS_Stage2,3,1)</f>
        <v>Solid storage</v>
      </c>
      <c r="N41" s="53" cm="1">
        <f t="array" aca="1" ref="N41" ca="1">MMS_Feedlot_AtmosphericDeposition_Equations.VEERG_4_1_1_5__2_VolatilisedNitrogenFromManureManagement(N24,$E33)</f>
        <v>312.58973491200015</v>
      </c>
      <c r="O41" s="53" cm="1">
        <f t="array" aca="1" ref="O41" ca="1">MMS_Feedlot_AtmosphericDeposition_Equations.VEERG_4_1_1_5__2_VolatilisedNitrogenFromManureManagement(O24,$E33)</f>
        <v>474.68448921600003</v>
      </c>
      <c r="P41" s="53" cm="1">
        <f t="array" aca="1" ref="P41" ca="1">MMS_Feedlot_AtmosphericDeposition_Equations.VEERG_4_1_1_5__2_VolatilisedNitrogenFromManureManagement(P24,$E33)</f>
        <v>685.60790399999985</v>
      </c>
    </row>
    <row r="42" spans="3:19" ht="20" customHeight="1" x14ac:dyDescent="0.25">
      <c r="D42" s="53" t="str">
        <f>INDEX(X_Table_Feedlot_MMS_Stage2,4,1)</f>
        <v>Composting (passive windrow)</v>
      </c>
      <c r="E42" s="53" cm="1">
        <f t="array" aca="1" ref="E42" ca="1">MMS_Feedlot_AtmosphericDeposition_Equations.VEERG_4_1_1_5__2_VolatilisedNitrogenFromManureManagement(E25,$E34)</f>
        <v>500.14357585920027</v>
      </c>
      <c r="F42" s="53" cm="1">
        <f t="array" aca="1" ref="F42" ca="1">MMS_Feedlot_AtmosphericDeposition_Equations.VEERG_4_1_1_5__2_VolatilisedNitrogenFromManureManagement(F25,$E34)</f>
        <v>759.49518274560012</v>
      </c>
      <c r="G42" s="53" cm="1">
        <f t="array" aca="1" ref="G42" ca="1">MMS_Feedlot_AtmosphericDeposition_Equations.VEERG_4_1_1_5__2_VolatilisedNitrogenFromManureManagement(G25,$E34)</f>
        <v>1096.9726463999998</v>
      </c>
      <c r="H42" s="2"/>
      <c r="I42" s="2"/>
      <c r="M42" s="53" t="str">
        <f>INDEX(X_Table_Feedlot_MMS_Stage2,4,1)</f>
        <v>Composting (passive windrow)</v>
      </c>
      <c r="N42" s="53" cm="1">
        <f t="array" aca="1" ref="N42" ca="1">MMS_Feedlot_AtmosphericDeposition_Equations.VEERG_4_1_1_5__2_VolatilisedNitrogenFromManureManagement(N25,$E34)</f>
        <v>500.14357585920027</v>
      </c>
      <c r="O42" s="53" cm="1">
        <f t="array" aca="1" ref="O42" ca="1">MMS_Feedlot_AtmosphericDeposition_Equations.VEERG_4_1_1_5__2_VolatilisedNitrogenFromManureManagement(O25,$E34)</f>
        <v>759.49518274560012</v>
      </c>
      <c r="P42" s="53" cm="1">
        <f t="array" aca="1" ref="P42" ca="1">MMS_Feedlot_AtmosphericDeposition_Equations.VEERG_4_1_1_5__2_VolatilisedNitrogenFromManureManagement(P25,$E34)</f>
        <v>1096.9726463999998</v>
      </c>
    </row>
    <row r="43" spans="3:19" ht="20" customHeight="1" x14ac:dyDescent="0.25">
      <c r="D43" s="53" t="str">
        <f>INDEX(X_Table_Feedlot_MMS_Stage2,5,1)</f>
        <v>Direct application</v>
      </c>
      <c r="E43" s="53" t="s">
        <v>308</v>
      </c>
      <c r="F43" s="53" t="s">
        <v>308</v>
      </c>
      <c r="G43" s="53" t="s">
        <v>308</v>
      </c>
      <c r="H43" s="2"/>
      <c r="I43" s="2"/>
      <c r="M43" s="53" t="str">
        <f>INDEX(X_Table_Feedlot_MMS_Stage2,5,1)</f>
        <v>Direct application</v>
      </c>
      <c r="N43" s="53" t="s">
        <v>308</v>
      </c>
      <c r="O43" s="53" t="s">
        <v>308</v>
      </c>
      <c r="P43" s="53" t="s">
        <v>308</v>
      </c>
    </row>
    <row r="44" spans="3:19" ht="20" customHeight="1" x14ac:dyDescent="0.25">
      <c r="D44" s="53" t="str">
        <f>INDEX(X_Table_Feedlot_MMS_Stage3,3,1)</f>
        <v>Anaerobic lagoon</v>
      </c>
      <c r="E44" s="53" cm="1">
        <f t="array" aca="1" ref="E44" ca="1">MMS_Feedlot_AtmosphericDeposition_Equations.VEERG_4_1_1_5__2_VolatilisedNitrogenFromManureManagement(E27,$E35)</f>
        <v>116.82478080000003</v>
      </c>
      <c r="F44" s="53" cm="1">
        <f t="array" aca="1" ref="F44" ca="1">MMS_Feedlot_AtmosphericDeposition_Equations.VEERG_4_1_1_5__2_VolatilisedNitrogenFromManureManagement(F27,$E35)</f>
        <v>177.40477440000001</v>
      </c>
      <c r="G44" s="53" cm="1">
        <f t="array" aca="1" ref="G44" ca="1">MMS_Feedlot_AtmosphericDeposition_Equations.VEERG_4_1_1_5__2_VolatilisedNitrogenFromManureManagement(G27,$E35)</f>
        <v>256.23359999999991</v>
      </c>
      <c r="H44" s="2"/>
      <c r="I44" s="2"/>
      <c r="M44" s="53" t="str">
        <f>INDEX(X_Table_Feedlot_MMS_Stage3,3,1)</f>
        <v>Anaerobic lagoon</v>
      </c>
      <c r="N44" s="53" cm="1">
        <f t="array" aca="1" ref="N44" ca="1">MMS_Feedlot_AtmosphericDeposition_Equations.VEERG_4_1_1_5__2_VolatilisedNitrogenFromManureManagement(N27,$E35)</f>
        <v>116.82478080000003</v>
      </c>
      <c r="O44" s="53" cm="1">
        <f t="array" aca="1" ref="O44" ca="1">MMS_Feedlot_AtmosphericDeposition_Equations.VEERG_4_1_1_5__2_VolatilisedNitrogenFromManureManagement(O27,$E35)</f>
        <v>177.40477440000001</v>
      </c>
      <c r="P44" s="53" cm="1">
        <f t="array" aca="1" ref="P44" ca="1">MMS_Feedlot_AtmosphericDeposition_Equations.VEERG_4_1_1_5__2_VolatilisedNitrogenFromManureManagement(P27,$E35)</f>
        <v>256.23359999999991</v>
      </c>
    </row>
    <row r="45" spans="3:19" ht="20" customHeight="1" x14ac:dyDescent="0.25"/>
    <row r="46" spans="3:19" ht="20" customHeight="1" x14ac:dyDescent="0.25">
      <c r="D46" s="118" t="s">
        <v>260</v>
      </c>
      <c r="E46" s="46">
        <f ca="1">SUM(E40:G44)</f>
        <v>51562.512848332786</v>
      </c>
      <c r="F46" s="116" t="str">
        <f>$E$12</f>
        <v>kg N</v>
      </c>
      <c r="M46" s="118" t="s">
        <v>260</v>
      </c>
      <c r="N46" s="46">
        <f ca="1">SUM(N40:P44)</f>
        <v>51562.512848332786</v>
      </c>
      <c r="O46" s="116" t="str">
        <f>$E$12</f>
        <v>kg N</v>
      </c>
    </row>
    <row r="47" spans="3:19" ht="20" customHeight="1" x14ac:dyDescent="0.25"/>
    <row r="48" spans="3:19" ht="20" customHeight="1" x14ac:dyDescent="0.25">
      <c r="C48" s="117"/>
      <c r="D48" s="117"/>
      <c r="E48" s="117"/>
      <c r="F48" s="117"/>
      <c r="G48" s="117"/>
      <c r="H48" s="117"/>
      <c r="I48" s="117"/>
      <c r="J48" s="117"/>
      <c r="L48" s="117"/>
      <c r="M48" s="117"/>
      <c r="N48" s="117"/>
      <c r="O48" s="117"/>
      <c r="P48" s="117"/>
      <c r="Q48" s="117"/>
      <c r="R48" s="117"/>
      <c r="S48" s="117"/>
    </row>
    <row r="49" spans="4:18" ht="20" customHeight="1" x14ac:dyDescent="0.25"/>
    <row r="50" spans="4:18" ht="20" customHeight="1" x14ac:dyDescent="0.25">
      <c r="D50" s="6" t="str" cm="1">
        <f t="array" ref="D50">MMS_Feedlot_AtmosphericDeposition_Equations.VEERG_4_1_1_5__1_TotalAnnualAtmosphericDepositionEmissions_Title()</f>
        <v>Total annual atmospheric deposition emissions from manure management</v>
      </c>
    </row>
    <row r="51" spans="4:18" ht="20" customHeight="1" x14ac:dyDescent="0.25">
      <c r="D51" s="5" t="str" cm="1">
        <f t="array" ref="D51">MMS_Feedlot_AtmosphericDeposition_Equations.VEERG_4_1_1_5__1_TotalAnnualAtmosphericDepositionEmissions_Source()</f>
        <v>VEERG 2026: 4.1.1.5, Equation (1)</v>
      </c>
    </row>
    <row r="52" spans="4:18" ht="20" customHeight="1" x14ac:dyDescent="0.25">
      <c r="D52" s="13" t="s">
        <v>23</v>
      </c>
      <c r="E52" s="13" t="str">
        <f ca="1">Common_InputFunctions.Utility_DisplayFunctionName(VEERG_4_1_1_5__1_TotalAnnualAtmosphericDepositionEmissions_Result_Method1)</f>
        <v>=MMS_Feedlot_AtmosphericDeposition_Equations.VEERG_4_1_1_5__1_TotalAnnualAtmosphericDepositionEmissions</v>
      </c>
    </row>
    <row r="53" spans="4:18" ht="20" customHeight="1" x14ac:dyDescent="0.25"/>
    <row r="54" spans="4:18" ht="20" customHeight="1" x14ac:dyDescent="0.25">
      <c r="D54" s="6"/>
    </row>
    <row r="55" spans="4:18" ht="20" customHeight="1" x14ac:dyDescent="0.25">
      <c r="D55" s="54" t="s">
        <v>26</v>
      </c>
      <c r="E55" s="1" t="str" cm="1">
        <f t="array" ref="E55">MMS_Feedlot_AtmosphericDeposition_Equations.VEERG_4_1_1_5__1_TotalAnnualAtmosphericDepositionEmissions_Variable()</f>
        <v>E_N2Oad</v>
      </c>
    </row>
    <row r="56" spans="4:18" ht="20" customHeight="1" x14ac:dyDescent="0.25">
      <c r="D56" s="54" t="s">
        <v>16</v>
      </c>
      <c r="E56" s="55" t="str" cm="1">
        <f t="array" ref="E56">MMS_Feedlot_AtmosphericDeposition_Equations.VEERG_4_1_1_5__1_TotalAnnualAtmosphericDepositionEmissions_Unit()</f>
        <v>t N2O</v>
      </c>
    </row>
    <row r="57" spans="4:18" ht="20" customHeight="1" x14ac:dyDescent="0.25"/>
    <row r="58" spans="4:18" ht="20" customHeight="1" x14ac:dyDescent="0.25">
      <c r="D58" s="134" t="str" cm="1">
        <f t="array" ref="D58:E63">_xlfn.CHOOSECOLS(MMS_Feedlot_AtmosphericDeposition_Equations.VEERG_4_1_1_5__1_TotalAnnualAtmosphericDepositionEmissions_Arguments(),1,2)</f>
        <v>MMS_ATMOS</v>
      </c>
      <c r="E58" s="137" t="str">
        <v>mass of N volatilised from MMS</v>
      </c>
      <c r="F58" s="136"/>
      <c r="G58" s="134" t="str" cm="1">
        <f t="array" ref="G58:H63">_xlfn.CHOOSECOLS(MMS_Feedlot_AtmosphericDeposition_Equations.VEERG_4_1_1_5__1_TotalAnnualAtmosphericDepositionEmissions_Arguments(),3,4)</f>
        <v>kg N</v>
      </c>
      <c r="H58" s="126" t="str">
        <v>Calculated from 4.1.1.5 (2)</v>
      </c>
      <c r="I58" s="134">
        <f ca="1">$E$46</f>
        <v>51562.512848332786</v>
      </c>
      <c r="M58" s="134" t="str" cm="1">
        <f t="array" ref="M58:N63">_xlfn.CHOOSECOLS(MMS_Feedlot_AtmosphericDeposition_Equations.VEERG_4_1_1_5__1_TotalAnnualAtmosphericDepositionEmissions_Arguments(),1,2)</f>
        <v>MMS_ATMOS</v>
      </c>
      <c r="N58" s="137" t="str">
        <v>mass of N volatilised from MMS</v>
      </c>
      <c r="O58" s="136"/>
      <c r="P58" s="134" t="str" cm="1">
        <f t="array" ref="P58:Q63">_xlfn.CHOOSECOLS(MMS_Feedlot_AtmosphericDeposition_Equations.VEERG_4_1_1_5__1_TotalAnnualAtmosphericDepositionEmissions_Arguments(),3,4)</f>
        <v>kg N</v>
      </c>
      <c r="Q58" s="126" t="str">
        <v>Calculated from 4.1.1.5 (2)</v>
      </c>
      <c r="R58" s="58">
        <f ca="1">$N$46</f>
        <v>51562.512848332786</v>
      </c>
    </row>
    <row r="59" spans="4:18" ht="20" customHeight="1" x14ac:dyDescent="0.25">
      <c r="D59" s="134" t="str">
        <v>EF_N2O</v>
      </c>
      <c r="E59" s="137" t="str">
        <v>nitrous oxide emission factor for atmospheric deposition</v>
      </c>
      <c r="F59" s="136"/>
      <c r="G59" s="134" t="str">
        <v>kg N2O-N/kg N</v>
      </c>
      <c r="H59" s="126" t="str">
        <v>Constant</v>
      </c>
      <c r="I59" s="134">
        <f>Common_InputFunctions.Utility_LookupN2OEFFromProdIrrigationRainfall($I$61,$I$62,$I$63,Table_SourceData_Common_EFN2O[Production system only],Table_SourceData_Common_EFN2O[Irrigation method],Table_SourceData_Common_EFN2O[Rainfall zone],Table_SourceData_Common_EFN2O[EFN2O])</f>
        <v>1.8E-3</v>
      </c>
      <c r="M59" s="134" t="str">
        <v>EF_N2O</v>
      </c>
      <c r="N59" s="137" t="str">
        <v>nitrous oxide emission factor for atmospheric deposition</v>
      </c>
      <c r="O59" s="136"/>
      <c r="P59" s="134" t="str">
        <v>kg N2O-N/kg N</v>
      </c>
      <c r="Q59" s="126" t="str">
        <v>Constant</v>
      </c>
      <c r="R59" s="58"/>
    </row>
    <row r="60" spans="4:18" ht="20" customHeight="1" x14ac:dyDescent="0.25">
      <c r="D60" s="134" t="str">
        <v>C_N2O</v>
      </c>
      <c r="E60" s="137" t="str">
        <v>factor to convert elemental mass of nitrous oxide to molecular mass</v>
      </c>
      <c r="F60" s="136"/>
      <c r="G60" s="134" t="str">
        <v/>
      </c>
      <c r="H60" s="126" t="str">
        <v>Constant</v>
      </c>
      <c r="I60" s="134">
        <f>Common_InputFunctions.Utility_LookupValueInTableNumber("N2O",Table_GasToMolecularConversionFactor[Gas],Table_GasToMolecularConversionFactor[Conversion factor combined])</f>
        <v>1.5714285714285714</v>
      </c>
      <c r="M60" s="134" t="str">
        <v>C_N2O</v>
      </c>
      <c r="N60" s="137" t="str">
        <v>factor to convert elemental mass of nitrous oxide to molecular mass</v>
      </c>
      <c r="O60" s="136"/>
      <c r="P60" s="134" t="str">
        <v/>
      </c>
      <c r="Q60" s="126" t="str">
        <v>Constant</v>
      </c>
      <c r="R60" s="58"/>
    </row>
    <row r="61" spans="4:18" ht="20" customHeight="1" x14ac:dyDescent="0.25">
      <c r="D61" s="134" t="str">
        <v>j</v>
      </c>
      <c r="E61" s="137" t="str">
        <v>production system</v>
      </c>
      <c r="F61" s="136"/>
      <c r="G61" s="134" t="str">
        <v/>
      </c>
      <c r="H61" s="125" t="str">
        <v>Input</v>
      </c>
      <c r="I61" s="134" t="str">
        <f>'Input - Feedlot'!$E$45</f>
        <v>Pasture</v>
      </c>
      <c r="M61" s="134" t="str">
        <v>j</v>
      </c>
      <c r="N61" s="137" t="str">
        <v>production system</v>
      </c>
      <c r="O61" s="136"/>
      <c r="P61" s="134" t="str">
        <v/>
      </c>
      <c r="Q61" s="125" t="str">
        <v>Input</v>
      </c>
      <c r="R61" s="58"/>
    </row>
    <row r="62" spans="4:18" ht="20" customHeight="1" x14ac:dyDescent="0.25">
      <c r="D62" s="134" t="str">
        <v>i</v>
      </c>
      <c r="E62" s="137" t="str">
        <v>irrigation method</v>
      </c>
      <c r="F62" s="136"/>
      <c r="G62" s="134" t="str">
        <v/>
      </c>
      <c r="H62" s="125" t="str">
        <v>Input</v>
      </c>
      <c r="I62" s="134" t="str">
        <f>'Input - Feedlot'!$E$46</f>
        <v>Not irrigated</v>
      </c>
      <c r="M62" s="134" t="str">
        <v>i</v>
      </c>
      <c r="N62" s="137" t="str">
        <v>irrigation method</v>
      </c>
      <c r="O62" s="136"/>
      <c r="P62" s="134" t="str">
        <v/>
      </c>
      <c r="Q62" s="125" t="str">
        <v>Input</v>
      </c>
      <c r="R62" s="58"/>
    </row>
    <row r="63" spans="4:18" ht="20" customHeight="1" x14ac:dyDescent="0.25">
      <c r="D63" s="134" t="str">
        <v>r</v>
      </c>
      <c r="E63" s="137" t="str">
        <v>rainfall zone</v>
      </c>
      <c r="F63" s="136"/>
      <c r="G63" s="134" t="str">
        <v/>
      </c>
      <c r="H63" s="125" t="str">
        <v>Input</v>
      </c>
      <c r="I63" s="134" t="str">
        <f>X_Cell_Site_RainfallZone</f>
        <v>High rainfall</v>
      </c>
      <c r="M63" s="134" t="str">
        <v>r</v>
      </c>
      <c r="N63" s="137" t="str">
        <v>rainfall zone</v>
      </c>
      <c r="O63" s="136"/>
      <c r="P63" s="134" t="str">
        <v/>
      </c>
      <c r="Q63" s="125" t="str">
        <v>Input</v>
      </c>
      <c r="R63" s="58"/>
    </row>
    <row r="64" spans="4:18" ht="20" customHeight="1" x14ac:dyDescent="0.25"/>
    <row r="65" spans="4:16" ht="20" customHeight="1" x14ac:dyDescent="0.25">
      <c r="D65" s="104" t="s">
        <v>274</v>
      </c>
      <c r="E65" s="105" cm="1">
        <f t="array" aca="1" ref="E65" ca="1">MMS_Feedlot_AtmosphericDeposition_Equations.VEERG_4_1_1_5__1_TotalAnnualAtmosphericDepositionEmissions(I58,I59,I60)</f>
        <v>0.1458482506281413</v>
      </c>
      <c r="F65" s="106" t="str">
        <f>$E$56</f>
        <v>t N2O</v>
      </c>
      <c r="M65" s="104" t="s">
        <v>274</v>
      </c>
      <c r="N65" s="105" cm="1">
        <f t="array" aca="1" ref="N65" ca="1">MMS_Feedlot_AtmosphericDeposition_Equations.VEERG_4_1_1_5__1_TotalAnnualAtmosphericDepositionEmissions(R58,I59,I60)</f>
        <v>0.1458482506281413</v>
      </c>
      <c r="O65" s="106" t="str">
        <f>$E$56</f>
        <v>t N2O</v>
      </c>
    </row>
    <row r="66" spans="4:16" ht="20" customHeight="1" x14ac:dyDescent="0.25"/>
    <row r="67" spans="4:16" ht="20" customHeight="1" x14ac:dyDescent="0.25">
      <c r="D67" s="58" t="str" cm="1">
        <f t="array" ref="D67:E68">Common_Equations.Common_ConvertN2OToCO2e_Arguments()</f>
        <v>EN2O</v>
      </c>
      <c r="E67" s="59" t="str">
        <v>Nitrous oxide emissions (t N2O)</v>
      </c>
      <c r="F67" s="107"/>
      <c r="G67" s="53">
        <f ca="1">VEERG_4_1_1_5__1_TotalAnnualAtmosphericDepositionEmissions_Result_Method1</f>
        <v>0.1458482506281413</v>
      </c>
      <c r="M67" s="58" t="str" cm="1">
        <f t="array" ref="M67:N68">Common_Equations.Common_ConvertN2OToCO2e_Arguments()</f>
        <v>EN2O</v>
      </c>
      <c r="N67" s="59" t="str">
        <v>Nitrous oxide emissions (t N2O)</v>
      </c>
      <c r="O67" s="107"/>
      <c r="P67" s="53">
        <f ca="1">VEERG_4_1_1_5__1_TotalAnnualAtmosphericDepositionEmissions_Result_Method2</f>
        <v>0.1458482506281413</v>
      </c>
    </row>
    <row r="68" spans="4:16" ht="20" customHeight="1" x14ac:dyDescent="0.25">
      <c r="D68" s="58" t="str">
        <v>GWPN2O</v>
      </c>
      <c r="E68" s="59" t="str">
        <v>Global warming potential for nitrous oxide (t CO2-e / t N2O)</v>
      </c>
      <c r="F68" s="107"/>
      <c r="G68" s="53">
        <f>Common_InputFunctions.Utility_LookupValueInTableNumber("N2O",Table_GWPData[Gas],Table_GWPData[CO2-e factor])</f>
        <v>265</v>
      </c>
      <c r="M68" s="58" t="str">
        <v>GWPN2O</v>
      </c>
      <c r="N68" s="59" t="str">
        <v>Global warming potential for nitrous oxide (t CO2-e / t N2O)</v>
      </c>
      <c r="O68" s="107"/>
      <c r="P68" s="53">
        <f>Common_InputFunctions.Utility_LookupValueInTableNumber("N2O",Table_GWPData[Gas],Table_GWPData[CO2-e factor])</f>
        <v>265</v>
      </c>
    </row>
    <row r="69" spans="4:16" ht="20" customHeight="1" x14ac:dyDescent="0.25"/>
    <row r="70" spans="4:16" ht="20" customHeight="1" x14ac:dyDescent="0.25">
      <c r="D70" s="46" t="s">
        <v>120</v>
      </c>
      <c r="E70" s="46" cm="1">
        <f t="array" aca="1" ref="E70" ca="1">Common_Equations.Common_ConvertN2OToCO2e(G67,G68)</f>
        <v>38.649786416457445</v>
      </c>
      <c r="F70" s="108" t="str" cm="1">
        <f t="array" ref="F70">Common_Equations.Common_ConvertN2OToCO2e_Unit()</f>
        <v>t CO2e</v>
      </c>
      <c r="M70" s="46" t="s">
        <v>120</v>
      </c>
      <c r="N70" s="46" cm="1">
        <f t="array" aca="1" ref="N70" ca="1">Common_Equations.Common_ConvertN2OToCO2e(P67,P68)</f>
        <v>38.649786416457445</v>
      </c>
      <c r="O70" s="108" t="str" cm="1">
        <f t="array" ref="O70">Common_Equations.Common_ConvertN2OToCO2e_Unit()</f>
        <v>t CO2e</v>
      </c>
    </row>
    <row r="71" spans="4:16" ht="20" customHeight="1" x14ac:dyDescent="0.25"/>
    <row r="72" spans="4:16" ht="20" customHeight="1" x14ac:dyDescent="0.25"/>
    <row r="73" spans="4:16" ht="20" customHeight="1" x14ac:dyDescent="0.25"/>
    <row r="74" spans="4:16" ht="20" customHeight="1" x14ac:dyDescent="0.25"/>
    <row r="75" spans="4:16" ht="20" customHeight="1" x14ac:dyDescent="0.25"/>
    <row r="76" spans="4:16" ht="20" customHeight="1" x14ac:dyDescent="0.25"/>
    <row r="77" spans="4:16" ht="20" customHeight="1" x14ac:dyDescent="0.25"/>
    <row r="78" spans="4:16" ht="20" customHeight="1" x14ac:dyDescent="0.25"/>
    <row r="79" spans="4:16" ht="20" customHeight="1" x14ac:dyDescent="0.25"/>
    <row r="80" spans="4:16"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sheetPr>
    <tabColor rgb="FF008000"/>
  </sheetPr>
  <dimension ref="A1:S165"/>
  <sheetViews>
    <sheetView showGridLines="0" tabSelected="1" topLeftCell="A80" zoomScaleNormal="100" workbookViewId="0">
      <selection activeCell="O115" sqref="O115"/>
    </sheetView>
  </sheetViews>
  <sheetFormatPr defaultRowHeight="20" x14ac:dyDescent="0.25" customHeight="1"/>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8" width="30.7109375" style="1" customWidth="1"/>
    <col min="19" max="19" width="4.7109375" style="1" customWidth="1"/>
  </cols>
  <sheetData>
    <row r="1" spans="1:19" s="8" customFormat="1" ht="30" customHeight="1" x14ac:dyDescent="0.35">
      <c r="A1" s="66" t="e" vm="1">
        <v>#VALUE!</v>
      </c>
      <c r="C1" s="8" t="s">
        <v>220</v>
      </c>
    </row>
    <row r="2" spans="1:19" s="9" customFormat="1" ht="20" customHeight="1" x14ac:dyDescent="0.25">
      <c r="A2"/>
    </row>
    <row r="3" spans="1:19" ht="20" customHeight="1" x14ac:dyDescent="0.25">
      <c r="A3" s="17" t="str">
        <f>HYPERLINK("#'Home'!A1", "Home")</f>
        <v>Home</v>
      </c>
      <c r="C3" s="4"/>
      <c r="D3" s="4" t="s">
        <v>152</v>
      </c>
      <c r="E3" s="4"/>
      <c r="F3" s="4"/>
      <c r="G3" s="4"/>
      <c r="H3" s="4"/>
      <c r="I3" s="4"/>
      <c r="J3" s="4"/>
      <c r="K3" s="4"/>
      <c r="M3" s="4"/>
      <c r="N3" s="4" t="s">
        <v>153</v>
      </c>
      <c r="O3" s="4"/>
      <c r="P3" s="4"/>
      <c r="Q3" s="4"/>
      <c r="R3" s="4"/>
      <c r="S3" s="4"/>
    </row>
    <row r="4" spans="1:19" ht="20" customHeight="1" x14ac:dyDescent="0.25">
      <c r="A4" s="17" t="str">
        <f>HYPERLINK("#'Overview'!A1", "Overview")</f>
        <v>Overview</v>
      </c>
    </row>
    <row r="5" spans="1:19" ht="20" customHeight="1" x14ac:dyDescent="0.25">
      <c r="A5" s="17" t="str">
        <f>HYPERLINK("#'Results'!A1", "Results")</f>
        <v>Results</v>
      </c>
      <c r="D5" s="6" t="str" cm="1">
        <f t="array" ref="D5">MMS_Feedlot_ManureAppliedToSoils_Equations.VEERG_4_1_1_9__1_MassOfNitrogenAppliedToSoilsScope1_Title()</f>
        <v>Mass of nitrogen applied to soils for scope 1 emissions</v>
      </c>
    </row>
    <row r="6" spans="1:19" ht="20" customHeight="1" x14ac:dyDescent="0.25">
      <c r="D6" s="5" t="str" cm="1">
        <f t="array" ref="D6">MMS_Feedlot_ManureAppliedToSoils_Equations.VEERG_4_1_1_9__1_MassOfNitrogenAppliedToSoilsScope1_Source()</f>
        <v>VEERG 2026: 4.1.1.9, Equation (1)</v>
      </c>
    </row>
    <row r="7" spans="1:19" ht="20" customHeight="1" x14ac:dyDescent="0.25">
      <c r="D7" s="13" t="s">
        <v>23</v>
      </c>
      <c r="E7" s="13" t="str" cm="1">
        <f t="array" aca="1" ref="E7" ca="1">Common_InputFunctions.Utility_DisplayFunctionName(E56)</f>
        <v>=MMS_Feedlot_ManureAppliedToSoils_Equations.VEERG_4_1_1_9__1_MassOfNitrogenAppliedToSoilsScope1</v>
      </c>
    </row>
    <row r="8" spans="1:19" ht="20" customHeight="1" x14ac:dyDescent="0.25">
      <c r="A8" s="19" t="s">
        <v>0</v>
      </c>
    </row>
    <row r="9" spans="1:19" ht="20" customHeight="1" x14ac:dyDescent="0.25">
      <c r="A9" s="17" t="str">
        <f>HYPERLINK("#'Input - Site'!A1", "Site")</f>
        <v>Site</v>
      </c>
      <c r="D9" s="6"/>
    </row>
    <row r="10" spans="1:19" ht="20" customHeight="1" x14ac:dyDescent="0.25">
      <c r="A10" s="17" t="str">
        <f>HYPERLINK("#'Input - Feedlot'!A1", "Feedlot")</f>
        <v>Feedlot</v>
      </c>
    </row>
    <row r="11" spans="1:19" ht="20" customHeight="1" x14ac:dyDescent="0.25">
      <c r="D11" s="54" t="s">
        <v>26</v>
      </c>
      <c r="E11" s="1" t="str" cm="1">
        <f t="array" ref="E11">MMS_Feedlot_ManureAppliedToSoils_Equations.VEERG_4_1_1_9__1_MassOfNitrogenAppliedToSoilsScope1_Variable()</f>
        <v>MNSoil_scope1</v>
      </c>
    </row>
    <row r="12" spans="1:19" ht="20" customHeight="1" x14ac:dyDescent="0.25">
      <c r="D12" s="54" t="s">
        <v>16</v>
      </c>
      <c r="E12" s="55" t="str" cm="1">
        <f t="array" ref="E12">MMS_Feedlot_ManureAppliedToSoils_Equations.VEERG_4_1_1_9__1_MassOfNitrogenAppliedToSoilsScope1_Unit()</f>
        <v>kg N</v>
      </c>
    </row>
    <row r="13" spans="1:19" ht="20" customHeight="1" x14ac:dyDescent="0.25">
      <c r="A13" s="18" t="s">
        <v>71</v>
      </c>
    </row>
    <row r="14" spans="1:19" ht="20" customHeight="1" x14ac:dyDescent="0.25">
      <c r="A14" s="17" t="str">
        <f>HYPERLINK("#'4.1.1.1-2 Methane'!A1", "4.1.1.1-2 Methane")</f>
        <v>4.1.1.1-2 Methane</v>
      </c>
      <c r="D14" s="134" t="str" cm="1">
        <f t="array" ref="D14:E17">_xlfn.CHOOSECOLS(MMS_Feedlot_ManureAppliedToSoils_Equations.VEERG_4_1_1_9__1_MassOfNitrogenAppliedToSoilsScope1_Arguments(),1,2)</f>
        <v>MN_jmT23</v>
      </c>
      <c r="E14" s="137" t="str">
        <v>mass of N in secondary and tertiary treatment MMS stages as calculated for manure management</v>
      </c>
      <c r="F14" s="138"/>
      <c r="G14" s="136"/>
      <c r="H14" s="134" t="str" cm="1">
        <f t="array" ref="H14:I17">_xlfn.CHOOSECOLS(MMS_Feedlot_ManureAppliedToSoils_Equations.VEERG_4_1_1_9__1_MassOfNitrogenAppliedToSoilsScope1_Arguments(),3,4)</f>
        <v>kg N</v>
      </c>
      <c r="I14" s="126" t="str">
        <v>Calculated from 4.1.1.3 (6)(8)</v>
      </c>
      <c r="J14" s="135" t="str" cm="1">
        <f t="array" aca="1" ref="J14" ca="1">HYPERLINK(Common_InputFunctions.Utility_SourceHyperlink($D$19),$D$19)</f>
        <v>M1_Table_MN_j_m_T-2-3</v>
      </c>
    </row>
    <row r="15" spans="1:19" ht="20" customHeight="1" x14ac:dyDescent="0.25">
      <c r="A15" s="17" t="str">
        <f>HYPERLINK("#'4.1.1.3-4 Direct N20'!A1", "4.1.1.3-4 Direct N20")</f>
        <v>4.1.1.3-4 Direct N20</v>
      </c>
      <c r="D15" s="134" t="str">
        <v>EF_mT23</v>
      </c>
      <c r="E15" s="137" t="str">
        <v>nitrous oxide emission factor for each MMS</v>
      </c>
      <c r="F15" s="138"/>
      <c r="G15" s="136"/>
      <c r="H15" s="134" t="str">
        <v>kg N2O-N/kg N</v>
      </c>
      <c r="I15" s="126" t="str">
        <v>Constant</v>
      </c>
      <c r="J15" s="135" t="str" cm="1">
        <f t="array" aca="1" ref="J15" ca="1">HYPERLINK(Common_InputFunctions.Utility_SourceHyperlink($D$27),$D$27)</f>
        <v>Table_EF_j_m_T-2-3</v>
      </c>
    </row>
    <row r="16" spans="1:19" ht="20" customHeight="1" x14ac:dyDescent="0.25">
      <c r="A16" s="17" t="str">
        <f>HYPERLINK("#'4.1.1.5-6 Atmos Deposition'!A1", "4.1.1.5-6 Atmos Deposition")</f>
        <v>4.1.1.5-6 Atmos Deposition</v>
      </c>
      <c r="D16" s="134" t="str">
        <v>FracGASM_mT23</v>
      </c>
      <c r="E16" s="137" t="str">
        <v>fraction of animal waste N volatilised in each MMS for each cattle group</v>
      </c>
      <c r="F16" s="138"/>
      <c r="G16" s="136"/>
      <c r="H16" s="134" t="str">
        <v>(kg NH3-N + NOx-N)/kg N</v>
      </c>
      <c r="I16" s="126" t="str">
        <v>Constant</v>
      </c>
      <c r="J16" s="135" t="str" cm="1">
        <f t="array" aca="1" ref="J16" ca="1">HYPERLINK(Common_InputFunctions.Utility_SourceHyperlink($D$36),$D$36)</f>
        <v>Table_FracGASM_m_T-2-3</v>
      </c>
    </row>
    <row r="17" spans="1:18" ht="20" customHeight="1" x14ac:dyDescent="0.25">
      <c r="A17" s="21" t="str">
        <f>HYPERLINK("#'4.1.1.9 Manure applied to soils'!A1", "4.1.1.9 Manure applied to soils")</f>
        <v>4.1.1.9 Manure applied to soils</v>
      </c>
      <c r="D17" s="134" t="str">
        <v>PF</v>
      </c>
      <c r="E17" s="137" t="str">
        <v>fraction of manure applied to soil within the feedlot boundary</v>
      </c>
      <c r="F17" s="138"/>
      <c r="G17" s="136"/>
      <c r="H17" s="134" t="str">
        <v>fraction</v>
      </c>
      <c r="I17" s="125" t="str">
        <v>Input</v>
      </c>
      <c r="J17" s="135" t="str" cm="1">
        <f t="array" aca="1" ref="J17" ca="1">HYPERLINK(Common_InputFunctions.Utility_SourceHyperlink($D$45),$D$45)</f>
        <v>Table_PF</v>
      </c>
    </row>
    <row r="18" spans="1:18" ht="20" customHeight="1" x14ac:dyDescent="0.25"/>
    <row r="19" spans="1:18" ht="20" customHeight="1" x14ac:dyDescent="0.25">
      <c r="D19" s="100" t="s">
        <v>222</v>
      </c>
      <c r="N19" s="100" t="s">
        <v>230</v>
      </c>
    </row>
    <row r="20" spans="1:18" ht="20" customHeight="1" x14ac:dyDescent="0.25">
      <c r="A20" s="145" t="s">
        <v>1</v>
      </c>
      <c r="D20" s="99" t="s">
        <v>232</v>
      </c>
      <c r="N20" s="99" t="s">
        <v>231</v>
      </c>
    </row>
    <row r="21" spans="1:18" ht="20" customHeight="1" x14ac:dyDescent="0.25">
      <c r="A21" s="17" t="str">
        <f>HYPERLINK("#'Constants - Feedlot'!A1", "Constants - Feedlot")</f>
        <v>Constants - Feedlot</v>
      </c>
      <c r="D21" s="52" t="s">
        <v>64</v>
      </c>
      <c r="E21" s="52" t="s">
        <v>131</v>
      </c>
      <c r="F21" s="52" t="s">
        <v>132</v>
      </c>
      <c r="G21" s="52" t="s">
        <v>133</v>
      </c>
      <c r="N21" s="52" t="s">
        <v>64</v>
      </c>
      <c r="O21" s="52" t="s">
        <v>131</v>
      </c>
      <c r="P21" s="52" t="s">
        <v>132</v>
      </c>
      <c r="Q21" s="52" t="s">
        <v>133</v>
      </c>
    </row>
    <row r="22" spans="1:18" ht="20" customHeight="1" x14ac:dyDescent="0.25">
      <c r="A22" s="17" t="str">
        <f>HYPERLINK("#'Constants - Common'!A1", "Constants - Common")</f>
        <v>Constants - Common</v>
      </c>
      <c r="D22" s="53" t="str">
        <f>INDEX(X_Table_Feedlot_MMS_Stage2,3,1)</f>
        <v>Solid storage</v>
      </c>
      <c r="E22" s="53">
        <f ca="1">INDEX(M1_Table_MN_j_m_T2_Consumer_1,2,2)</f>
        <v>1250.3589396480006</v>
      </c>
      <c r="F22" s="53">
        <f ca="1">INDEX(M1_Table_MN_j_m_T2_Consumer_1,2,3)</f>
        <v>1898.7379568640001</v>
      </c>
      <c r="G22" s="53">
        <f ca="1">INDEX(M1_Table_MN_j_m_T2_Consumer_1,2,4)</f>
        <v>2742.4316159999994</v>
      </c>
      <c r="H22" s="2" t="s">
        <v>221</v>
      </c>
      <c r="I22" s="2"/>
      <c r="J22" s="2"/>
      <c r="N22" s="53" t="str">
        <f>INDEX(X_Table_Feedlot_MMS_Stage2,3,1)</f>
        <v>Solid storage</v>
      </c>
      <c r="O22" s="53">
        <f ca="1">INDEX(M1_Table_MN_j_m_T2,2,2)</f>
        <v>1250.3589396480006</v>
      </c>
      <c r="P22" s="53">
        <f ca="1">INDEX(M1_Table_MN_j_m_T2,2,3)</f>
        <v>1898.7379568640001</v>
      </c>
      <c r="Q22" s="53">
        <f ca="1">INDEX(M1_Table_MN_j_m_T2,2,4)</f>
        <v>2742.4316159999994</v>
      </c>
      <c r="R22" s="2" t="s">
        <v>221</v>
      </c>
    </row>
    <row r="23" spans="1:18" ht="20" customHeight="1" x14ac:dyDescent="0.25">
      <c r="A23" s="17" t="str">
        <f>HYPERLINK("#'Constants - Common livestock'!A1", "Constants - Common livestock")</f>
        <v>Constants - Common livestock</v>
      </c>
      <c r="D23" s="53" t="str">
        <f>INDEX(X_Table_Feedlot_MMS_Stage2,4,1)</f>
        <v>Composting (passive windrow)</v>
      </c>
      <c r="E23" s="53">
        <f ca="1">INDEX(M1_Table_MN_j_m_T2_Consumer_1,3,2)</f>
        <v>1250.3589396480006</v>
      </c>
      <c r="F23" s="53">
        <f ca="1">INDEX(M1_Table_MN_j_m_T2_Consumer_1,3,3)</f>
        <v>1898.7379568640001</v>
      </c>
      <c r="G23" s="53">
        <f ca="1">INDEX(M1_Table_MN_j_m_T2_Consumer_1,3,4)</f>
        <v>2742.4316159999994</v>
      </c>
      <c r="H23" s="2"/>
      <c r="I23" s="2"/>
      <c r="J23" s="2"/>
      <c r="N23" s="53" t="str">
        <f>INDEX(X_Table_Feedlot_MMS_Stage2,4,1)</f>
        <v>Composting (passive windrow)</v>
      </c>
      <c r="O23" s="53">
        <f ca="1">INDEX(M1_Table_MN_j_m_T2,3,2)</f>
        <v>1250.3589396480006</v>
      </c>
      <c r="P23" s="53">
        <f ca="1">INDEX(M1_Table_MN_j_m_T2,3,3)</f>
        <v>1898.7379568640001</v>
      </c>
      <c r="Q23" s="53">
        <f ca="1">INDEX(M1_Table_MN_j_m_T2,3,4)</f>
        <v>2742.4316159999994</v>
      </c>
      <c r="R23" s="2"/>
    </row>
    <row r="24" spans="1:18" ht="20" customHeight="1" x14ac:dyDescent="0.25">
      <c r="A24" s="17" t="str">
        <f>HYPERLINK("#'Acknowledgements'!A1", "Acknowledgements")</f>
        <v>Acknowledgements</v>
      </c>
      <c r="D24" s="53" t="str">
        <f>INDEX(X_Table_Feedlot_MMS_Stage2,5,1)</f>
        <v>Direct application</v>
      </c>
      <c r="E24" s="53">
        <f ca="1">INDEX(M1_Table_MN_j_m_T2_Consumer_1,4,2)</f>
        <v>3751.0768189440014</v>
      </c>
      <c r="F24" s="53">
        <f ca="1">INDEX(M1_Table_MN_j_m_T2_Consumer_1,4,3)</f>
        <v>5696.2138705919997</v>
      </c>
      <c r="G24" s="53">
        <f ca="1">INDEX(M1_Table_MN_j_m_T2_Consumer_1,4,4)</f>
        <v>8227.2948479999977</v>
      </c>
      <c r="N24" s="53" t="str">
        <f>INDEX(X_Table_Feedlot_MMS_Stage2,5,1)</f>
        <v>Direct application</v>
      </c>
      <c r="O24" s="53">
        <f ca="1">INDEX(M1_Table_MN_j_m_T2,4,2)</f>
        <v>3751.0768189440014</v>
      </c>
      <c r="P24" s="53">
        <f ca="1">INDEX(M1_Table_MN_j_m_T2,4,3)</f>
        <v>5696.2138705919997</v>
      </c>
      <c r="Q24" s="53">
        <f ca="1">INDEX(M1_Table_MN_j_m_T2,4,4)</f>
        <v>8227.2948479999977</v>
      </c>
      <c r="R24" s="2"/>
    </row>
    <row r="25" spans="1:18" ht="20" customHeight="1" x14ac:dyDescent="0.25">
      <c r="A25" s="17" t="str">
        <f>HYPERLINK("#'Tab template'!A1", "Tab template")</f>
        <v>Tab template</v>
      </c>
      <c r="D25" s="53" t="str">
        <f>INDEX(X_Table_Feedlot_MMS_Stage3,3,1)</f>
        <v>Anaerobic lagoon</v>
      </c>
      <c r="E25" s="53">
        <f ca="1">INDEX(M1_Table_MN_j_m1_T3,2,2)</f>
        <v>333.78508800000009</v>
      </c>
      <c r="F25" s="53">
        <f ca="1">INDEX(M1_Table_MN_j_m1_T3,2,3)</f>
        <v>506.87078400000007</v>
      </c>
      <c r="G25" s="53">
        <f ca="1">INDEX(M1_Table_MN_j_m1_T3,2,4)</f>
        <v>732.09599999999978</v>
      </c>
      <c r="H25" s="2"/>
      <c r="I25" s="2"/>
      <c r="J25" s="2"/>
      <c r="N25" s="53" t="str">
        <f>INDEX(X_Table_Feedlot_MMS_Stage3,3,1)</f>
        <v>Anaerobic lagoon</v>
      </c>
      <c r="O25" s="53">
        <f ca="1">INDEX(M2_Table_MN_j_m1_T3,2,2)</f>
        <v>333.78508800000009</v>
      </c>
      <c r="P25" s="53">
        <f ca="1">INDEX(M2_Table_MN_j_m1_T3,2,3)</f>
        <v>506.87078400000007</v>
      </c>
      <c r="Q25" s="53">
        <f ca="1">INDEX(M2_Table_MN_j_m1_T3,2,4)</f>
        <v>732.09599999999978</v>
      </c>
      <c r="R25" s="2"/>
    </row>
    <row r="26" spans="1:18" ht="20" customHeight="1" x14ac:dyDescent="0.25"/>
    <row r="27" spans="1:18" ht="20" customHeight="1" x14ac:dyDescent="0.25">
      <c r="D27" s="100" t="s">
        <v>224</v>
      </c>
    </row>
    <row r="28" spans="1:18" ht="20" customHeight="1" x14ac:dyDescent="0.25">
      <c r="D28" s="99" t="s">
        <v>164</v>
      </c>
    </row>
    <row r="29" spans="1:18" ht="20" customHeight="1" x14ac:dyDescent="0.25">
      <c r="D29" s="111" t="s">
        <v>64</v>
      </c>
      <c r="E29" s="111" t="s">
        <v>165</v>
      </c>
    </row>
    <row r="30" spans="1:18" ht="20" customHeight="1" x14ac:dyDescent="0.25">
      <c r="D30" s="53" t="str">
        <f>INDEX(X_Table_Feedlot_MMS_Stage1,2,1)</f>
        <v>Drylot (feed pad)</v>
      </c>
      <c r="E30" s="53">
        <f>_xlfn.XLOOKUP(D30, Table_SourceData_Feedlot_NO2EFs[NIR definition], Table_SourceData_Feedlot_NO2EFs[EF mT])</f>
        <v>5.4000000000000003E-3</v>
      </c>
      <c r="F30" s="2" t="s">
        <v>228</v>
      </c>
    </row>
    <row r="31" spans="1:18" ht="20" customHeight="1" x14ac:dyDescent="0.25">
      <c r="D31" s="53" t="str">
        <f>INDEX(X_Table_Feedlot_MMS_Stage2,3,1)</f>
        <v>Solid storage</v>
      </c>
      <c r="E31" s="53">
        <f>_xlfn.XLOOKUP($D$31, Table_SourceData_Feedlot_NO2EFs[NIR definition], Table_SourceData_Feedlot_NO2EFs[EF mT])</f>
        <v>5.0000000000000001E-3</v>
      </c>
      <c r="F31" s="2"/>
    </row>
    <row r="32" spans="1:18" ht="20" customHeight="1" x14ac:dyDescent="0.25">
      <c r="D32" s="53" t="str">
        <f>INDEX(X_Table_Feedlot_MMS_Stage2,4,1)</f>
        <v>Composting (passive windrow)</v>
      </c>
      <c r="E32" s="53">
        <f>_xlfn.XLOOKUP($D$32, Table_SourceData_Feedlot_NO2EFs[NIR definition], Table_SourceData_Feedlot_NO2EFs[EF mT])</f>
        <v>0.01</v>
      </c>
      <c r="F32" s="2"/>
    </row>
    <row r="33" spans="4:10" ht="20" customHeight="1" x14ac:dyDescent="0.25">
      <c r="D33" s="53" t="s">
        <v>309</v>
      </c>
      <c r="E33" s="53">
        <f>_xlfn.XLOOKUP($D$33, Table_SourceData_Feedlot_NO2EFs[NIR definition], Table_SourceData_Feedlot_NO2EFs[EF mT])</f>
        <v>0</v>
      </c>
      <c r="F33" s="2"/>
    </row>
    <row r="34" spans="4:10" ht="20" customHeight="1" x14ac:dyDescent="0.25">
      <c r="D34" s="53" t="str">
        <f>INDEX(X_Table_Feedlot_MMS_Stage3,3,1)</f>
        <v>Anaerobic lagoon</v>
      </c>
      <c r="E34" s="53">
        <f>_xlfn.XLOOKUP($D$34, Table_SourceData_Feedlot_NO2EFs[NIR definition], Table_SourceData_Feedlot_NO2EFs[EF mT])</f>
        <v>0</v>
      </c>
      <c r="F34" s="2"/>
    </row>
    <row r="35" spans="4:10" ht="20" customHeight="1" x14ac:dyDescent="0.25"/>
    <row r="36" spans="4:10" ht="20" customHeight="1" x14ac:dyDescent="0.25">
      <c r="D36" s="100" t="s">
        <v>223</v>
      </c>
    </row>
    <row r="37" spans="4:10" ht="20" customHeight="1" x14ac:dyDescent="0.25">
      <c r="D37" s="99" t="s">
        <v>225</v>
      </c>
    </row>
    <row r="38" spans="4:10" ht="20" customHeight="1" x14ac:dyDescent="0.25">
      <c r="D38" s="111" t="s">
        <v>64</v>
      </c>
      <c r="E38" s="111" t="s">
        <v>165</v>
      </c>
    </row>
    <row r="39" spans="4:10" ht="20" customHeight="1" x14ac:dyDescent="0.25">
      <c r="D39" s="53" t="str">
        <f>INDEX(X_Table_Feedlot_MMS_Stage1,2,1)</f>
        <v>Drylot (feed pad)</v>
      </c>
      <c r="E39" s="53">
        <f>_xlfn.XLOOKUP(D39, Table_SourceData_Feedlot_FracGASMmT[NIR definition], Table_SourceData_Feedlot_FracGASMmT[FracGASMmT])</f>
        <v>0.6</v>
      </c>
      <c r="F39" s="2" t="s">
        <v>229</v>
      </c>
    </row>
    <row r="40" spans="4:10" ht="20" customHeight="1" x14ac:dyDescent="0.25">
      <c r="D40" s="53" t="str">
        <f>INDEX(X_Table_Feedlot_MMS_Stage2,3,1)</f>
        <v>Solid storage</v>
      </c>
      <c r="E40" s="53">
        <f>_xlfn.XLOOKUP(D40, Table_SourceData_Feedlot_FracGASMmT[NIR definition], Table_SourceData_Feedlot_FracGASMmT[FracGASMmT])</f>
        <v>0.25</v>
      </c>
      <c r="F40" s="2"/>
    </row>
    <row r="41" spans="4:10" ht="20" customHeight="1" x14ac:dyDescent="0.25">
      <c r="D41" s="53" t="str">
        <f>INDEX(X_Table_Feedlot_MMS_Stage2,4,1)</f>
        <v>Composting (passive windrow)</v>
      </c>
      <c r="E41" s="53">
        <f>_xlfn.XLOOKUP(D41, Table_SourceData_Feedlot_FracGASMmT[NIR definition], Table_SourceData_Feedlot_FracGASMmT[FracGASMmT])</f>
        <v>0.4</v>
      </c>
      <c r="F41" s="2"/>
    </row>
    <row r="42" spans="4:10" ht="20" customHeight="1" x14ac:dyDescent="0.25">
      <c r="D42" s="53" t="str">
        <f>INDEX(X_Table_Feedlot_MMS_Stage2,5,1)</f>
        <v>Direct application</v>
      </c>
      <c r="E42" s="53">
        <f>_xlfn.XLOOKUP(D42, Table_SourceData_Feedlot_FracGASMmT[NIR definition], Table_SourceData_Feedlot_FracGASMmT[FracGASMmT])</f>
        <v>0</v>
      </c>
      <c r="F42" s="2"/>
    </row>
    <row r="43" spans="4:10" ht="20" customHeight="1" x14ac:dyDescent="0.25">
      <c r="D43" s="53" t="str">
        <f>INDEX(X_Table_Feedlot_MMS_Stage3,3,1)</f>
        <v>Anaerobic lagoon</v>
      </c>
      <c r="E43" s="53">
        <f>_xlfn.XLOOKUP(D43, Table_SourceData_Feedlot_FracGASMmT[NIR definition], Table_SourceData_Feedlot_FracGASMmT[FracGASMmT])</f>
        <v>0.35</v>
      </c>
      <c r="F43" s="2"/>
    </row>
    <row r="44" spans="4:10" ht="20" customHeight="1" x14ac:dyDescent="0.25"/>
    <row r="45" spans="4:10" ht="20" customHeight="1" x14ac:dyDescent="0.25">
      <c r="D45" s="100" t="s">
        <v>226</v>
      </c>
    </row>
    <row r="46" spans="4:10" ht="20" customHeight="1" x14ac:dyDescent="0.25">
      <c r="D46" s="99" t="s">
        <v>227</v>
      </c>
    </row>
    <row r="47" spans="4:10" ht="20" customHeight="1" x14ac:dyDescent="0.25">
      <c r="D47" s="63" t="s">
        <v>64</v>
      </c>
      <c r="E47" s="63" t="s">
        <v>315</v>
      </c>
    </row>
    <row r="48" spans="4:10" ht="20" customHeight="1" x14ac:dyDescent="0.25">
      <c r="D48" s="53" t="str">
        <f>INDEX(X_Table_Feedlot_MMS_Stage2,3,1)</f>
        <v>Solid storage</v>
      </c>
      <c r="E48" s="53">
        <f ca="1">SUM(OFFSET(X_Table_Feedlot_MMS_Stage2_Destinations, 2,1,1,2))</f>
        <v>0.75</v>
      </c>
      <c r="F48" s="2" t="s">
        <v>317</v>
      </c>
      <c r="H48" s="2"/>
      <c r="I48" s="2"/>
      <c r="J48" s="2"/>
    </row>
    <row r="49" spans="3:19" ht="20" customHeight="1" x14ac:dyDescent="0.25">
      <c r="D49" s="53" t="str">
        <f>INDEX(X_Table_Feedlot_MMS_Stage2,4,1)</f>
        <v>Composting (passive windrow)</v>
      </c>
      <c r="E49" s="53">
        <f ca="1">SUM(OFFSET(X_Table_Feedlot_MMS_Stage2_Destinations, 3,1,1,2))</f>
        <v>0.75</v>
      </c>
      <c r="F49" s="2"/>
      <c r="H49" s="2"/>
      <c r="I49" s="2"/>
      <c r="J49" s="2"/>
    </row>
    <row r="50" spans="3:19" ht="20" customHeight="1" x14ac:dyDescent="0.25">
      <c r="D50" s="53" t="str">
        <f>INDEX(X_Table_Feedlot_MMS_Stage2,5,1)</f>
        <v>Direct application</v>
      </c>
      <c r="E50" s="53">
        <f ca="1">SUM(OFFSET(X_Table_Feedlot_MMS_Stage2_Destinations, 4,1,1,2))</f>
        <v>1</v>
      </c>
      <c r="F50" s="2"/>
      <c r="H50" s="2"/>
      <c r="I50" s="2"/>
      <c r="J50" s="2"/>
    </row>
    <row r="51" spans="3:19" ht="20" customHeight="1" x14ac:dyDescent="0.25">
      <c r="D51" s="53" t="str">
        <f>INDEX(X_Table_Feedlot_MMS_Stage3,3,1)</f>
        <v>Anaerobic lagoon</v>
      </c>
      <c r="E51" s="53">
        <f ca="1">SUM(OFFSET(X_Table_Feedlot_MMS_Stage3_Destinations, 2,1,1,2))</f>
        <v>0.75</v>
      </c>
      <c r="F51" s="2"/>
      <c r="H51" s="2"/>
      <c r="I51" s="2"/>
      <c r="J51" s="2"/>
    </row>
    <row r="52" spans="3:19" ht="20" customHeight="1" x14ac:dyDescent="0.25"/>
    <row r="53" spans="3:19" ht="20" customHeight="1" x14ac:dyDescent="0.25">
      <c r="D53" s="100" t="s">
        <v>233</v>
      </c>
      <c r="N53" s="100" t="s">
        <v>246</v>
      </c>
    </row>
    <row r="54" spans="3:19" ht="20" customHeight="1" x14ac:dyDescent="0.25">
      <c r="D54" s="99" t="s">
        <v>248</v>
      </c>
      <c r="N54" s="99" t="s">
        <v>247</v>
      </c>
    </row>
    <row r="55" spans="3:19" ht="20" customHeight="1" x14ac:dyDescent="0.25">
      <c r="D55" s="52" t="s">
        <v>64</v>
      </c>
      <c r="E55" s="52" t="s">
        <v>131</v>
      </c>
      <c r="F55" s="52" t="s">
        <v>132</v>
      </c>
      <c r="G55" s="52" t="s">
        <v>133</v>
      </c>
      <c r="N55" s="52" t="s">
        <v>64</v>
      </c>
      <c r="O55" s="52" t="s">
        <v>131</v>
      </c>
      <c r="P55" s="52" t="s">
        <v>132</v>
      </c>
      <c r="Q55" s="52" t="s">
        <v>133</v>
      </c>
    </row>
    <row r="56" spans="3:19" ht="20" customHeight="1" x14ac:dyDescent="0.25">
      <c r="D56" s="53" t="str">
        <f>INDEX(X_Table_Feedlot_MMS_Stage2,3,1)</f>
        <v>Solid storage</v>
      </c>
      <c r="E56" s="53" cm="1">
        <f t="array" aca="1" ref="E56" ca="1">MMS_Feedlot_ManureAppliedToSoils_Equations.VEERG_4_1_1_9__1_MassOfNitrogenAppliedToSoilsScope1(E22,_xlfn.XLOOKUP($D56,$D$30:$D$34,$E$30:$E$34),_xlfn.XLOOKUP($D56,$D$39:$D$43,$E$39:$E$43),$E48)</f>
        <v>698.63805752832036</v>
      </c>
      <c r="F56" s="53" cm="1">
        <f t="array" aca="1" ref="F56" ca="1">MMS_Feedlot_ManureAppliedToSoils_Equations.VEERG_4_1_1_9__1_MassOfNitrogenAppliedToSoilsScope1(F22,_xlfn.XLOOKUP($D56,$D$30:$D$34,$E$30:$E$34),_xlfn.XLOOKUP($D56,$D$39:$D$43,$E$39:$E$43),$E48)</f>
        <v>1060.9198333977599</v>
      </c>
      <c r="G56" s="53" cm="1">
        <f t="array" aca="1" ref="G56" ca="1">MMS_Feedlot_ManureAppliedToSoils_Equations.VEERG_4_1_1_9__1_MassOfNitrogenAppliedToSoilsScope1(G22,_xlfn.XLOOKUP($D56,$D$30:$D$34,$E$30:$E$34),_xlfn.XLOOKUP($D56,$D$39:$D$43,$E$39:$E$43),$E48)</f>
        <v>1532.3336654399995</v>
      </c>
      <c r="H56" s="2" t="str">
        <f>$E$12</f>
        <v>kg N</v>
      </c>
      <c r="I56" s="2"/>
      <c r="J56" s="2"/>
      <c r="N56" s="53" t="str">
        <f>INDEX(X_Table_Feedlot_MMS_Stage2,3,1)</f>
        <v>Solid storage</v>
      </c>
      <c r="O56" s="53" cm="1">
        <f t="array" aca="1" ref="O56" ca="1">MMS_Feedlot_ManureAppliedToSoils_Equations.VEERG_4_1_1_9__1_MassOfNitrogenAppliedToSoilsScope1(O22,_xlfn.XLOOKUP($N56,$D$30:$D$34,$E$30:$E$34),_xlfn.XLOOKUP($N56,$D$39:$D$43,$E$39:$E$43),$E48)</f>
        <v>698.63805752832036</v>
      </c>
      <c r="P56" s="53" cm="1">
        <f t="array" aca="1" ref="P56" ca="1">MMS_Feedlot_ManureAppliedToSoils_Equations.VEERG_4_1_1_9__1_MassOfNitrogenAppliedToSoilsScope1(P22,_xlfn.XLOOKUP($N56,$D$30:$D$34,$E$30:$E$34),_xlfn.XLOOKUP($N56,$D$39:$D$43,$E$39:$E$43),$E48)</f>
        <v>1060.9198333977599</v>
      </c>
      <c r="Q56" s="53" cm="1">
        <f t="array" aca="1" ref="Q56" ca="1">MMS_Feedlot_ManureAppliedToSoils_Equations.VEERG_4_1_1_9__1_MassOfNitrogenAppliedToSoilsScope1(Q22,_xlfn.XLOOKUP($N56,$D$30:$D$34,$E$30:$E$34),_xlfn.XLOOKUP($N56,$D$39:$D$43,$E$39:$E$43),$E48)</f>
        <v>1532.3336654399995</v>
      </c>
      <c r="R56" s="2" t="str">
        <f>$E$12</f>
        <v>kg N</v>
      </c>
    </row>
    <row r="57" spans="3:19" ht="20" customHeight="1" x14ac:dyDescent="0.25">
      <c r="D57" s="53" t="str">
        <f>INDEX(X_Table_Feedlot_MMS_Stage2,4,1)</f>
        <v>Composting (passive windrow)</v>
      </c>
      <c r="E57" s="53" cm="1">
        <f t="array" aca="1" ref="E57" ca="1">MMS_Feedlot_ManureAppliedToSoils_Equations.VEERG_4_1_1_9__1_MassOfNitrogenAppliedToSoilsScope1(E23,_xlfn.XLOOKUP($D57,$D$30:$D$34,$E$30:$E$34),_xlfn.XLOOKUP($D57,$D$39:$D$43,$E$39:$E$43),$E49)</f>
        <v>553.2838307942402</v>
      </c>
      <c r="F57" s="53" cm="1">
        <f t="array" aca="1" ref="F57" ca="1">MMS_Feedlot_ManureAppliedToSoils_Equations.VEERG_4_1_1_9__1_MassOfNitrogenAppliedToSoilsScope1(F23,_xlfn.XLOOKUP($D57,$D$30:$D$34,$E$30:$E$34),_xlfn.XLOOKUP($D57,$D$39:$D$43,$E$39:$E$43),$E49)</f>
        <v>840.19154591231995</v>
      </c>
      <c r="G57" s="53" cm="1">
        <f t="array" aca="1" ref="G57" ca="1">MMS_Feedlot_ManureAppliedToSoils_Equations.VEERG_4_1_1_9__1_MassOfNitrogenAppliedToSoilsScope1(G23,_xlfn.XLOOKUP($D57,$D$30:$D$34,$E$30:$E$34),_xlfn.XLOOKUP($D57,$D$39:$D$43,$E$39:$E$43),$E49)</f>
        <v>1213.5259900799997</v>
      </c>
      <c r="H57" s="2"/>
      <c r="I57" s="2"/>
      <c r="J57" s="2"/>
      <c r="N57" s="53" t="str">
        <f>INDEX(X_Table_Feedlot_MMS_Stage2,4,1)</f>
        <v>Composting (passive windrow)</v>
      </c>
      <c r="O57" s="53" cm="1">
        <f t="array" aca="1" ref="O57" ca="1">MMS_Feedlot_ManureAppliedToSoils_Equations.VEERG_4_1_1_9__1_MassOfNitrogenAppliedToSoilsScope1(O23,_xlfn.XLOOKUP($N57,$D$30:$D$34,$E$30:$E$34),_xlfn.XLOOKUP($N57,$D$39:$D$43,$E$39:$E$43),$E49)</f>
        <v>553.2838307942402</v>
      </c>
      <c r="P57" s="53" cm="1">
        <f t="array" aca="1" ref="P57" ca="1">MMS_Feedlot_ManureAppliedToSoils_Equations.VEERG_4_1_1_9__1_MassOfNitrogenAppliedToSoilsScope1(P23,_xlfn.XLOOKUP($N57,$D$30:$D$34,$E$30:$E$34),_xlfn.XLOOKUP($N57,$D$39:$D$43,$E$39:$E$43),$E49)</f>
        <v>840.19154591231995</v>
      </c>
      <c r="Q57" s="53" cm="1">
        <f t="array" aca="1" ref="Q57" ca="1">MMS_Feedlot_ManureAppliedToSoils_Equations.VEERG_4_1_1_9__1_MassOfNitrogenAppliedToSoilsScope1(Q23,_xlfn.XLOOKUP($N57,$D$30:$D$34,$E$30:$E$34),_xlfn.XLOOKUP($N57,$D$39:$D$43,$E$39:$E$43),$E49)</f>
        <v>1213.5259900799997</v>
      </c>
      <c r="R57" s="2"/>
    </row>
    <row r="58" spans="3:19" ht="20" customHeight="1" x14ac:dyDescent="0.25">
      <c r="D58" s="53" t="str">
        <f>INDEX(X_Table_Feedlot_MMS_Stage2,5,1)</f>
        <v>Direct application</v>
      </c>
      <c r="E58" s="53" cm="1">
        <f t="array" aca="1" ref="E58" ca="1">MMS_Feedlot_ManureAppliedToSoils_Equations.VEERG_4_1_1_9__1_MassOfNitrogenAppliedToSoilsScope1(E24,_xlfn.XLOOKUP($D58,$D$30:$D$34,$E$30:$E$34),_xlfn.XLOOKUP($D58,$D$39:$D$43,$E$39:$E$43),$E50)</f>
        <v>3751.0768189440014</v>
      </c>
      <c r="F58" s="53" cm="1">
        <f t="array" aca="1" ref="F58" ca="1">MMS_Feedlot_ManureAppliedToSoils_Equations.VEERG_4_1_1_9__1_MassOfNitrogenAppliedToSoilsScope1(F24,_xlfn.XLOOKUP($D58,$D$30:$D$34,$E$30:$E$34),_xlfn.XLOOKUP($D58,$D$39:$D$43,$E$39:$E$43),$E50)</f>
        <v>5696.2138705919997</v>
      </c>
      <c r="G58" s="53" cm="1">
        <f t="array" aca="1" ref="G58" ca="1">MMS_Feedlot_ManureAppliedToSoils_Equations.VEERG_4_1_1_9__1_MassOfNitrogenAppliedToSoilsScope1(G24,_xlfn.XLOOKUP($D58,$D$30:$D$34,$E$30:$E$34),_xlfn.XLOOKUP($D58,$D$39:$D$43,$E$39:$E$43),$E50)</f>
        <v>8227.2948479999977</v>
      </c>
      <c r="H58" s="2"/>
      <c r="I58" s="2"/>
      <c r="J58" s="2"/>
      <c r="N58" s="53" t="str">
        <f>INDEX(X_Table_Feedlot_MMS_Stage2,5,1)</f>
        <v>Direct application</v>
      </c>
      <c r="O58" s="53" cm="1">
        <f t="array" aca="1" ref="O58" ca="1">MMS_Feedlot_ManureAppliedToSoils_Equations.VEERG_4_1_1_9__1_MassOfNitrogenAppliedToSoilsScope1(O24,_xlfn.XLOOKUP($N58,$D$30:$D$34,$E$30:$E$34),_xlfn.XLOOKUP($N58,$D$39:$D$43,$E$39:$E$43),$E50)</f>
        <v>3751.0768189440014</v>
      </c>
      <c r="P58" s="53" cm="1">
        <f t="array" aca="1" ref="P58" ca="1">MMS_Feedlot_ManureAppliedToSoils_Equations.VEERG_4_1_1_9__1_MassOfNitrogenAppliedToSoilsScope1(P24,_xlfn.XLOOKUP($N58,$D$30:$D$34,$E$30:$E$34),_xlfn.XLOOKUP($N58,$D$39:$D$43,$E$39:$E$43),$E50)</f>
        <v>5696.2138705919997</v>
      </c>
      <c r="Q58" s="53" cm="1">
        <f t="array" aca="1" ref="Q58" ca="1">MMS_Feedlot_ManureAppliedToSoils_Equations.VEERG_4_1_1_9__1_MassOfNitrogenAppliedToSoilsScope1(Q24,_xlfn.XLOOKUP($N58,$D$30:$D$34,$E$30:$E$34),_xlfn.XLOOKUP($N58,$D$39:$D$43,$E$39:$E$43),$E50)</f>
        <v>8227.2948479999977</v>
      </c>
      <c r="R58" s="2"/>
    </row>
    <row r="59" spans="3:19" ht="20" customHeight="1" x14ac:dyDescent="0.25">
      <c r="D59" s="53" t="str">
        <f>INDEX(X_Table_Feedlot_MMS_Stage3,3,1)</f>
        <v>Anaerobic lagoon</v>
      </c>
      <c r="E59" s="53" cm="1">
        <f t="array" aca="1" ref="E59" ca="1">MMS_Feedlot_ManureAppliedToSoils_Equations.VEERG_4_1_1_9__1_MassOfNitrogenAppliedToSoilsScope1(E25,_xlfn.XLOOKUP($D59,$D$30:$D$34,$E$30:$E$34),_xlfn.XLOOKUP($D59,$D$39:$D$43,$E$39:$E$43),$E51)</f>
        <v>162.72023040000005</v>
      </c>
      <c r="F59" s="53" cm="1">
        <f t="array" aca="1" ref="F59" ca="1">MMS_Feedlot_ManureAppliedToSoils_Equations.VEERG_4_1_1_9__1_MassOfNitrogenAppliedToSoilsScope1(F25,_xlfn.XLOOKUP($D59,$D$30:$D$34,$E$30:$E$34),_xlfn.XLOOKUP($D59,$D$39:$D$43,$E$39:$E$43),$E51)</f>
        <v>247.09950720000006</v>
      </c>
      <c r="G59" s="53" cm="1">
        <f t="array" aca="1" ref="G59" ca="1">MMS_Feedlot_ManureAppliedToSoils_Equations.VEERG_4_1_1_9__1_MassOfNitrogenAppliedToSoilsScope1(G25,_xlfn.XLOOKUP($D59,$D$30:$D$34,$E$30:$E$34),_xlfn.XLOOKUP($D59,$D$39:$D$43,$E$39:$E$43),$E51)</f>
        <v>356.89679999999987</v>
      </c>
      <c r="H59" s="2"/>
      <c r="I59" s="2"/>
      <c r="J59" s="2"/>
      <c r="N59" s="53" t="str">
        <f>INDEX(X_Table_Feedlot_MMS_Stage3,3,1)</f>
        <v>Anaerobic lagoon</v>
      </c>
      <c r="O59" s="53" cm="1">
        <f t="array" aca="1" ref="O59" ca="1">MMS_Feedlot_ManureAppliedToSoils_Equations.VEERG_4_1_1_9__1_MassOfNitrogenAppliedToSoilsScope1(O25,_xlfn.XLOOKUP($N59,$D$30:$D$34,$E$30:$E$34),_xlfn.XLOOKUP($N59,$D$39:$D$43,$E$39:$E$43),$E51)</f>
        <v>162.72023040000005</v>
      </c>
      <c r="P59" s="53" cm="1">
        <f t="array" aca="1" ref="P59" ca="1">MMS_Feedlot_ManureAppliedToSoils_Equations.VEERG_4_1_1_9__1_MassOfNitrogenAppliedToSoilsScope1(P25,_xlfn.XLOOKUP($N59,$D$30:$D$34,$E$30:$E$34),_xlfn.XLOOKUP($N59,$D$39:$D$43,$E$39:$E$43),$E51)</f>
        <v>247.09950720000006</v>
      </c>
      <c r="Q59" s="53" cm="1">
        <f t="array" aca="1" ref="Q59" ca="1">MMS_Feedlot_ManureAppliedToSoils_Equations.VEERG_4_1_1_9__1_MassOfNitrogenAppliedToSoilsScope1(Q25,_xlfn.XLOOKUP($N59,$D$30:$D$34,$E$30:$E$34),_xlfn.XLOOKUP($N59,$D$39:$D$43,$E$39:$E$43),$E51)</f>
        <v>356.89679999999987</v>
      </c>
      <c r="R59" s="2"/>
    </row>
    <row r="60" spans="3:19" ht="20" customHeight="1" x14ac:dyDescent="0.25"/>
    <row r="61" spans="3:19" ht="20" customHeight="1" x14ac:dyDescent="0.25">
      <c r="D61" s="104" t="s">
        <v>234</v>
      </c>
      <c r="E61" s="105">
        <f ca="1">SUM(E56:G59)</f>
        <v>24340.194998288636</v>
      </c>
      <c r="F61" s="106" t="str">
        <f>$E$12</f>
        <v>kg N</v>
      </c>
      <c r="N61" s="104" t="s">
        <v>234</v>
      </c>
      <c r="O61" s="105">
        <f ca="1">SUM(O56:Q59)</f>
        <v>24340.194998288636</v>
      </c>
      <c r="P61" s="106" t="str">
        <f>$E$12</f>
        <v>kg N</v>
      </c>
    </row>
    <row r="62" spans="3:19" ht="20" customHeight="1" x14ac:dyDescent="0.25"/>
    <row r="63" spans="3:19" ht="20" customHeight="1" x14ac:dyDescent="0.25"/>
    <row r="64" spans="3:19" ht="20" customHeight="1" x14ac:dyDescent="0.25">
      <c r="C64" s="46"/>
      <c r="D64" s="46"/>
      <c r="E64" s="46"/>
      <c r="F64" s="46"/>
      <c r="G64" s="46"/>
      <c r="H64" s="46"/>
      <c r="I64" s="46"/>
      <c r="J64" s="46"/>
      <c r="K64" s="46"/>
      <c r="M64" s="46"/>
      <c r="N64" s="46"/>
      <c r="O64" s="46"/>
      <c r="P64" s="46"/>
      <c r="Q64" s="46"/>
      <c r="R64" s="46"/>
      <c r="S64" s="46"/>
    </row>
    <row r="65" spans="4:14" ht="20" customHeight="1" x14ac:dyDescent="0.25">
      <c r="D65" s="6" t="str" cm="1">
        <f t="array" ref="D65">MMS_Feedlot_ManureAppliedToSoils_Equations.VEERG_4_1_1_9__2_MassOfNitrogenAppliedToSoilsScope3_Title()</f>
        <v>Mass of nitrogen applied to soils for scope 3 emissions</v>
      </c>
    </row>
    <row r="66" spans="4:14" ht="20" customHeight="1" x14ac:dyDescent="0.25">
      <c r="D66" s="5" t="str" cm="1">
        <f t="array" ref="D66">MMS_Feedlot_ManureAppliedToSoils_Equations.VEERG_4_1_1_9__2_MassOfNitrogenAppliedToSoilsScope3_Source()</f>
        <v>VEERG 2026: 4.1.1.9, Equation (2)</v>
      </c>
    </row>
    <row r="67" spans="4:14" ht="20" customHeight="1" x14ac:dyDescent="0.25">
      <c r="D67" s="13" t="s">
        <v>23</v>
      </c>
      <c r="E67" s="13" t="str" cm="1">
        <f t="array" aca="1" ref="E67" ca="1">Common_InputFunctions.Utility_DisplayFunctionName(E82)</f>
        <v>=MMS_Feedlot_ManureAppliedToSoils_Equations.VEERG_4_1_1_9__2_MassOfNitrogenAppliedToSoilsScope3</v>
      </c>
    </row>
    <row r="68" spans="4:14" ht="20" customHeight="1" x14ac:dyDescent="0.25"/>
    <row r="69" spans="4:14" ht="20" customHeight="1" x14ac:dyDescent="0.25">
      <c r="D69" s="6"/>
    </row>
    <row r="70" spans="4:14" ht="20" customHeight="1" x14ac:dyDescent="0.25"/>
    <row r="71" spans="4:14" ht="20" customHeight="1" x14ac:dyDescent="0.25">
      <c r="D71" s="54" t="s">
        <v>26</v>
      </c>
      <c r="E71" s="1" t="str" cm="1">
        <f t="array" ref="E71">MMS_Feedlot_ManureAppliedToSoils_Equations.VEERG_4_1_1_9__2_MassOfNitrogenAppliedToSoilsScope3_Variable()</f>
        <v>MNSoil_scope3</v>
      </c>
    </row>
    <row r="72" spans="4:14" ht="20" customHeight="1" x14ac:dyDescent="0.25">
      <c r="D72" s="54" t="s">
        <v>16</v>
      </c>
      <c r="E72" s="55" t="str" cm="1">
        <f t="array" ref="E72">MMS_Feedlot_ManureAppliedToSoils_Equations.VEERG_4_1_1_9__2_MassOfNitrogenAppliedToSoilsScope3_Unit()</f>
        <v>kg N</v>
      </c>
    </row>
    <row r="73" spans="4:14" ht="20" customHeight="1" x14ac:dyDescent="0.25"/>
    <row r="74" spans="4:14" ht="20" customHeight="1" x14ac:dyDescent="0.25">
      <c r="D74" s="134" t="str" cm="1">
        <f t="array" ref="D74:E77">_xlfn.CHOOSECOLS(MMS_Feedlot_ManureAppliedToSoils_Equations.VEERG_4_1_1_9__2_MassOfNitrogenAppliedToSoilsScope3_Arguments(),1,2)</f>
        <v>MN_jmT23</v>
      </c>
      <c r="E74" s="137" t="str">
        <v>mass of N in secondary and tertiary treatment MMS stages as calculated for manure management</v>
      </c>
      <c r="F74" s="138"/>
      <c r="G74" s="136"/>
      <c r="H74" s="134" t="str" cm="1">
        <f t="array" ref="H74:I77">_xlfn.CHOOSECOLS(MMS_Feedlot_ManureAppliedToSoils_Equations.VEERG_4_1_1_9__2_MassOfNitrogenAppliedToSoilsScope3_Arguments(),3,4)</f>
        <v>kg N</v>
      </c>
      <c r="I74" s="126" t="str">
        <v>Calculated from 4.1.1.3 (6)(8)</v>
      </c>
      <c r="J74" s="135" t="str" cm="1">
        <f t="array" aca="1" ref="J74" ca="1">HYPERLINK(Common_InputFunctions.Utility_SourceHyperlink($D$19),$D$19)</f>
        <v>M1_Table_MN_j_m_T-2-3</v>
      </c>
    </row>
    <row r="75" spans="4:14" ht="20" customHeight="1" x14ac:dyDescent="0.25">
      <c r="D75" s="134" t="str">
        <v>EF_mT23</v>
      </c>
      <c r="E75" s="137" t="str">
        <v>nitrous oxide emission factor for each MMS</v>
      </c>
      <c r="F75" s="138"/>
      <c r="G75" s="136"/>
      <c r="H75" s="134" t="str">
        <v>kg N2O-N/kg N</v>
      </c>
      <c r="I75" s="126" t="str">
        <v>Constant</v>
      </c>
      <c r="J75" s="135" t="str" cm="1">
        <f t="array" aca="1" ref="J75" ca="1">HYPERLINK(Common_InputFunctions.Utility_SourceHyperlink($D$27),$D$27)</f>
        <v>Table_EF_j_m_T-2-3</v>
      </c>
    </row>
    <row r="76" spans="4:14" ht="20" customHeight="1" x14ac:dyDescent="0.25">
      <c r="D76" s="134" t="str">
        <v>FracGASM_mT23</v>
      </c>
      <c r="E76" s="137" t="str">
        <v>fraction of animal waste N volatilised in each MMS for each cattle group</v>
      </c>
      <c r="F76" s="138"/>
      <c r="G76" s="136"/>
      <c r="H76" s="134" t="str">
        <v>(kg NH3-N + NOx-N)/kg N</v>
      </c>
      <c r="I76" s="126" t="str">
        <v>Constant</v>
      </c>
      <c r="J76" s="135" t="str" cm="1">
        <f t="array" aca="1" ref="J76" ca="1">HYPERLINK(Common_InputFunctions.Utility_SourceHyperlink($D$36),$D$36)</f>
        <v>Table_FracGASM_m_T-2-3</v>
      </c>
    </row>
    <row r="77" spans="4:14" ht="20" customHeight="1" x14ac:dyDescent="0.25">
      <c r="D77" s="134" t="str">
        <v>PF</v>
      </c>
      <c r="E77" s="137" t="str">
        <v>fraction of manure applied to soil within the feedlot boundary</v>
      </c>
      <c r="F77" s="138"/>
      <c r="G77" s="136"/>
      <c r="H77" s="134" t="str">
        <v>fraction</v>
      </c>
      <c r="I77" s="125" t="str">
        <v>Input</v>
      </c>
      <c r="J77" s="135" t="str" cm="1">
        <f t="array" aca="1" ref="J77" ca="1">HYPERLINK(Common_InputFunctions.Utility_SourceHyperlink($D$45),$D$45)</f>
        <v>Table_PF</v>
      </c>
    </row>
    <row r="78" spans="4:14" ht="20" customHeight="1" x14ac:dyDescent="0.25"/>
    <row r="79" spans="4:14" ht="20" customHeight="1" x14ac:dyDescent="0.25">
      <c r="D79" s="100" t="s">
        <v>237</v>
      </c>
      <c r="N79" s="100" t="s">
        <v>242</v>
      </c>
    </row>
    <row r="80" spans="4:14" ht="20" customHeight="1" x14ac:dyDescent="0.25">
      <c r="D80" s="99" t="s">
        <v>245</v>
      </c>
      <c r="N80" s="99" t="s">
        <v>243</v>
      </c>
    </row>
    <row r="81" spans="3:19" ht="20" customHeight="1" x14ac:dyDescent="0.25">
      <c r="D81" s="52" t="s">
        <v>64</v>
      </c>
      <c r="E81" s="52" t="s">
        <v>131</v>
      </c>
      <c r="F81" s="52" t="s">
        <v>132</v>
      </c>
      <c r="G81" s="52" t="s">
        <v>133</v>
      </c>
      <c r="N81" s="52" t="s">
        <v>64</v>
      </c>
      <c r="O81" s="52" t="s">
        <v>131</v>
      </c>
      <c r="P81" s="52" t="s">
        <v>132</v>
      </c>
      <c r="Q81" s="52" t="s">
        <v>133</v>
      </c>
    </row>
    <row r="82" spans="3:19" ht="20" customHeight="1" x14ac:dyDescent="0.25">
      <c r="D82" s="53" t="str">
        <f>INDEX(X_Table_Feedlot_MMS_Stage2,3,1)</f>
        <v>Solid storage</v>
      </c>
      <c r="E82" s="53" cm="1">
        <f t="array" aca="1" ref="E82" ca="1">MMS_Feedlot_ManureAppliedToSoils_Equations.VEERG_4_1_1_9__2_MassOfNitrogenAppliedToSoilsScope3(E22,_xlfn.XLOOKUP($D82, $D$30:$D$34,$E$30:$E$34),_xlfn.XLOOKUP($D82,$D$39:$D$43,$E$39:$E$43),$E48)</f>
        <v>232.87935250944011</v>
      </c>
      <c r="F82" s="53" cm="1">
        <f t="array" aca="1" ref="F82" ca="1">MMS_Feedlot_ManureAppliedToSoils_Equations.VEERG_4_1_1_9__2_MassOfNitrogenAppliedToSoilsScope3(F22,_xlfn.XLOOKUP($D82, $D$30:$D$34,$E$30:$E$34),_xlfn.XLOOKUP($D82,$D$39:$D$43,$E$39:$E$43),$E48)</f>
        <v>353.63994446592</v>
      </c>
      <c r="G82" s="53" cm="1">
        <f t="array" aca="1" ref="G82" ca="1">MMS_Feedlot_ManureAppliedToSoils_Equations.VEERG_4_1_1_9__2_MassOfNitrogenAppliedToSoilsScope3(G22,_xlfn.XLOOKUP($D82, $D$30:$D$34,$E$30:$E$34),_xlfn.XLOOKUP($D82,$D$39:$D$43,$E$39:$E$43),$E48)</f>
        <v>510.77788847999989</v>
      </c>
      <c r="H82" s="2" t="str">
        <f>$E$12</f>
        <v>kg N</v>
      </c>
      <c r="I82" s="2"/>
      <c r="J82" s="2"/>
      <c r="N82" s="53" t="str">
        <f>INDEX(X_Table_Feedlot_MMS_Stage2,3,1)</f>
        <v>Solid storage</v>
      </c>
      <c r="O82" s="53" cm="1">
        <f t="array" aca="1" ref="O82" ca="1">MMS_Feedlot_ManureAppliedToSoils_Equations.VEERG_4_1_1_9__2_MassOfNitrogenAppliedToSoilsScope3(O22,_xlfn.XLOOKUP($N82, $D$30:$D$34,$E$30:$E$34),_xlfn.XLOOKUP($N82,$D$39:$D$43,$E$39:$E$43),$E48)</f>
        <v>232.87935250944011</v>
      </c>
      <c r="P82" s="53" cm="1">
        <f t="array" aca="1" ref="P82" ca="1">MMS_Feedlot_ManureAppliedToSoils_Equations.VEERG_4_1_1_9__2_MassOfNitrogenAppliedToSoilsScope3(P22,_xlfn.XLOOKUP($N82, $D$30:$D$34,$E$30:$E$34),_xlfn.XLOOKUP($N82,$D$39:$D$43,$E$39:$E$43),$E48)</f>
        <v>353.63994446592</v>
      </c>
      <c r="Q82" s="53" cm="1">
        <f t="array" aca="1" ref="Q82" ca="1">MMS_Feedlot_ManureAppliedToSoils_Equations.VEERG_4_1_1_9__2_MassOfNitrogenAppliedToSoilsScope3(Q22,_xlfn.XLOOKUP($N82, $D$30:$D$34,$E$30:$E$34),_xlfn.XLOOKUP($N82,$D$39:$D$43,$E$39:$E$43),$E48)</f>
        <v>510.77788847999989</v>
      </c>
      <c r="R82" s="2" t="str">
        <f>$E$12</f>
        <v>kg N</v>
      </c>
    </row>
    <row r="83" spans="3:19" ht="20" customHeight="1" x14ac:dyDescent="0.25">
      <c r="D83" s="53" t="str">
        <f>INDEX(X_Table_Feedlot_MMS_Stage2,4,1)</f>
        <v>Composting (passive windrow)</v>
      </c>
      <c r="E83" s="53" cm="1">
        <f t="array" aca="1" ref="E83" ca="1">MMS_Feedlot_ManureAppliedToSoils_Equations.VEERG_4_1_1_9__2_MassOfNitrogenAppliedToSoilsScope3(E23,_xlfn.XLOOKUP($D83, $D$30:$D$34,$E$30:$E$34),_xlfn.XLOOKUP($D83,$D$39:$D$43,$E$39:$E$43),$E49)</f>
        <v>184.42794359808008</v>
      </c>
      <c r="F83" s="53" cm="1">
        <f t="array" aca="1" ref="F83" ca="1">MMS_Feedlot_ManureAppliedToSoils_Equations.VEERG_4_1_1_9__2_MassOfNitrogenAppliedToSoilsScope3(F23,_xlfn.XLOOKUP($D83, $D$30:$D$34,$E$30:$E$34),_xlfn.XLOOKUP($D83,$D$39:$D$43,$E$39:$E$43),$E49)</f>
        <v>280.06384863744</v>
      </c>
      <c r="G83" s="53" cm="1">
        <f t="array" aca="1" ref="G83" ca="1">MMS_Feedlot_ManureAppliedToSoils_Equations.VEERG_4_1_1_9__2_MassOfNitrogenAppliedToSoilsScope3(G23,_xlfn.XLOOKUP($D83, $D$30:$D$34,$E$30:$E$34),_xlfn.XLOOKUP($D83,$D$39:$D$43,$E$39:$E$43),$E49)</f>
        <v>404.5086633599999</v>
      </c>
      <c r="H83" s="2"/>
      <c r="I83" s="2"/>
      <c r="J83" s="2"/>
      <c r="N83" s="53" t="str">
        <f>INDEX(X_Table_Feedlot_MMS_Stage2,4,1)</f>
        <v>Composting (passive windrow)</v>
      </c>
      <c r="O83" s="53" cm="1">
        <f t="array" aca="1" ref="O83" ca="1">MMS_Feedlot_ManureAppliedToSoils_Equations.VEERG_4_1_1_9__2_MassOfNitrogenAppliedToSoilsScope3(O23,_xlfn.XLOOKUP($N83, $D$30:$D$34,$E$30:$E$34),_xlfn.XLOOKUP($N83,$D$39:$D$43,$E$39:$E$43),$E49)</f>
        <v>184.42794359808008</v>
      </c>
      <c r="P83" s="53" cm="1">
        <f t="array" aca="1" ref="P83" ca="1">MMS_Feedlot_ManureAppliedToSoils_Equations.VEERG_4_1_1_9__2_MassOfNitrogenAppliedToSoilsScope3(P23,_xlfn.XLOOKUP($N83, $D$30:$D$34,$E$30:$E$34),_xlfn.XLOOKUP($N83,$D$39:$D$43,$E$39:$E$43),$E49)</f>
        <v>280.06384863744</v>
      </c>
      <c r="Q83" s="53" cm="1">
        <f t="array" aca="1" ref="Q83" ca="1">MMS_Feedlot_ManureAppliedToSoils_Equations.VEERG_4_1_1_9__2_MassOfNitrogenAppliedToSoilsScope3(Q23,_xlfn.XLOOKUP($N83, $D$30:$D$34,$E$30:$E$34),_xlfn.XLOOKUP($N83,$D$39:$D$43,$E$39:$E$43),$E49)</f>
        <v>404.5086633599999</v>
      </c>
      <c r="R83" s="2"/>
    </row>
    <row r="84" spans="3:19" ht="20" customHeight="1" x14ac:dyDescent="0.25">
      <c r="D84" s="53" t="str">
        <f>INDEX(X_Table_Feedlot_MMS_Stage2,5,1)</f>
        <v>Direct application</v>
      </c>
      <c r="E84" s="53" cm="1">
        <f t="array" aca="1" ref="E84" ca="1">MMS_Feedlot_ManureAppliedToSoils_Equations.VEERG_4_1_1_9__2_MassOfNitrogenAppliedToSoilsScope3(E24,_xlfn.XLOOKUP($D84, $D$30:$D$34,$E$30:$E$34),_xlfn.XLOOKUP($D84,$D$39:$D$43,$E$39:$E$43),$E50)</f>
        <v>0</v>
      </c>
      <c r="F84" s="53" cm="1">
        <f t="array" aca="1" ref="F84" ca="1">MMS_Feedlot_ManureAppliedToSoils_Equations.VEERG_4_1_1_9__2_MassOfNitrogenAppliedToSoilsScope3(F24,_xlfn.XLOOKUP($D84, $D$30:$D$34,$E$30:$E$34),_xlfn.XLOOKUP($D84,$D$39:$D$43,$E$39:$E$43),$E50)</f>
        <v>0</v>
      </c>
      <c r="G84" s="53" cm="1">
        <f t="array" aca="1" ref="G84" ca="1">MMS_Feedlot_ManureAppliedToSoils_Equations.VEERG_4_1_1_9__2_MassOfNitrogenAppliedToSoilsScope3(G24,_xlfn.XLOOKUP($D84, $D$30:$D$34,$E$30:$E$34),_xlfn.XLOOKUP($D84,$D$39:$D$43,$E$39:$E$43),$E50)</f>
        <v>0</v>
      </c>
      <c r="H84" s="2"/>
      <c r="I84" s="2"/>
      <c r="J84" s="2"/>
      <c r="N84" s="53" t="str">
        <f>INDEX(X_Table_Feedlot_MMS_Stage2,5,1)</f>
        <v>Direct application</v>
      </c>
      <c r="O84" s="53" cm="1">
        <f t="array" aca="1" ref="O84" ca="1">MMS_Feedlot_ManureAppliedToSoils_Equations.VEERG_4_1_1_9__2_MassOfNitrogenAppliedToSoilsScope3(O24,_xlfn.XLOOKUP($N84, $D$30:$D$34,$E$30:$E$34),_xlfn.XLOOKUP($N84,$D$39:$D$43,$E$39:$E$43),$E50)</f>
        <v>0</v>
      </c>
      <c r="P84" s="53" cm="1">
        <f t="array" aca="1" ref="P84" ca="1">MMS_Feedlot_ManureAppliedToSoils_Equations.VEERG_4_1_1_9__2_MassOfNitrogenAppliedToSoilsScope3(P24,_xlfn.XLOOKUP($N84, $D$30:$D$34,$E$30:$E$34),_xlfn.XLOOKUP($N84,$D$39:$D$43,$E$39:$E$43),$E50)</f>
        <v>0</v>
      </c>
      <c r="Q84" s="53" cm="1">
        <f t="array" aca="1" ref="Q84" ca="1">MMS_Feedlot_ManureAppliedToSoils_Equations.VEERG_4_1_1_9__2_MassOfNitrogenAppliedToSoilsScope3(Q24,_xlfn.XLOOKUP($N84, $D$30:$D$34,$E$30:$E$34),_xlfn.XLOOKUP($N84,$D$39:$D$43,$E$39:$E$43),$E50)</f>
        <v>0</v>
      </c>
      <c r="R84" s="2"/>
    </row>
    <row r="85" spans="3:19" ht="20" customHeight="1" x14ac:dyDescent="0.25">
      <c r="D85" s="53" t="str">
        <f>INDEX(X_Table_Feedlot_MMS_Stage3,3,1)</f>
        <v>Anaerobic lagoon</v>
      </c>
      <c r="E85" s="53" cm="1">
        <f t="array" aca="1" ref="E85" ca="1">MMS_Feedlot_ManureAppliedToSoils_Equations.VEERG_4_1_1_9__2_MassOfNitrogenAppliedToSoilsScope3(E25,_xlfn.XLOOKUP($D85, $D$30:$D$34,$E$30:$E$34),_xlfn.XLOOKUP($D85,$D$39:$D$43,$E$39:$E$43),$E51)</f>
        <v>54.240076800000018</v>
      </c>
      <c r="F85" s="53" cm="1">
        <f t="array" aca="1" ref="F85" ca="1">MMS_Feedlot_ManureAppliedToSoils_Equations.VEERG_4_1_1_9__2_MassOfNitrogenAppliedToSoilsScope3(F25,_xlfn.XLOOKUP($D85, $D$30:$D$34,$E$30:$E$34),_xlfn.XLOOKUP($D85,$D$39:$D$43,$E$39:$E$43),$E51)</f>
        <v>82.366502400000016</v>
      </c>
      <c r="G85" s="53" cm="1">
        <f t="array" aca="1" ref="G85" ca="1">MMS_Feedlot_ManureAppliedToSoils_Equations.VEERG_4_1_1_9__2_MassOfNitrogenAppliedToSoilsScope3(G25,_xlfn.XLOOKUP($D85, $D$30:$D$34,$E$30:$E$34),_xlfn.XLOOKUP($D85,$D$39:$D$43,$E$39:$E$43),$E51)</f>
        <v>118.96559999999997</v>
      </c>
      <c r="H85" s="2"/>
      <c r="I85" s="2"/>
      <c r="J85" s="2"/>
      <c r="N85" s="53" t="str">
        <f>INDEX(X_Table_Feedlot_MMS_Stage3,3,1)</f>
        <v>Anaerobic lagoon</v>
      </c>
      <c r="O85" s="53" cm="1">
        <f t="array" aca="1" ref="O85" ca="1">MMS_Feedlot_ManureAppliedToSoils_Equations.VEERG_4_1_1_9__2_MassOfNitrogenAppliedToSoilsScope3(O25,_xlfn.XLOOKUP($N85, $D$30:$D$34,$E$30:$E$34),_xlfn.XLOOKUP($N85,$D$39:$D$43,$E$39:$E$43),$E51)</f>
        <v>54.240076800000018</v>
      </c>
      <c r="P85" s="53" cm="1">
        <f t="array" aca="1" ref="P85" ca="1">MMS_Feedlot_ManureAppliedToSoils_Equations.VEERG_4_1_1_9__2_MassOfNitrogenAppliedToSoilsScope3(P25,_xlfn.XLOOKUP($N85, $D$30:$D$34,$E$30:$E$34),_xlfn.XLOOKUP($N85,$D$39:$D$43,$E$39:$E$43),$E51)</f>
        <v>82.366502400000016</v>
      </c>
      <c r="Q85" s="53" cm="1">
        <f t="array" aca="1" ref="Q85" ca="1">MMS_Feedlot_ManureAppliedToSoils_Equations.VEERG_4_1_1_9__2_MassOfNitrogenAppliedToSoilsScope3(Q25,_xlfn.XLOOKUP($N85, $D$30:$D$34,$E$30:$E$34),_xlfn.XLOOKUP($N85,$D$39:$D$43,$E$39:$E$43),$E51)</f>
        <v>118.96559999999997</v>
      </c>
      <c r="R85" s="2"/>
    </row>
    <row r="86" spans="3:19" ht="20" customHeight="1" x14ac:dyDescent="0.25"/>
    <row r="87" spans="3:19" ht="20" customHeight="1" x14ac:dyDescent="0.25">
      <c r="D87" s="104" t="s">
        <v>239</v>
      </c>
      <c r="E87" s="105">
        <f ca="1">SUM(E82:G85)</f>
        <v>2221.8698202508799</v>
      </c>
      <c r="F87" s="106" t="str">
        <f>$E$12</f>
        <v>kg N</v>
      </c>
      <c r="N87" s="104" t="s">
        <v>239</v>
      </c>
      <c r="O87" s="105">
        <f ca="1">SUM(O82:Q85)</f>
        <v>2221.8698202508799</v>
      </c>
      <c r="P87" s="106" t="str">
        <f>$E$12</f>
        <v>kg N</v>
      </c>
    </row>
    <row r="88" spans="3:19" ht="20" customHeight="1" x14ac:dyDescent="0.25"/>
    <row r="89" spans="3:19" ht="20" customHeight="1" x14ac:dyDescent="0.25"/>
    <row r="90" spans="3:19" ht="20" customHeight="1" x14ac:dyDescent="0.25">
      <c r="C90" s="46"/>
      <c r="D90" s="46"/>
      <c r="E90" s="46"/>
      <c r="F90" s="46"/>
      <c r="G90" s="46"/>
      <c r="H90" s="46"/>
      <c r="I90" s="46"/>
      <c r="J90" s="46"/>
      <c r="K90" s="46"/>
      <c r="L90" s="113"/>
      <c r="M90" s="46"/>
      <c r="N90" s="46"/>
      <c r="O90" s="46"/>
      <c r="P90" s="46"/>
      <c r="Q90" s="46"/>
      <c r="R90" s="46"/>
      <c r="S90" s="46"/>
    </row>
    <row r="91" spans="3:19" ht="20" customHeight="1" x14ac:dyDescent="0.25">
      <c r="D91" s="112" t="str">
        <f>"Below are applications of " &amp; D6 &amp; " that are applied to the following contexts:"</f>
        <v>Below are applications of VEERG 2026: 4.1.1.9, Equation (1) that are applied to the following contexts:</v>
      </c>
      <c r="E91" s="90"/>
      <c r="F91" s="90"/>
      <c r="G91" s="90"/>
      <c r="H91" s="86"/>
    </row>
    <row r="92" spans="3:19" ht="20" customHeight="1" x14ac:dyDescent="0.25">
      <c r="D92" s="92" t="s">
        <v>249</v>
      </c>
      <c r="E92" s="89"/>
      <c r="F92" s="89"/>
      <c r="G92" s="89"/>
      <c r="H92" s="87"/>
    </row>
    <row r="93" spans="3:19" ht="20" customHeight="1" x14ac:dyDescent="0.25"/>
    <row r="94" spans="3:19" ht="20" customHeight="1" x14ac:dyDescent="0.25">
      <c r="D94" s="6" t="s">
        <v>298</v>
      </c>
    </row>
    <row r="95" spans="3:19" ht="20" customHeight="1" x14ac:dyDescent="0.25">
      <c r="D95" s="100" t="s">
        <v>235</v>
      </c>
    </row>
    <row r="96" spans="3:19" ht="20" customHeight="1" x14ac:dyDescent="0.25">
      <c r="D96" s="99" t="s">
        <v>236</v>
      </c>
    </row>
    <row r="97" spans="4:18" ht="20" customHeight="1" x14ac:dyDescent="0.25">
      <c r="D97" s="63" t="s">
        <v>64</v>
      </c>
      <c r="E97" s="63" t="s">
        <v>338</v>
      </c>
    </row>
    <row r="98" spans="4:18" ht="20" customHeight="1" x14ac:dyDescent="0.25">
      <c r="D98" s="53" t="str">
        <f>INDEX(X_Table_Feedlot_MMS_Stage2,3,1)</f>
        <v>Solid storage</v>
      </c>
      <c r="E98" s="53">
        <f>INDEX(X_Table_Feedlot_MMS_Stage2_Destinations,3,2)</f>
        <v>0.25</v>
      </c>
      <c r="F98" s="2" t="s">
        <v>317</v>
      </c>
    </row>
    <row r="99" spans="4:18" ht="20" customHeight="1" x14ac:dyDescent="0.25">
      <c r="D99" s="53" t="str">
        <f>INDEX(X_Table_Feedlot_MMS_Stage2,4,1)</f>
        <v>Composting (passive windrow)</v>
      </c>
      <c r="E99" s="53">
        <f>INDEX(X_Table_Feedlot_MMS_Stage2_Destinations,4,2)</f>
        <v>0.25</v>
      </c>
      <c r="F99" s="2"/>
    </row>
    <row r="100" spans="4:18" ht="20" customHeight="1" x14ac:dyDescent="0.25">
      <c r="D100" s="53" t="str">
        <f>INDEX(X_Table_Feedlot_MMS_Stage2,5,1)</f>
        <v>Direct application</v>
      </c>
      <c r="E100" s="53">
        <v>0</v>
      </c>
      <c r="F100" s="2"/>
    </row>
    <row r="101" spans="4:18" ht="20" customHeight="1" x14ac:dyDescent="0.25">
      <c r="D101" s="53" t="str">
        <f>INDEX(X_Table_Feedlot_MMS_Stage3,3,1)</f>
        <v>Anaerobic lagoon</v>
      </c>
      <c r="E101" s="53">
        <f>INDEX(X_Table_Feedlot_MMS_Stage3_Destinations,3,2)</f>
        <v>0.25</v>
      </c>
      <c r="F101" s="2"/>
    </row>
    <row r="102" spans="4:18" ht="20" customHeight="1" x14ac:dyDescent="0.25"/>
    <row r="103" spans="4:18" ht="20" customHeight="1" x14ac:dyDescent="0.25">
      <c r="D103" s="100" t="s">
        <v>238</v>
      </c>
      <c r="N103" s="100" t="s">
        <v>240</v>
      </c>
    </row>
    <row r="104" spans="4:18" ht="20" customHeight="1" x14ac:dyDescent="0.25">
      <c r="D104" s="99" t="s">
        <v>244</v>
      </c>
      <c r="N104" s="99" t="s">
        <v>241</v>
      </c>
    </row>
    <row r="105" spans="4:18" ht="20" customHeight="1" x14ac:dyDescent="0.25">
      <c r="D105" s="52" t="s">
        <v>64</v>
      </c>
      <c r="E105" s="52" t="s">
        <v>131</v>
      </c>
      <c r="F105" s="52" t="s">
        <v>132</v>
      </c>
      <c r="G105" s="52" t="s">
        <v>133</v>
      </c>
      <c r="N105" s="52" t="s">
        <v>64</v>
      </c>
      <c r="O105" s="52" t="s">
        <v>131</v>
      </c>
      <c r="P105" s="52" t="s">
        <v>132</v>
      </c>
      <c r="Q105" s="52" t="s">
        <v>133</v>
      </c>
    </row>
    <row r="106" spans="4:18" ht="20" customHeight="1" x14ac:dyDescent="0.25">
      <c r="D106" s="53" t="str">
        <f>INDEX(X_Table_Feedlot_MMS_Stage2,3,1)</f>
        <v>Solid storage</v>
      </c>
      <c r="E106" s="53" cm="1">
        <f t="array" aca="1" ref="E106" ca="1">MMS_Feedlot_ManureAppliedToSoils_Equations.VEERG_4_1_1_9__1_MassOfNitrogenAppliedToSoilsScope1(E22,_xlfn.XLOOKUP($D106,$D$30:$D$34,$E$30:$E$34),_xlfn.XLOOKUP($D106,$D$39:$D$43,$E$39:$E$43),$E98)</f>
        <v>232.87935250944011</v>
      </c>
      <c r="F106" s="53" cm="1">
        <f t="array" aca="1" ref="F106" ca="1">MMS_Feedlot_ManureAppliedToSoils_Equations.VEERG_4_1_1_9__1_MassOfNitrogenAppliedToSoilsScope1(F22,_xlfn.XLOOKUP($D106,$D$30:$D$34,$E$30:$E$34),_xlfn.XLOOKUP($D106,$D$39:$D$43,$E$39:$E$43),$E98)</f>
        <v>353.63994446592</v>
      </c>
      <c r="G106" s="53" cm="1">
        <f t="array" aca="1" ref="G106" ca="1">MMS_Feedlot_ManureAppliedToSoils_Equations.VEERG_4_1_1_9__1_MassOfNitrogenAppliedToSoilsScope1(G22,_xlfn.XLOOKUP($D106,$D$30:$D$34,$E$30:$E$34),_xlfn.XLOOKUP($D106,$D$39:$D$43,$E$39:$E$43),$E98)</f>
        <v>510.77788847999989</v>
      </c>
      <c r="H106" s="2" t="str">
        <f>$E$12</f>
        <v>kg N</v>
      </c>
      <c r="I106" s="2"/>
      <c r="J106" s="2"/>
      <c r="N106" s="53" t="str">
        <f>INDEX(X_Table_Feedlot_MMS_Stage2,3,1)</f>
        <v>Solid storage</v>
      </c>
      <c r="O106" s="53" cm="1">
        <f t="array" aca="1" ref="O106" ca="1">MMS_Feedlot_ManureAppliedToSoils_Equations.VEERG_4_1_1_9__1_MassOfNitrogenAppliedToSoilsScope1(O22,_xlfn.XLOOKUP($N106,$D$30:$D$34,$E$30:$E$34),_xlfn.XLOOKUP($N106,$D$39:$D$43,$E$39:$E$43),$E98)</f>
        <v>232.87935250944011</v>
      </c>
      <c r="P106" s="53" cm="1">
        <f t="array" aca="1" ref="P106" ca="1">MMS_Feedlot_ManureAppliedToSoils_Equations.VEERG_4_1_1_9__1_MassOfNitrogenAppliedToSoilsScope1(P22,_xlfn.XLOOKUP($N106,$D$30:$D$34,$E$30:$E$34),_xlfn.XLOOKUP($N106,$D$39:$D$43,$E$39:$E$43),$E98)</f>
        <v>353.63994446592</v>
      </c>
      <c r="Q106" s="53" cm="1">
        <f t="array" aca="1" ref="Q106" ca="1">MMS_Feedlot_ManureAppliedToSoils_Equations.VEERG_4_1_1_9__1_MassOfNitrogenAppliedToSoilsScope1(Q22,_xlfn.XLOOKUP($N106,$D$30:$D$34,$E$30:$E$34),_xlfn.XLOOKUP($N106,$D$39:$D$43,$E$39:$E$43),$E98)</f>
        <v>510.77788847999989</v>
      </c>
      <c r="R106" s="2" t="str">
        <f>$E$12</f>
        <v>kg N</v>
      </c>
    </row>
    <row r="107" spans="4:18" ht="20" customHeight="1" x14ac:dyDescent="0.25">
      <c r="D107" s="53" t="str">
        <f>INDEX(X_Table_Feedlot_MMS_Stage2,4,1)</f>
        <v>Composting (passive windrow)</v>
      </c>
      <c r="E107" s="53" cm="1">
        <f t="array" aca="1" ref="E107" ca="1">MMS_Feedlot_ManureAppliedToSoils_Equations.VEERG_4_1_1_9__1_MassOfNitrogenAppliedToSoilsScope1(E23,_xlfn.XLOOKUP($D107,$D$30:$D$34,$E$30:$E$34),_xlfn.XLOOKUP($D107,$D$39:$D$43,$E$39:$E$43),$E99)</f>
        <v>184.42794359808008</v>
      </c>
      <c r="F107" s="53" cm="1">
        <f t="array" aca="1" ref="F107" ca="1">MMS_Feedlot_ManureAppliedToSoils_Equations.VEERG_4_1_1_9__1_MassOfNitrogenAppliedToSoilsScope1(F23,_xlfn.XLOOKUP($D107,$D$30:$D$34,$E$30:$E$34),_xlfn.XLOOKUP($D107,$D$39:$D$43,$E$39:$E$43),$E99)</f>
        <v>280.06384863744</v>
      </c>
      <c r="G107" s="53" cm="1">
        <f t="array" aca="1" ref="G107" ca="1">MMS_Feedlot_ManureAppliedToSoils_Equations.VEERG_4_1_1_9__1_MassOfNitrogenAppliedToSoilsScope1(G23,_xlfn.XLOOKUP($D107,$D$30:$D$34,$E$30:$E$34),_xlfn.XLOOKUP($D107,$D$39:$D$43,$E$39:$E$43),$E99)</f>
        <v>404.5086633599999</v>
      </c>
      <c r="H107" s="2"/>
      <c r="I107" s="2"/>
      <c r="J107" s="2"/>
      <c r="N107" s="53" t="str">
        <f>INDEX(X_Table_Feedlot_MMS_Stage2,4,1)</f>
        <v>Composting (passive windrow)</v>
      </c>
      <c r="O107" s="53" cm="1">
        <f t="array" aca="1" ref="O107" ca="1">MMS_Feedlot_ManureAppliedToSoils_Equations.VEERG_4_1_1_9__1_MassOfNitrogenAppliedToSoilsScope1(O23,_xlfn.XLOOKUP($N107,$D$30:$D$34,$E$30:$E$34),_xlfn.XLOOKUP($N107,$D$39:$D$43,$E$39:$E$43),$E99)</f>
        <v>184.42794359808008</v>
      </c>
      <c r="P107" s="53" cm="1">
        <f t="array" aca="1" ref="P107" ca="1">MMS_Feedlot_ManureAppliedToSoils_Equations.VEERG_4_1_1_9__1_MassOfNitrogenAppliedToSoilsScope1(P23,_xlfn.XLOOKUP($N107,$D$30:$D$34,$E$30:$E$34),_xlfn.XLOOKUP($N107,$D$39:$D$43,$E$39:$E$43),$E99)</f>
        <v>280.06384863744</v>
      </c>
      <c r="Q107" s="53" cm="1">
        <f t="array" aca="1" ref="Q107" ca="1">MMS_Feedlot_ManureAppliedToSoils_Equations.VEERG_4_1_1_9__1_MassOfNitrogenAppliedToSoilsScope1(Q23,_xlfn.XLOOKUP($N107,$D$30:$D$34,$E$30:$E$34),_xlfn.XLOOKUP($N107,$D$39:$D$43,$E$39:$E$43),$E99)</f>
        <v>404.5086633599999</v>
      </c>
      <c r="R107" s="2"/>
    </row>
    <row r="108" spans="4:18" ht="20" customHeight="1" x14ac:dyDescent="0.25">
      <c r="D108" s="53" t="str">
        <f>INDEX(X_Table_Feedlot_MMS_Stage2,5,1)</f>
        <v>Direct application</v>
      </c>
      <c r="E108" s="53" cm="1">
        <f t="array" aca="1" ref="E108" ca="1">MMS_Feedlot_ManureAppliedToSoils_Equations.VEERG_4_1_1_9__1_MassOfNitrogenAppliedToSoilsScope1(E24,_xlfn.XLOOKUP($D108,$D$30:$D$34,$E$30:$E$34),_xlfn.XLOOKUP($D108,$D$39:$D$43,$E$39:$E$43),$E100)</f>
        <v>0</v>
      </c>
      <c r="F108" s="53" cm="1">
        <f t="array" aca="1" ref="F108" ca="1">MMS_Feedlot_ManureAppliedToSoils_Equations.VEERG_4_1_1_9__1_MassOfNitrogenAppliedToSoilsScope1(F24,_xlfn.XLOOKUP($D108,$D$30:$D$34,$E$30:$E$34),_xlfn.XLOOKUP($D108,$D$39:$D$43,$E$39:$E$43),$E100)</f>
        <v>0</v>
      </c>
      <c r="G108" s="53" cm="1">
        <f t="array" aca="1" ref="G108" ca="1">MMS_Feedlot_ManureAppliedToSoils_Equations.VEERG_4_1_1_9__1_MassOfNitrogenAppliedToSoilsScope1(G24,_xlfn.XLOOKUP($D108,$D$30:$D$34,$E$30:$E$34),_xlfn.XLOOKUP($D108,$D$39:$D$43,$E$39:$E$43),$E100)</f>
        <v>0</v>
      </c>
      <c r="H108" s="2"/>
      <c r="I108" s="2"/>
      <c r="J108" s="2"/>
      <c r="N108" s="53" t="str">
        <f>INDEX(X_Table_Feedlot_MMS_Stage2,5,1)</f>
        <v>Direct application</v>
      </c>
      <c r="O108" s="53" cm="1">
        <f t="array" aca="1" ref="O108" ca="1">MMS_Feedlot_ManureAppliedToSoils_Equations.VEERG_4_1_1_9__1_MassOfNitrogenAppliedToSoilsScope1(O24,_xlfn.XLOOKUP($N108,$D$30:$D$34,$E$30:$E$34),_xlfn.XLOOKUP($N108,$D$39:$D$43,$E$39:$E$43),$E100)</f>
        <v>0</v>
      </c>
      <c r="P108" s="53" cm="1">
        <f t="array" aca="1" ref="P108" ca="1">MMS_Feedlot_ManureAppliedToSoils_Equations.VEERG_4_1_1_9__1_MassOfNitrogenAppliedToSoilsScope1(P24,_xlfn.XLOOKUP($N108,$D$30:$D$34,$E$30:$E$34),_xlfn.XLOOKUP($N108,$D$39:$D$43,$E$39:$E$43),$E100)</f>
        <v>0</v>
      </c>
      <c r="Q108" s="53" cm="1">
        <f t="array" aca="1" ref="Q108" ca="1">MMS_Feedlot_ManureAppliedToSoils_Equations.VEERG_4_1_1_9__1_MassOfNitrogenAppliedToSoilsScope1(Q24,_xlfn.XLOOKUP($N108,$D$30:$D$34,$E$30:$E$34),_xlfn.XLOOKUP($N108,$D$39:$D$43,$E$39:$E$43),$E100)</f>
        <v>0</v>
      </c>
      <c r="R108" s="2"/>
    </row>
    <row r="109" spans="4:18" ht="20" customHeight="1" x14ac:dyDescent="0.25">
      <c r="D109" s="53" t="str">
        <f>INDEX(X_Table_Feedlot_MMS_Stage3,3,1)</f>
        <v>Anaerobic lagoon</v>
      </c>
      <c r="E109" s="53" cm="1">
        <f t="array" aca="1" ref="E109" ca="1">MMS_Feedlot_ManureAppliedToSoils_Equations.VEERG_4_1_1_9__1_MassOfNitrogenAppliedToSoilsScope1(E25,_xlfn.XLOOKUP($D109,$D$30:$D$34,$E$30:$E$34),_xlfn.XLOOKUP($D109,$D$39:$D$43,$E$39:$E$43),$E101)</f>
        <v>54.240076800000018</v>
      </c>
      <c r="F109" s="53" cm="1">
        <f t="array" aca="1" ref="F109" ca="1">MMS_Feedlot_ManureAppliedToSoils_Equations.VEERG_4_1_1_9__1_MassOfNitrogenAppliedToSoilsScope1(F25,_xlfn.XLOOKUP($D109,$D$30:$D$34,$E$30:$E$34),_xlfn.XLOOKUP($D109,$D$39:$D$43,$E$39:$E$43),$E101)</f>
        <v>82.366502400000016</v>
      </c>
      <c r="G109" s="53" cm="1">
        <f t="array" aca="1" ref="G109" ca="1">MMS_Feedlot_ManureAppliedToSoils_Equations.VEERG_4_1_1_9__1_MassOfNitrogenAppliedToSoilsScope1(G25,_xlfn.XLOOKUP($D109,$D$30:$D$34,$E$30:$E$34),_xlfn.XLOOKUP($D109,$D$39:$D$43,$E$39:$E$43),$E101)</f>
        <v>118.96559999999997</v>
      </c>
      <c r="H109" s="2"/>
      <c r="I109" s="2"/>
      <c r="J109" s="2"/>
      <c r="N109" s="53" t="str">
        <f>INDEX(X_Table_Feedlot_MMS_Stage3,3,1)</f>
        <v>Anaerobic lagoon</v>
      </c>
      <c r="O109" s="53" cm="1">
        <f t="array" aca="1" ref="O109" ca="1">MMS_Feedlot_ManureAppliedToSoils_Equations.VEERG_4_1_1_9__1_MassOfNitrogenAppliedToSoilsScope1(O25,_xlfn.XLOOKUP($N109,$D$30:$D$34,$E$30:$E$34),_xlfn.XLOOKUP($N109,$D$39:$D$43,$E$39:$E$43),$E101)</f>
        <v>54.240076800000018</v>
      </c>
      <c r="P109" s="53" cm="1">
        <f t="array" aca="1" ref="P109" ca="1">MMS_Feedlot_ManureAppliedToSoils_Equations.VEERG_4_1_1_9__1_MassOfNitrogenAppliedToSoilsScope1(P25,_xlfn.XLOOKUP($N109,$D$30:$D$34,$E$30:$E$34),_xlfn.XLOOKUP($N109,$D$39:$D$43,$E$39:$E$43),$E101)</f>
        <v>82.366502400000016</v>
      </c>
      <c r="Q109" s="53" cm="1">
        <f t="array" aca="1" ref="Q109" ca="1">MMS_Feedlot_ManureAppliedToSoils_Equations.VEERG_4_1_1_9__1_MassOfNitrogenAppliedToSoilsScope1(Q25,_xlfn.XLOOKUP($N109,$D$30:$D$34,$E$30:$E$34),_xlfn.XLOOKUP($N109,$D$39:$D$43,$E$39:$E$43),$E101)</f>
        <v>118.96559999999997</v>
      </c>
      <c r="R109" s="2"/>
    </row>
    <row r="110" spans="4:18" ht="20" customHeight="1" x14ac:dyDescent="0.25"/>
    <row r="111" spans="4:18" ht="20" customHeight="1" x14ac:dyDescent="0.25">
      <c r="D111" s="104" t="s">
        <v>250</v>
      </c>
      <c r="E111" s="105">
        <f ca="1">SUM(E106:G109)</f>
        <v>2221.8698202508799</v>
      </c>
      <c r="F111" s="106" t="str">
        <f>$E$12</f>
        <v>kg N</v>
      </c>
      <c r="N111" s="104" t="s">
        <v>250</v>
      </c>
      <c r="O111" s="105">
        <f ca="1">SUM(O106:Q109)</f>
        <v>2221.8698202508799</v>
      </c>
      <c r="P111" s="106" t="str">
        <f>$E$12</f>
        <v>kg N</v>
      </c>
    </row>
    <row r="112" spans="4:18"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V288"/>
  <sheetViews>
    <sheetView showGridLines="0" topLeftCell="H12" zoomScaleNormal="100" workbookViewId="0">
      <selection activeCell="L27" sqref="L27"/>
    </sheetView>
  </sheetViews>
  <sheetFormatPr defaultRowHeight="20" x14ac:dyDescent="0.25" customHeight="1"/>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6" t="e" vm="1">
        <v>#VALUE!</v>
      </c>
      <c r="C1" s="8" t="s">
        <v>130</v>
      </c>
    </row>
    <row r="2" spans="1:21" s="9" customFormat="1" ht="20" customHeight="1" x14ac:dyDescent="0.25">
      <c r="A2"/>
    </row>
    <row r="3" spans="1:21" ht="20" customHeight="1" x14ac:dyDescent="0.25">
      <c r="A3" s="17" t="str">
        <f>HYPERLINK("#'Home'!A1", "Home")</f>
        <v>Home</v>
      </c>
      <c r="C3" s="4"/>
      <c r="D3" s="4"/>
      <c r="E3" s="4"/>
      <c r="F3" s="4"/>
      <c r="G3" s="4"/>
      <c r="H3" s="4"/>
      <c r="I3" s="4"/>
      <c r="J3" s="4"/>
      <c r="K3" s="4"/>
      <c r="L3" s="4"/>
      <c r="M3" s="4"/>
      <c r="N3" s="4"/>
      <c r="O3" s="4"/>
      <c r="P3" s="4"/>
      <c r="Q3" s="4"/>
      <c r="R3" s="4"/>
      <c r="S3" s="4"/>
      <c r="T3" s="4"/>
      <c r="U3" s="4"/>
    </row>
    <row r="4" spans="1:21" ht="20" customHeight="1" x14ac:dyDescent="0.25">
      <c r="A4" s="17" t="str">
        <f>HYPERLINK("#'Overview'!A1", "Overview")</f>
        <v>Overview</v>
      </c>
      <c r="M4" s="23"/>
    </row>
    <row r="5" spans="1:21" ht="20"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 customHeight="1" x14ac:dyDescent="0.25">
      <c r="D6" s="5" t="str" cm="1">
        <f t="array" ref="D6">SourceData_Feedlot.SourceData_Feedlot_VSL_Source()</f>
        <v>VEERG 2026: 4.1.2.3 CONSTANTS</v>
      </c>
      <c r="M6" s="1"/>
    </row>
    <row r="7" spans="1:21" ht="20" customHeight="1" x14ac:dyDescent="0.25">
      <c r="D7" s="54" t="str" cm="1">
        <f t="array" ref="D7">SourceData_Feedlot.SourceData_Feedlot_VSL_Variable()</f>
        <v>VSL</v>
      </c>
      <c r="E7" s="1" cm="1">
        <f t="array" ref="E7">SourceData_Feedlot.SourceData_Feedlot_VSL_Data()</f>
        <v>0.5</v>
      </c>
      <c r="F7" s="55" t="str" cm="1">
        <f t="array" ref="F7">SourceData_Feedlot.SourceData_Feedlot_VSL_Unit()</f>
        <v>Fraction</v>
      </c>
      <c r="M7" s="1"/>
    </row>
    <row r="8" spans="1:21" ht="20" customHeight="1" x14ac:dyDescent="0.25">
      <c r="A8" s="19" t="s">
        <v>0</v>
      </c>
      <c r="M8" s="1"/>
    </row>
    <row r="9" spans="1:21" ht="20" customHeight="1" x14ac:dyDescent="0.25">
      <c r="A9" s="17" t="str">
        <f>HYPERLINK("#'Input - Site'!A1", "Site")</f>
        <v>Site</v>
      </c>
      <c r="M9" s="1"/>
    </row>
    <row r="10" spans="1:21" ht="20" customHeight="1" x14ac:dyDescent="0.25">
      <c r="A10" s="17" t="str">
        <f>HYPERLINK("#'Input - Feedlot'!A1", "Feedlot")</f>
        <v>Feedlot</v>
      </c>
      <c r="D10" s="6" t="str" cm="1">
        <f t="array" ref="D10">SourceData_Feedlot.SourceData_Feedlot_MMSm1T3_Title()</f>
        <v>Fraction of volatile solids to each tertiary system assumed that 2 per cent is run - off from the feed pad.</v>
      </c>
      <c r="M10" s="1"/>
    </row>
    <row r="11" spans="1:21" ht="20" customHeight="1" x14ac:dyDescent="0.25">
      <c r="D11" s="5" t="str" cm="1">
        <f t="array" ref="D11">SourceData_Feedlot.SourceData_Feedlot_MMSm1T3_Source()</f>
        <v>VEERG 2026: 4.1.2.3 CONSTANTS</v>
      </c>
      <c r="M11" s="1"/>
    </row>
    <row r="12" spans="1:21" ht="20" customHeight="1" x14ac:dyDescent="0.25">
      <c r="D12" s="54" t="str" cm="1">
        <f t="array" ref="D12">SourceData_Feedlot.SourceData_Feedlot_MMSm1T3_Variable()</f>
        <v>MMSm1T3</v>
      </c>
      <c r="E12" s="1" cm="1">
        <f t="array" ref="E12">SourceData_Feedlot.SourceData_Feedlot_MMSm1T3_Data()</f>
        <v>0.02</v>
      </c>
      <c r="F12" s="55" t="str" cm="1">
        <f t="array" ref="F12">SourceData_Feedlot.SourceData_Feedlot_MMSm1T3_Unit()</f>
        <v>Fraction</v>
      </c>
      <c r="M12" s="1"/>
    </row>
    <row r="13" spans="1:21" ht="20" customHeight="1" x14ac:dyDescent="0.25">
      <c r="A13" s="18" t="s">
        <v>71</v>
      </c>
      <c r="M13" s="1"/>
    </row>
    <row r="14" spans="1:21" ht="20" customHeight="1" x14ac:dyDescent="0.25">
      <c r="A14" s="17" t="str">
        <f>HYPERLINK("#'4.1.1.1-2 Methane'!A1", "4.1.1.1-2 Methane")</f>
        <v>4.1.1.1-2 Methane</v>
      </c>
      <c r="M14" s="1"/>
    </row>
    <row r="15" spans="1:21" ht="20" customHeight="1" x14ac:dyDescent="0.25">
      <c r="A15" s="17" t="str">
        <f>HYPERLINK("#'4.1.1.3-4 Direct N20'!A1", "4.1.1.3-4 Direct N20")</f>
        <v>4.1.1.3-4 Direct N20</v>
      </c>
      <c r="D15" s="6" t="str" cm="1">
        <f t="array" ref="D15">SourceData_Feedlot.SourceData_Feedlot_AshContent_Title()</f>
        <v>Ash content of manure.</v>
      </c>
      <c r="M15" s="1"/>
    </row>
    <row r="16" spans="1:21" ht="20" customHeight="1" x14ac:dyDescent="0.25">
      <c r="A16" s="17" t="str">
        <f>HYPERLINK("#'4.1.1.5-6 Atmos Deposition'!A1", "4.1.1.5-6 Atmos Deposition")</f>
        <v>4.1.1.5-6 Atmos Deposition</v>
      </c>
      <c r="D16" s="5" t="str" cm="1">
        <f t="array" ref="D16">SourceData_Feedlot.SourceData_Feedlot_AshContent_Source()</f>
        <v>VEERG 2026: 4.1.2.3 CONSTANTS</v>
      </c>
      <c r="M16" s="1"/>
    </row>
    <row r="17" spans="1:13" ht="20" customHeight="1" x14ac:dyDescent="0.25">
      <c r="A17" s="17" t="str">
        <f>HYPERLINK("#'4.1.1.9 Manure applied to soils'!A1", "4.1.1.9 Manure applied to soils")</f>
        <v>4.1.1.9 Manure applied to soils</v>
      </c>
      <c r="D17" s="54" t="str" cm="1">
        <f t="array" ref="D17">SourceData_Feedlot.SourceData_Feedlot_AshContent_Variable()</f>
        <v>A</v>
      </c>
      <c r="E17" s="1" cm="1">
        <f t="array" ref="E17">SourceData_Feedlot.SourceData_Feedlot_AshContent_Data()</f>
        <v>0.16</v>
      </c>
      <c r="F17" s="55" t="str" cm="1">
        <f t="array" ref="F17">SourceData_Feedlot.SourceData_Feedlot_AshContent_Unit()</f>
        <v>Fraction</v>
      </c>
      <c r="M17" s="1"/>
    </row>
    <row r="18" spans="1:13" ht="20" customHeight="1" x14ac:dyDescent="0.25">
      <c r="M18" s="1"/>
    </row>
    <row r="19" spans="1:13" ht="20" customHeight="1" x14ac:dyDescent="0.25">
      <c r="M19" s="1"/>
    </row>
    <row r="20" spans="1:13" ht="20" customHeight="1" x14ac:dyDescent="0.25">
      <c r="A20" s="145" t="s">
        <v>1</v>
      </c>
      <c r="D20" s="6" t="str" cm="1">
        <f t="array" ref="D20">SourceData_Feedlot.SourceData_Feedlot_MethaneEmissionsPotential_Title()</f>
        <v>Methane emissions potential.</v>
      </c>
      <c r="M20" s="1"/>
    </row>
    <row r="21" spans="1:13" ht="20" customHeight="1" x14ac:dyDescent="0.25">
      <c r="A21" s="67" t="str">
        <f>HYPERLINK("#'Constants - Feedlot'!A1", "Constants - Feedlot")</f>
        <v>Constants - Feedlot</v>
      </c>
      <c r="D21" s="5" t="str" cm="1">
        <f t="array" ref="D21">SourceData_Feedlot.SourceData_Feedlot_MethaneEmissionsPotential_Source()</f>
        <v>VEERG 2026: 4.1.2.3 CONSTANTS</v>
      </c>
      <c r="M21" s="1"/>
    </row>
    <row r="22" spans="1:13" ht="20" customHeight="1" x14ac:dyDescent="0.25">
      <c r="A22" s="17" t="str">
        <f>HYPERLINK("#'Constants - Common'!A1", "Constants - Common")</f>
        <v>Constants - Common</v>
      </c>
      <c r="D22" s="54" t="str" cm="1">
        <f t="array" ref="D22">SourceData_Feedlot.SourceData_Feedlot_MethaneEmissionsPotential_Variable()</f>
        <v>B0</v>
      </c>
      <c r="E22" s="1" cm="1">
        <f t="array" ref="E22">SourceData_Feedlot.SourceData_Feedlot_MethaneEmissionsPotential_Data()</f>
        <v>0.19</v>
      </c>
      <c r="F22" s="55" t="str" cm="1">
        <f t="array" ref="F22">SourceData_Feedlot.SourceData_Feedlot_MethaneEmissionsPotential_Unit()</f>
        <v>m3 CH4 / kg VS</v>
      </c>
      <c r="M22" s="1"/>
    </row>
    <row r="23" spans="1:13" ht="20" customHeight="1" x14ac:dyDescent="0.25">
      <c r="A23" s="17" t="str">
        <f>HYPERLINK("#'Constants - Common livestock'!A1", "Constants - Common livestock")</f>
        <v>Constants - Common livestock</v>
      </c>
      <c r="M23" s="1"/>
    </row>
    <row r="24" spans="1:13" ht="20" customHeight="1" x14ac:dyDescent="0.25">
      <c r="A24" s="17" t="str">
        <f>HYPERLINK("#'Acknowledgements'!A1", "Acknowledgements")</f>
        <v>Acknowledgements</v>
      </c>
      <c r="M24" s="1"/>
    </row>
    <row r="25" spans="1:13" ht="20" customHeight="1" x14ac:dyDescent="0.25">
      <c r="A25" s="17" t="str">
        <f>HYPERLINK("#'Tab template'!A1", "Tab template")</f>
        <v>Tab template</v>
      </c>
      <c r="D25" s="6" t="s">
        <v>108</v>
      </c>
      <c r="G25" s="6" t="s">
        <v>266</v>
      </c>
      <c r="J25" s="6" t="s">
        <v>268</v>
      </c>
      <c r="L25" s="6" t="s">
        <v>409</v>
      </c>
      <c r="M25" s="1"/>
    </row>
    <row r="26" spans="1:13" ht="20" customHeight="1" x14ac:dyDescent="0.25">
      <c r="L26" s="1" t="s">
        <v>411</v>
      </c>
      <c r="M26" s="1"/>
    </row>
    <row r="27" spans="1:13" ht="20" customHeight="1" x14ac:dyDescent="0.25">
      <c r="D27" s="98" t="s">
        <v>64</v>
      </c>
      <c r="E27" s="38" t="s">
        <v>75</v>
      </c>
      <c r="G27" s="38" t="s">
        <v>267</v>
      </c>
      <c r="J27" s="38" t="s">
        <v>264</v>
      </c>
      <c r="L27" s="38" t="s">
        <v>410</v>
      </c>
      <c r="M27" s="1"/>
    </row>
    <row r="28" spans="1:13" ht="20" customHeight="1" x14ac:dyDescent="0.25">
      <c r="D28" s="38" t="str">
        <f>'Constants - Common livestock'!$E$16</f>
        <v>Drylot (feed pad)</v>
      </c>
      <c r="E28" s="38" t="str">
        <f>'Constants - Common livestock'!$F$16</f>
        <v>Drylot (feed pad) (m=5)</v>
      </c>
      <c r="G28" s="38" t="str">
        <f>'Constants - Common'!$F$188</f>
        <v>Crop</v>
      </c>
      <c r="J28" s="38" t="s">
        <v>269</v>
      </c>
      <c r="L28" s="38" t="s">
        <v>131</v>
      </c>
      <c r="M28" s="1"/>
    </row>
    <row r="29" spans="1:13" ht="20" customHeight="1" x14ac:dyDescent="0.25">
      <c r="D29" s="38" t="str">
        <f>'Constants - Common livestock'!$E$15</f>
        <v>Solid storage</v>
      </c>
      <c r="E29" s="38" t="str">
        <f>'Constants - Common livestock'!$F$15</f>
        <v>Solid storage (m=4)</v>
      </c>
      <c r="G29" s="1" t="str">
        <f>'Constants - Common'!$F$187</f>
        <v>Pasture</v>
      </c>
      <c r="J29" s="38" t="s">
        <v>270</v>
      </c>
      <c r="L29" s="38" t="s">
        <v>132</v>
      </c>
      <c r="M29" s="1"/>
    </row>
    <row r="30" spans="1:13" ht="20" customHeight="1" x14ac:dyDescent="0.25">
      <c r="D30" s="38" t="str">
        <f>'Constants - Common livestock'!$E$17</f>
        <v>Composting (passive windrow)</v>
      </c>
      <c r="E30" s="38" t="str">
        <f>'Constants - Common livestock'!$F$17</f>
        <v>Composting (passive windrow) (m=6)</v>
      </c>
      <c r="J30" s="1" t="s">
        <v>271</v>
      </c>
      <c r="L30" s="38" t="s">
        <v>133</v>
      </c>
      <c r="M30" s="1"/>
    </row>
    <row r="31" spans="1:13" ht="20" customHeight="1" x14ac:dyDescent="0.25">
      <c r="D31" s="38" t="str">
        <f>'Constants - Common livestock'!$E$26</f>
        <v>Direct application</v>
      </c>
      <c r="E31" s="38" t="str">
        <f>'Constants - Common livestock'!$F$26</f>
        <v>Direct application (m=13)</v>
      </c>
      <c r="J31" s="1" t="s">
        <v>272</v>
      </c>
      <c r="M31" s="1"/>
    </row>
    <row r="32" spans="1:13" ht="20" customHeight="1" x14ac:dyDescent="0.25">
      <c r="D32" s="1" t="str">
        <f>'Constants - Common livestock'!$E$10</f>
        <v>Anaerobic lagoon</v>
      </c>
      <c r="E32" s="1" t="str">
        <f>'Constants - Common livestock'!$F$10</f>
        <v>Anaerobic lagoon (m=1)</v>
      </c>
      <c r="J32" s="1" t="s">
        <v>273</v>
      </c>
      <c r="M32" s="1"/>
    </row>
    <row r="33" spans="4:13" ht="20" customHeight="1" x14ac:dyDescent="0.25">
      <c r="M33" s="1"/>
    </row>
    <row r="34" spans="4:13" ht="20" customHeight="1" x14ac:dyDescent="0.25">
      <c r="M34" s="1"/>
    </row>
    <row r="35" spans="4:13" ht="20" customHeight="1" x14ac:dyDescent="0.25">
      <c r="M35" s="1"/>
    </row>
    <row r="36" spans="4:13" ht="20" customHeight="1" x14ac:dyDescent="0.25">
      <c r="D36" s="6" t="str" cm="1">
        <f t="array" ref="D36">SourceData_Feedlot.SourceData_Feedlot_DurationOfStay_Title()</f>
        <v>Beef feedlot cattle - Duration of stay (days)</v>
      </c>
      <c r="M36" s="1"/>
    </row>
    <row r="37" spans="4:13" ht="20" customHeight="1" x14ac:dyDescent="0.25">
      <c r="D37" s="5" t="str" cm="1">
        <f t="array" ref="D37">SourceData_Feedlot.SourceData_Feedlot_DurationOfStay_Source()</f>
        <v>VEERG 2026: Table A.1.1.1: Beef feedlot cattle - Duration of stay (days)</v>
      </c>
      <c r="M37" s="1"/>
    </row>
    <row r="38" spans="4:13" ht="20" customHeight="1" x14ac:dyDescent="0.25">
      <c r="D38" s="38" t="s">
        <v>125</v>
      </c>
      <c r="E38" s="38" t="s">
        <v>138</v>
      </c>
      <c r="M38" s="1"/>
    </row>
    <row r="39" spans="4:13" ht="20" customHeight="1" x14ac:dyDescent="0.25">
      <c r="D39" s="38" t="str" cm="1">
        <f t="array" ref="D39">Common_InputFunctions.Utility_DisplayArrayInTable(SourceData_Feedlot.SourceData_Feedlot_DurationOfStay_Data(), Table_SourceData_Feedlot_LengthOfStay[[#Headers],[Feedlot type]], 0)</f>
        <v>Domestic</v>
      </c>
      <c r="E39" s="38" t="str" cm="1">
        <f t="array" ref="E39">Common_InputFunctions.Utility_DisplayArrayInTable(SourceData_Feedlot.SourceData_Feedlot_DurationOfStay_Data(), Table_SourceData_Feedlot_LengthOfStay[[#Headers],[Feedlot type]], 0)</f>
        <v>1-80 days</v>
      </c>
      <c r="M39" s="23"/>
    </row>
    <row r="40" spans="4:13" ht="20" customHeight="1" x14ac:dyDescent="0.25">
      <c r="D40" s="1" t="str" cm="1">
        <f t="array" ref="D40">Common_InputFunctions.Utility_DisplayArrayInTable(SourceData_Feedlot.SourceData_Feedlot_DurationOfStay_Data(), Table_SourceData_Feedlot_LengthOfStay[[#Headers],[Feedlot type]], 0)</f>
        <v>Mid-fed</v>
      </c>
      <c r="E40" s="38" t="str" cm="1">
        <f t="array" ref="E40">Common_InputFunctions.Utility_DisplayArrayInTable(SourceData_Feedlot.SourceData_Feedlot_DurationOfStay_Data(), Table_SourceData_Feedlot_LengthOfStay[[#Headers],[Feedlot type]], 0)</f>
        <v>81-200 days</v>
      </c>
      <c r="M40" s="23"/>
    </row>
    <row r="41" spans="4:13" ht="20" customHeight="1" x14ac:dyDescent="0.25">
      <c r="D41" s="1" t="str" cm="1">
        <f t="array" ref="D41">Common_InputFunctions.Utility_DisplayArrayInTable(SourceData_Feedlot.SourceData_Feedlot_DurationOfStay_Data(), Table_SourceData_Feedlot_LengthOfStay[[#Headers],[Feedlot type]], 0)</f>
        <v>Long-fed</v>
      </c>
      <c r="E41" s="38" t="str" cm="1">
        <f t="array" ref="E41">Common_InputFunctions.Utility_DisplayArrayInTable(SourceData_Feedlot.SourceData_Feedlot_DurationOfStay_Data(), Table_SourceData_Feedlot_LengthOfStay[[#Headers],[Feedlot type]], 0)</f>
        <v>201+ days</v>
      </c>
      <c r="M41" s="23"/>
    </row>
    <row r="42" spans="4:13" ht="20" customHeight="1" x14ac:dyDescent="0.25">
      <c r="M42" s="23"/>
    </row>
    <row r="43" spans="4:13" ht="20" customHeight="1" x14ac:dyDescent="0.25">
      <c r="M43" s="23"/>
    </row>
    <row r="44" spans="4:13" ht="20" customHeight="1" x14ac:dyDescent="0.25">
      <c r="D44" s="6" t="str" cm="1">
        <f t="array" ref="D44">SourceData_Feedlot.SourceData_Feedlot_AnimalCharacteristics_Title()</f>
        <v>Beef feedlot cattle - Animal characteristics</v>
      </c>
      <c r="M44" s="23"/>
    </row>
    <row r="45" spans="4:13" ht="20" customHeight="1" x14ac:dyDescent="0.25">
      <c r="D45" s="5" t="str" cm="1">
        <f t="array" ref="D45">SourceData_Feedlot.SourceData_Feedlot_AnimalCharacteristics_Source()</f>
        <v>VEERG 2026: Table A.1.1.2: Beef feedlot cattle - Animal characteristics</v>
      </c>
      <c r="M45" s="23"/>
    </row>
    <row r="46" spans="4:13" ht="20" customHeight="1" x14ac:dyDescent="0.25">
      <c r="D46" s="56" t="str" cm="1">
        <f t="array" ref="D46:D48">SourceData_Feedlot.SourceData_Feedlot_AnimalCharacteristics_Variation()</f>
        <v>VARIATION ON SOURCE:</v>
      </c>
      <c r="M46" s="23"/>
    </row>
    <row r="47" spans="4:13" ht="20" customHeight="1" x14ac:dyDescent="0.25">
      <c r="D47" s="56" t="str">
        <v>Moved feedlot types to a separate column to aid lookup.</v>
      </c>
      <c r="M47" s="23"/>
    </row>
    <row r="48" spans="4:13" ht="20" customHeight="1" x14ac:dyDescent="0.25">
      <c r="D48" s="56" t="str">
        <v>Named 'characteristic' column - original has header 'Unit' which covers two columns)</v>
      </c>
      <c r="M48" s="23"/>
    </row>
    <row r="49" spans="4:13" ht="20" customHeight="1" x14ac:dyDescent="0.25">
      <c r="D49" s="38" t="s">
        <v>125</v>
      </c>
      <c r="E49" s="38" t="s">
        <v>135</v>
      </c>
      <c r="F49" s="38" t="s">
        <v>16</v>
      </c>
      <c r="G49" s="38" t="s">
        <v>136</v>
      </c>
      <c r="H49" s="38" t="s">
        <v>127</v>
      </c>
      <c r="I49" s="38" t="s">
        <v>128</v>
      </c>
      <c r="J49" s="38" t="s">
        <v>129</v>
      </c>
      <c r="M49" s="23"/>
    </row>
    <row r="50" spans="4:13" ht="20" customHeight="1" x14ac:dyDescent="0.25">
      <c r="D50" s="38" t="str" cm="1">
        <f t="array" ref="D50">Common_InputFunctions.Utility_DisplayArrayInTable(SourceData_Feedlot.SourceData_Feedlot_AnimalCharacteristics_Data(), Table_SourceData_Feedlot_AnimalCharacteristics[[#Headers],[Feedlot type]], 0)</f>
        <v>Domestic</v>
      </c>
      <c r="E50" s="38" t="str" cm="1">
        <f t="array" ref="E50">Common_InputFunctions.Utility_DisplayArrayInTable(SourceData_Feedlot.SourceData_Feedlot_AnimalCharacteristics_Data(), Table_SourceData_Feedlot_AnimalCharacteristics[[#Headers],[Feedlot type]], 0)</f>
        <v>Days on feed</v>
      </c>
      <c r="F50" s="38" t="str" cm="1">
        <f t="array" ref="F50">Common_InputFunctions.Utility_DisplayArrayInTable(SourceData_Feedlot.SourceData_Feedlot_AnimalCharacteristics_Data(), Table_SourceData_Feedlot_AnimalCharacteristics[[#Headers],[Feedlot type]], 0)</f>
        <v>days</v>
      </c>
      <c r="G50" s="38" cm="1">
        <f t="array" ref="G50">Common_InputFunctions.Utility_DisplayArrayInTable(SourceData_Feedlot.SourceData_Feedlot_AnimalCharacteristics_Data(), Table_SourceData_Feedlot_AnimalCharacteristics[[#Headers],[Feedlot type]], 0)</f>
        <v>70</v>
      </c>
      <c r="H50" s="38" cm="1">
        <f t="array" ref="H50">Common_InputFunctions.Utility_DisplayArrayInTable(SourceData_Feedlot.SourceData_Feedlot_AnimalCharacteristics_Data(), Table_SourceData_Feedlot_AnimalCharacteristics[[#Headers],[Feedlot type]], 0)</f>
        <v>70</v>
      </c>
      <c r="I50" s="38" cm="1">
        <f t="array" ref="I50">Common_InputFunctions.Utility_DisplayArrayInTable(SourceData_Feedlot.SourceData_Feedlot_AnimalCharacteristics_Data(), Table_SourceData_Feedlot_AnimalCharacteristics[[#Headers],[Feedlot type]], 0)</f>
        <v>70</v>
      </c>
      <c r="J50" s="38" cm="1">
        <f t="array" ref="J50">Common_InputFunctions.Utility_DisplayArrayInTable(SourceData_Feedlot.SourceData_Feedlot_AnimalCharacteristics_Data(), Table_SourceData_Feedlot_AnimalCharacteristics[[#Headers],[Feedlot type]], 0)</f>
        <v>75</v>
      </c>
      <c r="M50" s="23"/>
    </row>
    <row r="51" spans="4:13" ht="20" customHeight="1" x14ac:dyDescent="0.25">
      <c r="D51" s="1" t="str" cm="1">
        <f t="array" ref="D51">Common_InputFunctions.Utility_DisplayArrayInTable(SourceData_Feedlot.SourceData_Feedlot_AnimalCharacteristics_Data(), Table_SourceData_Feedlot_AnimalCharacteristics[[#Headers],[Feedlot type]], 0)</f>
        <v>Domestic</v>
      </c>
      <c r="E51" s="38" t="str" cm="1">
        <f t="array" ref="E51">Common_InputFunctions.Utility_DisplayArrayInTable(SourceData_Feedlot.SourceData_Feedlot_AnimalCharacteristics_Data(), Table_SourceData_Feedlot_AnimalCharacteristics[[#Headers],[Feedlot type]], 0)</f>
        <v>Feed intake</v>
      </c>
      <c r="F51" s="38" t="str" cm="1">
        <f t="array" ref="F51">Common_InputFunctions.Utility_DisplayArrayInTable(SourceData_Feedlot.SourceData_Feedlot_AnimalCharacteristics_Data(), Table_SourceData_Feedlot_AnimalCharacteristics[[#Headers],[Feedlot type]], 0)</f>
        <v>kg DM/day</v>
      </c>
      <c r="G51" s="38" cm="1">
        <f t="array" ref="G51">Common_InputFunctions.Utility_DisplayArrayInTable(SourceData_Feedlot.SourceData_Feedlot_AnimalCharacteristics_Data(), Table_SourceData_Feedlot_AnimalCharacteristics[[#Headers],[Feedlot type]], 0)</f>
        <v>10</v>
      </c>
      <c r="H51" s="38" cm="1">
        <f t="array" ref="H51">Common_InputFunctions.Utility_DisplayArrayInTable(SourceData_Feedlot.SourceData_Feedlot_AnimalCharacteristics_Data(), Table_SourceData_Feedlot_AnimalCharacteristics[[#Headers],[Feedlot type]], 0)</f>
        <v>10</v>
      </c>
      <c r="I51" s="38" cm="1">
        <f t="array" ref="I51">Common_InputFunctions.Utility_DisplayArrayInTable(SourceData_Feedlot.SourceData_Feedlot_AnimalCharacteristics_Data(), Table_SourceData_Feedlot_AnimalCharacteristics[[#Headers],[Feedlot type]], 0)</f>
        <v>10.4</v>
      </c>
      <c r="J51" s="38" cm="1">
        <f t="array" ref="J51">Common_InputFunctions.Utility_DisplayArrayInTable(SourceData_Feedlot.SourceData_Feedlot_AnimalCharacteristics_Data(), Table_SourceData_Feedlot_AnimalCharacteristics[[#Headers],[Feedlot type]], 0)</f>
        <v>10.4</v>
      </c>
      <c r="M51" s="23"/>
    </row>
    <row r="52" spans="4:13" ht="20" customHeight="1" x14ac:dyDescent="0.25">
      <c r="D52" s="1" t="str" cm="1">
        <f t="array" ref="D52">Common_InputFunctions.Utility_DisplayArrayInTable(SourceData_Feedlot.SourceData_Feedlot_AnimalCharacteristics_Data(), Table_SourceData_Feedlot_AnimalCharacteristics[[#Headers],[Feedlot type]], 0)</f>
        <v>Domestic</v>
      </c>
      <c r="E52" s="38" t="str" cm="1">
        <f t="array" ref="E52">Common_InputFunctions.Utility_DisplayArrayInTable(SourceData_Feedlot.SourceData_Feedlot_AnimalCharacteristics_Data(), Table_SourceData_Feedlot_AnimalCharacteristics[[#Headers],[Feedlot type]], 0)</f>
        <v>N retention</v>
      </c>
      <c r="F52" s="38" t="str" cm="1">
        <f t="array" ref="F52">Common_InputFunctions.Utility_DisplayArrayInTable(SourceData_Feedlot.SourceData_Feedlot_AnimalCharacteristics_Data(), Table_SourceData_Feedlot_AnimalCharacteristics[[#Headers],[Feedlot type]], 0)</f>
        <v>per cent of intake</v>
      </c>
      <c r="G52" s="38" cm="1">
        <f t="array" ref="G52">Common_InputFunctions.Utility_DisplayArrayInTable(SourceData_Feedlot.SourceData_Feedlot_AnimalCharacteristics_Data(), Table_SourceData_Feedlot_AnimalCharacteristics[[#Headers],[Feedlot type]], 0)</f>
        <v>21.1</v>
      </c>
      <c r="H52" s="38" cm="1">
        <f t="array" ref="H52">Common_InputFunctions.Utility_DisplayArrayInTable(SourceData_Feedlot.SourceData_Feedlot_AnimalCharacteristics_Data(), Table_SourceData_Feedlot_AnimalCharacteristics[[#Headers],[Feedlot type]], 0)</f>
        <v>20.399999999999999</v>
      </c>
      <c r="I52" s="38" cm="1">
        <f t="array" ref="I52">Common_InputFunctions.Utility_DisplayArrayInTable(SourceData_Feedlot.SourceData_Feedlot_AnimalCharacteristics_Data(), Table_SourceData_Feedlot_AnimalCharacteristics[[#Headers],[Feedlot type]], 0)</f>
        <v>20.399999999999999</v>
      </c>
      <c r="J52" s="38" cm="1">
        <f t="array" ref="J52">Common_InputFunctions.Utility_DisplayArrayInTable(SourceData_Feedlot.SourceData_Feedlot_AnimalCharacteristics_Data(), Table_SourceData_Feedlot_AnimalCharacteristics[[#Headers],[Feedlot type]], 0)</f>
        <v>20.399999999999999</v>
      </c>
      <c r="M52" s="23"/>
    </row>
    <row r="53" spans="4:13" ht="20" customHeight="1" x14ac:dyDescent="0.25">
      <c r="D53" s="1" t="str" cm="1">
        <f t="array" ref="D53">Common_InputFunctions.Utility_DisplayArrayInTable(SourceData_Feedlot.SourceData_Feedlot_AnimalCharacteristics_Data(), Table_SourceData_Feedlot_AnimalCharacteristics[[#Headers],[Feedlot type]], 0)</f>
        <v>Mid-fed</v>
      </c>
      <c r="E53" s="38" t="str" cm="1">
        <f t="array" ref="E53">Common_InputFunctions.Utility_DisplayArrayInTable(SourceData_Feedlot.SourceData_Feedlot_AnimalCharacteristics_Data(), Table_SourceData_Feedlot_AnimalCharacteristics[[#Headers],[Feedlot type]], 0)</f>
        <v>Days on feed</v>
      </c>
      <c r="F53" s="38" t="str" cm="1">
        <f t="array" ref="F53">Common_InputFunctions.Utility_DisplayArrayInTable(SourceData_Feedlot.SourceData_Feedlot_AnimalCharacteristics_Data(), Table_SourceData_Feedlot_AnimalCharacteristics[[#Headers],[Feedlot type]], 0)</f>
        <v>days</v>
      </c>
      <c r="G53" s="38" cm="1">
        <f t="array" ref="G53">Common_InputFunctions.Utility_DisplayArrayInTable(SourceData_Feedlot.SourceData_Feedlot_AnimalCharacteristics_Data(), Table_SourceData_Feedlot_AnimalCharacteristics[[#Headers],[Feedlot type]], 0)</f>
        <v>115</v>
      </c>
      <c r="H53" s="38" cm="1">
        <f t="array" ref="H53">Common_InputFunctions.Utility_DisplayArrayInTable(SourceData_Feedlot.SourceData_Feedlot_AnimalCharacteristics_Data(), Table_SourceData_Feedlot_AnimalCharacteristics[[#Headers],[Feedlot type]], 0)</f>
        <v>115</v>
      </c>
      <c r="I53" s="38" cm="1">
        <f t="array" ref="I53">Common_InputFunctions.Utility_DisplayArrayInTable(SourceData_Feedlot.SourceData_Feedlot_AnimalCharacteristics_Data(), Table_SourceData_Feedlot_AnimalCharacteristics[[#Headers],[Feedlot type]], 0)</f>
        <v>120</v>
      </c>
      <c r="J53" s="38" cm="1">
        <f t="array" ref="J53">Common_InputFunctions.Utility_DisplayArrayInTable(SourceData_Feedlot.SourceData_Feedlot_AnimalCharacteristics_Data(), Table_SourceData_Feedlot_AnimalCharacteristics[[#Headers],[Feedlot type]], 0)</f>
        <v>150</v>
      </c>
      <c r="M53" s="23"/>
    </row>
    <row r="54" spans="4:13" ht="20" customHeight="1" x14ac:dyDescent="0.25">
      <c r="D54" s="1" t="str" cm="1">
        <f t="array" ref="D54">Common_InputFunctions.Utility_DisplayArrayInTable(SourceData_Feedlot.SourceData_Feedlot_AnimalCharacteristics_Data(), Table_SourceData_Feedlot_AnimalCharacteristics[[#Headers],[Feedlot type]], 0)</f>
        <v>Mid-fed</v>
      </c>
      <c r="E54" s="38" t="str" cm="1">
        <f t="array" ref="E54">Common_InputFunctions.Utility_DisplayArrayInTable(SourceData_Feedlot.SourceData_Feedlot_AnimalCharacteristics_Data(), Table_SourceData_Feedlot_AnimalCharacteristics[[#Headers],[Feedlot type]], 0)</f>
        <v>Feed intake</v>
      </c>
      <c r="F54" s="38" t="str" cm="1">
        <f t="array" ref="F54">Common_InputFunctions.Utility_DisplayArrayInTable(SourceData_Feedlot.SourceData_Feedlot_AnimalCharacteristics_Data(), Table_SourceData_Feedlot_AnimalCharacteristics[[#Headers],[Feedlot type]], 0)</f>
        <v>kg DM/day</v>
      </c>
      <c r="G54" s="38" cm="1">
        <f t="array" ref="G54">Common_InputFunctions.Utility_DisplayArrayInTable(SourceData_Feedlot.SourceData_Feedlot_AnimalCharacteristics_Data(), Table_SourceData_Feedlot_AnimalCharacteristics[[#Headers],[Feedlot type]], 0)</f>
        <v>11.2</v>
      </c>
      <c r="H54" s="38" cm="1">
        <f t="array" ref="H54">Common_InputFunctions.Utility_DisplayArrayInTable(SourceData_Feedlot.SourceData_Feedlot_AnimalCharacteristics_Data(), Table_SourceData_Feedlot_AnimalCharacteristics[[#Headers],[Feedlot type]], 0)</f>
        <v>10.8</v>
      </c>
      <c r="I54" s="38" cm="1">
        <f t="array" ref="I54">Common_InputFunctions.Utility_DisplayArrayInTable(SourceData_Feedlot.SourceData_Feedlot_AnimalCharacteristics_Data(), Table_SourceData_Feedlot_AnimalCharacteristics[[#Headers],[Feedlot type]], 0)</f>
        <v>10.8</v>
      </c>
      <c r="J54" s="38" cm="1">
        <f t="array" ref="J54">Common_InputFunctions.Utility_DisplayArrayInTable(SourceData_Feedlot.SourceData_Feedlot_AnimalCharacteristics_Data(), Table_SourceData_Feedlot_AnimalCharacteristics[[#Headers],[Feedlot type]], 0)</f>
        <v>10.8</v>
      </c>
      <c r="M54" s="23"/>
    </row>
    <row r="55" spans="4:13" ht="20" customHeight="1" x14ac:dyDescent="0.25">
      <c r="D55" s="1" t="str" cm="1">
        <f t="array" ref="D55">Common_InputFunctions.Utility_DisplayArrayInTable(SourceData_Feedlot.SourceData_Feedlot_AnimalCharacteristics_Data(), Table_SourceData_Feedlot_AnimalCharacteristics[[#Headers],[Feedlot type]], 0)</f>
        <v>Mid-fed</v>
      </c>
      <c r="E55" s="38" t="str" cm="1">
        <f t="array" ref="E55">Common_InputFunctions.Utility_DisplayArrayInTable(SourceData_Feedlot.SourceData_Feedlot_AnimalCharacteristics_Data(), Table_SourceData_Feedlot_AnimalCharacteristics[[#Headers],[Feedlot type]], 0)</f>
        <v>N retention</v>
      </c>
      <c r="F55" s="38" t="str" cm="1">
        <f t="array" ref="F55">Common_InputFunctions.Utility_DisplayArrayInTable(SourceData_Feedlot.SourceData_Feedlot_AnimalCharacteristics_Data(), Table_SourceData_Feedlot_AnimalCharacteristics[[#Headers],[Feedlot type]], 0)</f>
        <v>per cent of intake</v>
      </c>
      <c r="G55" s="38" cm="1">
        <f t="array" ref="G55">Common_InputFunctions.Utility_DisplayArrayInTable(SourceData_Feedlot.SourceData_Feedlot_AnimalCharacteristics_Data(), Table_SourceData_Feedlot_AnimalCharacteristics[[#Headers],[Feedlot type]], 0)</f>
        <v>12.5</v>
      </c>
      <c r="H55" s="38" cm="1">
        <f t="array" ref="H55">Common_InputFunctions.Utility_DisplayArrayInTable(SourceData_Feedlot.SourceData_Feedlot_AnimalCharacteristics_Data(), Table_SourceData_Feedlot_AnimalCharacteristics[[#Headers],[Feedlot type]], 0)</f>
        <v>12.7</v>
      </c>
      <c r="I55" s="38" cm="1">
        <f t="array" ref="I55">Common_InputFunctions.Utility_DisplayArrayInTable(SourceData_Feedlot.SourceData_Feedlot_AnimalCharacteristics_Data(), Table_SourceData_Feedlot_AnimalCharacteristics[[#Headers],[Feedlot type]], 0)</f>
        <v>12.7</v>
      </c>
      <c r="J55" s="38" cm="1">
        <f t="array" ref="J55">Common_InputFunctions.Utility_DisplayArrayInTable(SourceData_Feedlot.SourceData_Feedlot_AnimalCharacteristics_Data(), Table_SourceData_Feedlot_AnimalCharacteristics[[#Headers],[Feedlot type]], 0)</f>
        <v>12.7</v>
      </c>
      <c r="M55" s="23"/>
    </row>
    <row r="56" spans="4:13" ht="20" customHeight="1" x14ac:dyDescent="0.25">
      <c r="D56" s="1" t="str" cm="1">
        <f t="array" ref="D56">Common_InputFunctions.Utility_DisplayArrayInTable(SourceData_Feedlot.SourceData_Feedlot_AnimalCharacteristics_Data(), Table_SourceData_Feedlot_AnimalCharacteristics[[#Headers],[Feedlot type]], 0)</f>
        <v>Long-fed</v>
      </c>
      <c r="E56" s="38" t="str" cm="1">
        <f t="array" ref="E56">Common_InputFunctions.Utility_DisplayArrayInTable(SourceData_Feedlot.SourceData_Feedlot_AnimalCharacteristics_Data(), Table_SourceData_Feedlot_AnimalCharacteristics[[#Headers],[Feedlot type]], 0)</f>
        <v>Days on feed</v>
      </c>
      <c r="F56" s="38" t="str" cm="1">
        <f t="array" ref="F56">Common_InputFunctions.Utility_DisplayArrayInTable(SourceData_Feedlot.SourceData_Feedlot_AnimalCharacteristics_Data(), Table_SourceData_Feedlot_AnimalCharacteristics[[#Headers],[Feedlot type]], 0)</f>
        <v>days</v>
      </c>
      <c r="G56" s="38" cm="1">
        <f t="array" ref="G56">Common_InputFunctions.Utility_DisplayArrayInTable(SourceData_Feedlot.SourceData_Feedlot_AnimalCharacteristics_Data(), Table_SourceData_Feedlot_AnimalCharacteristics[[#Headers],[Feedlot type]], 0)</f>
        <v>250</v>
      </c>
      <c r="H56" s="38" cm="1">
        <f t="array" ref="H56">Common_InputFunctions.Utility_DisplayArrayInTable(SourceData_Feedlot.SourceData_Feedlot_AnimalCharacteristics_Data(), Table_SourceData_Feedlot_AnimalCharacteristics[[#Headers],[Feedlot type]], 0)</f>
        <v>250</v>
      </c>
      <c r="I56" s="38" cm="1">
        <f t="array" ref="I56">Common_InputFunctions.Utility_DisplayArrayInTable(SourceData_Feedlot.SourceData_Feedlot_AnimalCharacteristics_Data(), Table_SourceData_Feedlot_AnimalCharacteristics[[#Headers],[Feedlot type]], 0)</f>
        <v>250</v>
      </c>
      <c r="J56" s="38" cm="1">
        <f t="array" ref="J56">Common_InputFunctions.Utility_DisplayArrayInTable(SourceData_Feedlot.SourceData_Feedlot_AnimalCharacteristics_Data(), Table_SourceData_Feedlot_AnimalCharacteristics[[#Headers],[Feedlot type]], 0)</f>
        <v>250</v>
      </c>
      <c r="M56" s="23"/>
    </row>
    <row r="57" spans="4:13" ht="20" customHeight="1" x14ac:dyDescent="0.25">
      <c r="D57" s="1" t="str" cm="1">
        <f t="array" ref="D57">Common_InputFunctions.Utility_DisplayArrayInTable(SourceData_Feedlot.SourceData_Feedlot_AnimalCharacteristics_Data(), Table_SourceData_Feedlot_AnimalCharacteristics[[#Headers],[Feedlot type]], 0)</f>
        <v>Long-fed</v>
      </c>
      <c r="E57" s="38" t="str" cm="1">
        <f t="array" ref="E57">Common_InputFunctions.Utility_DisplayArrayInTable(SourceData_Feedlot.SourceData_Feedlot_AnimalCharacteristics_Data(), Table_SourceData_Feedlot_AnimalCharacteristics[[#Headers],[Feedlot type]], 0)</f>
        <v>Feed intake</v>
      </c>
      <c r="F57" s="38" t="str" cm="1">
        <f t="array" ref="F57">Common_InputFunctions.Utility_DisplayArrayInTable(SourceData_Feedlot.SourceData_Feedlot_AnimalCharacteristics_Data(), Table_SourceData_Feedlot_AnimalCharacteristics[[#Headers],[Feedlot type]], 0)</f>
        <v>kg DM/day</v>
      </c>
      <c r="G57" s="38" cm="1">
        <f t="array" ref="G57">Common_InputFunctions.Utility_DisplayArrayInTable(SourceData_Feedlot.SourceData_Feedlot_AnimalCharacteristics_Data(), Table_SourceData_Feedlot_AnimalCharacteristics[[#Headers],[Feedlot type]], 0)</f>
        <v>9</v>
      </c>
      <c r="H57" s="38" cm="1">
        <f t="array" ref="H57">Common_InputFunctions.Utility_DisplayArrayInTable(SourceData_Feedlot.SourceData_Feedlot_AnimalCharacteristics_Data(), Table_SourceData_Feedlot_AnimalCharacteristics[[#Headers],[Feedlot type]], 0)</f>
        <v>8.5</v>
      </c>
      <c r="I57" s="38" cm="1">
        <f t="array" ref="I57">Common_InputFunctions.Utility_DisplayArrayInTable(SourceData_Feedlot.SourceData_Feedlot_AnimalCharacteristics_Data(), Table_SourceData_Feedlot_AnimalCharacteristics[[#Headers],[Feedlot type]], 0)</f>
        <v>8.1999999999999993</v>
      </c>
      <c r="J57" s="38" cm="1">
        <f t="array" ref="J57">Common_InputFunctions.Utility_DisplayArrayInTable(SourceData_Feedlot.SourceData_Feedlot_AnimalCharacteristics_Data(), Table_SourceData_Feedlot_AnimalCharacteristics[[#Headers],[Feedlot type]], 0)</f>
        <v>8.1999999999999993</v>
      </c>
      <c r="M57" s="23"/>
    </row>
    <row r="58" spans="4:13" ht="20" customHeight="1" x14ac:dyDescent="0.25">
      <c r="D58" s="1" t="str" cm="1">
        <f t="array" ref="D58">Common_InputFunctions.Utility_DisplayArrayInTable(SourceData_Feedlot.SourceData_Feedlot_AnimalCharacteristics_Data(), Table_SourceData_Feedlot_AnimalCharacteristics[[#Headers],[Feedlot type]], 0)</f>
        <v>Long-fed</v>
      </c>
      <c r="E58" s="38" t="str" cm="1">
        <f t="array" ref="E58">Common_InputFunctions.Utility_DisplayArrayInTable(SourceData_Feedlot.SourceData_Feedlot_AnimalCharacteristics_Data(), Table_SourceData_Feedlot_AnimalCharacteristics[[#Headers],[Feedlot type]], 0)</f>
        <v>N retention</v>
      </c>
      <c r="F58" s="38" t="str" cm="1">
        <f t="array" ref="F58">Common_InputFunctions.Utility_DisplayArrayInTable(SourceData_Feedlot.SourceData_Feedlot_AnimalCharacteristics_Data(), Table_SourceData_Feedlot_AnimalCharacteristics[[#Headers],[Feedlot type]], 0)</f>
        <v>per cent of intake</v>
      </c>
      <c r="G58" s="38" cm="1">
        <f t="array" ref="G58">Common_InputFunctions.Utility_DisplayArrayInTable(SourceData_Feedlot.SourceData_Feedlot_AnimalCharacteristics_Data(), Table_SourceData_Feedlot_AnimalCharacteristics[[#Headers],[Feedlot type]], 0)</f>
        <v>6.6</v>
      </c>
      <c r="H58" s="38" cm="1">
        <f t="array" ref="H58">Common_InputFunctions.Utility_DisplayArrayInTable(SourceData_Feedlot.SourceData_Feedlot_AnimalCharacteristics_Data(), Table_SourceData_Feedlot_AnimalCharacteristics[[#Headers],[Feedlot type]], 0)</f>
        <v>7</v>
      </c>
      <c r="I58" s="38" cm="1">
        <f t="array" ref="I58">Common_InputFunctions.Utility_DisplayArrayInTable(SourceData_Feedlot.SourceData_Feedlot_AnimalCharacteristics_Data(), Table_SourceData_Feedlot_AnimalCharacteristics[[#Headers],[Feedlot type]], 0)</f>
        <v>7</v>
      </c>
      <c r="J58" s="38" cm="1">
        <f t="array" ref="J58">Common_InputFunctions.Utility_DisplayArrayInTable(SourceData_Feedlot.SourceData_Feedlot_AnimalCharacteristics_Data(), Table_SourceData_Feedlot_AnimalCharacteristics[[#Headers],[Feedlot type]], 0)</f>
        <v>7</v>
      </c>
      <c r="M58" s="23"/>
    </row>
    <row r="59" spans="4:13" ht="20" customHeight="1" x14ac:dyDescent="0.25">
      <c r="M59" s="23"/>
    </row>
    <row r="60" spans="4:13" ht="20" customHeight="1" x14ac:dyDescent="0.25">
      <c r="M60" s="23"/>
    </row>
    <row r="61" spans="4:13" ht="20" customHeight="1" x14ac:dyDescent="0.25">
      <c r="D61" s="6" t="str" cm="1">
        <f t="array" ref="D61">SourceData_Feedlot.SourceData_Feedlot_DietProperties_Title()</f>
        <v>Beef feedlot cattle - Diet properties</v>
      </c>
      <c r="M61" s="23"/>
    </row>
    <row r="62" spans="4:13" ht="20" customHeight="1" x14ac:dyDescent="0.25">
      <c r="D62" s="5" t="str" cm="1">
        <f t="array" ref="D62">SourceData_Feedlot.SourceData_Feedlot_DietProperties_Source()</f>
        <v>VEERG 2026: Table A.1.1.3: Beef feedlot cattle - Diet properties</v>
      </c>
      <c r="M62" s="23"/>
    </row>
    <row r="63" spans="4:13" ht="20" customHeight="1" x14ac:dyDescent="0.25">
      <c r="D63" s="56" t="str" cm="1">
        <f t="array" ref="D63:D65">SourceData_Feedlot.SourceData_Feedlot_DietProperties_Variation()</f>
        <v>VARIATION ON SOURCE:</v>
      </c>
      <c r="M63" s="23"/>
    </row>
    <row r="64" spans="4:13" ht="20" customHeight="1" x14ac:dyDescent="0.25">
      <c r="D64" s="56" t="str">
        <v>Added 'Converted to fraction column and converted NDF and Ether extract values to fractions.</v>
      </c>
      <c r="M64" s="23"/>
    </row>
    <row r="65" spans="4:13" ht="20" customHeight="1" x14ac:dyDescent="0.25">
      <c r="D65" s="56" t="str">
        <v>Moved feedlot types to a separate column to aid lookup.</v>
      </c>
      <c r="M65" s="23"/>
    </row>
    <row r="66" spans="4:13" ht="20" customHeight="1" x14ac:dyDescent="0.25">
      <c r="D66" s="38" t="s">
        <v>125</v>
      </c>
      <c r="E66" s="38" t="s">
        <v>126</v>
      </c>
      <c r="F66" s="38" t="s">
        <v>16</v>
      </c>
      <c r="G66" s="38" t="s">
        <v>127</v>
      </c>
      <c r="H66" s="38" t="s">
        <v>128</v>
      </c>
      <c r="I66" s="38" t="s">
        <v>129</v>
      </c>
      <c r="J66" s="38" t="s">
        <v>134</v>
      </c>
      <c r="M66" s="23"/>
    </row>
    <row r="67" spans="4:13" ht="20" customHeight="1" x14ac:dyDescent="0.25">
      <c r="D67" s="38" t="str" cm="1">
        <f t="array" ref="D67">Common_InputFunctions.Utility_DisplayArrayInTable(SourceData_Feedlot.SourceData_Feedlot_DietProperties_Data(), Table_SourceData_Feedlot_DietProperties[[#Headers],[Feedlot type]], 0)</f>
        <v>Domestic</v>
      </c>
      <c r="E67" s="38" t="str" cm="1">
        <f t="array" ref="E67">Common_InputFunctions.Utility_DisplayArrayInTable(SourceData_Feedlot.SourceData_Feedlot_DietProperties_Data(), Table_SourceData_Feedlot_DietProperties[[#Headers],[Feedlot type]], 0)</f>
        <v>Dry matter digestibility</v>
      </c>
      <c r="F67" s="38" t="str" cm="1">
        <f t="array" ref="F67">Common_InputFunctions.Utility_DisplayArrayInTable(SourceData_Feedlot.SourceData_Feedlot_DietProperties_Data(), Table_SourceData_Feedlot_DietProperties[[#Headers],[Feedlot type]], 0)</f>
        <v>fraction</v>
      </c>
      <c r="G67" s="38" cm="1">
        <f t="array" ref="G67">Common_InputFunctions.Utility_DisplayArrayInTable(SourceData_Feedlot.SourceData_Feedlot_DietProperties_Data(), Table_SourceData_Feedlot_DietProperties[[#Headers],[Feedlot type]], 0)</f>
        <v>0.81</v>
      </c>
      <c r="H67" s="38" cm="1">
        <f t="array" ref="H67">Common_InputFunctions.Utility_DisplayArrayInTable(SourceData_Feedlot.SourceData_Feedlot_DietProperties_Data(), Table_SourceData_Feedlot_DietProperties[[#Headers],[Feedlot type]], 0)</f>
        <v>0.81</v>
      </c>
      <c r="I67" s="38" cm="1">
        <f t="array" ref="I67">Common_InputFunctions.Utility_DisplayArrayInTable(SourceData_Feedlot.SourceData_Feedlot_DietProperties_Data(), Table_SourceData_Feedlot_DietProperties[[#Headers],[Feedlot type]], 0)</f>
        <v>0.81</v>
      </c>
      <c r="J67" s="38" cm="1">
        <f t="array" ref="J67">Common_InputFunctions.Utility_DisplayArrayInTable(SourceData_Feedlot.SourceData_Feedlot_DietProperties_Data(), Table_SourceData_Feedlot_DietProperties[[#Headers],[Feedlot type]], 0)</f>
        <v>0.81</v>
      </c>
      <c r="M67" s="23"/>
    </row>
    <row r="68" spans="4:13" ht="20" customHeight="1" x14ac:dyDescent="0.25">
      <c r="D68" s="1" t="str" cm="1">
        <f t="array" ref="D68">Common_InputFunctions.Utility_DisplayArrayInTable(SourceData_Feedlot.SourceData_Feedlot_DietProperties_Data(), Table_SourceData_Feedlot_DietProperties[[#Headers],[Feedlot type]], 0)</f>
        <v>Domestic</v>
      </c>
      <c r="E68" s="38" t="str" cm="1">
        <f t="array" ref="E68">Common_InputFunctions.Utility_DisplayArrayInTable(SourceData_Feedlot.SourceData_Feedlot_DietProperties_Data(), Table_SourceData_Feedlot_DietProperties[[#Headers],[Feedlot type]], 0)</f>
        <v>Crude protein</v>
      </c>
      <c r="F68" s="38" t="str" cm="1">
        <f t="array" ref="F68">Common_InputFunctions.Utility_DisplayArrayInTable(SourceData_Feedlot.SourceData_Feedlot_DietProperties_Data(), Table_SourceData_Feedlot_DietProperties[[#Headers],[Feedlot type]], 0)</f>
        <v>fraction</v>
      </c>
      <c r="G68" s="38" cm="1">
        <f t="array" ref="G68">Common_InputFunctions.Utility_DisplayArrayInTable(SourceData_Feedlot.SourceData_Feedlot_DietProperties_Data(), Table_SourceData_Feedlot_DietProperties[[#Headers],[Feedlot type]], 0)</f>
        <v>0.14000000000000001</v>
      </c>
      <c r="H68" s="38" cm="1">
        <f t="array" ref="H68">Common_InputFunctions.Utility_DisplayArrayInTable(SourceData_Feedlot.SourceData_Feedlot_DietProperties_Data(), Table_SourceData_Feedlot_DietProperties[[#Headers],[Feedlot type]], 0)</f>
        <v>0.14000000000000001</v>
      </c>
      <c r="I68" s="38" cm="1">
        <f t="array" ref="I68">Common_InputFunctions.Utility_DisplayArrayInTable(SourceData_Feedlot.SourceData_Feedlot_DietProperties_Data(), Table_SourceData_Feedlot_DietProperties[[#Headers],[Feedlot type]], 0)</f>
        <v>0.14000000000000001</v>
      </c>
      <c r="J68" s="38" cm="1">
        <f t="array" ref="J68">Common_InputFunctions.Utility_DisplayArrayInTable(SourceData_Feedlot.SourceData_Feedlot_DietProperties_Data(), Table_SourceData_Feedlot_DietProperties[[#Headers],[Feedlot type]], 0)</f>
        <v>0.14000000000000001</v>
      </c>
      <c r="M68" s="23"/>
    </row>
    <row r="69" spans="4:13" ht="20" customHeight="1" x14ac:dyDescent="0.25">
      <c r="D69" s="1" t="str" cm="1">
        <f t="array" ref="D69">Common_InputFunctions.Utility_DisplayArrayInTable(SourceData_Feedlot.SourceData_Feedlot_DietProperties_Data(), Table_SourceData_Feedlot_DietProperties[[#Headers],[Feedlot type]], 0)</f>
        <v>Domestic</v>
      </c>
      <c r="E69" s="38" t="str" cm="1">
        <f t="array" ref="E69">Common_InputFunctions.Utility_DisplayArrayInTable(SourceData_Feedlot.SourceData_Feedlot_DietProperties_Data(), Table_SourceData_Feedlot_DietProperties[[#Headers],[Feedlot type]], 0)</f>
        <v>NDF</v>
      </c>
      <c r="F69" s="38" t="str" cm="1">
        <f t="array" ref="F69">Common_InputFunctions.Utility_DisplayArrayInTable(SourceData_Feedlot.SourceData_Feedlot_DietProperties_Data(), Table_SourceData_Feedlot_DietProperties[[#Headers],[Feedlot type]], 0)</f>
        <v>per cent</v>
      </c>
      <c r="G69" s="38" cm="1">
        <f t="array" ref="G69">Common_InputFunctions.Utility_DisplayArrayInTable(SourceData_Feedlot.SourceData_Feedlot_DietProperties_Data(), Table_SourceData_Feedlot_DietProperties[[#Headers],[Feedlot type]], 0)</f>
        <v>23</v>
      </c>
      <c r="H69" s="38" cm="1">
        <f t="array" ref="H69">Common_InputFunctions.Utility_DisplayArrayInTable(SourceData_Feedlot.SourceData_Feedlot_DietProperties_Data(), Table_SourceData_Feedlot_DietProperties[[#Headers],[Feedlot type]], 0)</f>
        <v>22</v>
      </c>
      <c r="I69" s="38" cm="1">
        <f t="array" ref="I69">Common_InputFunctions.Utility_DisplayArrayInTable(SourceData_Feedlot.SourceData_Feedlot_DietProperties_Data(), Table_SourceData_Feedlot_DietProperties[[#Headers],[Feedlot type]], 0)</f>
        <v>22</v>
      </c>
      <c r="J69" s="38" cm="1">
        <f t="array" ref="J69">Common_InputFunctions.Utility_DisplayArrayInTable(SourceData_Feedlot.SourceData_Feedlot_DietProperties_Data(), Table_SourceData_Feedlot_DietProperties[[#Headers],[Feedlot type]], 0)</f>
        <v>22</v>
      </c>
      <c r="M69" s="23"/>
    </row>
    <row r="70" spans="4:13" ht="20" customHeight="1" x14ac:dyDescent="0.25">
      <c r="D70" s="1" t="str" cm="1">
        <f t="array" ref="D70">Common_InputFunctions.Utility_DisplayArrayInTable(SourceData_Feedlot.SourceData_Feedlot_DietProperties_Data(), Table_SourceData_Feedlot_DietProperties[[#Headers],[Feedlot type]], 0)</f>
        <v>Domestic</v>
      </c>
      <c r="E70" s="38" t="str" cm="1">
        <f t="array" ref="E70">Common_InputFunctions.Utility_DisplayArrayInTable(SourceData_Feedlot.SourceData_Feedlot_DietProperties_Data(), Table_SourceData_Feedlot_DietProperties[[#Headers],[Feedlot type]], 0)</f>
        <v>Ether Extract</v>
      </c>
      <c r="F70" s="38" t="str" cm="1">
        <f t="array" ref="F70">Common_InputFunctions.Utility_DisplayArrayInTable(SourceData_Feedlot.SourceData_Feedlot_DietProperties_Data(), Table_SourceData_Feedlot_DietProperties[[#Headers],[Feedlot type]], 0)</f>
        <v>per cent</v>
      </c>
      <c r="G70" s="38" cm="1">
        <f t="array" ref="G70">Common_InputFunctions.Utility_DisplayArrayInTable(SourceData_Feedlot.SourceData_Feedlot_DietProperties_Data(), Table_SourceData_Feedlot_DietProperties[[#Headers],[Feedlot type]], 0)</f>
        <v>4.5</v>
      </c>
      <c r="H70" s="38" cm="1">
        <f t="array" ref="H70">Common_InputFunctions.Utility_DisplayArrayInTable(SourceData_Feedlot.SourceData_Feedlot_DietProperties_Data(), Table_SourceData_Feedlot_DietProperties[[#Headers],[Feedlot type]], 0)</f>
        <v>4.5</v>
      </c>
      <c r="I70" s="38" cm="1">
        <f t="array" ref="I70">Common_InputFunctions.Utility_DisplayArrayInTable(SourceData_Feedlot.SourceData_Feedlot_DietProperties_Data(), Table_SourceData_Feedlot_DietProperties[[#Headers],[Feedlot type]], 0)</f>
        <v>4.8</v>
      </c>
      <c r="J70" s="38" cm="1">
        <f t="array" ref="J70">Common_InputFunctions.Utility_DisplayArrayInTable(SourceData_Feedlot.SourceData_Feedlot_DietProperties_Data(), Table_SourceData_Feedlot_DietProperties[[#Headers],[Feedlot type]], 0)</f>
        <v>4.8</v>
      </c>
      <c r="M70" s="23"/>
    </row>
    <row r="71" spans="4:13" ht="20" customHeight="1" x14ac:dyDescent="0.25">
      <c r="D71" s="1" t="str" cm="1">
        <f t="array" ref="D71">Common_InputFunctions.Utility_DisplayArrayInTable(SourceData_Feedlot.SourceData_Feedlot_DietProperties_Data(), Table_SourceData_Feedlot_DietProperties[[#Headers],[Feedlot type]], 0)</f>
        <v>Mid-fed</v>
      </c>
      <c r="E71" s="38" t="str" cm="1">
        <f t="array" ref="E71">Common_InputFunctions.Utility_DisplayArrayInTable(SourceData_Feedlot.SourceData_Feedlot_DietProperties_Data(), Table_SourceData_Feedlot_DietProperties[[#Headers],[Feedlot type]], 0)</f>
        <v>Dry matter digestibility</v>
      </c>
      <c r="F71" s="38" t="str" cm="1">
        <f t="array" ref="F71">Common_InputFunctions.Utility_DisplayArrayInTable(SourceData_Feedlot.SourceData_Feedlot_DietProperties_Data(), Table_SourceData_Feedlot_DietProperties[[#Headers],[Feedlot type]], 0)</f>
        <v>fraction</v>
      </c>
      <c r="G71" s="38" cm="1">
        <f t="array" ref="G71">Common_InputFunctions.Utility_DisplayArrayInTable(SourceData_Feedlot.SourceData_Feedlot_DietProperties_Data(), Table_SourceData_Feedlot_DietProperties[[#Headers],[Feedlot type]], 0)</f>
        <v>0.81</v>
      </c>
      <c r="H71" s="38" cm="1">
        <f t="array" ref="H71">Common_InputFunctions.Utility_DisplayArrayInTable(SourceData_Feedlot.SourceData_Feedlot_DietProperties_Data(), Table_SourceData_Feedlot_DietProperties[[#Headers],[Feedlot type]], 0)</f>
        <v>0.81</v>
      </c>
      <c r="I71" s="38" cm="1">
        <f t="array" ref="I71">Common_InputFunctions.Utility_DisplayArrayInTable(SourceData_Feedlot.SourceData_Feedlot_DietProperties_Data(), Table_SourceData_Feedlot_DietProperties[[#Headers],[Feedlot type]], 0)</f>
        <v>0.81</v>
      </c>
      <c r="J71" s="38" cm="1">
        <f t="array" ref="J71">Common_InputFunctions.Utility_DisplayArrayInTable(SourceData_Feedlot.SourceData_Feedlot_DietProperties_Data(), Table_SourceData_Feedlot_DietProperties[[#Headers],[Feedlot type]], 0)</f>
        <v>0.81</v>
      </c>
      <c r="M71" s="23"/>
    </row>
    <row r="72" spans="4:13" ht="20" customHeight="1" x14ac:dyDescent="0.25">
      <c r="D72" s="1" t="str" cm="1">
        <f t="array" ref="D72">Common_InputFunctions.Utility_DisplayArrayInTable(SourceData_Feedlot.SourceData_Feedlot_DietProperties_Data(), Table_SourceData_Feedlot_DietProperties[[#Headers],[Feedlot type]], 0)</f>
        <v>Mid-fed</v>
      </c>
      <c r="E72" s="38" t="str" cm="1">
        <f t="array" ref="E72">Common_InputFunctions.Utility_DisplayArrayInTable(SourceData_Feedlot.SourceData_Feedlot_DietProperties_Data(), Table_SourceData_Feedlot_DietProperties[[#Headers],[Feedlot type]], 0)</f>
        <v>Crude protein</v>
      </c>
      <c r="F72" s="38" t="str" cm="1">
        <f t="array" ref="F72">Common_InputFunctions.Utility_DisplayArrayInTable(SourceData_Feedlot.SourceData_Feedlot_DietProperties_Data(), Table_SourceData_Feedlot_DietProperties[[#Headers],[Feedlot type]], 0)</f>
        <v>fraction</v>
      </c>
      <c r="G72" s="38" cm="1">
        <f t="array" ref="G72">Common_InputFunctions.Utility_DisplayArrayInTable(SourceData_Feedlot.SourceData_Feedlot_DietProperties_Data(), Table_SourceData_Feedlot_DietProperties[[#Headers],[Feedlot type]], 0)</f>
        <v>0.13</v>
      </c>
      <c r="H72" s="38" cm="1">
        <f t="array" ref="H72">Common_InputFunctions.Utility_DisplayArrayInTable(SourceData_Feedlot.SourceData_Feedlot_DietProperties_Data(), Table_SourceData_Feedlot_DietProperties[[#Headers],[Feedlot type]], 0)</f>
        <v>0.125</v>
      </c>
      <c r="I72" s="38" cm="1">
        <f t="array" ref="I72">Common_InputFunctions.Utility_DisplayArrayInTable(SourceData_Feedlot.SourceData_Feedlot_DietProperties_Data(), Table_SourceData_Feedlot_DietProperties[[#Headers],[Feedlot type]], 0)</f>
        <v>0.12</v>
      </c>
      <c r="J72" s="38" cm="1">
        <f t="array" ref="J72">Common_InputFunctions.Utility_DisplayArrayInTable(SourceData_Feedlot.SourceData_Feedlot_DietProperties_Data(), Table_SourceData_Feedlot_DietProperties[[#Headers],[Feedlot type]], 0)</f>
        <v>0.12</v>
      </c>
      <c r="M72" s="23"/>
    </row>
    <row r="73" spans="4:13" ht="20" customHeight="1" x14ac:dyDescent="0.25">
      <c r="D73" s="1" t="str" cm="1">
        <f t="array" ref="D73">Common_InputFunctions.Utility_DisplayArrayInTable(SourceData_Feedlot.SourceData_Feedlot_DietProperties_Data(), Table_SourceData_Feedlot_DietProperties[[#Headers],[Feedlot type]], 0)</f>
        <v>Mid-fed</v>
      </c>
      <c r="E73" s="38" t="str" cm="1">
        <f t="array" ref="E73">Common_InputFunctions.Utility_DisplayArrayInTable(SourceData_Feedlot.SourceData_Feedlot_DietProperties_Data(), Table_SourceData_Feedlot_DietProperties[[#Headers],[Feedlot type]], 0)</f>
        <v>NDF</v>
      </c>
      <c r="F73" s="38" t="str" cm="1">
        <f t="array" ref="F73">Common_InputFunctions.Utility_DisplayArrayInTable(SourceData_Feedlot.SourceData_Feedlot_DietProperties_Data(), Table_SourceData_Feedlot_DietProperties[[#Headers],[Feedlot type]], 0)</f>
        <v>per cent</v>
      </c>
      <c r="G73" s="38" cm="1">
        <f t="array" ref="G73">Common_InputFunctions.Utility_DisplayArrayInTable(SourceData_Feedlot.SourceData_Feedlot_DietProperties_Data(), Table_SourceData_Feedlot_DietProperties[[#Headers],[Feedlot type]], 0)</f>
        <v>24</v>
      </c>
      <c r="H73" s="38" cm="1">
        <f t="array" ref="H73">Common_InputFunctions.Utility_DisplayArrayInTable(SourceData_Feedlot.SourceData_Feedlot_DietProperties_Data(), Table_SourceData_Feedlot_DietProperties[[#Headers],[Feedlot type]], 0)</f>
        <v>22</v>
      </c>
      <c r="I73" s="38" cm="1">
        <f t="array" ref="I73">Common_InputFunctions.Utility_DisplayArrayInTable(SourceData_Feedlot.SourceData_Feedlot_DietProperties_Data(), Table_SourceData_Feedlot_DietProperties[[#Headers],[Feedlot type]], 0)</f>
        <v>22</v>
      </c>
      <c r="J73" s="38" cm="1">
        <f t="array" ref="J73">Common_InputFunctions.Utility_DisplayArrayInTable(SourceData_Feedlot.SourceData_Feedlot_DietProperties_Data(), Table_SourceData_Feedlot_DietProperties[[#Headers],[Feedlot type]], 0)</f>
        <v>22</v>
      </c>
      <c r="M73" s="23"/>
    </row>
    <row r="74" spans="4:13" ht="20" customHeight="1" x14ac:dyDescent="0.25">
      <c r="D74" s="1" t="str" cm="1">
        <f t="array" ref="D74">Common_InputFunctions.Utility_DisplayArrayInTable(SourceData_Feedlot.SourceData_Feedlot_DietProperties_Data(), Table_SourceData_Feedlot_DietProperties[[#Headers],[Feedlot type]], 0)</f>
        <v>Mid-fed</v>
      </c>
      <c r="E74" s="38" t="str" cm="1">
        <f t="array" ref="E74">Common_InputFunctions.Utility_DisplayArrayInTable(SourceData_Feedlot.SourceData_Feedlot_DietProperties_Data(), Table_SourceData_Feedlot_DietProperties[[#Headers],[Feedlot type]], 0)</f>
        <v>Ether Extract</v>
      </c>
      <c r="F74" s="38" t="str" cm="1">
        <f t="array" ref="F74">Common_InputFunctions.Utility_DisplayArrayInTable(SourceData_Feedlot.SourceData_Feedlot_DietProperties_Data(), Table_SourceData_Feedlot_DietProperties[[#Headers],[Feedlot type]], 0)</f>
        <v>per cent</v>
      </c>
      <c r="G74" s="38" cm="1">
        <f t="array" ref="G74">Common_InputFunctions.Utility_DisplayArrayInTable(SourceData_Feedlot.SourceData_Feedlot_DietProperties_Data(), Table_SourceData_Feedlot_DietProperties[[#Headers],[Feedlot type]], 0)</f>
        <v>5</v>
      </c>
      <c r="H74" s="38" cm="1">
        <f t="array" ref="H74">Common_InputFunctions.Utility_DisplayArrayInTable(SourceData_Feedlot.SourceData_Feedlot_DietProperties_Data(), Table_SourceData_Feedlot_DietProperties[[#Headers],[Feedlot type]], 0)</f>
        <v>5</v>
      </c>
      <c r="I74" s="38" cm="1">
        <f t="array" ref="I74">Common_InputFunctions.Utility_DisplayArrayInTable(SourceData_Feedlot.SourceData_Feedlot_DietProperties_Data(), Table_SourceData_Feedlot_DietProperties[[#Headers],[Feedlot type]], 0)</f>
        <v>5</v>
      </c>
      <c r="J74" s="38" cm="1">
        <f t="array" ref="J74">Common_InputFunctions.Utility_DisplayArrayInTable(SourceData_Feedlot.SourceData_Feedlot_DietProperties_Data(), Table_SourceData_Feedlot_DietProperties[[#Headers],[Feedlot type]], 0)</f>
        <v>5</v>
      </c>
      <c r="M74" s="23"/>
    </row>
    <row r="75" spans="4:13" ht="20" customHeight="1" x14ac:dyDescent="0.25">
      <c r="D75" s="1" t="str" cm="1">
        <f t="array" ref="D75">Common_InputFunctions.Utility_DisplayArrayInTable(SourceData_Feedlot.SourceData_Feedlot_DietProperties_Data(), Table_SourceData_Feedlot_DietProperties[[#Headers],[Feedlot type]], 0)</f>
        <v>Long-Fed</v>
      </c>
      <c r="E75" s="38" t="str" cm="1">
        <f t="array" ref="E75">Common_InputFunctions.Utility_DisplayArrayInTable(SourceData_Feedlot.SourceData_Feedlot_DietProperties_Data(), Table_SourceData_Feedlot_DietProperties[[#Headers],[Feedlot type]], 0)</f>
        <v>Dry matter digestibility</v>
      </c>
      <c r="F75" s="38" t="str" cm="1">
        <f t="array" ref="F75">Common_InputFunctions.Utility_DisplayArrayInTable(SourceData_Feedlot.SourceData_Feedlot_DietProperties_Data(), Table_SourceData_Feedlot_DietProperties[[#Headers],[Feedlot type]], 0)</f>
        <v>fraction</v>
      </c>
      <c r="G75" s="38" cm="1">
        <f t="array" ref="G75">Common_InputFunctions.Utility_DisplayArrayInTable(SourceData_Feedlot.SourceData_Feedlot_DietProperties_Data(), Table_SourceData_Feedlot_DietProperties[[#Headers],[Feedlot type]], 0)</f>
        <v>0.81</v>
      </c>
      <c r="H75" s="38" cm="1">
        <f t="array" ref="H75">Common_InputFunctions.Utility_DisplayArrayInTable(SourceData_Feedlot.SourceData_Feedlot_DietProperties_Data(), Table_SourceData_Feedlot_DietProperties[[#Headers],[Feedlot type]], 0)</f>
        <v>0.81</v>
      </c>
      <c r="I75" s="38" cm="1">
        <f t="array" ref="I75">Common_InputFunctions.Utility_DisplayArrayInTable(SourceData_Feedlot.SourceData_Feedlot_DietProperties_Data(), Table_SourceData_Feedlot_DietProperties[[#Headers],[Feedlot type]], 0)</f>
        <v>0.81</v>
      </c>
      <c r="J75" s="38" cm="1">
        <f t="array" ref="J75">Common_InputFunctions.Utility_DisplayArrayInTable(SourceData_Feedlot.SourceData_Feedlot_DietProperties_Data(), Table_SourceData_Feedlot_DietProperties[[#Headers],[Feedlot type]], 0)</f>
        <v>0.81</v>
      </c>
      <c r="M75" s="23"/>
    </row>
    <row r="76" spans="4:13" ht="20" customHeight="1" x14ac:dyDescent="0.25">
      <c r="D76" s="1" t="str" cm="1">
        <f t="array" ref="D76">Common_InputFunctions.Utility_DisplayArrayInTable(SourceData_Feedlot.SourceData_Feedlot_DietProperties_Data(), Table_SourceData_Feedlot_DietProperties[[#Headers],[Feedlot type]], 0)</f>
        <v>Long-Fed</v>
      </c>
      <c r="E76" s="38" t="str" cm="1">
        <f t="array" ref="E76">Common_InputFunctions.Utility_DisplayArrayInTable(SourceData_Feedlot.SourceData_Feedlot_DietProperties_Data(), Table_SourceData_Feedlot_DietProperties[[#Headers],[Feedlot type]], 0)</f>
        <v>Crude protein</v>
      </c>
      <c r="F76" s="38" t="str" cm="1">
        <f t="array" ref="F76">Common_InputFunctions.Utility_DisplayArrayInTable(SourceData_Feedlot.SourceData_Feedlot_DietProperties_Data(), Table_SourceData_Feedlot_DietProperties[[#Headers],[Feedlot type]], 0)</f>
        <v>fraction</v>
      </c>
      <c r="G76" s="38" cm="1">
        <f t="array" ref="G76">Common_InputFunctions.Utility_DisplayArrayInTable(SourceData_Feedlot.SourceData_Feedlot_DietProperties_Data(), Table_SourceData_Feedlot_DietProperties[[#Headers],[Feedlot type]], 0)</f>
        <v>0.13</v>
      </c>
      <c r="H76" s="38" cm="1">
        <f t="array" ref="H76">Common_InputFunctions.Utility_DisplayArrayInTable(SourceData_Feedlot.SourceData_Feedlot_DietProperties_Data(), Table_SourceData_Feedlot_DietProperties[[#Headers],[Feedlot type]], 0)</f>
        <v>0.125</v>
      </c>
      <c r="I76" s="38" cm="1">
        <f t="array" ref="I76">Common_InputFunctions.Utility_DisplayArrayInTable(SourceData_Feedlot.SourceData_Feedlot_DietProperties_Data(), Table_SourceData_Feedlot_DietProperties[[#Headers],[Feedlot type]], 0)</f>
        <v>0.12</v>
      </c>
      <c r="J76" s="38" cm="1">
        <f t="array" ref="J76">Common_InputFunctions.Utility_DisplayArrayInTable(SourceData_Feedlot.SourceData_Feedlot_DietProperties_Data(), Table_SourceData_Feedlot_DietProperties[[#Headers],[Feedlot type]], 0)</f>
        <v>0.12</v>
      </c>
      <c r="M76" s="23"/>
    </row>
    <row r="77" spans="4:13" ht="20" customHeight="1" x14ac:dyDescent="0.25">
      <c r="D77" s="1" t="str" cm="1">
        <f t="array" ref="D77">Common_InputFunctions.Utility_DisplayArrayInTable(SourceData_Feedlot.SourceData_Feedlot_DietProperties_Data(), Table_SourceData_Feedlot_DietProperties[[#Headers],[Feedlot type]], 0)</f>
        <v>Long-Fed</v>
      </c>
      <c r="E77" s="38" t="str" cm="1">
        <f t="array" ref="E77">Common_InputFunctions.Utility_DisplayArrayInTable(SourceData_Feedlot.SourceData_Feedlot_DietProperties_Data(), Table_SourceData_Feedlot_DietProperties[[#Headers],[Feedlot type]], 0)</f>
        <v>NDF</v>
      </c>
      <c r="F77" s="38" t="str" cm="1">
        <f t="array" ref="F77">Common_InputFunctions.Utility_DisplayArrayInTable(SourceData_Feedlot.SourceData_Feedlot_DietProperties_Data(), Table_SourceData_Feedlot_DietProperties[[#Headers],[Feedlot type]], 0)</f>
        <v>per cent</v>
      </c>
      <c r="G77" s="38" cm="1">
        <f t="array" ref="G77">Common_InputFunctions.Utility_DisplayArrayInTable(SourceData_Feedlot.SourceData_Feedlot_DietProperties_Data(), Table_SourceData_Feedlot_DietProperties[[#Headers],[Feedlot type]], 0)</f>
        <v>24</v>
      </c>
      <c r="H77" s="38" cm="1">
        <f t="array" ref="H77">Common_InputFunctions.Utility_DisplayArrayInTable(SourceData_Feedlot.SourceData_Feedlot_DietProperties_Data(), Table_SourceData_Feedlot_DietProperties[[#Headers],[Feedlot type]], 0)</f>
        <v>24</v>
      </c>
      <c r="I77" s="38" cm="1">
        <f t="array" ref="I77">Common_InputFunctions.Utility_DisplayArrayInTable(SourceData_Feedlot.SourceData_Feedlot_DietProperties_Data(), Table_SourceData_Feedlot_DietProperties[[#Headers],[Feedlot type]], 0)</f>
        <v>24</v>
      </c>
      <c r="J77" s="38" cm="1">
        <f t="array" ref="J77">Common_InputFunctions.Utility_DisplayArrayInTable(SourceData_Feedlot.SourceData_Feedlot_DietProperties_Data(), Table_SourceData_Feedlot_DietProperties[[#Headers],[Feedlot type]], 0)</f>
        <v>24</v>
      </c>
      <c r="M77" s="23"/>
    </row>
    <row r="78" spans="4:13" ht="20" customHeight="1" x14ac:dyDescent="0.25">
      <c r="D78" s="1" t="str" cm="1">
        <f t="array" ref="D78">Common_InputFunctions.Utility_DisplayArrayInTable(SourceData_Feedlot.SourceData_Feedlot_DietProperties_Data(), Table_SourceData_Feedlot_DietProperties[[#Headers],[Feedlot type]], 0)</f>
        <v>Long-Fed</v>
      </c>
      <c r="E78" s="38" t="str" cm="1">
        <f t="array" ref="E78">Common_InputFunctions.Utility_DisplayArrayInTable(SourceData_Feedlot.SourceData_Feedlot_DietProperties_Data(), Table_SourceData_Feedlot_DietProperties[[#Headers],[Feedlot type]], 0)</f>
        <v>Ether Extract</v>
      </c>
      <c r="F78" s="38" t="str" cm="1">
        <f t="array" ref="F78">Common_InputFunctions.Utility_DisplayArrayInTable(SourceData_Feedlot.SourceData_Feedlot_DietProperties_Data(), Table_SourceData_Feedlot_DietProperties[[#Headers],[Feedlot type]], 0)</f>
        <v>per cent</v>
      </c>
      <c r="G78" s="38" cm="1">
        <f t="array" ref="G78">Common_InputFunctions.Utility_DisplayArrayInTable(SourceData_Feedlot.SourceData_Feedlot_DietProperties_Data(), Table_SourceData_Feedlot_DietProperties[[#Headers],[Feedlot type]], 0)</f>
        <v>5</v>
      </c>
      <c r="H78" s="38" cm="1">
        <f t="array" ref="H78">Common_InputFunctions.Utility_DisplayArrayInTable(SourceData_Feedlot.SourceData_Feedlot_DietProperties_Data(), Table_SourceData_Feedlot_DietProperties[[#Headers],[Feedlot type]], 0)</f>
        <v>5</v>
      </c>
      <c r="I78" s="38" cm="1">
        <f t="array" ref="I78">Common_InputFunctions.Utility_DisplayArrayInTable(SourceData_Feedlot.SourceData_Feedlot_DietProperties_Data(), Table_SourceData_Feedlot_DietProperties[[#Headers],[Feedlot type]], 0)</f>
        <v>5.5</v>
      </c>
      <c r="J78" s="38" cm="1">
        <f t="array" ref="J78">Common_InputFunctions.Utility_DisplayArrayInTable(SourceData_Feedlot.SourceData_Feedlot_DietProperties_Data(), Table_SourceData_Feedlot_DietProperties[[#Headers],[Feedlot type]], 0)</f>
        <v>5.5</v>
      </c>
      <c r="M78" s="23"/>
    </row>
    <row r="79" spans="4:13" ht="20" customHeight="1" x14ac:dyDescent="0.25">
      <c r="M79" s="23"/>
    </row>
    <row r="80" spans="4:13" ht="20" customHeight="1" x14ac:dyDescent="0.25">
      <c r="M80" s="23"/>
    </row>
    <row r="81" spans="4:14" ht="20" customHeight="1" x14ac:dyDescent="0.25">
      <c r="D81" s="6" t="str" cm="1">
        <f t="array" ref="D81">SourceData_Feedlot.SourceData_Feedlot_MCF_Title()</f>
        <v>Feedlot - MCFs</v>
      </c>
      <c r="M81" s="1"/>
    </row>
    <row r="82" spans="4:14" ht="20" customHeight="1" x14ac:dyDescent="0.25">
      <c r="D82" s="5" t="str" cm="1">
        <f t="array" ref="D82">SourceData_Feedlot.SourceData_Feedlot_MCF_Source()</f>
        <v>VEERG 2026: Table A.1.1.4: Beef feedlot cattle - MCFs (fraction) (MCFimT)</v>
      </c>
      <c r="M82" s="1"/>
    </row>
    <row r="83" spans="4:14" ht="20" customHeight="1" x14ac:dyDescent="0.25">
      <c r="D83" s="56" t="str" cm="1">
        <f t="array" ref="D83:D86">SourceData_Feedlot.SourceData_Feedlot_MCF_Variation()</f>
        <v>VARIATION ON SOURCE:</v>
      </c>
      <c r="M83" s="1"/>
    </row>
    <row r="84" spans="4:14" ht="20" customHeight="1" x14ac:dyDescent="0.25">
      <c r="D84" s="56" t="str">
        <v>Duplicated NSW values for ACT</v>
      </c>
      <c r="M84" s="1"/>
    </row>
    <row r="85" spans="4:14" ht="20" customHeight="1" x14ac:dyDescent="0.25">
      <c r="D85" s="56" t="str">
        <v>Added NT column that duplicates QLD values as per advice from source data provider.</v>
      </c>
      <c r="M85" s="1"/>
    </row>
    <row r="86" spans="4:14" ht="20" customHeight="1" x14ac:dyDescent="0.25">
      <c r="D86" s="56" t="str">
        <v>Added TAS column that duplicates VIC values as per advice from source data provider.</v>
      </c>
      <c r="M86" s="1"/>
    </row>
    <row r="87" spans="4:14" ht="20" customHeight="1" x14ac:dyDescent="0.25">
      <c r="M87" s="1"/>
    </row>
    <row r="88" spans="4:14" ht="20" customHeight="1" x14ac:dyDescent="0.25">
      <c r="D88" s="38" t="s">
        <v>103</v>
      </c>
      <c r="E88" s="38" t="s">
        <v>98</v>
      </c>
      <c r="F88" s="38" t="s">
        <v>77</v>
      </c>
      <c r="G88" s="38" t="s">
        <v>76</v>
      </c>
      <c r="H88" s="38" t="s">
        <v>79</v>
      </c>
      <c r="I88" s="38" t="s">
        <v>78</v>
      </c>
      <c r="J88" s="38" t="s">
        <v>80</v>
      </c>
      <c r="K88" s="38" t="s">
        <v>82</v>
      </c>
      <c r="L88" s="38" t="s">
        <v>83</v>
      </c>
      <c r="M88" s="38" t="s">
        <v>81</v>
      </c>
      <c r="N88" s="38" t="s">
        <v>93</v>
      </c>
    </row>
    <row r="89" spans="4:14" ht="20" customHeight="1" x14ac:dyDescent="0.25">
      <c r="D89" s="38" t="str" cm="1">
        <f t="array" ref="D89">Common_InputFunctions.Utility_DisplayArrayInTable(SourceData_Feedlot.SourceData_Feedlot_MCF_Data(), Table_SourceData_Feedlot_MCF[[#Headers],[Treatment stage T]], 0)</f>
        <v>Primary</v>
      </c>
      <c r="E89" s="38" t="str" cm="1">
        <f t="array" ref="E89">Common_InputFunctions.Utility_DisplayArrayInTable(SourceData_Feedlot.SourceData_Feedlot_MCF_Data(), Table_SourceData_Feedlot_MCF[[#Headers],[Treatment stage T]], 0)</f>
        <v>Dry lot (Feedpad)</v>
      </c>
      <c r="F89" s="38" cm="1">
        <f t="array" ref="F89">Common_InputFunctions.Utility_DisplayArrayInTable(SourceData_Feedlot.SourceData_Feedlot_MCF_Data(), Table_SourceData_Feedlot_MCF[[#Headers],[Treatment stage T]], 0)</f>
        <v>0.01</v>
      </c>
      <c r="G89" s="38" cm="1">
        <f t="array" ref="G89">Common_InputFunctions.Utility_DisplayArrayInTable(SourceData_Feedlot.SourceData_Feedlot_MCF_Data(), Table_SourceData_Feedlot_MCF[[#Headers],[Treatment stage T]], 0)</f>
        <v>0.01</v>
      </c>
      <c r="H89" s="38" cm="1">
        <f t="array" ref="H89">Common_InputFunctions.Utility_DisplayArrayInTable(SourceData_Feedlot.SourceData_Feedlot_MCF_Data(), Table_SourceData_Feedlot_MCF[[#Headers],[Treatment stage T]], 0)</f>
        <v>0.03</v>
      </c>
      <c r="I89" s="38" cm="1">
        <f t="array" ref="I89">Common_InputFunctions.Utility_DisplayArrayInTable(SourceData_Feedlot.SourceData_Feedlot_MCF_Data(), Table_SourceData_Feedlot_MCF[[#Headers],[Treatment stage T]], 0)</f>
        <v>0.03</v>
      </c>
      <c r="J89" s="38" cm="1">
        <f t="array" ref="J89">Common_InputFunctions.Utility_DisplayArrayInTable(SourceData_Feedlot.SourceData_Feedlot_MCF_Data(), Table_SourceData_Feedlot_MCF[[#Headers],[Treatment stage T]], 0)</f>
        <v>0.01</v>
      </c>
      <c r="K89" s="38" cm="1">
        <f t="array" ref="K89">Common_InputFunctions.Utility_DisplayArrayInTable(SourceData_Feedlot.SourceData_Feedlot_MCF_Data(), Table_SourceData_Feedlot_MCF[[#Headers],[Treatment stage T]], 0)</f>
        <v>0.01</v>
      </c>
      <c r="L89" s="38" cm="1">
        <f t="array" ref="L89">Common_InputFunctions.Utility_DisplayArrayInTable(SourceData_Feedlot.SourceData_Feedlot_MCF_Data(), Table_SourceData_Feedlot_MCF[[#Headers],[Treatment stage T]], 0)</f>
        <v>0.01</v>
      </c>
      <c r="M89" s="38" cm="1">
        <f t="array" ref="M89">Common_InputFunctions.Utility_DisplayArrayInTable(SourceData_Feedlot.SourceData_Feedlot_MCF_Data(), Table_SourceData_Feedlot_MCF[[#Headers],[Treatment stage T]], 0)</f>
        <v>0.01</v>
      </c>
      <c r="N89" s="38" t="str" cm="1">
        <f t="array" ref="N89">Common_InputFunctions.Utility_DisplayArrayInTable(SourceData_Feedlot.SourceData_Feedlot_MCF_Data(), Table_SourceData_Feedlot_MCF[[#Headers],[Treatment stage T]], 0)</f>
        <v>Drylot (feed pad)</v>
      </c>
    </row>
    <row r="90" spans="4:14" ht="20" customHeight="1" x14ac:dyDescent="0.25">
      <c r="D90" s="1" t="str" cm="1">
        <f t="array" ref="D90">Common_InputFunctions.Utility_DisplayArrayInTable(SourceData_Feedlot.SourceData_Feedlot_MCF_Data(), Table_SourceData_Feedlot_MCF[[#Headers],[Treatment stage T]], 0)</f>
        <v>Secondary</v>
      </c>
      <c r="E90" s="38" t="str" cm="1">
        <f t="array" ref="E90">Common_InputFunctions.Utility_DisplayArrayInTable(SourceData_Feedlot.SourceData_Feedlot_MCF_Data(), Table_SourceData_Feedlot_MCF[[#Headers],[Treatment stage T]], 0)</f>
        <v>Solid Storage (Stockpile)</v>
      </c>
      <c r="F90" s="38" cm="1">
        <f t="array" ref="F90">Common_InputFunctions.Utility_DisplayArrayInTable(SourceData_Feedlot.SourceData_Feedlot_MCF_Data(), Table_SourceData_Feedlot_MCF[[#Headers],[Treatment stage T]], 0)</f>
        <v>0.02</v>
      </c>
      <c r="G90" s="38" cm="1">
        <f t="array" ref="G90">Common_InputFunctions.Utility_DisplayArrayInTable(SourceData_Feedlot.SourceData_Feedlot_MCF_Data(), Table_SourceData_Feedlot_MCF[[#Headers],[Treatment stage T]], 0)</f>
        <v>0.02</v>
      </c>
      <c r="H90" s="38" cm="1">
        <f t="array" ref="H90">Common_InputFunctions.Utility_DisplayArrayInTable(SourceData_Feedlot.SourceData_Feedlot_MCF_Data(), Table_SourceData_Feedlot_MCF[[#Headers],[Treatment stage T]], 0)</f>
        <v>0.02</v>
      </c>
      <c r="I90" s="38" cm="1">
        <f t="array" ref="I90">Common_InputFunctions.Utility_DisplayArrayInTable(SourceData_Feedlot.SourceData_Feedlot_MCF_Data(), Table_SourceData_Feedlot_MCF[[#Headers],[Treatment stage T]], 0)</f>
        <v>0.02</v>
      </c>
      <c r="J90" s="38" cm="1">
        <f t="array" ref="J90">Common_InputFunctions.Utility_DisplayArrayInTable(SourceData_Feedlot.SourceData_Feedlot_MCF_Data(), Table_SourceData_Feedlot_MCF[[#Headers],[Treatment stage T]], 0)</f>
        <v>0.02</v>
      </c>
      <c r="K90" s="38" cm="1">
        <f t="array" ref="K90">Common_InputFunctions.Utility_DisplayArrayInTable(SourceData_Feedlot.SourceData_Feedlot_MCF_Data(), Table_SourceData_Feedlot_MCF[[#Headers],[Treatment stage T]], 0)</f>
        <v>0.02</v>
      </c>
      <c r="L90" s="38" cm="1">
        <f t="array" ref="L90">Common_InputFunctions.Utility_DisplayArrayInTable(SourceData_Feedlot.SourceData_Feedlot_MCF_Data(), Table_SourceData_Feedlot_MCF[[#Headers],[Treatment stage T]], 0)</f>
        <v>0.02</v>
      </c>
      <c r="M90" s="38" cm="1">
        <f t="array" ref="M90">Common_InputFunctions.Utility_DisplayArrayInTable(SourceData_Feedlot.SourceData_Feedlot_MCF_Data(), Table_SourceData_Feedlot_MCF[[#Headers],[Treatment stage T]], 0)</f>
        <v>0.02</v>
      </c>
      <c r="N90" s="38" t="str" cm="1">
        <f t="array" ref="N90">Common_InputFunctions.Utility_DisplayArrayInTable(SourceData_Feedlot.SourceData_Feedlot_MCF_Data(), Table_SourceData_Feedlot_MCF[[#Headers],[Treatment stage T]], 0)</f>
        <v>Solid storage</v>
      </c>
    </row>
    <row r="91" spans="4:14" ht="20" customHeight="1" x14ac:dyDescent="0.25">
      <c r="D91" s="1" t="str" cm="1">
        <f t="array" ref="D91">Common_InputFunctions.Utility_DisplayArrayInTable(SourceData_Feedlot.SourceData_Feedlot_MCF_Data(), Table_SourceData_Feedlot_MCF[[#Headers],[Treatment stage T]], 0)</f>
        <v>Secondary</v>
      </c>
      <c r="E91" s="38" t="str" cm="1">
        <f t="array" ref="E91">Common_InputFunctions.Utility_DisplayArrayInTable(SourceData_Feedlot.SourceData_Feedlot_MCF_Data(), Table_SourceData_Feedlot_MCF[[#Headers],[Treatment stage T]], 0)</f>
        <v>Composting (Passive Windrow)</v>
      </c>
      <c r="F91" s="38" cm="1">
        <f t="array" ref="F91">Common_InputFunctions.Utility_DisplayArrayInTable(SourceData_Feedlot.SourceData_Feedlot_MCF_Data(), Table_SourceData_Feedlot_MCF[[#Headers],[Treatment stage T]], 0)</f>
        <v>0.01</v>
      </c>
      <c r="G91" s="38" cm="1">
        <f t="array" ref="G91">Common_InputFunctions.Utility_DisplayArrayInTable(SourceData_Feedlot.SourceData_Feedlot_MCF_Data(), Table_SourceData_Feedlot_MCF[[#Headers],[Treatment stage T]], 0)</f>
        <v>0.01</v>
      </c>
      <c r="H91" s="38" cm="1">
        <f t="array" ref="H91">Common_InputFunctions.Utility_DisplayArrayInTable(SourceData_Feedlot.SourceData_Feedlot_MCF_Data(), Table_SourceData_Feedlot_MCF[[#Headers],[Treatment stage T]], 0)</f>
        <v>0.01</v>
      </c>
      <c r="I91" s="38" cm="1">
        <f t="array" ref="I91">Common_InputFunctions.Utility_DisplayArrayInTable(SourceData_Feedlot.SourceData_Feedlot_MCF_Data(), Table_SourceData_Feedlot_MCF[[#Headers],[Treatment stage T]], 0)</f>
        <v>0.01</v>
      </c>
      <c r="J91" s="38" cm="1">
        <f t="array" ref="J91">Common_InputFunctions.Utility_DisplayArrayInTable(SourceData_Feedlot.SourceData_Feedlot_MCF_Data(), Table_SourceData_Feedlot_MCF[[#Headers],[Treatment stage T]], 0)</f>
        <v>0.01</v>
      </c>
      <c r="K91" s="38" cm="1">
        <f t="array" ref="K91">Common_InputFunctions.Utility_DisplayArrayInTable(SourceData_Feedlot.SourceData_Feedlot_MCF_Data(), Table_SourceData_Feedlot_MCF[[#Headers],[Treatment stage T]], 0)</f>
        <v>0.01</v>
      </c>
      <c r="L91" s="38" cm="1">
        <f t="array" ref="L91">Common_InputFunctions.Utility_DisplayArrayInTable(SourceData_Feedlot.SourceData_Feedlot_MCF_Data(), Table_SourceData_Feedlot_MCF[[#Headers],[Treatment stage T]], 0)</f>
        <v>0.01</v>
      </c>
      <c r="M91" s="38" cm="1">
        <f t="array" ref="M91">Common_InputFunctions.Utility_DisplayArrayInTable(SourceData_Feedlot.SourceData_Feedlot_MCF_Data(), Table_SourceData_Feedlot_MCF[[#Headers],[Treatment stage T]], 0)</f>
        <v>0.01</v>
      </c>
      <c r="N91" s="38" t="str" cm="1">
        <f t="array" ref="N91">Common_InputFunctions.Utility_DisplayArrayInTable(SourceData_Feedlot.SourceData_Feedlot_MCF_Data(), Table_SourceData_Feedlot_MCF[[#Headers],[Treatment stage T]], 0)</f>
        <v>Composting (passive windrow)</v>
      </c>
    </row>
    <row r="92" spans="4:14" ht="20" customHeight="1" x14ac:dyDescent="0.25">
      <c r="D92" s="1" t="str" cm="1">
        <f t="array" ref="D92">Common_InputFunctions.Utility_DisplayArrayInTable(SourceData_Feedlot.SourceData_Feedlot_MCF_Data(), Table_SourceData_Feedlot_MCF[[#Headers],[Treatment stage T]], 0)</f>
        <v>Secondary</v>
      </c>
      <c r="E92" s="38" t="str" cm="1">
        <f t="array" ref="E92">Common_InputFunctions.Utility_DisplayArrayInTable(SourceData_Feedlot.SourceData_Feedlot_MCF_Data(), Table_SourceData_Feedlot_MCF[[#Headers],[Treatment stage T]], 0)</f>
        <v>Direct Application to soil</v>
      </c>
      <c r="F92" s="38" cm="1">
        <f t="array" ref="F92">Common_InputFunctions.Utility_DisplayArrayInTable(SourceData_Feedlot.SourceData_Feedlot_MCF_Data(), Table_SourceData_Feedlot_MCF[[#Headers],[Treatment stage T]], 0)</f>
        <v>0</v>
      </c>
      <c r="G92" s="38" cm="1">
        <f t="array" ref="G92">Common_InputFunctions.Utility_DisplayArrayInTable(SourceData_Feedlot.SourceData_Feedlot_MCF_Data(), Table_SourceData_Feedlot_MCF[[#Headers],[Treatment stage T]], 0)</f>
        <v>0</v>
      </c>
      <c r="H92" s="38" cm="1">
        <f t="array" ref="H92">Common_InputFunctions.Utility_DisplayArrayInTable(SourceData_Feedlot.SourceData_Feedlot_MCF_Data(), Table_SourceData_Feedlot_MCF[[#Headers],[Treatment stage T]], 0)</f>
        <v>0</v>
      </c>
      <c r="I92" s="38" cm="1">
        <f t="array" ref="I92">Common_InputFunctions.Utility_DisplayArrayInTable(SourceData_Feedlot.SourceData_Feedlot_MCF_Data(), Table_SourceData_Feedlot_MCF[[#Headers],[Treatment stage T]], 0)</f>
        <v>0</v>
      </c>
      <c r="J92" s="38" cm="1">
        <f t="array" ref="J92">Common_InputFunctions.Utility_DisplayArrayInTable(SourceData_Feedlot.SourceData_Feedlot_MCF_Data(), Table_SourceData_Feedlot_MCF[[#Headers],[Treatment stage T]], 0)</f>
        <v>0</v>
      </c>
      <c r="K92" s="38" cm="1">
        <f t="array" ref="K92">Common_InputFunctions.Utility_DisplayArrayInTable(SourceData_Feedlot.SourceData_Feedlot_MCF_Data(), Table_SourceData_Feedlot_MCF[[#Headers],[Treatment stage T]], 0)</f>
        <v>0</v>
      </c>
      <c r="L92" s="38" cm="1">
        <f t="array" ref="L92">Common_InputFunctions.Utility_DisplayArrayInTable(SourceData_Feedlot.SourceData_Feedlot_MCF_Data(), Table_SourceData_Feedlot_MCF[[#Headers],[Treatment stage T]], 0)</f>
        <v>0</v>
      </c>
      <c r="M92" s="38" cm="1">
        <f t="array" ref="M92">Common_InputFunctions.Utility_DisplayArrayInTable(SourceData_Feedlot.SourceData_Feedlot_MCF_Data(), Table_SourceData_Feedlot_MCF[[#Headers],[Treatment stage T]], 0)</f>
        <v>0</v>
      </c>
      <c r="N92" s="38" t="str" cm="1">
        <f t="array" ref="N92">Common_InputFunctions.Utility_DisplayArrayInTable(SourceData_Feedlot.SourceData_Feedlot_MCF_Data(), Table_SourceData_Feedlot_MCF[[#Headers],[Treatment stage T]], 0)</f>
        <v>Direct application</v>
      </c>
    </row>
    <row r="93" spans="4:14" ht="20" customHeight="1" x14ac:dyDescent="0.25">
      <c r="D93" s="1" t="str" cm="1">
        <f t="array" ref="D93">Common_InputFunctions.Utility_DisplayArrayInTable(SourceData_Feedlot.SourceData_Feedlot_MCF_Data(), Table_SourceData_Feedlot_MCF[[#Headers],[Treatment stage T]], 0)</f>
        <v>Tertiary</v>
      </c>
      <c r="E93" s="38" t="str" cm="1">
        <f t="array" ref="E93">Common_InputFunctions.Utility_DisplayArrayInTable(SourceData_Feedlot.SourceData_Feedlot_MCF_Data(), Table_SourceData_Feedlot_MCF[[#Headers],[Treatment stage T]], 0)</f>
        <v>Uncovered anaerobic lagoon (Effluent pond)</v>
      </c>
      <c r="F93" s="38" cm="1">
        <f t="array" ref="F93">Common_InputFunctions.Utility_DisplayArrayInTable(SourceData_Feedlot.SourceData_Feedlot_MCF_Data(), Table_SourceData_Feedlot_MCF[[#Headers],[Treatment stage T]], 0)</f>
        <v>0.75</v>
      </c>
      <c r="G93" s="38" cm="1">
        <f t="array" ref="G93">Common_InputFunctions.Utility_DisplayArrayInTable(SourceData_Feedlot.SourceData_Feedlot_MCF_Data(), Table_SourceData_Feedlot_MCF[[#Headers],[Treatment stage T]], 0)</f>
        <v>0.75</v>
      </c>
      <c r="H93" s="38" cm="1">
        <f t="array" ref="H93">Common_InputFunctions.Utility_DisplayArrayInTable(SourceData_Feedlot.SourceData_Feedlot_MCF_Data(), Table_SourceData_Feedlot_MCF[[#Headers],[Treatment stage T]], 0)</f>
        <v>0.77</v>
      </c>
      <c r="I93" s="38" cm="1">
        <f t="array" ref="I93">Common_InputFunctions.Utility_DisplayArrayInTable(SourceData_Feedlot.SourceData_Feedlot_MCF_Data(), Table_SourceData_Feedlot_MCF[[#Headers],[Treatment stage T]], 0)</f>
        <v>0.77</v>
      </c>
      <c r="J93" s="38" cm="1">
        <f t="array" ref="J93">Common_InputFunctions.Utility_DisplayArrayInTable(SourceData_Feedlot.SourceData_Feedlot_MCF_Data(), Table_SourceData_Feedlot_MCF[[#Headers],[Treatment stage T]], 0)</f>
        <v>0.75</v>
      </c>
      <c r="K93" s="38" cm="1">
        <f t="array" ref="K93">Common_InputFunctions.Utility_DisplayArrayInTable(SourceData_Feedlot.SourceData_Feedlot_MCF_Data(), Table_SourceData_Feedlot_MCF[[#Headers],[Treatment stage T]], 0)</f>
        <v>0.75</v>
      </c>
      <c r="L93" s="38" cm="1">
        <f t="array" ref="L93">Common_InputFunctions.Utility_DisplayArrayInTable(SourceData_Feedlot.SourceData_Feedlot_MCF_Data(), Table_SourceData_Feedlot_MCF[[#Headers],[Treatment stage T]], 0)</f>
        <v>0.77</v>
      </c>
      <c r="M93" s="38" cm="1">
        <f t="array" ref="M93">Common_InputFunctions.Utility_DisplayArrayInTable(SourceData_Feedlot.SourceData_Feedlot_MCF_Data(), Table_SourceData_Feedlot_MCF[[#Headers],[Treatment stage T]], 0)</f>
        <v>0.75</v>
      </c>
      <c r="N93" s="38" t="str" cm="1">
        <f t="array" ref="N93">Common_InputFunctions.Utility_DisplayArrayInTable(SourceData_Feedlot.SourceData_Feedlot_MCF_Data(), Table_SourceData_Feedlot_MCF[[#Headers],[Treatment stage T]], 0)</f>
        <v>Anaerobic lagoon</v>
      </c>
    </row>
    <row r="94" spans="4:14" ht="20" customHeight="1" x14ac:dyDescent="0.25">
      <c r="M94" s="23"/>
    </row>
    <row r="95" spans="4:14" ht="20" customHeight="1" x14ac:dyDescent="0.25">
      <c r="M95" s="23"/>
    </row>
    <row r="96" spans="4:14" ht="20" customHeight="1" x14ac:dyDescent="0.25">
      <c r="D96" s="6" t="str" cm="1">
        <f t="array" ref="D96">SourceData_Feedlot.SourceData_Feedlot_NitrousOxideEFs_Title()</f>
        <v>Feedlot - Nitrous oxide EFs</v>
      </c>
      <c r="M96" s="23"/>
    </row>
    <row r="97" spans="4:14" ht="20" customHeight="1" x14ac:dyDescent="0.25">
      <c r="D97" s="5" t="str" cm="1">
        <f t="array" ref="D97">SourceData_Feedlot.SourceData_Feedlot_NitrousOxideEFs_Source()</f>
        <v>VEERG 2026: Table A.1.1.5: Beef feedlot cattle - Nitrous oxide EFs (EFmT)</v>
      </c>
      <c r="M97" s="23"/>
    </row>
    <row r="98" spans="4:14" ht="20" customHeight="1" x14ac:dyDescent="0.25">
      <c r="D98" s="56" t="str" cm="1">
        <f t="array" ref="D98:D99">SourceData_Feedlot.SourceData_Feedlot_NitrousOxideEFs_Variation()</f>
        <v>VARIATION ON SOURCE:</v>
      </c>
      <c r="M98" s="23"/>
    </row>
    <row r="99" spans="4:14" ht="20" customHeight="1" x14ac:dyDescent="0.25">
      <c r="D99" s="56" t="str">
        <v>Added 'NIR definition' column with MMS names that match NIR definitions.</v>
      </c>
      <c r="M99" s="23"/>
    </row>
    <row r="100" spans="4:14" ht="20" customHeight="1" x14ac:dyDescent="0.25">
      <c r="D100" s="38" t="s">
        <v>103</v>
      </c>
      <c r="E100" s="38" t="s">
        <v>98</v>
      </c>
      <c r="F100" s="38" t="s">
        <v>139</v>
      </c>
      <c r="G100" s="38" t="s">
        <v>93</v>
      </c>
      <c r="M100" s="1"/>
      <c r="N100" s="23"/>
    </row>
    <row r="101" spans="4:14" ht="20" customHeight="1" x14ac:dyDescent="0.25">
      <c r="D101" s="38" t="str" cm="1">
        <f t="array" ref="D101">Common_InputFunctions.Utility_DisplayArrayInTable(SourceData_Feedlot.SourceData_Feedlot_NitrousOxideEFs_Data(), Table_SourceData_Feedlot_NO2EFs[[#Headers],[Treatment stage T]], 0)</f>
        <v>Primary</v>
      </c>
      <c r="E101" s="38" t="str" cm="1">
        <f t="array" ref="E101">Common_InputFunctions.Utility_DisplayArrayInTable(SourceData_Feedlot.SourceData_Feedlot_NitrousOxideEFs_Data(), Table_SourceData_Feedlot_NO2EFs[[#Headers],[Treatment stage T]], 0)</f>
        <v>Dry lot (Feedpad)</v>
      </c>
      <c r="F101" s="38" cm="1">
        <f t="array" ref="F101">Common_InputFunctions.Utility_DisplayArrayInTable(SourceData_Feedlot.SourceData_Feedlot_NitrousOxideEFs_Data(), Table_SourceData_Feedlot_NO2EFs[[#Headers],[Treatment stage T]], 0)</f>
        <v>5.4000000000000003E-3</v>
      </c>
      <c r="G101" s="38" t="str" cm="1">
        <f t="array" ref="G101">Common_InputFunctions.Utility_DisplayArrayInTable(SourceData_Feedlot.SourceData_Feedlot_NitrousOxideEFs_Data(), Table_SourceData_Feedlot_NO2EFs[[#Headers],[Treatment stage T]], 0)</f>
        <v>Drylot (feed pad)</v>
      </c>
      <c r="M101" s="1"/>
      <c r="N101" s="23"/>
    </row>
    <row r="102" spans="4:14" ht="20" customHeight="1" x14ac:dyDescent="0.25">
      <c r="D102" s="1" t="str" cm="1">
        <f t="array" ref="D102">Common_InputFunctions.Utility_DisplayArrayInTable(SourceData_Feedlot.SourceData_Feedlot_NitrousOxideEFs_Data(), Table_SourceData_Feedlot_NO2EFs[[#Headers],[Treatment stage T]], 0)</f>
        <v>Secondary</v>
      </c>
      <c r="E102" s="38" t="str" cm="1">
        <f t="array" ref="E102">Common_InputFunctions.Utility_DisplayArrayInTable(SourceData_Feedlot.SourceData_Feedlot_NitrousOxideEFs_Data(), Table_SourceData_Feedlot_NO2EFs[[#Headers],[Treatment stage T]], 0)</f>
        <v>Solid Storage (Stockpile)</v>
      </c>
      <c r="F102" s="38" cm="1">
        <f t="array" ref="F102">Common_InputFunctions.Utility_DisplayArrayInTable(SourceData_Feedlot.SourceData_Feedlot_NitrousOxideEFs_Data(), Table_SourceData_Feedlot_NO2EFs[[#Headers],[Treatment stage T]], 0)</f>
        <v>5.0000000000000001E-3</v>
      </c>
      <c r="G102" s="38" t="str" cm="1">
        <f t="array" ref="G102">Common_InputFunctions.Utility_DisplayArrayInTable(SourceData_Feedlot.SourceData_Feedlot_NitrousOxideEFs_Data(), Table_SourceData_Feedlot_NO2EFs[[#Headers],[Treatment stage T]], 0)</f>
        <v>Solid storage</v>
      </c>
      <c r="M102" s="1"/>
      <c r="N102" s="23"/>
    </row>
    <row r="103" spans="4:14" ht="20" customHeight="1" x14ac:dyDescent="0.25">
      <c r="D103" s="1" t="str" cm="1">
        <f t="array" ref="D103">Common_InputFunctions.Utility_DisplayArrayInTable(SourceData_Feedlot.SourceData_Feedlot_NitrousOxideEFs_Data(), Table_SourceData_Feedlot_NO2EFs[[#Headers],[Treatment stage T]], 0)</f>
        <v>Secondary</v>
      </c>
      <c r="E103" s="38" t="str" cm="1">
        <f t="array" ref="E103">Common_InputFunctions.Utility_DisplayArrayInTable(SourceData_Feedlot.SourceData_Feedlot_NitrousOxideEFs_Data(), Table_SourceData_Feedlot_NO2EFs[[#Headers],[Treatment stage T]], 0)</f>
        <v>Composting (Passive Windrow)</v>
      </c>
      <c r="F103" s="38" cm="1">
        <f t="array" ref="F103">Common_InputFunctions.Utility_DisplayArrayInTable(SourceData_Feedlot.SourceData_Feedlot_NitrousOxideEFs_Data(), Table_SourceData_Feedlot_NO2EFs[[#Headers],[Treatment stage T]], 0)</f>
        <v>0.01</v>
      </c>
      <c r="G103" s="38" t="str" cm="1">
        <f t="array" ref="G103">Common_InputFunctions.Utility_DisplayArrayInTable(SourceData_Feedlot.SourceData_Feedlot_NitrousOxideEFs_Data(), Table_SourceData_Feedlot_NO2EFs[[#Headers],[Treatment stage T]], 0)</f>
        <v>Composting (passive windrow)</v>
      </c>
      <c r="M103" s="23"/>
    </row>
    <row r="104" spans="4:14" ht="20" customHeight="1" x14ac:dyDescent="0.25">
      <c r="D104" s="1" t="str" cm="1">
        <f t="array" ref="D104">Common_InputFunctions.Utility_DisplayArrayInTable(SourceData_Feedlot.SourceData_Feedlot_NitrousOxideEFs_Data(), Table_SourceData_Feedlot_NO2EFs[[#Headers],[Treatment stage T]], 0)</f>
        <v>Secondary</v>
      </c>
      <c r="E104" s="38" t="str" cm="1">
        <f t="array" ref="E104">Common_InputFunctions.Utility_DisplayArrayInTable(SourceData_Feedlot.SourceData_Feedlot_NitrousOxideEFs_Data(), Table_SourceData_Feedlot_NO2EFs[[#Headers],[Treatment stage T]], 0)</f>
        <v>Direct Application to soil</v>
      </c>
      <c r="F104" s="38" cm="1">
        <f t="array" ref="F104">Common_InputFunctions.Utility_DisplayArrayInTable(SourceData_Feedlot.SourceData_Feedlot_NitrousOxideEFs_Data(), Table_SourceData_Feedlot_NO2EFs[[#Headers],[Treatment stage T]], 0)</f>
        <v>0</v>
      </c>
      <c r="G104" s="38" t="str" cm="1">
        <f t="array" ref="G104">Common_InputFunctions.Utility_DisplayArrayInTable(SourceData_Feedlot.SourceData_Feedlot_NitrousOxideEFs_Data(), Table_SourceData_Feedlot_NO2EFs[[#Headers],[Treatment stage T]], 0)</f>
        <v>Direct application</v>
      </c>
      <c r="M104" s="23"/>
    </row>
    <row r="105" spans="4:14" ht="20" customHeight="1" x14ac:dyDescent="0.25">
      <c r="D105" s="1" t="str" cm="1">
        <f t="array" ref="D105">Common_InputFunctions.Utility_DisplayArrayInTable(SourceData_Feedlot.SourceData_Feedlot_NitrousOxideEFs_Data(), Table_SourceData_Feedlot_NO2EFs[[#Headers],[Treatment stage T]], 0)</f>
        <v>Tertiary</v>
      </c>
      <c r="E105" s="38" t="str" cm="1">
        <f t="array" ref="E105">Common_InputFunctions.Utility_DisplayArrayInTable(SourceData_Feedlot.SourceData_Feedlot_NitrousOxideEFs_Data(), Table_SourceData_Feedlot_NO2EFs[[#Headers],[Treatment stage T]], 0)</f>
        <v>Uncovered anaerobic lagoon (Effluent Pond)</v>
      </c>
      <c r="F105" s="38" cm="1">
        <f t="array" ref="F105">Common_InputFunctions.Utility_DisplayArrayInTable(SourceData_Feedlot.SourceData_Feedlot_NitrousOxideEFs_Data(), Table_SourceData_Feedlot_NO2EFs[[#Headers],[Treatment stage T]], 0)</f>
        <v>0</v>
      </c>
      <c r="G105" s="38" t="str" cm="1">
        <f t="array" ref="G105">Common_InputFunctions.Utility_DisplayArrayInTable(SourceData_Feedlot.SourceData_Feedlot_NitrousOxideEFs_Data(), Table_SourceData_Feedlot_NO2EFs[[#Headers],[Treatment stage T]], 0)</f>
        <v>Anaerobic lagoon</v>
      </c>
      <c r="M105" s="23"/>
    </row>
    <row r="106" spans="4:14" ht="20" customHeight="1" x14ac:dyDescent="0.25">
      <c r="M106" s="23"/>
    </row>
    <row r="107" spans="4:14" ht="20" customHeight="1" x14ac:dyDescent="0.25">
      <c r="M107" s="23"/>
    </row>
    <row r="108" spans="4:14" ht="20" customHeight="1" x14ac:dyDescent="0.25">
      <c r="D108" s="6" t="str" cm="1">
        <f t="array" ref="D108">SourceData_Feedlot.SourceData_Feedlot_FracNVolatilised_Title()</f>
        <v>Feedlot - Fraction of N volatilised by MMS (FracGASMmT)</v>
      </c>
      <c r="M108" s="23"/>
    </row>
    <row r="109" spans="4:14" ht="20" customHeight="1" x14ac:dyDescent="0.25">
      <c r="D109" s="5" t="str" cm="1">
        <f t="array" ref="D109">SourceData_Feedlot.SourceData_Feedlot_FracNVolatilised_Source()</f>
        <v>VEERG 2026: Table A.1.1.6: Beef feedlot cattle - Fraction of N volatilised by MMS (FracGASMmT)</v>
      </c>
      <c r="M109" s="23"/>
    </row>
    <row r="110" spans="4:14" ht="20" customHeight="1" x14ac:dyDescent="0.25">
      <c r="D110" s="56" t="str" cm="1">
        <f t="array" ref="D110:D111">SourceData_Feedlot.SourceData_Feedlot_FracNVolatilised_Variation()</f>
        <v>VARIATION ON SOURCE:</v>
      </c>
      <c r="M110" s="23"/>
    </row>
    <row r="111" spans="4:14" ht="20" customHeight="1" x14ac:dyDescent="0.25">
      <c r="D111" s="56" t="str">
        <v>Added 'NIR definition' column with MMS names that match NIR definitions.</v>
      </c>
      <c r="M111" s="23"/>
    </row>
    <row r="112" spans="4:14" ht="20" customHeight="1" x14ac:dyDescent="0.25">
      <c r="D112" s="110" t="s">
        <v>103</v>
      </c>
      <c r="E112" s="110" t="s">
        <v>98</v>
      </c>
      <c r="F112" s="110" t="s">
        <v>140</v>
      </c>
      <c r="G112" s="110" t="s">
        <v>93</v>
      </c>
      <c r="M112" s="23"/>
    </row>
    <row r="113" spans="4:22" ht="20"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3"/>
    </row>
    <row r="114" spans="4:22" ht="20"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3"/>
    </row>
    <row r="115" spans="4:22" ht="20"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3"/>
      <c r="V115" s="1"/>
    </row>
    <row r="116" spans="4:22" ht="20"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3"/>
      <c r="V116" s="1"/>
    </row>
    <row r="117" spans="4:22" ht="20"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3"/>
      <c r="V117" s="1"/>
    </row>
    <row r="118" spans="4:22" ht="20" customHeight="1" x14ac:dyDescent="0.25">
      <c r="M118" s="23"/>
    </row>
    <row r="119" spans="4:22" ht="20" customHeight="1" x14ac:dyDescent="0.25">
      <c r="M119" s="23"/>
    </row>
    <row r="120" spans="4:22" ht="20" customHeight="1" x14ac:dyDescent="0.25">
      <c r="M120" s="23"/>
    </row>
    <row r="121" spans="4:22" ht="20" customHeight="1" x14ac:dyDescent="0.25">
      <c r="M121" s="23"/>
    </row>
    <row r="122" spans="4:22" ht="20" customHeight="1" x14ac:dyDescent="0.25">
      <c r="M122" s="23"/>
    </row>
    <row r="123" spans="4:22" ht="20" customHeight="1" x14ac:dyDescent="0.25">
      <c r="M123" s="23"/>
    </row>
    <row r="124" spans="4:22" ht="20" customHeight="1" x14ac:dyDescent="0.25">
      <c r="M124" s="23"/>
    </row>
    <row r="125" spans="4:22" ht="20" customHeight="1" x14ac:dyDescent="0.25">
      <c r="M125" s="23"/>
    </row>
    <row r="126" spans="4:22" ht="20" customHeight="1" x14ac:dyDescent="0.25">
      <c r="M126" s="23"/>
    </row>
    <row r="127" spans="4:22" ht="20" customHeight="1" x14ac:dyDescent="0.25">
      <c r="M127" s="23"/>
    </row>
    <row r="128" spans="4:22" ht="20" customHeight="1" x14ac:dyDescent="0.25">
      <c r="M128" s="23"/>
    </row>
    <row r="129" spans="13:13" ht="20" customHeight="1" x14ac:dyDescent="0.25">
      <c r="M129" s="23"/>
    </row>
    <row r="130" spans="13:13" ht="20" customHeight="1" x14ac:dyDescent="0.25">
      <c r="M130" s="23"/>
    </row>
    <row r="131" spans="13:13" ht="20" customHeight="1" x14ac:dyDescent="0.25">
      <c r="M131" s="23"/>
    </row>
    <row r="132" spans="13:13" ht="20" customHeight="1" x14ac:dyDescent="0.25">
      <c r="M132" s="23"/>
    </row>
    <row r="133" spans="13:13" ht="20" customHeight="1" x14ac:dyDescent="0.25">
      <c r="M133" s="23"/>
    </row>
    <row r="134" spans="13:13" ht="20" customHeight="1" x14ac:dyDescent="0.25">
      <c r="M134" s="23"/>
    </row>
    <row r="135" spans="13:13" ht="20" customHeight="1" x14ac:dyDescent="0.25">
      <c r="M135" s="23"/>
    </row>
    <row r="136" spans="13:13" ht="20" customHeight="1" x14ac:dyDescent="0.25">
      <c r="M136" s="23"/>
    </row>
    <row r="137" spans="13:13" ht="20" customHeight="1" x14ac:dyDescent="0.25">
      <c r="M137" s="23"/>
    </row>
    <row r="138" spans="13:13" ht="20" customHeight="1" x14ac:dyDescent="0.25">
      <c r="M138" s="23"/>
    </row>
    <row r="139" spans="13:13" ht="20" customHeight="1" x14ac:dyDescent="0.25">
      <c r="M139" s="23"/>
    </row>
    <row r="140" spans="13:13" ht="20" customHeight="1" x14ac:dyDescent="0.25">
      <c r="M140" s="23"/>
    </row>
    <row r="141" spans="13:13" ht="20" customHeight="1" x14ac:dyDescent="0.25">
      <c r="M141" s="23"/>
    </row>
    <row r="142" spans="13:13" ht="20" customHeight="1" x14ac:dyDescent="0.25">
      <c r="M142" s="23"/>
    </row>
    <row r="143" spans="13:13" ht="20" customHeight="1" x14ac:dyDescent="0.25">
      <c r="M143" s="23"/>
    </row>
    <row r="144" spans="13:13" ht="20" customHeight="1" x14ac:dyDescent="0.25">
      <c r="M144" s="23"/>
    </row>
    <row r="145" spans="13:13" ht="20" customHeight="1" x14ac:dyDescent="0.25">
      <c r="M145" s="23"/>
    </row>
    <row r="146" spans="13:13" ht="20" customHeight="1" x14ac:dyDescent="0.25">
      <c r="M146" s="23"/>
    </row>
    <row r="147" spans="13:13" ht="20" customHeight="1" x14ac:dyDescent="0.25">
      <c r="M147" s="23"/>
    </row>
    <row r="148" spans="13:13" ht="20" customHeight="1" x14ac:dyDescent="0.25">
      <c r="M148" s="23"/>
    </row>
    <row r="149" spans="13:13" ht="20" customHeight="1" x14ac:dyDescent="0.25">
      <c r="M149" s="23"/>
    </row>
    <row r="150" spans="13:13" ht="20" customHeight="1" x14ac:dyDescent="0.25">
      <c r="M150" s="23"/>
    </row>
    <row r="151" spans="13:13" ht="20" customHeight="1" x14ac:dyDescent="0.25">
      <c r="M151" s="23"/>
    </row>
    <row r="152" spans="13:13" ht="20" customHeight="1" x14ac:dyDescent="0.25">
      <c r="M152" s="23"/>
    </row>
    <row r="153" spans="13:13" ht="20" customHeight="1" x14ac:dyDescent="0.25">
      <c r="M153" s="23"/>
    </row>
    <row r="154" spans="13:13" ht="20" customHeight="1" x14ac:dyDescent="0.25">
      <c r="M154" s="23"/>
    </row>
    <row r="155" spans="13:13" ht="20" customHeight="1" x14ac:dyDescent="0.25">
      <c r="M155" s="23"/>
    </row>
    <row r="156" spans="13:13" ht="20" customHeight="1" x14ac:dyDescent="0.25">
      <c r="M156" s="23"/>
    </row>
    <row r="157" spans="13:13" ht="20" customHeight="1" x14ac:dyDescent="0.25">
      <c r="M157" s="23"/>
    </row>
    <row r="158" spans="13:13" ht="20" customHeight="1" x14ac:dyDescent="0.25">
      <c r="M158" s="23"/>
    </row>
    <row r="159" spans="13:13" ht="20" customHeight="1" x14ac:dyDescent="0.25">
      <c r="M159" s="23"/>
    </row>
    <row r="160" spans="13:13" ht="20" customHeight="1" x14ac:dyDescent="0.25">
      <c r="M160" s="23"/>
    </row>
    <row r="161" spans="13:13" ht="20" customHeight="1" x14ac:dyDescent="0.25">
      <c r="M161" s="23"/>
    </row>
    <row r="162" spans="13:13" ht="20" customHeight="1" x14ac:dyDescent="0.25">
      <c r="M162" s="23"/>
    </row>
    <row r="163" spans="13:13" ht="20" customHeight="1" x14ac:dyDescent="0.25">
      <c r="M163" s="23"/>
    </row>
    <row r="164" spans="13:13" ht="20" customHeight="1" x14ac:dyDescent="0.25">
      <c r="M164" s="23"/>
    </row>
    <row r="165" spans="13:13" ht="20" customHeight="1" x14ac:dyDescent="0.25">
      <c r="M165" s="23"/>
    </row>
    <row r="166" spans="13:13" x14ac:dyDescent="0.25" ht="20" customHeight="1">
      <c r="M166" s="23"/>
    </row>
    <row r="167" spans="13:13" x14ac:dyDescent="0.25" ht="20" customHeight="1">
      <c r="M167" s="23"/>
    </row>
    <row r="168" spans="13:13" x14ac:dyDescent="0.25" ht="20" customHeight="1">
      <c r="M168" s="23"/>
    </row>
    <row r="169" spans="13:13" x14ac:dyDescent="0.25" ht="20" customHeight="1">
      <c r="M169" s="23"/>
    </row>
    <row r="170" spans="13:13" x14ac:dyDescent="0.25" ht="20" customHeight="1">
      <c r="M170" s="23"/>
    </row>
    <row r="171" spans="13:13" x14ac:dyDescent="0.25" ht="20" customHeight="1">
      <c r="M171" s="23"/>
    </row>
    <row r="172" spans="13:13" x14ac:dyDescent="0.25" ht="20" customHeight="1">
      <c r="M172" s="23"/>
    </row>
    <row r="173" spans="13:13" x14ac:dyDescent="0.25" ht="20" customHeight="1">
      <c r="M173" s="23"/>
    </row>
    <row r="174" spans="13:13" x14ac:dyDescent="0.25" ht="20" customHeight="1">
      <c r="M174" s="23"/>
    </row>
    <row r="175" spans="13:13" x14ac:dyDescent="0.25" ht="20" customHeight="1">
      <c r="M175" s="23"/>
    </row>
    <row r="176" spans="13:13" x14ac:dyDescent="0.25" ht="20" customHeight="1">
      <c r="M176" s="23"/>
    </row>
    <row r="177" spans="13:13" x14ac:dyDescent="0.25" ht="20" customHeight="1">
      <c r="M177" s="23"/>
    </row>
    <row r="178" spans="13:13" x14ac:dyDescent="0.25" ht="20" customHeight="1">
      <c r="M178" s="23"/>
    </row>
    <row r="179" spans="13:13" x14ac:dyDescent="0.25" ht="20" customHeight="1">
      <c r="M179" s="23"/>
    </row>
    <row r="180" spans="13:13" x14ac:dyDescent="0.25" ht="20" customHeight="1">
      <c r="M180" s="23"/>
    </row>
    <row r="181" spans="13:13" x14ac:dyDescent="0.25" ht="20" customHeight="1">
      <c r="M181" s="23"/>
    </row>
    <row r="182" spans="13:13" x14ac:dyDescent="0.25" ht="20" customHeight="1">
      <c r="M182" s="23"/>
    </row>
    <row r="183" spans="13:13" x14ac:dyDescent="0.25" ht="20" customHeight="1">
      <c r="M183" s="23"/>
    </row>
    <row r="184" spans="13:13" x14ac:dyDescent="0.25" ht="20" customHeight="1">
      <c r="M184" s="23"/>
    </row>
    <row r="185" spans="13:13" x14ac:dyDescent="0.25" ht="20" customHeight="1">
      <c r="M185" s="23"/>
    </row>
    <row r="186" spans="13:13" x14ac:dyDescent="0.25" ht="20" customHeight="1">
      <c r="M186" s="23"/>
    </row>
    <row r="187" spans="13:13" x14ac:dyDescent="0.25" ht="20" customHeight="1">
      <c r="M187" s="23"/>
    </row>
    <row r="188" spans="13:13" x14ac:dyDescent="0.25" ht="20" customHeight="1">
      <c r="M188" s="23"/>
    </row>
    <row r="189" spans="13:13" x14ac:dyDescent="0.25" ht="20" customHeight="1">
      <c r="M189" s="23"/>
    </row>
    <row r="190" spans="13:13" x14ac:dyDescent="0.25" ht="20" customHeight="1">
      <c r="M190" s="23"/>
    </row>
    <row r="191" spans="13:13" x14ac:dyDescent="0.25" ht="20" customHeight="1">
      <c r="M191" s="23"/>
    </row>
    <row r="192" spans="13:13" x14ac:dyDescent="0.25" ht="20" customHeight="1">
      <c r="M192" s="23"/>
    </row>
    <row r="193" spans="13:13" x14ac:dyDescent="0.25" ht="20" customHeight="1">
      <c r="M193" s="23"/>
    </row>
    <row r="194" spans="13:13" x14ac:dyDescent="0.25" ht="20" customHeight="1">
      <c r="M194" s="23"/>
    </row>
    <row r="195" spans="13:13" x14ac:dyDescent="0.25" ht="20" customHeight="1">
      <c r="M195" s="23"/>
    </row>
    <row r="196" spans="13:13" x14ac:dyDescent="0.25" ht="20" customHeight="1">
      <c r="M196" s="23"/>
    </row>
    <row r="197" spans="13:13" x14ac:dyDescent="0.25" ht="20" customHeight="1">
      <c r="M197" s="23"/>
    </row>
    <row r="198" spans="13:13" x14ac:dyDescent="0.25" ht="20" customHeight="1">
      <c r="M198" s="23"/>
    </row>
    <row r="199" spans="13:13" x14ac:dyDescent="0.25" ht="20" customHeight="1">
      <c r="M199" s="23"/>
    </row>
    <row r="200" spans="13:13" x14ac:dyDescent="0.25" ht="20" customHeight="1">
      <c r="M200" s="23"/>
    </row>
    <row r="201" spans="13:13" x14ac:dyDescent="0.25" ht="20" customHeight="1">
      <c r="M201" s="23"/>
    </row>
    <row r="202" spans="13:13" x14ac:dyDescent="0.25" ht="20" customHeight="1">
      <c r="M202" s="23"/>
    </row>
    <row r="203" spans="13:13" x14ac:dyDescent="0.25" ht="20" customHeight="1">
      <c r="M203" s="23"/>
    </row>
    <row r="204" spans="13:13" x14ac:dyDescent="0.25" ht="20" customHeight="1">
      <c r="M204" s="23"/>
    </row>
    <row r="205" spans="13:13" x14ac:dyDescent="0.25" ht="20" customHeight="1">
      <c r="M205" s="23"/>
    </row>
    <row r="206" spans="13:13" x14ac:dyDescent="0.25" ht="20" customHeight="1">
      <c r="M206" s="23"/>
    </row>
    <row r="207" spans="13:13" x14ac:dyDescent="0.25" ht="20" customHeight="1">
      <c r="M207" s="23"/>
    </row>
    <row r="208" spans="13:13" x14ac:dyDescent="0.25" ht="20" customHeight="1">
      <c r="M208" s="23"/>
    </row>
    <row r="209" spans="13:13" x14ac:dyDescent="0.25" ht="20" customHeight="1">
      <c r="M209" s="23"/>
    </row>
    <row r="210" spans="13:13" x14ac:dyDescent="0.25" ht="20" customHeight="1">
      <c r="M210" s="23"/>
    </row>
    <row r="211" spans="13:13" x14ac:dyDescent="0.25" ht="20" customHeight="1">
      <c r="M211" s="23"/>
    </row>
    <row r="212" spans="13:13" x14ac:dyDescent="0.25" ht="20" customHeight="1">
      <c r="M212" s="23"/>
    </row>
    <row r="213" spans="13:13" x14ac:dyDescent="0.25" ht="20" customHeight="1">
      <c r="M213" s="23"/>
    </row>
    <row r="214" spans="13:13" x14ac:dyDescent="0.25" ht="20" customHeight="1">
      <c r="M214" s="23"/>
    </row>
    <row r="215" spans="13:13" x14ac:dyDescent="0.25" ht="20" customHeight="1">
      <c r="M215" s="23"/>
    </row>
    <row r="216" spans="13:13" x14ac:dyDescent="0.25" ht="20" customHeight="1">
      <c r="M216" s="23"/>
    </row>
    <row r="217" spans="13:13" x14ac:dyDescent="0.25" ht="20" customHeight="1">
      <c r="M217" s="23"/>
    </row>
    <row r="218" spans="13:13" x14ac:dyDescent="0.25" ht="20" customHeight="1">
      <c r="M218" s="23"/>
    </row>
    <row r="219" spans="13:13" x14ac:dyDescent="0.25" ht="20" customHeight="1">
      <c r="M219" s="23"/>
    </row>
    <row r="220" spans="13:13" x14ac:dyDescent="0.25" ht="20" customHeight="1">
      <c r="M220" s="23"/>
    </row>
    <row r="221" spans="13:13" x14ac:dyDescent="0.25" ht="20" customHeight="1">
      <c r="M221" s="23"/>
    </row>
    <row r="222" spans="13:13" x14ac:dyDescent="0.25" ht="20" customHeight="1">
      <c r="M222" s="23"/>
    </row>
    <row r="223" spans="13:13" x14ac:dyDescent="0.25" ht="20" customHeight="1">
      <c r="M223" s="23"/>
    </row>
    <row r="224" spans="13:13" x14ac:dyDescent="0.25" ht="20" customHeight="1">
      <c r="M224" s="23"/>
    </row>
    <row r="225" spans="13:13" x14ac:dyDescent="0.25" ht="20" customHeight="1">
      <c r="M225" s="23"/>
    </row>
    <row r="226" spans="13:13" x14ac:dyDescent="0.25" ht="20" customHeight="1">
      <c r="M226" s="23"/>
    </row>
    <row r="227" spans="13:13" x14ac:dyDescent="0.25" ht="20" customHeight="1">
      <c r="M227" s="23"/>
    </row>
    <row r="228" spans="13:13" x14ac:dyDescent="0.25" ht="20" customHeight="1">
      <c r="M228" s="23"/>
    </row>
    <row r="229" spans="13:13" x14ac:dyDescent="0.25" ht="20" customHeight="1">
      <c r="M229" s="23"/>
    </row>
    <row r="230" spans="13:13" x14ac:dyDescent="0.25" ht="20" customHeight="1">
      <c r="M230" s="23"/>
    </row>
    <row r="231" spans="13:13" x14ac:dyDescent="0.25" ht="20" customHeight="1">
      <c r="M231" s="23"/>
    </row>
    <row r="232" spans="13:13" x14ac:dyDescent="0.25" ht="20" customHeight="1">
      <c r="M232" s="23"/>
    </row>
    <row r="233" spans="13:13" x14ac:dyDescent="0.25" ht="20" customHeight="1">
      <c r="M233" s="23"/>
    </row>
    <row r="234" spans="13:13" x14ac:dyDescent="0.25" ht="20" customHeight="1">
      <c r="M234" s="23"/>
    </row>
    <row r="235" spans="13:13" x14ac:dyDescent="0.25" ht="20" customHeight="1">
      <c r="M235" s="23"/>
    </row>
    <row r="236" spans="13:13" x14ac:dyDescent="0.25" ht="20" customHeight="1">
      <c r="M236" s="23"/>
    </row>
    <row r="237" spans="13:13" x14ac:dyDescent="0.25" ht="20" customHeight="1">
      <c r="M237" s="23"/>
    </row>
    <row r="238" spans="13:13" x14ac:dyDescent="0.25" ht="20" customHeight="1">
      <c r="M238" s="23"/>
    </row>
    <row r="239" spans="13:13" x14ac:dyDescent="0.25" ht="20" customHeight="1">
      <c r="M239" s="23"/>
    </row>
    <row r="240" spans="13:13" x14ac:dyDescent="0.25" ht="20" customHeight="1">
      <c r="M240" s="23"/>
    </row>
    <row r="241" spans="13:13" x14ac:dyDescent="0.25" ht="20" customHeight="1">
      <c r="M241" s="23"/>
    </row>
    <row r="242" spans="13:13" x14ac:dyDescent="0.25" ht="20" customHeight="1">
      <c r="M242" s="23"/>
    </row>
    <row r="243" spans="13:13" x14ac:dyDescent="0.25" ht="20" customHeight="1">
      <c r="M243" s="23"/>
    </row>
    <row r="244" spans="13:13" x14ac:dyDescent="0.25" ht="20" customHeight="1">
      <c r="M244" s="23"/>
    </row>
    <row r="245" spans="13:13" x14ac:dyDescent="0.25" ht="20" customHeight="1">
      <c r="M245" s="23"/>
    </row>
    <row r="246" spans="13:13" x14ac:dyDescent="0.25" ht="20" customHeight="1">
      <c r="M246" s="23"/>
    </row>
    <row r="247" spans="13:13" x14ac:dyDescent="0.25" ht="20" customHeight="1">
      <c r="M247" s="23"/>
    </row>
    <row r="248" spans="13:13" x14ac:dyDescent="0.25" ht="20" customHeight="1">
      <c r="M248" s="23"/>
    </row>
    <row r="249" spans="13:13" x14ac:dyDescent="0.25" ht="20" customHeight="1">
      <c r="M249" s="23"/>
    </row>
    <row r="250" spans="13:13" x14ac:dyDescent="0.25" ht="20" customHeight="1">
      <c r="M250" s="23"/>
    </row>
    <row r="251" spans="13:13" x14ac:dyDescent="0.25" ht="20" customHeight="1">
      <c r="M251" s="23"/>
    </row>
    <row r="252" spans="13:13" x14ac:dyDescent="0.25" ht="20" customHeight="1">
      <c r="M252" s="23"/>
    </row>
    <row r="253" spans="13:13" x14ac:dyDescent="0.25" ht="20" customHeight="1">
      <c r="M253" s="23"/>
    </row>
    <row r="254" spans="13:13" x14ac:dyDescent="0.25" ht="20" customHeight="1">
      <c r="M254" s="23"/>
    </row>
    <row r="255" spans="13:13" x14ac:dyDescent="0.25" ht="20" customHeight="1">
      <c r="M255" s="23"/>
    </row>
    <row r="256" spans="13:13" x14ac:dyDescent="0.25" ht="20" customHeight="1">
      <c r="M256" s="23"/>
    </row>
    <row r="257" spans="13:13" x14ac:dyDescent="0.25" ht="20" customHeight="1">
      <c r="M257" s="23"/>
    </row>
    <row r="258" spans="13:13" x14ac:dyDescent="0.25" ht="20" customHeight="1">
      <c r="M258" s="23"/>
    </row>
    <row r="259" spans="13:13" x14ac:dyDescent="0.25" ht="20" customHeight="1">
      <c r="M259" s="23"/>
    </row>
    <row r="260" spans="13:13" x14ac:dyDescent="0.25" ht="20" customHeight="1">
      <c r="M260" s="23"/>
    </row>
    <row r="261" spans="13:13" x14ac:dyDescent="0.25" ht="20" customHeight="1">
      <c r="M261" s="23"/>
    </row>
    <row r="262" spans="13:13" x14ac:dyDescent="0.25" ht="20" customHeight="1">
      <c r="M262" s="23"/>
    </row>
    <row r="263" spans="13:13" x14ac:dyDescent="0.25" ht="20" customHeight="1">
      <c r="M263" s="23"/>
    </row>
    <row r="264" spans="13:13" x14ac:dyDescent="0.25" ht="20" customHeight="1">
      <c r="M264" s="23"/>
    </row>
    <row r="265" spans="13:13" x14ac:dyDescent="0.25" ht="20" customHeight="1">
      <c r="M265" s="23"/>
    </row>
    <row r="266" spans="13:13" x14ac:dyDescent="0.25" ht="20" customHeight="1">
      <c r="M266" s="23"/>
    </row>
    <row r="267" spans="13:13" x14ac:dyDescent="0.25" ht="20" customHeight="1">
      <c r="M267" s="23"/>
    </row>
    <row r="268" spans="13:13" x14ac:dyDescent="0.25" ht="20" customHeight="1">
      <c r="M268" s="23"/>
    </row>
    <row r="269" spans="13:13" x14ac:dyDescent="0.25" ht="20" customHeight="1">
      <c r="M269" s="23"/>
    </row>
    <row r="270" spans="13:13" x14ac:dyDescent="0.25" ht="20" customHeight="1">
      <c r="M270" s="23"/>
    </row>
    <row r="271" spans="13:13" x14ac:dyDescent="0.25" ht="20" customHeight="1">
      <c r="M271" s="23"/>
    </row>
    <row r="272" spans="13:13" x14ac:dyDescent="0.25" ht="20" customHeight="1">
      <c r="M272" s="23"/>
    </row>
    <row r="273" spans="13:13" x14ac:dyDescent="0.25" ht="20" customHeight="1">
      <c r="M273" s="23"/>
    </row>
    <row r="274" spans="13:13" x14ac:dyDescent="0.25" ht="20" customHeight="1">
      <c r="M274" s="23"/>
    </row>
    <row r="275" spans="13:13" x14ac:dyDescent="0.25" ht="20" customHeight="1">
      <c r="M275" s="23"/>
    </row>
    <row r="276" spans="13:13" x14ac:dyDescent="0.25" ht="20" customHeight="1">
      <c r="M276" s="23"/>
    </row>
    <row r="277" spans="13:13" x14ac:dyDescent="0.25" ht="20" customHeight="1">
      <c r="M277" s="23"/>
    </row>
    <row r="278" spans="13:13" x14ac:dyDescent="0.25" ht="20" customHeight="1">
      <c r="M278" s="23"/>
    </row>
    <row r="279" spans="13:13" x14ac:dyDescent="0.25" ht="20" customHeight="1">
      <c r="M279" s="23"/>
    </row>
    <row r="280" spans="13:13" x14ac:dyDescent="0.25" ht="20" customHeight="1">
      <c r="M280" s="23"/>
    </row>
    <row r="281" spans="13:13" x14ac:dyDescent="0.25" ht="20" customHeight="1">
      <c r="M281" s="23"/>
    </row>
    <row r="282" spans="13:13" x14ac:dyDescent="0.25" ht="20" customHeight="1">
      <c r="M282" s="23"/>
    </row>
    <row r="283" spans="13:13" x14ac:dyDescent="0.25" ht="20" customHeight="1">
      <c r="M283" s="23"/>
    </row>
    <row r="284" spans="13:13" x14ac:dyDescent="0.25" ht="20" customHeight="1">
      <c r="M284" s="23"/>
    </row>
    <row r="285" spans="13:13" x14ac:dyDescent="0.25" ht="20" customHeight="1">
      <c r="M285" s="23"/>
    </row>
    <row r="286" spans="13:13" x14ac:dyDescent="0.25" ht="20" customHeight="1">
      <c r="M286" s="23"/>
    </row>
    <row r="287" spans="13:13" x14ac:dyDescent="0.25" ht="20" customHeight="1">
      <c r="M287" s="23"/>
    </row>
    <row r="288" spans="13:13" x14ac:dyDescent="0.25" ht="20" customHeight="1">
      <c r="M288" s="23"/>
    </row>
  </sheetData>
  <pageMargins left="0.7" right="0.7" top="0.75" bottom="0.75" header="0.3" footer="0.3"/>
  <tableParts count="10">
    <tablePart r:id="rId1"/>
    <tablePart r:id="rId2"/>
    <tablePart r:id="rId3"/>
    <tablePart r:id="rId4"/>
    <tablePart r:id="rId5"/>
    <tablePart r:id="rId6"/>
    <tablePart r:id="rId7"/>
    <tablePart r:id="rId8"/>
    <tablePart r:id="rId9"/>
    <tablePart r:id="rId10"/>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56F25-26A3-4520-984A-0571CD11C947}">
  <sheetPr>
    <tabColor theme="2" tint="-0.499984740745262"/>
  </sheetPr>
  <dimension ref="A1:BY297"/>
  <sheetViews>
    <sheetView showGridLines="0" topLeftCell="A239" zoomScaleNormal="100" workbookViewId="0">
      <selection activeCell="I279" sqref="I279"/>
    </sheetView>
  </sheetViews>
  <sheetFormatPr defaultColWidth="9.140625" defaultRowHeight="20" x14ac:dyDescent="0.25" customHeight="1"/>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 customHeight="1" x14ac:dyDescent="0.25">
      <c r="A2"/>
    </row>
    <row r="3" spans="1:65" ht="20"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 customHeight="1" x14ac:dyDescent="0.25">
      <c r="A4"/>
      <c r="BM4" s="3"/>
    </row>
    <row r="5" spans="1:65" ht="20" customHeight="1" x14ac:dyDescent="0.25">
      <c r="A5"/>
      <c r="D5" s="6" t="str" cm="1">
        <f t="array" ref="D5">Common_SourceData.Common_SourceData_AustralianStatesTerritories_Title()</f>
        <v>Australian states and territories</v>
      </c>
      <c r="BM5" s="3"/>
    </row>
    <row r="6" spans="1:65" ht="20" customHeight="1" x14ac:dyDescent="0.25">
      <c r="A6" s="145" t="s">
        <v>1</v>
      </c>
      <c r="D6" s="38" t="s">
        <v>18</v>
      </c>
      <c r="E6" s="38" t="s">
        <v>19</v>
      </c>
      <c r="F6" s="38" t="s">
        <v>20</v>
      </c>
    </row>
    <row r="7" spans="1:65" ht="20" customHeight="1" x14ac:dyDescent="0.25">
      <c r="A7" s="67"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 customHeight="1" x14ac:dyDescent="0.25">
      <c r="A15"/>
    </row>
    <row r="16" spans="1:65" ht="20" customHeight="1" x14ac:dyDescent="0.25">
      <c r="A16"/>
    </row>
    <row r="17" spans="1:4" ht="20" customHeight="1" x14ac:dyDescent="0.25">
      <c r="A17"/>
    </row>
    <row r="18" spans="1:4" ht="20" customHeight="1" x14ac:dyDescent="0.25">
      <c r="A18"/>
      <c r="D18" s="6" t="str" cm="1">
        <f t="array" ref="D18">Common_SourceData.Common_SourceData_WASA4Areas_Title()</f>
        <v>ABS Statistcal Areas Level 4 - Western Australia</v>
      </c>
    </row>
    <row r="19" spans="1:4" ht="20" customHeight="1" x14ac:dyDescent="0.25">
      <c r="A19"/>
      <c r="D19" s="5" t="str" cm="1">
        <f t="array" ref="D19">Common_SourceData.Common_SourceData_WASA4Areas_Source()</f>
        <v>Australian Bureau of Statistics (ABS) - Statistical Areas Level 2 - 2021 - Shapefile</v>
      </c>
    </row>
    <row r="20" spans="1:4" ht="20" customHeight="1" x14ac:dyDescent="0.25">
      <c r="A20"/>
      <c r="D20" s="38" t="s">
        <v>21</v>
      </c>
    </row>
    <row r="21" spans="1:4" ht="20" customHeight="1" x14ac:dyDescent="0.25">
      <c r="A21"/>
      <c r="D21" s="38" t="str" cm="1">
        <f t="array" ref="D21">Common_InputFunctions.Utility_DisplayArrayInTable(Common_SourceData.Common_SourceData_WASA4Areas_Data(), Table_WASA4Areas[[#Headers],[SA 4 Name]], 0)</f>
        <v>Bunbury</v>
      </c>
    </row>
    <row r="22" spans="1:4" ht="20" customHeight="1" x14ac:dyDescent="0.25">
      <c r="A22"/>
      <c r="D22" s="38" t="str" cm="1">
        <f t="array" ref="D22">Common_InputFunctions.Utility_DisplayArrayInTable(Common_SourceData.Common_SourceData_WASA4Areas_Data(), Table_WASA4Areas[[#Headers],[SA 4 Name]], 0)</f>
        <v>Mandurah</v>
      </c>
    </row>
    <row r="23" spans="1:4" ht="20" customHeight="1" x14ac:dyDescent="0.25">
      <c r="A23"/>
      <c r="D23" s="38" t="str" cm="1">
        <f t="array" ref="D23">Common_InputFunctions.Utility_DisplayArrayInTable(Common_SourceData.Common_SourceData_WASA4Areas_Data(), Table_WASA4Areas[[#Headers],[SA 4 Name]], 0)</f>
        <v>Perth - Inner</v>
      </c>
    </row>
    <row r="24" spans="1:4" ht="20" customHeight="1" x14ac:dyDescent="0.25">
      <c r="A24"/>
      <c r="D24" s="38" t="str" cm="1">
        <f t="array" ref="D24">Common_InputFunctions.Utility_DisplayArrayInTable(Common_SourceData.Common_SourceData_WASA4Areas_Data(), Table_WASA4Areas[[#Headers],[SA 4 Name]], 0)</f>
        <v>Perth - North East</v>
      </c>
    </row>
    <row r="25" spans="1:4" ht="20" customHeight="1" x14ac:dyDescent="0.25">
      <c r="A25"/>
      <c r="D25" s="38" t="str" cm="1">
        <f t="array" ref="D25">Common_InputFunctions.Utility_DisplayArrayInTable(Common_SourceData.Common_SourceData_WASA4Areas_Data(), Table_WASA4Areas[[#Headers],[SA 4 Name]], 0)</f>
        <v>Perth - North West</v>
      </c>
    </row>
    <row r="26" spans="1:4" ht="20" customHeight="1" x14ac:dyDescent="0.25">
      <c r="A26"/>
      <c r="D26" s="38" t="str" cm="1">
        <f t="array" ref="D26">Common_InputFunctions.Utility_DisplayArrayInTable(Common_SourceData.Common_SourceData_WASA4Areas_Data(), Table_WASA4Areas[[#Headers],[SA 4 Name]], 0)</f>
        <v>Perth - South East</v>
      </c>
    </row>
    <row r="27" spans="1:4" ht="20" customHeight="1" x14ac:dyDescent="0.25">
      <c r="A27"/>
      <c r="D27" s="38" t="str" cm="1">
        <f t="array" ref="D27">Common_InputFunctions.Utility_DisplayArrayInTable(Common_SourceData.Common_SourceData_WASA4Areas_Data(), Table_WASA4Areas[[#Headers],[SA 4 Name]], 0)</f>
        <v>Perth - South West</v>
      </c>
    </row>
    <row r="28" spans="1:4" ht="20" customHeight="1" x14ac:dyDescent="0.25">
      <c r="A28"/>
      <c r="D28" s="38" t="str" cm="1">
        <f t="array" ref="D28">Common_InputFunctions.Utility_DisplayArrayInTable(Common_SourceData.Common_SourceData_WASA4Areas_Data(), Table_WASA4Areas[[#Headers],[SA 4 Name]], 0)</f>
        <v>Western Australia - Wheat Belt</v>
      </c>
    </row>
    <row r="29" spans="1:4" ht="20" customHeight="1" x14ac:dyDescent="0.25">
      <c r="A29"/>
      <c r="D29" s="38" t="str" cm="1">
        <f t="array" ref="D29">Common_InputFunctions.Utility_DisplayArrayInTable(Common_SourceData.Common_SourceData_WASA4Areas_Data(), Table_WASA4Areas[[#Headers],[SA 4 Name]], 0)</f>
        <v>Western Australia - Outback (North)</v>
      </c>
    </row>
    <row r="30" spans="1:4" ht="20" customHeight="1" x14ac:dyDescent="0.25">
      <c r="A30"/>
      <c r="D30" s="38" t="str" cm="1">
        <f t="array" ref="D30">Common_InputFunctions.Utility_DisplayArrayInTable(Common_SourceData.Common_SourceData_WASA4Areas_Data(), Table_WASA4Areas[[#Headers],[SA 4 Name]], 0)</f>
        <v>Western Australia - Outback (South)</v>
      </c>
    </row>
    <row r="31" spans="1:4" ht="20" customHeight="1" x14ac:dyDescent="0.25">
      <c r="A31"/>
    </row>
    <row r="32" spans="1:4" ht="20" customHeight="1" x14ac:dyDescent="0.25">
      <c r="A32"/>
    </row>
    <row r="33" spans="1:8" ht="20" customHeight="1" x14ac:dyDescent="0.25">
      <c r="A33"/>
    </row>
    <row r="34" spans="1:8" ht="20" customHeight="1" x14ac:dyDescent="0.25">
      <c r="A34"/>
      <c r="D34" s="6" t="str" cm="1">
        <f t="array" ref="D34">Common_SourceData.Common_SourceData_GWP_Title()</f>
        <v>Global warming potential for greenhouse gases</v>
      </c>
    </row>
    <row r="35" spans="1:8" ht="20" customHeight="1" x14ac:dyDescent="0.25">
      <c r="A35"/>
      <c r="D35" s="5" t="str" cm="1">
        <f t="array" ref="D35">Common_SourceData.Common_SourceData_GWP_Source()</f>
        <v>XXXXXXX</v>
      </c>
    </row>
    <row r="36" spans="1:8" ht="20" customHeight="1" x14ac:dyDescent="0.25">
      <c r="A36"/>
      <c r="D36" s="38" t="s">
        <v>24</v>
      </c>
      <c r="E36" s="38" t="s">
        <v>25</v>
      </c>
    </row>
    <row r="37" spans="1:8" ht="20"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 customHeight="1" x14ac:dyDescent="0.25">
      <c r="A44"/>
    </row>
    <row r="45" spans="1:8" ht="20" customHeight="1" x14ac:dyDescent="0.25">
      <c r="A45"/>
      <c r="D45" s="6" t="str" cm="1">
        <f t="array" ref="D45">Common_SourceData.Common_SourceData_ConvertGasElementalToMolecular_Title()</f>
        <v>Factor to convert elemental mass of gas to molecular mass</v>
      </c>
    </row>
    <row r="46" spans="1:8" ht="20" customHeight="1" x14ac:dyDescent="0.25">
      <c r="A46"/>
      <c r="D46" s="5" t="str" cm="1">
        <f t="array" ref="D46">Common_SourceData.Common_SourceData_ConvertGasElementalToMolecular_Source()</f>
        <v>XXXXXXX</v>
      </c>
    </row>
    <row r="47" spans="1:8" ht="20" customHeight="1" x14ac:dyDescent="0.25">
      <c r="A47"/>
      <c r="D47" s="38" t="s">
        <v>24</v>
      </c>
      <c r="E47" s="38" t="s">
        <v>27</v>
      </c>
      <c r="F47" s="38" t="s">
        <v>28</v>
      </c>
      <c r="G47" s="38" t="s">
        <v>29</v>
      </c>
      <c r="H47" s="38" t="s">
        <v>30</v>
      </c>
    </row>
    <row r="48" spans="1:8" ht="20"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 customHeight="1" x14ac:dyDescent="0.25">
      <c r="A55"/>
    </row>
    <row r="56" spans="1:8" ht="20" customHeight="1" x14ac:dyDescent="0.25">
      <c r="A56"/>
    </row>
    <row r="57" spans="1:8" ht="20" customHeight="1" x14ac:dyDescent="0.25">
      <c r="A57"/>
      <c r="D57" s="6" t="str" cm="1">
        <f t="array" ref="D57">Common_SourceData.Common_SourceData_WetAndDryZones_Title()</f>
        <v>VEERG Australian wet and dry zones</v>
      </c>
    </row>
    <row r="58" spans="1:8" ht="20" customHeight="1" x14ac:dyDescent="0.25">
      <c r="A58"/>
      <c r="D58" s="5" t="str" cm="1">
        <f t="array" ref="D58">Common_SourceData.Common_SourceData_WetAndDryZones_Source()</f>
        <v>VEERG 2026: Table 1.2: Translating climate zones to wet and dry zones</v>
      </c>
    </row>
    <row r="59" spans="1:8" ht="20" customHeight="1" x14ac:dyDescent="0.25">
      <c r="A59"/>
      <c r="D59" s="56" t="str" cm="1">
        <f t="array" ref="D59:D61">"⚠️" &amp; Common_SourceData.Common_SourceData_WetAndDryZones_Variation()</f>
        <v>⚠️VARIATION OF SOURCE DATA:</v>
      </c>
    </row>
    <row r="60" spans="1:8" ht="20" customHeight="1" x14ac:dyDescent="0.25">
      <c r="A60"/>
      <c r="D60" s="56" t="str">
        <v>⚠️Added warm / cool temperate moist / dry - low frost and high temp classes to accommodate climate scenarios excluded by VEERG criteria.</v>
      </c>
    </row>
    <row r="61" spans="1:8" ht="20" customHeight="1" x14ac:dyDescent="0.25">
      <c r="A61"/>
      <c r="D61" s="56" t="str">
        <v>⚠️Fixed typo - Changed 'Fry' to 'Dry'.</v>
      </c>
    </row>
    <row r="62" spans="1:8" ht="20" customHeight="1" x14ac:dyDescent="0.25">
      <c r="A62"/>
    </row>
    <row r="63" spans="1:8" ht="20" customHeight="1" x14ac:dyDescent="0.25">
      <c r="A63"/>
      <c r="D63" s="38" t="s">
        <v>7</v>
      </c>
      <c r="E63" s="38" t="s">
        <v>45</v>
      </c>
    </row>
    <row r="64" spans="1:8" ht="20"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 customHeight="1" x14ac:dyDescent="0.25">
      <c r="A78"/>
    </row>
    <row r="79" spans="1:5" ht="20" customHeight="1" x14ac:dyDescent="0.25">
      <c r="A79"/>
    </row>
    <row r="80" spans="1:5" ht="20" customHeight="1" x14ac:dyDescent="0.25">
      <c r="A80"/>
    </row>
    <row r="81" spans="1:20" ht="20" customHeight="1" x14ac:dyDescent="0.25">
      <c r="A81"/>
      <c r="D81" s="6" t="str" cm="1">
        <f t="array" ref="D81">Common_SourceData.Common_SourceData_ClimateZones_Title()</f>
        <v>VEERG Australian climate zones</v>
      </c>
    </row>
    <row r="82" spans="1:20" ht="20" customHeight="1" x14ac:dyDescent="0.25">
      <c r="A82"/>
      <c r="D82" s="5" t="str" cm="1">
        <f t="array" ref="D82">Common_SourceData.Common_SourceData_ClimateZones_Source()</f>
        <v>VEERG 2026: Table 1.3: Climate and Rainfall zone classifications and definitions</v>
      </c>
    </row>
    <row r="83" spans="1:20" ht="20" customHeight="1" x14ac:dyDescent="0.25">
      <c r="A83"/>
      <c r="D83" s="56" t="str" cm="1">
        <f t="array" ref="D83:D87">"⚠️" &amp; Common_SourceData.Common_SourceData_ClimateZones_Variation()</f>
        <v>⚠️VARIATION OF SOURCE DATA:</v>
      </c>
    </row>
    <row r="84" spans="1:20" ht="20" customHeight="1" x14ac:dyDescent="0.25">
      <c r="A84"/>
      <c r="D84" s="56" t="str">
        <v>⚠️Added warm / cool temperate moist / dry - low frost and high temp classes to accommodate climate scenarios excluded by VEERG criteria.</v>
      </c>
    </row>
    <row r="85" spans="1:20" ht="20" customHeight="1" x14ac:dyDescent="0.25">
      <c r="A85"/>
      <c r="D85" s="56" t="str">
        <v>⚠️Fixed typo in MAT value for warm temperate dry - changed 10 to 11.</v>
      </c>
    </row>
    <row r="86" spans="1:20" ht="20" customHeight="1" x14ac:dyDescent="0.25">
      <c r="A86"/>
      <c r="D86" s="56" t="str">
        <v>⚠️Added min and max columns for MAT, MAP, frost days per year, elevation, MAP:PET to calculate zones from real climate data.</v>
      </c>
    </row>
    <row r="87" spans="1:20" ht="20" customHeight="1" x14ac:dyDescent="0.25">
      <c r="A87"/>
      <c r="D87" s="56" t="str">
        <v>⚠️GAF accepts rainfall as a proxy for precipitation.</v>
      </c>
    </row>
    <row r="88" spans="1:20" ht="20" customHeight="1" x14ac:dyDescent="0.25">
      <c r="A88"/>
    </row>
    <row r="89" spans="1:20" ht="20" customHeight="1" x14ac:dyDescent="0.25">
      <c r="A89"/>
      <c r="D89" s="38" t="s">
        <v>7</v>
      </c>
      <c r="E89" s="38" t="s">
        <v>33</v>
      </c>
      <c r="F89" s="38" t="s">
        <v>34</v>
      </c>
      <c r="G89" s="38" t="s">
        <v>35</v>
      </c>
      <c r="H89" s="38" t="s">
        <v>36</v>
      </c>
      <c r="I89" s="38" t="s">
        <v>37</v>
      </c>
      <c r="J89" s="38" t="s">
        <v>38</v>
      </c>
      <c r="K89" s="38" t="s">
        <v>39</v>
      </c>
      <c r="L89" s="38" t="s">
        <v>40</v>
      </c>
      <c r="M89" s="38" t="s">
        <v>41</v>
      </c>
      <c r="N89" s="38" t="s">
        <v>42</v>
      </c>
      <c r="O89" s="38" t="s">
        <v>46</v>
      </c>
      <c r="P89" s="38" t="s">
        <v>43</v>
      </c>
      <c r="Q89" s="38" t="s">
        <v>47</v>
      </c>
      <c r="R89" s="38" t="s">
        <v>44</v>
      </c>
      <c r="S89" s="38" t="s">
        <v>48</v>
      </c>
      <c r="T89" s="38"/>
    </row>
    <row r="90" spans="1:20" ht="20"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 customHeight="1" x14ac:dyDescent="0.25">
      <c r="A98"/>
    </row>
    <row r="99" spans="1:20" ht="20" customHeight="1" x14ac:dyDescent="0.25">
      <c r="A99"/>
      <c r="D99" s="55" t="str" cm="1">
        <f t="array" ref="D99:D102">Common_SourceData.Common_SourceData_ClimateZones_Appendices()</f>
        <v>Note:</v>
      </c>
    </row>
    <row r="100" spans="1:20" ht="20" customHeight="1" x14ac:dyDescent="0.25">
      <c r="A100"/>
      <c r="D100" s="55" t="str">
        <v>MAT = mean annual temperature</v>
      </c>
    </row>
    <row r="101" spans="1:20" ht="20" customHeight="1" x14ac:dyDescent="0.25">
      <c r="A101"/>
      <c r="D101" s="55" t="str">
        <v>MAP = mean annual precipitation</v>
      </c>
    </row>
    <row r="102" spans="1:20" ht="20" customHeight="1" x14ac:dyDescent="0.25">
      <c r="A102"/>
      <c r="D102" s="55" t="str">
        <v>PET = potential evapotranspiration</v>
      </c>
    </row>
    <row r="103" spans="1:20" ht="20" customHeight="1" x14ac:dyDescent="0.25">
      <c r="A103"/>
      <c r="D103" s="55"/>
    </row>
    <row r="104" spans="1:20" ht="20" customHeight="1" x14ac:dyDescent="0.25">
      <c r="A104"/>
    </row>
    <row r="105" spans="1:20" ht="20" customHeight="1" x14ac:dyDescent="0.25">
      <c r="A105"/>
      <c r="D105" s="6" t="str" cm="1">
        <f t="array" ref="D105">Common_SourceData.Common_SourceData_TemperatureZones_Title()</f>
        <v>VEERG Australian temperature zones</v>
      </c>
    </row>
    <row r="106" spans="1:20" ht="20" customHeight="1" x14ac:dyDescent="0.25">
      <c r="A106"/>
      <c r="D106" s="5" t="str" cm="1">
        <f t="array" ref="D106">Common_SourceData.Common_SourceData_TemperatureZones_Source()</f>
        <v>VEERG 2026: Table 1.3: Climate and Rainfall zone classifications and definitions</v>
      </c>
    </row>
    <row r="107" spans="1:20" ht="20" customHeight="1" x14ac:dyDescent="0.25">
      <c r="A107"/>
      <c r="D107" s="56" t="str" cm="1">
        <f t="array" ref="D107">"⚠️" &amp; Common_SourceData.Common_SourceData_TemperatureZones_Variation()</f>
        <v>⚠️VARIATION OF SOURCE DATA: Added extra MAT min and MAT max columns to calculate zone from real temperature data.</v>
      </c>
    </row>
    <row r="108" spans="1:20" ht="20" customHeight="1" x14ac:dyDescent="0.25">
      <c r="A108"/>
    </row>
    <row r="109" spans="1:20" ht="20" customHeight="1" x14ac:dyDescent="0.25">
      <c r="A109"/>
      <c r="D109" s="38" t="s">
        <v>52</v>
      </c>
      <c r="E109" s="38" t="s">
        <v>33</v>
      </c>
      <c r="F109" s="38" t="s">
        <v>53</v>
      </c>
      <c r="G109" s="38" t="s">
        <v>54</v>
      </c>
    </row>
    <row r="110" spans="1:20" ht="20"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 customHeight="1" x14ac:dyDescent="0.25">
      <c r="A113"/>
    </row>
    <row r="114" spans="1:66" ht="20" customHeight="1" x14ac:dyDescent="0.25">
      <c r="A114"/>
    </row>
    <row r="115" spans="1:66" ht="20" customHeight="1" x14ac:dyDescent="0.25">
      <c r="A115"/>
      <c r="D115" s="6" t="str" cm="1">
        <f t="array" ref="D115">Common_SourceData.Common_SourceData_RainfallZones_Title()</f>
        <v>VEERG Australian rainfall zones</v>
      </c>
      <c r="BN115" s="7"/>
    </row>
    <row r="116" spans="1:66" ht="20" customHeight="1" x14ac:dyDescent="0.25">
      <c r="A116"/>
      <c r="D116" s="5" t="str" cm="1">
        <f t="array" ref="D116">Common_SourceData.Common_SourceData_RainfallZones_Source()</f>
        <v>VEERG 2026: Table 1.3: Climate and Rainfall zone classifications and definitions</v>
      </c>
      <c r="BN116" s="7"/>
    </row>
    <row r="117" spans="1:66" ht="20" customHeight="1" x14ac:dyDescent="0.25">
      <c r="A117"/>
      <c r="D117" s="56" t="str" cm="1">
        <f t="array" ref="D117">"⚠️" &amp; Common_SourceData.Common_SourceData_RainfallZones_Variation()</f>
        <v>⚠️VARIATION OF SOURCE DATA: Added extra Rainfall min and Rainfall max columns to calculate zone from real rainfall data.</v>
      </c>
      <c r="BN117" s="7"/>
    </row>
    <row r="118" spans="1:66" ht="20" customHeight="1" x14ac:dyDescent="0.25">
      <c r="A118"/>
      <c r="BN118" s="7"/>
    </row>
    <row r="119" spans="1:66" ht="20" customHeight="1" x14ac:dyDescent="0.25">
      <c r="A119"/>
      <c r="D119" s="38" t="s">
        <v>55</v>
      </c>
      <c r="E119" s="38" t="s">
        <v>56</v>
      </c>
      <c r="F119" s="38" t="s">
        <v>40</v>
      </c>
      <c r="G119" s="38" t="s">
        <v>41</v>
      </c>
      <c r="BN119" s="7"/>
    </row>
    <row r="120" spans="1:66" ht="20"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 customHeight="1" x14ac:dyDescent="0.25">
      <c r="A122"/>
      <c r="BN122" s="7"/>
    </row>
    <row r="123" spans="1:66" ht="20" customHeight="1" x14ac:dyDescent="0.25">
      <c r="A123"/>
    </row>
    <row r="124" spans="1:66" ht="20" customHeight="1" x14ac:dyDescent="0.25">
      <c r="A124"/>
      <c r="D124" s="6" t="str" cm="1">
        <f t="array" ref="D124">Common_SourceData.Common_SourceData_LeachingZones_Title()</f>
        <v>VEERG Australian leaching zones</v>
      </c>
    </row>
    <row r="125" spans="1:66" ht="20" customHeight="1" x14ac:dyDescent="0.25">
      <c r="A125"/>
      <c r="D125" s="5" t="str" cm="1">
        <f t="array" ref="D125">Common_SourceData.Common_SourceData_LeachingZones_Source()</f>
        <v>VEERG 2026: Table 1.3: Climate and Rainfall zone classifications and definitions</v>
      </c>
    </row>
    <row r="126" spans="1:66" ht="20" customHeight="1" x14ac:dyDescent="0.25">
      <c r="A126"/>
    </row>
    <row r="127" spans="1:66" ht="20" customHeight="1" x14ac:dyDescent="0.25">
      <c r="A127"/>
      <c r="D127" s="38" t="s">
        <v>62</v>
      </c>
      <c r="E127" s="38" t="s">
        <v>63</v>
      </c>
    </row>
    <row r="128" spans="1:66" ht="20"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 customHeight="1" x14ac:dyDescent="0.25">
      <c r="A130"/>
    </row>
    <row r="131" spans="1:77" ht="20" customHeight="1" x14ac:dyDescent="0.25">
      <c r="A131"/>
    </row>
    <row r="132" spans="1:77" ht="20" customHeight="1" x14ac:dyDescent="0.25">
      <c r="A132"/>
      <c r="D132" s="6" t="str" cm="1">
        <f t="array" ref="D132">Common_SourceData.Common_SourceData_FracWET_Title()</f>
        <v>Fraction of N that is available for leaching and runoff</v>
      </c>
      <c r="E132" s="23"/>
    </row>
    <row r="133" spans="1:77" ht="20" customHeight="1" x14ac:dyDescent="0.25">
      <c r="A133"/>
      <c r="D133" s="5" t="str" cm="1">
        <f t="array" ref="D133">Common_SourceData.Common_SourceData_FracWET_Source()</f>
        <v>VEERG 2026:5.5.2.3 Constant Parameters</v>
      </c>
      <c r="E133" s="23"/>
    </row>
    <row r="134" spans="1:77" ht="20" customHeight="1" x14ac:dyDescent="0.25">
      <c r="A134"/>
      <c r="D134" t="s">
        <v>87</v>
      </c>
      <c r="E134" t="s">
        <v>88</v>
      </c>
    </row>
    <row r="135" spans="1:77" ht="20"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 customHeight="1" x14ac:dyDescent="0.25">
      <c r="A137"/>
    </row>
    <row r="138" spans="1:77" ht="20" customHeight="1" x14ac:dyDescent="0.25">
      <c r="A138"/>
      <c r="BN138" s="7"/>
      <c r="BO138" s="7"/>
      <c r="BP138" s="7"/>
      <c r="BQ138" s="7"/>
      <c r="BR138" s="7"/>
      <c r="BS138" s="7"/>
      <c r="BT138" s="7"/>
      <c r="BU138" s="7"/>
      <c r="BV138" s="7"/>
      <c r="BW138" s="7"/>
      <c r="BX138" s="7"/>
      <c r="BY138" s="7"/>
    </row>
    <row r="139" spans="1:77" ht="20"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 customHeight="1" x14ac:dyDescent="0.25">
      <c r="A141"/>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 customHeight="1" x14ac:dyDescent="0.25">
      <c r="A142"/>
      <c r="D142" s="38" t="s">
        <v>292</v>
      </c>
      <c r="E142" s="38" t="s">
        <v>88</v>
      </c>
      <c r="BN142" s="7"/>
    </row>
    <row r="143" spans="1:77" ht="20"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 customHeight="1" x14ac:dyDescent="0.25">
      <c r="A148"/>
      <c r="BN148" s="7"/>
    </row>
    <row r="149" spans="1:66" ht="20" customHeight="1" x14ac:dyDescent="0.25">
      <c r="A149"/>
      <c r="BN149" s="7"/>
    </row>
    <row r="150" spans="1:66" ht="20" customHeight="1" x14ac:dyDescent="0.25">
      <c r="A150"/>
      <c r="D150" s="6" t="str" cm="1">
        <f t="array" ref="D150">Common_SourceData.Common_SourceData_DataScores_Scope3_Title()</f>
        <v>Australian data scores for scope 3</v>
      </c>
      <c r="BN150" s="7"/>
    </row>
    <row r="151" spans="1:66" ht="20" customHeight="1" x14ac:dyDescent="0.25">
      <c r="A151"/>
      <c r="D151" s="5" t="str" cm="1">
        <f t="array" ref="D151">Common_SourceData.Common_SourceData_DataScores_Scope3_Source()</f>
        <v>VEERG 2026: XXXXXXXX</v>
      </c>
      <c r="BN151" s="7"/>
    </row>
    <row r="152" spans="1:66" ht="20" customHeight="1" x14ac:dyDescent="0.25">
      <c r="A152"/>
      <c r="BN152" s="7"/>
    </row>
    <row r="153" spans="1:66" ht="20" customHeight="1" x14ac:dyDescent="0.25">
      <c r="A153"/>
      <c r="D153" s="38" t="s">
        <v>65</v>
      </c>
      <c r="E153" s="38" t="s">
        <v>66</v>
      </c>
      <c r="BC153" s="3"/>
      <c r="BD153" s="3"/>
      <c r="BE153" s="3"/>
      <c r="BF153" s="3"/>
      <c r="BG153" s="3"/>
      <c r="BH153" s="3"/>
      <c r="BI153" s="3"/>
      <c r="BJ153" s="3"/>
      <c r="BK153" s="3"/>
      <c r="BL153" s="3"/>
      <c r="BM153" s="3"/>
    </row>
    <row r="154" spans="1:66" ht="20"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 customHeight="1" x14ac:dyDescent="0.25">
      <c r="A159"/>
    </row>
    <row r="160" spans="1:66" ht="20" customHeight="1" x14ac:dyDescent="0.25">
      <c r="A160"/>
    </row>
    <row r="161" spans="4:68" ht="20" customHeight="1" x14ac:dyDescent="0.25">
      <c r="D161" s="6" t="str" cm="1">
        <f t="array" ref="D161">Common_SourceData.Common_SourceData_FracLEACH_Title()</f>
        <v>Fraction of N that is available for leaching and runoff</v>
      </c>
      <c r="E161" s="23"/>
    </row>
    <row r="162" spans="4:68" ht="20" customHeight="1" x14ac:dyDescent="0.25">
      <c r="D162" s="5" t="str" cm="1">
        <f t="array" ref="D162">Common_SourceData.Common_SourceData_FracLEACH_Source()</f>
        <v>VEERG 2026:5.5.2.3 Constant Parameters</v>
      </c>
      <c r="E162" s="23"/>
    </row>
    <row r="163" spans="4:68" ht="20" customHeight="1" x14ac:dyDescent="0.25">
      <c r="D163" s="5" t="str" cm="1">
        <f t="array" ref="D163">Common_SourceData.Common_SourceData_FracLEACH_NIRReference()</f>
        <v>National Inventory Report Volume 1: Leaching and runoff (3.D.b.2)</v>
      </c>
      <c r="E163" s="23"/>
    </row>
    <row r="164" spans="4:68" ht="20" customHeight="1" x14ac:dyDescent="0.25">
      <c r="D164" s="23" t="str" cm="1">
        <f t="array" ref="D164:E164">Common_SourceData.Common_SourceData_FracLEACH_Data()</f>
        <v>FracLEACH</v>
      </c>
      <c r="E164" s="23">
        <v>0.24</v>
      </c>
    </row>
    <row r="165" spans="4:68" ht="20" customHeight="1" x14ac:dyDescent="0.25">
      <c r="BN165" s="7"/>
      <c r="BO165" s="7"/>
      <c r="BP165" s="7"/>
    </row>
    <row r="166" spans="4:68" ht="20" customHeight="1" x14ac:dyDescent="0.25">
      <c r="BN166" s="7"/>
      <c r="BO166" s="7"/>
      <c r="BP166" s="7"/>
    </row>
    <row r="167" spans="4:68" ht="20" customHeight="1" x14ac:dyDescent="0.25">
      <c r="D167" s="6" t="str" cm="1">
        <f t="array" ref="D167">Common_SourceData.Common_SourceData_EFleach_Title()</f>
        <v>Emission factor for nitrogen leaching and runoff</v>
      </c>
      <c r="BN167" s="7"/>
      <c r="BO167" s="7"/>
      <c r="BP167" s="7"/>
    </row>
    <row r="168" spans="4:68" ht="20" customHeight="1" x14ac:dyDescent="0.25">
      <c r="D168" s="5" t="str" cm="1">
        <f t="array" ref="D168">Common_SourceData.Common_SourceData_EFleach_Source()</f>
        <v>VEERG 2026:5.5.2.3 Constant Parameters</v>
      </c>
      <c r="BN168" s="7"/>
      <c r="BO168" s="7"/>
      <c r="BP168" s="7"/>
    </row>
    <row r="169" spans="4:68" ht="20" customHeight="1" x14ac:dyDescent="0.25">
      <c r="D169" s="5" t="str" cm="1">
        <f t="array" ref="D169">Common_SourceData.Common_SourceData_EFleach_NIRReference()</f>
        <v>National Inventory Report Volume 1: Equation 3.D.B_10</v>
      </c>
      <c r="BN169" s="7"/>
      <c r="BO169" s="7"/>
      <c r="BP169" s="7"/>
    </row>
    <row r="170" spans="4:68" ht="20" customHeight="1" x14ac:dyDescent="0.25">
      <c r="D170" s="1" t="str" cm="1">
        <f t="array" ref="D170:E170">Common_SourceData.Common_SourceData_EFleach_Data()</f>
        <v>EFleach</v>
      </c>
      <c r="E170" s="1">
        <v>1.0999999999999999E-2</v>
      </c>
      <c r="BN170" s="7"/>
      <c r="BO170" s="7"/>
      <c r="BP170" s="7"/>
    </row>
    <row r="171" spans="4:68" ht="20" customHeight="1" x14ac:dyDescent="0.25">
      <c r="BN171" s="7"/>
      <c r="BO171" s="7"/>
      <c r="BP171" s="7"/>
    </row>
    <row r="172" spans="4:68" ht="20" customHeight="1" x14ac:dyDescent="0.25">
      <c r="BN172" s="7"/>
      <c r="BO172" s="7"/>
      <c r="BP172" s="7"/>
    </row>
    <row r="173" spans="4:68" ht="20" customHeight="1" x14ac:dyDescent="0.25">
      <c r="D173" s="6" t="str" cm="1">
        <f t="array" ref="D173">Common_SourceData.Common_SourceData_DensityOfMethane_Title()</f>
        <v>p = density of methane</v>
      </c>
      <c r="BN173" s="7"/>
      <c r="BO173" s="7"/>
      <c r="BP173" s="7"/>
    </row>
    <row r="174" spans="4:68" ht="20" customHeight="1" x14ac:dyDescent="0.25">
      <c r="D174" s="5" t="str" cm="1">
        <f t="array" ref="D174">Common_SourceData.Common_SourceData_DensityOfMethane_Source()</f>
        <v>National Inventory Report 2023 Volume 1: Equations 3.B.1a_2, 3.B.1c_2, 3.B.3_1, 3.B.4g_2</v>
      </c>
      <c r="BN174" s="7"/>
      <c r="BO174" s="7"/>
      <c r="BP174" s="7"/>
    </row>
    <row r="175" spans="4:68" ht="20"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 customHeight="1" x14ac:dyDescent="0.25">
      <c r="BN176" s="7"/>
      <c r="BO176" s="7"/>
      <c r="BP176" s="7"/>
    </row>
    <row r="177" spans="4:68" ht="20" customHeight="1" x14ac:dyDescent="0.25">
      <c r="BN177" s="7"/>
      <c r="BO177" s="7"/>
      <c r="BP177" s="7"/>
    </row>
    <row r="178" spans="4:68" ht="20" customHeight="1" x14ac:dyDescent="0.25">
      <c r="D178" s="6" t="str" cm="1">
        <f t="array" ref="D178">Common_SourceData.Common_SourceData_EFN2O_Title()</f>
        <v>Nitrous oxide emission factors for inorganic fertiliser application</v>
      </c>
      <c r="BN178" s="7"/>
      <c r="BO178" s="7"/>
      <c r="BP178" s="7"/>
    </row>
    <row r="179" spans="4:68" ht="20" customHeight="1" x14ac:dyDescent="0.25">
      <c r="D179" s="5" t="str" cm="1">
        <f t="array" ref="D179">Common_SourceData.Common_SourceData_EFN2O_Source()</f>
        <v>VEERG 2026: Table A.2.2.1</v>
      </c>
      <c r="BN179" s="7"/>
      <c r="BO179" s="7"/>
      <c r="BP179" s="7"/>
    </row>
    <row r="180" spans="4:68" ht="20" customHeight="1" x14ac:dyDescent="0.25">
      <c r="D180" s="55" t="str" cm="1">
        <f t="array" ref="D180">Common_SourceData.Common_SourceData_EFN2O_Unit()</f>
        <v>(kg N2O-N / kg N</v>
      </c>
    </row>
    <row r="181" spans="4:68" ht="20" customHeight="1" x14ac:dyDescent="0.25">
      <c r="D181" s="56" t="str" cm="1">
        <f t="array" ref="D181:D185">Common_SourceData.Common_SourceData_EFN2O_Variation()</f>
        <v>VARIATION OF SOURCE DATA:</v>
      </c>
    </row>
    <row r="182" spans="4:68" ht="20" customHeight="1" x14ac:dyDescent="0.25">
      <c r="D182" s="56" t="str">
        <v>Removed duplicate 'Aquaculture' row.</v>
      </c>
    </row>
    <row r="183" spans="4:68" ht="20" customHeight="1" x14ac:dyDescent="0.25">
      <c r="D183" s="56" t="str">
        <v>Removed asterisks to aid lookup.</v>
      </c>
    </row>
    <row r="184" spans="4:68" ht="20" customHeight="1" x14ac:dyDescent="0.25">
      <c r="D184" s="56" t="str">
        <v>Added 'production system only', 'rainfall zone' and 'irrigation method' columns to aid lookup.</v>
      </c>
    </row>
    <row r="185" spans="4:68" ht="20" customHeight="1" x14ac:dyDescent="0.25">
      <c r="D185" s="56" t="str">
        <v>Duplicated 'non-irrigated pasture' row with same EF for low and high rainfall zones to aid lookup.</v>
      </c>
    </row>
    <row r="186" spans="4:68" ht="20" customHeight="1" x14ac:dyDescent="0.25">
      <c r="D186" s="38" t="s">
        <v>261</v>
      </c>
      <c r="E186" s="38" t="s">
        <v>262</v>
      </c>
      <c r="F186" s="38" t="s">
        <v>263</v>
      </c>
      <c r="G186" s="38" t="s">
        <v>264</v>
      </c>
      <c r="H186" s="38" t="s">
        <v>32</v>
      </c>
    </row>
    <row r="187" spans="4:68" ht="20"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ht="20" customHeight="1">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ht="20" customHeight="1">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ht="20" customHeight="1">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0" x14ac:dyDescent="0.25" customHeight="1">
      <c r="D202" s="6" t="str" cm="1">
        <f t="array" ref="D202">Common_SourceData.Common_SourceData_EFPastureRangeAndPaddock_Title()</f>
        <v>Emission factor for urine and dung deposited on pasture, range or paddock</v>
      </c>
    </row>
    <row r="203" spans="4:8" x14ac:dyDescent="0.25" ht="20" customHeight="1">
      <c r="D203" s="5" t="str" cm="1">
        <f t="array" ref="D203">Common_SourceData.Common_SourceData_EFPastureRangeAndPaddock_Source()</f>
        <v>VEERG 2026: Table A.2.2.2</v>
      </c>
    </row>
    <row r="204" spans="4:8" x14ac:dyDescent="0.25" ht="20" customHeight="1">
      <c r="D204" s="56" t="str" cm="1">
        <f t="array" ref="D204">Common_SourceData.Common_SourceData_EFPastureRangeAndPaddock_Variation()</f>
        <v>VARIATION FROM SOURCE DATA: Changed 'Dry climate zones' to singular 'Dry climate zone' to aid lookup.</v>
      </c>
    </row>
    <row r="205" spans="4:8" x14ac:dyDescent="0.25" ht="20" customHeight="1">
      <c r="D205" s="55" t="str" cm="1">
        <f t="array" ref="D205">Common_SourceData.Common_SourceData_EFPastureRangeAndPaddock_Unit()</f>
        <v>kg N2O - N / kg N</v>
      </c>
    </row>
    <row r="206" spans="4:8" x14ac:dyDescent="0.25" ht="20" customHeight="1">
      <c r="D206" s="38" t="s">
        <v>7</v>
      </c>
      <c r="E206" s="38" t="s">
        <v>293</v>
      </c>
    </row>
    <row r="207" spans="4:8" x14ac:dyDescent="0.25" ht="20" customHeight="1">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ht="20" customHeight="1">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ht="20" customHeight="1">
      <c r="D211" s="1" t="str" cm="1">
        <f t="array" ref="D211">Common_SourceData.Common_SourceData_MonthsToSeasons_Title()</f>
        <v>Months to Seasons Mapping</v>
      </c>
    </row>
    <row r="212" spans="4:5" x14ac:dyDescent="0.25" ht="20" customHeight="1">
      <c r="D212" s="38" t="s">
        <v>295</v>
      </c>
      <c r="E212" s="38" t="s">
        <v>296</v>
      </c>
    </row>
    <row r="213" spans="4:5" x14ac:dyDescent="0.25" ht="20" customHeight="1">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ht="20" customHeight="1">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ht="20" customHeight="1">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ht="20" customHeight="1">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ht="20" customHeight="1">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ht="20" customHeight="1">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ht="20" customHeight="1">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ht="20" customHeight="1">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ht="20" customHeight="1">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ht="20" customHeight="1">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ht="20" customHeight="1">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ht="20" customHeight="1">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0" x14ac:dyDescent="0.25" customHeight="1">
      <c r="D227" s="6" t="str" cm="1">
        <f t="array" ref="D227">Common_SourceData.Common_SourceData_MCFTemperatureZone_Title()</f>
        <v>Manure Management – Methane conversion factor per temperature zone (fraction) (MCFim)</v>
      </c>
    </row>
    <row r="228" spans="4:19" x14ac:dyDescent="0.25" ht="20" customHeight="1">
      <c r="D228" s="5" t="str" cm="1">
        <f t="array" ref="D228">Common_SourceData.Common_SourceData_MCFTemperatureZone_Source()</f>
        <v>VEERG 2026: Table A.1.8.1</v>
      </c>
    </row>
    <row r="229" spans="4:19" x14ac:dyDescent="0.25" ht="20" customHeight="1">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ht="20" customHeight="1">
      <c r="D231" s="38" t="s">
        <v>49</v>
      </c>
      <c r="E231" s="38" t="s">
        <v>324</v>
      </c>
      <c r="F231" s="37" t="s">
        <v>325</v>
      </c>
      <c r="G231" s="38" t="s">
        <v>326</v>
      </c>
      <c r="H231" s="38" t="s">
        <v>327</v>
      </c>
      <c r="I231" s="38" t="s">
        <v>328</v>
      </c>
      <c r="J231" s="38" t="s">
        <v>329</v>
      </c>
      <c r="K231" s="38" t="s">
        <v>330</v>
      </c>
      <c r="L231" s="38" t="s">
        <v>331</v>
      </c>
      <c r="M231" s="38" t="s">
        <v>332</v>
      </c>
      <c r="N231" s="38" t="s">
        <v>333</v>
      </c>
      <c r="O231" s="38" t="s">
        <v>334</v>
      </c>
      <c r="P231" s="38" t="s">
        <v>335</v>
      </c>
      <c r="Q231" s="38" t="s">
        <v>309</v>
      </c>
      <c r="R231" s="38" t="s">
        <v>336</v>
      </c>
      <c r="S231" s="38" t="s">
        <v>337</v>
      </c>
    </row>
    <row r="232" spans="4:19" x14ac:dyDescent="0.25" ht="20" customHeight="1">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ht="20" customHeight="1">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ht="20" customHeight="1">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ht="20" customHeight="1">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ht="20" customHeight="1">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ht="20" customHeight="1">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ht="20" customHeight="1">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ht="20" customHeight="1">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ht="20" customHeight="1">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ht="20" customHeight="1">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ht="20" customHeight="1">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ht="20" customHeight="1">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ht="20" customHeight="1">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ht="20" customHeight="1">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ht="20" customHeight="1">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ht="20" customHeight="1">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ht="20" customHeight="1">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ht="20" customHeight="1">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ht="20" customHeight="1">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0" x14ac:dyDescent="0.25" customHeight="1">
      <c r="D253" s="6" t="str" cm="1">
        <f t="array" ref="D253">Common_SourceData.Common_SourceData_EFOrganicFertiliserAndCropResidues_Title()</f>
        <v>Emission factor for organic fertiliser and crop residues returned to the soil</v>
      </c>
    </row>
    <row r="254" spans="4:19" x14ac:dyDescent="0.25" ht="20" customHeight="1">
      <c r="D254" s="5" t="str" cm="1">
        <f t="array" ref="D254">Common_SourceData.Common_SourceData_EFOrganicFertiliserAndCropResidues_Source()</f>
        <v>VEERG 2026: Table A.2.1.4</v>
      </c>
    </row>
    <row r="255" spans="4:19" x14ac:dyDescent="0.25" ht="20" customHeight="1">
      <c r="D255" s="1" t="str" cm="1">
        <f t="array" ref="D255">Common_SourceData.Common_SourceData_EFOrganicFertiliserAndCropResidues_Variable()</f>
        <v>EFNi &amp; EFN2Oi</v>
      </c>
    </row>
    <row r="256" spans="4:19" x14ac:dyDescent="0.25" ht="20" customHeight="1">
      <c r="D256" s="55" t="str" cm="1">
        <f t="array" ref="D256">Common_SourceData.Common_SourceData_EFOrganicFertiliserAndCropResidues_Unit()</f>
        <v>kg N2O - N / kg N</v>
      </c>
    </row>
    <row r="257" spans="4:6" x14ac:dyDescent="0.25" ht="20" customHeight="1">
      <c r="D257" s="38" t="s">
        <v>345</v>
      </c>
      <c r="E257" s="38" t="s">
        <v>346</v>
      </c>
    </row>
    <row r="258" spans="4:6" x14ac:dyDescent="0.25" ht="20" customHeight="1">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ht="20" customHeight="1">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0" x14ac:dyDescent="0.25" customHeight="1">
      <c r="D263" s="6" t="s">
        <v>358</v>
      </c>
    </row>
    <row r="264" spans="4:6" x14ac:dyDescent="0.25" ht="20" customHeight="1">
      <c r="D264" s="1" t="s">
        <v>359</v>
      </c>
    </row>
    <row r="265" spans="4:6" x14ac:dyDescent="0.25" ht="20" customHeight="1">
      <c r="D265" s="38" t="s">
        <v>360</v>
      </c>
      <c r="E265" s="38" t="s">
        <v>361</v>
      </c>
      <c r="F265" s="38" t="s">
        <v>362</v>
      </c>
    </row>
    <row r="266" spans="4:6" x14ac:dyDescent="0.25" ht="20" customHeight="1">
      <c r="D266" s="38" t="s">
        <v>363</v>
      </c>
      <c r="E266" s="38" t="s">
        <v>364</v>
      </c>
      <c r="F266" s="38">
        <v>5</v>
      </c>
    </row>
    <row r="267" spans="4:6" x14ac:dyDescent="0.25" ht="20" customHeight="1">
      <c r="D267" s="38" t="s">
        <v>365</v>
      </c>
      <c r="E267" s="38" t="s">
        <v>366</v>
      </c>
      <c r="F267" s="38">
        <v>4</v>
      </c>
    </row>
    <row r="268" spans="4:6" x14ac:dyDescent="0.25" ht="20" customHeight="1">
      <c r="D268" s="38" t="s">
        <v>367</v>
      </c>
      <c r="E268" s="38" t="s">
        <v>368</v>
      </c>
      <c r="F268" s="38">
        <v>3</v>
      </c>
    </row>
    <row r="269" spans="4:6" x14ac:dyDescent="0.25" ht="20" customHeight="1">
      <c r="D269" s="38" t="s">
        <v>369</v>
      </c>
      <c r="E269" s="38" t="s">
        <v>370</v>
      </c>
      <c r="F269" s="38">
        <v>2</v>
      </c>
    </row>
    <row r="270" spans="4:6" x14ac:dyDescent="0.25" ht="20" customHeight="1">
      <c r="D270" s="38" t="s">
        <v>371</v>
      </c>
      <c r="E270" s="38" t="s">
        <v>372</v>
      </c>
      <c r="F270" s="38">
        <v>1</v>
      </c>
    </row>
    <row r="273" spans="4:6" x14ac:dyDescent="0.25" ht="20" customHeight="1">
      <c r="D273" s="1" t="s">
        <v>373</v>
      </c>
    </row>
    <row r="274" spans="4:6" x14ac:dyDescent="0.25" ht="20" customHeight="1">
      <c r="D274" s="38" t="s">
        <v>360</v>
      </c>
      <c r="E274" s="38" t="s">
        <v>361</v>
      </c>
      <c r="F274" s="38" t="s">
        <v>362</v>
      </c>
    </row>
    <row r="275" spans="4:6" x14ac:dyDescent="0.25" ht="20" customHeight="1">
      <c r="D275" s="38" t="s">
        <v>374</v>
      </c>
      <c r="E275" s="38" t="s">
        <v>375</v>
      </c>
      <c r="F275" s="38">
        <v>5</v>
      </c>
    </row>
    <row r="276" spans="4:6" x14ac:dyDescent="0.25" ht="20" customHeight="1">
      <c r="D276" s="38" t="s">
        <v>376</v>
      </c>
      <c r="E276" s="38" t="s">
        <v>377</v>
      </c>
      <c r="F276" s="38">
        <v>4</v>
      </c>
    </row>
    <row r="277" spans="4:6" x14ac:dyDescent="0.25" ht="20" customHeight="1">
      <c r="D277" s="38" t="s">
        <v>378</v>
      </c>
      <c r="E277" s="38" t="s">
        <v>379</v>
      </c>
      <c r="F277" s="38">
        <v>3</v>
      </c>
    </row>
    <row r="278" spans="4:6" x14ac:dyDescent="0.25" ht="20" customHeight="1">
      <c r="D278" s="38" t="s">
        <v>380</v>
      </c>
      <c r="E278" s="38" t="s">
        <v>381</v>
      </c>
      <c r="F278" s="38">
        <v>2</v>
      </c>
    </row>
    <row r="279" spans="4:6" x14ac:dyDescent="0.25" ht="20" customHeight="1">
      <c r="D279" s="38" t="s">
        <v>382</v>
      </c>
      <c r="E279" s="38" t="s">
        <v>383</v>
      </c>
      <c r="F279" s="38">
        <v>1</v>
      </c>
    </row>
    <row r="282" spans="4:6" x14ac:dyDescent="0.25" ht="20" customHeight="1">
      <c r="D282" s="1" t="s">
        <v>384</v>
      </c>
    </row>
    <row r="283" spans="4:6" x14ac:dyDescent="0.25" ht="20" customHeight="1">
      <c r="D283" s="38" t="s">
        <v>360</v>
      </c>
      <c r="E283" s="38" t="s">
        <v>361</v>
      </c>
      <c r="F283" s="38" t="s">
        <v>362</v>
      </c>
    </row>
    <row r="284" spans="4:6" x14ac:dyDescent="0.25" ht="20" customHeight="1">
      <c r="D284" s="38" t="s">
        <v>385</v>
      </c>
      <c r="E284" s="38" t="s">
        <v>386</v>
      </c>
      <c r="F284" s="38">
        <v>5</v>
      </c>
    </row>
    <row r="285" spans="4:6" x14ac:dyDescent="0.25" ht="20" customHeight="1">
      <c r="D285" s="38" t="s">
        <v>387</v>
      </c>
      <c r="E285" s="38" t="s">
        <v>388</v>
      </c>
      <c r="F285" s="38">
        <v>4</v>
      </c>
    </row>
    <row r="286" spans="4:6" x14ac:dyDescent="0.25" ht="20" customHeight="1">
      <c r="D286" s="38" t="s">
        <v>389</v>
      </c>
      <c r="E286" s="38" t="s">
        <v>390</v>
      </c>
      <c r="F286" s="38">
        <v>3</v>
      </c>
    </row>
    <row r="287" spans="4:6" x14ac:dyDescent="0.25" ht="20" customHeight="1">
      <c r="D287" s="38" t="s">
        <v>391</v>
      </c>
      <c r="E287" s="38" t="s">
        <v>392</v>
      </c>
      <c r="F287" s="38">
        <v>2</v>
      </c>
    </row>
    <row r="288" spans="4:6" x14ac:dyDescent="0.25" ht="20" customHeight="1">
      <c r="D288" s="38" t="s">
        <v>393</v>
      </c>
      <c r="E288" s="38" t="s">
        <v>394</v>
      </c>
      <c r="F288" s="38">
        <v>1</v>
      </c>
    </row>
    <row r="291" spans="4:6" x14ac:dyDescent="0.25" ht="20" customHeight="1">
      <c r="D291" s="1" t="s">
        <v>395</v>
      </c>
    </row>
    <row r="292" spans="4:6" x14ac:dyDescent="0.25" ht="20" customHeight="1">
      <c r="D292" s="38" t="s">
        <v>360</v>
      </c>
      <c r="E292" s="38" t="s">
        <v>361</v>
      </c>
      <c r="F292" s="38" t="s">
        <v>362</v>
      </c>
    </row>
    <row r="293" spans="4:6" x14ac:dyDescent="0.25" ht="20" customHeight="1">
      <c r="D293" s="38" t="s">
        <v>396</v>
      </c>
      <c r="E293" s="38" t="s">
        <v>397</v>
      </c>
      <c r="F293" s="38">
        <v>5</v>
      </c>
    </row>
    <row r="294" spans="4:6" x14ac:dyDescent="0.25" ht="20" customHeight="1">
      <c r="D294" s="38" t="s">
        <v>398</v>
      </c>
      <c r="E294" s="38" t="s">
        <v>399</v>
      </c>
      <c r="F294" s="38">
        <v>4</v>
      </c>
    </row>
    <row r="295" spans="4:6" x14ac:dyDescent="0.25" ht="20" customHeight="1">
      <c r="D295" s="38" t="s">
        <v>400</v>
      </c>
      <c r="E295" s="38" t="s">
        <v>401</v>
      </c>
      <c r="F295" s="38">
        <v>3</v>
      </c>
    </row>
    <row r="296" spans="4:6" x14ac:dyDescent="0.25" ht="20" customHeight="1">
      <c r="D296" s="38" t="s">
        <v>402</v>
      </c>
      <c r="E296" s="38" t="s">
        <v>403</v>
      </c>
      <c r="F296" s="38">
        <v>2</v>
      </c>
    </row>
    <row r="297" spans="4:6" x14ac:dyDescent="0.25" ht="20" customHeight="1">
      <c r="D297" s="38" t="s">
        <v>404</v>
      </c>
      <c r="E297" s="38" t="s">
        <v>405</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10" sqref="A10"/>
    </sheetView>
  </sheetViews>
  <sheetFormatPr defaultRowHeight="20" x14ac:dyDescent="0.25" customHeight="1"/>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6" t="e" vm="1">
        <v>#VALUE!</v>
      </c>
      <c r="C1" s="8" t="s">
        <v>73</v>
      </c>
      <c r="D1" s="8"/>
      <c r="E1" s="8"/>
      <c r="F1" s="8"/>
      <c r="G1" s="8"/>
      <c r="H1" s="8"/>
      <c r="I1" s="8"/>
      <c r="J1" s="8"/>
      <c r="K1" s="8"/>
      <c r="L1" s="8"/>
      <c r="M1" s="8"/>
    </row>
    <row r="2" spans="1:13" ht="20" customHeight="1" x14ac:dyDescent="0.25">
      <c r="C2" s="9"/>
      <c r="D2" s="9"/>
      <c r="E2" s="9"/>
      <c r="F2" s="9"/>
      <c r="G2" s="9"/>
      <c r="H2" s="9"/>
      <c r="I2" s="9"/>
      <c r="J2" s="9"/>
      <c r="K2" s="9"/>
      <c r="L2" s="9"/>
      <c r="M2" s="9"/>
    </row>
    <row r="3" spans="1:13" ht="20" customHeight="1" x14ac:dyDescent="0.25">
      <c r="A3" s="17" t="str">
        <f>HYPERLINK("#'Home'!A1", "Home")</f>
        <v>Home</v>
      </c>
      <c r="C3" s="4"/>
      <c r="D3" s="4"/>
      <c r="E3" s="4"/>
      <c r="F3" s="4"/>
      <c r="G3" s="4"/>
      <c r="H3" s="4"/>
      <c r="I3" s="4"/>
      <c r="J3" s="4"/>
      <c r="K3" s="4"/>
      <c r="L3" s="4"/>
      <c r="M3" s="4"/>
    </row>
    <row r="4" spans="1:13" ht="20" customHeight="1" x14ac:dyDescent="0.25">
      <c r="A4" s="17" t="str">
        <f>HYPERLINK("#'Overview'!A1", "Overview")</f>
        <v>Overview</v>
      </c>
    </row>
    <row r="5" spans="1:13" ht="20" customHeight="1" x14ac:dyDescent="0.25">
      <c r="A5" s="17" t="str">
        <f>HYPERLINK("#'Results'!A1", "Results")</f>
        <v>Results</v>
      </c>
    </row>
    <row r="6" spans="1:13" ht="20" customHeight="1" x14ac:dyDescent="0.25">
      <c r="D6" s="6" t="str" cm="1">
        <f t="array" ref="D6">CommonLivestock_SourceData.SourceData_Livestock_Common_SymbolsMMS_Title()</f>
        <v>Table 5.12 Additional symbols used in algorithms for manure related emissions</v>
      </c>
      <c r="E6" s="3"/>
      <c r="F6" s="3"/>
      <c r="G6" s="3"/>
      <c r="H6" s="3"/>
    </row>
    <row r="7" spans="1:13" ht="20" customHeight="1" x14ac:dyDescent="0.25">
      <c r="D7" s="3" t="str" cm="1">
        <f t="array" ref="D7">CommonLivestock_SourceData.SourceData_Livestock_Common_SymbolsMMS_Vairable()</f>
        <v>MMS</v>
      </c>
      <c r="E7" s="3"/>
      <c r="F7" s="3"/>
      <c r="G7" s="3"/>
      <c r="H7" s="3"/>
    </row>
    <row r="8" spans="1:13" ht="20" customHeight="1" x14ac:dyDescent="0.25">
      <c r="A8" s="19" t="s">
        <v>0</v>
      </c>
      <c r="D8" s="5" t="str" cm="1">
        <f t="array" ref="D8">CommonLivestock_SourceData.SourceData_Livestock_Common_SymbolsMMS_Source()</f>
        <v>National Inventory Report 2023 Volume 1: Table 5.12</v>
      </c>
      <c r="E8" s="3"/>
      <c r="F8" s="3"/>
      <c r="G8" s="3"/>
      <c r="H8" s="3"/>
    </row>
    <row r="9" spans="1:13" ht="20" customHeight="1" x14ac:dyDescent="0.25">
      <c r="A9" s="17" t="str">
        <f>HYPERLINK("#'Input - Site'!A1", "Site")</f>
        <v>Site</v>
      </c>
      <c r="D9" s="37" t="s">
        <v>74</v>
      </c>
      <c r="E9" s="38" t="s">
        <v>17</v>
      </c>
      <c r="F9" s="38" t="s">
        <v>75</v>
      </c>
      <c r="G9" s="3"/>
    </row>
    <row r="10" spans="1:13" ht="20" customHeight="1" x14ac:dyDescent="0.25">
      <c r="A10" s="17" t="str">
        <f>HYPERLINK("#'Input - Feedlot'!A1", "Feedlot")</f>
        <v>Feedlot</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 customHeight="1" x14ac:dyDescent="0.25">
      <c r="A13" s="18" t="s">
        <v>71</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 customHeight="1" x14ac:dyDescent="0.25">
      <c r="A14" s="17" t="str">
        <f>HYPERLINK("#'4.1.1.1-2 Methane'!A1", "4.1.1.1-2 Methane")</f>
        <v>4.1.1.1-2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 customHeight="1" x14ac:dyDescent="0.25">
      <c r="A15" s="17" t="str">
        <f>HYPERLINK("#'4.1.1.3-4 Direct N20'!A1", "4.1.1.3-4 Direct N20")</f>
        <v>4.1.1.3-4 Direct N20</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 customHeight="1" x14ac:dyDescent="0.25">
      <c r="A16" s="17" t="str">
        <f>HYPERLINK("#'4.1.1.5-6 Atmos Deposition'!A1", "4.1.1.5-6 Atmos Deposition")</f>
        <v>4.1.1.5-6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 customHeight="1" x14ac:dyDescent="0.25">
      <c r="A17" s="17" t="str">
        <f>HYPERLINK("#'4.1.1.9 Manure applied to soils'!A1", "4.1.1.9 Manure applied to soils")</f>
        <v>4.1.1.9 Manure applied to soils</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 customHeight="1" x14ac:dyDescent="0.25">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 customHeight="1" x14ac:dyDescent="0.25">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 customHeight="1" x14ac:dyDescent="0.25">
      <c r="A20" s="145" t="s">
        <v>1</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 customHeight="1" x14ac:dyDescent="0.25">
      <c r="A21" s="17" t="str">
        <f>HYPERLINK("#'Constants - Feedlot'!A1", "Constants - Feedlot")</f>
        <v>Constants - Feedlot</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 customHeight="1" x14ac:dyDescent="0.25">
      <c r="A22" s="17" t="str">
        <f>HYPERLINK("#'Constants - Common'!A1", "Constants - Common")</f>
        <v>Constants - Common</v>
      </c>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 customHeight="1" x14ac:dyDescent="0.25">
      <c r="A23" s="67" t="str">
        <f>HYPERLINK("#'Constants - Common livestock'!A1", "Constants - Common livestock")</f>
        <v>Constants - Common livestock</v>
      </c>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 customHeight="1" x14ac:dyDescent="0.25">
      <c r="A24" s="17" t="str">
        <f>HYPERLINK("#'Acknowledgements'!A1", "Acknowledgements")</f>
        <v>Acknowledgements</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 customHeight="1" x14ac:dyDescent="0.25">
      <c r="A25" s="17" t="str">
        <f>HYPERLINK("#'Tab template'!A1", "Tab template")</f>
        <v>Tab template</v>
      </c>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 customHeight="1" x14ac:dyDescent="0.25">
      <c r="G28" s="3"/>
      <c r="H28" s="3"/>
    </row>
    <row r="29" spans="1:8" ht="20" customHeight="1" x14ac:dyDescent="0.25"/>
    <row r="30" spans="1:8" ht="20" customHeight="1" x14ac:dyDescent="0.25"/>
    <row r="31" spans="1:8" ht="20" customHeight="1" x14ac:dyDescent="0.25"/>
    <row r="32" spans="1:8" ht="20" customHeight="1" x14ac:dyDescent="0.25"/>
    <row r="33" ht="20" customHeight="1" x14ac:dyDescent="0.25"/>
    <row r="34" ht="20" customHeight="1" x14ac:dyDescent="0.25"/>
    <row r="35" ht="20" customHeight="1" x14ac:dyDescent="0.25"/>
    <row r="36" ht="20" customHeight="1" x14ac:dyDescent="0.25"/>
    <row r="37" ht="20" customHeight="1" x14ac:dyDescent="0.25"/>
    <row r="38" ht="20" customHeight="1" x14ac:dyDescent="0.25"/>
    <row r="39" ht="20" customHeight="1" x14ac:dyDescent="0.25"/>
    <row r="40" ht="20" customHeight="1" x14ac:dyDescent="0.25"/>
    <row r="41" ht="20" customHeight="1" x14ac:dyDescent="0.25"/>
    <row r="42" ht="20" customHeight="1" x14ac:dyDescent="0.25"/>
    <row r="43" ht="20" customHeight="1" x14ac:dyDescent="0.25"/>
    <row r="44" ht="20" customHeight="1" x14ac:dyDescent="0.25"/>
    <row r="45" ht="20" customHeight="1" x14ac:dyDescent="0.25"/>
    <row r="46" ht="20" customHeight="1" x14ac:dyDescent="0.25"/>
    <row r="47" ht="20" customHeight="1" x14ac:dyDescent="0.25"/>
    <row r="48" ht="20" customHeight="1" x14ac:dyDescent="0.25"/>
    <row r="49" ht="20" customHeight="1" x14ac:dyDescent="0.25"/>
    <row r="50" ht="20" customHeight="1" x14ac:dyDescent="0.25"/>
    <row r="51" ht="20" customHeight="1" x14ac:dyDescent="0.25"/>
    <row r="52" ht="20" customHeight="1" x14ac:dyDescent="0.25"/>
    <row r="53" ht="20" customHeight="1" x14ac:dyDescent="0.25"/>
    <row r="54" ht="20" customHeight="1" x14ac:dyDescent="0.25"/>
    <row r="55" ht="20" customHeight="1" x14ac:dyDescent="0.25"/>
    <row r="56" ht="20" customHeight="1" x14ac:dyDescent="0.25"/>
    <row r="57" ht="20" customHeight="1" x14ac:dyDescent="0.25"/>
    <row r="58" ht="20" customHeight="1" x14ac:dyDescent="0.25"/>
    <row r="59" ht="20" customHeight="1" x14ac:dyDescent="0.25"/>
    <row r="60" ht="20" customHeight="1" x14ac:dyDescent="0.25"/>
    <row r="61" ht="20" customHeight="1" x14ac:dyDescent="0.25"/>
    <row r="62" ht="20" customHeight="1" x14ac:dyDescent="0.25"/>
    <row r="63" ht="20" customHeight="1" x14ac:dyDescent="0.25"/>
  </sheetData>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sheetPr>
    <tabColor theme="2" tint="-0.499984740745262"/>
  </sheetPr>
  <dimension ref="A1:A8"/>
  <sheetViews>
    <sheetView zoomScaleNormal="100" workbookViewId="0">
      <selection activeCell="A25" sqref="A25"/>
    </sheetView>
  </sheetViews>
  <sheetFormatPr defaultRowHeight="20" x14ac:dyDescent="0.25" customHeight="1"/>
  <sheetData>
    <row r="1" spans="1:1" x14ac:dyDescent="0.25" ht="30" customHeight="1">
      <c r="A1" t="s">
        <v>406</v>
      </c>
    </row>
    <row r="3" spans="1:1" ht="20" x14ac:dyDescent="0.25" customHeight="1">
      <c r="A3" s="17" t="str">
        <f>HYPERLINK("#'Home'!A1", "Home")</f>
        <v>Home</v>
      </c>
    </row>
    <row r="6" spans="1:1" x14ac:dyDescent="0.25" ht="20" customHeight="1">
      <c r="A6" s="145" t="s">
        <v>1</v>
      </c>
    </row>
    <row r="7" spans="1:1" ht="20" x14ac:dyDescent="0.25" customHeight="1">
      <c r="A7" s="17" t="str">
        <f>HYPERLINK("#'Constants - Common'!A1", "Constants - Common")</f>
        <v>Constants - Common</v>
      </c>
    </row>
    <row r="8" spans="1:1" ht="20" x14ac:dyDescent="0.25" customHeight="1">
      <c r="A8" s="67" t="str">
        <f>HYPERLINK("#'Acknowledgements'!A1", "Acknowledgements")</f>
        <v>Acknowledgements</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5" sqref="A25"/>
    </sheetView>
  </sheetViews>
  <sheetFormatPr defaultRowHeight="20" x14ac:dyDescent="0.25" customHeight="1"/>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6" t="e" vm="1">
        <v>#VALUE!</v>
      </c>
    </row>
    <row r="2" spans="1:21" s="9" customFormat="1" ht="20" customHeight="1" x14ac:dyDescent="0.25">
      <c r="A2"/>
    </row>
    <row r="3" spans="1:21" ht="20" customHeight="1" x14ac:dyDescent="0.25">
      <c r="A3" s="17" t="str">
        <f>HYPERLINK("#'Home'!A1", "Home")</f>
        <v>Home</v>
      </c>
      <c r="C3" s="4"/>
      <c r="D3" s="4"/>
      <c r="E3" s="4"/>
      <c r="F3" s="4"/>
      <c r="G3" s="4"/>
      <c r="H3" s="4"/>
      <c r="I3" s="4"/>
      <c r="J3" s="4"/>
      <c r="K3" s="4"/>
      <c r="L3" s="4"/>
      <c r="N3" s="4"/>
      <c r="O3" s="4"/>
      <c r="P3" s="4"/>
      <c r="Q3" s="4"/>
      <c r="R3" s="4"/>
      <c r="S3" s="4"/>
      <c r="T3" s="4"/>
      <c r="U3" s="4"/>
    </row>
    <row r="4" spans="1:21" ht="20" customHeight="1" x14ac:dyDescent="0.25">
      <c r="A4" s="17" t="str">
        <f>HYPERLINK("#'Overview'!A1", "Overview")</f>
        <v>Overview</v>
      </c>
    </row>
    <row r="5" spans="1:21" ht="20" customHeight="1" x14ac:dyDescent="0.25">
      <c r="A5" s="17" t="str">
        <f>HYPERLINK("#'Results'!A1", "Results")</f>
        <v>Results</v>
      </c>
    </row>
    <row r="6" spans="1:21" ht="20" customHeight="1" x14ac:dyDescent="0.25"/>
    <row r="7" spans="1:21" ht="20" customHeight="1" x14ac:dyDescent="0.25"/>
    <row r="8" spans="1:21" ht="20" customHeight="1" x14ac:dyDescent="0.25">
      <c r="A8" s="19" t="s">
        <v>0</v>
      </c>
    </row>
    <row r="9" spans="1:21" ht="20" customHeight="1" x14ac:dyDescent="0.25">
      <c r="A9" s="17" t="str">
        <f>HYPERLINK("#'Input - Site'!A1", "Site")</f>
        <v>Site</v>
      </c>
    </row>
    <row r="10" spans="1:21" ht="20" customHeight="1" x14ac:dyDescent="0.25">
      <c r="A10" s="17" t="str">
        <f>HYPERLINK("#'Input - Feedlot'!A1", "Feedlot")</f>
        <v>Feedlot</v>
      </c>
    </row>
    <row r="11" spans="1:21" ht="20" customHeight="1" x14ac:dyDescent="0.25"/>
    <row r="12" spans="1:21" ht="20" customHeight="1" x14ac:dyDescent="0.25"/>
    <row r="13" spans="1:21" ht="20" customHeight="1" x14ac:dyDescent="0.25">
      <c r="A13" s="18" t="s">
        <v>71</v>
      </c>
    </row>
    <row r="14" spans="1:21" ht="20" customHeight="1" x14ac:dyDescent="0.25">
      <c r="A14" s="17" t="str">
        <f>HYPERLINK("#'4.1.1.1-2 Methane'!A1", "4.1.1.1-2 Methane")</f>
        <v>4.1.1.1-2 Methane</v>
      </c>
    </row>
    <row r="15" spans="1:21" ht="20" customHeight="1" x14ac:dyDescent="0.25">
      <c r="A15" s="17" t="str">
        <f>HYPERLINK("#'4.1.1.3-4 Direct N20'!A1", "4.1.1.3-4 Direct N20")</f>
        <v>4.1.1.3-4 Direct N20</v>
      </c>
    </row>
    <row r="16" spans="1:21" ht="20" customHeight="1" x14ac:dyDescent="0.25">
      <c r="A16" s="17" t="str">
        <f>HYPERLINK("#'4.1.1.5-6 Atmos Deposition'!A1", "4.1.1.5-6 Atmos Deposition")</f>
        <v>4.1.1.5-6 Atmos Deposition</v>
      </c>
    </row>
    <row r="17" spans="1:1" ht="20" customHeight="1" x14ac:dyDescent="0.25">
      <c r="A17" s="17" t="str">
        <f>HYPERLINK("#'4.1.1.9 Manure applied to soils'!A1", "4.1.1.9 Manure applied to soils")</f>
        <v>4.1.1.9 Manure applied to soils</v>
      </c>
    </row>
    <row r="18" spans="1:1" ht="20" customHeight="1" x14ac:dyDescent="0.25"/>
    <row r="19" spans="1:1" ht="20" customHeight="1" x14ac:dyDescent="0.25"/>
    <row r="20" spans="1:1" ht="20" customHeight="1" x14ac:dyDescent="0.25">
      <c r="A20" s="145" t="s">
        <v>1</v>
      </c>
    </row>
    <row r="21" spans="1:1" ht="20" customHeight="1" x14ac:dyDescent="0.25">
      <c r="A21" s="17" t="str">
        <f>HYPERLINK("#'Constants - Feedlot'!A1", "Constants - Feedlot")</f>
        <v>Constants - Feedlot</v>
      </c>
    </row>
    <row r="22" spans="1:1" ht="20" customHeight="1" x14ac:dyDescent="0.25">
      <c r="A22" s="17" t="str">
        <f>HYPERLINK("#'Constants - Common'!A1", "Constants - Common")</f>
        <v>Constants - Common</v>
      </c>
    </row>
    <row r="23" spans="1:1" ht="20" customHeight="1" x14ac:dyDescent="0.25">
      <c r="A23" s="17" t="str">
        <f>HYPERLINK("#'Constants - Common livestock'!A1", "Constants - Common livestock")</f>
        <v>Constants - Common livestock</v>
      </c>
    </row>
    <row r="24" spans="1:1" ht="20" customHeight="1" x14ac:dyDescent="0.25">
      <c r="A24" s="17" t="str">
        <f>HYPERLINK("#'Acknowledgements'!A1", "Acknowledgements")</f>
        <v>Acknowledgements</v>
      </c>
    </row>
    <row r="25" spans="1:1" ht="20" customHeight="1" x14ac:dyDescent="0.25">
      <c r="A25" s="67" t="str">
        <f>HYPERLINK("#'Tab template'!A1", "Tab template")</f>
        <v>Tab template</v>
      </c>
    </row>
    <row r="26" spans="1:1" ht="20" customHeight="1" x14ac:dyDescent="0.25"/>
    <row r="27" spans="1:1" ht="20" customHeight="1" x14ac:dyDescent="0.25"/>
    <row r="28" spans="1:1" ht="20" customHeight="1" x14ac:dyDescent="0.25"/>
    <row r="29" spans="1:1" ht="20" customHeight="1" x14ac:dyDescent="0.25"/>
    <row r="30" spans="1:1" ht="20" customHeight="1" x14ac:dyDescent="0.25"/>
    <row r="31" spans="1:1" ht="20" customHeight="1" x14ac:dyDescent="0.25"/>
    <row r="32" spans="1:1" ht="20" customHeight="1" x14ac:dyDescent="0.25"/>
    <row r="33" ht="20" customHeight="1" x14ac:dyDescent="0.25"/>
    <row r="34" ht="20" customHeight="1" x14ac:dyDescent="0.25"/>
    <row r="35" ht="20" customHeight="1" x14ac:dyDescent="0.25"/>
    <row r="36" ht="20" customHeight="1" x14ac:dyDescent="0.25"/>
    <row r="37" ht="20" customHeight="1" x14ac:dyDescent="0.25"/>
    <row r="38" ht="20" customHeight="1" x14ac:dyDescent="0.25"/>
    <row r="39" ht="20" customHeight="1" x14ac:dyDescent="0.25"/>
    <row r="40" ht="20" customHeight="1" x14ac:dyDescent="0.25"/>
    <row r="41" ht="20" customHeight="1" x14ac:dyDescent="0.25"/>
    <row r="42" ht="20" customHeight="1" x14ac:dyDescent="0.25"/>
    <row r="43" ht="20" customHeight="1" x14ac:dyDescent="0.25"/>
    <row r="44" ht="20" customHeight="1" x14ac:dyDescent="0.25"/>
    <row r="45" ht="20" customHeight="1" x14ac:dyDescent="0.25"/>
    <row r="46" ht="20" customHeight="1" x14ac:dyDescent="0.25"/>
    <row r="47" ht="20" customHeight="1" x14ac:dyDescent="0.25"/>
    <row r="48" ht="20" customHeight="1" x14ac:dyDescent="0.25"/>
    <row r="49" ht="20" customHeight="1" x14ac:dyDescent="0.25"/>
    <row r="50" ht="20" customHeight="1" x14ac:dyDescent="0.25"/>
    <row r="51" ht="20" customHeight="1" x14ac:dyDescent="0.25"/>
    <row r="52" ht="20" customHeight="1" x14ac:dyDescent="0.25"/>
    <row r="53" ht="20" customHeight="1" x14ac:dyDescent="0.25"/>
    <row r="54" ht="20" customHeight="1" x14ac:dyDescent="0.25"/>
    <row r="55" ht="20" customHeight="1" x14ac:dyDescent="0.25"/>
    <row r="56" ht="20" customHeight="1" x14ac:dyDescent="0.25"/>
    <row r="57" ht="20" customHeight="1" x14ac:dyDescent="0.25"/>
    <row r="58" ht="20" customHeight="1" x14ac:dyDescent="0.25"/>
    <row r="59" ht="20" customHeight="1" x14ac:dyDescent="0.25"/>
    <row r="60" ht="20" customHeight="1" x14ac:dyDescent="0.25"/>
    <row r="61" ht="20" customHeight="1" x14ac:dyDescent="0.25"/>
    <row r="62" ht="20" customHeight="1" x14ac:dyDescent="0.25"/>
    <row r="63" ht="20" customHeight="1" x14ac:dyDescent="0.25"/>
    <row r="64"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row r="88" ht="20" customHeight="1" x14ac:dyDescent="0.25"/>
    <row r="89" ht="20" customHeight="1" x14ac:dyDescent="0.25"/>
    <row r="90" ht="20" customHeight="1" x14ac:dyDescent="0.25"/>
    <row r="91" ht="20" customHeight="1" x14ac:dyDescent="0.25"/>
    <row r="92" ht="20" customHeight="1" x14ac:dyDescent="0.25"/>
    <row r="93" ht="20" customHeight="1" x14ac:dyDescent="0.25"/>
    <row r="94" ht="20" customHeight="1" x14ac:dyDescent="0.25"/>
    <row r="95" ht="20" customHeight="1" x14ac:dyDescent="0.25"/>
    <row r="96"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row r="116" ht="20" customHeight="1" x14ac:dyDescent="0.25"/>
    <row r="117" ht="20" customHeight="1" x14ac:dyDescent="0.25"/>
    <row r="118" ht="20" customHeight="1" x14ac:dyDescent="0.25"/>
    <row r="119" ht="20" customHeight="1" x14ac:dyDescent="0.25"/>
    <row r="120" ht="20" customHeight="1" x14ac:dyDescent="0.25"/>
    <row r="121" ht="20" customHeight="1" x14ac:dyDescent="0.25"/>
    <row r="122" ht="20" customHeight="1" x14ac:dyDescent="0.25"/>
    <row r="123" ht="20" customHeight="1" x14ac:dyDescent="0.25"/>
    <row r="124" ht="20" customHeight="1" x14ac:dyDescent="0.25"/>
    <row r="125" ht="20" customHeight="1" x14ac:dyDescent="0.25"/>
    <row r="126" ht="20" customHeight="1" x14ac:dyDescent="0.25"/>
    <row r="127" ht="20" customHeight="1" x14ac:dyDescent="0.25"/>
    <row r="128" ht="20" customHeight="1" x14ac:dyDescent="0.25"/>
    <row r="129" ht="20" customHeight="1" x14ac:dyDescent="0.25"/>
    <row r="130" ht="20" customHeight="1" x14ac:dyDescent="0.25"/>
    <row r="131" ht="20" customHeight="1" x14ac:dyDescent="0.25"/>
    <row r="132" ht="20" customHeight="1" x14ac:dyDescent="0.25"/>
    <row r="133" ht="20" customHeight="1" x14ac:dyDescent="0.25"/>
    <row r="134" ht="20" customHeight="1" x14ac:dyDescent="0.25"/>
    <row r="135" ht="20" customHeight="1" x14ac:dyDescent="0.25"/>
    <row r="136" ht="20" customHeight="1" x14ac:dyDescent="0.25"/>
    <row r="137" ht="20" customHeight="1" x14ac:dyDescent="0.25"/>
    <row r="138" ht="20" customHeight="1" x14ac:dyDescent="0.25"/>
    <row r="139" ht="20" customHeight="1" x14ac:dyDescent="0.25"/>
    <row r="140" ht="20" customHeight="1" x14ac:dyDescent="0.25"/>
    <row r="141" ht="20" customHeight="1" x14ac:dyDescent="0.25"/>
    <row r="142" ht="20" customHeight="1" x14ac:dyDescent="0.25"/>
    <row r="143" ht="20" customHeight="1" x14ac:dyDescent="0.25"/>
    <row r="144" ht="20" customHeight="1" x14ac:dyDescent="0.25"/>
    <row r="145" ht="20" customHeight="1" x14ac:dyDescent="0.25"/>
    <row r="146" ht="20" customHeight="1" x14ac:dyDescent="0.25"/>
    <row r="147" ht="20" customHeight="1" x14ac:dyDescent="0.25"/>
    <row r="148" ht="20" customHeight="1" x14ac:dyDescent="0.25"/>
    <row r="149" ht="20" customHeight="1" x14ac:dyDescent="0.25"/>
    <row r="150" ht="20" customHeight="1" x14ac:dyDescent="0.25"/>
    <row r="151" ht="20" customHeight="1" x14ac:dyDescent="0.25"/>
    <row r="152" ht="20" customHeight="1" x14ac:dyDescent="0.25"/>
    <row r="153" ht="20" customHeight="1" x14ac:dyDescent="0.25"/>
    <row r="154" ht="20" customHeight="1" x14ac:dyDescent="0.25"/>
    <row r="155" ht="20" customHeight="1" x14ac:dyDescent="0.25"/>
    <row r="156" ht="20" customHeight="1" x14ac:dyDescent="0.25"/>
    <row r="157" ht="20" customHeight="1" x14ac:dyDescent="0.25"/>
    <row r="158" ht="20" customHeight="1" x14ac:dyDescent="0.25"/>
    <row r="159" ht="20" customHeight="1" x14ac:dyDescent="0.25"/>
    <row r="160" ht="20" customHeight="1" x14ac:dyDescent="0.25"/>
    <row r="161" ht="20" customHeight="1" x14ac:dyDescent="0.25"/>
    <row r="162" ht="20" customHeight="1" x14ac:dyDescent="0.25"/>
    <row r="163" ht="20" customHeight="1" x14ac:dyDescent="0.25"/>
    <row r="164" ht="20" customHeight="1" x14ac:dyDescent="0.25"/>
    <row r="165" ht="20"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XAB1ADAAMAAyADcAYwBoAGEAcgBhAGMAdABlAHIAaQBzAHQAaQBjAFwAdQAwADAAMgA3ACAAYwBvAGwAdQBtAG4AIAAtACAAbwByAGkAZwBpAG4AYQBsACAAaABhAHMAIABoAGUAYQBkAGUAcgAgAFwAdQAwADAAMgA3AFUAbgBpAHQAXAB1ADAAMAAyADcAIAB3AGgAaQBjAGgAIABjAG8AdgBlAHIAcwAgAHQAdwBvACAAYwBvAGwAdQBtAG4AcwApAFwAIgBcAG4AIAAgACAAIAAgACAAIAAgAH0ALAAgAHIALAAgAGMAKQBcAG4AIAAgACAAIAAgACAAKQBcAG4AIAAgACAAIAApAFwAbgAgACAAKQA7AFwAbgBcAG4AUwBvAHUAcgBjAGUARABhAHQAYQBfAEYAZQBlAGQAbABvAHQAXwBBAG4AaQBtAGEAbABDAGgAYQByAGEAYwB0AGUAcgBpAHMAdABpAGMAcwBfAEQAYQB0AGEAXABuACAAIAA9AEwAQQBNAEIARABBACgAXABuACAAIAAgACAATQBBAEsARQBBAFIAUgBBAFkAKAAxADAALAAgADcALAAgAFwAbgAgACAAIAAgACAAIABMAEEATQBCAEQAQQAoAHIALABjACwAIABcAG4AIAAgACAAIAAgACAAIAAgAEkATgBEAEUAWAAoAHsAXABuACAAIAAgACAAIAAgACAAIAAgACAAXAAiAEYAZQBlAGQAbABvAHQAIAB0AHkAcABlAFwAIgAsACAAXAAiAEMAaABhAHIAYQBjAHQAZQByAGkAcwB0AGkAYwBcACIALAAgAFwAIgBVAG4AaQB0AFwAIgAsACAAXAAiADIAMAAwADUALQAyADAAMAA5AFwAIgAsACAAXAAiADIAMAAxADAALQAyADAAMQA0AFwAIgAsACAAXAAiADIAMAAxADUALQAyADAAMQA5AFwAIgAsACAAXAAiADIAMAAyADAALQAyADAAMgAzAFwAIgA7AFwAbgAgACAAIAAgACAAIAAgACAAIAAgAFwAIgBEAG8AbQBlAHMAdABpAGMAXAAiACwAIABcACIARABhAHkAcwAgAG8AbgAgAGYAZQBlAGQAXAAiACwAIABcACIAZABhAHkAcwBcACIALAAgADcAMAAsACAANwAwACwAIAA3ADAALAAgADcANQA7AFwAbgAgACAAIAAgACAAIAAgACAAIAAgAFwAIgBEAG8AbQBlAHMAdABpAGMAXAAiACwAIABcACIARgBlAGUAZAAgAGkAbgB0AGEAawBlAFwAIgAsACAAXAAiAGsAZwAgAEQATQAvAGQAYQB5AFwAIgAsACAAMQAwAC4AMAAsACAAMQAwAC4AMAAsACAAMQAwAC4ANAAsACAAMQAwAC4ANAA7AFwAbgAgACAAIAAgACAAIAAgACAAIAAgAFwAIgBEAG8AbQBlAHMAdABpAGMAXAAiACwAIABcACIATgAgAHIAZQB0AGUAbgB0AGkAbwBuAFwAIgAsACAAXAAiAHAAZQByACAAYwBlAG4AdAAgAG8AZgAgAGkAbgB0AGEAawBlAFwAIgAsACAAMgAxAC4AMQAsACAAMgAwAC4ANAAsACAAMgAwAC4ANAAsACAAMgAwAC4ANAA7AFwAbgAgACAAIAAgACAAIAAgACAAIAAgAFwAIgBNAGkAZAAtAGYAZQBkAFwAIgAsACAAXAAiAEQAYQB5AHMAIABvAG4AIABmAGUAZQBkAFwAIgAsACAAXAAiAGQAYQB5AHMAXAAiACwAIAAxADEANQAsACAAMQAxADUALAAgADEAMgAwACwAIAAxADUAMAA7AFwAbgAgACAAIAAgACAAIAAgACAAIAAgAFwAIgBNAGkAZAAtAGYAZQBkAFwAIgAsACAAXAAiAEYAZQBlAGQAIABpAG4AdABhAGsAZQBcACIALAAgAFwAIgBrAGcAIABEAE0ALwBkAGEAeQBcACIALAAgADEAMQAuADIALAAgADEAMAAuADgALAAgADEAMAAuADgALAAgADEAMAAuADgAOwBcAG4AIAAgACAAIAAgACAAIAAgACAAIABcACIATQBpAGQALQBmAGUAZABcACIALAAgAFwAIgBOACAAcgBlAHQAZQBuAHQAaQBvAG4AXAAiACwAIABcACIAcABlAHIAIABjAGUAbgB0ACAAbwBmACAAaQBuAHQAYQBrAGUAXAAiACwAIAAxADIALgA1ACwAIAAxADIALgA3ACwAIAAxADIALgA3ACwAIAAxADIALgA3ADsAXABuACAAIAAgACAAIAAgACAAIAAgACAAXAAiAEwAbwBuAGcALQBmAGUAZABcACIALAAgAFwAIgBEAGEAeQBzACAAbwBuACAAZgBlAGUAZABcACIALAAgAFwAIgBkAGEAeQBzAFwAIgAsACAAMgA1ADAALAAgADIANQAwACwAIAAyADUAMAAsACAAMgA1ADAAOwBcAG4AIAAgACAAIAAgACAAIAAgACAAIABcACIATABvAG4AZwAtAGYAZQBkAFwAIgAsACAAXAAiAEYAZQBlAGQAIABpAG4AdABhAGsAZQBcACIALAAgAFwAIgBrAGcAIABEAE0ALwBkAGEAeQBcACIALAAgADkALgAwACwAIAA4AC4ANQAsACAAOAAuADIALAAgADgALgAyADsAXABuACAAIAAgACAAIAAgACAAIAAgACAAXAAiAEwAbwBuAGcALQBmAGUAZABcACIALAAgAFwAIgBOACAAcgBlAHQAZQBuAHQAaQBvAG4AXAAiACwAIABcACIAcABlAHIAIABjAGUAbgB0ACAAbwBmACAAaQBuAHQAYQBrAGUAXAAiACwAIAA2AC4ANgAsACAANwAuADAALAAgADcALgAwACwAIAA3AC4AMABcAG4AIAAgACAAIAAgACAAIAAgAH0ALAAgAHIALAAgAGMAKQBcAG4AIAAgACAAIAAgACAAKQBcAG4AIAAgACAAIAApAFwAbgAgACAAKQA7AFwAbgBcAG4AXABuAFwAbgBcAG4AXABuAFwAbgBcAG4ALwAqACAAXABuAC0ALQAtAC0ALQAtAC0ALQAtAC0ALQAtAC0ALQAtAC0ALQAtAC0ALQAtAC0ALQAtAC0ALQAtAC0ALQAtAC0ALQAtAC0ALQAtAC0ALQBcAG4AUwBvAHUAcgBjAGUARABhAHQAYQBfAEYAZQBlAGQAbABvAHQAXwBEAGkAZQB0AFAAcgBvAHAAZQByAHQAaQBlAHMAXABuAFQAYQBiAGwAZQAgAEEALgAxAC4AMQAuADMAOgAgAEIAZQBlAGYAIABmAGUAZQBkAGwAbwB0ACAAYwBhAHQAdABsAGUAIAAtACAARABpAGUAdAAgAHAAcgBvAHAAZQByAHQAaQBlAHMAXABuAC0ALQAtAC0ALQAtAC0ALQAtAC0ALQAtAC0ALQAtAC0ALQAtAC0ALQAtAC0ALQAtAC0ALQAtAC0ALQAtAC0ALQAtAC0ALQAtAC0ALQBcAG4AKgAvAFwAbgBcAG4AUwBvAHUAcgBjAGUARABhAHQAYQBfAEYAZQBlAGQAbABvAHQAXwBEAGkAZQB0AFAAcgBvAHAAZQByAHQAaQBlAHMAXwBUAGkAdABsAGUAXABuACAAIAA9AEwAQQBNAEIARABBACgAXAAiAEIAZQBlAGYAIABmAGUAZQBkAGwAbwB0ACAAYwBhAHQAdABsAGUAIAAtACAARABpAGUAdAAgAHAAcgBvAHAAZQByAHQAaQBlAHMAXAAiACkAOwBcAG4AXABuAFMAbwB1AHIAYwBlAEQAYQB0AGEAXwBGAGUAZQBkAGwAbwB0AF8ARABpAGUAdABQAHIAbwBwAGUAcgB0AGkAZQBzAF8AVQBuAGkAdABcAG4AIAAgAD0ATABBAE0AQgBEAEEAKABcACIAXAAiACkAOwBcAG4AXABuAFMAbwB1AHIAYwBlAEQAYQB0AGEAXwBGAGUAZQBkAGwAbwB0AF8ARABpAGUAdABQAHIAbwBwAGUAcgB0AGkAZQBzAF8AUwBvAHUAcgBjAGUAXABuACAAIAA9AEwAQQBNAEIARABBACgAXAAiAFYARQBFAFIARwAgADIAMAAyADYAOgAgAFQAYQBiAGwAZQAgAEEALgAxAC4AMQAuADMAOgAgAEIAZQBlAGYAIABmAGUAZQBkAGwAbwB0ACAAYwBhAHQAdABsAGUAIAAtACAARABpAGUAdAAgAHAAcgBvAHAAZQByAHQAaQBlAHMAXAAiACkAOwBcAG4AXABuAFMAbwB1AHIAYwBlAEQAYQB0AGEAXwBGAGUAZQBkAGwAbwB0AF8ARABpAGUAdABQAHIAbwBwAGUAcgB0AGkAZQ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MAbwBsAHUAbQBuACAAdABoAGEAdAAgAGQAdQBwAGwAaQBjAGEAdABlAHMAIABRAEwARAAgAHYAYQBsAHUAZQBzACAAYQBzACAAcABlAHIAIABhAGQAdgBpAGMAZQAgAGYAcgBvAG0AIABzAG8AdQByAGMAZQAgAGQAYQB0AGEAIABwAHIAbwB2AGkAZABlAHIALgBcACIAOwBcAG4AIAAgACAAIAAgACAAIAAgACAAIABcACIAQQBkAGQAZQBkACAAVABBAFMAIABjAG8AbAB1AG0AbgAgAHQAaABhAHQAIABkAHUAcABsAGkAYwBhAHQAZQBzACAAVgBJAEMAIAB2AGEAbAB1AGUAcwAgAGEAcwAgAHAAZQByACAAYQBkAHYAaQBjAGUAIABmAHIAbwBtACAAcwBvAHUAcgBjAGUAIABkAGEAdABhACAAcAByAG8AdgBpAGQAZQByAC4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0AQwBGAF8ARABhAHQAYQBcAG4AIAAgAD0ATABBAE0AQgBEAEEAKABcAG4AIAAgACAAIABNAEEASwBFAEEAUgBSAEEAWQAoADYALAAgADEAMQAsACAAXABuACAAIAAgACAAIAAgAEwAQQBNAEIARABBACgAcgAsAGMALAAgAFwAbgAgACAAIAAgACAAIAAgACAASQBOAEQARQBYACgAewBcAG4AIAAgACAAIAAgACAAIAAgACAAIABcACIAVAByAGUAYQB0AG0AZQBuAHQAIABzAHQAYQBnAGUAIABUAFwAIgAsACAAXAAiAE0ATQBTACAAbQBcACIALAAgAFwAIgBOAFMAVwBcACIALAAgAFwAIgBBAEMAVABcACIALAAgAFwAIgBRAEwARABcACIALAAgAFwAIgBOAFQAXAAiACwAIABcACIAUwBBAFwAIgAsACAAXAAiAFYASQBDAFwAIgAsACAAXAAiAFcAQQBcACIALAAgAFwAIgBUAEEAUwBcACIALAAgAFwAIgBOAEkAUgAgAGQAZQBmAGkAbgBpAHQAaQBvAG4AXAAiADsAXABuACAAIAAgACAAIAAgACAAIAAgACAAXAAiAFAAcgBpAG0AYQByAHkAXAAiACwAIABcACIARAByAHkAIABsAG8AdAAgACgARgBlAGUAZABwAGEAZAApAFwAIgAsACAAMAAuADAAMQAsACAAMAAuADAAMQAsACAAMAAuADAAMwAsACAAMAAuADAAMwAsACAAMAAuADAAMQAsACAAMAAuADAAMQAsACAAMAAuADAAMQAsACAAMAAuADAAMQAsACAAXAAiAEQAcgB5AGwAbwB0ACAAKABmAGUAZQBkACAAcABhAGQAKQBcACIAOwAgAFwAbgAgACAAIAAgACAAIAAgACAAIAAgAFwAIgBTAGUAYwBvAG4AZABhAHIAeQBcACIALAAgAFwAIgBTAG8AbABpAGQAIABTAHQAbwByAGEAZwBlACAAKABTAHQAbwBjAGsAcABpAGwAZQApAFwAIgAsACAAMAAuADAAMgAsACAAMAAuADAAMgAsACAAMAAuADAAMgAsACAAMAAuADAAMgAsACAAMAAuADAAMgAsACAAMAAuADAAMgAsACAAMAAuADAAMgAsACAAMAAuADAAMgAsACAAXAAiAFMAbwBsAGkAZAAgAHMAdABvAHIAYQBnAGUAXAAiADsAIABcAG4AIAAgACAAIAAgACAAIAAgACAAIABcACIAUwBlAGMAbwBuAGQAYQByAHkAXAAiACwAIABcACIAQwBvAG0AcABvAHMAdABpAG4AZwAgACgAUABhAHMAcwBpAHYAZQAgAFcAaQBuAGQAcgBvAHcAKQBcACIALAAgADAALgAwADEALAAgADAALgAwADEALAAgADAALgAwADEALAAgADAALgAwADEALAAgADAALgAwADEALAAgADAALgAwADEALAAgADAALgAwADEALAAgADAALgAwADEALAAgAFwAIgBDAG8AbQBwAG8AcwB0AGkAbgBnACAAKABwAGEAcwBzAGkAdgBlACAAdwBpAG4AZAByAG8AdwApAFwAIgA7ACAAXABuACAAIAAgACAAIAAgACAAIAAgACAAXAAiAFMAZQBjAG8AbgBkAGEAcgB5AFwAIgAsACAAXAAiAEQAaQByAGUAYwB0ACAAQQBwAHAAbABpAGMAYQB0AGkAbwBuACAAdABvACAAcwBvAGkAbABcACIALAAgADAALAAgADAALAAgADAALAAgADAALAAgADAALAAgADAALAAgADAALAAgADA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AwAC4ANwA3ACwAIAAwAC4ANwA1ACwAIAAwAC4ANwA1ACwAIAAwAC4ANwA3ACwAIAAwAC4ANwA1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OAGkAdAByAG8AdQBzAE8AeABpAGQAZQBFAEYAcwBcAG4AVABhAGIAbABlACAAQQAuADEALgAxAC4ANQA6ACAAQgBlAGUAZgAgAGYAZQBlAGQAbABvAHQAIABjAGEAdAB0AGwAZQAgAC0AIABOAGkAdAByAG8AdQBzACAAbwB4AGkAZABlACAARQBGAHMAIAAoAEUARgBtAFQAKQBcAG4ALQAtAC0ALQAtAC0ALQAtAC0ALQAtAC0ALQAtAC0ALQAtAC0ALQAtAC0ALQAtAC0ALQAtAC0ALQAtAC0ALQAtAC0ALQAtAC0ALQAtAFwAbgAqAC8AXABuAFwAbgBTAG8AdQByAGMAZQBEAGEAdABhAF8ARgBlAGUAZABsAG8AdABfAE4AaQB0AHIAbwB1AHMATwB4AGkAZABlAEUARgBzAF8AVABpAHQAbABlAFwAbgAgACAAPQBMAEEATQBCAEQAQQAoAFwAIgBGAGUAZQBkAGwAbwB0ACAALQAgAE4AaQB0AHIAbwB1AHMAIABvAHgAaQBkAGUAIABFAEYAcwBcACIAKQA7AFwAbgBcAG4AUwBvAHUAcgBjAGUARABhAHQAYQBfAEYAZQBlAGQAbABvAHQAXwBOAGkAdAByAG8AdQBzAE8AeABpAGQAZQBFAEYAcwBfAFUAbgBpAHQAXABuACAAIAA9AEwAQQBNAEIARABBACgAXAAiAFwAIgApADsAXABuAFwAbgBTAG8AdQByAGMAZQBEAGEAdABhAF8ARgBlAGUAZABsAG8AdABfAE4AaQB0AHIAbwB1AHMATwB4AGkAZABlAEUARgBzAF8AUwBvAHUAcgBjAGUAXABuACAAIAA9AEwAQQBNAEIARABBACgAXAAiAFYARQBFAFIARwAgADIAMAAyADYAOgAgAFQAYQBiAGwAZQAgAEEALgAxAC4AMQAuADUAOgAgAEIAZQBlAGYAIABmAGUAZQBkAGwAbwB0ACAAYwBhAHQAdABsAGUAIAAtACAATgBpAHQAcgBvAHUAcwAgAG8AeABpAGQAZQAgAEUARgBzACAAKABFAEYAbQBUACkAXAAiACkAOwBcAG4AXABuAFMAbwB1AHIAYwBlAEQAYQB0AGEAXwBGAGUAZQBkAGwAbwB0AF8ATgBpAHQAcgBvAHUAcwBPAHgAaQBkAGUARQBGAHM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gBpAHQAcgBvAHUAcwBPAHgAaQBkAGUARQBGAHMAXwBEAGEAdABhAFwAbgAgACAAPQBMAEEATQBCAEQAQQAoAFwAbgAgACAAIAAgAE0AQQBLAEUAQQBSAFIAQQBZACgANgAsACAANAAsACAAXABuACAAIAAgACAAIAAgAEwAQQBNAEIARABBACgAcgAsAGMALAAgAFwAbgAgACAAIAAgACAAIAAgACAASQBOAEQARQBYACgAewBcAG4AIAAgACAAIAAgACAAIAAgACAAIABcACIAVAByAGUAYQB0AG0AZQBuAHQAIABzAHQAYQBnAGUAIABUAFwAIgAsACAAXAAiAE0ATQBTACAAbQBcACIALAAgAFwAIgBFAEYAbQBUACAAKABrAGcAIABOADIATwAtAE4ALwBrAGcAIABOACkAXAAiACwAIABcACIATgBJAFIAIABkAGUAZgBpAG4AaQB0AGkAbwBuAFwAIgA7AFwAbgAgACAAIAAgACAAIAAgACAAIAAgAFwAIgBQAHIAaQBtAGEAcgB5AFwAIgAsACAAXAAiAEQAcgB5ACAAbABvAHQAIAAoAEYAZQBlAGQAcABhAGQAKQBcACIALAAgADAALgAwADAANQA0ACwAIABcACIARAByAHkAbABvAHQAIAAoAGYAZQBlAGQAIABwAGEAZAApAFwAIgA7AFwAbgAgACAAIAAgACAAIAAgACAAIAAgAFwAIgBTAGUAYwBvAG4AZABhAHIAeQBcACIALAAgAFwAIgBTAG8AbABpAGQAIABTAHQAbwByAGEAZwBlACAAKABTAHQAbwBjAGsAcABpAGwAZQApAFwAIgAsACAAMAAuADAAMAA1ACwAIABcACIAUwBvAGwAaQBkACAAcwB0AG8AcgBhAGcAZQBcACIAOwBcAG4AIAAgACAAIAAgACAAIAAgACAAIABcACIAUwBlAGMAbwBuAGQAYQByAHkAXAAiACwAIABcACIAQwBvAG0AcABvAHMAdABpAG4AZwAgACgAUABhAHMAcwBpAHYAZQAgAFcAaQBuAGQAcgBvAHcAKQBcACIALAAgADAALgAwADEALAAgAFwAIgBDAG8AbQBwAG8AcwB0AGkAbgBnACAAKABwAGEAcwBzAGkAdgBlACAAdwBpAG4AZAByAG8AdwApAFwAIgA7AFwAbgAgACAAIAAgACAAIAAgACAAIAAgAFwAIgBTAGUAYwBvAG4AZABhAHIAeQBcACIALAAgAFwAIgBEAGkAcgBlAGMAdAAgAEEAcABwAGwAaQBjAGEAdABpAG8AbgAgAHQAbwAgAHMAbwBpAGwAXAAiACwAIAAwACwAIABcACIARABpAHIAZQBjAHQAIABhAHAAcABsAGkAYwBhAHQAaQBvAG4AXAAiADsAXABuACAAIAAgACAAIAAgACAAIAAgACAAXAAiAFQAZQByAHQAaQBhAHIAeQBcACIALAAgAFwAIgBVAG4AYwBvAHYAZQByAGUAZAAgAGEAbgBhAGUAcgBvAGIAaQBjACAAbABhAGcAbwBvAG4AIAAoAEUAZgBmAGwAdQBlAG4AdAAgAFAAbwBuAGQAKQBcACIALAAgADAALAAgAFwAIgBBAG4AYQBlAHIAbwBiAGkAYwAgAGwAYQBnAG8AbwBu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YAcgBhAGMATgBWAG8AbABhAHQAaQBsAGkAcwBlAGQAXABuAFQAYQBiAGwAZQAgAEEALgAxAC4AMQAuADYAOgAgAEIAZQBlAGYAIABmAGUAZQBkAGwAbwB0ACAAYwBhAHQAdABsAGUAIAAtACAARgByAGEAYwB0AGkAbwBuACAAbwBmACAATgAgAHYAbwBsAGEAdABpAGwAaQBzAGUAZAAgAGIAeQAgAE0ATQBTACAAKABGAHIAYQBjAEcAQQBTAE0AbQBUACkAXABuAC0ALQAtAC0ALQAtAC0ALQAtAC0ALQAtAC0ALQAtAC0ALQAtAC0ALQAtAC0ALQAtAC0ALQAtAC0ALQAtAC0ALQAtAC0ALQAtAC0ALQBcAG4AKgAvAFwAbgBcAG4AUwBvAHUAcgBjAGUARABhAHQAYQBfAEYAZQBlAGQAbABvAHQAXwBGAHIAYQBjAE4AVgBvAGwAYQB0AGkAbABpAHMAZQBkAF8AVABpAHQAbABlAFwAbgAgACAAPQBMAEEATQBCAEQAQQAoAFwAIgBGAGUAZQBkAGwAbwB0ACAALQAgAEYAcgBhAGMAdABpAG8AbgAgAG8AZgAgAE4AIAB2AG8AbABhAHQAaQBsAGkAcwBlAGQAIABiAHkAIABNAE0AUwAgACgARgByAGEAYwBHAEEAUwBNAG0AVAApAFwAIgApADsAXABuAFwAbgBTAG8AdQByAGMAZQBEAGEAdABhAF8ARgBlAGUAZABsAG8AdABfAEYAcgBhAGMATgBWAG8AbABhAHQAaQBsAGkAcwBlAGQAXwBVAG4AaQB0AFwAbgAgACAAPQBMAEEATQBCAEQAQQAoAFwAIgBcACIAKQA7AFwAbgBcAG4AUwBvAHUAcgBjAGUARABhAHQAYQBfAEYAZQBlAGQAbABvAHQAXwBGAHIAYQBjAE4AVgBvAGwAYQB0AGkAbABpAHMAZQBkAF8AUwBvAHUAcgBjAGUAXABuACAAIAA9AEwAQQBNAEIARABBACgAXAAiAFYARQBFAFIARwAgADIAMAAyADYAOgAgAFQAYQBiAGwAZQAgAEEALgAxAC4AMQAuADYAOgAgAEIAZQBlAGYAIABmAGUAZQBkAGwAbwB0ACAAYwBhAHQAdABsAGUAIAAtACAARgByAGEAYwB0AGkAbwBuACAAbwBmACAATgAgAHYAbwBsAGEAdABpAGwAaQBzAGUAZAAgAGIAeQAgAE0ATQBTACAAKABGAHIAYQBjAEcAQQBTAE0AbQBUACkAXAAiACkAOwBcAG4AXABuAFMAbwB1AHIAYwBlAEQAYQB0AGEAXwBGAGUAZQBkAGwAbwB0AF8ARgByAGEAYwBOAFYAbwBsAGEAdABpAGwAaQBzAGUAZABfAFYAYQByAGkAYQB0AGkAbwBuAFwAbgAgACAAPQBMAEEATQBCAEQAQQAoAFwAbgAgACAAIAAgAE0AQQBLAEUAQQBSAFIAQQBZACgAMg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GAHIAYQBjAE4AVgBvAGwAYQB0AGkAbABpAHMAZQBk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gByAGEAYwBHAEEAUwBNAG0AVAAgACgAawBnACAATgBIADMALQBOACAAKwAgAE4ATwB4AC0ATgApAC8AawBnACAATgBcACIALAAgAFwAIgBOAEkAUgAgAGQAZQBmAGkAbgBpAHQAaQBvAG4AXAAiADsAXABuACAAIAAgACAAIAAgACAAIAAgACAAXAAiAFAAcgBpAG0AYQByAHkAXAAiACwAIABcACIARAByAHkAIABsAG8AdAAgACgARgBlAGUAZABwAGEAZAApAFwAIgAsACAAMAAuADYALAAgAFwAIgBEAHIAeQBsAG8AdAAgACgAZgBlAGUAZAAgAHAAYQBkACkAXAAiADsAXABuACAAIAAgACAAIAAgACAAIAAgACAAXAAiAFMAZQBjAG8AbgBkAGEAcgB5AFwAIgAsACAAXAAiAFMAbwBsAGkAZAAgAFMAdABvAHIAYQBnAGUAIAAoAFMAdABvAGMAawBwAGkAbABlACkAXAAiACwAIAAwAC4AMgA1ACwAIABcACIAUwBvAGwAaQBkACAAcwB0AG8AcgBhAGcAZQBcACIAOwBcAG4AIAAgACAAIAAgACAAIAAgACAAIABcACIAUwBlAGMAbwBuAGQAYQByAHkAXAAiACwAIABcACIAQwBvAG0AcABvAHMAdABpAG4AZwAgACgAUABhAHMAcwBpAHYAZQAgAFcAaQBuAGQAcgBvAHcAKQBcACIALAAgADAALgA0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wAG8AbgBkACkAXAAiACwAIAAwAC4AMwA1ACwAIABcACIAQQBuAGEAZQByAG8AYgBpAGMAIABsAGEAZwBvAG8AbgBcACIAXABuACAAIAAgACAAIAAgACAAIAB9ACwAIAByACwAIABjACkAXABuACAAIAAgACAAIAAgACkAXABuACAAIAAgACAAKQBcAG4AIAAgACkAOwBcAG4AXABuACIAfQAsAHsAIgBwAGEAdABoACIAOgAiAC8AcAByAG8AagBlAGMAdABzAC8ATQBNAFMAXwBGAGUAZQBkAGwAbwB0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fAEMASAA0AFwAbgB0ACAAQwBIADQAXABuAHsARQB9AF8AewBDAEgANAB9AD0AXABcAHMAdQBtAF8AewBqAH0AXABcAHMAdQBtAF8AewBtAH0AXABcAHMAdQBtAF8AewBUAH0AKABEAF8AewBqAH0AXABcAHQAaQBtAGUAcwAgAE0AXwB7AGoAbQBUAH0AXABcAHQAaQBtAGUAcwAgAE4AXwB7AGoAfQApAFwAXAB0AGkAbQBlAHMAMQAwAF4AewAtADMAfQBcAG4ARABfAGoAIAA9ACAAbABlAG4AZwB0AGgAIABvAGYAIABzAHQAYQB5ACAAbwBmACAAZQBhAGMAaAAgAGMAYQB0AHQAbABlACAAZwByAG8AdQBwACAAOgAgAGQAYQB5AHMAXABuAE0AXwBqAG0AVAAgAD0AIABtAGUAdABoAGEAbgBlACAAcAByAG8AZAB1AGMAdABpAG8AbgAgAGYAcgBvAG0AIABtAGEAbgB1AHIAZQAgAHAAZQByACAAYwBhAHQAdABsAGUAIABnAHIAbwB1AHAALAAgAE0ATQBTACwAIABhAG4AZAAgAHQAcgBlAGEAdABtAGUAbgB0ACAAcwB0AGEAZwBlACAAOgAgAGsAZwAgAEMASAA0AC8AaABlAGEAZAAvAGQAYQB5AFwAbgBOAF8AagAgAD0AIABuAHUAbQBiAGUAcgBzACAAbwBmACAAYgBlAGUAZgAgAGMAYQB0AHQAbABlACAAaQBuACAAZQBhAGMAaAAgAGcAcgBvAHUAcAAgADoAIABoAGUAYQBkAFwAbgAtAC0ALQAtAC0ALQAtAC0ALQAtAC0ALQAtAC0ALQAtAC0ALQAtAC0ALQAtAC0ALQAtAC0ALQAtAC0ALQAtAC0ALQAtAC0ALQAtAC0AXABuACoALwBcAG4AXABuAFYARQBFAFIARwBfADQAXwAxAF8AMQBfADEAXwBfADEAXwBUAG8AdABhAGwAQQBuAG4AdQBhAGwATQBlAHQAaABhAG4AZQBFAG0AaQBzAHMAaQBvAG4AcwBcAG4AIAAgAD0ATABBAE0AQgBEAEEAKABcAG4AIAAgACAAIABEAF8AagAsACAATQBfAGoAbQBUACwAIABOAF8AagAsAFwAbgAgACAAIAAgACgARABfAGoAIAAqACAATQBfAGoAbQBUACAAKgAgAE4AXwBqACkAIAAqACAAMQAwACAAXgAgAC0AMwBcAG4AIAAgACkAOwBcAG4AXABuAFYARQBFAFIARwBfADQAXwAx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MQBfADEAXwAxAF8AXwAxAF8AVABvAHQAYQBsAEEAbgBuAHUAYQBsAE0AZQB0AGgAYQBuAGUARQBtAGkAcwBzAGkAbwBuAHMAXwBWAGEAcgBpAGEAYgBsAGUAXABuACAAIAA9AEwAQQBNAEIARABBACgAXAAiAEUAXw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fAGoAXAAiACwAXAAiAGwAZQBuAGcAdABoACAAbwBmACAAcwB0AGEAeQAgAG8AZgAgAGUAYQBjAGgAIABjAGEAdAB0AGwAZQAgAGcAcgBvAHUAcABcACIALAAgAFwAIgBkAGEAeQBzAFwAIgAsACAAXAAiAEkAbgBwAHUAdABcACIAOwBcAG4AIAAgACAAIAAgACAAIAAgACAAIABcACIATQBfAGoAbQBUAFwAIgAsAFwAIgBtAGUAdABoAGEAbgBlACAAcAByAG8AZAB1AGMAdABpAG8AbgAgAGYAcgBvAG0AIABtAGEAbgB1AHIAZQAgAHAAZQByACAAYwBhAHQAdABsAGUAIABnAHIAbwB1AHAALAAgAE0ATQBTACwAIABhAG4AZAAgAHQAcgBlAGEAdABtAGUAbgB0ACAAcwB0AGEAZwBlAFwAIgAsACAAXAAiAGsAZwAgAEMASAA0AC8AaABlAGEAZAAvAGQAYQB5AFwAIgAsACAAXAAiAEMAYQBsAGMAdQBsAGEAdABlAGQAIABmAHIAbwBtACAANAAuADEALgAxAC4AMQAgACgAMgApACgAMwApACgANAApAFwAIgA7AFwAbgAgACAAIAAgACAAIAAgACAAIAAgAFwAIgBOAF8AagBcACIALABcACIAbgB1AG0AYgBlAHIAcwAgAG8AZgAgAGIAZQBlAGYAIABjAGEAdAB0AGwAZQAgAGkAbgAgAGUAYQBjAGgAIABnAHIAbwB1AHA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gBfAFMAdABhAGcAZQAxAE0AZQB0AGgAYQBuAGUAUAByAG8AZAB1AGMAdABpAG8AbgBEAHIAeQBsAG8AdABcAG4AUAByAG8AZAB1AGMAdABpAG8AbgAgAG8AZgAgAG0AZQB0AGgAYQBuAGUAIABpAG4AIAB0AHIAZQBhAHQAbQBlAG4AdAAgAHMAdABhAGcAZQAgADEAIABNAE0AUwBcAG4ATQBfAGoAbQA1AFQAMQBcAG4AawBnACAAQwBIADQALwBoAGUAYQBkAC8AZABhAHkAXABuAE0AXwB7AGoAbQA9ADUALABUAD0AMQB9AD0AVgBTAF8AewBqAH0AXABcAHQAaQBtAGUAcwAgAEIATwBcAFwAdABpAG0AZQBzACAATQBNAFMAXwB7AG0APQA1ACwAVAA9ADEAfQBcAFwAdABpAG0AZQBzACAATQBDAEYAXwB7AGkAbQA9ADU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NQBUADEAIAA9ACAAZgByAGEAYwB0AGkAbwBuACAAbwBmACAAbQBhAG4AdQByAGUAIABpAG4AIABwAHIAaQBtAGEAcgB5ACAAcwB5AHMAdABlAG0AIABkAHIAeQBsAG8AdAAgAE0ATQBTACAAOgAgAGYAcgBhAGMAdABpAG8AbgBcAG4ATQBDAEYAXwBpAG0ANQAgAD0AIABtAGUAdABoAGEAbgBlACAAYwBvAG4AdgBlAHIAcwBpAG8AbgAgAGYAYQBjAHQAbwByACAAZgBvAHIAIABtAGUAYQBuACAAYQBuAG4AdQBhAGwAIAB0AGUAbQBwAGUAcgBhAHQAdQBy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Q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UAVAAxAFwAIgAsAFwAIgBmAHIAYQBjAHQAaQBvAG4AIABvAGYAIABtAGEAbgB1AHIAZQAgAGkAbgAgAHAAcgBpAG0AYQByAHkAIABzAHkAcwB0AGUAbQAgAGQAcgB5AGwAbwB0ACAATQBNAFMAXAAiACwAIABcACIAZgByAGEAYwB0AGkAbwBuAFwAIgAsACAAXAAiAEkAbgBwAHUAdABcACIAOwBcAG4AIAAgACAAIAAgACAAIAAgACAAIABcACIATQBDAEYAXwBpAG0ANQBcACIALABcACIAbQBlAHQAaABhAG4AZQAgAGMAbwBuAHYAZQByAHMAaQBvAG4AIABmAGEAYwB0AG8AcgAgAGYAbwByACAAcwB0AGEAdABlACAAYQBuAGQAIABkAHIAeQBsAG8Ad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yAF8AUwB0AGEAZwBlADEATQBlAHQAaABhAG4AZQBQAHIAbwBkAHUAYwB0AGkAbwBuAEQAcgB5AGwAbw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NQBUADEAXAAiACwAXAAiAGYAcgBhAGMAdABpAG8AbgAgAG8AZgAgAG0AYQBuAHUAcgBlACAAaQBuACAAcAByAGkAbQBhAHIAeQAgAHMAeQBzAHQAZQBtACAAZAByAHkAbABvAHQAIABNAE0AUwBcACIALAAgAFwAIgBmAHIAYQBjAHQAaQBvAG4AXAAiACwAIABcACIASQBuAHAAdQB0AFwAIgA7AFwAbgAgACAAIAAgACAAIAAgACAAIAAgAFwAIgBNAEMARgBfAGkAbQA1AFwAIgAsAFwAIgBtAGUAdABoAGEAbgBlACAAYwBvAG4AdgBlAHIAcwBpAG8AbgAgAGYAYQBjAHQAbwByACAAZgBvAHIAIABzAHQAYQB0AGUAIABhAG4AZAAgAGQAcgB5AGwAbwB0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bQBlAGEAbgAgAGEAbgBuAHUAYQBsACAAdABlAG0AcABlAHIAYQB0AHUAc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XwBqACwAIABCAE8ALAAgAE0ATQBTAF8AbQBUADIALAAgAE0AQwBGAF8AaQBtACwAIAByAGgAbwAsAFwAbgAgACAAIAAgACgAMQAgAC0AIABWAFMATAApACAAKgAgAFYAUwBfAGoAIAAqACAAQgBPACAAKgAgAE0ATQBTAF8AbQBUADIAIAAqACAATQBDAEYAXw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F8AagBtAFQAMgBcACIAKQA7AFwAbgBcAG4AVgBFAEUAUgBHAF8ANABfADEAXwAxAF8AMQBfAF8AMwBfAFMAdABhAGcAZQAyAE0AZQB0AGgAYQBuAGUAUAByAG8AZAB1AGMAdABpAG8AbgBfAFUAbgBpAHQAXABuACAAIAA9AEwAQQBNAEIARABBACgAXAAiAGsAZwAgAEMASAA0AC8AaABlAGEAZAAvAGQAYQB5AFwAIgApADsAXABuAFwAbgBWAEUARQBSAEcAXwA0AF8AMQBfADEAXwAxAF8AXwAzAF8AUwB0AGEAZwBlADIATQBlAHQAaABhAG4AZQBQAHIAbwBkAHUAYwB0AGkAbwBuAF8AUwBvAHUAcgBjAGUAXABuACAAIAA9AEwAQQBNAEIARABBACgAXAAiAFYARQBFAFIARwAgADIAMAAyADYAOgAgADQALgAxAC4AMQAuADEALAAgAEUAcQB1AGEAdABpAG8AbgAgACgAMwApAFwAIgApADsAXABuAFwAbgBWAEUARQBSAEcAXwA0AF8AMQBfADEAXwAxAF8AXwAzAF8AUwB0AGEAZwBlADIATQBlAHQAaABhAG4AZQBQAHIAbwBkAHUAYwB0AGkAbwBuAF8ATgBJAFIAUgBlAGYAZQByAGUAbgBjAGUAXABuACAAIAA9AEwAQQBNAEIARABBACgAXAAiAFwAIgApADsAXABuAFwAbgBWAEUARQBSAEcAXwA0AF8AMQBfADEAXwAxAF8AXwAzAF8AUwB0AGEAZwBlADIATQBlAHQAaABhAG4AZQBQAHIAbwBkAHUAYwB0AGkAbwBuAF8ATABhAHQAZQB4AEUAcQB1AGEAdABpAG8AbgBcAG4AIAAgAD0ATABBAE0AQgBEAEEAKABcACIATQBfAHsAagBtAFQAPQAyAH0APQAoADEALQBWAFMATAApAFwAXAB0AGkAbQBlAHMAIABWAFMAXwB7AGoAfQBcAFwAdABpAG0AZQBzACAAQgBPAFwAXAB0AGkAbQBlAHMAIABNAE0AUwBfAHsAbQBUAD0AMgB9AFwAXAB0AGkAbQBlAHMAIABNAEMARgBfAHsAaQBtAH0AXABcAHQAaQBtAGUAcwAgAFwAXAByAGgAbwBcACIAKQA7AFwAbgBcAG4AVgBFAEUAUgBHAF8ANABfADEAXwAxAF8AMQBfAF8AMwBfAFMAdABhAGcAZQAyAE0AZQB0AGgAYQBuAGUAUAByAG8AZAB1AGMAdABpAG8AbgBfAEEAcgBnAHUAbQBlAG4AdABzAFwAbgAgACAAPQBMAEEATQBCAEQAQQAoAFwAbgAgACAAIAAgAE0AQQBLAEUAQQBSAFIAQQBZACgANwAsACAANAAsAFwAbgAgACAAIAAgACAAIABMAEEATQBCAEQAQQAoAHIALABjACwAXABuACAAIAAgACAAIAAgACAAIABJAE4ARABFAFgAKAB7AFwAbgAgACAAIAAgACAAIAAgACAAIAAgAFwAIgBWAFMATABcACIALABcACIAZgByAGEAYwB0AGkAbwBuACAAbwBmACAAdgBvAGwAYQB0AGkAbABlACAAcwBvAGwAaQBkAHMAIABsAG8AcwB0ACAAZAB1AHIAaQBuAGcAIABzAHQAbwByAGEAZwBlACAAaQBuACAAdABoAGUAIABwAHIAaQBtAGEAcgB5ACAAcwB5AHMAdABlAG0AXAAiACwAIABcACIAZgByAGEAYwB0AGkAbwBuAFwAIgAsACAAXAAiAEMAbwBuAHMAdABhAG4AdABcACIAOwBcAG4AIAAgACAAIAAgACAAIAAgACAAIABcACIAVgBTAF8AagBcACIALABcACIAdgBvAGwAYQB0AGkAbABlACAAcwBvAGwAaQBkACAAcAByAG8AZAB1AGMAdABpAG8AbgAgAGYAcgBvAG0AIABmAGUAZQBkAGwAbwB0ACAAYwBhAHQAdABsAGUAIABpAG4AIABlAGEAYwBoACAAZwByAG8AdQBw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cwB0AGEAdA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NABfADEAXwAxAF8AMQBfAF8AMwBfAFMAdABhAGcAZQAyAE0AZQB0AGgAYQBuAGUAUAByAG8AZAB1AGMAdABpAG8AbgBfAEEAcgBnAHUAbQBlAG4AdABzAF8ATQBlAHQAaABvAGQAMgBcAG4AIAAgAD0ATABBAE0AQgBEAEEAKABcAG4AIAAgACAAIABNAEEASwBFAEEAUgBSAEEAWQAoADcALAAgADQ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FwAIgAsACAAXAAiAGYAcgBhAGMAdABpAG8AbgBcACIALAAgAFwAIgBDAG8AbgBzAHQAYQBuAHQAXAAiADsAXABuACAAIAAgACAAIAAgACAAIAAgACAAXAAiAFYAUwBfAGoAXAAiACwAXAAiAHYAbwBsAGEAdABpAGwAZQAgAHMAbwBsAGkAZAAgAHAAcgBvAGQAdQBjAHQAaQBvAG4AIABmAHIAbwBtACAAZgBlAGUAZABsAG8AdAAgAGMAYQB0AHQAbABlACAAaQBuACAAZQBhAGMAaAAgAGcAcgBvAHUAcABcACIALAAgAFwAIgBrAGcALwBoAGUAYQBkAC8AZABhAHkAXAAiACwAIABcACIAQwBhAGwAYwB1AGwAYQB0AGUAZAAgAGYAcgBvAG0AIAA0AC4AMQAuADEALgAxACAAKAA1ACkAXAAiADsAXABuACAAIAAgACAAIAAgACAAIAAgACAAXAAiAEIATwBcACIALABcACIAZQBtAGkAcwBzAGkAbwBuAHMAIABwAG8AdABlAG4AdABpAGEAbABcACIALAAgAFwAIgBtADMAIABDAEgANAAvAGsAZwAgAFYAUwBcACIALAAgAFwAIgBDAG8AbgBzAHQAYQBuAHQAXAAiADsAXABuACAAIAAgACAAIAAgACAAIAAgACAAXAAiAE0ATQBTAF8AbQBUADIAXAAiACwAXAAiAGYAcgBhAGMAdABpAG8AbgAgAG8AZgAgAG0AYQBuAHUAcgBlACAAaQBuACAAZQBhAGMAaAAgAHMAZQBjAG8AbgBkAGEAcgB5ACAAcwB5AHMAdABlAG0AXAAiACwAIABcACIAZgByAGEAYwB0AGkAbwBuAFwAIgAsACAAXAAiAEkAbgBwAHUAdABcACIAOwBcAG4AIAAgACAAIAAgACAAIAAgACAAIABcACIATQBDAEYAXwBpAG0AXAAiACwAXAAiAG0AZQB0AGgAYQBuAGUAIABjAG8AbgB2AGUAcgBzAGkAbwBuACAAZgBhAGMAdABvAHIAIABmAG8AcgAgAG0AZQBhAG4AIABhAG4AbgB1AGEAbAAgAHQAZQBtAHAAZQByAGEAdAB1AHI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TQBlAGEAbgAgAGEAbgBuAHUAYQBsACAAdABlAG0AcABlAHIAYQB0AHUAc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0AF8AUwB0AGEAZwBlADMATQBlAHQAaABhAG4AZQBQAHIAbwBkAHUAYwB0AGkAbwBuAEEAbgBhAGUAcgBvAGIAaQBjAEwAYQBnAG8AbwBuAFwAbgBQAHIAbwBkAHUAYwB0AGkAbwBuACAAbwBmACAAbQBlAHQAaABhAG4AZQAgAGkAbgAgAHQAcgBlAGEAdABtAGUAbgB0ACAAcwB0AGEAZwBlACAAMwAgAE0ATQBTAFwAbgBNAF8AagBtADEAVAAzAFwAbgBrAGcAIABDAEgANAAvAGgAZQBhAGQALwBkAGEAeQBcAG4ATQBfAHsAagBtAD0AMQAsAFQAPQAzAH0APQBWAFMAXwB7AGoAfQBcAFwAdABpAG0AZQBzACAAQgBPAFwAXAB0AGkAbQBlAHMAIABNAE0AUwBfAHsAbQA9ADEALABUAD0AMwB9AFwAXAB0AGkAbQBlAHMAIABNAEMARgBfAHsAaQBtAD0AM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xAFQAMwAgAD0AIABmAHIAYQBjAHQAaQBvAG4AIABvAGYAIABtAGEAbgB1AHIAZQAgAHQAbwAgAHQAZQByAHQAaQBhAHIAeQAgAGEAbgBhAGUAcgBvAGIAaQBjACAAbABhAGcAbwBvAG4AIABzAHkAcwB0AGUAbQAgADoAIABmAHIAYQBjAHQAaQBvAG4AXABuAE0AQwBGAF8AaQBtADEAIAA9ACAAbQBlAHQAaABhAG4AZQAgAGMAbwBuAHYAZQByAHMAaQBvAG4AIABmAGEAYwB0AG8AcgAgAGYAbwByACAAbQBlAGEAbgAgAGEAbgBuAHUAYQBsACAAdABlAG0AcABlAHIAYQB0AHUAc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XwBqACwAIABCAE8ALAAgAE0ATQBTAF8AbQAxAFQAMwAsACAATQBDAEYAXwBpAG0AMQAsACAAcgBoAG8ALABcAG4AIAAgACAAIABWAFMAXwBqACAAKgAgAEIATwAgACoAIABNAE0AUwBfAG0AMQBUADMAIAAqACAATQBDAEYAXw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XwBqAG0AMQBUADMAXAAiACkAOwBcAG4AXABuAFYARQBFAFIARwBfADQAXwAxAF8AMQBfADEAXwBfADQAXwBTAHQAYQBnAGUAMwBNAGUAdABoAGEAbgBlAFAAcgBvAGQAdQBjAHQAaQBvAG4AQQBuAGEAZQByAG8AYgBpAGMATABhAGcAbwBvAG4AXwBVAG4AaQB0AFwAbgAgACAAPQBMAEEATQBCAEQAQQAoAFwAIgBrAGcAIABDAEgANAAvAGgAZQBhAGQALwBkAGEAeQBcACIAKQA7AFwAbgBcAG4AVgBFAEUAUgBHAF8ANABfADEAXwAxAF8AMQBfAF8ANABfAFMAdABhAGcAZQAzAE0AZQB0AGgAYQBuAGUAUAByAG8AZAB1AGMAdABpAG8AbgBBAG4AYQBlAHIAbwBiAGkAYwBMAGEAZwBvAG8AbgBfAFMAbwB1AHIAYwBlAFwAbgAgACAAPQBMAEEATQBCAEQAQQAoAFwAIgBWAEUARQBSAEcAIAAyADAAMgA2ADoAIAA0AC4AMQAuADEALgAxACwAIABFAHEAdQBhAHQAaQBvAG4AIAAoADQAKQBcACIAKQA7AFwAbgBcAG4AVgBFAEUAUgBHAF8ANABfADEAXwAxAF8AMQBfAF8ANABfAFMAdABhAGcAZQAzAE0AZQB0AGgAYQBuAGUAUAByAG8AZAB1AGMAdABpAG8AbgBBAG4AYQBlAHIAbwBiAGkAYwBMAGEAZwBvAG8AbgBfAE4ASQBSAFIAZQBmAGUAcgBlAG4AYwBlAFwAbgAgACAAPQBMAEEATQBCAEQAQQAoAFwAIgBcACIAKQA7AFwAbgBcAG4AVgBFAEUAUgBHAF8ANABfADEAXwAxAF8AMQBfAF8ANABfAFMAdABhAGcAZQAzAE0AZQB0AGgAYQBuAGUAUAByAG8AZAB1AGMAdABpAG8AbgBBAG4AYQBlAHIAbwBiAGkAYwBMAGEAZwBvAG8AbgBfAEwAYQB0AGUAeABFAHEAdQBhAHQAaQBvAG4AXABuACAAIAA9AEwAQQBNAEIARABBACgAXAAiAE0AXwB7AGoAbQA9ADEALABUAD0AMwB9AD0AVgBTAF8AewBqAH0AXABcAHQAaQBtAGUAcwAgAEIATwBcAFwAdABpAG0AZQBzACAATQBNAFMAXwB7AG0APQAxACwAVAA9ADMAfQBcAFwAdABpAG0AZQBzACAATQBDAEYAXwB7AGkAbQA9ADEAfQBcAFwAdABpAG0AZQBzACAAXABcAHIAaABvAFwAIgApADsAXABuAFwAbgBWAEUARQBSAEcAXwA0AF8AMQBfADEAXwAxAF8AXwA0AF8AUwB0AGEAZwBlADMATQBlAHQAaABhAG4AZQBQAHIAbwBkAHUAYwB0AGkAbwBuAEEAbgBhAGUAcgBvAGIAaQBjAEwAYQBnAG8AbwBuAF8AQQByAGcAdQBtAGUAbgB0AHMAXABuACAAIAA9AEwAQQBNAEIARABBACgAXABuACAAIAAgACAATQBBAEsARQBBAFIAUgBBAFkAKAA2ACwAIAA0ACwAXABuACAAIAAgACAAIAAgAEwAQQBNAEIARABBACgAcgAsAGMALABcAG4AIAAgACAAIAAgACAAIAAgAEkATgBEAEUAWAAoAHsAXABuACAAIAAgACAAIAAgACAAIAAgACAAXAAiAFYAUwBfAGoAXAAiACwAXAAiAHYAbwBsAGEAdABpAGwAZQAgAHMAbwBsAGkAZAAgAHAAcgBvAGQAdQBjAHQAaQBvAG4AIABmAHIAbwBtACAAZgBlAGUAZABsAG8AdAAgAGMAYQB0AHQAbABlACAAaQBuACAAZQBhAGMAaAAgAGcAcgBvAHUAcAAgAGoAXAAiACwAIABcACIAawBnAC8AaABlAGEAZAAvAGQAYQB5AFwAIgAsACAAXAAiAEMAYQBsAGMAdQBsAGEAdABlAGQAIABmAHIAbwBtACAANAAuADEALgAxAC4AMQAgACgANQApAFwAIgA7AFwAbgAgACAAIAAgACAAIAAgACAAIAAgAFwAIgBCAE8AXAAiACwAXAAiAGUAbQBpAHMAcwBpAG8AbgBzACAAcABvAHQAZQBuAHQAaQBhAGwAXAAiACwAIABcACIAbQAzACAAQwBIADQALwBrAGcAIABWAFMAXAAiACwAIABcACIAQwBvAG4AcwB0AGEAbgB0AFwAIgA7AFwAbgAgACAAIAAgACAAIAAgACAAIAAgAFwAIgBNAE0AUwBfAG0AMQBUADMAXAAiACwAXAAiAGYAcgBhAGMAdABpAG8AbgAgAG8AZgAgAG0AYQBuAHUAcgBlACAAdABvACAAdABlAHIAdABpAGEAcgB5ACAAYQBuAGEAZQByAG8AYgBpAGMAIABsAGEAZwBvAG8AbgAgAHMAeQBzAHQAZQBtAFwAIgAsACAAXAAiAGYAcgBhAGMAdABpAG8AbgBcACIALAAgAFwAIgBJAG4AcAB1AHQAXAAiADsAXABuACAAIAAgACAAIAAgACAAIAAgACAAXAAiAE0AQwBGAF8AaQBtADEAXAAiACwAXAAiAG0AZQB0AGgAYQBuAGUAIABjAG8AbgB2AGUAcgBzAGkAbwBuACAAZgBhAGMAdABvAHIAIABmAG8AcgAgAHMAdABhAHQAZQAgAGEAbgBkACAAYQBuAGEAZQByAG8AYgBpAGMAIABsAGEAZwBvAG8Abg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MQBfADEAXwAxAF8AXwA0AF8AUwB0AGEAZwBlADMATQBlAHQAaABhAG4AZQBQAHIAbwBkAHUAYwB0AGkAbwBuAEEAbgBhAGUAcgBvAGIAaQBjAEwAYQBnAG8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FwAIgB2AG8AbABhAHQAaQBsAGUAIABzAG8AbABpAGQAIABwAHIAbwBkAHUAYwB0AGkAbwBuACAAZgByAG8AbQAgAGYAZQBlAGQAbABvAHQAIABjAGEAdAB0AGwAZQAgAGkAbgAgAGUAYQBjAGgAIABnAHIAbwB1AHAAIABqAFwAIgAsACAAXAAiAGsAZwAvAGgAZQBhAGQALwBkAGEAeQBcACIALAAgAFwAIgBDAGEAbABjAHUAbABhAHQAZQBkACAAZgByAG8AbQAgADQALgAxAC4AMQAuADEAIAAoADUAKQBcACIAOwBcAG4AIAAgACAAIAAgACAAIAAgACAAIABcACIAQgBPAFwAIgAsAFwAIgBlAG0AaQBzAHMAaQBvAG4AcwAgAHAAbwB0AGUAbgB0AGkAYQBsAFwAIgAsACAAXAAiAG0AMwAgAEMASAA0AC8AawBnACAAVgBTAFwAIgAsACAAXAAiAEMAbwBuAHMAdABhAG4AdABcACIAOwBcAG4AIAAgACAAIAAgACAAIAAgACAAIABcACIATQBNAFMAXwBtADEAVAAzAFwAIgAsAFwAIgBmAHIAYQBjAHQAaQBvAG4AIABvAGYAIABtAGEAbgB1AHIAZQAgAHQAbwAgAHQAZQByAHQAaQBhAHIAeQAgAGEAbgBhAGUAcgBvAGIAaQBjACAAbABhAGcAbwBvAG4AIABzAHkAcwB0AGUAbQBcACIALAAgAFwAIgBmAHIAYQBjAHQAaQBvAG4AXAAiACwAIABcACIASQBuAHAAdQB0AFwAIgA7AFwAbgAgACAAIAAgACAAIAAgACAAIAAgAFwAIgBNAEMARgBfAGkAbQAxAFwAIgAsAFwAIgBtAGUAdABoAGEAbgBlACAAYwBvAG4AdgBlAHIAcwBpAG8AbgAgAGYAYQBjAHQAbwByACAAZgBvAHIAIABtAGUAYQBuACAAYQBuAG4AdQBhAGwAIAB0AGUAbQBwAGUAcgBhAHQAdQByAGUAIABhAG4AZAAgAGEAbgBhAGUAcgBvAGIAaQBjACAAbABhAGcAbwBvAG4AIABzAHkAcwB0AGUAbQ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NAGUAYQBuACAAYQBuAG4AdQBhAGwAIAB0AGUAbQBwAGUAcgBhAHQAdQBy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FwAIgBkAHIAeQAgAG0AYQB0AHQAZQByACAAaQBuAHQAYQBrAGUAIABmAG8AcgAgAGUAYQBjAGgAIABnAHIAbwB1AHAAIABqAFwAIgAsACAAXAAiAGsAZwAgAEQATQAvAGgAZQBhAGQALwBkAGEAeQBcACIALAAgAFwAIgBJAG4AcAB1AHQAXAAiADsAXABuACAAIAAgACAAIAAgACAAIAAgACAAXAAiAEQATQBEAF8AagBcACIALABcACIAZAByAHkAIABtAGEAdAB0AGUAcgAgAGQAaQBnAGUAcwB0AGkAYgBpAGwAaQB0AHkAIABmAG8AcgAgAGUAYQBjAGgAIABnAHIAbwB1AHAAIABqAFwAIgAsACAAXAAiAGYAcgBhAGMAdABpAG8AbgBcACIALAAgAFwAIgBJAG4AcAB1AHQAXAAiADsAXABuACAAIAAgACAAIAAgACAAIAAgACAAXAAiAEEAXAAiACwAXAAiAGEAcwBoACAAYwBvAG4AdABlAG4AdAAgAG8AZgAgAG0AYQBuAHUAcgBlAFwAIgAsACAAXAAiAGYAcgBhAGMAdABpAG8AbgBcACIALAAgAFwAIgBDAG8AbgBzAHQAYQBuAHQ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FwAXABzAHUAbQBfAHsAVAB9ACgATQBOAF8AewBqAG0AVAA9ADIALAAzAH0AXABcAHQAaQBtAGUAcwAoADEALQBFAEYAXwB7AG0AVAA9ADIALAAzAH0ALQBGAHIAYQBjAEcAQQBTAE0AXwB7AG0AVAA9ADIALAAzAH0AKQApAFwAXAB0AGkAbQBlAHMAKAAxAC0AUABGACk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gBfAE0AYQBzAHMATwBmAE4AaQB0AHIAbwBnAGUAbgBBAHAAcABsAGkAZQBkAFQAbwBTAG8AaQBsAHMAUwBjAG8AcABlADM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AoADEAIAAtACAAUABGACkAXABuACAAIAApADsAXABuAFwAbgBWAEUARQBSAEcAXwA0AF8AMQBfADEAXwA5AF8AXwAyAF8ATQBhAHMAcwBPAGYATgBpAHQAcgBvAGcAZQBuAEEAcABwAGwAaQBlAGQAVABvAFMAbwBpAGwAcwBTAGMAbwBwAGUAMwBfAFQAaQB0AGwAZQBcAG4AIAAgAD0ATABBAE0AQgBEAEEAKABcACIATQBhAHMAcwAgAG8AZgAgAG4AaQB0AHIAbwBnAGUAbgAgAGEAcABwAGwAaQBlAGQAIAB0AG8AIABzAG8AaQBsAHMAIABmAG8AcgAgAHMAYwBvAHAAZQAgADMAIABlAG0AaQBzAHMAaQBvAG4AcwBcACIAKQA7AFwAbgBcAG4AVgBFAEUAUgBHAF8ANABfADEAXwAxAF8AOQBfAF8AMgBfAE0AYQBzAHMATwBmAE4AaQB0AHIAbwBnAGUAbgBBAHAAcABsAGkAZQBkAFQAbwBTAG8AaQBsAHMAUwBjAG8AcABlADMAXwBWAGEAcgBpAGEAYgBsAGUAXABuACAAIAA9AEwAQQBNAEIARABBACgAXAAiAE0ATgBTAG8AaQBsAF8AcwBjAG8AcABlADMAXAAiACkAOwBcAG4AXABuAFYARQBFAFIARwBfADQAXwAxAF8AMQBfADkAXwBfADIAXwBNAGEAcwBzAE8AZgBOAGkAdAByAG8AZwBlAG4AQQBwAHAAbABpAGUAZABUAG8AUwBvAGkAbABzAFMAYwBvAHAAZQAzAF8AVQBuAGkAdABcAG4AIAAgAD0ATABBAE0AQgBEAEEAKABcACIAawBnACAATgBcACIAKQA7AFwAbgBcAG4AVgBFAEUAUgBHAF8ANABfADEAXwAxAF8AOQBfAF8AMgBfAE0AYQBzAHMATwBmAE4AaQB0AHIAbwBnAGUAbgBBAHAAcABsAGkAZQBkAFQAbwBTAG8AaQBsAHMAUwBjAG8AcABlADMAXwBTAG8AdQByAGMAZQBcAG4AIAAgAD0ATABBAE0AQgBEAEEAKABcACIAVgBFAEUAUgBHACAAMgAwADIANgA6ACAANAAuADEALgAxAC4AOQAsACAARQBxAHUAYQB0AGkAbwBuACAAKAAyACkAXAAiACkAOwBcAG4AXABuAFYARQBFAFIARwBfADQAXwAxAF8AMQBfADkAXwBfADIAXwBNAGEAcwBzAE8AZgBOAGkAdAByAG8AZwBlAG4AQQBwAHAAbABpAGUAZABUAG8AUwBvAGkAbABzAFMAYwBvAHAAZQAzAF8ATgBJAFIAUgBlAGYAZQByAGUAbgBjAGUAXABuACAAIAA9AEwAQQBNAEIARABBACgAXAAiAFwAIgApADsAXABuAFwAbgBWAEUARQBSAEcAXwA0AF8AMQBfADEAXwA5AF8AXwAyAF8ATQBhAHMAcwBPAGYATgBpAHQAcgBvAGcAZQBuAEEAcABwAGwAaQBlAGQAVABvAFMAbwBpAGwAcwBTAGMAbwBwAGUAMwBfAEwAYQB0AGUAeABFAHEAdQBhAHQAaQBvAG4AXABuACAAIAA9AEwAQQBNAEIARABBACgAXAAi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CIAKQA7AFwAbgBcAG4AVgBFAEUAUgBHAF8ANABfADEAXwAxAF8AOQBfAF8AMgBfAE0AYQBzAHMATwBmAE4AaQB0AHIAbwBnAGUAbgBBAHAAcABsAGkAZQBkAFQAbwBTAG8AaQBsAHMAUwBjAG8AcABlADMAXwBBAHIAZwB1AG0AZQBuAHQAcwBcAG4AIAAgAD0ATABBAE0AQgBEAEEAKABcAG4AIAAgACAAIABNAEEASwBFAEEAUgBSAEEAWQAoADQALAAgADQ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XAAiACwAXAAiAGsAZwAgAE4AXAAiACwAIABcACIAQwBhAGwAYwB1AGwAYQB0AGUAZAAgAGYAcgBvAG0AIAA0AC4AMQAuADEALgAzACAAKAA2ACkAKAA4ACkAXAAiADsAXABuACAAIAAgACAAIAAgACAAIAAgACAAXAAiAEUARgBfAG0AVAAyADMAXAAiACwAXAAiAG4AaQB0AHIAbwB1AHMAIABvAHgAaQBkAGUAIABlAG0AaQBzAHMAaQBvAG4AIABmAGEAYwB0AG8AcgAgAGYAbwByACAAZQBhAGMAaAAgAE0ATQBTAFwAIgAsAFwAIgBrAGcAIABOADIATwAtAE4ALwBrAGcAIABOAFwAIgAsACAAXAAiAEMAbwBuAHMAdABhAG4AdA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XAAiACwAXAAiACgAawBnACAATgBIADMALQBOACAAKwAgAE4ATwB4AC0ATgApAC8AawBnACAATgBcACIALAAgAFwAIgBDAG8AbgBzAHQAYQBuAHQAXAAiADsAXABuACAAIAAgACAAIAAgACAAIAAgACAAXAAiAFAARgBcACIALABcACIAZgByAGEAYwB0AGkAbwBuACAAbwBmACAAbQBhAG4AdQByAGUAIABhAHAAcABsAGkAZQBkACAAdABvACAAcwBvAGkAbAAgAHcAaQB0AGgAaQBuACAAdABoAGUAIABmAGUAZQBkAGwAbwB0ACAAYgBvAHUAbgBkAGEAcgB5AFwAIgAsAFwAIgBmAHIAYQBjAHQAaQBvAG4AXAAiACwAIABcACIASQBuAHAAdQB0AFwAIgBcAG4AIAAgACAAIAAgACAAIAAgAH0ALAAgAHIALAAgAGMAKQBcAG4AIAAgACAAIAAgACAAKQBcAG4AIAAgACAAIAApAFwAbgAgACAAKQA7AFwAbgBcAG4AXABuACIAfQAsAHsAIgBwAGEAdABoACIAOgAiAC8AcAByAG8AagBlAGMAdABzAC8ATQBNAFMAXwBGAGUAZQBkAGwAbwB0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1ACAATQBlAHQAaABvAGQAIAAxACAALQAgAE0AYQBuAHUAcgBlACAAQQB0AG0AbwBzAHAAaABlAHIAaQBjACAARABlAHAAbwBzAGkAdABpAG8Abg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NQBfAF8AMQBfAFQAbwB0AGEAbABBAG4AbgB1AGEAbABBAHQAbQBvAHMAcABoAGUAcgBpAGMARABlAHAAbwBzAGkAdABpAG8AbgBFAG0AaQBzAHMAaQBvAG4Ac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UAXwBfADEAXwBUAG8AdABhAGwAQQBuAG4AdQBhAGwAQQB0AG0AbwBzAHAAaABlAHIAaQBjAEQAZQBwAG8AcwBpAHQAaQBvAG4ARQBtAGkAcwBzAGkAbwBuAH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MQBfADEAXwA1AF8AXwAxAF8AVABvAHQAYQBsAEEAbgBuAHUAYQBsAEEAdABtAG8AcwBwAGgAZQByAGkAYwBEAGUAcABvAHMAaQB0AGkAbwBuAEUAbQBpAHMAcwBpAG8AbgBzAF8AVABpAHQAbABlAFwAbgAgACAAPQBMAEEATQBCAEQAQQAoAFwAIgBUAG8AdABhAGwAIABhAG4AbgB1AGEAbAAgAGEAdABtAG8AcwBwAGgAZQByAGkAYwAgAGQAZQBwAG8AcwBpAHQAaQBvAG4AIABlAG0AaQBzAHMAaQBvAG4AcwAgAGYAcgBvAG0AIABtAGEAbgB1AHIAZQAgAG0AYQBuAGEAZwBlAG0AZQBuAHQAXAAiACkAOwBcAG4AXABuAFYARQBFAFIARwBfADQAXwAxAF8AMQBfADUAXwBfADEAXwBUAG8AdABhAGwAQQBuAG4AdQBhAGwAQQB0AG0AbwBzAHAAaABlAHIAaQBjAEQAZQBwAG8AcwBpAHQAaQBvAG4ARQBtAGkAcwBzAGkAbwBuAHMAXwBWAGEAcgBpAGEAYgBsAGUAXABuACAAIAA9AEwAQQBNAEIARABBACgAXAAiAEUAXwBOADIATwBhAGQAXAAiACkAOwBcAG4AXABuAFYARQBFAFIARwBfADQAXwAxAF8AMQBfADUAXwBfADEAXwBUAG8AdABhAGwAQQBuAG4AdQBhAGwAQQB0AG0AbwBzAHAAaABlAHIAaQBjAEQAZQBwAG8AcwBpAHQAaQBvAG4ARQBtAGkAcwBzAGkAbwBuAHMAXwBVAG4AaQB0AFwAbgAgACAAPQBMAEEATQBCAEQAQQAoAFwAIgB0ACAATgAyAE8AXAAiACkAOwBcAG4AXABuAFYARQBFAFIARwBfADQAXwAxAF8AMQBfADUAXwBfADEAXwBUAG8AdABhAGwAQQBuAG4AdQBhAGwAQQB0AG0AbwBzAHAAaABlAHIAaQBjAEQAZQBwAG8AcwBpAHQAaQBvAG4ARQBtAGkAcwBzAGkAbwBuAHMAXwBTAG8AdQByAGMAZQBcAG4AIAAgAD0ATABBAE0AQgBEAEEAKABcACIAVgBFAEUAUgBHACAAMgAwADIANgA6ACAANAAuADEALgAxAC4ANQAsACAARQBxAHUAYQB0AGkAbwBuACAAKAAxACkAXAAiACkAOwBcAG4AXABuAFYARQBFAFIARwBfADQAXwAxAF8AMQBfADUAXwBfADEAXwBUAG8AdABhAGwAQQBuAG4AdQBhAGwAQQB0AG0AbwBzAHAAaABlAHIAaQBjAEQAZQBwAG8AcwBpAHQAaQBvAG4ARQBtAGkAcwBzAGkAbwBuAHMAXwBOAEkAUgBSAGUAZgBlAHIAZQBuAGMAZQBcAG4AIAAgAD0ATABBAE0AQgBEAEEAKABcACIAXAAiACkAOwBcAG4AXABuAFYARQBFAFIARwBfADQAXwAxAF8AMQBfADUAXwBfADEAXwBUAG8AdABhAGwAQQBuAG4AdQBhAGwAQQB0AG0AbwBzAHAAaABlAHIAaQBjAEQAZQBwAG8AcwBpAHQAaQBvAG4ARQBtAGkAcwBzAGkAbwBuAH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EAXwAxAF8ANQBfAF8AMQBfAFQAbwB0AGEAbABBAG4AbgB1AGEAbABBAHQAbQBvAHMAcABoAGUAcgBpAGMARABlAHAAbwBzAGkAdABpAG8AbgBFAG0AaQBzAHMAaQBvAG4Ac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x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NA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FwAIgAsACAAXAAiAGsAZwAgAE4AXAAiACwAIABcACIAQwBhAGwAYwB1AGwAYQB0AGUAZAAgAGYAcgBvAG0AIAA0AC4AMQAuADEALgAzACAAKAAyACkAKAA2ACkAKAA4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RgBlAGUAZABsAG8Ad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MwAgAE0AZQB0AGgAbwBkACAAMQAgAC0AIABNAGEAbgB1AHIAZQAgAEQAaQByAGUAYwB0ACAATgAyAE8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MAXwBfADEAXwBUAG8AdABhAGwAQQBuAG4AdQBhAGwARABpAHIAZQBjAHQATgBpAHQAcgBvAHUAcwBPAHgAaQBkAGUARQBtAGkAcwBzAGkAbwBuAH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GMAYQB0AHQAbABlACAAZwByAG8AdQBw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xAF8AMQBfADMAXwBfADEAXwBUAG8AdABhAGwAQQBuAG4AdQBhAGwARABpAHIAZQBjAHQATgBpAHQAcgBvAHUAcwBPAHgAaQBkAGUARQBtAGkAcwBzAGkAbwBuAHMAXABuACAAIAA9AEwAQQBNAEIARABBACgAXABuACAAIAAgACAATQBOAF8AagBtAFQALAAgAEUARgBfAGoAbQAsACAAQwBfAE4AMgBPACwAXABuACAAIAAgACAAUwBVAE0AUABSAE8ARABVAEMAVAAoAE0ATgBfAGoAbQBUACwAIABFAEYAXwBqAG0ALAAgAEMAXwBOADIATwApACAAKgAgADEAMAAgAF4AIAAtADMAXABuACAAIAApADsAXABuAFwAbgBWAEUARQBSAEcAXwA0AF8AMQBfADEAXwAzAF8AXwAxAF8AVABvAHQAYQBsAEEAbgBuAHUAYQBsAEQAaQByAGUAYwB0AE4AaQB0AHIAbwB1AHMATwB4AGkAZABlAEUAbQBpAHMAcwBpAG8AbgBz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xAF8AMQBfADMAXwBfADEAXwBUAG8AdABhAGwAQQBuAG4AdQBhAGwARABpAHIAZQBjAHQATgBpAHQAcgBvAHUAcwBPAHgAaQBkAGUARQBtAGkAcwBzAGkAbwBuAHMAXwBWAGEAcgBpAGEAYgBsAGUAXABuACAAIAA9AEwAQQBNAEIARABBACgAXAAiAEUAXwBOADIATwBkAGkAcgBcACIAKQA7AFwAbgBcAG4AVgBFAEUAUgBHAF8ANABfADEAXwAxAF8AMwBfAF8AMQBfAFQAbwB0AGEAbABBAG4AbgB1AGEAbABEAGkAcgBlAGMAdABOAGkAdAByAG8AdQBzAE8AeABpAGQAZQBFAG0AaQBzAHMAaQBvAG4AcwBfAFUAbgBpAHQAXABuACAAIAA9AEwAQQBNAEIARABBACgAXAAiAHQAIABOADIATwBcACIAKQA7AFwAbgBcAG4AVgBFAEUAUgBHAF8ANABfADEAXwAxAF8AMwBfAF8AMQBfAFQAbwB0AGEAbABBAG4AbgB1AGEAbABEAGkAcgBlAGMAdABOAGkAdAByAG8AdQBzAE8AeABpAGQAZQBFAG0AaQBzAHMAaQBvAG4AcwBfAFMAbwB1AHIAYwBlAFwAbgAgACAAPQBMAEEATQBCAEQAQQAoAFwAIgBWAEUARQBSAEcAIAAyADAAMgA2ADoAIAA0AC4AMQAuADEALgAzACwAIABFAHEAdQBhAHQAaQBvAG4AIAAoADEAKQBcACIAKQA7AFwAbgBcAG4AVgBFAEUAUgBHAF8ANABfADEAXwAxAF8AMwBfAF8AMQBfAFQAbwB0AGEAbABBAG4AbgB1AGEAbABEAGkAcgBlAGMAdABOAGkAdAByAG8AdQBzAE8AeABpAGQAZQBFAG0AaQBzAHMAaQBvAG4AcwBfAE4ASQBSAFIAZQBmAGUAcgBlAG4AYwBlAFwAbgAgACAAPQBMAEEATQBCAEQAQQAoAFwAIgBcACIAKQA7AFwAbgBcAG4AVgBFAEUAUgBHAF8ANABfADEAXwAxAF8AMwBfAF8AMQBfAFQAbwB0AGEAbABBAG4AbgB1AGEAbABEAGkAcgBlAGMAdABOAGkAdAByAG8AdQBzAE8AeABpAGQAZQBFAG0AaQBzAHMAaQBvAG4Ac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MQBfADEAXwAzAF8AXwAxAF8AVABvAHQAYQBsAEEAbgBuAHUAYQBsAEQAaQByAGUAYwB0AE4AaQB0AHIAbwB1AHMATwB4AGkAZABlAEUAbQBpAHMAcwBpAG8AbgBzAF8AQQByAGcAdQBtAGUAbgB0AHMAXABuACAAIAA9AEwAQQBNAEIARABBACgAXABuACAAIAAgACAATQBBAEsARQBBAFIAUgBBAFkAKAAzACwAIAA0ACwAXABuACAAIAAgACAAIAAgAEwAQQBNAEIARABBACgAcgAsAGMALABcAG4AIAAgACAAIAAgACAAIAAgAEkATgBEAEUAWAAoAHsAXABuACAAIAAgACAAIAAgACAAIAAgACAAXAAiAE0ATgBfAGoAbQBUAFwAIgAsAFwAIgBuAGkAdAByAG8AZwBlAG4AIABwAGUAcgAgAGMAYQB0AHQAbABlACAAZwByAG8AdQBwACwAIABNAE0AUwAgAGEAbgBkACAAdAByAGUAYQB0AG0AZQBuAHQAIABzAHQAYQBnAGUAXAAiACwAIABcACIAawBnACAATgBcACIALAAgAFwAIgBDAGEAbABjAHUAbABhAHQAZQBkACAAZgByAG8AbQAgADQALgAxAC4AMQAuADMAIAAoADIAKQAoADYAKQAoADgAKQBcACIAOwBcAG4AIAAgACAAIAAgACAAIAAgACAAIABcACIARQBGAF8AagBtAFwAIgAsAFwAIgBuAGkAdAByAG8AdQBzACAAbwB4AGkAZABlACAAZQBtAGkAcwBzAGkAbwBuACAAZgBhAGMAdABvAHIAIABmAG8AcgAgAE0ATQBTAFwAIgAs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IAXwBTAHQAYQBnAGUAMQBOAGkAdAByAG8AZwBlAG4ASQBuAE0ATQBTAEQAcgB5AGwAbwB0AFwAbgBOAGkAdAByAG8AZwBlAG4AIABpAG4AIAB0AHIAZQBhAHQAbQBlAG4AdAAgAHMAdABhAGcAZQAgADEAIABNAE0AUwBcAG4ATQBOAF8AagBtADUAVAAxAFwAbgBrAGcAIABOAFwAbgBNAE4AXwB7AGoAbQA9ADUALABUAD0AMQB9AD0AQQBFAF8AewBqAH0AXABcAHQAaQBtAGUAcwAgAE0ATQBTAF8AewBqAG0APQA1ACwAVAA9ADEAfQBcAG4AQQBFAF8AagAgAD0AIAB0AG8AdABhAGwAIABuAGkAdAByAG8AZwBlAG4AIABlAHgAYwByAGUAdABlAGQAIABiAHkAIABlAGEAYwBoACAAYwBhAHQAdABsAGUAIABnAHIAbwB1AHAAIAA6ACAAawBnACAATgBcAG4ATQBNAFMAXwBqAG0ANQBUADEAIAA9ACAAZgByAGEAYwB0AGkAbwBuACAAbwBmACAAbQBhAG4AdQByAGUAIABpAG4AIABwAHIAaQBtAGEAcgB5ACAAcwB5AHMAdABlAG0AIABkAHIAeQBsAG8AdAAgAE0ATQBTACAAOgAgAGYAcgBhAGMAdABpAG8AbgBcAG4ALQAtAC0ALQAtAC0ALQAtAC0ALQAtAC0ALQAtAC0ALQAtAC0ALQAtAC0ALQAtAC0ALQAtAC0ALQAtAC0ALQAtAC0ALQAtAC0ALQAtAFwAbgAqAC8AXABuAFwAbgBWAEUARQBSAEcAXwA0AF8AMQBfADEAXwAzAF8AXwAyAF8AUwB0AGEAZwBlADEATgBpAHQAcgBvAGcAZQBuAEkAbgBNAE0AUwBEAHIAeQBsAG8AdABcAG4AIAAgAD0ATABBAE0AQgBEAEEAKABcAG4AIAAgACAAIABBAEUAXwBqACwAIABNAE0AUwBfAGoAbQA1AFQAMQAsAFwAbgAgACAAIAAgAEEARQBfAGoAIAAqACAATQBNAFMAXwBqAG0ANQBUADEAXABuACAAIAApADsAXABuAFwAbgBWAEUARQBSAEcAXwA0AF8AMQBfADEAXwAzAF8AXwAyAF8AUwB0AGEAZwBlADEATgBpAHQAcgBvAGcAZQBuAEkAbgBNAE0AUwBEAHIAeQBsAG8AdABfAFQAaQB0AGwAZQBcAG4AIAAgAD0ATABBAE0AQgBEAEEAKABcACIATgBpAHQAcgBvAGcAZQBuACAAaQBuACAAdAByAGUAYQB0AG0AZQBuAHQAIABzAHQAYQBnAGUAIAAxACAATQBNAFMAXAAiACkAOwBcAG4AXABuAFYARQBFAFIARwBfADQAXwAxAF8AMQBfADMAXwBfADIAXwBTAHQAYQBnAGUAMQBOAGkAdAByAG8AZwBlAG4ASQBuAE0ATQBTAEQAcgB5AGwAbwB0AF8AVgBhAHIAaQBhAGIAbABlAFwAbgAgACAAPQBMAEEATQBCAEQAQQAoAFwAIgBNAE4AXwBqAG0ANQBUADEAXAAiACkAOwBcAG4AXABuAFYARQBFAFIARwBfADQAXwAxAF8AMQBfADMAXwBfADIAXwBTAHQAYQBnAGUAMQBOAGkAdAByAG8AZwBlAG4ASQBuAE0ATQBTAEQAcgB5AGwAbwB0AF8AVQBuAGkAdABcAG4AIAAgAD0ATABBAE0AQgBEAEEAKABcACIAawBnACAATgBcACIAKQA7AFwAbgBcAG4AVgBFAEUAUgBHAF8ANABfADEAXwAxAF8AMwBfAF8AMgBfAFMAdABhAGcAZQAxAE4AaQB0AHIAbwBnAGUAbgBJAG4ATQBNAFMARAByAHkAbABvAHQAXwBTAG8AdQByAGMAZQBcAG4AIAAgAD0ATABBAE0AQgBEAEEAKABcACIAVgBFAEUAUgBHACAAMgAwADIANgA6ACAANAAuADEALgAxAC4AMwAsACAARQBxAHUAYQB0AGkAbwBuACAAKAAyACkAXAAiACkAOwBcAG4AXABuAFYARQBFAFIARwBfADQAXwAxAF8AMQBfADMAXwBfADIAXwBTAHQAYQBnAGUAMQBOAGkAdAByAG8AZwBlAG4ASQBuAE0ATQBTAEQAcgB5AGwAbwB0AF8ATgBJAFIAUgBlAGYAZQByAGUAbgBjAGUAXABuACAAIAA9AEwAQQBNAEIARABBACgAXAAiAFwAIgApADsAXABuAFwAbgBWAEUARQBSAEcAXwA0AF8AMQBfADEAXwAzAF8AXwAyAF8AUwB0AGEAZwBlADEATgBpAHQAcgBvAGcAZQBuAEkAbgBNAE0AUwBEAHIAeQBsAG8AdABfAEwAYQB0AGUAeABFAHEAdQBhAHQAaQBvAG4AXABuACAAIAA9AEwAQQBNAEIARABBACgAXAAiAE0ATgBfAHsAagBtAD0ANQAsAFQAPQAxAH0APQBBAEUAXwB7AGoAfQBcAFwAdABpAG0AZQBzACAATQBNAFMAXwB7AGoAbQA9ADUALABUAD0AMQB9AFwAIgApADsAXABuAFwAbgBWAEUARQBSAEcAXwA0AF8AMQBfADEAXwAzAF8AXwAyAF8AUwB0AGEAZwBlADEATgBpAHQAcgBvAGcAZQBuAEkAbgBNAE0AUwBEAHIAeQBsAG8AdA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NQBUADEAXAAiACwAXAAiAGYAcgBhAGMAdABpAG8AbgAgAG8AZgAgAG0AYQBuAHUAcgBlACAAaQBuACAAcAByAGkAbQBhAHIAeQAgAHMAeQBzAHQAZQBtACAAZAByAHkAbABvAHQ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FwAIgBuAHUAbQBiAGUAcgAgAG8AZgAgAGMAYQB0AHQAbABlACAAaQBuACAAZQBhAGMAaAAgAGcAcgBvAHUAcABcACIALAAgAFwAIgBoAGUAYQBkAFwAIgAsACAAXAAiAEkAbgBwAHUAdABcACIAOwBcAG4AIAAgACAAIAAgACAAIAAgACAAIABcACIATgBFAF8AagBcACIALABcACIAbgBpAHQAcgBvAGcAZQBuACAAZQB4AGMAcgBlAHQAaQBvAG4AXAAiACwAIABcACIAawBnACAATgAvAGgAZQBhAGQALwBkAGEAeQBcACIALAAgAFwAIgBDAGEAbABjAHUAbABhAHQAZQBkACAAZgByAG8AbQAgADQALgAxAC4AMQAuADMAIAAoADQAKQBcACIAOwBcAG4AIAAgACAAIAAgACAAIAAgACAAIABcACIARABfAGoAXAAiACwAXAAiAGQAdQByAGEAdABpAG8AbgAgAG8AZgAgAHMAdABhAHkAIABvAGYAIABjAGEAdAB0AGw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0AF8ATgBpAHQAcgBvAGcAZQBuAEUAeABjAHIAZQB0AGkAbwBuAFAAZQByAEgAZQBhAGQAXABuAE4AaQB0AHIAbwBnAGUAbgAgAGUAeABjAHIAZQB0AGkAbwBuACAAcABlAHIAIABoAGUAYQBkACAAcABlAHIAIABkAGEAeQBcAG4ATgBFAF8AagBcAG4AawBnACAATgAvAGgAZQBhAGQALwBkAGEAeQBcAG4ATgBFAF8AewBqAH0APQBOAEkAXwB7AGoAfQBcAFwAdABpAG0AZQBzACgAMQAtAE4AUgBfAHsAagB9ACkAXABuAE4ASQBfAGoAIAA9ACAAbgBpAHQAcgBvAGcAZQBuACAAaQBuAHQAYQBrAGUAIAA6ACAAawBnACAATgAvAGgAZQBhAGQALwBkAGEAeQBcAG4ATgBSAF8Aag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MQBfADEAXwAzAF8AXwA0AF8ATgBpAHQAcgBvAGcAZQBuAEUAeABjAHIAZQB0AGkAbwBuAFAAZQByAEgAZQBhAGQAXABuACAAIAA9AEwAQQBNAEIARABBACgAXABuACAAIAAgACAATgBJAF8AagAsACAATgBSAF8AagAsAFwAbgAgACAAIAAgAE4ASQBfAGoAIAAqACAAKAAxACAALQAgAE4AUgBfAGoAKQBcAG4AIAAgACkAOwBcAG4AXABuAFYARQBFAFIARwBfADQAXwAxAF8AMQBfADMAXwBfADQAXwBOAGkAdAByAG8AZwBlAG4ARQB4AGMAcgBlAHQAaQBvAG4AUABlAHIASABlAGEAZABfAFQAaQB0AGwAZQBcAG4AIAAgAD0ATABBAE0AQgBEAEEAKABcACIATgBpAHQAcgBvAGcAZQBuACAAZQB4AGMAcgBlAHQAaQBvAG4AIABwAGUAcgAgAGgAZQBhAGQAIABwAGUAcgAgAGQAYQB5AFwAIgApADsAXABuAFwAbgBWAEUARQBSAEcAXwA0AF8AMQBfADEAXwAzAF8AXwA0AF8ATgBpAHQAcgBvAGcAZQBuAEUAeABjAHIAZQB0AGkAbwBuAFAAZQByAEgAZQBhAGQAXwBWAGEAcgBpAGEAYgBsAGUAXABuACAAIAA9AEwAQQBNAEIARABBACgAXAAiAE4ARQBfAGoAXAAiACkAOwBcAG4AXABuAFYARQBFAFIARwBfADQAXwAxAF8AMQBfADMAXwBfADQAXwBOAGkAdAByAG8AZwBlAG4ARQB4AGMAcgBlAHQAaQBvAG4AUABlAHIASABlAGEAZABfAFUAbgBpAHQAXABuACAAIAA9AEwAQQBNAEIARABBACgAXAAiAGsAZwAgAE4ALwBoAGUAYQBkAC8AZABhAHkAXAAiACkAOwBcAG4AXABuAFYARQBFAFIARwBfADQAXwAxAF8AMQBfADMAXwBfADQAXwBOAGkAdAByAG8AZwBlAG4ARQB4AGMAcgBlAHQAaQBvAG4AUABlAHIASABlAGEAZABfAFMAbwB1AHIAYwBlAFwAbgAgACAAPQBMAEEATQBCAEQAQQAoAFwAIgBWAEUARQBSAEcAIAAyADAAMgA2ADoAIAA0AC4AMQAuADEALgAzACwAIABFAHEAdQBhAHQAaQBvAG4AIAAoADQAKQBcACIAKQA7AFwAbgBcAG4AVgBFAEUAUgBHAF8ANABfADEAXwAxAF8AMwBfAF8ANABfAE4AaQB0AHIAbwBnAGUAbgBFAHgAYwByAGUAdABpAG8AbgBQAGUAcgBIAGUAYQBkAF8ATgBJAFIAUgBlAGYAZQByAGUAbgBjAGUAXABuACAAIAA9AEwAQQBNAEIARABBACgAXAAiAFwAIgApADsAXABuAFwAbgBWAEUARQBSAEcAXwA0AF8AMQBfADEAXwAzAF8AXwA0AF8ATgBpAHQAcgBvAGcAZQBuAEUAeABjAHIAZQB0AGkAbwBuAFAAZQByAEgAZQBhAGQAXwBMAGEAdABlAHgARQBxAHUAYQB0AGkAbwBuAFwAbgAgACAAPQBMAEEATQBCAEQAQQAoAFwAIgBOAEUAXwB7AGoAfQA9AE4ASQBfAHsAagB9AFwAXAB0AGkAbQBlAHMAKAAxAC0ATgBSAF8AewBqAH0AKQBcACIAKQA7AFwAbgBcAG4AVgBFAEUAUgBHAF8ANABfADEAXwAxAF8AMwBfAF8ANABfAE4AaQB0AHIAbwBnAGUAbgBFAHgAYwByAGUAdABpAG8AbgBQAGUAcgBIAGUAYQBkAF8AQQByAGcAdQBtAGUAbgB0AHMAXABuACAAIAA9AEwAQQBNAEIARABBACgAXABuACAAIAAgACAATQBBAEsARQBBAFIAUgBBAFkAKAAyACwAIAA0ACwAXABuACAAIAAgACAAIAAgAEwAQQBNAEIARABBACgAcgAsAGMALABcAG4AIAAgACAAIAAgACAAIAAgAEkATgBEAEUAWAAoAHsAXABuACAAIAAgACAAIAAgACAAIAAgACAAXAAiAE4ASQBfAGoAXAAiACwAXAAiAG4AaQB0AHIAbwBnAGUAbgAgAGkAbgB0AGEAawBlAFwAIgAsACAAXAAiAGsAZwAgAE4ALwBoAGUAYQBkAC8AZABhAHkAXAAiACwAIABcACIAQwBhAGwAYwB1AGwAYQB0AGUAZAAgAGYAcgBvAG0AIAA0AC4AMQAuADEALgAzACAAKAA1ACkAXAAiADsAXABuACAAIAAgACAAIAAgACAAIAAgACAAXAAiAE4AUgBfAGoAXAAiACwAXAAiAG4AaQB0AHIAbwBnAGUAbgAgAHIAZQB0AGUAbgB0AGkAbwBuACAAZQB4AHAAcgBlAHMAcwBlAGQAIABhAHMAIABhACAAZgByAGEAYwB0AGkAbwBuACAAbwBm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XAAiACwAXAAiAGQAcgB5ACAAbQBhAHQAdABlAHIAIABpAG4AdABhAGsAZQBcACIALAAgAFwAIgBrAGcAIABEAE0ALwBoAGUAYQBkAC8AZABhAHkAXAAiACwAIABcACIASQBuAHAAdQB0AFwAIgA7AFwAbgAgACAAIAAgACAAIAAgACAAIAAgAFwAIgBDAFAAXwBq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FwAIgAsACAAXAAiAGsAZwAgAE4AXAAiACwAIABcACIAQwBhAGwAYwB1AGwAYQB0AGUAZAAgAGYAcgBvAG0AIAA0AC4AMQAuADEALgAzACAAKAA3ACkAXAAiADsAXABuACAAIAAgACAAIAAgACAAIAAgACAAXAAiAE0ATQBTAF8Aag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cAXwBOAGkAdAByAG8AZwBlAG4AVAByAGEAbgBzAGYAZQByAHIAZQBkAFQAbwBTAHQAYQBnAGUAMgBcAG4ATgBpAHQAcgBvAGcAZQBuACAAdAByAGEAbgBzAGYAZQByAHIAZQBkACAAdABvACAAdAByAGUAYQB0AG0AZQBuAHQAIABzAHQAYQBnAGUAIAAyACAATQBNAFMAXABuAE4AVABfAGoAbQBUADIAXABuAGsAZwAgAE4AXABuAE4AVABfAHsAagBtACwAVAA9ADIAfQA9ACgATQBOAF8AewBqAG0APQA1ACwAVAA9ADEAfQBcAFwAdABpAG0AZQBzACgAMQAtAEYAcgBhAGMARwBBAFMATQBfAHsAbQA9ADUAfQAtAEUARgBfAHsAbQA9ADUAfQApACkALQBNAE4AXwB7AGoAbQAsAFQAPQAzAH0AXABuAE0ATgBfAGoAbQA1AFQAMQAgAD0AIABuAGkAdAByAG8AZwBlAG4AIABpAG4AIABNAE0AUwAgAHQAcgBlAGEAdABtAGUAbgB0ACAAcwB0AGEAZwBlACAAMQAgADoAIABrAGcAIABOAFwAbgBGAHIAYQBjAEcAQQBTAE0AXwBtADUAIAA9ACAAZgByAGEAYwB0AGkAbwBuACAAbwBmACAATgAgAHYAbwBsAGEAdABpAGwAaQBzAGUAZAAgAGYAcgBvAG0AIABkAHIAeQBsAG8AdAAgAE0ATQBTACAAOgAgAGYAcgBhAGMAdABpAG8AbgBcAG4ARQBGAF8AbQA1ACAAPQAgAG4AaQB0AHIAbwB1AHMAIABvAHgAaQBkAGUAIABlAG0AaQBzAHMAaQBvAG4AIABmAGEAYwB0AG8AcgAgAGYAbwByACAAZAByAHkAbABvAHQAIABNAE0AUwAgADoAIABrAGcAIABOADIATwAtAE4ALwBrAGcAIABOACAAZABlAHAAbwBzAGkAdABlAGQAXABuAE0ATgBfAGoAbQBUADMAIAA9ACAAbgBpAHQAcgBvAGcAZQBuACAAaQBuACAATQBNAFMAIAB0AHIAZQBhAHQAbQBlAG4AdAAgAHMAdABhAGcAZQAgADMAIAA6ACAAawBnACAATgBcAG4ALQAtAC0ALQAtAC0ALQAtAC0ALQAtAC0ALQAtAC0ALQAtAC0ALQAtAC0ALQAtAC0ALQAtAC0ALQAtAC0ALQAtAC0ALQAtAC0ALQAtAFwAbgAqAC8AXABuAFwAbgBWAEUARQBSAEcAXwA0AF8AMQBfADEAXwAzAF8AXwA3AF8ATgBpAHQAcgBvAGcAZQBuAFQAcgBhAG4AcwBmAGUAcgByAGUAZABUAG8AUwB0AGEAZwBlADIAXABuACAAIAA9AEwAQQBNAEIARABBACgAXABuACAAIAAgACAATQBOAF8AagBtADUAVAAxACwAIABGAHIAYQBjAEcAQQBTAE0AXwBtADUALAAgAEUARgBfAG0ANQAsACAATQBOAF8AagBtAFQAMwAsAFwAbgAgACAAIAAgACgATQBOAF8AagBtADUAVAAxACAAKgAgACgAMQAgAC0AIABGAHIAYQBjAEcAQQBTAE0AXwBtADUAIAAtACAARQBGAF8AbQA1ACkAKQAgAC0AIABNAE4AXwBqAG0AVAAzAFwAbgAgACAAKQA7AFwAbgBcAG4AVgBFAEUAUgBHAF8ANABfADEAXwAxAF8AMwBfAF8ANwBfAE4AaQB0AHIAbwBnAGUAbgBUAHIAYQBuAHMAZgBlAHIAcgBlAGQAVABvAFMAdABhAGcAZQAyAF8AVABpAHQAbABlAFwAbgAgACAAPQBMAEEATQBCAEQAQQAoAFwAIgBOAGkAdAByAG8AZwBlAG4AIAB0AHIAYQBuAHMAZgBlAHIAcgBlAGQAIAB0AG8AIAB0AHIAZQBhAHQAbQBlAG4AdAAgAHMAdABhAGcAZQAgADIAIABNAE0AUwBcACIAKQA7AFwAbgBcAG4AVgBFAEUAUgBHAF8ANABfADEAXwAxAF8AMwBfAF8ANwBfAE4AaQB0AHIAbwBnAGUAbgBUAHIAYQBuAHMAZgBlAHIAcgBlAGQAVABvAFMAdABhAGcAZQAyAF8AVgBhAHIAaQBhAGIAbABlAFwAbgAgACAAPQBMAEEATQBCAEQAQQAoAFwAIgBOAFQAXwBqAG0AVAAyAFwAIgApADsAXABuAFwAbgBWAEUARQBSAEcAXwA0AF8AMQBfADEAXwAzAF8AXwA3AF8ATgBpAHQAcgBvAGcAZQBuAFQAcgBhAG4AcwBmAGUAcgByAGUAZABUAG8AUwB0AGEAZwBlADIAXwBVAG4AaQB0AFwAbgAgACAAPQBMAEEATQBCAEQAQQAoAFwAIgBrAGcAIABOAFwAIgApADsAXABuAFwAbgBWAEUARQBSAEcAXwA0AF8AMQBfADEAXwAzAF8AXwA3AF8ATgBpAHQAcgBvAGcAZQBuAFQAcgBhAG4AcwBmAGUAcgByAGUAZABUAG8AUwB0AGEAZwBlADIAXwBTAG8AdQByAGMAZQBcAG4AIAAgAD0ATABBAE0AQgBEAEEAKABcACIAVgBFAEUAUgBHACAAMgAwADIANgA6ACAANAAuADEALgAxAC4AMwAsACAARQBxAHUAYQB0AGkAbwBuACAAKAA3ACkAXAAiACkAOwBcAG4AXABuAFYARQBFAFIARwBfADQAXwAxAF8AMQBfADMAXwBfADcAXwBOAGkAdAByAG8AZwBlAG4AVAByAGEAbgBzAGYAZQByAHIAZQBkAFQAbwBTAHQAYQBnAGUAMgBfAE4ASQBSAFIAZQBmAGUAcgBlAG4AYwBlAFwAbgAgACAAPQBMAEEATQBCAEQAQQAoAFwAIgBcACIAKQA7AFwAbgBcAG4AVgBFAEUAUgBHAF8ANABfADEAXwAxAF8AMwBfAF8ANwBfAE4AaQB0AHIAbwBnAGUAbgBUAHIAYQBuAHMAZgBlAHIAcgBlAGQAVABvAFMAdABhAGcAZQAyAF8ATABhAHQAZQB4AEUAcQB1AGEAdABpAG8AbgBcAG4AIAAgAD0ATABBAE0AQgBEAEEAKABcACIATgBUAF8AewBqAG0ALABUAD0AMgB9AD0AKABNAE4AXwB7AGoAbQA9ADUALABUAD0AMQB9AFwAXAB0AGkAbQBlAHMAKAAxAC0ARgByAGEAYwBHAEEAUwBNAF8AewBtAD0ANQB9AC0ARQBGAF8AewBtAD0ANQB9ACkAKQAtAE0ATgBfAHsAagBtACwAVAA9ADMAfQBcACIAKQA7AFwAbgBcAG4AVgBFAEUAUgBHAF8ANABfADEAXwAxAF8AMwBfAF8ANwBfAE4AaQB0AHIAbwBnAGUAbgBUAHIAYQBuAHMAZgBlAHIAcgBlAGQAVABvAFMAdABhAGcAZQAyAF8AQQByAGcAdQBtAGUAbgB0AHMAXABuACAAIAA9AEwAQQBNAEIARABBACgAXABuACAAIAAgACAATQBBAEsARQBBAFIAUgBBAFkAKAA0ACwAIAA0ACwAXABuACAAIAAgACAAIAAgAEwAQQBNAEIARABBACgAcgAsAGMALABcAG4AIAAgACAAIAAgACAAIAAgAEkATgBEAEUAWAAoAHsAXABuACAAIAAgACAAIAAgACAAIAAgACAAXAAiAE0ATgBfAGoAbQA1AFQAMQBcACIALABcACIAbgBpAHQAcgBvAGcAZQBuACAAaQBuACAATQBNAFMAIAB0AHIAZQBhAHQAbQBlAG4AdAAgAHMAdABhAGcAZQAgADEAXAAiACwAIABcACIAawBnACAATgBcACIALAAgAFwAIgBDAGEAbABjAHUAbABhAHQAZQBkACAAZgByAG8AbQAgADQALgAxAC4AMQAuADMAIAAoADIAKQBcACIAOwBcAG4AIAAgACAAIAAgACAAIAAgACAAIABcACIARgByAGEAYwBHAEEAUwBNAF8AbQA1AFwAIgAsAFwAIgBmAHIAYQBjAHQAaQBvAG4AIABvAGYAIABOACAAdgBvAGwAYQB0AGkAbABpAHMAZQBkACAAZgByAG8AbQAgAGQAcgB5AGwAbwB0ACAATQBNAFMAXAAiACwAIABcACIAZgByAGEAYwB0AGkAbwBuAFwAIgAsACAAXAAiAEMAbwBuAHMAdABhAG4AdABcACIAOwBcAG4AIAAgACAAIAAgACAAIAAgACAAIABcACIARQBGAF8AbQA1AFwAIgAsAFwAIgBuAGkAdAByAG8AdQBzACAAbwB4AGkAZABlACAAZQBtAGkAcwBzAGkAbwBuACAAZgBhAGMAdABvAHIAIABmAG8AcgAgAGQAcgB5AGwAbwB0ACAATQBNAFMAXAAiACwAIABcACIAawBnACAATgAyAE8ALQBOAC8AawBnACAATgAgAGQAZQBwAG8AcwBpAHQAZQBkAFwAIgAsACAAXAAiAEMAbwBuAHMAdABhAG4AdABcACIAOwBcAG4AIAAgACAAIAAgACAAIAAgACAAIABcACIATQBOAF8AagBtAFQAMwBcACIALABcACIAbgBpAHQAcgBvAGcAZQBuACAAaQBuACAATQBNAFMAIAB0AHIAZQBhAHQAbQBlAG4AdAAgAHMAdABhAGcAZQAgADMAXAAiACwAIABcACIAawBnACAATgBcACIALAAgAFwAIgBDAGEAbABjAHUAbABhAHQAZQBkACAAZgByAG8AbQAgADQALgAxAC4AMQAuADMAIAAoADgAKQ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NAAsAFwAbgAgACAAIAAgACAAIABMAEEATQBCAEQAQQAoAHIALABjACwAXABuACAAIAAgACAAIAAgACAAIABJAE4ARABFAFgAKAB7AFwAbgAgACAAIAAgACAAIAAgACAAIAAgAFwAIgBBAEUAXwBqAFwAIgAsAFwAIgB0AG8AdABhAGwAIABuAGkAdAByAG8AZwBlAG4AIABlAHgAYwByAGUAdABlAGQAIABiAHkAIABlAGEAYwBoACAAYwBhAHQAdABsAGUAIABnAHIAbwB1AHAAXAAiACwAIABcACIAawBnACAATgBcACIALAAgAFwAIgBDAGEAbABjAHUAbABhAHQAZQBkACAAZgByAG8AbQAgADQALgAxAC4AMQAuADMAIAAoADMAKQBcACIAOwBcAG4AIAAgACAAIAAgACAAIAAgACAAIABcACIATQBNAFMAXwBqAG0AMQBUADMAXAAiACwAXAAiAGYAcgBhAGMAdABpAG8AbgAgAG8AZgAgAG0AYQBuAHUAcgBlACAAdABvACAAdABlAHIAdABpAGEAcgB5ACAAYQBuAGEAZQByAG8AYgBpAGMAIABsAGEAZwBvAG8AbgAgAHMAeQBzAHQAZQBtAFwAIgAsACAAXAAiAGYAcgBhAGMAdABpAG8AbgBcACIALAAgAFwAIgBJAG4AcAB1AHQAXAAiAFwAbgAgACAAIAAgACAAIAAgACAAfQAsACAAcgAsACAAYwApAFwAbgAgACAAIAAgACAAIAApAFwAbgAgACAAIAAgACkAXABuACAAIAApADsAXABu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F8ASQBuAHAAdQB0AEYAdQBuAGMAdABpAG8AbgBzAC4AQwBvAG0AbQBvAG4AXwBHAGUAdABNAEMARgBUAGUAbQBwAGUAcgBhAHQAdQByAGUAWgBvAG4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yAF8AUwB0AGEAZwBlADEATQBlAHQAaABhAG4AZQBQAHIAbwBkAHUAYwB0AGkAbwBuAEQAcgB5AGwAbwB0AF8AQQByAGcAdQBtAGUAbgB0AHMAXwBNAGUAdABoAG8AZAAyACIALAAiAE0ATQBTAF8ARgBlAGUAZABsAG8AdABfAE0AZQB0AGgAYQBuAGUAXwBFAHEAdQBhAHQAaQBvAG4AcwAuAFYARQBFAFIARwBfADQAXwAxAF8AMQBfADEAXwBfADMAXwBTAHQAYQBnAGUAMgBNAGUAdABoAGEAbgBlAFAAcgBvAGQAdQBjAHQAaQBvAG4AIgAsACIATQBNAFMAXwBGAGUAZQBkAGwAbwB0AF8ATQBlAHQAaABhAG4AZQBfAEUAcQB1AGEAdABpAG8AbgBzAC4AVgBFAEUAUgBHAF8ANABfADEAXwAxAF8AMQBfAF8AMwBfAFMAdABhAGcAZQAyAE0AZQB0AGgAYQBuAGUAUAByAG8AZAB1AGMAdABpAG8AbgBfAFQAaQB0AGwAZQAiACwAIgBNAE0AUwBfAEYAZQBlAGQAbABvAHQAXwBNAGUAdABoAGEAbgBlAF8ARQBxAHUAYQB0AGkAbwBuAHMALgBWAEUARQBSAEcAXwA0AF8AMQBfADEAXwAxAF8AXwAzAF8AUwB0AGEAZwBlADIATQBlAHQAaABhAG4AZQBQAHIAbwBkAHUAYwB0AGkAbwBuAF8AVgBhAHIAaQBhAGIAbABlACIALAAiAE0ATQBTAF8ARgBlAGUAZABsAG8AdABfAE0AZQB0AGgAYQBuAGUAXwBFAHEAdQBhAHQAaQBvAG4AcwAuAFYARQBFAFIARwBfADQAXwAxAF8AMQBfADEAXwBfADMAXwBTAHQAYQBnAGUAMgBNAGUAdABoAGEAbgBlAFAAcgBvAGQAdQBjAHQAaQBvAG4AXwBVAG4AaQB0ACIALAAiAE0ATQBTAF8ARgBlAGUAZABsAG8AdABfAE0AZQB0AGgAYQBuAGUAXwBFAHEAdQBhAHQAaQBvAG4AcwAuAFYARQBFAFIARwBfADQAXwAxAF8AMQBfADEAXwBfADMAXwBTAHQAYQBnAGUAMgBNAGUAdABoAGEAbgBlAFAAcgBvAGQAdQBjAHQAaQBvAG4AXwBTAG8AdQByAGMAZQAiACwAIgBNAE0AUwBfAEYAZQBlAGQAbABvAHQAXwBNAGUAdABoAGEAbgBlAF8ARQBxAHUAYQB0AGkAbwBuAHMALgBWAEUARQBSAEcAXwA0AF8AMQBfADEAXwAxAF8AXwAzAF8AUwB0AGEAZwBlADIATQBlAHQAaABhAG4AZQBQAHIAbwBkAHUAYwB0AGkAbwBuAF8ATgBJAFIAUgBlAGYAZQByAGUAbgBjAGUAIgAsACIATQBNAFMAXwBGAGUAZQBkAGwAbwB0AF8ATQBlAHQAaABhAG4AZQBfAEUAcQB1AGEAdABpAG8AbgBzAC4AVgBFAEUAUgBHAF8ANABfADEAXwAxAF8AMQBfAF8AMwBfAFMAdABhAGcAZQAyAE0AZQB0AGgAYQBuAGUAUAByAG8AZAB1AGMAdABpAG8AbgBfAEwAYQB0AGUAeABFAHEAdQBhAHQAaQBvAG4AIgAsACIATQBNAFMAXwBGAGUAZQBkAGwAbwB0AF8ATQBlAHQAaABhAG4AZQBfAEUAcQB1AGEAdABpAG8AbgBzAC4AVgBFAEUAUgBHAF8ANABfADEAXwAxAF8AMQBfAF8AMwBfAFMAdABhAGcAZQAyAE0AZQB0AGgAYQBuAGUAUAByAG8AZAB1AGMAdABpAG8AbgBfAEEAcgBnAHUAbQBlAG4AdABzACIALAAiAE0ATQBTAF8ARgBlAGUAZABsAG8AdABfAE0AZQB0AGgAYQBuAGUAXwBFAHEAdQBhAHQAaQBvAG4AcwAuAFYARQBFAFIARwBfADQAXwAxAF8AMQBfADEAXwBfADMAXwBTAHQAYQBnAGUAMgBNAGUAdABoAGEAbgBlAFAAcgBvAGQAdQBjAHQAaQBvAG4AXwBBAHIAZwB1AG0AZQBuAHQAcwBfAE0AZQB0AGgAbwBkADIAIgAsACIATQBNAFMAXwBGAGUAZQBkAGwAbwB0AF8ATQBlAHQAaABhAG4AZQBfAEUAcQB1AGEAdABpAG8AbgBzAC4AVgBFAEUAUgBHAF8ANABfADEAXwAxAF8AMQBfAF8ANABfAFMAdABhAGcAZQAzAE0AZQB0AGgAYQBuAGUAUAByAG8AZAB1AGMAdABpAG8AbgBBAG4AYQBlAHIAbwBiAGkAYwBMAGEAZwBvAG8AbgAiACwAIgBNAE0AUwBfAEYAZQBlAGQAbABvAHQAXwBNAGUAdABoAGEAbgBlAF8ARQBxAHUAYQB0AGkAbwBuAHMALgBWAEUARQBSAEcAXwA0AF8AMQBfADEAXwAxAF8AXwA0AF8AUwB0AGEAZwBlADMATQBlAHQAaABhAG4AZQBQAHIAbwBkAHUAYwB0AGkAbwBuAEEAbgBhAGUAcgBvAGIAaQBjAEwAYQBnAG8AbwBuAF8AVABpAHQAbABlACIALAAiAE0ATQBTAF8ARgBlAGUAZABsAG8AdABfAE0AZQB0AGgAYQBuAGUAXwBFAHEAdQBhAHQAaQBvAG4AcwAuAFYARQBFAFIARwBfADQAXwAxAF8AMQBfADEAXwBfADQAXwBTAHQAYQBnAGUAMwBNAGUAdABoAGEAbgBlAFAAcgBvAGQAdQBjAHQAaQBvAG4AQQBuAGEAZQByAG8AYgBpAGMATABhAGcAbwBvAG4AXwBWAGEAcgBpAGEAYgBsAGUAIgAsACIATQBNAFMAXwBGAGUAZQBkAGwAbwB0AF8ATQBlAHQAaABhAG4AZQBfAEUAcQB1AGEAdABpAG8AbgBzAC4AVgBFAEUAUgBHAF8ANABfADEAXwAxAF8AMQBfAF8ANABfAFMAdABhAGcAZQAzAE0AZQB0AGgAYQBuAGUAUAByAG8AZAB1AGMAdABpAG8AbgBBAG4AYQBlAHIAbwBiAGkAYwBMAGEAZwBvAG8AbgBfAFUAbgBpAHQAIgAsACIATQBNAFMAXwBGAGUAZQBkAGwAbwB0AF8ATQBlAHQAaABhAG4AZQBfAEUAcQB1AGEAdABpAG8AbgBzAC4AVgBFAEUAUgBHAF8ANABfADEAXwAxAF8AMQBfAF8ANABfAFMAdABhAGcAZQAzAE0AZQB0AGgAYQBuAGUAUAByAG8AZAB1AGMAdABpAG8AbgBBAG4AYQBlAHIAbwBiAGkAYwBMAGEAZwBvAG8AbgBfAFMAbwB1AHIAYwBlACIALAAiAE0ATQBTAF8ARgBlAGUAZABsAG8AdABfAE0AZQB0AGgAYQBuAGUAXwBFAHEAdQBhAHQAaQBvAG4AcwAuAFYARQBFAFIARwBfADQAXwAxAF8AMQBfADEAXwBfADQAXwBTAHQAYQBnAGUAMwBNAGUAdABoAGEAbgBlAFAAcgBvAGQAdQBjAHQAaQBvAG4AQQBuAGEAZQByAG8AYgBpAGMATABhAGcAbwBvAG4AXwBOAEkAUgBSAGUAZgBlAHIAZQBuAGMAZQAiACwAIgBNAE0AUwBfAEYAZQBlAGQAbABvAHQAXwBNAGUAdABoAGEAbgBlAF8ARQBxAHUAYQB0AGkAbwBuAHMALgBWAEUARQBSAEcAXwA0AF8AMQBfADEAXwAxAF8AXwA0AF8AUwB0AGEAZwBlADMATQBlAHQAaABhAG4AZQBQAHIAbwBkAHUAYwB0AGkAbwBuAEEAbgBhAGUAcgBvAGIAaQBjAEwAYQBnAG8AbwBuAF8ATABhAHQAZQB4AEUAcQB1AGEAdABpAG8AbgAiACwAIgBNAE0AUwBfAEYAZQBlAGQAbABvAHQAXwBNAGUAdABoAGEAbgBlAF8ARQBxAHUAYQB0AGkAbwBuAHMALgBWAEUARQBSAEcAXwA0AF8AMQBfADEAXwAxAF8AXwA0AF8AUwB0AGEAZwBlADMATQBlAHQAaABhAG4AZQBQAHIAbwBkAHUAYwB0AGkAbwBuAEEAbgBhAGUAcgBvAGIAaQBjAEwAYQBnAG8AbwBuAF8AQQByAGcAdQBtAGUAbgB0AHMAIgAsACIATQBNAFMAXwBGAGUAZQBkAGwAbwB0AF8ATQBlAHQAaABhAG4AZQBfAEUAcQB1AGEAdABpAG8AbgBzAC4AVgBFAEUAUgBHAF8ANABfADEAXwAxAF8AMQBfAF8ANABfAFMAdABhAGcAZQAzAE0AZQB0AGgAYQBuAGUAUAByAG8AZAB1AGMAdABpAG8AbgBBAG4AYQBlAHIAbwBiAGkAYwBMAGEAZwBvAG8AbgBfAEEAcgBnAHUAbQBlAG4AdABzAF8ATQBlAHQAaABvAGQAMg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110</vt:i4>
      </vt:variant>
    </vt:vector>
  </HeadingPairs>
  <TitlesOfParts>
    <vt:vector size="124" baseType="lpstr">
      <vt:lpstr>Home</vt:lpstr>
      <vt:lpstr>Overview</vt:lpstr>
      <vt:lpstr>Results</vt:lpstr>
      <vt:lpstr>Input - Site</vt:lpstr>
      <vt:lpstr>Input - Feedlot</vt:lpstr>
      <vt:lpstr>4.1.1.1-2 Methane</vt:lpstr>
      <vt:lpstr>4.1.1.3-4 Direct N20</vt:lpstr>
      <vt:lpstr>4.1.1.5-6 Atmos Deposition</vt:lpstr>
      <vt:lpstr>4.1.1.9 Manure applied to soils</vt:lpstr>
      <vt:lpstr>Constants - Feedlot</vt:lpstr>
      <vt:lpstr>Constants - Common</vt:lpstr>
      <vt:lpstr>Constants - Common livestock</vt:lpstr>
      <vt:lpstr>Acknowledgements</vt:lpstr>
      <vt:lpstr>Tab template</vt:lpstr>
      <vt:lpstr>Common_SourceData_DensityOfMethane_Data</vt:lpstr>
      <vt:lpstr>M1_Table_AE_j</vt:lpstr>
      <vt:lpstr>M1_Table_CP_j</vt:lpstr>
      <vt:lpstr>M1_Table_DMD_j</vt:lpstr>
      <vt:lpstr>M1_Table_E_N2O_dir</vt:lpstr>
      <vt:lpstr>M1_Table_I_j</vt:lpstr>
      <vt:lpstr>M1_Table_I_j_Consumer_1</vt:lpstr>
      <vt:lpstr>M1_Table_M_j_m_T</vt:lpstr>
      <vt:lpstr>M1_Table_M_j_m_T2</vt:lpstr>
      <vt:lpstr>M1_Table_M_j_m1_T3</vt:lpstr>
      <vt:lpstr>M1_Table_M_j_m5_T1</vt:lpstr>
      <vt:lpstr>M1_Table_MCF_i_m</vt:lpstr>
      <vt:lpstr>M1_Table_MMS_ATMOS</vt:lpstr>
      <vt:lpstr>M1_Table_MN_j_m_T</vt:lpstr>
      <vt:lpstr>M1_Table_MN_j_m_T2</vt:lpstr>
      <vt:lpstr>M1_Table_MN_j_m_T2_Consumer_1</vt:lpstr>
      <vt:lpstr>M1_Table_MN_j_m_T23</vt:lpstr>
      <vt:lpstr>M1_Table_MN_j_m1_T3</vt:lpstr>
      <vt:lpstr>M1_Table_MN_j_m5_T1</vt:lpstr>
      <vt:lpstr>M1_Table_MNSoil_scope1</vt:lpstr>
      <vt:lpstr>M1_Table_MNSoil_scope3</vt:lpstr>
      <vt:lpstr>M1_Table_MNSoil_scope3_fert</vt:lpstr>
      <vt:lpstr>M1_Table_NE_j</vt:lpstr>
      <vt:lpstr>M1_Table_NI_j</vt:lpstr>
      <vt:lpstr>M1_Table_NR_j</vt:lpstr>
      <vt:lpstr>M1_Table_NT_j_m_T2</vt:lpstr>
      <vt:lpstr>M1_Table_VS_j</vt:lpstr>
      <vt:lpstr>M2_Table_AE_j</vt:lpstr>
      <vt:lpstr>M2_Table_CP_j</vt:lpstr>
      <vt:lpstr>M2_Table_DMD_j</vt:lpstr>
      <vt:lpstr>M2_Table_E_N2O_dir</vt:lpstr>
      <vt:lpstr>M2_Table_I_j</vt:lpstr>
      <vt:lpstr>M2_Table_I_j_Consumer_1</vt:lpstr>
      <vt:lpstr>M2_Table_M_j_m_T</vt:lpstr>
      <vt:lpstr>M2_Table_M_j_m_T2</vt:lpstr>
      <vt:lpstr>M2_Table_M_j_m1_T3</vt:lpstr>
      <vt:lpstr>M2_Table_M_j_m5_T1</vt:lpstr>
      <vt:lpstr>M2_Table_MCF_i_m</vt:lpstr>
      <vt:lpstr>M2_Table_MMS_ATMOS</vt:lpstr>
      <vt:lpstr>M2_Table_MN_j_m_T</vt:lpstr>
      <vt:lpstr>M2_Table_MN_j_m_T23</vt:lpstr>
      <vt:lpstr>M2_Table_MN_j_m1_T3</vt:lpstr>
      <vt:lpstr>M2_Table_MN_j_m5_T1</vt:lpstr>
      <vt:lpstr>M2_Table_MNSoil_scope1</vt:lpstr>
      <vt:lpstr>M2_Table_MNSoil_scope3</vt:lpstr>
      <vt:lpstr>M2_Table_MNSoil_scope3_fert</vt:lpstr>
      <vt:lpstr>M2_Table_NE_j</vt:lpstr>
      <vt:lpstr>M2_Table_NI_j</vt:lpstr>
      <vt:lpstr>M2_Table_NR_j</vt:lpstr>
      <vt:lpstr>M2_Table_NT_j_m_T2</vt:lpstr>
      <vt:lpstr>M2_Table_VS_j</vt:lpstr>
      <vt:lpstr>SourceData_Feedlot_AshContent_Data</vt:lpstr>
      <vt:lpstr>SourceData_Feedlot_MethaneEmissionsPotential_Data</vt:lpstr>
      <vt:lpstr>SourceData_Feedlot_MMSm1T3_Data</vt:lpstr>
      <vt:lpstr>SourceData_Feedlot_VSL_Data</vt:lpstr>
      <vt:lpstr>Table_D_j</vt:lpstr>
      <vt:lpstr>Table_D_j_Consumer_1</vt:lpstr>
      <vt:lpstr>Table_E_CH4</vt:lpstr>
      <vt:lpstr>Table_E_CH4_Consumer_1</vt:lpstr>
      <vt:lpstr>Table_EF_j_m</vt:lpstr>
      <vt:lpstr>Table_EF_j_m_T23</vt:lpstr>
      <vt:lpstr>Table_FracGASM_m_T23</vt:lpstr>
      <vt:lpstr>Table_FracGASM_m_T23_Consumer_1</vt:lpstr>
      <vt:lpstr>Table_MMS_j_m_T2</vt:lpstr>
      <vt:lpstr>Table_MMS_j_m1_T3</vt:lpstr>
      <vt:lpstr>Table_MMS_j_m5_T1</vt:lpstr>
      <vt:lpstr>Table_MMS_m_T2</vt:lpstr>
      <vt:lpstr>Table_MMS_m1_T3</vt:lpstr>
      <vt:lpstr>Table_MMS_m5_T1</vt:lpstr>
      <vt:lpstr>Table_N_j</vt:lpstr>
      <vt:lpstr>Table_N_j_Consumer_1</vt:lpstr>
      <vt:lpstr>Table_PF</vt:lpstr>
      <vt:lpstr>Table_PF_fert</vt:lpstr>
      <vt:lpstr>VEERG_4_1_1_1__1_TotalAnnualMethaneEmissions_Result_Method1</vt:lpstr>
      <vt:lpstr>VEERG_4_1_1_1__1_TotalAnnualMethaneEmissions_Result_Method2</vt:lpstr>
      <vt:lpstr>VEERG_4_1_1_3__1_TotalAnnualDirectNitrousOxideEmissions_Result_Method1</vt:lpstr>
      <vt:lpstr>VEERG_4_1_1_3__1_TotalAnnualDirectNitrousOxideEmissions_Result_Method2</vt:lpstr>
      <vt:lpstr>VEERG_4_1_1_5__1_TotalAnnualAtmosphericDepositionEmissions_Result_Method1</vt:lpstr>
      <vt:lpstr>VEERG_4_1_1_5__1_TotalAnnualAtmosphericDepositionEmissions_Result_Method2</vt:lpstr>
      <vt:lpstr>VEERG_4_1_1_9__1_MassOfNitrogenAppliedToSoilsScope1_Result_Method1</vt:lpstr>
      <vt:lpstr>VEERG_4_1_1_9__1_MassOfNitrogenAppliedToSoilsScope1_Result_Method2</vt:lpstr>
      <vt:lpstr>VEERG_4_1_1_9__2_MassOfNitrogenAppliedToSoilsScope3_Result_Method1</vt:lpstr>
      <vt:lpstr>VEERG_4_1_1_9__2_MassOfNitrogenAppliedToSoilsScope3_Result_Method2</vt:lpstr>
      <vt:lpstr>X_Cell_Feedlot_GrazingIrrigationMethod</vt:lpstr>
      <vt:lpstr>X_Cell_Feedlot_GrazingProductionSystem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X_Table_Feedlot_HerdMovement</vt:lpstr>
      <vt:lpstr>X_Table_Feedlot_Intake_Method1</vt:lpstr>
      <vt:lpstr>X_Table_Feedlot_Intake_Method2</vt:lpstr>
      <vt:lpstr>X_Table_Feedlot_MMS_Stage1</vt:lpstr>
      <vt:lpstr>X_Table_Feedlot_MMS_Stage2</vt:lpstr>
      <vt:lpstr>X_Table_Feedlot_MMS_Stage2_Destinations</vt:lpstr>
      <vt:lpstr>X_Table_Feedlot_MMS_Stage3</vt:lpstr>
      <vt:lpstr>X_Table_Feedlot_MMS_Stage3_Destinations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2026-08-31T05:07:57Z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2026-09-02T17:27:05; rename=True resize=True scope=all</vt:lpwstr>
  </property>
</Properties>
</file>