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06EE2DEB-7752-4311-96B0-FD88F06BCACA}" xr6:coauthVersionLast="47" xr6:coauthVersionMax="47" xr10:uidLastSave="{00000000-0000-0000-0000-000000000000}"/>
  <bookViews>
    <workbookView xWindow="1965" yWindow="780" windowWidth="36060" windowHeight="19710" activeTab="5" xr2:uid="{992023F3-CAB7-4E5B-A348-08D563A0EF40}"/>
  </bookViews>
  <sheets>
    <sheet name="Home" sheetId="71" r:id="rId1"/>
    <sheet name="Overview" sheetId="109" r:id="rId2"/>
    <sheet name="Results" sheetId="13" r:id="rId3"/>
    <sheet name="Input - Site" sheetId="15" r:id="rId4"/>
    <sheet name="Input - Swine" sheetId="70" r:id="rId5"/>
    <sheet name="3.5.1.1-2 Enteric Methane" sheetId="69" r:id="rId6"/>
    <sheet name="Constants - Swine" sheetId="79" r:id="rId7"/>
    <sheet name="Constants - Common" sheetId="115" r:id="rId8"/>
    <sheet name="Constants - Common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VEERG_3_5_1_1__1_TotalAnnualMethaneFromEntericFermentation_Result_Method1">'3.5.1.1-2 Enteric Methane'!$E$58</definedName>
    <definedName name="VEERG_3_5_1_1__1_TotalAnnualMethaneFromEntericFermentation_Result_Method2">'3.5.1.1-2 Enteric Methane'!$N$58</definedName>
    <definedName name="X_Cell_Site_EndDate">'Input - Site'!$E$13</definedName>
    <definedName name="X_Cell_Site_FarmName">'Input - Site'!$E$7</definedName>
    <definedName name="X_Cell_Site_ReportingEntityName">'Input - Site'!$E$8</definedName>
    <definedName name="X_Cell_Site_StartDate">'Input - Site'!$E$12</definedName>
    <definedName name="X_Table_Swine_FeedIntake_Method1">'Input - Swine'!$D$12:$H$13</definedName>
    <definedName name="X_Table_Swine_FeedIntake_Method2">'Input - Swine'!$D$15:$H$16</definedName>
    <definedName name="X_Table_Swine_HerdMovement">'Input - Swine'!$D$5:$H$7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43" l="1"/>
  <c r="A20" i="79"/>
  <c r="A20" i="69"/>
  <c r="A20" i="70"/>
  <c r="A20" i="15"/>
  <c r="A20" i="13"/>
  <c r="A20" i="109"/>
  <c r="D7" i="70" l="1"/>
  <c r="D6" i="70"/>
  <c r="A8" i="72"/>
  <c r="A7" i="72"/>
  <c r="A3" i="72"/>
  <c r="P61" i="69"/>
  <c r="G61" i="69"/>
  <c r="E259" i="115" a="1"/>
  <c r="E259" i="115" s="1"/>
  <c r="D259" i="115" a="1"/>
  <c r="D259" i="115" s="1"/>
  <c r="E258" i="115" a="1"/>
  <c r="E258" i="115" s="1"/>
  <c r="D258" i="115" a="1"/>
  <c r="D258" i="115" s="1"/>
  <c r="D256" i="115" a="1"/>
  <c r="D256" i="115" s="1"/>
  <c r="D255" i="115" a="1"/>
  <c r="D255" i="115" s="1"/>
  <c r="D254" i="115" a="1"/>
  <c r="D254" i="115" s="1"/>
  <c r="D253" i="115" a="1"/>
  <c r="D253" i="115" s="1"/>
  <c r="S250" i="115" a="1"/>
  <c r="S250" i="115" s="1"/>
  <c r="R250" i="115" a="1"/>
  <c r="R250" i="115" s="1"/>
  <c r="Q250" i="115" a="1"/>
  <c r="Q250" i="115" s="1"/>
  <c r="P250" i="115" a="1"/>
  <c r="P250" i="115" s="1"/>
  <c r="O250" i="115" a="1"/>
  <c r="O250" i="115" s="1"/>
  <c r="N250" i="115" a="1"/>
  <c r="N250" i="115" s="1"/>
  <c r="M250" i="115" a="1"/>
  <c r="M250" i="115" s="1"/>
  <c r="L250" i="115" a="1"/>
  <c r="L250" i="115" s="1"/>
  <c r="K250" i="115" a="1"/>
  <c r="K250" i="115" s="1"/>
  <c r="J250" i="115" a="1"/>
  <c r="J250" i="115" s="1"/>
  <c r="I250" i="115" a="1"/>
  <c r="I250" i="115" s="1"/>
  <c r="H250" i="115" a="1"/>
  <c r="H250" i="115" s="1"/>
  <c r="G250" i="115" a="1"/>
  <c r="G250" i="115" s="1"/>
  <c r="F250" i="115" a="1"/>
  <c r="F250" i="115" s="1"/>
  <c r="E250" i="115" a="1"/>
  <c r="E250" i="115" s="1"/>
  <c r="D250" i="115" a="1"/>
  <c r="D250" i="115" s="1"/>
  <c r="S249" i="115" a="1"/>
  <c r="S249" i="115" s="1"/>
  <c r="R249" i="115" a="1"/>
  <c r="R249" i="115" s="1"/>
  <c r="Q249" i="115" a="1"/>
  <c r="Q249" i="115" s="1"/>
  <c r="P249" i="115" a="1"/>
  <c r="P249" i="115" s="1"/>
  <c r="O249" i="115" a="1"/>
  <c r="O249" i="115" s="1"/>
  <c r="N249" i="115" a="1"/>
  <c r="N249" i="115" s="1"/>
  <c r="M249" i="115" a="1"/>
  <c r="M249" i="115" s="1"/>
  <c r="L249" i="115" a="1"/>
  <c r="L249" i="115" s="1"/>
  <c r="K249" i="115" a="1"/>
  <c r="K249" i="115" s="1"/>
  <c r="J249" i="115" a="1"/>
  <c r="J249" i="115" s="1"/>
  <c r="I249" i="115" a="1"/>
  <c r="I249" i="115" s="1"/>
  <c r="H249" i="115" a="1"/>
  <c r="H249" i="115" s="1"/>
  <c r="G249" i="115" a="1"/>
  <c r="G249" i="115" s="1"/>
  <c r="F249" i="115" a="1"/>
  <c r="F249" i="115" s="1"/>
  <c r="E249" i="115" a="1"/>
  <c r="E249" i="115" s="1"/>
  <c r="D249" i="115" a="1"/>
  <c r="D249" i="115" s="1"/>
  <c r="S248" i="115" a="1"/>
  <c r="S248" i="115" s="1"/>
  <c r="R248" i="115" a="1"/>
  <c r="R248" i="115" s="1"/>
  <c r="Q248" i="115" a="1"/>
  <c r="Q248" i="115" s="1"/>
  <c r="P248" i="115" a="1"/>
  <c r="P248" i="115" s="1"/>
  <c r="O248" i="115" a="1"/>
  <c r="O248" i="115" s="1"/>
  <c r="N248" i="115" a="1"/>
  <c r="N248" i="115" s="1"/>
  <c r="M248" i="115" a="1"/>
  <c r="M248" i="115" s="1"/>
  <c r="L248" i="115" a="1"/>
  <c r="L248" i="115" s="1"/>
  <c r="K248" i="115" a="1"/>
  <c r="K248" i="115" s="1"/>
  <c r="J248" i="115" a="1"/>
  <c r="J248" i="115" s="1"/>
  <c r="I248" i="115" a="1"/>
  <c r="I248" i="115" s="1"/>
  <c r="H248" i="115" a="1"/>
  <c r="H248" i="115" s="1"/>
  <c r="G248" i="115" a="1"/>
  <c r="G248" i="115" s="1"/>
  <c r="F248" i="115" a="1"/>
  <c r="F248" i="115" s="1"/>
  <c r="E248" i="115" a="1"/>
  <c r="E248" i="115" s="1"/>
  <c r="D248" i="115" a="1"/>
  <c r="D248" i="115" s="1"/>
  <c r="S247" i="115" a="1"/>
  <c r="S247" i="115" s="1"/>
  <c r="R247" i="115" a="1"/>
  <c r="R247" i="115" s="1"/>
  <c r="Q247" i="115" a="1"/>
  <c r="Q247" i="115" s="1"/>
  <c r="P247" i="115" a="1"/>
  <c r="P247" i="115" s="1"/>
  <c r="O247" i="115" a="1"/>
  <c r="O247" i="115" s="1"/>
  <c r="N247" i="115" a="1"/>
  <c r="N247" i="115" s="1"/>
  <c r="M247" i="115" a="1"/>
  <c r="M247" i="115" s="1"/>
  <c r="L247" i="115" a="1"/>
  <c r="L247" i="115" s="1"/>
  <c r="K247" i="115" a="1"/>
  <c r="K247" i="115" s="1"/>
  <c r="J247" i="115" a="1"/>
  <c r="J247" i="115" s="1"/>
  <c r="I247" i="115" a="1"/>
  <c r="I247" i="115" s="1"/>
  <c r="H247" i="115" a="1"/>
  <c r="H247" i="115" s="1"/>
  <c r="G247" i="115" a="1"/>
  <c r="G247" i="115" s="1"/>
  <c r="F247" i="115" a="1"/>
  <c r="F247" i="115" s="1"/>
  <c r="E247" i="115" a="1"/>
  <c r="E247" i="115" s="1"/>
  <c r="D247" i="115" a="1"/>
  <c r="D247" i="115" s="1"/>
  <c r="S246" i="115" a="1"/>
  <c r="S246" i="115" s="1"/>
  <c r="R246" i="115" a="1"/>
  <c r="R246" i="115" s="1"/>
  <c r="Q246" i="115" a="1"/>
  <c r="Q246" i="115" s="1"/>
  <c r="P246" i="115" a="1"/>
  <c r="P246" i="115" s="1"/>
  <c r="O246" i="115" a="1"/>
  <c r="O246" i="115" s="1"/>
  <c r="N246" i="115" a="1"/>
  <c r="N246" i="115" s="1"/>
  <c r="M246" i="115" a="1"/>
  <c r="M246" i="115" s="1"/>
  <c r="L246" i="115" a="1"/>
  <c r="L246" i="115" s="1"/>
  <c r="K246" i="115" a="1"/>
  <c r="K246" i="115" s="1"/>
  <c r="J246" i="115" a="1"/>
  <c r="J246" i="115" s="1"/>
  <c r="I246" i="115" a="1"/>
  <c r="I246" i="115" s="1"/>
  <c r="H246" i="115" a="1"/>
  <c r="H246" i="115" s="1"/>
  <c r="G246" i="115" a="1"/>
  <c r="G246" i="115" s="1"/>
  <c r="F246" i="115" a="1"/>
  <c r="F246" i="115" s="1"/>
  <c r="E246" i="115" a="1"/>
  <c r="E246" i="115" s="1"/>
  <c r="D246" i="115" a="1"/>
  <c r="D246" i="115" s="1"/>
  <c r="S245" i="115" a="1"/>
  <c r="S245" i="115" s="1"/>
  <c r="R245" i="115" a="1"/>
  <c r="R245" i="115" s="1"/>
  <c r="Q245" i="115" a="1"/>
  <c r="Q245" i="115" s="1"/>
  <c r="P245" i="115" a="1"/>
  <c r="P245" i="115" s="1"/>
  <c r="O245" i="115" a="1"/>
  <c r="O245" i="115" s="1"/>
  <c r="N245" i="115" a="1"/>
  <c r="N245" i="115" s="1"/>
  <c r="M245" i="115" a="1"/>
  <c r="M245" i="115" s="1"/>
  <c r="L245" i="115" a="1"/>
  <c r="L245" i="115" s="1"/>
  <c r="K245" i="115" a="1"/>
  <c r="K245" i="115" s="1"/>
  <c r="J245" i="115" a="1"/>
  <c r="J245" i="115" s="1"/>
  <c r="I245" i="115" a="1"/>
  <c r="I245" i="115" s="1"/>
  <c r="H245" i="115" a="1"/>
  <c r="H245" i="115" s="1"/>
  <c r="G245" i="115" a="1"/>
  <c r="G245" i="115" s="1"/>
  <c r="F245" i="115" a="1"/>
  <c r="F245" i="115" s="1"/>
  <c r="E245" i="115" a="1"/>
  <c r="E245" i="115" s="1"/>
  <c r="D245" i="115" a="1"/>
  <c r="D245" i="115" s="1"/>
  <c r="S244" i="115" a="1"/>
  <c r="S244" i="115" s="1"/>
  <c r="R244" i="115" a="1"/>
  <c r="R244" i="115" s="1"/>
  <c r="Q244" i="115" a="1"/>
  <c r="Q244" i="115" s="1"/>
  <c r="P244" i="115" a="1"/>
  <c r="P244" i="115" s="1"/>
  <c r="O244" i="115" a="1"/>
  <c r="O244" i="115" s="1"/>
  <c r="N244" i="115" a="1"/>
  <c r="N244" i="115" s="1"/>
  <c r="M244" i="115" a="1"/>
  <c r="M244" i="115" s="1"/>
  <c r="L244" i="115" a="1"/>
  <c r="L244" i="115" s="1"/>
  <c r="K244" i="115" a="1"/>
  <c r="K244" i="115" s="1"/>
  <c r="J244" i="115" a="1"/>
  <c r="J244" i="115" s="1"/>
  <c r="I244" i="115" a="1"/>
  <c r="I244" i="115" s="1"/>
  <c r="H244" i="115" a="1"/>
  <c r="H244" i="115" s="1"/>
  <c r="G244" i="115" a="1"/>
  <c r="G244" i="115" s="1"/>
  <c r="F244" i="115" a="1"/>
  <c r="F244" i="115" s="1"/>
  <c r="E244" i="115" a="1"/>
  <c r="E244" i="115" s="1"/>
  <c r="D244" i="115" a="1"/>
  <c r="D244" i="115" s="1"/>
  <c r="S243" i="115" a="1"/>
  <c r="S243" i="115" s="1"/>
  <c r="R243" i="115" a="1"/>
  <c r="R243" i="115" s="1"/>
  <c r="Q243" i="115" a="1"/>
  <c r="Q243" i="115" s="1"/>
  <c r="P243" i="115" a="1"/>
  <c r="P243" i="115" s="1"/>
  <c r="O243" i="115" a="1"/>
  <c r="O243" i="115" s="1"/>
  <c r="N243" i="115" a="1"/>
  <c r="N243" i="115" s="1"/>
  <c r="M243" i="115" a="1"/>
  <c r="M243" i="115" s="1"/>
  <c r="L243" i="115" a="1"/>
  <c r="L243" i="115" s="1"/>
  <c r="K243" i="115" a="1"/>
  <c r="K243" i="115" s="1"/>
  <c r="J243" i="115" a="1"/>
  <c r="J243" i="115" s="1"/>
  <c r="I243" i="115" a="1"/>
  <c r="I243" i="115" s="1"/>
  <c r="H243" i="115" a="1"/>
  <c r="H243" i="115" s="1"/>
  <c r="G243" i="115" a="1"/>
  <c r="G243" i="115" s="1"/>
  <c r="F243" i="115" a="1"/>
  <c r="F243" i="115" s="1"/>
  <c r="E243" i="115" a="1"/>
  <c r="E243" i="115" s="1"/>
  <c r="D243" i="115" a="1"/>
  <c r="D243" i="115" s="1"/>
  <c r="S242" i="115" a="1"/>
  <c r="S242" i="115" s="1"/>
  <c r="R242" i="115" a="1"/>
  <c r="R242" i="115" s="1"/>
  <c r="Q242" i="115" a="1"/>
  <c r="Q242" i="115" s="1"/>
  <c r="P242" i="115" a="1"/>
  <c r="P242" i="115" s="1"/>
  <c r="O242" i="115" a="1"/>
  <c r="O242" i="115" s="1"/>
  <c r="N242" i="115" a="1"/>
  <c r="N242" i="115" s="1"/>
  <c r="M242" i="115" a="1"/>
  <c r="M242" i="115" s="1"/>
  <c r="L242" i="115" a="1"/>
  <c r="L242" i="115" s="1"/>
  <c r="K242" i="115" a="1"/>
  <c r="K242" i="115" s="1"/>
  <c r="J242" i="115" a="1"/>
  <c r="J242" i="115" s="1"/>
  <c r="I242" i="115" a="1"/>
  <c r="I242" i="115" s="1"/>
  <c r="H242" i="115" a="1"/>
  <c r="H242" i="115" s="1"/>
  <c r="G242" i="115" a="1"/>
  <c r="G242" i="115" s="1"/>
  <c r="F242" i="115" a="1"/>
  <c r="F242" i="115" s="1"/>
  <c r="E242" i="115" a="1"/>
  <c r="E242" i="115" s="1"/>
  <c r="D242" i="115" a="1"/>
  <c r="D242" i="115" s="1"/>
  <c r="S241" i="115" a="1"/>
  <c r="S241" i="115" s="1"/>
  <c r="R241" i="115" a="1"/>
  <c r="R241" i="115" s="1"/>
  <c r="Q241" i="115" a="1"/>
  <c r="Q241" i="115" s="1"/>
  <c r="P241" i="115" a="1"/>
  <c r="P241" i="115" s="1"/>
  <c r="O241" i="115" a="1"/>
  <c r="O241" i="115" s="1"/>
  <c r="N241" i="115" a="1"/>
  <c r="N241" i="115" s="1"/>
  <c r="M241" i="115" a="1"/>
  <c r="M241" i="115" s="1"/>
  <c r="L241" i="115" a="1"/>
  <c r="L241" i="115" s="1"/>
  <c r="K241" i="115" a="1"/>
  <c r="K241" i="115" s="1"/>
  <c r="J241" i="115" a="1"/>
  <c r="J241" i="115" s="1"/>
  <c r="I241" i="115" a="1"/>
  <c r="I241" i="115" s="1"/>
  <c r="H241" i="115" a="1"/>
  <c r="H241" i="115" s="1"/>
  <c r="G241" i="115" a="1"/>
  <c r="G241" i="115" s="1"/>
  <c r="F241" i="115" a="1"/>
  <c r="F241" i="115" s="1"/>
  <c r="E241" i="115" a="1"/>
  <c r="E241" i="115" s="1"/>
  <c r="D241" i="115" a="1"/>
  <c r="D241" i="115" s="1"/>
  <c r="S240" i="115" a="1"/>
  <c r="S240" i="115" s="1"/>
  <c r="R240" i="115" a="1"/>
  <c r="R240" i="115" s="1"/>
  <c r="Q240" i="115" a="1"/>
  <c r="Q240" i="115" s="1"/>
  <c r="P240" i="115" a="1"/>
  <c r="P240" i="115" s="1"/>
  <c r="O240" i="115" a="1"/>
  <c r="O240" i="115" s="1"/>
  <c r="N240" i="115" a="1"/>
  <c r="N240" i="115" s="1"/>
  <c r="M240" i="115" a="1"/>
  <c r="M240" i="115" s="1"/>
  <c r="L240" i="115" a="1"/>
  <c r="L240" i="115" s="1"/>
  <c r="K240" i="115" a="1"/>
  <c r="K240" i="115" s="1"/>
  <c r="J240" i="115" a="1"/>
  <c r="J240" i="115" s="1"/>
  <c r="I240" i="115" a="1"/>
  <c r="I240" i="115" s="1"/>
  <c r="H240" i="115" a="1"/>
  <c r="H240" i="115" s="1"/>
  <c r="G240" i="115" a="1"/>
  <c r="G240" i="115" s="1"/>
  <c r="F240" i="115" a="1"/>
  <c r="F240" i="115" s="1"/>
  <c r="E240" i="115" a="1"/>
  <c r="E240" i="115" s="1"/>
  <c r="D240" i="115" a="1"/>
  <c r="D240" i="115" s="1"/>
  <c r="S239" i="115" a="1"/>
  <c r="S239" i="115" s="1"/>
  <c r="R239" i="115" a="1"/>
  <c r="R239" i="115" s="1"/>
  <c r="Q239" i="115" a="1"/>
  <c r="Q239" i="115" s="1"/>
  <c r="P239" i="115" a="1"/>
  <c r="P239" i="115" s="1"/>
  <c r="O239" i="115" a="1"/>
  <c r="O239" i="115" s="1"/>
  <c r="N239" i="115" a="1"/>
  <c r="N239" i="115" s="1"/>
  <c r="M239" i="115" a="1"/>
  <c r="M239" i="115" s="1"/>
  <c r="L239" i="115" a="1"/>
  <c r="L239" i="115" s="1"/>
  <c r="K239" i="115" a="1"/>
  <c r="K239" i="115" s="1"/>
  <c r="J239" i="115" a="1"/>
  <c r="J239" i="115" s="1"/>
  <c r="I239" i="115" a="1"/>
  <c r="I239" i="115" s="1"/>
  <c r="H239" i="115" a="1"/>
  <c r="H239" i="115" s="1"/>
  <c r="G239" i="115" a="1"/>
  <c r="G239" i="115" s="1"/>
  <c r="F239" i="115" a="1"/>
  <c r="F239" i="115" s="1"/>
  <c r="E239" i="115" a="1"/>
  <c r="E239" i="115" s="1"/>
  <c r="D239" i="115" a="1"/>
  <c r="D239" i="115" s="1"/>
  <c r="S238" i="115" a="1"/>
  <c r="S238" i="115" s="1"/>
  <c r="R238" i="115" a="1"/>
  <c r="R238" i="115" s="1"/>
  <c r="Q238" i="115" a="1"/>
  <c r="Q238" i="115" s="1"/>
  <c r="P238" i="115" a="1"/>
  <c r="P238" i="115" s="1"/>
  <c r="O238" i="115" a="1"/>
  <c r="O238" i="115" s="1"/>
  <c r="N238" i="115" a="1"/>
  <c r="N238" i="115" s="1"/>
  <c r="M238" i="115" a="1"/>
  <c r="M238" i="115" s="1"/>
  <c r="L238" i="115" a="1"/>
  <c r="L238" i="115" s="1"/>
  <c r="K238" i="115" a="1"/>
  <c r="K238" i="115" s="1"/>
  <c r="J238" i="115" a="1"/>
  <c r="J238" i="115" s="1"/>
  <c r="I238" i="115" a="1"/>
  <c r="I238" i="115" s="1"/>
  <c r="H238" i="115" a="1"/>
  <c r="H238" i="115" s="1"/>
  <c r="G238" i="115" a="1"/>
  <c r="G238" i="115" s="1"/>
  <c r="F238" i="115" a="1"/>
  <c r="F238" i="115" s="1"/>
  <c r="E238" i="115" a="1"/>
  <c r="E238" i="115" s="1"/>
  <c r="D238" i="115" a="1"/>
  <c r="D238" i="115" s="1"/>
  <c r="S237" i="115" a="1"/>
  <c r="S237" i="115" s="1"/>
  <c r="R237" i="115" a="1"/>
  <c r="R237" i="115" s="1"/>
  <c r="Q237" i="115" a="1"/>
  <c r="Q237" i="115" s="1"/>
  <c r="P237" i="115" a="1"/>
  <c r="P237" i="115" s="1"/>
  <c r="O237" i="115" a="1"/>
  <c r="O237" i="115" s="1"/>
  <c r="N237" i="115" a="1"/>
  <c r="N237" i="115" s="1"/>
  <c r="M237" i="115" a="1"/>
  <c r="M237" i="115" s="1"/>
  <c r="L237" i="115" a="1"/>
  <c r="L237" i="115" s="1"/>
  <c r="K237" i="115" a="1"/>
  <c r="K237" i="115" s="1"/>
  <c r="J237" i="115" a="1"/>
  <c r="J237" i="115" s="1"/>
  <c r="I237" i="115" a="1"/>
  <c r="I237" i="115" s="1"/>
  <c r="H237" i="115" a="1"/>
  <c r="H237" i="115" s="1"/>
  <c r="G237" i="115" a="1"/>
  <c r="G237" i="115" s="1"/>
  <c r="F237" i="115" a="1"/>
  <c r="F237" i="115" s="1"/>
  <c r="E237" i="115" a="1"/>
  <c r="E237" i="115" s="1"/>
  <c r="D237" i="115" a="1"/>
  <c r="D237" i="115" s="1"/>
  <c r="S236" i="115" a="1"/>
  <c r="S236" i="115" s="1"/>
  <c r="R236" i="115" a="1"/>
  <c r="R236" i="115" s="1"/>
  <c r="Q236" i="115" a="1"/>
  <c r="Q236" i="115" s="1"/>
  <c r="P236" i="115" a="1"/>
  <c r="P236" i="115" s="1"/>
  <c r="O236" i="115" a="1"/>
  <c r="O236" i="115" s="1"/>
  <c r="N236" i="115" a="1"/>
  <c r="N236" i="115" s="1"/>
  <c r="M236" i="115" a="1"/>
  <c r="M236" i="115" s="1"/>
  <c r="L236" i="115" a="1"/>
  <c r="L236" i="115" s="1"/>
  <c r="K236" i="115" a="1"/>
  <c r="K236" i="115" s="1"/>
  <c r="J236" i="115" a="1"/>
  <c r="J236" i="115" s="1"/>
  <c r="I236" i="115" a="1"/>
  <c r="I236" i="115" s="1"/>
  <c r="H236" i="115" a="1"/>
  <c r="H236" i="115" s="1"/>
  <c r="G236" i="115" a="1"/>
  <c r="G236" i="115" s="1"/>
  <c r="F236" i="115" a="1"/>
  <c r="F236" i="115" s="1"/>
  <c r="E236" i="115" a="1"/>
  <c r="E236" i="115" s="1"/>
  <c r="D236" i="115" a="1"/>
  <c r="D236" i="115" s="1"/>
  <c r="S235" i="115" a="1"/>
  <c r="S235" i="115" s="1"/>
  <c r="R235" i="115" a="1"/>
  <c r="R235" i="115" s="1"/>
  <c r="Q235" i="115" a="1"/>
  <c r="Q235" i="115" s="1"/>
  <c r="P235" i="115" a="1"/>
  <c r="P235" i="115" s="1"/>
  <c r="O235" i="115" a="1"/>
  <c r="O235" i="115" s="1"/>
  <c r="N235" i="115" a="1"/>
  <c r="N235" i="115" s="1"/>
  <c r="M235" i="115" a="1"/>
  <c r="M235" i="115" s="1"/>
  <c r="L235" i="115" a="1"/>
  <c r="L235" i="115" s="1"/>
  <c r="K235" i="115" a="1"/>
  <c r="K235" i="115" s="1"/>
  <c r="J235" i="115" a="1"/>
  <c r="J235" i="115" s="1"/>
  <c r="I235" i="115" a="1"/>
  <c r="I235" i="115" s="1"/>
  <c r="H235" i="115" a="1"/>
  <c r="H235" i="115" s="1"/>
  <c r="G235" i="115" a="1"/>
  <c r="G235" i="115" s="1"/>
  <c r="F235" i="115" a="1"/>
  <c r="F235" i="115" s="1"/>
  <c r="E235" i="115" a="1"/>
  <c r="E235" i="115" s="1"/>
  <c r="D235" i="115" a="1"/>
  <c r="D235" i="115" s="1"/>
  <c r="S234" i="115" a="1"/>
  <c r="S234" i="115" s="1"/>
  <c r="R234" i="115" a="1"/>
  <c r="R234" i="115" s="1"/>
  <c r="Q234" i="115" a="1"/>
  <c r="Q234" i="115" s="1"/>
  <c r="P234" i="115" a="1"/>
  <c r="P234" i="115" s="1"/>
  <c r="O234" i="115" a="1"/>
  <c r="O234" i="115" s="1"/>
  <c r="N234" i="115" a="1"/>
  <c r="N234" i="115" s="1"/>
  <c r="M234" i="115" a="1"/>
  <c r="M234" i="115" s="1"/>
  <c r="L234" i="115" a="1"/>
  <c r="L234" i="115" s="1"/>
  <c r="K234" i="115" a="1"/>
  <c r="K234" i="115" s="1"/>
  <c r="J234" i="115" a="1"/>
  <c r="J234" i="115" s="1"/>
  <c r="I234" i="115" a="1"/>
  <c r="I234" i="115" s="1"/>
  <c r="H234" i="115" a="1"/>
  <c r="H234" i="115" s="1"/>
  <c r="G234" i="115" a="1"/>
  <c r="G234" i="115" s="1"/>
  <c r="F234" i="115" a="1"/>
  <c r="F234" i="115" s="1"/>
  <c r="E234" i="115" a="1"/>
  <c r="E234" i="115" s="1"/>
  <c r="D234" i="115" a="1"/>
  <c r="D234" i="115" s="1"/>
  <c r="S233" i="115" a="1"/>
  <c r="S233" i="115" s="1"/>
  <c r="R233" i="115" a="1"/>
  <c r="R233" i="115" s="1"/>
  <c r="Q233" i="115" a="1"/>
  <c r="Q233" i="115" s="1"/>
  <c r="P233" i="115" a="1"/>
  <c r="P233" i="115" s="1"/>
  <c r="O233" i="115" a="1"/>
  <c r="O233" i="115" s="1"/>
  <c r="N233" i="115" a="1"/>
  <c r="N233" i="115" s="1"/>
  <c r="M233" i="115" a="1"/>
  <c r="M233" i="115" s="1"/>
  <c r="L233" i="115" a="1"/>
  <c r="L233" i="115" s="1"/>
  <c r="K233" i="115" a="1"/>
  <c r="K233" i="115" s="1"/>
  <c r="J233" i="115" a="1"/>
  <c r="J233" i="115" s="1"/>
  <c r="I233" i="115" a="1"/>
  <c r="I233" i="115" s="1"/>
  <c r="H233" i="115" a="1"/>
  <c r="H233" i="115" s="1"/>
  <c r="G233" i="115" a="1"/>
  <c r="G233" i="115" s="1"/>
  <c r="F233" i="115" a="1"/>
  <c r="F233" i="115" s="1"/>
  <c r="E233" i="115" a="1"/>
  <c r="E233" i="115" s="1"/>
  <c r="D233" i="115" a="1"/>
  <c r="D233" i="115" s="1"/>
  <c r="S232" i="115" a="1"/>
  <c r="S232" i="115" s="1"/>
  <c r="R232" i="115" a="1"/>
  <c r="R232" i="115" s="1"/>
  <c r="Q232" i="115" a="1"/>
  <c r="Q232" i="115" s="1"/>
  <c r="P232" i="115" a="1"/>
  <c r="P232" i="115" s="1"/>
  <c r="O232" i="115" a="1"/>
  <c r="O232" i="115" s="1"/>
  <c r="N232" i="115" a="1"/>
  <c r="N232" i="115" s="1"/>
  <c r="M232" i="115" a="1"/>
  <c r="M232" i="115" s="1"/>
  <c r="L232" i="115" a="1"/>
  <c r="L232" i="115" s="1"/>
  <c r="K232" i="115" a="1"/>
  <c r="K232" i="115" s="1"/>
  <c r="J232" i="115" a="1"/>
  <c r="J232" i="115" s="1"/>
  <c r="I232" i="115" a="1"/>
  <c r="I232" i="115" s="1"/>
  <c r="H232" i="115" a="1"/>
  <c r="H232" i="115" s="1"/>
  <c r="G232" i="115" a="1"/>
  <c r="G232" i="115" s="1"/>
  <c r="F232" i="115" a="1"/>
  <c r="F232" i="115" s="1"/>
  <c r="E232" i="115" a="1"/>
  <c r="E232" i="115" s="1"/>
  <c r="D232" i="115" a="1"/>
  <c r="D232" i="115" s="1"/>
  <c r="D229" i="115" a="1"/>
  <c r="D229" i="115" s="1"/>
  <c r="D228" i="115" a="1"/>
  <c r="D228" i="115" s="1"/>
  <c r="D227" i="115"/>
  <c r="D227" i="115" a="1"/>
  <c r="E224" i="115" a="1"/>
  <c r="E224" i="115" s="1"/>
  <c r="D224" i="115" a="1"/>
  <c r="D224" i="115" s="1"/>
  <c r="E223" i="115" a="1"/>
  <c r="E223" i="115" s="1"/>
  <c r="D223" i="115" a="1"/>
  <c r="D223" i="115" s="1"/>
  <c r="E222" i="115" a="1"/>
  <c r="E222" i="115" s="1"/>
  <c r="D222" i="115" a="1"/>
  <c r="D222" i="115" s="1"/>
  <c r="E221" i="115" a="1"/>
  <c r="E221" i="115" s="1"/>
  <c r="D221" i="115" a="1"/>
  <c r="D221" i="115" s="1"/>
  <c r="E220" i="115" a="1"/>
  <c r="E220" i="115" s="1"/>
  <c r="D220" i="115" a="1"/>
  <c r="D220" i="115" s="1"/>
  <c r="E219" i="115" a="1"/>
  <c r="E219" i="115" s="1"/>
  <c r="D219" i="115" a="1"/>
  <c r="D219" i="115" s="1"/>
  <c r="E218" i="115" a="1"/>
  <c r="E218" i="115" s="1"/>
  <c r="D218" i="115" a="1"/>
  <c r="D218" i="115" s="1"/>
  <c r="E217" i="115" a="1"/>
  <c r="E217" i="115" s="1"/>
  <c r="D217" i="115" a="1"/>
  <c r="D217" i="115" s="1"/>
  <c r="E216" i="115" a="1"/>
  <c r="E216" i="115" s="1"/>
  <c r="D216" i="115" a="1"/>
  <c r="D216" i="115" s="1"/>
  <c r="E215" i="115" a="1"/>
  <c r="E215" i="115" s="1"/>
  <c r="D215" i="115" a="1"/>
  <c r="D215" i="115" s="1"/>
  <c r="E214" i="115" a="1"/>
  <c r="E214" i="115" s="1"/>
  <c r="D214" i="115" a="1"/>
  <c r="D214" i="115" s="1"/>
  <c r="E213" i="115" a="1"/>
  <c r="E213" i="115" s="1"/>
  <c r="D213" i="115" a="1"/>
  <c r="D213" i="115" s="1"/>
  <c r="D211" i="115" a="1"/>
  <c r="D211" i="115" s="1"/>
  <c r="E208" i="115" a="1"/>
  <c r="E208" i="115" s="1"/>
  <c r="D208" i="115" a="1"/>
  <c r="D208" i="115" s="1"/>
  <c r="E207" i="115" a="1"/>
  <c r="E207" i="115" s="1"/>
  <c r="D207" i="115" a="1"/>
  <c r="D207" i="115" s="1"/>
  <c r="D205" i="115" a="1"/>
  <c r="D205" i="115" s="1"/>
  <c r="D204" i="115" a="1"/>
  <c r="D204" i="115" s="1"/>
  <c r="D203" i="115" a="1"/>
  <c r="D203" i="115" s="1"/>
  <c r="D202" i="115" a="1"/>
  <c r="D202" i="115" s="1"/>
  <c r="H199" i="115" a="1"/>
  <c r="H199" i="115" s="1"/>
  <c r="G199" i="115" a="1"/>
  <c r="G199" i="115" s="1"/>
  <c r="F199" i="115" a="1"/>
  <c r="F199" i="115" s="1"/>
  <c r="E199" i="115" a="1"/>
  <c r="E199" i="115" s="1"/>
  <c r="D199" i="115" a="1"/>
  <c r="D199" i="115" s="1"/>
  <c r="H198" i="115" a="1"/>
  <c r="H198" i="115" s="1"/>
  <c r="G198" i="115" a="1"/>
  <c r="G198" i="115" s="1"/>
  <c r="F198" i="115" a="1"/>
  <c r="F198" i="115" s="1"/>
  <c r="E198" i="115" a="1"/>
  <c r="E198" i="115" s="1"/>
  <c r="D198" i="115" a="1"/>
  <c r="D198" i="115" s="1"/>
  <c r="H197" i="115" a="1"/>
  <c r="H197" i="115" s="1"/>
  <c r="G197" i="115" a="1"/>
  <c r="G197" i="115" s="1"/>
  <c r="F197" i="115" a="1"/>
  <c r="F197" i="115" s="1"/>
  <c r="E197" i="115" a="1"/>
  <c r="E197" i="115" s="1"/>
  <c r="D197" i="115" a="1"/>
  <c r="D197" i="115" s="1"/>
  <c r="H196" i="115" a="1"/>
  <c r="H196" i="115" s="1"/>
  <c r="G196" i="115" a="1"/>
  <c r="G196" i="115" s="1"/>
  <c r="F196" i="115" a="1"/>
  <c r="F196" i="115" s="1"/>
  <c r="E196" i="115" a="1"/>
  <c r="E196" i="115" s="1"/>
  <c r="D196" i="115" a="1"/>
  <c r="D196" i="115" s="1"/>
  <c r="H195" i="115" a="1"/>
  <c r="H195" i="115" s="1"/>
  <c r="G195" i="115" a="1"/>
  <c r="G195" i="115" s="1"/>
  <c r="F195" i="115" a="1"/>
  <c r="F195" i="115" s="1"/>
  <c r="E195" i="115" a="1"/>
  <c r="E195" i="115" s="1"/>
  <c r="D195" i="115" a="1"/>
  <c r="D195" i="115" s="1"/>
  <c r="H194" i="115" a="1"/>
  <c r="H194" i="115" s="1"/>
  <c r="G194" i="115" a="1"/>
  <c r="G194" i="115" s="1"/>
  <c r="F194" i="115" a="1"/>
  <c r="F194" i="115" s="1"/>
  <c r="E194" i="115" a="1"/>
  <c r="E194" i="115" s="1"/>
  <c r="D194" i="115" a="1"/>
  <c r="D194" i="115" s="1"/>
  <c r="H193" i="115" a="1"/>
  <c r="H193" i="115" s="1"/>
  <c r="G193" i="115" a="1"/>
  <c r="G193" i="115" s="1"/>
  <c r="F193" i="115" a="1"/>
  <c r="F193" i="115" s="1"/>
  <c r="E193" i="115" a="1"/>
  <c r="E193" i="115" s="1"/>
  <c r="D193" i="115" a="1"/>
  <c r="D193" i="115" s="1"/>
  <c r="H192" i="115" a="1"/>
  <c r="H192" i="115" s="1"/>
  <c r="G192" i="115" a="1"/>
  <c r="G192" i="115" s="1"/>
  <c r="F192" i="115" a="1"/>
  <c r="F192" i="115" s="1"/>
  <c r="E192" i="115" a="1"/>
  <c r="E192" i="115" s="1"/>
  <c r="D192" i="115" a="1"/>
  <c r="D192" i="115" s="1"/>
  <c r="H191" i="115" a="1"/>
  <c r="H191" i="115" s="1"/>
  <c r="G191" i="115" a="1"/>
  <c r="G191" i="115" s="1"/>
  <c r="F191" i="115" a="1"/>
  <c r="F191" i="115" s="1"/>
  <c r="E191" i="115" a="1"/>
  <c r="E191" i="115" s="1"/>
  <c r="D191" i="115" a="1"/>
  <c r="D191" i="115" s="1"/>
  <c r="H190" i="115" a="1"/>
  <c r="H190" i="115" s="1"/>
  <c r="G190" i="115" a="1"/>
  <c r="G190" i="115" s="1"/>
  <c r="F190" i="115" a="1"/>
  <c r="F190" i="115" s="1"/>
  <c r="E190" i="115" a="1"/>
  <c r="E190" i="115" s="1"/>
  <c r="D190" i="115" a="1"/>
  <c r="D190" i="115" s="1"/>
  <c r="H189" i="115" a="1"/>
  <c r="H189" i="115" s="1"/>
  <c r="G189" i="115" a="1"/>
  <c r="G189" i="115" s="1"/>
  <c r="F189" i="115" a="1"/>
  <c r="F189" i="115" s="1"/>
  <c r="E189" i="115" a="1"/>
  <c r="E189" i="115" s="1"/>
  <c r="D189" i="115" a="1"/>
  <c r="D189" i="115" s="1"/>
  <c r="H188" i="115" a="1"/>
  <c r="H188" i="115" s="1"/>
  <c r="G188" i="115" a="1"/>
  <c r="G188" i="115" s="1"/>
  <c r="F188" i="115" a="1"/>
  <c r="F188" i="115" s="1"/>
  <c r="E188" i="115" a="1"/>
  <c r="E188" i="115" s="1"/>
  <c r="D188" i="115" a="1"/>
  <c r="D188" i="115" s="1"/>
  <c r="H187" i="115" a="1"/>
  <c r="H187" i="115" s="1"/>
  <c r="G187" i="115" a="1"/>
  <c r="G187" i="115" s="1"/>
  <c r="F187" i="115" a="1"/>
  <c r="F187" i="115" s="1"/>
  <c r="E187" i="115" a="1"/>
  <c r="E187" i="115" s="1"/>
  <c r="D187" i="115" a="1"/>
  <c r="D187" i="115" s="1"/>
  <c r="D181" i="115" a="1"/>
  <c r="D181" i="115" s="1"/>
  <c r="D180" i="115" a="1"/>
  <c r="D180" i="115" s="1"/>
  <c r="D179" i="115" a="1"/>
  <c r="D179" i="115" s="1"/>
  <c r="D178" i="115" a="1"/>
  <c r="D178" i="115" s="1"/>
  <c r="E175" i="115" a="1"/>
  <c r="E175" i="115" s="1"/>
  <c r="D175" i="115" a="1"/>
  <c r="D175" i="115" s="1"/>
  <c r="D174" i="115" a="1"/>
  <c r="D174" i="115" s="1"/>
  <c r="D173" i="115" a="1"/>
  <c r="D173" i="115" s="1"/>
  <c r="D170" i="115" a="1"/>
  <c r="D170" i="115" s="1"/>
  <c r="D169" i="115" a="1"/>
  <c r="D169" i="115" s="1"/>
  <c r="D168" i="115" a="1"/>
  <c r="D168" i="115" s="1"/>
  <c r="D167" i="115" a="1"/>
  <c r="D167" i="115" s="1"/>
  <c r="D164" i="115" a="1"/>
  <c r="D164" i="115" s="1"/>
  <c r="D163" i="115" a="1"/>
  <c r="D163" i="115" s="1"/>
  <c r="D162" i="115" a="1"/>
  <c r="D162" i="115" s="1"/>
  <c r="D161" i="115" a="1"/>
  <c r="D161" i="115" s="1"/>
  <c r="E158" i="115" a="1"/>
  <c r="E158" i="115" s="1"/>
  <c r="D158" i="115" a="1"/>
  <c r="D158" i="115" s="1"/>
  <c r="E157" i="115" a="1"/>
  <c r="E157" i="115" s="1"/>
  <c r="D157" i="115" a="1"/>
  <c r="D157" i="115" s="1"/>
  <c r="E156" i="115" a="1"/>
  <c r="E156" i="115" s="1"/>
  <c r="D156" i="115" a="1"/>
  <c r="D156" i="115" s="1"/>
  <c r="E155" i="115" a="1"/>
  <c r="E155" i="115" s="1"/>
  <c r="D155" i="115" a="1"/>
  <c r="D155" i="115" s="1"/>
  <c r="E154" i="115" a="1"/>
  <c r="E154" i="115" s="1"/>
  <c r="D154" i="115" a="1"/>
  <c r="D154" i="115" s="1"/>
  <c r="D151" i="115" a="1"/>
  <c r="D151" i="115" s="1"/>
  <c r="D150" i="115" a="1"/>
  <c r="D150" i="115" s="1"/>
  <c r="E147" i="115" a="1"/>
  <c r="E147" i="115" s="1"/>
  <c r="D147" i="115" a="1"/>
  <c r="D147" i="115" s="1"/>
  <c r="E146" i="115" a="1"/>
  <c r="E146" i="115" s="1"/>
  <c r="D146" i="115" a="1"/>
  <c r="D146" i="115" s="1"/>
  <c r="E145" i="115" a="1"/>
  <c r="E145" i="115" s="1"/>
  <c r="D145" i="115" a="1"/>
  <c r="D145" i="115" s="1"/>
  <c r="E144" i="115" a="1"/>
  <c r="E144" i="115" s="1"/>
  <c r="D144" i="115" a="1"/>
  <c r="D144" i="115" s="1"/>
  <c r="E143" i="115" a="1"/>
  <c r="E143" i="115" s="1"/>
  <c r="D143" i="115" a="1"/>
  <c r="D143" i="115" s="1"/>
  <c r="D141" i="115" a="1"/>
  <c r="D141" i="115" s="1"/>
  <c r="D140" i="115" a="1"/>
  <c r="D140" i="115" s="1"/>
  <c r="D139" i="115" a="1"/>
  <c r="D139" i="115" s="1"/>
  <c r="E136" i="115" a="1"/>
  <c r="E136" i="115" s="1"/>
  <c r="D136" i="115" a="1"/>
  <c r="D136" i="115" s="1"/>
  <c r="E135" i="115" a="1"/>
  <c r="E135" i="115" s="1"/>
  <c r="D135" i="115" a="1"/>
  <c r="D135" i="115" s="1"/>
  <c r="D133" i="115" a="1"/>
  <c r="D133" i="115" s="1"/>
  <c r="D132" i="115" a="1"/>
  <c r="D132" i="115" s="1"/>
  <c r="E129" i="115" a="1"/>
  <c r="E129" i="115" s="1"/>
  <c r="D129" i="115" a="1"/>
  <c r="D129" i="115" s="1"/>
  <c r="E128" i="115" a="1"/>
  <c r="E128" i="115" s="1"/>
  <c r="D128" i="115" a="1"/>
  <c r="D128" i="115" s="1"/>
  <c r="D125" i="115"/>
  <c r="D125" i="115" a="1"/>
  <c r="D124" i="115" a="1"/>
  <c r="D124" i="115" s="1"/>
  <c r="G121" i="115" a="1"/>
  <c r="G121" i="115" s="1"/>
  <c r="F121" i="115" a="1"/>
  <c r="F121" i="115" s="1"/>
  <c r="E121" i="115" a="1"/>
  <c r="E121" i="115" s="1"/>
  <c r="D121" i="115" a="1"/>
  <c r="D121" i="115" s="1"/>
  <c r="G120" i="115" a="1"/>
  <c r="G120" i="115" s="1"/>
  <c r="F120" i="115" a="1"/>
  <c r="F120" i="115" s="1"/>
  <c r="E120" i="115" a="1"/>
  <c r="E120" i="115" s="1"/>
  <c r="D120" i="115" a="1"/>
  <c r="D120" i="115" s="1"/>
  <c r="D117" i="115" a="1"/>
  <c r="D117" i="115" s="1"/>
  <c r="D116" i="115" a="1"/>
  <c r="D116" i="115" s="1"/>
  <c r="D115" i="115" a="1"/>
  <c r="D115" i="115" s="1"/>
  <c r="G112" i="115" a="1"/>
  <c r="G112" i="115" s="1"/>
  <c r="F112" i="115" a="1"/>
  <c r="F112" i="115" s="1"/>
  <c r="E112" i="115" a="1"/>
  <c r="E112" i="115" s="1"/>
  <c r="D112" i="115" a="1"/>
  <c r="D112" i="115" s="1"/>
  <c r="G111" i="115" a="1"/>
  <c r="G111" i="115" s="1"/>
  <c r="F111" i="115" a="1"/>
  <c r="F111" i="115" s="1"/>
  <c r="E111" i="115" a="1"/>
  <c r="E111" i="115" s="1"/>
  <c r="D111" i="115" a="1"/>
  <c r="D111" i="115" s="1"/>
  <c r="G110" i="115" a="1"/>
  <c r="G110" i="115" s="1"/>
  <c r="F110" i="115" a="1"/>
  <c r="F110" i="115" s="1"/>
  <c r="E110" i="115" a="1"/>
  <c r="E110" i="115" s="1"/>
  <c r="D110" i="115" a="1"/>
  <c r="D110" i="115" s="1"/>
  <c r="D107" i="115" a="1"/>
  <c r="D107" i="115" s="1"/>
  <c r="D106" i="115" a="1"/>
  <c r="D106" i="115" s="1"/>
  <c r="D105" i="115" a="1"/>
  <c r="D105" i="115" s="1"/>
  <c r="D99" i="115" a="1"/>
  <c r="D99" i="115" s="1"/>
  <c r="S97" i="115" a="1"/>
  <c r="S97" i="115" s="1"/>
  <c r="R97" i="115" a="1"/>
  <c r="R97" i="115" s="1"/>
  <c r="Q97" i="115" a="1"/>
  <c r="Q97" i="115" s="1"/>
  <c r="P97" i="115" a="1"/>
  <c r="P97" i="115" s="1"/>
  <c r="O97" i="115" a="1"/>
  <c r="O97" i="115" s="1"/>
  <c r="N97" i="115" a="1"/>
  <c r="N97" i="115" s="1"/>
  <c r="M97" i="115" a="1"/>
  <c r="M97" i="115" s="1"/>
  <c r="L97" i="115" a="1"/>
  <c r="L97" i="115" s="1"/>
  <c r="K97" i="115" a="1"/>
  <c r="K97" i="115" s="1"/>
  <c r="J97" i="115" a="1"/>
  <c r="J97" i="115" s="1"/>
  <c r="I97" i="115" a="1"/>
  <c r="I97" i="115" s="1"/>
  <c r="H97" i="115" a="1"/>
  <c r="H97" i="115" s="1"/>
  <c r="G97" i="115" a="1"/>
  <c r="G97" i="115" s="1"/>
  <c r="F97" i="115" a="1"/>
  <c r="F97" i="115" s="1"/>
  <c r="E97" i="115" a="1"/>
  <c r="E97" i="115" s="1"/>
  <c r="D97" i="115" a="1"/>
  <c r="D97" i="115" s="1"/>
  <c r="S96" i="115" a="1"/>
  <c r="S96" i="115" s="1"/>
  <c r="R96" i="115" a="1"/>
  <c r="R96" i="115" s="1"/>
  <c r="Q96" i="115" a="1"/>
  <c r="Q96" i="115" s="1"/>
  <c r="P96" i="115" a="1"/>
  <c r="P96" i="115" s="1"/>
  <c r="O96" i="115" a="1"/>
  <c r="O96" i="115" s="1"/>
  <c r="N96" i="115" a="1"/>
  <c r="N96" i="115" s="1"/>
  <c r="M96" i="115" a="1"/>
  <c r="M96" i="115" s="1"/>
  <c r="L96" i="115" a="1"/>
  <c r="L96" i="115" s="1"/>
  <c r="K96" i="115" a="1"/>
  <c r="K96" i="115" s="1"/>
  <c r="J96" i="115" a="1"/>
  <c r="J96" i="115" s="1"/>
  <c r="I96" i="115" a="1"/>
  <c r="I96" i="115" s="1"/>
  <c r="H96" i="115" a="1"/>
  <c r="H96" i="115" s="1"/>
  <c r="G96" i="115" a="1"/>
  <c r="G96" i="115" s="1"/>
  <c r="F96" i="115" a="1"/>
  <c r="F96" i="115" s="1"/>
  <c r="E96" i="115" a="1"/>
  <c r="E96" i="115" s="1"/>
  <c r="D96" i="115" a="1"/>
  <c r="D96" i="115" s="1"/>
  <c r="S95" i="115" a="1"/>
  <c r="S95" i="115" s="1"/>
  <c r="R95" i="115" a="1"/>
  <c r="R95" i="115" s="1"/>
  <c r="Q95" i="115" a="1"/>
  <c r="Q95" i="115" s="1"/>
  <c r="P95" i="115" a="1"/>
  <c r="P95" i="115" s="1"/>
  <c r="O95" i="115" a="1"/>
  <c r="O95" i="115" s="1"/>
  <c r="N95" i="115" a="1"/>
  <c r="N95" i="115" s="1"/>
  <c r="M95" i="115" a="1"/>
  <c r="M95" i="115" s="1"/>
  <c r="L95" i="115" a="1"/>
  <c r="L95" i="115" s="1"/>
  <c r="K95" i="115" a="1"/>
  <c r="K95" i="115" s="1"/>
  <c r="J95" i="115" a="1"/>
  <c r="J95" i="115" s="1"/>
  <c r="I95" i="115" a="1"/>
  <c r="I95" i="115" s="1"/>
  <c r="H95" i="115" a="1"/>
  <c r="H95" i="115" s="1"/>
  <c r="G95" i="115" a="1"/>
  <c r="G95" i="115" s="1"/>
  <c r="F95" i="115" a="1"/>
  <c r="F95" i="115" s="1"/>
  <c r="E95" i="115" a="1"/>
  <c r="E95" i="115" s="1"/>
  <c r="D95" i="115" a="1"/>
  <c r="D95" i="115" s="1"/>
  <c r="S94" i="115" a="1"/>
  <c r="S94" i="115" s="1"/>
  <c r="R94" i="115" a="1"/>
  <c r="R94" i="115" s="1"/>
  <c r="Q94" i="115" a="1"/>
  <c r="Q94" i="115" s="1"/>
  <c r="P94" i="115" a="1"/>
  <c r="P94" i="115" s="1"/>
  <c r="O94" i="115" a="1"/>
  <c r="O94" i="115" s="1"/>
  <c r="N94" i="115" a="1"/>
  <c r="N94" i="115" s="1"/>
  <c r="M94" i="115" a="1"/>
  <c r="M94" i="115" s="1"/>
  <c r="L94" i="115" a="1"/>
  <c r="L94" i="115" s="1"/>
  <c r="K94" i="115" a="1"/>
  <c r="K94" i="115" s="1"/>
  <c r="J94" i="115" a="1"/>
  <c r="J94" i="115" s="1"/>
  <c r="I94" i="115" a="1"/>
  <c r="I94" i="115" s="1"/>
  <c r="H94" i="115" a="1"/>
  <c r="H94" i="115" s="1"/>
  <c r="G94" i="115" a="1"/>
  <c r="G94" i="115" s="1"/>
  <c r="F94" i="115" a="1"/>
  <c r="F94" i="115" s="1"/>
  <c r="E94" i="115" a="1"/>
  <c r="E94" i="115" s="1"/>
  <c r="D94" i="115" a="1"/>
  <c r="D94" i="115" s="1"/>
  <c r="S93" i="115" a="1"/>
  <c r="S93" i="115" s="1"/>
  <c r="R93" i="115" a="1"/>
  <c r="R93" i="115" s="1"/>
  <c r="Q93" i="115" a="1"/>
  <c r="Q93" i="115" s="1"/>
  <c r="P93" i="115" a="1"/>
  <c r="P93" i="115" s="1"/>
  <c r="O93" i="115" a="1"/>
  <c r="O93" i="115" s="1"/>
  <c r="N93" i="115" a="1"/>
  <c r="N93" i="115" s="1"/>
  <c r="M93" i="115" a="1"/>
  <c r="M93" i="115" s="1"/>
  <c r="L93" i="115" a="1"/>
  <c r="L93" i="115" s="1"/>
  <c r="K93" i="115" a="1"/>
  <c r="K93" i="115" s="1"/>
  <c r="J93" i="115" a="1"/>
  <c r="J93" i="115" s="1"/>
  <c r="I93" i="115" a="1"/>
  <c r="I93" i="115" s="1"/>
  <c r="H93" i="115" a="1"/>
  <c r="H93" i="115" s="1"/>
  <c r="G93" i="115" a="1"/>
  <c r="G93" i="115" s="1"/>
  <c r="F93" i="115" a="1"/>
  <c r="F93" i="115" s="1"/>
  <c r="E93" i="115" a="1"/>
  <c r="E93" i="115" s="1"/>
  <c r="D93" i="115" a="1"/>
  <c r="D93" i="115" s="1"/>
  <c r="S92" i="115" a="1"/>
  <c r="S92" i="115" s="1"/>
  <c r="R92" i="115" a="1"/>
  <c r="R92" i="115" s="1"/>
  <c r="Q92" i="115" a="1"/>
  <c r="Q92" i="115" s="1"/>
  <c r="P92" i="115" a="1"/>
  <c r="P92" i="115" s="1"/>
  <c r="O92" i="115" a="1"/>
  <c r="O92" i="115" s="1"/>
  <c r="N92" i="115" a="1"/>
  <c r="N92" i="115" s="1"/>
  <c r="M92" i="115" a="1"/>
  <c r="M92" i="115" s="1"/>
  <c r="L92" i="115" a="1"/>
  <c r="L92" i="115" s="1"/>
  <c r="K92" i="115" a="1"/>
  <c r="K92" i="115" s="1"/>
  <c r="J92" i="115" a="1"/>
  <c r="J92" i="115" s="1"/>
  <c r="I92" i="115" a="1"/>
  <c r="I92" i="115" s="1"/>
  <c r="H92" i="115" a="1"/>
  <c r="H92" i="115" s="1"/>
  <c r="G92" i="115" a="1"/>
  <c r="G92" i="115" s="1"/>
  <c r="F92" i="115" a="1"/>
  <c r="F92" i="115" s="1"/>
  <c r="E92" i="115" a="1"/>
  <c r="E92" i="115" s="1"/>
  <c r="D92" i="115" a="1"/>
  <c r="D92" i="115" s="1"/>
  <c r="S91" i="115" a="1"/>
  <c r="S91" i="115" s="1"/>
  <c r="R91" i="115" a="1"/>
  <c r="R91" i="115" s="1"/>
  <c r="Q91" i="115" a="1"/>
  <c r="Q91" i="115" s="1"/>
  <c r="P91" i="115" a="1"/>
  <c r="P91" i="115" s="1"/>
  <c r="O91" i="115" a="1"/>
  <c r="O91" i="115" s="1"/>
  <c r="N91" i="115" a="1"/>
  <c r="N91" i="115" s="1"/>
  <c r="M91" i="115" a="1"/>
  <c r="M91" i="115" s="1"/>
  <c r="L91" i="115" a="1"/>
  <c r="L91" i="115" s="1"/>
  <c r="K91" i="115" a="1"/>
  <c r="K91" i="115" s="1"/>
  <c r="J91" i="115" a="1"/>
  <c r="J91" i="115" s="1"/>
  <c r="I91" i="115" a="1"/>
  <c r="I91" i="115" s="1"/>
  <c r="H91" i="115" a="1"/>
  <c r="H91" i="115" s="1"/>
  <c r="G91" i="115" a="1"/>
  <c r="G91" i="115" s="1"/>
  <c r="F91" i="115" a="1"/>
  <c r="F91" i="115" s="1"/>
  <c r="E91" i="115" a="1"/>
  <c r="E91" i="115" s="1"/>
  <c r="D91" i="115" a="1"/>
  <c r="D91" i="115" s="1"/>
  <c r="S90" i="115" a="1"/>
  <c r="S90" i="115" s="1"/>
  <c r="R90" i="115" a="1"/>
  <c r="R90" i="115" s="1"/>
  <c r="Q90" i="115" a="1"/>
  <c r="Q90" i="115" s="1"/>
  <c r="P90" i="115" a="1"/>
  <c r="P90" i="115" s="1"/>
  <c r="O90" i="115" a="1"/>
  <c r="O90" i="115" s="1"/>
  <c r="N90" i="115" a="1"/>
  <c r="N90" i="115" s="1"/>
  <c r="M90" i="115" a="1"/>
  <c r="M90" i="115" s="1"/>
  <c r="L90" i="115" a="1"/>
  <c r="L90" i="115" s="1"/>
  <c r="K90" i="115" a="1"/>
  <c r="K90" i="115" s="1"/>
  <c r="J90" i="115" a="1"/>
  <c r="J90" i="115" s="1"/>
  <c r="I90" i="115" a="1"/>
  <c r="I90" i="115" s="1"/>
  <c r="H90" i="115" a="1"/>
  <c r="H90" i="115" s="1"/>
  <c r="G90" i="115" a="1"/>
  <c r="G90" i="115" s="1"/>
  <c r="F90" i="115" a="1"/>
  <c r="F90" i="115" s="1"/>
  <c r="E90" i="115" a="1"/>
  <c r="E90" i="115" s="1"/>
  <c r="D90" i="115" a="1"/>
  <c r="D90" i="115" s="1"/>
  <c r="D83" i="115" a="1"/>
  <c r="D83" i="115" s="1"/>
  <c r="D82" i="115" a="1"/>
  <c r="D82" i="115" s="1"/>
  <c r="D81" i="115" a="1"/>
  <c r="D81" i="115" s="1"/>
  <c r="E77" i="115" a="1"/>
  <c r="E77" i="115" s="1"/>
  <c r="D77" i="115" a="1"/>
  <c r="D77" i="115" s="1"/>
  <c r="E76" i="115" a="1"/>
  <c r="E76" i="115" s="1"/>
  <c r="D76" i="115" a="1"/>
  <c r="D76" i="115" s="1"/>
  <c r="E75" i="115" a="1"/>
  <c r="E75" i="115" s="1"/>
  <c r="D75" i="115" a="1"/>
  <c r="D75" i="115" s="1"/>
  <c r="E74" i="115" a="1"/>
  <c r="E74" i="115" s="1"/>
  <c r="D74" i="115" a="1"/>
  <c r="D74" i="115" s="1"/>
  <c r="E73" i="115" a="1"/>
  <c r="E73" i="115" s="1"/>
  <c r="D73" i="115" a="1"/>
  <c r="D73" i="115" s="1"/>
  <c r="E72" i="115" a="1"/>
  <c r="E72" i="115" s="1"/>
  <c r="D72" i="115" a="1"/>
  <c r="D72" i="115" s="1"/>
  <c r="E71" i="115" a="1"/>
  <c r="E71" i="115" s="1"/>
  <c r="D71" i="115" a="1"/>
  <c r="D71" i="115" s="1"/>
  <c r="E70" i="115" a="1"/>
  <c r="E70" i="115" s="1"/>
  <c r="D70" i="115" a="1"/>
  <c r="D70" i="115" s="1"/>
  <c r="E69" i="115" a="1"/>
  <c r="E69" i="115" s="1"/>
  <c r="D69" i="115" a="1"/>
  <c r="D69" i="115" s="1"/>
  <c r="E68" i="115" a="1"/>
  <c r="E68" i="115" s="1"/>
  <c r="D68" i="115" a="1"/>
  <c r="D68" i="115" s="1"/>
  <c r="E67" i="115" a="1"/>
  <c r="E67" i="115" s="1"/>
  <c r="D67" i="115" a="1"/>
  <c r="D67" i="115" s="1"/>
  <c r="E66" i="115" a="1"/>
  <c r="E66" i="115" s="1"/>
  <c r="D66" i="115" a="1"/>
  <c r="D66" i="115" s="1"/>
  <c r="E65" i="115" a="1"/>
  <c r="E65" i="115" s="1"/>
  <c r="D65" i="115" a="1"/>
  <c r="D65" i="115" s="1"/>
  <c r="E64" i="115" a="1"/>
  <c r="E64" i="115" s="1"/>
  <c r="D64" i="115" a="1"/>
  <c r="D64" i="115" s="1"/>
  <c r="D59" i="115" a="1"/>
  <c r="D59" i="115" s="1"/>
  <c r="D58" i="115" a="1"/>
  <c r="D58" i="115" s="1"/>
  <c r="D57" i="115" a="1"/>
  <c r="D57" i="115" s="1"/>
  <c r="G54" i="115" a="1"/>
  <c r="G54" i="115" s="1"/>
  <c r="F54" i="115" a="1"/>
  <c r="F54" i="115" s="1"/>
  <c r="E54" i="115" a="1"/>
  <c r="E54" i="115" s="1"/>
  <c r="D54" i="115" a="1"/>
  <c r="D54" i="115" s="1"/>
  <c r="G53" i="115" a="1"/>
  <c r="G53" i="115" s="1"/>
  <c r="F53" i="115" a="1"/>
  <c r="F53" i="115" s="1"/>
  <c r="E53" i="115" a="1"/>
  <c r="E53" i="115" s="1"/>
  <c r="D53" i="115" a="1"/>
  <c r="D53" i="115" s="1"/>
  <c r="G52" i="115" a="1"/>
  <c r="G52" i="115" s="1"/>
  <c r="F52" i="115" a="1"/>
  <c r="F52" i="115" s="1"/>
  <c r="E52" i="115" a="1"/>
  <c r="E52" i="115" s="1"/>
  <c r="D52" i="115" a="1"/>
  <c r="D52" i="115" s="1"/>
  <c r="G51" i="115" a="1"/>
  <c r="G51" i="115" s="1"/>
  <c r="F51" i="115" a="1"/>
  <c r="F51" i="115" s="1"/>
  <c r="E51" i="115" a="1"/>
  <c r="E51" i="115" s="1"/>
  <c r="D51" i="115" a="1"/>
  <c r="D51" i="115" s="1"/>
  <c r="G50" i="115" a="1"/>
  <c r="G50" i="115" s="1"/>
  <c r="F50" i="115" a="1"/>
  <c r="F50" i="115" s="1"/>
  <c r="E50" i="115" a="1"/>
  <c r="E50" i="115" s="1"/>
  <c r="D50" i="115" a="1"/>
  <c r="D50" i="115" s="1"/>
  <c r="G49" i="115" a="1"/>
  <c r="G49" i="115" s="1"/>
  <c r="F49" i="115" a="1"/>
  <c r="F49" i="115" s="1"/>
  <c r="E49" i="115" a="1"/>
  <c r="E49" i="115" s="1"/>
  <c r="D49" i="115" a="1"/>
  <c r="D49" i="115" s="1"/>
  <c r="G48" i="115" a="1"/>
  <c r="G48" i="115" s="1"/>
  <c r="F48" i="115" a="1"/>
  <c r="F48" i="115" s="1"/>
  <c r="E48" i="115" a="1"/>
  <c r="E48" i="115" s="1"/>
  <c r="D48" i="115" a="1"/>
  <c r="D48" i="115" s="1"/>
  <c r="D46" i="115" a="1"/>
  <c r="D46" i="115" s="1"/>
  <c r="D45" i="115" a="1"/>
  <c r="D45" i="115" s="1"/>
  <c r="E43" i="115" a="1"/>
  <c r="E43" i="115" s="1"/>
  <c r="D43" i="115" a="1"/>
  <c r="D43" i="115" s="1"/>
  <c r="E42" i="115" a="1"/>
  <c r="E42" i="115" s="1"/>
  <c r="D42" i="115" a="1"/>
  <c r="D42" i="115" s="1"/>
  <c r="E41" i="115" a="1"/>
  <c r="E41" i="115" s="1"/>
  <c r="D41" i="115" a="1"/>
  <c r="D41" i="115" s="1"/>
  <c r="E40" i="115" a="1"/>
  <c r="E40" i="115" s="1"/>
  <c r="D40" i="115" a="1"/>
  <c r="D40" i="115" s="1"/>
  <c r="E39" i="115" a="1"/>
  <c r="E39" i="115" s="1"/>
  <c r="D39" i="115" a="1"/>
  <c r="D39" i="115" s="1"/>
  <c r="E38" i="115" a="1"/>
  <c r="E38" i="115" s="1"/>
  <c r="D38" i="115" a="1"/>
  <c r="D38" i="115" s="1"/>
  <c r="E37" i="115" a="1"/>
  <c r="E37" i="115" s="1"/>
  <c r="D37" i="115" a="1"/>
  <c r="D37" i="115" s="1"/>
  <c r="D35" i="115" a="1"/>
  <c r="D35" i="115" s="1"/>
  <c r="D34" i="115" a="1"/>
  <c r="D34" i="115" s="1"/>
  <c r="D30" i="115" a="1"/>
  <c r="D30" i="115" s="1"/>
  <c r="D29" i="115" a="1"/>
  <c r="D29" i="115" s="1"/>
  <c r="D28" i="115" a="1"/>
  <c r="D28" i="115" s="1"/>
  <c r="D27" i="115" a="1"/>
  <c r="D27" i="115" s="1"/>
  <c r="D26" i="115" a="1"/>
  <c r="D26" i="115" s="1"/>
  <c r="D25" i="115" a="1"/>
  <c r="D25" i="115" s="1"/>
  <c r="D24" i="115" a="1"/>
  <c r="D24" i="115" s="1"/>
  <c r="D23" i="115" a="1"/>
  <c r="D23" i="115" s="1"/>
  <c r="D22" i="115" a="1"/>
  <c r="D22" i="115" s="1"/>
  <c r="D21" i="115" a="1"/>
  <c r="D21" i="115" s="1"/>
  <c r="D19" i="115" a="1"/>
  <c r="D19" i="115" s="1"/>
  <c r="D18" i="115" a="1"/>
  <c r="D18" i="115" s="1"/>
  <c r="F14" i="115" a="1"/>
  <c r="F14" i="115" s="1"/>
  <c r="E14" i="115" a="1"/>
  <c r="E14" i="115" s="1"/>
  <c r="D14" i="115" a="1"/>
  <c r="D14" i="115" s="1"/>
  <c r="F13" i="115" a="1"/>
  <c r="F13" i="115" s="1"/>
  <c r="E13" i="115" a="1"/>
  <c r="E13" i="115" s="1"/>
  <c r="D13" i="115" a="1"/>
  <c r="D13" i="115" s="1"/>
  <c r="F12" i="115" a="1"/>
  <c r="F12" i="115" s="1"/>
  <c r="E12" i="115" a="1"/>
  <c r="E12" i="115" s="1"/>
  <c r="D12" i="115" a="1"/>
  <c r="D12" i="115" s="1"/>
  <c r="F11" i="115" a="1"/>
  <c r="F11" i="115" s="1"/>
  <c r="E11" i="115" a="1"/>
  <c r="E11" i="115" s="1"/>
  <c r="D11" i="115" a="1"/>
  <c r="D11" i="115" s="1"/>
  <c r="F10" i="115" a="1"/>
  <c r="F10" i="115" s="1"/>
  <c r="E10" i="115" a="1"/>
  <c r="E10" i="115" s="1"/>
  <c r="D10" i="115" a="1"/>
  <c r="D10" i="115" s="1"/>
  <c r="F9" i="115" a="1"/>
  <c r="F9" i="115" s="1"/>
  <c r="E9" i="115" a="1"/>
  <c r="E9" i="115" s="1"/>
  <c r="D9" i="115" a="1"/>
  <c r="D9" i="115" s="1"/>
  <c r="F8" i="115" a="1"/>
  <c r="F8" i="115" s="1"/>
  <c r="E8" i="115" a="1"/>
  <c r="E8" i="115" s="1"/>
  <c r="D8" i="115" a="1"/>
  <c r="D8" i="115" s="1"/>
  <c r="A8" i="115"/>
  <c r="F7" i="115" a="1"/>
  <c r="F7" i="115" s="1"/>
  <c r="E7" i="115" a="1"/>
  <c r="E7" i="115" s="1"/>
  <c r="D7" i="115" a="1"/>
  <c r="D7" i="115" s="1"/>
  <c r="A7" i="115"/>
  <c r="D5" i="115" a="1"/>
  <c r="D5" i="115" s="1"/>
  <c r="A3" i="115"/>
  <c r="A8" i="71"/>
  <c r="A7" i="71"/>
  <c r="A3" i="71"/>
  <c r="E13" i="15"/>
  <c r="A21" i="43"/>
  <c r="A19" i="43"/>
  <c r="A18" i="43"/>
  <c r="A14" i="43"/>
  <c r="A10" i="43"/>
  <c r="A9" i="43"/>
  <c r="A5" i="43"/>
  <c r="A4" i="43"/>
  <c r="A3" i="43"/>
  <c r="A21" i="79"/>
  <c r="A19" i="79"/>
  <c r="A18" i="79"/>
  <c r="A14" i="79"/>
  <c r="A10" i="79"/>
  <c r="A9" i="79"/>
  <c r="A5" i="79"/>
  <c r="A4" i="79"/>
  <c r="A3" i="79"/>
  <c r="A21" i="69"/>
  <c r="A19" i="69"/>
  <c r="A18" i="69"/>
  <c r="A14" i="69"/>
  <c r="A10" i="69"/>
  <c r="A9" i="69"/>
  <c r="A5" i="69"/>
  <c r="A4" i="69"/>
  <c r="A3" i="69"/>
  <c r="A21" i="70"/>
  <c r="A19" i="70"/>
  <c r="A18" i="70"/>
  <c r="A14" i="70"/>
  <c r="A10" i="70"/>
  <c r="A9" i="70"/>
  <c r="A5" i="70"/>
  <c r="A4" i="70"/>
  <c r="A3" i="70"/>
  <c r="A21" i="15"/>
  <c r="A19" i="15"/>
  <c r="A18" i="15"/>
  <c r="A14" i="15"/>
  <c r="A10" i="15"/>
  <c r="A9" i="15"/>
  <c r="A5" i="15"/>
  <c r="A4" i="15"/>
  <c r="A3" i="15"/>
  <c r="A21" i="13"/>
  <c r="A19" i="13"/>
  <c r="A18" i="13"/>
  <c r="A14" i="13"/>
  <c r="A10" i="13"/>
  <c r="A9" i="13"/>
  <c r="A5" i="13"/>
  <c r="A4" i="13"/>
  <c r="A3" i="13"/>
  <c r="A21" i="109"/>
  <c r="A19" i="109"/>
  <c r="A18" i="109"/>
  <c r="A14" i="109"/>
  <c r="A10" i="109"/>
  <c r="A9" i="109"/>
  <c r="A5" i="109"/>
  <c r="A4" i="109"/>
  <c r="A3" i="109"/>
  <c r="D51" i="69" a="1"/>
  <c r="D51" i="69" s="1"/>
  <c r="D45" i="69" a="1"/>
  <c r="D45" i="69" s="1"/>
  <c r="D132" i="79" a="1"/>
  <c r="D132" i="79" s="1"/>
  <c r="E132" i="79" a="1"/>
  <c r="E132" i="79" s="1"/>
  <c r="D131" i="79" a="1"/>
  <c r="D131" i="79" s="1"/>
  <c r="E131" i="79" a="1"/>
  <c r="E131" i="79" s="1"/>
  <c r="D130" i="79" a="1"/>
  <c r="D130" i="79" s="1"/>
  <c r="E130" i="79" a="1"/>
  <c r="E130" i="79" s="1"/>
  <c r="D129" i="79" a="1"/>
  <c r="D129" i="79" s="1"/>
  <c r="E129" i="79" a="1"/>
  <c r="E129" i="79" s="1"/>
  <c r="E128" i="79" a="1"/>
  <c r="E128" i="79" s="1"/>
  <c r="D128" i="79" a="1"/>
  <c r="D128" i="79" s="1"/>
  <c r="D126" i="79" a="1"/>
  <c r="D126" i="79" s="1"/>
  <c r="D125" i="79" a="1"/>
  <c r="D125" i="79" s="1"/>
  <c r="O63" i="69" a="1"/>
  <c r="O63" i="69" s="1"/>
  <c r="M60" i="69" a="1"/>
  <c r="M60" i="69" s="1"/>
  <c r="I40" i="69" a="1"/>
  <c r="I40" i="69" s="1"/>
  <c r="I39" i="69" a="1"/>
  <c r="I39" i="69" s="1"/>
  <c r="I41" i="69" a="1"/>
  <c r="I41" i="69" s="1"/>
  <c r="G39" i="69" a="1"/>
  <c r="G39" i="69" s="1"/>
  <c r="D39" i="69" a="1"/>
  <c r="D39" i="69" s="1"/>
  <c r="E37" i="69" a="1"/>
  <c r="E37" i="69" s="1"/>
  <c r="O58" i="69" s="1"/>
  <c r="E36" i="69" a="1"/>
  <c r="E36" i="69" s="1"/>
  <c r="D31" i="69" a="1"/>
  <c r="D31" i="69" s="1"/>
  <c r="D30" i="69" a="1"/>
  <c r="D30" i="69" s="1"/>
  <c r="F122" i="79" a="1"/>
  <c r="F122" i="79" s="1"/>
  <c r="E122" i="79" a="1"/>
  <c r="E122" i="79" s="1"/>
  <c r="I16" i="69" s="1"/>
  <c r="D122" i="79" a="1"/>
  <c r="D122" i="79" s="1"/>
  <c r="D121" i="79" a="1"/>
  <c r="D121" i="79" s="1"/>
  <c r="D120" i="79" a="1"/>
  <c r="D120" i="79" s="1"/>
  <c r="G13" i="69" a="1"/>
  <c r="G13" i="69" s="1"/>
  <c r="Q21" i="69" s="1"/>
  <c r="D13" i="69" a="1"/>
  <c r="D13" i="69" s="1"/>
  <c r="E11" i="69" a="1"/>
  <c r="E11" i="69" s="1"/>
  <c r="Q26" i="69" s="1"/>
  <c r="E10" i="69" a="1"/>
  <c r="E10" i="69" s="1"/>
  <c r="D6" i="69" a="1"/>
  <c r="D6" i="69" s="1"/>
  <c r="D5" i="69" a="1"/>
  <c r="D5" i="69" s="1"/>
  <c r="E7" i="69" a="1"/>
  <c r="H53" i="115" l="1"/>
  <c r="H54" i="115"/>
  <c r="H49" i="115"/>
  <c r="H50" i="115"/>
  <c r="H48" i="115"/>
  <c r="H51" i="115"/>
  <c r="H52" i="115"/>
  <c r="Q56" i="69"/>
  <c r="E7" i="69"/>
  <c r="I15" i="69"/>
  <c r="I14" i="69"/>
  <c r="A266" i="69" l="1"/>
  <c r="A231" i="69"/>
  <c r="A213" i="69"/>
  <c r="A186" i="69"/>
  <c r="I13" i="69" a="1"/>
  <c r="I13" i="69" s="1"/>
  <c r="H21" i="69"/>
  <c r="H46" i="69"/>
  <c r="H51" i="69" l="1"/>
  <c r="G93" i="79" l="1" a="1"/>
  <c r="G93" i="79" s="1"/>
  <c r="G92" i="79" a="1"/>
  <c r="G92" i="79" s="1"/>
  <c r="G91" i="79" a="1"/>
  <c r="G91" i="79" s="1"/>
  <c r="G90" i="79" a="1"/>
  <c r="G90" i="79" s="1"/>
  <c r="D93" i="79" a="1"/>
  <c r="D93" i="79" s="1"/>
  <c r="D16" i="79" a="1"/>
  <c r="D16" i="79" s="1"/>
  <c r="F17" i="79" a="1"/>
  <c r="F17" i="79" s="1"/>
  <c r="E17" i="79" a="1"/>
  <c r="E17" i="79" s="1"/>
  <c r="D17" i="79" a="1"/>
  <c r="D17" i="79" s="1"/>
  <c r="D15" i="79" a="1"/>
  <c r="D15" i="79" s="1"/>
  <c r="D14" i="79" a="1"/>
  <c r="D14" i="79" s="1"/>
  <c r="F117" i="79" l="1" a="1"/>
  <c r="F117" i="79" s="1"/>
  <c r="E117" i="79" a="1"/>
  <c r="E117" i="79" s="1"/>
  <c r="D117" i="79" a="1"/>
  <c r="D117" i="79" s="1"/>
  <c r="F116" i="79" a="1"/>
  <c r="F116" i="79" s="1"/>
  <c r="E116" i="79" a="1"/>
  <c r="E116" i="79" s="1"/>
  <c r="D116" i="79" a="1"/>
  <c r="D116" i="79" s="1"/>
  <c r="F115" i="79" a="1"/>
  <c r="F115" i="79" s="1"/>
  <c r="E115" i="79" a="1"/>
  <c r="E115" i="79" s="1"/>
  <c r="D115" i="79" a="1"/>
  <c r="D115" i="79" s="1"/>
  <c r="F114" i="79" a="1"/>
  <c r="F114" i="79" s="1"/>
  <c r="E114" i="79" a="1"/>
  <c r="E114" i="79" s="1"/>
  <c r="D114" i="79" a="1"/>
  <c r="D114" i="79" s="1"/>
  <c r="F113" i="79" a="1"/>
  <c r="F113" i="79" s="1"/>
  <c r="E113" i="79" a="1"/>
  <c r="E113" i="79" s="1"/>
  <c r="D113" i="79" a="1"/>
  <c r="D113" i="79" s="1"/>
  <c r="F112" i="79" a="1"/>
  <c r="F112" i="79" s="1"/>
  <c r="E112" i="79" a="1"/>
  <c r="E112" i="79" s="1"/>
  <c r="D112" i="79" a="1"/>
  <c r="D112" i="79" s="1"/>
  <c r="D110" i="79" a="1"/>
  <c r="D110" i="79" s="1"/>
  <c r="D109" i="79" a="1"/>
  <c r="D109" i="79" s="1"/>
  <c r="D108" i="79" a="1"/>
  <c r="D108" i="79"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F100" i="79" a="1"/>
  <c r="F100" i="79" s="1"/>
  <c r="E100" i="79" a="1"/>
  <c r="E100" i="79" s="1"/>
  <c r="D100" i="79" a="1"/>
  <c r="D100" i="79" s="1"/>
  <c r="D98" i="79" a="1"/>
  <c r="D98" i="79" s="1"/>
  <c r="D97" i="79" a="1"/>
  <c r="D97" i="79" s="1"/>
  <c r="D96" i="79" a="1"/>
  <c r="D96" i="79" s="1"/>
  <c r="E82" i="79" a="1"/>
  <c r="E82" i="79" s="1"/>
  <c r="D82" i="79" a="1"/>
  <c r="D82" i="79" s="1"/>
  <c r="E81" i="79" a="1"/>
  <c r="E81" i="79" s="1"/>
  <c r="D81" i="79" a="1"/>
  <c r="D81" i="79" s="1"/>
  <c r="E80" i="79" a="1"/>
  <c r="E80" i="79" s="1"/>
  <c r="D80" i="79" a="1"/>
  <c r="D80" i="79" s="1"/>
  <c r="E79" i="79" a="1"/>
  <c r="E79" i="79" s="1"/>
  <c r="D79" i="79" a="1"/>
  <c r="D79" i="79" s="1"/>
  <c r="D76" i="79" a="1"/>
  <c r="D76" i="79" s="1"/>
  <c r="D75" i="79" a="1"/>
  <c r="D75" i="79" s="1"/>
  <c r="D74" i="79" a="1"/>
  <c r="D74" i="79" s="1"/>
  <c r="F93" i="79" a="1"/>
  <c r="F93" i="79" s="1"/>
  <c r="E93" i="79" a="1"/>
  <c r="E93" i="79" s="1"/>
  <c r="F92" i="79" a="1"/>
  <c r="F92" i="79" s="1"/>
  <c r="E92" i="79" a="1"/>
  <c r="E92" i="79" s="1"/>
  <c r="D92" i="79" a="1"/>
  <c r="D92" i="79" s="1"/>
  <c r="F91" i="79" a="1"/>
  <c r="F91" i="79" s="1"/>
  <c r="E91" i="79" a="1"/>
  <c r="E91" i="79" s="1"/>
  <c r="D91" i="79" a="1"/>
  <c r="D91" i="79" s="1"/>
  <c r="F90" i="79" a="1"/>
  <c r="F90" i="79" s="1"/>
  <c r="E90" i="79" a="1"/>
  <c r="E90" i="79" s="1"/>
  <c r="D90" i="79" a="1"/>
  <c r="D90" i="79" s="1"/>
  <c r="D87" i="79" a="1"/>
  <c r="D87" i="79" s="1"/>
  <c r="D86" i="79" a="1"/>
  <c r="D86" i="79" s="1"/>
  <c r="D85" i="79" a="1"/>
  <c r="D85" i="79" s="1"/>
  <c r="H16" i="70" l="1" a="1"/>
  <c r="H16" i="70" s="1"/>
  <c r="F16" i="70" a="1"/>
  <c r="F16" i="70" s="1"/>
  <c r="E16" i="70" a="1"/>
  <c r="E16" i="70" s="1"/>
  <c r="H13" i="70" a="1"/>
  <c r="H13" i="70" s="1"/>
  <c r="G13" i="70" a="1"/>
  <c r="G13" i="70" s="1"/>
  <c r="F13" i="70" a="1"/>
  <c r="F13" i="70" s="1"/>
  <c r="E13" i="70" a="1"/>
  <c r="E13" i="70" s="1"/>
  <c r="D20" i="69" s="1" a="1"/>
  <c r="D20" i="69" s="1"/>
  <c r="G16" i="70" a="1"/>
  <c r="G16" i="70" s="1"/>
  <c r="M20" i="69" l="1" a="1"/>
  <c r="M20" i="69" s="1"/>
  <c r="F63" i="69" a="1"/>
  <c r="F63" i="69" s="1"/>
  <c r="D60" i="69" a="1"/>
  <c r="D60" i="69" s="1"/>
  <c r="G56" i="79" a="1"/>
  <c r="G56" i="79" s="1"/>
  <c r="G55" i="79" a="1"/>
  <c r="G55" i="79" s="1"/>
  <c r="G54" i="79" a="1"/>
  <c r="G54" i="79" s="1"/>
  <c r="M35" i="79" a="1"/>
  <c r="M35" i="79" s="1"/>
  <c r="L35" i="79" a="1"/>
  <c r="L35" i="79" s="1"/>
  <c r="K35" i="79" a="1"/>
  <c r="K35" i="79" s="1"/>
  <c r="J35" i="79" a="1"/>
  <c r="J35" i="79" s="1"/>
  <c r="I35" i="79" a="1"/>
  <c r="I35" i="79" s="1"/>
  <c r="H35" i="79" a="1"/>
  <c r="H35" i="79" s="1"/>
  <c r="G35" i="79" a="1"/>
  <c r="G35" i="79" s="1"/>
  <c r="F35" i="79" a="1"/>
  <c r="F35" i="79" s="1"/>
  <c r="E35" i="79" a="1"/>
  <c r="E35" i="79" s="1"/>
  <c r="D35" i="79" a="1"/>
  <c r="D35" i="79" s="1"/>
  <c r="M34" i="79" a="1"/>
  <c r="M34" i="79" s="1"/>
  <c r="L34" i="79" a="1"/>
  <c r="L34" i="79" s="1"/>
  <c r="K34" i="79" a="1"/>
  <c r="K34" i="79" s="1"/>
  <c r="J34" i="79" a="1"/>
  <c r="J34" i="79" s="1"/>
  <c r="I34" i="79" a="1"/>
  <c r="I34" i="79" s="1"/>
  <c r="H34" i="79" a="1"/>
  <c r="H34" i="79" s="1"/>
  <c r="G34" i="79" a="1"/>
  <c r="G34" i="79" s="1"/>
  <c r="F34" i="79" a="1"/>
  <c r="F34" i="79" s="1"/>
  <c r="E34" i="79" a="1"/>
  <c r="E34" i="79" s="1"/>
  <c r="D34" i="79" a="1"/>
  <c r="D34" i="79" s="1"/>
  <c r="M33" i="79" a="1"/>
  <c r="M33" i="79" s="1"/>
  <c r="L33" i="79" a="1"/>
  <c r="L33" i="79" s="1"/>
  <c r="K33" i="79" a="1"/>
  <c r="K33" i="79" s="1"/>
  <c r="J33" i="79" a="1"/>
  <c r="J33" i="79" s="1"/>
  <c r="I33" i="79" a="1"/>
  <c r="I33" i="79" s="1"/>
  <c r="H33" i="79" a="1"/>
  <c r="H33" i="79" s="1"/>
  <c r="G33" i="79" a="1"/>
  <c r="G33" i="79" s="1"/>
  <c r="F33" i="79" a="1"/>
  <c r="F33" i="79" s="1"/>
  <c r="E33" i="79" a="1"/>
  <c r="E33" i="79" s="1"/>
  <c r="D33" i="79" a="1"/>
  <c r="D33" i="79" s="1"/>
  <c r="M32" i="79" a="1"/>
  <c r="M32" i="79" s="1"/>
  <c r="L32" i="79" a="1"/>
  <c r="L32" i="79" s="1"/>
  <c r="K32" i="79" a="1"/>
  <c r="K32" i="79" s="1"/>
  <c r="J32" i="79" a="1"/>
  <c r="J32" i="79" s="1"/>
  <c r="I32" i="79" a="1"/>
  <c r="I32" i="79" s="1"/>
  <c r="H32" i="79" a="1"/>
  <c r="H32" i="79" s="1"/>
  <c r="G32" i="79" a="1"/>
  <c r="G32" i="79" s="1"/>
  <c r="F32" i="79" a="1"/>
  <c r="F32" i="79" s="1"/>
  <c r="E32" i="79" a="1"/>
  <c r="E32" i="79" s="1"/>
  <c r="D32" i="79" a="1"/>
  <c r="D32" i="79" s="1"/>
  <c r="M31" i="79" a="1"/>
  <c r="M31" i="79" s="1"/>
  <c r="L31" i="79" a="1"/>
  <c r="L31" i="79" s="1"/>
  <c r="K31" i="79" a="1"/>
  <c r="K31" i="79" s="1"/>
  <c r="J31" i="79" a="1"/>
  <c r="J31" i="79" s="1"/>
  <c r="I31" i="79" a="1"/>
  <c r="I31" i="79" s="1"/>
  <c r="H31" i="79" a="1"/>
  <c r="H31" i="79" s="1"/>
  <c r="G31" i="79" a="1"/>
  <c r="G31" i="79" s="1"/>
  <c r="F31" i="79" a="1"/>
  <c r="F31" i="79" s="1"/>
  <c r="E31" i="79" a="1"/>
  <c r="E31" i="79" s="1"/>
  <c r="D31" i="79" a="1"/>
  <c r="D31" i="79" s="1"/>
  <c r="M30" i="79" a="1"/>
  <c r="M30" i="79" s="1"/>
  <c r="L30" i="79" a="1"/>
  <c r="L30" i="79" s="1"/>
  <c r="K30" i="79" a="1"/>
  <c r="K30" i="79" s="1"/>
  <c r="J30" i="79" a="1"/>
  <c r="J30" i="79" s="1"/>
  <c r="I30" i="79" a="1"/>
  <c r="I30" i="79" s="1"/>
  <c r="H30" i="79" a="1"/>
  <c r="H30" i="79" s="1"/>
  <c r="G30" i="79" a="1"/>
  <c r="G30" i="79" s="1"/>
  <c r="F30" i="79" a="1"/>
  <c r="F30" i="79" s="1"/>
  <c r="E30" i="79" a="1"/>
  <c r="E30" i="79" s="1"/>
  <c r="D30" i="79" a="1"/>
  <c r="D30" i="79" s="1"/>
  <c r="M29" i="79" a="1"/>
  <c r="M29" i="79" s="1"/>
  <c r="L29" i="79" a="1"/>
  <c r="L29" i="79" s="1"/>
  <c r="K29" i="79" a="1"/>
  <c r="K29" i="79" s="1"/>
  <c r="J29" i="79" a="1"/>
  <c r="J29" i="79" s="1"/>
  <c r="I29" i="79" a="1"/>
  <c r="I29" i="79" s="1"/>
  <c r="H29" i="79" a="1"/>
  <c r="H29" i="79" s="1"/>
  <c r="G29" i="79" a="1"/>
  <c r="G29" i="79" s="1"/>
  <c r="F29" i="79" a="1"/>
  <c r="F29" i="79" s="1"/>
  <c r="E29" i="79" a="1"/>
  <c r="E29" i="79" s="1"/>
  <c r="D29" i="79" a="1"/>
  <c r="D29" i="79" s="1"/>
  <c r="D26" i="79" a="1"/>
  <c r="D26" i="79" s="1"/>
  <c r="D25" i="79" a="1"/>
  <c r="D25" i="79" s="1"/>
  <c r="D24" i="79" a="1"/>
  <c r="D24" i="79" s="1"/>
  <c r="F21" i="79" a="1"/>
  <c r="F21" i="79" s="1"/>
  <c r="E21" i="79" a="1"/>
  <c r="E21" i="79" s="1"/>
  <c r="D21" i="79" a="1"/>
  <c r="D21" i="79" s="1"/>
  <c r="D20" i="79" a="1"/>
  <c r="D20" i="79" s="1"/>
  <c r="D19" i="79" a="1"/>
  <c r="D19" i="79" s="1"/>
  <c r="E71" i="79" a="1"/>
  <c r="E71" i="79" s="1"/>
  <c r="D71" i="79" a="1"/>
  <c r="D71" i="79" s="1"/>
  <c r="E70" i="79" a="1"/>
  <c r="E70" i="79" s="1"/>
  <c r="D70" i="79" a="1"/>
  <c r="D70" i="79" s="1"/>
  <c r="E69" i="79" a="1"/>
  <c r="E69" i="79" s="1"/>
  <c r="D69" i="79" a="1"/>
  <c r="D69" i="79" s="1"/>
  <c r="E68" i="79" a="1"/>
  <c r="E68" i="79" s="1"/>
  <c r="D68" i="79" a="1"/>
  <c r="D68" i="79" s="1"/>
  <c r="D65" i="79" a="1"/>
  <c r="D65" i="79" s="1"/>
  <c r="D64" i="79" a="1"/>
  <c r="D64" i="79" s="1"/>
  <c r="D63" i="79" a="1"/>
  <c r="D63" i="79" s="1"/>
  <c r="E32" i="69" a="1"/>
  <c r="G26" i="69" l="1" a="1"/>
  <c r="G26" i="69" s="1"/>
  <c r="G56" i="69" s="1" a="1"/>
  <c r="G56" i="69" s="1"/>
  <c r="P26" i="69" a="1"/>
  <c r="P26" i="69" s="1"/>
  <c r="P56" i="69" s="1" a="1"/>
  <c r="P56" i="69" s="1"/>
  <c r="F26" i="69" a="1"/>
  <c r="F26" i="69" s="1"/>
  <c r="F56" i="69" s="1" a="1"/>
  <c r="F56" i="69" s="1"/>
  <c r="M26" i="69" a="1"/>
  <c r="M26" i="69" s="1"/>
  <c r="M56" i="69" s="1" a="1"/>
  <c r="M56" i="69" s="1"/>
  <c r="N26" i="69" a="1"/>
  <c r="N26" i="69" s="1"/>
  <c r="N56" i="69" s="1" a="1"/>
  <c r="N56" i="69" s="1"/>
  <c r="O26" i="69" a="1"/>
  <c r="O26" i="69" s="1"/>
  <c r="O56" i="69" s="1" a="1"/>
  <c r="O56" i="69" s="1"/>
  <c r="D26" i="69" a="1"/>
  <c r="D26" i="69" s="1"/>
  <c r="D56" i="69" s="1" a="1"/>
  <c r="D56" i="69" s="1"/>
  <c r="E26" i="69" a="1"/>
  <c r="E26" i="69" s="1"/>
  <c r="E56" i="69" s="1" a="1"/>
  <c r="E56" i="69" s="1"/>
  <c r="F58" i="69"/>
  <c r="H26" i="69"/>
  <c r="E32" i="69"/>
  <c r="H56" i="69"/>
  <c r="N58" i="69" l="1"/>
  <c r="F27" i="43" a="1"/>
  <c r="F27" i="43" s="1"/>
  <c r="E27" i="43" a="1"/>
  <c r="E27" i="43" s="1"/>
  <c r="D27" i="43" a="1"/>
  <c r="D27" i="43" s="1"/>
  <c r="F26" i="43" a="1"/>
  <c r="F26" i="43" s="1"/>
  <c r="E47" i="79"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P60" i="69" l="1"/>
  <c r="N63" i="69" s="1" a="1"/>
  <c r="N63" i="69" s="1"/>
  <c r="I7" i="13" s="1"/>
  <c r="I8" i="13" s="1"/>
  <c r="F7" i="13"/>
  <c r="E44" i="79"/>
  <c r="H43" i="79"/>
  <c r="L44" i="79"/>
  <c r="D45" i="79"/>
  <c r="K45" i="79"/>
  <c r="G44" i="79"/>
  <c r="D58" i="79"/>
  <c r="K41" i="79"/>
  <c r="G41" i="79"/>
  <c r="D41" i="79"/>
  <c r="D54" i="79"/>
  <c r="E45" i="79"/>
  <c r="L45" i="79"/>
  <c r="H44" i="79"/>
  <c r="D42" i="79"/>
  <c r="K42" i="79"/>
  <c r="D55" i="79"/>
  <c r="E42" i="79"/>
  <c r="L42" i="79"/>
  <c r="G45" i="79"/>
  <c r="K46" i="79"/>
  <c r="D46" i="79"/>
  <c r="D59" i="79"/>
  <c r="G43" i="79"/>
  <c r="K44" i="79"/>
  <c r="D57" i="79"/>
  <c r="D44" i="79"/>
  <c r="L41" i="79"/>
  <c r="H41" i="79"/>
  <c r="E41" i="79"/>
  <c r="E46" i="79"/>
  <c r="H45" i="79"/>
  <c r="L46" i="79"/>
  <c r="D43" i="79"/>
  <c r="G42" i="79"/>
  <c r="D56" i="79"/>
  <c r="K43" i="79"/>
  <c r="L43" i="79"/>
  <c r="H42" i="79"/>
  <c r="E43" i="79"/>
  <c r="D60" i="79"/>
  <c r="D47" i="79"/>
  <c r="E58" i="69" l="1"/>
  <c r="E7" i="13" l="1"/>
  <c r="G60" i="69"/>
  <c r="E63" i="69" s="1" a="1"/>
  <c r="E63" i="69" s="1"/>
  <c r="H7" i="13" s="1"/>
  <c r="H8"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<sst xmlns="http://schemas.openxmlformats.org/spreadsheetml/2006/main" count="320" uniqueCount="226">
  <si>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</si>
  <si>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</si>
  <si>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</si>
  <si>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</si>
  <si>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</si>
  <si>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</si>
  <si>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</si>
  <si>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</si>
  <si>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</si>
  <si>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</si>
  <si>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</si>
  <si>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</si>
  <si>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</si>
  <si>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</si>
  <si>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</si>
  <si>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</si>
  <si>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</si>
  <si>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</si>
  <si>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</si>
  <si>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</si>
  <si>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</si>
  <si>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</si>
  <si>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</si>
  <si>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</si>
  <si>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</si>
  <si>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</si>
  <si>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</si>
  <si>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</si>
  <si>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</si>
  <si>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</si>
  <si>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</si>
  <si>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</si>
  <si>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</si>
  <si>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</si>
  <si>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</si>
  <si>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</si>
  <si>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</si>
  <si>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</si>
  <si>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</si>
  <si>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</si>
  <si>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</si>
  <si>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</si>
  <si>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</si>
  <si>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</si>
  <si>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</si>
  <si>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</si>
  <si>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</si>
  <si>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</si>
  <si>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</si>
  <si>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</si>
  <si>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</si>
  <si>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</si>
  <si>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</si>
  <si>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</si>
  <si>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</si>
  <si>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</si>
  <si>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</si>
  <si>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</si>
  <si>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</si>
  <si>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</si>
  <si>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</si>
  <si>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</si>
  <si>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</si>
  <si>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</si>
  <si>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</si>
  <si>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</si>
  <si>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</si>
  <si>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</si>
  <si>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</si>
  <si>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</si>
  <si>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</si>
  <si>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</si>
  <si>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Head</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</si>
  <si>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</si>
  <si>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</si>
  <si>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</si>
  <si>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</si>
  <si>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</si>
  <si>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</si>
  <si>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</si>
  <si>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</si>
  <si>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</si>
  <si>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</si>
  <si>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</si>
  <si>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</si>
  <si>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</si>
  <si>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</si>
  <si>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</si>
  <si>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</si>
  <si>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</si>
  <si>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Month</t>
  </si>
  <si>
    <t>kg/head/day</t>
  </si>
  <si>
    <t>t CH4</t>
  </si>
  <si>
    <t>Irrigation type i</t>
  </si>
  <si>
    <t>t CO2e</t>
  </si>
  <si>
    <t>EFPRP</t>
  </si>
  <si>
    <t>GHG emissions method 1</t>
  </si>
  <si>
    <t>GHG emissions method 2</t>
  </si>
  <si>
    <t>CO2-e emissions method 1</t>
  </si>
  <si>
    <t>CO2-e emissions method 2</t>
  </si>
  <si>
    <t>Season</t>
  </si>
  <si>
    <t>Crop</t>
  </si>
  <si>
    <t>Input -Swine</t>
  </si>
  <si>
    <t>Constants - Swine</t>
  </si>
  <si>
    <t>Boars</t>
  </si>
  <si>
    <t>Sows</t>
  </si>
  <si>
    <t>Gilts</t>
  </si>
  <si>
    <t>Class</t>
  </si>
  <si>
    <t>VSj</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</si>
  <si>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</si>
  <si>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</si>
  <si>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</si>
  <si>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</si>
  <si>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</si>
  <si>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</si>
  <si>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</si>
  <si>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</si>
  <si>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</si>
  <si>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Table_D_j</t>
  </si>
  <si>
    <t>Duration of stay of each class of swine</t>
  </si>
  <si>
    <t>Table_N_j</t>
  </si>
  <si>
    <t>Number of head for each swine class</t>
  </si>
  <si>
    <t>ECH4</t>
  </si>
  <si>
    <t>Method 1 default values (Do not edit)</t>
  </si>
  <si>
    <t>Method 2 custom values (Edit if known)</t>
  </si>
  <si>
    <t>Others</t>
  </si>
  <si>
    <t>NWj</t>
  </si>
  <si>
    <t>NWj Daily</t>
  </si>
  <si>
    <t>Ij</t>
  </si>
  <si>
    <t>MMSm</t>
  </si>
  <si>
    <t>FracGASMmT</t>
  </si>
  <si>
    <t>NIR reference</t>
  </si>
  <si>
    <t>EFmT</t>
  </si>
  <si>
    <t>Swine crop or pasture production systems</t>
  </si>
  <si>
    <t>Class name</t>
  </si>
  <si>
    <t>Pasture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</si>
  <si>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</si>
  <si>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</si>
  <si>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</si>
  <si>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</si>
  <si>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</si>
  <si>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</si>
  <si>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</si>
  <si>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</si>
  <si>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</si>
  <si>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</si>
  <si>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</si>
  <si>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</si>
  <si>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</si>
  <si>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</si>
  <si>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</si>
  <si>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M1_Table_I_j</t>
  </si>
  <si>
    <t>Feed intake (Method 1)</t>
  </si>
  <si>
    <t>M1_Table_M_j</t>
  </si>
  <si>
    <t>Daily enteric methane production (Method 1)</t>
  </si>
  <si>
    <t>3.5.1.1-2 Enteric methane</t>
  </si>
  <si>
    <t>M1_Table_E_enteric</t>
  </si>
  <si>
    <t>Methane emissions from enteric fermentation (Method 1)</t>
  </si>
  <si>
    <r>
      <t>E</t>
    </r>
    <r>
      <rPr>
        <b/>
        <vertAlign val="subscript"/>
        <sz val="12"/>
        <color theme="1" tint="0.24994659260841701"/>
        <rFont val="Times New Roman"/>
        <family val="1"/>
      </rPr>
      <t>CO2e</t>
    </r>
  </si>
  <si>
    <t>M2_Table_E_enteric</t>
  </si>
  <si>
    <t>Methane emissions from enteric fermentation (Method 2)</t>
  </si>
  <si>
    <t>3.5 Enteric Methane: Swine: Results</t>
  </si>
  <si>
    <t>3.5 Enteric Methane: Swine: Overview</t>
  </si>
  <si>
    <t>💡 Below is a diagram that maps the equations used to calculate emissions, and how they interact with each other.</t>
  </si>
  <si>
    <t xml:space="preserve">    Click on a box to go to the corresponding calculation.</t>
  </si>
  <si>
    <t>Livestock type j</t>
  </si>
  <si>
    <t>Average liveweight (kg)</t>
  </si>
  <si>
    <t>Climate Zone</t>
  </si>
  <si>
    <t>EFNi &amp; EFN2Oi</t>
  </si>
  <si>
    <t>M2_Table_I_j</t>
  </si>
  <si>
    <t>Feed intake (Method 2)</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</si>
  <si>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</si>
  <si>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</si>
  <si>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</si>
  <si>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</si>
  <si>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</si>
  <si>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</si>
  <si>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</si>
  <si>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</si>
  <si>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</si>
  <si>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</si>
  <si>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</si>
  <si>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</si>
  <si>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</si>
  <si>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</si>
  <si>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</si>
  <si>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</si>
  <si>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</si>
  <si>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</si>
  <si>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</si>
  <si>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</si>
  <si>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</si>
  <si>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</si>
  <si>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</si>
  <si>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</si>
  <si>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</si>
  <si>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</si>
  <si>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</si>
  <si>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</si>
  <si>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</si>
  <si>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</si>
  <si>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</si>
  <si>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</si>
  <si>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</si>
  <si>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</si>
  <si>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</si>
  <si>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</si>
  <si>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</si>
  <si>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</si>
  <si>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</si>
  <si>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</si>
  <si>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</si>
  <si>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</si>
  <si>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</si>
  <si>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</si>
  <si>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</si>
  <si>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</si>
  <si>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</si>
  <si>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</si>
  <si>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</si>
  <si>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Acknowledgements</t>
  </si>
  <si>
    <t>Livestock classes</t>
  </si>
  <si>
    <t>Table_LivestockClasses_Swine</t>
  </si>
  <si>
    <t>Livestock class</t>
  </si>
  <si>
    <t>Constants - Common livestock</t>
  </si>
  <si>
    <t>Feed intake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</si>
</sst>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sz val="14"/>
      <color theme="1" tint="0.34998626667073579"/>
      <name val="Times New Roman"/>
      <family val="1"/>
    </font>
    <font>
      <b/>
      <sz val="12"/>
      <color rgb="FFCC6600"/>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u/>
      <sz val="10"/>
      <color rgb="FF008000"/>
      <name val="Times New Roman"/>
      <family val="2"/>
      <scheme val="minor"/>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1">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60" fillId="0" borderId="0" applyNumberFormat="0" applyFill="0" applyBorder="0" applyAlignment="0" applyProtection="0"/>
    <xf numFmtId="0" fontId="2" fillId="0" borderId="0">
      <alignment horizontal="left" vertical="center" indent="1"/>
    </xf>
    <xf numFmtId="0" fontId="18" fillId="9" borderId="5">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3" fillId="0" borderId="0">
      <alignment horizontal="left" vertical="center" indent="2"/>
    </xf>
    <xf numFmtId="0" fontId="42" fillId="13" borderId="8">
      <alignment horizontal="left" vertical="center"/>
    </xf>
    <xf numFmtId="43" fontId="10" fillId="0" borderId="0" applyFont="0" applyFill="0" applyBorder="0" applyAlignment="0" applyProtection="0"/>
    <xf numFmtId="3" fontId="34" fillId="4" borderId="2">
      <alignment horizontal="center" vertical="center"/>
    </xf>
    <xf numFmtId="168" fontId="2" fillId="0" borderId="2">
      <alignment horizontal="center" vertical="center"/>
    </xf>
    <xf numFmtId="0" fontId="35" fillId="0" borderId="0"/>
    <xf numFmtId="0" fontId="10" fillId="0" borderId="0"/>
    <xf numFmtId="0" fontId="35" fillId="0" borderId="0"/>
    <xf numFmtId="166" fontId="34" fillId="4" borderId="2">
      <alignment horizontal="center" vertical="center"/>
    </xf>
    <xf numFmtId="4" fontId="34" fillId="4" borderId="2">
      <alignment horizontal="center" vertical="center"/>
    </xf>
    <xf numFmtId="0" fontId="50" fillId="4" borderId="0">
      <alignment horizontal="left" vertical="center"/>
    </xf>
    <xf numFmtId="0" fontId="37" fillId="4" borderId="0" applyNumberFormat="0">
      <alignment horizontal="center" vertical="center"/>
    </xf>
    <xf numFmtId="165" fontId="34" fillId="4" borderId="2">
      <alignment horizontal="center" vertical="center"/>
    </xf>
    <xf numFmtId="0" fontId="33" fillId="4" borderId="0">
      <alignment horizontal="left" vertical="center"/>
    </xf>
    <xf numFmtId="169" fontId="34" fillId="4" borderId="2">
      <alignment horizontal="center" vertical="center"/>
    </xf>
    <xf numFmtId="0" fontId="34"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5" fillId="4" borderId="0">
      <alignment horizontal="left" vertical="center"/>
    </xf>
    <xf numFmtId="0" fontId="46" fillId="4" borderId="0">
      <alignment horizontal="left" vertical="center"/>
    </xf>
    <xf numFmtId="0" fontId="51" fillId="4" borderId="0">
      <alignment horizontal="left" vertical="center"/>
    </xf>
    <xf numFmtId="0" fontId="44" fillId="11" borderId="0">
      <alignment horizontal="center" vertical="center"/>
    </xf>
    <xf numFmtId="0" fontId="21" fillId="11" borderId="0">
      <alignment horizontal="left" vertical="center" indent="1"/>
    </xf>
    <xf numFmtId="0" fontId="57" fillId="15" borderId="2">
      <alignment horizontal="center" vertical="center"/>
    </xf>
    <xf numFmtId="0" fontId="58" fillId="16" borderId="2">
      <alignment horizontal="center" vertical="center"/>
    </xf>
    <xf numFmtId="0" fontId="60" fillId="0" borderId="0" applyNumberFormat="0" applyFill="0" applyBorder="0" applyAlignment="0" applyProtection="0"/>
    <xf numFmtId="0" fontId="59" fillId="4" borderId="2">
      <alignment horizontal="left" vertical="center"/>
    </xf>
    <xf numFmtId="0" fontId="34" fillId="4" borderId="2">
      <alignment horizontal="left" vertical="center"/>
    </xf>
    <xf numFmtId="0" fontId="61" fillId="0" borderId="0"/>
  </cellStyleXfs>
  <cellXfs count="122">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pplyFont="1">
      <alignment horizontal="left" vertical="center" indent="1"/>
    </xf>
    <xf numFmtId="0" fontId="20" fillId="9" borderId="5" xfId="36" applyFont="1">
      <alignment horizontal="left" vertical="center" indent="1"/>
    </xf>
    <xf numFmtId="0" fontId="0" fillId="4" borderId="0" xfId="0" applyFill="1"/>
    <xf numFmtId="2" fontId="31"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0" fillId="4" borderId="0" xfId="0" applyFont="1" applyFill="1"/>
    <xf numFmtId="2" fontId="31" fillId="4" borderId="0" xfId="0" applyNumberFormat="1" applyFont="1" applyFill="1"/>
    <xf numFmtId="0" fontId="6" fillId="4" borderId="0" xfId="12" applyAlignment="1">
      <alignment horizontal="left" indent="1"/>
    </xf>
    <xf numFmtId="0" fontId="31" fillId="4" borderId="1" xfId="0" applyFont="1" applyFill="1" applyBorder="1"/>
    <xf numFmtId="0" fontId="38" fillId="4" borderId="0" xfId="8" applyAlignment="1">
      <alignment horizontal="right" vertical="center"/>
    </xf>
    <xf numFmtId="0" fontId="2" fillId="0" borderId="2" xfId="15">
      <alignment horizontal="center" vertical="center"/>
    </xf>
    <xf numFmtId="0" fontId="28" fillId="4" borderId="0" xfId="7" applyFont="1" applyAlignment="1">
      <alignment horizontal="center" vertical="center"/>
    </xf>
    <xf numFmtId="166" fontId="28"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8" fillId="4" borderId="1" xfId="8" applyBorder="1">
      <alignment horizontal="left" vertical="center"/>
    </xf>
    <xf numFmtId="4" fontId="25" fillId="0" borderId="0" xfId="18" applyFont="1" applyBorder="1">
      <alignment horizontal="center" vertical="center"/>
    </xf>
    <xf numFmtId="0" fontId="24" fillId="0" borderId="0" xfId="0" applyFont="1" applyAlignment="1" applyProtection="1">
      <alignment horizontal="center" vertical="center"/>
      <protection locked="0"/>
    </xf>
    <xf numFmtId="0" fontId="25" fillId="0" borderId="0" xfId="0" applyFont="1"/>
    <xf numFmtId="0" fontId="5" fillId="2" borderId="0" xfId="9">
      <alignment horizontal="center" vertical="center"/>
    </xf>
    <xf numFmtId="0" fontId="34" fillId="4" borderId="2" xfId="55">
      <alignment horizontal="center" vertical="center"/>
    </xf>
    <xf numFmtId="0" fontId="39" fillId="4" borderId="0" xfId="8" applyFont="1">
      <alignment horizontal="left" vertical="center"/>
    </xf>
    <xf numFmtId="0" fontId="6" fillId="4" borderId="0" xfId="56">
      <alignment horizontal="left" vertical="center"/>
    </xf>
    <xf numFmtId="0" fontId="40" fillId="4" borderId="0" xfId="57">
      <alignment horizontal="left" vertical="center"/>
    </xf>
    <xf numFmtId="0" fontId="10" fillId="0" borderId="0" xfId="58"/>
    <xf numFmtId="0" fontId="34" fillId="4" borderId="2" xfId="55" applyAlignment="1">
      <alignment horizontal="left" vertical="center"/>
    </xf>
    <xf numFmtId="0" fontId="34" fillId="4" borderId="7" xfId="55" applyBorder="1" applyAlignment="1">
      <alignment horizontal="left" vertical="center"/>
    </xf>
    <xf numFmtId="0" fontId="34" fillId="4" borderId="6" xfId="55" applyBorder="1" applyAlignment="1">
      <alignment horizontal="left" vertical="center"/>
    </xf>
    <xf numFmtId="0" fontId="0" fillId="4" borderId="0" xfId="7" applyFont="1">
      <alignment horizontal="left" vertical="center"/>
    </xf>
    <xf numFmtId="4" fontId="25" fillId="4" borderId="0" xfId="18" applyFont="1" applyFill="1" applyBorder="1">
      <alignment horizontal="center" vertical="center"/>
    </xf>
    <xf numFmtId="9" fontId="25"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3" fillId="4" borderId="3" xfId="7" applyBorder="1">
      <alignment horizontal="left" vertical="center"/>
    </xf>
    <xf numFmtId="166" fontId="34" fillId="4" borderId="2" xfId="43" applyNumberFormat="1">
      <alignment horizontal="center" vertical="center"/>
    </xf>
    <xf numFmtId="0" fontId="25" fillId="4" borderId="0" xfId="8" applyFont="1" applyAlignment="1">
      <alignment horizontal="center" vertical="center"/>
    </xf>
    <xf numFmtId="166" fontId="25" fillId="4" borderId="0" xfId="8" applyNumberFormat="1" applyFont="1" applyAlignment="1">
      <alignment horizontal="center" vertical="center"/>
    </xf>
    <xf numFmtId="0" fontId="25" fillId="4" borderId="0" xfId="12" applyFont="1" applyAlignment="1">
      <alignment horizontal="center" vertical="center"/>
    </xf>
    <xf numFmtId="0" fontId="26" fillId="4" borderId="0" xfId="0" applyFont="1" applyFill="1" applyAlignment="1">
      <alignment horizontal="center" vertical="center"/>
    </xf>
    <xf numFmtId="0" fontId="26" fillId="4" borderId="0" xfId="0" applyFont="1" applyFill="1"/>
    <xf numFmtId="0" fontId="25" fillId="4" borderId="0" xfId="0" applyFont="1" applyFill="1"/>
    <xf numFmtId="0" fontId="27" fillId="4" borderId="0" xfId="7" applyFont="1" applyAlignment="1">
      <alignment horizontal="center" vertical="center"/>
    </xf>
    <xf numFmtId="0" fontId="28" fillId="4" borderId="0" xfId="0" applyFont="1" applyFill="1" applyAlignment="1">
      <alignment horizontal="center" vertical="center"/>
    </xf>
    <xf numFmtId="0" fontId="29" fillId="4" borderId="0" xfId="0" applyFont="1" applyFill="1" applyAlignment="1">
      <alignment horizontal="center" vertical="center"/>
    </xf>
    <xf numFmtId="0" fontId="29" fillId="4" borderId="0" xfId="0" applyFont="1" applyFill="1" applyAlignment="1">
      <alignment horizontal="left" vertical="center"/>
    </xf>
    <xf numFmtId="14" fontId="3" fillId="4" borderId="0" xfId="7" applyNumberFormat="1">
      <alignment horizontal="left" vertical="center"/>
    </xf>
    <xf numFmtId="0" fontId="60"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2" fillId="4" borderId="0" xfId="0" applyFont="1" applyFill="1"/>
    <xf numFmtId="0" fontId="42" fillId="13" borderId="10" xfId="41" applyBorder="1">
      <alignment horizontal="left" vertical="center"/>
    </xf>
    <xf numFmtId="0" fontId="42" fillId="13" borderId="12" xfId="41" applyBorder="1">
      <alignment horizontal="left" vertical="center"/>
    </xf>
    <xf numFmtId="0" fontId="42" fillId="13" borderId="14" xfId="41" applyBorder="1">
      <alignment horizontal="left" vertical="center"/>
    </xf>
    <xf numFmtId="0" fontId="42" fillId="13" borderId="13" xfId="41" applyBorder="1">
      <alignment horizontal="left" vertical="center"/>
    </xf>
    <xf numFmtId="0" fontId="42" fillId="13" borderId="15" xfId="41" applyBorder="1">
      <alignment horizontal="left" vertical="center"/>
    </xf>
    <xf numFmtId="0" fontId="42" fillId="13" borderId="17" xfId="41" applyBorder="1">
      <alignment horizontal="left" vertical="center"/>
    </xf>
    <xf numFmtId="0" fontId="42" fillId="13" borderId="16" xfId="41" applyBorder="1">
      <alignment horizontal="left" vertical="center"/>
    </xf>
    <xf numFmtId="0" fontId="42" fillId="13" borderId="18" xfId="41" applyBorder="1">
      <alignment horizontal="left" vertical="center"/>
    </xf>
    <xf numFmtId="0" fontId="47" fillId="4" borderId="1" xfId="8" applyFont="1" applyBorder="1">
      <alignment horizontal="left" vertical="center"/>
    </xf>
    <xf numFmtId="0" fontId="48" fillId="4" borderId="1" xfId="8" applyFont="1" applyBorder="1">
      <alignment horizontal="left" vertical="center"/>
    </xf>
    <xf numFmtId="0" fontId="49" fillId="4" borderId="1" xfId="56" applyFont="1" applyBorder="1">
      <alignment horizontal="left" vertical="center"/>
    </xf>
    <xf numFmtId="0" fontId="34" fillId="4" borderId="19" xfId="55" applyBorder="1">
      <alignment horizontal="center" vertical="center"/>
    </xf>
    <xf numFmtId="0" fontId="6" fillId="4" borderId="1" xfId="56" applyBorder="1">
      <alignment horizontal="left" vertical="center"/>
    </xf>
    <xf numFmtId="0" fontId="51" fillId="4" borderId="0" xfId="62">
      <alignment horizontal="left" vertical="center"/>
    </xf>
    <xf numFmtId="0" fontId="38" fillId="14" borderId="0" xfId="8" applyFill="1">
      <alignment horizontal="left" vertical="center"/>
    </xf>
    <xf numFmtId="9" fontId="8" fillId="4" borderId="0" xfId="11">
      <alignment horizontal="center" vertical="center"/>
    </xf>
    <xf numFmtId="164" fontId="8" fillId="4" borderId="0" xfId="10">
      <alignment horizontal="center" vertical="center"/>
    </xf>
    <xf numFmtId="0" fontId="39" fillId="4" borderId="1" xfId="8" applyFont="1" applyBorder="1">
      <alignment horizontal="left" vertical="center"/>
    </xf>
    <xf numFmtId="2" fontId="31" fillId="4" borderId="1" xfId="0" applyNumberFormat="1" applyFont="1" applyFill="1" applyBorder="1" applyAlignment="1">
      <alignment horizontal="center"/>
    </xf>
    <xf numFmtId="0" fontId="44" fillId="11" borderId="0" xfId="63">
      <alignment horizontal="center" vertical="center"/>
    </xf>
    <xf numFmtId="0" fontId="53" fillId="0" borderId="0" xfId="2" applyFont="1"/>
    <xf numFmtId="0" fontId="54"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55" fillId="4" borderId="0" xfId="8" applyFont="1">
      <alignment horizontal="left" vertical="center"/>
    </xf>
    <xf numFmtId="0" fontId="56" fillId="4" borderId="0" xfId="8" applyFont="1">
      <alignment horizontal="left" vertical="center"/>
    </xf>
    <xf numFmtId="3" fontId="34" fillId="4" borderId="2" xfId="55" applyNumberFormat="1">
      <alignment horizontal="center" vertical="center"/>
    </xf>
    <xf numFmtId="0" fontId="42" fillId="13" borderId="9" xfId="41" applyBorder="1">
      <alignment horizontal="left" vertical="center"/>
    </xf>
    <xf numFmtId="170" fontId="8" fillId="4" borderId="0" xfId="10" applyNumberFormat="1">
      <alignment horizontal="center" vertical="center"/>
    </xf>
    <xf numFmtId="0" fontId="57" fillId="15" borderId="2" xfId="65">
      <alignment horizontal="center" vertical="center"/>
    </xf>
    <xf numFmtId="0" fontId="58" fillId="16" borderId="2" xfId="66">
      <alignment horizontal="center" vertical="center"/>
    </xf>
    <xf numFmtId="0" fontId="58" fillId="16" borderId="6" xfId="66" applyBorder="1">
      <alignment horizontal="center" vertical="center"/>
    </xf>
    <xf numFmtId="0" fontId="59" fillId="4" borderId="2" xfId="68">
      <alignment horizontal="left" vertical="center"/>
    </xf>
    <xf numFmtId="0" fontId="34" fillId="4" borderId="2" xfId="69">
      <alignment horizontal="left" vertical="center"/>
    </xf>
    <xf numFmtId="0" fontId="34" fillId="4" borderId="6" xfId="69" applyBorder="1">
      <alignment horizontal="left" vertical="center"/>
    </xf>
    <xf numFmtId="0" fontId="34" fillId="4" borderId="7" xfId="69" applyBorder="1">
      <alignment horizontal="left" vertical="center"/>
    </xf>
    <xf numFmtId="0" fontId="61" fillId="0" borderId="0" xfId="70"/>
    <xf numFmtId="0" fontId="17" fillId="11" borderId="0" xfId="32" applyFill="1">
      <alignment vertical="center"/>
    </xf>
    <xf numFmtId="0" fontId="43" fillId="13" borderId="11" xfId="41" applyFont="1" applyBorder="1">
      <alignment horizontal="left" vertical="center"/>
    </xf>
    <xf numFmtId="0" fontId="62" fillId="0" borderId="0" xfId="33" applyFont="1"/>
    <xf numFmtId="0" fontId="21" fillId="11" borderId="0" xfId="64">
      <alignment horizontal="left" vertical="center" indent="1"/>
    </xf>
    <xf numFmtId="0" fontId="21" fillId="5" borderId="0" xfId="38">
      <alignment horizontal="left" vertical="center" indent="1"/>
    </xf>
    <xf numFmtId="0" fontId="21" fillId="8" borderId="0" xfId="39">
      <alignment horizontal="left" vertical="center" indent="1"/>
    </xf>
    <xf numFmtId="0" fontId="21" fillId="10" borderId="0" xfId="37">
      <alignment horizontal="left" vertical="center" indent="1"/>
    </xf>
    <xf numFmtId="0" fontId="63" fillId="9" borderId="5" xfId="36" applyFont="1">
      <alignment horizontal="left" vertical="center" indent="1"/>
    </xf>
    <xf numFmtId="0" fontId="60" fillId="0" borderId="0" xfId="34"/>
  </cellXfs>
  <cellStyles count="71">
    <cellStyle name="Alert" xfId="62" xr:uid="{34EFE908-8095-4010-8F93-8CFE88055637}"/>
    <cellStyle name="Arguments" xfId="69" xr:uid="{C1CFD741-D6D0-4D12-BFFB-03B1E409900B}"/>
    <cellStyle name="Arguments hyperlink" xfId="68" xr:uid="{55927514-A451-4E3B-899C-07F8AEEDAB8E}"/>
    <cellStyle name="Back to top link" xfId="70" xr:uid="{2A23975D-C542-4CE3-8B06-23C04B0C7B9E}"/>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Followed Hyperlink" xfId="67" builtinId="9" customBuiltin="1"/>
    <cellStyle name="Hyperlink" xfId="34" builtinId="8" customBuiltin="1"/>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6" xr:uid="{4F3E1D36-2125-457B-B28B-DAF403FCF3B5}"/>
    <cellStyle name="Variable type other" xfId="65" xr:uid="{537B7826-A596-42BB-BEEC-7984101BDA99}"/>
  </cellStyles>
  <dxfs count="9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2"/>
      <tableStyleElement type="headerRow" dxfId="91"/>
      <tableStyleElement type="totalRow" dxfId="90"/>
      <tableStyleElement type="firstColumn" dxfId="89"/>
      <tableStyleElement type="firstRowStripe" dxfId="88"/>
      <tableStyleElement type="secondRowStripe" dxfId="87"/>
    </tableStyle>
    <tableStyle name="Equation table" pivot="0" count="6" xr9:uid="{B247698E-E41D-4CCD-AA0A-C14817E9DE65}">
      <tableStyleElement type="wholeTable" dxfId="86"/>
      <tableStyleElement type="headerRow" dxfId="85"/>
      <tableStyleElement type="totalRow" dxfId="84"/>
      <tableStyleElement type="firstColumn" dxfId="83"/>
      <tableStyleElement type="firstRowStripe" dxfId="82"/>
      <tableStyleElement type="secondRowStripe" dxfId="81"/>
    </tableStyle>
    <tableStyle name="Table Style 1" pivot="0" count="0" xr9:uid="{97B370DB-5463-4A31-9160-5A96BD6A559D}"/>
  </tableStyles>
  <colors>
    <mruColors>
      <color rgb="FF0C769E"/>
      <color rgb="FF008000"/>
      <color rgb="FF4F4789"/>
      <color rgb="FFE9F2FB"/>
      <color rgb="FFCC6600"/>
      <color rgb="FFFFCCCC"/>
      <color rgb="FFC44340"/>
      <color rgb="FFC4433F"/>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5.1.1-2 Enteric Methane'!D30"/><Relationship Id="rId1" Type="http://schemas.openxmlformats.org/officeDocument/2006/relationships/hyperlink" Target="#'3.5.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643673</xdr:colOff>
      <xdr:row>7</xdr:row>
      <xdr:rowOff>12661</xdr:rowOff>
    </xdr:from>
    <xdr:ext cx="1928078" cy="505267"/>
    <xdr:sp macro="" textlink="">
      <xdr:nvSpPr>
        <xdr:cNvPr id="6" name="TextBox 5">
          <a:extLst>
            <a:ext uri="{FF2B5EF4-FFF2-40B4-BE49-F238E27FC236}">
              <a16:creationId xmlns:a16="http://schemas.microsoft.com/office/drawing/2014/main" id="{ED7CE626-9A29-4E3D-A8EE-75614BBFC73C}"/>
            </a:ext>
          </a:extLst>
        </xdr:cNvPr>
        <xdr:cNvSpPr txBox="1"/>
      </xdr:nvSpPr>
      <xdr:spPr>
        <a:xfrm>
          <a:off x="3320198" y="1879561"/>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3.5.1.1-2 Enteric Methane</a:t>
          </a:r>
        </a:p>
      </xdr:txBody>
    </xdr:sp>
    <xdr:clientData/>
  </xdr:oneCellAnchor>
  <xdr:twoCellAnchor>
    <xdr:from>
      <xdr:col>3</xdr:col>
      <xdr:colOff>529935</xdr:colOff>
      <xdr:row>9</xdr:row>
      <xdr:rowOff>213880</xdr:rowOff>
    </xdr:from>
    <xdr:to>
      <xdr:col>4</xdr:col>
      <xdr:colOff>1247775</xdr:colOff>
      <xdr:row>12</xdr:row>
      <xdr:rowOff>190930</xdr:rowOff>
    </xdr:to>
    <xdr:sp macro="" textlink="'3.5.1.1-2 Enteric Methane'!D5">
      <xdr:nvSpPr>
        <xdr:cNvPr id="10" name="TextBox 9">
          <a:hlinkClick xmlns:r="http://schemas.openxmlformats.org/officeDocument/2006/relationships" r:id="rId1"/>
          <a:extLst>
            <a:ext uri="{FF2B5EF4-FFF2-40B4-BE49-F238E27FC236}">
              <a16:creationId xmlns:a16="http://schemas.microsoft.com/office/drawing/2014/main" id="{FE22976C-C87A-45B1-8574-71DA36D59D4A}"/>
            </a:ext>
          </a:extLst>
        </xdr:cNvPr>
        <xdr:cNvSpPr txBox="1"/>
      </xdr:nvSpPr>
      <xdr:spPr>
        <a:xfrm>
          <a:off x="3206460" y="2576080"/>
          <a:ext cx="2098965"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2D1E78-07FE-40D4-A334-9D6176506EC8}" type="TxLink">
            <a:rPr lang="en-US" sz="1000" b="0" i="0" u="none" strike="noStrike">
              <a:solidFill>
                <a:srgbClr val="0C769E"/>
              </a:solidFill>
              <a:latin typeface="Times New Roman"/>
              <a:cs typeface="Times New Roman"/>
            </a:rPr>
            <a:pPr algn="ctr"/>
            <a:t>Total daily production of enteric methane of swine</a:t>
          </a:fld>
          <a:endParaRPr lang="en-AU" sz="1000">
            <a:solidFill>
              <a:srgbClr val="0C769E"/>
            </a:solidFill>
          </a:endParaRPr>
        </a:p>
      </xdr:txBody>
    </xdr:sp>
    <xdr:clientData/>
  </xdr:twoCellAnchor>
  <xdr:twoCellAnchor>
    <xdr:from>
      <xdr:col>3</xdr:col>
      <xdr:colOff>539460</xdr:colOff>
      <xdr:row>15</xdr:row>
      <xdr:rowOff>128155</xdr:rowOff>
    </xdr:from>
    <xdr:to>
      <xdr:col>4</xdr:col>
      <xdr:colOff>1257300</xdr:colOff>
      <xdr:row>18</xdr:row>
      <xdr:rowOff>105205</xdr:rowOff>
    </xdr:to>
    <xdr:sp macro="" textlink="'3.5.1.1-2 Enteric Methane'!D30">
      <xdr:nvSpPr>
        <xdr:cNvPr id="26" name="TextBox 25">
          <a:hlinkClick xmlns:r="http://schemas.openxmlformats.org/officeDocument/2006/relationships" r:id="rId2"/>
          <a:extLst>
            <a:ext uri="{FF2B5EF4-FFF2-40B4-BE49-F238E27FC236}">
              <a16:creationId xmlns:a16="http://schemas.microsoft.com/office/drawing/2014/main" id="{8AF126F5-4484-4EF9-9E6B-5D7A06B2D99D}"/>
            </a:ext>
          </a:extLst>
        </xdr:cNvPr>
        <xdr:cNvSpPr txBox="1"/>
      </xdr:nvSpPr>
      <xdr:spPr>
        <a:xfrm>
          <a:off x="3215985" y="3976255"/>
          <a:ext cx="2098965"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A32C33-953D-41A4-AD2A-463C6424B8E6}" type="TxLink">
            <a:rPr lang="en-US" sz="1000" b="1" i="0" u="none" strike="noStrike">
              <a:solidFill>
                <a:srgbClr val="0C769E"/>
              </a:solidFill>
              <a:latin typeface="Times New Roman"/>
              <a:cs typeface="Times New Roman"/>
            </a:rPr>
            <a:pPr algn="ctr"/>
            <a:t>Total annual methane production from enteric fermentation in swine</a:t>
          </a:fld>
          <a:endParaRPr lang="en-AU" sz="1000" b="1">
            <a:solidFill>
              <a:srgbClr val="0C769E"/>
            </a:solidFill>
          </a:endParaRPr>
        </a:p>
      </xdr:txBody>
    </xdr:sp>
    <xdr:clientData/>
  </xdr:twoCellAnchor>
  <xdr:twoCellAnchor>
    <xdr:from>
      <xdr:col>4</xdr:col>
      <xdr:colOff>198293</xdr:colOff>
      <xdr:row>12</xdr:row>
      <xdr:rowOff>190929</xdr:rowOff>
    </xdr:from>
    <xdr:to>
      <xdr:col>4</xdr:col>
      <xdr:colOff>207818</xdr:colOff>
      <xdr:row>15</xdr:row>
      <xdr:rowOff>128154</xdr:rowOff>
    </xdr:to>
    <xdr:cxnSp macro="">
      <xdr:nvCxnSpPr>
        <xdr:cNvPr id="28" name="Connector: Curved 27">
          <a:extLst>
            <a:ext uri="{FF2B5EF4-FFF2-40B4-BE49-F238E27FC236}">
              <a16:creationId xmlns:a16="http://schemas.microsoft.com/office/drawing/2014/main" id="{38D32901-2B2F-4601-57AD-A08DCC3067B4}"/>
            </a:ext>
          </a:extLst>
        </xdr:cNvPr>
        <xdr:cNvCxnSpPr>
          <a:stCxn id="10" idx="2"/>
          <a:endCxn id="26" idx="0"/>
        </xdr:cNvCxnSpPr>
      </xdr:nvCxnSpPr>
      <xdr:spPr>
        <a:xfrm rot="16200000" flipH="1">
          <a:off x="3920618" y="3631404"/>
          <a:ext cx="680175" cy="9525"/>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27174</xdr:colOff>
      <xdr:row>7</xdr:row>
      <xdr:rowOff>152400</xdr:rowOff>
    </xdr:from>
    <xdr:ext cx="1397947" cy="32169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1397947" cy="321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×18.6×0.007</m:t>
                        </m:r>
                      </m:num>
                      <m:den>
                        <m:r>
                          <a:rPr lang="en-AU" sz="1100" i="1">
                            <a:latin typeface="Cambria Math" panose="02040503050406030204" pitchFamily="18" charset="0"/>
                          </a:rPr>
                          <m:t>𝐹</m:t>
                        </m:r>
                      </m:den>
                    </m:f>
                  </m:oMath>
                </m:oMathPara>
              </a14:m>
              <a:endParaRPr lang="en-AU" sz="1100"/>
            </a:p>
          </xdr:txBody>
        </xdr:sp>
      </mc:Choice>
      <mc:Fallback xmlns="">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1397947" cy="321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𝑀_𝑗=(𝐼_𝑗×18.6×0.007)/𝐹</a:t>
              </a:r>
              <a:endParaRPr lang="en-AU" sz="1100"/>
            </a:p>
          </xdr:txBody>
        </xdr:sp>
      </mc:Fallback>
    </mc:AlternateContent>
    <xdr:clientData/>
  </xdr:oneCellAnchor>
  <xdr:oneCellAnchor>
    <xdr:from>
      <xdr:col>2</xdr:col>
      <xdr:colOff>304801</xdr:colOff>
      <xdr:row>32</xdr:row>
      <xdr:rowOff>131108</xdr:rowOff>
    </xdr:from>
    <xdr:ext cx="2251899" cy="332079"/>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81B0EB3-F007-409F-FC9E-5DB237E07F0E}"/>
                </a:ext>
              </a:extLst>
            </xdr:cNvPr>
            <xdr:cNvSpPr txBox="1"/>
          </xdr:nvSpPr>
          <xdr:spPr>
            <a:xfrm>
              <a:off x="2669242" y="8154520"/>
              <a:ext cx="225189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1" name="TextBox 10">
              <a:extLst>
                <a:ext uri="{FF2B5EF4-FFF2-40B4-BE49-F238E27FC236}">
                  <a16:creationId xmlns:a16="http://schemas.microsoft.com/office/drawing/2014/main" id="{781B0EB3-F007-409F-FC9E-5DB237E07F0E}"/>
                </a:ext>
              </a:extLst>
            </xdr:cNvPr>
            <xdr:cNvSpPr txBox="1"/>
          </xdr:nvSpPr>
          <xdr:spPr>
            <a:xfrm>
              <a:off x="2669242" y="8154520"/>
              <a:ext cx="225189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𝐸_𝑒𝑛𝑡𝑒𝑟𝑖𝑐=∑10_𝑗▒(𝑁_𝑗×𝑀_𝑗×𝐷_𝑗 ) ×10^(−3)</a:t>
              </a:r>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EEF5DA-4392-40D7-9550-EA401E64C221}"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A1AC17BE-6F0C-4EA3-88D1-F15B8A0AA6A1}" name="Class">
      <calculatedColumnFormula array="1">Common_InputFunctions.Utility_DisplayArrayInTable(SourceData_Swine.SourceData_Swine_VolatileSolids_Data(), Table_SourceData_Swine_VolatileSolids[[#Headers],[Class]], 0)</calculatedColumnFormula>
    </tableColumn>
    <tableColumn id="2" xr3:uid="{539845C7-E401-474C-86C5-B676BBD1B040}" name="VSj" dataDxfId="80"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FD9E79-6224-4B04-B002-84DC46086DAC}"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48C8C81-0F25-4404-945E-CD16BE93BFBF}" name="MMS">
      <calculatedColumnFormula array="1">Common_InputFunctions.Utility_DisplayArrayInTable(SourceData_Swine.SourceData_Swine_MMS_MCFs_Data(),Table_SourceData_Swine_MMSMCF[[#Headers],[MMS]],0)</calculatedColumnFormula>
    </tableColumn>
    <tableColumn id="2" xr3:uid="{CC6F19AB-67BC-413A-9108-447CB795CC02}" name="NSW" dataDxfId="79" dataCellStyle="Content normal">
      <calculatedColumnFormula array="1">Common_InputFunctions.Utility_DisplayArrayInTable(SourceData_Swine.SourceData_Swine_MMS_MCFs_Data(),Table_SourceData_Swine_MMSMCF[[#Headers],[MMS]],0)</calculatedColumnFormula>
    </tableColumn>
    <tableColumn id="3" xr3:uid="{EFE4C41A-233A-4E7D-912F-E949B7110A0A}" name="ACT" dataDxfId="78" dataCellStyle="Content normal">
      <calculatedColumnFormula array="1">Common_InputFunctions.Utility_DisplayArrayInTable(SourceData_Swine.SourceData_Swine_MMS_MCFs_Data(),Table_SourceData_Swine_MMSMCF[[#Headers],[MMS]],0)</calculatedColumnFormula>
    </tableColumn>
    <tableColumn id="4" xr3:uid="{90D72B45-949A-49D4-8B76-EF78C1A193C9}" name="QLD" dataDxfId="77" dataCellStyle="Content normal">
      <calculatedColumnFormula array="1">Common_InputFunctions.Utility_DisplayArrayInTable(SourceData_Swine.SourceData_Swine_MMS_MCFs_Data(),Table_SourceData_Swine_MMSMCF[[#Headers],[MMS]],0)</calculatedColumnFormula>
    </tableColumn>
    <tableColumn id="5" xr3:uid="{D7D725B2-0CF9-4EB2-A5C1-09EDA961537A}" name="NT" dataDxfId="76" dataCellStyle="Content normal">
      <calculatedColumnFormula array="1">Common_InputFunctions.Utility_DisplayArrayInTable(SourceData_Swine.SourceData_Swine_MMS_MCFs_Data(),Table_SourceData_Swine_MMSMCF[[#Headers],[MMS]],0)</calculatedColumnFormula>
    </tableColumn>
    <tableColumn id="6" xr3:uid="{2934DF60-275E-438D-A730-DD780A8931E8}" name="SA" dataDxfId="75" dataCellStyle="Content normal">
      <calculatedColumnFormula array="1">Common_InputFunctions.Utility_DisplayArrayInTable(SourceData_Swine.SourceData_Swine_MMS_MCFs_Data(),Table_SourceData_Swine_MMSMCF[[#Headers],[MMS]],0)</calculatedColumnFormula>
    </tableColumn>
    <tableColumn id="7" xr3:uid="{29BE3DB6-3057-4DB9-9C8B-816C15103256}" name="TAS" dataDxfId="74" dataCellStyle="Content normal">
      <calculatedColumnFormula array="1">Common_InputFunctions.Utility_DisplayArrayInTable(SourceData_Swine.SourceData_Swine_MMS_MCFs_Data(),Table_SourceData_Swine_MMSMCF[[#Headers],[MMS]],0)</calculatedColumnFormula>
    </tableColumn>
    <tableColumn id="8" xr3:uid="{FF50759B-240C-4451-AB1C-3143673818F2}" name="VIC" dataDxfId="73" dataCellStyle="Content normal">
      <calculatedColumnFormula array="1">Common_InputFunctions.Utility_DisplayArrayInTable(SourceData_Swine.SourceData_Swine_MMS_MCFs_Data(),Table_SourceData_Swine_MMSMCF[[#Headers],[MMS]],0)</calculatedColumnFormula>
    </tableColumn>
    <tableColumn id="9" xr3:uid="{F164F2B6-4BA2-43CA-8A29-E52D5447FFC0}" name="WA" dataDxfId="72" dataCellStyle="Content normal">
      <calculatedColumnFormula array="1">Common_InputFunctions.Utility_DisplayArrayInTable(SourceData_Swine.SourceData_Swine_MMS_MCFs_Data(),Table_SourceData_Swine_MMSMCF[[#Headers],[MMS]],0)</calculatedColumnFormula>
    </tableColumn>
    <tableColumn id="10" xr3:uid="{F171BCD0-98D2-4E5E-AC27-147712A91756}" name="NIR definition" dataDxfId="71"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2F7033B-606B-4A24-9223-A30737FDC1FE}" name="Table_SourceData_SwineMMS" displayName="Table_SourceData_SwineMMS" ref="D40:E47" totalsRowShown="0">
  <autoFilter ref="D40:E47" xr:uid="{42F7033B-606B-4A24-9223-A30737FDC1FE}">
    <filterColumn colId="0" hiddenButton="1"/>
    <filterColumn colId="1" hiddenButton="1"/>
  </autoFilter>
  <tableColumns count="2">
    <tableColumn id="1" xr3:uid="{EE2AFE6D-8BE2-4C1D-92EA-668A71924A96}" name="MMS"/>
    <tableColumn id="2" xr3:uid="{58174C83-0911-44A2-9C27-90139AD99654}" name="Symbol and MMS"/>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79C074C-6E98-47B5-B4E5-F8A1F12104F2}" name="Table_SourceData_SwineVSL" displayName="Table_SourceData_SwineVSL" ref="D53:E60" totalsRowShown="0">
  <autoFilter ref="D53:E60" xr:uid="{079C074C-6E98-47B5-B4E5-F8A1F12104F2}">
    <filterColumn colId="0" hiddenButton="1"/>
    <filterColumn colId="1" hiddenButton="1"/>
  </autoFilter>
  <tableColumns count="2">
    <tableColumn id="1" xr3:uid="{76B78063-3D59-41B8-AAF7-BECA81797EB1}" name="MMS"/>
    <tableColumn id="2" xr3:uid="{80304E2C-AE1E-4612-8DE0-4A55D1D32766}" name="VSL"/>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1229DD-CBF4-4099-8199-8A23112B275F}"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C0D13436-3E27-4F37-9CCA-2D00D7C01FD4}" name="MMS"/>
    <tableColumn id="2" xr3:uid="{418916E8-5946-4F0D-8939-8D73423F7FC0}" name="Symbol and MMS"/>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63E0626-9932-4FCA-A861-C95F26E527B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1C3E7665-A94B-47E1-AED9-2A651F0F5EBC}" name="MMS"/>
    <tableColumn id="2" xr3:uid="{DB6F1473-C896-4813-B84D-C2E7CFF76FAF}" name="Symbol and MMS"/>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6BE3FFD-EB90-45EB-8756-16A72E0C6869}" name="Table_SourceData_Swine_ProductionSystems" displayName="Table_SourceData_Swine_ProductionSystems" ref="G53:G56" totalsRowShown="0">
  <autoFilter ref="G53:G56" xr:uid="{A6BE3FFD-EB90-45EB-8756-16A72E0C6869}">
    <filterColumn colId="0" hiddenButton="1"/>
  </autoFilter>
  <tableColumns count="1">
    <tableColumn id="1" xr3:uid="{6D0FC1C5-CBBC-40AA-BD0A-8ED9E6F795A5}"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1D86DCB-D80D-4593-96F3-A897FC93073F}" name="Table_SourceData_Swine_NitrogenInWaste" displayName="Table_SourceData_Swine_NitrogenInWaste" ref="D89:G93" totalsRowShown="0" dataDxfId="70" dataCellStyle="Content normal">
  <autoFilter ref="D89:G93" xr:uid="{61D86DCB-D80D-4593-96F3-A897FC93073F}">
    <filterColumn colId="0" hiddenButton="1"/>
    <filterColumn colId="1" hiddenButton="1"/>
    <filterColumn colId="2" hiddenButton="1"/>
    <filterColumn colId="3" hiddenButton="1"/>
  </autoFilter>
  <tableColumns count="4">
    <tableColumn id="1" xr3:uid="{1C4094D2-E798-4EA4-8FBC-50FBA0E527D4}" name="Class" dataDxfId="69" dataCellStyle="Content normal">
      <calculatedColumnFormula array="1">Common_InputFunctions.Utility_DisplayArrayInTable(SourceData_Swine.SourceData_Swine_NitrogenInWaste_Data(), Table_SourceData_Swine_NitrogenInWaste[[#Headers],[Class]], 0)</calculatedColumnFormula>
    </tableColumn>
    <tableColumn id="2" xr3:uid="{0BD1910A-3F15-4C45-9A95-D2ADDB197E82}" name="NWj" dataDxfId="68" dataCellStyle="Content normal">
      <calculatedColumnFormula array="1">Common_InputFunctions.Utility_DisplayArrayInTable(SourceData_Swine.SourceData_Swine_NitrogenInWaste_Data(), Table_SourceData_Swine_NitrogenInWaste[[#Headers],[Class]], 0)</calculatedColumnFormula>
    </tableColumn>
    <tableColumn id="3" xr3:uid="{06D949C0-1431-4E8B-9FED-E08C8D4D7E61}" name="NWj Daily" dataDxfId="67" dataCellStyle="Content normal">
      <calculatedColumnFormula array="1">Common_InputFunctions.Utility_DisplayArrayInTable(SourceData_Swine.SourceData_Swine_NitrogenInWaste_Data(), Table_SourceData_Swine_NitrogenInWaste[[#Headers],[Class]], 0)</calculatedColumnFormula>
    </tableColumn>
    <tableColumn id="4" xr3:uid="{5C9C6F5B-830D-4A53-BEF6-FDE389E9F8CC}" name="Class name" dataDxfId="66"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34928EB-73E5-43B2-830B-089F30DA4EF0}" name="Table_SourceData_Swine_FeedIntake" displayName="Table_SourceData_Swine_FeedIntake" ref="D78:E82" totalsRowShown="0" dataDxfId="65" dataCellStyle="Content normal">
  <autoFilter ref="D78:E82" xr:uid="{E34928EB-73E5-43B2-830B-089F30DA4EF0}">
    <filterColumn colId="0" hiddenButton="1"/>
    <filterColumn colId="1" hiddenButton="1"/>
  </autoFilter>
  <tableColumns count="2">
    <tableColumn id="1" xr3:uid="{CAC8EB28-568F-4E9F-8E36-EBDFF74A58D3}" name="Class" dataDxfId="64" dataCellStyle="Content normal">
      <calculatedColumnFormula array="1">Common_InputFunctions.Utility_DisplayArrayInTable(SourceData_Swine.SourceData_Swine_FeedIntake_Data(), Table_SourceData_Swine_FeedIntake[[#Headers],[Class]], 0)</calculatedColumnFormula>
    </tableColumn>
    <tableColumn id="2" xr3:uid="{2CE09F11-701B-40A5-9E2D-B745C440FD8B}" name="Ij" dataDxfId="63"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1184525-440F-427A-8F5F-F24C51E83194}"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28F331F7-8BDD-4FF1-BD1F-E5995BC2EE5E}" name="MMSm">
      <calculatedColumnFormula array="1">Common_InputFunctions.Utility_DisplayArrayInTable(SourceData_Swine.SourceData_Swine_FractionNVolatilised_Data(), Table_SourceData_Swine_FracGASM[[#Headers],[MMSm]],0)</calculatedColumnFormula>
    </tableColumn>
    <tableColumn id="2" xr3:uid="{3ED5AE40-0DB0-4E45-8562-5381DA5DDC2A}" name="FracGASMmT">
      <calculatedColumnFormula array="1">Common_InputFunctions.Utility_DisplayArrayInTable(SourceData_Swine.SourceData_Swine_FractionNVolatilised_Data(), Table_SourceData_Swine_FracGASM[[#Headers],[MMSm]],0)</calculatedColumnFormula>
    </tableColumn>
    <tableColumn id="3" xr3:uid="{A6C79A8E-6FC5-410F-9934-8E7F14F11977}"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333872B-E46C-4DC7-8E2D-1F3D704794C8}" name="Table_SourceData_Swine_FracGASM28" displayName="Table_SourceData_Swine_FracGASM28" ref="D111:F117" totalsRowShown="0" dataDxfId="62" dataCellStyle="Content normal">
  <autoFilter ref="D111:F117" xr:uid="{1333872B-E46C-4DC7-8E2D-1F3D704794C8}">
    <filterColumn colId="0" hiddenButton="1"/>
    <filterColumn colId="1" hiddenButton="1"/>
    <filterColumn colId="2" hiddenButton="1"/>
  </autoFilter>
  <tableColumns count="3">
    <tableColumn id="1" xr3:uid="{6DD7EF85-D333-4B03-BD58-78D84BEEC9B4}" name="MMSm" dataDxfId="61" dataCellStyle="Content normal">
      <calculatedColumnFormula array="1">Common_InputFunctions.Utility_DisplayArrayInTable(SourceData_Swine.SourceData_Swine_NitrousOxideEFs_Data(), Table_SourceData_Swine_FracGASM28[[#Headers],[MMSm]],0)</calculatedColumnFormula>
    </tableColumn>
    <tableColumn id="2" xr3:uid="{F61F4819-1794-4A31-843F-5F15C9F3C95F}" name="EFmT" dataDxfId="60" dataCellStyle="Content normal">
      <calculatedColumnFormula array="1">Common_InputFunctions.Utility_DisplayArrayInTable(SourceData_Swine.SourceData_Swine_NitrousOxideEFs_Data(), Table_SourceData_Swine_FracGASM28[[#Headers],[MMSm]],0)</calculatedColumnFormula>
    </tableColumn>
    <tableColumn id="3" xr3:uid="{B97B38DF-3EA9-445C-BD0D-2CBB24B993D8}" name="NIR reference" dataDxfId="59"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DC3FD95-46BB-428C-8DAB-6CC542C27F2F}" name="Table_SourceData_Swine_CropProdSystems" displayName="Table_SourceData_Swine_CropProdSystems" ref="D8:D10" totalsRowShown="0">
  <autoFilter ref="D8:D10" xr:uid="{1DC3FD95-46BB-428C-8DAB-6CC542C27F2F}">
    <filterColumn colId="0" hiddenButton="1"/>
  </autoFilter>
  <tableColumns count="1">
    <tableColumn id="1" xr3:uid="{B933B64A-0B6A-4006-B26F-51E5E064CB09}"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A6B756B-6FF9-48AC-BC54-06A8937EFD12}" name="Table_SourceData_Swine_IrrigationMethods" displayName="Table_SourceData_Swine_IrrigationMethods" ref="G8:G13" totalsRowShown="0">
  <autoFilter ref="G8:G13" xr:uid="{AA6B756B-6FF9-48AC-BC54-06A8937EFD12}">
    <filterColumn colId="0" hiddenButton="1"/>
  </autoFilter>
  <tableColumns count="1">
    <tableColumn id="1" xr3:uid="{85D1C6B9-1B3E-46A7-9944-B5E2866ADFB6}"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46FF29-813A-45A1-A28C-69691DBE2363}"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39C5E3A8-688C-4C4E-A337-E32C77B7769F}" name="Livestock type j">
      <calculatedColumnFormula array="1">Common_InputFunctions.Utility_DisplayArrayInTable(SourceData_Swine.SourceData_Swine_AverageLiveweight_Data(),Table_SourceData_Swine_Liveweight[[#Headers],[Livestock type j]],0)</calculatedColumnFormula>
    </tableColumn>
    <tableColumn id="2" xr3:uid="{37866161-8EEC-44E3-8B1D-0210A7AFC89C}" name="Average liveweight (kg)" dataDxfId="58"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B2F077-B50E-496E-9D04-990A6DB886BC}" name="Table_LivestockClasses_Swine" displayName="Table_LivestockClasses_Swine" ref="I8:I12" totalsRowShown="0">
  <autoFilter ref="I8:I12" xr:uid="{E1B2F077-B50E-496E-9D04-990A6DB886BC}"/>
  <tableColumns count="1">
    <tableColumn id="1" xr3:uid="{4D8C32DC-F5B0-420B-901A-933DB9711005}" name="Livestock class"/>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19E590C-B431-4360-99F7-BF15688E9D94}"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390B9421-315C-4071-B251-6653AD9B3154}" name="State/Territory">
      <calculatedColumnFormula array="1">Common_InputFunctions.Utility_DisplayArrayInTable(Common_SourceData.Common_SourceData_AustralianStatesTerritories_Data(),Table_AustralianStates[[#Headers],[State/Territory]],0)</calculatedColumnFormula>
    </tableColumn>
    <tableColumn id="2" xr3:uid="{2504542C-4D55-4706-9716-DA3121349630}" name="Common Name">
      <calculatedColumnFormula array="1">Common_InputFunctions.Utility_DisplayArrayInTable(Common_SourceData.Common_SourceData_AustralianStatesTerritories_Data(),Table_AustralianStates[[#Headers],[State/Territory]],0)</calculatedColumnFormula>
    </tableColumn>
    <tableColumn id="3" xr3:uid="{C892C275-22C5-4623-B2F5-40724BF199E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906B601D-1C01-4B46-893E-AAA2757149D6}" name="Table_WASA4Areas" displayName="Table_WASA4Areas" ref="D20:D30" totalsRowShown="0">
  <autoFilter ref="D20:D30" xr:uid="{5FA81339-C6C8-4D36-BEEA-6C4AEDD9E676}">
    <filterColumn colId="0" hiddenButton="1"/>
  </autoFilter>
  <tableColumns count="1">
    <tableColumn id="1" xr3:uid="{4E86F79A-D8AE-4950-86CD-BBCAC6CED34F}"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833C116-03AC-44ED-AA0D-1B08F41554EF}" name="Table_GWPData" displayName="Table_GWPData" ref="D36:E43" totalsRowShown="0">
  <autoFilter ref="D36:E43" xr:uid="{B8E87A66-3E41-4AD3-925D-01EE21B43D7A}">
    <filterColumn colId="0" hiddenButton="1"/>
    <filterColumn colId="1" hiddenButton="1"/>
  </autoFilter>
  <tableColumns count="2">
    <tableColumn id="1" xr3:uid="{9971CC96-08A0-4D2C-BAAF-81A086410785}" name="Gas">
      <calculatedColumnFormula array="1">Common_InputFunctions.Utility_DisplayArrayInTable(Common_SourceData.Common_SourceData_GWP_Data(), Table_GWPData[[#Headers],[Gas]], 0)</calculatedColumnFormula>
    </tableColumn>
    <tableColumn id="2" xr3:uid="{5F97ABE1-C017-40F7-8FAC-ED022A30C89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C65D20E-8BF4-4C9C-92BE-A45A33A5109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CE28ADE-B395-4FFC-AC8E-7F858231C0B7}" name="Gas">
      <calculatedColumnFormula array="1">Common_InputFunctions.Utility_DisplayArrayInTable(Common_SourceData.Common_SourceData_ConvertGasElementalToMolecular_Data(),Table_GasToMolecularConversionFactor[[#Headers],[Gas]], 0)</calculatedColumnFormula>
    </tableColumn>
    <tableColumn id="5" xr3:uid="{F1C1C35B-D5F8-487A-8A62-9A56FC0E59AA}" name="Conversion factor">
      <calculatedColumnFormula array="1">Common_InputFunctions.Utility_DisplayArrayInTable(Common_SourceData.Common_SourceData_ConvertGasElementalToMolecular_Data(),Table_GasToMolecularConversionFactor[[#Headers],[Gas]], 0)</calculatedColumnFormula>
    </tableColumn>
    <tableColumn id="2" xr3:uid="{715BBC73-79C9-40B4-BEC7-D83F5BCB859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69B8CAAB-C131-48B2-AE92-A74780D7150C}"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08FF164-CE32-442A-89A9-EAC13AF4B09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2B474A35-BC89-4677-813E-B391DB5A2FB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1F77FEF-5DA5-48FC-A4EC-D6565B8E968A}"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533F9369-8EBA-4392-808C-6F82710A50B9}" name="MAT"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3" xr3:uid="{E9080D07-580D-4AFF-9E53-17CD4467293E}" name="MAP"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4" xr3:uid="{34AC0E99-27E9-4F30-8647-90F9BA108B62}" name="Frost days per year"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5" xr3:uid="{C3EBF4E5-C730-497B-A70D-9A7FF2DD3CD5}" name="Elevation"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6" xr3:uid="{BFD65F2C-CCA4-4893-81D0-318F6ADAABE9}" name="MAP:PET"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7" xr3:uid="{BC9C9862-34FA-47DB-9248-2D7316D968C5}" name="Min temp"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8" xr3:uid="{CE4FF499-BA21-4502-9E55-81F8B39B8CF4}" name="Max temp"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9" xr3:uid="{B5278575-0B92-45C9-84B2-A1E944E98820}" name="Min rainfall"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0" xr3:uid="{F9EF9A9E-D211-4A99-A455-772A6AAF236E}" name="Max rainfall"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1" xr3:uid="{862E5ADE-479F-49C7-AD94-EF751714E0A6}" name="Min frost days"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5" xr3:uid="{68486057-8901-4C62-BEF4-640DC77809F7}" name="Max frost days"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2" xr3:uid="{21997671-A002-47F3-834F-FA3ABF166EED}" name="Min elevation"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6" xr3:uid="{5B1B4A66-D90F-4082-809F-58DD0FD24EB8}" name="Max elevation"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3" xr3:uid="{DEB9DEC0-2E93-4A31-ACA3-AB7A4B7B16F7}" name="Min 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7" xr3:uid="{3E216ACC-D918-4D1F-A39C-7415BE8D20B3}" name="Max 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FC4EA38-AEDC-4047-BDE3-850527C07CA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CDBBD1AA-A706-451F-ABDE-23C23829872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F8BE4D4-1976-4E42-8770-483FC880BDB4}" name="Wet or Dry Zone" totalsRowDxfId="4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89320BE-DFD9-4F66-A4C0-CBBED12446B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A59EA3F-D871-4906-9980-C523693CD069}" name="Temperature Zone">
      <calculatedColumnFormula array="1">Common_InputFunctions.Utility_DisplayArrayInTable(Common_SourceData.Common_SourceData_TemperatureZones_Data(),Table_SourceData_TemperatureZones[[#Headers],[Temperature Zone]],0)</calculatedColumnFormula>
    </tableColumn>
    <tableColumn id="2" xr3:uid="{2C02D3D3-18DD-45F5-B2BF-519A118C5DDA}" name="MAT">
      <calculatedColumnFormula array="1">Common_InputFunctions.Utility_DisplayArrayInTable(Common_SourceData.Common_SourceData_TemperatureZones_Data(),Table_SourceData_TemperatureZones[[#Headers],[Temperature Zone]],0)</calculatedColumnFormula>
    </tableColumn>
    <tableColumn id="3" xr3:uid="{2AC2F6AC-0B29-4AB6-A234-5A93067699F5}" name="Min MAT">
      <calculatedColumnFormula array="1">Common_InputFunctions.Utility_DisplayArrayInTable(Common_SourceData.Common_SourceData_TemperatureZones_Data(),Table_SourceData_TemperatureZones[[#Headers],[Temperature Zone]],0)</calculatedColumnFormula>
    </tableColumn>
    <tableColumn id="4" xr3:uid="{E16CA744-EF79-47DF-A4C4-1575D50A985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1CA7512-AAB1-4F94-B403-0FE499B7B42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686B8B6-5C24-47B5-89C1-C1AC7046468E}" name="Rainfall Zone">
      <calculatedColumnFormula array="1">Common_InputFunctions.Utility_DisplayArrayInTable(Common_SourceData.Common_SourceData_RainfallZones_Data(),Table_SourceData_RainfallZones[[#Headers],[Rainfall Zone]],0)</calculatedColumnFormula>
    </tableColumn>
    <tableColumn id="2" xr3:uid="{BC10B790-E6CF-4039-B5BE-D4527C830A98}" name="Annual rainfall">
      <calculatedColumnFormula array="1">Common_InputFunctions.Utility_DisplayArrayInTable(Common_SourceData.Common_SourceData_RainfallZones_Data(),Table_SourceData_RainfallZones[[#Headers],[Rainfall Zone]],0)</calculatedColumnFormula>
    </tableColumn>
    <tableColumn id="3" xr3:uid="{A59164DD-540B-4D75-9CDC-F7CDCF052D16}" name="Min rainfall">
      <calculatedColumnFormula array="1">Common_InputFunctions.Utility_DisplayArrayInTable(Common_SourceData.Common_SourceData_RainfallZones_Data(),Table_SourceData_RainfallZones[[#Headers],[Rainfall Zone]],0)</calculatedColumnFormula>
    </tableColumn>
    <tableColumn id="4" xr3:uid="{6F61B36A-4E51-4CFE-A61E-A88D6569687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5E04D3F-E92D-44EC-BC47-56D9FB15549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CB337F77-BD80-4F2D-9CB9-1253D05FC28B}" name="Leaching Zone">
      <calculatedColumnFormula array="1">Common_InputFunctions.Utility_DisplayArrayInTable(Common_SourceData.Common_SourceData_LeachingZones_Data(), Table_SourceData_LeachingZones[[#Headers],[Leaching Zone]], 0)</calculatedColumnFormula>
    </tableColumn>
    <tableColumn id="2" xr3:uid="{06F35778-3401-4D60-B840-75094C4F08CE}"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F884470-4BC9-45DC-B3BF-58E560F3290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DCD8B53C-2EDF-4646-ADC0-843345BD6873}" name="Data source">
      <calculatedColumnFormula array="1">Common_InputFunctions.Utility_DisplayArrayInTable(Common_SourceData.Common_SourceData_DataScores_Scope3_Data(), Table_SourceData_DataScores_Scope3[[#Headers],[Data source]], 0)</calculatedColumnFormula>
    </tableColumn>
    <tableColumn id="2" xr3:uid="{5239ADE2-ABA1-48E7-A2F6-DCBA6D90C80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0236E93-300B-42C2-8EB7-E26A4C3A462D}" name="Table_SourceData_FracWET" displayName="Table_SourceData_FracWET" ref="D134:E136" totalsRowShown="0">
  <autoFilter ref="D134:E136" xr:uid="{308E99BE-FE1F-47A4-B2CA-97217277C4E9}">
    <filterColumn colId="0" hiddenButton="1"/>
    <filterColumn colId="1" hiddenButton="1"/>
  </autoFilter>
  <tableColumns count="2">
    <tableColumn id="1" xr3:uid="{34AD6582-8E95-4448-A250-240E89847E4A}" name="Is in leaching zone">
      <calculatedColumnFormula array="1">Common_InputFunctions.Utility_DisplayArrayInTable(Common_SourceData.Common_SourceData_FracWET_Data(),Table_SourceData_FracWET[[#Headers],[Is in leaching zone]],0)</calculatedColumnFormula>
    </tableColumn>
    <tableColumn id="2" xr3:uid="{C3940927-214E-4C98-86AE-ADACF192BCA9}" name="FracWET" dataDxfId="4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66D624A-6262-4B79-8B4E-85188CACABE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F4F8A1C-AE42-4EDB-A678-709B40F0E69D}" name="Production system j">
      <calculatedColumnFormula array="1">Common_InputFunctions.Utility_DisplayArrayInTable(Common_SourceData.Common_SourceData_EFN2O_Data(), Table_SourceData_Common_EFN2O[[#Headers],[Production system j]], 0)</calculatedColumnFormula>
    </tableColumn>
    <tableColumn id="2" xr3:uid="{D8B73C61-840C-4A00-A424-AB317B78EA2B}" name="EFN2O">
      <calculatedColumnFormula array="1">Common_InputFunctions.Utility_DisplayArrayInTable(Common_SourceData.Common_SourceData_EFN2O_Data(), Table_SourceData_Common_EFN2O[[#Headers],[Production system j]], 0)</calculatedColumnFormula>
    </tableColumn>
    <tableColumn id="3" xr3:uid="{5C97AB45-4D3E-409F-8A92-8909889E4CA3}" name="Production system only">
      <calculatedColumnFormula array="1">Common_InputFunctions.Utility_DisplayArrayInTable(Common_SourceData.Common_SourceData_EFN2O_Data(), Table_SourceData_Common_EFN2O[[#Headers],[Production system j]], 0)</calculatedColumnFormula>
    </tableColumn>
    <tableColumn id="4" xr3:uid="{FF06AFA2-C8C4-4CB0-B1B7-57DA4B6D9754}" name="Irrigation method">
      <calculatedColumnFormula array="1">Common_InputFunctions.Utility_DisplayArrayInTable(Common_SourceData.Common_SourceData_EFN2O_Data(), Table_SourceData_Common_EFN2O[[#Headers],[Production system j]], 0)</calculatedColumnFormula>
    </tableColumn>
    <tableColumn id="5" xr3:uid="{34A9FAD2-A032-4DAC-B520-E25881B15235}"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7096799-EE45-4764-903D-631ADE9E396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D4CCA43-B7CF-49EB-9E74-60A53ACA8E4D}" name="Irrigation type i">
      <calculatedColumnFormula array="1">Common_InputFunctions.Utility_DisplayArrayInTable(Common_SourceData.Common_SourceData_FracWETIrrigation_Data(), Table_SourceData_FracWETIrrigation[[#Headers],[Irrigation type i]], 0)</calculatedColumnFormula>
    </tableColumn>
    <tableColumn id="2" xr3:uid="{778FEAF3-8D02-41F3-92B0-ED66A58F2CDD}" name="FracWET" dataDxfId="4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34E53EBB-DB8E-477E-9EBC-131BDE06B8A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11AAB06B-7F71-4384-947E-E0AE7E030BA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7A26D427-C856-4145-9747-F08CCA41A6F5}" name="EFPRP" dataDxfId="3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734AA79-CB5F-4195-A7C8-C38C459AB000}"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489322D-5AE6-40C1-BEED-B2944D80F65F}" name="Month">
      <calculatedColumnFormula array="1">Common_InputFunctions.Utility_DisplayArrayInTable(Common_SourceData.Common_SourceData_MonthsToSeasons_Data(), Table_SourceData_Common_MonthToSeason[[#Headers],[Month]], 0)</calculatedColumnFormula>
    </tableColumn>
    <tableColumn id="2" xr3:uid="{1213DFA2-5F54-4F6A-911F-1A1A0FF066AC}" name="Season" dataDxfId="3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E9E1C79-2A76-4C8A-AE27-F309F6C012C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A0B8804-E50D-49C3-BBD5-777B3DD714CB}"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CBF1A988-17D4-4C8D-BB65-F3054B9BA01B}" name="MAT (ºC)"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7DC93EB0-E255-4399-A86A-9372E6369FFB}" name="Anaerobic lagoon"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76C1B0-8CD0-499A-8540-4B7AC2E2E8A7}" name="Digester / covered lagoons"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2C02B10-F291-41FE-9EC4-A8CBFAA750DE}" name="Liquid systems"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8F63C19-A7C5-4FDE-A285-A2C9EA3B1394}" name="Daily spread"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F2A7BD1-FEFB-4A0A-A696-FAC1125D9A62}" name="Composting (passive windrow)"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28CA7996-BCA8-4516-88C7-D142D109F9BE}" name="Solid storage"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F3C7333B-9136-4A1B-A4B4-C2B38790829B}" name="Pit storage"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39AA5B79-C37A-45B6-B1DB-FDEC803C706B}" name="Deep litter"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34E8694A-1411-49D8-B40C-7120CFAED38C}" name="Poultry manure with bedding"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B9D74DB6-031B-4B4F-8C82-B23E803E6B65}" name="Poultry manure without bedding"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F8CC021-5152-48D6-BAE8-74164E9BCBEE}" name="Direct processing"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E638F19-942A-4CD1-8FC4-E477F63A4622}" name="Direct application"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F2FEB88-FFD6-4F0D-B66E-0D753D371417}" name="Pasture range and paddock"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4CD5B05A-0860-45F3-AF07-E9628AFCE640}" name="MAT raw"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5857664-B945-44AE-92EB-650E8DF751CC}"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50356E5B-3129-47A2-8B24-08A73DEA386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304323C-8D8C-483A-947E-6C61A5529433}" name="EFNi &amp; EFN2Oi" dataDxfId="2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9328F4F5-6389-439B-A713-4FF69664D925}"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80EBB5A3-AF38-4828-A77A-5F6DD7E49B3F}" name="Description" dataDxfId="21" dataCellStyle="Content normal"/>
    <tableColumn id="1" xr3:uid="{5C065004-98BF-4E2D-98A7-5F09CC477E38}" name="ID"/>
    <tableColumn id="3" xr3:uid="{FC3B7793-2EF6-4110-A0DB-654BAA6B8A02}" name="Score"/>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AE33C005-3283-4276-9189-7F266A9669D0}"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913979D5-CA13-435B-B6F4-643B288D4B4A}" name="Description"/>
    <tableColumn id="2" xr3:uid="{7B2A908D-D42A-4BE0-AE9A-F492BED3EF39}" name="ID"/>
    <tableColumn id="3" xr3:uid="{A90AFD78-F304-446C-A25D-B38E803CA7B4}" name="Score"/>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A6BABD70-79D6-4461-B03B-663070A4C31E}"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F68E5CC8-A755-450A-984C-BF2C2FADFB99}" name="Description"/>
    <tableColumn id="2" xr3:uid="{562893F4-B9ED-4FC4-90C9-33CD8F8F0AE1}" name="ID"/>
    <tableColumn id="3" xr3:uid="{C6BE3451-A550-4177-99DD-CB6934CD9715}" name="Score"/>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014B341-1916-466B-87AC-85890E9EC0AA}"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1A77FD85-17CD-43F0-B330-AE0FF54FA2DF}" name="Description"/>
    <tableColumn id="2" xr3:uid="{133411F6-5065-402B-9184-8A04FA7A8EC5}" name="ID"/>
    <tableColumn id="3" xr3:uid="{C37633B7-17AF-491A-9E91-50C0DE4D1F12}" name="Score"/>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4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21" Type="http://schemas.openxmlformats.org/officeDocument/2006/relationships/table" Target="../tables/table35.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20" Type="http://schemas.openxmlformats.org/officeDocument/2006/relationships/table" Target="../tables/table34.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19" Type="http://schemas.openxmlformats.org/officeDocument/2006/relationships/table" Target="../tables/table33.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 Id="rId22" Type="http://schemas.openxmlformats.org/officeDocument/2006/relationships/table" Target="../tables/table3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election activeCell="A21" sqref="A21"/>
    </sheetView>
  </sheetViews>
  <sheetFormatPr defaultRowHeight="15" x14ac:dyDescent="0.25"/>
  <sheetData>
    <row r="1" spans="1:1" x14ac:dyDescent="0.25">
      <c r="A1" t="s">
        <v>171</v>
      </c>
    </row>
    <row r="3" spans="1:1" x14ac:dyDescent="0.25">
      <c r="A3" s="121" t="str">
        <f>HYPERLINK("#'Home'!A1", "Home")</f>
        <v>Home</v>
      </c>
    </row>
    <row r="6" spans="1:1" x14ac:dyDescent="0.25">
      <c r="A6" s="120" t="s">
        <v>1</v>
      </c>
    </row>
    <row r="7" spans="1:1" ht="15.75" x14ac:dyDescent="0.25">
      <c r="A7" s="17" t="str">
        <f>HYPERLINK("#'Constants - Common'!A1", "Constants - Common")</f>
        <v>Constants - Common</v>
      </c>
    </row>
    <row r="8" spans="1:1" ht="15.75" x14ac:dyDescent="0.25">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CAE93-B6CA-43A4-8CA6-DF8669432BEE}">
  <sheetPr>
    <tabColor rgb="FF0C769E"/>
  </sheetPr>
  <dimension ref="A1:K48"/>
  <sheetViews>
    <sheetView showGridLines="0"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10" width="20.7109375" style="1" customWidth="1"/>
    <col min="11" max="11" width="4.7109375" style="1" customWidth="1"/>
    <col min="12" max="27" width="20.7109375" customWidth="1"/>
  </cols>
  <sheetData>
    <row r="1" spans="1:11" ht="30" customHeight="1" x14ac:dyDescent="0.35">
      <c r="A1" s="58" t="e" vm="1">
        <v>#VALUE!</v>
      </c>
      <c r="C1" s="115" t="s">
        <v>162</v>
      </c>
      <c r="D1" s="115"/>
      <c r="E1" s="115"/>
      <c r="F1" s="115"/>
      <c r="G1" s="115"/>
      <c r="H1" s="115"/>
      <c r="I1" s="115"/>
      <c r="J1" s="115"/>
      <c r="K1" s="115"/>
    </row>
    <row r="2" spans="1:11" ht="20.100000000000001" customHeight="1" x14ac:dyDescent="0.25">
      <c r="C2"/>
      <c r="D2"/>
      <c r="E2"/>
      <c r="F2"/>
      <c r="G2"/>
      <c r="H2"/>
      <c r="I2"/>
      <c r="J2"/>
      <c r="K2"/>
    </row>
    <row r="3" spans="1:11" ht="20.100000000000001" customHeight="1" x14ac:dyDescent="0.25">
      <c r="A3" s="17" t="str">
        <f>HYPERLINK("#'Home'!A1", "Home")</f>
        <v>Home</v>
      </c>
      <c r="C3" s="113"/>
      <c r="D3" s="113"/>
      <c r="E3" s="113"/>
      <c r="F3" s="113"/>
      <c r="G3" s="113"/>
      <c r="H3" s="113"/>
      <c r="I3" s="113"/>
      <c r="J3" s="113"/>
      <c r="K3" s="113"/>
    </row>
    <row r="4" spans="1:11" ht="20.100000000000001" customHeight="1" x14ac:dyDescent="0.25">
      <c r="A4" s="116" t="str">
        <f>HYPERLINK("#'Overview'!A1", "Overview")</f>
        <v>Overview</v>
      </c>
    </row>
    <row r="5" spans="1:11" ht="20.100000000000001" customHeight="1" x14ac:dyDescent="0.25">
      <c r="A5" s="17" t="str">
        <f>HYPERLINK("#'Results'!A1", "Results")</f>
        <v>Results</v>
      </c>
      <c r="D5" s="103" t="s">
        <v>163</v>
      </c>
      <c r="E5" s="80"/>
      <c r="F5" s="80"/>
      <c r="G5" s="80"/>
      <c r="H5" s="80"/>
      <c r="I5" s="76"/>
    </row>
    <row r="6" spans="1:11" ht="20.100000000000001" customHeight="1" x14ac:dyDescent="0.25">
      <c r="D6" s="114" t="s">
        <v>164</v>
      </c>
      <c r="E6" s="79"/>
      <c r="F6" s="79"/>
      <c r="G6" s="79"/>
      <c r="H6" s="79"/>
      <c r="I6" s="77"/>
    </row>
    <row r="7" spans="1:11" ht="20.100000000000001" customHeight="1" x14ac:dyDescent="0.25"/>
    <row r="8" spans="1:11" ht="20.100000000000001" customHeight="1" x14ac:dyDescent="0.25">
      <c r="A8" s="19" t="s">
        <v>0</v>
      </c>
    </row>
    <row r="9" spans="1:11" ht="20.100000000000001" customHeight="1" x14ac:dyDescent="0.25">
      <c r="A9" s="17" t="str">
        <f>HYPERLINK("#'Input - Site'!A1", "Site")</f>
        <v>Site</v>
      </c>
    </row>
    <row r="10" spans="1:11" ht="20.100000000000001" customHeight="1" x14ac:dyDescent="0.25">
      <c r="A10" s="17" t="str">
        <f>HYPERLINK("#'Input - Swine'!A1", "Swine")</f>
        <v>Swine</v>
      </c>
    </row>
    <row r="11" spans="1:11" ht="20.100000000000001" customHeight="1" x14ac:dyDescent="0.25"/>
    <row r="12" spans="1:11" ht="20.100000000000001" customHeight="1" x14ac:dyDescent="0.25"/>
    <row r="13" spans="1:11" ht="20.100000000000001" customHeight="1" x14ac:dyDescent="0.25">
      <c r="A13" s="18" t="s">
        <v>54</v>
      </c>
    </row>
    <row r="14" spans="1:11" ht="20.100000000000001" customHeight="1" x14ac:dyDescent="0.25">
      <c r="A14" s="17" t="str">
        <f>HYPERLINK("#'3.5.1.1-2 Enteric Methane'!A1", "3.5.1.1-2 Enteric Methane")</f>
        <v>3.5.1.1-2 Enteric Methane</v>
      </c>
    </row>
    <row r="15" spans="1:11" ht="20.100000000000001" customHeight="1" x14ac:dyDescent="0.25"/>
    <row r="16" spans="1:11" ht="20.100000000000001" customHeight="1" x14ac:dyDescent="0.25"/>
    <row r="17" spans="1:1" ht="20.100000000000001" customHeight="1" x14ac:dyDescent="0.25">
      <c r="A17" s="120" t="s">
        <v>1</v>
      </c>
    </row>
    <row r="18" spans="1:1" ht="20.100000000000001" customHeight="1" x14ac:dyDescent="0.25">
      <c r="A18" s="17" t="str">
        <f>HYPERLINK("#'Constants - Swine'!A1", "Constants - Swine")</f>
        <v>Constants - Swine</v>
      </c>
    </row>
    <row r="19" spans="1:1" ht="20.100000000000001" customHeight="1" x14ac:dyDescent="0.25">
      <c r="A19" s="17" t="str">
        <f>HYPERLINK("#'Constants - Common'!A1", "Constants - Common")</f>
        <v>Constants - Common</v>
      </c>
    </row>
    <row r="20" spans="1:1" ht="20.100000000000001" customHeight="1" x14ac:dyDescent="0.25">
      <c r="A20" s="17" t="str">
        <f>HYPERLINK("#'Constants - Common livestock'!A1", "Constants - Common livestock")</f>
        <v>Constants - Common livestock</v>
      </c>
    </row>
    <row r="21" spans="1:1" ht="20.100000000000001" customHeight="1" x14ac:dyDescent="0.25">
      <c r="A21" s="17" t="str">
        <f>HYPERLINK("#'Acknowledgements'!A1", "Acknowledgements")</f>
        <v>Acknowledgements</v>
      </c>
    </row>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zoomScaleNormal="100" workbookViewId="0">
      <selection activeCell="A10" sqref="A10"/>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58" t="e" vm="1">
        <v>#VALUE!</v>
      </c>
      <c r="C1" s="96" t="s">
        <v>161</v>
      </c>
    </row>
    <row r="2" spans="1:11" ht="20.100000000000001" customHeight="1" x14ac:dyDescent="0.25">
      <c r="C2" s="9"/>
    </row>
    <row r="3" spans="1:11" ht="20.100000000000001" customHeight="1" x14ac:dyDescent="0.25">
      <c r="A3" s="17" t="str">
        <f>HYPERLINK("#'Home'!A1", "Home")</f>
        <v>Home</v>
      </c>
      <c r="C3" s="20"/>
      <c r="D3" s="20"/>
      <c r="E3" s="20"/>
      <c r="F3" s="20"/>
      <c r="G3" s="20"/>
      <c r="H3" s="20"/>
      <c r="I3" s="20"/>
      <c r="J3" s="20"/>
      <c r="K3" s="20"/>
    </row>
    <row r="4" spans="1:11" ht="20.100000000000001" customHeight="1" x14ac:dyDescent="0.25">
      <c r="A4" s="17" t="str">
        <f>HYPERLINK("#'Overview'!A1", "Overview")</f>
        <v>Overview</v>
      </c>
      <c r="C4" s="20"/>
      <c r="D4" s="6" t="s">
        <v>2</v>
      </c>
      <c r="E4" s="22"/>
      <c r="F4" s="22"/>
      <c r="G4" s="22"/>
      <c r="H4" s="6"/>
      <c r="I4" s="6"/>
      <c r="J4" s="6"/>
      <c r="K4" s="23"/>
    </row>
    <row r="5" spans="1:11" ht="20.100000000000001" customHeight="1" x14ac:dyDescent="0.3">
      <c r="A5" s="116" t="str">
        <f>HYPERLINK("#'Results'!A1", "Results")</f>
        <v>Results</v>
      </c>
      <c r="C5" s="20"/>
      <c r="D5" s="24"/>
      <c r="E5" s="25"/>
      <c r="F5" s="25"/>
      <c r="G5" s="25"/>
      <c r="H5" s="22"/>
      <c r="I5" s="20"/>
      <c r="J5" s="20"/>
      <c r="K5" s="20"/>
    </row>
    <row r="6" spans="1:11" ht="20.100000000000001" customHeight="1" x14ac:dyDescent="0.25">
      <c r="C6" s="20"/>
      <c r="D6" s="95" t="s">
        <v>75</v>
      </c>
      <c r="E6" s="95" t="s">
        <v>96</v>
      </c>
      <c r="F6" s="95" t="s">
        <v>97</v>
      </c>
      <c r="G6" s="95" t="s">
        <v>88</v>
      </c>
      <c r="H6" s="95" t="s">
        <v>98</v>
      </c>
      <c r="I6" s="95" t="s">
        <v>99</v>
      </c>
      <c r="J6" s="95" t="s">
        <v>89</v>
      </c>
      <c r="K6" s="20"/>
    </row>
    <row r="7" spans="1:11" ht="20.100000000000001" customHeight="1" x14ac:dyDescent="0.25">
      <c r="C7" s="20"/>
      <c r="D7" s="1" t="s">
        <v>155</v>
      </c>
      <c r="E7" s="104">
        <f ca="1">VEERG_3_5_1_1__1_TotalAnnualMethaneFromEntericFermentation_Result_Method1</f>
        <v>0.78573884462151411</v>
      </c>
      <c r="F7" s="104">
        <f ca="1">VEERG_3_5_1_1__1_TotalAnnualMethaneFromEntericFermentation_Result_Method2</f>
        <v>0.78573884462151411</v>
      </c>
      <c r="G7" s="46" t="s">
        <v>92</v>
      </c>
      <c r="H7" s="92">
        <f ca="1">'3.5.1.1-2 Enteric Methane'!E63</f>
        <v>22.000687649402394</v>
      </c>
      <c r="I7" s="92">
        <f ca="1">'3.5.1.1-2 Enteric Methane'!N63</f>
        <v>22.000687649402394</v>
      </c>
      <c r="J7" s="46" t="s">
        <v>94</v>
      </c>
      <c r="K7" s="20"/>
    </row>
    <row r="8" spans="1:11" ht="20.100000000000001" customHeight="1" x14ac:dyDescent="0.3">
      <c r="A8" s="19" t="s">
        <v>0</v>
      </c>
      <c r="C8" s="20"/>
      <c r="D8" s="27" t="s">
        <v>87</v>
      </c>
      <c r="E8" s="21"/>
      <c r="F8" s="21"/>
      <c r="G8" s="27"/>
      <c r="H8" s="94">
        <f ca="1">SUM(H7:H7)</f>
        <v>22.000687649402394</v>
      </c>
      <c r="I8" s="94">
        <f ca="1">SUM(I7:I7)</f>
        <v>22.000687649402394</v>
      </c>
      <c r="J8" s="88" t="s">
        <v>94</v>
      </c>
      <c r="K8" s="20"/>
    </row>
    <row r="9" spans="1:11" ht="20.100000000000001" customHeight="1" x14ac:dyDescent="0.25">
      <c r="A9" s="17" t="str">
        <f>HYPERLINK("#'Input - Site'!A1", "Site")</f>
        <v>Site</v>
      </c>
      <c r="C9" s="20"/>
      <c r="D9" s="1"/>
      <c r="E9" s="1"/>
      <c r="F9" s="1"/>
      <c r="G9" s="1"/>
      <c r="H9" s="1"/>
      <c r="I9" s="1"/>
      <c r="J9" s="1"/>
      <c r="K9" s="20"/>
    </row>
    <row r="10" spans="1:11" ht="20.100000000000001" customHeight="1" x14ac:dyDescent="0.25">
      <c r="A10" s="17" t="str">
        <f>HYPERLINK("#'Input - Swine'!A1", "Swine")</f>
        <v>Swine</v>
      </c>
      <c r="C10" s="20"/>
      <c r="D10" s="1"/>
      <c r="E10" s="1"/>
      <c r="F10" s="1"/>
      <c r="G10" s="1"/>
      <c r="H10" s="1"/>
      <c r="I10" s="1"/>
      <c r="J10" s="1"/>
      <c r="K10" s="20"/>
    </row>
    <row r="11" spans="1:11" ht="20.100000000000001" customHeight="1" x14ac:dyDescent="0.25">
      <c r="C11" s="20"/>
      <c r="D11" s="1"/>
      <c r="E11" s="1"/>
      <c r="F11" s="1"/>
      <c r="G11" s="1"/>
      <c r="H11" s="1"/>
      <c r="I11" s="1"/>
      <c r="J11" s="1"/>
      <c r="K11" s="20"/>
    </row>
    <row r="12" spans="1:11" ht="20.100000000000001" customHeight="1" x14ac:dyDescent="0.25">
      <c r="C12" s="20"/>
      <c r="D12" s="1"/>
      <c r="E12" s="1"/>
      <c r="F12" s="1"/>
      <c r="G12" s="1"/>
      <c r="H12" s="1"/>
      <c r="I12" s="1"/>
      <c r="J12" s="1"/>
      <c r="K12" s="20"/>
    </row>
    <row r="13" spans="1:11" ht="20.100000000000001" customHeight="1" x14ac:dyDescent="0.25">
      <c r="A13" s="18" t="s">
        <v>54</v>
      </c>
      <c r="C13" s="20"/>
      <c r="D13" s="1"/>
      <c r="E13" s="1"/>
      <c r="F13" s="1"/>
      <c r="G13" s="1"/>
      <c r="H13" s="1"/>
      <c r="I13" s="1"/>
      <c r="J13" s="1"/>
      <c r="K13" s="20"/>
    </row>
    <row r="14" spans="1:11" ht="20.100000000000001" customHeight="1" x14ac:dyDescent="0.25">
      <c r="A14" s="17" t="str">
        <f>HYPERLINK("#'3.5.1.1-2 Enteric Methane'!A1", "3.5.1.1-2 Enteric Methane")</f>
        <v>3.5.1.1-2 Enteric Methane</v>
      </c>
      <c r="C14" s="20"/>
      <c r="D14" s="1"/>
      <c r="E14" s="1"/>
      <c r="F14" s="1"/>
      <c r="G14" s="1"/>
      <c r="H14" s="1"/>
      <c r="I14" s="1"/>
      <c r="J14" s="1"/>
      <c r="K14" s="20"/>
    </row>
    <row r="15" spans="1:11" ht="20.100000000000001" customHeight="1" x14ac:dyDescent="0.25">
      <c r="C15" s="20"/>
      <c r="D15" s="1"/>
      <c r="E15" s="1"/>
      <c r="F15" s="1"/>
      <c r="G15" s="1"/>
      <c r="H15" s="1"/>
      <c r="I15" s="1"/>
      <c r="J15" s="1"/>
      <c r="K15" s="20"/>
    </row>
    <row r="16" spans="1:11" ht="20.100000000000001" customHeight="1" x14ac:dyDescent="0.25">
      <c r="C16" s="20"/>
      <c r="D16" s="1"/>
      <c r="E16" s="1"/>
      <c r="F16" s="1"/>
      <c r="G16" s="1"/>
      <c r="H16" s="1"/>
      <c r="I16" s="1"/>
      <c r="J16" s="1"/>
      <c r="K16" s="20"/>
    </row>
    <row r="17" spans="1:11" ht="20.100000000000001" customHeight="1" x14ac:dyDescent="0.25">
      <c r="A17" s="120" t="s">
        <v>1</v>
      </c>
      <c r="C17" s="20"/>
      <c r="D17" s="1"/>
      <c r="E17" s="1"/>
      <c r="F17" s="1"/>
      <c r="G17" s="1"/>
      <c r="H17" s="1"/>
      <c r="I17" s="1"/>
      <c r="J17" s="1"/>
      <c r="K17" s="20"/>
    </row>
    <row r="18" spans="1:11" ht="20.100000000000001" customHeight="1" x14ac:dyDescent="0.25">
      <c r="A18" s="17" t="str">
        <f>HYPERLINK("#'Constants - Swine'!A1", "Constants - Swine")</f>
        <v>Constants - Swine</v>
      </c>
      <c r="C18" s="20"/>
      <c r="D18" s="1"/>
      <c r="E18" s="1"/>
      <c r="F18" s="1"/>
      <c r="G18" s="1"/>
      <c r="H18" s="1"/>
      <c r="I18" s="1"/>
      <c r="J18" s="1"/>
      <c r="K18" s="20"/>
    </row>
    <row r="19" spans="1:11" ht="20.100000000000001" customHeight="1" x14ac:dyDescent="0.25">
      <c r="A19" s="17" t="str">
        <f>HYPERLINK("#'Constants - Common'!A1", "Constants - Common")</f>
        <v>Constants - Common</v>
      </c>
      <c r="C19" s="20"/>
      <c r="D19" s="1"/>
      <c r="E19" s="1"/>
      <c r="F19" s="1"/>
      <c r="G19" s="1"/>
      <c r="H19" s="1"/>
      <c r="I19" s="1"/>
      <c r="J19" s="1"/>
      <c r="K19" s="20"/>
    </row>
    <row r="20" spans="1:11" ht="20.100000000000001" customHeight="1" x14ac:dyDescent="0.25">
      <c r="A20" s="17" t="str">
        <f>HYPERLINK("#'Constants - Common livestock'!A1", "Constants - Common livestock")</f>
        <v>Constants - Common livestock</v>
      </c>
      <c r="C20" s="20"/>
      <c r="D20" s="1"/>
      <c r="E20" s="1"/>
      <c r="F20" s="1"/>
      <c r="G20" s="1"/>
      <c r="H20" s="1"/>
      <c r="I20" s="1"/>
      <c r="J20" s="1"/>
      <c r="K20" s="20"/>
    </row>
    <row r="21" spans="1:11" ht="20.100000000000001" customHeight="1" x14ac:dyDescent="0.3">
      <c r="A21" s="17" t="str">
        <f>HYPERLINK("#'Acknowledgements'!A1", "Acknowledgements")</f>
        <v>Acknowledgements</v>
      </c>
      <c r="C21" s="20"/>
      <c r="D21" s="1"/>
      <c r="E21" s="1"/>
      <c r="F21" s="1"/>
      <c r="G21" s="1"/>
      <c r="H21" s="25"/>
      <c r="I21" s="20"/>
      <c r="J21" s="20"/>
      <c r="K21" s="20"/>
    </row>
    <row r="22" spans="1:11" ht="20.100000000000001" customHeight="1" x14ac:dyDescent="0.3">
      <c r="C22" s="20"/>
      <c r="D22" s="1"/>
      <c r="E22" s="1"/>
      <c r="F22" s="1"/>
      <c r="G22" s="1"/>
      <c r="H22" s="25"/>
      <c r="I22" s="20"/>
      <c r="J22" s="20"/>
      <c r="K22" s="20"/>
    </row>
    <row r="23" spans="1:11" ht="20.100000000000001" customHeight="1" x14ac:dyDescent="0.3">
      <c r="C23" s="20"/>
      <c r="D23" s="1"/>
      <c r="E23" s="1"/>
      <c r="F23" s="1"/>
      <c r="G23" s="1"/>
      <c r="H23" s="25"/>
      <c r="I23" s="20"/>
      <c r="J23" s="20"/>
      <c r="K23" s="20"/>
    </row>
    <row r="24" spans="1:11" ht="20.100000000000001" customHeight="1" x14ac:dyDescent="0.3">
      <c r="C24" s="20"/>
      <c r="D24" s="1"/>
      <c r="E24" s="1"/>
      <c r="F24" s="1"/>
      <c r="G24" s="1"/>
      <c r="H24" s="25"/>
      <c r="I24" s="20"/>
      <c r="J24" s="20"/>
      <c r="K24" s="20"/>
    </row>
    <row r="25" spans="1:11" ht="20.100000000000001" customHeight="1" x14ac:dyDescent="0.3">
      <c r="C25" s="20"/>
      <c r="D25" s="1"/>
      <c r="E25" s="1"/>
      <c r="F25" s="1"/>
      <c r="G25" s="1"/>
      <c r="H25" s="25"/>
      <c r="I25" s="20"/>
      <c r="J25" s="20"/>
      <c r="K25" s="20"/>
    </row>
    <row r="26" spans="1:11" ht="20.100000000000001" customHeight="1" x14ac:dyDescent="0.3">
      <c r="C26" s="20"/>
      <c r="D26" s="1"/>
      <c r="E26" s="1"/>
      <c r="F26" s="1"/>
      <c r="G26" s="1"/>
      <c r="H26" s="25"/>
      <c r="I26" s="20"/>
      <c r="J26" s="20"/>
      <c r="K26" s="20"/>
    </row>
    <row r="27" spans="1:11" ht="20.100000000000001" customHeight="1" x14ac:dyDescent="0.25">
      <c r="C27" s="20"/>
      <c r="D27" s="1"/>
      <c r="E27" s="1"/>
      <c r="F27" s="1"/>
      <c r="G27" s="1"/>
      <c r="H27" s="1"/>
      <c r="I27" s="1"/>
      <c r="J27" s="20"/>
      <c r="K27" s="20"/>
    </row>
    <row r="28" spans="1:11" ht="20.100000000000001" customHeight="1" x14ac:dyDescent="0.25">
      <c r="C28" s="20"/>
      <c r="D28" s="1"/>
      <c r="E28" s="1"/>
      <c r="F28" s="1"/>
      <c r="G28" s="1"/>
      <c r="H28" s="1"/>
      <c r="I28" s="1"/>
      <c r="J28" s="20"/>
      <c r="K28" s="20"/>
    </row>
    <row r="29" spans="1:11" ht="20.100000000000001" customHeight="1" x14ac:dyDescent="0.25">
      <c r="C29" s="20"/>
      <c r="D29" s="1"/>
      <c r="E29" s="1"/>
      <c r="F29" s="1"/>
      <c r="G29" s="1"/>
      <c r="H29" s="1"/>
      <c r="I29" s="1"/>
      <c r="J29" s="20"/>
      <c r="K29" s="20"/>
    </row>
    <row r="30" spans="1:11" ht="20.100000000000001" customHeight="1" x14ac:dyDescent="0.25">
      <c r="C30" s="20"/>
      <c r="D30" s="1"/>
      <c r="E30" s="1"/>
      <c r="F30" s="1"/>
      <c r="G30" s="1"/>
      <c r="H30" s="1"/>
      <c r="I30" s="1"/>
      <c r="J30" s="20"/>
      <c r="K30" s="20"/>
    </row>
    <row r="31" spans="1:11" ht="20.100000000000001" customHeight="1" x14ac:dyDescent="0.25">
      <c r="C31" s="20"/>
      <c r="D31" s="1"/>
      <c r="E31" s="1"/>
      <c r="F31" s="1"/>
      <c r="G31" s="1"/>
      <c r="H31" s="1"/>
      <c r="I31" s="1"/>
      <c r="J31" s="20"/>
      <c r="K31" s="20"/>
    </row>
    <row r="32" spans="1:11" ht="20.100000000000001" customHeight="1" x14ac:dyDescent="0.25">
      <c r="C32" s="20"/>
      <c r="D32" s="1"/>
      <c r="E32" s="1"/>
      <c r="F32" s="1"/>
      <c r="G32" s="1"/>
      <c r="H32" s="1"/>
      <c r="I32" s="1"/>
      <c r="J32" s="20"/>
      <c r="K32" s="20"/>
    </row>
    <row r="33" spans="3:11" ht="20.100000000000001" customHeight="1" x14ac:dyDescent="0.25">
      <c r="C33" s="20"/>
      <c r="D33" s="1"/>
      <c r="E33" s="1"/>
      <c r="F33" s="1"/>
      <c r="G33" s="1"/>
      <c r="H33" s="1"/>
      <c r="I33" s="1"/>
      <c r="J33" s="20"/>
      <c r="K33" s="20"/>
    </row>
    <row r="34" spans="3:11" ht="20.100000000000001" customHeight="1" x14ac:dyDescent="0.25">
      <c r="C34" s="20"/>
      <c r="D34" s="1"/>
      <c r="E34" s="1"/>
      <c r="F34" s="1"/>
      <c r="G34" s="1"/>
      <c r="H34" s="1"/>
      <c r="I34" s="20"/>
      <c r="J34" s="20"/>
      <c r="K34" s="20"/>
    </row>
    <row r="35" spans="3:11" ht="20.100000000000001" customHeight="1" x14ac:dyDescent="0.25">
      <c r="C35" s="20"/>
      <c r="D35" s="1"/>
      <c r="E35" s="1"/>
      <c r="F35" s="1"/>
      <c r="G35" s="1"/>
      <c r="H35" s="1"/>
      <c r="I35" s="20"/>
      <c r="J35" s="20"/>
      <c r="K35" s="20"/>
    </row>
    <row r="36" spans="3:11" ht="20.100000000000001" customHeight="1" x14ac:dyDescent="0.25">
      <c r="C36" s="20"/>
      <c r="D36" s="1"/>
      <c r="E36" s="1"/>
      <c r="F36" s="1"/>
      <c r="G36" s="1"/>
      <c r="H36" s="1"/>
      <c r="I36" s="20"/>
      <c r="J36" s="20"/>
      <c r="K36" s="20"/>
    </row>
    <row r="37" spans="3:11" ht="20.100000000000001" customHeight="1" x14ac:dyDescent="0.25">
      <c r="C37" s="20"/>
      <c r="D37" s="1"/>
      <c r="E37" s="1"/>
      <c r="F37" s="1"/>
      <c r="G37" s="1"/>
      <c r="H37" s="1"/>
      <c r="I37" s="20"/>
      <c r="J37" s="20"/>
      <c r="K37" s="20"/>
    </row>
    <row r="38" spans="3:11" ht="20.100000000000001" customHeight="1" x14ac:dyDescent="0.25">
      <c r="C38" s="20"/>
      <c r="D38" s="1"/>
      <c r="E38" s="1"/>
      <c r="F38" s="1"/>
      <c r="G38" s="1"/>
      <c r="H38" s="1"/>
      <c r="I38" s="91"/>
      <c r="J38" s="91"/>
      <c r="K38" s="20"/>
    </row>
    <row r="39" spans="3:11" ht="20.100000000000001" customHeight="1" x14ac:dyDescent="0.25">
      <c r="C39" s="20"/>
      <c r="D39" s="1"/>
      <c r="E39" s="1"/>
      <c r="F39" s="1"/>
      <c r="G39" s="1"/>
      <c r="H39" s="1"/>
      <c r="I39" s="91"/>
      <c r="J39" s="91"/>
      <c r="K39" s="20"/>
    </row>
    <row r="40" spans="3:11" ht="20.100000000000001" customHeight="1" x14ac:dyDescent="0.25">
      <c r="C40" s="20"/>
      <c r="D40" s="1"/>
      <c r="E40" s="1"/>
      <c r="F40" s="1"/>
      <c r="G40" s="1"/>
      <c r="H40" s="1"/>
      <c r="I40" s="91"/>
      <c r="J40" s="91"/>
      <c r="K40" s="20"/>
    </row>
    <row r="41" spans="3:11" ht="20.100000000000001" customHeight="1" x14ac:dyDescent="0.25">
      <c r="C41" s="20"/>
      <c r="D41" s="1"/>
      <c r="E41" s="1"/>
      <c r="F41" s="1"/>
      <c r="G41" s="1"/>
      <c r="H41" s="1"/>
      <c r="I41" s="91"/>
      <c r="J41" s="91"/>
      <c r="K41" s="20"/>
    </row>
    <row r="42" spans="3:11" ht="20.100000000000001" customHeight="1" x14ac:dyDescent="0.25">
      <c r="C42" s="20"/>
      <c r="D42" s="1"/>
      <c r="E42" s="1"/>
      <c r="F42" s="1"/>
      <c r="G42" s="1"/>
      <c r="H42" s="1"/>
      <c r="I42" s="91"/>
      <c r="J42" s="91"/>
      <c r="K42" s="20"/>
    </row>
    <row r="43" spans="3:11" ht="20.100000000000001" customHeight="1" x14ac:dyDescent="0.25">
      <c r="C43" s="20"/>
      <c r="D43" s="1"/>
      <c r="E43" s="1"/>
      <c r="F43" s="1"/>
      <c r="G43" s="1"/>
      <c r="H43" s="1"/>
      <c r="I43" s="91"/>
      <c r="J43" s="91"/>
      <c r="K43" s="20"/>
    </row>
    <row r="44" spans="3:11" ht="20.100000000000001" customHeight="1" x14ac:dyDescent="0.25">
      <c r="C44" s="20"/>
      <c r="D44" s="1"/>
      <c r="E44" s="1"/>
      <c r="F44" s="1"/>
      <c r="G44" s="1"/>
      <c r="H44" s="1"/>
      <c r="I44" s="91"/>
      <c r="J44" s="91"/>
      <c r="K44" s="20"/>
    </row>
    <row r="45" spans="3:11" ht="20.100000000000001" customHeight="1" x14ac:dyDescent="0.25">
      <c r="C45" s="20"/>
      <c r="D45" s="1"/>
      <c r="E45" s="1"/>
      <c r="F45" s="1"/>
      <c r="G45" s="1"/>
      <c r="H45" s="1"/>
      <c r="I45" s="91"/>
      <c r="J45" s="91"/>
      <c r="K45" s="20"/>
    </row>
    <row r="46" spans="3:11" ht="20.100000000000001" customHeight="1" x14ac:dyDescent="0.25">
      <c r="C46" s="20"/>
      <c r="D46" s="1"/>
      <c r="E46" s="1"/>
      <c r="F46" s="1"/>
      <c r="G46" s="1"/>
      <c r="H46" s="1"/>
      <c r="I46" s="91"/>
      <c r="J46" s="91"/>
      <c r="K46" s="20"/>
    </row>
    <row r="47" spans="3:11" ht="20.100000000000001" customHeight="1" x14ac:dyDescent="0.25">
      <c r="C47" s="20"/>
      <c r="D47" s="1"/>
      <c r="E47" s="1"/>
      <c r="F47" s="1"/>
      <c r="G47" s="1"/>
      <c r="H47" s="1"/>
      <c r="I47" s="91"/>
      <c r="J47" s="91"/>
      <c r="K47" s="20"/>
    </row>
    <row r="48" spans="3:11" ht="20.100000000000001" customHeight="1" x14ac:dyDescent="0.25">
      <c r="C48" s="20"/>
      <c r="D48" s="1"/>
      <c r="E48" s="1"/>
      <c r="F48" s="1"/>
      <c r="G48" s="1"/>
      <c r="H48" s="1"/>
      <c r="I48" s="91"/>
      <c r="J48" s="91"/>
      <c r="K48" s="20"/>
    </row>
    <row r="49" spans="3:11" ht="20.100000000000001" customHeight="1" x14ac:dyDescent="0.25">
      <c r="C49" s="20"/>
      <c r="D49" s="1"/>
      <c r="E49" s="1"/>
      <c r="F49" s="1"/>
      <c r="G49" s="1"/>
      <c r="H49" s="91"/>
      <c r="I49" s="91"/>
      <c r="J49" s="91"/>
      <c r="K49" s="20"/>
    </row>
    <row r="50" spans="3:11" ht="20.100000000000001" customHeight="1" x14ac:dyDescent="0.25">
      <c r="C50" s="20"/>
      <c r="D50" s="1"/>
      <c r="E50" s="1"/>
      <c r="F50" s="1"/>
      <c r="G50" s="1"/>
      <c r="H50" s="91"/>
      <c r="I50" s="91"/>
      <c r="J50" s="91"/>
      <c r="K50" s="20"/>
    </row>
    <row r="51" spans="3:11" ht="20.100000000000001" customHeight="1" x14ac:dyDescent="0.25">
      <c r="C51" s="20"/>
      <c r="D51" s="1"/>
      <c r="E51" s="1"/>
      <c r="F51" s="1"/>
      <c r="G51" s="1"/>
      <c r="H51" s="91"/>
      <c r="I51" s="91"/>
      <c r="J51" s="91"/>
      <c r="K51" s="20"/>
    </row>
    <row r="52" spans="3:11" ht="20.100000000000001" customHeight="1" x14ac:dyDescent="0.25">
      <c r="C52" s="20"/>
      <c r="D52" s="1"/>
      <c r="E52" s="1"/>
      <c r="F52" s="1"/>
      <c r="G52" s="1"/>
      <c r="H52" s="91"/>
      <c r="I52" s="91"/>
      <c r="J52" s="91"/>
      <c r="K52" s="20"/>
    </row>
    <row r="53" spans="3:11" ht="20.100000000000001" customHeight="1" x14ac:dyDescent="0.25">
      <c r="C53" s="20"/>
      <c r="D53" s="1"/>
      <c r="E53" s="1"/>
      <c r="F53" s="1"/>
      <c r="G53" s="1"/>
      <c r="H53" s="91"/>
      <c r="I53" s="91"/>
      <c r="J53" s="91"/>
      <c r="K53" s="20"/>
    </row>
    <row r="54" spans="3:11" ht="20.100000000000001" customHeight="1" x14ac:dyDescent="0.25">
      <c r="C54" s="20"/>
      <c r="D54" s="1"/>
      <c r="E54" s="1"/>
      <c r="F54" s="1"/>
      <c r="G54" s="1"/>
      <c r="H54" s="20"/>
      <c r="I54" s="20"/>
      <c r="J54" s="20"/>
      <c r="K54" s="20"/>
    </row>
    <row r="55" spans="3:11" ht="20.100000000000001" customHeight="1" x14ac:dyDescent="0.25">
      <c r="C55" s="20"/>
      <c r="D55" s="1"/>
      <c r="E55" s="1"/>
      <c r="F55" s="1"/>
      <c r="G55" s="1"/>
      <c r="H55" s="20"/>
      <c r="I55" s="20"/>
      <c r="J55" s="20"/>
      <c r="K55" s="20"/>
    </row>
    <row r="56" spans="3:11" ht="20.100000000000001" customHeight="1" x14ac:dyDescent="0.25">
      <c r="C56" s="20"/>
      <c r="D56" s="1"/>
      <c r="E56" s="1"/>
      <c r="F56" s="1"/>
      <c r="G56" s="1"/>
      <c r="H56" s="20"/>
      <c r="I56" s="20"/>
      <c r="J56" s="20"/>
      <c r="K56" s="20"/>
    </row>
    <row r="57" spans="3:11" ht="20.100000000000001" customHeight="1" x14ac:dyDescent="0.25">
      <c r="C57" s="20"/>
      <c r="D57" s="1"/>
      <c r="E57" s="1"/>
      <c r="F57" s="1"/>
      <c r="G57" s="1"/>
      <c r="H57" s="20"/>
      <c r="I57" s="20"/>
      <c r="J57" s="20"/>
      <c r="K57" s="20"/>
    </row>
    <row r="58" spans="3:11" ht="20.100000000000001" customHeight="1" x14ac:dyDescent="0.25">
      <c r="C58" s="20"/>
      <c r="D58" s="1"/>
      <c r="E58" s="28"/>
      <c r="F58" s="26"/>
      <c r="G58" s="20"/>
      <c r="H58" s="20"/>
      <c r="I58" s="20"/>
      <c r="J58" s="20"/>
      <c r="K58" s="20"/>
    </row>
    <row r="59" spans="3:11" ht="20.100000000000001" customHeight="1" x14ac:dyDescent="0.25">
      <c r="C59" s="20"/>
      <c r="D59" s="1"/>
      <c r="E59" s="1"/>
      <c r="F59" s="1"/>
      <c r="G59" s="1"/>
      <c r="H59" s="1"/>
      <c r="I59" s="1"/>
      <c r="J59" s="1"/>
      <c r="K59" s="20"/>
    </row>
    <row r="60" spans="3:11" ht="20.100000000000001" customHeight="1" x14ac:dyDescent="0.25">
      <c r="C60" s="20"/>
      <c r="D60" s="1"/>
      <c r="E60" s="1"/>
      <c r="F60" s="1"/>
      <c r="G60" s="1"/>
      <c r="H60" s="1"/>
      <c r="I60" s="1"/>
      <c r="J60" s="1"/>
      <c r="K60" s="20"/>
    </row>
    <row r="61" spans="3:11" ht="20.100000000000001" customHeight="1" x14ac:dyDescent="0.25">
      <c r="C61" s="20"/>
      <c r="D61" s="1"/>
      <c r="E61" s="1"/>
      <c r="F61" s="1"/>
      <c r="G61" s="1"/>
      <c r="H61" s="1"/>
      <c r="I61" s="1"/>
      <c r="J61" s="1"/>
      <c r="K61" s="20"/>
    </row>
    <row r="62" spans="3:11" ht="20.100000000000001" customHeight="1" x14ac:dyDescent="0.25">
      <c r="C62" s="20"/>
      <c r="D62" s="1"/>
      <c r="E62" s="1"/>
      <c r="F62" s="1"/>
      <c r="G62" s="1"/>
      <c r="H62" s="1"/>
      <c r="I62" s="1"/>
      <c r="J62" s="1"/>
      <c r="K62" s="20"/>
    </row>
    <row r="63" spans="3:11" ht="20.100000000000001" customHeight="1" x14ac:dyDescent="0.25">
      <c r="C63" s="20"/>
      <c r="D63" s="1"/>
      <c r="E63" s="1"/>
      <c r="F63" s="1"/>
      <c r="G63" s="1"/>
      <c r="H63" s="1"/>
      <c r="I63" s="1"/>
      <c r="J63" s="1"/>
      <c r="K63" s="20"/>
    </row>
    <row r="64" spans="3:11" ht="20.100000000000001" customHeight="1" x14ac:dyDescent="0.25">
      <c r="C64" s="20"/>
      <c r="D64" s="1"/>
      <c r="E64" s="1"/>
      <c r="F64" s="1"/>
      <c r="G64" s="1"/>
      <c r="H64" s="1"/>
      <c r="I64" s="1"/>
      <c r="J64" s="1"/>
      <c r="K64" s="20"/>
    </row>
    <row r="65" spans="3:11" ht="20.100000000000001" customHeight="1" x14ac:dyDescent="0.25">
      <c r="C65" s="20"/>
      <c r="D65" s="1"/>
      <c r="E65" s="1"/>
      <c r="F65" s="1"/>
      <c r="G65" s="1"/>
      <c r="H65" s="1"/>
      <c r="I65" s="1"/>
      <c r="J65" s="1"/>
      <c r="K65" s="20"/>
    </row>
    <row r="66" spans="3:11" ht="20.100000000000001" customHeight="1" x14ac:dyDescent="0.25">
      <c r="C66" s="20"/>
      <c r="D66" s="1"/>
      <c r="E66" s="1"/>
      <c r="F66" s="1"/>
      <c r="G66" s="1"/>
      <c r="H66" s="1"/>
      <c r="I66" s="1"/>
      <c r="J66" s="1"/>
      <c r="K66" s="20"/>
    </row>
    <row r="67" spans="3:11" ht="20.100000000000001" customHeight="1" x14ac:dyDescent="0.25">
      <c r="C67" s="20"/>
      <c r="D67" s="1"/>
      <c r="E67" s="1"/>
      <c r="F67" s="1"/>
      <c r="G67" s="1"/>
      <c r="H67" s="1"/>
      <c r="I67" s="1"/>
      <c r="J67" s="1"/>
      <c r="K67" s="20"/>
    </row>
    <row r="68" spans="3:11" ht="20.100000000000001" customHeight="1" x14ac:dyDescent="0.25">
      <c r="C68" s="20"/>
      <c r="D68" s="1"/>
      <c r="E68" s="1"/>
      <c r="F68" s="1"/>
      <c r="G68" s="1"/>
      <c r="H68" s="1"/>
      <c r="I68" s="1"/>
      <c r="J68" s="1"/>
      <c r="K68" s="20"/>
    </row>
    <row r="69" spans="3:11" ht="20.100000000000001" customHeight="1" x14ac:dyDescent="0.25">
      <c r="C69" s="20"/>
      <c r="D69" s="1"/>
      <c r="E69" s="1"/>
      <c r="F69" s="1"/>
      <c r="G69" s="1"/>
      <c r="H69" s="1"/>
      <c r="I69" s="1"/>
      <c r="J69" s="1"/>
      <c r="K69" s="20"/>
    </row>
    <row r="70" spans="3:11" ht="20.100000000000001" customHeight="1" x14ac:dyDescent="0.25">
      <c r="C70" s="20"/>
      <c r="D70" s="1"/>
      <c r="E70" s="1"/>
      <c r="F70" s="1"/>
      <c r="G70" s="1"/>
      <c r="H70" s="1"/>
      <c r="I70" s="1"/>
      <c r="J70" s="1"/>
      <c r="K70" s="20"/>
    </row>
    <row r="71" spans="3:11" ht="20.100000000000001" customHeight="1" x14ac:dyDescent="0.25">
      <c r="C71" s="20"/>
      <c r="D71" s="1"/>
      <c r="E71" s="1"/>
      <c r="F71" s="1"/>
      <c r="G71" s="1"/>
      <c r="H71" s="1"/>
      <c r="I71" s="1"/>
      <c r="J71" s="1"/>
      <c r="K71" s="20"/>
    </row>
    <row r="72" spans="3:11" ht="20.100000000000001" customHeight="1" x14ac:dyDescent="0.25">
      <c r="C72" s="20"/>
      <c r="D72" s="1"/>
      <c r="E72" s="1"/>
      <c r="F72" s="1"/>
      <c r="G72" s="1"/>
      <c r="H72" s="1"/>
      <c r="I72" s="1"/>
      <c r="J72" s="1"/>
      <c r="K72" s="20"/>
    </row>
    <row r="73" spans="3:11" ht="20.100000000000001" customHeight="1" x14ac:dyDescent="0.25">
      <c r="C73" s="20"/>
      <c r="D73" s="1"/>
      <c r="E73" s="1"/>
      <c r="F73" s="1"/>
      <c r="G73" s="1"/>
      <c r="H73" s="1"/>
      <c r="I73" s="1"/>
      <c r="J73" s="1"/>
      <c r="K73" s="20"/>
    </row>
    <row r="74" spans="3:11" ht="20.100000000000001" customHeight="1" x14ac:dyDescent="0.25">
      <c r="C74" s="20"/>
      <c r="D74" s="1"/>
      <c r="E74" s="1"/>
      <c r="F74" s="1"/>
      <c r="G74" s="1"/>
      <c r="H74" s="1"/>
      <c r="I74" s="1"/>
      <c r="J74" s="1"/>
      <c r="K74" s="20"/>
    </row>
    <row r="75" spans="3:11" ht="20.100000000000001" customHeight="1" x14ac:dyDescent="0.25">
      <c r="C75" s="20"/>
      <c r="D75" s="1"/>
      <c r="E75" s="1"/>
      <c r="F75" s="1"/>
      <c r="G75" s="1"/>
      <c r="H75" s="1"/>
      <c r="I75" s="1"/>
      <c r="J75" s="1"/>
      <c r="K75" s="20"/>
    </row>
    <row r="76" spans="3:11" ht="15.75" x14ac:dyDescent="0.25">
      <c r="C76" s="20"/>
      <c r="D76" s="1"/>
      <c r="E76" s="1"/>
      <c r="F76" s="1"/>
      <c r="G76" s="1"/>
      <c r="H76" s="1"/>
      <c r="I76" s="1"/>
      <c r="J76" s="1"/>
      <c r="K76" s="20"/>
    </row>
    <row r="77" spans="3:11" ht="15.75" x14ac:dyDescent="0.25">
      <c r="C77" s="20"/>
      <c r="D77" s="1"/>
      <c r="E77" s="1"/>
      <c r="F77" s="1"/>
      <c r="G77" s="1"/>
      <c r="H77" s="1"/>
      <c r="I77" s="1"/>
      <c r="J77" s="1"/>
      <c r="K77" s="20"/>
    </row>
    <row r="78" spans="3:11" ht="15.75" x14ac:dyDescent="0.25">
      <c r="C78" s="20"/>
      <c r="D78" s="1"/>
      <c r="E78" s="1"/>
      <c r="F78" s="1"/>
      <c r="G78" s="1"/>
      <c r="H78" s="1"/>
      <c r="I78" s="1"/>
      <c r="J78" s="1"/>
      <c r="K78" s="20"/>
    </row>
    <row r="79" spans="3:11" ht="15.75" x14ac:dyDescent="0.25">
      <c r="C79" s="20"/>
      <c r="D79" s="1"/>
      <c r="E79" s="1"/>
      <c r="F79" s="1"/>
      <c r="G79" s="1"/>
      <c r="H79" s="1"/>
      <c r="I79" s="1"/>
      <c r="J79" s="1"/>
      <c r="K79" s="20"/>
    </row>
    <row r="80" spans="3:11" ht="15.75" x14ac:dyDescent="0.25">
      <c r="C80" s="20"/>
      <c r="D80" s="1"/>
      <c r="E80" s="1"/>
      <c r="F80" s="1"/>
      <c r="G80" s="1"/>
      <c r="H80" s="1"/>
      <c r="I80" s="1"/>
      <c r="J80" s="1"/>
      <c r="K80" s="20"/>
    </row>
    <row r="81" spans="3:11" ht="15.75" x14ac:dyDescent="0.25">
      <c r="C81" s="20"/>
      <c r="D81" s="1"/>
      <c r="E81" s="1"/>
      <c r="F81" s="1"/>
      <c r="G81" s="1"/>
      <c r="H81" s="1"/>
      <c r="I81" s="1"/>
      <c r="J81" s="1"/>
      <c r="K81" s="20"/>
    </row>
    <row r="82" spans="3:11" ht="15.75" x14ac:dyDescent="0.25">
      <c r="C82" s="20"/>
      <c r="D82" s="1"/>
      <c r="E82" s="1"/>
      <c r="F82" s="1"/>
      <c r="G82" s="1"/>
      <c r="H82" s="1"/>
      <c r="I82" s="1"/>
      <c r="J82" s="1"/>
      <c r="K82" s="20"/>
    </row>
    <row r="83" spans="3:11" ht="15.75" x14ac:dyDescent="0.25">
      <c r="C83" s="20"/>
      <c r="D83" s="1"/>
      <c r="E83" s="1"/>
      <c r="F83" s="1"/>
      <c r="G83" s="1"/>
      <c r="H83" s="1"/>
      <c r="I83" s="1"/>
      <c r="J83" s="1"/>
      <c r="K83" s="20"/>
    </row>
    <row r="84" spans="3:11" ht="15.75" x14ac:dyDescent="0.25">
      <c r="C84" s="20"/>
      <c r="D84" s="1"/>
      <c r="E84" s="1"/>
      <c r="F84" s="1"/>
      <c r="G84" s="1"/>
      <c r="H84" s="1"/>
      <c r="I84" s="1"/>
      <c r="J84" s="1"/>
      <c r="K84" s="20"/>
    </row>
    <row r="85" spans="3:11" ht="15.75" x14ac:dyDescent="0.25">
      <c r="C85" s="20"/>
      <c r="D85" s="1"/>
      <c r="E85" s="1"/>
      <c r="F85" s="1"/>
      <c r="G85" s="1"/>
      <c r="H85" s="1"/>
      <c r="I85" s="1"/>
      <c r="J85" s="1"/>
      <c r="K85" s="20"/>
    </row>
    <row r="86" spans="3:11" x14ac:dyDescent="0.25">
      <c r="C86" s="20"/>
      <c r="D86" s="20"/>
      <c r="E86" s="20"/>
      <c r="F86" s="20"/>
      <c r="G86" s="20"/>
      <c r="H86" s="20"/>
      <c r="I86" s="20"/>
      <c r="J86" s="20"/>
      <c r="K86" s="20"/>
    </row>
    <row r="87" spans="3:11" x14ac:dyDescent="0.25">
      <c r="C87" s="20"/>
      <c r="D87" s="20"/>
      <c r="E87" s="20"/>
      <c r="F87" s="20"/>
      <c r="G87" s="20"/>
      <c r="H87" s="20"/>
      <c r="I87" s="20"/>
      <c r="J87" s="20"/>
      <c r="K87" s="2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theme="5" tint="-0.249977111117893"/>
    <pageSetUpPr autoPageBreaks="0"/>
  </sheetPr>
  <dimension ref="A1:AA160"/>
  <sheetViews>
    <sheetView showGridLines="0" zoomScaleNormal="100" workbookViewId="0">
      <selection activeCell="A10" sqref="A10"/>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8" t="e" vm="1">
        <v>#VALUE!</v>
      </c>
      <c r="C1" s="12" t="s">
        <v>67</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59"/>
      <c r="D4" s="59"/>
      <c r="E4" s="59"/>
      <c r="F4" s="59"/>
      <c r="G4" s="59"/>
      <c r="H4" s="59"/>
      <c r="I4" s="59"/>
      <c r="J4" s="59"/>
      <c r="K4" s="59"/>
    </row>
    <row r="5" spans="1:24" ht="20.100000000000001" customHeight="1" x14ac:dyDescent="0.25">
      <c r="A5" s="17" t="str">
        <f>HYPERLINK("#'Results'!A1", "Results")</f>
        <v>Results</v>
      </c>
      <c r="D5" s="6" t="s">
        <v>6</v>
      </c>
      <c r="N5" s="35"/>
    </row>
    <row r="6" spans="1:24" ht="20.100000000000001" customHeight="1" x14ac:dyDescent="0.25">
      <c r="A6"/>
      <c r="D6" s="14"/>
      <c r="N6" s="36"/>
    </row>
    <row r="7" spans="1:24" ht="20.100000000000001" customHeight="1" x14ac:dyDescent="0.25">
      <c r="A7"/>
      <c r="D7" s="1" t="s">
        <v>4</v>
      </c>
      <c r="E7" s="29" t="s">
        <v>3</v>
      </c>
      <c r="F7" s="2"/>
    </row>
    <row r="8" spans="1:24" ht="20.100000000000001" customHeight="1" x14ac:dyDescent="0.25">
      <c r="A8" s="19" t="s">
        <v>0</v>
      </c>
      <c r="D8" s="10" t="s">
        <v>52</v>
      </c>
      <c r="E8" s="29" t="s">
        <v>53</v>
      </c>
    </row>
    <row r="9" spans="1:24" ht="20.100000000000001" customHeight="1" x14ac:dyDescent="0.25">
      <c r="A9" s="117" t="str">
        <f>HYPERLINK("#'Input - Site'!A1", "Site")</f>
        <v>Site</v>
      </c>
      <c r="N9" s="37"/>
    </row>
    <row r="10" spans="1:24" ht="20.100000000000001" customHeight="1" x14ac:dyDescent="0.25">
      <c r="A10" s="17" t="str">
        <f>HYPERLINK("#'Input - Swine'!A1", "Swine")</f>
        <v>Swine</v>
      </c>
      <c r="D10" s="82" t="s">
        <v>66</v>
      </c>
      <c r="E10" s="81"/>
      <c r="F10" s="83"/>
      <c r="G10" s="78"/>
      <c r="N10" s="37"/>
    </row>
    <row r="11" spans="1:24" ht="20.100000000000001" customHeight="1" x14ac:dyDescent="0.25">
      <c r="A11"/>
      <c r="N11" s="38"/>
    </row>
    <row r="12" spans="1:24" ht="20.100000000000001" customHeight="1" x14ac:dyDescent="0.25">
      <c r="A12"/>
      <c r="D12" s="10" t="s">
        <v>70</v>
      </c>
      <c r="E12" s="56">
        <v>45292</v>
      </c>
      <c r="F12" s="2" t="s">
        <v>51</v>
      </c>
    </row>
    <row r="13" spans="1:24" ht="20.100000000000001" customHeight="1" x14ac:dyDescent="0.25">
      <c r="A13" s="18" t="s">
        <v>54</v>
      </c>
      <c r="D13" s="10" t="s">
        <v>71</v>
      </c>
      <c r="E13" s="60">
        <f>DATE(YEAR(X_Cell_Site_StartDate)+1,MONTH(X_Cell_Site_StartDate),DAY(X_Cell_Site_StartDate))-1</f>
        <v>45657</v>
      </c>
      <c r="F13" s="2" t="s">
        <v>7</v>
      </c>
      <c r="N13" s="34"/>
      <c r="O13" s="34"/>
    </row>
    <row r="14" spans="1:24" ht="20.100000000000001" customHeight="1" x14ac:dyDescent="0.25">
      <c r="A14" s="17" t="str">
        <f>HYPERLINK("#'3.5.1.1-2 Enteric Methane'!A1", "3.5.1.1-2 Enteric Methane")</f>
        <v>3.5.1.1-2 Enteric Methane</v>
      </c>
      <c r="N14" s="34"/>
      <c r="O14" s="34"/>
    </row>
    <row r="15" spans="1:24" ht="20.100000000000001" customHeight="1" x14ac:dyDescent="0.25">
      <c r="A15"/>
      <c r="N15" s="34"/>
      <c r="O15" s="34"/>
    </row>
    <row r="16" spans="1:24" ht="20.100000000000001" customHeight="1" x14ac:dyDescent="0.25">
      <c r="A16"/>
      <c r="D16" s="1"/>
      <c r="E16" s="1"/>
      <c r="F16" s="1"/>
      <c r="G16" s="1"/>
      <c r="H16" s="1"/>
      <c r="N16" s="34"/>
      <c r="O16" s="34"/>
    </row>
    <row r="17" spans="1:25" ht="20.100000000000001" customHeight="1" x14ac:dyDescent="0.25">
      <c r="A17" s="120" t="s">
        <v>1</v>
      </c>
      <c r="D17" s="1"/>
      <c r="E17" s="1"/>
      <c r="F17" s="1"/>
      <c r="G17" s="1"/>
      <c r="H17" s="1"/>
    </row>
    <row r="18" spans="1:25" ht="20.100000000000001" customHeight="1" x14ac:dyDescent="0.25">
      <c r="A18" s="17" t="str">
        <f>HYPERLINK("#'Constants - Swine'!A1", "Constants - Swine")</f>
        <v>Constants - Swine</v>
      </c>
      <c r="D18" s="1"/>
      <c r="E18" s="1"/>
      <c r="F18" s="1"/>
      <c r="G18" s="1"/>
      <c r="H18" s="1"/>
    </row>
    <row r="19" spans="1:25" ht="20.100000000000001" customHeight="1" x14ac:dyDescent="0.25">
      <c r="A19" s="17" t="str">
        <f>HYPERLINK("#'Constants - Common'!A1", "Constants - Common")</f>
        <v>Constants - Common</v>
      </c>
      <c r="D19" s="1"/>
      <c r="E19" s="1"/>
      <c r="F19" s="1"/>
      <c r="G19" s="1"/>
      <c r="H19" s="1"/>
      <c r="N19" s="35"/>
    </row>
    <row r="20" spans="1:25" ht="20.100000000000001" customHeight="1" x14ac:dyDescent="0.25">
      <c r="A20" s="17" t="str">
        <f>HYPERLINK("#'Constants - Common livestock'!A1", "Constants - Common livestock")</f>
        <v>Constants - Common livestock</v>
      </c>
      <c r="D20" s="1"/>
      <c r="E20" s="1"/>
      <c r="F20" s="1"/>
      <c r="G20" s="1"/>
      <c r="H20" s="1"/>
      <c r="N20" s="36"/>
    </row>
    <row r="21" spans="1:25" ht="20.100000000000001" customHeight="1" x14ac:dyDescent="0.25">
      <c r="A21" s="17" t="str">
        <f>HYPERLINK("#'Acknowledgements'!A1", "Acknowledgements")</f>
        <v>Acknowledgements</v>
      </c>
      <c r="D21" s="1"/>
      <c r="E21" s="1"/>
      <c r="F21" s="1"/>
      <c r="G21" s="1"/>
      <c r="H21" s="1"/>
    </row>
    <row r="22" spans="1:25" ht="20.100000000000001" customHeight="1" x14ac:dyDescent="0.25">
      <c r="A22"/>
      <c r="D22" s="1"/>
      <c r="E22" s="1"/>
      <c r="F22" s="1"/>
      <c r="G22" s="1"/>
      <c r="H22" s="1"/>
    </row>
    <row r="23" spans="1:25" ht="20.100000000000001" customHeight="1" x14ac:dyDescent="0.25">
      <c r="A23"/>
      <c r="D23" s="1"/>
      <c r="E23" s="1"/>
      <c r="F23" s="1"/>
      <c r="G23" s="1"/>
      <c r="H23" s="1"/>
    </row>
    <row r="24" spans="1:25" ht="20.100000000000001" customHeight="1" x14ac:dyDescent="0.25">
      <c r="A24"/>
      <c r="D24" s="1"/>
      <c r="E24" s="1"/>
      <c r="F24" s="1"/>
      <c r="G24" s="1"/>
      <c r="H24" s="1"/>
    </row>
    <row r="25" spans="1:25" ht="20.100000000000001" customHeight="1" x14ac:dyDescent="0.25">
      <c r="A25"/>
      <c r="D25" s="1"/>
      <c r="E25" s="1"/>
      <c r="F25" s="1"/>
      <c r="G25" s="1"/>
      <c r="H25" s="1"/>
      <c r="N25" s="36"/>
    </row>
    <row r="26" spans="1:25" ht="20.100000000000001" customHeight="1" x14ac:dyDescent="0.25">
      <c r="A26"/>
      <c r="D26" s="1"/>
      <c r="E26" s="1"/>
      <c r="F26" s="1"/>
      <c r="G26" s="1"/>
      <c r="H26" s="1"/>
    </row>
    <row r="27" spans="1:25" ht="20.100000000000001" customHeight="1" x14ac:dyDescent="0.25">
      <c r="A27"/>
      <c r="D27" s="1"/>
      <c r="E27" s="1"/>
      <c r="F27" s="1"/>
      <c r="G27" s="1"/>
      <c r="H27" s="1"/>
    </row>
    <row r="28" spans="1:25" ht="20.100000000000001" customHeight="1" x14ac:dyDescent="0.25">
      <c r="A28"/>
      <c r="D28" s="1"/>
      <c r="E28" s="1"/>
      <c r="F28" s="1"/>
      <c r="G28" s="1"/>
      <c r="H28" s="1"/>
    </row>
    <row r="29" spans="1:25" ht="20.100000000000001" customHeight="1" x14ac:dyDescent="0.25">
      <c r="A29"/>
      <c r="D29" s="1"/>
      <c r="E29" s="1"/>
      <c r="F29" s="1"/>
      <c r="G29" s="1"/>
      <c r="H29" s="1"/>
    </row>
    <row r="30" spans="1:25" ht="20.100000000000001" customHeight="1" x14ac:dyDescent="0.25">
      <c r="A30"/>
      <c r="D30" s="1"/>
      <c r="E30" s="1"/>
      <c r="F30" s="1"/>
      <c r="G30" s="1"/>
      <c r="H30" s="1"/>
      <c r="L30" s="41"/>
      <c r="M30" s="41"/>
      <c r="N30" s="41"/>
      <c r="O30" s="41"/>
      <c r="P30" s="41"/>
      <c r="Q30" s="41"/>
      <c r="R30" s="41"/>
      <c r="S30" s="41"/>
      <c r="T30" s="41"/>
      <c r="U30" s="41"/>
      <c r="V30" s="41"/>
      <c r="W30" s="41"/>
      <c r="X30" s="41"/>
      <c r="Y30" s="41"/>
    </row>
    <row r="31" spans="1:25" ht="20.100000000000001" customHeight="1" x14ac:dyDescent="0.25">
      <c r="A31"/>
      <c r="D31" s="1"/>
      <c r="E31" s="1"/>
      <c r="F31" s="1"/>
      <c r="G31" s="1"/>
      <c r="H31" s="1"/>
      <c r="L31" s="40"/>
      <c r="M31" s="40"/>
      <c r="N31" s="40"/>
      <c r="O31" s="40"/>
      <c r="P31" s="40"/>
      <c r="Q31" s="40"/>
      <c r="R31" s="40"/>
      <c r="S31" s="40"/>
      <c r="T31" s="40"/>
      <c r="U31" s="40"/>
      <c r="V31" s="40"/>
      <c r="W31" s="40"/>
      <c r="X31" s="40"/>
      <c r="Y31" s="40"/>
    </row>
    <row r="32" spans="1:25" ht="20.100000000000001" customHeight="1" x14ac:dyDescent="0.25">
      <c r="A32"/>
      <c r="D32" s="1"/>
      <c r="E32" s="1"/>
      <c r="F32" s="1"/>
      <c r="G32" s="1"/>
      <c r="H32" s="1"/>
      <c r="L32" s="40"/>
      <c r="M32" s="40"/>
      <c r="N32" s="40"/>
      <c r="O32" s="40"/>
      <c r="P32" s="40"/>
      <c r="Q32" s="40"/>
      <c r="R32" s="40"/>
      <c r="S32" s="40"/>
      <c r="T32" s="40"/>
      <c r="U32" s="40"/>
      <c r="V32" s="40"/>
      <c r="W32" s="40"/>
      <c r="X32" s="40"/>
      <c r="Y32" s="40"/>
    </row>
    <row r="33" spans="1:25" ht="20.100000000000001" customHeight="1" x14ac:dyDescent="0.25">
      <c r="A33"/>
      <c r="D33" s="1"/>
      <c r="E33" s="1"/>
      <c r="F33" s="1"/>
      <c r="G33" s="1"/>
      <c r="H33" s="1"/>
      <c r="L33" s="40"/>
      <c r="M33" s="40"/>
      <c r="N33" s="40"/>
      <c r="O33" s="40"/>
      <c r="P33" s="40"/>
      <c r="Q33" s="40"/>
      <c r="R33" s="40"/>
      <c r="S33" s="40"/>
      <c r="T33" s="40"/>
      <c r="U33" s="40"/>
      <c r="V33" s="40"/>
      <c r="W33" s="40"/>
      <c r="X33" s="40"/>
      <c r="Y33" s="40"/>
    </row>
    <row r="34" spans="1:25" ht="20.100000000000001" customHeight="1" x14ac:dyDescent="0.25">
      <c r="A34"/>
      <c r="D34" s="1"/>
      <c r="E34" s="1"/>
      <c r="F34" s="1"/>
      <c r="G34" s="1"/>
      <c r="H34" s="1"/>
      <c r="J34" s="53"/>
      <c r="K34" s="63"/>
      <c r="L34" s="40"/>
      <c r="M34" s="40"/>
      <c r="N34" s="40"/>
      <c r="O34" s="40"/>
      <c r="P34" s="40"/>
      <c r="Q34" s="40"/>
      <c r="R34" s="40"/>
      <c r="S34" s="40"/>
      <c r="T34" s="40"/>
      <c r="U34" s="40"/>
      <c r="V34" s="40"/>
      <c r="W34" s="40"/>
      <c r="X34" s="40"/>
      <c r="Y34" s="40"/>
    </row>
    <row r="35" spans="1:25" ht="20.100000000000001" customHeight="1" x14ac:dyDescent="0.25">
      <c r="A35"/>
      <c r="D35" s="1"/>
      <c r="E35" s="1"/>
      <c r="F35" s="1"/>
      <c r="G35" s="1"/>
      <c r="H35" s="1"/>
      <c r="J35" s="53"/>
      <c r="K35" s="63"/>
      <c r="L35" s="40"/>
      <c r="M35" s="40"/>
      <c r="N35" s="40"/>
      <c r="O35" s="40"/>
      <c r="P35" s="40"/>
      <c r="Q35" s="40"/>
      <c r="R35" s="40"/>
      <c r="S35" s="40"/>
      <c r="T35" s="40"/>
      <c r="U35" s="40"/>
      <c r="V35" s="40"/>
      <c r="W35" s="40"/>
      <c r="X35" s="40"/>
      <c r="Y35" s="40"/>
    </row>
    <row r="36" spans="1:25" ht="20.100000000000001" customHeight="1" x14ac:dyDescent="0.25">
      <c r="A36"/>
      <c r="D36" s="61"/>
      <c r="E36" s="61"/>
      <c r="F36" s="62"/>
      <c r="G36" s="53"/>
      <c r="H36" s="53"/>
      <c r="I36" s="54"/>
      <c r="J36" s="53"/>
      <c r="K36" s="63"/>
      <c r="L36" s="40"/>
      <c r="M36" s="40"/>
      <c r="N36" s="40"/>
      <c r="O36" s="40"/>
      <c r="P36" s="40"/>
      <c r="Q36" s="40"/>
      <c r="R36" s="40"/>
      <c r="S36" s="40"/>
      <c r="T36" s="40"/>
      <c r="U36" s="40"/>
      <c r="V36" s="40"/>
      <c r="W36" s="40"/>
      <c r="X36" s="40"/>
      <c r="Y36" s="40"/>
    </row>
    <row r="37" spans="1:25" ht="20.100000000000001" customHeight="1" x14ac:dyDescent="0.25">
      <c r="A37"/>
      <c r="D37" s="61"/>
      <c r="E37" s="61"/>
      <c r="F37" s="62"/>
      <c r="G37" s="53"/>
      <c r="H37" s="53"/>
      <c r="I37" s="54"/>
      <c r="J37" s="53"/>
      <c r="K37" s="63"/>
      <c r="L37" s="40"/>
      <c r="M37" s="40"/>
      <c r="N37" s="40"/>
      <c r="O37" s="40"/>
      <c r="P37" s="40"/>
      <c r="Q37" s="40"/>
      <c r="R37" s="40"/>
      <c r="S37" s="40"/>
      <c r="T37" s="40"/>
      <c r="U37" s="40"/>
      <c r="V37" s="40"/>
      <c r="W37" s="40"/>
      <c r="X37" s="40"/>
      <c r="Y37" s="40"/>
    </row>
    <row r="38" spans="1:25" ht="20.100000000000001" customHeight="1" x14ac:dyDescent="0.25">
      <c r="A38"/>
      <c r="D38" s="61"/>
      <c r="E38" s="61"/>
      <c r="F38" s="62"/>
      <c r="G38" s="53"/>
      <c r="H38" s="53"/>
      <c r="I38" s="54"/>
      <c r="J38" s="53"/>
      <c r="K38" s="63"/>
      <c r="L38" s="40"/>
      <c r="M38" s="40"/>
      <c r="N38" s="40"/>
      <c r="O38" s="40"/>
      <c r="P38" s="40"/>
      <c r="Q38" s="40"/>
      <c r="R38" s="40"/>
      <c r="S38" s="40"/>
      <c r="T38" s="40"/>
      <c r="U38" s="40"/>
      <c r="V38" s="40"/>
      <c r="W38" s="40"/>
      <c r="X38" s="40"/>
      <c r="Y38" s="40"/>
    </row>
    <row r="39" spans="1:25" ht="20.100000000000001" customHeight="1" x14ac:dyDescent="0.25">
      <c r="A39"/>
      <c r="D39" s="61"/>
      <c r="E39" s="61"/>
      <c r="F39" s="62"/>
      <c r="G39" s="53"/>
      <c r="H39" s="53"/>
      <c r="I39" s="54"/>
      <c r="J39" s="53"/>
      <c r="K39" s="63"/>
      <c r="L39" s="40"/>
      <c r="M39" s="40"/>
      <c r="N39" s="40"/>
      <c r="O39" s="40"/>
      <c r="P39" s="40"/>
      <c r="Q39" s="40"/>
      <c r="R39" s="40"/>
      <c r="S39" s="40"/>
      <c r="T39" s="40"/>
      <c r="U39" s="40"/>
      <c r="V39" s="40"/>
      <c r="W39" s="40"/>
      <c r="X39" s="40"/>
      <c r="Y39" s="40"/>
    </row>
    <row r="40" spans="1:25" ht="20.100000000000001" customHeight="1" x14ac:dyDescent="0.25">
      <c r="A40"/>
      <c r="D40" s="64"/>
      <c r="E40" s="64"/>
      <c r="F40" s="64"/>
      <c r="G40" s="65"/>
      <c r="H40" s="66"/>
      <c r="I40" s="66"/>
      <c r="J40" s="66"/>
      <c r="K40" s="66"/>
      <c r="L40" s="42"/>
      <c r="M40" s="42"/>
      <c r="N40" s="42"/>
      <c r="O40" s="42"/>
      <c r="P40" s="42"/>
      <c r="Q40" s="42"/>
      <c r="R40" s="42"/>
      <c r="S40" s="42"/>
      <c r="T40" s="42"/>
      <c r="U40" s="42"/>
      <c r="V40" s="42"/>
      <c r="W40" s="42"/>
      <c r="X40" s="42"/>
      <c r="Y40" s="42"/>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67"/>
      <c r="E47" s="67"/>
      <c r="F47" s="67"/>
      <c r="G47" s="67"/>
      <c r="H47" s="67"/>
    </row>
    <row r="48" spans="1:25" ht="20.100000000000001" customHeight="1" x14ac:dyDescent="0.25">
      <c r="A48"/>
      <c r="D48" s="30"/>
      <c r="E48" s="30"/>
      <c r="F48" s="31"/>
      <c r="G48" s="31"/>
      <c r="H48" s="30"/>
    </row>
    <row r="49" spans="1:8" ht="20.100000000000001" customHeight="1" x14ac:dyDescent="0.25">
      <c r="A49"/>
      <c r="D49" s="30"/>
      <c r="E49" s="30"/>
      <c r="F49" s="31"/>
      <c r="G49" s="31"/>
      <c r="H49" s="30"/>
    </row>
    <row r="50" spans="1:8" ht="20.100000000000001" customHeight="1" x14ac:dyDescent="0.25">
      <c r="A50"/>
      <c r="D50" s="30"/>
      <c r="E50" s="30"/>
      <c r="F50" s="31"/>
      <c r="G50" s="31"/>
      <c r="H50" s="30"/>
    </row>
    <row r="51" spans="1:8" ht="20.100000000000001" customHeight="1" x14ac:dyDescent="0.25">
      <c r="A51"/>
      <c r="D51" s="68"/>
      <c r="E51" s="69"/>
      <c r="F51" s="69"/>
      <c r="G51" s="69"/>
      <c r="H51" s="70"/>
    </row>
    <row r="52" spans="1:8" ht="20.100000000000001" customHeight="1" x14ac:dyDescent="0.25">
      <c r="A52"/>
    </row>
    <row r="53" spans="1:8" ht="20.100000000000001" customHeight="1" x14ac:dyDescent="0.25">
      <c r="A53"/>
    </row>
    <row r="54" spans="1:8" ht="20.100000000000001" customHeight="1" x14ac:dyDescent="0.25">
      <c r="A54"/>
      <c r="D54" s="73"/>
      <c r="G54" s="71"/>
    </row>
    <row r="55" spans="1:8" ht="20.100000000000001" customHeight="1" x14ac:dyDescent="0.25">
      <c r="A55"/>
      <c r="D55" s="73"/>
    </row>
    <row r="56" spans="1:8" ht="20.100000000000001" customHeight="1" x14ac:dyDescent="0.25">
      <c r="A56"/>
      <c r="D56" s="73"/>
    </row>
    <row r="57" spans="1:8" ht="20.100000000000001" customHeight="1" x14ac:dyDescent="0.25">
      <c r="A57"/>
      <c r="D57" s="73"/>
      <c r="F57" s="72"/>
    </row>
    <row r="58" spans="1:8" ht="20.100000000000001" customHeight="1" x14ac:dyDescent="0.25">
      <c r="A58"/>
      <c r="D58" s="73"/>
      <c r="E58" s="73"/>
    </row>
    <row r="59" spans="1:8" ht="20.100000000000001" customHeight="1" x14ac:dyDescent="0.25">
      <c r="A59"/>
      <c r="D59" s="73"/>
      <c r="E59" s="73"/>
    </row>
    <row r="60" spans="1:8" ht="20.100000000000001" customHeight="1" x14ac:dyDescent="0.25">
      <c r="A60"/>
      <c r="D60" s="73"/>
      <c r="E60" s="74"/>
    </row>
    <row r="61" spans="1:8" ht="20.100000000000001" customHeight="1" x14ac:dyDescent="0.25">
      <c r="A61"/>
      <c r="D61" s="73"/>
    </row>
    <row r="62" spans="1:8" ht="20.100000000000001" customHeight="1" x14ac:dyDescent="0.25">
      <c r="A62"/>
      <c r="D62" s="73"/>
    </row>
    <row r="63" spans="1:8" ht="20.100000000000001" customHeight="1" x14ac:dyDescent="0.25">
      <c r="A63"/>
      <c r="D63" s="73"/>
    </row>
    <row r="64" spans="1:8" ht="20.100000000000001" customHeight="1" x14ac:dyDescent="0.25">
      <c r="A64"/>
      <c r="D64" s="73"/>
      <c r="E64" s="73"/>
    </row>
    <row r="65" spans="1:9" ht="20.100000000000001" customHeight="1" x14ac:dyDescent="0.25">
      <c r="A65"/>
      <c r="D65" s="73"/>
      <c r="E65" s="73"/>
    </row>
    <row r="66" spans="1:9" ht="20.100000000000001" customHeight="1" x14ac:dyDescent="0.25">
      <c r="A66"/>
      <c r="D66" s="73"/>
      <c r="E66" s="74"/>
    </row>
    <row r="67" spans="1:9" ht="20.100000000000001" customHeight="1" x14ac:dyDescent="0.25">
      <c r="A67"/>
    </row>
    <row r="68" spans="1:9" ht="20.100000000000001" customHeight="1" x14ac:dyDescent="0.25">
      <c r="A68"/>
    </row>
    <row r="69" spans="1:9" ht="20.100000000000001" customHeight="1" x14ac:dyDescent="0.25">
      <c r="A69"/>
      <c r="D69" s="52"/>
      <c r="E69" s="52"/>
      <c r="F69" s="52"/>
      <c r="G69" s="52"/>
      <c r="H69" s="52"/>
      <c r="I69" s="52"/>
    </row>
    <row r="70" spans="1:9" ht="20.100000000000001" customHeight="1" x14ac:dyDescent="0.25">
      <c r="A70"/>
      <c r="D70" s="52"/>
      <c r="E70" s="52"/>
      <c r="F70" s="52"/>
      <c r="G70" s="52"/>
      <c r="H70" s="52"/>
      <c r="I70" s="52"/>
    </row>
    <row r="71" spans="1:9" ht="20.100000000000001" customHeight="1" x14ac:dyDescent="0.25">
      <c r="A71"/>
      <c r="D71" s="52"/>
      <c r="E71" s="52"/>
      <c r="F71" s="52"/>
      <c r="G71" s="52"/>
      <c r="H71" s="52"/>
      <c r="I71" s="52"/>
    </row>
    <row r="72" spans="1:9" ht="20.100000000000001" customHeight="1" x14ac:dyDescent="0.25">
      <c r="A72"/>
      <c r="D72" s="52"/>
      <c r="E72" s="52"/>
      <c r="F72" s="52"/>
      <c r="G72" s="52"/>
      <c r="H72" s="52"/>
      <c r="I72" s="52"/>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5"/>
    </row>
    <row r="79" spans="1:9" ht="20.100000000000001" customHeight="1" x14ac:dyDescent="0.25">
      <c r="A79"/>
      <c r="D79" s="75"/>
    </row>
    <row r="80" spans="1:9" ht="20.100000000000001" customHeight="1" x14ac:dyDescent="0.25">
      <c r="A80"/>
      <c r="D80" s="75"/>
    </row>
    <row r="81" spans="1:4" ht="20.100000000000001" customHeight="1" x14ac:dyDescent="0.25">
      <c r="A81"/>
      <c r="D81" s="75"/>
    </row>
    <row r="82" spans="1:4" ht="20.100000000000001" customHeight="1" x14ac:dyDescent="0.25">
      <c r="A82"/>
      <c r="D82" s="75"/>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2"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S356"/>
  <sheetViews>
    <sheetView showGridLines="0" zoomScaleNormal="100" workbookViewId="0">
      <selection activeCell="A18" sqref="A18"/>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9" width="20.5703125" style="1" customWidth="1"/>
    <col min="10" max="10" width="4.7109375" style="1" customWidth="1"/>
    <col min="11" max="12" width="4.7109375" style="48" customWidth="1"/>
    <col min="13" max="18" width="30.7109375" style="48" customWidth="1"/>
    <col min="19" max="19" width="4.7109375" style="48" customWidth="1"/>
  </cols>
  <sheetData>
    <row r="1" spans="1:19" s="58" customFormat="1" ht="30" customHeight="1" x14ac:dyDescent="0.35">
      <c r="A1" s="58" t="e" vm="1">
        <v>#VALUE!</v>
      </c>
      <c r="C1" s="58" t="s">
        <v>102</v>
      </c>
      <c r="K1" s="48"/>
      <c r="L1" s="48"/>
      <c r="M1" s="48"/>
      <c r="N1" s="48"/>
      <c r="O1" s="48"/>
      <c r="P1" s="48"/>
      <c r="Q1" s="48"/>
      <c r="R1" s="48"/>
      <c r="S1" s="48"/>
    </row>
    <row r="2" spans="1:19" s="9" customFormat="1" ht="20.100000000000001" customHeight="1" x14ac:dyDescent="0.25">
      <c r="A2"/>
      <c r="K2" s="48"/>
      <c r="L2" s="48"/>
      <c r="M2" s="48"/>
      <c r="N2" s="48"/>
      <c r="O2" s="48"/>
      <c r="P2" s="48"/>
      <c r="Q2" s="48"/>
      <c r="R2" s="48"/>
      <c r="S2" s="48"/>
    </row>
    <row r="3" spans="1:19" ht="20.100000000000001" customHeight="1" x14ac:dyDescent="0.25">
      <c r="A3" s="17" t="str">
        <f>HYPERLINK("#'Home'!A1", "Home")</f>
        <v>Home</v>
      </c>
      <c r="C3" s="15"/>
      <c r="D3" s="15"/>
      <c r="E3" s="15"/>
      <c r="F3" s="15"/>
      <c r="G3" s="15"/>
      <c r="H3" s="15"/>
      <c r="I3" s="15"/>
      <c r="J3" s="15"/>
    </row>
    <row r="4" spans="1:19" ht="20.100000000000001" customHeight="1" x14ac:dyDescent="0.25">
      <c r="A4" s="17" t="str">
        <f>HYPERLINK("#'Overview'!A1", "Overview")</f>
        <v>Overview</v>
      </c>
    </row>
    <row r="5" spans="1:19" ht="20.100000000000001" customHeight="1" x14ac:dyDescent="0.25">
      <c r="A5" s="17" t="str">
        <f>HYPERLINK("#'Results'!A1", "Results")</f>
        <v>Results</v>
      </c>
      <c r="E5" s="97" t="s">
        <v>104</v>
      </c>
      <c r="F5" s="97" t="s">
        <v>105</v>
      </c>
      <c r="G5" s="97" t="s">
        <v>106</v>
      </c>
      <c r="H5" s="97" t="s">
        <v>125</v>
      </c>
      <c r="J5" s="3"/>
      <c r="N5" s="7"/>
    </row>
    <row r="6" spans="1:19" ht="20.100000000000001" customHeight="1" x14ac:dyDescent="0.25">
      <c r="D6" s="1" t="str">
        <f>"Average duration of stay between " &amp; TEXT(X_Cell_Site_StartDate, "dd mmm yy") &amp; " and " &amp; TEXT(X_Cell_Site_EndDate, "dd mmm yy")</f>
        <v>Average duration of stay between 01 Jan 24 and 31 Dec 24</v>
      </c>
      <c r="E6" s="57">
        <v>365</v>
      </c>
      <c r="F6" s="57">
        <v>365</v>
      </c>
      <c r="G6" s="57">
        <v>365</v>
      </c>
      <c r="H6" s="57">
        <v>365</v>
      </c>
      <c r="I6" s="2" t="s">
        <v>40</v>
      </c>
      <c r="J6" s="3"/>
      <c r="N6" s="7"/>
    </row>
    <row r="7" spans="1:19" ht="20.100000000000001" customHeight="1" x14ac:dyDescent="0.25">
      <c r="D7" s="1" t="str">
        <f>"Average number of head between " &amp; TEXT(X_Cell_Site_StartDate, "dd mmm yy") &amp; " and " &amp; TEXT(X_Cell_Site_EndDate, "dd mmm yy")</f>
        <v>Average number of head between 01 Jan 24 and 31 Dec 24</v>
      </c>
      <c r="E7" s="57">
        <v>100</v>
      </c>
      <c r="F7" s="57">
        <v>100</v>
      </c>
      <c r="G7" s="57">
        <v>100</v>
      </c>
      <c r="H7" s="57">
        <v>100</v>
      </c>
      <c r="I7" s="2" t="s">
        <v>72</v>
      </c>
      <c r="J7" s="3"/>
      <c r="N7" s="7"/>
    </row>
    <row r="8" spans="1:19" ht="20.100000000000001" customHeight="1" x14ac:dyDescent="0.25">
      <c r="A8" s="19" t="s">
        <v>0</v>
      </c>
      <c r="J8" s="3"/>
      <c r="N8" s="7"/>
    </row>
    <row r="9" spans="1:19" ht="20.100000000000001" customHeight="1" x14ac:dyDescent="0.25">
      <c r="A9" s="17" t="str">
        <f>HYPERLINK("#'Input - Site'!A1", "Site")</f>
        <v>Site</v>
      </c>
      <c r="N9" s="7"/>
    </row>
    <row r="10" spans="1:19" ht="20.100000000000001" customHeight="1" x14ac:dyDescent="0.25">
      <c r="A10" s="117" t="str">
        <f>HYPERLINK("#'Input - Swine'!A1", "Swine")</f>
        <v>Swine</v>
      </c>
      <c r="D10" s="6" t="s">
        <v>225</v>
      </c>
      <c r="N10" s="7"/>
    </row>
    <row r="11" spans="1:19" ht="20.100000000000001" customHeight="1" x14ac:dyDescent="0.25">
      <c r="N11" s="7"/>
    </row>
    <row r="12" spans="1:19" ht="20.100000000000001" customHeight="1" x14ac:dyDescent="0.25">
      <c r="D12" s="55" t="s">
        <v>123</v>
      </c>
      <c r="E12" s="97" t="s">
        <v>104</v>
      </c>
      <c r="F12" s="97" t="s">
        <v>105</v>
      </c>
      <c r="G12" s="97" t="s">
        <v>106</v>
      </c>
      <c r="H12" s="97" t="s">
        <v>125</v>
      </c>
      <c r="N12" s="7"/>
    </row>
    <row r="13" spans="1:19" ht="20.100000000000001" customHeight="1" x14ac:dyDescent="0.25">
      <c r="A13" s="18" t="s">
        <v>54</v>
      </c>
      <c r="D13" s="1" t="s">
        <v>225</v>
      </c>
      <c r="E13" s="44" cm="1">
        <f t="array" ref="E13">Common_InputFunctions.Utility_LookupValueInTableNumber(E12, Table_SourceData_Swine_FeedIntake[Class],Table_SourceData_Swine_FeedIntake[Ij])</f>
        <v>2.62</v>
      </c>
      <c r="F13" s="44" cm="1">
        <f t="array" ref="F13">Common_InputFunctions.Utility_LookupValueInTableNumber(F12, Table_SourceData_Swine_FeedIntake[Class],Table_SourceData_Swine_FeedIntake[Ij])</f>
        <v>2.2999999999999998</v>
      </c>
      <c r="G13" s="44" cm="1">
        <f t="array" ref="G13">Common_InputFunctions.Utility_LookupValueInTableNumber(G12, Table_SourceData_Swine_FeedIntake[Class],Table_SourceData_Swine_FeedIntake[Ij])</f>
        <v>2.5</v>
      </c>
      <c r="H13" s="44" cm="1">
        <f t="array" ref="H13">Common_InputFunctions.Utility_LookupValueInTableNumber(H12, Table_SourceData_Swine_FeedIntake[Class],Table_SourceData_Swine_FeedIntake[Ij])</f>
        <v>1.71</v>
      </c>
      <c r="I13" s="2" t="s">
        <v>91</v>
      </c>
      <c r="N13" s="34"/>
    </row>
    <row r="14" spans="1:19" ht="20.100000000000001" customHeight="1" x14ac:dyDescent="0.25">
      <c r="A14" s="17" t="str">
        <f>HYPERLINK("#'3.5.1.1-2 Enteric Methane'!A1", "3.5.1.1-2 Enteric Methane")</f>
        <v>3.5.1.1-2 Enteric Methane</v>
      </c>
      <c r="N14" s="34"/>
    </row>
    <row r="15" spans="1:19" ht="20.100000000000001" customHeight="1" x14ac:dyDescent="0.25">
      <c r="D15" s="55" t="s">
        <v>124</v>
      </c>
      <c r="E15" s="97" t="s">
        <v>104</v>
      </c>
      <c r="F15" s="97" t="s">
        <v>105</v>
      </c>
      <c r="G15" s="97" t="s">
        <v>106</v>
      </c>
      <c r="H15" s="97" t="s">
        <v>125</v>
      </c>
      <c r="N15" s="34"/>
    </row>
    <row r="16" spans="1:19" ht="20.100000000000001" customHeight="1" x14ac:dyDescent="0.25">
      <c r="D16" s="1" t="s">
        <v>225</v>
      </c>
      <c r="E16" s="57" cm="1">
        <f t="array" ref="E16">Common_InputFunctions.Utility_LookupValueInTableNumber(E15, Table_SourceData_Swine_FeedIntake[Class],Table_SourceData_Swine_FeedIntake[Ij])</f>
        <v>2.62</v>
      </c>
      <c r="F16" s="57" cm="1">
        <f t="array" ref="F16">Common_InputFunctions.Utility_LookupValueInTableNumber(F15, Table_SourceData_Swine_FeedIntake[Class],Table_SourceData_Swine_FeedIntake[Ij])</f>
        <v>2.2999999999999998</v>
      </c>
      <c r="G16" s="57" cm="1">
        <f t="array" ref="G16">Common_InputFunctions.Utility_LookupValueInTableNumber(G15, Table_SourceData_Swine_FeedIntake[Class],Table_SourceData_Swine_FeedIntake[Ij])</f>
        <v>2.5</v>
      </c>
      <c r="H16" s="57" cm="1">
        <f t="array" ref="H16">Common_InputFunctions.Utility_LookupValueInTableNumber(H15, Table_SourceData_Swine_FeedIntake[Class],Table_SourceData_Swine_FeedIntake[Ij])</f>
        <v>1.71</v>
      </c>
      <c r="I16" s="2" t="s">
        <v>91</v>
      </c>
      <c r="N16" s="34"/>
    </row>
    <row r="17" spans="1:14" ht="20.100000000000001" customHeight="1" x14ac:dyDescent="0.25">
      <c r="A17" s="120" t="s">
        <v>1</v>
      </c>
      <c r="N17" s="7"/>
    </row>
    <row r="18" spans="1:14" ht="20.100000000000001" customHeight="1" x14ac:dyDescent="0.25">
      <c r="A18" s="17" t="str">
        <f>HYPERLINK("#'Constants - Swine'!A1", "Constants - Swine")</f>
        <v>Constants - Swine</v>
      </c>
      <c r="N18" s="7"/>
    </row>
    <row r="19" spans="1:14" ht="20.100000000000001" customHeight="1" x14ac:dyDescent="0.25">
      <c r="A19" s="17" t="str">
        <f>HYPERLINK("#'Constants - Common'!A1", "Constants - Common")</f>
        <v>Constants - Common</v>
      </c>
      <c r="N19" s="7"/>
    </row>
    <row r="20" spans="1:14" ht="20.100000000000001" customHeight="1" x14ac:dyDescent="0.25">
      <c r="A20" s="17" t="str">
        <f>HYPERLINK("#'Constants - Common livestock'!A1", "Constants - Common livestock")</f>
        <v>Constants - Common livestock</v>
      </c>
      <c r="N20" s="7"/>
    </row>
    <row r="21" spans="1:14" ht="20.100000000000001" customHeight="1" x14ac:dyDescent="0.25">
      <c r="A21" s="17" t="str">
        <f>HYPERLINK("#'Acknowledgements'!A1", "Acknowledgements")</f>
        <v>Acknowledgements</v>
      </c>
      <c r="N21" s="7"/>
    </row>
    <row r="22" spans="1:14" ht="20.100000000000001" customHeight="1" x14ac:dyDescent="0.25">
      <c r="N22" s="7"/>
    </row>
    <row r="23" spans="1:14" ht="20.100000000000001" customHeight="1" x14ac:dyDescent="0.25">
      <c r="N23" s="7"/>
    </row>
    <row r="24" spans="1:14" ht="20.100000000000001" customHeight="1" x14ac:dyDescent="0.25">
      <c r="N24" s="7"/>
    </row>
    <row r="25" spans="1:14" ht="20.100000000000001" customHeight="1" x14ac:dyDescent="0.25">
      <c r="N25" s="7"/>
    </row>
    <row r="26" spans="1:14" ht="20.100000000000001" customHeight="1" x14ac:dyDescent="0.25">
      <c r="N26" s="7"/>
    </row>
    <row r="27" spans="1:14" ht="20.100000000000001" customHeight="1" x14ac:dyDescent="0.25">
      <c r="N27" s="7"/>
    </row>
    <row r="28" spans="1:14" ht="20.100000000000001" customHeight="1" x14ac:dyDescent="0.25">
      <c r="N28" s="7"/>
    </row>
    <row r="29" spans="1:14" ht="20.100000000000001" customHeight="1" x14ac:dyDescent="0.25">
      <c r="N29" s="7"/>
    </row>
    <row r="30" spans="1:14" ht="20.100000000000001" customHeight="1" x14ac:dyDescent="0.25">
      <c r="N30" s="7"/>
    </row>
    <row r="31" spans="1:14" ht="20.100000000000001" customHeight="1" x14ac:dyDescent="0.25">
      <c r="N31" s="7"/>
    </row>
    <row r="32" spans="1:14" ht="20.100000000000001" customHeight="1" x14ac:dyDescent="0.25">
      <c r="N32" s="7"/>
    </row>
    <row r="33" spans="14:14" ht="20.100000000000001" customHeight="1" x14ac:dyDescent="0.25">
      <c r="N33" s="7"/>
    </row>
    <row r="34" spans="14:14" ht="20.100000000000001" customHeight="1" x14ac:dyDescent="0.25">
      <c r="N34" s="7"/>
    </row>
    <row r="35" spans="14:14" ht="20.100000000000001" customHeight="1" x14ac:dyDescent="0.25">
      <c r="N35" s="7"/>
    </row>
    <row r="36" spans="14:14" ht="20.100000000000001" customHeight="1" x14ac:dyDescent="0.25">
      <c r="N36" s="7"/>
    </row>
    <row r="37" spans="14:14" ht="20.100000000000001" customHeight="1" x14ac:dyDescent="0.25">
      <c r="N37" s="7"/>
    </row>
    <row r="38" spans="14:14" ht="20.100000000000001" customHeight="1" x14ac:dyDescent="0.25">
      <c r="N38" s="7"/>
    </row>
    <row r="39" spans="14:14" ht="20.100000000000001" customHeight="1" x14ac:dyDescent="0.25">
      <c r="N39" s="7"/>
    </row>
    <row r="40" spans="14:14" ht="20.100000000000001" customHeight="1" x14ac:dyDescent="0.25">
      <c r="N40" s="7"/>
    </row>
    <row r="41" spans="14:14" ht="20.100000000000001" customHeight="1" x14ac:dyDescent="0.25">
      <c r="N41" s="7"/>
    </row>
    <row r="42" spans="14:14" ht="20.100000000000001" customHeight="1" x14ac:dyDescent="0.25">
      <c r="N42" s="7"/>
    </row>
    <row r="43" spans="14:14" ht="20.100000000000001" customHeight="1" x14ac:dyDescent="0.25">
      <c r="N43" s="7"/>
    </row>
    <row r="44" spans="14:14" ht="20.100000000000001" customHeight="1" x14ac:dyDescent="0.25">
      <c r="N44" s="7"/>
    </row>
    <row r="45" spans="14:14" ht="20.100000000000001" customHeight="1" x14ac:dyDescent="0.25">
      <c r="N45" s="7"/>
    </row>
    <row r="46" spans="14:14" ht="20.100000000000001" customHeight="1" x14ac:dyDescent="0.25">
      <c r="N46" s="7"/>
    </row>
    <row r="47" spans="14:14" ht="20.100000000000001" customHeight="1" x14ac:dyDescent="0.25">
      <c r="N47" s="7"/>
    </row>
    <row r="48" spans="14:14" ht="20.100000000000001" customHeight="1" x14ac:dyDescent="0.25">
      <c r="N48" s="7"/>
    </row>
    <row r="49" spans="14:14" ht="20.100000000000001" customHeight="1" x14ac:dyDescent="0.25">
      <c r="N49" s="7"/>
    </row>
    <row r="50" spans="14:14" ht="20.100000000000001" customHeight="1" x14ac:dyDescent="0.25">
      <c r="N50" s="7"/>
    </row>
    <row r="51" spans="14:14" ht="20.100000000000001" customHeight="1" x14ac:dyDescent="0.25">
      <c r="N51" s="7"/>
    </row>
    <row r="52" spans="14:14" ht="20.100000000000001" customHeight="1" x14ac:dyDescent="0.25">
      <c r="N52" s="7"/>
    </row>
    <row r="53" spans="14:14" ht="20.100000000000001" customHeight="1" x14ac:dyDescent="0.25">
      <c r="N53" s="7"/>
    </row>
    <row r="54" spans="14:14" ht="20.100000000000001" customHeight="1" x14ac:dyDescent="0.25">
      <c r="N54" s="7"/>
    </row>
    <row r="55" spans="14:14" ht="20.100000000000001" customHeight="1" x14ac:dyDescent="0.25">
      <c r="N55" s="7"/>
    </row>
    <row r="56" spans="14:14" ht="20.100000000000001" customHeight="1" x14ac:dyDescent="0.25">
      <c r="N56" s="7"/>
    </row>
    <row r="57" spans="14:14" ht="20.100000000000001" customHeight="1" x14ac:dyDescent="0.25">
      <c r="N57" s="7"/>
    </row>
    <row r="58" spans="14:14" ht="20.100000000000001" customHeight="1" x14ac:dyDescent="0.25">
      <c r="N58" s="7"/>
    </row>
    <row r="59" spans="14:14" ht="20.100000000000001" customHeight="1" x14ac:dyDescent="0.25">
      <c r="N59" s="7"/>
    </row>
    <row r="60" spans="14:14" ht="20.100000000000001" customHeight="1" x14ac:dyDescent="0.25">
      <c r="N60" s="7"/>
    </row>
    <row r="61" spans="14:14" ht="20.100000000000001" customHeight="1" x14ac:dyDescent="0.25">
      <c r="N61" s="7"/>
    </row>
    <row r="62" spans="14:14" ht="20.100000000000001" customHeight="1" x14ac:dyDescent="0.25">
      <c r="N62" s="7"/>
    </row>
    <row r="63" spans="14:14" ht="20.100000000000001" customHeight="1" x14ac:dyDescent="0.25">
      <c r="N63" s="7"/>
    </row>
    <row r="64" spans="14:14" ht="20.100000000000001" customHeight="1" x14ac:dyDescent="0.25">
      <c r="N64" s="7"/>
    </row>
    <row r="65" spans="14:14" ht="20.100000000000001" customHeight="1" x14ac:dyDescent="0.25">
      <c r="N65" s="7"/>
    </row>
    <row r="66" spans="14:14" ht="20.100000000000001" customHeight="1" x14ac:dyDescent="0.25">
      <c r="N66" s="7"/>
    </row>
    <row r="67" spans="14:14" ht="20.100000000000001" customHeight="1" x14ac:dyDescent="0.25">
      <c r="N67" s="7"/>
    </row>
    <row r="68" spans="14:14" ht="20.100000000000001" customHeight="1" x14ac:dyDescent="0.25">
      <c r="N68" s="7"/>
    </row>
    <row r="69" spans="14:14" ht="20.100000000000001" customHeight="1" x14ac:dyDescent="0.25">
      <c r="N69" s="7"/>
    </row>
    <row r="70" spans="14:14" ht="20.100000000000001" customHeight="1" x14ac:dyDescent="0.25">
      <c r="N70" s="7"/>
    </row>
    <row r="71" spans="14:14" ht="20.100000000000001" customHeight="1" x14ac:dyDescent="0.25">
      <c r="N71" s="7"/>
    </row>
    <row r="72" spans="14:14" ht="20.100000000000001" customHeight="1" x14ac:dyDescent="0.25">
      <c r="N72" s="7"/>
    </row>
    <row r="73" spans="14:14" ht="20.100000000000001" customHeight="1" x14ac:dyDescent="0.25">
      <c r="N73" s="7"/>
    </row>
    <row r="74" spans="14:14" ht="20.100000000000001" customHeight="1" x14ac:dyDescent="0.25">
      <c r="N74" s="7"/>
    </row>
    <row r="75" spans="14:14" ht="20.100000000000001" customHeight="1" x14ac:dyDescent="0.25">
      <c r="N75" s="7"/>
    </row>
    <row r="76" spans="14:14" ht="20.100000000000001" customHeight="1" x14ac:dyDescent="0.25">
      <c r="N76" s="7"/>
    </row>
    <row r="77" spans="14:14" ht="20.100000000000001" customHeight="1" x14ac:dyDescent="0.25">
      <c r="N77" s="7"/>
    </row>
    <row r="78" spans="14:14" ht="20.100000000000001" customHeight="1" x14ac:dyDescent="0.25">
      <c r="N78" s="7"/>
    </row>
    <row r="79" spans="14:14" ht="20.100000000000001" customHeight="1" x14ac:dyDescent="0.25">
      <c r="N79" s="7"/>
    </row>
    <row r="80" spans="14:14" ht="20.100000000000001" customHeight="1" x14ac:dyDescent="0.25">
      <c r="N80" s="7"/>
    </row>
    <row r="81" spans="14:14" ht="20.100000000000001" customHeight="1" x14ac:dyDescent="0.25">
      <c r="N81" s="7"/>
    </row>
    <row r="82" spans="14:14" ht="20.100000000000001" customHeight="1" x14ac:dyDescent="0.25">
      <c r="N82" s="7"/>
    </row>
    <row r="83" spans="14:14" ht="20.100000000000001" customHeight="1" x14ac:dyDescent="0.25">
      <c r="N83" s="7"/>
    </row>
    <row r="84" spans="14:14" ht="20.100000000000001" customHeight="1" x14ac:dyDescent="0.25">
      <c r="N84" s="7"/>
    </row>
    <row r="85" spans="14:14" ht="20.100000000000001" customHeight="1" x14ac:dyDescent="0.25">
      <c r="N85" s="7"/>
    </row>
    <row r="86" spans="14:14" ht="20.100000000000001" customHeight="1" x14ac:dyDescent="0.25">
      <c r="N86" s="7"/>
    </row>
    <row r="87" spans="14:14" ht="20.100000000000001" customHeight="1" x14ac:dyDescent="0.25">
      <c r="N87" s="7"/>
    </row>
    <row r="88" spans="14:14" ht="20.100000000000001" customHeight="1" x14ac:dyDescent="0.25">
      <c r="N88" s="7"/>
    </row>
    <row r="89" spans="14:14" ht="20.100000000000001" customHeight="1" x14ac:dyDescent="0.25">
      <c r="N89" s="7"/>
    </row>
    <row r="90" spans="14:14" ht="20.100000000000001" customHeight="1" x14ac:dyDescent="0.25">
      <c r="N90" s="7"/>
    </row>
    <row r="91" spans="14:14" ht="20.100000000000001" customHeight="1" x14ac:dyDescent="0.25">
      <c r="N91" s="7"/>
    </row>
    <row r="92" spans="14:14" ht="20.100000000000001" customHeight="1" x14ac:dyDescent="0.25">
      <c r="N92" s="7"/>
    </row>
    <row r="93" spans="14:14" ht="20.100000000000001" customHeight="1" x14ac:dyDescent="0.25">
      <c r="N93" s="7"/>
    </row>
    <row r="94" spans="14:14" ht="20.100000000000001" customHeight="1" x14ac:dyDescent="0.25">
      <c r="N94" s="7"/>
    </row>
    <row r="95" spans="14:14" ht="20.100000000000001" customHeight="1" x14ac:dyDescent="0.25">
      <c r="N95" s="7"/>
    </row>
    <row r="96" spans="14:14" ht="20.100000000000001" customHeight="1" x14ac:dyDescent="0.25">
      <c r="N96" s="7"/>
    </row>
    <row r="97" spans="10:14" ht="20.100000000000001" customHeight="1" x14ac:dyDescent="0.25">
      <c r="N97" s="7"/>
    </row>
    <row r="98" spans="10:14" ht="20.100000000000001" customHeight="1" x14ac:dyDescent="0.25">
      <c r="N98" s="7"/>
    </row>
    <row r="99" spans="10:14" ht="20.100000000000001" customHeight="1" x14ac:dyDescent="0.25">
      <c r="N99" s="7"/>
    </row>
    <row r="100" spans="10:14" ht="20.100000000000001" customHeight="1" x14ac:dyDescent="0.25">
      <c r="N100" s="7"/>
    </row>
    <row r="101" spans="10:14" ht="20.100000000000001" customHeight="1" x14ac:dyDescent="0.25">
      <c r="N101" s="7"/>
    </row>
    <row r="102" spans="10:14" ht="20.100000000000001" customHeight="1" x14ac:dyDescent="0.25">
      <c r="N102" s="7"/>
    </row>
    <row r="103" spans="10:14" ht="20.100000000000001" customHeight="1" x14ac:dyDescent="0.25">
      <c r="N103" s="7"/>
    </row>
    <row r="104" spans="10:14" ht="20.100000000000001" customHeight="1" x14ac:dyDescent="0.25">
      <c r="N104" s="7"/>
    </row>
    <row r="105" spans="10:14" ht="20.100000000000001" customHeight="1" x14ac:dyDescent="0.25">
      <c r="N105" s="7"/>
    </row>
    <row r="106" spans="10:14" ht="20.100000000000001" customHeight="1" x14ac:dyDescent="0.25">
      <c r="N106" s="7"/>
    </row>
    <row r="107" spans="10:14" ht="20.100000000000001" customHeight="1" x14ac:dyDescent="0.25"/>
    <row r="108" spans="10:14" ht="20.100000000000001" customHeight="1" x14ac:dyDescent="0.25">
      <c r="J108" s="3"/>
    </row>
    <row r="109" spans="10:14" ht="20.100000000000001" customHeight="1" x14ac:dyDescent="0.25">
      <c r="J109" s="3"/>
    </row>
    <row r="110" spans="10:14" ht="20.100000000000001" customHeight="1" x14ac:dyDescent="0.25">
      <c r="J110" s="3"/>
    </row>
    <row r="111" spans="10:14" ht="20.100000000000001" customHeight="1" x14ac:dyDescent="0.25">
      <c r="J111" s="3"/>
    </row>
    <row r="112" spans="10:14" ht="20.100000000000001" customHeight="1" x14ac:dyDescent="0.25">
      <c r="J112" s="3"/>
    </row>
    <row r="113" spans="10:10" ht="20.100000000000001" customHeight="1" x14ac:dyDescent="0.25">
      <c r="J113" s="3"/>
    </row>
    <row r="114" spans="10:10" ht="20.100000000000001" customHeight="1" x14ac:dyDescent="0.25">
      <c r="J114" s="3"/>
    </row>
    <row r="115" spans="10:10" ht="20.100000000000001" customHeight="1" x14ac:dyDescent="0.25">
      <c r="J115" s="3"/>
    </row>
    <row r="116" spans="10:10" ht="20.100000000000001" customHeight="1" x14ac:dyDescent="0.25">
      <c r="J116" s="3"/>
    </row>
    <row r="117" spans="10:10" ht="20.100000000000001" customHeight="1" x14ac:dyDescent="0.25">
      <c r="J117" s="3"/>
    </row>
    <row r="118" spans="10:10" ht="20.100000000000001" customHeight="1" x14ac:dyDescent="0.25">
      <c r="J118" s="3"/>
    </row>
    <row r="119" spans="10:10" ht="20.100000000000001" customHeight="1" x14ac:dyDescent="0.25">
      <c r="J119" s="3"/>
    </row>
    <row r="120" spans="10:10" ht="20.100000000000001" customHeight="1" x14ac:dyDescent="0.25">
      <c r="J120" s="3"/>
    </row>
    <row r="121" spans="10:10" ht="20.100000000000001" customHeight="1" x14ac:dyDescent="0.25">
      <c r="J121" s="3"/>
    </row>
    <row r="122" spans="10:10" ht="20.100000000000001" customHeight="1" x14ac:dyDescent="0.25">
      <c r="J122" s="3"/>
    </row>
    <row r="123" spans="10:10" ht="20.100000000000001" customHeight="1" x14ac:dyDescent="0.25">
      <c r="J123" s="3"/>
    </row>
    <row r="124" spans="10:10" ht="20.100000000000001" customHeight="1" x14ac:dyDescent="0.25">
      <c r="J124" s="3"/>
    </row>
    <row r="125" spans="10:10" ht="20.100000000000001" customHeight="1" x14ac:dyDescent="0.25">
      <c r="J125" s="3"/>
    </row>
    <row r="126" spans="10:10" ht="20.100000000000001" customHeight="1" x14ac:dyDescent="0.25">
      <c r="J126" s="3"/>
    </row>
    <row r="127" spans="10:10" ht="20.100000000000001" customHeight="1" x14ac:dyDescent="0.25">
      <c r="J127" s="3"/>
    </row>
    <row r="128" spans="10:10" ht="20.100000000000001" customHeight="1" x14ac:dyDescent="0.25">
      <c r="J128" s="3"/>
    </row>
    <row r="129" spans="10:10" ht="20.100000000000001" customHeight="1" x14ac:dyDescent="0.25">
      <c r="J129" s="3"/>
    </row>
    <row r="130" spans="10:10" ht="20.100000000000001" customHeight="1" x14ac:dyDescent="0.25"/>
    <row r="131" spans="10:10" ht="20.100000000000001" customHeight="1" x14ac:dyDescent="0.25"/>
    <row r="132" spans="10:10" ht="20.100000000000001" customHeight="1" x14ac:dyDescent="0.25"/>
    <row r="133" spans="10:10" ht="20.100000000000001" customHeight="1" x14ac:dyDescent="0.25"/>
    <row r="134" spans="10:10" ht="20.100000000000001" customHeight="1" x14ac:dyDescent="0.25"/>
    <row r="135" spans="10:10" ht="20.100000000000001" customHeight="1" x14ac:dyDescent="0.25"/>
    <row r="136" spans="10:10" ht="20.100000000000001" customHeight="1" x14ac:dyDescent="0.25"/>
    <row r="137" spans="10:10" ht="20.100000000000001" customHeight="1" x14ac:dyDescent="0.25"/>
    <row r="138" spans="10:10" ht="20.100000000000001" customHeight="1" x14ac:dyDescent="0.25"/>
    <row r="139" spans="10:10" ht="20.100000000000001" customHeight="1" x14ac:dyDescent="0.25"/>
    <row r="140" spans="10:10" ht="20.100000000000001" customHeight="1" x14ac:dyDescent="0.25"/>
    <row r="141" spans="10:10" ht="20.100000000000001" customHeight="1" x14ac:dyDescent="0.25"/>
    <row r="142" spans="10:10" ht="20.100000000000001" customHeight="1" x14ac:dyDescent="0.25"/>
    <row r="143" spans="10:10" ht="20.100000000000001" customHeight="1" x14ac:dyDescent="0.25"/>
    <row r="144" spans="10:10"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6" spans="4:4" x14ac:dyDescent="0.25">
      <c r="D356" s="89"/>
    </row>
  </sheetData>
  <conditionalFormatting sqref="E205:G205">
    <cfRule type="cellIs" dxfId="20" priority="79" operator="lessThan">
      <formula>0</formula>
    </cfRule>
  </conditionalFormatting>
  <conditionalFormatting sqref="F40:F41">
    <cfRule type="cellIs" dxfId="19" priority="69" operator="lessThan">
      <formula>0</formula>
    </cfRule>
  </conditionalFormatting>
  <conditionalFormatting sqref="F44">
    <cfRule type="cellIs" dxfId="18" priority="68" operator="lessThan">
      <formula>0</formula>
    </cfRule>
  </conditionalFormatting>
  <conditionalFormatting sqref="F53">
    <cfRule type="cellIs" dxfId="17" priority="62" operator="lessThan">
      <formula>0</formula>
    </cfRule>
  </conditionalFormatting>
  <conditionalFormatting sqref="F121:F122">
    <cfRule type="cellIs" dxfId="16" priority="21" operator="lessThan">
      <formula>0</formula>
    </cfRule>
  </conditionalFormatting>
  <conditionalFormatting sqref="F133:F134">
    <cfRule type="cellIs" dxfId="15" priority="20" operator="lessThan">
      <formula>0</formula>
    </cfRule>
  </conditionalFormatting>
  <conditionalFormatting sqref="F145:F146">
    <cfRule type="cellIs" dxfId="14" priority="19" operator="lessThan">
      <formula>0</formula>
    </cfRule>
  </conditionalFormatting>
  <conditionalFormatting sqref="F157:F158">
    <cfRule type="cellIs" dxfId="13" priority="18" operator="lessThan">
      <formula>0</formula>
    </cfRule>
  </conditionalFormatting>
  <conditionalFormatting sqref="F245:F246">
    <cfRule type="cellIs" dxfId="12" priority="93" operator="lessThan">
      <formula>0</formula>
    </cfRule>
  </conditionalFormatting>
  <conditionalFormatting sqref="F250:F251">
    <cfRule type="cellIs" dxfId="11" priority="92" operator="lessThan">
      <formula>0</formula>
    </cfRule>
  </conditionalFormatting>
  <conditionalFormatting sqref="F255:F256">
    <cfRule type="cellIs" dxfId="10" priority="91" operator="lessThan">
      <formula>0</formula>
    </cfRule>
  </conditionalFormatting>
  <conditionalFormatting sqref="F279:F280">
    <cfRule type="cellIs" dxfId="9" priority="85" operator="lessThan">
      <formula>0</formula>
    </cfRule>
  </conditionalFormatting>
  <conditionalFormatting sqref="F284:F285">
    <cfRule type="cellIs" dxfId="8" priority="84" operator="lessThan">
      <formula>0</formula>
    </cfRule>
  </conditionalFormatting>
  <conditionalFormatting sqref="F289:F290">
    <cfRule type="cellIs" dxfId="7" priority="83" operator="lessThan">
      <formula>0</formula>
    </cfRule>
  </conditionalFormatting>
  <conditionalFormatting sqref="I29:I34">
    <cfRule type="cellIs" dxfId="6" priority="55" operator="lessThan">
      <formula>0</formula>
    </cfRule>
  </conditionalFormatting>
  <conditionalFormatting sqref="I55:I59">
    <cfRule type="cellIs" dxfId="5" priority="6" operator="lessThan">
      <formula>0</formula>
    </cfRule>
  </conditionalFormatting>
  <conditionalFormatting sqref="I63:I66">
    <cfRule type="cellIs" dxfId="4" priority="5" operator="lessThan">
      <formula>0</formula>
    </cfRule>
  </conditionalFormatting>
  <conditionalFormatting sqref="I70:I73">
    <cfRule type="cellIs" dxfId="3" priority="4" operator="lessThan">
      <formula>0</formula>
    </cfRule>
  </conditionalFormatting>
  <conditionalFormatting sqref="I77:I80">
    <cfRule type="cellIs" dxfId="2" priority="3" operator="lessThan">
      <formula>0</formula>
    </cfRule>
  </conditionalFormatting>
  <conditionalFormatting sqref="I84:I88">
    <cfRule type="cellIs" dxfId="1" priority="1" operator="lessThan">
      <formula>0</formula>
    </cfRule>
  </conditionalFormatting>
  <conditionalFormatting sqref="K43:L43 I48:I51 J101 I119 I199 I205">
    <cfRule type="cellIs" dxfId="0" priority="74" operator="lessThan">
      <formula>0</formula>
    </cfRule>
  </conditionalFormatting>
  <dataValidations disablePrompts="1"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32 E156 E144 E120 E39:E43" xr:uid="{00A4EA4C-90D3-4150-979D-4D71C7F37A31}">
      <formula1>"Yes, No"</formula1>
    </dataValidation>
    <dataValidation type="list" allowBlank="1" showInputMessage="1" showErrorMessage="1" sqref="E26" xr:uid="{7CE3F3B3-74F0-4147-9434-E417CDC75C10}">
      <formula1>INDIRECT("Table_SourceData_Swine_ProductionSystems[Production system]")</formula1>
    </dataValidation>
    <dataValidation type="list" allowBlank="1" showInputMessage="1" showErrorMessage="1" sqref="E92" xr:uid="{DBA884B0-B52E-420E-8FD2-21B082EB75E2}">
      <formula1>INDIRECT("Table_SourceData_Swine_IrrigationMethods[Irrigation method]")</formula1>
    </dataValidation>
    <dataValidation type="list" allowBlank="1" showInputMessage="1" showErrorMessage="1" sqref="E91" xr:uid="{B95E29DC-96D0-4475-A29E-3F3A3B60CEA1}">
      <formula1>INDIRECT("Table_SourceData_Swine_CropProdSystems[Production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R342"/>
  <sheetViews>
    <sheetView showGridLines="0" tabSelected="1" zoomScaleNormal="100" workbookViewId="0">
      <selection activeCell="H21" sqref="H2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7" width="30.7109375" style="1" customWidth="1"/>
    <col min="18" max="18" width="4.7109375" style="1" customWidth="1"/>
  </cols>
  <sheetData>
    <row r="1" spans="1:18" s="8" customFormat="1" ht="30" customHeight="1" x14ac:dyDescent="0.35">
      <c r="A1" s="58" t="e" vm="1">
        <v>#VALUE!</v>
      </c>
      <c r="C1" s="8" t="s">
        <v>155</v>
      </c>
    </row>
    <row r="2" spans="1:18" s="9" customFormat="1" ht="20.100000000000001" customHeight="1" x14ac:dyDescent="0.25">
      <c r="A2"/>
    </row>
    <row r="3" spans="1:18" ht="20.100000000000001" customHeight="1" x14ac:dyDescent="0.25">
      <c r="A3" s="17" t="str">
        <f>HYPERLINK("#'Home'!A1", "Home")</f>
        <v>Home</v>
      </c>
      <c r="C3" s="4"/>
      <c r="D3" s="4" t="s">
        <v>73</v>
      </c>
      <c r="E3" s="4"/>
      <c r="F3" s="4"/>
      <c r="G3" s="4"/>
      <c r="H3" s="4"/>
      <c r="I3" s="4"/>
      <c r="J3" s="4"/>
      <c r="L3" s="4"/>
      <c r="M3" s="4" t="s">
        <v>74</v>
      </c>
      <c r="N3" s="4"/>
      <c r="O3" s="4"/>
      <c r="P3" s="4"/>
      <c r="Q3" s="4"/>
      <c r="R3" s="4"/>
    </row>
    <row r="4" spans="1:18" ht="20.100000000000001" customHeight="1" x14ac:dyDescent="0.25">
      <c r="A4" s="17" t="str">
        <f>HYPERLINK("#'Overview'!A1", "Overview")</f>
        <v>Overview</v>
      </c>
    </row>
    <row r="5" spans="1:18" ht="20.100000000000001" customHeight="1" x14ac:dyDescent="0.25">
      <c r="A5" s="17" t="str">
        <f>HYPERLINK("#'Results'!A1", "Results")</f>
        <v>Results</v>
      </c>
      <c r="D5" s="6" t="str" cm="1">
        <f t="array" ref="D5">EntericMethane_Swine_Equations.VEERG_3_5_1_1__2_DailyEntericMethaneProduction_Title()</f>
        <v>Total daily production of enteric methane of swine</v>
      </c>
    </row>
    <row r="6" spans="1:18" ht="20.100000000000001" customHeight="1" x14ac:dyDescent="0.25">
      <c r="D6" s="5" t="str" cm="1">
        <f t="array" ref="D6">EntericMethane_Swine_Equations.VEERG_3_5_1_1__2_DailyEntericMethaneProduction_Source()</f>
        <v>VEERG 2026: 3.5.1.1, Equation (2)</v>
      </c>
    </row>
    <row r="7" spans="1:18" ht="20.100000000000001" customHeight="1" x14ac:dyDescent="0.25">
      <c r="D7" s="13" t="s">
        <v>14</v>
      </c>
      <c r="E7" s="13" t="str" cm="1">
        <f t="array" aca="1" ref="E7" ca="1">Common_InputFunctions.Utility_DisplayFunctionName(D26)</f>
        <v>=EntericMethane_Swine_Equations.VEERG_3_5_1_1__2_DailyEntericMethaneProduction</v>
      </c>
    </row>
    <row r="8" spans="1:18" ht="20.100000000000001" customHeight="1" x14ac:dyDescent="0.25">
      <c r="A8" s="19" t="s">
        <v>0</v>
      </c>
      <c r="D8" s="47"/>
    </row>
    <row r="9" spans="1:18" ht="20.100000000000001" customHeight="1" x14ac:dyDescent="0.25">
      <c r="A9" s="17" t="str">
        <f>HYPERLINK("#'Input - Site'!A1", "Site")</f>
        <v>Site</v>
      </c>
    </row>
    <row r="10" spans="1:18" ht="20.100000000000001" customHeight="1" x14ac:dyDescent="0.25">
      <c r="A10" s="17" t="str">
        <f>HYPERLINK("#'Input - Swine'!A1", "Swine")</f>
        <v>Swine</v>
      </c>
      <c r="D10" s="45" t="s">
        <v>17</v>
      </c>
      <c r="E10" s="1" t="str" cm="1">
        <f t="array" ref="E10">EntericMethane_Swine_Equations.VEERG_3_5_1_1__2_DailyEntericMethaneProduction_Variable()</f>
        <v>M_j</v>
      </c>
    </row>
    <row r="11" spans="1:18" ht="20.100000000000001" customHeight="1" x14ac:dyDescent="0.25">
      <c r="D11" s="45" t="s">
        <v>8</v>
      </c>
      <c r="E11" s="46" t="str" cm="1">
        <f t="array" ref="E11">EntericMethane_Swine_Equations.VEERG_3_5_1_1__2_DailyEntericMethaneProduction_Unit()</f>
        <v>kg CH4/head/day</v>
      </c>
    </row>
    <row r="12" spans="1:18" ht="20.100000000000001" customHeight="1" x14ac:dyDescent="0.25"/>
    <row r="13" spans="1:18" ht="20.100000000000001" customHeight="1" x14ac:dyDescent="0.25">
      <c r="A13" s="18" t="s">
        <v>54</v>
      </c>
      <c r="D13" s="109" t="str" cm="1">
        <f t="array" ref="D13:E16">_xlfn.CHOOSECOLS(EntericMethane_Swine_Equations.VEERG_3_5_1_1__2_DailyEntericMethaneProduction_Arguments(),1,2)</f>
        <v>I_j</v>
      </c>
      <c r="E13" s="111" t="str">
        <v>daily feed ingested by each swine class</v>
      </c>
      <c r="F13" s="110"/>
      <c r="G13" s="109" t="str" cm="1">
        <f t="array" ref="G13:H16">_xlfn.CHOOSECOLS(EntericMethane_Swine_Equations.VEERG_3_5_1_1__2_DailyEntericMethaneProduction_Arguments(),3,4)</f>
        <v>kg/head/day</v>
      </c>
      <c r="H13" s="107" t="str">
        <v>Input</v>
      </c>
      <c r="I13" s="109" t="str" cm="1">
        <f t="array" aca="1" ref="I13" ca="1">HYPERLINK(Common_InputFunctions.Utility_SourceHyperlink($D$18), $D$18)</f>
        <v>M1_Table_I_j</v>
      </c>
    </row>
    <row r="14" spans="1:18" ht="20.100000000000001" customHeight="1" x14ac:dyDescent="0.25">
      <c r="A14" s="118" t="str">
        <f>HYPERLINK("#'3.5.1.1-2 Enteric Methane'!A1", "3.5.1.1-2 Enteric Methane")</f>
        <v>3.5.1.1-2 Enteric Methane</v>
      </c>
      <c r="D14" s="109" t="str">
        <v>18.6</v>
      </c>
      <c r="E14" s="111" t="str">
        <v>gross energy (GE) content of feed</v>
      </c>
      <c r="F14" s="110"/>
      <c r="G14" s="109" t="str">
        <v>MJ GE/kg feed</v>
      </c>
      <c r="H14" s="105" t="str">
        <v>Constant</v>
      </c>
      <c r="I14" s="109" t="str">
        <f>D14</f>
        <v>18.6</v>
      </c>
    </row>
    <row r="15" spans="1:18" ht="20.100000000000001" customHeight="1" x14ac:dyDescent="0.25">
      <c r="D15" s="109" t="str">
        <v>0.007</v>
      </c>
      <c r="E15" s="111" t="str">
        <v>fraction of GE intake converted to methane by swine</v>
      </c>
      <c r="F15" s="110"/>
      <c r="G15" s="109" t="str">
        <v>fraction</v>
      </c>
      <c r="H15" s="105" t="str">
        <v>Constant</v>
      </c>
      <c r="I15" s="109" t="str">
        <f>D15</f>
        <v>0.007</v>
      </c>
    </row>
    <row r="16" spans="1:18" ht="20.100000000000001" customHeight="1" x14ac:dyDescent="0.25">
      <c r="D16" s="109" t="str">
        <v>F</v>
      </c>
      <c r="E16" s="111" t="str">
        <v>megajoules per kilogram of methane</v>
      </c>
      <c r="F16" s="110"/>
      <c r="G16" s="109" t="str">
        <v>MJ/kg CH4</v>
      </c>
      <c r="H16" s="105" t="str">
        <v>Constant</v>
      </c>
      <c r="I16" s="109">
        <f>SourceData_Swine_MegajoulesPerKilogramMethane_Data</f>
        <v>55.22</v>
      </c>
    </row>
    <row r="17" spans="1:17" ht="20.100000000000001" customHeight="1" x14ac:dyDescent="0.25">
      <c r="A17" s="120" t="s">
        <v>1</v>
      </c>
    </row>
    <row r="18" spans="1:17" ht="20.100000000000001" customHeight="1" x14ac:dyDescent="0.25">
      <c r="A18" s="17" t="str">
        <f>HYPERLINK("#'Constants - Swine'!A1", "Constants - Swine")</f>
        <v>Constants - Swine</v>
      </c>
      <c r="D18" s="100" t="s">
        <v>151</v>
      </c>
      <c r="M18" s="100" t="s">
        <v>169</v>
      </c>
    </row>
    <row r="19" spans="1:17" ht="20.100000000000001" customHeight="1" x14ac:dyDescent="0.25">
      <c r="A19" s="17" t="str">
        <f>HYPERLINK("#'Constants - Common'!A1", "Constants - Common")</f>
        <v>Constants - Common</v>
      </c>
      <c r="D19" s="101" t="s">
        <v>152</v>
      </c>
      <c r="M19" s="101" t="s">
        <v>170</v>
      </c>
    </row>
    <row r="20" spans="1:17" ht="20.100000000000001" customHeight="1" x14ac:dyDescent="0.25">
      <c r="A20" s="17" t="str">
        <f>HYPERLINK("#'Constants - Common livestock'!A1", "Constants - Common livestock")</f>
        <v>Constants - Common livestock</v>
      </c>
      <c r="D20" s="98" t="str" cm="1">
        <f t="array" aca="1" ref="D20:G21" ca="1">OFFSET(X_Table_Swine_FeedIntake_Method1,0,1,2,4)</f>
        <v>Boars</v>
      </c>
      <c r="E20" s="98" t="str">
        <f ca="1"/>
        <v>Sows</v>
      </c>
      <c r="F20" s="98" t="str">
        <f ca="1"/>
        <v>Gilts</v>
      </c>
      <c r="G20" s="98" t="str">
        <f ca="1"/>
        <v>Others</v>
      </c>
      <c r="M20" s="98" t="str" cm="1">
        <f t="array" aca="1" ref="M20:P21" ca="1">OFFSET(X_Table_Swine_FeedIntake_Method2,0,1,2,4)</f>
        <v>Boars</v>
      </c>
      <c r="N20" s="98" t="str">
        <f ca="1"/>
        <v>Sows</v>
      </c>
      <c r="O20" s="98" t="str">
        <f ca="1"/>
        <v>Gilts</v>
      </c>
      <c r="P20" s="98" t="str">
        <f ca="1"/>
        <v>Others</v>
      </c>
    </row>
    <row r="21" spans="1:17" ht="20.100000000000001" customHeight="1" x14ac:dyDescent="0.25">
      <c r="A21" s="17" t="str">
        <f>HYPERLINK("#'Acknowledgements'!A1", "Acknowledgements")</f>
        <v>Acknowledgements</v>
      </c>
      <c r="D21" s="49">
        <f ca="1"/>
        <v>2.62</v>
      </c>
      <c r="E21" s="49">
        <f ca="1"/>
        <v>2.2999999999999998</v>
      </c>
      <c r="F21" s="49">
        <f ca="1"/>
        <v>2.5</v>
      </c>
      <c r="G21" s="49">
        <f ca="1"/>
        <v>1.71</v>
      </c>
      <c r="H21" s="2" t="str">
        <f>G13</f>
        <v>kg/head/day</v>
      </c>
      <c r="M21" s="49">
        <f ca="1"/>
        <v>2.62</v>
      </c>
      <c r="N21" s="49">
        <f ca="1"/>
        <v>2.2999999999999998</v>
      </c>
      <c r="O21" s="49">
        <f ca="1"/>
        <v>2.5</v>
      </c>
      <c r="P21" s="49">
        <f ca="1"/>
        <v>1.71</v>
      </c>
      <c r="Q21" s="2" t="str">
        <f>G13</f>
        <v>kg/head/day</v>
      </c>
    </row>
    <row r="22" spans="1:17" ht="20.100000000000001" customHeight="1" x14ac:dyDescent="0.25"/>
    <row r="23" spans="1:17" ht="20.100000000000001" customHeight="1" x14ac:dyDescent="0.25">
      <c r="D23" s="100" t="s">
        <v>153</v>
      </c>
      <c r="M23" s="100" t="s">
        <v>153</v>
      </c>
    </row>
    <row r="24" spans="1:17" ht="20.100000000000001" customHeight="1" x14ac:dyDescent="0.25">
      <c r="D24" s="101" t="s">
        <v>154</v>
      </c>
      <c r="M24" s="101" t="s">
        <v>154</v>
      </c>
    </row>
    <row r="25" spans="1:17" ht="20.100000000000001" customHeight="1" x14ac:dyDescent="0.25">
      <c r="D25" s="43" t="s">
        <v>104</v>
      </c>
      <c r="E25" s="43" t="s">
        <v>105</v>
      </c>
      <c r="F25" s="43" t="s">
        <v>106</v>
      </c>
      <c r="G25" s="43" t="s">
        <v>125</v>
      </c>
      <c r="M25" s="43" t="s">
        <v>104</v>
      </c>
      <c r="N25" s="43" t="s">
        <v>105</v>
      </c>
      <c r="O25" s="43" t="s">
        <v>106</v>
      </c>
      <c r="P25" s="43" t="s">
        <v>125</v>
      </c>
    </row>
    <row r="26" spans="1:17" ht="20.100000000000001" customHeight="1" x14ac:dyDescent="0.25">
      <c r="D26" s="49" cm="1">
        <f t="array" aca="1" ref="D26" ca="1">EntericMethane_Swine_Equations.VEERG_3_5_1_1__2_DailyEntericMethaneProduction(D21,$I$16)</f>
        <v>6.1775443679826158E-3</v>
      </c>
      <c r="E26" s="49" cm="1">
        <f t="array" aca="1" ref="E26" ca="1">EntericMethane_Swine_Equations.VEERG_3_5_1_1__2_DailyEntericMethaneProduction(E21,$I$16)</f>
        <v>5.4230351321984793E-3</v>
      </c>
      <c r="F26" s="49" cm="1">
        <f t="array" aca="1" ref="F26" ca="1">EntericMethane_Swine_Equations.VEERG_3_5_1_1__2_DailyEntericMethaneProduction(F21,$I$16)</f>
        <v>5.8946034045635641E-3</v>
      </c>
      <c r="G26" s="49" cm="1">
        <f t="array" aca="1" ref="G26" ca="1">EntericMethane_Swine_Equations.VEERG_3_5_1_1__2_DailyEntericMethaneProduction(G21,$I$16)</f>
        <v>4.031908728721478E-3</v>
      </c>
      <c r="H26" s="2" t="str">
        <f>$E$11</f>
        <v>kg CH4/head/day</v>
      </c>
      <c r="M26" s="49" cm="1">
        <f t="array" aca="1" ref="M26" ca="1">EntericMethane_Swine_Equations.VEERG_3_5_1_1__2_DailyEntericMethaneProduction(M21,$I$16)</f>
        <v>6.1775443679826158E-3</v>
      </c>
      <c r="N26" s="49" cm="1">
        <f t="array" aca="1" ref="N26" ca="1">EntericMethane_Swine_Equations.VEERG_3_5_1_1__2_DailyEntericMethaneProduction(N21,$I$16)</f>
        <v>5.4230351321984793E-3</v>
      </c>
      <c r="O26" s="49" cm="1">
        <f t="array" aca="1" ref="O26" ca="1">EntericMethane_Swine_Equations.VEERG_3_5_1_1__2_DailyEntericMethaneProduction(O21,$I$16)</f>
        <v>5.8946034045635641E-3</v>
      </c>
      <c r="P26" s="49" cm="1">
        <f t="array" aca="1" ref="P26" ca="1">EntericMethane_Swine_Equations.VEERG_3_5_1_1__2_DailyEntericMethaneProduction(P21,$I$16)</f>
        <v>4.031908728721478E-3</v>
      </c>
      <c r="Q26" s="2" t="str">
        <f>$E$11</f>
        <v>kg CH4/head/day</v>
      </c>
    </row>
    <row r="27" spans="1:17" ht="20.100000000000001" customHeight="1" x14ac:dyDescent="0.25"/>
    <row r="28" spans="1:17" ht="20.100000000000001" customHeight="1" x14ac:dyDescent="0.25"/>
    <row r="29" spans="1:17" ht="20.100000000000001" customHeight="1" x14ac:dyDescent="0.25">
      <c r="C29" s="39"/>
      <c r="D29" s="39"/>
      <c r="E29" s="39"/>
      <c r="F29" s="39"/>
      <c r="G29" s="39"/>
      <c r="H29" s="39"/>
      <c r="I29" s="39"/>
      <c r="J29" s="39"/>
    </row>
    <row r="30" spans="1:17" ht="20.100000000000001" customHeight="1" x14ac:dyDescent="0.25">
      <c r="D30" s="6" t="str" cm="1">
        <f t="array" ref="D30">EntericMethane_Swine_Equations.VEERG_3_5_1_1__1_TotalAnnualMethaneFromEntericFermentation_Title()</f>
        <v>Total annual methane production from enteric fermentation in swine</v>
      </c>
    </row>
    <row r="31" spans="1:17" ht="20.100000000000001" customHeight="1" x14ac:dyDescent="0.25">
      <c r="D31" s="5" t="str" cm="1">
        <f t="array" ref="D31">EntericMethane_Swine_Equations.VEERG_3_5_1_1__1_TotalAnnualMethaneFromEntericFermentation_Source()</f>
        <v>VEERG 2026: 3.5.1.1, Equation (1)</v>
      </c>
    </row>
    <row r="32" spans="1:17" ht="20.100000000000001" customHeight="1" x14ac:dyDescent="0.25">
      <c r="D32" s="13" t="s">
        <v>14</v>
      </c>
      <c r="E32" s="13" t="str" cm="1">
        <f t="array" aca="1" ref="E32" ca="1">Common_InputFunctions.Utility_DisplayFunctionName(D56)</f>
        <v>=EntericMethane_Swine_Equations.VEERG_3_5_1_1__1_TotalAnnualMethaneFromEntericFermentation</v>
      </c>
    </row>
    <row r="33" spans="4:9" ht="20.100000000000001" customHeight="1" x14ac:dyDescent="0.25"/>
    <row r="34" spans="4:9" ht="20.100000000000001" customHeight="1" x14ac:dyDescent="0.25">
      <c r="F34" s="6"/>
    </row>
    <row r="35" spans="4:9" ht="20.100000000000001" customHeight="1" x14ac:dyDescent="0.25"/>
    <row r="36" spans="4:9" ht="20.100000000000001" customHeight="1" x14ac:dyDescent="0.25">
      <c r="D36" s="45" t="s">
        <v>17</v>
      </c>
      <c r="E36" s="1" t="str" cm="1">
        <f t="array" ref="E36">EntericMethane_Swine_Equations.VEERG_3_5_1_1__1_TotalAnnualMethaneFromEntericFermentation_Variable()</f>
        <v>E_enteric</v>
      </c>
    </row>
    <row r="37" spans="4:9" ht="20.100000000000001" customHeight="1" x14ac:dyDescent="0.25">
      <c r="D37" s="45" t="s">
        <v>8</v>
      </c>
      <c r="E37" s="46" t="str" cm="1">
        <f t="array" ref="E37">EntericMethane_Swine_Equations.VEERG_3_5_1_1__1_TotalAnnualMethaneFromEntericFermentation_Unit()</f>
        <v>t CH4</v>
      </c>
    </row>
    <row r="38" spans="4:9" ht="20.100000000000001" customHeight="1" x14ac:dyDescent="0.25"/>
    <row r="39" spans="4:9" ht="20.100000000000001" customHeight="1" x14ac:dyDescent="0.25">
      <c r="D39" s="49" t="str" cm="1">
        <f t="array" ref="D39:E41">_xlfn.CHOOSECOLS(EntericMethane_Swine_Equations.VEERG_3_5_1_1__1_TotalAnnualMethaneFromEntericFermentation_Arguments(), 1, 2)</f>
        <v>N_j</v>
      </c>
      <c r="E39" s="50" t="str">
        <v>numbers of swine of each class</v>
      </c>
      <c r="F39" s="51"/>
      <c r="G39" s="49" t="str" cm="1">
        <f t="array" ref="G39:H41">_xlfn.CHOOSECOLS(EntericMethane_Swine_Equations.VEERG_3_5_1_1__1_TotalAnnualMethaneFromEntericFermentation_Arguments(), 3,4)</f>
        <v>head</v>
      </c>
      <c r="H39" s="106" t="str">
        <v>Input</v>
      </c>
      <c r="I39" s="108" t="str" cm="1">
        <f t="array" aca="1" ref="I39" ca="1">HYPERLINK(Common_InputFunctions.Utility_SourceHyperlink($D$48), $D$48)</f>
        <v>Table_N_j</v>
      </c>
    </row>
    <row r="40" spans="4:9" ht="20.100000000000001" customHeight="1" x14ac:dyDescent="0.25">
      <c r="D40" s="49" t="str">
        <v>M_j</v>
      </c>
      <c r="E40" s="50" t="str">
        <v>methane production</v>
      </c>
      <c r="F40" s="51"/>
      <c r="G40" s="49" t="str">
        <v>kg CH4/head/day</v>
      </c>
      <c r="H40" s="105" t="str">
        <v>Calculated from 3.5.1.1, (2)</v>
      </c>
      <c r="I40" s="108" t="str" cm="1">
        <f t="array" aca="1" ref="I40" ca="1">HYPERLINK(Common_InputFunctions.Utility_SourceHyperlink($D$23), $D$23)</f>
        <v>M1_Table_M_j</v>
      </c>
    </row>
    <row r="41" spans="4:9" ht="20.100000000000001" customHeight="1" x14ac:dyDescent="0.25">
      <c r="D41" s="49" t="str">
        <v>D_j</v>
      </c>
      <c r="E41" s="50" t="str">
        <v>the average number of days on farm for each swine class</v>
      </c>
      <c r="F41" s="51"/>
      <c r="G41" s="49" t="str">
        <v>days</v>
      </c>
      <c r="H41" s="106" t="str">
        <v>Input</v>
      </c>
      <c r="I41" s="108" t="str" cm="1">
        <f t="array" aca="1" ref="I41" ca="1">HYPERLINK(Common_InputFunctions.Utility_SourceHyperlink($D$43), $D$43)</f>
        <v>Table_D_j</v>
      </c>
    </row>
    <row r="42" spans="4:9" ht="20.100000000000001" customHeight="1" x14ac:dyDescent="0.25"/>
    <row r="43" spans="4:9" ht="20.100000000000001" customHeight="1" x14ac:dyDescent="0.25">
      <c r="D43" s="100" t="s">
        <v>118</v>
      </c>
    </row>
    <row r="44" spans="4:9" ht="20.100000000000001" customHeight="1" x14ac:dyDescent="0.25">
      <c r="D44" s="101" t="s">
        <v>119</v>
      </c>
    </row>
    <row r="45" spans="4:9" ht="20.100000000000001" customHeight="1" x14ac:dyDescent="0.25">
      <c r="D45" s="98" t="str" cm="1">
        <f t="array" aca="1" ref="D45:G46" ca="1">OFFSET(X_Table_Swine_HerdMovement,0,1,2,4)</f>
        <v>Boars</v>
      </c>
      <c r="E45" s="98" t="str">
        <f ca="1"/>
        <v>Sows</v>
      </c>
      <c r="F45" s="98" t="str">
        <f ca="1"/>
        <v>Gilts</v>
      </c>
      <c r="G45" s="98" t="str">
        <f ca="1"/>
        <v>Others</v>
      </c>
    </row>
    <row r="46" spans="4:9" ht="20.100000000000001" customHeight="1" x14ac:dyDescent="0.25">
      <c r="D46" s="102">
        <f ca="1"/>
        <v>365</v>
      </c>
      <c r="E46" s="102">
        <f ca="1"/>
        <v>365</v>
      </c>
      <c r="F46" s="102">
        <f ca="1"/>
        <v>365</v>
      </c>
      <c r="G46" s="102">
        <f ca="1"/>
        <v>365</v>
      </c>
      <c r="H46" s="2" t="str">
        <f>G39</f>
        <v>head</v>
      </c>
    </row>
    <row r="47" spans="4:9" ht="20.100000000000001" customHeight="1" x14ac:dyDescent="0.25"/>
    <row r="48" spans="4:9" ht="20.100000000000001" customHeight="1" x14ac:dyDescent="0.25">
      <c r="D48" s="100" t="s">
        <v>120</v>
      </c>
    </row>
    <row r="49" spans="4:17" ht="20.100000000000001" customHeight="1" x14ac:dyDescent="0.25">
      <c r="D49" s="101" t="s">
        <v>121</v>
      </c>
    </row>
    <row r="50" spans="4:17" ht="20.100000000000001" customHeight="1" x14ac:dyDescent="0.25">
      <c r="D50" s="98" t="s">
        <v>104</v>
      </c>
      <c r="E50" s="98" t="s">
        <v>105</v>
      </c>
      <c r="F50" s="98" t="s">
        <v>106</v>
      </c>
      <c r="G50" s="98" t="s">
        <v>125</v>
      </c>
    </row>
    <row r="51" spans="4:17" ht="20.100000000000001" customHeight="1" x14ac:dyDescent="0.25">
      <c r="D51" s="102" cm="1">
        <f t="array" aca="1" ref="D51:G51" ca="1">OFFSET(X_Table_Swine_HerdMovement,2,1,1,4)</f>
        <v>100</v>
      </c>
      <c r="E51" s="102">
        <f ca="1"/>
        <v>100</v>
      </c>
      <c r="F51" s="102">
        <f ca="1"/>
        <v>100</v>
      </c>
      <c r="G51" s="102">
        <f ca="1"/>
        <v>100</v>
      </c>
      <c r="H51" s="2" t="str">
        <f>G41</f>
        <v>days</v>
      </c>
    </row>
    <row r="52" spans="4:17" ht="20.100000000000001" customHeight="1" x14ac:dyDescent="0.25"/>
    <row r="53" spans="4:17" ht="20.100000000000001" customHeight="1" x14ac:dyDescent="0.25">
      <c r="D53" s="100" t="s">
        <v>156</v>
      </c>
      <c r="M53" s="100" t="s">
        <v>159</v>
      </c>
    </row>
    <row r="54" spans="4:17" ht="20.100000000000001" customHeight="1" x14ac:dyDescent="0.25">
      <c r="D54" s="101" t="s">
        <v>157</v>
      </c>
      <c r="M54" s="101" t="s">
        <v>160</v>
      </c>
    </row>
    <row r="55" spans="4:17" ht="20.100000000000001" customHeight="1" x14ac:dyDescent="0.25">
      <c r="D55" s="43" t="s">
        <v>104</v>
      </c>
      <c r="E55" s="43" t="s">
        <v>105</v>
      </c>
      <c r="F55" s="43" t="s">
        <v>106</v>
      </c>
      <c r="G55" s="43" t="s">
        <v>125</v>
      </c>
      <c r="M55" s="43" t="s">
        <v>104</v>
      </c>
      <c r="N55" s="43" t="s">
        <v>105</v>
      </c>
      <c r="O55" s="43" t="s">
        <v>106</v>
      </c>
      <c r="P55" s="43" t="s">
        <v>125</v>
      </c>
    </row>
    <row r="56" spans="4:17" ht="20.100000000000001" customHeight="1" x14ac:dyDescent="0.25">
      <c r="D56" s="44" cm="1">
        <f t="array" aca="1" ref="D56" ca="1">EntericMethane_Swine_Equations.VEERG_3_5_1_1__1_TotalAnnualMethaneFromEntericFermentation($D51,D26,$D46)</f>
        <v>0.22548036943136548</v>
      </c>
      <c r="E56" s="44" cm="1">
        <f t="array" aca="1" ref="E56" ca="1">EntericMethane_Swine_Equations.VEERG_3_5_1_1__1_TotalAnnualMethaneFromEntericFermentation($E51,E26,$E46)</f>
        <v>0.19794078232524451</v>
      </c>
      <c r="F56" s="44" cm="1">
        <f t="array" aca="1" ref="F56" ca="1">EntericMethane_Swine_Equations.VEERG_3_5_1_1__1_TotalAnnualMethaneFromEntericFermentation($F51,F26,$F46)</f>
        <v>0.2151530242665701</v>
      </c>
      <c r="G56" s="44" cm="1">
        <f t="array" aca="1" ref="G56" ca="1">EntericMethane_Swine_Equations.VEERG_3_5_1_1__1_TotalAnnualMethaneFromEntericFermentation($G51,G26,$G46)</f>
        <v>0.14716466859833394</v>
      </c>
      <c r="H56" s="2" t="str">
        <f>$E$37</f>
        <v>t CH4</v>
      </c>
      <c r="M56" s="44" cm="1">
        <f t="array" aca="1" ref="M56" ca="1">EntericMethane_Swine_Equations.VEERG_3_5_1_1__1_TotalAnnualMethaneFromEntericFermentation($D51,M26,$D46)</f>
        <v>0.22548036943136548</v>
      </c>
      <c r="N56" s="44" cm="1">
        <f t="array" aca="1" ref="N56" ca="1">EntericMethane_Swine_Equations.VEERG_3_5_1_1__1_TotalAnnualMethaneFromEntericFermentation($E51,N26,$E46)</f>
        <v>0.19794078232524451</v>
      </c>
      <c r="O56" s="44" cm="1">
        <f t="array" aca="1" ref="O56" ca="1">EntericMethane_Swine_Equations.VEERG_3_5_1_1__1_TotalAnnualMethaneFromEntericFermentation($F51,O26,$F46)</f>
        <v>0.2151530242665701</v>
      </c>
      <c r="P56" s="44" cm="1">
        <f t="array" aca="1" ref="P56" ca="1">EntericMethane_Swine_Equations.VEERG_3_5_1_1__1_TotalAnnualMethaneFromEntericFermentation($G51,P26,$G46)</f>
        <v>0.14716466859833394</v>
      </c>
      <c r="Q56" s="2" t="str">
        <f>$E$37</f>
        <v>t CH4</v>
      </c>
    </row>
    <row r="57" spans="4:17" ht="20.100000000000001" customHeight="1" x14ac:dyDescent="0.25"/>
    <row r="58" spans="4:17" ht="20.100000000000001" customHeight="1" x14ac:dyDescent="0.25">
      <c r="D58" s="84" t="s">
        <v>122</v>
      </c>
      <c r="E58" s="85">
        <f ca="1">SUM(D56:G56)</f>
        <v>0.78573884462151411</v>
      </c>
      <c r="F58" s="86" t="str">
        <f>$E$37</f>
        <v>t CH4</v>
      </c>
      <c r="M58" s="84" t="s">
        <v>122</v>
      </c>
      <c r="N58" s="85">
        <f ca="1">SUM(M56:P56)</f>
        <v>0.78573884462151411</v>
      </c>
      <c r="O58" s="86" t="str">
        <f>$E$37</f>
        <v>t CH4</v>
      </c>
    </row>
    <row r="59" spans="4:17" ht="20.100000000000001" customHeight="1" x14ac:dyDescent="0.25"/>
    <row r="60" spans="4:17" ht="20.100000000000001" customHeight="1" x14ac:dyDescent="0.25">
      <c r="D60" s="49" t="str" cm="1">
        <f t="array" ref="D60:E61">Common_Equations.Common_ConvertCH4ToCO2e_Arguments()</f>
        <v>ECH4</v>
      </c>
      <c r="E60" s="50" t="str">
        <v>Methane emissions (t CH4)</v>
      </c>
      <c r="F60" s="87"/>
      <c r="G60" s="44">
        <f ca="1">VEERG_3_5_1_1__1_TotalAnnualMethaneFromEntericFermentation_Result_Method1</f>
        <v>0.78573884462151411</v>
      </c>
      <c r="M60" s="49" t="str" cm="1">
        <f t="array" ref="M60:N61">Common_Equations.Common_ConvertCH4ToCO2e_Arguments()</f>
        <v>ECH4</v>
      </c>
      <c r="N60" s="50" t="str">
        <v>Methane emissions (t CH4)</v>
      </c>
      <c r="O60" s="87"/>
      <c r="P60" s="44">
        <f ca="1">VEERG_3_5_1_1__1_TotalAnnualMethaneFromEntericFermentation_Result_Method2</f>
        <v>0.78573884462151411</v>
      </c>
    </row>
    <row r="61" spans="4:17" ht="20.100000000000001" customHeight="1" x14ac:dyDescent="0.25">
      <c r="D61" s="49" t="str">
        <v>GWPCH4</v>
      </c>
      <c r="E61" s="50" t="str">
        <v>Global warming potential for methane (t CO2-e / t CH4)</v>
      </c>
      <c r="F61" s="87"/>
      <c r="G61" s="44">
        <f>Common_InputFunctions.Utility_LookupValueInTableNumber("CH4",Table_GWPData[Gas],Table_GWPData[CO2-e factor])</f>
        <v>28</v>
      </c>
      <c r="M61" s="49" t="str">
        <v>GWPCH4</v>
      </c>
      <c r="N61" s="50" t="str">
        <v>Global warming potential for methane (t CO2-e / t CH4)</v>
      </c>
      <c r="O61" s="87"/>
      <c r="P61" s="44">
        <f>Common_InputFunctions.Utility_LookupValueInTableNumber("CH4",Table_GWPData[Gas],Table_GWPData[CO2-e factor])</f>
        <v>28</v>
      </c>
    </row>
    <row r="62" spans="4:17" ht="20.100000000000001" customHeight="1" x14ac:dyDescent="0.25"/>
    <row r="63" spans="4:17" ht="20.100000000000001" customHeight="1" x14ac:dyDescent="0.25">
      <c r="D63" s="93" t="s">
        <v>158</v>
      </c>
      <c r="E63" s="39" cm="1">
        <f t="array" aca="1" ref="E63" ca="1">Common_Equations.Common_ConvertCH4ToCO2e(G60,G61)</f>
        <v>22.000687649402394</v>
      </c>
      <c r="F63" s="88" t="str" cm="1">
        <f t="array" ref="F63">Common_Equations.Common_ConvertN2OToCO2e_Unit()</f>
        <v>t CO2e</v>
      </c>
      <c r="M63" s="93" t="s">
        <v>158</v>
      </c>
      <c r="N63" s="39" cm="1">
        <f t="array" aca="1" ref="N63" ca="1">Common_Equations.Common_ConvertCH4ToCO2e(P60,P61)</f>
        <v>22.000687649402394</v>
      </c>
      <c r="O63" s="88" t="str" cm="1">
        <f t="array" ref="O63">Common_Equations.Common_ConvertN2OToCO2e_Unit()</f>
        <v>t CO2e</v>
      </c>
    </row>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spans="1:1" ht="20.100000000000001" customHeight="1" x14ac:dyDescent="0.25"/>
    <row r="178" spans="1:1" ht="20.100000000000001" customHeight="1" x14ac:dyDescent="0.25"/>
    <row r="179" spans="1:1" ht="20.100000000000001" customHeight="1" x14ac:dyDescent="0.25"/>
    <row r="180" spans="1:1" ht="20.100000000000001" customHeight="1" x14ac:dyDescent="0.25"/>
    <row r="181" spans="1:1" ht="20.100000000000001" customHeight="1" x14ac:dyDescent="0.25"/>
    <row r="182" spans="1:1" ht="20.100000000000001" customHeight="1" x14ac:dyDescent="0.25"/>
    <row r="183" spans="1:1" ht="20.100000000000001" customHeight="1" x14ac:dyDescent="0.25"/>
    <row r="184" spans="1:1" ht="20.100000000000001" customHeight="1" x14ac:dyDescent="0.25"/>
    <row r="185" spans="1:1" ht="20.100000000000001" customHeight="1" x14ac:dyDescent="0.25"/>
    <row r="186" spans="1:1" ht="20.100000000000001" customHeight="1" x14ac:dyDescent="0.25">
      <c r="A186" s="112" t="str">
        <f>HYPERLINK("#A1", "▲ Back to top")</f>
        <v>▲ Back to top</v>
      </c>
    </row>
    <row r="187" spans="1:1" ht="20.100000000000001" customHeight="1" x14ac:dyDescent="0.25"/>
    <row r="188" spans="1:1" ht="20.100000000000001" customHeight="1" x14ac:dyDescent="0.25"/>
    <row r="189" spans="1:1" ht="20.100000000000001" customHeight="1" x14ac:dyDescent="0.25"/>
    <row r="190" spans="1:1" ht="20.100000000000001" customHeight="1" x14ac:dyDescent="0.25"/>
    <row r="191" spans="1:1" ht="20.100000000000001" customHeight="1" x14ac:dyDescent="0.25"/>
    <row r="192" spans="1:1"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c r="A213" s="112" t="str">
        <f>HYPERLINK("#A1", "▲ Back to top")</f>
        <v>▲ Back to top</v>
      </c>
    </row>
    <row r="214" spans="1:1" ht="20.100000000000001" customHeight="1" x14ac:dyDescent="0.25"/>
    <row r="215" spans="1:1" ht="20.100000000000001" customHeight="1" x14ac:dyDescent="0.25"/>
    <row r="216" spans="1:1" ht="20.100000000000001" customHeight="1" x14ac:dyDescent="0.25"/>
    <row r="217" spans="1:1" ht="20.100000000000001" customHeight="1" x14ac:dyDescent="0.25"/>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spans="1:1" ht="20.100000000000001" customHeight="1" x14ac:dyDescent="0.25"/>
    <row r="226" spans="1:1" ht="20.100000000000001" customHeight="1" x14ac:dyDescent="0.25"/>
    <row r="227" spans="1:1" ht="20.100000000000001" customHeight="1" x14ac:dyDescent="0.25"/>
    <row r="228" spans="1:1" ht="20.100000000000001" customHeight="1" x14ac:dyDescent="0.25"/>
    <row r="229" spans="1:1" ht="20.100000000000001" customHeight="1" x14ac:dyDescent="0.25"/>
    <row r="230" spans="1:1" ht="20.100000000000001" customHeight="1" x14ac:dyDescent="0.25"/>
    <row r="231" spans="1:1" ht="20.100000000000001" customHeight="1" x14ac:dyDescent="0.25">
      <c r="A231" s="112" t="str">
        <f>HYPERLINK("#A1", "▲ Back to top")</f>
        <v>▲ Back to top</v>
      </c>
    </row>
    <row r="232" spans="1:1" ht="20.100000000000001" customHeight="1" x14ac:dyDescent="0.25"/>
    <row r="233" spans="1:1" ht="20.100000000000001" customHeight="1" x14ac:dyDescent="0.25"/>
    <row r="234" spans="1:1" ht="20.100000000000001" customHeight="1" x14ac:dyDescent="0.25"/>
    <row r="235" spans="1:1" ht="20.100000000000001" customHeight="1" x14ac:dyDescent="0.25"/>
    <row r="236" spans="1:1" ht="20.100000000000001" customHeight="1" x14ac:dyDescent="0.25"/>
    <row r="237" spans="1:1" ht="20.100000000000001" customHeight="1" x14ac:dyDescent="0.25"/>
    <row r="238" spans="1:1" ht="20.100000000000001" customHeight="1" x14ac:dyDescent="0.25"/>
    <row r="239" spans="1:1" ht="20.100000000000001" customHeight="1" x14ac:dyDescent="0.25"/>
    <row r="240" spans="1:1"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spans="1:1" ht="20.100000000000001" customHeight="1" x14ac:dyDescent="0.25"/>
    <row r="258" spans="1:1" ht="20.100000000000001" customHeight="1" x14ac:dyDescent="0.25"/>
    <row r="259" spans="1:1" ht="20.100000000000001" customHeight="1" x14ac:dyDescent="0.25"/>
    <row r="260" spans="1:1" ht="20.100000000000001" customHeight="1" x14ac:dyDescent="0.25"/>
    <row r="261" spans="1:1" ht="20.100000000000001" customHeight="1" x14ac:dyDescent="0.25"/>
    <row r="262" spans="1:1" ht="20.100000000000001" customHeight="1" x14ac:dyDescent="0.25"/>
    <row r="263" spans="1:1" ht="20.100000000000001" customHeight="1" x14ac:dyDescent="0.25"/>
    <row r="264" spans="1:1" ht="20.100000000000001" customHeight="1" x14ac:dyDescent="0.25"/>
    <row r="265" spans="1:1" ht="20.100000000000001" customHeight="1" x14ac:dyDescent="0.25"/>
    <row r="266" spans="1:1" ht="20.100000000000001" customHeight="1" x14ac:dyDescent="0.25">
      <c r="A266" s="112" t="str">
        <f>HYPERLINK("#A1", "▲ Back to top")</f>
        <v>▲ Back to top</v>
      </c>
    </row>
    <row r="267" spans="1:1" ht="20.100000000000001" customHeight="1" x14ac:dyDescent="0.25"/>
    <row r="268" spans="1:1" ht="20.100000000000001" customHeight="1" x14ac:dyDescent="0.25"/>
    <row r="269" spans="1:1" ht="20.100000000000001" customHeight="1" x14ac:dyDescent="0.25"/>
    <row r="270" spans="1:1" ht="20.100000000000001" customHeight="1" x14ac:dyDescent="0.25"/>
    <row r="271" spans="1:1" ht="20.100000000000001" customHeight="1" x14ac:dyDescent="0.25"/>
    <row r="341" spans="8:8" x14ac:dyDescent="0.25">
      <c r="H341" s="20"/>
    </row>
    <row r="342" spans="8:8" x14ac:dyDescent="0.25">
      <c r="H342" s="20"/>
    </row>
  </sheetData>
  <dataValidations disablePrompts="1" count="1">
    <dataValidation operator="equal" allowBlank="1" showInputMessage="1" showErrorMessage="1" sqref="N161:Q161 E126:I126 I207 E49 O133:Q134 E221 H128:I131 F145:I147 F127:I127 F128:F131 P155:Q156 Q121:Q124 O121:O124"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sheetPr>
    <tabColor theme="2" tint="-0.499984740745262"/>
  </sheetPr>
  <dimension ref="A1:W452"/>
  <sheetViews>
    <sheetView showGridLines="0" topLeftCell="A36" zoomScaleNormal="100" workbookViewId="0">
      <selection activeCell="D51" sqref="D51"/>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58" t="e" vm="1">
        <v>#VALUE!</v>
      </c>
      <c r="C1" s="8" t="s">
        <v>103</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0"/>
    </row>
    <row r="5" spans="1:21" ht="20.100000000000001" customHeight="1" x14ac:dyDescent="0.25">
      <c r="A5" s="17" t="str">
        <f>HYPERLINK("#'Results'!A1", "Results")</f>
        <v>Results</v>
      </c>
      <c r="M5" s="1"/>
    </row>
    <row r="6" spans="1:21" ht="20.100000000000001" customHeight="1" x14ac:dyDescent="0.25">
      <c r="D6" s="6" t="s">
        <v>133</v>
      </c>
      <c r="G6" s="6" t="s">
        <v>81</v>
      </c>
      <c r="I6" s="6" t="s">
        <v>221</v>
      </c>
      <c r="M6" s="1"/>
    </row>
    <row r="7" spans="1:21" ht="20.100000000000001" customHeight="1" x14ac:dyDescent="0.25">
      <c r="I7" s="1" t="s">
        <v>222</v>
      </c>
      <c r="M7" s="1"/>
    </row>
    <row r="8" spans="1:21" ht="20.100000000000001" customHeight="1" x14ac:dyDescent="0.25">
      <c r="A8" s="19" t="s">
        <v>0</v>
      </c>
      <c r="D8" s="33" t="s">
        <v>80</v>
      </c>
      <c r="G8" s="33" t="s">
        <v>79</v>
      </c>
      <c r="I8" s="33" t="s">
        <v>223</v>
      </c>
      <c r="M8" s="1"/>
    </row>
    <row r="9" spans="1:21" ht="20.100000000000001" customHeight="1" x14ac:dyDescent="0.25">
      <c r="A9" s="17" t="str">
        <f>HYPERLINK("#'Input - Site'!A1", "Site")</f>
        <v>Site</v>
      </c>
      <c r="D9" s="33" t="s">
        <v>135</v>
      </c>
      <c r="G9" s="33" t="s">
        <v>82</v>
      </c>
      <c r="I9" s="33" t="s">
        <v>104</v>
      </c>
      <c r="M9" s="1"/>
    </row>
    <row r="10" spans="1:21" ht="20.100000000000001" customHeight="1" x14ac:dyDescent="0.25">
      <c r="A10" s="17" t="str">
        <f>HYPERLINK("#'Input - Swine'!A1", "Swine")</f>
        <v>Swine</v>
      </c>
      <c r="D10" s="1" t="s">
        <v>101</v>
      </c>
      <c r="G10" s="33" t="s">
        <v>83</v>
      </c>
      <c r="I10" s="33" t="s">
        <v>105</v>
      </c>
      <c r="M10" s="1"/>
    </row>
    <row r="11" spans="1:21" ht="20.100000000000001" customHeight="1" x14ac:dyDescent="0.25">
      <c r="G11" s="1" t="s">
        <v>84</v>
      </c>
      <c r="I11" s="33" t="s">
        <v>106</v>
      </c>
      <c r="M11" s="1"/>
    </row>
    <row r="12" spans="1:21" ht="20.100000000000001" customHeight="1" x14ac:dyDescent="0.25">
      <c r="G12" s="1" t="s">
        <v>85</v>
      </c>
      <c r="I12" s="33" t="s">
        <v>125</v>
      </c>
      <c r="M12" s="1"/>
    </row>
    <row r="13" spans="1:21" ht="20.100000000000001" customHeight="1" x14ac:dyDescent="0.25">
      <c r="A13" s="18" t="s">
        <v>54</v>
      </c>
      <c r="G13" s="1" t="s">
        <v>86</v>
      </c>
      <c r="M13" s="1"/>
    </row>
    <row r="14" spans="1:21" ht="20.100000000000001" customHeight="1" x14ac:dyDescent="0.25">
      <c r="A14" s="17" t="str">
        <f>HYPERLINK("#'3.5.1.1-2 Enteric Methane'!A1", "3.5.1.1-2 Enteric Methane")</f>
        <v>3.5.1.1-2 Enteric Methane</v>
      </c>
      <c r="D14" s="6" t="str" cm="1">
        <f t="array" ref="D14">SourceData_Swine.SourceData_Swine_FracLEACH_DrylotMMS_Title()</f>
        <v>Fraction of nitrogen lost through leaching and runoff for drylot MMS</v>
      </c>
      <c r="M14" s="1"/>
    </row>
    <row r="15" spans="1:21" ht="20.100000000000001" customHeight="1" x14ac:dyDescent="0.25">
      <c r="D15" s="5" t="str" cm="1">
        <f t="array" ref="D15">SourceData_Swine.SourceData_Swine_FracLEACH_DrylotMMS_Source()</f>
        <v>VEERG 2026: 4.5.2.3 CONSTANT</v>
      </c>
      <c r="M15" s="1"/>
    </row>
    <row r="16" spans="1:21" ht="20.100000000000001" customHeight="1" x14ac:dyDescent="0.25">
      <c r="D16" s="47" t="str" cm="1">
        <f t="array" ref="D16">SourceData_Swine.SourceData_Swine_FracLEACH_DrylotMMS_Variation()</f>
        <v>VARIATION ON SOURCE: Text refers to 'solid storage' MMS, but equation refers to 'drylot' MMS.</v>
      </c>
      <c r="M16" s="1"/>
    </row>
    <row r="17" spans="1:13" ht="20.100000000000001" customHeight="1" x14ac:dyDescent="0.25">
      <c r="A17" s="120" t="s">
        <v>1</v>
      </c>
      <c r="D17" s="45" t="str" cm="1">
        <f t="array" ref="D17">SourceData_Swine.SourceData_Swine_FracLEACH_DrylotMMS_Variable()</f>
        <v>FracLEACH_MS</v>
      </c>
      <c r="E17" s="1" cm="1">
        <f t="array" ref="E17">SourceData_Swine.SourceData_Swine_FracLEACH_DrylotMMS_Data()</f>
        <v>0.02</v>
      </c>
      <c r="F17" s="46" t="str" cm="1">
        <f t="array" ref="F17">SourceData_Swine.SourceData_Swine_FracLEACH_DrylotMMS_Unit()</f>
        <v>fraction</v>
      </c>
      <c r="M17" s="1"/>
    </row>
    <row r="18" spans="1:13" ht="20.100000000000001" customHeight="1" x14ac:dyDescent="0.25">
      <c r="A18" s="119" t="str">
        <f>HYPERLINK("#'Constants - Swine'!A1", "Constants - Swine")</f>
        <v>Constants - Swine</v>
      </c>
      <c r="M18" s="1"/>
    </row>
    <row r="19" spans="1:13" ht="20.100000000000001" customHeight="1" x14ac:dyDescent="0.25">
      <c r="A19" s="17" t="str">
        <f>HYPERLINK("#'Constants - Common'!A1", "Constants - Common")</f>
        <v>Constants - Common</v>
      </c>
      <c r="D19" s="6" t="str" cm="1">
        <f t="array" ref="D19">SourceData_Swine.SourceData_Swine_MethaneVolatileSolidsEmissionsPotential_Title()</f>
        <v>Emissions potential of methane per kilogram of volatile solids</v>
      </c>
      <c r="M19" s="1"/>
    </row>
    <row r="20" spans="1:13" ht="20.100000000000001" customHeight="1" x14ac:dyDescent="0.25">
      <c r="A20" s="17" t="str">
        <f>HYPERLINK("#'Constants - Common livestock'!A1", "Constants - Common livestock")</f>
        <v>Constants - Common livestock</v>
      </c>
      <c r="D20" s="5" t="str" cm="1">
        <f t="array" ref="D20">SourceData_Swine.SourceData_Swine_MethaneVolatileSolidsEmissionsPotential_Source()</f>
        <v>IPCC (2019), Chapter 10 [4]</v>
      </c>
      <c r="M20" s="1"/>
    </row>
    <row r="21" spans="1:13" ht="20.100000000000001" customHeight="1" x14ac:dyDescent="0.25">
      <c r="A21" s="17" t="str">
        <f>HYPERLINK("#'Acknowledgements'!A1", "Acknowledgements")</f>
        <v>Acknowledgements</v>
      </c>
      <c r="D21" s="45" t="str" cm="1">
        <f t="array" ref="D21">SourceData_Swine.SourceData_Swine_MethaneVolatileSolidsEmissionsPotential_Variable()</f>
        <v>B0</v>
      </c>
      <c r="E21" s="1" cm="1">
        <f t="array" ref="E21">SourceData_Swine.SourceData_Swine_MethaneVolatileSolidsEmissionsPotential_Data()</f>
        <v>0.19</v>
      </c>
      <c r="F21" s="46" t="str" cm="1">
        <f t="array" ref="F21">SourceData_Swine.SourceData_Swine_MethaneVolatileSolidsEmissionsPotential_Unit()</f>
        <v>m3 CH4 / kg VS</v>
      </c>
      <c r="M21" s="1"/>
    </row>
    <row r="22" spans="1:13" ht="20.100000000000001" customHeight="1" x14ac:dyDescent="0.25">
      <c r="M22" s="1"/>
    </row>
    <row r="23" spans="1:13" ht="20.100000000000001" customHeight="1" x14ac:dyDescent="0.25">
      <c r="M23" s="1"/>
    </row>
    <row r="24" spans="1:13" ht="20.100000000000001" customHeight="1" x14ac:dyDescent="0.25">
      <c r="D24" s="6" t="str" cm="1">
        <f t="array" ref="D24">SourceData_Swine.SourceData_Swine_MMS_MCFs_Title()</f>
        <v>Methane conversion factor for temperature zone and manure management system.</v>
      </c>
      <c r="H24" s="90" t="s">
        <v>109</v>
      </c>
      <c r="M24" s="1"/>
    </row>
    <row r="25" spans="1:13" ht="20.100000000000001" customHeight="1" x14ac:dyDescent="0.25">
      <c r="D25" s="5" t="str" cm="1">
        <f t="array" ref="D25">SourceData_Swine.SourceData_Swine_MMS_MCFs_Source()</f>
        <v>VEERG 2026: Table A.1.6.4: Swine - MCFs (MCFim)</v>
      </c>
      <c r="H25" s="90" t="s">
        <v>110</v>
      </c>
      <c r="M25" s="1"/>
    </row>
    <row r="26" spans="1:13" ht="20.100000000000001" customHeight="1" x14ac:dyDescent="0.25">
      <c r="D26" s="47" t="str" cm="1">
        <f t="array" ref="D26">SourceData_Swine.SourceData_Swine_MMS_MCFs_Variation()</f>
        <v>VARIATION ON SOURCE DATA: Added columns for ACT, split QLD and NT. Added extra column with MMS names that match NIR definitions</v>
      </c>
      <c r="M26" s="1"/>
    </row>
    <row r="27" spans="1:13" ht="20.100000000000001" customHeight="1" x14ac:dyDescent="0.25">
      <c r="M27" s="1"/>
    </row>
    <row r="28" spans="1:13" ht="20.100000000000001" customHeight="1" x14ac:dyDescent="0.25">
      <c r="D28" s="33" t="s">
        <v>48</v>
      </c>
      <c r="E28" s="33" t="s">
        <v>59</v>
      </c>
      <c r="F28" s="33" t="s">
        <v>58</v>
      </c>
      <c r="G28" s="33" t="s">
        <v>61</v>
      </c>
      <c r="H28" s="33" t="s">
        <v>60</v>
      </c>
      <c r="I28" s="33" t="s">
        <v>62</v>
      </c>
      <c r="J28" s="33" t="s">
        <v>63</v>
      </c>
      <c r="K28" s="33" t="s">
        <v>64</v>
      </c>
      <c r="L28" s="33" t="s">
        <v>65</v>
      </c>
      <c r="M28" s="33" t="s">
        <v>111</v>
      </c>
    </row>
    <row r="29" spans="1:13" ht="20.100000000000001" customHeight="1" x14ac:dyDescent="0.25">
      <c r="D29" s="33" t="str" cm="1">
        <f t="array" ref="D29">Common_InputFunctions.Utility_DisplayArrayInTable(SourceData_Swine.SourceData_Swine_MMS_MCFs_Data(),Table_SourceData_Swine_MMSMCF[[#Headers],[MMS]],0)</f>
        <v>Outdoor (Dry lot)</v>
      </c>
      <c r="E29" s="33" cm="1">
        <f t="array" ref="E29">Common_InputFunctions.Utility_DisplayArrayInTable(SourceData_Swine.SourceData_Swine_MMS_MCFs_Data(),Table_SourceData_Swine_MMSMCF[[#Headers],[MMS]],0)</f>
        <v>0.01</v>
      </c>
      <c r="F29" s="33" cm="1">
        <f t="array" ref="F29">Common_InputFunctions.Utility_DisplayArrayInTable(SourceData_Swine.SourceData_Swine_MMS_MCFs_Data(),Table_SourceData_Swine_MMSMCF[[#Headers],[MMS]],0)</f>
        <v>0.01</v>
      </c>
      <c r="G29" s="33" cm="1">
        <f t="array" ref="G29">Common_InputFunctions.Utility_DisplayArrayInTable(SourceData_Swine.SourceData_Swine_MMS_MCFs_Data(),Table_SourceData_Swine_MMSMCF[[#Headers],[MMS]],0)</f>
        <v>0.03</v>
      </c>
      <c r="H29" s="33" cm="1">
        <f t="array" ref="H29">Common_InputFunctions.Utility_DisplayArrayInTable(SourceData_Swine.SourceData_Swine_MMS_MCFs_Data(),Table_SourceData_Swine_MMSMCF[[#Headers],[MMS]],0)</f>
        <v>0.03</v>
      </c>
      <c r="I29" s="33" cm="1">
        <f t="array" ref="I29">Common_InputFunctions.Utility_DisplayArrayInTable(SourceData_Swine.SourceData_Swine_MMS_MCFs_Data(),Table_SourceData_Swine_MMSMCF[[#Headers],[MMS]],0)</f>
        <v>0.01</v>
      </c>
      <c r="J29" s="33" cm="1">
        <f t="array" ref="J29">Common_InputFunctions.Utility_DisplayArrayInTable(SourceData_Swine.SourceData_Swine_MMS_MCFs_Data(),Table_SourceData_Swine_MMSMCF[[#Headers],[MMS]],0)</f>
        <v>0.01</v>
      </c>
      <c r="K29" s="33" cm="1">
        <f t="array" ref="K29">Common_InputFunctions.Utility_DisplayArrayInTable(SourceData_Swine.SourceData_Swine_MMS_MCFs_Data(),Table_SourceData_Swine_MMSMCF[[#Headers],[MMS]],0)</f>
        <v>0.01</v>
      </c>
      <c r="L29" s="33" cm="1">
        <f t="array" ref="L29">Common_InputFunctions.Utility_DisplayArrayInTable(SourceData_Swine.SourceData_Swine_MMS_MCFs_Data(),Table_SourceData_Swine_MMSMCF[[#Headers],[MMS]],0)</f>
        <v>0.01</v>
      </c>
      <c r="M29" s="33" t="str" cm="1">
        <f t="array" ref="M29">Common_InputFunctions.Utility_DisplayArrayInTable(SourceData_Swine.SourceData_Swine_MMS_MCFs_Data(),Table_SourceData_Swine_MMSMCF[[#Headers],[MMS]],0)</f>
        <v>Drylot (feed pad)</v>
      </c>
    </row>
    <row r="30" spans="1:13" ht="20.100000000000001" customHeight="1" x14ac:dyDescent="0.25">
      <c r="D30" s="1" t="str" cm="1">
        <f t="array" ref="D30">Common_InputFunctions.Utility_DisplayArrayInTable(SourceData_Swine.SourceData_Swine_MMS_MCFs_Data(),Table_SourceData_Swine_MMSMCF[[#Headers],[MMS]],0)</f>
        <v>Deep litter</v>
      </c>
      <c r="E30" s="33" cm="1">
        <f t="array" ref="E30">Common_InputFunctions.Utility_DisplayArrayInTable(SourceData_Swine.SourceData_Swine_MMS_MCFs_Data(),Table_SourceData_Swine_MMSMCF[[#Headers],[MMS]],0)</f>
        <v>0.04</v>
      </c>
      <c r="F30" s="33" cm="1">
        <f t="array" ref="F30">Common_InputFunctions.Utility_DisplayArrayInTable(SourceData_Swine.SourceData_Swine_MMS_MCFs_Data(),Table_SourceData_Swine_MMSMCF[[#Headers],[MMS]],0)</f>
        <v>0.04</v>
      </c>
      <c r="G30" s="33" cm="1">
        <f t="array" ref="G30">Common_InputFunctions.Utility_DisplayArrayInTable(SourceData_Swine.SourceData_Swine_MMS_MCFs_Data(),Table_SourceData_Swine_MMSMCF[[#Headers],[MMS]],0)</f>
        <v>0.04</v>
      </c>
      <c r="H30" s="33" cm="1">
        <f t="array" ref="H30">Common_InputFunctions.Utility_DisplayArrayInTable(SourceData_Swine.SourceData_Swine_MMS_MCFs_Data(),Table_SourceData_Swine_MMSMCF[[#Headers],[MMS]],0)</f>
        <v>0.04</v>
      </c>
      <c r="I30" s="33" cm="1">
        <f t="array" ref="I30">Common_InputFunctions.Utility_DisplayArrayInTable(SourceData_Swine.SourceData_Swine_MMS_MCFs_Data(),Table_SourceData_Swine_MMSMCF[[#Headers],[MMS]],0)</f>
        <v>0.04</v>
      </c>
      <c r="J30" s="33" cm="1">
        <f t="array" ref="J30">Common_InputFunctions.Utility_DisplayArrayInTable(SourceData_Swine.SourceData_Swine_MMS_MCFs_Data(),Table_SourceData_Swine_MMSMCF[[#Headers],[MMS]],0)</f>
        <v>0.04</v>
      </c>
      <c r="K30" s="33" cm="1">
        <f t="array" ref="K30">Common_InputFunctions.Utility_DisplayArrayInTable(SourceData_Swine.SourceData_Swine_MMS_MCFs_Data(),Table_SourceData_Swine_MMSMCF[[#Headers],[MMS]],0)</f>
        <v>0.04</v>
      </c>
      <c r="L30" s="33" cm="1">
        <f t="array" ref="L30">Common_InputFunctions.Utility_DisplayArrayInTable(SourceData_Swine.SourceData_Swine_MMS_MCFs_Data(),Table_SourceData_Swine_MMSMCF[[#Headers],[MMS]],0)</f>
        <v>0.04</v>
      </c>
      <c r="M30" s="33" t="str" cm="1">
        <f t="array" ref="M30">Common_InputFunctions.Utility_DisplayArrayInTable(SourceData_Swine.SourceData_Swine_MMS_MCFs_Data(),Table_SourceData_Swine_MMSMCF[[#Headers],[MMS]],0)</f>
        <v>Deep litter</v>
      </c>
    </row>
    <row r="31" spans="1:13" ht="20.100000000000001" customHeight="1" x14ac:dyDescent="0.25">
      <c r="D31" s="1" t="str" cm="1">
        <f t="array" ref="D31">Common_InputFunctions.Utility_DisplayArrayInTable(SourceData_Swine.SourceData_Swine_MMS_MCFs_Data(),Table_SourceData_Swine_MMSMCF[[#Headers],[MMS]],0)</f>
        <v>Stockpile (Solid storage)</v>
      </c>
      <c r="E31" s="33" cm="1">
        <f t="array" ref="E31">Common_InputFunctions.Utility_DisplayArrayInTable(SourceData_Swine.SourceData_Swine_MMS_MCFs_Data(),Table_SourceData_Swine_MMSMCF[[#Headers],[MMS]],0)</f>
        <v>0.02</v>
      </c>
      <c r="F31" s="33" cm="1">
        <f t="array" ref="F31">Common_InputFunctions.Utility_DisplayArrayInTable(SourceData_Swine.SourceData_Swine_MMS_MCFs_Data(),Table_SourceData_Swine_MMSMCF[[#Headers],[MMS]],0)</f>
        <v>0.02</v>
      </c>
      <c r="G31" s="33" cm="1">
        <f t="array" ref="G31">Common_InputFunctions.Utility_DisplayArrayInTable(SourceData_Swine.SourceData_Swine_MMS_MCFs_Data(),Table_SourceData_Swine_MMSMCF[[#Headers],[MMS]],0)</f>
        <v>0.02</v>
      </c>
      <c r="H31" s="33" cm="1">
        <f t="array" ref="H31">Common_InputFunctions.Utility_DisplayArrayInTable(SourceData_Swine.SourceData_Swine_MMS_MCFs_Data(),Table_SourceData_Swine_MMSMCF[[#Headers],[MMS]],0)</f>
        <v>0.02</v>
      </c>
      <c r="I31" s="33" cm="1">
        <f t="array" ref="I31">Common_InputFunctions.Utility_DisplayArrayInTable(SourceData_Swine.SourceData_Swine_MMS_MCFs_Data(),Table_SourceData_Swine_MMSMCF[[#Headers],[MMS]],0)</f>
        <v>0.02</v>
      </c>
      <c r="J31" s="33" cm="1">
        <f t="array" ref="J31">Common_InputFunctions.Utility_DisplayArrayInTable(SourceData_Swine.SourceData_Swine_MMS_MCFs_Data(),Table_SourceData_Swine_MMSMCF[[#Headers],[MMS]],0)</f>
        <v>0.02</v>
      </c>
      <c r="K31" s="33" cm="1">
        <f t="array" ref="K31">Common_InputFunctions.Utility_DisplayArrayInTable(SourceData_Swine.SourceData_Swine_MMS_MCFs_Data(),Table_SourceData_Swine_MMSMCF[[#Headers],[MMS]],0)</f>
        <v>0.02</v>
      </c>
      <c r="L31" s="33" cm="1">
        <f t="array" ref="L31">Common_InputFunctions.Utility_DisplayArrayInTable(SourceData_Swine.SourceData_Swine_MMS_MCFs_Data(),Table_SourceData_Swine_MMSMCF[[#Headers],[MMS]],0)</f>
        <v>0.02</v>
      </c>
      <c r="M31" s="33" t="str" cm="1">
        <f t="array" ref="M31">Common_InputFunctions.Utility_DisplayArrayInTable(SourceData_Swine.SourceData_Swine_MMS_MCFs_Data(),Table_SourceData_Swine_MMSMCF[[#Headers],[MMS]],0)</f>
        <v>Solid storage</v>
      </c>
    </row>
    <row r="32" spans="1:13" ht="20.100000000000001" customHeight="1" x14ac:dyDescent="0.25">
      <c r="D32" s="1" t="str" cm="1">
        <f t="array" ref="D32">Common_InputFunctions.Utility_DisplayArrayInTable(SourceData_Swine.SourceData_Swine_MMS_MCFs_Data(),Table_SourceData_Swine_MMSMCF[[#Headers],[MMS]],0)</f>
        <v>Effluent pond (Uncovered anaerobic lagoon)</v>
      </c>
      <c r="E32" s="33" cm="1">
        <f t="array" ref="E32">Common_InputFunctions.Utility_DisplayArrayInTable(SourceData_Swine.SourceData_Swine_MMS_MCFs_Data(),Table_SourceData_Swine_MMSMCF[[#Headers],[MMS]],0)</f>
        <v>0.75</v>
      </c>
      <c r="F32" s="33" cm="1">
        <f t="array" ref="F32">Common_InputFunctions.Utility_DisplayArrayInTable(SourceData_Swine.SourceData_Swine_MMS_MCFs_Data(),Table_SourceData_Swine_MMSMCF[[#Headers],[MMS]],0)</f>
        <v>0.75</v>
      </c>
      <c r="G32" s="33" cm="1">
        <f t="array" ref="G32">Common_InputFunctions.Utility_DisplayArrayInTable(SourceData_Swine.SourceData_Swine_MMS_MCFs_Data(),Table_SourceData_Swine_MMSMCF[[#Headers],[MMS]],0)</f>
        <v>0.78</v>
      </c>
      <c r="H32" s="33" cm="1">
        <f t="array" ref="H32">Common_InputFunctions.Utility_DisplayArrayInTable(SourceData_Swine.SourceData_Swine_MMS_MCFs_Data(),Table_SourceData_Swine_MMSMCF[[#Headers],[MMS]],0)</f>
        <v>0.78</v>
      </c>
      <c r="I32" s="33" cm="1">
        <f t="array" ref="I32">Common_InputFunctions.Utility_DisplayArrayInTable(SourceData_Swine.SourceData_Swine_MMS_MCFs_Data(),Table_SourceData_Swine_MMSMCF[[#Headers],[MMS]],0)</f>
        <v>0.75</v>
      </c>
      <c r="J32" s="33" cm="1">
        <f t="array" ref="J32">Common_InputFunctions.Utility_DisplayArrayInTable(SourceData_Swine.SourceData_Swine_MMS_MCFs_Data(),Table_SourceData_Swine_MMSMCF[[#Headers],[MMS]],0)</f>
        <v>0.7</v>
      </c>
      <c r="K32" s="33" cm="1">
        <f t="array" ref="K32">Common_InputFunctions.Utility_DisplayArrayInTable(SourceData_Swine.SourceData_Swine_MMS_MCFs_Data(),Table_SourceData_Swine_MMSMCF[[#Headers],[MMS]],0)</f>
        <v>0.74</v>
      </c>
      <c r="L32" s="33" cm="1">
        <f t="array" ref="L32">Common_InputFunctions.Utility_DisplayArrayInTable(SourceData_Swine.SourceData_Swine_MMS_MCFs_Data(),Table_SourceData_Swine_MMSMCF[[#Headers],[MMS]],0)</f>
        <v>0.76</v>
      </c>
      <c r="M32" s="33" t="str" cm="1">
        <f t="array" ref="M32">Common_InputFunctions.Utility_DisplayArrayInTable(SourceData_Swine.SourceData_Swine_MMS_MCFs_Data(),Table_SourceData_Swine_MMSMCF[[#Headers],[MMS]],0)</f>
        <v>Anaerobic lagoon</v>
      </c>
    </row>
    <row r="33" spans="4:13" ht="20.100000000000001" customHeight="1" x14ac:dyDescent="0.25">
      <c r="D33" s="1" t="str" cm="1">
        <f t="array" ref="D33">Common_InputFunctions.Utility_DisplayArrayInTable(SourceData_Swine.SourceData_Swine_MMS_MCFs_Data(),Table_SourceData_Swine_MMSMCF[[#Headers],[MMS]],0)</f>
        <v>Anaerobic digester / Covered lagoon</v>
      </c>
      <c r="E33" s="33" cm="1">
        <f t="array" ref="E33">Common_InputFunctions.Utility_DisplayArrayInTable(SourceData_Swine.SourceData_Swine_MMS_MCFs_Data(),Table_SourceData_Swine_MMSMCF[[#Headers],[MMS]],0)</f>
        <v>0.1</v>
      </c>
      <c r="F33" s="33" cm="1">
        <f t="array" ref="F33">Common_InputFunctions.Utility_DisplayArrayInTable(SourceData_Swine.SourceData_Swine_MMS_MCFs_Data(),Table_SourceData_Swine_MMSMCF[[#Headers],[MMS]],0)</f>
        <v>0.1</v>
      </c>
      <c r="G33" s="33" cm="1">
        <f t="array" ref="G33">Common_InputFunctions.Utility_DisplayArrayInTable(SourceData_Swine.SourceData_Swine_MMS_MCFs_Data(),Table_SourceData_Swine_MMSMCF[[#Headers],[MMS]],0)</f>
        <v>0.1</v>
      </c>
      <c r="H33" s="33" cm="1">
        <f t="array" ref="H33">Common_InputFunctions.Utility_DisplayArrayInTable(SourceData_Swine.SourceData_Swine_MMS_MCFs_Data(),Table_SourceData_Swine_MMSMCF[[#Headers],[MMS]],0)</f>
        <v>0.1</v>
      </c>
      <c r="I33" s="33" cm="1">
        <f t="array" ref="I33">Common_InputFunctions.Utility_DisplayArrayInTable(SourceData_Swine.SourceData_Swine_MMS_MCFs_Data(),Table_SourceData_Swine_MMSMCF[[#Headers],[MMS]],0)</f>
        <v>0.1</v>
      </c>
      <c r="J33" s="33" cm="1">
        <f t="array" ref="J33">Common_InputFunctions.Utility_DisplayArrayInTable(SourceData_Swine.SourceData_Swine_MMS_MCFs_Data(),Table_SourceData_Swine_MMSMCF[[#Headers],[MMS]],0)</f>
        <v>0.1</v>
      </c>
      <c r="K33" s="33" cm="1">
        <f t="array" ref="K33">Common_InputFunctions.Utility_DisplayArrayInTable(SourceData_Swine.SourceData_Swine_MMS_MCFs_Data(),Table_SourceData_Swine_MMSMCF[[#Headers],[MMS]],0)</f>
        <v>0.1</v>
      </c>
      <c r="L33" s="33" cm="1">
        <f t="array" ref="L33">Common_InputFunctions.Utility_DisplayArrayInTable(SourceData_Swine.SourceData_Swine_MMS_MCFs_Data(),Table_SourceData_Swine_MMSMCF[[#Headers],[MMS]],0)</f>
        <v>0.1</v>
      </c>
      <c r="M33" s="33" t="str" cm="1">
        <f t="array" ref="M33">Common_InputFunctions.Utility_DisplayArrayInTable(SourceData_Swine.SourceData_Swine_MMS_MCFs_Data(),Table_SourceData_Swine_MMSMCF[[#Headers],[MMS]],0)</f>
        <v>Digester / covered lagoons</v>
      </c>
    </row>
    <row r="34" spans="4:13" ht="20.100000000000001" customHeight="1" x14ac:dyDescent="0.25">
      <c r="D34" s="1" t="str" cm="1">
        <f t="array" ref="D34">Common_InputFunctions.Utility_DisplayArrayInTable(SourceData_Swine.SourceData_Swine_MMS_MCFs_Data(),Table_SourceData_Swine_MMSMCF[[#Headers],[MMS]],0)</f>
        <v>Short HRT tank storage &lt; 1 month (pit storage)</v>
      </c>
      <c r="E34" s="33" cm="1">
        <f t="array" ref="E34">Common_InputFunctions.Utility_DisplayArrayInTable(SourceData_Swine.SourceData_Swine_MMS_MCFs_Data(),Table_SourceData_Swine_MMSMCF[[#Headers],[MMS]],0)</f>
        <v>0.03</v>
      </c>
      <c r="F34" s="33" cm="1">
        <f t="array" ref="F34">Common_InputFunctions.Utility_DisplayArrayInTable(SourceData_Swine.SourceData_Swine_MMS_MCFs_Data(),Table_SourceData_Swine_MMSMCF[[#Headers],[MMS]],0)</f>
        <v>0.03</v>
      </c>
      <c r="G34" s="33" cm="1">
        <f t="array" ref="G34">Common_InputFunctions.Utility_DisplayArrayInTable(SourceData_Swine.SourceData_Swine_MMS_MCFs_Data(),Table_SourceData_Swine_MMSMCF[[#Headers],[MMS]],0)</f>
        <v>0.03</v>
      </c>
      <c r="H34" s="33" cm="1">
        <f t="array" ref="H34">Common_InputFunctions.Utility_DisplayArrayInTable(SourceData_Swine.SourceData_Swine_MMS_MCFs_Data(),Table_SourceData_Swine_MMSMCF[[#Headers],[MMS]],0)</f>
        <v>0.03</v>
      </c>
      <c r="I34" s="33" cm="1">
        <f t="array" ref="I34">Common_InputFunctions.Utility_DisplayArrayInTable(SourceData_Swine.SourceData_Swine_MMS_MCFs_Data(),Table_SourceData_Swine_MMSMCF[[#Headers],[MMS]],0)</f>
        <v>0.03</v>
      </c>
      <c r="J34" s="33" cm="1">
        <f t="array" ref="J34">Common_InputFunctions.Utility_DisplayArrayInTable(SourceData_Swine.SourceData_Swine_MMS_MCFs_Data(),Table_SourceData_Swine_MMSMCF[[#Headers],[MMS]],0)</f>
        <v>0.03</v>
      </c>
      <c r="K34" s="33" cm="1">
        <f t="array" ref="K34">Common_InputFunctions.Utility_DisplayArrayInTable(SourceData_Swine.SourceData_Swine_MMS_MCFs_Data(),Table_SourceData_Swine_MMSMCF[[#Headers],[MMS]],0)</f>
        <v>0.03</v>
      </c>
      <c r="L34" s="33" cm="1">
        <f t="array" ref="L34">Common_InputFunctions.Utility_DisplayArrayInTable(SourceData_Swine.SourceData_Swine_MMS_MCFs_Data(),Table_SourceData_Swine_MMSMCF[[#Headers],[MMS]],0)</f>
        <v>0.03</v>
      </c>
      <c r="M34" s="33" t="str" cm="1">
        <f t="array" ref="M34">Common_InputFunctions.Utility_DisplayArrayInTable(SourceData_Swine.SourceData_Swine_MMS_MCFs_Data(),Table_SourceData_Swine_MMSMCF[[#Headers],[MMS]],0)</f>
        <v>Pit storage</v>
      </c>
    </row>
    <row r="35" spans="4:13" ht="20.100000000000001" customHeight="1" x14ac:dyDescent="0.25">
      <c r="D35" s="1" t="str" cm="1">
        <f t="array" ref="D35">Common_InputFunctions.Utility_DisplayArrayInTable(SourceData_Swine.SourceData_Swine_MMS_MCFs_Data(),Table_SourceData_Swine_MMSMCF[[#Headers],[MMS]],0)</f>
        <v>Direct Application to soil</v>
      </c>
      <c r="E35" s="33" cm="1">
        <f t="array" ref="E35">Common_InputFunctions.Utility_DisplayArrayInTable(SourceData_Swine.SourceData_Swine_MMS_MCFs_Data(),Table_SourceData_Swine_MMSMCF[[#Headers],[MMS]],0)</f>
        <v>0</v>
      </c>
      <c r="F35" s="33" cm="1">
        <f t="array" ref="F35">Common_InputFunctions.Utility_DisplayArrayInTable(SourceData_Swine.SourceData_Swine_MMS_MCFs_Data(),Table_SourceData_Swine_MMSMCF[[#Headers],[MMS]],0)</f>
        <v>0</v>
      </c>
      <c r="G35" s="33" cm="1">
        <f t="array" ref="G35">Common_InputFunctions.Utility_DisplayArrayInTable(SourceData_Swine.SourceData_Swine_MMS_MCFs_Data(),Table_SourceData_Swine_MMSMCF[[#Headers],[MMS]],0)</f>
        <v>0</v>
      </c>
      <c r="H35" s="33" cm="1">
        <f t="array" ref="H35">Common_InputFunctions.Utility_DisplayArrayInTable(SourceData_Swine.SourceData_Swine_MMS_MCFs_Data(),Table_SourceData_Swine_MMSMCF[[#Headers],[MMS]],0)</f>
        <v>0</v>
      </c>
      <c r="I35" s="33" cm="1">
        <f t="array" ref="I35">Common_InputFunctions.Utility_DisplayArrayInTable(SourceData_Swine.SourceData_Swine_MMS_MCFs_Data(),Table_SourceData_Swine_MMSMCF[[#Headers],[MMS]],0)</f>
        <v>0</v>
      </c>
      <c r="J35" s="33" cm="1">
        <f t="array" ref="J35">Common_InputFunctions.Utility_DisplayArrayInTable(SourceData_Swine.SourceData_Swine_MMS_MCFs_Data(),Table_SourceData_Swine_MMSMCF[[#Headers],[MMS]],0)</f>
        <v>0</v>
      </c>
      <c r="K35" s="33" cm="1">
        <f t="array" ref="K35">Common_InputFunctions.Utility_DisplayArrayInTable(SourceData_Swine.SourceData_Swine_MMS_MCFs_Data(),Table_SourceData_Swine_MMSMCF[[#Headers],[MMS]],0)</f>
        <v>0</v>
      </c>
      <c r="L35" s="33" cm="1">
        <f t="array" ref="L35">Common_InputFunctions.Utility_DisplayArrayInTable(SourceData_Swine.SourceData_Swine_MMS_MCFs_Data(),Table_SourceData_Swine_MMSMCF[[#Headers],[MMS]],0)</f>
        <v>0</v>
      </c>
      <c r="M35" s="33" t="str" cm="1">
        <f t="array" ref="M35">Common_InputFunctions.Utility_DisplayArrayInTable(SourceData_Swine.SourceData_Swine_MMS_MCFs_Data(),Table_SourceData_Swine_MMSMCF[[#Headers],[MMS]],0)</f>
        <v>Direct application</v>
      </c>
    </row>
    <row r="36" spans="4:13" ht="20.100000000000001" customHeight="1" x14ac:dyDescent="0.25">
      <c r="M36" s="1"/>
    </row>
    <row r="37" spans="4:13" ht="20.100000000000001" customHeight="1" x14ac:dyDescent="0.25">
      <c r="M37" s="1"/>
    </row>
    <row r="38" spans="4:13" ht="20.100000000000001" customHeight="1" x14ac:dyDescent="0.25">
      <c r="D38" s="6" t="s">
        <v>112</v>
      </c>
      <c r="G38" s="6" t="s">
        <v>113</v>
      </c>
      <c r="K38" s="6" t="s">
        <v>114</v>
      </c>
      <c r="M38" s="1"/>
    </row>
    <row r="39" spans="4:13" ht="20.100000000000001" customHeight="1" x14ac:dyDescent="0.25">
      <c r="M39" s="1"/>
    </row>
    <row r="40" spans="4:13" ht="20.100000000000001" customHeight="1" x14ac:dyDescent="0.25">
      <c r="D40" s="99" t="s">
        <v>48</v>
      </c>
      <c r="E40" s="33" t="s">
        <v>57</v>
      </c>
      <c r="G40" s="99" t="s">
        <v>48</v>
      </c>
      <c r="H40" s="33" t="s">
        <v>57</v>
      </c>
      <c r="K40" s="99" t="s">
        <v>48</v>
      </c>
      <c r="L40" s="33" t="s">
        <v>57</v>
      </c>
      <c r="M40" s="1"/>
    </row>
    <row r="41" spans="4:13" ht="20.100000000000001" customHeight="1" x14ac:dyDescent="0.25">
      <c r="D41" s="33" t="str">
        <f>'Constants - Common livestock'!$E$10</f>
        <v>Anaerobic lagoon</v>
      </c>
      <c r="E41" s="33" t="str">
        <f>'Constants - Common livestock'!$F$10</f>
        <v>Anaerobic lagoon (m=1)</v>
      </c>
      <c r="G41" s="33" t="str">
        <f>'Constants - Common livestock'!$E$10</f>
        <v>Anaerobic lagoon</v>
      </c>
      <c r="H41" s="33" t="str">
        <f>'Constants - Common livestock'!$F$10</f>
        <v>Anaerobic lagoon (m=1)</v>
      </c>
      <c r="K41" s="33" t="str">
        <f>'Constants - Common livestock'!$E$10</f>
        <v>Anaerobic lagoon</v>
      </c>
      <c r="L41" s="33" t="str">
        <f>'Constants - Common livestock'!$F$10</f>
        <v>Anaerobic lagoon (m=1)</v>
      </c>
      <c r="M41" s="1"/>
    </row>
    <row r="42" spans="4:13" ht="20.100000000000001" customHeight="1" x14ac:dyDescent="0.25">
      <c r="D42" s="33" t="str">
        <f>'Constants - Common livestock'!$E$15</f>
        <v>Solid storage</v>
      </c>
      <c r="E42" s="33" t="str">
        <f>'Constants - Common livestock'!$F$15</f>
        <v>Solid storage (m=4)</v>
      </c>
      <c r="G42" s="33" t="str">
        <f>'Constants - Common livestock'!$E$16</f>
        <v>Drylot (feed pad)</v>
      </c>
      <c r="H42" s="33" t="str">
        <f>'Constants - Common livestock'!$F$16</f>
        <v>Drylot (feed pad) (m=5)</v>
      </c>
      <c r="K42" s="33" t="str">
        <f>'Constants - Common livestock'!$E$15</f>
        <v>Solid storage</v>
      </c>
      <c r="L42" s="33" t="str">
        <f>'Constants - Common livestock'!$F$15</f>
        <v>Solid storage (m=4)</v>
      </c>
      <c r="M42" s="1"/>
    </row>
    <row r="43" spans="4:13" ht="20.100000000000001" customHeight="1" x14ac:dyDescent="0.25">
      <c r="D43" s="33" t="str">
        <f>'Constants - Common livestock'!$E$16</f>
        <v>Drylot (feed pad)</v>
      </c>
      <c r="E43" s="33" t="str">
        <f>'Constants - Common livestock'!$F$16</f>
        <v>Drylot (feed pad) (m=5)</v>
      </c>
      <c r="G43" s="33" t="str">
        <f>'Constants - Common livestock'!$E$18</f>
        <v>Digester / covered lagoons</v>
      </c>
      <c r="H43" s="33" t="str">
        <f>'Constants - Common livestock'!$F$18</f>
        <v>Digester / covered lagoons (m=7)</v>
      </c>
      <c r="K43" s="33" t="str">
        <f>'Constants - Common livestock'!$E$16</f>
        <v>Drylot (feed pad)</v>
      </c>
      <c r="L43" s="33" t="str">
        <f>'Constants - Common livestock'!$F$16</f>
        <v>Drylot (feed pad) (m=5)</v>
      </c>
      <c r="M43" s="1"/>
    </row>
    <row r="44" spans="4:13" ht="20.100000000000001" customHeight="1" x14ac:dyDescent="0.25">
      <c r="D44" s="33" t="str">
        <f>'Constants - Common livestock'!$E$18</f>
        <v>Digester / covered lagoons</v>
      </c>
      <c r="E44" s="33" t="str">
        <f>'Constants - Common livestock'!$F$18</f>
        <v>Digester / covered lagoons (m=7)</v>
      </c>
      <c r="G44" s="33" t="str">
        <f>'Constants - Common livestock'!$E$19</f>
        <v>Deep litter</v>
      </c>
      <c r="H44" s="33" t="str">
        <f>'Constants - Common livestock'!$F$19</f>
        <v>Deep litter (m=8)</v>
      </c>
      <c r="K44" s="33" t="str">
        <f>'Constants - Common livestock'!$E$18</f>
        <v>Digester / covered lagoons</v>
      </c>
      <c r="L44" s="33" t="str">
        <f>'Constants - Common livestock'!$F$18</f>
        <v>Digester / covered lagoons (m=7)</v>
      </c>
      <c r="M44" s="1"/>
    </row>
    <row r="45" spans="4:13" ht="20.100000000000001" customHeight="1" x14ac:dyDescent="0.25">
      <c r="D45" s="33" t="str">
        <f>'Constants - Common livestock'!$E$19</f>
        <v>Deep litter</v>
      </c>
      <c r="E45" s="33" t="str">
        <f>'Constants - Common livestock'!$F$19</f>
        <v>Deep litter (m=8)</v>
      </c>
      <c r="G45" s="33" t="str">
        <f>'Constants - Common livestock'!$E$20</f>
        <v>Pit storage</v>
      </c>
      <c r="H45" s="33" t="str">
        <f>'Constants - Common livestock'!$F$20</f>
        <v>Pit storage (m=9)</v>
      </c>
      <c r="K45" s="33" t="str">
        <f>'Constants - Common livestock'!$E$19</f>
        <v>Deep litter</v>
      </c>
      <c r="L45" s="33" t="str">
        <f>'Constants - Common livestock'!$F$19</f>
        <v>Deep litter (m=8)</v>
      </c>
      <c r="M45" s="1"/>
    </row>
    <row r="46" spans="4:13" ht="20.100000000000001" customHeight="1" x14ac:dyDescent="0.25">
      <c r="D46" s="33" t="str">
        <f>'Constants - Common livestock'!$E$20</f>
        <v>Pit storage</v>
      </c>
      <c r="E46" s="33" t="str">
        <f>'Constants - Common livestock'!$F$20</f>
        <v>Pit storage (m=9)</v>
      </c>
      <c r="K46" s="33" t="str">
        <f>'Constants - Common livestock'!$E$20</f>
        <v>Pit storage</v>
      </c>
      <c r="L46" s="33" t="str">
        <f>'Constants - Common livestock'!$F$20</f>
        <v>Pit storage (m=9)</v>
      </c>
      <c r="M46" s="1"/>
    </row>
    <row r="47" spans="4:13" ht="20.100000000000001" customHeight="1" x14ac:dyDescent="0.25">
      <c r="D47" s="33" t="str">
        <f>'Constants - Common livestock'!$E$26</f>
        <v>Direct application</v>
      </c>
      <c r="E47" s="33" t="str">
        <f>'Constants - Common livestock'!$F$26</f>
        <v>Direct application (m=13)</v>
      </c>
      <c r="M47" s="1"/>
    </row>
    <row r="48" spans="4:13" ht="20.100000000000001" customHeight="1" x14ac:dyDescent="0.25">
      <c r="M48" s="1"/>
    </row>
    <row r="49" spans="4:13" ht="20.100000000000001" customHeight="1" x14ac:dyDescent="0.25">
      <c r="M49" s="1"/>
    </row>
    <row r="50" spans="4:13" ht="20.100000000000001" customHeight="1" x14ac:dyDescent="0.25">
      <c r="M50" s="1"/>
    </row>
    <row r="51" spans="4:13" ht="20.100000000000001" customHeight="1" x14ac:dyDescent="0.25">
      <c r="D51" s="6" t="s">
        <v>115</v>
      </c>
      <c r="G51" s="6" t="s">
        <v>116</v>
      </c>
      <c r="M51" s="1"/>
    </row>
    <row r="52" spans="4:13" ht="20.100000000000001" customHeight="1" x14ac:dyDescent="0.25">
      <c r="M52" s="1"/>
    </row>
    <row r="53" spans="4:13" ht="20.100000000000001" customHeight="1" x14ac:dyDescent="0.25">
      <c r="D53" s="99" t="s">
        <v>48</v>
      </c>
      <c r="E53" s="33" t="s">
        <v>117</v>
      </c>
      <c r="G53" s="33" t="s">
        <v>80</v>
      </c>
      <c r="M53" s="1"/>
    </row>
    <row r="54" spans="4:13" ht="20.100000000000001" customHeight="1" x14ac:dyDescent="0.25">
      <c r="D54" s="33" t="str">
        <f>'Constants - Common livestock'!$E$10</f>
        <v>Anaerobic lagoon</v>
      </c>
      <c r="E54" s="33">
        <v>0</v>
      </c>
      <c r="G54" s="33" t="str" cm="1">
        <f t="array" ref="G54">Common_InputFunctions.Utility_DisplayArrayInTable(SourceData_Swine.SourceData_Swine_ProductionSystems_Data(), Table_SourceData_Swine_ProductionSystems[[#Headers],[Production system]], 0)</f>
        <v>Conventional housing</v>
      </c>
      <c r="M54" s="1"/>
    </row>
    <row r="55" spans="4:13" ht="20.100000000000001" customHeight="1" x14ac:dyDescent="0.25">
      <c r="D55" s="33" t="str">
        <f>'Constants - Common livestock'!$E$15</f>
        <v>Solid storage</v>
      </c>
      <c r="E55" s="33">
        <v>0</v>
      </c>
      <c r="G55" s="33" t="str" cm="1">
        <f t="array" ref="G55">Common_InputFunctions.Utility_DisplayArrayInTable(SourceData_Swine.SourceData_Swine_ProductionSystems_Data(), Table_SourceData_Swine_ProductionSystems[[#Headers],[Production system]], 0)</f>
        <v>Deep litter housing</v>
      </c>
      <c r="M55" s="1"/>
    </row>
    <row r="56" spans="4:13" ht="20.100000000000001" customHeight="1" x14ac:dyDescent="0.25">
      <c r="D56" s="33" t="str">
        <f>'Constants - Common livestock'!$E$16</f>
        <v>Drylot (feed pad)</v>
      </c>
      <c r="E56" s="33">
        <v>0</v>
      </c>
      <c r="G56" s="33" t="str" cm="1">
        <f t="array" ref="G56">Common_InputFunctions.Utility_DisplayArrayInTable(SourceData_Swine.SourceData_Swine_ProductionSystems_Data(), Table_SourceData_Swine_ProductionSystems[[#Headers],[Production system]], 0)</f>
        <v>Outdoor/free range</v>
      </c>
      <c r="M56" s="1"/>
    </row>
    <row r="57" spans="4:13" ht="20.100000000000001" customHeight="1" x14ac:dyDescent="0.25">
      <c r="D57" s="33" t="str">
        <f>'Constants - Common livestock'!$E$18</f>
        <v>Digester / covered lagoons</v>
      </c>
      <c r="E57" s="33">
        <v>0.75</v>
      </c>
      <c r="M57" s="1"/>
    </row>
    <row r="58" spans="4:13" ht="20.100000000000001" customHeight="1" x14ac:dyDescent="0.25">
      <c r="D58" s="33" t="str">
        <f>'Constants - Common livestock'!$E$19</f>
        <v>Deep litter</v>
      </c>
      <c r="E58" s="33">
        <v>0.05</v>
      </c>
      <c r="M58" s="1"/>
    </row>
    <row r="59" spans="4:13" ht="20.100000000000001" customHeight="1" x14ac:dyDescent="0.25">
      <c r="D59" s="33" t="str">
        <f>'Constants - Common livestock'!$E$20</f>
        <v>Pit storage</v>
      </c>
      <c r="E59" s="33">
        <v>0</v>
      </c>
      <c r="M59" s="1"/>
    </row>
    <row r="60" spans="4:13" ht="20.100000000000001" customHeight="1" x14ac:dyDescent="0.25">
      <c r="D60" s="33" t="str">
        <f>'Constants - Common livestock'!$E$26</f>
        <v>Direct application</v>
      </c>
      <c r="E60" s="33">
        <v>0</v>
      </c>
      <c r="M60" s="1"/>
    </row>
    <row r="61" spans="4:13" ht="20.100000000000001" customHeight="1" x14ac:dyDescent="0.25">
      <c r="M61" s="1"/>
    </row>
    <row r="62" spans="4:13" ht="20.100000000000001" customHeight="1" x14ac:dyDescent="0.25">
      <c r="M62" s="1"/>
    </row>
    <row r="63" spans="4:13" ht="20.100000000000001" customHeight="1" x14ac:dyDescent="0.25">
      <c r="D63" s="6" t="str" cm="1">
        <f t="array" ref="D63">SourceData_Swine.SourceData_Swine_VolatileSolids_Title()</f>
        <v>Swine - Volatile solids (VSj) - 2020 to 2024</v>
      </c>
      <c r="M63" s="1"/>
    </row>
    <row r="64" spans="4:13" ht="20.100000000000001" customHeight="1" x14ac:dyDescent="0.25">
      <c r="D64" s="5" t="str" cm="1">
        <f t="array" ref="D64">SourceData_Swine.SourceData_Swine_VolatileSolids_Source()</f>
        <v>VEERG 2026: Table A.1.6.1: Swine - Intake and manure characteristics derived from PigBal</v>
      </c>
      <c r="M64" s="1"/>
    </row>
    <row r="65" spans="4:22" ht="20.100000000000001" customHeight="1" x14ac:dyDescent="0.25">
      <c r="D65" s="47" t="str" cm="1">
        <f t="array" ref="D65">SourceData_Swine.SourceData_Swine_VolatileSolids_Variation()</f>
        <v>VARIATION ON SOURCE DATA: Only uses data for 2020-2024. Use 'Slaughter pigs' data for 'Other j=4' class.</v>
      </c>
      <c r="M65" s="1"/>
    </row>
    <row r="66" spans="4:22" ht="20.100000000000001" customHeight="1" x14ac:dyDescent="0.25">
      <c r="M66" s="1"/>
    </row>
    <row r="67" spans="4:22" ht="20.100000000000001" customHeight="1" x14ac:dyDescent="0.25">
      <c r="D67" s="33" t="s">
        <v>107</v>
      </c>
      <c r="E67" s="33" t="s">
        <v>108</v>
      </c>
      <c r="M67" s="1"/>
    </row>
    <row r="68" spans="4:22" ht="20.100000000000001" customHeight="1" x14ac:dyDescent="0.25">
      <c r="D68" s="33" t="str" cm="1">
        <f t="array" ref="D68">Common_InputFunctions.Utility_DisplayArrayInTable(SourceData_Swine.SourceData_Swine_VolatileSolids_Data(), Table_SourceData_Swine_VolatileSolids[[#Headers],[Class]], 0)</f>
        <v>Boars</v>
      </c>
      <c r="E68" s="33" cm="1">
        <f t="array" ref="E68">Common_InputFunctions.Utility_DisplayArrayInTable(SourceData_Swine.SourceData_Swine_VolatileSolids_Data(), Table_SourceData_Swine_VolatileSolids[[#Headers],[Class]], 0)</f>
        <v>0.4</v>
      </c>
      <c r="M68" s="1"/>
    </row>
    <row r="69" spans="4:22" ht="20.100000000000001" customHeight="1" x14ac:dyDescent="0.25">
      <c r="D69" s="1" t="str" cm="1">
        <f t="array" ref="D69">Common_InputFunctions.Utility_DisplayArrayInTable(SourceData_Swine.SourceData_Swine_VolatileSolids_Data(), Table_SourceData_Swine_VolatileSolids[[#Headers],[Class]], 0)</f>
        <v>Sows</v>
      </c>
      <c r="E69" s="33" cm="1">
        <f t="array" ref="E69">Common_InputFunctions.Utility_DisplayArrayInTable(SourceData_Swine.SourceData_Swine_VolatileSolids_Data(), Table_SourceData_Swine_VolatileSolids[[#Headers],[Class]], 0)</f>
        <v>0.46</v>
      </c>
      <c r="M69" s="1"/>
    </row>
    <row r="70" spans="4:22" ht="20.100000000000001" customHeight="1" x14ac:dyDescent="0.25">
      <c r="D70" s="1" t="str" cm="1">
        <f t="array" ref="D70">Common_InputFunctions.Utility_DisplayArrayInTable(SourceData_Swine.SourceData_Swine_VolatileSolids_Data(), Table_SourceData_Swine_VolatileSolids[[#Headers],[Class]], 0)</f>
        <v>Gilts</v>
      </c>
      <c r="E70" s="33" cm="1">
        <f t="array" ref="E70">Common_InputFunctions.Utility_DisplayArrayInTable(SourceData_Swine.SourceData_Swine_VolatileSolids_Data(), Table_SourceData_Swine_VolatileSolids[[#Headers],[Class]], 0)</f>
        <v>0.55000000000000004</v>
      </c>
      <c r="M70" s="1"/>
    </row>
    <row r="71" spans="4:22" ht="20.100000000000001" customHeight="1" x14ac:dyDescent="0.25">
      <c r="D71" s="1" t="str" cm="1">
        <f t="array" ref="D71">Common_InputFunctions.Utility_DisplayArrayInTable(SourceData_Swine.SourceData_Swine_VolatileSolids_Data(), Table_SourceData_Swine_VolatileSolids[[#Headers],[Class]], 0)</f>
        <v>Others</v>
      </c>
      <c r="E71" s="33" cm="1">
        <f t="array" ref="E71">Common_InputFunctions.Utility_DisplayArrayInTable(SourceData_Swine.SourceData_Swine_VolatileSolids_Data(), Table_SourceData_Swine_VolatileSolids[[#Headers],[Class]], 0)</f>
        <v>0.39</v>
      </c>
      <c r="M71" s="1"/>
      <c r="V71" s="1"/>
    </row>
    <row r="72" spans="4:22" ht="20.100000000000001" customHeight="1" x14ac:dyDescent="0.25">
      <c r="M72" s="1"/>
      <c r="V72" s="1"/>
    </row>
    <row r="73" spans="4:22" ht="20.100000000000001" customHeight="1" x14ac:dyDescent="0.25">
      <c r="M73" s="1"/>
      <c r="V73" s="1"/>
    </row>
    <row r="74" spans="4:22" ht="20.100000000000001" customHeight="1" x14ac:dyDescent="0.25">
      <c r="D74" s="6" t="str" cm="1">
        <f t="array" ref="D74">SourceData_Swine.SourceData_Swine_FeedIntake_Title()</f>
        <v>Swine - Feed intake - ingested as fed  (Ij) - 2020 to 2024</v>
      </c>
      <c r="M74" s="1"/>
      <c r="V74" s="1"/>
    </row>
    <row r="75" spans="4:22" ht="20.100000000000001" customHeight="1" x14ac:dyDescent="0.25">
      <c r="D75" s="5" t="str" cm="1">
        <f t="array" ref="D75">SourceData_Swine.SourceData_Swine_FeedIntake_Source()</f>
        <v>VEERG 2026: Table A.1.6.1: Swine - Intake and manure characteristics derived from PigBal</v>
      </c>
      <c r="M75" s="1"/>
      <c r="V75" s="1"/>
    </row>
    <row r="76" spans="4:22" ht="20.100000000000001" customHeight="1" x14ac:dyDescent="0.25">
      <c r="D76" s="47" t="str" cm="1">
        <f t="array" ref="D76">SourceData_Swine.SourceData_Swine_FeedIntake_Variation()</f>
        <v>VARIATION ON SOURCE DATA: Only uses data for 2020-2024. Use 'Slaughter pigs' data for 'Other j=4' class.</v>
      </c>
      <c r="M76" s="1"/>
      <c r="V76" s="1"/>
    </row>
    <row r="77" spans="4:22" ht="20.100000000000001" customHeight="1" x14ac:dyDescent="0.25">
      <c r="M77" s="1"/>
      <c r="V77" s="1"/>
    </row>
    <row r="78" spans="4:22" ht="20.100000000000001" customHeight="1" x14ac:dyDescent="0.25">
      <c r="D78" s="33" t="s">
        <v>107</v>
      </c>
      <c r="E78" s="33" t="s">
        <v>128</v>
      </c>
      <c r="M78" s="1"/>
      <c r="V78" s="1"/>
    </row>
    <row r="79" spans="4:22" ht="20.100000000000001" customHeight="1" x14ac:dyDescent="0.25">
      <c r="D79" s="33" t="str" cm="1">
        <f t="array" ref="D79">Common_InputFunctions.Utility_DisplayArrayInTable(SourceData_Swine.SourceData_Swine_FeedIntake_Data(), Table_SourceData_Swine_FeedIntake[[#Headers],[Class]], 0)</f>
        <v>Boars</v>
      </c>
      <c r="E79" s="33" cm="1">
        <f t="array" ref="E79">Common_InputFunctions.Utility_DisplayArrayInTable(SourceData_Swine.SourceData_Swine_FeedIntake_Data(), Table_SourceData_Swine_FeedIntake[[#Headers],[Class]], 0)</f>
        <v>2.62</v>
      </c>
      <c r="M79" s="1"/>
      <c r="V79" s="1"/>
    </row>
    <row r="80" spans="4:22" ht="20.100000000000001" customHeight="1" x14ac:dyDescent="0.25">
      <c r="D80" s="33" t="str" cm="1">
        <f t="array" ref="D80">Common_InputFunctions.Utility_DisplayArrayInTable(SourceData_Swine.SourceData_Swine_FeedIntake_Data(), Table_SourceData_Swine_FeedIntake[[#Headers],[Class]], 0)</f>
        <v>Sows</v>
      </c>
      <c r="E80" s="33" cm="1">
        <f t="array" ref="E80">Common_InputFunctions.Utility_DisplayArrayInTable(SourceData_Swine.SourceData_Swine_FeedIntake_Data(), Table_SourceData_Swine_FeedIntake[[#Headers],[Class]], 0)</f>
        <v>2.2999999999999998</v>
      </c>
      <c r="M80" s="1"/>
      <c r="V80" s="1"/>
    </row>
    <row r="81" spans="4:23" ht="20.100000000000001" customHeight="1" x14ac:dyDescent="0.25">
      <c r="D81" s="33" t="str" cm="1">
        <f t="array" ref="D81">Common_InputFunctions.Utility_DisplayArrayInTable(SourceData_Swine.SourceData_Swine_FeedIntake_Data(), Table_SourceData_Swine_FeedIntake[[#Headers],[Class]], 0)</f>
        <v>Gilts</v>
      </c>
      <c r="E81" s="33" cm="1">
        <f t="array" ref="E81">Common_InputFunctions.Utility_DisplayArrayInTable(SourceData_Swine.SourceData_Swine_FeedIntake_Data(), Table_SourceData_Swine_FeedIntake[[#Headers],[Class]], 0)</f>
        <v>2.5</v>
      </c>
      <c r="M81" s="1"/>
      <c r="V81" s="1"/>
    </row>
    <row r="82" spans="4:23" ht="20.100000000000001" customHeight="1" x14ac:dyDescent="0.25">
      <c r="D82" s="33" t="str" cm="1">
        <f t="array" ref="D82">Common_InputFunctions.Utility_DisplayArrayInTable(SourceData_Swine.SourceData_Swine_FeedIntake_Data(), Table_SourceData_Swine_FeedIntake[[#Headers],[Class]], 0)</f>
        <v>Others</v>
      </c>
      <c r="E82" s="33" cm="1">
        <f t="array" ref="E82">Common_InputFunctions.Utility_DisplayArrayInTable(SourceData_Swine.SourceData_Swine_FeedIntake_Data(), Table_SourceData_Swine_FeedIntake[[#Headers],[Class]], 0)</f>
        <v>1.71</v>
      </c>
      <c r="M82" s="1"/>
      <c r="V82" s="1"/>
    </row>
    <row r="83" spans="4:23" ht="20.100000000000001" customHeight="1" x14ac:dyDescent="0.25">
      <c r="M83" s="1"/>
    </row>
    <row r="84" spans="4:23" ht="20.100000000000001" customHeight="1" x14ac:dyDescent="0.25">
      <c r="M84" s="1"/>
    </row>
    <row r="85" spans="4:23" ht="20.100000000000001" customHeight="1" x14ac:dyDescent="0.25">
      <c r="D85" s="6" t="str" cm="1">
        <f t="array" ref="D85">SourceData_Swine.SourceData_Swine_NitrogenInWaste_Title()</f>
        <v>Swine - Nitrogen in waste (NWj) - 2020 to 2024</v>
      </c>
      <c r="M85" s="1"/>
      <c r="V85" s="1"/>
    </row>
    <row r="86" spans="4:23" ht="20.100000000000001" customHeight="1" x14ac:dyDescent="0.25">
      <c r="D86" s="5" t="str" cm="1">
        <f t="array" ref="D86">SourceData_Swine.SourceData_Swine_NitrogenInWaste_Source()</f>
        <v>VEERG 2026: Table A.1.6.1: Swine - Intake and manure characteristics derived from PigBal</v>
      </c>
      <c r="M86" s="1"/>
      <c r="V86" s="1"/>
    </row>
    <row r="87" spans="4:23" ht="20.100000000000001" customHeight="1" x14ac:dyDescent="0.25">
      <c r="D87" s="47"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1"/>
      <c r="V87" s="1"/>
    </row>
    <row r="88" spans="4:23" ht="20.100000000000001" customHeight="1" x14ac:dyDescent="0.25">
      <c r="M88" s="1"/>
      <c r="V88" s="1"/>
    </row>
    <row r="89" spans="4:23" ht="20.100000000000001" customHeight="1" x14ac:dyDescent="0.25">
      <c r="D89" s="33" t="s">
        <v>107</v>
      </c>
      <c r="E89" s="33" t="s">
        <v>126</v>
      </c>
      <c r="F89" s="33" t="s">
        <v>127</v>
      </c>
      <c r="G89" s="33" t="s">
        <v>134</v>
      </c>
      <c r="M89" s="1"/>
      <c r="V89" s="1"/>
      <c r="W89" s="1"/>
    </row>
    <row r="90" spans="4:23" ht="20.100000000000001" customHeight="1" x14ac:dyDescent="0.25">
      <c r="D90" s="33" t="str" cm="1">
        <f t="array" ref="D90">Common_InputFunctions.Utility_DisplayArrayInTable(SourceData_Swine.SourceData_Swine_NitrogenInWaste_Data(), Table_SourceData_Swine_NitrogenInWaste[[#Headers],[Class]], 0)</f>
        <v>Boars</v>
      </c>
      <c r="E90" s="33" cm="1">
        <f t="array" ref="E90">Common_InputFunctions.Utility_DisplayArrayInTable(SourceData_Swine.SourceData_Swine_NitrogenInWaste_Data(), Table_SourceData_Swine_NitrogenInWaste[[#Headers],[Class]], 0)</f>
        <v>4.5999999999999999E-2</v>
      </c>
      <c r="F90" s="33" cm="1">
        <f t="array" ref="F90">Common_InputFunctions.Utility_DisplayArrayInTable(SourceData_Swine.SourceData_Swine_NitrogenInWaste_Data(), Table_SourceData_Swine_NitrogenInWaste[[#Headers],[Class]], 0)</f>
        <v>4.5999999999999999E-2</v>
      </c>
      <c r="G90" s="33" t="str" cm="1">
        <f t="array" ref="G90">Common_InputFunctions.Utility_DisplayArrayInTable(SourceData_Swine.SourceData_Swine_NitrogenInWaste_Data(), Table_SourceData_Swine_NitrogenInWaste[[#Headers],[Class]], 0)</f>
        <v>Boars</v>
      </c>
      <c r="M90" s="1"/>
      <c r="V90" s="1"/>
      <c r="W90" s="1"/>
    </row>
    <row r="91" spans="4:23" ht="20.100000000000001" customHeight="1" x14ac:dyDescent="0.25">
      <c r="D91" s="33" t="str" cm="1">
        <f t="array" ref="D91">Common_InputFunctions.Utility_DisplayArrayInTable(SourceData_Swine.SourceData_Swine_NitrogenInWaste_Data(), Table_SourceData_Swine_NitrogenInWaste[[#Headers],[Class]], 0)</f>
        <v>Sows</v>
      </c>
      <c r="E91" s="33" cm="1">
        <f t="array" ref="E91">Common_InputFunctions.Utility_DisplayArrayInTable(SourceData_Swine.SourceData_Swine_NitrogenInWaste_Data(), Table_SourceData_Swine_NitrogenInWaste[[#Headers],[Class]], 0)</f>
        <v>4.9000000000000002E-2</v>
      </c>
      <c r="F91" s="33" cm="1">
        <f t="array" ref="F91">Common_InputFunctions.Utility_DisplayArrayInTable(SourceData_Swine.SourceData_Swine_NitrogenInWaste_Data(), Table_SourceData_Swine_NitrogenInWaste[[#Headers],[Class]], 0)</f>
        <v>4.9000000000000002E-2</v>
      </c>
      <c r="G91" s="33" t="str" cm="1">
        <f t="array" ref="G91">Common_InputFunctions.Utility_DisplayArrayInTable(SourceData_Swine.SourceData_Swine_NitrogenInWaste_Data(), Table_SourceData_Swine_NitrogenInWaste[[#Headers],[Class]], 0)</f>
        <v>Sows</v>
      </c>
      <c r="M91" s="1"/>
      <c r="V91" s="1"/>
    </row>
    <row r="92" spans="4:23" ht="20.100000000000001" customHeight="1" x14ac:dyDescent="0.25">
      <c r="D92" s="33" t="str" cm="1">
        <f t="array" ref="D92">Common_InputFunctions.Utility_DisplayArrayInTable(SourceData_Swine.SourceData_Swine_NitrogenInWaste_Data(), Table_SourceData_Swine_NitrogenInWaste[[#Headers],[Class]], 0)</f>
        <v>Gilts</v>
      </c>
      <c r="E92" s="33" cm="1">
        <f t="array" ref="E92">Common_InputFunctions.Utility_DisplayArrayInTable(SourceData_Swine.SourceData_Swine_NitrogenInWaste_Data(), Table_SourceData_Swine_NitrogenInWaste[[#Headers],[Class]], 0)</f>
        <v>4.5999999999999999E-2</v>
      </c>
      <c r="F92" s="33" cm="1">
        <f t="array" ref="F92">Common_InputFunctions.Utility_DisplayArrayInTable(SourceData_Swine.SourceData_Swine_NitrogenInWaste_Data(), Table_SourceData_Swine_NitrogenInWaste[[#Headers],[Class]], 0)</f>
        <v>4.5999999999999999E-2</v>
      </c>
      <c r="G92" s="33" t="str" cm="1">
        <f t="array" ref="G92">Common_InputFunctions.Utility_DisplayArrayInTable(SourceData_Swine.SourceData_Swine_NitrogenInWaste_Data(), Table_SourceData_Swine_NitrogenInWaste[[#Headers],[Class]], 0)</f>
        <v>Gilts</v>
      </c>
      <c r="M92" s="1"/>
      <c r="V92" s="1"/>
    </row>
    <row r="93" spans="4:23" ht="20.100000000000001" customHeight="1" x14ac:dyDescent="0.25">
      <c r="D93" s="33" t="str" cm="1">
        <f t="array" ref="D93">Common_InputFunctions.Utility_DisplayArrayInTable(SourceData_Swine.SourceData_Swine_NitrogenInWaste_Data(), Table_SourceData_Swine_NitrogenInWaste[[#Headers],[Class]], 0)</f>
        <v>Others (kg/head/year)</v>
      </c>
      <c r="E93" s="33" cm="1">
        <f t="array" ref="E93">Common_InputFunctions.Utility_DisplayArrayInTable(SourceData_Swine.SourceData_Swine_NitrogenInWaste_Data(), Table_SourceData_Swine_NitrogenInWaste[[#Headers],[Class]], 0)</f>
        <v>11.4</v>
      </c>
      <c r="F93" s="33" cm="1">
        <f t="array" ref="F93">Common_InputFunctions.Utility_DisplayArrayInTable(SourceData_Swine.SourceData_Swine_NitrogenInWaste_Data(), Table_SourceData_Swine_NitrogenInWaste[[#Headers],[Class]], 0)</f>
        <v>3.1199999999999999E-2</v>
      </c>
      <c r="G93" s="33" t="str" cm="1">
        <f t="array" ref="G93">Common_InputFunctions.Utility_DisplayArrayInTable(SourceData_Swine.SourceData_Swine_NitrogenInWaste_Data(), Table_SourceData_Swine_NitrogenInWaste[[#Headers],[Class]], 0)</f>
        <v>Others</v>
      </c>
      <c r="M93" s="1"/>
      <c r="V93" s="1"/>
    </row>
    <row r="94" spans="4:23" ht="20.100000000000001" customHeight="1" x14ac:dyDescent="0.25">
      <c r="M94" s="1"/>
    </row>
    <row r="95" spans="4:23" ht="20.100000000000001" customHeight="1" x14ac:dyDescent="0.25">
      <c r="M95" s="1"/>
    </row>
    <row r="96" spans="4:23" ht="20.100000000000001" customHeight="1" x14ac:dyDescent="0.25">
      <c r="D96" s="6" t="str" cm="1">
        <f t="array" ref="D96">SourceData_Swine.SourceData_Swine_FractionNVolatilised_Title()</f>
        <v>Swine - Fraction of nitrogen volatilised (FracGASMmT)</v>
      </c>
      <c r="M96" s="1"/>
    </row>
    <row r="97" spans="4:13" ht="20.100000000000001" customHeight="1" x14ac:dyDescent="0.25">
      <c r="D97" s="5" t="str" cm="1">
        <f t="array" ref="D97">SourceData_Swine.SourceData_Swine_FractionNVolatilised_Source()</f>
        <v>VEERG 2026: Table A.1.6.2: Swine - Fraction of N volatilised by MMS ((kg NH3-N + NOx-N)/kgN) (FracGASMmT)</v>
      </c>
      <c r="M97" s="1"/>
    </row>
    <row r="98" spans="4:13" ht="20.100000000000001" customHeight="1" x14ac:dyDescent="0.25">
      <c r="D98" s="47" t="str" cm="1">
        <f t="array" ref="D98">SourceData_Swine.SourceData_Swine_FractionNVolatilised_Variation()</f>
        <v>VARIATION ON SOURCE DATA: Added 'NIR reference column to aid lookup.</v>
      </c>
      <c r="M98" s="1"/>
    </row>
    <row r="99" spans="4:13" ht="20.100000000000001" customHeight="1" x14ac:dyDescent="0.25">
      <c r="D99" s="33" t="s">
        <v>129</v>
      </c>
      <c r="E99" s="33" t="s">
        <v>130</v>
      </c>
      <c r="F99" s="33" t="s">
        <v>131</v>
      </c>
      <c r="M99" s="1"/>
    </row>
    <row r="100" spans="4:13" ht="20.100000000000001" customHeight="1" x14ac:dyDescent="0.25">
      <c r="D100" s="33" t="str" cm="1">
        <f t="array" ref="D100">Common_InputFunctions.Utility_DisplayArrayInTable(SourceData_Swine.SourceData_Swine_FractionNVolatilised_Data(), Table_SourceData_Swine_FracGASM[[#Headers],[MMSm]],0)</f>
        <v>Outdoor (Dry lot)</v>
      </c>
      <c r="E100" s="33" cm="1">
        <f t="array" ref="E100">Common_InputFunctions.Utility_DisplayArrayInTable(SourceData_Swine.SourceData_Swine_FractionNVolatilised_Data(), Table_SourceData_Swine_FracGASM[[#Headers],[MMSm]],0)</f>
        <v>0.3</v>
      </c>
      <c r="F100" s="33" t="str" cm="1">
        <f t="array" ref="F100">Common_InputFunctions.Utility_DisplayArrayInTable(SourceData_Swine.SourceData_Swine_FractionNVolatilised_Data(), Table_SourceData_Swine_FracGASM[[#Headers],[MMSm]],0)</f>
        <v>Drylot (feed pad)</v>
      </c>
      <c r="M100" s="1"/>
    </row>
    <row r="101" spans="4:13" ht="20.100000000000001" customHeight="1" x14ac:dyDescent="0.25">
      <c r="D101" s="33" t="str" cm="1">
        <f t="array" ref="D101">Common_InputFunctions.Utility_DisplayArrayInTable(SourceData_Swine.SourceData_Swine_FractionNVolatilised_Data(), Table_SourceData_Swine_FracGASM[[#Headers],[MMSm]],0)</f>
        <v>Deep litter</v>
      </c>
      <c r="E101" s="33" cm="1">
        <f t="array" ref="E101">Common_InputFunctions.Utility_DisplayArrayInTable(SourceData_Swine.SourceData_Swine_FractionNVolatilised_Data(), Table_SourceData_Swine_FracGASM[[#Headers],[MMSm]],0)</f>
        <v>0.125</v>
      </c>
      <c r="F101" s="33" t="str" cm="1">
        <f t="array" ref="F101">Common_InputFunctions.Utility_DisplayArrayInTable(SourceData_Swine.SourceData_Swine_FractionNVolatilised_Data(), Table_SourceData_Swine_FracGASM[[#Headers],[MMSm]],0)</f>
        <v>Deep litter</v>
      </c>
      <c r="M101" s="1"/>
    </row>
    <row r="102" spans="4:13" ht="20.100000000000001" customHeight="1" x14ac:dyDescent="0.25">
      <c r="D102" s="33" t="str" cm="1">
        <f t="array" ref="D102">Common_InputFunctions.Utility_DisplayArrayInTable(SourceData_Swine.SourceData_Swine_FractionNVolatilised_Data(), Table_SourceData_Swine_FracGASM[[#Headers],[MMSm]],0)</f>
        <v>Stockpile (Solid storage)</v>
      </c>
      <c r="E102" s="33" cm="1">
        <f t="array" ref="E102">Common_InputFunctions.Utility_DisplayArrayInTable(SourceData_Swine.SourceData_Swine_FractionNVolatilised_Data(), Table_SourceData_Swine_FracGASM[[#Headers],[MMSm]],0)</f>
        <v>0.2</v>
      </c>
      <c r="F102" s="33" t="str" cm="1">
        <f t="array" ref="F102">Common_InputFunctions.Utility_DisplayArrayInTable(SourceData_Swine.SourceData_Swine_FractionNVolatilised_Data(), Table_SourceData_Swine_FracGASM[[#Headers],[MMSm]],0)</f>
        <v>Solid storage</v>
      </c>
      <c r="M102" s="1"/>
    </row>
    <row r="103" spans="4:13" ht="20.100000000000001" customHeight="1" x14ac:dyDescent="0.25">
      <c r="D103" s="33" t="str" cm="1">
        <f t="array" ref="D103">Common_InputFunctions.Utility_DisplayArrayInTable(SourceData_Swine.SourceData_Swine_FractionNVolatilised_Data(), Table_SourceData_Swine_FracGASM[[#Headers],[MMSm]],0)</f>
        <v>Effluent pond (Uncovered anaerobic lagoon)</v>
      </c>
      <c r="E103" s="33" cm="1">
        <f t="array" ref="E103">Common_InputFunctions.Utility_DisplayArrayInTable(SourceData_Swine.SourceData_Swine_FractionNVolatilised_Data(), Table_SourceData_Swine_FracGASM[[#Headers],[MMSm]],0)</f>
        <v>0.55000000000000004</v>
      </c>
      <c r="F103" s="33" t="str" cm="1">
        <f t="array" ref="F103">Common_InputFunctions.Utility_DisplayArrayInTable(SourceData_Swine.SourceData_Swine_FractionNVolatilised_Data(), Table_SourceData_Swine_FracGASM[[#Headers],[MMSm]],0)</f>
        <v>Anaerobic lagoon</v>
      </c>
      <c r="M103" s="1"/>
    </row>
    <row r="104" spans="4:13" ht="20.100000000000001" customHeight="1" x14ac:dyDescent="0.25">
      <c r="D104" s="33" t="str" cm="1">
        <f t="array" ref="D104">Common_InputFunctions.Utility_DisplayArrayInTable(SourceData_Swine.SourceData_Swine_FractionNVolatilised_Data(), Table_SourceData_Swine_FracGASM[[#Headers],[MMSm]],0)</f>
        <v>Anaerobic digester / Covered lagoon</v>
      </c>
      <c r="E104" s="33" cm="1">
        <f t="array" ref="E104">Common_InputFunctions.Utility_DisplayArrayInTable(SourceData_Swine.SourceData_Swine_FractionNVolatilised_Data(), Table_SourceData_Swine_FracGASM[[#Headers],[MMSm]],0)</f>
        <v>0</v>
      </c>
      <c r="F104" s="33" t="str" cm="1">
        <f t="array" ref="F104">Common_InputFunctions.Utility_DisplayArrayInTable(SourceData_Swine.SourceData_Swine_FractionNVolatilised_Data(), Table_SourceData_Swine_FracGASM[[#Headers],[MMSm]],0)</f>
        <v>Digester / covered lagoons</v>
      </c>
      <c r="M104" s="1"/>
    </row>
    <row r="105" spans="4:13" ht="20.100000000000001" customHeight="1" x14ac:dyDescent="0.25">
      <c r="D105" s="33" t="str" cm="1">
        <f t="array" ref="D105">Common_InputFunctions.Utility_DisplayArrayInTable(SourceData_Swine.SourceData_Swine_FractionNVolatilised_Data(), Table_SourceData_Swine_FracGASM[[#Headers],[MMSm]],0)</f>
        <v>Short HRT tank storage &lt; 1 month (pit storage)</v>
      </c>
      <c r="E105" s="33" cm="1">
        <f t="array" ref="E105">Common_InputFunctions.Utility_DisplayArrayInTable(SourceData_Swine.SourceData_Swine_FractionNVolatilised_Data(), Table_SourceData_Swine_FracGASM[[#Headers],[MMSm]],0)</f>
        <v>0.25</v>
      </c>
      <c r="F105" s="33" t="str" cm="1">
        <f t="array" ref="F105">Common_InputFunctions.Utility_DisplayArrayInTable(SourceData_Swine.SourceData_Swine_FractionNVolatilised_Data(), Table_SourceData_Swine_FracGASM[[#Headers],[MMSm]],0)</f>
        <v>Pit storage</v>
      </c>
      <c r="M105" s="1"/>
    </row>
    <row r="106" spans="4:13" ht="20.100000000000001" customHeight="1" x14ac:dyDescent="0.25">
      <c r="M106" s="1"/>
    </row>
    <row r="107" spans="4:13" ht="20.100000000000001" customHeight="1" x14ac:dyDescent="0.25">
      <c r="M107" s="1"/>
    </row>
    <row r="108" spans="4:13" ht="20.100000000000001" customHeight="1" x14ac:dyDescent="0.25">
      <c r="D108" s="6" t="str" cm="1">
        <f t="array" ref="D108">SourceData_Swine.SourceData_Swine_NitrousOxideEFs_Title()</f>
        <v>Swine - Nitrous oxide EFs by MMS (EFmT)</v>
      </c>
      <c r="M108" s="1"/>
    </row>
    <row r="109" spans="4:13" ht="20.100000000000001" customHeight="1" x14ac:dyDescent="0.25">
      <c r="D109" s="5" t="str" cm="1">
        <f t="array" ref="D109">SourceData_Swine.SourceData_Swine_NitrousOxideEFs_Source()</f>
        <v>VEERG 2026: Table A.1.6.3: Swine - Nitrous oxide EFs by MMS (kgN2O-N/kgN) (EFmT)</v>
      </c>
      <c r="M109" s="1"/>
    </row>
    <row r="110" spans="4:13" ht="20.100000000000001" customHeight="1" x14ac:dyDescent="0.25">
      <c r="D110" s="47" t="str" cm="1">
        <f t="array" ref="D110">SourceData_Swine.SourceData_Swine_NitrousOxideEFs_Variation()</f>
        <v>VARIATION ON SOURCE DATA: Added 'NIR reference column to aid lookup.</v>
      </c>
      <c r="M110" s="1"/>
    </row>
    <row r="111" spans="4:13" ht="20.100000000000001" customHeight="1" x14ac:dyDescent="0.25">
      <c r="D111" s="33" t="s">
        <v>129</v>
      </c>
      <c r="E111" s="33" t="s">
        <v>132</v>
      </c>
      <c r="F111" s="33" t="s">
        <v>131</v>
      </c>
      <c r="M111" s="1"/>
    </row>
    <row r="112" spans="4:13" ht="20.100000000000001" customHeight="1" x14ac:dyDescent="0.25">
      <c r="D112" s="33" t="str" cm="1">
        <f t="array" ref="D112">Common_InputFunctions.Utility_DisplayArrayInTable(SourceData_Swine.SourceData_Swine_NitrousOxideEFs_Data(), Table_SourceData_Swine_FracGASM28[[#Headers],[MMSm]],0)</f>
        <v>Outdoor (Dry lot)</v>
      </c>
      <c r="E112" s="33" cm="1">
        <f t="array" ref="E112">Common_InputFunctions.Utility_DisplayArrayInTable(SourceData_Swine.SourceData_Swine_NitrousOxideEFs_Data(), Table_SourceData_Swine_FracGASM28[[#Headers],[MMSm]],0)</f>
        <v>0.02</v>
      </c>
      <c r="F112" s="33" t="str" cm="1">
        <f t="array" ref="F112">Common_InputFunctions.Utility_DisplayArrayInTable(SourceData_Swine.SourceData_Swine_NitrousOxideEFs_Data(), Table_SourceData_Swine_FracGASM28[[#Headers],[MMSm]],0)</f>
        <v>Drylot (feed pad)</v>
      </c>
      <c r="M112" s="1"/>
    </row>
    <row r="113" spans="4:22" ht="20.100000000000001" customHeight="1" x14ac:dyDescent="0.25">
      <c r="D113" s="33" t="str" cm="1">
        <f t="array" ref="D113">Common_InputFunctions.Utility_DisplayArrayInTable(SourceData_Swine.SourceData_Swine_NitrousOxideEFs_Data(), Table_SourceData_Swine_FracGASM28[[#Headers],[MMSm]],0)</f>
        <v>Deep litter</v>
      </c>
      <c r="E113" s="33" cm="1">
        <f t="array" ref="E113">Common_InputFunctions.Utility_DisplayArrayInTable(SourceData_Swine.SourceData_Swine_NitrousOxideEFs_Data(), Table_SourceData_Swine_FracGASM28[[#Headers],[MMSm]],0)</f>
        <v>0.01</v>
      </c>
      <c r="F113" s="33" t="str" cm="1">
        <f t="array" ref="F113">Common_InputFunctions.Utility_DisplayArrayInTable(SourceData_Swine.SourceData_Swine_NitrousOxideEFs_Data(), Table_SourceData_Swine_FracGASM28[[#Headers],[MMSm]],0)</f>
        <v>Deep litter</v>
      </c>
      <c r="M113" s="1"/>
    </row>
    <row r="114" spans="4:22" ht="20.100000000000001" customHeight="1" x14ac:dyDescent="0.25">
      <c r="D114" s="33" t="str" cm="1">
        <f t="array" ref="D114">Common_InputFunctions.Utility_DisplayArrayInTable(SourceData_Swine.SourceData_Swine_NitrousOxideEFs_Data(), Table_SourceData_Swine_FracGASM28[[#Headers],[MMSm]],0)</f>
        <v>Stockpile (Solid storage)</v>
      </c>
      <c r="E114" s="33" cm="1">
        <f t="array" ref="E114">Common_InputFunctions.Utility_DisplayArrayInTable(SourceData_Swine.SourceData_Swine_NitrousOxideEFs_Data(), Table_SourceData_Swine_FracGASM28[[#Headers],[MMSm]],0)</f>
        <v>5.0000000000000001E-3</v>
      </c>
      <c r="F114" s="33" t="str" cm="1">
        <f t="array" ref="F114">Common_InputFunctions.Utility_DisplayArrayInTable(SourceData_Swine.SourceData_Swine_NitrousOxideEFs_Data(), Table_SourceData_Swine_FracGASM28[[#Headers],[MMSm]],0)</f>
        <v>Solid storage</v>
      </c>
      <c r="M114" s="1"/>
    </row>
    <row r="115" spans="4:22" ht="20.100000000000001" customHeight="1" x14ac:dyDescent="0.25">
      <c r="D115" s="33" t="str" cm="1">
        <f t="array" ref="D115">Common_InputFunctions.Utility_DisplayArrayInTable(SourceData_Swine.SourceData_Swine_NitrousOxideEFs_Data(), Table_SourceData_Swine_FracGASM28[[#Headers],[MMSm]],0)</f>
        <v>Effluent pond (Uncovered anaerobic lagoon)</v>
      </c>
      <c r="E115" s="33" cm="1">
        <f t="array" ref="E115">Common_InputFunctions.Utility_DisplayArrayInTable(SourceData_Swine.SourceData_Swine_NitrousOxideEFs_Data(), Table_SourceData_Swine_FracGASM28[[#Headers],[MMSm]],0)</f>
        <v>0</v>
      </c>
      <c r="F115" s="33" t="str" cm="1">
        <f t="array" ref="F115">Common_InputFunctions.Utility_DisplayArrayInTable(SourceData_Swine.SourceData_Swine_NitrousOxideEFs_Data(), Table_SourceData_Swine_FracGASM28[[#Headers],[MMSm]],0)</f>
        <v>Anaerobic lagoon</v>
      </c>
      <c r="M115" s="1"/>
      <c r="V115" s="1"/>
    </row>
    <row r="116" spans="4:22" ht="20.100000000000001" customHeight="1" x14ac:dyDescent="0.25">
      <c r="D116" s="33" t="str" cm="1">
        <f t="array" ref="D116">Common_InputFunctions.Utility_DisplayArrayInTable(SourceData_Swine.SourceData_Swine_NitrousOxideEFs_Data(), Table_SourceData_Swine_FracGASM28[[#Headers],[MMSm]],0)</f>
        <v>Anaerobic digestor / Covered lagoon</v>
      </c>
      <c r="E116" s="33" cm="1">
        <f t="array" ref="E116">Common_InputFunctions.Utility_DisplayArrayInTable(SourceData_Swine.SourceData_Swine_NitrousOxideEFs_Data(), Table_SourceData_Swine_FracGASM28[[#Headers],[MMSm]],0)</f>
        <v>0</v>
      </c>
      <c r="F116" s="33" t="str" cm="1">
        <f t="array" ref="F116">Common_InputFunctions.Utility_DisplayArrayInTable(SourceData_Swine.SourceData_Swine_NitrousOxideEFs_Data(), Table_SourceData_Swine_FracGASM28[[#Headers],[MMSm]],0)</f>
        <v>Digester / covered lagoons</v>
      </c>
      <c r="M116" s="1"/>
      <c r="V116" s="1"/>
    </row>
    <row r="117" spans="4:22" ht="20.100000000000001" customHeight="1" x14ac:dyDescent="0.25">
      <c r="D117" s="33" t="str" cm="1">
        <f t="array" ref="D117">Common_InputFunctions.Utility_DisplayArrayInTable(SourceData_Swine.SourceData_Swine_NitrousOxideEFs_Data(), Table_SourceData_Swine_FracGASM28[[#Headers],[MMSm]],0)</f>
        <v>Short HRT tank storage &lt; 1 month (pit storage)</v>
      </c>
      <c r="E117" s="33" cm="1">
        <f t="array" ref="E117">Common_InputFunctions.Utility_DisplayArrayInTable(SourceData_Swine.SourceData_Swine_NitrousOxideEFs_Data(), Table_SourceData_Swine_FracGASM28[[#Headers],[MMSm]],0)</f>
        <v>2E-3</v>
      </c>
      <c r="F117" s="33" t="str" cm="1">
        <f t="array" ref="F117">Common_InputFunctions.Utility_DisplayArrayInTable(SourceData_Swine.SourceData_Swine_NitrousOxideEFs_Data(), Table_SourceData_Swine_FracGASM28[[#Headers],[MMSm]],0)</f>
        <v>Pit storage</v>
      </c>
      <c r="M117" s="1"/>
      <c r="V117" s="1"/>
    </row>
    <row r="118" spans="4:22" ht="20.100000000000001" customHeight="1" x14ac:dyDescent="0.25">
      <c r="M118" s="1"/>
    </row>
    <row r="119" spans="4:22" ht="20.100000000000001" customHeight="1" x14ac:dyDescent="0.25">
      <c r="M119" s="1"/>
    </row>
    <row r="120" spans="4:22" ht="20.100000000000001" customHeight="1" x14ac:dyDescent="0.25">
      <c r="D120" s="6" t="str" cm="1">
        <f t="array" ref="D120">SourceData_Swine.SourceData_Swine_MegajoulesPerKilogramMethane_Title()</f>
        <v>Megajoules per kilogram of methane</v>
      </c>
      <c r="M120" s="1"/>
    </row>
    <row r="121" spans="4:22" ht="20.100000000000001" customHeight="1" x14ac:dyDescent="0.25">
      <c r="D121" s="5" t="str" cm="1">
        <f t="array" ref="D121">SourceData_Swine.SourceData_Swine_MegajoulesPerKilogramMethane_Source()</f>
        <v>VEERG 2026: 3.5.2.3 CONSTANT</v>
      </c>
      <c r="M121" s="1"/>
    </row>
    <row r="122" spans="4:22" ht="20.100000000000001" customHeight="1" x14ac:dyDescent="0.25">
      <c r="D122" s="45" t="str" cm="1">
        <f t="array" ref="D122">SourceData_Swine.SourceData_Swine_MegajoulesPerKilogramMethane_Variable()</f>
        <v>F</v>
      </c>
      <c r="E122" s="1" cm="1">
        <f t="array" ref="E122">SourceData_Swine.SourceData_Swine_MegajoulesPerKilogramMethane_Data()</f>
        <v>55.22</v>
      </c>
      <c r="F122" s="46" t="str" cm="1">
        <f t="array" ref="F122">SourceData_Swine.SourceData_Swine_MegajoulesPerKilogramMethane_Unit()</f>
        <v>MJ / kg CH4</v>
      </c>
      <c r="M122" s="1"/>
    </row>
    <row r="123" spans="4:22" ht="20.100000000000001" customHeight="1" x14ac:dyDescent="0.25">
      <c r="M123" s="1"/>
    </row>
    <row r="124" spans="4:22" ht="20.100000000000001" customHeight="1" x14ac:dyDescent="0.25">
      <c r="M124" s="1"/>
    </row>
    <row r="125" spans="4:22" ht="20.100000000000001" customHeight="1" x14ac:dyDescent="0.25">
      <c r="D125" s="6" t="str" cm="1">
        <f t="array" ref="D125">SourceData_Swine.SourceData_Swine_AverageLiveweight_Title()</f>
        <v>Swine - Average liveweight (inventory defaults) (kg) (Wco)</v>
      </c>
      <c r="M125" s="1"/>
      <c r="V125" s="1"/>
    </row>
    <row r="126" spans="4:22" ht="20.100000000000001" customHeight="1" x14ac:dyDescent="0.25">
      <c r="D126" s="5" t="str" cm="1">
        <f t="array" ref="D126">SourceData_Swine.SourceData_Swine_AverageLiveweight_Source()</f>
        <v>VEERG 2026: Table A.1.6.5: Swine - Average liveweight (inventory defaults) (kg) (Wco)</v>
      </c>
      <c r="M126" s="1"/>
      <c r="V126" s="1"/>
    </row>
    <row r="127" spans="4:22" ht="20.100000000000001" customHeight="1" x14ac:dyDescent="0.25">
      <c r="D127" s="33" t="s">
        <v>165</v>
      </c>
      <c r="E127" s="33" t="s">
        <v>166</v>
      </c>
      <c r="M127" s="1"/>
      <c r="V127" s="1"/>
    </row>
    <row r="128" spans="4:22" ht="20.100000000000001" customHeight="1" x14ac:dyDescent="0.25">
      <c r="D128" s="33" t="str" cm="1">
        <f t="array" ref="D128">Common_InputFunctions.Utility_DisplayArrayInTable(SourceData_Swine.SourceData_Swine_AverageLiveweight_Data(),Table_SourceData_Swine_Liveweight[[#Headers],[Livestock type j]],0)</f>
        <v>Sows</v>
      </c>
      <c r="E128" s="33" cm="1">
        <f t="array" ref="E128">Common_InputFunctions.Utility_DisplayArrayInTable(SourceData_Swine.SourceData_Swine_AverageLiveweight_Data(),Table_SourceData_Swine_Liveweight[[#Headers],[Livestock type j]],0)</f>
        <v>188</v>
      </c>
      <c r="M128" s="1"/>
      <c r="V128" s="1"/>
    </row>
    <row r="129" spans="4:22" ht="20.100000000000001" customHeight="1" x14ac:dyDescent="0.25">
      <c r="D129" s="1" t="str" cm="1">
        <f t="array" ref="D129">Common_InputFunctions.Utility_DisplayArrayInTable(SourceData_Swine.SourceData_Swine_AverageLiveweight_Data(),Table_SourceData_Swine_Liveweight[[#Headers],[Livestock type j]],0)</f>
        <v>Boars</v>
      </c>
      <c r="E129" s="33" cm="1">
        <f t="array" ref="E129">Common_InputFunctions.Utility_DisplayArrayInTable(SourceData_Swine.SourceData_Swine_AverageLiveweight_Data(),Table_SourceData_Swine_Liveweight[[#Headers],[Livestock type j]],0)</f>
        <v>206</v>
      </c>
      <c r="M129" s="1"/>
      <c r="V129" s="1"/>
    </row>
    <row r="130" spans="4:22" ht="20.100000000000001" customHeight="1" x14ac:dyDescent="0.25">
      <c r="D130" s="1" t="str" cm="1">
        <f t="array" ref="D130">Common_InputFunctions.Utility_DisplayArrayInTable(SourceData_Swine.SourceData_Swine_AverageLiveweight_Data(),Table_SourceData_Swine_Liveweight[[#Headers],[Livestock type j]],0)</f>
        <v>Gilts</v>
      </c>
      <c r="E130" s="33" cm="1">
        <f t="array" ref="E130">Common_InputFunctions.Utility_DisplayArrayInTable(SourceData_Swine.SourceData_Swine_AverageLiveweight_Data(),Table_SourceData_Swine_Liveweight[[#Headers],[Livestock type j]],0)</f>
        <v>125</v>
      </c>
      <c r="M130" s="1"/>
      <c r="V130" s="1"/>
    </row>
    <row r="131" spans="4:22" ht="20.100000000000001" customHeight="1" x14ac:dyDescent="0.25">
      <c r="D131" s="1" t="str" cm="1">
        <f t="array" ref="D131">Common_InputFunctions.Utility_DisplayArrayInTable(SourceData_Swine.SourceData_Swine_AverageLiveweight_Data(),Table_SourceData_Swine_Liveweight[[#Headers],[Livestock type j]],0)</f>
        <v>Slaughter pigs</v>
      </c>
      <c r="E131" s="33" cm="1">
        <f t="array" ref="E131">Common_InputFunctions.Utility_DisplayArrayInTable(SourceData_Swine.SourceData_Swine_AverageLiveweight_Data(),Table_SourceData_Swine_Liveweight[[#Headers],[Livestock type j]],0)</f>
        <v>39</v>
      </c>
      <c r="M131" s="1"/>
    </row>
    <row r="132" spans="4:22" ht="20.100000000000001" customHeight="1" x14ac:dyDescent="0.25">
      <c r="D132" s="1" t="str" cm="1">
        <f t="array" ref="D132">Common_InputFunctions.Utility_DisplayArrayInTable(SourceData_Swine.SourceData_Swine_AverageLiveweight_Data(),Table_SourceData_Swine_Liveweight[[#Headers],[Livestock type j]],0)</f>
        <v>Slaughter pigs at turnoff</v>
      </c>
      <c r="E132" s="33" cm="1">
        <f t="array" ref="E132">Common_InputFunctions.Utility_DisplayArrayInTable(SourceData_Swine.SourceData_Swine_AverageLiveweight_Data(),Table_SourceData_Swine_Liveweight[[#Headers],[Livestock type j]],0)</f>
        <v>97</v>
      </c>
      <c r="M132" s="1"/>
    </row>
    <row r="133" spans="4:22" ht="20.100000000000001" customHeight="1" x14ac:dyDescent="0.25">
      <c r="M133" s="1"/>
    </row>
    <row r="134" spans="4:22" ht="20.100000000000001" customHeight="1" x14ac:dyDescent="0.25">
      <c r="M134" s="1"/>
    </row>
    <row r="135" spans="4:22" ht="20.100000000000001" customHeight="1" x14ac:dyDescent="0.25">
      <c r="M135" s="1"/>
    </row>
    <row r="136" spans="4:22" ht="20.100000000000001" customHeight="1" x14ac:dyDescent="0.25">
      <c r="M136" s="1"/>
    </row>
    <row r="137" spans="4:22" ht="20.100000000000001" customHeight="1" x14ac:dyDescent="0.25">
      <c r="M137" s="1"/>
    </row>
    <row r="138" spans="4:22" ht="20.100000000000001" customHeight="1" x14ac:dyDescent="0.25">
      <c r="M138" s="1"/>
    </row>
    <row r="139" spans="4:22" ht="20.100000000000001" customHeight="1" x14ac:dyDescent="0.25">
      <c r="M139" s="1"/>
    </row>
    <row r="140" spans="4:22" ht="20.100000000000001" customHeight="1" x14ac:dyDescent="0.25">
      <c r="M140" s="1"/>
    </row>
    <row r="141" spans="4:22" ht="20.100000000000001" customHeight="1" x14ac:dyDescent="0.25">
      <c r="M141" s="1"/>
    </row>
    <row r="142" spans="4:22" ht="20.100000000000001" customHeight="1" x14ac:dyDescent="0.25">
      <c r="M142" s="1"/>
    </row>
    <row r="143" spans="4:22" ht="20.100000000000001" customHeight="1" x14ac:dyDescent="0.25">
      <c r="M143" s="1"/>
    </row>
    <row r="144" spans="4: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4190-DC16-496A-9BE2-714E2A342D1D}">
  <sheetPr>
    <tabColor theme="2" tint="-0.499984740745262"/>
  </sheetPr>
  <dimension ref="A1:BY297"/>
  <sheetViews>
    <sheetView showGridLines="0" topLeftCell="A239" zoomScaleNormal="100" workbookViewId="0">
      <selection activeCell="I279" sqref="I279"/>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55</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s="120" t="s">
        <v>1</v>
      </c>
      <c r="D6" s="33" t="s">
        <v>10</v>
      </c>
      <c r="E6" s="33" t="s">
        <v>11</v>
      </c>
      <c r="F6" s="33" t="s">
        <v>12</v>
      </c>
    </row>
    <row r="7" spans="1:65" ht="20.100000000000001" customHeight="1" x14ac:dyDescent="0.25">
      <c r="A7" s="119" t="str">
        <f>HYPERLINK("#'Constants - Common'!A1", "Constants - Common")</f>
        <v>Constants - Common</v>
      </c>
      <c r="D7" s="33" t="str" cm="1">
        <f t="array" ref="D7">Common_InputFunctions.Utility_DisplayArrayInTable(Common_SourceData.Common_SourceData_AustralianStatesTerritories_Data(),Table_AustralianStates[[#Headers],[State/Territory]],0)</f>
        <v>New South Wales</v>
      </c>
      <c r="E7" s="33" t="str" cm="1">
        <f t="array" ref="E7">Common_InputFunctions.Utility_DisplayArrayInTable(Common_SourceData.Common_SourceData_AustralianStatesTerritories_Data(),Table_AustralianStates[[#Headers],[State/Territory]],0)</f>
        <v>New South Wales</v>
      </c>
      <c r="F7" s="33"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HYPERLINK("#'Acknowledgements'!A1", "Acknowledgements")</f>
        <v>Acknowledgements</v>
      </c>
      <c r="D8" s="33" t="str" cm="1">
        <f t="array" ref="D8">Common_InputFunctions.Utility_DisplayArrayInTable(Common_SourceData.Common_SourceData_AustralianStatesTerritories_Data(),Table_AustralianStates[[#Headers],[State/Territory]],0)</f>
        <v>Australian Capital Territory</v>
      </c>
      <c r="E8" s="33" t="str" cm="1">
        <f t="array" ref="E8">Common_InputFunctions.Utility_DisplayArrayInTable(Common_SourceData.Common_SourceData_AustralianStatesTerritories_Data(),Table_AustralianStates[[#Headers],[State/Territory]],0)</f>
        <v>ACT</v>
      </c>
      <c r="F8" s="33" t="str" cm="1">
        <f t="array" ref="F8">Common_InputFunctions.Utility_DisplayArrayInTable(Common_SourceData.Common_SourceData_AustralianStatesTerritories_Data(),Table_AustralianStates[[#Headers],[State/Territory]],0)</f>
        <v>ACT</v>
      </c>
    </row>
    <row r="9" spans="1:65" ht="20.100000000000001" customHeight="1" x14ac:dyDescent="0.25">
      <c r="A9"/>
      <c r="D9" s="33" t="str" cm="1">
        <f t="array" ref="D9">Common_InputFunctions.Utility_DisplayArrayInTable(Common_SourceData.Common_SourceData_AustralianStatesTerritories_Data(),Table_AustralianStates[[#Headers],[State/Territory]],0)</f>
        <v>Victoria</v>
      </c>
      <c r="E9" s="33" t="str" cm="1">
        <f t="array" ref="E9">Common_InputFunctions.Utility_DisplayArrayInTable(Common_SourceData.Common_SourceData_AustralianStatesTerritories_Data(),Table_AustralianStates[[#Headers],[State/Territory]],0)</f>
        <v>Victoria</v>
      </c>
      <c r="F9" s="33"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3" t="str" cm="1">
        <f t="array" ref="D10">Common_InputFunctions.Utility_DisplayArrayInTable(Common_SourceData.Common_SourceData_AustralianStatesTerritories_Data(),Table_AustralianStates[[#Headers],[State/Territory]],0)</f>
        <v>Queensland</v>
      </c>
      <c r="E10" s="33" t="str" cm="1">
        <f t="array" ref="E10">Common_InputFunctions.Utility_DisplayArrayInTable(Common_SourceData.Common_SourceData_AustralianStatesTerritories_Data(),Table_AustralianStates[[#Headers],[State/Territory]],0)</f>
        <v>Queensland</v>
      </c>
      <c r="F10" s="33"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3" t="str" cm="1">
        <f t="array" ref="D11">Common_InputFunctions.Utility_DisplayArrayInTable(Common_SourceData.Common_SourceData_AustralianStatesTerritories_Data(),Table_AustralianStates[[#Headers],[State/Territory]],0)</f>
        <v>South Australia</v>
      </c>
      <c r="E11" s="33" t="str" cm="1">
        <f t="array" ref="E11">Common_InputFunctions.Utility_DisplayArrayInTable(Common_SourceData.Common_SourceData_AustralianStatesTerritories_Data(),Table_AustralianStates[[#Headers],[State/Territory]],0)</f>
        <v>South Australia</v>
      </c>
      <c r="F11" s="33"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3" t="str" cm="1">
        <f t="array" ref="D12">Common_InputFunctions.Utility_DisplayArrayInTable(Common_SourceData.Common_SourceData_AustralianStatesTerritories_Data(),Table_AustralianStates[[#Headers],[State/Territory]],0)</f>
        <v>Western Australia</v>
      </c>
      <c r="E12" s="33" t="str" cm="1">
        <f t="array" ref="E12">Common_InputFunctions.Utility_DisplayArrayInTable(Common_SourceData.Common_SourceData_AustralianStatesTerritories_Data(),Table_AustralianStates[[#Headers],[State/Territory]],0)</f>
        <v>Western Australia</v>
      </c>
      <c r="F12" s="33"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3" t="str" cm="1">
        <f t="array" ref="D13">Common_InputFunctions.Utility_DisplayArrayInTable(Common_SourceData.Common_SourceData_AustralianStatesTerritories_Data(),Table_AustralianStates[[#Headers],[State/Territory]],0)</f>
        <v>Tasmania</v>
      </c>
      <c r="E13" s="33" t="str" cm="1">
        <f t="array" ref="E13">Common_InputFunctions.Utility_DisplayArrayInTable(Common_SourceData.Common_SourceData_AustralianStatesTerritories_Data(),Table_AustralianStates[[#Headers],[State/Territory]],0)</f>
        <v>Tasmania</v>
      </c>
      <c r="F13" s="33"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3" t="str" cm="1">
        <f t="array" ref="D14">Common_InputFunctions.Utility_DisplayArrayInTable(Common_SourceData.Common_SourceData_AustralianStatesTerritories_Data(),Table_AustralianStates[[#Headers],[State/Territory]],0)</f>
        <v>Northern Territory</v>
      </c>
      <c r="E14" s="33" t="str" cm="1">
        <f t="array" ref="E14">Common_InputFunctions.Utility_DisplayArrayInTable(Common_SourceData.Common_SourceData_AustralianStatesTerritories_Data(),Table_AustralianStates[[#Headers],[State/Territory]],0)</f>
        <v>Northern Territory</v>
      </c>
      <c r="F14" s="33"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3" t="s">
        <v>13</v>
      </c>
    </row>
    <row r="21" spans="1:4" ht="20.100000000000001" customHeight="1" x14ac:dyDescent="0.25">
      <c r="A21"/>
      <c r="D21" s="33" t="str" cm="1">
        <f t="array" ref="D21">Common_InputFunctions.Utility_DisplayArrayInTable(Common_SourceData.Common_SourceData_WASA4Areas_Data(), Table_WASA4Areas[[#Headers],[SA 4 Name]], 0)</f>
        <v>Bunbury</v>
      </c>
    </row>
    <row r="22" spans="1:4" ht="20.100000000000001" customHeight="1" x14ac:dyDescent="0.25">
      <c r="A22"/>
      <c r="D22" s="33" t="str" cm="1">
        <f t="array" ref="D22">Common_InputFunctions.Utility_DisplayArrayInTable(Common_SourceData.Common_SourceData_WASA4Areas_Data(), Table_WASA4Areas[[#Headers],[SA 4 Name]], 0)</f>
        <v>Mandurah</v>
      </c>
    </row>
    <row r="23" spans="1:4" ht="20.100000000000001" customHeight="1" x14ac:dyDescent="0.25">
      <c r="A23"/>
      <c r="D23" s="33" t="str" cm="1">
        <f t="array" ref="D23">Common_InputFunctions.Utility_DisplayArrayInTable(Common_SourceData.Common_SourceData_WASA4Areas_Data(), Table_WASA4Areas[[#Headers],[SA 4 Name]], 0)</f>
        <v>Perth - Inner</v>
      </c>
    </row>
    <row r="24" spans="1:4" ht="20.100000000000001" customHeight="1" x14ac:dyDescent="0.25">
      <c r="A24"/>
      <c r="D24" s="33" t="str" cm="1">
        <f t="array" ref="D24">Common_InputFunctions.Utility_DisplayArrayInTable(Common_SourceData.Common_SourceData_WASA4Areas_Data(), Table_WASA4Areas[[#Headers],[SA 4 Name]], 0)</f>
        <v>Perth - North East</v>
      </c>
    </row>
    <row r="25" spans="1:4" ht="20.100000000000001" customHeight="1" x14ac:dyDescent="0.25">
      <c r="A25"/>
      <c r="D25" s="33" t="str" cm="1">
        <f t="array" ref="D25">Common_InputFunctions.Utility_DisplayArrayInTable(Common_SourceData.Common_SourceData_WASA4Areas_Data(), Table_WASA4Areas[[#Headers],[SA 4 Name]], 0)</f>
        <v>Perth - North West</v>
      </c>
    </row>
    <row r="26" spans="1:4" ht="20.100000000000001" customHeight="1" x14ac:dyDescent="0.25">
      <c r="A26"/>
      <c r="D26" s="33" t="str" cm="1">
        <f t="array" ref="D26">Common_InputFunctions.Utility_DisplayArrayInTable(Common_SourceData.Common_SourceData_WASA4Areas_Data(), Table_WASA4Areas[[#Headers],[SA 4 Name]], 0)</f>
        <v>Perth - South East</v>
      </c>
    </row>
    <row r="27" spans="1:4" ht="20.100000000000001" customHeight="1" x14ac:dyDescent="0.25">
      <c r="A27"/>
      <c r="D27" s="33" t="str" cm="1">
        <f t="array" ref="D27">Common_InputFunctions.Utility_DisplayArrayInTable(Common_SourceData.Common_SourceData_WASA4Areas_Data(), Table_WASA4Areas[[#Headers],[SA 4 Name]], 0)</f>
        <v>Perth - South West</v>
      </c>
    </row>
    <row r="28" spans="1:4" ht="20.100000000000001" customHeight="1" x14ac:dyDescent="0.25">
      <c r="A28"/>
      <c r="D28" s="33"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3"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3"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3" t="s">
        <v>15</v>
      </c>
      <c r="E36" s="33" t="s">
        <v>16</v>
      </c>
    </row>
    <row r="37" spans="1:8" ht="20.100000000000001" customHeight="1" x14ac:dyDescent="0.25">
      <c r="A37"/>
      <c r="D37" s="33" t="str" cm="1">
        <f t="array" ref="D37">Common_InputFunctions.Utility_DisplayArrayInTable(Common_SourceData.Common_SourceData_GWP_Data(), Table_GWPData[[#Headers],[Gas]], 0)</f>
        <v>CO2</v>
      </c>
      <c r="E37" s="33" cm="1">
        <f t="array" ref="E37">Common_InputFunctions.Utility_DisplayArrayInTable(Common_SourceData.Common_SourceData_GWP_Data(), Table_GWPData[[#Headers],[Gas]], 0)</f>
        <v>1</v>
      </c>
    </row>
    <row r="38" spans="1:8" ht="20.100000000000001" customHeight="1" x14ac:dyDescent="0.25">
      <c r="A38"/>
      <c r="D38" s="33" t="str" cm="1">
        <f t="array" ref="D38">Common_InputFunctions.Utility_DisplayArrayInTable(Common_SourceData.Common_SourceData_GWP_Data(), Table_GWPData[[#Headers],[Gas]], 0)</f>
        <v>CH4</v>
      </c>
      <c r="E38" s="33" cm="1">
        <f t="array" ref="E38">Common_InputFunctions.Utility_DisplayArrayInTable(Common_SourceData.Common_SourceData_GWP_Data(), Table_GWPData[[#Headers],[Gas]], 0)</f>
        <v>28</v>
      </c>
    </row>
    <row r="39" spans="1:8" ht="20.100000000000001" customHeight="1" x14ac:dyDescent="0.25">
      <c r="A39"/>
      <c r="D39" s="33" t="str" cm="1">
        <f t="array" ref="D39">Common_InputFunctions.Utility_DisplayArrayInTable(Common_SourceData.Common_SourceData_GWP_Data(), Table_GWPData[[#Headers],[Gas]], 0)</f>
        <v>N2O</v>
      </c>
      <c r="E39" s="33" cm="1">
        <f t="array" ref="E39">Common_InputFunctions.Utility_DisplayArrayInTable(Common_SourceData.Common_SourceData_GWP_Data(), Table_GWPData[[#Headers],[Gas]], 0)</f>
        <v>265</v>
      </c>
    </row>
    <row r="40" spans="1:8" ht="20.100000000000001" customHeight="1" x14ac:dyDescent="0.25">
      <c r="A40"/>
      <c r="D40" s="33" t="str" cm="1">
        <f t="array" ref="D40">Common_InputFunctions.Utility_DisplayArrayInTable(Common_SourceData.Common_SourceData_GWP_Data(), Table_GWPData[[#Headers],[Gas]], 0)</f>
        <v>CF4</v>
      </c>
      <c r="E40" s="33" cm="1">
        <f t="array" ref="E40">Common_InputFunctions.Utility_DisplayArrayInTable(Common_SourceData.Common_SourceData_GWP_Data(), Table_GWPData[[#Headers],[Gas]], 0)</f>
        <v>6630</v>
      </c>
    </row>
    <row r="41" spans="1:8" ht="20.100000000000001" customHeight="1" x14ac:dyDescent="0.25">
      <c r="A41"/>
      <c r="D41" s="33" t="str" cm="1">
        <f t="array" ref="D41">Common_InputFunctions.Utility_DisplayArrayInTable(Common_SourceData.Common_SourceData_GWP_Data(), Table_GWPData[[#Headers],[Gas]], 0)</f>
        <v>C2F6</v>
      </c>
      <c r="E41" s="33" cm="1">
        <f t="array" ref="E41">Common_InputFunctions.Utility_DisplayArrayInTable(Common_SourceData.Common_SourceData_GWP_Data(), Table_GWPData[[#Headers],[Gas]], 0)</f>
        <v>12200</v>
      </c>
    </row>
    <row r="42" spans="1:8" ht="20.100000000000001" customHeight="1" x14ac:dyDescent="0.25">
      <c r="A42"/>
      <c r="D42" s="33" t="str" cm="1">
        <f t="array" ref="D42">Common_InputFunctions.Utility_DisplayArrayInTable(Common_SourceData.Common_SourceData_GWP_Data(), Table_GWPData[[#Headers],[Gas]], 0)</f>
        <v>SF6</v>
      </c>
      <c r="E42" s="33" cm="1">
        <f t="array" ref="E42">Common_InputFunctions.Utility_DisplayArrayInTable(Common_SourceData.Common_SourceData_GWP_Data(), Table_GWPData[[#Headers],[Gas]], 0)</f>
        <v>22800</v>
      </c>
    </row>
    <row r="43" spans="1:8" ht="20.100000000000001" customHeight="1" x14ac:dyDescent="0.25">
      <c r="A43"/>
      <c r="D43" s="33" t="str" cm="1">
        <f t="array" ref="D43">Common_InputFunctions.Utility_DisplayArrayInTable(Common_SourceData.Common_SourceData_GWP_Data(), Table_GWPData[[#Headers],[Gas]], 0)</f>
        <v>NF3</v>
      </c>
      <c r="E43" s="33"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3" t="s">
        <v>15</v>
      </c>
      <c r="E47" s="33" t="s">
        <v>18</v>
      </c>
      <c r="F47" s="33" t="s">
        <v>19</v>
      </c>
      <c r="G47" s="33" t="s">
        <v>20</v>
      </c>
      <c r="H47" s="33" t="s">
        <v>21</v>
      </c>
    </row>
    <row r="48" spans="1:8" ht="20.100000000000001" customHeight="1" x14ac:dyDescent="0.25">
      <c r="A48"/>
      <c r="D48" s="33" t="str" cm="1">
        <f t="array" ref="D48">Common_InputFunctions.Utility_DisplayArrayInTable(Common_SourceData.Common_SourceData_ConvertGasElementalToMolecular_Data(),Table_GasToMolecularConversionFactor[[#Headers],[Gas]], 0)</f>
        <v>CO2</v>
      </c>
      <c r="E48" s="33" t="str" cm="1">
        <f t="array" ref="E48">Common_InputFunctions.Utility_DisplayArrayInTable(Common_SourceData.Common_SourceData_ConvertGasElementalToMolecular_Data(),Table_GasToMolecularConversionFactor[[#Headers],[Gas]], 0)</f>
        <v>44/12</v>
      </c>
      <c r="F48" s="33" cm="1">
        <f t="array" ref="F48">Common_InputFunctions.Utility_DisplayArrayInTable(Common_SourceData.Common_SourceData_ConvertGasElementalToMolecular_Data(),Table_GasToMolecularConversionFactor[[#Headers],[Gas]], 0)</f>
        <v>44</v>
      </c>
      <c r="G48" s="33" cm="1">
        <f t="array" ref="G48">Common_InputFunctions.Utility_DisplayArrayInTable(Common_SourceData.Common_SourceData_ConvertGasElementalToMolecular_Data(),Table_GasToMolecularConversionFactor[[#Headers],[Gas]], 0)</f>
        <v>12</v>
      </c>
      <c r="H48" s="33">
        <f>Table_GasToMolecularConversionFactor[[#This Row],[Conversion factor 1]]/Table_GasToMolecularConversionFactor[[#This Row],[Conversion factor 2]]</f>
        <v>3.6666666666666665</v>
      </c>
    </row>
    <row r="49" spans="1:8" ht="20.100000000000001" customHeight="1" x14ac:dyDescent="0.25">
      <c r="A49"/>
      <c r="D49" s="33" t="str" cm="1">
        <f t="array" ref="D49">Common_InputFunctions.Utility_DisplayArrayInTable(Common_SourceData.Common_SourceData_ConvertGasElementalToMolecular_Data(),Table_GasToMolecularConversionFactor[[#Headers],[Gas]], 0)</f>
        <v>CH4</v>
      </c>
      <c r="E49" s="33" t="str" cm="1">
        <f t="array" ref="E49">Common_InputFunctions.Utility_DisplayArrayInTable(Common_SourceData.Common_SourceData_ConvertGasElementalToMolecular_Data(),Table_GasToMolecularConversionFactor[[#Headers],[Gas]], 0)</f>
        <v>16/12</v>
      </c>
      <c r="F49" s="33" cm="1">
        <f t="array" ref="F49">Common_InputFunctions.Utility_DisplayArrayInTable(Common_SourceData.Common_SourceData_ConvertGasElementalToMolecular_Data(),Table_GasToMolecularConversionFactor[[#Headers],[Gas]], 0)</f>
        <v>16</v>
      </c>
      <c r="G49" s="33" cm="1">
        <f t="array" ref="G49">Common_InputFunctions.Utility_DisplayArrayInTable(Common_SourceData.Common_SourceData_ConvertGasElementalToMolecular_Data(),Table_GasToMolecularConversionFactor[[#Headers],[Gas]], 0)</f>
        <v>12</v>
      </c>
      <c r="H49" s="33">
        <f>Table_GasToMolecularConversionFactor[[#This Row],[Conversion factor 1]]/Table_GasToMolecularConversionFactor[[#This Row],[Conversion factor 2]]</f>
        <v>1.3333333333333333</v>
      </c>
    </row>
    <row r="50" spans="1:8" ht="20.100000000000001" customHeight="1" x14ac:dyDescent="0.25">
      <c r="A50"/>
      <c r="D50" s="33" t="str" cm="1">
        <f t="array" ref="D50">Common_InputFunctions.Utility_DisplayArrayInTable(Common_SourceData.Common_SourceData_ConvertGasElementalToMolecular_Data(),Table_GasToMolecularConversionFactor[[#Headers],[Gas]], 0)</f>
        <v>N2O</v>
      </c>
      <c r="E50" s="33" t="str" cm="1">
        <f t="array" ref="E50">Common_InputFunctions.Utility_DisplayArrayInTable(Common_SourceData.Common_SourceData_ConvertGasElementalToMolecular_Data(),Table_GasToMolecularConversionFactor[[#Headers],[Gas]], 0)</f>
        <v>44/28</v>
      </c>
      <c r="F50" s="33" cm="1">
        <f t="array" ref="F50">Common_InputFunctions.Utility_DisplayArrayInTable(Common_SourceData.Common_SourceData_ConvertGasElementalToMolecular_Data(),Table_GasToMolecularConversionFactor[[#Headers],[Gas]], 0)</f>
        <v>44</v>
      </c>
      <c r="G50" s="33" cm="1">
        <f t="array" ref="G50">Common_InputFunctions.Utility_DisplayArrayInTable(Common_SourceData.Common_SourceData_ConvertGasElementalToMolecular_Data(),Table_GasToMolecularConversionFactor[[#Headers],[Gas]], 0)</f>
        <v>28</v>
      </c>
      <c r="H50" s="33">
        <f>Table_GasToMolecularConversionFactor[[#This Row],[Conversion factor 1]]/Table_GasToMolecularConversionFactor[[#This Row],[Conversion factor 2]]</f>
        <v>1.5714285714285714</v>
      </c>
    </row>
    <row r="51" spans="1:8" ht="20.100000000000001" customHeight="1" x14ac:dyDescent="0.25">
      <c r="A51"/>
      <c r="D51" s="33" t="str" cm="1">
        <f t="array" ref="D51">Common_InputFunctions.Utility_DisplayArrayInTable(Common_SourceData.Common_SourceData_ConvertGasElementalToMolecular_Data(),Table_GasToMolecularConversionFactor[[#Headers],[Gas]], 0)</f>
        <v>Nox</v>
      </c>
      <c r="E51" s="33" t="str" cm="1">
        <f t="array" ref="E51">Common_InputFunctions.Utility_DisplayArrayInTable(Common_SourceData.Common_SourceData_ConvertGasElementalToMolecular_Data(),Table_GasToMolecularConversionFactor[[#Headers],[Gas]], 0)</f>
        <v>46/14</v>
      </c>
      <c r="F51" s="33" cm="1">
        <f t="array" ref="F51">Common_InputFunctions.Utility_DisplayArrayInTable(Common_SourceData.Common_SourceData_ConvertGasElementalToMolecular_Data(),Table_GasToMolecularConversionFactor[[#Headers],[Gas]], 0)</f>
        <v>46</v>
      </c>
      <c r="G51" s="33" cm="1">
        <f t="array" ref="G51">Common_InputFunctions.Utility_DisplayArrayInTable(Common_SourceData.Common_SourceData_ConvertGasElementalToMolecular_Data(),Table_GasToMolecularConversionFactor[[#Headers],[Gas]], 0)</f>
        <v>14</v>
      </c>
      <c r="H51" s="33">
        <f>Table_GasToMolecularConversionFactor[[#This Row],[Conversion factor 1]]/Table_GasToMolecularConversionFactor[[#This Row],[Conversion factor 2]]</f>
        <v>3.2857142857142856</v>
      </c>
    </row>
    <row r="52" spans="1:8" ht="20.100000000000001" customHeight="1" x14ac:dyDescent="0.25">
      <c r="A52"/>
      <c r="D52" s="33" t="str" cm="1">
        <f t="array" ref="D52">Common_InputFunctions.Utility_DisplayArrayInTable(Common_SourceData.Common_SourceData_ConvertGasElementalToMolecular_Data(),Table_GasToMolecularConversionFactor[[#Headers],[Gas]], 0)</f>
        <v>CO</v>
      </c>
      <c r="E52" s="33" t="str" cm="1">
        <f t="array" ref="E52">Common_InputFunctions.Utility_DisplayArrayInTable(Common_SourceData.Common_SourceData_ConvertGasElementalToMolecular_Data(),Table_GasToMolecularConversionFactor[[#Headers],[Gas]], 0)</f>
        <v>28/12</v>
      </c>
      <c r="F52" s="33" cm="1">
        <f t="array" ref="F52">Common_InputFunctions.Utility_DisplayArrayInTable(Common_SourceData.Common_SourceData_ConvertGasElementalToMolecular_Data(),Table_GasToMolecularConversionFactor[[#Headers],[Gas]], 0)</f>
        <v>28</v>
      </c>
      <c r="G52" s="33" cm="1">
        <f t="array" ref="G52">Common_InputFunctions.Utility_DisplayArrayInTable(Common_SourceData.Common_SourceData_ConvertGasElementalToMolecular_Data(),Table_GasToMolecularConversionFactor[[#Headers],[Gas]], 0)</f>
        <v>12</v>
      </c>
      <c r="H52" s="33">
        <f>Table_GasToMolecularConversionFactor[[#This Row],[Conversion factor 1]]/Table_GasToMolecularConversionFactor[[#This Row],[Conversion factor 2]]</f>
        <v>2.3333333333333335</v>
      </c>
    </row>
    <row r="53" spans="1:8" ht="20.100000000000001" customHeight="1" x14ac:dyDescent="0.25">
      <c r="A53"/>
      <c r="D53" s="33" t="str" cm="1">
        <f t="array" ref="D53">Common_InputFunctions.Utility_DisplayArrayInTable(Common_SourceData.Common_SourceData_ConvertGasElementalToMolecular_Data(),Table_GasToMolecularConversionFactor[[#Headers],[Gas]], 0)</f>
        <v>CO2 Lime</v>
      </c>
      <c r="E53" s="33" t="str" cm="1">
        <f t="array" ref="E53">Common_InputFunctions.Utility_DisplayArrayInTable(Common_SourceData.Common_SourceData_ConvertGasElementalToMolecular_Data(),Table_GasToMolecularConversionFactor[[#Headers],[Gas]], 0)</f>
        <v>44/12</v>
      </c>
      <c r="F53" s="33" cm="1">
        <f t="array" ref="F53">Common_InputFunctions.Utility_DisplayArrayInTable(Common_SourceData.Common_SourceData_ConvertGasElementalToMolecular_Data(),Table_GasToMolecularConversionFactor[[#Headers],[Gas]], 0)</f>
        <v>44</v>
      </c>
      <c r="G53" s="33" cm="1">
        <f t="array" ref="G53">Common_InputFunctions.Utility_DisplayArrayInTable(Common_SourceData.Common_SourceData_ConvertGasElementalToMolecular_Data(),Table_GasToMolecularConversionFactor[[#Headers],[Gas]], 0)</f>
        <v>12</v>
      </c>
      <c r="H53" s="33">
        <f>Table_GasToMolecularConversionFactor[[#This Row],[Conversion factor 1]]/Table_GasToMolecularConversionFactor[[#This Row],[Conversion factor 2]]</f>
        <v>3.6666666666666665</v>
      </c>
    </row>
    <row r="54" spans="1:8" ht="20.100000000000001" customHeight="1" x14ac:dyDescent="0.25">
      <c r="A54"/>
      <c r="D54" s="33" t="str" cm="1">
        <f t="array" ref="D54">Common_InputFunctions.Utility_DisplayArrayInTable(Common_SourceData.Common_SourceData_ConvertGasElementalToMolecular_Data(),Table_GasToMolecularConversionFactor[[#Headers],[Gas]], 0)</f>
        <v>NMVOC</v>
      </c>
      <c r="E54" s="33" t="str" cm="1">
        <f t="array" ref="E54">Common_InputFunctions.Utility_DisplayArrayInTable(Common_SourceData.Common_SourceData_ConvertGasElementalToMolecular_Data(),Table_GasToMolecularConversionFactor[[#Headers],[Gas]], 0)</f>
        <v>14/12</v>
      </c>
      <c r="F54" s="33" cm="1">
        <f t="array" ref="F54">Common_InputFunctions.Utility_DisplayArrayInTable(Common_SourceData.Common_SourceData_ConvertGasElementalToMolecular_Data(),Table_GasToMolecularConversionFactor[[#Headers],[Gas]], 0)</f>
        <v>14</v>
      </c>
      <c r="G54" s="33" cm="1">
        <f t="array" ref="G54">Common_InputFunctions.Utility_DisplayArrayInTable(Common_SourceData.Common_SourceData_ConvertGasElementalToMolecular_Data(),Table_GasToMolecularConversionFactor[[#Headers],[Gas]], 0)</f>
        <v>12</v>
      </c>
      <c r="H54" s="33">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47" t="str" cm="1">
        <f t="array" ref="D59:D61">"⚠️" &amp; Common_SourceData.Common_SourceData_WetAndDryZones_Variation()</f>
        <v>⚠️VARIATION OF SOURCE DATA:</v>
      </c>
    </row>
    <row r="60" spans="1:8" ht="20.100000000000001" customHeight="1" x14ac:dyDescent="0.25">
      <c r="A60"/>
      <c r="D60" s="47" t="str">
        <v>⚠️Added warm / cool temperate moist / dry - low frost and high temp classes to accommodate climate scenarios excluded by VEERG criteria.</v>
      </c>
    </row>
    <row r="61" spans="1:8" ht="20.100000000000001" customHeight="1" x14ac:dyDescent="0.25">
      <c r="A61"/>
      <c r="D61" s="47" t="str">
        <v>⚠️Fixed typo - Changed 'Fry' to 'Dry'.</v>
      </c>
    </row>
    <row r="62" spans="1:8" ht="20.100000000000001" customHeight="1" x14ac:dyDescent="0.25">
      <c r="A62"/>
    </row>
    <row r="63" spans="1:8" ht="20.100000000000001" customHeight="1" x14ac:dyDescent="0.25">
      <c r="A63"/>
      <c r="D63" s="33" t="s">
        <v>5</v>
      </c>
      <c r="E63" s="33" t="s">
        <v>35</v>
      </c>
    </row>
    <row r="64" spans="1:8" ht="20.100000000000001" customHeight="1" x14ac:dyDescent="0.25">
      <c r="A64"/>
      <c r="D64" s="33" t="str" cm="1">
        <f t="array" ref="D64">Common_InputFunctions.Utility_DisplayArrayInTable(Common_SourceData.Common_SourceData_WetAndDryZones_Data(), Table_SourceData_WetDryZones[[#Headers],[Climate zone]], 0)</f>
        <v>Tropical montane</v>
      </c>
      <c r="E64" s="33"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3" t="str" cm="1">
        <f t="array" ref="D65">Common_InputFunctions.Utility_DisplayArrayInTable(Common_SourceData.Common_SourceData_WetAndDryZones_Data(), Table_SourceData_WetDryZones[[#Headers],[Climate zone]], 0)</f>
        <v>Tropical wet</v>
      </c>
      <c r="E65" s="33"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3" t="str" cm="1">
        <f t="array" ref="D66">Common_InputFunctions.Utility_DisplayArrayInTable(Common_SourceData.Common_SourceData_WetAndDryZones_Data(), Table_SourceData_WetDryZones[[#Headers],[Climate zone]], 0)</f>
        <v>Tropical moist</v>
      </c>
      <c r="E66" s="33"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3" t="str" cm="1">
        <f t="array" ref="D67">Common_InputFunctions.Utility_DisplayArrayInTable(Common_SourceData.Common_SourceData_WetAndDryZones_Data(), Table_SourceData_WetDryZones[[#Headers],[Climate zone]], 0)</f>
        <v>Tropical dry</v>
      </c>
      <c r="E67" s="33"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3" t="str" cm="1">
        <f t="array" ref="D68">Common_InputFunctions.Utility_DisplayArrayInTable(Common_SourceData.Common_SourceData_WetAndDryZones_Data(), Table_SourceData_WetDryZones[[#Headers],[Climate zone]], 0)</f>
        <v>Warm temperate moist</v>
      </c>
      <c r="E68" s="33"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3" t="str" cm="1">
        <f t="array" ref="D69">Common_InputFunctions.Utility_DisplayArrayInTable(Common_SourceData.Common_SourceData_WetAndDryZones_Data(), Table_SourceData_WetDryZones[[#Headers],[Climate zone]], 0)</f>
        <v>Warm temperate dry</v>
      </c>
      <c r="E69" s="33"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3" t="str" cm="1">
        <f t="array" ref="D70">Common_InputFunctions.Utility_DisplayArrayInTable(Common_SourceData.Common_SourceData_WetAndDryZones_Data(), Table_SourceData_WetDryZones[[#Headers],[Climate zone]], 0)</f>
        <v>Cool temperate moist</v>
      </c>
      <c r="E70" s="33"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3" t="str" cm="1">
        <f t="array" ref="D71">Common_InputFunctions.Utility_DisplayArrayInTable(Common_SourceData.Common_SourceData_WetAndDryZones_Data(), Table_SourceData_WetDryZones[[#Headers],[Climate zone]], 0)</f>
        <v>Cool temperate dry</v>
      </c>
      <c r="E71" s="33"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3" t="str" cm="1">
        <f t="array" ref="D72">Common_InputFunctions.Utility_DisplayArrayInTable(Common_SourceData.Common_SourceData_WetAndDryZones_Data(), Table_SourceData_WetDryZones[[#Headers],[Climate zone]], 0)</f>
        <v>Warm temperate moist - low frost</v>
      </c>
      <c r="E72" s="33"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3" t="str" cm="1">
        <f t="array" ref="D73">Common_InputFunctions.Utility_DisplayArrayInTable(Common_SourceData.Common_SourceData_WetAndDryZones_Data(), Table_SourceData_WetDryZones[[#Headers],[Climate zone]], 0)</f>
        <v>Warm temperate dry - low frost</v>
      </c>
      <c r="E73" s="33"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3" t="str" cm="1">
        <f t="array" ref="D74">Common_InputFunctions.Utility_DisplayArrayInTable(Common_SourceData.Common_SourceData_WetAndDryZones_Data(), Table_SourceData_WetDryZones[[#Headers],[Climate zone]], 0)</f>
        <v>Warm temperate moist - high temp</v>
      </c>
      <c r="E74" s="33"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3" t="str" cm="1">
        <f t="array" ref="D75">Common_InputFunctions.Utility_DisplayArrayInTable(Common_SourceData.Common_SourceData_WetAndDryZones_Data(), Table_SourceData_WetDryZones[[#Headers],[Climate zone]], 0)</f>
        <v>Warm temperate dry - high temp</v>
      </c>
      <c r="E75" s="33"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3" t="str" cm="1">
        <f t="array" ref="D76">Common_InputFunctions.Utility_DisplayArrayInTable(Common_SourceData.Common_SourceData_WetAndDryZones_Data(), Table_SourceData_WetDryZones[[#Headers],[Climate zone]], 0)</f>
        <v>Cool temperate moist - low frost</v>
      </c>
      <c r="E76" s="33"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3" t="str" cm="1">
        <f t="array" ref="D77">Common_InputFunctions.Utility_DisplayArrayInTable(Common_SourceData.Common_SourceData_WetAndDryZones_Data(), Table_SourceData_WetDryZones[[#Headers],[Climate zone]], 0)</f>
        <v>Cool temperate dry - low frost</v>
      </c>
      <c r="E77" s="33"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47" t="str" cm="1">
        <f t="array" ref="D83:D87">"⚠️" &amp; Common_SourceData.Common_SourceData_ClimateZones_Variation()</f>
        <v>⚠️VARIATION OF SOURCE DATA:</v>
      </c>
    </row>
    <row r="84" spans="1:20" ht="20.100000000000001" customHeight="1" x14ac:dyDescent="0.25">
      <c r="A84"/>
      <c r="D84" s="47" t="str">
        <v>⚠️Added warm / cool temperate moist / dry - low frost and high temp classes to accommodate climate scenarios excluded by VEERG criteria.</v>
      </c>
    </row>
    <row r="85" spans="1:20" ht="20.100000000000001" customHeight="1" x14ac:dyDescent="0.25">
      <c r="A85"/>
      <c r="D85" s="47" t="str">
        <v>⚠️Fixed typo in MAT value for warm temperate dry - changed 10 to 11.</v>
      </c>
    </row>
    <row r="86" spans="1:20" ht="20.100000000000001" customHeight="1" x14ac:dyDescent="0.25">
      <c r="A86"/>
      <c r="D86" s="47" t="str">
        <v>⚠️Added min and max columns for MAT, MAP, frost days per year, elevation, MAP:PET to calculate zones from real climate data.</v>
      </c>
    </row>
    <row r="87" spans="1:20" ht="20.100000000000001" customHeight="1" x14ac:dyDescent="0.25">
      <c r="A87"/>
      <c r="D87" s="47" t="str">
        <v>⚠️GAF accepts rainfall as a proxy for precipitation.</v>
      </c>
    </row>
    <row r="88" spans="1:20" ht="20.100000000000001" customHeight="1" x14ac:dyDescent="0.25">
      <c r="A88"/>
    </row>
    <row r="89" spans="1:20" ht="20.100000000000001" customHeight="1" x14ac:dyDescent="0.25">
      <c r="A89"/>
      <c r="D89" s="33" t="s">
        <v>5</v>
      </c>
      <c r="E89" s="33" t="s">
        <v>23</v>
      </c>
      <c r="F89" s="33" t="s">
        <v>24</v>
      </c>
      <c r="G89" s="33" t="s">
        <v>25</v>
      </c>
      <c r="H89" s="33" t="s">
        <v>26</v>
      </c>
      <c r="I89" s="33" t="s">
        <v>27</v>
      </c>
      <c r="J89" s="33" t="s">
        <v>28</v>
      </c>
      <c r="K89" s="33" t="s">
        <v>29</v>
      </c>
      <c r="L89" s="33" t="s">
        <v>30</v>
      </c>
      <c r="M89" s="33" t="s">
        <v>31</v>
      </c>
      <c r="N89" s="33" t="s">
        <v>32</v>
      </c>
      <c r="O89" s="33" t="s">
        <v>36</v>
      </c>
      <c r="P89" s="33" t="s">
        <v>33</v>
      </c>
      <c r="Q89" s="33" t="s">
        <v>37</v>
      </c>
      <c r="R89" s="33" t="s">
        <v>34</v>
      </c>
      <c r="S89" s="33" t="s">
        <v>38</v>
      </c>
      <c r="T89" s="33"/>
    </row>
    <row r="90" spans="1:20" ht="20.100000000000001" customHeight="1" x14ac:dyDescent="0.25">
      <c r="A90"/>
      <c r="D90" s="33" t="str" cm="1">
        <f t="array" ref="D90">Common_InputFunctions.Utility_DisplayArrayInTable(Common_SourceData.Common_SourceData_ClimateZones_Data(), Table_SourceData_ClimateZones[[#Headers],[Climate zone]], 0)</f>
        <v>Tropical montane</v>
      </c>
      <c r="E90" s="33" t="str" cm="1">
        <f t="array" ref="E90">Common_InputFunctions.Utility_DisplayArrayInTable(Common_SourceData.Common_SourceData_ClimateZones_Data(), Table_SourceData_ClimateZones[[#Headers],[Climate zone]], 0)</f>
        <v>&gt; 18 C</v>
      </c>
      <c r="F90" s="33" t="str" cm="1">
        <f t="array" ref="F90">Common_InputFunctions.Utility_DisplayArrayInTable(Common_SourceData.Common_SourceData_ClimateZones_Data(), Table_SourceData_ClimateZones[[#Headers],[Climate zone]], 0)</f>
        <v>Any</v>
      </c>
      <c r="G90" s="33" t="str" cm="1">
        <f t="array" ref="G90">Common_InputFunctions.Utility_DisplayArrayInTable(Common_SourceData.Common_SourceData_ClimateZones_Data(), Table_SourceData_ClimateZones[[#Headers],[Climate zone]], 0)</f>
        <v>≤ 7</v>
      </c>
      <c r="H90" s="33" t="str" cm="1">
        <f t="array" ref="H90">Common_InputFunctions.Utility_DisplayArrayInTable(Common_SourceData.Common_SourceData_ClimateZones_Data(), Table_SourceData_ClimateZones[[#Headers],[Climate zone]], 0)</f>
        <v>&gt; 1000 m</v>
      </c>
      <c r="I90" s="33" t="str" cm="1">
        <f t="array" ref="I90">Common_InputFunctions.Utility_DisplayArrayInTable(Common_SourceData.Common_SourceData_ClimateZones_Data(), Table_SourceData_ClimateZones[[#Headers],[Climate zone]], 0)</f>
        <v>Any</v>
      </c>
      <c r="J90" s="33" cm="1">
        <f t="array" ref="J90">Common_InputFunctions.Utility_DisplayArrayInTable(Common_SourceData.Common_SourceData_ClimateZones_Data(), Table_SourceData_ClimateZones[[#Headers],[Climate zone]], 0)</f>
        <v>18.001000000000001</v>
      </c>
      <c r="K90" s="33" cm="1">
        <f t="array" ref="K90">Common_InputFunctions.Utility_DisplayArrayInTable(Common_SourceData.Common_SourceData_ClimateZones_Data(), Table_SourceData_ClimateZones[[#Headers],[Climate zone]], 0)</f>
        <v>999999</v>
      </c>
      <c r="L90" s="33" cm="1">
        <f t="array" ref="L90">Common_InputFunctions.Utility_DisplayArrayInTable(Common_SourceData.Common_SourceData_ClimateZones_Data(), Table_SourceData_ClimateZones[[#Headers],[Climate zone]], 0)</f>
        <v>-999999</v>
      </c>
      <c r="M90" s="33" cm="1">
        <f t="array" ref="M90">Common_InputFunctions.Utility_DisplayArrayInTable(Common_SourceData.Common_SourceData_ClimateZones_Data(), Table_SourceData_ClimateZones[[#Headers],[Climate zone]], 0)</f>
        <v>999999</v>
      </c>
      <c r="N90" s="33" cm="1">
        <f t="array" ref="N90">Common_InputFunctions.Utility_DisplayArrayInTable(Common_SourceData.Common_SourceData_ClimateZones_Data(), Table_SourceData_ClimateZones[[#Headers],[Climate zone]], 0)</f>
        <v>-999999</v>
      </c>
      <c r="O90" s="33" cm="1">
        <f t="array" ref="O90">Common_InputFunctions.Utility_DisplayArrayInTable(Common_SourceData.Common_SourceData_ClimateZones_Data(), Table_SourceData_ClimateZones[[#Headers],[Climate zone]], 0)</f>
        <v>7</v>
      </c>
      <c r="P90" s="33" cm="1">
        <f t="array" ref="P90">Common_InputFunctions.Utility_DisplayArrayInTable(Common_SourceData.Common_SourceData_ClimateZones_Data(), Table_SourceData_ClimateZones[[#Headers],[Climate zone]], 0)</f>
        <v>1000</v>
      </c>
      <c r="Q90" s="33" cm="1">
        <f t="array" ref="Q90">Common_InputFunctions.Utility_DisplayArrayInTable(Common_SourceData.Common_SourceData_ClimateZones_Data(), Table_SourceData_ClimateZones[[#Headers],[Climate zone]], 0)</f>
        <v>999999</v>
      </c>
      <c r="R90" s="33" cm="1">
        <f t="array" ref="R90">Common_InputFunctions.Utility_DisplayArrayInTable(Common_SourceData.Common_SourceData_ClimateZones_Data(), Table_SourceData_ClimateZones[[#Headers],[Climate zone]], 0)</f>
        <v>-999999</v>
      </c>
      <c r="S90" s="33" cm="1">
        <f t="array" ref="S90">Common_InputFunctions.Utility_DisplayArrayInTable(Common_SourceData.Common_SourceData_ClimateZones_Data(), Table_SourceData_ClimateZones[[#Headers],[Climate zone]], 0)</f>
        <v>999999</v>
      </c>
      <c r="T90" s="33"/>
    </row>
    <row r="91" spans="1:20" ht="20.100000000000001" customHeight="1" x14ac:dyDescent="0.25">
      <c r="A91"/>
      <c r="D91" s="33" t="str" cm="1">
        <f t="array" ref="D91">Common_InputFunctions.Utility_DisplayArrayInTable(Common_SourceData.Common_SourceData_ClimateZones_Data(), Table_SourceData_ClimateZones[[#Headers],[Climate zone]], 0)</f>
        <v>Tropical wet</v>
      </c>
      <c r="E91" s="33" t="str" cm="1">
        <f t="array" ref="E91">Common_InputFunctions.Utility_DisplayArrayInTable(Common_SourceData.Common_SourceData_ClimateZones_Data(), Table_SourceData_ClimateZones[[#Headers],[Climate zone]], 0)</f>
        <v>&gt; 18 C</v>
      </c>
      <c r="F91" s="33" t="str" cm="1">
        <f t="array" ref="F91">Common_InputFunctions.Utility_DisplayArrayInTable(Common_SourceData.Common_SourceData_ClimateZones_Data(), Table_SourceData_ClimateZones[[#Headers],[Climate zone]], 0)</f>
        <v>&gt; 2000 mm</v>
      </c>
      <c r="G91" s="33" t="str" cm="1">
        <f t="array" ref="G91">Common_InputFunctions.Utility_DisplayArrayInTable(Common_SourceData.Common_SourceData_ClimateZones_Data(), Table_SourceData_ClimateZones[[#Headers],[Climate zone]], 0)</f>
        <v>≤ 7</v>
      </c>
      <c r="H91" s="33" t="str" cm="1">
        <f t="array" ref="H91">Common_InputFunctions.Utility_DisplayArrayInTable(Common_SourceData.Common_SourceData_ClimateZones_Data(), Table_SourceData_ClimateZones[[#Headers],[Climate zone]], 0)</f>
        <v>≤ 1000 m</v>
      </c>
      <c r="I91" s="33" t="str" cm="1">
        <f t="array" ref="I91">Common_InputFunctions.Utility_DisplayArrayInTable(Common_SourceData.Common_SourceData_ClimateZones_Data(), Table_SourceData_ClimateZones[[#Headers],[Climate zone]], 0)</f>
        <v>Any</v>
      </c>
      <c r="J91" s="33" cm="1">
        <f t="array" ref="J91">Common_InputFunctions.Utility_DisplayArrayInTable(Common_SourceData.Common_SourceData_ClimateZones_Data(), Table_SourceData_ClimateZones[[#Headers],[Climate zone]], 0)</f>
        <v>18.001000000000001</v>
      </c>
      <c r="K91" s="33" cm="1">
        <f t="array" ref="K91">Common_InputFunctions.Utility_DisplayArrayInTable(Common_SourceData.Common_SourceData_ClimateZones_Data(), Table_SourceData_ClimateZones[[#Headers],[Climate zone]], 0)</f>
        <v>999999</v>
      </c>
      <c r="L91" s="33" cm="1">
        <f t="array" ref="L91">Common_InputFunctions.Utility_DisplayArrayInTable(Common_SourceData.Common_SourceData_ClimateZones_Data(), Table_SourceData_ClimateZones[[#Headers],[Climate zone]], 0)</f>
        <v>2000.001</v>
      </c>
      <c r="M91" s="33" cm="1">
        <f t="array" ref="M91">Common_InputFunctions.Utility_DisplayArrayInTable(Common_SourceData.Common_SourceData_ClimateZones_Data(), Table_SourceData_ClimateZones[[#Headers],[Climate zone]], 0)</f>
        <v>999999</v>
      </c>
      <c r="N91" s="33" cm="1">
        <f t="array" ref="N91">Common_InputFunctions.Utility_DisplayArrayInTable(Common_SourceData.Common_SourceData_ClimateZones_Data(), Table_SourceData_ClimateZones[[#Headers],[Climate zone]], 0)</f>
        <v>-999999</v>
      </c>
      <c r="O91" s="33" cm="1">
        <f t="array" ref="O91">Common_InputFunctions.Utility_DisplayArrayInTable(Common_SourceData.Common_SourceData_ClimateZones_Data(), Table_SourceData_ClimateZones[[#Headers],[Climate zone]], 0)</f>
        <v>7</v>
      </c>
      <c r="P91" s="33" cm="1">
        <f t="array" ref="P91">Common_InputFunctions.Utility_DisplayArrayInTable(Common_SourceData.Common_SourceData_ClimateZones_Data(), Table_SourceData_ClimateZones[[#Headers],[Climate zone]], 0)</f>
        <v>-999999</v>
      </c>
      <c r="Q91" s="33" cm="1">
        <f t="array" ref="Q91">Common_InputFunctions.Utility_DisplayArrayInTable(Common_SourceData.Common_SourceData_ClimateZones_Data(), Table_SourceData_ClimateZones[[#Headers],[Climate zone]], 0)</f>
        <v>999.99900000000002</v>
      </c>
      <c r="R91" s="33" cm="1">
        <f t="array" ref="R91">Common_InputFunctions.Utility_DisplayArrayInTable(Common_SourceData.Common_SourceData_ClimateZones_Data(), Table_SourceData_ClimateZones[[#Headers],[Climate zone]], 0)</f>
        <v>-999999</v>
      </c>
      <c r="S91" s="33" cm="1">
        <f t="array" ref="S91">Common_InputFunctions.Utility_DisplayArrayInTable(Common_SourceData.Common_SourceData_ClimateZones_Data(), Table_SourceData_ClimateZones[[#Headers],[Climate zone]], 0)</f>
        <v>999999</v>
      </c>
      <c r="T91" s="33"/>
    </row>
    <row r="92" spans="1:20" ht="20.100000000000001" customHeight="1" x14ac:dyDescent="0.25">
      <c r="A92"/>
      <c r="D92" s="33" t="str" cm="1">
        <f t="array" ref="D92">Common_InputFunctions.Utility_DisplayArrayInTable(Common_SourceData.Common_SourceData_ClimateZones_Data(), Table_SourceData_ClimateZones[[#Headers],[Climate zone]], 0)</f>
        <v>Tropical moist</v>
      </c>
      <c r="E92" s="33" t="str" cm="1">
        <f t="array" ref="E92">Common_InputFunctions.Utility_DisplayArrayInTable(Common_SourceData.Common_SourceData_ClimateZones_Data(), Table_SourceData_ClimateZones[[#Headers],[Climate zone]], 0)</f>
        <v>&gt; 18 C</v>
      </c>
      <c r="F92" s="33" t="str" cm="1">
        <f t="array" ref="F92">Common_InputFunctions.Utility_DisplayArrayInTable(Common_SourceData.Common_SourceData_ClimateZones_Data(), Table_SourceData_ClimateZones[[#Headers],[Climate zone]], 0)</f>
        <v>&gt; 1000 mm - ≤ 2000 mm</v>
      </c>
      <c r="G92" s="33" t="str" cm="1">
        <f t="array" ref="G92">Common_InputFunctions.Utility_DisplayArrayInTable(Common_SourceData.Common_SourceData_ClimateZones_Data(), Table_SourceData_ClimateZones[[#Headers],[Climate zone]], 0)</f>
        <v>≤ 7</v>
      </c>
      <c r="H92" s="33" t="str" cm="1">
        <f t="array" ref="H92">Common_InputFunctions.Utility_DisplayArrayInTable(Common_SourceData.Common_SourceData_ClimateZones_Data(), Table_SourceData_ClimateZones[[#Headers],[Climate zone]], 0)</f>
        <v>≤ 1000 m</v>
      </c>
      <c r="I92" s="33" t="str" cm="1">
        <f t="array" ref="I92">Common_InputFunctions.Utility_DisplayArrayInTable(Common_SourceData.Common_SourceData_ClimateZones_Data(), Table_SourceData_ClimateZones[[#Headers],[Climate zone]], 0)</f>
        <v>Any</v>
      </c>
      <c r="J92" s="33" cm="1">
        <f t="array" ref="J92">Common_InputFunctions.Utility_DisplayArrayInTable(Common_SourceData.Common_SourceData_ClimateZones_Data(), Table_SourceData_ClimateZones[[#Headers],[Climate zone]], 0)</f>
        <v>18.001000000000001</v>
      </c>
      <c r="K92" s="33" cm="1">
        <f t="array" ref="K92">Common_InputFunctions.Utility_DisplayArrayInTable(Common_SourceData.Common_SourceData_ClimateZones_Data(), Table_SourceData_ClimateZones[[#Headers],[Climate zone]], 0)</f>
        <v>999999</v>
      </c>
      <c r="L92" s="33" cm="1">
        <f t="array" ref="L92">Common_InputFunctions.Utility_DisplayArrayInTable(Common_SourceData.Common_SourceData_ClimateZones_Data(), Table_SourceData_ClimateZones[[#Headers],[Climate zone]], 0)</f>
        <v>1000.001</v>
      </c>
      <c r="M92" s="33" cm="1">
        <f t="array" ref="M92">Common_InputFunctions.Utility_DisplayArrayInTable(Common_SourceData.Common_SourceData_ClimateZones_Data(), Table_SourceData_ClimateZones[[#Headers],[Climate zone]], 0)</f>
        <v>2000</v>
      </c>
      <c r="N92" s="33" cm="1">
        <f t="array" ref="N92">Common_InputFunctions.Utility_DisplayArrayInTable(Common_SourceData.Common_SourceData_ClimateZones_Data(), Table_SourceData_ClimateZones[[#Headers],[Climate zone]], 0)</f>
        <v>-999999</v>
      </c>
      <c r="O92" s="33" cm="1">
        <f t="array" ref="O92">Common_InputFunctions.Utility_DisplayArrayInTable(Common_SourceData.Common_SourceData_ClimateZones_Data(), Table_SourceData_ClimateZones[[#Headers],[Climate zone]], 0)</f>
        <v>7</v>
      </c>
      <c r="P92" s="33" cm="1">
        <f t="array" ref="P92">Common_InputFunctions.Utility_DisplayArrayInTable(Common_SourceData.Common_SourceData_ClimateZones_Data(), Table_SourceData_ClimateZones[[#Headers],[Climate zone]], 0)</f>
        <v>-999999</v>
      </c>
      <c r="Q92" s="33" cm="1">
        <f t="array" ref="Q92">Common_InputFunctions.Utility_DisplayArrayInTable(Common_SourceData.Common_SourceData_ClimateZones_Data(), Table_SourceData_ClimateZones[[#Headers],[Climate zone]], 0)</f>
        <v>999.99900000000002</v>
      </c>
      <c r="R92" s="33" cm="1">
        <f t="array" ref="R92">Common_InputFunctions.Utility_DisplayArrayInTable(Common_SourceData.Common_SourceData_ClimateZones_Data(), Table_SourceData_ClimateZones[[#Headers],[Climate zone]], 0)</f>
        <v>-999999</v>
      </c>
      <c r="S92" s="33" cm="1">
        <f t="array" ref="S92">Common_InputFunctions.Utility_DisplayArrayInTable(Common_SourceData.Common_SourceData_ClimateZones_Data(), Table_SourceData_ClimateZones[[#Headers],[Climate zone]], 0)</f>
        <v>999999</v>
      </c>
      <c r="T92" s="33"/>
    </row>
    <row r="93" spans="1:20" ht="20.100000000000001" customHeight="1" x14ac:dyDescent="0.25">
      <c r="A93"/>
      <c r="D93" s="33" t="str" cm="1">
        <f t="array" ref="D93">Common_InputFunctions.Utility_DisplayArrayInTable(Common_SourceData.Common_SourceData_ClimateZones_Data(), Table_SourceData_ClimateZones[[#Headers],[Climate zone]], 0)</f>
        <v>Tropical dry</v>
      </c>
      <c r="E93" s="33" t="str" cm="1">
        <f t="array" ref="E93">Common_InputFunctions.Utility_DisplayArrayInTable(Common_SourceData.Common_SourceData_ClimateZones_Data(), Table_SourceData_ClimateZones[[#Headers],[Climate zone]], 0)</f>
        <v>&gt; 18 C</v>
      </c>
      <c r="F93" s="33" t="str" cm="1">
        <f t="array" ref="F93">Common_InputFunctions.Utility_DisplayArrayInTable(Common_SourceData.Common_SourceData_ClimateZones_Data(), Table_SourceData_ClimateZones[[#Headers],[Climate zone]], 0)</f>
        <v>≤ 1000 mm</v>
      </c>
      <c r="G93" s="33" t="str" cm="1">
        <f t="array" ref="G93">Common_InputFunctions.Utility_DisplayArrayInTable(Common_SourceData.Common_SourceData_ClimateZones_Data(), Table_SourceData_ClimateZones[[#Headers],[Climate zone]], 0)</f>
        <v>≤ 7</v>
      </c>
      <c r="H93" s="33" t="str" cm="1">
        <f t="array" ref="H93">Common_InputFunctions.Utility_DisplayArrayInTable(Common_SourceData.Common_SourceData_ClimateZones_Data(), Table_SourceData_ClimateZones[[#Headers],[Climate zone]], 0)</f>
        <v>≤ 1000 m</v>
      </c>
      <c r="I93" s="33" t="str" cm="1">
        <f t="array" ref="I93">Common_InputFunctions.Utility_DisplayArrayInTable(Common_SourceData.Common_SourceData_ClimateZones_Data(), Table_SourceData_ClimateZones[[#Headers],[Climate zone]], 0)</f>
        <v>Any</v>
      </c>
      <c r="J93" s="33" cm="1">
        <f t="array" ref="J93">Common_InputFunctions.Utility_DisplayArrayInTable(Common_SourceData.Common_SourceData_ClimateZones_Data(), Table_SourceData_ClimateZones[[#Headers],[Climate zone]], 0)</f>
        <v>18.001000000000001</v>
      </c>
      <c r="K93" s="33" cm="1">
        <f t="array" ref="K93">Common_InputFunctions.Utility_DisplayArrayInTable(Common_SourceData.Common_SourceData_ClimateZones_Data(), Table_SourceData_ClimateZones[[#Headers],[Climate zone]], 0)</f>
        <v>999999</v>
      </c>
      <c r="L93" s="33" cm="1">
        <f t="array" ref="L93">Common_InputFunctions.Utility_DisplayArrayInTable(Common_SourceData.Common_SourceData_ClimateZones_Data(), Table_SourceData_ClimateZones[[#Headers],[Climate zone]], 0)</f>
        <v>-999999</v>
      </c>
      <c r="M93" s="33" cm="1">
        <f t="array" ref="M93">Common_InputFunctions.Utility_DisplayArrayInTable(Common_SourceData.Common_SourceData_ClimateZones_Data(), Table_SourceData_ClimateZones[[#Headers],[Climate zone]], 0)</f>
        <v>1000</v>
      </c>
      <c r="N93" s="33" cm="1">
        <f t="array" ref="N93">Common_InputFunctions.Utility_DisplayArrayInTable(Common_SourceData.Common_SourceData_ClimateZones_Data(), Table_SourceData_ClimateZones[[#Headers],[Climate zone]], 0)</f>
        <v>-999999</v>
      </c>
      <c r="O93" s="33" cm="1">
        <f t="array" ref="O93">Common_InputFunctions.Utility_DisplayArrayInTable(Common_SourceData.Common_SourceData_ClimateZones_Data(), Table_SourceData_ClimateZones[[#Headers],[Climate zone]], 0)</f>
        <v>7</v>
      </c>
      <c r="P93" s="33" cm="1">
        <f t="array" ref="P93">Common_InputFunctions.Utility_DisplayArrayInTable(Common_SourceData.Common_SourceData_ClimateZones_Data(), Table_SourceData_ClimateZones[[#Headers],[Climate zone]], 0)</f>
        <v>-999999</v>
      </c>
      <c r="Q93" s="33" cm="1">
        <f t="array" ref="Q93">Common_InputFunctions.Utility_DisplayArrayInTable(Common_SourceData.Common_SourceData_ClimateZones_Data(), Table_SourceData_ClimateZones[[#Headers],[Climate zone]], 0)</f>
        <v>999.99900000000002</v>
      </c>
      <c r="R93" s="33" cm="1">
        <f t="array" ref="R93">Common_InputFunctions.Utility_DisplayArrayInTable(Common_SourceData.Common_SourceData_ClimateZones_Data(), Table_SourceData_ClimateZones[[#Headers],[Climate zone]], 0)</f>
        <v>-999999</v>
      </c>
      <c r="S93" s="33" cm="1">
        <f t="array" ref="S93">Common_InputFunctions.Utility_DisplayArrayInTable(Common_SourceData.Common_SourceData_ClimateZones_Data(), Table_SourceData_ClimateZones[[#Headers],[Climate zone]], 0)</f>
        <v>999999</v>
      </c>
      <c r="T93" s="33"/>
    </row>
    <row r="94" spans="1:20" ht="20.100000000000001" customHeight="1" x14ac:dyDescent="0.25">
      <c r="A94"/>
      <c r="D94" s="33" t="str" cm="1">
        <f t="array" ref="D94">Common_InputFunctions.Utility_DisplayArrayInTable(Common_SourceData.Common_SourceData_ClimateZones_Data(), Table_SourceData_ClimateZones[[#Headers],[Climate zone]], 0)</f>
        <v>Warm temperate moist</v>
      </c>
      <c r="E94" s="33" t="str" cm="1">
        <f t="array" ref="E94">Common_InputFunctions.Utility_DisplayArrayInTable(Common_SourceData.Common_SourceData_ClimateZones_Data(), Table_SourceData_ClimateZones[[#Headers],[Climate zone]], 0)</f>
        <v>&gt; 10 C</v>
      </c>
      <c r="F94" s="33" t="str" cm="1">
        <f t="array" ref="F94">Common_InputFunctions.Utility_DisplayArrayInTable(Common_SourceData.Common_SourceData_ClimateZones_Data(), Table_SourceData_ClimateZones[[#Headers],[Climate zone]], 0)</f>
        <v>Any</v>
      </c>
      <c r="G94" s="33" t="str" cm="1">
        <f t="array" ref="G94">Common_InputFunctions.Utility_DisplayArrayInTable(Common_SourceData.Common_SourceData_ClimateZones_Data(), Table_SourceData_ClimateZones[[#Headers],[Climate zone]], 0)</f>
        <v>Any</v>
      </c>
      <c r="H94" s="33" t="str" cm="1">
        <f t="array" ref="H94">Common_InputFunctions.Utility_DisplayArrayInTable(Common_SourceData.Common_SourceData_ClimateZones_Data(), Table_SourceData_ClimateZones[[#Headers],[Climate zone]], 0)</f>
        <v>Any</v>
      </c>
      <c r="I94" s="33" t="str" cm="1">
        <f t="array" ref="I94">Common_InputFunctions.Utility_DisplayArrayInTable(Common_SourceData.Common_SourceData_ClimateZones_Data(), Table_SourceData_ClimateZones[[#Headers],[Climate zone]], 0)</f>
        <v>&gt; 1</v>
      </c>
      <c r="J94" s="33" cm="1">
        <f t="array" ref="J94">Common_InputFunctions.Utility_DisplayArrayInTable(Common_SourceData.Common_SourceData_ClimateZones_Data(), Table_SourceData_ClimateZones[[#Headers],[Climate zone]], 0)</f>
        <v>10.000999999999999</v>
      </c>
      <c r="K94" s="33" cm="1">
        <f t="array" ref="K94">Common_InputFunctions.Utility_DisplayArrayInTable(Common_SourceData.Common_SourceData_ClimateZones_Data(), Table_SourceData_ClimateZones[[#Headers],[Climate zone]], 0)</f>
        <v>999999</v>
      </c>
      <c r="L94" s="33" cm="1">
        <f t="array" ref="L94">Common_InputFunctions.Utility_DisplayArrayInTable(Common_SourceData.Common_SourceData_ClimateZones_Data(), Table_SourceData_ClimateZones[[#Headers],[Climate zone]], 0)</f>
        <v>-999999</v>
      </c>
      <c r="M94" s="33" cm="1">
        <f t="array" ref="M94">Common_InputFunctions.Utility_DisplayArrayInTable(Common_SourceData.Common_SourceData_ClimateZones_Data(), Table_SourceData_ClimateZones[[#Headers],[Climate zone]], 0)</f>
        <v>999999</v>
      </c>
      <c r="N94" s="33" cm="1">
        <f t="array" ref="N94">Common_InputFunctions.Utility_DisplayArrayInTable(Common_SourceData.Common_SourceData_ClimateZones_Data(), Table_SourceData_ClimateZones[[#Headers],[Climate zone]], 0)</f>
        <v>-999999</v>
      </c>
      <c r="O94" s="33" cm="1">
        <f t="array" ref="O94">Common_InputFunctions.Utility_DisplayArrayInTable(Common_SourceData.Common_SourceData_ClimateZones_Data(), Table_SourceData_ClimateZones[[#Headers],[Climate zone]], 0)</f>
        <v>999999</v>
      </c>
      <c r="P94" s="33" cm="1">
        <f t="array" ref="P94">Common_InputFunctions.Utility_DisplayArrayInTable(Common_SourceData.Common_SourceData_ClimateZones_Data(), Table_SourceData_ClimateZones[[#Headers],[Climate zone]], 0)</f>
        <v>-999999</v>
      </c>
      <c r="Q94" s="33" cm="1">
        <f t="array" ref="Q94">Common_InputFunctions.Utility_DisplayArrayInTable(Common_SourceData.Common_SourceData_ClimateZones_Data(), Table_SourceData_ClimateZones[[#Headers],[Climate zone]], 0)</f>
        <v>999999</v>
      </c>
      <c r="R94" s="33" cm="1">
        <f t="array" ref="R94">Common_InputFunctions.Utility_DisplayArrayInTable(Common_SourceData.Common_SourceData_ClimateZones_Data(), Table_SourceData_ClimateZones[[#Headers],[Climate zone]], 0)</f>
        <v>1.0009999999999999</v>
      </c>
      <c r="S94" s="33" cm="1">
        <f t="array" ref="S94">Common_InputFunctions.Utility_DisplayArrayInTable(Common_SourceData.Common_SourceData_ClimateZones_Data(), Table_SourceData_ClimateZones[[#Headers],[Climate zone]], 0)</f>
        <v>999999</v>
      </c>
      <c r="T94" s="33"/>
    </row>
    <row r="95" spans="1:20" ht="20.100000000000001" customHeight="1" x14ac:dyDescent="0.25">
      <c r="A95"/>
      <c r="D95" s="33" t="str" cm="1">
        <f t="array" ref="D95">Common_InputFunctions.Utility_DisplayArrayInTable(Common_SourceData.Common_SourceData_ClimateZones_Data(), Table_SourceData_ClimateZones[[#Headers],[Climate zone]], 0)</f>
        <v>Warm temperate dry</v>
      </c>
      <c r="E95" s="33" t="str" cm="1">
        <f t="array" ref="E95">Common_InputFunctions.Utility_DisplayArrayInTable(Common_SourceData.Common_SourceData_ClimateZones_Data(), Table_SourceData_ClimateZones[[#Headers],[Climate zone]], 0)</f>
        <v>&gt; 10 C</v>
      </c>
      <c r="F95" s="33" t="str" cm="1">
        <f t="array" ref="F95">Common_InputFunctions.Utility_DisplayArrayInTable(Common_SourceData.Common_SourceData_ClimateZones_Data(), Table_SourceData_ClimateZones[[#Headers],[Climate zone]], 0)</f>
        <v>Any</v>
      </c>
      <c r="G95" s="33" t="str" cm="1">
        <f t="array" ref="G95">Common_InputFunctions.Utility_DisplayArrayInTable(Common_SourceData.Common_SourceData_ClimateZones_Data(), Table_SourceData_ClimateZones[[#Headers],[Climate zone]], 0)</f>
        <v>Any</v>
      </c>
      <c r="H95" s="33" t="str" cm="1">
        <f t="array" ref="H95">Common_InputFunctions.Utility_DisplayArrayInTable(Common_SourceData.Common_SourceData_ClimateZones_Data(), Table_SourceData_ClimateZones[[#Headers],[Climate zone]], 0)</f>
        <v>Any</v>
      </c>
      <c r="I95" s="33" t="str" cm="1">
        <f t="array" ref="I95">Common_InputFunctions.Utility_DisplayArrayInTable(Common_SourceData.Common_SourceData_ClimateZones_Data(), Table_SourceData_ClimateZones[[#Headers],[Climate zone]], 0)</f>
        <v>≤ 1</v>
      </c>
      <c r="J95" s="33" cm="1">
        <f t="array" ref="J95">Common_InputFunctions.Utility_DisplayArrayInTable(Common_SourceData.Common_SourceData_ClimateZones_Data(), Table_SourceData_ClimateZones[[#Headers],[Climate zone]], 0)</f>
        <v>10.000999999999999</v>
      </c>
      <c r="K95" s="33" cm="1">
        <f t="array" ref="K95">Common_InputFunctions.Utility_DisplayArrayInTable(Common_SourceData.Common_SourceData_ClimateZones_Data(), Table_SourceData_ClimateZones[[#Headers],[Climate zone]], 0)</f>
        <v>999999</v>
      </c>
      <c r="L95" s="33" cm="1">
        <f t="array" ref="L95">Common_InputFunctions.Utility_DisplayArrayInTable(Common_SourceData.Common_SourceData_ClimateZones_Data(), Table_SourceData_ClimateZones[[#Headers],[Climate zone]], 0)</f>
        <v>-999999</v>
      </c>
      <c r="M95" s="33" cm="1">
        <f t="array" ref="M95">Common_InputFunctions.Utility_DisplayArrayInTable(Common_SourceData.Common_SourceData_ClimateZones_Data(), Table_SourceData_ClimateZones[[#Headers],[Climate zone]], 0)</f>
        <v>999999</v>
      </c>
      <c r="N95" s="33" cm="1">
        <f t="array" ref="N95">Common_InputFunctions.Utility_DisplayArrayInTable(Common_SourceData.Common_SourceData_ClimateZones_Data(), Table_SourceData_ClimateZones[[#Headers],[Climate zone]], 0)</f>
        <v>-999999</v>
      </c>
      <c r="O95" s="33" cm="1">
        <f t="array" ref="O95">Common_InputFunctions.Utility_DisplayArrayInTable(Common_SourceData.Common_SourceData_ClimateZones_Data(), Table_SourceData_ClimateZones[[#Headers],[Climate zone]], 0)</f>
        <v>999999</v>
      </c>
      <c r="P95" s="33" cm="1">
        <f t="array" ref="P95">Common_InputFunctions.Utility_DisplayArrayInTable(Common_SourceData.Common_SourceData_ClimateZones_Data(), Table_SourceData_ClimateZones[[#Headers],[Climate zone]], 0)</f>
        <v>-999999</v>
      </c>
      <c r="Q95" s="33" cm="1">
        <f t="array" ref="Q95">Common_InputFunctions.Utility_DisplayArrayInTable(Common_SourceData.Common_SourceData_ClimateZones_Data(), Table_SourceData_ClimateZones[[#Headers],[Climate zone]], 0)</f>
        <v>999999</v>
      </c>
      <c r="R95" s="33" cm="1">
        <f t="array" ref="R95">Common_InputFunctions.Utility_DisplayArrayInTable(Common_SourceData.Common_SourceData_ClimateZones_Data(), Table_SourceData_ClimateZones[[#Headers],[Climate zone]], 0)</f>
        <v>-999999</v>
      </c>
      <c r="S95" s="33" cm="1">
        <f t="array" ref="S95">Common_InputFunctions.Utility_DisplayArrayInTable(Common_SourceData.Common_SourceData_ClimateZones_Data(), Table_SourceData_ClimateZones[[#Headers],[Climate zone]], 0)</f>
        <v>1</v>
      </c>
      <c r="T95" s="33"/>
    </row>
    <row r="96" spans="1:20" ht="20.100000000000001" customHeight="1" x14ac:dyDescent="0.25">
      <c r="A96"/>
      <c r="D96" s="33" t="str" cm="1">
        <f t="array" ref="D96">Common_InputFunctions.Utility_DisplayArrayInTable(Common_SourceData.Common_SourceData_ClimateZones_Data(), Table_SourceData_ClimateZones[[#Headers],[Climate zone]], 0)</f>
        <v>Cool temperate moist</v>
      </c>
      <c r="E96" s="33" t="str" cm="1">
        <f t="array" ref="E96">Common_InputFunctions.Utility_DisplayArrayInTable(Common_SourceData.Common_SourceData_ClimateZones_Data(), Table_SourceData_ClimateZones[[#Headers],[Climate zone]], 0)</f>
        <v>&gt; 0 C - ≤ 10 C</v>
      </c>
      <c r="F96" s="33" t="str" cm="1">
        <f t="array" ref="F96">Common_InputFunctions.Utility_DisplayArrayInTable(Common_SourceData.Common_SourceData_ClimateZones_Data(), Table_SourceData_ClimateZones[[#Headers],[Climate zone]], 0)</f>
        <v>Any</v>
      </c>
      <c r="G96" s="33" t="str" cm="1">
        <f t="array" ref="G96">Common_InputFunctions.Utility_DisplayArrayInTable(Common_SourceData.Common_SourceData_ClimateZones_Data(), Table_SourceData_ClimateZones[[#Headers],[Climate zone]], 0)</f>
        <v>Any</v>
      </c>
      <c r="H96" s="33" t="str" cm="1">
        <f t="array" ref="H96">Common_InputFunctions.Utility_DisplayArrayInTable(Common_SourceData.Common_SourceData_ClimateZones_Data(), Table_SourceData_ClimateZones[[#Headers],[Climate zone]], 0)</f>
        <v>Any</v>
      </c>
      <c r="I96" s="33" t="str" cm="1">
        <f t="array" ref="I96">Common_InputFunctions.Utility_DisplayArrayInTable(Common_SourceData.Common_SourceData_ClimateZones_Data(), Table_SourceData_ClimateZones[[#Headers],[Climate zone]], 0)</f>
        <v>&gt; 1</v>
      </c>
      <c r="J96" s="33" cm="1">
        <f t="array" ref="J96">Common_InputFunctions.Utility_DisplayArrayInTable(Common_SourceData.Common_SourceData_ClimateZones_Data(), Table_SourceData_ClimateZones[[#Headers],[Climate zone]], 0)</f>
        <v>-999999</v>
      </c>
      <c r="K96" s="33" cm="1">
        <f t="array" ref="K96">Common_InputFunctions.Utility_DisplayArrayInTable(Common_SourceData.Common_SourceData_ClimateZones_Data(), Table_SourceData_ClimateZones[[#Headers],[Climate zone]], 0)</f>
        <v>10</v>
      </c>
      <c r="L96" s="33" cm="1">
        <f t="array" ref="L96">Common_InputFunctions.Utility_DisplayArrayInTable(Common_SourceData.Common_SourceData_ClimateZones_Data(), Table_SourceData_ClimateZones[[#Headers],[Climate zone]], 0)</f>
        <v>-999999</v>
      </c>
      <c r="M96" s="33" cm="1">
        <f t="array" ref="M96">Common_InputFunctions.Utility_DisplayArrayInTable(Common_SourceData.Common_SourceData_ClimateZones_Data(), Table_SourceData_ClimateZones[[#Headers],[Climate zone]], 0)</f>
        <v>999999</v>
      </c>
      <c r="N96" s="33" cm="1">
        <f t="array" ref="N96">Common_InputFunctions.Utility_DisplayArrayInTable(Common_SourceData.Common_SourceData_ClimateZones_Data(), Table_SourceData_ClimateZones[[#Headers],[Climate zone]], 0)</f>
        <v>-999999</v>
      </c>
      <c r="O96" s="33" cm="1">
        <f t="array" ref="O96">Common_InputFunctions.Utility_DisplayArrayInTable(Common_SourceData.Common_SourceData_ClimateZones_Data(), Table_SourceData_ClimateZones[[#Headers],[Climate zone]], 0)</f>
        <v>999999</v>
      </c>
      <c r="P96" s="33" cm="1">
        <f t="array" ref="P96">Common_InputFunctions.Utility_DisplayArrayInTable(Common_SourceData.Common_SourceData_ClimateZones_Data(), Table_SourceData_ClimateZones[[#Headers],[Climate zone]], 0)</f>
        <v>-999999</v>
      </c>
      <c r="Q96" s="33" cm="1">
        <f t="array" ref="Q96">Common_InputFunctions.Utility_DisplayArrayInTable(Common_SourceData.Common_SourceData_ClimateZones_Data(), Table_SourceData_ClimateZones[[#Headers],[Climate zone]], 0)</f>
        <v>999999</v>
      </c>
      <c r="R96" s="33" cm="1">
        <f t="array" ref="R96">Common_InputFunctions.Utility_DisplayArrayInTable(Common_SourceData.Common_SourceData_ClimateZones_Data(), Table_SourceData_ClimateZones[[#Headers],[Climate zone]], 0)</f>
        <v>1.0009999999999999</v>
      </c>
      <c r="S96" s="33" cm="1">
        <f t="array" ref="S96">Common_InputFunctions.Utility_DisplayArrayInTable(Common_SourceData.Common_SourceData_ClimateZones_Data(), Table_SourceData_ClimateZones[[#Headers],[Climate zone]], 0)</f>
        <v>999999</v>
      </c>
      <c r="T96" s="33"/>
    </row>
    <row r="97" spans="1:20" ht="20.100000000000001" customHeight="1" x14ac:dyDescent="0.25">
      <c r="A97"/>
      <c r="D97" s="33" t="str" cm="1">
        <f t="array" ref="D97">Common_InputFunctions.Utility_DisplayArrayInTable(Common_SourceData.Common_SourceData_ClimateZones_Data(), Table_SourceData_ClimateZones[[#Headers],[Climate zone]], 0)</f>
        <v>Cool temperate dry</v>
      </c>
      <c r="E97" s="33" t="str" cm="1">
        <f t="array" ref="E97">Common_InputFunctions.Utility_DisplayArrayInTable(Common_SourceData.Common_SourceData_ClimateZones_Data(), Table_SourceData_ClimateZones[[#Headers],[Climate zone]], 0)</f>
        <v>&gt; 0 C - ≤ 10 C</v>
      </c>
      <c r="F97" s="33" t="str" cm="1">
        <f t="array" ref="F97">Common_InputFunctions.Utility_DisplayArrayInTable(Common_SourceData.Common_SourceData_ClimateZones_Data(), Table_SourceData_ClimateZones[[#Headers],[Climate zone]], 0)</f>
        <v>Any</v>
      </c>
      <c r="G97" s="33" t="str" cm="1">
        <f t="array" ref="G97">Common_InputFunctions.Utility_DisplayArrayInTable(Common_SourceData.Common_SourceData_ClimateZones_Data(), Table_SourceData_ClimateZones[[#Headers],[Climate zone]], 0)</f>
        <v>Any</v>
      </c>
      <c r="H97" s="33" t="str" cm="1">
        <f t="array" ref="H97">Common_InputFunctions.Utility_DisplayArrayInTable(Common_SourceData.Common_SourceData_ClimateZones_Data(), Table_SourceData_ClimateZones[[#Headers],[Climate zone]], 0)</f>
        <v>Any</v>
      </c>
      <c r="I97" s="33" t="str" cm="1">
        <f t="array" ref="I97">Common_InputFunctions.Utility_DisplayArrayInTable(Common_SourceData.Common_SourceData_ClimateZones_Data(), Table_SourceData_ClimateZones[[#Headers],[Climate zone]], 0)</f>
        <v>≤ 1</v>
      </c>
      <c r="J97" s="33" cm="1">
        <f t="array" ref="J97">Common_InputFunctions.Utility_DisplayArrayInTable(Common_SourceData.Common_SourceData_ClimateZones_Data(), Table_SourceData_ClimateZones[[#Headers],[Climate zone]], 0)</f>
        <v>-999999</v>
      </c>
      <c r="K97" s="33" cm="1">
        <f t="array" ref="K97">Common_InputFunctions.Utility_DisplayArrayInTable(Common_SourceData.Common_SourceData_ClimateZones_Data(), Table_SourceData_ClimateZones[[#Headers],[Climate zone]], 0)</f>
        <v>10</v>
      </c>
      <c r="L97" s="33" cm="1">
        <f t="array" ref="L97">Common_InputFunctions.Utility_DisplayArrayInTable(Common_SourceData.Common_SourceData_ClimateZones_Data(), Table_SourceData_ClimateZones[[#Headers],[Climate zone]], 0)</f>
        <v>-999999</v>
      </c>
      <c r="M97" s="33" cm="1">
        <f t="array" ref="M97">Common_InputFunctions.Utility_DisplayArrayInTable(Common_SourceData.Common_SourceData_ClimateZones_Data(), Table_SourceData_ClimateZones[[#Headers],[Climate zone]], 0)</f>
        <v>999999</v>
      </c>
      <c r="N97" s="33" cm="1">
        <f t="array" ref="N97">Common_InputFunctions.Utility_DisplayArrayInTable(Common_SourceData.Common_SourceData_ClimateZones_Data(), Table_SourceData_ClimateZones[[#Headers],[Climate zone]], 0)</f>
        <v>-999999</v>
      </c>
      <c r="O97" s="33" cm="1">
        <f t="array" ref="O97">Common_InputFunctions.Utility_DisplayArrayInTable(Common_SourceData.Common_SourceData_ClimateZones_Data(), Table_SourceData_ClimateZones[[#Headers],[Climate zone]], 0)</f>
        <v>999999</v>
      </c>
      <c r="P97" s="33" cm="1">
        <f t="array" ref="P97">Common_InputFunctions.Utility_DisplayArrayInTable(Common_SourceData.Common_SourceData_ClimateZones_Data(), Table_SourceData_ClimateZones[[#Headers],[Climate zone]], 0)</f>
        <v>-999999</v>
      </c>
      <c r="Q97" s="33" cm="1">
        <f t="array" ref="Q97">Common_InputFunctions.Utility_DisplayArrayInTable(Common_SourceData.Common_SourceData_ClimateZones_Data(), Table_SourceData_ClimateZones[[#Headers],[Climate zone]], 0)</f>
        <v>999999</v>
      </c>
      <c r="R97" s="33" cm="1">
        <f t="array" ref="R97">Common_InputFunctions.Utility_DisplayArrayInTable(Common_SourceData.Common_SourceData_ClimateZones_Data(), Table_SourceData_ClimateZones[[#Headers],[Climate zone]], 0)</f>
        <v>-999999</v>
      </c>
      <c r="S97" s="33" cm="1">
        <f t="array" ref="S97">Common_InputFunctions.Utility_DisplayArrayInTable(Common_SourceData.Common_SourceData_ClimateZones_Data(), Table_SourceData_ClimateZones[[#Headers],[Climate zone]], 0)</f>
        <v>1</v>
      </c>
      <c r="T97" s="33"/>
    </row>
    <row r="98" spans="1:20" ht="20.100000000000001" customHeight="1" x14ac:dyDescent="0.25">
      <c r="A98"/>
    </row>
    <row r="99" spans="1:20" ht="20.100000000000001" customHeight="1" x14ac:dyDescent="0.25">
      <c r="A99"/>
      <c r="D99" s="46" t="str" cm="1">
        <f t="array" ref="D99:D102">Common_SourceData.Common_SourceData_ClimateZones_Appendices()</f>
        <v>Note:</v>
      </c>
    </row>
    <row r="100" spans="1:20" ht="20.100000000000001" customHeight="1" x14ac:dyDescent="0.25">
      <c r="A100"/>
      <c r="D100" s="46" t="str">
        <v>MAT = mean annual temperature</v>
      </c>
    </row>
    <row r="101" spans="1:20" ht="20.100000000000001" customHeight="1" x14ac:dyDescent="0.25">
      <c r="A101"/>
      <c r="D101" s="46" t="str">
        <v>MAP = mean annual precipitation</v>
      </c>
    </row>
    <row r="102" spans="1:20" ht="20.100000000000001" customHeight="1" x14ac:dyDescent="0.25">
      <c r="A102"/>
      <c r="D102" s="46" t="str">
        <v>PET = potential evapotranspiration</v>
      </c>
    </row>
    <row r="103" spans="1:20" ht="20.100000000000001" customHeight="1" x14ac:dyDescent="0.25">
      <c r="A103"/>
      <c r="D103" s="46"/>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47"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3" t="s">
        <v>41</v>
      </c>
      <c r="E109" s="33" t="s">
        <v>23</v>
      </c>
      <c r="F109" s="33" t="s">
        <v>42</v>
      </c>
      <c r="G109" s="33" t="s">
        <v>43</v>
      </c>
    </row>
    <row r="110" spans="1:20" ht="20.100000000000001" customHeight="1" x14ac:dyDescent="0.25">
      <c r="A110"/>
      <c r="D110" s="33" t="str" cm="1">
        <f t="array" ref="D110">Common_InputFunctions.Utility_DisplayArrayInTable(Common_SourceData.Common_SourceData_TemperatureZones_Data(),Table_SourceData_TemperatureZones[[#Headers],[Temperature Zone]],0)</f>
        <v>Warm</v>
      </c>
      <c r="E110" s="33" t="str" cm="1">
        <f t="array" ref="E110">Common_InputFunctions.Utility_DisplayArrayInTable(Common_SourceData.Common_SourceData_TemperatureZones_Data(),Table_SourceData_TemperatureZones[[#Headers],[Temperature Zone]],0)</f>
        <v>≥ 26 C</v>
      </c>
      <c r="F110" s="33" cm="1">
        <f t="array" ref="F110">Common_InputFunctions.Utility_DisplayArrayInTable(Common_SourceData.Common_SourceData_TemperatureZones_Data(),Table_SourceData_TemperatureZones[[#Headers],[Temperature Zone]],0)</f>
        <v>26</v>
      </c>
      <c r="G110" s="33"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3" t="str" cm="1">
        <f t="array" ref="D111">Common_InputFunctions.Utility_DisplayArrayInTable(Common_SourceData.Common_SourceData_TemperatureZones_Data(),Table_SourceData_TemperatureZones[[#Headers],[Temperature Zone]],0)</f>
        <v>Temperate</v>
      </c>
      <c r="E111" s="33" t="str" cm="1">
        <f t="array" ref="E111">Common_InputFunctions.Utility_DisplayArrayInTable(Common_SourceData.Common_SourceData_TemperatureZones_Data(),Table_SourceData_TemperatureZones[[#Headers],[Temperature Zone]],0)</f>
        <v>15 - 25 C</v>
      </c>
      <c r="F111" s="33" cm="1">
        <f t="array" ref="F111">Common_InputFunctions.Utility_DisplayArrayInTable(Common_SourceData.Common_SourceData_TemperatureZones_Data(),Table_SourceData_TemperatureZones[[#Headers],[Temperature Zone]],0)</f>
        <v>15</v>
      </c>
      <c r="G111" s="33"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3" t="str" cm="1">
        <f t="array" ref="D112">Common_InputFunctions.Utility_DisplayArrayInTable(Common_SourceData.Common_SourceData_TemperatureZones_Data(),Table_SourceData_TemperatureZones[[#Headers],[Temperature Zone]],0)</f>
        <v>Cool</v>
      </c>
      <c r="E112" s="33" t="str" cm="1">
        <f t="array" ref="E112">Common_InputFunctions.Utility_DisplayArrayInTable(Common_SourceData.Common_SourceData_TemperatureZones_Data(),Table_SourceData_TemperatureZones[[#Headers],[Temperature Zone]],0)</f>
        <v>≤ 14 C</v>
      </c>
      <c r="F112" s="33" cm="1">
        <f t="array" ref="F112">Common_InputFunctions.Utility_DisplayArrayInTable(Common_SourceData.Common_SourceData_TemperatureZones_Data(),Table_SourceData_TemperatureZones[[#Headers],[Temperature Zone]],0)</f>
        <v>-999999</v>
      </c>
      <c r="G112" s="33"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47"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3" t="s">
        <v>44</v>
      </c>
      <c r="E119" s="33" t="s">
        <v>45</v>
      </c>
      <c r="F119" s="33" t="s">
        <v>30</v>
      </c>
      <c r="G119" s="33" t="s">
        <v>31</v>
      </c>
      <c r="BN119" s="7"/>
    </row>
    <row r="120" spans="1:66" ht="20.100000000000001" customHeight="1" x14ac:dyDescent="0.25">
      <c r="A120"/>
      <c r="D120" s="33" t="str" cm="1">
        <f t="array" ref="D120">Common_InputFunctions.Utility_DisplayArrayInTable(Common_SourceData.Common_SourceData_RainfallZones_Data(),Table_SourceData_RainfallZones[[#Headers],[Rainfall Zone]],0)</f>
        <v>High rainfall</v>
      </c>
      <c r="E120" s="33" t="str" cm="1">
        <f t="array" ref="E120">Common_InputFunctions.Utility_DisplayArrayInTable(Common_SourceData.Common_SourceData_RainfallZones_Data(),Table_SourceData_RainfallZones[[#Headers],[Rainfall Zone]],0)</f>
        <v>Annual rainfall &gt; 600mm</v>
      </c>
      <c r="F120" s="33" cm="1">
        <f t="array" ref="F120">Common_InputFunctions.Utility_DisplayArrayInTable(Common_SourceData.Common_SourceData_RainfallZones_Data(),Table_SourceData_RainfallZones[[#Headers],[Rainfall Zone]],0)</f>
        <v>600.00099999999998</v>
      </c>
      <c r="G120" s="33"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3" t="str" cm="1">
        <f t="array" ref="D121">Common_InputFunctions.Utility_DisplayArrayInTable(Common_SourceData.Common_SourceData_RainfallZones_Data(),Table_SourceData_RainfallZones[[#Headers],[Rainfall Zone]],0)</f>
        <v>Low rainfall</v>
      </c>
      <c r="E121" s="33" t="str" cm="1">
        <f t="array" ref="E121">Common_InputFunctions.Utility_DisplayArrayInTable(Common_SourceData.Common_SourceData_RainfallZones_Data(),Table_SourceData_RainfallZones[[#Headers],[Rainfall Zone]],0)</f>
        <v>Annual rainfall ≤ 600mm</v>
      </c>
      <c r="F121" s="33" cm="1">
        <f t="array" ref="F121">Common_InputFunctions.Utility_DisplayArrayInTable(Common_SourceData.Common_SourceData_RainfallZones_Data(),Table_SourceData_RainfallZones[[#Headers],[Rainfall Zone]],0)</f>
        <v>-999999</v>
      </c>
      <c r="G121" s="33"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3" t="s">
        <v>46</v>
      </c>
      <c r="E127" s="33" t="s">
        <v>47</v>
      </c>
    </row>
    <row r="128" spans="1:66" ht="20.100000000000001" customHeight="1" x14ac:dyDescent="0.25">
      <c r="A128"/>
      <c r="D128" s="33" t="str" cm="1">
        <f t="array" ref="D128">Common_InputFunctions.Utility_DisplayArrayInTable(Common_SourceData.Common_SourceData_LeachingZones_Data(), Table_SourceData_LeachingZones[[#Headers],[Leaching Zone]], 0)</f>
        <v>Leaching occurs</v>
      </c>
      <c r="E128" s="33"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3" t="str" cm="1">
        <f t="array" ref="D129">Common_InputFunctions.Utility_DisplayArrayInTable(Common_SourceData.Common_SourceData_LeachingZones_Data(), Table_SourceData_LeachingZones[[#Headers],[Leaching Zone]], 0)</f>
        <v>Leaching does not occur</v>
      </c>
      <c r="E129" s="33"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0"/>
    </row>
    <row r="133" spans="1:77" ht="20.100000000000001" customHeight="1" x14ac:dyDescent="0.25">
      <c r="A133"/>
      <c r="D133" s="5" t="str" cm="1">
        <f t="array" ref="D133">Common_SourceData.Common_SourceData_FracWET_Source()</f>
        <v>VEERG 2026:5.5.2.3 Constant Parameters</v>
      </c>
      <c r="E133" s="20"/>
    </row>
    <row r="134" spans="1:77" ht="20.100000000000001" customHeight="1" x14ac:dyDescent="0.25">
      <c r="A134"/>
      <c r="D134" t="s">
        <v>68</v>
      </c>
      <c r="E134" t="s">
        <v>69</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3"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47"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3" t="s">
        <v>93</v>
      </c>
      <c r="E142" s="33" t="s">
        <v>69</v>
      </c>
      <c r="BN142" s="7"/>
    </row>
    <row r="143" spans="1:77" ht="20.100000000000001" customHeight="1" x14ac:dyDescent="0.25">
      <c r="A143"/>
      <c r="D143" s="33" t="str" cm="1">
        <f t="array" ref="D143">Common_InputFunctions.Utility_DisplayArrayInTable(Common_SourceData.Common_SourceData_FracWETIrrigation_Data(), Table_SourceData_FracWETIrrigation[[#Headers],[Irrigation type i]], 0)</f>
        <v>Not irrigated</v>
      </c>
      <c r="E143" s="33"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3"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3"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3"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3"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3" t="s">
        <v>49</v>
      </c>
      <c r="E153" s="33" t="s">
        <v>50</v>
      </c>
      <c r="BC153" s="3"/>
      <c r="BD153" s="3"/>
      <c r="BE153" s="3"/>
      <c r="BF153" s="3"/>
      <c r="BG153" s="3"/>
      <c r="BH153" s="3"/>
      <c r="BI153" s="3"/>
      <c r="BJ153" s="3"/>
      <c r="BK153" s="3"/>
      <c r="BL153" s="3"/>
      <c r="BM153" s="3"/>
    </row>
    <row r="154" spans="1:66" ht="20.100000000000001" customHeight="1" x14ac:dyDescent="0.25">
      <c r="A154"/>
      <c r="D154" s="33" t="str" cm="1">
        <f t="array" ref="D154">Common_InputFunctions.Utility_DisplayArrayInTable(Common_SourceData.Common_SourceData_DataScores_Scope3_Data(), Table_SourceData_DataScores_Scope3[[#Headers],[Data source]], 0)</f>
        <v>International scope 3 database</v>
      </c>
      <c r="E154" s="33"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3" t="str" cm="1">
        <f t="array" ref="D155">Common_InputFunctions.Utility_DisplayArrayInTable(Common_SourceData.Common_SourceData_DataScores_Scope3_Data(), Table_SourceData_DataScores_Scope3[[#Headers],[Data source]], 0)</f>
        <v>Australian scope 3 database</v>
      </c>
      <c r="E155" s="33"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3" t="str" cm="1">
        <f t="array" ref="D156">Common_InputFunctions.Utility_DisplayArrayInTable(Common_SourceData.Common_SourceData_DataScores_Scope3_Data(), Table_SourceData_DataScores_Scope3[[#Headers],[Data source]], 0)</f>
        <v>State or regional scope 3 database</v>
      </c>
      <c r="E156" s="33"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3" t="str" cm="1">
        <f t="array" ref="D157">Common_InputFunctions.Utility_DisplayArrayInTable(Common_SourceData.Common_SourceData_DataScores_Scope3_Data(), Table_SourceData_DataScores_Scope3[[#Headers],[Data source]], 0)</f>
        <v>Emissions intensity calculated from approved method</v>
      </c>
      <c r="E157" s="33"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3" t="str" cm="1">
        <f t="array" ref="D158">Common_InputFunctions.Utility_DisplayArrayInTable(Common_SourceData.Common_SourceData_DataScores_Scope3_Data(), Table_SourceData_DataScores_Scope3[[#Headers],[Data source]], 0)</f>
        <v>Verified credential matching ISO14067</v>
      </c>
      <c r="E158" s="33"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0"/>
    </row>
    <row r="162" spans="4:68" ht="20.100000000000001" customHeight="1" x14ac:dyDescent="0.25">
      <c r="D162" s="5" t="str" cm="1">
        <f t="array" ref="D162">Common_SourceData.Common_SourceData_FracLEACH_Source()</f>
        <v>VEERG 2026:5.5.2.3 Constant Parameters</v>
      </c>
      <c r="E162" s="20"/>
    </row>
    <row r="163" spans="4:68" ht="20.100000000000001" customHeight="1" x14ac:dyDescent="0.25">
      <c r="D163" s="5" t="str" cm="1">
        <f t="array" ref="D163">Common_SourceData.Common_SourceData_FracLEACH_NIRReference()</f>
        <v>National Inventory Report Volume 1: Leaching and runoff (3.D.b.2)</v>
      </c>
      <c r="E163" s="20"/>
    </row>
    <row r="164" spans="4:68" ht="20.100000000000001" customHeight="1" x14ac:dyDescent="0.25">
      <c r="D164" s="20" t="str" cm="1">
        <f t="array" ref="D164:E164">Common_SourceData.Common_SourceData_FracLEACH_Data()</f>
        <v>FracLEACH</v>
      </c>
      <c r="E164" s="20">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46"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46" t="str" cm="1">
        <f t="array" ref="D180">Common_SourceData.Common_SourceData_EFN2O_Unit()</f>
        <v>(kg N2O-N / kg N</v>
      </c>
    </row>
    <row r="181" spans="4:68" ht="20.100000000000001" customHeight="1" x14ac:dyDescent="0.25">
      <c r="D181" s="47" t="str" cm="1">
        <f t="array" ref="D181:D185">Common_SourceData.Common_SourceData_EFN2O_Variation()</f>
        <v>VARIATION OF SOURCE DATA:</v>
      </c>
    </row>
    <row r="182" spans="4:68" ht="20.100000000000001" customHeight="1" x14ac:dyDescent="0.25">
      <c r="D182" s="47" t="str">
        <v>Removed duplicate 'Aquaculture' row.</v>
      </c>
    </row>
    <row r="183" spans="4:68" ht="20.100000000000001" customHeight="1" x14ac:dyDescent="0.25">
      <c r="D183" s="47" t="str">
        <v>Removed asterisks to aid lookup.</v>
      </c>
    </row>
    <row r="184" spans="4:68" ht="20.100000000000001" customHeight="1" x14ac:dyDescent="0.25">
      <c r="D184" s="47" t="str">
        <v>Added 'production system only', 'rainfall zone' and 'irrigation method' columns to aid lookup.</v>
      </c>
    </row>
    <row r="185" spans="4:68" ht="20.100000000000001" customHeight="1" x14ac:dyDescent="0.25">
      <c r="D185" s="47" t="str">
        <v>Duplicated 'non-irrigated pasture' row with same EF for low and high rainfall zones to aid lookup.</v>
      </c>
    </row>
    <row r="186" spans="4:68" ht="20.100000000000001" customHeight="1" x14ac:dyDescent="0.25">
      <c r="D186" s="33" t="s">
        <v>76</v>
      </c>
      <c r="E186" s="33" t="s">
        <v>77</v>
      </c>
      <c r="F186" s="33" t="s">
        <v>78</v>
      </c>
      <c r="G186" s="33" t="s">
        <v>79</v>
      </c>
      <c r="H186" s="33" t="s">
        <v>22</v>
      </c>
    </row>
    <row r="187" spans="4:68" ht="20.100000000000001" customHeight="1" x14ac:dyDescent="0.25">
      <c r="D187" s="33" t="str" cm="1">
        <f t="array" ref="D187">Common_InputFunctions.Utility_DisplayArrayInTable(Common_SourceData.Common_SourceData_EFN2O_Data(), Table_SourceData_Common_EFN2O[[#Headers],[Production system j]], 0)</f>
        <v>Irrigated pasture</v>
      </c>
      <c r="E187" s="33" cm="1">
        <f t="array" ref="E187">Common_InputFunctions.Utility_DisplayArrayInTable(Common_SourceData.Common_SourceData_EFN2O_Data(), Table_SourceData_Common_EFN2O[[#Headers],[Production system j]], 0)</f>
        <v>5.8999999999999999E-3</v>
      </c>
      <c r="F187" s="33" t="str" cm="1">
        <f t="array" ref="F187">Common_InputFunctions.Utility_DisplayArrayInTable(Common_SourceData.Common_SourceData_EFN2O_Data(), Table_SourceData_Common_EFN2O[[#Headers],[Production system j]], 0)</f>
        <v>Pasture</v>
      </c>
      <c r="G187" s="33" t="str" cm="1">
        <f t="array" ref="G187">Common_InputFunctions.Utility_DisplayArrayInTable(Common_SourceData.Common_SourceData_EFN2O_Data(), Table_SourceData_Common_EFN2O[[#Headers],[Production system j]], 0)</f>
        <v>Any</v>
      </c>
      <c r="H187" s="33" t="str" cm="1">
        <f t="array" ref="H187">Common_InputFunctions.Utility_DisplayArrayInTable(Common_SourceData.Common_SourceData_EFN2O_Data(), Table_SourceData_Common_EFN2O[[#Headers],[Production system j]], 0)</f>
        <v>Any</v>
      </c>
    </row>
    <row r="188" spans="4:68" ht="20.100000000000001" customHeight="1" x14ac:dyDescent="0.25">
      <c r="D188" s="33" t="str" cm="1">
        <f t="array" ref="D188">Common_InputFunctions.Utility_DisplayArrayInTable(Common_SourceData.Common_SourceData_EFN2O_Data(), Table_SourceData_Common_EFN2O[[#Headers],[Production system j]], 0)</f>
        <v>Irrigated crop</v>
      </c>
      <c r="E188" s="33" cm="1">
        <f t="array" ref="E188">Common_InputFunctions.Utility_DisplayArrayInTable(Common_SourceData.Common_SourceData_EFN2O_Data(), Table_SourceData_Common_EFN2O[[#Headers],[Production system j]], 0)</f>
        <v>7.0000000000000001E-3</v>
      </c>
      <c r="F188" s="33" t="str" cm="1">
        <f t="array" ref="F188">Common_InputFunctions.Utility_DisplayArrayInTable(Common_SourceData.Common_SourceData_EFN2O_Data(), Table_SourceData_Common_EFN2O[[#Headers],[Production system j]], 0)</f>
        <v>Crop</v>
      </c>
      <c r="G188" s="33" t="str" cm="1">
        <f t="array" ref="G188">Common_InputFunctions.Utility_DisplayArrayInTable(Common_SourceData.Common_SourceData_EFN2O_Data(), Table_SourceData_Common_EFN2O[[#Headers],[Production system j]], 0)</f>
        <v>Any</v>
      </c>
      <c r="H188" s="33" t="str" cm="1">
        <f t="array" ref="H188">Common_InputFunctions.Utility_DisplayArrayInTable(Common_SourceData.Common_SourceData_EFN2O_Data(), Table_SourceData_Common_EFN2O[[#Headers],[Production system j]], 0)</f>
        <v>Any</v>
      </c>
    </row>
    <row r="189" spans="4:68" ht="20.100000000000001" customHeight="1" x14ac:dyDescent="0.25">
      <c r="D189" s="33" t="str" cm="1">
        <f t="array" ref="D189">Common_InputFunctions.Utility_DisplayArrayInTable(Common_SourceData.Common_SourceData_EFN2O_Data(), Table_SourceData_Common_EFN2O[[#Headers],[Production system j]], 0)</f>
        <v>Non-irrigated pasture</v>
      </c>
      <c r="E189" s="33" cm="1">
        <f t="array" ref="E189">Common_InputFunctions.Utility_DisplayArrayInTable(Common_SourceData.Common_SourceData_EFN2O_Data(), Table_SourceData_Common_EFN2O[[#Headers],[Production system j]], 0)</f>
        <v>1.8E-3</v>
      </c>
      <c r="F189" s="33" t="str" cm="1">
        <f t="array" ref="F189">Common_InputFunctions.Utility_DisplayArrayInTable(Common_SourceData.Common_SourceData_EFN2O_Data(), Table_SourceData_Common_EFN2O[[#Headers],[Production system j]], 0)</f>
        <v>Pasture</v>
      </c>
      <c r="G189" s="33" t="str" cm="1">
        <f t="array" ref="G189">Common_InputFunctions.Utility_DisplayArrayInTable(Common_SourceData.Common_SourceData_EFN2O_Data(), Table_SourceData_Common_EFN2O[[#Headers],[Production system j]], 0)</f>
        <v>Not irrigated</v>
      </c>
      <c r="H189" s="33"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3" t="str" cm="1">
        <f t="array" ref="D190">Common_InputFunctions.Utility_DisplayArrayInTable(Common_SourceData.Common_SourceData_EFN2O_Data(), Table_SourceData_Common_EFN2O[[#Headers],[Production system j]], 0)</f>
        <v>Non-irrigated pasture</v>
      </c>
      <c r="E190" s="33" cm="1">
        <f t="array" ref="E190">Common_InputFunctions.Utility_DisplayArrayInTable(Common_SourceData.Common_SourceData_EFN2O_Data(), Table_SourceData_Common_EFN2O[[#Headers],[Production system j]], 0)</f>
        <v>1.8E-3</v>
      </c>
      <c r="F190" s="33" t="str" cm="1">
        <f t="array" ref="F190">Common_InputFunctions.Utility_DisplayArrayInTable(Common_SourceData.Common_SourceData_EFN2O_Data(), Table_SourceData_Common_EFN2O[[#Headers],[Production system j]], 0)</f>
        <v>Pasture</v>
      </c>
      <c r="G190" s="33" t="str" cm="1">
        <f t="array" ref="G190">Common_InputFunctions.Utility_DisplayArrayInTable(Common_SourceData.Common_SourceData_EFN2O_Data(), Table_SourceData_Common_EFN2O[[#Headers],[Production system j]], 0)</f>
        <v>Not irrigated</v>
      </c>
      <c r="H190" s="33"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3" t="str" cm="1">
        <f t="array" ref="D191">Common_InputFunctions.Utility_DisplayArrayInTable(Common_SourceData.Common_SourceData_EFN2O_Data(), Table_SourceData_Common_EFN2O[[#Headers],[Production system j]], 0)</f>
        <v>Non-irrigated crop (low rainfall)</v>
      </c>
      <c r="E191" s="33" cm="1">
        <f t="array" ref="E191">Common_InputFunctions.Utility_DisplayArrayInTable(Common_SourceData.Common_SourceData_EFN2O_Data(), Table_SourceData_Common_EFN2O[[#Headers],[Production system j]], 0)</f>
        <v>2.8999999999999998E-3</v>
      </c>
      <c r="F191" s="33" t="str" cm="1">
        <f t="array" ref="F191">Common_InputFunctions.Utility_DisplayArrayInTable(Common_SourceData.Common_SourceData_EFN2O_Data(), Table_SourceData_Common_EFN2O[[#Headers],[Production system j]], 0)</f>
        <v>Crop</v>
      </c>
      <c r="G191" s="33" t="str" cm="1">
        <f t="array" ref="G191">Common_InputFunctions.Utility_DisplayArrayInTable(Common_SourceData.Common_SourceData_EFN2O_Data(), Table_SourceData_Common_EFN2O[[#Headers],[Production system j]], 0)</f>
        <v>Not irrigated</v>
      </c>
      <c r="H191" s="33"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3" t="str" cm="1">
        <f t="array" ref="D192">Common_InputFunctions.Utility_DisplayArrayInTable(Common_SourceData.Common_SourceData_EFN2O_Data(), Table_SourceData_Common_EFN2O[[#Headers],[Production system j]], 0)</f>
        <v>Non-irrigated crop (high rainfall)</v>
      </c>
      <c r="E192" s="33" cm="1">
        <f t="array" ref="E192">Common_InputFunctions.Utility_DisplayArrayInTable(Common_SourceData.Common_SourceData_EFN2O_Data(), Table_SourceData_Common_EFN2O[[#Headers],[Production system j]], 0)</f>
        <v>8.0000000000000002E-3</v>
      </c>
      <c r="F192" s="33" t="str" cm="1">
        <f t="array" ref="F192">Common_InputFunctions.Utility_DisplayArrayInTable(Common_SourceData.Common_SourceData_EFN2O_Data(), Table_SourceData_Common_EFN2O[[#Headers],[Production system j]], 0)</f>
        <v>Crop</v>
      </c>
      <c r="G192" s="33" t="str" cm="1">
        <f t="array" ref="G192">Common_InputFunctions.Utility_DisplayArrayInTable(Common_SourceData.Common_SourceData_EFN2O_Data(), Table_SourceData_Common_EFN2O[[#Headers],[Production system j]], 0)</f>
        <v>Not irrigated</v>
      </c>
      <c r="H192" s="33"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3" t="str" cm="1">
        <f t="array" ref="D193">Common_InputFunctions.Utility_DisplayArrayInTable(Common_SourceData.Common_SourceData_EFN2O_Data(), Table_SourceData_Common_EFN2O[[#Headers],[Production system j]], 0)</f>
        <v>Sugar</v>
      </c>
      <c r="E193" s="33" cm="1">
        <f t="array" ref="E193">Common_InputFunctions.Utility_DisplayArrayInTable(Common_SourceData.Common_SourceData_EFN2O_Data(), Table_SourceData_Common_EFN2O[[#Headers],[Production system j]], 0)</f>
        <v>1.9900000000000001E-2</v>
      </c>
      <c r="F193" s="33" t="str" cm="1">
        <f t="array" ref="F193">Common_InputFunctions.Utility_DisplayArrayInTable(Common_SourceData.Common_SourceData_EFN2O_Data(), Table_SourceData_Common_EFN2O[[#Headers],[Production system j]], 0)</f>
        <v>Sugar</v>
      </c>
      <c r="G193" s="33" t="str" cm="1">
        <f t="array" ref="G193">Common_InputFunctions.Utility_DisplayArrayInTable(Common_SourceData.Common_SourceData_EFN2O_Data(), Table_SourceData_Common_EFN2O[[#Headers],[Production system j]], 0)</f>
        <v>Any</v>
      </c>
      <c r="H193" s="33" t="str" cm="1">
        <f t="array" ref="H193">Common_InputFunctions.Utility_DisplayArrayInTable(Common_SourceData.Common_SourceData_EFN2O_Data(), Table_SourceData_Common_EFN2O[[#Headers],[Production system j]], 0)</f>
        <v>Any</v>
      </c>
    </row>
    <row r="194" spans="4:8" ht="20.100000000000001" customHeight="1" x14ac:dyDescent="0.25">
      <c r="D194" s="33" t="str" cm="1">
        <f t="array" ref="D194">Common_InputFunctions.Utility_DisplayArrayInTable(Common_SourceData.Common_SourceData_EFN2O_Data(), Table_SourceData_Common_EFN2O[[#Headers],[Production system j]], 0)</f>
        <v>Cotton</v>
      </c>
      <c r="E194" s="33" cm="1">
        <f t="array" ref="E194">Common_InputFunctions.Utility_DisplayArrayInTable(Common_SourceData.Common_SourceData_EFN2O_Data(), Table_SourceData_Common_EFN2O[[#Headers],[Production system j]], 0)</f>
        <v>5.3E-3</v>
      </c>
      <c r="F194" s="33" t="str" cm="1">
        <f t="array" ref="F194">Common_InputFunctions.Utility_DisplayArrayInTable(Common_SourceData.Common_SourceData_EFN2O_Data(), Table_SourceData_Common_EFN2O[[#Headers],[Production system j]], 0)</f>
        <v>Cotton</v>
      </c>
      <c r="G194" s="33" t="str" cm="1">
        <f t="array" ref="G194">Common_InputFunctions.Utility_DisplayArrayInTable(Common_SourceData.Common_SourceData_EFN2O_Data(), Table_SourceData_Common_EFN2O[[#Headers],[Production system j]], 0)</f>
        <v>Any</v>
      </c>
      <c r="H194" s="33" t="str" cm="1">
        <f t="array" ref="H194">Common_InputFunctions.Utility_DisplayArrayInTable(Common_SourceData.Common_SourceData_EFN2O_Data(), Table_SourceData_Common_EFN2O[[#Headers],[Production system j]], 0)</f>
        <v>Any</v>
      </c>
    </row>
    <row r="195" spans="4:8" ht="20.100000000000001" customHeight="1" x14ac:dyDescent="0.25">
      <c r="D195" s="33" t="str" cm="1">
        <f t="array" ref="D195">Common_InputFunctions.Utility_DisplayArrayInTable(Common_SourceData.Common_SourceData_EFN2O_Data(), Table_SourceData_Common_EFN2O[[#Headers],[Production system j]], 0)</f>
        <v>Horticultural crops</v>
      </c>
      <c r="E195" s="33" cm="1">
        <f t="array" ref="E195">Common_InputFunctions.Utility_DisplayArrayInTable(Common_SourceData.Common_SourceData_EFN2O_Data(), Table_SourceData_Common_EFN2O[[#Headers],[Production system j]], 0)</f>
        <v>6.4000000000000003E-3</v>
      </c>
      <c r="F195" s="33" t="str" cm="1">
        <f t="array" ref="F195">Common_InputFunctions.Utility_DisplayArrayInTable(Common_SourceData.Common_SourceData_EFN2O_Data(), Table_SourceData_Common_EFN2O[[#Headers],[Production system j]], 0)</f>
        <v>Horticultural crops</v>
      </c>
      <c r="G195" s="33" t="str" cm="1">
        <f t="array" ref="G195">Common_InputFunctions.Utility_DisplayArrayInTable(Common_SourceData.Common_SourceData_EFN2O_Data(), Table_SourceData_Common_EFN2O[[#Headers],[Production system j]], 0)</f>
        <v>Any</v>
      </c>
      <c r="H195" s="33" t="str" cm="1">
        <f t="array" ref="H195">Common_InputFunctions.Utility_DisplayArrayInTable(Common_SourceData.Common_SourceData_EFN2O_Data(), Table_SourceData_Common_EFN2O[[#Headers],[Production system j]], 0)</f>
        <v>Any</v>
      </c>
    </row>
    <row r="196" spans="4:8" ht="20.100000000000001" customHeight="1" x14ac:dyDescent="0.25">
      <c r="D196" s="33" t="str" cm="1">
        <f t="array" ref="D196">Common_InputFunctions.Utility_DisplayArrayInTable(Common_SourceData.Common_SourceData_EFN2O_Data(), Table_SourceData_Common_EFN2O[[#Headers],[Production system j]], 0)</f>
        <v>Rice (continuous flooding)</v>
      </c>
      <c r="E196" s="33" cm="1">
        <f t="array" ref="E196">Common_InputFunctions.Utility_DisplayArrayInTable(Common_SourceData.Common_SourceData_EFN2O_Data(), Table_SourceData_Common_EFN2O[[#Headers],[Production system j]], 0)</f>
        <v>3.0000000000000001E-3</v>
      </c>
      <c r="F196" s="33" t="str" cm="1">
        <f t="array" ref="F196">Common_InputFunctions.Utility_DisplayArrayInTable(Common_SourceData.Common_SourceData_EFN2O_Data(), Table_SourceData_Common_EFN2O[[#Headers],[Production system j]], 0)</f>
        <v>Rice</v>
      </c>
      <c r="G196" s="33" t="str" cm="1">
        <f t="array" ref="G196">Common_InputFunctions.Utility_DisplayArrayInTable(Common_SourceData.Common_SourceData_EFN2O_Data(), Table_SourceData_Common_EFN2O[[#Headers],[Production system j]], 0)</f>
        <v>Continuous flooding</v>
      </c>
      <c r="H196" s="33" t="str" cm="1">
        <f t="array" ref="H196">Common_InputFunctions.Utility_DisplayArrayInTable(Common_SourceData.Common_SourceData_EFN2O_Data(), Table_SourceData_Common_EFN2O[[#Headers],[Production system j]], 0)</f>
        <v>Any</v>
      </c>
    </row>
    <row r="197" spans="4:8" x14ac:dyDescent="0.25">
      <c r="D197" s="33" t="str" cm="1">
        <f t="array" ref="D197">Common_InputFunctions.Utility_DisplayArrayInTable(Common_SourceData.Common_SourceData_EFN2O_Data(), Table_SourceData_Common_EFN2O[[#Headers],[Production system j]], 0)</f>
        <v>Rice (single and multiple drainage, or alternate wetting and drying)</v>
      </c>
      <c r="E197" s="33" cm="1">
        <f t="array" ref="E197">Common_InputFunctions.Utility_DisplayArrayInTable(Common_SourceData.Common_SourceData_EFN2O_Data(), Table_SourceData_Common_EFN2O[[#Headers],[Production system j]], 0)</f>
        <v>5.0000000000000001E-3</v>
      </c>
      <c r="F197" s="33" t="str" cm="1">
        <f t="array" ref="F197">Common_InputFunctions.Utility_DisplayArrayInTable(Common_SourceData.Common_SourceData_EFN2O_Data(), Table_SourceData_Common_EFN2O[[#Headers],[Production system j]], 0)</f>
        <v>Rice</v>
      </c>
      <c r="G197" s="33" t="str" cm="1">
        <f t="array" ref="G197">Common_InputFunctions.Utility_DisplayArrayInTable(Common_SourceData.Common_SourceData_EFN2O_Data(), Table_SourceData_Common_EFN2O[[#Headers],[Production system j]], 0)</f>
        <v>Single and multiple drainage, or alternate wetting and drying</v>
      </c>
      <c r="H197" s="33" t="str" cm="1">
        <f t="array" ref="H197">Common_InputFunctions.Utility_DisplayArrayInTable(Common_SourceData.Common_SourceData_EFN2O_Data(), Table_SourceData_Common_EFN2O[[#Headers],[Production system j]], 0)</f>
        <v>Any</v>
      </c>
    </row>
    <row r="198" spans="4:8" x14ac:dyDescent="0.25">
      <c r="D198" s="33" t="str" cm="1">
        <f t="array" ref="D198">Common_InputFunctions.Utility_DisplayArrayInTable(Common_SourceData.Common_SourceData_EFN2O_Data(), Table_SourceData_Common_EFN2O[[#Headers],[Production system j]], 0)</f>
        <v>Aquaculture</v>
      </c>
      <c r="E198" s="33" cm="1">
        <f t="array" ref="E198">Common_InputFunctions.Utility_DisplayArrayInTable(Common_SourceData.Common_SourceData_EFN2O_Data(), Table_SourceData_Common_EFN2O[[#Headers],[Production system j]], 0)</f>
        <v>2.5999999999999999E-3</v>
      </c>
      <c r="F198" s="33" t="str" cm="1">
        <f t="array" ref="F198">Common_InputFunctions.Utility_DisplayArrayInTable(Common_SourceData.Common_SourceData_EFN2O_Data(), Table_SourceData_Common_EFN2O[[#Headers],[Production system j]], 0)</f>
        <v>Aquaculture</v>
      </c>
      <c r="G198" s="33" t="str" cm="1">
        <f t="array" ref="G198">Common_InputFunctions.Utility_DisplayArrayInTable(Common_SourceData.Common_SourceData_EFN2O_Data(), Table_SourceData_Common_EFN2O[[#Headers],[Production system j]], 0)</f>
        <v>Any</v>
      </c>
      <c r="H198" s="33" t="str" cm="1">
        <f t="array" ref="H198">Common_InputFunctions.Utility_DisplayArrayInTable(Common_SourceData.Common_SourceData_EFN2O_Data(), Table_SourceData_Common_EFN2O[[#Headers],[Production system j]], 0)</f>
        <v>Any</v>
      </c>
    </row>
    <row r="199" spans="4:8" x14ac:dyDescent="0.25">
      <c r="D199" s="33" t="str" cm="1">
        <f t="array" ref="D199">Common_InputFunctions.Utility_DisplayArrayInTable(Common_SourceData.Common_SourceData_EFN2O_Data(), Table_SourceData_Common_EFN2O[[#Headers],[Production system j]], 0)</f>
        <v>Forestry</v>
      </c>
      <c r="E199" s="33" cm="1">
        <f t="array" ref="E199">Common_InputFunctions.Utility_DisplayArrayInTable(Common_SourceData.Common_SourceData_EFN2O_Data(), Table_SourceData_Common_EFN2O[[#Headers],[Production system j]], 0)</f>
        <v>1.8E-3</v>
      </c>
      <c r="F199" s="33" t="str" cm="1">
        <f t="array" ref="F199">Common_InputFunctions.Utility_DisplayArrayInTable(Common_SourceData.Common_SourceData_EFN2O_Data(), Table_SourceData_Common_EFN2O[[#Headers],[Production system j]], 0)</f>
        <v>Forestry</v>
      </c>
      <c r="G199" s="33" t="str" cm="1">
        <f t="array" ref="G199">Common_InputFunctions.Utility_DisplayArrayInTable(Common_SourceData.Common_SourceData_EFN2O_Data(), Table_SourceData_Common_EFN2O[[#Headers],[Production system j]], 0)</f>
        <v>Any</v>
      </c>
      <c r="H199" s="33"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47" t="str" cm="1">
        <f t="array" ref="D204">Common_SourceData.Common_SourceData_EFPastureRangeAndPaddock_Variation()</f>
        <v>VARIATION FROM SOURCE DATA: Changed 'Dry climate zones' to singular 'Dry climate zone' to aid lookup.</v>
      </c>
    </row>
    <row r="205" spans="4:8" x14ac:dyDescent="0.25">
      <c r="D205" s="46" t="str" cm="1">
        <f t="array" ref="D205">Common_SourceData.Common_SourceData_EFPastureRangeAndPaddock_Unit()</f>
        <v>kg N2O - N / kg N</v>
      </c>
    </row>
    <row r="206" spans="4:8" x14ac:dyDescent="0.25">
      <c r="D206" s="33" t="s">
        <v>5</v>
      </c>
      <c r="E206" s="33" t="s">
        <v>95</v>
      </c>
    </row>
    <row r="207" spans="4:8" x14ac:dyDescent="0.25">
      <c r="D207" s="33" t="str" cm="1">
        <f t="array" ref="D207">Common_InputFunctions.Utility_DisplayArrayInTable(Common_SourceData.Common_SourceData_EFPastureRangeAndPaddock_Data(), Table_SourceData_EFPastureRangeAndPaddock[[#Headers],[Climate zone]], 0)</f>
        <v>Wet climate zone</v>
      </c>
      <c r="E207" s="33"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3"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3" t="s">
        <v>90</v>
      </c>
      <c r="E212" s="33" t="s">
        <v>100</v>
      </c>
    </row>
    <row r="213" spans="4:5" x14ac:dyDescent="0.25">
      <c r="D213" s="33" t="str" cm="1">
        <f t="array" ref="D213">Common_InputFunctions.Utility_DisplayArrayInTable(Common_SourceData.Common_SourceData_MonthsToSeasons_Data(), Table_SourceData_Common_MonthToSeason[[#Headers],[Month]], 0)</f>
        <v>January</v>
      </c>
      <c r="E213" s="33"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3"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3"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3"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3"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3"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3"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3"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3"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3"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3"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3"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47"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3" t="s">
        <v>39</v>
      </c>
      <c r="E231" s="33" t="s">
        <v>136</v>
      </c>
      <c r="F231" s="32" t="s">
        <v>137</v>
      </c>
      <c r="G231" s="33" t="s">
        <v>138</v>
      </c>
      <c r="H231" s="33" t="s">
        <v>139</v>
      </c>
      <c r="I231" s="33" t="s">
        <v>140</v>
      </c>
      <c r="J231" s="33" t="s">
        <v>141</v>
      </c>
      <c r="K231" s="33" t="s">
        <v>142</v>
      </c>
      <c r="L231" s="33" t="s">
        <v>143</v>
      </c>
      <c r="M231" s="33" t="s">
        <v>144</v>
      </c>
      <c r="N231" s="33" t="s">
        <v>145</v>
      </c>
      <c r="O231" s="33" t="s">
        <v>146</v>
      </c>
      <c r="P231" s="33" t="s">
        <v>147</v>
      </c>
      <c r="Q231" s="33" t="s">
        <v>148</v>
      </c>
      <c r="R231" s="33" t="s">
        <v>149</v>
      </c>
      <c r="S231" s="33" t="s">
        <v>150</v>
      </c>
    </row>
    <row r="232" spans="4:19" x14ac:dyDescent="0.25">
      <c r="D232" s="33" t="str" cm="1">
        <f t="array" ref="D232">Common_InputFunctions.Utility_DisplayArrayInTable(Common_SourceData.Common_SourceData_MCFTemperatureZone_Data(),Table_SourceData_Common_MCFTemperatureZone[[#Headers],[Temperature zone]],0)</f>
        <v>Cool</v>
      </c>
      <c r="E232" s="33" t="str" cm="1">
        <f t="array" ref="E232">Common_InputFunctions.Utility_DisplayArrayInTable(Common_SourceData.Common_SourceData_MCFTemperatureZone_Data(),Table_SourceData_Common_MCFTemperatureZone[[#Headers],[Temperature zone]],0)</f>
        <v>≤10</v>
      </c>
      <c r="F232" s="33" cm="1">
        <f t="array" ref="F232">Common_InputFunctions.Utility_DisplayArrayInTable(Common_SourceData.Common_SourceData_MCFTemperatureZone_Data(),Table_SourceData_Common_MCFTemperatureZone[[#Headers],[Temperature zone]],0)</f>
        <v>0.66</v>
      </c>
      <c r="G232" s="33" cm="1">
        <f t="array" ref="G232">Common_InputFunctions.Utility_DisplayArrayInTable(Common_SourceData.Common_SourceData_MCFTemperatureZone_Data(),Table_SourceData_Common_MCFTemperatureZone[[#Headers],[Temperature zone]],0)</f>
        <v>0.1</v>
      </c>
      <c r="H232" s="33" cm="1">
        <f t="array" ref="H232">Common_InputFunctions.Utility_DisplayArrayInTable(Common_SourceData.Common_SourceData_MCFTemperatureZone_Data(),Table_SourceData_Common_MCFTemperatureZone[[#Headers],[Temperature zone]],0)</f>
        <v>0.1</v>
      </c>
      <c r="I232" s="33" cm="1">
        <f t="array" ref="I232">Common_InputFunctions.Utility_DisplayArrayInTable(Common_SourceData.Common_SourceData_MCFTemperatureZone_Data(),Table_SourceData_Common_MCFTemperatureZone[[#Headers],[Temperature zone]],0)</f>
        <v>1E-3</v>
      </c>
      <c r="J232" s="33" cm="1">
        <f t="array" ref="J232">Common_InputFunctions.Utility_DisplayArrayInTable(Common_SourceData.Common_SourceData_MCFTemperatureZone_Data(),Table_SourceData_Common_MCFTemperatureZone[[#Headers],[Temperature zone]],0)</f>
        <v>5.0000000000000001E-3</v>
      </c>
      <c r="K232" s="33" cm="1">
        <f t="array" ref="K232">Common_InputFunctions.Utility_DisplayArrayInTable(Common_SourceData.Common_SourceData_MCFTemperatureZone_Data(),Table_SourceData_Common_MCFTemperatureZone[[#Headers],[Temperature zone]],0)</f>
        <v>0.02</v>
      </c>
      <c r="L232" s="33" cm="1">
        <f t="array" ref="L232">Common_InputFunctions.Utility_DisplayArrayInTable(Common_SourceData.Common_SourceData_MCFTemperatureZone_Data(),Table_SourceData_Common_MCFTemperatureZone[[#Headers],[Temperature zone]],0)</f>
        <v>0.03</v>
      </c>
      <c r="M232" s="33" cm="1">
        <f t="array" ref="M232">Common_InputFunctions.Utility_DisplayArrayInTable(Common_SourceData.Common_SourceData_MCFTemperatureZone_Data(),Table_SourceData_Common_MCFTemperatureZone[[#Headers],[Temperature zone]],0)</f>
        <v>0.04</v>
      </c>
      <c r="N232" s="33" cm="1">
        <f t="array" ref="N232">Common_InputFunctions.Utility_DisplayArrayInTable(Common_SourceData.Common_SourceData_MCFTemperatureZone_Data(),Table_SourceData_Common_MCFTemperatureZone[[#Headers],[Temperature zone]],0)</f>
        <v>1.4999999999999999E-2</v>
      </c>
      <c r="O232" s="33" cm="1">
        <f t="array" ref="O232">Common_InputFunctions.Utility_DisplayArrayInTable(Common_SourceData.Common_SourceData_MCFTemperatureZone_Data(),Table_SourceData_Common_MCFTemperatureZone[[#Headers],[Temperature zone]],0)</f>
        <v>1.4999999999999999E-2</v>
      </c>
      <c r="P232" s="33" cm="1">
        <f t="array" ref="P232">Common_InputFunctions.Utility_DisplayArrayInTable(Common_SourceData.Common_SourceData_MCFTemperatureZone_Data(),Table_SourceData_Common_MCFTemperatureZone[[#Headers],[Temperature zone]],0)</f>
        <v>0</v>
      </c>
      <c r="Q232" s="33" cm="1">
        <f t="array" ref="Q232">Common_InputFunctions.Utility_DisplayArrayInTable(Common_SourceData.Common_SourceData_MCFTemperatureZone_Data(),Table_SourceData_Common_MCFTemperatureZone[[#Headers],[Temperature zone]],0)</f>
        <v>0</v>
      </c>
      <c r="R232" s="33" cm="1">
        <f t="array" ref="R232">Common_InputFunctions.Utility_DisplayArrayInTable(Common_SourceData.Common_SourceData_MCFTemperatureZone_Data(),Table_SourceData_Common_MCFTemperatureZone[[#Headers],[Temperature zone]],0)</f>
        <v>4.7000000000000002E-3</v>
      </c>
      <c r="S232" s="33"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3" cm="1">
        <f t="array" ref="E233">Common_InputFunctions.Utility_DisplayArrayInTable(Common_SourceData.Common_SourceData_MCFTemperatureZone_Data(),Table_SourceData_Common_MCFTemperatureZone[[#Headers],[Temperature zone]],0)</f>
        <v>11</v>
      </c>
      <c r="F233" s="33" cm="1">
        <f t="array" ref="F233">Common_InputFunctions.Utility_DisplayArrayInTable(Common_SourceData.Common_SourceData_MCFTemperatureZone_Data(),Table_SourceData_Common_MCFTemperatureZone[[#Headers],[Temperature zone]],0)</f>
        <v>0.68</v>
      </c>
      <c r="G233" s="33" cm="1">
        <f t="array" ref="G233">Common_InputFunctions.Utility_DisplayArrayInTable(Common_SourceData.Common_SourceData_MCFTemperatureZone_Data(),Table_SourceData_Common_MCFTemperatureZone[[#Headers],[Temperature zone]],0)</f>
        <v>0.1</v>
      </c>
      <c r="H233" s="33" cm="1">
        <f t="array" ref="H233">Common_InputFunctions.Utility_DisplayArrayInTable(Common_SourceData.Common_SourceData_MCFTemperatureZone_Data(),Table_SourceData_Common_MCFTemperatureZone[[#Headers],[Temperature zone]],0)</f>
        <v>0.11</v>
      </c>
      <c r="I233" s="33" cm="1">
        <f t="array" ref="I233">Common_InputFunctions.Utility_DisplayArrayInTable(Common_SourceData.Common_SourceData_MCFTemperatureZone_Data(),Table_SourceData_Common_MCFTemperatureZone[[#Headers],[Temperature zone]],0)</f>
        <v>1E-3</v>
      </c>
      <c r="J233" s="33" cm="1">
        <f t="array" ref="J233">Common_InputFunctions.Utility_DisplayArrayInTable(Common_SourceData.Common_SourceData_MCFTemperatureZone_Data(),Table_SourceData_Common_MCFTemperatureZone[[#Headers],[Temperature zone]],0)</f>
        <v>5.0000000000000001E-3</v>
      </c>
      <c r="K233" s="33" cm="1">
        <f t="array" ref="K233">Common_InputFunctions.Utility_DisplayArrayInTable(Common_SourceData.Common_SourceData_MCFTemperatureZone_Data(),Table_SourceData_Common_MCFTemperatureZone[[#Headers],[Temperature zone]],0)</f>
        <v>0.02</v>
      </c>
      <c r="L233" s="33" cm="1">
        <f t="array" ref="L233">Common_InputFunctions.Utility_DisplayArrayInTable(Common_SourceData.Common_SourceData_MCFTemperatureZone_Data(),Table_SourceData_Common_MCFTemperatureZone[[#Headers],[Temperature zone]],0)</f>
        <v>0.03</v>
      </c>
      <c r="M233" s="33" cm="1">
        <f t="array" ref="M233">Common_InputFunctions.Utility_DisplayArrayInTable(Common_SourceData.Common_SourceData_MCFTemperatureZone_Data(),Table_SourceData_Common_MCFTemperatureZone[[#Headers],[Temperature zone]],0)</f>
        <v>0.04</v>
      </c>
      <c r="N233" s="33" cm="1">
        <f t="array" ref="N233">Common_InputFunctions.Utility_DisplayArrayInTable(Common_SourceData.Common_SourceData_MCFTemperatureZone_Data(),Table_SourceData_Common_MCFTemperatureZone[[#Headers],[Temperature zone]],0)</f>
        <v>1.4999999999999999E-2</v>
      </c>
      <c r="O233" s="33" cm="1">
        <f t="array" ref="O233">Common_InputFunctions.Utility_DisplayArrayInTable(Common_SourceData.Common_SourceData_MCFTemperatureZone_Data(),Table_SourceData_Common_MCFTemperatureZone[[#Headers],[Temperature zone]],0)</f>
        <v>1.4999999999999999E-2</v>
      </c>
      <c r="P233" s="33" cm="1">
        <f t="array" ref="P233">Common_InputFunctions.Utility_DisplayArrayInTable(Common_SourceData.Common_SourceData_MCFTemperatureZone_Data(),Table_SourceData_Common_MCFTemperatureZone[[#Headers],[Temperature zone]],0)</f>
        <v>0</v>
      </c>
      <c r="Q233" s="33" cm="1">
        <f t="array" ref="Q233">Common_InputFunctions.Utility_DisplayArrayInTable(Common_SourceData.Common_SourceData_MCFTemperatureZone_Data(),Table_SourceData_Common_MCFTemperatureZone[[#Headers],[Temperature zone]],0)</f>
        <v>0</v>
      </c>
      <c r="R233" s="33" cm="1">
        <f t="array" ref="R233">Common_InputFunctions.Utility_DisplayArrayInTable(Common_SourceData.Common_SourceData_MCFTemperatureZone_Data(),Table_SourceData_Common_MCFTemperatureZone[[#Headers],[Temperature zone]],0)</f>
        <v>4.7000000000000002E-3</v>
      </c>
      <c r="S233" s="33"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3" cm="1">
        <f t="array" ref="E234">Common_InputFunctions.Utility_DisplayArrayInTable(Common_SourceData.Common_SourceData_MCFTemperatureZone_Data(),Table_SourceData_Common_MCFTemperatureZone[[#Headers],[Temperature zone]],0)</f>
        <v>12</v>
      </c>
      <c r="F234" s="33" cm="1">
        <f t="array" ref="F234">Common_InputFunctions.Utility_DisplayArrayInTable(Common_SourceData.Common_SourceData_MCFTemperatureZone_Data(),Table_SourceData_Common_MCFTemperatureZone[[#Headers],[Temperature zone]],0)</f>
        <v>0.7</v>
      </c>
      <c r="G234" s="33" cm="1">
        <f t="array" ref="G234">Common_InputFunctions.Utility_DisplayArrayInTable(Common_SourceData.Common_SourceData_MCFTemperatureZone_Data(),Table_SourceData_Common_MCFTemperatureZone[[#Headers],[Temperature zone]],0)</f>
        <v>0.1</v>
      </c>
      <c r="H234" s="33" cm="1">
        <f t="array" ref="H234">Common_InputFunctions.Utility_DisplayArrayInTable(Common_SourceData.Common_SourceData_MCFTemperatureZone_Data(),Table_SourceData_Common_MCFTemperatureZone[[#Headers],[Temperature zone]],0)</f>
        <v>0.13</v>
      </c>
      <c r="I234" s="33" cm="1">
        <f t="array" ref="I234">Common_InputFunctions.Utility_DisplayArrayInTable(Common_SourceData.Common_SourceData_MCFTemperatureZone_Data(),Table_SourceData_Common_MCFTemperatureZone[[#Headers],[Temperature zone]],0)</f>
        <v>1E-3</v>
      </c>
      <c r="J234" s="33" cm="1">
        <f t="array" ref="J234">Common_InputFunctions.Utility_DisplayArrayInTable(Common_SourceData.Common_SourceData_MCFTemperatureZone_Data(),Table_SourceData_Common_MCFTemperatureZone[[#Headers],[Temperature zone]],0)</f>
        <v>5.0000000000000001E-3</v>
      </c>
      <c r="K234" s="33" cm="1">
        <f t="array" ref="K234">Common_InputFunctions.Utility_DisplayArrayInTable(Common_SourceData.Common_SourceData_MCFTemperatureZone_Data(),Table_SourceData_Common_MCFTemperatureZone[[#Headers],[Temperature zone]],0)</f>
        <v>0.02</v>
      </c>
      <c r="L234" s="33" cm="1">
        <f t="array" ref="L234">Common_InputFunctions.Utility_DisplayArrayInTable(Common_SourceData.Common_SourceData_MCFTemperatureZone_Data(),Table_SourceData_Common_MCFTemperatureZone[[#Headers],[Temperature zone]],0)</f>
        <v>0.03</v>
      </c>
      <c r="M234" s="33" cm="1">
        <f t="array" ref="M234">Common_InputFunctions.Utility_DisplayArrayInTable(Common_SourceData.Common_SourceData_MCFTemperatureZone_Data(),Table_SourceData_Common_MCFTemperatureZone[[#Headers],[Temperature zone]],0)</f>
        <v>0.04</v>
      </c>
      <c r="N234" s="33" cm="1">
        <f t="array" ref="N234">Common_InputFunctions.Utility_DisplayArrayInTable(Common_SourceData.Common_SourceData_MCFTemperatureZone_Data(),Table_SourceData_Common_MCFTemperatureZone[[#Headers],[Temperature zone]],0)</f>
        <v>1.4999999999999999E-2</v>
      </c>
      <c r="O234" s="33" cm="1">
        <f t="array" ref="O234">Common_InputFunctions.Utility_DisplayArrayInTable(Common_SourceData.Common_SourceData_MCFTemperatureZone_Data(),Table_SourceData_Common_MCFTemperatureZone[[#Headers],[Temperature zone]],0)</f>
        <v>1.4999999999999999E-2</v>
      </c>
      <c r="P234" s="33" cm="1">
        <f t="array" ref="P234">Common_InputFunctions.Utility_DisplayArrayInTable(Common_SourceData.Common_SourceData_MCFTemperatureZone_Data(),Table_SourceData_Common_MCFTemperatureZone[[#Headers],[Temperature zone]],0)</f>
        <v>0</v>
      </c>
      <c r="Q234" s="33" cm="1">
        <f t="array" ref="Q234">Common_InputFunctions.Utility_DisplayArrayInTable(Common_SourceData.Common_SourceData_MCFTemperatureZone_Data(),Table_SourceData_Common_MCFTemperatureZone[[#Headers],[Temperature zone]],0)</f>
        <v>0</v>
      </c>
      <c r="R234" s="33" cm="1">
        <f t="array" ref="R234">Common_InputFunctions.Utility_DisplayArrayInTable(Common_SourceData.Common_SourceData_MCFTemperatureZone_Data(),Table_SourceData_Common_MCFTemperatureZone[[#Headers],[Temperature zone]],0)</f>
        <v>4.7000000000000002E-3</v>
      </c>
      <c r="S234" s="33"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3" cm="1">
        <f t="array" ref="E235">Common_InputFunctions.Utility_DisplayArrayInTable(Common_SourceData.Common_SourceData_MCFTemperatureZone_Data(),Table_SourceData_Common_MCFTemperatureZone[[#Headers],[Temperature zone]],0)</f>
        <v>13</v>
      </c>
      <c r="F235" s="33" cm="1">
        <f t="array" ref="F235">Common_InputFunctions.Utility_DisplayArrayInTable(Common_SourceData.Common_SourceData_MCFTemperatureZone_Data(),Table_SourceData_Common_MCFTemperatureZone[[#Headers],[Temperature zone]],0)</f>
        <v>0.71</v>
      </c>
      <c r="G235" s="33" cm="1">
        <f t="array" ref="G235">Common_InputFunctions.Utility_DisplayArrayInTable(Common_SourceData.Common_SourceData_MCFTemperatureZone_Data(),Table_SourceData_Common_MCFTemperatureZone[[#Headers],[Temperature zone]],0)</f>
        <v>0.1</v>
      </c>
      <c r="H235" s="33" cm="1">
        <f t="array" ref="H235">Common_InputFunctions.Utility_DisplayArrayInTable(Common_SourceData.Common_SourceData_MCFTemperatureZone_Data(),Table_SourceData_Common_MCFTemperatureZone[[#Headers],[Temperature zone]],0)</f>
        <v>0.14000000000000001</v>
      </c>
      <c r="I235" s="33" cm="1">
        <f t="array" ref="I235">Common_InputFunctions.Utility_DisplayArrayInTable(Common_SourceData.Common_SourceData_MCFTemperatureZone_Data(),Table_SourceData_Common_MCFTemperatureZone[[#Headers],[Temperature zone]],0)</f>
        <v>1E-3</v>
      </c>
      <c r="J235" s="33" cm="1">
        <f t="array" ref="J235">Common_InputFunctions.Utility_DisplayArrayInTable(Common_SourceData.Common_SourceData_MCFTemperatureZone_Data(),Table_SourceData_Common_MCFTemperatureZone[[#Headers],[Temperature zone]],0)</f>
        <v>5.0000000000000001E-3</v>
      </c>
      <c r="K235" s="33" cm="1">
        <f t="array" ref="K235">Common_InputFunctions.Utility_DisplayArrayInTable(Common_SourceData.Common_SourceData_MCFTemperatureZone_Data(),Table_SourceData_Common_MCFTemperatureZone[[#Headers],[Temperature zone]],0)</f>
        <v>0.02</v>
      </c>
      <c r="L235" s="33" cm="1">
        <f t="array" ref="L235">Common_InputFunctions.Utility_DisplayArrayInTable(Common_SourceData.Common_SourceData_MCFTemperatureZone_Data(),Table_SourceData_Common_MCFTemperatureZone[[#Headers],[Temperature zone]],0)</f>
        <v>0.03</v>
      </c>
      <c r="M235" s="33" cm="1">
        <f t="array" ref="M235">Common_InputFunctions.Utility_DisplayArrayInTable(Common_SourceData.Common_SourceData_MCFTemperatureZone_Data(),Table_SourceData_Common_MCFTemperatureZone[[#Headers],[Temperature zone]],0)</f>
        <v>0.04</v>
      </c>
      <c r="N235" s="33" cm="1">
        <f t="array" ref="N235">Common_InputFunctions.Utility_DisplayArrayInTable(Common_SourceData.Common_SourceData_MCFTemperatureZone_Data(),Table_SourceData_Common_MCFTemperatureZone[[#Headers],[Temperature zone]],0)</f>
        <v>1.4999999999999999E-2</v>
      </c>
      <c r="O235" s="33" cm="1">
        <f t="array" ref="O235">Common_InputFunctions.Utility_DisplayArrayInTable(Common_SourceData.Common_SourceData_MCFTemperatureZone_Data(),Table_SourceData_Common_MCFTemperatureZone[[#Headers],[Temperature zone]],0)</f>
        <v>1.4999999999999999E-2</v>
      </c>
      <c r="P235" s="33" cm="1">
        <f t="array" ref="P235">Common_InputFunctions.Utility_DisplayArrayInTable(Common_SourceData.Common_SourceData_MCFTemperatureZone_Data(),Table_SourceData_Common_MCFTemperatureZone[[#Headers],[Temperature zone]],0)</f>
        <v>0</v>
      </c>
      <c r="Q235" s="33" cm="1">
        <f t="array" ref="Q235">Common_InputFunctions.Utility_DisplayArrayInTable(Common_SourceData.Common_SourceData_MCFTemperatureZone_Data(),Table_SourceData_Common_MCFTemperatureZone[[#Headers],[Temperature zone]],0)</f>
        <v>0</v>
      </c>
      <c r="R235" s="33" cm="1">
        <f t="array" ref="R235">Common_InputFunctions.Utility_DisplayArrayInTable(Common_SourceData.Common_SourceData_MCFTemperatureZone_Data(),Table_SourceData_Common_MCFTemperatureZone[[#Headers],[Temperature zone]],0)</f>
        <v>4.7000000000000002E-3</v>
      </c>
      <c r="S235" s="33"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3" cm="1">
        <f t="array" ref="E236">Common_InputFunctions.Utility_DisplayArrayInTable(Common_SourceData.Common_SourceData_MCFTemperatureZone_Data(),Table_SourceData_Common_MCFTemperatureZone[[#Headers],[Temperature zone]],0)</f>
        <v>14</v>
      </c>
      <c r="F236" s="33" cm="1">
        <f t="array" ref="F236">Common_InputFunctions.Utility_DisplayArrayInTable(Common_SourceData.Common_SourceData_MCFTemperatureZone_Data(),Table_SourceData_Common_MCFTemperatureZone[[#Headers],[Temperature zone]],0)</f>
        <v>0.73</v>
      </c>
      <c r="G236" s="33" cm="1">
        <f t="array" ref="G236">Common_InputFunctions.Utility_DisplayArrayInTable(Common_SourceData.Common_SourceData_MCFTemperatureZone_Data(),Table_SourceData_Common_MCFTemperatureZone[[#Headers],[Temperature zone]],0)</f>
        <v>0.1</v>
      </c>
      <c r="H236" s="33" cm="1">
        <f t="array" ref="H236">Common_InputFunctions.Utility_DisplayArrayInTable(Common_SourceData.Common_SourceData_MCFTemperatureZone_Data(),Table_SourceData_Common_MCFTemperatureZone[[#Headers],[Temperature zone]],0)</f>
        <v>0.15</v>
      </c>
      <c r="I236" s="33" cm="1">
        <f t="array" ref="I236">Common_InputFunctions.Utility_DisplayArrayInTable(Common_SourceData.Common_SourceData_MCFTemperatureZone_Data(),Table_SourceData_Common_MCFTemperatureZone[[#Headers],[Temperature zone]],0)</f>
        <v>1E-3</v>
      </c>
      <c r="J236" s="33" cm="1">
        <f t="array" ref="J236">Common_InputFunctions.Utility_DisplayArrayInTable(Common_SourceData.Common_SourceData_MCFTemperatureZone_Data(),Table_SourceData_Common_MCFTemperatureZone[[#Headers],[Temperature zone]],0)</f>
        <v>5.0000000000000001E-3</v>
      </c>
      <c r="K236" s="33" cm="1">
        <f t="array" ref="K236">Common_InputFunctions.Utility_DisplayArrayInTable(Common_SourceData.Common_SourceData_MCFTemperatureZone_Data(),Table_SourceData_Common_MCFTemperatureZone[[#Headers],[Temperature zone]],0)</f>
        <v>0.02</v>
      </c>
      <c r="L236" s="33" cm="1">
        <f t="array" ref="L236">Common_InputFunctions.Utility_DisplayArrayInTable(Common_SourceData.Common_SourceData_MCFTemperatureZone_Data(),Table_SourceData_Common_MCFTemperatureZone[[#Headers],[Temperature zone]],0)</f>
        <v>0.03</v>
      </c>
      <c r="M236" s="33" cm="1">
        <f t="array" ref="M236">Common_InputFunctions.Utility_DisplayArrayInTable(Common_SourceData.Common_SourceData_MCFTemperatureZone_Data(),Table_SourceData_Common_MCFTemperatureZone[[#Headers],[Temperature zone]],0)</f>
        <v>0.04</v>
      </c>
      <c r="N236" s="33" cm="1">
        <f t="array" ref="N236">Common_InputFunctions.Utility_DisplayArrayInTable(Common_SourceData.Common_SourceData_MCFTemperatureZone_Data(),Table_SourceData_Common_MCFTemperatureZone[[#Headers],[Temperature zone]],0)</f>
        <v>1.4999999999999999E-2</v>
      </c>
      <c r="O236" s="33" cm="1">
        <f t="array" ref="O236">Common_InputFunctions.Utility_DisplayArrayInTable(Common_SourceData.Common_SourceData_MCFTemperatureZone_Data(),Table_SourceData_Common_MCFTemperatureZone[[#Headers],[Temperature zone]],0)</f>
        <v>1.4999999999999999E-2</v>
      </c>
      <c r="P236" s="33" cm="1">
        <f t="array" ref="P236">Common_InputFunctions.Utility_DisplayArrayInTable(Common_SourceData.Common_SourceData_MCFTemperatureZone_Data(),Table_SourceData_Common_MCFTemperatureZone[[#Headers],[Temperature zone]],0)</f>
        <v>0</v>
      </c>
      <c r="Q236" s="33" cm="1">
        <f t="array" ref="Q236">Common_InputFunctions.Utility_DisplayArrayInTable(Common_SourceData.Common_SourceData_MCFTemperatureZone_Data(),Table_SourceData_Common_MCFTemperatureZone[[#Headers],[Temperature zone]],0)</f>
        <v>0</v>
      </c>
      <c r="R236" s="33" cm="1">
        <f t="array" ref="R236">Common_InputFunctions.Utility_DisplayArrayInTable(Common_SourceData.Common_SourceData_MCFTemperatureZone_Data(),Table_SourceData_Common_MCFTemperatureZone[[#Headers],[Temperature zone]],0)</f>
        <v>4.7000000000000002E-3</v>
      </c>
      <c r="S236" s="33"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3" cm="1">
        <f t="array" ref="E237">Common_InputFunctions.Utility_DisplayArrayInTable(Common_SourceData.Common_SourceData_MCFTemperatureZone_Data(),Table_SourceData_Common_MCFTemperatureZone[[#Headers],[Temperature zone]],0)</f>
        <v>15</v>
      </c>
      <c r="F237" s="33" cm="1">
        <f t="array" ref="F237">Common_InputFunctions.Utility_DisplayArrayInTable(Common_SourceData.Common_SourceData_MCFTemperatureZone_Data(),Table_SourceData_Common_MCFTemperatureZone[[#Headers],[Temperature zone]],0)</f>
        <v>0.74</v>
      </c>
      <c r="G237" s="33" cm="1">
        <f t="array" ref="G237">Common_InputFunctions.Utility_DisplayArrayInTable(Common_SourceData.Common_SourceData_MCFTemperatureZone_Data(),Table_SourceData_Common_MCFTemperatureZone[[#Headers],[Temperature zone]],0)</f>
        <v>0.1</v>
      </c>
      <c r="H237" s="33" cm="1">
        <f t="array" ref="H237">Common_InputFunctions.Utility_DisplayArrayInTable(Common_SourceData.Common_SourceData_MCFTemperatureZone_Data(),Table_SourceData_Common_MCFTemperatureZone[[#Headers],[Temperature zone]],0)</f>
        <v>0.17</v>
      </c>
      <c r="I237" s="33" cm="1">
        <f t="array" ref="I237">Common_InputFunctions.Utility_DisplayArrayInTable(Common_SourceData.Common_SourceData_MCFTemperatureZone_Data(),Table_SourceData_Common_MCFTemperatureZone[[#Headers],[Temperature zone]],0)</f>
        <v>5.0000000000000001E-3</v>
      </c>
      <c r="J237" s="33" cm="1">
        <f t="array" ref="J237">Common_InputFunctions.Utility_DisplayArrayInTable(Common_SourceData.Common_SourceData_MCFTemperatureZone_Data(),Table_SourceData_Common_MCFTemperatureZone[[#Headers],[Temperature zone]],0)</f>
        <v>0.01</v>
      </c>
      <c r="K237" s="33" cm="1">
        <f t="array" ref="K237">Common_InputFunctions.Utility_DisplayArrayInTable(Common_SourceData.Common_SourceData_MCFTemperatureZone_Data(),Table_SourceData_Common_MCFTemperatureZone[[#Headers],[Temperature zone]],0)</f>
        <v>0.02</v>
      </c>
      <c r="L237" s="33" cm="1">
        <f t="array" ref="L237">Common_InputFunctions.Utility_DisplayArrayInTable(Common_SourceData.Common_SourceData_MCFTemperatureZone_Data(),Table_SourceData_Common_MCFTemperatureZone[[#Headers],[Temperature zone]],0)</f>
        <v>0.03</v>
      </c>
      <c r="M237" s="33" cm="1">
        <f t="array" ref="M237">Common_InputFunctions.Utility_DisplayArrayInTable(Common_SourceData.Common_SourceData_MCFTemperatureZone_Data(),Table_SourceData_Common_MCFTemperatureZone[[#Headers],[Temperature zone]],0)</f>
        <v>0.04</v>
      </c>
      <c r="N237" s="33" cm="1">
        <f t="array" ref="N237">Common_InputFunctions.Utility_DisplayArrayInTable(Common_SourceData.Common_SourceData_MCFTemperatureZone_Data(),Table_SourceData_Common_MCFTemperatureZone[[#Headers],[Temperature zone]],0)</f>
        <v>1.4999999999999999E-2</v>
      </c>
      <c r="O237" s="33" cm="1">
        <f t="array" ref="O237">Common_InputFunctions.Utility_DisplayArrayInTable(Common_SourceData.Common_SourceData_MCFTemperatureZone_Data(),Table_SourceData_Common_MCFTemperatureZone[[#Headers],[Temperature zone]],0)</f>
        <v>1.4999999999999999E-2</v>
      </c>
      <c r="P237" s="33" cm="1">
        <f t="array" ref="P237">Common_InputFunctions.Utility_DisplayArrayInTable(Common_SourceData.Common_SourceData_MCFTemperatureZone_Data(),Table_SourceData_Common_MCFTemperatureZone[[#Headers],[Temperature zone]],0)</f>
        <v>0</v>
      </c>
      <c r="Q237" s="33" cm="1">
        <f t="array" ref="Q237">Common_InputFunctions.Utility_DisplayArrayInTable(Common_SourceData.Common_SourceData_MCFTemperatureZone_Data(),Table_SourceData_Common_MCFTemperatureZone[[#Headers],[Temperature zone]],0)</f>
        <v>0</v>
      </c>
      <c r="R237" s="33" cm="1">
        <f t="array" ref="R237">Common_InputFunctions.Utility_DisplayArrayInTable(Common_SourceData.Common_SourceData_MCFTemperatureZone_Data(),Table_SourceData_Common_MCFTemperatureZone[[#Headers],[Temperature zone]],0)</f>
        <v>4.7000000000000002E-3</v>
      </c>
      <c r="S237" s="33"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3" cm="1">
        <f t="array" ref="E238">Common_InputFunctions.Utility_DisplayArrayInTable(Common_SourceData.Common_SourceData_MCFTemperatureZone_Data(),Table_SourceData_Common_MCFTemperatureZone[[#Headers],[Temperature zone]],0)</f>
        <v>16</v>
      </c>
      <c r="F238" s="33" cm="1">
        <f t="array" ref="F238">Common_InputFunctions.Utility_DisplayArrayInTable(Common_SourceData.Common_SourceData_MCFTemperatureZone_Data(),Table_SourceData_Common_MCFTemperatureZone[[#Headers],[Temperature zone]],0)</f>
        <v>0.75</v>
      </c>
      <c r="G238" s="33" cm="1">
        <f t="array" ref="G238">Common_InputFunctions.Utility_DisplayArrayInTable(Common_SourceData.Common_SourceData_MCFTemperatureZone_Data(),Table_SourceData_Common_MCFTemperatureZone[[#Headers],[Temperature zone]],0)</f>
        <v>0.1</v>
      </c>
      <c r="H238" s="33" cm="1">
        <f t="array" ref="H238">Common_InputFunctions.Utility_DisplayArrayInTable(Common_SourceData.Common_SourceData_MCFTemperatureZone_Data(),Table_SourceData_Common_MCFTemperatureZone[[#Headers],[Temperature zone]],0)</f>
        <v>0.18</v>
      </c>
      <c r="I238" s="33" cm="1">
        <f t="array" ref="I238">Common_InputFunctions.Utility_DisplayArrayInTable(Common_SourceData.Common_SourceData_MCFTemperatureZone_Data(),Table_SourceData_Common_MCFTemperatureZone[[#Headers],[Temperature zone]],0)</f>
        <v>5.0000000000000001E-3</v>
      </c>
      <c r="J238" s="33" cm="1">
        <f t="array" ref="J238">Common_InputFunctions.Utility_DisplayArrayInTable(Common_SourceData.Common_SourceData_MCFTemperatureZone_Data(),Table_SourceData_Common_MCFTemperatureZone[[#Headers],[Temperature zone]],0)</f>
        <v>0.01</v>
      </c>
      <c r="K238" s="33" cm="1">
        <f t="array" ref="K238">Common_InputFunctions.Utility_DisplayArrayInTable(Common_SourceData.Common_SourceData_MCFTemperatureZone_Data(),Table_SourceData_Common_MCFTemperatureZone[[#Headers],[Temperature zone]],0)</f>
        <v>0.02</v>
      </c>
      <c r="L238" s="33" cm="1">
        <f t="array" ref="L238">Common_InputFunctions.Utility_DisplayArrayInTable(Common_SourceData.Common_SourceData_MCFTemperatureZone_Data(),Table_SourceData_Common_MCFTemperatureZone[[#Headers],[Temperature zone]],0)</f>
        <v>0.03</v>
      </c>
      <c r="M238" s="33" cm="1">
        <f t="array" ref="M238">Common_InputFunctions.Utility_DisplayArrayInTable(Common_SourceData.Common_SourceData_MCFTemperatureZone_Data(),Table_SourceData_Common_MCFTemperatureZone[[#Headers],[Temperature zone]],0)</f>
        <v>0.04</v>
      </c>
      <c r="N238" s="33" cm="1">
        <f t="array" ref="N238">Common_InputFunctions.Utility_DisplayArrayInTable(Common_SourceData.Common_SourceData_MCFTemperatureZone_Data(),Table_SourceData_Common_MCFTemperatureZone[[#Headers],[Temperature zone]],0)</f>
        <v>1.4999999999999999E-2</v>
      </c>
      <c r="O238" s="33" cm="1">
        <f t="array" ref="O238">Common_InputFunctions.Utility_DisplayArrayInTable(Common_SourceData.Common_SourceData_MCFTemperatureZone_Data(),Table_SourceData_Common_MCFTemperatureZone[[#Headers],[Temperature zone]],0)</f>
        <v>1.4999999999999999E-2</v>
      </c>
      <c r="P238" s="33" cm="1">
        <f t="array" ref="P238">Common_InputFunctions.Utility_DisplayArrayInTable(Common_SourceData.Common_SourceData_MCFTemperatureZone_Data(),Table_SourceData_Common_MCFTemperatureZone[[#Headers],[Temperature zone]],0)</f>
        <v>0</v>
      </c>
      <c r="Q238" s="33" cm="1">
        <f t="array" ref="Q238">Common_InputFunctions.Utility_DisplayArrayInTable(Common_SourceData.Common_SourceData_MCFTemperatureZone_Data(),Table_SourceData_Common_MCFTemperatureZone[[#Headers],[Temperature zone]],0)</f>
        <v>0</v>
      </c>
      <c r="R238" s="33" cm="1">
        <f t="array" ref="R238">Common_InputFunctions.Utility_DisplayArrayInTable(Common_SourceData.Common_SourceData_MCFTemperatureZone_Data(),Table_SourceData_Common_MCFTemperatureZone[[#Headers],[Temperature zone]],0)</f>
        <v>4.7000000000000002E-3</v>
      </c>
      <c r="S238" s="33"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3" cm="1">
        <f t="array" ref="E239">Common_InputFunctions.Utility_DisplayArrayInTable(Common_SourceData.Common_SourceData_MCFTemperatureZone_Data(),Table_SourceData_Common_MCFTemperatureZone[[#Headers],[Temperature zone]],0)</f>
        <v>17</v>
      </c>
      <c r="F239" s="33" cm="1">
        <f t="array" ref="F239">Common_InputFunctions.Utility_DisplayArrayInTable(Common_SourceData.Common_SourceData_MCFTemperatureZone_Data(),Table_SourceData_Common_MCFTemperatureZone[[#Headers],[Temperature zone]],0)</f>
        <v>0.76</v>
      </c>
      <c r="G239" s="33" cm="1">
        <f t="array" ref="G239">Common_InputFunctions.Utility_DisplayArrayInTable(Common_SourceData.Common_SourceData_MCFTemperatureZone_Data(),Table_SourceData_Common_MCFTemperatureZone[[#Headers],[Temperature zone]],0)</f>
        <v>0.1</v>
      </c>
      <c r="H239" s="33" cm="1">
        <f t="array" ref="H239">Common_InputFunctions.Utility_DisplayArrayInTable(Common_SourceData.Common_SourceData_MCFTemperatureZone_Data(),Table_SourceData_Common_MCFTemperatureZone[[#Headers],[Temperature zone]],0)</f>
        <v>0.2</v>
      </c>
      <c r="I239" s="33" cm="1">
        <f t="array" ref="I239">Common_InputFunctions.Utility_DisplayArrayInTable(Common_SourceData.Common_SourceData_MCFTemperatureZone_Data(),Table_SourceData_Common_MCFTemperatureZone[[#Headers],[Temperature zone]],0)</f>
        <v>5.0000000000000001E-3</v>
      </c>
      <c r="J239" s="33" cm="1">
        <f t="array" ref="J239">Common_InputFunctions.Utility_DisplayArrayInTable(Common_SourceData.Common_SourceData_MCFTemperatureZone_Data(),Table_SourceData_Common_MCFTemperatureZone[[#Headers],[Temperature zone]],0)</f>
        <v>0.01</v>
      </c>
      <c r="K239" s="33" cm="1">
        <f t="array" ref="K239">Common_InputFunctions.Utility_DisplayArrayInTable(Common_SourceData.Common_SourceData_MCFTemperatureZone_Data(),Table_SourceData_Common_MCFTemperatureZone[[#Headers],[Temperature zone]],0)</f>
        <v>0.02</v>
      </c>
      <c r="L239" s="33" cm="1">
        <f t="array" ref="L239">Common_InputFunctions.Utility_DisplayArrayInTable(Common_SourceData.Common_SourceData_MCFTemperatureZone_Data(),Table_SourceData_Common_MCFTemperatureZone[[#Headers],[Temperature zone]],0)</f>
        <v>0.03</v>
      </c>
      <c r="M239" s="33" cm="1">
        <f t="array" ref="M239">Common_InputFunctions.Utility_DisplayArrayInTable(Common_SourceData.Common_SourceData_MCFTemperatureZone_Data(),Table_SourceData_Common_MCFTemperatureZone[[#Headers],[Temperature zone]],0)</f>
        <v>0.04</v>
      </c>
      <c r="N239" s="33" cm="1">
        <f t="array" ref="N239">Common_InputFunctions.Utility_DisplayArrayInTable(Common_SourceData.Common_SourceData_MCFTemperatureZone_Data(),Table_SourceData_Common_MCFTemperatureZone[[#Headers],[Temperature zone]],0)</f>
        <v>1.4999999999999999E-2</v>
      </c>
      <c r="O239" s="33" cm="1">
        <f t="array" ref="O239">Common_InputFunctions.Utility_DisplayArrayInTable(Common_SourceData.Common_SourceData_MCFTemperatureZone_Data(),Table_SourceData_Common_MCFTemperatureZone[[#Headers],[Temperature zone]],0)</f>
        <v>1.4999999999999999E-2</v>
      </c>
      <c r="P239" s="33" cm="1">
        <f t="array" ref="P239">Common_InputFunctions.Utility_DisplayArrayInTable(Common_SourceData.Common_SourceData_MCFTemperatureZone_Data(),Table_SourceData_Common_MCFTemperatureZone[[#Headers],[Temperature zone]],0)</f>
        <v>0</v>
      </c>
      <c r="Q239" s="33" cm="1">
        <f t="array" ref="Q239">Common_InputFunctions.Utility_DisplayArrayInTable(Common_SourceData.Common_SourceData_MCFTemperatureZone_Data(),Table_SourceData_Common_MCFTemperatureZone[[#Headers],[Temperature zone]],0)</f>
        <v>0</v>
      </c>
      <c r="R239" s="33" cm="1">
        <f t="array" ref="R239">Common_InputFunctions.Utility_DisplayArrayInTable(Common_SourceData.Common_SourceData_MCFTemperatureZone_Data(),Table_SourceData_Common_MCFTemperatureZone[[#Headers],[Temperature zone]],0)</f>
        <v>4.7000000000000002E-3</v>
      </c>
      <c r="S239" s="33"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3" cm="1">
        <f t="array" ref="E240">Common_InputFunctions.Utility_DisplayArrayInTable(Common_SourceData.Common_SourceData_MCFTemperatureZone_Data(),Table_SourceData_Common_MCFTemperatureZone[[#Headers],[Temperature zone]],0)</f>
        <v>18</v>
      </c>
      <c r="F240" s="33" cm="1">
        <f t="array" ref="F240">Common_InputFunctions.Utility_DisplayArrayInTable(Common_SourceData.Common_SourceData_MCFTemperatureZone_Data(),Table_SourceData_Common_MCFTemperatureZone[[#Headers],[Temperature zone]],0)</f>
        <v>0.77</v>
      </c>
      <c r="G240" s="33" cm="1">
        <f t="array" ref="G240">Common_InputFunctions.Utility_DisplayArrayInTable(Common_SourceData.Common_SourceData_MCFTemperatureZone_Data(),Table_SourceData_Common_MCFTemperatureZone[[#Headers],[Temperature zone]],0)</f>
        <v>0.1</v>
      </c>
      <c r="H240" s="33" cm="1">
        <f t="array" ref="H240">Common_InputFunctions.Utility_DisplayArrayInTable(Common_SourceData.Common_SourceData_MCFTemperatureZone_Data(),Table_SourceData_Common_MCFTemperatureZone[[#Headers],[Temperature zone]],0)</f>
        <v>0.22</v>
      </c>
      <c r="I240" s="33" cm="1">
        <f t="array" ref="I240">Common_InputFunctions.Utility_DisplayArrayInTable(Common_SourceData.Common_SourceData_MCFTemperatureZone_Data(),Table_SourceData_Common_MCFTemperatureZone[[#Headers],[Temperature zone]],0)</f>
        <v>5.0000000000000001E-3</v>
      </c>
      <c r="J240" s="33" cm="1">
        <f t="array" ref="J240">Common_InputFunctions.Utility_DisplayArrayInTable(Common_SourceData.Common_SourceData_MCFTemperatureZone_Data(),Table_SourceData_Common_MCFTemperatureZone[[#Headers],[Temperature zone]],0)</f>
        <v>0.01</v>
      </c>
      <c r="K240" s="33" cm="1">
        <f t="array" ref="K240">Common_InputFunctions.Utility_DisplayArrayInTable(Common_SourceData.Common_SourceData_MCFTemperatureZone_Data(),Table_SourceData_Common_MCFTemperatureZone[[#Headers],[Temperature zone]],0)</f>
        <v>0.02</v>
      </c>
      <c r="L240" s="33" cm="1">
        <f t="array" ref="L240">Common_InputFunctions.Utility_DisplayArrayInTable(Common_SourceData.Common_SourceData_MCFTemperatureZone_Data(),Table_SourceData_Common_MCFTemperatureZone[[#Headers],[Temperature zone]],0)</f>
        <v>0.03</v>
      </c>
      <c r="M240" s="33" cm="1">
        <f t="array" ref="M240">Common_InputFunctions.Utility_DisplayArrayInTable(Common_SourceData.Common_SourceData_MCFTemperatureZone_Data(),Table_SourceData_Common_MCFTemperatureZone[[#Headers],[Temperature zone]],0)</f>
        <v>0.04</v>
      </c>
      <c r="N240" s="33" cm="1">
        <f t="array" ref="N240">Common_InputFunctions.Utility_DisplayArrayInTable(Common_SourceData.Common_SourceData_MCFTemperatureZone_Data(),Table_SourceData_Common_MCFTemperatureZone[[#Headers],[Temperature zone]],0)</f>
        <v>1.4999999999999999E-2</v>
      </c>
      <c r="O240" s="33" cm="1">
        <f t="array" ref="O240">Common_InputFunctions.Utility_DisplayArrayInTable(Common_SourceData.Common_SourceData_MCFTemperatureZone_Data(),Table_SourceData_Common_MCFTemperatureZone[[#Headers],[Temperature zone]],0)</f>
        <v>1.4999999999999999E-2</v>
      </c>
      <c r="P240" s="33" cm="1">
        <f t="array" ref="P240">Common_InputFunctions.Utility_DisplayArrayInTable(Common_SourceData.Common_SourceData_MCFTemperatureZone_Data(),Table_SourceData_Common_MCFTemperatureZone[[#Headers],[Temperature zone]],0)</f>
        <v>0</v>
      </c>
      <c r="Q240" s="33" cm="1">
        <f t="array" ref="Q240">Common_InputFunctions.Utility_DisplayArrayInTable(Common_SourceData.Common_SourceData_MCFTemperatureZone_Data(),Table_SourceData_Common_MCFTemperatureZone[[#Headers],[Temperature zone]],0)</f>
        <v>0</v>
      </c>
      <c r="R240" s="33" cm="1">
        <f t="array" ref="R240">Common_InputFunctions.Utility_DisplayArrayInTable(Common_SourceData.Common_SourceData_MCFTemperatureZone_Data(),Table_SourceData_Common_MCFTemperatureZone[[#Headers],[Temperature zone]],0)</f>
        <v>4.7000000000000002E-3</v>
      </c>
      <c r="S240" s="33"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3" cm="1">
        <f t="array" ref="E241">Common_InputFunctions.Utility_DisplayArrayInTable(Common_SourceData.Common_SourceData_MCFTemperatureZone_Data(),Table_SourceData_Common_MCFTemperatureZone[[#Headers],[Temperature zone]],0)</f>
        <v>19</v>
      </c>
      <c r="F241" s="33" cm="1">
        <f t="array" ref="F241">Common_InputFunctions.Utility_DisplayArrayInTable(Common_SourceData.Common_SourceData_MCFTemperatureZone_Data(),Table_SourceData_Common_MCFTemperatureZone[[#Headers],[Temperature zone]],0)</f>
        <v>0.77</v>
      </c>
      <c r="G241" s="33" cm="1">
        <f t="array" ref="G241">Common_InputFunctions.Utility_DisplayArrayInTable(Common_SourceData.Common_SourceData_MCFTemperatureZone_Data(),Table_SourceData_Common_MCFTemperatureZone[[#Headers],[Temperature zone]],0)</f>
        <v>0.1</v>
      </c>
      <c r="H241" s="33" cm="1">
        <f t="array" ref="H241">Common_InputFunctions.Utility_DisplayArrayInTable(Common_SourceData.Common_SourceData_MCFTemperatureZone_Data(),Table_SourceData_Common_MCFTemperatureZone[[#Headers],[Temperature zone]],0)</f>
        <v>0.24</v>
      </c>
      <c r="I241" s="33" cm="1">
        <f t="array" ref="I241">Common_InputFunctions.Utility_DisplayArrayInTable(Common_SourceData.Common_SourceData_MCFTemperatureZone_Data(),Table_SourceData_Common_MCFTemperatureZone[[#Headers],[Temperature zone]],0)</f>
        <v>5.0000000000000001E-3</v>
      </c>
      <c r="J241" s="33" cm="1">
        <f t="array" ref="J241">Common_InputFunctions.Utility_DisplayArrayInTable(Common_SourceData.Common_SourceData_MCFTemperatureZone_Data(),Table_SourceData_Common_MCFTemperatureZone[[#Headers],[Temperature zone]],0)</f>
        <v>0.01</v>
      </c>
      <c r="K241" s="33" cm="1">
        <f t="array" ref="K241">Common_InputFunctions.Utility_DisplayArrayInTable(Common_SourceData.Common_SourceData_MCFTemperatureZone_Data(),Table_SourceData_Common_MCFTemperatureZone[[#Headers],[Temperature zone]],0)</f>
        <v>0.02</v>
      </c>
      <c r="L241" s="33" cm="1">
        <f t="array" ref="L241">Common_InputFunctions.Utility_DisplayArrayInTable(Common_SourceData.Common_SourceData_MCFTemperatureZone_Data(),Table_SourceData_Common_MCFTemperatureZone[[#Headers],[Temperature zone]],0)</f>
        <v>0.03</v>
      </c>
      <c r="M241" s="33" cm="1">
        <f t="array" ref="M241">Common_InputFunctions.Utility_DisplayArrayInTable(Common_SourceData.Common_SourceData_MCFTemperatureZone_Data(),Table_SourceData_Common_MCFTemperatureZone[[#Headers],[Temperature zone]],0)</f>
        <v>0.04</v>
      </c>
      <c r="N241" s="33" cm="1">
        <f t="array" ref="N241">Common_InputFunctions.Utility_DisplayArrayInTable(Common_SourceData.Common_SourceData_MCFTemperatureZone_Data(),Table_SourceData_Common_MCFTemperatureZone[[#Headers],[Temperature zone]],0)</f>
        <v>1.4999999999999999E-2</v>
      </c>
      <c r="O241" s="33" cm="1">
        <f t="array" ref="O241">Common_InputFunctions.Utility_DisplayArrayInTable(Common_SourceData.Common_SourceData_MCFTemperatureZone_Data(),Table_SourceData_Common_MCFTemperatureZone[[#Headers],[Temperature zone]],0)</f>
        <v>1.4999999999999999E-2</v>
      </c>
      <c r="P241" s="33" cm="1">
        <f t="array" ref="P241">Common_InputFunctions.Utility_DisplayArrayInTable(Common_SourceData.Common_SourceData_MCFTemperatureZone_Data(),Table_SourceData_Common_MCFTemperatureZone[[#Headers],[Temperature zone]],0)</f>
        <v>0</v>
      </c>
      <c r="Q241" s="33" cm="1">
        <f t="array" ref="Q241">Common_InputFunctions.Utility_DisplayArrayInTable(Common_SourceData.Common_SourceData_MCFTemperatureZone_Data(),Table_SourceData_Common_MCFTemperatureZone[[#Headers],[Temperature zone]],0)</f>
        <v>0</v>
      </c>
      <c r="R241" s="33" cm="1">
        <f t="array" ref="R241">Common_InputFunctions.Utility_DisplayArrayInTable(Common_SourceData.Common_SourceData_MCFTemperatureZone_Data(),Table_SourceData_Common_MCFTemperatureZone[[#Headers],[Temperature zone]],0)</f>
        <v>4.7000000000000002E-3</v>
      </c>
      <c r="S241" s="33"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3" cm="1">
        <f t="array" ref="E242">Common_InputFunctions.Utility_DisplayArrayInTable(Common_SourceData.Common_SourceData_MCFTemperatureZone_Data(),Table_SourceData_Common_MCFTemperatureZone[[#Headers],[Temperature zone]],0)</f>
        <v>20</v>
      </c>
      <c r="F242" s="33" cm="1">
        <f t="array" ref="F242">Common_InputFunctions.Utility_DisplayArrayInTable(Common_SourceData.Common_SourceData_MCFTemperatureZone_Data(),Table_SourceData_Common_MCFTemperatureZone[[#Headers],[Temperature zone]],0)</f>
        <v>0.78</v>
      </c>
      <c r="G242" s="33" cm="1">
        <f t="array" ref="G242">Common_InputFunctions.Utility_DisplayArrayInTable(Common_SourceData.Common_SourceData_MCFTemperatureZone_Data(),Table_SourceData_Common_MCFTemperatureZone[[#Headers],[Temperature zone]],0)</f>
        <v>0.1</v>
      </c>
      <c r="H242" s="33" cm="1">
        <f t="array" ref="H242">Common_InputFunctions.Utility_DisplayArrayInTable(Common_SourceData.Common_SourceData_MCFTemperatureZone_Data(),Table_SourceData_Common_MCFTemperatureZone[[#Headers],[Temperature zone]],0)</f>
        <v>0.26</v>
      </c>
      <c r="I242" s="33" cm="1">
        <f t="array" ref="I242">Common_InputFunctions.Utility_DisplayArrayInTable(Common_SourceData.Common_SourceData_MCFTemperatureZone_Data(),Table_SourceData_Common_MCFTemperatureZone[[#Headers],[Temperature zone]],0)</f>
        <v>5.0000000000000001E-3</v>
      </c>
      <c r="J242" s="33" cm="1">
        <f t="array" ref="J242">Common_InputFunctions.Utility_DisplayArrayInTable(Common_SourceData.Common_SourceData_MCFTemperatureZone_Data(),Table_SourceData_Common_MCFTemperatureZone[[#Headers],[Temperature zone]],0)</f>
        <v>0.01</v>
      </c>
      <c r="K242" s="33" cm="1">
        <f t="array" ref="K242">Common_InputFunctions.Utility_DisplayArrayInTable(Common_SourceData.Common_SourceData_MCFTemperatureZone_Data(),Table_SourceData_Common_MCFTemperatureZone[[#Headers],[Temperature zone]],0)</f>
        <v>0.02</v>
      </c>
      <c r="L242" s="33" cm="1">
        <f t="array" ref="L242">Common_InputFunctions.Utility_DisplayArrayInTable(Common_SourceData.Common_SourceData_MCFTemperatureZone_Data(),Table_SourceData_Common_MCFTemperatureZone[[#Headers],[Temperature zone]],0)</f>
        <v>0.03</v>
      </c>
      <c r="M242" s="33" cm="1">
        <f t="array" ref="M242">Common_InputFunctions.Utility_DisplayArrayInTable(Common_SourceData.Common_SourceData_MCFTemperatureZone_Data(),Table_SourceData_Common_MCFTemperatureZone[[#Headers],[Temperature zone]],0)</f>
        <v>0.04</v>
      </c>
      <c r="N242" s="33" cm="1">
        <f t="array" ref="N242">Common_InputFunctions.Utility_DisplayArrayInTable(Common_SourceData.Common_SourceData_MCFTemperatureZone_Data(),Table_SourceData_Common_MCFTemperatureZone[[#Headers],[Temperature zone]],0)</f>
        <v>1.4999999999999999E-2</v>
      </c>
      <c r="O242" s="33" cm="1">
        <f t="array" ref="O242">Common_InputFunctions.Utility_DisplayArrayInTable(Common_SourceData.Common_SourceData_MCFTemperatureZone_Data(),Table_SourceData_Common_MCFTemperatureZone[[#Headers],[Temperature zone]],0)</f>
        <v>1.4999999999999999E-2</v>
      </c>
      <c r="P242" s="33" cm="1">
        <f t="array" ref="P242">Common_InputFunctions.Utility_DisplayArrayInTable(Common_SourceData.Common_SourceData_MCFTemperatureZone_Data(),Table_SourceData_Common_MCFTemperatureZone[[#Headers],[Temperature zone]],0)</f>
        <v>0</v>
      </c>
      <c r="Q242" s="33" cm="1">
        <f t="array" ref="Q242">Common_InputFunctions.Utility_DisplayArrayInTable(Common_SourceData.Common_SourceData_MCFTemperatureZone_Data(),Table_SourceData_Common_MCFTemperatureZone[[#Headers],[Temperature zone]],0)</f>
        <v>0</v>
      </c>
      <c r="R242" s="33" cm="1">
        <f t="array" ref="R242">Common_InputFunctions.Utility_DisplayArrayInTable(Common_SourceData.Common_SourceData_MCFTemperatureZone_Data(),Table_SourceData_Common_MCFTemperatureZone[[#Headers],[Temperature zone]],0)</f>
        <v>4.7000000000000002E-3</v>
      </c>
      <c r="S242" s="33"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3" cm="1">
        <f t="array" ref="E243">Common_InputFunctions.Utility_DisplayArrayInTable(Common_SourceData.Common_SourceData_MCFTemperatureZone_Data(),Table_SourceData_Common_MCFTemperatureZone[[#Headers],[Temperature zone]],0)</f>
        <v>21</v>
      </c>
      <c r="F243" s="33" cm="1">
        <f t="array" ref="F243">Common_InputFunctions.Utility_DisplayArrayInTable(Common_SourceData.Common_SourceData_MCFTemperatureZone_Data(),Table_SourceData_Common_MCFTemperatureZone[[#Headers],[Temperature zone]],0)</f>
        <v>0.78</v>
      </c>
      <c r="G243" s="33" cm="1">
        <f t="array" ref="G243">Common_InputFunctions.Utility_DisplayArrayInTable(Common_SourceData.Common_SourceData_MCFTemperatureZone_Data(),Table_SourceData_Common_MCFTemperatureZone[[#Headers],[Temperature zone]],0)</f>
        <v>0.1</v>
      </c>
      <c r="H243" s="33" cm="1">
        <f t="array" ref="H243">Common_InputFunctions.Utility_DisplayArrayInTable(Common_SourceData.Common_SourceData_MCFTemperatureZone_Data(),Table_SourceData_Common_MCFTemperatureZone[[#Headers],[Temperature zone]],0)</f>
        <v>0.28999999999999998</v>
      </c>
      <c r="I243" s="33" cm="1">
        <f t="array" ref="I243">Common_InputFunctions.Utility_DisplayArrayInTable(Common_SourceData.Common_SourceData_MCFTemperatureZone_Data(),Table_SourceData_Common_MCFTemperatureZone[[#Headers],[Temperature zone]],0)</f>
        <v>5.0000000000000001E-3</v>
      </c>
      <c r="J243" s="33" cm="1">
        <f t="array" ref="J243">Common_InputFunctions.Utility_DisplayArrayInTable(Common_SourceData.Common_SourceData_MCFTemperatureZone_Data(),Table_SourceData_Common_MCFTemperatureZone[[#Headers],[Temperature zone]],0)</f>
        <v>0.01</v>
      </c>
      <c r="K243" s="33" cm="1">
        <f t="array" ref="K243">Common_InputFunctions.Utility_DisplayArrayInTable(Common_SourceData.Common_SourceData_MCFTemperatureZone_Data(),Table_SourceData_Common_MCFTemperatureZone[[#Headers],[Temperature zone]],0)</f>
        <v>0.02</v>
      </c>
      <c r="L243" s="33" cm="1">
        <f t="array" ref="L243">Common_InputFunctions.Utility_DisplayArrayInTable(Common_SourceData.Common_SourceData_MCFTemperatureZone_Data(),Table_SourceData_Common_MCFTemperatureZone[[#Headers],[Temperature zone]],0)</f>
        <v>0.03</v>
      </c>
      <c r="M243" s="33" cm="1">
        <f t="array" ref="M243">Common_InputFunctions.Utility_DisplayArrayInTable(Common_SourceData.Common_SourceData_MCFTemperatureZone_Data(),Table_SourceData_Common_MCFTemperatureZone[[#Headers],[Temperature zone]],0)</f>
        <v>0.04</v>
      </c>
      <c r="N243" s="33" cm="1">
        <f t="array" ref="N243">Common_InputFunctions.Utility_DisplayArrayInTable(Common_SourceData.Common_SourceData_MCFTemperatureZone_Data(),Table_SourceData_Common_MCFTemperatureZone[[#Headers],[Temperature zone]],0)</f>
        <v>1.4999999999999999E-2</v>
      </c>
      <c r="O243" s="33" cm="1">
        <f t="array" ref="O243">Common_InputFunctions.Utility_DisplayArrayInTable(Common_SourceData.Common_SourceData_MCFTemperatureZone_Data(),Table_SourceData_Common_MCFTemperatureZone[[#Headers],[Temperature zone]],0)</f>
        <v>1.4999999999999999E-2</v>
      </c>
      <c r="P243" s="33" cm="1">
        <f t="array" ref="P243">Common_InputFunctions.Utility_DisplayArrayInTable(Common_SourceData.Common_SourceData_MCFTemperatureZone_Data(),Table_SourceData_Common_MCFTemperatureZone[[#Headers],[Temperature zone]],0)</f>
        <v>0</v>
      </c>
      <c r="Q243" s="33" cm="1">
        <f t="array" ref="Q243">Common_InputFunctions.Utility_DisplayArrayInTable(Common_SourceData.Common_SourceData_MCFTemperatureZone_Data(),Table_SourceData_Common_MCFTemperatureZone[[#Headers],[Temperature zone]],0)</f>
        <v>0</v>
      </c>
      <c r="R243" s="33" cm="1">
        <f t="array" ref="R243">Common_InputFunctions.Utility_DisplayArrayInTable(Common_SourceData.Common_SourceData_MCFTemperatureZone_Data(),Table_SourceData_Common_MCFTemperatureZone[[#Headers],[Temperature zone]],0)</f>
        <v>4.7000000000000002E-3</v>
      </c>
      <c r="S243" s="33"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3" cm="1">
        <f t="array" ref="E244">Common_InputFunctions.Utility_DisplayArrayInTable(Common_SourceData.Common_SourceData_MCFTemperatureZone_Data(),Table_SourceData_Common_MCFTemperatureZone[[#Headers],[Temperature zone]],0)</f>
        <v>22</v>
      </c>
      <c r="F244" s="33" cm="1">
        <f t="array" ref="F244">Common_InputFunctions.Utility_DisplayArrayInTable(Common_SourceData.Common_SourceData_MCFTemperatureZone_Data(),Table_SourceData_Common_MCFTemperatureZone[[#Headers],[Temperature zone]],0)</f>
        <v>0.78</v>
      </c>
      <c r="G244" s="33" cm="1">
        <f t="array" ref="G244">Common_InputFunctions.Utility_DisplayArrayInTable(Common_SourceData.Common_SourceData_MCFTemperatureZone_Data(),Table_SourceData_Common_MCFTemperatureZone[[#Headers],[Temperature zone]],0)</f>
        <v>0.1</v>
      </c>
      <c r="H244" s="33" cm="1">
        <f t="array" ref="H244">Common_InputFunctions.Utility_DisplayArrayInTable(Common_SourceData.Common_SourceData_MCFTemperatureZone_Data(),Table_SourceData_Common_MCFTemperatureZone[[#Headers],[Temperature zone]],0)</f>
        <v>0.31</v>
      </c>
      <c r="I244" s="33" cm="1">
        <f t="array" ref="I244">Common_InputFunctions.Utility_DisplayArrayInTable(Common_SourceData.Common_SourceData_MCFTemperatureZone_Data(),Table_SourceData_Common_MCFTemperatureZone[[#Headers],[Temperature zone]],0)</f>
        <v>5.0000000000000001E-3</v>
      </c>
      <c r="J244" s="33" cm="1">
        <f t="array" ref="J244">Common_InputFunctions.Utility_DisplayArrayInTable(Common_SourceData.Common_SourceData_MCFTemperatureZone_Data(),Table_SourceData_Common_MCFTemperatureZone[[#Headers],[Temperature zone]],0)</f>
        <v>0.01</v>
      </c>
      <c r="K244" s="33" cm="1">
        <f t="array" ref="K244">Common_InputFunctions.Utility_DisplayArrayInTable(Common_SourceData.Common_SourceData_MCFTemperatureZone_Data(),Table_SourceData_Common_MCFTemperatureZone[[#Headers],[Temperature zone]],0)</f>
        <v>0.02</v>
      </c>
      <c r="L244" s="33" cm="1">
        <f t="array" ref="L244">Common_InputFunctions.Utility_DisplayArrayInTable(Common_SourceData.Common_SourceData_MCFTemperatureZone_Data(),Table_SourceData_Common_MCFTemperatureZone[[#Headers],[Temperature zone]],0)</f>
        <v>0.03</v>
      </c>
      <c r="M244" s="33" cm="1">
        <f t="array" ref="M244">Common_InputFunctions.Utility_DisplayArrayInTable(Common_SourceData.Common_SourceData_MCFTemperatureZone_Data(),Table_SourceData_Common_MCFTemperatureZone[[#Headers],[Temperature zone]],0)</f>
        <v>0.04</v>
      </c>
      <c r="N244" s="33" cm="1">
        <f t="array" ref="N244">Common_InputFunctions.Utility_DisplayArrayInTable(Common_SourceData.Common_SourceData_MCFTemperatureZone_Data(),Table_SourceData_Common_MCFTemperatureZone[[#Headers],[Temperature zone]],0)</f>
        <v>1.4999999999999999E-2</v>
      </c>
      <c r="O244" s="33" cm="1">
        <f t="array" ref="O244">Common_InputFunctions.Utility_DisplayArrayInTable(Common_SourceData.Common_SourceData_MCFTemperatureZone_Data(),Table_SourceData_Common_MCFTemperatureZone[[#Headers],[Temperature zone]],0)</f>
        <v>1.4999999999999999E-2</v>
      </c>
      <c r="P244" s="33" cm="1">
        <f t="array" ref="P244">Common_InputFunctions.Utility_DisplayArrayInTable(Common_SourceData.Common_SourceData_MCFTemperatureZone_Data(),Table_SourceData_Common_MCFTemperatureZone[[#Headers],[Temperature zone]],0)</f>
        <v>0</v>
      </c>
      <c r="Q244" s="33" cm="1">
        <f t="array" ref="Q244">Common_InputFunctions.Utility_DisplayArrayInTable(Common_SourceData.Common_SourceData_MCFTemperatureZone_Data(),Table_SourceData_Common_MCFTemperatureZone[[#Headers],[Temperature zone]],0)</f>
        <v>0</v>
      </c>
      <c r="R244" s="33" cm="1">
        <f t="array" ref="R244">Common_InputFunctions.Utility_DisplayArrayInTable(Common_SourceData.Common_SourceData_MCFTemperatureZone_Data(),Table_SourceData_Common_MCFTemperatureZone[[#Headers],[Temperature zone]],0)</f>
        <v>4.7000000000000002E-3</v>
      </c>
      <c r="S244" s="33"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3" cm="1">
        <f t="array" ref="E245">Common_InputFunctions.Utility_DisplayArrayInTable(Common_SourceData.Common_SourceData_MCFTemperatureZone_Data(),Table_SourceData_Common_MCFTemperatureZone[[#Headers],[Temperature zone]],0)</f>
        <v>23</v>
      </c>
      <c r="F245" s="33" cm="1">
        <f t="array" ref="F245">Common_InputFunctions.Utility_DisplayArrayInTable(Common_SourceData.Common_SourceData_MCFTemperatureZone_Data(),Table_SourceData_Common_MCFTemperatureZone[[#Headers],[Temperature zone]],0)</f>
        <v>0.79</v>
      </c>
      <c r="G245" s="33" cm="1">
        <f t="array" ref="G245">Common_InputFunctions.Utility_DisplayArrayInTable(Common_SourceData.Common_SourceData_MCFTemperatureZone_Data(),Table_SourceData_Common_MCFTemperatureZone[[#Headers],[Temperature zone]],0)</f>
        <v>0.1</v>
      </c>
      <c r="H245" s="33" cm="1">
        <f t="array" ref="H245">Common_InputFunctions.Utility_DisplayArrayInTable(Common_SourceData.Common_SourceData_MCFTemperatureZone_Data(),Table_SourceData_Common_MCFTemperatureZone[[#Headers],[Temperature zone]],0)</f>
        <v>0.34</v>
      </c>
      <c r="I245" s="33" cm="1">
        <f t="array" ref="I245">Common_InputFunctions.Utility_DisplayArrayInTable(Common_SourceData.Common_SourceData_MCFTemperatureZone_Data(),Table_SourceData_Common_MCFTemperatureZone[[#Headers],[Temperature zone]],0)</f>
        <v>5.0000000000000001E-3</v>
      </c>
      <c r="J245" s="33" cm="1">
        <f t="array" ref="J245">Common_InputFunctions.Utility_DisplayArrayInTable(Common_SourceData.Common_SourceData_MCFTemperatureZone_Data(),Table_SourceData_Common_MCFTemperatureZone[[#Headers],[Temperature zone]],0)</f>
        <v>0.01</v>
      </c>
      <c r="K245" s="33" cm="1">
        <f t="array" ref="K245">Common_InputFunctions.Utility_DisplayArrayInTable(Common_SourceData.Common_SourceData_MCFTemperatureZone_Data(),Table_SourceData_Common_MCFTemperatureZone[[#Headers],[Temperature zone]],0)</f>
        <v>0.02</v>
      </c>
      <c r="L245" s="33" cm="1">
        <f t="array" ref="L245">Common_InputFunctions.Utility_DisplayArrayInTable(Common_SourceData.Common_SourceData_MCFTemperatureZone_Data(),Table_SourceData_Common_MCFTemperatureZone[[#Headers],[Temperature zone]],0)</f>
        <v>0.03</v>
      </c>
      <c r="M245" s="33" cm="1">
        <f t="array" ref="M245">Common_InputFunctions.Utility_DisplayArrayInTable(Common_SourceData.Common_SourceData_MCFTemperatureZone_Data(),Table_SourceData_Common_MCFTemperatureZone[[#Headers],[Temperature zone]],0)</f>
        <v>0.04</v>
      </c>
      <c r="N245" s="33" cm="1">
        <f t="array" ref="N245">Common_InputFunctions.Utility_DisplayArrayInTable(Common_SourceData.Common_SourceData_MCFTemperatureZone_Data(),Table_SourceData_Common_MCFTemperatureZone[[#Headers],[Temperature zone]],0)</f>
        <v>1.4999999999999999E-2</v>
      </c>
      <c r="O245" s="33" cm="1">
        <f t="array" ref="O245">Common_InputFunctions.Utility_DisplayArrayInTable(Common_SourceData.Common_SourceData_MCFTemperatureZone_Data(),Table_SourceData_Common_MCFTemperatureZone[[#Headers],[Temperature zone]],0)</f>
        <v>1.4999999999999999E-2</v>
      </c>
      <c r="P245" s="33" cm="1">
        <f t="array" ref="P245">Common_InputFunctions.Utility_DisplayArrayInTable(Common_SourceData.Common_SourceData_MCFTemperatureZone_Data(),Table_SourceData_Common_MCFTemperatureZone[[#Headers],[Temperature zone]],0)</f>
        <v>0</v>
      </c>
      <c r="Q245" s="33" cm="1">
        <f t="array" ref="Q245">Common_InputFunctions.Utility_DisplayArrayInTable(Common_SourceData.Common_SourceData_MCFTemperatureZone_Data(),Table_SourceData_Common_MCFTemperatureZone[[#Headers],[Temperature zone]],0)</f>
        <v>0</v>
      </c>
      <c r="R245" s="33" cm="1">
        <f t="array" ref="R245">Common_InputFunctions.Utility_DisplayArrayInTable(Common_SourceData.Common_SourceData_MCFTemperatureZone_Data(),Table_SourceData_Common_MCFTemperatureZone[[#Headers],[Temperature zone]],0)</f>
        <v>4.7000000000000002E-3</v>
      </c>
      <c r="S245" s="33"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3" cm="1">
        <f t="array" ref="E246">Common_InputFunctions.Utility_DisplayArrayInTable(Common_SourceData.Common_SourceData_MCFTemperatureZone_Data(),Table_SourceData_Common_MCFTemperatureZone[[#Headers],[Temperature zone]],0)</f>
        <v>24</v>
      </c>
      <c r="F246" s="33" cm="1">
        <f t="array" ref="F246">Common_InputFunctions.Utility_DisplayArrayInTable(Common_SourceData.Common_SourceData_MCFTemperatureZone_Data(),Table_SourceData_Common_MCFTemperatureZone[[#Headers],[Temperature zone]],0)</f>
        <v>0.79</v>
      </c>
      <c r="G246" s="33" cm="1">
        <f t="array" ref="G246">Common_InputFunctions.Utility_DisplayArrayInTable(Common_SourceData.Common_SourceData_MCFTemperatureZone_Data(),Table_SourceData_Common_MCFTemperatureZone[[#Headers],[Temperature zone]],0)</f>
        <v>0.1</v>
      </c>
      <c r="H246" s="33" cm="1">
        <f t="array" ref="H246">Common_InputFunctions.Utility_DisplayArrayInTable(Common_SourceData.Common_SourceData_MCFTemperatureZone_Data(),Table_SourceData_Common_MCFTemperatureZone[[#Headers],[Temperature zone]],0)</f>
        <v>0.37</v>
      </c>
      <c r="I246" s="33" cm="1">
        <f t="array" ref="I246">Common_InputFunctions.Utility_DisplayArrayInTable(Common_SourceData.Common_SourceData_MCFTemperatureZone_Data(),Table_SourceData_Common_MCFTemperatureZone[[#Headers],[Temperature zone]],0)</f>
        <v>5.0000000000000001E-3</v>
      </c>
      <c r="J246" s="33" cm="1">
        <f t="array" ref="J246">Common_InputFunctions.Utility_DisplayArrayInTable(Common_SourceData.Common_SourceData_MCFTemperatureZone_Data(),Table_SourceData_Common_MCFTemperatureZone[[#Headers],[Temperature zone]],0)</f>
        <v>0.01</v>
      </c>
      <c r="K246" s="33" cm="1">
        <f t="array" ref="K246">Common_InputFunctions.Utility_DisplayArrayInTable(Common_SourceData.Common_SourceData_MCFTemperatureZone_Data(),Table_SourceData_Common_MCFTemperatureZone[[#Headers],[Temperature zone]],0)</f>
        <v>0.02</v>
      </c>
      <c r="L246" s="33" cm="1">
        <f t="array" ref="L246">Common_InputFunctions.Utility_DisplayArrayInTable(Common_SourceData.Common_SourceData_MCFTemperatureZone_Data(),Table_SourceData_Common_MCFTemperatureZone[[#Headers],[Temperature zone]],0)</f>
        <v>0.03</v>
      </c>
      <c r="M246" s="33" cm="1">
        <f t="array" ref="M246">Common_InputFunctions.Utility_DisplayArrayInTable(Common_SourceData.Common_SourceData_MCFTemperatureZone_Data(),Table_SourceData_Common_MCFTemperatureZone[[#Headers],[Temperature zone]],0)</f>
        <v>0.04</v>
      </c>
      <c r="N246" s="33" cm="1">
        <f t="array" ref="N246">Common_InputFunctions.Utility_DisplayArrayInTable(Common_SourceData.Common_SourceData_MCFTemperatureZone_Data(),Table_SourceData_Common_MCFTemperatureZone[[#Headers],[Temperature zone]],0)</f>
        <v>1.4999999999999999E-2</v>
      </c>
      <c r="O246" s="33" cm="1">
        <f t="array" ref="O246">Common_InputFunctions.Utility_DisplayArrayInTable(Common_SourceData.Common_SourceData_MCFTemperatureZone_Data(),Table_SourceData_Common_MCFTemperatureZone[[#Headers],[Temperature zone]],0)</f>
        <v>1.4999999999999999E-2</v>
      </c>
      <c r="P246" s="33" cm="1">
        <f t="array" ref="P246">Common_InputFunctions.Utility_DisplayArrayInTable(Common_SourceData.Common_SourceData_MCFTemperatureZone_Data(),Table_SourceData_Common_MCFTemperatureZone[[#Headers],[Temperature zone]],0)</f>
        <v>0</v>
      </c>
      <c r="Q246" s="33" cm="1">
        <f t="array" ref="Q246">Common_InputFunctions.Utility_DisplayArrayInTable(Common_SourceData.Common_SourceData_MCFTemperatureZone_Data(),Table_SourceData_Common_MCFTemperatureZone[[#Headers],[Temperature zone]],0)</f>
        <v>0</v>
      </c>
      <c r="R246" s="33" cm="1">
        <f t="array" ref="R246">Common_InputFunctions.Utility_DisplayArrayInTable(Common_SourceData.Common_SourceData_MCFTemperatureZone_Data(),Table_SourceData_Common_MCFTemperatureZone[[#Headers],[Temperature zone]],0)</f>
        <v>4.7000000000000002E-3</v>
      </c>
      <c r="S246" s="33"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3" cm="1">
        <f t="array" ref="E247">Common_InputFunctions.Utility_DisplayArrayInTable(Common_SourceData.Common_SourceData_MCFTemperatureZone_Data(),Table_SourceData_Common_MCFTemperatureZone[[#Headers],[Temperature zone]],0)</f>
        <v>25</v>
      </c>
      <c r="F247" s="33" cm="1">
        <f t="array" ref="F247">Common_InputFunctions.Utility_DisplayArrayInTable(Common_SourceData.Common_SourceData_MCFTemperatureZone_Data(),Table_SourceData_Common_MCFTemperatureZone[[#Headers],[Temperature zone]],0)</f>
        <v>0.79</v>
      </c>
      <c r="G247" s="33" cm="1">
        <f t="array" ref="G247">Common_InputFunctions.Utility_DisplayArrayInTable(Common_SourceData.Common_SourceData_MCFTemperatureZone_Data(),Table_SourceData_Common_MCFTemperatureZone[[#Headers],[Temperature zone]],0)</f>
        <v>0.1</v>
      </c>
      <c r="H247" s="33" cm="1">
        <f t="array" ref="H247">Common_InputFunctions.Utility_DisplayArrayInTable(Common_SourceData.Common_SourceData_MCFTemperatureZone_Data(),Table_SourceData_Common_MCFTemperatureZone[[#Headers],[Temperature zone]],0)</f>
        <v>0.41</v>
      </c>
      <c r="I247" s="33" cm="1">
        <f t="array" ref="I247">Common_InputFunctions.Utility_DisplayArrayInTable(Common_SourceData.Common_SourceData_MCFTemperatureZone_Data(),Table_SourceData_Common_MCFTemperatureZone[[#Headers],[Temperature zone]],0)</f>
        <v>5.0000000000000001E-3</v>
      </c>
      <c r="J247" s="33" cm="1">
        <f t="array" ref="J247">Common_InputFunctions.Utility_DisplayArrayInTable(Common_SourceData.Common_SourceData_MCFTemperatureZone_Data(),Table_SourceData_Common_MCFTemperatureZone[[#Headers],[Temperature zone]],0)</f>
        <v>0.01</v>
      </c>
      <c r="K247" s="33" cm="1">
        <f t="array" ref="K247">Common_InputFunctions.Utility_DisplayArrayInTable(Common_SourceData.Common_SourceData_MCFTemperatureZone_Data(),Table_SourceData_Common_MCFTemperatureZone[[#Headers],[Temperature zone]],0)</f>
        <v>0.02</v>
      </c>
      <c r="L247" s="33" cm="1">
        <f t="array" ref="L247">Common_InputFunctions.Utility_DisplayArrayInTable(Common_SourceData.Common_SourceData_MCFTemperatureZone_Data(),Table_SourceData_Common_MCFTemperatureZone[[#Headers],[Temperature zone]],0)</f>
        <v>0.03</v>
      </c>
      <c r="M247" s="33" cm="1">
        <f t="array" ref="M247">Common_InputFunctions.Utility_DisplayArrayInTable(Common_SourceData.Common_SourceData_MCFTemperatureZone_Data(),Table_SourceData_Common_MCFTemperatureZone[[#Headers],[Temperature zone]],0)</f>
        <v>0.04</v>
      </c>
      <c r="N247" s="33" cm="1">
        <f t="array" ref="N247">Common_InputFunctions.Utility_DisplayArrayInTable(Common_SourceData.Common_SourceData_MCFTemperatureZone_Data(),Table_SourceData_Common_MCFTemperatureZone[[#Headers],[Temperature zone]],0)</f>
        <v>1.4999999999999999E-2</v>
      </c>
      <c r="O247" s="33" cm="1">
        <f t="array" ref="O247">Common_InputFunctions.Utility_DisplayArrayInTable(Common_SourceData.Common_SourceData_MCFTemperatureZone_Data(),Table_SourceData_Common_MCFTemperatureZone[[#Headers],[Temperature zone]],0)</f>
        <v>1.4999999999999999E-2</v>
      </c>
      <c r="P247" s="33" cm="1">
        <f t="array" ref="P247">Common_InputFunctions.Utility_DisplayArrayInTable(Common_SourceData.Common_SourceData_MCFTemperatureZone_Data(),Table_SourceData_Common_MCFTemperatureZone[[#Headers],[Temperature zone]],0)</f>
        <v>0</v>
      </c>
      <c r="Q247" s="33" cm="1">
        <f t="array" ref="Q247">Common_InputFunctions.Utility_DisplayArrayInTable(Common_SourceData.Common_SourceData_MCFTemperatureZone_Data(),Table_SourceData_Common_MCFTemperatureZone[[#Headers],[Temperature zone]],0)</f>
        <v>0</v>
      </c>
      <c r="R247" s="33" cm="1">
        <f t="array" ref="R247">Common_InputFunctions.Utility_DisplayArrayInTable(Common_SourceData.Common_SourceData_MCFTemperatureZone_Data(),Table_SourceData_Common_MCFTemperatureZone[[#Headers],[Temperature zone]],0)</f>
        <v>4.7000000000000002E-3</v>
      </c>
      <c r="S247" s="33"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3" cm="1">
        <f t="array" ref="E248">Common_InputFunctions.Utility_DisplayArrayInTable(Common_SourceData.Common_SourceData_MCFTemperatureZone_Data(),Table_SourceData_Common_MCFTemperatureZone[[#Headers],[Temperature zone]],0)</f>
        <v>26</v>
      </c>
      <c r="F248" s="33" cm="1">
        <f t="array" ref="F248">Common_InputFunctions.Utility_DisplayArrayInTable(Common_SourceData.Common_SourceData_MCFTemperatureZone_Data(),Table_SourceData_Common_MCFTemperatureZone[[#Headers],[Temperature zone]],0)</f>
        <v>0.79</v>
      </c>
      <c r="G248" s="33" cm="1">
        <f t="array" ref="G248">Common_InputFunctions.Utility_DisplayArrayInTable(Common_SourceData.Common_SourceData_MCFTemperatureZone_Data(),Table_SourceData_Common_MCFTemperatureZone[[#Headers],[Temperature zone]],0)</f>
        <v>0.1</v>
      </c>
      <c r="H248" s="33" cm="1">
        <f t="array" ref="H248">Common_InputFunctions.Utility_DisplayArrayInTable(Common_SourceData.Common_SourceData_MCFTemperatureZone_Data(),Table_SourceData_Common_MCFTemperatureZone[[#Headers],[Temperature zone]],0)</f>
        <v>0.44</v>
      </c>
      <c r="I248" s="33" cm="1">
        <f t="array" ref="I248">Common_InputFunctions.Utility_DisplayArrayInTable(Common_SourceData.Common_SourceData_MCFTemperatureZone_Data(),Table_SourceData_Common_MCFTemperatureZone[[#Headers],[Temperature zone]],0)</f>
        <v>0.01</v>
      </c>
      <c r="J248" s="33" cm="1">
        <f t="array" ref="J248">Common_InputFunctions.Utility_DisplayArrayInTable(Common_SourceData.Common_SourceData_MCFTemperatureZone_Data(),Table_SourceData_Common_MCFTemperatureZone[[#Headers],[Temperature zone]],0)</f>
        <v>1.4999999999999999E-2</v>
      </c>
      <c r="K248" s="33" cm="1">
        <f t="array" ref="K248">Common_InputFunctions.Utility_DisplayArrayInTable(Common_SourceData.Common_SourceData_MCFTemperatureZone_Data(),Table_SourceData_Common_MCFTemperatureZone[[#Headers],[Temperature zone]],0)</f>
        <v>0.02</v>
      </c>
      <c r="L248" s="33" cm="1">
        <f t="array" ref="L248">Common_InputFunctions.Utility_DisplayArrayInTable(Common_SourceData.Common_SourceData_MCFTemperatureZone_Data(),Table_SourceData_Common_MCFTemperatureZone[[#Headers],[Temperature zone]],0)</f>
        <v>0.03</v>
      </c>
      <c r="M248" s="33" cm="1">
        <f t="array" ref="M248">Common_InputFunctions.Utility_DisplayArrayInTable(Common_SourceData.Common_SourceData_MCFTemperatureZone_Data(),Table_SourceData_Common_MCFTemperatureZone[[#Headers],[Temperature zone]],0)</f>
        <v>0.04</v>
      </c>
      <c r="N248" s="33" cm="1">
        <f t="array" ref="N248">Common_InputFunctions.Utility_DisplayArrayInTable(Common_SourceData.Common_SourceData_MCFTemperatureZone_Data(),Table_SourceData_Common_MCFTemperatureZone[[#Headers],[Temperature zone]],0)</f>
        <v>1.4999999999999999E-2</v>
      </c>
      <c r="O248" s="33" cm="1">
        <f t="array" ref="O248">Common_InputFunctions.Utility_DisplayArrayInTable(Common_SourceData.Common_SourceData_MCFTemperatureZone_Data(),Table_SourceData_Common_MCFTemperatureZone[[#Headers],[Temperature zone]],0)</f>
        <v>1.4999999999999999E-2</v>
      </c>
      <c r="P248" s="33" cm="1">
        <f t="array" ref="P248">Common_InputFunctions.Utility_DisplayArrayInTable(Common_SourceData.Common_SourceData_MCFTemperatureZone_Data(),Table_SourceData_Common_MCFTemperatureZone[[#Headers],[Temperature zone]],0)</f>
        <v>0</v>
      </c>
      <c r="Q248" s="33" cm="1">
        <f t="array" ref="Q248">Common_InputFunctions.Utility_DisplayArrayInTable(Common_SourceData.Common_SourceData_MCFTemperatureZone_Data(),Table_SourceData_Common_MCFTemperatureZone[[#Headers],[Temperature zone]],0)</f>
        <v>0</v>
      </c>
      <c r="R248" s="33" cm="1">
        <f t="array" ref="R248">Common_InputFunctions.Utility_DisplayArrayInTable(Common_SourceData.Common_SourceData_MCFTemperatureZone_Data(),Table_SourceData_Common_MCFTemperatureZone[[#Headers],[Temperature zone]],0)</f>
        <v>4.7000000000000002E-3</v>
      </c>
      <c r="S248" s="33"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3" cm="1">
        <f t="array" ref="E249">Common_InputFunctions.Utility_DisplayArrayInTable(Common_SourceData.Common_SourceData_MCFTemperatureZone_Data(),Table_SourceData_Common_MCFTemperatureZone[[#Headers],[Temperature zone]],0)</f>
        <v>27</v>
      </c>
      <c r="F249" s="33" cm="1">
        <f t="array" ref="F249">Common_InputFunctions.Utility_DisplayArrayInTable(Common_SourceData.Common_SourceData_MCFTemperatureZone_Data(),Table_SourceData_Common_MCFTemperatureZone[[#Headers],[Temperature zone]],0)</f>
        <v>0.8</v>
      </c>
      <c r="G249" s="33" cm="1">
        <f t="array" ref="G249">Common_InputFunctions.Utility_DisplayArrayInTable(Common_SourceData.Common_SourceData_MCFTemperatureZone_Data(),Table_SourceData_Common_MCFTemperatureZone[[#Headers],[Temperature zone]],0)</f>
        <v>0.1</v>
      </c>
      <c r="H249" s="33" cm="1">
        <f t="array" ref="H249">Common_InputFunctions.Utility_DisplayArrayInTable(Common_SourceData.Common_SourceData_MCFTemperatureZone_Data(),Table_SourceData_Common_MCFTemperatureZone[[#Headers],[Temperature zone]],0)</f>
        <v>0.48</v>
      </c>
      <c r="I249" s="33" cm="1">
        <f t="array" ref="I249">Common_InputFunctions.Utility_DisplayArrayInTable(Common_SourceData.Common_SourceData_MCFTemperatureZone_Data(),Table_SourceData_Common_MCFTemperatureZone[[#Headers],[Temperature zone]],0)</f>
        <v>0.01</v>
      </c>
      <c r="J249" s="33" cm="1">
        <f t="array" ref="J249">Common_InputFunctions.Utility_DisplayArrayInTable(Common_SourceData.Common_SourceData_MCFTemperatureZone_Data(),Table_SourceData_Common_MCFTemperatureZone[[#Headers],[Temperature zone]],0)</f>
        <v>1.4999999999999999E-2</v>
      </c>
      <c r="K249" s="33" cm="1">
        <f t="array" ref="K249">Common_InputFunctions.Utility_DisplayArrayInTable(Common_SourceData.Common_SourceData_MCFTemperatureZone_Data(),Table_SourceData_Common_MCFTemperatureZone[[#Headers],[Temperature zone]],0)</f>
        <v>0.02</v>
      </c>
      <c r="L249" s="33" cm="1">
        <f t="array" ref="L249">Common_InputFunctions.Utility_DisplayArrayInTable(Common_SourceData.Common_SourceData_MCFTemperatureZone_Data(),Table_SourceData_Common_MCFTemperatureZone[[#Headers],[Temperature zone]],0)</f>
        <v>0.03</v>
      </c>
      <c r="M249" s="33" cm="1">
        <f t="array" ref="M249">Common_InputFunctions.Utility_DisplayArrayInTable(Common_SourceData.Common_SourceData_MCFTemperatureZone_Data(),Table_SourceData_Common_MCFTemperatureZone[[#Headers],[Temperature zone]],0)</f>
        <v>0.04</v>
      </c>
      <c r="N249" s="33" cm="1">
        <f t="array" ref="N249">Common_InputFunctions.Utility_DisplayArrayInTable(Common_SourceData.Common_SourceData_MCFTemperatureZone_Data(),Table_SourceData_Common_MCFTemperatureZone[[#Headers],[Temperature zone]],0)</f>
        <v>1.4999999999999999E-2</v>
      </c>
      <c r="O249" s="33" cm="1">
        <f t="array" ref="O249">Common_InputFunctions.Utility_DisplayArrayInTable(Common_SourceData.Common_SourceData_MCFTemperatureZone_Data(),Table_SourceData_Common_MCFTemperatureZone[[#Headers],[Temperature zone]],0)</f>
        <v>1.4999999999999999E-2</v>
      </c>
      <c r="P249" s="33" cm="1">
        <f t="array" ref="P249">Common_InputFunctions.Utility_DisplayArrayInTable(Common_SourceData.Common_SourceData_MCFTemperatureZone_Data(),Table_SourceData_Common_MCFTemperatureZone[[#Headers],[Temperature zone]],0)</f>
        <v>0</v>
      </c>
      <c r="Q249" s="33" cm="1">
        <f t="array" ref="Q249">Common_InputFunctions.Utility_DisplayArrayInTable(Common_SourceData.Common_SourceData_MCFTemperatureZone_Data(),Table_SourceData_Common_MCFTemperatureZone[[#Headers],[Temperature zone]],0)</f>
        <v>0</v>
      </c>
      <c r="R249" s="33" cm="1">
        <f t="array" ref="R249">Common_InputFunctions.Utility_DisplayArrayInTable(Common_SourceData.Common_SourceData_MCFTemperatureZone_Data(),Table_SourceData_Common_MCFTemperatureZone[[#Headers],[Temperature zone]],0)</f>
        <v>4.7000000000000002E-3</v>
      </c>
      <c r="S249" s="33"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3" t="str" cm="1">
        <f t="array" ref="E250">Common_InputFunctions.Utility_DisplayArrayInTable(Common_SourceData.Common_SourceData_MCFTemperatureZone_Data(),Table_SourceData_Common_MCFTemperatureZone[[#Headers],[Temperature zone]],0)</f>
        <v>≥28</v>
      </c>
      <c r="F250" s="33" cm="1">
        <f t="array" ref="F250">Common_InputFunctions.Utility_DisplayArrayInTable(Common_SourceData.Common_SourceData_MCFTemperatureZone_Data(),Table_SourceData_Common_MCFTemperatureZone[[#Headers],[Temperature zone]],0)</f>
        <v>0.8</v>
      </c>
      <c r="G250" s="33" cm="1">
        <f t="array" ref="G250">Common_InputFunctions.Utility_DisplayArrayInTable(Common_SourceData.Common_SourceData_MCFTemperatureZone_Data(),Table_SourceData_Common_MCFTemperatureZone[[#Headers],[Temperature zone]],0)</f>
        <v>0.1</v>
      </c>
      <c r="H250" s="33" cm="1">
        <f t="array" ref="H250">Common_InputFunctions.Utility_DisplayArrayInTable(Common_SourceData.Common_SourceData_MCFTemperatureZone_Data(),Table_SourceData_Common_MCFTemperatureZone[[#Headers],[Temperature zone]],0)</f>
        <v>0.5</v>
      </c>
      <c r="I250" s="33" cm="1">
        <f t="array" ref="I250">Common_InputFunctions.Utility_DisplayArrayInTable(Common_SourceData.Common_SourceData_MCFTemperatureZone_Data(),Table_SourceData_Common_MCFTemperatureZone[[#Headers],[Temperature zone]],0)</f>
        <v>0.01</v>
      </c>
      <c r="J250" s="33" cm="1">
        <f t="array" ref="J250">Common_InputFunctions.Utility_DisplayArrayInTable(Common_SourceData.Common_SourceData_MCFTemperatureZone_Data(),Table_SourceData_Common_MCFTemperatureZone[[#Headers],[Temperature zone]],0)</f>
        <v>1.4999999999999999E-2</v>
      </c>
      <c r="K250" s="33" cm="1">
        <f t="array" ref="K250">Common_InputFunctions.Utility_DisplayArrayInTable(Common_SourceData.Common_SourceData_MCFTemperatureZone_Data(),Table_SourceData_Common_MCFTemperatureZone[[#Headers],[Temperature zone]],0)</f>
        <v>0.02</v>
      </c>
      <c r="L250" s="33" cm="1">
        <f t="array" ref="L250">Common_InputFunctions.Utility_DisplayArrayInTable(Common_SourceData.Common_SourceData_MCFTemperatureZone_Data(),Table_SourceData_Common_MCFTemperatureZone[[#Headers],[Temperature zone]],0)</f>
        <v>0.03</v>
      </c>
      <c r="M250" s="33" cm="1">
        <f t="array" ref="M250">Common_InputFunctions.Utility_DisplayArrayInTable(Common_SourceData.Common_SourceData_MCFTemperatureZone_Data(),Table_SourceData_Common_MCFTemperatureZone[[#Headers],[Temperature zone]],0)</f>
        <v>0.04</v>
      </c>
      <c r="N250" s="33" cm="1">
        <f t="array" ref="N250">Common_InputFunctions.Utility_DisplayArrayInTable(Common_SourceData.Common_SourceData_MCFTemperatureZone_Data(),Table_SourceData_Common_MCFTemperatureZone[[#Headers],[Temperature zone]],0)</f>
        <v>1.4999999999999999E-2</v>
      </c>
      <c r="O250" s="33" cm="1">
        <f t="array" ref="O250">Common_InputFunctions.Utility_DisplayArrayInTable(Common_SourceData.Common_SourceData_MCFTemperatureZone_Data(),Table_SourceData_Common_MCFTemperatureZone[[#Headers],[Temperature zone]],0)</f>
        <v>1.4999999999999999E-2</v>
      </c>
      <c r="P250" s="33" cm="1">
        <f t="array" ref="P250">Common_InputFunctions.Utility_DisplayArrayInTable(Common_SourceData.Common_SourceData_MCFTemperatureZone_Data(),Table_SourceData_Common_MCFTemperatureZone[[#Headers],[Temperature zone]],0)</f>
        <v>0</v>
      </c>
      <c r="Q250" s="33" cm="1">
        <f t="array" ref="Q250">Common_InputFunctions.Utility_DisplayArrayInTable(Common_SourceData.Common_SourceData_MCFTemperatureZone_Data(),Table_SourceData_Common_MCFTemperatureZone[[#Headers],[Temperature zone]],0)</f>
        <v>0</v>
      </c>
      <c r="R250" s="33" cm="1">
        <f t="array" ref="R250">Common_InputFunctions.Utility_DisplayArrayInTable(Common_SourceData.Common_SourceData_MCFTemperatureZone_Data(),Table_SourceData_Common_MCFTemperatureZone[[#Headers],[Temperature zone]],0)</f>
        <v>4.7000000000000002E-3</v>
      </c>
      <c r="S250" s="33"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46" t="str" cm="1">
        <f t="array" ref="D256">Common_SourceData.Common_SourceData_EFOrganicFertiliserAndCropResidues_Unit()</f>
        <v>kg N2O - N / kg N</v>
      </c>
    </row>
    <row r="257" spans="4:6" x14ac:dyDescent="0.25">
      <c r="D257" s="33" t="s">
        <v>167</v>
      </c>
      <c r="E257" s="33" t="s">
        <v>168</v>
      </c>
    </row>
    <row r="258" spans="4:6" x14ac:dyDescent="0.25">
      <c r="D258" s="33" t="str" cm="1">
        <f t="array" ref="D258">Common_InputFunctions.Utility_DisplayArrayInTable(Common_SourceData.Common_SourceData_EFOrganicFertiliserAndCropResidues_Data(), Table_SourceData_Common_EFOrganicFertCropResidues[[#Headers],[Climate Zone]], 0)</f>
        <v>Wet climate zone</v>
      </c>
      <c r="E258" s="33"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3"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6" t="s">
        <v>172</v>
      </c>
    </row>
    <row r="264" spans="4:6" x14ac:dyDescent="0.25">
      <c r="D264" s="1" t="s">
        <v>173</v>
      </c>
    </row>
    <row r="265" spans="4:6" x14ac:dyDescent="0.25">
      <c r="D265" s="33" t="s">
        <v>174</v>
      </c>
      <c r="E265" s="33" t="s">
        <v>175</v>
      </c>
      <c r="F265" s="33" t="s">
        <v>176</v>
      </c>
    </row>
    <row r="266" spans="4:6" x14ac:dyDescent="0.25">
      <c r="D266" s="33" t="s">
        <v>177</v>
      </c>
      <c r="E266" s="33" t="s">
        <v>178</v>
      </c>
      <c r="F266" s="33">
        <v>5</v>
      </c>
    </row>
    <row r="267" spans="4:6" x14ac:dyDescent="0.25">
      <c r="D267" s="33" t="s">
        <v>179</v>
      </c>
      <c r="E267" s="33" t="s">
        <v>180</v>
      </c>
      <c r="F267" s="33">
        <v>4</v>
      </c>
    </row>
    <row r="268" spans="4:6" x14ac:dyDescent="0.25">
      <c r="D268" s="33" t="s">
        <v>181</v>
      </c>
      <c r="E268" s="33" t="s">
        <v>182</v>
      </c>
      <c r="F268" s="33">
        <v>3</v>
      </c>
    </row>
    <row r="269" spans="4:6" x14ac:dyDescent="0.25">
      <c r="D269" s="33" t="s">
        <v>183</v>
      </c>
      <c r="E269" s="33" t="s">
        <v>184</v>
      </c>
      <c r="F269" s="33">
        <v>2</v>
      </c>
    </row>
    <row r="270" spans="4:6" x14ac:dyDescent="0.25">
      <c r="D270" s="33" t="s">
        <v>185</v>
      </c>
      <c r="E270" s="33" t="s">
        <v>186</v>
      </c>
      <c r="F270" s="33">
        <v>1</v>
      </c>
    </row>
    <row r="273" spans="4:6" x14ac:dyDescent="0.25">
      <c r="D273" s="1" t="s">
        <v>187</v>
      </c>
    </row>
    <row r="274" spans="4:6" x14ac:dyDescent="0.25">
      <c r="D274" s="33" t="s">
        <v>174</v>
      </c>
      <c r="E274" s="33" t="s">
        <v>175</v>
      </c>
      <c r="F274" s="33" t="s">
        <v>176</v>
      </c>
    </row>
    <row r="275" spans="4:6" x14ac:dyDescent="0.25">
      <c r="D275" s="33" t="s">
        <v>188</v>
      </c>
      <c r="E275" s="33" t="s">
        <v>189</v>
      </c>
      <c r="F275" s="33">
        <v>5</v>
      </c>
    </row>
    <row r="276" spans="4:6" x14ac:dyDescent="0.25">
      <c r="D276" s="33" t="s">
        <v>190</v>
      </c>
      <c r="E276" s="33" t="s">
        <v>191</v>
      </c>
      <c r="F276" s="33">
        <v>4</v>
      </c>
    </row>
    <row r="277" spans="4:6" x14ac:dyDescent="0.25">
      <c r="D277" s="33" t="s">
        <v>192</v>
      </c>
      <c r="E277" s="33" t="s">
        <v>193</v>
      </c>
      <c r="F277" s="33">
        <v>3</v>
      </c>
    </row>
    <row r="278" spans="4:6" x14ac:dyDescent="0.25">
      <c r="D278" s="33" t="s">
        <v>194</v>
      </c>
      <c r="E278" s="33" t="s">
        <v>195</v>
      </c>
      <c r="F278" s="33">
        <v>2</v>
      </c>
    </row>
    <row r="279" spans="4:6" x14ac:dyDescent="0.25">
      <c r="D279" s="33" t="s">
        <v>196</v>
      </c>
      <c r="E279" s="33" t="s">
        <v>197</v>
      </c>
      <c r="F279" s="33">
        <v>1</v>
      </c>
    </row>
    <row r="282" spans="4:6" x14ac:dyDescent="0.25">
      <c r="D282" s="1" t="s">
        <v>198</v>
      </c>
    </row>
    <row r="283" spans="4:6" x14ac:dyDescent="0.25">
      <c r="D283" s="33" t="s">
        <v>174</v>
      </c>
      <c r="E283" s="33" t="s">
        <v>175</v>
      </c>
      <c r="F283" s="33" t="s">
        <v>176</v>
      </c>
    </row>
    <row r="284" spans="4:6" x14ac:dyDescent="0.25">
      <c r="D284" s="33" t="s">
        <v>199</v>
      </c>
      <c r="E284" s="33" t="s">
        <v>200</v>
      </c>
      <c r="F284" s="33">
        <v>5</v>
      </c>
    </row>
    <row r="285" spans="4:6" x14ac:dyDescent="0.25">
      <c r="D285" s="33" t="s">
        <v>201</v>
      </c>
      <c r="E285" s="33" t="s">
        <v>202</v>
      </c>
      <c r="F285" s="33">
        <v>4</v>
      </c>
    </row>
    <row r="286" spans="4:6" x14ac:dyDescent="0.25">
      <c r="D286" s="33" t="s">
        <v>203</v>
      </c>
      <c r="E286" s="33" t="s">
        <v>204</v>
      </c>
      <c r="F286" s="33">
        <v>3</v>
      </c>
    </row>
    <row r="287" spans="4:6" x14ac:dyDescent="0.25">
      <c r="D287" s="33" t="s">
        <v>205</v>
      </c>
      <c r="E287" s="33" t="s">
        <v>206</v>
      </c>
      <c r="F287" s="33">
        <v>2</v>
      </c>
    </row>
    <row r="288" spans="4:6" x14ac:dyDescent="0.25">
      <c r="D288" s="33" t="s">
        <v>207</v>
      </c>
      <c r="E288" s="33" t="s">
        <v>208</v>
      </c>
      <c r="F288" s="33">
        <v>1</v>
      </c>
    </row>
    <row r="291" spans="4:6" x14ac:dyDescent="0.25">
      <c r="D291" s="1" t="s">
        <v>209</v>
      </c>
    </row>
    <row r="292" spans="4:6" x14ac:dyDescent="0.25">
      <c r="D292" s="33" t="s">
        <v>174</v>
      </c>
      <c r="E292" s="33" t="s">
        <v>175</v>
      </c>
      <c r="F292" s="33" t="s">
        <v>176</v>
      </c>
    </row>
    <row r="293" spans="4:6" x14ac:dyDescent="0.25">
      <c r="D293" s="33" t="s">
        <v>210</v>
      </c>
      <c r="E293" s="33" t="s">
        <v>211</v>
      </c>
      <c r="F293" s="33">
        <v>5</v>
      </c>
    </row>
    <row r="294" spans="4:6" x14ac:dyDescent="0.25">
      <c r="D294" s="33" t="s">
        <v>212</v>
      </c>
      <c r="E294" s="33" t="s">
        <v>213</v>
      </c>
      <c r="F294" s="33">
        <v>4</v>
      </c>
    </row>
    <row r="295" spans="4:6" x14ac:dyDescent="0.25">
      <c r="D295" s="33" t="s">
        <v>214</v>
      </c>
      <c r="E295" s="33" t="s">
        <v>215</v>
      </c>
      <c r="F295" s="33">
        <v>3</v>
      </c>
    </row>
    <row r="296" spans="4:6" x14ac:dyDescent="0.25">
      <c r="D296" s="33" t="s">
        <v>216</v>
      </c>
      <c r="E296" s="33" t="s">
        <v>217</v>
      </c>
      <c r="F296" s="33">
        <v>2</v>
      </c>
    </row>
    <row r="297" spans="4:6" x14ac:dyDescent="0.25">
      <c r="D297" s="33" t="s">
        <v>218</v>
      </c>
      <c r="E297" s="33" t="s">
        <v>219</v>
      </c>
      <c r="F297" s="33">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sheetPr>
    <tabColor theme="2" tint="-0.499984740745262"/>
  </sheetPr>
  <dimension ref="A1:M63"/>
  <sheetViews>
    <sheetView showGridLines="0"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58" t="e" vm="1">
        <v>#VALUE!</v>
      </c>
      <c r="C1" s="8" t="s">
        <v>224</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2" t="s">
        <v>56</v>
      </c>
      <c r="E9" s="33" t="s">
        <v>9</v>
      </c>
      <c r="F9" s="33" t="s">
        <v>57</v>
      </c>
      <c r="G9" s="3"/>
    </row>
    <row r="10" spans="1:13" ht="20.100000000000001" customHeight="1" x14ac:dyDescent="0.25">
      <c r="A10" s="17" t="str">
        <f>HYPERLINK("#'Input - Swine'!A1", "Swine")</f>
        <v>Swine</v>
      </c>
      <c r="D10" s="32" t="str" cm="1">
        <f t="array" ref="D10">Common_InputFunctions.Utility_DisplayArrayInTable(CommonLivestock_SourceData.SourceData_Livestock_Common_SymbolsMMS_Data(), Table_Data_MMSSymbols[[#Headers],[Symbol]], 0)</f>
        <v>1</v>
      </c>
      <c r="E10" s="32" t="str" cm="1">
        <f t="array" ref="E10">Common_InputFunctions.Utility_DisplayArrayInTable(CommonLivestock_SourceData.SourceData_Livestock_Common_SymbolsMMS_Data(), Table_Data_MMSSymbols[[#Headers],[Symbol]], 0)</f>
        <v>Anaerobic lagoon</v>
      </c>
      <c r="F10" s="32"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2" t="str" cm="1">
        <f t="array" ref="D11">Common_InputFunctions.Utility_DisplayArrayInTable(CommonLivestock_SourceData.SourceData_Livestock_Common_SymbolsMMS_Data(), Table_Data_MMSSymbols[[#Headers],[Symbol]], 0)</f>
        <v>2</v>
      </c>
      <c r="E11" s="32" t="str" cm="1">
        <f t="array" ref="E11">Common_InputFunctions.Utility_DisplayArrayInTable(CommonLivestock_SourceData.SourceData_Livestock_Common_SymbolsMMS_Data(), Table_Data_MMSSymbols[[#Headers],[Symbol]], 0)</f>
        <v>Liquid systems</v>
      </c>
      <c r="F11" s="32"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3" t="str" cm="1">
        <f t="array" ref="D12">Common_InputFunctions.Utility_DisplayArrayInTable(CommonLivestock_SourceData.SourceData_Livestock_Common_SymbolsMMS_Data(), Table_Data_MMSSymbols[[#Headers],[Symbol]], 0)</f>
        <v>3</v>
      </c>
      <c r="E12" s="33" t="str" cm="1">
        <f t="array" ref="E12">Common_InputFunctions.Utility_DisplayArrayInTable(CommonLivestock_SourceData.SourceData_Livestock_Common_SymbolsMMS_Data(), Table_Data_MMSSymbols[[#Headers],[Symbol]], 0)</f>
        <v>Daily spread</v>
      </c>
      <c r="F12" s="33"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54</v>
      </c>
      <c r="D13" s="33" t="str" cm="1">
        <f t="array" ref="D13">Common_InputFunctions.Utility_DisplayArrayInTable(CommonLivestock_SourceData.SourceData_Livestock_Common_SymbolsMMS_Data(), Table_Data_MMSSymbols[[#Headers],[Symbol]], 0)</f>
        <v>3a</v>
      </c>
      <c r="E13" s="33" t="str" cm="1">
        <f t="array" ref="E13">Common_InputFunctions.Utility_DisplayArrayInTable(CommonLivestock_SourceData.SourceData_Livestock_Common_SymbolsMMS_Data(), Table_Data_MMSSymbols[[#Headers],[Symbol]], 0)</f>
        <v>Sump and dispersal system</v>
      </c>
      <c r="F13" s="33"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HYPERLINK("#'3.5.1.1-2 Enteric Methane'!A1", "3.5.1.1-2 Enteric Methane")</f>
        <v>3.5.1.1-2 Enteric Methane</v>
      </c>
      <c r="D14" s="33" t="str" cm="1">
        <f t="array" ref="D14">Common_InputFunctions.Utility_DisplayArrayInTable(CommonLivestock_SourceData.SourceData_Livestock_Common_SymbolsMMS_Data(), Table_Data_MMSSymbols[[#Headers],[Symbol]], 0)</f>
        <v>3b</v>
      </c>
      <c r="E14" s="33" t="str" cm="1">
        <f t="array" ref="E14">Common_InputFunctions.Utility_DisplayArrayInTable(CommonLivestock_SourceData.SourceData_Livestock_Common_SymbolsMMS_Data(), Table_Data_MMSSymbols[[#Headers],[Symbol]], 0)</f>
        <v>Drains to paddock</v>
      </c>
      <c r="F14" s="33"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D15" s="33" t="str" cm="1">
        <f t="array" ref="D15">Common_InputFunctions.Utility_DisplayArrayInTable(CommonLivestock_SourceData.SourceData_Livestock_Common_SymbolsMMS_Data(), Table_Data_MMSSymbols[[#Headers],[Symbol]], 0)</f>
        <v>4</v>
      </c>
      <c r="E15" s="33" t="str" cm="1">
        <f t="array" ref="E15">Common_InputFunctions.Utility_DisplayArrayInTable(CommonLivestock_SourceData.SourceData_Livestock_Common_SymbolsMMS_Data(), Table_Data_MMSSymbols[[#Headers],[Symbol]], 0)</f>
        <v>Solid storage</v>
      </c>
      <c r="F15" s="33"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3" t="str" cm="1">
        <f t="array" ref="D16">Common_InputFunctions.Utility_DisplayArrayInTable(CommonLivestock_SourceData.SourceData_Livestock_Common_SymbolsMMS_Data(), Table_Data_MMSSymbols[[#Headers],[Symbol]], 0)</f>
        <v>5</v>
      </c>
      <c r="E16" s="33" t="str" cm="1">
        <f t="array" ref="E16">Common_InputFunctions.Utility_DisplayArrayInTable(CommonLivestock_SourceData.SourceData_Livestock_Common_SymbolsMMS_Data(), Table_Data_MMSSymbols[[#Headers],[Symbol]], 0)</f>
        <v>Drylot (feed pad)</v>
      </c>
      <c r="F16" s="33"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20" t="s">
        <v>1</v>
      </c>
      <c r="D17" s="33" t="str" cm="1">
        <f t="array" ref="D17">Common_InputFunctions.Utility_DisplayArrayInTable(CommonLivestock_SourceData.SourceData_Livestock_Common_SymbolsMMS_Data(), Table_Data_MMSSymbols[[#Headers],[Symbol]], 0)</f>
        <v>6</v>
      </c>
      <c r="E17" s="33" t="str" cm="1">
        <f t="array" ref="E17">Common_InputFunctions.Utility_DisplayArrayInTable(CommonLivestock_SourceData.SourceData_Livestock_Common_SymbolsMMS_Data(), Table_Data_MMSSymbols[[#Headers],[Symbol]], 0)</f>
        <v>Composting (passive windrow)</v>
      </c>
      <c r="F17" s="33"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Swine'!A1", "Constants - Swine")</f>
        <v>Constants - Swine</v>
      </c>
      <c r="D18" s="33" t="str" cm="1">
        <f t="array" ref="D18">Common_InputFunctions.Utility_DisplayArrayInTable(CommonLivestock_SourceData.SourceData_Livestock_Common_SymbolsMMS_Data(), Table_Data_MMSSymbols[[#Headers],[Symbol]], 0)</f>
        <v>7</v>
      </c>
      <c r="E18" s="33" t="str" cm="1">
        <f t="array" ref="E18">Common_InputFunctions.Utility_DisplayArrayInTable(CommonLivestock_SourceData.SourceData_Livestock_Common_SymbolsMMS_Data(), Table_Data_MMSSymbols[[#Headers],[Symbol]], 0)</f>
        <v>Digester / covered lagoons</v>
      </c>
      <c r="F18" s="33"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3" t="str" cm="1">
        <f t="array" ref="D19">Common_InputFunctions.Utility_DisplayArrayInTable(CommonLivestock_SourceData.SourceData_Livestock_Common_SymbolsMMS_Data(), Table_Data_MMSSymbols[[#Headers],[Symbol]], 0)</f>
        <v>8</v>
      </c>
      <c r="E19" s="33" t="str" cm="1">
        <f t="array" ref="E19">Common_InputFunctions.Utility_DisplayArrayInTable(CommonLivestock_SourceData.SourceData_Livestock_Common_SymbolsMMS_Data(), Table_Data_MMSSymbols[[#Headers],[Symbol]], 0)</f>
        <v>Deep litter</v>
      </c>
      <c r="F19" s="33"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19" t="str">
        <f>HYPERLINK("#'Constants - Common livestock'!A1", "Constants - Common livestock")</f>
        <v>Constants - Common livestock</v>
      </c>
      <c r="D20" s="33" t="str" cm="1">
        <f t="array" ref="D20">Common_InputFunctions.Utility_DisplayArrayInTable(CommonLivestock_SourceData.SourceData_Livestock_Common_SymbolsMMS_Data(), Table_Data_MMSSymbols[[#Headers],[Symbol]], 0)</f>
        <v>9</v>
      </c>
      <c r="E20" s="33" t="str" cm="1">
        <f t="array" ref="E20">Common_InputFunctions.Utility_DisplayArrayInTable(CommonLivestock_SourceData.SourceData_Livestock_Common_SymbolsMMS_Data(), Table_Data_MMSSymbols[[#Headers],[Symbol]], 0)</f>
        <v>Pit storage</v>
      </c>
      <c r="F20" s="33"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3" t="str" cm="1">
        <f t="array" ref="D21">Common_InputFunctions.Utility_DisplayArrayInTable(CommonLivestock_SourceData.SourceData_Livestock_Common_SymbolsMMS_Data(), Table_Data_MMSSymbols[[#Headers],[Symbol]], 0)</f>
        <v>10</v>
      </c>
      <c r="E21" s="33" t="str" cm="1">
        <f t="array" ref="E21">Common_InputFunctions.Utility_DisplayArrayInTable(CommonLivestock_SourceData.SourceData_Livestock_Common_SymbolsMMS_Data(), Table_Data_MMSSymbols[[#Headers],[Symbol]], 0)</f>
        <v>Poultry manure with bedding</v>
      </c>
      <c r="F21" s="33"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3" t="str" cm="1">
        <f t="array" ref="D22">Common_InputFunctions.Utility_DisplayArrayInTable(CommonLivestock_SourceData.SourceData_Livestock_Common_SymbolsMMS_Data(), Table_Data_MMSSymbols[[#Headers],[Symbol]], 0)</f>
        <v>11</v>
      </c>
      <c r="E22" s="33" t="str" cm="1">
        <f t="array" ref="E22">Common_InputFunctions.Utility_DisplayArrayInTable(CommonLivestock_SourceData.SourceData_Livestock_Common_SymbolsMMS_Data(), Table_Data_MMSSymbols[[#Headers],[Symbol]], 0)</f>
        <v>Poultry manure without bedding</v>
      </c>
      <c r="F22" s="33"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3" t="str" cm="1">
        <f t="array" ref="D23">Common_InputFunctions.Utility_DisplayArrayInTable(CommonLivestock_SourceData.SourceData_Livestock_Common_SymbolsMMS_Data(), Table_Data_MMSSymbols[[#Headers],[Symbol]], 0)</f>
        <v>11a</v>
      </c>
      <c r="E23" s="33" t="str" cm="1">
        <f t="array" ref="E23">Common_InputFunctions.Utility_DisplayArrayInTable(CommonLivestock_SourceData.SourceData_Livestock_Common_SymbolsMMS_Data(), Table_Data_MMSSymbols[[#Headers],[Symbol]], 0)</f>
        <v>Belt manure removal</v>
      </c>
      <c r="F23" s="33"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3" t="str" cm="1">
        <f t="array" ref="D24">Common_InputFunctions.Utility_DisplayArrayInTable(CommonLivestock_SourceData.SourceData_Livestock_Common_SymbolsMMS_Data(), Table_Data_MMSSymbols[[#Headers],[Symbol]], 0)</f>
        <v>11b</v>
      </c>
      <c r="E24" s="33" t="str" cm="1">
        <f t="array" ref="E24">Common_InputFunctions.Utility_DisplayArrayInTable(CommonLivestock_SourceData.SourceData_Livestock_Common_SymbolsMMS_Data(), Table_Data_MMSSymbols[[#Headers],[Symbol]], 0)</f>
        <v>Manure stored in house</v>
      </c>
      <c r="F24" s="33"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3" t="str" cm="1">
        <f t="array" ref="D25">Common_InputFunctions.Utility_DisplayArrayInTable(CommonLivestock_SourceData.SourceData_Livestock_Common_SymbolsMMS_Data(), Table_Data_MMSSymbols[[#Headers],[Symbol]], 0)</f>
        <v>12</v>
      </c>
      <c r="E25" s="33" t="str" cm="1">
        <f t="array" ref="E25">Common_InputFunctions.Utility_DisplayArrayInTable(CommonLivestock_SourceData.SourceData_Livestock_Common_SymbolsMMS_Data(), Table_Data_MMSSymbols[[#Headers],[Symbol]], 0)</f>
        <v>Direct processing</v>
      </c>
      <c r="F25" s="33"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3" t="str" cm="1">
        <f t="array" ref="D26">Common_InputFunctions.Utility_DisplayArrayInTable(CommonLivestock_SourceData.SourceData_Livestock_Common_SymbolsMMS_Data(), Table_Data_MMSSymbols[[#Headers],[Symbol]], 0)</f>
        <v>13</v>
      </c>
      <c r="E26" s="33" t="str" cm="1">
        <f t="array" ref="E26">Common_InputFunctions.Utility_DisplayArrayInTable(CommonLivestock_SourceData.SourceData_Livestock_Common_SymbolsMMS_Data(), Table_Data_MMSSymbols[[#Headers],[Symbol]], 0)</f>
        <v>Direct application</v>
      </c>
      <c r="F26" s="33"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3" t="str" cm="1">
        <f t="array" ref="D27">Common_InputFunctions.Utility_DisplayArrayInTable(CommonLivestock_SourceData.SourceData_Livestock_Common_SymbolsMMS_Data(), Table_Data_MMSSymbols[[#Headers],[Symbol]], 0)</f>
        <v>14</v>
      </c>
      <c r="E27" s="33" t="str" cm="1">
        <f t="array" ref="E27">Common_InputFunctions.Utility_DisplayArrayInTable(CommonLivestock_SourceData.SourceData_Livestock_Common_SymbolsMMS_Data(), Table_Data_MMSSymbols[[#Headers],[Symbol]], 0)</f>
        <v>Pasture range and paddock</v>
      </c>
      <c r="F27" s="33"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sheetPr>
    <tabColor theme="2" tint="-0.499984740745262"/>
  </sheetPr>
  <dimension ref="A1:A8"/>
  <sheetViews>
    <sheetView zoomScaleNormal="100" workbookViewId="0">
      <selection activeCell="A21" sqref="A21"/>
    </sheetView>
  </sheetViews>
  <sheetFormatPr defaultRowHeight="15" x14ac:dyDescent="0.25"/>
  <sheetData>
    <row r="1" spans="1:1" x14ac:dyDescent="0.25">
      <c r="A1" t="s">
        <v>220</v>
      </c>
    </row>
    <row r="3" spans="1:1" ht="15.75" x14ac:dyDescent="0.25">
      <c r="A3" s="17" t="str">
        <f>HYPERLINK("#'Home'!A1", "Home")</f>
        <v>Home</v>
      </c>
    </row>
    <row r="6" spans="1:1" x14ac:dyDescent="0.25">
      <c r="A6" s="120" t="s">
        <v>1</v>
      </c>
    </row>
    <row r="7" spans="1:1" ht="15.75" x14ac:dyDescent="0.25">
      <c r="A7" s="17" t="str">
        <f>HYPERLINK("#'Constants - Common'!A1", "Constants - Common")</f>
        <v>Constants - Common</v>
      </c>
    </row>
    <row r="8" spans="1:1" ht="15.75" x14ac:dyDescent="0.25">
      <c r="A8" s="119"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FYAbwBsAGEAdABpAGwAZQBTAG8AbABpAGQAcwBfAEQAYQB0AGEAXABuACAAIAA9AEwAQQBNAEIARABBACgAXABuACAAIAAgACAATQBBAEsARQBBAFIAUgBBAFkAKAA1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PAHQAaABlAHIAcwBcACIALAAgADAALgAzADk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lAGUAZABJAG4AdABhAGsAZQBcAG4ASQBqAFwAbgBrAGcALwBoAGUAYQBkAC8AZABhAHkAXABuAC0ALQAtAC0ALQAtAC0ALQAtAC0ALQAtAC0ALQAtAC0ALQAtAC0ALQAtAC0ALQAtAC0ALQAtAC0ALQAtAC0ALQAtAC0ALQAtAC0ALQBcAG4AKgAvAFwAbgBcAG4AUwBvAHUAcgBjAGUARABhAHQAYQBfAFMAdwBpAG4AZQBfAEYAZQBlAGQASQBuAHQAYQBrAGUAXwBUAGkAdABsAGUAXABuACAAIAA9AEwAQQBNAEIARABBACgAXAAiAFMAdwBpAG4AZQAgAC0AIABGAGUAZQBkACAAaQBuAHQAYQBrAGUAIAAtACAAaQBuAGcAZQBzAHQAZQBkACAAYQBzACAAZgBlAGQAIAAgACgASQBqACkAIAAtACAAMgAwADIAMAAgAHQAbwAgADIAMAAyADQAXAAiACkAOwBcAG4AXABuAFMAbwB1AHIAYwBlAEQAYQB0AGEAXwBTAHcAaQBuAGUAXwBGAGUAZQBkAEkAbgB0AGEAawBlAF8AVQBuAGkAdABcAG4AIAAgAD0ATABBAE0AQgBEAEEAKABcACIAawBnAC8AaABlAGEAZAAvAGQAYQB5AFwAIgApADsAXABuAFwAbgBTAG8AdQByAGMAZQBEAGEAdABhAF8AUwB3AGkAbgBlAF8ARgBlAGUAZABJAG4AdABhAGs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RgBlAGUAZABJAG4AdABhAGs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FwAIgApADsAXABuAFwAbgBTAG8AdQByAGMAZQBEAGEAdABhAF8AUwB3AGkAbgBlAF8ARgBlAGUAZABJAG4AdABhAGsAZQBfAEQAYQB0AGEAXABuACAAIAA9AEwAQQBNAEIARABBACgAXABuACAAIAAgACAATQBBAEsARQBBAFIAUgBBAFkAKAA1ACwAIAAyACwAIABcAG4AIAAgACAAIAAgACAATABBAE0AQgBEAEEAKAByACwAYwAsACAAXABuACAAIAAgACAAIAAgACAAIABJAE4ARABFAFgAKAB7AFwAbgAgACAAIAAgACAAIAAgACAAIAAgAFwAIgBDAGwAYQBzAHMAXAAiACwAIABcACIASQBqAFwAIgA7AFwAbgAgACAAIAAgACAAIAAgACAAIAAgAFwAIgBCAG8AYQByAHMAXAAiACwAIAAyAC4ANgAyADsAXABuACAAIAAgACAAIAAgACAAIAAgACAAXAAiAFMAbwB3AHMAXAAiACwAMgAuADMAMAA7AFwAbgAgACAAIAAgACAAIAAgACAAIAAgAFwAIgBHAGkAbAB0AHMAXAAiACwAIAAyAC4ANQAwADsAXABuACAAIAAgACAAIAAgACAAIAAgACAAXAAiAE8AdABoAGUAcgBzAFwAIgAsACAAMQAuADcAMQBcAG4AIAAgACAAIAAgACAAIAAgAH0ALAAgAHIALAAgAGMAKQBcAG4AIAAgACAAIAAgACAAKQBcAG4AIAAgACAAIAApAFwAbgAgACAAKQA7AFwAbgBcAG4ALwAqACAAXABuAC0ALQAtAC0ALQAtAC0ALQAtAC0ALQAtAC0ALQAtAC0ALQAtAC0ALQAtAC0ALQAtAC0ALQAtAC0ALQAtAC0ALQAtAC0ALQAtAC0ALQBcAG4AUwBvAHUAcgBjAGUARABhAHQAYQBfAFMAdwBpAG4AZQBfAE4AaQB0AHIAbwBnAGUAbgBJAG4AVwBhAHMAdABlAFwAbgBOAFcAagBcAG4AawBnAC8AaABlAGEAZAAvAGQAYQB5AFwAbgAtAC0ALQAtAC0ALQAtAC0ALQAtAC0ALQAtAC0ALQAtAC0ALQAtAC0ALQAtAC0ALQAtAC0ALQAtAC0ALQAtAC0ALQAtAC0ALQAtAC0AXABuACoALwBcAG4AXABuAFMAbwB1AHIAYwBlAEQAYQB0AGEAXwBTAHcAaQBuAGUAXwBOAGkAdAByAG8AZwBlAG4ASQBuAFcAYQBzAHQAZQBfAFQAaQB0AGwAZQBcAG4AIAAgAD0ATABBAE0AQgBEAEEAKABcACIAUwB3AGkAbgBlACAALQAgAE4AaQB0AHIAbwBnAGUAbgAgAGkAbgAgAHcAYQBzAHQAZQAgACgATgBXAGoAKQAgAC0AIAAyADAAMgAwACAAdABvACAAMgAwADIANABcACIAKQA7AFwAbgBcAG4AUwBvAHUAcgBjAGUARABhAHQAYQBfAFMAdwBpAG4AZQBfAE4AaQB0AHIAbwBnAGUAbgBJAG4AVwBhAHMAdABlAF8AVQBuAGkAdABcAG4AIAAgAD0ATABBAE0AQgBEAEEAKABcACIAawBnAC8AaABlAGEAZAAvAGQAYQB5AFwAIgApADsAXABuAFwAbgBTAG8AdQByAGMAZQBEAGEAdABhAF8AUwB3AGkAbgBlAF8ATgBpAHQAcgBvAGcAZQBuAEkAbgBXAGEAcwB0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4AaQB0AHIAbwBnAGUAbgBJAG4AVwBhAHMAdABl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IABBAGQAZABlAGQAIABcAHUAMAAwADIANwBOAFcAagAgAGQAYQBpAGwAeQBcAHUAMAAwADIANwAgAGMAbwBsAHUAbQBuACAAdABvACAAcAByAG8AdgBpAGQAZQAgAGQAYQBpAGwAeQAgAHYAYQBsAHUAZQAgAGYAbwByACAATwB0AGgAZQByAHMAIABjAGwAYQBzAHMALgAgAEEAZABkAGUAZAAgAFwAdQAwADAAMgA3AEMAbABhAHMAcwAgAG4AYQBtAGUAXAB1ADAAMAAyADcAIABjAG8AbAB1AG0AbgAgAHQAbwAgAGEAaQBkACAAbABvAG8AawB1AHAALgBcACIAKQA7AFwAbgBcAG4AUwBvAHUAcgBjAGUARABhAHQAYQBfAFMAdwBpAG4AZQBfAE4AaQB0AHIAbwBnAGUAbgBJAG4AVwBhAHMAdABlAF8ARABhAHQAYQBcAG4AIAAgAD0ATABBAE0AQgBEAEEAKABcAG4AIAAgACAAIABNAEEASwBFAEEAUgBSAEEAWQAoADUALAAgADQALAAgAFwAbgAgACAAIAAgACAAIABMAEEATQBCAEQAQQAoAHIALABjACwAIABcAG4AIAAgACAAIAAgACAAIAAgAEkATgBEAEUAWAAoAHsAXABuACAAIAAgACAAIAAgACAAIAAgACAAXAAiAEMAbABhAHMAcwBcACIALAAgAFwAIgBOAFcAagBcACIALAAgAFwAIgBOAFcAagAgAGQAYQBpAGwAeQBcACIALAAgAFwAIgBDAGwAYQBzAHMAIABuAGEAbQBlAFwAIgA7AFwAbgAgACAAIAAgACAAIAAgACAAIAAgAFwAIgBCAG8AYQByAHMAXAAiACwAIAAwAC4AMAA0ADYALAAgADAALgAwADQANgAsACAAXAAiAEIAbwBhAHIAcwBcACIAOwBcAG4AIAAgACAAIAAgACAAIAAgACAAIABcACIAUwBvAHcAcwBcACIALAAwAC4AMAA0ADkALAAgADAALgAwADQAOQAsACAAXAAiAFMAbwB3AHMAXAAiADsAXABuACAAIAAgACAAIAAgACAAIAAgACAAXAAiAEcAaQBsAHQAcwBcACIALAAgADAALgAwADQANgAsACAAMAAuADAANAA2ACwAIABcACIARwBpAGwAdABzAFwAIgA7AFwAbgAgACAAIAAgACAAIAAgACAAIAAgAFwAIgBPAHQAaABlAHIAcwAgACgAawBnAC8AaABlAGEAZAAvAHkAZQBhAHIAKQBcACIALAAgADEAMQAuADQALAAgADAALgAwADMAMQAyACwAIABcACIATwB0AGgAZQBy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dABpAG8AbgBOAFYAbwBsAGEAdABpAGwAaQBzAGUAZABcAG4ARgByAGEAYwBHAEEAUwBNAG0AVABcAG4AKABrAGcAIABOAEgAMwAtAE4AIAArACAATgBPAHgALQBOACkALwBrAGcATgBcAG4ALQAtAC0ALQAtAC0ALQAtAC0ALQAtAC0ALQAtAC0ALQAtAC0ALQAtAC0ALQAtAC0ALQAtAC0ALQAtAC0ALQAtAC0ALQAtAC0ALQAtAFwAbgAqAC8AXABuAFwAbgBTAG8AdQByAGMAZQBEAGEAdABhAF8AUwB3AGkAbgBlAF8ARgByAGEAYwB0AGkAbwBuAE4AVgBvAGwAYQB0AGkAbABpAHMAZQBkAF8AVABpAHQAbABlAFwAbgAgACAAPQBMAEEATQBCAEQAQQAoAFwAIgBTAHcAaQBuAGUAIAAtACAARgByAGEAYwB0AGkAbwBuACAAbwBmACAAbgBpAHQAcgBvAGcAZQBuACAAdgBvAGwAYQB0AGkAbABpAHMAZQBkACAAKABGAHIAYQBjAEcAQQBTAE0AbQBUACkAXAAiACkAOwBcAG4AXABuAFMAbwB1AHIAYwBlAEQAYQB0AGEAXwBTAHcAaQBuAGUAXwBGAHIAYQBjAHQAaQBvAG4ATgBWAG8AbABhAHQAaQBsAGkAcwBlAGQAXwBVAG4AaQB0AFwAbgAgACAAPQBMAEEATQBCAEQAQQAoAFwAIgAoAGsAZwAgAE4ASAAzAC0ATgAgACsAIABOAE8AeAAtAE4AKQAvAGsAZwBOAFwAIgApADsAXABuAFwAbgBTAG8AdQByAGMAZQBEAGEAdABhAF8AUwB3AGkAbgBlAF8ARgByAGEAYwB0AGkAbwBuAE4AVgBvAGwAYQB0AGkAbABpAHMAZQBkAF8AUwBvAHUAcgBjAGUAXABuACAAIAA9AEwAQQBNAEIARABBACgAXAAiAFYARQBFAFIARwAgADIAMAAyADYAOgAgAFQAYQBiAGwAZQAgAEEALgAxAC4ANgAuADIAOgAgAFMAdwBpAG4AZQAgAC0AIABGAHIAYQBjAHQAaQBvAG4AIABvAGYAIABOACAAdgBvAGwAYQB0AGkAbABpAHMAZQBkACAAYgB5ACAATQBNAFMAIAAoACgAawBnACAATgBIADMALQBOACAAKwAgAE4ATwB4AC0ATgApAC8AawBnAE4AKQAgACgARgByAGEAYwBHAEEAUwBNAG0AVAApAFwAIgApADsAXABuAFwAbgBTAG8AdQByAGMAZQBEAGEAdABhAF8AUwB3AGkAbgBlAF8ARgByAGEAYwB0AGkAbwBuAE4AVgBvAGwAYQB0AGkAbABpAHMAZQBk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GAHIAYQBjAHQAaQBvAG4ATgBWAG8AbABhAHQAaQBsAGkAcwBlAGQAXwBEAGEAdABhAFwAbgAgACAAPQBMAEEATQBCAEQAQQAoAFwAbgAgACAAIAAgAE0AQQBLAEUAQQBSAFIAQQBZACgANwAsACAAMwAsACAAXABuACAAIAAgACAAIAAgAEwAQQBNAEIARABBACgAcgAsAGMALAAgAFwAbgAgACAAIAAgACAAIAAgACAASQBOAEQARQBYACgAewBcAG4AIAAgACAAIAAgACAAIAAgACAAIABcACIATQBNAFMAbQBcACIALAAgAFwAIgBGAHIAYQBjAEcAQQBTAE0AbQBUAFwAIgAsACAAXAAiAE4ASQBSACAAcgBlAGYAZQByAGUAbgBjAGUAXAAiADsAXABuACAAIAAgACAAIAAgACAAIAAgACAAXAAiAE8AdQB0AGQAbwBvAHIAIAAoAEQAcgB5ACAAbABvAHQAKQBcACIALAAgADAALgAzACwAIABcACIARAByAHkAbABvAHQAIAAoAGYAZQBlAGQAIABwAGEAZAApAFwAIgA7AFwAbgAgACAAIAAgACAAIAAgACAAIAAgAFwAIgBEAGUAZQBwACAAbABpAHQAdABlAHIAXAAiACwAIAAwAC4AMQAyADUALAAgAFwAIgBEAGUAZQBwACAAbABpAHQAdABlAHIAXAAiADsAXABuACAAIAAgACAAIAAgACAAIAAgACAAXAAiAFMAdABvAGMAawBwAGkAbABlACAAKABTAG8AbABpAGQAIABzAHQAbwByAGEAZwBlACkAXAAiACwAIAAwAC4AMgAsACAAXAAiAFMAbwBsAGkAZAAgAHMAdABvAHIAYQBnAGUAXAAiADsAXABuACAAIAAgACAAIAAgACAAIAAgACAAXAAiAEUAZgBmAGwAdQBlAG4AdAAgAHAAbwBuAGQAIAAoAFUAbgBjAG8AdgBlAHIAZQBkACAAYQBuAGEAZQByAG8AYgBpAGMAIABsAGEAZwBvAG8AbgApAFwAIgAsACAAMAAuADUANQAsACAAXAAiAEEAbgBhAGUAcgBvAGIAaQBjACAAbABhAGcAbwBvAG4AXAAiADsAXABuACAAIAAgACAAIAAgACAAIAAgACAAXAAiAEEAbgBhAGUAcgBvAGIAaQBjACAAZABpAGcAZQBzAHQAZQ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FwAdQAwADAAMgA3AE4ASQBSACAAcgBlAGYAZQByAGUAbgBjAGUAIABjAG8AbAB1AG0AbgAgAHQAbwAgAGEAaQBkACAAbABvAG8AawB1AHAALgBcACIAKQA7AFwAbgBcAG4AUwBvAHUAcgBjAGUARABhAHQAYQBfAFMAdwBpAG4AZQBfAE4AaQB0AHIAbwB1AHMATwB4AGkAZABlAEUARgBzAF8ARABhAHQAYQBcAG4AIAAgAD0ATABBAE0AQgBEAEEAKABcAG4AIAAgACAAIABNAEEASwBFAEEAUgBSAEEAWQAoADcALAAgADMALAAgAFwAbgAgACAAIAAgACAAIABMAEEATQBCAEQAQQAoAHIALABjACwAIABcAG4AIAAgACAAIAAgACAAIAAgAEkATgBEAEUAWAAoAHsAXABuACAAIAAgACAAIAAgACAAIAAgACAAXAAiAE0ATQBTAG0AXAAiACwAIABcACIARQBGAG0AVABcACIALAAgAFwAIgBOAEkAUgAgAHIAZQBmAGUAcgBlAG4AYwBlAFwAIgA7AFwAbgAgACAAIAAgACAAIAAgACAAIAAgAFwAIgBPAHUAdABkAG8AbwByACAAKABEAHIAeQAgAGwAbwB0ACkAXAAiACwAIAAwAC4AMAAyACwAIABcACIARAByAHkAbABvAHQAIAAoAGYAZQBlAGQAIABwAGEAZAApAFwAIgA7AFwAbgAgACAAIAAgACAAIAAgACAAIAAgAFwAIgBEAGUAZQBwACAAbABpAHQAdABlAHIAXAAiACwAIAAwAC4AMAAxACwAIABcACIARABlAGUAcAAgAGwAaQB0AHQAZQByAFwAIgA7AFwAbgAgACAAIAAgACAAIAAgACAAIAAgAFwAIgBTAHQAbwBjAGsAcABpAGwAZQAgACgAUwBvAGwAaQBkACAAcwB0AG8AcgBhAGcAZQApAFwAIgAsACAAMAAuADAAMAA1ACwAIABcACIAUwBvAGwAaQBkACAAcwB0AG8AcgBhAGcAZQBcACIAOwBcAG4AIAAgACAAIAAgACAAIAAgACAAIABcACIARQBmAGYAbAB1AGUAbgB0ACAAcABvAG4AZAAgACgAVQBuAGMAbwB2AGUAcgBlAGQAIABhAG4AYQBlAHIAbwBiAGkAYwAgAGwAYQBnAG8AbwBuACkAXAAiACwAIAAwACwAIABcACIAQQBuAGEAZQByAG8AYgBpAGMAIABsAGEAZwBvAG8AbgBcACIAOwBcAG4AIAAgACAAIAAgACAAIAAgACAAIABcACIAQQBuAGEAZQByAG8AYgBpAGMAIABkAGkAZwBlAHMAdABvAHIAIAAvACAAQwBvAHYAZQByAGUAZAAgAGwAYQBnAG8AbwBuAFwAIgAsACAAMAAsACAAXAAiAEQAaQBnAGUAcwB0AGUAcgAgAC8AIABjAG8AdgBlAHIAZQBkACAAbABhAGcAbwBvAG4AcwBcACIAOwBcAG4AIAAgACAAIAAgACAAIAAgACAAIABcACIAUwBoAG8AcgB0ACAASABSAFQAIAB0AGEAbgBrACAAcwB0AG8AcgBhAGcAZQAgAFwAdQAwADAAMwBjACAAMQAgAG0AbwBuAHQAaAAgACgAcABpAHQAIABzAHQAbwByAGEAZwBlACkAXAAiACwAIAAwAC4AMAAwADI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C0A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BcAHUAMAAwADMAYw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BcAHUAMAAwADIANwBzAG8AbABpAGQAIABzAHQAbwByAGEAZwBlAFwAdQAwADAAMgA3ACAATQBNAFMALAAgAGIAdQB0ACAAZQBxAHUAYQB0AGkAbwBuACAAcgBlAGYAZQByAHMAIAB0AG8AIABcAHUAMAAwADIANwBkAHIAeQBsAG8AdABcAHUAMAAwADIANwAgAE0ATQBTAC4AXAAiACkAOwBcAG4AXABuAFMAbwB1AHIAYwBlAEQAYQB0AGEAXwBTAHcAaQBuAGUAXwBGAHIAYQBjAEwARQBBAEMASABfAEQAcgB5AGwAbwB0AE0ATQBTAF8ARABhAHQAYQBcAG4AIAAgAD0ATABBAE0AQgBEAEEAKAAwAC4AMAAyACkAOwBcAG4AXABuAFwAbgAvACoAIABcAG4ALQAtAC0ALQAtAC0ALQAtAC0ALQAtAC0ALQAtAC0ALQAtAC0ALQAtAC0ALQAtAC0ALQAtAC0ALQAtAC0ALQAtAC0ALQAtAC0ALQAtAFwAbgBTAG8AdQByAGMAZQBEAGEAdABhAF8AUwB3AGkAbgBlAF8ATQBlAGcAYQBqAG8AdQBsAGUAcwBQAGUAcgBLAGkAbABvAGcAcgBhAG0ATQBlAHQAaABhAG4AZQBcAG4ARgBcAG4ATQBKAC8AawBnACAAQwBIADQAXABuAFwAbgAtAC0ALQAtAC0ALQAtAC0ALQAtAC0ALQAtAC0ALQAtAC0ALQAtAC0ALQAtAC0ALQAtAC0ALQAtAC0ALQAtAC0ALQAtAC0ALQAtAC0AXABuACoALwBcAG4AXABuAFMAbwB1AHIAYwBlAEQAYQB0AGEAXwBTAHcAaQBuAGUAXwBNAGUAZwBhAGoAbwB1AGwAZQBzAFAAZQByAEsAaQBsAG8AZwByAGEAbQBNAGUAdABoAGEAbgBlAF8AVABpAHQAbABlAFwAbgAgACAAPQBMAEEATQBCAEQAQQAoAFwAIgBNAGUAZwBhAGoAbwB1AGwAZQBzACAAcABlAHIAIABrAGkAbABvAGcAcgBhAG0AIABvAGYAIABtAGUAdABoAGEAbgBlAFwAIgApADsAXABuAFwAbgBTAG8AdQByAGMAZQBEAGEAdABhAF8AUwB3AGkAbgBlAF8ATQBlAGcAYQBqAG8AdQBsAGUAcwBQAGUAcgBLAGkAbABvAGcAcgBhAG0ATQBlAHQAaABhAG4AZQBfAFYAYQByAGkAYQBiAGwAZQBcAG4AIAAgAD0ATABBAE0AQgBEAEEAKABcACIARgBcACIAKQA7AFwAbgBcAG4AUwBvAHUAcgBjAGUARABhAHQAYQBfAFMAdwBpAG4AZQBfAE0AZQBnAGEAagBvAHUAbABlAHMAUABlAHIASwBpAGwAbwBnAHIAYQBtAE0AZQB0AGgAYQBuAGUAXwBVAG4AaQB0AFwAbgAgACAAPQBMAEEATQBCAEQAQQAoAFwAIgBNAEoAIAAvACAAawBnACAAQwBIADQAXAAiACkAOwBcAG4AXABuAFMAbwB1AHIAYwBlAEQAYQB0AGEAXwBTAHcAaQBuAGUAXwBNAGUAZwBhAGoAbwB1AGwAZQBzAFAAZQByAEsAaQBsAG8AZwByAGEAbQBNAGUAdABoAGEAbgBlAF8AUwBvAHUAcgBjAGUAXABuACAAIAA9AEwAQQBNAEIARABBACgAXAAiAFYARQBFAFIARwAgADIAMAAyADYAOgAgADMALgA1AC4AMgAuADMAIABDAE8ATgBTAFQAQQBOAFQAXAAiACkAOwBcAG4AXABuAFMAbwB1AHIAYwBlAEQAYQB0AGEAXwBTAHcAaQBuAGUAXwBNAGUAZwBhAGoAbwB1AGwAZQBzAFAAZQByAEsAaQBsAG8AZwByAGEAbQBNAGUAdABoAGEAbgBlAF8AVgBhAHIAaQBhAHQAaQBvAG4AXABuACAAIAA9AEwAQQBNAEIARABBACgAXAAiAFwAIgApADsAXABuAFwAbgBTAG8AdQByAGMAZQBEAGEAdABhAF8AUwB3AGkAbgBlAF8ATQBlAGcAYQBqAG8AdQBsAGUAcwBQAGUAcgBLAGkAbABvAGcAcgBhAG0ATQBlAHQAaABhAG4AZQBfAEQAYQB0AGEAXABuACAAIAA9AEwAQQBNAEIARABBACgANQA1AC4AMgAyACkAOwAiAH0ALAB7ACIAcABhAHQAaAAiADoAIgAvAHAAcgBvAGoAZQBjAHQAcwAvAEUAbgB0AGUAcgBpAGMATQBlAHQAaABhAG4AZQBfAFMAdwBpAG4AZQBfAEUAcQB1AGEAdABpAG8AbgBzACIALAAiAHQAZQB4AHQAIgA6ACIALwAqAFwAbgA9AD0APQA9AD0APQA9AD0APQA9AD0APQA9AD0APQA9AD0APQA9AD0APQA9AD0APQA9AD0APQA9AD0APQA9AD0APQA9AD0APQA9AD0APQA9AD0APQA9AD0APQA9AD0APQA9AD0APQA9AD0APQA9AD0APQA9AD0APQA9AD0APQA9AD0APQA9AD0APQA9AD0APQA9AD0APQA9AFwAbgAzAC4ANQA6ACAARQBuAHQAZQByAGkAYwAgAE0AZQB0AGgAYQBuAGUAIAAtACAAUwB3AGkAbgBlAFwAbgA9AD0APQA9AD0APQA9AD0APQA9AD0APQA9AD0APQA9AD0APQA9AD0APQA9AD0APQA9AD0APQA9AD0APQA9AD0APQA9AD0APQA9AD0APQA9AD0APQA9AD0APQA9AD0APQA9AD0APQA9AD0APQA9AD0APQA9AD0APQA9AD0APQA9AD0APQA9AD0APQA9AD0APQA9AD0APQA9AFwAbgAzAC4ANQAuADEALgAxACAATQBlAHQAaABvAGQAIAAxACAALQAgAEUAbgB0AGUAcgBpAGM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N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HMAdwBpAG4AZQBcAG4ARQBfAGUAbgB0AGUAcgBpAGMAXABuAHQAIABDAEgANABcAG4ARQBfAHsAZQBuAHQAZQByAGkAYwB9AD0AXABcAHMAdQBtAF8AewBqAH0AKABOAF8AagBcAFwAdABpAG0AZQBzACAATQBfAGoAXABcAHQAaQBtAGUAcwAgAEQAXwBqACkAXABcAHQAaQBtAGUAcwAgADEAMABeAHsALQAzAH0AXABuAE4AXwBqACAAPQAgAG4AdQBtAGIAZQByAHMAIABvAGYAIABzAHcAaQBuAGUAIABvAGYAIABlAGEAYwBoACAAYwBsAGEAcwBzACAAKABoAGUAYQBkACkAXABuAE0AXwBqACAAPQAgAG0AZQB0AGgAYQBuAGUAIABwAHIAbwBkAHUAYwB0AGkAbwBuACAAKABrAGcAIABDAEgANAAvAGgAZQBhAGQALwBkAGEAeQApAFwAbgBEAF8AagAgAD0AIAB0AGgAZQAgAGEAdgBlAHIAYQBnAGUAIABuAHUAbQBiAGUAcgAgAG8AZgAgAGQAYQB5AHMAIABvAG4AIABmAGEAcgBtACAAZgBvAHIAIABlAGEAYwBoACAAcwB3AGkAbgBlACAAYwBsAGEAcwBzACAAKABkAGEAeQBzACkAXABuAC0ALQAtAC0ALQAtAC0ALQAtAC0ALQAtAC0ALQAtAC0ALQAtAC0ALQAtAC0ALQAtAC0ALQAtAC0ALQAtAC0ALQAtAC0ALQAtAC0ALQBcAG4AKgAvAFwAbgBcAG4AVgBFAEUAUgBHAF8AMwBfADUAXwAxAF8AMQBfAF8AMQBfAFQAbwB0AGEAbABBAG4AbgB1AGEAbABNAGUAdABoAGEAbgBlAEYAcgBvAG0ARQBuAHQAZQByAGkAYwBGAGUAcgBtAGUAbgB0AGEAdABpAG8AbgBcAG4AIAAgAD0ATABBAE0AQgBEAEEAKABcAG4AIAAgACAAIABOAF8AagAsACAATQBfAGoALAAgAEQAXwBqACwAXABuACAAIAAgACAAKABOAF8AagAgACoAIABNAF8AagAgACoAIABEAF8AagApACAAKgAgADEAMAAgAF4AIAAtADMAXABuACAAIAApADsAXABuAFwAbgBWAEUARQBSAEcAXwAzAF8ANQ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HMAdwBpAG4AZQBcACIAKQA7AFwAbgBcAG4AVgBFAEUAUgBHAF8AMwBfADUAXwAxAF8AMQBfAF8AMQBfAFQAbwB0AGEAbABBAG4AbgB1AGEAbABNAGUAdABoAGEAbgBlAEYAcgBvAG0ARQBuAHQAZQByAGkAYwBGAGUAcgBtAGUAbgB0AGEAdABpAG8AbgBfAFYAYQByAGkAYQBiAGwAZQBcAG4AIAAgAD0ATABBAE0AQgBEAEEAKABcACIARQBfAGUAbgB0AGUAcgBpAGMAXAAiACkAOwBcAG4AXABuAFYARQBFAFIARwBfADMAXwA1AF8AMQBfADEAXwBfADEAXwBUAG8AdABhAGwAQQBuAG4AdQBhAGwATQBlAHQAaABhAG4AZQBGAHIAbwBtAEUAbgB0AGUAcgBpAGMARgBlAHIAbQBlAG4AdABhAHQAaQBvAG4AXwBVAG4AaQB0AFwAbgAgACAAPQBMAEEATQBCAEQAQQAoAFwAIgB0ACAAQwBIADQAXAAiACkAOwBcAG4AXABuAFYARQBFAFIARwBfADMAXwA1AF8AMQBfADEAXwBfADEAXwBUAG8AdABhAGwAQQBuAG4AdQBhAGwATQBlAHQAaABhAG4AZQBGAHIAbwBtAEUAbgB0AGUAcgBpAGMARgBlAHIAbQBlAG4AdABhAHQAaQBvAG4AXwBTAG8AdQByAGMAZQBcAG4AIAAgAD0ATABBAE0AQgBEAEEAKABcACIAVgBFAEUAUgBHACAAMgAwADIANgA6ACAAMwAuADUALgAxAC4AMQAsACAARQBxAHUAYQB0AGkAbwBuACAAKAAxACkAXAAiACkAOwBcAG4AXABuAFYARQBFAFIARwBfADMAXwA1AF8AMQBfADEAXwBfADEAXwBUAG8AdABhAGwAQQBuAG4AdQBhAGwATQBlAHQAaABhAG4AZQBGAHIAbwBtAEUAbgB0AGUAcgBpAGMARgBlAHIAbQBlAG4AdABhAHQAaQBvAG4AXwBOAEkAUgBSAGUAZgBlAHIAZQBuAGMAZQBcAG4AIAAgAD0ATABBAE0AQgBEAEEAKABcACIAXAAiACkAOwBcAG4AXABuAFYARQBFAFIARwBfADMAXwA1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OAF8AagBcAFwAdABpAG0AZQBzACAATQBfAGoAXABcAHQAaQBtAGUAcwAgAEQAXwBqACkAXABcAHQAaQBtAGUAcwAgADEAMABeAHsALQAzAH0AXAAiACkAOwBcAG4AXABuAFYARQBFAFIARwBfADMAXwA1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cwAgAG8AZgAgAHMAdwBpAG4AZQAgAG8AZgAgAGUAYQBjAGgAIABjAGwAYQBzAHMAXAAiACwAIABcACIAaABlAGEAZABcACIALAAgAFwAIgBJAG4AcAB1AHQAXAAiADsAXABuACAAIAAgACAAIAAgACAAIAAgACAAXAAiAE0AXwBqAFwAIgAsACAAXAAiAG0AZQB0AGgAYQBuAGUAIABwAHIAbwBkAHUAYwB0AGkAbwBuAFwAIgAsACAAXAAiAGsAZwAgAEMASAA0AC8AaABlAGEAZAAvAGQAYQB5AFwAIgAsACAAXAAiAEMAYQBsAGMAdQBsAGEAdABlAGQAIABmAHIAbwBtACAAMwAuADUALgAxAC4AMQAsACAAKAAyACkAXAAiADsAXABuACAAIAAgACAAIAAgACAAIAAgACAAXAAiAEQAXwBqAFwAIgAsACAAXAAiAHQAaABlACAAYQB2AGUAcgBhAGcAZQAgAG4AdQBtAGIAZQByACAAbwBmACAAZABhAHkAcwAgAG8AbgAgAGYAYQByAG0AIABmAG8AcgAgAGUAYQBjAGgAIABzAHcAaQBuAGU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UAXwAxAF8AMQBfAF8AMgBfAEQAYQBpAGwAeQBFAG4AdABlAHIAaQBjAE0AZQB0AGgAYQBuAGUAUAByAG8AZAB1AGMAdABpAG8AbgBcAG4AVABvAHQAYQBsACAAZABhAGkAbAB5ACAAcAByAG8AZAB1AGMAdABpAG8AbgAgAG8AZgAgAGUAbgB0AGUAcgBpAGMAIABtAGUAdABoAGEAbgBlACAAbwBmACAAcwB3AGkAbgBlAFwAbgBNAF8AagBcAG4AawBnACAAQwBIADQALwBoAGUAYQBkAC8AZABhAHkAXABuAE0AXwBqAD0AXABcAGYAcgBhAGMAewBJAF8AagBcAFwAdABpAG0AZQBzACAAMQA4AC4ANgBcAFwAdABpAG0AZQBzACAAMAAuADAAMAA3AH0AewBGAH0AXABuAEkAXwBqACAAPQAgAGQAYQBpAGwAeQAgAGYAZQBlAGQAIABpAG4AZwBlAHMAdABlAGQAIABiAHkAIABlAGEAYwBoACAAcwB3AGkAbgBlACAAYwBsAGEAcwBzACAAKABrAGcALwBoAGUAYQBkAC8AZABhAHkAKQBcAG4ARgAgAD0AIABtAGUAZwBhAGoAbwB1AGwAZQBzACAAcABlAHIAIABrAGkAbABvAGcAcgBhAG0AIABvAGYAIABtAGUAdABoAGEAbgBlACAAKABNAEoALwBrAGcAIABDAEgANAApAFwAbgAtAC0ALQAtAC0ALQAtAC0ALQAtAC0ALQAtAC0ALQAtAC0ALQAtAC0ALQAtAC0ALQAtAC0ALQAtAC0ALQAtAC0ALQAtAC0ALQAtAC0AXABuACoALwBcAG4AXABuAFYARQBFAFIARwBfADMAXwA1AF8AMQBfADEAXwBfADIAXwBEAGEAaQBsAHkARQBuAHQAZQByAGkAYwBNAGUAdABoAGEAbgBlAFAAcgBvAGQAdQBjAHQAaQBvAG4AXABuACAAIAA9AEwAQQBNAEIARABBACgAXABuACAAIAAgACAASQBfAGoALAAgAEYALABcAG4AIAAgACAAIAAoAEkAXwBqACAAKgAgADEAOAAuADYAIAAqACAAMAAuADAAMAA3ACkAIAAvACAARgBcAG4AIAAgACkAOwBcAG4AXABuAFYARQBFAFIARwBfADMAXwA1AF8AMQBfADEAXwBfADIAXwBEAGEAaQBsAHkARQBuAHQAZQByAGkAYwBNAGUAdABoAGEAbgBlAFAAcgBvAGQAdQBjAHQAaQBvAG4AXwBUAGkAdABsAGUAXABuACAAIAA9AEwAQQBNAEIARABBACgAXAAiAFQAbwB0AGEAbAAgAGQAYQBpAGwAeQAgAHAAcgBvAGQAdQBjAHQAaQBvAG4AIABvAGYAIABlAG4AdABlAHIAaQBjACAAbQBlAHQAaABhAG4AZQAgAG8AZgAgAHMAdwBpAG4AZQBcACIAKQA7AFwAbgBcAG4AVgBFAEUAUgBHAF8AMwBfADUAXwAxAF8AMQBfAF8AMgBfAEQAYQBpAGwAeQBFAG4AdABlAHIAaQBjAE0AZQB0AGgAYQBuAGUAUAByAG8AZAB1AGMAdABpAG8AbgBfAFYAYQByAGkAYQBiAGwAZQBcAG4AIAAgAD0ATABBAE0AQgBEAEEAKABcACIATQBfAGoAXAAiACkAOwBcAG4AXABuAFYARQBFAFIARwBfADMAXwA1AF8AMQBfADEAXwBfADIAXwBEAGEAaQBsAHkARQBuAHQAZQByAGkAYwBNAGUAdABoAGEAbgBlAFAAcgBvAGQAdQBjAHQAaQBvAG4AXwBVAG4AaQB0AFwAbgAgACAAPQBMAEEATQBCAEQAQQAoAFwAIgBrAGcAIABDAEgANAAvAGgAZQBhAGQALwBkAGEAeQBcACIAKQA7AFwAbgBcAG4AVgBFAEUAUgBHAF8AMwBfADUAXwAxAF8AMQBfAF8AMgBfAEQAYQBpAGwAeQBFAG4AdABlAHIAaQBjAE0AZQB0AGgAYQBuAGUAUAByAG8AZAB1AGMAdABpAG8AbgBfAFMAbwB1AHIAYwBlAFwAbgAgACAAPQBMAEEATQBCAEQAQQAoAFwAIgBWAEUARQBSAEcAIAAyADAAMgA2ADoAIAAzAC4ANQAuADEALgAxACwAIABFAHEAdQBhAHQAaQBvAG4AIAAoADIAKQBcACIAKQA7AFwAbgBcAG4AVgBFAEUAUgBHAF8AMwBfADUAXwAxAF8AMQBfAF8AMgBfAEQAYQBpAGwAeQBFAG4AdABlAHIAaQBjAE0AZQB0AGgAYQBuAGUAUAByAG8AZAB1AGMAdABpAG8AbgBfAE4ASQBSAFIAZQBmAGUAcgBlAG4AYwBlAFwAbgAgACAAPQBMAEEATQBCAEQAQQAoAFwAIgBcACIAKQA7AFwAbgBcAG4AVgBFAEUAUgBHAF8AMwBfADUAXwAxAF8AMQBfAF8AMgBfAEQAYQBpAGwAeQBFAG4AdABlAHIAaQBjAE0AZQB0AGgAYQBuAGUAUAByAG8AZAB1AGMAdABpAG8AbgBfAEwAYQB0AGUAeABFAHEAdQBhAHQAaQBvAG4AXABuACAAIAA9AEwAQQBNAEIARABBACgAXAAiAE0AXwBqAD0AXABcAGYAcgBhAGMAewBJAF8AagBcAFwAdABpAG0AZQBzACAAMQA4AC4ANgBcAFwAdABpAG0AZQBzACAAMAAuADAAMAA3AH0AewBGAH0AXAAiACkAOwBcAG4AXABuAFYARQBFAFIARwBfADMAXwA1AF8AMQBfADEAXwBfADIAXwBEAGEAaQBsAHkARQBuAHQAZQByAGkAYwBNAGUAdABoAGEAbgBlAFAAcgBvAGQAdQBjAHQAaQBvAG4AXwBBAHIAZwB1AG0AZQBuAHQAcwBcAG4AIAAgAD0ATABBAE0AQgBEAEEAKABcAG4AIAAgACAAIABNAEEASwBFAEEAUgBSAEEAWQAoADQALAAgADQALABcAG4AIAAgACAAIAAgACAATABBAE0AQgBEAEEAKAByACwAYwAsAFwAbgAgACAAIAAgACAAIAAgACAASQBOAEQARQBYACgAewBcAG4AIAAgACAAIAAgACAAIAAgACAAIABcACIASQBfAGoAXAAiACwAIABcACIAZABhAGkAbAB5ACAAZgBlAGUAZAAgAGkAbgBnAGUAcwB0AGUAZAAgAGIAeQAgAGUAYQBjAGgAIABzAHcAaQBuAGUAIABjAGwAYQBzAHMAXAAiACwAIABcACIAawBnAC8AaABlAGEAZAAvAGQAYQB5AFwAIgAsACAAXAAiAEkAbgBwAHUAdABcACIAOwBcAG4AIAAgACAAIAAgACAAIAAgACAAIABcACIAMQA4AC4ANgBcACIALAAgAFwAIgBnAHIAbwBzAHMAIABlAG4AZQByAGcAeQAgACgARwBFACkAIABjAG8AbgB0AGUAbgB0ACAAbwBmACAAZgBlAGUAZABcACIALAAgAFwAIgBNAEoAIABHAEUALwBrAGcAIABmAGUAZQBkAFwAIgAsACAAXAAiAEMAbwBuAHMAdABhAG4AdABcACIAOwBcAG4AIAAgACAAIAAgACAAIAAgACAAIABcACIAMAAuADAAMAA3AFwAIgAsACAAXAAiAGYAcgBhAGMAdABpAG8AbgAgAG8AZgAgAEcARQAgAGkAbgB0AGEAawBlACAAYwBvAG4AdgBlAHIAdABlAGQAIAB0AG8AIABtAGUAdABoAGEAbgBlACAAYgB5ACAAcwB3AGkAbgBlAFwAIgAsACAAXAAiAGYAcgBhAGMAdABpAG8AbgBcACIALAAgAFwAIgBDAG8AbgBzAHQAYQBuAHQAXAAiADsAXABuACAAIAAgACAAIAAgACAAIAAgACAAXAAiAEYAXAAiACwAIABcACIAbQBlAGcAYQBqAG8AdQBsAGUAcwAgAHAAZQByACAAawBpAGwAbwBnAHIAYQBtACAAbwBmACAAbQBlAHQAaABhAG4AZQBcACIALAAgAFwAIgBNAEoALwBrAGcAIABDAEgANABcACIALAAgAFwAIgBDAG8AbgBzAHQAYQBuAHQAXAAiAFwAbgAgACAAIAAgACAAIAAgACAAfQAsACAAcgAsACAAYwApAFwAbgAgACAAIAAgACAAIAApAFwAbgAgACAAIAAgACkAXABuACAAIAApADsAXABuAFwAbgBcAG4AIgB9ACwAewAiAHAAYQB0AGgAIgA6ACIALwBwAHIAbwBqAGUAYwB0AHMALwBNAE0AUwBfAFMAdwBpAG4AZ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QAgAE0AZQB0AGgAbwBkACAAMQAgABQgIABNAGEAbgB1AHIAZQAgAE0AZQB0AGgAYQBuAGU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xAF8AXwAxAF8AVABvAHQAYQBsAEEAbgBuAHUAYQBsAE0AZQB0AGgAYQBuAGUARQBtAGkAcwBzAGkAbwBuAHMAXABuAFQAbwB0AGEAbAAgAGEAbgBuAHUAYQBsACAAbQBlAHQAaABhAG4AZQAgAGUAbQBpAHMAcwBpAG8AbgBzACAAZgByAG8AbQAgAG0AYQBuAHUAcgBlACAAbQBhAG4AYQBnAGUAbQBlAG4AdABcAG4ARQBDAEgANABcAG4AdAAgAEMASAA0AFwAbgB7AEUAfQBfAHsAQwBIADQAfQA9AFwAXABzAHUAbQBfAHsAagB9ACgARABfAHsAagB9AFwAXAB0AGkAbQBlAHMAIABNAF8AewBtAGoAfQBcAFwAdABpAG0AZQBzACAATgBfAHsAagB9ACkAXABcAHQAaQBtAGUAcwAxADAAXgB7AC0AMwB9AFwAbgBEAGoAIAA9ACAAbABlAG4AZwB0AGgAIABvAGYAIABzAHQAYQB5ACAAbwBmACAAZQBhAGMAaAAgAGMAbABhAHMAcwAgAG8AZgAgAHMAdwBpAG4AZQAgADoAIABkAGEAeQBzAFwAbgBNAG0AagAgAD0AIABtAGUAdABoAGEAbgBlACAAcAByAG8AZAB1AGMAdABpAG8AbgAgAGYAcgBvAG0AIABtAGEAbgB1AHIAZQAgAGkAbgAgAGUAYQBjAGgAIABzAHcAaQBuAGUAIABjAGwAYQBzAHMAIAA6ACAAawBnACAAQwBIADQALwBoAGUAYQBkAC8AZABhAHkAXABuAE4AagAgAD0AIABuAHUAbQBiAGUAcgBzACAAbwBmACAAcwB3AGkAbgBlACAAaQBuACAAZQBhAGMAaAAgAGMAbABhAHMAcwAgADoAIABoAGUAYQBkAFwAbgAtAC0ALQAtAC0ALQAtAC0ALQAtAC0ALQAtAC0ALQAtAC0ALQAtAC0ALQAtAC0ALQAtAC0ALQAtAC0ALQAtAC0ALQAtAC0ALQAtAC0AXABuACoALwBcAG4AXABuAFYARQBFAFIARwBfADQAXwA1AF8AMQBfADEAXwBfADEAXwBUAG8AdABhAGwAQQBuAG4AdQBhAGwATQBlAHQAaABhAG4AZQBFAG0AaQBzAHMAaQBvAG4AcwBcAG4AIAAgAD0ATABBAE0AQgBEAEEAKABcAG4AIAAgACAAIABEAGoALAAgAE0AbQBqACwAIABOAGoALABcAG4AIAAgACAAIABEAGoAIAAqACAATQBtAGoAIAAqACAATgBqACAAKgAgADEAMAAgAF4AIAAtADMAXABuACAAIAApADsAXABuAFwAbgBWAEUARQBSAEcAXwA0AF8AN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UAXwAxAF8AMQBfAF8AMQBfAFQAbwB0AGEAbABBAG4AbgB1AGEAbABNAGUAdABoAGEAbgBlAEUAbQBpAHMAcwBpAG8AbgBzAF8AVgBhAHIAaQBhAGIAbABlAFwAbgAgACAAPQBMAEEATQBCAEQAQQAoAFwAIgBFAEMASAA0AFwAIgApADsAXABuAFwAbgBWAEUARQBSAEcAXwA0AF8ANQBfADEAXwAxAF8AXwAxAF8AVABvAHQAYQBsAEEAbgBuAHUAYQBsAE0AZQB0AGgAYQBuAGUARQBtAGkAcwBzAGkAbwBuAHMAXwBVAG4AaQB0AFwAbgAgACAAPQBMAEEATQBCAEQAQQAoAFwAIgB0ACAAQwBIADQAXAAiACkAOwBcAG4AXABuAFYARQBFAFIARwBfADQAXwA1AF8AMQBfADEAXwBfADEAXwBUAG8AdABhAGwAQQBuAG4AdQBhAGwATQBlAHQAaABhAG4AZQBFAG0AaQBzAHMAaQBvAG4AcwBfAFMAbwB1AHIAYwBlAFwAbgAgACAAPQBMAEEATQBCAEQAQQAoAFwAIgBWAEUARQBSAEcAIAAyADAAMgA2ADoAIAA0AC4ANQAuADEALgAxACwAIABFAHEAdQBhAHQAaQBvAG4AIAAoADEAKQBcACIAKQA7AFwAbgBcAG4AVgBFAEUAUgBHAF8ANABfADUAXwAxAF8AMQBfAF8AMQBfAFQAbwB0AGEAbABBAG4AbgB1AGEAbABNAGUAdABoAGEAbgBlAEUAbQBpAHMAcwBpAG8AbgBzAF8ATgBJAFIAUgBlAGYAZQByAGUAbgBjAGUAXABuACAAIAA9AEwAQQBNAEIARABBACgAXAAiAFwAIgApADsAXABuAFwAbgBWAEUARQBSAEcAXwA0AF8ANQBfADEAXwAxAF8AXwAxAF8AVABvAHQAYQBsAEEAbgBuAHUAYQBsAE0AZQB0AGgAYQBuAGUARQBtAGkAcwBzAGkAbwBuAHMAXwBMAGEAdABlAHgARQBxAHUAYQB0AGkAbwBuAFwAbgAgACAAPQBMAEEATQBCAEQAQQAoAFwAIgB7AEUAfQBfAHsAQwBIADQAfQA9AFwAXABzAHUAbQBfAHsAagB9ACgARABfAHsAagB9AFwAXAB0AGkAbQBlAHMAIABNAF8AewBtAGoAfQBcAFwAdABpAG0AZQBzACAATgBfAHsAagB9ACkAXABcAHQAaQBtAGUAcwAxADAAXgB7AC0AMwB9AFwAIgApADsAXABuAFwAbgBWAEUARQBSAEcAXwA0AF8ANQBfADEAXwAxAF8AXwAxAF8AVABvAHQAYQBsAEEAbgBuAHUAYQBsAE0AZQB0AGgAYQBuAGUARQBtAGkAcwBzAGkAbwBuAHMAXwBBAHIAZwB1AG0AZQBuAHQAcwBcAG4AIAAgAD0ATABBAE0AQgBEAEEAKABcAG4AIAAgACAAIABNAEEASwBFAEEAUgBSAEEAWQAoADMALAAgADQALABcAG4AIAAgACAAIAAgACAATABBAE0AQgBEAEEAKAByACwAYwAsAFwAbgAgACAAIAAgACAAIAAgACAASQBOAEQARQBYACgAewBcAG4AIAAgACAAIAAgACAAIAAgACAAIABcACIARABqAFwAIgAsAFwAIgBsAGUAbgBnAHQAaAAgAG8AZgAgAHMAdABhAHkAIABvAGYAIABlAGEAYwBoACAAYwBsAGEAcwBzACAAbwBmACAAcwB3AGkAbgBlAFwAIgAsACAAXAAiAGQAYQB5AHMAXAAiACwAIABcACIASQBuAHAAdQB0AFwAIgA7AFwAbgAgACAAIAAgACAAIAAgACAAIAAgAFwAIgBNAG0AagBcACIALABcACIAbQBlAHQAaABhAG4AZQAgAHAAcgBvAGQAdQBjAHQAaQBvAG4AIABmAHIAbwBtACAAbQBhAG4AdQByAGUAIABpAG4AIABlAGEAYwBoACAAcwB3AGkAbgBlACAAYwBsAGEAcwBzAFwAIgAsACAAXAAiAGsAZwAgAEMASAA0AC8AaABlAGEAZAAvAGQAYQB5AFwAIgAsACAAXAAiAEMAYQBsAGMAdQBsAGEAdABlAGQAIABmAHIAbwBtACAANAAuADUALgAxAC4AMQAgACgAMgApAFwAIgA7AFwAbgAgACAAIAAgACAAIAAgACAAIAAgAFwAIgBOAGoAXAAiACwAXAAiAG4AdQBtAGIAZQByAHMAIABvAGYAIABzAHcAaQBuAGUAIABpAG4AIABlAGEAYwBoACAAYwBsAGEAcwBz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EAXwBfADIAXwBNAGUAdABoAGEAbgBlAFAAcgBvAGQAdQBjAHQAaQBvAG4AUABlAHIAQwBsAGEAcwBzAFwAbgBNAGUAdABoAGEAbgBlACAAcAByAG8AZAB1AGMAdABpAG8AbgAgAGYAcgBvAG0AIAB0AGgAZQAgAG0AYQBuAHUAcgBlACAAbwBmACAAZQBhAGMAaAAgAGMAbABhAHMAcwAgAG8AZgAgAHMAdwBpAG4AZQBcAG4ATQBtAGoAXABuAGsAZwAgAEMASAA0AC8AaABlAGEAZAAvAGQAYQB5AFwAbgBNAF8AewBtAGoAfQA9AFwAXABzAHUAbQBfAHsAbQB9AFwAXABzAHUAbQBfAHsAVAB9AE0AXwB7AGoAbQBUAH0AXABuAE0AagBtAFQAIAA9ACAAbQBlAHQAaABhAG4AZQAgAHAAcgBvAGQAdQBjAHQAaQBvAG4AIABmAHIAbwBtACAAbQBhAG4AdQByAGUAIABwAGUAcgAgAGMAbABhAHMAcwAsACAATQBNAFMALAAgAGEAbgBkACAAdAByAGUAYQB0AG0AZQBuAHQAIABzAHQAYQBnAGUAIAA6ACAAawBnACAAQwBIADQALwBoAGUAYQBkAC8AZABhAHkAXABuAC0ALQAtAC0ALQAtAC0ALQAtAC0ALQAtAC0ALQAtAC0ALQAtAC0ALQAtAC0ALQAtAC0ALQAtAC0ALQAtAC0ALQAtAC0ALQAtAC0ALQBcAG4AKgAvAFwAbgBcAG4AVgBFAEUAUgBHAF8ANABfADUAXwAxAF8AMQBfAF8AMgBfAE0AZQB0AGgAYQBuAGUAUAByAG8AZAB1AGMAdABpAG8AbgBQAGUAcgBDAGwAYQBzAHMAXABuACAAIAA9AEwAQQBNAEIARABBACgAXABuACAAIAAgACAATQBqAG0AVAAsAFwAbgAgACAAIAAgAFMAVQBNACgATQBqAG0AVAApAFwAbgAgACAAKQA7AFwAbgBcAG4AVgBFAEUAUgBHAF8ANABfADUAXwAxAF8AMQBfAF8AMgBfAE0AZQB0AGgAYQBuAGUAUAByAG8AZAB1AGMAdABpAG8AbgBQAGUAcgBDAGwAYQBzAHMAVgBhAHIAaQBhAHQAaQBvAG4AXABuACAAIAA9AEwAQQBNAEIARABBACgAXABuACAAIAAgACAATQBqAG0AVAAxACwAIABNAGoAbQBUADIALABcAG4AIAAgACAAIAAgAFMAVQBNACgATQBqAG0AVAAxACwAIABNAGoAbQBUADIAKQBcAG4AIAAgACkAOwBcAG4AXABuAFYARQBFAFIARwBfADQAXwA1AF8AMQBfADEAXwBfADIAXwBNAGUAdABoAGEAbgBlAFAAcgBvAGQAdQBjAHQAaQBvAG4AUABlAHIAQwBsAGEAcwBzAF8AVABpAHQAbABlAFwAbgAgACAAPQBMAEEATQBCAEQAQQAoAFwAIgBNAGUAdABoAGEAbgBlACAAcAByAG8AZAB1AGMAdABpAG8AbgAgAGYAcgBvAG0AIAB0AGgAZQAgAG0AYQBuAHUAcgBlACAAbwBmACAAZQBhAGMAaAAgAGMAbABhAHMAcwAgAG8AZgAgAHMAdwBpAG4AZQBcACIAKQA7AFwAbgBcAG4AVgBFAEUAUgBHAF8ANABfADUAXwAxAF8AMQBfAF8AMgBfAE0AZQB0AGgAYQBuAGUAUAByAG8AZAB1AGMAdABpAG8AbgBQAGUAcgBDAGwAYQBzAHMAXwBWAGEAcgBpAGEAYgBsAGUAXABuACAAIAA9AEwAQQBNAEIARABBACgAXAAiAE0AbQBqAFwAIgApADsAXABuAFwAbgBWAEUARQBSAEcAXwA0AF8ANQBfADEAXwAxAF8AXwAyAF8ATQBlAHQAaABhAG4AZQBQAHIAbwBkAHUAYwB0AGkAbwBuAFAAZQByAEMAbABhAHMAcwBfAFUAbgBpAHQAXABuACAAIAA9AEwAQQBNAEIARABBACgAXAAiAGsAZwAgAEMASAA0AC8AaABlAGEAZAAvAGQAYQB5AFwAIgApADsAXABuAFwAbgBWAEUARQBSAEcAXwA0AF8ANQBfADEAXwAxAF8AXwAyAF8ATQBlAHQAaABhAG4AZQBQAHIAbwBkAHUAYwB0AGkAbwBuAFAAZQByAEMAbABhAHMAcwBfAFMAbwB1AHIAYwBlAFwAbgAgACAAPQBMAEEATQBCAEQAQQAoAFwAIgBWAEUARQBSAEcAIAAyADAAMgA2ADoAIAA0AC4ANQAuADEALgAxACwAIABFAHEAdQBhAHQAaQBvAG4AIAAoADIAKQBcACIAKQA7AFwAbgBcAG4AVgBFAEUAUgBHAF8ANABfADUAXwAxAF8AMQBfAF8AMgBfAE0AZQB0AGgAYQBuAGUAUAByAG8AZAB1AGMAdABpAG8AbgBQAGUAcgBDAGwAYQBzAHMAXwBOAEkAUgBSAGUAZgBlAHIAZQBuAGMAZQBcAG4AIAAgAD0ATABBAE0AQgBEAEEAKABcACIAXAAiACkAOwBcAG4AXABuAFYARQBFAFIARwBfADQAXwA1AF8AMQBfADEAXwBfADIAXwBNAGUAdABoAGEAbgBlAFAAcgBvAGQAdQBjAHQAaQBvAG4AUABlAHIAQwBsAGEAcwBzAF8ATABhAHQAZQB4AEUAcQB1AGEAdABpAG8AbgBcAG4AIAAgAD0ATABBAE0AQgBEAEEAKABcACIATQBfAHsAbQBqAH0APQBcAFwAcwB1AG0AXwB7AG0AfQBcAFwAcwB1AG0AXwB7AFQAfQBNAF8AewBqAG0AVAB9AFwAIgApADsAXABuAFwAbgBWAEUARQBSAEcAXwA0AF8ANQBfADEAXwAxAF8AXwAyAF8ATQBlAHQAaABhAG4AZQBQAHIAbwBkAHUAYwB0AGkAbwBuAFAAZQByAEMAbABhAHMAcwBfAEEAcgBnAHUAbQBlAG4AdABzAFwAbgAgACAAPQBMAEEATQBCAEQAQQAoAFwAbgAgACAAIAAgAE0AQQBLAEUAQQBSAFIAQQBZACgAMQAsACAANAAsAFwAbgAgACAAIAAgACAAIABMAEEATQBCAEQAQQAoAHIALABjACwAXABuACAAIAAgACAAIAAgACAAIABJAE4ARABFAFgAKAB7AFwAbgAgACAAIAAgACAAIAAgACAAIAAgAFwAIgBNAGoAbQBUAFwAIgAsAFwAIgBtAGUAdABoAGEAbgBlACAAcAByAG8AZAB1AGMAdABpAG8AbgAgAGYAcgBvAG0AIABtAGEAbgB1AHIAZQAgAHAAZQByACAAYwBsAGEAcwBzACwAIABNAE0AUwAsACAAYQBuAGQAIAB0AHIAZQBhAHQAbQBlAG4AdAAgAHMAdABhAGcAZQBcACIALAAgAFwAIgBrAGcAIABDAEgANAAvAGgAZQBhAGQALwBkAGEAeQBcACIALAAgAFwAIgBDAGEAbABjAHUAbABhAHQAZQBkACAAZgByAG8AbQAgADQALgA1AC4AMQAuADEAIAAoADMAKQAgAGEAbgBkACAAKAA2ACkAXAAiAFwAbgAgACAAIAAgACAAIAAgACAAfQAsACAAcgAsACAAYwApAFwAbgAgACAAIAAgACAAIAApAFwAbgAgACAAIAAgACkAXABuACAAIAApADsAXABuAFwAbgBWAEUARQBSAEcAXwA0AF8ANQBfADEAXwAxAF8AXwAyAF8ATQBlAHQAaABhAG4AZQBQAHIAbwBkAHUAYwB0AGkAbwBuAFAAZQByAEMAbABhAHMAcwBfAFYAYQByAGkAYQB0AGkAbwBuAFwAbgAgACAAPQBMAEEATQBCAEQAQQAoAFwAIgBWAEEAUgBJAEEAVABJAE8ATgAgAE8ATgAgAFMATwBVAFIAQwBFADoAIABTAHAAbABpAHQAIAB2AGEAcgBpAGEAYgBsAGUAIABNAGoAbQAgAGkAbgB0AG8AIABNAGoAbQBUADEAIABhAG4AZAAgAE0AagBtAFQAMgAgAGYAbwByACAAcwB0AGEAZwBlACAAMQAgAGEAbgBkACAAMgAgAE0ATQBTAC4AXAAiACkAOwBcAG4AXABuAC8AKgBcAG4ALQAtAC0ALQAtAC0ALQAtAC0ALQAtAC0ALQAtAC0ALQAtAC0ALQAtAC0ALQAtAC0ALQAtAC0ALQAtAC0ALQAtAC0ALQAtAC0ALQAtAFwAbgBWAEUARQBSAEcAXwA0AF8ANQBfADEAXwAxAF8AXwAzAF8AUwB0AGEAZwBlADEATQBlAHQAaABhAG4AZQBQAHIAbwBkAHUAYwB0AGkAbwBuAFwAbgBQAHIAbwBkAHUAYwB0AGkAbwBuACAAbwBmACAAbQBlAHQAaABhAG4AZQAgAGkAbgAgAHQAcgBlAGEAdABtAGUAbgB0ACAAcwB0AGEAZwBlACAAMQAgAE0ATQBTAFwAbgBNAGkAagBtAFQAMQBcAG4AawBnACAAQwBIADQALwBoAGUAYQBkAC8AZABhAHkAXABuAE0AXwB7AGkAagBtACwAVAA9ADEAfQA9AFYAUwBfAHsAagB9AFwAXAB0AGkAbQBlAHMAIABGAFYAUwBfAHsAagBtACwAVAA9ADEAfQBcAFwAdABpAG0AZQBzACAATQBDAEYAXwB7AGkAbQB9AFwAXAB0AGkAbQBlAHMAIABCAE8AXABcAHQAaQBtAGUAcwAgAFwAXAByAGgAbwBcAG4AVgBTAGoAIAA9ACAAdgBvAGwAYQB0AGkAbABlACAAcwBvAGwAaQBkACAAcAByAG8AZAB1AGMAdABpAG8AbgAgAGYAcgBvAG0AIABzAHcAaQBuAGUAIABpAG4AIABlAGEAYwBoACAAYwBsAGEAcwBzACAAOgAgAGsAZwAvAGgAZQBhAGQALwBkAGEAeQBcAG4ARgBWAFMAagBtAFQAMQAgAD0AIABmAHIAYQBjAHQAaQBvAG4AIABvAGYAIAB2AG8AbABhAHQAaQBsAGUAIABzAG8AbABpAGQAcwAgAGkAbgAgAGUAYQBjAGgAIABwAHIAaQBtAGEAcgB5ACAAcwB5AHMAdABlAG0AIAA6ACAAZgByAGEAYwB0AGkAbwBuAFwAbgBNAEMARgBpAG0AIAA9ACAAbQBlAHQAaABhAG4AZQAgAGMAbwBuAHYAZQByAHMAaQBvAG4AIABmAGEAYwB0AG8AcgAgAGYAbwByACAAdABlAG0AcABlAHIAYQB0AGUAIAB6AG8AbgBlACAAYQBuAGQAIABzAHkAcwB0AGUAbQAgADoAIABmAHIAYQBjAHQAaQBvAG4AXABuAEIATwAgAD0AIABlAG0AaQBzAHMAaQBvAG4AcwAgAHAAbwB0AGUAbgB0AGkAYQBsACAAOgAgAG0AMwAgAEMASAA0AC8AawBnACAAVgBTAFwAbgByAGgAbwAgAD0AIABkAGUAbgBzAGkAdAB5ACAAbwBmACAAbQBlAHQAaABhAG4AZQAgADoAIABrAGcALwBtADMAXABuAC0ALQAtAC0ALQAtAC0ALQAtAC0ALQAtAC0ALQAtAC0ALQAtAC0ALQAtAC0ALQAtAC0ALQAtAC0ALQAtAC0ALQAtAC0ALQAtAC0ALQBcAG4AKgAvAFwAbgBcAG4AVgBFAEUAUgBHAF8ANABfADUAXwAxAF8AMQBfAF8AMwBfAFMAdABhAGcAZQAxAE0AZQB0AGgAYQBuAGUAUAByAG8AZAB1AGMAdABpAG8AbgBcAG4AIAAgAD0ATABBAE0AQgBEAEEAKABcAG4AIAAgACAAIABWAFMAagAsACAARgBWAFMAagBtAFQAMQAsACAATQBDAEYAaQBtACwAIABCAE8ALAAgAHIAaABvACwAXABuACAAIAAgACAAVgBTAGoAIAAqACAARgBWAFMAagBtAFQAMQAgACoAIABNAEMARgBpAG0AIAAqACAAQgBPACAAKgAgAHIAaABvAFwAbgAgACAAKQA7AFwAbgBcAG4AVgBFAEUAUgBHAF8ANABfADUAXwAxAF8AMQBfAF8AMw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UAXwAxAF8AMQBfAF8AMwBfAFMAdABhAGcAZQAxAE0AZQB0AGgAYQBuAGUAUAByAG8AZAB1AGMAdABpAG8AbgBfAFYAYQByAGkAYQBiAGwAZQBcAG4AIAAgAD0ATABBAE0AQgBEAEEAKABcACIATQBpAGoAbQBUADEAXAAiACkAOwBcAG4AXABuAFYARQBFAFIARwBfADQAXwA1AF8AMQBfADEAXwBfADMAXwBTAHQAYQBnAGUAMQBNAGUAdABoAGEAbgBlAFAAcgBvAGQAdQBjAHQAaQBvAG4AXwBVAG4AaQB0AFwAbgAgACAAPQBMAEEATQBCAEQAQQAoAFwAIgBrAGcAIABDAEgANAAvAGgAZQBhAGQALwBkAGEAeQBcACIAKQA7AFwAbgBcAG4AVgBFAEUAUgBHAF8ANABfADUAXwAxAF8AMQBfAF8AMwBfAFMAdABhAGcAZQAxAE0AZQB0AGgAYQBuAGUAUAByAG8AZAB1AGMAdABpAG8AbgBfAFMAbwB1AHIAYwBlAFwAbgAgACAAPQBMAEEATQBCAEQAQQAoAFwAIgBWAEUARQBSAEcAIAAyADAAMgA2ADoAIAA0AC4ANQAuADEALgAxACwAIABFAHEAdQBhAHQAaQBvAG4AIAAoADMAKQBcACIAKQA7AFwAbgBcAG4AVgBFAEUAUgBHAF8ANABfADUAXwAxAF8AMQBfAF8AMwBfAFMAdABhAGcAZQAxAE0AZQB0AGgAYQBuAGUAUAByAG8AZAB1AGMAdABpAG8AbgBfAE4ASQBSAFIAZQBmAGUAcgBlAG4AYwBlAFwAbgAgACAAPQBMAEEATQBCAEQAQQAoAFwAIgBcACIAKQA7AFwAbgBcAG4AVgBFAEUAUgBHAF8ANABfADUAXwAxAF8AMQBfAF8AMwBfAFMAdABhAGcAZQAxAE0AZQB0AGgAYQBuAGUAUAByAG8AZAB1AGMAdABpAG8AbgBfAEwAYQB0AGUAeABFAHEAdQBhAHQAaQBvAG4AXABuACAAIAA9AEwAQQBNAEIARABBACgAXAAiAE0AXwB7AGkAagBtACwAVAA9ADEAfQA9AFYAUwBfAHsAagB9AFwAXAB0AGkAbQBlAHMAIABGAFYAUwBfAHsAagBtACwAVAA9ADEAfQBcAFwAdABpAG0AZQBzACAATQBDAEYAXwB7AGkAbQB9AFwAXAB0AGkAbQBlAHMAIABCAE8AXABcAHQAaQBtAGUAcwAgAFwAXAByAGgAbwBcACIAKQA7AFwAbgBcAG4AVgBFAEUAUgBHAF8ANABfADUAXwAxAF8AMQBfAF8AMwBfAFMAdABhAGcAZQAxAE0AZQB0AGgAYQBuAGUAUAByAG8AZAB1AGMAdABpAG8AbgBfAEEAcgBnAHUAbQBlAG4AdABzAFwAbgAgACAAPQBMAEEATQBCAEQAQQAoAFwAbgAgACAAIAAgAE0AQQBLAEUAQQBSAFIAQQBZACgANQ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E0AQwBGAGkAbQBcACIALABcACIAbQBlAHQAaABhAG4AZQAgAGMAbwBuAHYAZQByAHMAaQBvAG4AIABmAGEAYwB0AG8AcgAgAGYAbwByACAAdABlAG0AcABlAHIAYQB0AGUAIAB6AG8AbgBlACAAYQBuAGQAIABzAHkAcwB0AGUAbQBcACIALAAgAFwAIgBmAHIAYQBjAHQAaQBvAG4AXAAiACwAIABcACIAQwBvAG4AcwB0AGEAbgB0AFwAIgA7AFwAbgAgACAAIAAgACAAIAAgACAAIAAgAFwAIgBCAE8AXAAiACwAXAAiAGUAbQBpAHMAcwBpAG8AbgBzACAAcABvAHQAZQBuAHQAaQBhAGwAXAAiACwAIABcACIAbQAzACAAQwBIADQALwBrAGcAIABWAFMAXAAiACwAIABcACIAQwBvAG4AcwB0AGEAbgB0AFwAIgA7AFwAbgAgACAAIAAgACAAIAAgACAAIAAgAFwAIgByAGgAbwBcACIALABcACIAZABlAG4AcwBpAHQAeQAgAG8AZgAgAG0AZQB0AGgAYQBuAGUAXAAiACwAIABcACIAawBnAC8AbQA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0AF8ARgByAGEAYwB0AGkAbwBuAFYAbwBsAGEAdABpAGwAZQBTAG8AbABpAGQAcwBQAHIAaQBtAGEAcgB5AFMAeQBzAHQAZQBtAFwAbgBGAHIAYQBjAHQAaQBvAG4AIABvAGYAIAB2AG8AbABhAHQAaQBsAGUAIABzAG8AbABpAGQAcwAgAGkAbgAgAGUAYQBjAGgAIABwAHIAaQBtAGEAcgB5ACAAcwB5AHMAdABlAG0AIABvAHQAaABlAHIAIAB0AGgAYQBuACAAcwBvAGwAaQBkACAAcwB0AG8AcgBhAGcAZQBcAG4ARgBWAFMAagBtAFQAMQBcAG4AZgByAGEAYwB0AGkAbwBuAFwAbgBGAFYAUwBfAHsAagBtACwAVAA9ADEAfQA9AE0ATQBTAF8AewBqAG0ALABUAD0AMQB9AFwAXAB0AGkAbQBlAHMAKAAxAC0AUwBTAF8AewBtAH0AKQBcAG4ATQBNAFMAagBtAFQAMQAgAD0AIABmAHIAYQBjAHQAaQBvAG4AIABvAGYAIABtAGEAbgB1AHIAZQAgAHQAbwAgAGUAYQBjAGgAIABwAHIAaQBtAGEAcgB5ACAATQBNAFMAIABmAG8AcgAgAGUAYQBjAGgAIABjAGwAYQBzAHMAIABwAHIAaQBvAHIAIAB0AG8AIABzAG8AbABpAGQAIABzAGUAcABhAHIAYQB0AGkAbwBuACAAOgAgAGYAcgBhAGMAdABpAG8AbgBcAG4AUwBTAG0AIAA9ACAAZgByAGEAYwB0AGkAbwBuACAAbwBmACAAdgBvAGwAYQB0AGkAbABlACAAcwBvAGwAaQBkAHMAIABzAGUAcABhAHIAYQB0AGUAZAAgAHQAbwAgAHMAbwBsAGkAZAAgAHMAdABvAHIAYQBnAGUAIABmAG8AcgAgAGUAYQBjAGgAIABNAE0AUwAgADoAIABmAHIAYQBjAHQAaQBvAG4AXABuAC0ALQAtAC0ALQAtAC0ALQAtAC0ALQAtAC0ALQAtAC0ALQAtAC0ALQAtAC0ALQAtAC0ALQAtAC0ALQAtAC0ALQAtAC0ALQAtAC0ALQBcAG4AKgAvAFwAbgBcAG4AVgBFAEUAUgBHAF8ANABfADUAXwAxAF8AMQBfAF8ANABfAEYAcgBhAGMAdABpAG8AbgBWAG8AbABhAHQAaQBsAGUAUwBvAGwAaQBkAHMAUAByAGkAbQBhAHIAeQBTAHkAcwB0AGUAbQBcAG4AIAAgAD0ATABBAE0AQgBEAEEAKABcAG4AIAAgACAAIABNAE0AUwBqAG0AVAAxACwAIABTAFMAbQAsAFwAbgAgACAAIAAgAE0ATQBTAGoAbQBUADEAIAAqACAAKAAxACAALQAgAFMAUwBtACkAXABuACAAIAApADsAXABuAFwAbgBWAEUARQBSAEcAXwA0AF8ANQBfADEAXwAxAF8AXwA0AF8ARgByAGEAYwB0AGkAbwBuAFYAbwBsAGEAdABpAGwAZQBTAG8AbABpAGQAcwBQAHIAaQBtAGEAcgB5AFMAeQBzAHQAZQBtAF8AVABpAHQAbABlAFwAbgAgACAAPQBMAEEATQBCAEQAQQAoAFwAIgBGAHIAYQBjAHQAaQBvAG4AIABvAGYAIAB2AG8AbABhAHQAaQBsAGUAIABzAG8AbABpAGQAcwAgAGkAbgAgAGUAYQBjAGgAIABwAHIAaQBtAGEAcgB5ACAAcwB5AHMAdABlAG0AIABvAHQAaABlAHIAIAB0AGgAYQBuACAAcwBvAGwAaQBkACAAcwB0AG8AcgBhAGcAZQBcACIAKQA7AFwAbgBcAG4AVgBFAEUAUgBHAF8ANABfADUAXwAxAF8AMQBfAF8ANABfAEYAcgBhAGMAdABpAG8AbgBWAG8AbABhAHQAaQBsAGUAUwBvAGwAaQBkAHMAUAByAGkAbQBhAHIAeQBTAHkAcwB0AGUAbQBfAFYAYQByAGkAYQBiAGwAZQBcAG4AIAAgAD0ATABBAE0AQgBEAEEAKABcACIARgBWAFMAagBtAFQAMQBcACIAKQA7AFwAbgBcAG4AVgBFAEUAUgBHAF8ANABfADUAXwAxAF8AMQBfAF8ANABfAEYAcgBhAGMAdABpAG8AbgBWAG8AbABhAHQAaQBsAGUAUwBvAGwAaQBkAHMAUAByAGkAbQBhAHIAeQBTAHkAcwB0AGUAbQBfAFUAbgBpAHQAXABuACAAIAA9AEwAQQBNAEIARABBACgAXAAiAGYAcgBhAGMAdABpAG8AbgBcACIAKQA7AFwAbgBcAG4AVgBFAEUAUgBHAF8ANABfADUAXwAxAF8AMQBfAF8ANABfAEYAcgBhAGMAdABpAG8AbgBWAG8AbABhAHQAaQBsAGUAUwBvAGwAaQBkAHMAUAByAGkAbQBhAHIAeQBTAHkAcwB0AGUAbQBfAFMAbwB1AHIAYwBlAFwAbgAgACAAPQBMAEEATQBCAEQAQQAoAFwAIgBWAEUARQBSAEcAIAAyADAAMgA2ADoAIAA0AC4ANQAuADEALgAxACwAIABFAHEAdQBhAHQAaQBvAG4AIAAoADQAKQBcACIAKQA7AFwAbgBcAG4AVgBFAEUAUgBHAF8ANABfADUAXwAxAF8AMQBfAF8ANABfAEYAcgBhAGMAdABpAG8AbgBWAG8AbABhAHQAaQBsAGUAUwBvAGwAaQBkAHMAUAByAGkAbQBhAHIAeQBTAHkAcwB0AGUAbQBfAE4ASQBSAFIAZQBmAGUAcgBlAG4AYwBlAFwAbgAgACAAPQBMAEEATQBCAEQAQQAoAFwAIgBcACIAKQA7AFwAbgBcAG4AVgBFAEUAUgBHAF8ANABfADUAXwAxAF8AMQBfAF8ANABfAEYAcgBhAGMAdABpAG8AbgBWAG8AbABhAHQAaQBsAGUAUwBvAGwAaQBkAHMAUAByAGkAbQBhAHIAeQBTAHkAcwB0AGUAbQBfAEwAYQB0AGUAeABFAHEAdQBhAHQAaQBvAG4AXABuACAAIAA9AEwAQQBNAEIARABBACgAXAAiAEYAVgBTAF8AewBqAG0ALABUAD0AMQB9AD0ATQBNAFMAXwB7AGoAbQAsAFQAPQAxAH0AXABcAHQAaQBtAGUAcwAoADEALQBTAFMAXwB7AG0AfQApAFwAIgApADsAXABuAFwAbgBWAEUARQBSAEcAXwA0AF8ANQBfADEAXwAxAF8AXwA0AF8ARgByAGEAYwB0AGkAbwBuAFYAbwBsAGEAdABpAGwAZQBTAG8AbABpAGQAcwBQAHIAaQBtAGEAcgB5AFMAeQBzAHQAZQBtAF8AQQByAGcAdQBtAGUAbgB0AHMAXABuACAAIAA9AEwAQQBNAEIARABBACgAXABuACAAIAAgACAATQBBAEsARQBBAFIAUgBBAFkAKAAyACwAIAA0ACwAXABuACAAIAAgACAAIAAgAEwAQQBNAEIARABBACgAcgAsAGMALABcAG4AIAAgACAAIAAgACAAIAAgAEkATgBEAEUAWAAoAHsAXABuACAAIAAgACAAIAAgACAAIAAgACAAXAAiAE0ATQBTAGoAbQBUADEAXAAiACw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G0AXAAiACw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EAXwBfADQAXwBGAHIAYQBjAHQAaQBvAG4AVgBvAGwAYQB0AGkAbABlAFMAbwBsAGkAZABzAFAAcgBpAG0AYQByAHkAUwB5AHMAdABlAG0AXwBWAGEAcgBpAGEAdABpAG8AbgBcAG4AIAAgAD0ATABBAE0AQgBEAEEAKABcACIAXAAiACkAOwBcAG4AXABuAC8AKgBcAG4ALQAtAC0ALQAtAC0ALQAtAC0ALQAtAC0ALQAtAC0ALQAtAC0ALQAtAC0ALQAtAC0ALQAtAC0ALQAtAC0ALQAtAC0ALQAtAC0ALQAtAFwAbgBWAEUARQBSAEcAXwA0AF8ANQBfADEAXwAxAF8AXwA1AF8ARgByAGEAYwB0AGkAbwBuAFYAbwBsAGEAdABpAGwAZQBTAG8AbABpAGQAcwBTAG8AbABpAGQAUwB0AG8AcgBhAGcAZQBcAG4ARgByAGEAYwB0AGkAbwBuACAAbwBmACAAdgBvAGwAYQB0AGkAbABlACAAcwBvAGwAaQBkAHMAIABpAG4AIABzAG8AbABpAGQAIABzAHQAbwByAGEAZwBlAFwAbgBGAFYAUwBqAG0ANABUADEAXABuAGYAcgBhAGMAdABpAG8AbgBcAG4ARgBWAFMAXwB7AGoALABtAD0ANAAsAFQAPQAxAH0APQBNAE0AUwBfAHsAagAsAG0APQA0ACwAVAA9ADEAfQArACgATQBNAFMAXwB7AGoALABtAD0AMQAsADcALAA5ACwAVAA9ADEAfQBcAFwAdABpAG0AZQBzACAAUwBTAF8AewBtAH0AKQBcAG4ATQBNAFMAagBtADQAVAAxACAAPQAgAGYAcgBhAGMAdABpAG8AbgAgAG8AZgAgAG0AYQBuAHUAcgBlACAAaQBuACAAcwBvAGwAaQBkACAAcwB0AG8AcgBhAGcAZQAgAHAAcgBpAG0AYQByAHkAIABzAHkAcwB0AGUAbQAgADoAIABmAHIAYQBjAHQAaQBvAG4AXABuAE0ATQBTAGoAbQAxADcAOQBUADEAIAA9ACAAZgByAGEAYwB0AGkAbwBuACAAbwBmACAAbQBhAG4AdQByAGUAIABpAG4AIABNAE0AUwAgADEALAAgADcALAAgAGEAbgBkACAAOQAgAGkAbgAgAHQAcgBlAGEAdABtAGUAbgB0ACAAcwB0AGEAZwBlACAAMQ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UAXwBGAHIAYQBjAHQAaQBvAG4AVgBvAGwAYQB0AGkAbABlAFMAbwBsAGkAZABzAFMAbwBsAGkAZABTAHQAbwByAGEAZwBlAFwAbgAgACAAPQBMAEEATQBCAEQAQQAoAFwAbgAgACAAIAAgAE0ATQBTAGoAbQA0AFQAMQAsACAATQBNAFMAagBtADEANwA5AFQAMQAsACAAUwBTAG0ALABcAG4AIAAgACAAIABNAE0AUwBqAG0ANABUADEAIAArACAAKABNAE0AUwBqAG0AMQA3ADkAVAAxACAAKgAgAFMAUwBtACkAXABuACAAIAApADsAXABuAFwAbgBWAEUARQBSAEcAXwA0AF8ANQBfADEAXwAxAF8AXwA1AF8ARgByAGEAYwB0AGkAbwBuAFYAbwBsAGEAdABpAGwAZQBTAG8AbABpAGQAcwBTAG8AbABpAGQAUwB0AG8AcgBhAGcAZQBWAGEAcgBpAGEAdABpAG8AbgBcAG4AIAAgAD0ATABBAE0AQgBEAEEAKABcAG4AIAAgACAAIABNAE0AUwBqAG0ANABUADEALABcAG4AIAAgACAAIABNAE0AUwBqAG0AVAAxAF8AMQAsACAATQBNAFMAagBtAFQAMQBfADIALAAgAE0ATQBTAGoAbQBUADEAXwAzACwAIABNAE0AUwBqAG0AVAAxAF8ANAAsACAATQBNAFMAagBtAFQAMQBfADUALABcAG4AIAAgACAAIABTAFMAagBtAFQAMQBfADEALAAgAFMAUwBqAG0AVAAxAF8AMgAsACAAUwBTAGoAbQBUADEAXwAzACwAIABTAFMAagBtAFQAMQBfADQALAAgAFMAUwBqAG0AVAAxAF8ANQAsAFwAbgAgACAAIAAgACAAIABNAE0AUwBqAG0ANABUADEAIAArACAAXABuACAAIAAgACAAIAAgACgATQBNAFMAagBtAFQAMQBfADEAIAAqACAAUwBTAGoAbQBUADEAXwAxACkAIAArACAAXABuACAAIAAgACAAIAAgACgATQBNAFMAagBtAFQAMQBfADIAIAAqACAAUwBTAGoAbQBUADEAXwAyACkAIAArACAAXABuACAAIAAgACAAIAAgACgATQBNAFMAagBtAFQAMQBfADMAIAAqACAAUwBTAGoAbQBUADEAXwAzACkAIAArAFwAbgAgACAAIAAgACAAIAAoAE0ATQBTAGoAbQBUADEAXwA0ACAAKgAgAFMAUwBqAG0AVAAxAF8ANAApACAAKwBcAG4AIAAgACAAIAAgACAAKABNAE0AUwBqAG0AVAAxAF8ANQAgACoAIABTAFMAagBtAFQAMQBfADUAKQBcAG4AIAAgACkAOwBcAG4AXABuAFYARQBFAFIARwBfADQAXwA1AF8AMQBfADEAXwBfADUAXwBGAHIAYQBjAHQAaQBvAG4AVgBvAGwAYQB0AGkAbABlAFMAbwBsAGkAZABzAFMAbwBsAGkAZABTAHQAbwByAGEAZwBlAF8AVABpAHQAbABlAFwAbgAgACAAPQBMAEEATQBCAEQAQQAoAFwAIgBGAHIAYQBjAHQAaQBvAG4AIABvAGYAIAB2AG8AbABhAHQAaQBsAGUAIABzAG8AbABpAGQAcwAgAGkAbgAgAHMAbwBsAGkAZAAgAHMAdABvAHIAYQBnAGUAXAAiACkAOwBcAG4AXABuAFYARQBFAFIARwBfADQAXwA1AF8AMQBfADEAXwBfADUAXwBGAHIAYQBjAHQAaQBvAG4AVgBvAGwAYQB0AGkAbABlAFMAbwBsAGkAZABzAFMAbwBsAGkAZABTAHQAbwByAGEAZwBlAF8AVgBhAHIAaQBhAGIAbABlAFwAbgAgACAAPQBMAEEATQBCAEQAQQAoAFwAIgBGAFYAUwBqAG0ANABUADEAXAAiACkAOwBcAG4AXABuAFYARQBFAFIARwBfADQAXwA1AF8AMQBfADEAXwBfADUAXwBGAHIAYQBjAHQAaQBvAG4AVgBvAGwAYQB0AGkAbABlAFMAbwBsAGkAZABzAFMAbwBsAGkAZABTAHQAbwByAGEAZwBlAF8AVQBuAGkAdABcAG4AIAAgAD0ATABBAE0AQgBEAEEAKABcACIAZgByAGEAYwB0AGkAbwBuAFwAIgApADsAXABuAFwAbgBWAEUARQBSAEcAXwA0AF8ANQBfADEAXwAxAF8AXwA1AF8ARgByAGEAYwB0AGkAbwBuAFYAbwBsAGEAdABpAGwAZQBTAG8AbABpAGQAcwBTAG8AbABpAGQAUwB0AG8AcgBhAGcAZQBfAFMAbwB1AHIAYwBlAFwAbgAgACAAPQBMAEEATQBCAEQAQQAoAFwAIgBWAEUARQBSAEcAIAAyADAAMgA2ADoAIAA0AC4ANQAuADEALgAxACwAIABFAHEAdQBhAHQAaQBvAG4AIAAoADUAKQBcACIAKQA7AFwAbgBcAG4AVgBFAEUAUgBHAF8ANABfADUAXwAxAF8AMQBfAF8ANQBfAEYAcgBhAGMAdABpAG8AbgBWAG8AbABhAHQAaQBsAGUAUwBvAGwAaQBkAHMAUwBvAGwAaQBkAFMAdABvAHIAYQBnAGUAXwBOAEkAUgBSAGUAZgBlAHIAZQBuAGMAZQBcAG4AIAAgAD0ATABBAE0AQgBEAEEAKABcACIAXAAiACkAOwBcAG4AXABuAFYARQBFAFIARwBfADQAXwA1AF8AMQBfADEAXwBfADUAXwBGAHIAYQBjAHQAaQBvAG4AVgBvAGwAYQB0AGkAbABlAFMAbwBsAGkAZABzAFMAbwBsAGkAZABTAHQAbwByAGEAZwBlAF8ATABhAHQAZQB4AEUAcQB1AGEAdABpAG8AbgBcAG4AIAAgAD0ATABBAE0AQgBEAEEAKABcACIARgBWAFMAXwB7AGoALABtAD0ANAAsAFQAPQAxAH0APQBNAE0AUwBfAHsAagAsAG0APQA0ACwAVAA9ADEAfQArACgATQBNAFMAXwB7AGoALABtAD0AMQAsADcALAA5ACwAVAA9ADEAfQBcAFwAdABpAG0AZQBzACAAUwBTAF8AewBtAH0AKQBcACIAKQA7AFwAbgBcAG4AVgBFAEUAUgBHAF8ANABfADUAXwAxAF8AMQBfAF8ANQBfAEYAcgBhAGMAdABpAG8AbgBWAG8AbABhAHQAaQBsAGUAUwBvAGwAaQBkAHMAUwBvAGwAaQBkAFMAdABvAHIAYQBnAGUAXwBMAGEAdABlAHgARQBxAHUAYQB0AGkAbwBuAFYAYQByAGkAYQB0AGkAbwBuAFwAbgAgACAAPQBMAEEATQBCAEQAQQAoAFwAIgBGAFYAUwBfAHsAagAsAG0APQA0ACwAVAA9ADEAfQA9AE0ATQBTAF8AewBqACw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qAG0ANABUADEAXAAiACwAXAAiAGYAcgBhAGMAdABpAG8AbgAgAG8AZgAgAG0AYQBuAHUAcgBlACAAaQBuACAAcwBvAGwAaQBkACAAcwB0AG8AcgBhAGcAZQAgAHAAcgBpAG0AYQByAHkAIABzAHkAcwB0AGUAbQBcACIALAAgAFwAIgBmAHIAYQBjAHQAaQBvAG4AXAAiACwAIABcACIASQBuAHAAdQB0AFwAIgA7AFwAbgAgACAAIAAgACAAIAAgACAAIAAgAFwAIgBNAE0AUwBqAG0AMQA3ADkAVAAxAFwAIgAsAFwAIgBmAHIAYQBjAHQAaQBvAG4AIABvAGYAIABtAGEAbgB1AHIAZQAgAGkAbgAgAE0ATQBTACAAMQAsACAANwAsACAAYQBuAGQAIAA5ACAAaQBuACAAdAByAGUAYQB0AG0AZQBuAHQAIABzAHQAYQBnAGUAIAAx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1AF8ARgByAGEAYwB0AGkAbwBuAFYAbwBsAGEAdABpAGwAZQBTAG8AbABpAGQAcwBTAG8AbABpAGQAUwB0AG8AcgBhAGcAZQBfAFYAYQByAGkAYQB0AGkAbwBuAFwAbgAgACAAPQBMAEEATQBCAEQAQQAoAFwAIgBWAEEAUgBJAEEAVABJAE8ATgAgAE8ATgAgAFMATwBVAFIAQwBFADoAIABTAHAAbABpAHQAIABlAHEAdQBhAHQAaQBvAG4AIABmAG8AcgAgAE0ATQBTAG0APQAxACwANwAsADkAIABpAG4AdABvACAAcwBlAHAAYQByAGEAdABlACAAaQB0AGUAbQBzACAAdABvACAAYQBsAGwAbwB3ACAAZgBvAHIAIABjAGEAbABjAHUAbABhAHQAaQBvAG4AXAAiACkAOwBcAG4AIAAgAFwAbgBcAG4ALwAqAFwAbgAtAC0ALQAtAC0ALQAtAC0ALQAtAC0ALQAtAC0ALQAtAC0ALQAtAC0ALQAtAC0ALQAtAC0ALQAtAC0ALQAtAC0ALQAtAC0ALQAtAC0AXABuAFYARQBFAFIARwBfADQAXwA1AF8AMQBfADEAXwBfADYAXwBTAHQAYQBnAGUAMgBNAGUAdABoAGEAbgBlAFAAcgBvAGQAdQBjAHQAaQBvAG4AXABuAFAAcgBvAGQAdQBjAHQAaQBvAG4AIABvAGYAIABtAGUAdABoAGEAbgBlACAAaQBuACAAZQBhAGMAaAAgAHQAcgBlAGEAdABtAGUAbgB0ACAAcwB0AGEAZwBlACAAMgAgAE0ATQBTAFwAbgBNAGkAagBtAFQAMgBcAG4AawBnACAAQwBIADQALwBoAGUAYQBkAC8AZABhAHkAXABuAE0AXwB7AGkAagBtACwAVAA9ADIAfQA9AFYAUwBUAF8AewBqAG0ALABUAD0AMgB9AFwAXAB0AGkAbQBlAHMAIABCAE8AXABcAHQAaQBtAGUAcwAgAE0ATQBTAF8AewBqAG0ALABUAD0AMgB9AFwAXAB0AGkAbQBlAHMAIABNAEMARgBfAHsAaQBtAH0AXABcAHQAaQBtAGUAcwAgAFwAXAByAGgAbwBcAG4AVgBTAFQAagBtAFQAMgAgAD0AIAB2AG8AbABhAHQAaQBsAGUAIABzAG8AbABpAGQAcwAgAHQAcgBhAG4AcwBmAGUAcgByAGUAZAAgAHQAbwAgAHQAcgBlAGEAdABtAGUAbgB0ACAAcwB0AGEAZwBlACAAMgAgAE0ATQBTACAAOgAgAGsAZwAvAGgAZQBhAGQALwBkAGEAeQBcAG4AQgBPACAAPQAgAGUAbQBpAHMAcwBpAG8AbgBzACAAcABvAHQAZQBuAHQAaQBhAGwAIAA6ACAAbQAzACAAQwBIADQALwBrAGcAIABWAFMAXABuAE0ATQBTAGoAbQBUADIAIAA9ACAAZgByAGEAYwB0AGkAbwBuACAAbwBmACAAbQBhAG4AdQByAGUAIABpAG4AIABlAGEAYwBoACAAcwBlAGMAbwBuAGQAYQByAHkAIABzAHkAcwB0AGUAbQAgADoAIABmAHIAYQBjAHQAaQBvAG4AXABuAE0AQwBGAGkAbQAgAD0AIABtAGUAdABoAGEAbgBlACAAYwBvAG4AdgBlAHIAcwBpAG8AbgAgAGYAYQBjAHQAbwByACAAZgBvAHIAIAB0AGUAbQBwAGUAcgBhAHQAZQAgAHoAbwBuAGUAIABhAG4AZAAgAHMAeQBzAHQAZQBtACAAOgAgAGYAcgBhAGMAdABpAG8AbgBcAG4AcgBoAG8AIAA9ACAAZABlAG4AcwBpAHQAeQAgAG8AZgAgAG0AZQB0AGgAYQBuAGUAIAA6ACAAawBnAC8AbQAzAFwAbgBpACAAPQAgAHMAdABhAHQAZQBcAG4ALQAtAC0ALQAtAC0ALQAtAC0ALQAtAC0ALQAtAC0ALQAtAC0ALQAtAC0ALQAtAC0ALQAtAC0ALQAtAC0ALQAtAC0ALQAtAC0ALQAtAFwAbgAqAC8AXABuAFwAbgBWAEUARQBSAEcAXwA0AF8ANQBfADEAXwAxAF8AXwA2AF8AUwB0AGEAZwBlADIATQBlAHQAaABhAG4AZQBQAHIAbwBkAHUAYwB0AGkAbwBuAFwAbgAgACAAPQBMAEEATQBCAEQAQQAoAFwAbgAgACAAIAAgAFYAUwBUAGoAbQBUADIALAAgAEIATwAsACAATQBNAFMAagBtAFQAMgAsACAATQBDAEYAaQBtACwAIAByAGgAbwAsAFwAbgAgACAAIAAgAEwARQBUACgAXABuACAAIAAgACAAIAAgAFYAUwBUAGoAbQBUADIALAAgAEkARgAoAEkAUwBOAFUATQBCAEUAUgAoAFYAUwBUAGoAbQBUADIAKQAsACAAVgBTAFQAagBtAFQAMgAsACAAMAApACwAXABuACAAIAAgACAAIAAgAE0ATQBTAGoAbQBUADIALAAgAEkARgAoAEkAUwBOAFUATQBCAEUAUgAoAE0ATQBTAGoAbQBUADIAKQAsACAATQBNAFMAagBtAFQAMgAsACAAMAApACwAXABuACAAIAAgACAAIAAgAFYAUwBUAGoAbQBUADIAIAAqACAAQgBPACAAKgAgAE0ATQBTAGoAbQBUADIAIAAqACAATQBDAEYAaQBtACAAKgAgAHIAaABvAFwAbgAgACAAIAAgACkAXABuACAAIAApADsAXABuAFwAbgBWAEUARQBSAEcAXwA0AF8ANQBfADEAXwAxAF8AXwA2AF8AUwB0AGEAZwBlADIATQBlAHQAaABhAG4AZQBQAHIAbwBkAHUAYwB0AGkAbwBuAF8AVABpAHQAbABlAFwAbgAgACAAPQBMAEEATQBCAEQAQQAoAFwAIgBQAHIAbwBkAHUAYwB0AGkAbwBuACAAbwBmACAAbQBlAHQAaABhAG4AZQAgAGkAbgAgAGUAYQBjAGgAIAB0AHIAZQBhAHQAbQBlAG4AdAAgAHMAdABhAGcAZQAgADIAIABNAE0AUwBcACIAKQA7AFwAbgBcAG4AVgBFAEUAUgBHAF8ANABfADUAXwAxAF8AMQBfAF8ANgBfAFMAdABhAGcAZQAyAE0AZQB0AGgAYQBuAGUAUAByAG8AZAB1AGMAdABpAG8AbgBfAFYAYQByAGkAYQBiAGwAZQBcAG4AIAAgAD0ATABBAE0AQgBEAEEAKABcACIATQBpAGoAbQBUADIAXAAiACkAOwBcAG4AXABuAFYARQBFAFIARwBfADQAXwA1AF8AMQBfADEAXwBfADYAXwBTAHQAYQBnAGUAMgBNAGUAdABoAGEAbgBlAFAAcgBvAGQAdQBjAHQAaQBvAG4AXwBVAG4AaQB0AFwAbgAgACAAPQBMAEEATQBCAEQAQQAoAFwAIgBrAGcAIABDAEgANAAvAGgAZQBhAGQALwBkAGEAeQBcACIAKQA7AFwAbgBcAG4AVgBFAEUAUgBHAF8ANABfADUAXwAxAF8AMQBfAF8ANgBfAFMAdABhAGcAZQAyAE0AZQB0AGgAYQBuAGUAUAByAG8AZAB1AGMAdABpAG8AbgBfAFMAbwB1AHIAYwBlAFwAbgAgACAAPQBMAEEATQBCAEQAQQAoAFwAIgBWAEUARQBSAEcAIAAyADAAMgA2ADoAIAA0AC4ANQAuADEALgAxACwAIABFAHEAdQBhAHQAaQBvAG4AIAAoADYAKQBcACIAKQA7AFwAbgBcAG4AVgBFAEUAUgBHAF8ANABfADUAXwAxAF8AMQBfAF8ANgBfAFMAdABhAGcAZQAyAE0AZQB0AGgAYQBuAGUAUAByAG8AZAB1AGMAdABpAG8AbgBfAE4ASQBSAFIAZQBmAGUAcgBlAG4AYwBlAFwAbgAgACAAPQBMAEEATQBCAEQAQQAoAFwAIgBcACIAKQA7AFwAbgBcAG4AVgBFAEUAUgBHAF8ANABfADUAXwAxAF8AMQBfAF8ANgBfAFMAdABhAGcAZQAyAE0AZQB0AGgAYQBuAGUAUAByAG8AZAB1AGMAdABpAG8AbgBfAEwAYQB0AGUAeABFAHEAdQBhAHQAaQBvAG4AXABuACAAIAA9AEwAQQBNAEIARABBACgAXAAiAE0AXwB7AGkAagBtACwAVAA9ADIAfQA9AFYAUwBUAF8AewBqAG0ALABUAD0AMgB9AFwAXAB0AGkAbQBlAHMAIABCAE8AXABcAHQAaQBtAGUAcwAgAE0ATQBTAF8AewBqAG0ALABUAD0AMgB9AFwAXAB0AGkAbQBlAHMAIABNAEMARgBfAHsAaQBtAH0AXABcAHQAaQBtAGUAcwAgAFwAXAByAGgAbwBcACIAKQA7AFwAbgBcAG4AVgBFAEUAUgBHAF8ANABfADUAXwAxAF8AMQBfAF8ANgBfAFMAdABhAGcAZQAyAE0AZQB0AGgAYQBu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FwAIgAsACAAXAAiAGsAZwAvAGgAZQBhAGQALwBkAGEAeQBcACIALAAgAFwAIgBDAGEAbABjAHUAbABhAHQAZQBkACAAZgByAG8AbQAgADQALgA1AC4AMQAuADEAIAAoADcAKQBcACIAOwBcAG4AIAAgACAAIAAgACAAIAAgACAAIABcACIAQgBPAFwAIgAsAFwAIgBlAG0AaQBzAHMAaQBvAG4AcwAgAHAAbwB0AGUAbgB0AGkAYQBsAFwAIgAsACAAXAAiAG0AMwAgAEMASAA0AC8AawBnACAAVgBTAFwAIgAsACAAXAAiAEMAbwBuAHMAdABhAG4AdABcACIAOwBcAG4AIAAgACAAIAAgACAAIAAgACAAIABcACIATQBNAFMAagBtAFQAMgBcACIALABcACIAZgByAGEAYwB0AGkAbwBuACAAbwBmACAAbQBhAG4AdQByAGUAIABpAG4AIABlAGEAYwBoACAAcwBlAGMAbwBuAGQAYQByAHkAIABzAHkAcwB0AGUAbQBcACIALAAgAFwAIgBmAHIAYQBjAHQAaQBvAG4AXAAiACwAIABcACIASQBuAHAAdQB0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XAAiAHMAdABhAHQAZQBcACIALAAgAFwAIgBcACIALAAgAFwAIgBJAG4AcAB1AHQAXAAiAFwAbgAgACAAIAAgACAAIAAgACAAfQAsACAAcgAsACAAYwApAFwAbgAgACAAIAAgACAAIAApAFwAbgAgACAAIAAgACkAXABuACAAIAApADsAXABuAFwAbgBWAEUARQBSAEcAXwA0AF8ANQBfADEAXwAxAF8AXwA2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FwAIgAsACAAXAAiAGsAZwAvAGgAZQBhAGQALwBkAGEAeQBcACIALAAgAFwAIgBDAGEAbABjAHUAbABhAHQAZQBkACAAZgByAG8AbQAgADQALgA1AC4AMQAuADEAIAAoADcAKQBcACIAOwBcAG4AIAAgACAAIAAgACAAIAAgACAAIABcACIAQgBPAFwAIgAsAFwAIgBlAG0AaQBzAHMAaQBvAG4AcwAgAHAAbwB0AGUAbgB0AGkAYQBsAFwAIgAsACAAXAAiAG0AMwAgAEMASAA0AC8AawBnACAAVgBTAFwAIgAsACAAXAAiAEMAbwBuAHMAdABhAG4AdABcACIAOwBcAG4AIAAgACAAIAAgACAAIAAgACAAIABcACIATQBNAFMAagBtAFQAMgBcACIALABcACIAZgByAGEAYwB0AGkAbwBuACAAbwBmACAAbQBhAG4AdQByAGUAIABpAG4AIABlAGEAYwBoACAAcwBlAGMAbwBuAGQAYQByAHkAIABzAHkAcwB0AGUAbQBcACIALAAgAFwAIgBmAHIAYQBjAHQAaQBvAG4AXAAiACwAIABcACIASQBuAHAAdQB0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UAXwAxAF8AMQBfAF8ANwBfAFYAbwBsAGEAdABpAGwAZQBTAG8AbABpAGQAcwBUAHIAYQBuAHMAZgBlAHIAcgBlAGQAUwB0AGEAZwBlADIAXABuAFYAbwBsAGEAdABpAGwAZQAgAHMAbwBsAGkAZABzACAAdAByAGEAbgBzAGYAZQByAHIAZQBkACAAdABvACAAdAByAGUAYQB0AG0AZQBuAHQAIABzAHQAYQBnAGUAIAAyACAATQBNAFMAXABuAFYAUwBUAGkAagBtAFQAMgBcAG4AawBnACAAVgBTAFwAbgBWAFMAVABfAHsAaQBqAG0ALABUAD0AMgB9AD0AVgBTAF8AewBqAH0AXABcAHQAaQBtAGUAcwAgAEYAVgBTAF8AewBqAG0ALABUAD0AMQB9AFwAXAB0AGkAbQBlAHMAKAAxAC0AVgBTAEwAXwB7AG0ALABUAD0AMQB9ACk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VgBTAEw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1AF8AMQBfADEAXwBfADcAXwBWAG8AbABhAHQAaQBsAGUAUwBvAGwAaQBkAHMAVAByAGEAbgBzAGYAZQByAHIAZQBkAFMAdABhAGcAZQAyAFwAbgAgACAAPQBMAEEATQBCAEQAQQAoAFwAbgAgACAAIAAgAFYAUwBqACwAIABGAFYAUwBqAG0AVAAxACwAIABWAFMATABtAFQAMQAsAFwAbgAgACAAIAAgAFYAUwBqACAAKgAgAEYAVgBTAGoAbQBUADEAIAAqACAAKAAxACAALQAgAFYAUwBMAG0AVAAxACkAXABuACAAIAApADsAXABuAFwAbgBWAEUARQBSAEcAXwA0AF8ANQBfADEAXwAxAF8AXwA3AF8AVgBvAGwAYQB0AGkAbABlAFMAbwBsAGkAZABzAFQAcgBhAG4AcwBmAGUAcgByAGUAZABTAHQAYQBnAGUAMgBfAFQAaQB0AGwAZQBcAG4AIAAgAD0ATABBAE0AQgBEAEEAKABcACIAVgBvAGwAYQB0AGkAbABlACAAcwBvAGwAaQBkAHMAIAB0AHIAYQBuAHMAZgBlAHIAcgBlAGQAIAB0AG8AIAB0AHIAZQBhAHQAbQBlAG4AdAAgAHMAdABhAGcAZQAgADIAIABNAE0AUwBcACIAKQA7AFwAbgBcAG4AVgBFAEUAUgBHAF8ANABfADUAXwAxAF8AMQBfAF8ANwBfAFYAbwBsAGEAdABpAGwAZQBTAG8AbABpAGQAcwBUAHIAYQBuAHMAZgBlAHIAcgBlAGQAUwB0AGEAZwBlADIAXwBWAGEAcgBpAGEAYgBsAGUAXABuACAAIAA9AEwAQQBNAEIARABBACgAXAAiAFYAUwBUAGkAagBtAFQAMgBcACIAKQA7AFwAbgBcAG4AVgBFAEUAUgBHAF8ANABfADUAXwAxAF8AMQBfAF8ANwBfAFYAbwBsAGEAdABpAGwAZQBTAG8AbABpAGQAcwBUAHIAYQBuAHMAZgBlAHIAcgBlAGQAUwB0AGEAZwBlADIAXwBVAG4AaQB0AFwAbgAgACAAPQBMAEEATQBCAEQAQQAoAFwAIgBrAGcAIABWAFMAXAAiACkAOwBcAG4AXABuAFYARQBFAFIARwBfADQAXwA1AF8AMQBfADEAXwBfADcAXwBWAG8AbABhAHQAaQBsAGUAUwBvAGwAaQBkAHMAVAByAGEAbgBzAGYAZQByAHIAZQBkAFMAdABhAGcAZQAyAF8AUwBvAHUAcgBjAGUAXABuACAAIAA9AEwAQQBNAEIARABBACgAXAAiAFYARQBFAFIARwAgADIAMAAyADYAOgAgADQALgA1AC4AMQAuADEALAAgAEUAcQB1AGEAdABpAG8AbgAgACgANwApAFwAIgApADsAXABuAFwAbgBWAEUARQBSAEcAXwA0AF8ANQBfADEAXwAxAF8AXwA3AF8AVgBvAGwAYQB0AGkAbABlAFMAbwBsAGkAZABzAFQAcgBhAG4AcwBmAGUAcgByAGUAZABTAHQAYQBnAGUAMgBfAE4ASQBSAFIAZQBmAGUAcgBlAG4AYwBlAFwAbgAgACAAPQBMAEEATQBCAEQAQQAoAFwAIgBcACIAKQA7AFwAbgBcAG4AVgBFAEUAUgBHAF8ANABfADUAXwAxAF8AMQBfAF8ANwBfAFYAbwBsAGEAdABpAGwAZQBTAG8AbABpAGQAcwBUAHIAYQBuAHMAZgBlAHIAcgBlAGQAUwB0AGEAZwBlADIAXwBMAGEAdABlAHgARQBxAHUAYQB0AGkAbwBuAFwAbgAgACAAPQBMAEEATQBCAEQAQQAoAFwAIgBWAFMAVABfAHsAaQBqAG0ALABUAD0AMgB9AD0AVgBTAF8AewBqAH0AXABcAHQAaQBtAGUAcwAgAEYAVgBTAF8AewBqAG0ALABUAD0AMQB9AFwAXAB0AGkAbQBlAHMAKAAxAC0AVgBTAEwAXwB7AG0ALABUAD0AMQB9ACkAXAAiACkAOwBcAG4AXABuAFYARQBFAFIARwBfADQAXwA1AF8AMQBfADEAXwBfADcAXwBWAG8AbABhAHQAaQBsAGUAUwBvAGwAaQBkAHMAVAByAGEAbgBzAGYAZQByAHIAZQBkAFMAdABhAGcAZQAyAF8AQQByAGcAdQBtAGUAbgB0AHMAXABuACAAIAA9AEwAQQBNAEIARABBACgAXABuACAAIAAgACAATQBBAEsARQBBAFIAUgBBAFkAKAAzACwAIAA0ACwAXABuACAAIAAgACAAIAAgAEwAQQBNAEIARABBACgAcgAsAGMALABcAG4AIAAgACAAIAAgACAAIAAgAEkATgBEAEUAWAAoAHsAXABuACAAIAAgACAAIAAgACAAIAAgACAAXAAiAFYAUwBqAFwAIgAsAFwAIgB2AG8AbABhAHQAaQBsAGUAIABzAG8AbABpAGQAIABwAHIAbwBkAHUAYwB0AGkAbwBuACAAZgByAG8AbQAgAHMAdwBpAG4AZQAgAGkAbgAgAGUAYQBjAGgAIABjAGwAYQBzAHMAXAAiACwAIABcACIAawBnAC8AaABlAGEAZAAvAGQAYQB5AFwAIgAsACAAXAAiAEkAbgBwAHUAdABcACIAOwBcAG4AIAAgACAAIAAgACAAIAAgACAAIABcACIARgBWAFMAagBtAFQAMQBcACIALABcACIAZgByAGEAYwB0AGkAbwBuACAAbwBmACAAdgBvAGwAYQB0AGkAbABlACAAcwBvAGwAaQBkAHMAIABpAG4AIABlAGEAYwBoACAAcAByAGkAbQBhAHIAeQAgAHMAeQBzAHQAZQBtAFwAIgAsACAAXAAiAGYAcgBhAGMAdABpAG8AbgBcACIALAAgAFwAIgBDAGEAbABjAHUAbABhAHQAZQBkACAAZgByAG8AbQAgADQALgA1AC4AMQAuADEAIAAoADQAKQAoADUAKQBcACIAOwBcAG4AIAAgACAAIAAgACAAIAAgACAAIABcACIAVgBTAEwAbQBUADEAXAAiACwAXAAiAGYAcgBhAGMAdABpAG8AbgAgAG8AZgAgAHYAbwBsAGEAdABpAGwAZQAgAHMAbwBsAGkAZABzACAAbABvAHMAdAAgAGQAdQByAGkAbgBnACAAcwB0AG8AcgBhAGcAZQAgAGkAbgAgAHQAaABlACAAcAByAGkAbQBhAHIAeQAgAHMAeQBzAHQAZQBtAFwAIgAsACAAXAAiAGYAcgBhAGMAdABpAG8AbgBcACIALAAgAFwAIgBMAG8AbwBrAHUAcABcACIAXABuACAAIAAgACAAIAAgACAAIAB9ACwAIAByACwAIABjACkAXABuACAAIAAgACAAIAAgACkAXABuACAAIAAgACAAKQBcAG4AIAAgACkAOwAiAH0ALAB7ACIAcABhAHQAaAAiADoAIgAvAHAAcgBvAGoAZQBjAHQAcwAvAE0ATQBTAF8AUwB3AGkAbgBl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wAgAE0AZQB0AGgAbwBkACAAMQAgAC0AIABNAGEAbgB1AHIAZQAgAEQAaQByAGUAYwB0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bQB9AFwAXABzAHUAbQBfAHsAVAB9ACgATQBOAF8AewBqAG0AVAB9AFwAXAB0AGkAbQBlAHMAIABFAEYAXwB7AGoAbQB9AFwAXAB0AGkAbQBlAHMAIABDAF8AewBOADIATwB9ACkAXABcAHQAaQBtAGUAcwAxADAAXgB7AC0AMwB9AFwAbgBNAE4AXwBqAG0AVAAgAD0AIABuAGkAdAByAG8AZwBlAG4AIABwAGUAcgAgAHMAdwBpAG4AZQAgAGMAbABhAHMAcwAsACAATQBNAFMAIABhAG4AZAAgAHQAcgBlAGEAdABtAGUAbgB0ACAAcwB0AGEAZwBlACAAKABrAGcAIABOACkAXABuAEUARgBfAGoAbQAgAD0AIABuAGkAdAByAG8AdQBzACAAbwB4AGkAZABlACAAZQBtAGkAcwBzAGkAbwBuACAAZgBhAGMAdABvAHIAIABmAG8AcgAgAE0ATQBTACAAKABrAGcAIABOADIATwAtAE4ALwBrAGcAIABO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1AF8AMQBfADMAXwBfADEAXwBUAG8AdABhAGwAQQBuAG4AdQBhAGwARABpAHIAZQBjAHQATgBpAHQAcgBvAHUAcwBPAHgAaQBkAGUARQBtAGkAcwBzAGkAbwBuAHMARgByAG8AbQBNAE0AUwBcAG4AIAAgAD0ATABBAE0AQgBEAEEAKABcAG4AIAAgACAAIABNAE4AXwBqAG0AVAAsACAARQBGAF8AagBtACwAIABDAF8ATgAyAE8ALABcAG4AIAAgACAAIABNAE4AXwBqAG0AVAAgACoAIABFAEYAXwBqAG0AIAAqACAAQwBfAE4AMgBPACAAKgAgADEAMAAgAF4AIAAtADMAXABuACAAIAApADsAXABuAFwAbgBWAEUARQBSAEcAXwA0AF8ANQ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UAXwAxAF8AMwBfAF8AMQBfAFQAbwB0AGEAbABBAG4AbgB1AGEAbABEAGkAcgBlAGMAdABOAGkAdAByAG8AdQBzAE8AeABpAGQAZQBFAG0AaQBzAHMAaQBvAG4AcwBGAHIAbwBtAE0ATQBTAF8AVgBhAHIAaQBhAGIAbABlAFwAbgAgACAAPQBMAEEATQBCAEQAQQAoAFwAIgBFAF8ATgAyAE8AZABpAHIAXAAiACkAOwBcAG4AXABuAFYARQBFAFIARwBfADQAXwA1AF8AMQBfADMAXwBfADEAXwBUAG8AdABhAGwAQQBuAG4AdQBhAGwARABpAHIAZQBjAHQATgBpAHQAcgBvAHUAcwBPAHgAaQBkAGUARQBtAGkAcwBzAGkAbwBuAHMARgByAG8AbQBNAE0AUwBfAFUAbgBpAHQAXABuACAAIAA9AEwAQQBNAEIARABBACgAXAAiAHQAIABOADIATwBcACIAKQA7AFwAbgBcAG4AVgBFAEUAUgBHAF8ANABfADUAXwAxAF8AMwBfAF8AMQBfAFQAbwB0AGEAbABBAG4AbgB1AGEAbABEAGkAcgBlAGMAdABOAGkAdAByAG8AdQBzAE8AeABpAGQAZQBFAG0AaQBzAHMAaQBvAG4AcwBGAHIAbwBtAE0ATQBTAF8AUwBvAHUAcgBjAGUAXABuACAAIAA9AEwAQQBNAEIARABBACgAXAAiAFYARQBFAFIARwAgADIAMAAyADYAOgAgADQALgA1AC4AMQAuADMALAAgAEUAcQB1AGEAdABpAG8AbgAgACgAMQApAFwAIgApADsAXABuAFwAbgBWAEUARQBSAEcAXwA0AF8ANQBfADEAXwAzAF8AXwAxAF8AVABvAHQAYQBsAEEAbgBuAHUAYQBsAEQAaQByAGUAYwB0AE4AaQB0AHIAbwB1AHMATwB4AGkAZABlAEUAbQBpAHMAcwBpAG8AbgBzAEYAcgBvAG0ATQBNAFMAXwBOAEkAUgBSAGUAZgBlAHIAZQBuAGMAZQBcAG4AIAAgAD0ATABBAE0AQgBEAEEAKABcACIAXAAiACkAOwBcAG4AXABuAFYARQBFAFIARwBfADQAXwA1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bQB9AFwAXABzAHUAbQBfAHsAVAB9ACgATQBOAF8AewBqAG0AVAB9AFwAXAB0AGkAbQBlAHMAIABFAEYAXwB7AGoAbQB9AFwAXAB0AGkAbQBlAHMAIABDAF8AewBOADIATwB9ACkAXABcAHQAaQBtAGUAcwAxADAAXgB7AC0AMwB9AFwAIgApADsAXABuAFwAbgBWAEUARQBSAEcAXwA0AF8ANQBfADEAXwAzAF8AXwAxAF8AVABvAHQAYQBsAEEAbgBuAHUAYQBsAEQAaQByAGUAYwB0AE4AaQB0AHIAbwB1AHMATwB4AGkAZABlAEUAbQBpAHMAcwBpAG8AbgBzAEYAcgBvAG0ATQBNAFMAXwBBAHIAZwB1AG0AZQBuAHQAcwBcAG4AIAAgAD0ATABBAE0AQgBEAEEAKABcAG4AIAAgACAAIABNAEEASwBFAEEAUgBSAEEAWQAoADM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FAEYAXwBqAG0AXAAiACwAIABcACIAbgBpAHQAcgBvAHUAcwAgAG8AeABpAGQAZQAgAGUAbQBpAHMAcwBpAG8AbgAgAGYAYQBjAHQAbwByACAAZgBvAHIAIABNAE0AUwBcACIALAAgAFwAIgBrAGcAIABOADIATwAtAE4ALwBrAGcAIABO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IAXwBTAHQAYQBnAGUAMQBOAGkAdAByAG8AZwBlAG4ASQBuAE0ATQBTAFwAbgBOAGkAdAByAG8AZwBlAG4AIABpAG4AIAB0AHIAZQBhAHQAbQBlAG4AdAAgAHMAdABhAGcAZQAgADEAIABNAE0AUwBcAG4ATQBOAF8AagBtAFQAMQBcAG4AawBnACAATgBcAG4ATQBOAF8AewBqAG0ALABUAD0AMQB9AD0AQQBFAF8AewBqAH0AXABcAHQAaQBtAGUAcwAgAEYATgBfAHsAagBtACwAVAA9ADEAfQBcAG4AQQBFAF8AagAgAD0AIAB0AG8AdABhAGwAIABuAGkAdAByAG8AZwBlAG4AIABlAHgAYwByAGUAdABlAGQAIABiAHkAIABlAGEAYwBoACAAcwB3AGkAbgBlACAAYwBsAGEAcwBzACAAKABrAGcAIABOACkAXABuAEYATgBfAGoAbQBUADEAIAA9ACAAZgByAGEAYwB0AGkAbwBuACAAbwBmACAAbgBpAHQAcgBvAGcAZQBuACAAaQBuACAAZQBhAGMAaAAgAHAAcgBpAG0AYQByAHkAIABNAE0AUwAgAHMAeQBzAHQAZQBtAFwAbgAtAC0ALQAtAC0ALQAtAC0ALQAtAC0ALQAtAC0ALQAtAC0ALQAtAC0ALQAtAC0ALQAtAC0ALQAtAC0ALQAtAC0ALQAtAC0ALQAtAC0AXABuACoALwBcAG4AXABuAFYARQBFAFIARwBfADQAXwA1AF8AMQBfADMAXwBfADIAXwBTAHQAYQBnAGUAMQBOAGkAdAByAG8AZwBlAG4ASQBuAE0ATQBTAFwAbgAgACAAPQBMAEEATQBCAEQAQQAoAFwAbgAgACAAIAAgAEEARQBfAGoALAAgAEYATgBfAGoAbQBUADEALABcAG4AIAAgACAAIABBAEUAXwBqACAAKgAgAEYATgBfAGoAbQBUADEAXABuACAAIAApADsAXABuAFwAbgBWAEUARQBSAEcAXwA0AF8ANQBfADEAXwAzAF8AXwAyAF8AUwB0AGEAZwBlADEATgBpAHQAcgBvAGcAZQBuAEkAbgBNAE0AUwBfAFQAaQB0AGwAZQBcAG4AIAAgAD0ATABBAE0AQgBEAEEAKABcACIATgBpAHQAcgBvAGcAZQBuACAAaQBuACAAdAByAGUAYQB0AG0AZQBuAHQAIABzAHQAYQBnAGUAIAAxACAATQBNAFMAXAAiACkAOwBcAG4AXABuAFYARQBFAFIARwBfADQAXwA1AF8AMQBfADMAXwBfADIAXwBTAHQAYQBnAGUAMQBOAGkAdAByAG8AZwBlAG4ASQBuAE0ATQBTAF8AVgBhAHIAaQBhAGIAbABlAFwAbgAgACAAPQBMAEEATQBCAEQAQQAoAFwAIgBNAE4AXwBqAG0AVAAxAFwAIgApADsAXABuAFwAbgBWAEUARQBSAEcAXwA0AF8ANQBfADEAXwAzAF8AXwAyAF8AUwB0AGEAZwBlADEATgBpAHQAcgBvAGcAZQBuAEkAbgBNAE0AUwBfAFUAbgBpAHQAXABuACAAIAA9AEwAQQBNAEIARABBACgAXAAiAGsAZwAgAE4AXAAiACkAOwBcAG4AXABuAFYARQBFAFIARwBfADQAXwA1AF8AMQBfADMAXwBfADIAXwBTAHQAYQBnAGUAMQBOAGkAdAByAG8AZwBlAG4ASQBuAE0ATQBTAF8AUwBvAHUAcgBjAGUAXABuACAAIAA9AEwAQQBNAEIARABBACgAXAAiAFYARQBFAFIARwAgADIAMAAyADYAOgAgADQALgA1AC4AMQAuADMALAAgAEUAcQB1AGEAdABpAG8AbgAgACgAMgApAFwAIgApADsAXABuAFwAbgBWAEUARQBSAEcAXwA0AF8ANQBfADEAXwAzAF8AXwAyAF8AUwB0AGEAZwBlADEATgBpAHQAcgBvAGcAZQBuAEkAbgBNAE0AUwBfAE4ASQBSAFIAZQBmAGUAcgBlAG4AYwBlAFwAbgAgACAAPQBMAEEATQBCAEQAQQAoAFwAIgBcACIAKQA7AFwAbgBcAG4AVgBFAEUAUgBHAF8ANABfADUAXwAxAF8AMwBfAF8AMgBfAFMAdABhAGcAZQAxAE4AaQB0AHIAbwBnAGUAbgBJAG4ATQBNAFMAXwBMAGEAdABlAHgARQBxAHUAYQB0AGkAbwBuAFwAbgAgACAAPQBMAEEATQBCAEQAQQAoAFwAIgBNAE4AXwB7AGoAbQAsAFQAPQAxAH0APQBBAEUAXwB7AGoAfQBcAFwAdABpAG0AZQBzACAARgBOAF8AewBqAG0ALABUAD0AMQB9AFwAIgApADsAXABuAFwAbgBWAEUARQBSAEcAXwA0AF8ANQBfADEAXwAzAF8AXwAyAF8AUwB0AGEAZwBlADE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zAHcAaQBuAGUAIABjAGwAYQBzAHMAXAAiACwAIABcACIAawBnACAATgBcACIALAAgAFwAIgBDAGEAbABjAHUAbABhAHQAZQBkACAAZgByAG8AbQAgADQALgA1AC4AMQAuADMAIAAoADUAKQBcACIAOwBcAG4AIAAgACAAIAAgACAAIAAgACAAIABcACIARgBOAF8AagBtAFQAMQBcACIALAAgAFwAIgBmAHIAYQBjAHQAaQBvAG4AIABvAGYAIABuAGkAdAByAG8AZwBlAG4AIABpAG4AIABlAGEAYwBoACAAcAByAGkAbQBhAHIAeQAgAE0ATQBTACAAcwB5AHMAdABlAG0AXAAiACwAIABcACIAZgByAGEAYwB0AGkAbwBuAFwAIgAsACAAXAAiAEMAYQBsAGMAdQBsAGEAdABlAGQAIABmAHIAbwBtACAANAAuADUALgAxAC4AMwAgACgAMwApACgANAAp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MAXwBGAHIAYQBjAHQAaQBvAG4ATwBmAE4AaQB0AHIAbwBnAGUAbgBJAG4AUAByAGkAbQBhAHIAeQBNAE0AUwBcAG4ARgByAGEAYwB0AGkAbwBuACAAbwBmACAAbgBpAHQAcgBvAGcAZQBuACAAaQBuACAAZQBhAGMAaAAgAHAAcgBpAG0AYQByAHkAIABNAE0AUwAgACgAZQB4AGMAbAB1AGQAaQBuAGcAIABzAG8AbABpAGQAIABzAHQAbwByAGEAZwBlACkAXABuAEYATgBfAGoAbQBUADEAXABuAGYAcgBhAGMAdABpAG8AbgBcAG4ARgBOAF8AewBqAG0ALABUAD0AMQB9AD0ATQBNAFMAXwB7AGoAbQAsAFQAPQAxAH0AXABcAHQAaQBtAGUAcwAoADEALQBTAE4AXwB7AG0AfQApAFwAbgBNAE0AUwBfAGoAbQBUADEAIAA9ACAAZgByAGEAYwB0AGkAbwBuACAAbwBmACAAbQBhAG4AdQByAGUAIABpAG4AIABwAHIAaQBtAGEAcgB5ACAATQBNAFM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MwBfAEYAcgBhAGMAdABpAG8AbgBPAGYATgBpAHQAcgBvAGcAZQBuAEkAbgBQAHIAaQBtAGEAcgB5AE0ATQBTAFwAbgAgACAAPQBMAEEATQBCAEQAQQAoAFwAbgAgACAAIAAgAE0ATQBTAF8AagBtAFQAMQAsACAAUwBOAF8AbQAsAFwAbgAgACAAIAAgAE0ATQBTAF8AagBtAFQAMQAgACoAIAAoADEAIAAtACAAUwBOAF8AbQApAFwAbgAgACAAKQA7AFwAbgBcAG4AVgBFAEUAUgBHAF8ANABfADUAXwAxAF8AMwBfAF8AMwBfAEYAcgBhAGMAdABpAG8AbgBPAGYATgBpAHQAcgBvAGcAZQBuAEkAbgBQAHIAaQBtAGEAcgB5AE0ATQBTAF8AVABpAHQAbABlAFwAbgAgACAAPQBMAEEATQBCAEQAQQAoAFwAIgBGAHIAYQBjAHQAaQBvAG4AIABvAGYAIABuAGkAdAByAG8AZwBlAG4AIABpAG4AIABlAGEAYwBoACAAcAByAGkAbQBhAHIAeQAgAE0ATQBTACAAKABlAHgAYwBsAHUAZABpAG4AZwAgAHMAbwBsAGkAZAAgAHMAdABvAHIAYQBnAGUAKQBcACIAKQA7AFwAbgBcAG4AVgBFAEUAUgBHAF8ANABfADUAXwAxAF8AMwBfAF8AMwBfAEYAcgBhAGMAdABpAG8AbgBPAGYATgBpAHQAcgBvAGcAZQBuAEkAbgBQAHIAaQBtAGEAcgB5AE0ATQBTAF8AVgBhAHIAaQBhAGIAbABlAFwAbgAgACAAPQBMAEEATQBCAEQAQQAoAFwAIgBGAE4AXwBqAG0AVAAxAFwAIgApADsAXABuAFwAbgBWAEUARQBSAEcAXwA0AF8ANQBfADEAXwAzAF8AXwAzAF8ARgByAGEAYwB0AGkAbwBuAE8AZgBOAGkAdAByAG8AZwBlAG4ASQBuAFAAcgBpAG0AYQByAHkATQBNAFMAXwBVAG4AaQB0AFwAbgAgACAAPQBMAEEATQBCAEQAQQAoAFwAIgBmAHIAYQBjAHQAaQBvAG4AXAAiACkAOwBcAG4AXABuAFYARQBFAFIARwBfADQAXwA1AF8AMQBfADMAXwBfADMAXwBGAHIAYQBjAHQAaQBvAG4ATwBmAE4AaQB0AHIAbwBnAGUAbgBJAG4AUAByAGkAbQBhAHIAeQBNAE0AUwBfAFMAbwB1AHIAYwBlAFwAbgAgACAAPQBMAEEATQBCAEQAQQAoAFwAIgBWAEUARQBSAEcAIAAyADAAMgA2ADoAIAA0AC4ANQAuADEALgAzACwAIABFAHEAdQBhAHQAaQBvAG4AIAAoADMAKQBcACIAKQA7AFwAbgBcAG4AVgBFAEUAUgBHAF8ANABfADUAXwAxAF8AMwBfAF8AMwBfAEYAcgBhAGMAdABpAG8AbgBPAGYATgBpAHQAcgBvAGcAZQBuAEkAbgBQAHIAaQBtAGEAcgB5AE0ATQBTAF8ATgBJAFIAUgBlAGYAZQByAGUAbgBjAGUAXABuACAAIAA9AEwAQQBNAEIARABBACgAXAAiAFwAIgApADsAXABuAFwAbgBWAEUARQBSAEcAXwA0AF8ANQBfADEAXwAzAF8AXwAzAF8ARgByAGEAYwB0AGkAbwBuAE8AZgBOAGkAdAByAG8AZwBlAG4ASQBuAFAAcgBpAG0AYQByAHkATQBNAFMAXwBMAGEAdABlAHgARQBxAHUAYQB0AGkAbwBuAFwAbgAgACAAPQBMAEEATQBCAEQAQQAoAFwAIgBGAE4AXwB7AGoAbQAsAFQAPQAxAH0APQBNAE0AUwBfAHsAagBtACwAVAA9ADEAfQBcAFwAdABpAG0AZQBzACgAMQAtAFMATgBfAHsAbQB9ACkAXAAiACkAOwBcAG4AXABuAFYARQBFAFIARwBfADQAXwA1AF8AMQBfADMAXwBfADMAXwBGAHIAYQBjAHQAaQBvAG4ATwBmAE4AaQB0AHIAbwBnAGUAbgBJAG4AUAByAGkAbQBhAHIAeQBNAE0AUwBfAEEAcgBnAHUAbQBlAG4AdABzAFwAbgAgACAAPQBMAEEATQBCAEQAQQAoAFwAbgAgACAAIAAgAE0AQQBLAEUAQQBSAFIAQQBZACgAMgAsACAANAAsAFwAbgAgACAAIAAgACAAIABMAEEATQBCAEQAQQAoAHIALABjACwAXABuACAAIAAgACAAIAAgACAAIABJAE4ARABFAFgAKAB7AFwAbgAgACAAIAAgACAAIAAgACAAIAAgAFwAIgBNAE0AUwBfAGoAbQBUADEAXAAiACwAIABcACIAZgByAGEAYwB0AGkAbwBuACAAbwBmACAAbQBhAG4AdQByAGUAIABpAG4AIABwAHIAaQBtAGEAcgB5ACAATQBNAFMAXAAiACwAIABcACIAZgByAGEAYwB0AGkAbwBuAFwAIgAsACAAXAAiAEkAbgBwAHUAdABcACIAOwBcAG4AIAAgACAAIAAgACAAIAAgACAAIABcACIAUwBOAF8AbQBcACIALAAgAFwAIgBmAHIAYQBjAHQAaQBvAG4AIABvAGYAIABuAGkAdAByAG8AZwBlAG4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QAXwBGAHIAYQBjAHQAaQBvAG4ATwBmAE4AaQB0AHIAbwBnAGUAbgBJAG4AUwBvAGwAaQBkAFMAdABvAHIAYQBnAGUAXABuAEYAcgBhAGMAdABpAG8AbgAgAG8AZgAgAG4AaQB0AHIAbwBnAGUAbgAgAGkAbgAgAHMAbwBsAGkAZAAgAHMAdABvAHIAYQBnAGUAXABuAEYATgBfAGoAbQA0AFQAMQBcAG4AZgByAGEAYwB0AGkAbwBuAFwAbgBGAE4AXwB7AGoAbQA9ADQALABUAD0AMQB9AD0ATQBNAFMAXwB7AGoAbQA9ADQALABUAD0AMQB9ACsAKABNAE0AUwBfAHsAagBtAD0AMQAsADcALAA5ACwAVAA9ADEAfQBcAFwAdABpAG0AZQBzACAAUwBOAF8AewBtAH0AKQBcAG4ATQBNAFMAXwBqAG0ANABUADEAIAA9ACAAZgByAGEAYwB0AGkAbwBuACAAbwBmACAAbQBhAG4AdQByAGUAIABpAG4AIABzAG8AbABpAGQAIABzAHQAbwByAGEAZwBlACAATQBNAFMAXABuAE0ATQBTAF8AagBtADEANwA5AFQAMQAgAD0AIABmAHIAYQBjAHQAaQBvAG4AIABvAGYAIABtAGEAbgB1AHIAZQAgAGkAbgAgAHAAcgBpAG0AYQByAHkAIABsAGkAcQB1AGkAZAAgAHMAeQBzAHQAZQBtAHMAIAAoAG0APQAxACwANwAsADkAKQBcAG4AUwBOAF8AbQAgAD0AIABmAHIAYQBjAHQAaQBvAG4AIABvAGYAIABuAGkAdAByAG8AZwBlAG4AIABzAGUAcABhAHIAYQB0AGUAZAAgAHQAbwAgAHMAbwBsAGkAZAAgAHMAdABvAHIAYQBnAGUAIABmAG8AcgAgAGUAYQBjAGgAIABNAE0AUwBcAG4ALQAtAC0ALQAtAC0ALQAtAC0ALQAtAC0ALQAtAC0ALQAtAC0ALQAtAC0ALQAtAC0ALQAtAC0ALQAtAC0ALQAtAC0ALQAtAC0ALQAtAFwAbgAqAC8AXABuAFwAbgBWAEUARQBSAEcAXwA0AF8ANQBfADEAXwAzAF8AXwA0AF8ARgByAGEAYwB0AGkAbwBuAE8AZgBOAGkAdAByAG8AZwBlAG4ASQBuAFMAbwBsAGkAZABTAHQAbwByAGEAZwBlAFwAbgAgACAAPQBMAEEATQBCAEQAQQAoAFwAbgAgACAAIAAgAE0ATQBTAF8AagBtADQAVAAxACwAIABNAE0AUwBfAGoAbQAxADcAOQBUADEALAAgAFMATgBfAG0ALABcAG4AIAAgACAAIABNAE0AUwBfAGoAbQA0AFQAMQAgACsAIAAoAE0ATQBTAF8AagBtADEANwA5AFQAMQAgACoAIABTAE4AXwBtACkAXABuACAAIAApADsAXABuAFwAbgBWAEUARQBSAEcAXwA0AF8ANQBfADEAXwAzAF8AXwA0AF8ARgByAGEAYwB0AGkAbwBuAE8AZgBOAGkAdAByAG8AZwBlAG4ASQBuAFMAbwBsAGkAZABTAHQAbwByAGEAZwBlAFYAYQByAGkAYQB0AGkAbwBuAFwAbgAgACAAPQBMAEEATQBCAEQAQQAoAFwAbgAgACAAIAAgAE0ATQBTAF8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BNAE0AUwBfAGoAbQA0AFQAMQAgACsAIAAoAE0ATQBTAGoAbQBUADEAXwAxACAAKgAgAFMAUwBqAG0AVAAxAF8AMQApACAAKwAgACgATQBNAFMAagBtAFQAMQBfADIAIAAqACAAUwBTAGoAbQBUADEAXwAyACkAIAArACAAKABNAE0AUwBqAG0AVAAxAF8AMwAgACoAIABTAFMAagBtAFQAMQBfADMAKQAgACsAIAAoAE0ATQBTAGoAbQBUADEAXwA0ACAAKgAgAFMAUwBqAG0AVAAxAF8ANAApACAAKwAgACgATQBNAFMAagBtAFQAMQBfADUAIAAqACAAUwBTAGoAbQBUADEAXwA1ACkAXABuACAAIAApADsAXABuAFwAbgBWAEUARQBSAEcAXwA0AF8ANQBfADEAXwAzAF8AXwA0AF8ARgByAGEAYwB0AGkAbwBuAE8AZgBOAGkAdAByAG8AZwBlAG4ASQBuAFMAbwBsAGkAZABTAHQAbwByAGEAZwBlAF8AVABpAHQAbABlAFwAbgAgACAAPQBMAEEATQBCAEQAQQAoAFwAIgBGAHIAYQBjAHQAaQBvAG4AIABvAGYAIABuAGkAdAByAG8AZwBlAG4AIABpAG4AIABzAG8AbABpAGQAIABzAHQAbwByAGEAZwBlAFwAIgApADsAXABuAFwAbgBWAEUARQBSAEcAXwA0AF8ANQBfADEAXwAzAF8AXwA0AF8ARgByAGEAYwB0AGkAbwBuAE8AZgBOAGkAdAByAG8AZwBlAG4ASQBuAFMAbwBsAGkAZABTAHQAbwByAGEAZwBlAF8AVgBhAHIAaQBhAGIAbABlAFwAbgAgACAAPQBMAEEATQBCAEQAQQAoAFwAIgBGAE4AXwBqAG0ANABUADEAXAAiACkAOwBcAG4AXABuAFYARQBFAFIARwBfADQAXwA1AF8AMQBfADMAXwBfADQAXwBGAHIAYQBjAHQAaQBvAG4ATwBmAE4AaQB0AHIAbwBnAGUAbgBJAG4AUwBvAGwAaQBkAFMAdABvAHIAYQBnAGUAXwBVAG4AaQB0AFwAbgAgACAAPQBMAEEATQBCAEQAQQAoAFwAIgBmAHIAYQBjAHQAaQBvAG4AXAAiACkAOwBcAG4AXABuAFYARQBFAFIARwBfADQAXwA1AF8AMQBfADMAXwBfADQAXwBGAHIAYQBjAHQAaQBvAG4ATwBmAE4AaQB0AHIAbwBnAGUAbgBJAG4AUwBvAGwAaQBkAFMAdABvAHIAYQBnAGUAXwBTAG8AdQByAGMAZQBcAG4AIAAgAD0ATABBAE0AQgBEAEEAKABcACIAVgBFAEUAUgBHACAAMgAwADIANgA6ACAANAAuADUALgAxAC4AMwAsACAARQBxAHUAYQB0AGkAbwBuACAAKAA0ACkAXAAiACkAOwBcAG4AXABuAFYARQBFAFIARwBfADQAXwA1AF8AMQBfADMAXwBfADQAXwBGAHIAYQBjAHQAaQBvAG4ATwBmAE4AaQB0AHIAbwBnAGUAbgBJAG4AUwBvAGwAaQBkAFMAdABvAHIAYQBnAGUAXwBOAEkAUgBSAGUAZgBlAHIAZQBuAGMAZQBcAG4AIAAgAD0ATABBAE0AQgBEAEEAKABcACIAXAAiACkAOwBcAG4AXABuAFYARQBFAFIARwBfADQAXwA1AF8AMQBfADMAXwBfADQAXwBGAHIAYQBjAHQAaQBvAG4ATwBmAE4AaQB0AHIAbwBnAGUAbgBJAG4AUwBvAGwAaQBkAFMAdABvAHIAYQBnAGUAXwBMAGEAdABlAHgARQBxAHUAYQB0AGkAbwBuAFwAbgAgACAAPQBMAEEATQBCAEQAQQAoAFwAIgBGAE4AXwB7AGoAbQA9ADQALABUAD0AMQB9AD0ATQBNAFMAXwB7AGoAbQA9ADQALABUAD0AMQB9ACsAKABNAE0AUwBfAHsAagBtAD0AMQAsADcALAA5ACwAVAA9ADEAfQBcAFwAdABpAG0AZQBzACAAUwBOAF8AewBtAH0AKQBcACIAKQA7AFwAbgBcAG4AVgBFAEUAUgBHAF8ANABfADUAXwAxAF8AMwBfAF8ANABfAEYAcgBhAGMAdABpAG8AbgBPAGYATgBpAHQAcgBvAGcAZQBuAEkAbgBTAG8AbABpAGQAUwB0AG8AcgBhAGcAZQBfAEwAYQB0AGUAeABFAHEAdQBhAHQAaQBvAG4AVgBhAHIAaQBhAHQAaQBvAG4AXABuACAAIAA9AEwAQQBNAEIARABBACgAXAAiAEYATgBfAHsAagBtAD0ANAAsAFQAPQAxAH0APQBNAE0AUwBfAHsAagBtAD0ANAAsAFQAPQAxAH0AKwAoAE0ATQBTAF8AewBqACwAbQA9ADEALABUAD0AMQB9AFwAXAB0AGkAbQBlAHMAIABTAFMAXwB7AG0APQAxACwAVAA9ADEAfQApACsAKABNAE0AUwBfAHsAagAsAG0APQA3ACwAVAA9ADEAfQBcAFwAdABpAG0AZQBzACAAUwBTAF8AewBtAD0ANwAsAFQAPQAxAH0AKQArACgATQBNAFMAXwB7AGoALABtAD0AOQAsAFQAPQAxAH0AXABcAHQAaQBtAGUAcwAgAFMAUwBfAHsAbQA9ADkALABUAD0AMQB9ACkAXAAiACkAOwBcAG4AXABuAFYARQBFAFIARwBfADQAXwA1AF8AMQBfADMAXwBfADQAXwBGAHIAYQBjAHQAaQBvAG4ATwBmAE4AaQB0AHIAbwBnAGUAbgBJAG4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XwBqAG0ANABUADEAXAAiACwAIABcACIAZgByAGEAYwB0AGkAbwBuACAAbwBmACAAbQBhAG4AdQByAGUAIABpAG4AIABzAG8AbABpAGQAIABzAHQAbwByAGEAZwBlACAATQBNAFMAXAAiACwAIABcACIAZgByAGEAYwB0AGkAbwBuAFwAIgAsACAAXAAiAEkAbgBwAHUAdABcACIAOwBcAG4AIAAgACAAIAAgACAAIAAgACAAIABcACIATQBNAFMAXwBqAG0AMQA3ADkAVAAxAFwAIgAsACAAXAAiAGYAcgBhAGMAdABpAG8AbgAgAG8AZgAgAG0AYQBuAHUAcgBlACAAaQBuACAAcAByAGkAbQBhAHIAeQAgAGwAaQBxAHUAaQBkACAAcwB5AHMAdABlAG0AcwAgACgAbQA9ADEALAA3ACwAOQAp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MAXwBfADQAXwBGAHIAYQBjAHQAaQBvAG4ATwBmAE4AaQB0AHIAbwBnAGUAbgBJAG4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FwAbgAvACoAXABuAC0ALQAtAC0ALQAtAC0ALQAtAC0ALQAtAC0ALQAtAC0ALQAtAC0ALQAtAC0ALQAtAC0ALQAtAC0ALQAtAC0ALQAtAC0ALQAtAC0ALQBcAG4AVgBFAEUAUgBHAF8ANABfADUAXwAxAF8AMwBfAF8ANQBfAEEAbgBuAHUAYQBsAE4AaQB0AHIAbwBnAGUAbgBFAHgAYwByAGUAdABpAG8AbgBcAG4AQQBuAG4AdQBhAGwAIABuAGkAdAByAG8AZwBlAG4AIABlAHgAYwByAGUAdABpAG8AbgAgAGYAcgBvAG0AIABlAGEAYwBoACAAcwB3AGkAbgBlACAAZwByAG8AdQBwAFwAbgBBAEUAXwBqAFwAbgBrAGcAIABOAFwAbgBBAEUAXwB7AGoAfQA9AE4AXwB7AGoAfQBcAFwAdABpAG0AZQBzACAATgBXAF8AewBqAH0AXABcAHQAaQBtAGUAcwAgAEQAXwB7AGoAfQBcAG4ATgBfAGoAIAA9ACAAbgB1AG0AYgBlAHIAIABvAGYAIABzAHcAaQBuAGUAIABpAG4AIABlAGEAYwBoACAAZwByAG8AdQBwACAAKABoAGUAYQBkACkAXABuAE4AVwBfAGoAIAA9ACAAbgBpAHQAcgBvAGcAZQBuACAAcAByAG8AZAB1AGMAZQBkACAAaQBuACAAcwB3AGkAbgBlACAAbQBhAG4AdQByAGUAIABhAG4AZAAgAHcAYQBzAHQAZQAgAGYAZQBlAGQAIABpAG4AIABlAGEAYwBoACAAYwBsAGEAcwBzACAAKABrAGcAIABOAC8AaABlAGEAZAAvAGQAYQB5ACkAXABuAEQAXwBqACAAPQAgAGQAdQByAGEAdABpAG8AbgAgAG8AZgAgAHMAdABhAHkAIABvAGYAIABzAHcAaQBuAGUAIABnAHIAbwB1AHAAIAAoAGQAYQB5AHMAKQBcAG4ALQAtAC0ALQAtAC0ALQAtAC0ALQAtAC0ALQAtAC0ALQAtAC0ALQAtAC0ALQAtAC0ALQAtAC0ALQAtAC0ALQAtAC0ALQAtAC0ALQAtAFwAbgAqAC8AXABuAFwAbgBWAEUARQBSAEcAXwA0AF8ANQBfADEAXwAzAF8AXwA1AF8AQQBuAG4AdQBhAGwATgBpAHQAcgBvAGcAZQBuAEUAeABjAHIAZQB0AGkAbwBuAFwAbgAgACAAPQBMAEEATQBCAEQAQQAoAFwAbgAgACAAIAAgAE4AXwBqACwAIABOAFcAXwBqACwAIABEAF8AagAsAFwAbgAgACAAIAAgAE4AXwBqACAAKgAgAE4AVwBfAGoAIAAqACAARABfAGoAXABuACAAIAApADsAXABuAFwAbgBWAEUARQBSAEcAXwA0AF8ANQBfADEAXwAzAF8AXwA1AF8AQQBuAG4AdQBhAGwATgBpAHQAcgBvAGcAZQBuAEUAeABjAHIAZQB0AGkAbwBuAF8AVABpAHQAbABlAFwAbgAgACAAPQBMAEEATQBCAEQAQQAoAFwAIgBBAG4AbgB1AGEAbAAgAG4AaQB0AHIAbwBnAGUAbgAgAGUAeABjAHIAZQB0AGkAbwBuACAAZgByAG8AbQAgAGUAYQBjAGgAIABzAHcAaQBuAGUAIABnAHIAbwB1AHAAXAAiACkAOwBcAG4AXABuAFYARQBFAFIARwBfADQAXwA1AF8AMQBfADMAXwBfADUAXwBBAG4AbgB1AGEAbABOAGkAdAByAG8AZwBlAG4ARQB4AGMAcgBlAHQAaQBvAG4AXwBWAGEAcgBpAGEAYgBsAGUAXABuACAAIAA9AEwAQQBNAEIARABBACgAXAAiAEEARQBfAGoAXAAiACkAOwBcAG4AXABuAFYARQBFAFIARwBfADQAXwA1AF8AMQBfADMAXwBfADUAXwBBAG4AbgB1AGEAbABOAGkAdAByAG8AZwBlAG4ARQB4AGMAcgBlAHQAaQBvAG4AXwBVAG4AaQB0AFwAbgAgACAAPQBMAEEATQBCAEQAQQAoAFwAIgBrAGcAIABOAFwAIgApADsAXABuAFwAbgBWAEUARQBSAEcAXwA0AF8ANQBfADEAXwAzAF8AXwA1AF8AQQBuAG4AdQBhAGwATgBpAHQAcgBvAGcAZQBuAEUAeABjAHIAZQB0AGkAbwBuAF8AUwBvAHUAcgBjAGUAXABuACAAIAA9AEwAQQBNAEIARABBACgAXAAiAFYARQBFAFIARwAgADIAMAAyADYAOgAgADQALgA1AC4AMQAuADMALAAgAEUAcQB1AGEAdABpAG8AbgAgACgANQApAFwAIgApADsAXABuAFwAbgBWAEUARQBSAEcAXwA0AF8ANQBfADEAXwAzAF8AXwA1AF8AQQBuAG4AdQBhAGwATgBpAHQAcgBvAGcAZQBuAEUAeABjAHIAZQB0AGkAbwBuAF8ATgBJAFIAUgBlAGYAZQByAGUAbgBjAGUAXABuACAAIAA9AEwAQQBNAEIARABBACgAXAAiAFwAIgApADsAXABuAFwAbgBWAEUARQBSAEcAXwA0AF8ANQBfADEAXwAzAF8AXwA1AF8AQQBuAG4AdQBhAGwATgBpAHQAcgBvAGcAZQBuAEUAeABjAHIAZQB0AGkAbwBuAF8ATABhAHQAZQB4AEUAcQB1AGEAdABpAG8AbgBcAG4AIAAgAD0ATABBAE0AQgBEAEEAKABcACIAQQBFAF8AewBqAH0APQBOAF8AewBqAH0AXABcAHQAaQBtAGUAcwAgAE4AVwBfAHsAagB9AFwAXAB0AGkAbQBlAHMAIABEAF8AewBqAH0AXAAiACkAOwBcAG4AXABuAFYARQBFAFIARwBfADQAXwA1AF8AMQBfADMAXwBfADU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IABvAGYAIABzAHcAaQBuAGUAIABpAG4AIABlAGEAYwBoACAAZwByAG8AdQBwAFwAIgAsACAAXAAiAGgAZQBhAGQAXAAiACwAIABcACIASQBuAHAAdQB0AFwAIgA7AFwAbgAgACAAIAAgACAAIAAgACAAIAAgAFwAIgBOAFcAXwBqAFwAIgAsACAAXAAiAG4AaQB0AHIAbwBnAGUAbgAgAHAAcgBvAGQAdQBjAGUAZAAgAGkAbgAgAHMAdwBpAG4AZQAgAG0AYQBuAHUAcgBlACAAYQBuAGQAIAB3AGEAcwB0AGUAIABmAGUAZQBkACAAaQBuACAAZQBhAGMAaAAgAGMAbABhAHMAcwBcACIALAAgAFwAIgBrAGcAIABOAC8AaABlAGEAZAAvAGQAYQB5AFwAIgAsACAAXAAiAEkAbgBwAHUAdABcACIAOwBcAG4AIAAgACAAIAAgACAAIAAgACAAIABcACIARABfAGoAXAAiACwAIABcACIAZAB1AHIAYQB0AGkAbwBuACAAbwBmACAAcwB0AGEAeQAgAG8AZgAgAHMAdwBpAG4AZQAgAGcAcgBvAHUAcA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KABrAGcAIABOACkAXABuAE0ATQBTAF8AagBtAFQAMgAgAD0AIABmAHIAYQBjAHQAaQBvAG4AIABvAGYAIABtAGEAbgB1AHIAZQAgAGkAbgAgAGUAYQBjAGgAIABzAGUAYwBvAG4AZABhAHIAeQAgAHMAeQBzAHQAZQBtAFwAbgAtAC0ALQAtAC0ALQAtAC0ALQAtAC0ALQAtAC0ALQAtAC0ALQAtAC0ALQAtAC0ALQAtAC0ALQAtAC0ALQAtAC0ALQAtAC0ALQAtAC0AXABuACoALwBcAG4AXABuAFYARQBFAFIARwBfADQAXwA1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UAXwAxAF8AMwBfAF8ANgBfAFMAdABhAGcAZQAyAE4AaQB0AHIAbwBnAGUAbgBJAG4ATQBNAFMAXwBUAGkAdABsAGUAXABuACAAIAA9AEwAQQBNAEIARABBACgAXAAiAE4AaQB0AHIAbwBnAGUAbgAgAGkAbgAgAHQAcgBlAGEAdABtAGUAbgB0ACAAcwB0AGEAZwBlACAAMgAgAE0ATQBTAFwAIgApADsAXABuAFwAbgBWAEUARQBSAEcAXwA0AF8ANQBfADEAXwAzAF8AXwA2AF8AUwB0AGEAZwBlADIATgBpAHQAcgBvAGcAZQBuAEkAbgBNAE0AUwBfAFYAYQByAGkAYQBiAGwAZQBcAG4AIAAgAD0ATABBAE0AQgBEAEEAKABcACIATQBOAF8AagBtAFQAMgBcACIAKQA7AFwAbgBcAG4AVgBFAEUAUgBHAF8ANABfADUAXwAxAF8AMwBfAF8ANgBfAFMAdABhAGcAZQAyAE4AaQB0AHIAbwBnAGUAbgBJAG4ATQBNAFMAXwBVAG4AaQB0AFwAbgAgACAAPQBMAEEATQBCAEQAQQAoAFwAIgBrAGcAIABOAFwAIgApADsAXABuAFwAbgBWAEUARQBSAEcAXwA0AF8ANQBfADEAXwAzAF8AXwA2AF8AUwB0AGEAZwBlADIATgBpAHQAcgBvAGcAZQBuAEkAbgBNAE0AUwBfAFMAbwB1AHIAYwBlAFwAbgAgACAAPQBMAEEATQBCAEQAQQAoAFwAIgBWAEUARQBSAEcAIAAyADAAMgA2ADoAIAA0AC4ANQAuADEALgAzACwAIABFAHEAdQBhAHQAaQBvAG4AIAAoADYAKQBcACIAKQA7AFwAbgBcAG4AVgBFAEUAUgBHAF8ANABfADUAXwAxAF8AMwBfAF8ANgBfAFMAdABhAGcAZQAyAE4AaQB0AHIAbwBnAGUAbgBJAG4ATQBNAFMAXwBOAEkAUgBSAGUAZgBlAHIAZQBuAGMAZQBcAG4AIAAgAD0ATABBAE0AQgBEAEEAKABcACIAXAAiACkAOwBcAG4AXABuAFYARQBFAFIARwBfADQAXwA1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U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tAFQAMgBcACIALAAgAFwAIgBuAGkAdAByAG8AZwBlAG4AIAB0AHIAYQBuAHMAZgBlAHIAcgBlAGQAIAB0AG8AIABzAGUAYwBvAG4AZABhAHIAeQAgAHQAcgBlAGEAdABtAGUAbgB0ACAATQBNAFMAXAAiACwAIABcACIAawBnACAATgBcACIALAAgAFwAIgBDAGEAbABjAHUAbABhAHQAZQBkACAAZgByAG8AbQAgADQALgA1AC4AMQAuADMAIAAoADcAKQBcACIAOwBcAG4AIAAgACAAIAAgACAAIAAgACAAIABcACIATQBNAFMAXwBqAG0AVAAyAFwAIgAsACA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3AF8ATgBpAHQAcgBvAGcAZQBuAFQAcgBhAG4AcwBmAGUAcgByAGUAZABUAG8AUwB0AGEAZwBlADIATQBNAFMAXABuAE4AaQB0AHIAbwBnAGUAbgAgAHQAcgBhAG4AcwBmAGUAcgByAGUAZAAgAHQAbwAgAHQAcgBlAGEAdABtAGUAbgB0ACAAcwB0AGEAZwBlACAAMgAgAE0ATQBTAFwAbgBOAFQAXwBqAG0AVAAyAFwAbgBrAGcAIABOAFwAbgBOAFQAXwB7AGoAbQAsAFQAPQAyAH0APQBNAE4AXwB7AGoAbQAsAFQAPQAxAH0AXABcAHQAaQBtAGUAcwAoADEALQBGAHIAYQBjAEcAQQBTAE0AXwB7AG0ALABUAD0AMQB9AC0ARQBGAF8AewBtACwAVAA9ADEAfQApAFwAbgBNAE4AXwBqAG0AVAAxACAAPQAgAG4AaQB0AHIAbwBnAGUAbgAgAHAAZQByACAAcwB3AGkAbgBlACAAYwBsAGEAcwBzACAAaQBuACAAdAByAGUAYQB0AG0AZQBuAHQAIABzAHQAYQBnAGUAIAAxACAATQBNAFMAIAAoAGsAZwAgAE4AKQBcAG4ARgByAGEAYwBHAEEAUwBNAG0AVAAxACAAPQAgAGYAcgBhAGMAdABpAG8AbgAgAG8AZgAgAE4AIAB2AG8AbABhAHQAaQBsAGkAcwBlAGQAIABmAHIAbwBtACAATQBNAFMAIAB0AHIAZQBhAHQAbQBlAG4AdAAgAGEAdAAgAHMAdABhAGcAZQAgADEAXABuAEUARgBfAG0AVAAxACAAPQAgAG4AaQB0AHIAbwB1AHMAIABvAHgAaQBkAGUAIABlAG0AaQBzAHMAaQBvAG4AIABmAGEAYwB0AG8AcgAgAGYAbwByACAATQBNAFMAIAB0AHIAZQBhAHQAbQBlAG4AdAAgAGEAdAAgAHMAdABhAGcAZQAgADEAXABuAC0ALQAtAC0ALQAtAC0ALQAtAC0ALQAtAC0ALQAtAC0ALQAtAC0ALQAtAC0ALQAtAC0ALQAtAC0ALQAtAC0ALQAtAC0ALQAtAC0ALQBcAG4AKgAvAFwAbgBcAG4AVgBFAEUAUgBHAF8ANABfADUAXwAxAF8AMwBfAF8ANwBfAE4AaQB0AHIAbwBnAGUAbgBUAHIAYQBuAHMAZgBlAHIAcgBlAGQAVABvAFMAdABhAGcAZQAyAE0ATQBTAFwAbgAgACAAPQBMAEEATQBCAEQAQQAoAFwAbgAgACAAIAAgAE0ATgBfAGoAbQBUADEALAAgAEYAcgBhAGMARwBBAFMATQBtAFQAMQAsACAARQBGAF8AbQBUADEALABcAG4AIAAgACAAIABNAE4AXwBqAG0AVAAxACAAKgAgACgAMQAgAC0AIABGAHIAYQBjAEcAQQBTAE0AbQBUADEAIAAtACAARQBGAF8AbQBUADEAKQBcAG4AIAAgACkAOwBcAG4AXABuAFYARQBFAFIARwBfADQAXwA1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1AF8AMQBfADMAXwBfADcAXwBOAGkAdAByAG8AZwBlAG4AVAByAGEAbgBzAGYAZQByAHIAZQBkAFQAbwBTAHQAYQBnAGUAMgBNAE0AUwBfAFYAYQByAGkAYQBiAGwAZQBcAG4AIAAgAD0ATABBAE0AQgBEAEEAKABcACIATgBUAF8AagBtAFQAMgBcACIAKQA7AFwAbgBcAG4AVgBFAEUAUgBHAF8ANABfADUAXwAxAF8AMwBfAF8ANwBfAE4AaQB0AHIAbwBnAGUAbgBUAHIAYQBuAHMAZgBlAHIAcgBlAGQAVABvAFMAdABhAGcAZQAyAE0ATQBTAF8AVQBuAGkAdABcAG4AIAAgAD0ATABBAE0AQgBEAEEAKABcACIAawBnACAATgBcACIAKQA7AFwAbgBcAG4AVgBFAEUAUgBHAF8ANABfADUAXwAxAF8AMwBfAF8ANwBfAE4AaQB0AHIAbwBnAGUAbgBUAHIAYQBuAHMAZgBlAHIAcgBlAGQAVABvAFMAdABhAGcAZQAyAE0ATQBTAF8AUwBvAHUAcgBjAGUAXABuACAAIAA9AEwAQQBNAEIARABBACgAXAAiAFYARQBFAFIARwAgADIAMAAyADYAOgAgADQALgA1AC4AMQAuADMALAAgAEUAcQB1AGEAdABpAG8AbgAgACgANwApAFwAIgApADsAXABuAFwAbgBWAEUARQBSAEcAXwA0AF8ANQBfADEAXwAzAF8AXwA3AF8ATgBpAHQAcgBvAGcAZQBuAFQAcgBhAG4AcwBmAGUAcgByAGUAZABUAG8AUwB0AGEAZwBlADIATQBNAFMAXwBOAEkAUgBSAGUAZgBlAHIAZQBuAGMAZQBcAG4AIAAgAD0ATABBAE0AQgBEAEEAKABcACIAXAAiACkAOwBcAG4AXABuAFYARQBFAFIARwBfADQAXwA1AF8AMQBfADMAXwBfADcAXwBOAGkAdAByAG8AZwBlAG4AVAByAGEAbgBzAGYAZQByAHIAZQBkAFQAbwBTAHQAYQBnAGUAMgBNAE0AUwBfAEwAYQB0AGUAeABFAHEAdQBhAHQAaQBvAG4AXABuACAAIAA9AEwAQQBNAEIARABBACgAXAAiAE4AVABfAHsAagBtACwAVAA9ADIAfQA9AE0ATgBfAHsAagBtACwAVAA9ADEAfQBcAFwAdABpAG0AZQBzACgAMQAtAEYAcgBhAGMARwBBAFMATQBfAHsAbQAsAFQAPQAxAH0ALQBFAEYAXwB7AG0ALABUAD0AMQB9ACkAXAAiACkAOwBcAG4AXABuAFYARQBFAFIARwBfADQAXwA1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0AVAAxAFwAIgAsACAAXAAiAG4AaQB0AHIAbwBnAGUAbgAgAHAAZQByACAAcwB3AGkAbgBlACAAYwBsAGEAcwBzACAAaQBuACAAdAByAGUAYQB0AG0AZQBuAHQAIABzAHQAYQBnAGUAIAAxACAATQBNAFMAXAAiACwAIABcACIAawBnACAATgBcACIALAAgAFwAIgBDAGEAbABjAHUAbABhAHQAZQBkACAAZgByAG8AbQAgADQALgA1AC4AMQAuADMAIAAoADIAKQAoADYAKQBcACIAOwBcAG4AIAAgACAAIAAgACAAIAAgACAAIABcACIARgByAGEAYwBHAEEAUwBNAG0AVAAxAFwAIgAsACAAXAAiAGYAcgBhAGMAdABpAG8AbgAgAG8AZgAgAE4AIAB2AG8AbABhAHQAaQBsAGkAcwBlAGQAIABmAHIAbwBtACAATQBNAFMAIAB0AHIAZQBhAHQAbQBlAG4AdAAgAGEAdAAgAHMAdABhAGcAZQAgADEAXAAiACwAIABcACIAZgByAGEAYwB0AGkAbwBuAFwAIgAsACAAXAAiAEwAbwBvAGsAdQBwAFwAIgA7AFwAbgAgACAAIAAgACAAIAAgACAAIAAgAFwAIgBFAEYAXwBtAFQAMQBcACIALAAgAFwAIgBuAGkAdAByAG8AdQBzACAAbwB4AGkAZABlACAAZQBtAGkAcwBzAGkAbwBuACAAZgBhAGMAdABvAHIAIABmAG8AcgAgAE0ATQBTACAAdAByAGUAYQB0AG0AZQBuAHQAIABhAHQAIABzAHQAYQBnAGUAIAAxAFwAIgAsACAAXAAiAGsAZwAgAE4AMgBPAC0ATgAvAGsAZwAgAE4AXAAiACwAIABcACIATABvAG8AawB1AHAAXAAiAFwAbgAgACAAIAAgACAAIAAgACAAfQAsACAAcgAsACAAYwApAFwAbgAgACAAIAAgACAAIAApAFwAbgAgACAAIAAgACkAXABuACAAIAApADsAXABuACIAfQAsAHsAIgBwAGEAdABoACIAOgAiAC8AcAByAG8AagBlAGMAdABzAC8ATQBNAFMAXwBTAHcAaQBuAGU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1ACAATQBlAHQAaABvAGQAIAAxACAALQAgAE0AYQBuAHUAcgBlACAAQQB0AG0AbwBzAHAAaABlAHIAaQBjACAARABlAHAAbwBzAGkAdABpAG8Abg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UAXwBfADEAXwBBAG4AbgB1AGEAbABBAHQAbQBvAHMAcABoAGUAcgBpAGMARABlAHAAbwBzAGkAdABpAG8AbgBFAG0AaQBzAHMAaQBvAG4AcwBGAHIAbwBtAE0ATQBTAFwAbgBBAG4AbgB1AGEAbAAgAGEAdABtAG8AcwBwAGgAZQByAGkAYwAgAGQAZQBwAG8AcwBpAHQAaQBvAG4AIABlAG0AaQBzAHMAaQBvAG4AcwAgAGYAcgBvAG0AIABNAE0AUwBcAG4ARQBfAE4AMgBPAE0ATQBTAGEAZABcAG4AdAAgAE4AMgBPAFwAbgBFAF8AewBOADIATwAsAGEAZAB9AD0ATQBNAFMAXwB7AEEAVABNAE8AUwB9AFwAXAB0AGkAbQBlAHMAIABFAEYAXwB7AE4AMgBPAH0AXABcAHQAaQBtAGUAcwAgAEMAXwB7AE4AMgBPAH0AXABcAHQAaQBtAGUAcwAgADEAMABeAHsALQAzAH0AXABuAE0ATQBT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UAXwAxAF8ANQBfAF8AMQBfAEEAbgBuAHUAYQBsAEEAdABtAG8AcwBwAGgAZQByAGkAYwBEAGUAcABvAHMAaQB0AGkAbwBuAEUAbQBpAHMAcwBpAG8AbgBzAEYAcgBvAG0ATQBNAFMAXABuACAAIAA9AEwAQQBNAEIARABBACgAXABuACAAIAAgACAATQBNAFMAXwBBAFQATQBPAFMALAAgAEUARgBfAE4AMgBPACwAIABDAF8ATgAyAE8ALABcAG4AIAAgACAAIABNAE0AUwBfAEEAVABNAE8AUwAgACoAIABFAEYAXwBOADIATwAgACoAIABDAF8ATgAyAE8AIAAqACAAMQAwACAAXgAgAC0AMwBcAG4AIAAgACkAOwBcAG4AXABuAFYARQBFAFIARwBfADQAXwA1AF8AMQBfADUAXwBfADEAXwBBAG4AbgB1AGEAbABBAHQAbQBvAHMAcABoAGUAcgBpAGMARABlAHAAbwBzAGkAdABpAG8AbgBFAG0AaQBzAHMAaQBvAG4AcwBGAHIAbwBtAE0ATQBTAF8AVABpAHQAbABlAFwAbgAgACAAPQBMAEEATQBCAEQAQQAoAFwAIgBBAG4AbgB1AGEAbAAgAGEAdABtAG8AcwBwAGgAZQByAGkAYwAgAGQAZQBwAG8AcwBpAHQAaQBvAG4AIABlAG0AaQBzAHMAaQBvAG4AcwAgAGYAcgBvAG0AIABNAE0AUwBcACIAKQA7AFwAbgBcAG4AVgBFAEUAUgBHAF8ANABfADUAXwAxAF8ANQBfAF8AMQBfAEEAbgBuAHUAYQBsAEEAdABtAG8AcwBwAGgAZQByAGkAYwBEAGUAcABvAHMAaQB0AGkAbwBuAEUAbQBpAHMAcwBpAG8AbgBzAEYAcgBvAG0ATQBNAFMAXwBWAGEAcgBpAGEAYgBsAGUAXABuACAAIAA9AEwAQQBNAEIARABBACgAXAAiAEUAXwBOADIATwBNAE0AUwBhAGQAXAAiACkAOwBcAG4AXABuAFYARQBFAFIARwBfADQAXwA1AF8AMQBfADUAXwBfADEAXwBBAG4AbgB1AGEAbABBAHQAbQBvAHMAcABoAGUAcgBpAGMARABlAHAAbwBzAGkAdABpAG8AbgBFAG0AaQBzAHMAaQBvAG4AcwBGAHIAbwBtAE0ATQBTAF8AVQBuAGkAdABcAG4AIAAgAD0ATABBAE0AQgBEAEEAKABcACIAdAAgAE4AMgBPAFwAIgApADsAXABuAFwAbgBWAEUARQBSAEcAXwA0AF8ANQBfADEAXwA1AF8AXwAxAF8AQQBuAG4AdQBhAGwAQQB0AG0AbwBzAHAAaABlAHIAaQBjAEQAZQBwAG8AcwBpAHQAaQBvAG4ARQBtAGkAcwBzAGkAbwBuAHMARgByAG8AbQBNAE0AUwBfAFMAbwB1AHIAYwBlAFwAbgAgACAAPQBMAEEATQBCAEQAQQAoAFwAIgBWAEUARQBSAEcAIAAyADAAMgA2ADoAIAA0AC4ANQAuADEALgAxACwAIABFAHEAdQBhAHQAaQBvAG4AIAAoADEAKQBcACIAKQA7AFwAbgBcAG4AVgBFAEUAUgBHAF8ANABfADUAXwAxAF8ANQBfAF8AMQBfAEEAbgBuAHUAYQBsAEEAdABtAG8AcwBwAGgAZQByAGkAYwBEAGUAcABvAHMAaQB0AGkAbwBuAEUAbQBpAHMAcwBpAG8AbgBzAEYAcgBvAG0ATQBNAFMAXwBOAEkAUgBSAGUAZgBlAHIAZQBuAGMAZQBcAG4AIAAgAD0ATABBAE0AQgBEAEEAKABcACIAXAAiACkAOwBcAG4AXABuAFYARQBFAFIARwBfADQAXwA1AF8AMQBfADUAXwBfADEAXwBBAG4AbgB1AGEAbABBAHQAbQBvAHMAcABoAGUAcgBpAGMARABlAHAAbwBzAGkAdABpAG8AbgBFAG0AaQBzAHMAaQBvAG4AcwBGAHIAbwBtAE0ATQBTAF8ATABhAHQAZQB4AEUAcQB1AGEAdABpAG8AbgBcAG4AIAAgAD0ATABBAE0AQgBEAEEAKABcACIARQBfAHsATgAyAE8ALABhAGQAfQA9AE0ATQBTAF8AewBBAFQATQBPAFMAfQBcAFwAdABpAG0AZQBzACAARQBGAF8AewBOADIATwB9AFwAXAB0AGkAbQBlAHMAIABDAF8AewBOADIATwB9AFwAXAB0AGkAbQBlAHMAIAAxADAAXgB7AC0AMwB9AFwAIgApADsAXABuAFwAbgBWAEUARQBSAEcAXwA0AF8ANQBfADEAXwA1AF8AXwAxAF8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AgAFwAIgBtAGEAcwBzACAAbwBmACAATgAgAHYAbwBsAGEAdABpAGwAaQBzAGUAZAAgAGYAcgBvAG0AIABNAE0AUwBcACIALAAgAFwAIgBrAGcAIABOAFwAIgAsACAAXAAiAEMAYQBsAGMAdQBsAGEAdABlAGQAIABmAHIAbwBtACAANAAuADU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UAXwBfADIAXwBUAG8AdABhAGwATgBpAHQAcgBvAGcAZQBuAFYAbwBsAGEAdABpAGwAaQBzAGUAZABGAHIAbwBtAE0ATQBTAFwAbgBUAG8AdABhAGwAIABuAGkAdAByAG8AZwBlAG4AIAB2AG8AbABhAHQAaQBsAGkAcwBlAGQAIABmAHIAbwBtACAATQBNAFMAXABuAE0ATQBTAF8AQQBUAE0ATwBTAFwAbgBrAGcAIABOAFwAbgBNAE0AUwBfAHsAQQBUAE0ATwBTAH0APQBcAFwAcwB1AG0AXwB7AGoAfQBcAFwAcwB1AG0AXwB7AG0AfQBcAFwAcwB1AG0AXwB7AFQAfQAoAE0ATgBfAHsAagBtAFQAfQBcAFwAdABpAG0AZQBzACAARgByAGEAYwBHAEEAUwBNAF8AewBtAFQAfQApAFwAbgBNAE4AXwBqAG0AVAAgAD0AIABuAGkAdAByAG8AZwBlAG4AIABwAGUAcgAgAHMAdwBpAG4AZQAgAGMAbABhAHMAcwAsACAATQBNAFMAIABhAG4AZAAgAHQAcgBlAGEAdABtAGUAbgB0ACAAcwB0AGEAZwBlACAAKABrAGcAIABOACkAXABuAEYAcgBhAGMARwBBAFMATQBtAFQAIAA9ACAAZgByAGEAYwB0AGkAbwBuACAAbwBmACAATgAgAHYAbwBsAGEAdABpAGwAaQBzAGUAZAAgAGkAbgAgAGUAYQBjAGgAIABNAE0AUwAgACgAKABrAGcAIABOAEgAMwAtAE4AIAArACAATgBPAHgALQBOACkALwBrAGcAIABOACkAXABuAC0ALQAtAC0ALQAtAC0ALQAtAC0ALQAtAC0ALQAtAC0ALQAtAC0ALQAtAC0ALQAtAC0ALQAtAC0ALQAtAC0ALQAtAC0ALQAtAC0ALQBcAG4AKgAvAFwAbgBcAG4AVgBFAEUAUgBHAF8ANABfADUAXwAxAF8ANQBfAF8AMgBfAFQAbwB0AGEAbABOAGkAdAByAG8AZwBlAG4AVgBvAGwAYQB0AGkAbABpAHMAZQBkAEYAcgBvAG0ATQBNAFMAXABuACAAIAA9AEwAQQBNAEIARABBACgAXABuACAAIAAgACAATQBOAF8AagBtAFQALAAgAEYAcgBhAGMARwBBAFMATQBtAFQALABcAG4AIAAgACAAIABNAE4AXwBqAG0AVAAgACoAIABGAHIAYQBjAEcAQQBTAE0AbQBUAFwAbgAgACAAKQA7AFwAbgBcAG4AVgBFAEUAUgBHAF8ANABfADU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UAXwAxAF8ANQBfAF8AMgBfAFQAbwB0AGEAbABOAGkAdAByAG8AZwBlAG4AVgBvAGwAYQB0AGkAbABpAHMAZQBkAEYAcgBvAG0ATQBNAFMAXwBWAGEAcgBpAGEAYgBsAGUAXABuACAAIAA9AEwAQQBNAEIARABBACgAXAAiAE0ATQBTAF8AQQBUAE0ATwBTAFwAIgApADsAXABuAFwAbgBWAEUARQBSAEcAXwA0AF8ANQBfADEAXwA1AF8AXwAyAF8AVABvAHQAYQBsAE4AaQB0AHIAbwBnAGUAbgBWAG8AbABhAHQAaQBsAGkAcwBlAGQARgByAG8AbQBNAE0AUwBfAFUAbgBpAHQAXABuACAAIAA9AEwAQQBNAEIARABBACgAXAAiAGsAZwAgAE4AXAAiACkAOwBcAG4AXABuAFYARQBFAFIARwBfADQAXwA1AF8AMQBfADUAXwBfADIAXwBUAG8AdABhAGwATgBpAHQAcgBvAGcAZQBuAFYAbwBsAGEAdABpAGwAaQBzAGUAZABGAHIAbwBtAE0ATQBTAF8AUwBvAHUAcgBjAGUAXABuACAAIAA9AEwAQQBNAEIARABBACgAXAAiAFYARQBFAFIARwAgADIAMAAyADYAOgAgADQALgA1AC4AMQAuADEALAAgAEUAcQB1AGEAdABpAG8AbgAgACgAMgApAFwAIgApADsAXABuAFwAbgBWAEUARQBSAEcAXwA0AF8ANQBfADEAXwA1AF8AXwAyAF8AVABvAHQAYQBsAE4AaQB0AHIAbwBnAGUAbgBWAG8AbABhAHQAaQBsAGkAcwBlAGQARgByAG8AbQBNAE0AUwBfAE4ASQBSAFIAZQBmAGUAcgBlAG4AYwBlAFwAbgAgACAAPQBMAEEATQBCAEQAQQAoAFwAIgBcACIAKQA7AFwAbgBcAG4AVgBFAEUAUgBHAF8ANABfADUAXwAxAF8ANQBfAF8AMgBfAFQAbwB0AGEAbABOAGkAdAByAG8AZwBlAG4AVgBvAGwAYQB0AGkAbABpAHMAZQBkAEYAcgBvAG0ATQBNAFM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NQ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VABcACIALAAgAFwAIgBuAGkAdAByAG8AZwBlAG4AIABwAGUAcgAgAHMAdwBpAG4AZQAgAGMAbABhAHMAcwAsACAATQBNAFMAIABhAG4AZAAgAHQAcgBlAGEAdABtAGUAbgB0ACAAcwB0AGEAZwBlAFwAIgAsACAAXAAiAGsAZwAgAE4AXAAiACwAIABcACIAQwBhAGwAYwB1AGwAYQB0AGUAZAAgAGYAcgBvAG0AIAA0AC4ANQAuADEALgAzACAAKAAyACkAKAA2ACkAXAAiADsAXABuACAAIAAgACAAIAAgACAAIAAgACAAXAAiAEYAcgBhAGMARwBBAFMATQBtAFQAXAAiACwAI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wB3AGkAbgBl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cAIABNAGUAdABoAG8AZAAgADEAIAAtACAATQBhAG4AdQByAGUAIABMAGUAYQBjAGgAaQBuAGcAIABBAG4AZAAgAFIAdQBuAG8AZgBm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D0ANQB9AFwAXAB0AGkAbQBlAHMAIABFAEYAXwB7AGwAZQBhAGMAaAB9AFwAXAB0AGkAbQBlAHMAIABDAF8AewBOADIATwB9AFwAXAB0AGkAbQBlAHMAIAAxADAAXgB7AC0AMwB9AFwAbgBNAE4ATABlAGEAYwBoAF8AagBtADUAIAA9ACAAbQBhAHMAcwAgAG8AZgAgAE4AIABsAG8AcwB0ACAAdABoAHIAbwB1AGcAaAAgAGwAZQBhAGMAaABpAG4AZwAgAGEAbgBkACAAcgB1AG4AbwBmAGYAIABmAHIAbwBtACAAZAByAHkAbABvAHQAIABNAE0AUw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EAHUAZQAgAHQAbwAgAHMAdAByAGkAYwB0ACAAZQBuAHYAaQByAG8AbgBtAGUAbgB0AGEAbAAgAGMAbwBuAHQAcgBvAGwAcwAsACAAZQBtAGkAcwBzAGkAbwBuAHMAIABhAHIAZQAgAGUAcwB0AGkAbQBhAHQAZQBkACAAbwBuAGwAeQAgAGYAbwByACAAZAByAHkAbABvAHQAIABNAE0AUwAgACgAbQA9ADUAKQAuAFwAbgAtAC0ALQAtAC0ALQAtAC0ALQAtAC0ALQAtAC0ALQAtAC0ALQAtAC0ALQAtAC0ALQAtAC0ALQAtAC0ALQAtAC0ALQAtAC0ALQAtAC0AXABuACoALwBcAG4AXABuAFYARQBFAFIARwBfADQAXwA1AF8AMQBfADcAXwBfADEAXwBBAG4AbgB1AGEAbABFAG0AaQBzAHMAaQBvAG4AcwBGAHIAbwBtAEwAZQBhAGMAaABpAG4AZwBBAG4AZABSAHUAbgBvAGYAZgBGAHIAbwBtAE0ATQBTAFwAbgAgACAAPQBMAEEATQBCAEQAQQAoAFwAbgAgACAAIAAgAE0ATgBMAGUAYQBjAGgAXwBqAG0ANQAsACAARQBGAF8AbABlAGEAYwBoACwAIABDAF8ATgAyAE8ALABcAG4AIAAgACAAIABNAE4ATABlAGEAYwBoAF8AagBtADUAIAAqACAARQBGAF8AbABlAGEAYwBoACAAKgAgAEMAXwBOADIATwAgACoAIAAxADAAIABeACAALQAzAFwAbgAgACAAKQA7AFwAbgBcAG4AVgBFAEUAUgBHAF8ANABfADU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1AF8AMQBfADcAXwBfADEAXwBBAG4AbgB1AGEAbABFAG0AaQBzAHMAaQBvAG4AcwBGAHIAbwBtAEwAZQBhAGMAaABpAG4AZwBBAG4AZABSAHUAbgBvAGYAZgBGAHIAbwBtAE0ATQBTAF8AVgBhAHIAaQBhAGIAbABlAFwAbgAgACAAPQBMAEEATQBCAEQAQQAoAFwAIgBFAF8ATgAyAE8AbABlAGEAYwBoAFwAIgApADsAXABuAFwAbgBWAEUARQBSAEcAXwA0AF8ANQBfADEAXwA3AF8AXwAxAF8AQQBuAG4AdQBhAGwARQBtAGkAcwBzAGkAbwBuAHMARgByAG8AbQBMAGUAYQBjAGgAaQBuAGcAQQBuAGQAUgB1AG4AbwBmAGYARgByAG8AbQBNAE0AUwBfAFUAbgBpAHQAXABuACAAIAA9AEwAQQBNAEIARABBACgAXAAiAHQAIABOADIATwBcACIAKQA7AFwAbgBcAG4AVgBFAEUAUgBHAF8ANABfADUAXwAxAF8ANwBfAF8AMQBfAEEAbgBuAHUAYQBsAEUAbQBpAHMAcwBpAG8AbgBzAEYAcgBvAG0ATABlAGEAYwBoAGkAbgBnAEEAbgBkAFIAdQBuAG8AZgBmAEYAcgBvAG0ATQBNAFMAXwBTAG8AdQByAGMAZQBcAG4AIAAgAD0ATABBAE0AQgBEAEEAKABcACIAVgBFAEUAUgBHACAAMgAwADIANgA6ACAANAAuADUALgAxAC4ANwAsACAARQBxAHUAYQB0AGkAbwBuACAAKAAxACkAXAAiACkAOwBcAG4AXABuAFYARQBFAFIARwBfADQAXwA1AF8AMQBfADcAXwBfADEAXwBBAG4AbgB1AGEAbABFAG0AaQBzAHMAaQBvAG4AcwBGAHIAbwBtAEwAZQBhAGMAaABpAG4AZwBBAG4AZABSAHUAbgBvAGYAZgBGAHIAbwBtAE0ATQBTAF8ATgBJAFIAUgBlAGYAZQByAGUAbgBjAGUAXABuACAAIAA9AEwAQQBNAEIARABBACgAXAAiAFwAIgApADsAXABuAFwAbgBWAEUARQBSAEcAXwA0AF8ANQBfADEAXwA3AF8AXwAxAF8AQQBuAG4AdQBhAGwARQBtAGkAcwBzAGkAbwBuAHMARgByAG8AbQBMAGUAYQBjAGgAaQBuAGcAQQBuAGQAUgB1AG4AbwBmAGYARgByAG8AbQBNAE0AUwBfAEwAYQB0AGUAeABFAHEAdQBhAHQAaQBvAG4AXABuACAAIAA9AEwAQQBNAEIARABBACgAXAAiAEUAXwB7AE4AMgBPACwAbABlAGEAYwBoAH0APQBNAE4ATABlAGEAYwBoAF8AewBqAG0APQA1AH0AXABcAHQAaQBtAGUAcwAgAEUARgBfAHsAbABlAGEAYwBoAH0AXABcAHQAaQBtAGUAcwAgAEMAXwB7AE4AMgBPAH0AXABcAHQAaQBtAGUAcwAgADEAMABeAHsALQAzAH0AXAAiACkAOwBcAG4AXABuAFYARQBFAFIARwBfADQAXwA1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0ANQBcACIALAAgAFwAIgBtAGEAcwBzACAAbwBmACAATgAgAGwAbwBzAHQAIAB0AGgAcgBvAHUAZwBoACAAbABlAGEAYwBoAGkAbgBnACAAYQBuAGQAIAByAHUAbgBvAGYAZgAgAGYAcgBvAG0AIABkAHIAeQBsAG8AdAAgAE0ATQBTAFwAIgAsACAAXAAiAGsAZwAgAE4AXAAiACwAIABcACIAQwBhAGwAYwB1AGwAYQB0AGUAZAAgAGYAcgBvAG0AIAA0AC4ANQAuADEALgA3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3AF8AXwAyAF8ATQBhAHMAcwBPAGYATgBpAHQAcgBvAGcAZQBuAEwAbwBzAHQAVABvAEwAZQBhAGMAaABpAG4AZwBBAG4AZABSAHUAbgBvAGYAZgBGAHIAbwBtAEQAcgB5AGwAbwB0AE0ATQBTAFwAbgBNAGEAcwBzACAAbwBmACAAbgBpAHQAcgBvAGcAZQBuACAAbABvAHMAdAAgAHQAbwAgAGwAZQBhAGMAaABpAG4AZwAgAGEAbgBkACAAcgB1AG4AbwBmAGYAIABmAHIAbwBtACAAZAByAHkAbABvAHQAIABNAE0AUwBcAG4ATQBOAEwAZQBhAGMAaABfAGoAbQA1AFwAbgBrAGcAIABOAFwAbgBNAE4ATABlAGEAYwBoAF8AewBqAG0APQA1AH0APQBNAE4AXwB7AGoAbQA9ADUALABUAD0AMQB9AFwAXAB0AGkAbQBlAHMAIABGAHIAYQBjAFcARQBUAFwAXAB0AGkAbQBlAHMAIABGAHIAYQBjAEwARQBBAEMASABfAHsATQBTAH0AXABuAE0ATgBfAGoAbQA1AFQAMQAgAD0AIABuAGkAdAByAG8AZwBlAG4AIABpAG4AIAB0AHIAZQBhAHQAbQBlAG4AdAAgAHMAdABhAGcAZQAgADEAIABkAHIAeQBsAG8AdAAgAE0ATQBTACAAKABrAGcAIABOACkAXABuAEYAcgBhAGMAVwBFAFQAIAA9ACAAZgByAGEAYwB0AGkAbwBuACAAbwBmACAATgAgAGEAdgBhAGkAbABhAGIAbABlACAAZgBvAHIAIABsAGUAYQBjAGgAaQBuAGcAIABhAG4AZAAgAHIAdQBuAG8AZgBmAFwAbgBGAHIAYQBjAEwARQBBAEMASABfAE0AUw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1AF8AMQBfADcAXwBfADIAXwBNAGEAcwBzAE8AZgBOAGkAdAByAG8AZwBlAG4ATABvAHMAdABUAG8ATABlAGEAYwBoAGkAbgBnAEEAbgBkAFIAdQBuAG8AZgBmAEYAcgBvAG0ARAByAHkAbABvAHQATQBNAFMAXABuACAAIAA9AEwAQQBNAEIARABBACgAXABuACAAIAAgACAATQBOAF8AagBtADUAVAAxACwAIABGAHIAYQBjAFcARQBUACwAIABGAHIAYQBjAEwARQBBAEMASABfAE0AUwAsAFwAbgAgACAAIAAgAE0ATgBfAGoAbQA1AFQAMQAgACoAIABGAHIAYQBjAFcARQBUACAAKgAgAEYAcgBhAGMATABFAEEAQwBIAF8ATQBTAFwAbgAgACAAKQA7AFwAbgBcAG4AVgBFAEUAUgBHAF8ANABfADUAXwAxAF8ANwBfAF8AMgBfAE0AYQBzAHMATwBmAE4AaQB0AHIAbwBnAGUAbgBMAG8AcwB0AFQAbwBMAGUAYQBjAGgAaQBuAGcAQQBuAGQAUgB1AG4AbwBmAGYARgByAG8AbQBEAHIAeQBsAG8AdABNAE0AUwBfAFQAaQB0AGwAZQBcAG4AIAAgAD0ATABBAE0AQgBEAEEAKABcACIATQBhAHMAcwAgAG8AZgAgAG4AaQB0AHIAbwBnAGUAbgAgAGwAbwBzAHQAIAB0AG8AIABsAGUAYQBjAGgAaQBuAGcAIABhAG4AZAAgAHIAdQBuAG8AZgBmACAAZgByAG8AbQAgAGQAcgB5AGwAbwB0ACAATQBNAFMAXAAiACkAOwBcAG4AXABuAFYARQBFAFIARwBfADQAXwA1AF8AMQBfADcAXwBfADIAXwBNAGEAcwBzAE8AZgBOAGkAdAByAG8AZwBlAG4ATABvAHMAdABUAG8ATABlAGEAYwBoAGkAbgBnAEEAbgBkAFIAdQBuAG8AZgBmAEYAcgBvAG0ARAByAHkAbABvAHQATQBNAFMAXwBWAGEAcgBpAGEAYgBsAGUAXABuACAAIAA9AEwAQQBNAEIARABBACgAXAAiAE0ATgBMAGUAYQBjAGgAXwBqAG0ANQBcACIAKQA7AFwAbgBcAG4AVgBFAEUAUgBHAF8ANABfADUAXwAxAF8ANwBfAF8AMgBfAE0AYQBzAHMATwBmAE4AaQB0AHIAbwBnAGUAbgBMAG8AcwB0AFQAbwBMAGUAYQBjAGgAaQBuAGcAQQBuAGQAUgB1AG4AbwBmAGYARgByAG8AbQBEAHIAeQBsAG8AdABNAE0AUwBfAFUAbgBpAHQAXABuACAAIAA9AEwAQQBNAEIARABBACgAXAAiAGsAZwAgAE4AXAAiACkAOwBcAG4AXABuAFYARQBFAFIARwBfADQAXwA1AF8AMQBfADcAXwBfADIAXwBNAGEAcwBzAE8AZgBOAGkAdAByAG8AZwBlAG4ATABvAHMAdABUAG8ATABlAGEAYwBoAGkAbgBnAEEAbgBkAFIAdQBuAG8AZgBmAEYAcgBvAG0ARAByAHkAbABvAHQATQBNAFMAXwBTAG8AdQByAGMAZQBcAG4AIAAgAD0ATABBAE0AQgBEAEEAKABcACIAVgBFAEUAUgBHACAAMgAwADIANgA6ACAANAAuADUALgAxAC4ANwAsACAARQBxAHUAYQB0AGkAbwBuACAAKAAyACkAXAAiACkAOwBcAG4AXABuAFYARQBFAFIARwBfADQAXwA1AF8AMQBfADcAXwBfADIAXwBNAGEAcwBzAE8AZgBOAGkAdAByAG8AZwBlAG4ATABvAHMAdABUAG8ATABlAGEAYwBoAGkAbgBnAEEAbgBkAFIAdQBuAG8AZgBmAEYAcgBvAG0ARAByAHkAbABvAHQATQBNAFMAXwBOAEkAUgBSAGUAZgBlAHIAZQBuAGMAZQBcAG4AIAAgAD0ATABBAE0AQgBEAEEAKABcACIAXAAiACkAOwBcAG4AXABuAFYARQBFAFIARwBfADQAXwA1AF8AMQBfADcAXwBfADIAXwBNAGEAcwBzAE8AZgBOAGkAdAByAG8AZwBlAG4ATABvAHMAdABUAG8ATABlAGEAYwBoAGkAbgBnAEEAbgBkAFIAdQBuAG8AZgBmAEYAcgBvAG0ARAByAHkAbABvAHQATQBNAFMAXwBMAGEAdABlAHgARQBxAHUAYQB0AGkAbwBuAFwAbgAgACAAPQBMAEEATQBCAEQAQQAoAFwAIgBNAE4ATABlAGEAYwBoAF8AewBqAG0APQA1AH0APQBNAE4AXwB7AGoAbQA9ADUALABUAD0AMQB9AFwAXAB0AGkAbQBlAHMAIABGAHIAYQBjAFcARQBUAFwAXAB0AGkAbQBlAHMAIABGAHIAYQBjAEwARQBBAEMASABfAHsATQBTAH0AXAAiACkAOwBcAG4AXABuAFYARQBFAFIARwBfADQAXwA1AF8AMQBfADcAXwBfADIAXwBNAGEAcwBzAE8AZgBOAGkAdAByAG8AZwBlAG4ATABvAHMAdABUAG8ATABlAGEAYwBoAGkAbgBnAEEAbgBkAFIAdQBuAG8AZgBmAEYAcgBvAG0ARAByAHkAbABvAHQATQBNAFMAXwBBAHIAZwB1AG0AZQBuAHQAcwBcAG4AIAAgAD0ATABBAE0AQgBEAEEAKABcAG4AIAAgACAAIABNAEEASwBFAEEAUgBSAEEAWQAoADYALAAgADQALABcAG4AIAAgACAAIAAgACAATABBAE0AQgBEAEEAKAByACwAYwAsAFwAbgAgACAAIAAgACAAIAAgACAASQBOAEQARQBYACgAewBcAG4AIAAgACAAIAAgACAAIAAgACAAIABcACIATQBOAF8AagBtADUAVAAxAFwAIgAsACAAXAAiAG4AaQB0AHIAbwBnAGUAbgAgAGkAbgAgAHQAcgBlAGEAdABtAGUAbgB0ACAAcwB0AGEAZwBlACAAMQAgAGQAcgB5AGwAbwB0ACAATQBNAFMAXAAiACwAIABcACIAawBnACAATgBcACIALAAgAFwAIgBDAGEAbABjAHUAbABhAHQAZQBkACAAZgByAG8AbQAgADQALgA1AC4AMQAuADMAIAAoADIAKQBcACIAOwBcAG4AIAAgACAAIAAgACAAIAAgACAAIABcACIARgByAGEAYwBXAEUAV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IABcACIAZgByAGEAYwB0AGkAbwBuACAAbwBmACAATg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BcAG4AXABuAFwAbgAiAH0ALAB7ACIAcABhAHQAaAAiADoAIgAvAHAAcgBvAGoAZQBjAHQAcwAvAE0ATQBTAF8AUwB3AGkAbgBl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xAF8ATQBhAHMAcwBPAGYATgBpAHQAcgBvAGcAZQBuAEEAcABwAGwAaQBlAGQAVABvAFMAbwBpAGwAcwBTAGMAbwBwAGUAMQ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FAARgBcAG4AIAAgACkAOwBcAG4AXABuAFYARQBFAFIARwBfADQAXwA1AF8AMQBfADkAXwBfADEAXwBNAGEAcwBzAE8AZgBOAGkAdAByAG8AZwBlAG4AQQBwAHAAbABpAGUAZABUAG8AUwBvAGkAbABzAFMAYwBvAHAAZQAxAF8AVABpAHQAbABlAFwAbgAgACAAPQBMAEEATQBCAEQAQQAoAFwAIgBNAGEAcwBzACAAbwBmACAAbgBpAHQAcgBvAGcAZQBuACAAYQBwAHAAbABpAGUAZAAgAHQAbwAgAHMAbwBpAGwAcwAgAGYAbwByACAAcwBjAG8AcABlACAAMQAgAGUAbQBpAHMAcwBpAG8AbgBzAFwAIgApADsAXABuAFwAbgBWAEUARQBSAEcAXwA0AF8ANQBfADEAXwA5AF8AXwAxAF8ATQBhAHMAcwBPAGYATgBpAHQAcgBvAGcAZQBuAEEAcABwAGwAaQBlAGQAVABvAFMAbwBpAGwAcwBTAGMAbwBwAGUAMQBfAFYAYQByAGkAYQBiAGwAZQBcAG4AIAAgAD0ATABBAE0AQgBEAEEAKABcACIATQBOAFMAbwBpAGwAXwBzAGMAbwBwAGUAMQBcACIAKQA7AFwAbgBcAG4AVgBFAEUAUgBHAF8ANABfADUAXwAxAF8AOQBfAF8AMQBfAE0AYQBzAHMATwBmAE4AaQB0AHIAbwBnAGUAbgBBAHAAcABsAGkAZQBkAFQAbwBTAG8AaQBsAHMAUwBjAG8AcABlADEAXwBVAG4AaQB0AFwAbgAgACAAPQBMAEEATQBCAEQAQQAoAFwAIgBrAGcAIABOAFwAIgApADsAXABuAFwAbgBWAEUARQBSAEcAXwA0AF8ANQBfADEAXwA5AF8AXwAxAF8ATQBhAHMAcwBPAGYATgBpAHQAcgBvAGcAZQBuAEEAcABwAGwAaQBlAGQAVABvAFMAbwBpAGwAcwBTAGMAbwBwAGUAMQBfAFMAbwB1AHIAYwBlAFwAbgAgACAAPQBMAEEATQBCAEQAQQAoAFwAIgBWAEUARQBSAEcAIAAyADAAMgA2ADoAIAA0AC4ANQAuADEALgA5ACwAIABFAHEAdQBhAHQAaQBvAG4AIAAoADEAKQBcACIAKQA7AFwAbgBcAG4AVgBFAEUAUgBHAF8ANABfADUAXwAxAF8AOQBfAF8AMQBfAE0AYQBzAHMATwBmAE4AaQB0AHIAbwBnAGUAbgBBAHAAcABsAGkAZQBkAFQAbwBTAG8AaQBsAHMAUwBjAG8AcABlADEAXwBOAEkAUgBSAGUAZgBlAHIAZQBuAGMAZQBcAG4AIAAgAD0ATABBAE0AQgBEAEEAKABcACIAXAAiACkAOwBcAG4AXABuAFYARQBFAFIARwBfADQAXwA1AF8AMQBfADkAXwBfADEAXwBNAGEAcwBzAE8AZgBOAGkAdAByAG8AZwBlAG4AQQBwAHAAbABpAGUAZABUAG8AUwBvAGkAbABzAFMAYwBvAHAAZQAxAF8ATABhAHQAZQB4AEUAcQB1AGEAdABpAG8AbgBcAG4AIAAgAD0ATABBAE0AQgBEAEEAKABcACI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IgApADsAXABuAFwAbgBWAEUARQBSAEcAXwA0AF8ANQBfADEAXwA5AF8AXwAxAF8ATQBhAHMAcwBPAGYATgBpAHQAcgBvAGcAZQBuAEEAcABwAGwAaQBlAGQAVABvAFMAbwBpAGwAcwBTAGMAbwBwAGUAMQ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BuAE0ATgBfAGoAbQBUADIAIAA9ACAAbQBhAHMAcwAgAG8AZgAgAE4AIABpAG4AIABNAE0AUwAgAGEAdAAgAHQAcgBlAGEAdABtAGUAbgB0ACAAcwB0AGEAZwBlACAAMgAgADoAIABrAGcAIABOAFwAbgBFAEYAXwBtAFQAMgAgAD0AIABuAGkAdAByAG8AdQBzACAAbwB4AGkAZABlACAAZQBtAGkAcwBzAGkAbwBuACAAZgBhAGMAdABvAHIAIABmAG8AcgAgAGUAYQBjAGgAIABNAE0AUwAgAGEAdAAgAHQAcgBlAGEAdABtAGUAbgB0ACAAcwB0AGEAZwBlACAAMgAgADoAIABrAGcAIABOADIATwAtAE4ALwBrAGcAIABOAFwAbgBGAHIAYQBjAEcAQQBTAE0AXwBtAFQAMgAgAD0AIABmAHIAYQBjAHQAaQBvAG4AIABvAGYAIABhAG4AaQBtAGEAbAAgAHcAYQBzAHQAZQAgAE4AIAB2AG8AbABhAHQAaQBsAGkAcwBlAGQAIABpAG4AIABlAGEAYwBoACAATQBNAFMAIABhAHQAIAB0AHIAZQBhAHQAbQBlAG4AdAAgAHMAdABhAGcAZQAgADIAIAA6ACAAKABrAGcAIABOAEgAMwAtAE4AIAArACAATgBPAHgALQBOACkALwBrAGcAIABOAFwAbgBNAE4ATABlAGEAYwBoAF8AagBtADUAIAA9ACAAbQBhAHMAcwAgAG8AZgAgAE4AIABsAG8AcwB0ACAAdABvACAAbABlAGEAYwBoAGkAbgBnACAAYQBuAGQAIAByAHUAbgBvAGYAZgAgAGYAcgBvAG0AIABkAHIAeQBsAG8AdAAgAE0ATQBTACAAOgAgAGsAZwAgAE4AXABuAFAARgAgAD0AIABmAHIAYQBjAHQAaQBvAG4AIABvAGYAIABtAGEAbgB1AHIAZQAgAGEAcABwAGwAaQBlAGQAIAB0AG8AIABzAG8AaQBsACAAdwBpAHQAaABpAG4AIAB0AGgAZQAgAHAAaQBnAGcAZQByAHkAIABiAG8AdQBuAGQAYQByAHkAIAA6ACAAZgByAGEAYwB0AGkAbwBuAFwAbgAtAC0ALQAtAC0ALQAtAC0ALQAtAC0ALQAtAC0ALQAtAC0ALQAtAC0ALQAtAC0ALQAtAC0ALQAtAC0ALQAtAC0ALQAtAC0ALQAtAC0AXABuACoALwBcAG4AXABuAFYARQBFAFIARwBfADQAXwA1AF8AMQBfADkAXwBfADIAXwBNAGEAcwBzAE8AZgBOAGkAdAByAG8AZwBlAG4AQQBwAHAAbABpAGUAZABUAG8AUwBvAGkAbABzAFMAYwBvAHAAZQAzAFwAbgAgACAAPQBMAEEATQBCAEQAQQAoAFwAbgAgACAAIAAgAE0ATgBfAGoAbQBUADIALAAgAEUARgBfAG0AVAAyACwAIABGAHIAYQBjAEcAQQBTAE0AXwBtAFQAMgAsACAATQBOAEwAZQBhAGMAaABfAGoAbQA1ACwAIABQAEYALABcAG4AIAAgACAAIAAoAE0ATgBfAGoAbQBUADIAIAAqACAAKAAxACAALQAgAEUARgBfAG0AVAAyACAALQAgAEYAcgBhAGMARwBBAFMATQBfAG0AVAAyACkAIAAtACAATQBOAEwAZQBhAGMAaABfAGoAbQA1ACkAIAAqACAAKAAxACAALQAgAFAARgApAFwAbgAgACAAKQA7AFwAbgBcAG4AVgBFAEUAUgBHAF8ANABfADU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1AF8AMQBfADkAXwBfADIAXwBNAGEAcwBzAE8AZgBOAGkAdAByAG8AZwBlAG4AQQBwAHAAbABpAGUAZABUAG8AUwBvAGkAbABzAFMAYwBvAHAAZQAzAF8AVgBhAHIAaQBhAGIAbABlAFwAbgAgACAAPQBMAEEATQBCAEQAQQAoAFwAIgBNAE4AUwBvAGkAbABfAHMAYwBvAHAAZQAzAFwAIgApADsAXABuAFwAbgBWAEUARQBSAEcAXwA0AF8ANQBfADEAXwA5AF8AXwAyAF8ATQBhAHMAcwBPAGYATgBpAHQAcgBvAGcAZQBuAEEAcABwAGwAaQBlAGQAVABvAFMAbwBpAGwAcwBTAGMAbwBwAGUAMwBfAFUAbgBpAHQAXABuACAAIAA9AEwAQQBNAEIARABBACgAXAAiAGsAZwAgAE4AXAAiACkAOwBcAG4AXABuAFYARQBFAFIARwBfADQAXwA1AF8AMQBfADkAXwBfADIAXwBNAGEAcwBzAE8AZgBOAGkAdAByAG8AZwBlAG4AQQBwAHAAbABpAGUAZABUAG8AUwBvAGkAbABzAFMAYwBvAHAAZQAzAF8AUwBvAHUAcgBjAGUAXABuACAAIAA9AEwAQQBNAEIARABBACgAXAAiAFYARQBFAFIARwAgADIAMAAyADYAOgAgADQALgA1AC4AMQAuADkALAAgAEUAcQB1AGEAdABpAG8AbgAgACgAMgApAFwAIgApADsAXABuAFwAbgBWAEUARQBSAEcAXwA0AF8ANQBfADEAXwA5AF8AXwAyAF8ATQBhAHMAcwBPAGYATgBpAHQAcgBvAGcAZQBuAEEAcABwAGwAaQBlAGQAVABvAFMAbwBpAGwAcwBTAGMAbwBwAGUAMwBfAE4ASQBSAFIAZQBmAGUAcgBlAG4AYwBlAFwAbgAgACAAPQBMAEEATQBCAEQAQQAoAFwAIgBcACIAKQA7AFwAbgBcAG4AVgBFAEUAUgBHAF8ANABfADUAXwAxAF8AOQBfAF8AMgBfAE0AYQBzAHMATwBmAE4AaQB0AHIAbwBnAGUAbgBBAHAAcABsAGkAZQBkAFQAbwBTAG8AaQBsAHMAUwBjAG8AcABlADMAXwBMAGEAdABlAHgARQBxAHUAYQB0AGkAbwBuAFwAbgAgACAAPQBMAEEATQBCAEQAQQAoAFwAI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AiACkAOwBcAG4AXABuAFYARQBFAFIARwBfADQAXwA1AF8AMQBfADk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TQBNAFMAIABhAHQAIAB0AHIAZQBhAHQAbQBlAG4AdAAgAHMAdABhAGcAZQAgADIAXAAiACwAIABcACIAawBnACAATgBcACIALAAgAFwAIgBDAGEAbABjAHUAbABhAHQAZQBkACAAZgByAG8AbQAgADQALgA1AC4AMQAuADMAIAAoADYAKQBcACIAOwBcAG4AIAAgACAAIAAgACAAIAAgACAAIABcACIARQBGAF8AbQBUADIAXAAiACwAXAAiAG4AaQB0AHIAbwB1AHMAIABvAHgAaQBkAGUAIABlAG0AaQBzAHMAaQBvAG4AIABmAGEAYwB0AG8AcgAgAGYAbwByACAAZQBhAGMAaAAgAE0ATQBTACAAYQB0ACAAdAByAGUAYQB0AG0AZQBuAHQAIABzAHQAYQBnAGUAIAAy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CAAYQB0ACAAdAByAGUAYQB0AG0AZQBuAHQAIABzAHQAYQBnAGUAIAAyAFwAIgAsACAAXAAiACgAawBnACAATgBIADMALQBOACAAKwAgAE4ATwB4AC0ATgApAC8AawBnACAATgBcACIALAAgAFwAIgBDAG8AbgBzAHQAYQBuAHQAXAAiADsAXABuACAAIAAgACAAIAAgACAAIAAgACAAXAAiAE0ATgBMAGUAYQBjAGgAXwBqAG0ANQBcACIALABcACIAbQBhAHMAcwAgAG8AZgAgAE4AIABsAG8AcwB0ACAAdABvACAAbABlAGEAYwBoAGkAbgBnACAAYQBuAGQAIAByAHUAbgBvAGYAZgAgAGYAcgBvAG0AIABkAHIAeQBsAG8AdAAgAE0ATQBTAFwAIgAsACAAXAAiAGsAZwAgAE4AXAAiACwAIABcACIAQwBhAGwAYwB1AGwAYQB0AGUAZAAgAGYAcgBvAG0AIAA0AC4ANQAuADEALgA3ACAAKAAyACkAXAAiADsAXABuACAAIAAgACAAIAAgACAAIAAgACAAXAAiAFAARgBcACIALABcACIAZgByAGEAYwB0AGkAbwBuACAAbwBmACAAbQBhAG4AdQByAGUAIABhAHAAcABsAGkAZQBkACAAdABvACAAcwBvAGkAbAAgAHcAaQB0AGgAaQBuACAAdABoAGUAIABwAGkAZwBnAGUAcgB5ACAAYgBvAHUAbgBkAGEAcgB5AFwAIgAsACAAXAAiAGYAcgBhAGMAdABpAG8Ab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TQBDAEYAVABlAG0AcABlAHIAYQB0AHUAcgBlAFoAbwBuAGUAXwBUAGkAdABsAGUAIgAsACIAQwBvAG0AbQBvAG4AXwBTAG8AdQByAGMAZQBEAGEAdABhAC4AQwBvAG0AbQBvAG4AXwBTAG8AdQByAGMAZQBEAGEAdABhAF8ATQBDAEYAVABlAG0AcABlAHIAYQB0AHUAcgBlAFoAbwBuAGUAXwBVAG4AaQB0ACIALAAiAEMAbwBtAG0AbwBuAF8AUwBvAHUAcgBjAGUARABhAHQAYQAuAEMAbwBtAG0AbwBuAF8AUwBvAHUAcgBjAGUARABhAHQAYQBfAE0AQwBGAFQAZQBtAHAAZQByAGEAdAB1AHIAZQBaAG8AbgBlAF8AUwBvAHUAcgBjAGUAIgAsACIAQwBvAG0AbQBvAG4AXwBTAG8AdQByAGMAZQBEAGEAdABhAC4AQwBvAG0AbQBvAG4AXwBTAG8AdQByAGMAZQBEAGEAdABhAF8ATQBDAEYAVABlAG0AcABlAHIAYQB0AHUAcgBlAFoAbwBuAGUAXwBEAGEAdABh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FMAdwBpAG4AZQAuAFMAbwB1AHIAYwBlAEQAYQB0AGEAXwBTAHcAaQBuAGUAXwBWAG8AbABhAHQAaQBsAGUAUwBvAGwAaQBkAHMAXwBUAGkAdABsAGUAIgAsACIAUwBvAHUAcgBjAGUARABhAHQAYQBfAFMAdwBpAG4AZQAuAFMAbwB1AHIAYwBlAEQAYQB0AGEAXwBTAHcAaQBuAGUAXwBWAG8AbABhAHQAaQBsAGUAUwBvAGwAaQBkAHMAXwBVAG4AaQB0ACIALAAiAFMAbwB1AHIAYwBlAEQAYQB0AGEAXwBTAHcAaQBuAGUALgBTAG8AdQByAGMAZQBEAGEAdABhAF8AUwB3AGkAbgBlAF8AVgBvAGwAYQB0AGkAbABlAFMAbwBsAGkAZABzAF8AUwBvAHUAcgBjAGUAIgAsACIAUwBvAHUAcgBjAGUARABhAHQAYQBfAFMAdwBpAG4AZQAuAFMAbwB1AHIAYwBlAEQAYQB0AGEAXwBTAHcAaQBuAGUAXwBWAG8AbABhAHQAaQBsAGUAUwBvAGwAaQBkAHMAXwBWAGEAcgBpAGEAdABpAG8AbgAiACwAIgBTAG8AdQByAGMAZQBEAGEAdABhAF8AUwB3AGkAbgBlAC4AUwBvAHUAcgBjAGUARABhAHQAYQBfAFMAdwBpAG4AZQBfAFYAbwBsAGEAdABpAGwAZQBTAG8AbABpAGQAcwBfAEQAYQB0AGEAIgAsACIAUwBvAHUAcgBjAGUARABhAHQAYQBfAFMAdwBpAG4AZQAuAFMAbwB1AHIAYwBlAEQAYQB0AGEAXwBTAHcAaQBuAGUAXwBGAGUAZQBkAEkAbgB0AGEAawBlAF8AVABpAHQAbABlACIALAAiAFMAbwB1AHIAYwBlAEQAYQB0AGEAXwBTAHcAaQBuAGUALgBTAG8AdQByAGMAZQBEAGEAdABhAF8AUwB3AGkAbgBlAF8ARgBlAGUAZABJAG4AdABhAGsAZQBfAFUAbgBpAHQAIgAsACIAUwBvAHUAcgBjAGUARABhAHQAYQBfAFMAdwBpAG4AZQAuAFMAbwB1AHIAYwBlAEQAYQB0AGEAXwBTAHcAaQBuAGUAXwBGAGUAZQBkAEkAbgB0AGEAawBlAF8AUwBvAHUAcgBjAGUAIgAsACIAUwBvAHUAcgBjAGUARABhAHQAYQBfAFMAdwBpAG4AZQAuAFMAbwB1AHIAYwBlAEQAYQB0AGEAXwBTAHcAaQBuAGUAXwBGAGUAZQBkAEkAbgB0AGEAawBlAF8AVgBhAHIAaQBhAHQAaQBvAG4AIgAsACIAUwBvAHUAcgBjAGUARABhAHQAYQBfAFMAdwBpAG4AZQAuAFMAbwB1AHIAYwBlAEQAYQB0AGEAXwBTAHcAaQBuAGUAXwBGAGUAZQBkAEkAbgB0AGEAawBlAF8ARABhAHQAYQAiACwAIgBTAG8AdQByAGMAZQBEAGEAdABhAF8AUwB3AGkAbgBlAC4AUwBvAHUAcgBjAGUARABhAHQAYQBfAFMAdwBpAG4AZQBfAE4AaQB0AHIAbwBnAGUAbgBJAG4AVwBhAHMAdABlAF8AVABpAHQAbABlACIALAAiAFMAbwB1AHIAYwBlAEQAYQB0AGEAXwBTAHcAaQBuAGUALgBTAG8AdQByAGMAZQBEAGEAdABhAF8AUwB3AGkAbgBlAF8ATgBpAHQAcgBvAGcAZQBuAEkAbgBXAGEAcwB0AGUAXwBVAG4AaQB0ACIALAAiAFMAbwB1AHIAYwBlAEQAYQB0AGEAXwBTAHcAaQBuAGUALgBTAG8AdQByAGMAZQBEAGEAdABhAF8AUwB3AGkAbgBlAF8ATgBpAHQAcgBvAGcAZQBuAEkAbgBXAGEAcwB0AGUAXwBTAG8AdQByAGMAZQAiACwAIgBTAG8AdQByAGMAZQBEAGEAdABhAF8AUwB3AGkAbgBlAC4AUwBvAHUAcgBjAGUARABhAHQAYQBfAFMAdwBpAG4AZQBfAE4AaQB0AHIAbwBnAGUAbgBJAG4AVwBhAHMAdABlAF8AVgBhAHIAaQBhAHQAaQBvAG4AIgAsACIAUwBvAHUAcgBjAGUARABhAHQAYQBfAFMAdwBpAG4AZQAuAFMAbwB1AHIAYwBlAEQAYQB0AGEAXwBTAHcAaQBuAGUAXwBOAGkAdAByAG8AZwBlAG4ASQBuAFcAYQBzAHQAZQBfAEQAYQB0AGEAIgAsACIAUwBvAHUAcgBjAGUARABhAHQAYQBfAFMAdwBpAG4AZQAuAFMAbwB1AHIAYwBlAEQAYQB0AGEAXwBTAHcAaQBuAGUAXwBGAHIAYQBjAHQAaQBvAG4ATgBWAG8AbABhAHQAaQBsAGkAcwBlAGQAXwBUAGkAdABsAGUAIgAsACIAUwBvAHUAcgBjAGUARABhAHQAYQBfAFMAdwBpAG4AZQAuAFMAbwB1AHIAYwBlAEQAYQB0AGEAXwBTAHcAaQBuAGUAXwBGAHIAYQBjAHQAaQBvAG4ATgBWAG8AbABhAHQAaQBsAGkAcwBlAGQAXwBVAG4AaQB0ACIALAAiAFMAbwB1AHIAYwBlAEQAYQB0AGEAXwBTAHcAaQBuAGUALgBTAG8AdQByAGMAZQBEAGEAdABhAF8AUwB3AGkAbgBlAF8ARgByAGEAYwB0AGkAbwBuAE4AVgBvAGwAYQB0AGkAbABpAHMAZQBkAF8AUwBvAHUAcgBjAGUAIgAsACIAUwBvAHUAcgBjAGUARABhAHQAYQBfAFMAdwBpAG4AZQAuAFMAbwB1AHIAYwBlAEQAYQB0AGEAXwBTAHcAaQBuAGUAXwBGAHIAYQBjAHQAaQBvAG4ATgBWAG8AbABhAHQAaQBsAGkAcwBlAGQAXwBWAGEAcgBpAGEAdABpAG8AbgAiACwAIgBTAG8AdQByAGMAZQBEAGEAdABhAF8AUwB3AGkAbgBlAC4AUwBvAHUAcgBjAGUARABhAHQAYQBfAFMAdwBpAG4AZQBfAEYAcgBhAGMAdABpAG8AbgBOAFYAbwBsAGEAdABpAGwAaQBzAGUAZABfAEQAYQB0AGEAIgAsACIAUwBvAHUAcgBjAGUARABhAHQAYQBfAFMAdwBpAG4AZQAuAFMAbwB1AHIAYwBlAEQAYQB0AGEAXwBTAHcAaQBuAGUAXwBOAGkAdAByAG8AdQBzAE8AeABpAGQAZQBFAEYAcwBfAFQAaQB0AGwAZQAiACwAIgBTAG8AdQByAGMAZQBEAGEAdABhAF8AUwB3AGkAbgBlAC4AUwBvAHUAcgBjAGUARABhAHQAYQBfAFMAdwBpAG4AZQBfAE4AaQB0AHIAbwB1AHMATwB4AGkAZABlAEUARgBzAF8AVQBuAGkAdAAiACwAIgBTAG8AdQByAGMAZQBEAGEAdABhAF8AUwB3AGkAbgBlAC4AUwBvAHUAcgBjAGUARABhAHQAYQBfAFMAdwBpAG4AZQBfAE4AaQB0AHIAbwB1AHMATwB4AGkAZABlAEUARgBzAF8AUwBvAHUAcgBjAGUAIgAsACIAUwBvAHUAcgBjAGUARABhAHQAYQBfAFMAdwBpAG4AZQAuAFMAbwB1AHIAYwBlAEQAYQB0AGEAXwBTAHcAaQBuAGUAXwBOAGkAdAByAG8AdQBzAE8AeABpAGQAZQBFAEYAcwBfAFYAYQByAGkAYQB0AGkAbwBuACIALAAiAFMAbwB1AHIAYwBlAEQAYQB0AGEAXwBTAHcAaQBuAGUALgBTAG8AdQByAGMAZQBEAGEAdABhAF8AUwB3AGkAbgBlAF8ATgBpAHQAcgBvAHUAcwBPAHgAaQBkAGUARQBGAHMAXwBEAGEAdABhACIALAAiAFMAbwB1AHIAYwBlAEQAYQB0AGEAXwBTAHcAaQBuAGUALgBTAG8AdQByAGMAZQBEAGEAdABhAF8AUwB3AGkAbgBlAF8ATQBlAHQAaABhAG4AZQBWAG8AbABhAHQAaQBsAGUAUwBvAGwAaQBkAHMARQBtAGkAcwBzAGkAbwBuAHMAUABvAHQAZQBuAHQAaQBhAGwAXwBUAGkAdABsAGUAIgAsACIAUwBvAHUAcgBjAGUARABhAHQAYQBfAFMAdwBpAG4AZQAuAFMAbwB1AHIAYwBlAEQAYQB0AGEAXwBTAHcAaQBuAGUAXwBNAGUAdABoAGEAbgBlAFYAbwBsAGEAdABpAGwAZQBTAG8AbABpAGQAcwBFAG0AaQBzAHMAaQBvAG4AcwBQAG8AdABlAG4AdABpAGEAbABfAFYAYQByAGkAYQBiAGwAZQAiACwAIgBTAG8AdQByAGMAZQBEAGEAdABhAF8AUwB3AGkAbgBlAC4AUwBvAHUAcgBjAGUARABhAHQAYQBfAFMAdwBpAG4AZQBfAE0AZQB0AGgAYQBuAGUAVgBvAGwAYQB0AGkAbABlAFMAbwBsAGkAZABzAEUAbQBpAHMAcwBpAG8AbgBzAFAAbwB0AGUAbgB0AGkAYQBsAF8AVQBuAGkAdAAiACwAIgBTAG8AdQByAGMAZQBEAGEAdABhAF8AUwB3AGkAbgBlAC4AUwBvAHUAcgBjAGUARABhAHQAYQBfAFMAdwBpAG4AZQBfAE0AZQB0AGgAYQBuAGUAVgBvAGwAYQB0AGkAbABlAFMAbwBsAGkAZABzAEUAbQBpAHMAcwBpAG8AbgBzAFAAbwB0AGUAbgB0AGkAYQBsAF8AUwBvAHUAcgBjAGUAIgAsACIAUwBvAHUAcgBjAGUARABhAHQAYQBfAFMAdwBpAG4AZQAuAFMAbwB1AHIAYwBlAEQAYQB0AGEAXwBTAHcAaQBuAGUAXwBNAGUAdABoAGEAbgBlAFYAbwBsAGEAdABpAGwAZQBTAG8AbABpAGQAcwBFAG0AaQBzAHMAaQBvAG4AcwBQAG8AdABlAG4AdABpAGEAbABfAFYAYQByAGkAYQB0AGkAbwBuACIALAAiAFMAbwB1AHIAYwBlAEQAYQB0AGEAXwBTAHcAaQBuAGUALgBTAG8AdQByAGMAZQBEAGEAdABhAF8AUwB3AGkAbgBlAF8ATQBlAHQAaABhAG4AZQBWAG8AbABhAHQAaQBsAGUAUwBvAGwAaQBkAHMARQBtAGkAcwBzAGkAbwBuAHMAUABvAHQAZQBuAHQAaQBhAGwAXwBEAGEAdABhACIALAAiAFMAbwB1AHIAYwBlAEQAYQB0AGEAXwBTAHcAaQBuAGUALgBTAG8AdQByAGMAZQBEAGEAdABhAF8AUwB3AGkAbgBlAF8ATQBNAFMAXwBNAEMARgBzAF8AVABpAHQAbABlACIALAAiAFMAbwB1AHIAYwBlAEQAYQB0AGEAXwBTAHcAaQBuAGUALgBTAG8AdQByAGMAZQBEAGEAdABhAF8AUwB3AGkAbgBlAF8ATQBNAFMAXwBNAEMARgBzAF8AVQBuAGkAdAAiACwAIgBTAG8AdQByAGMAZQBEAGEAdABhAF8AUwB3AGkAbgBlAC4AUwBvAHUAcgBjAGUARABhAHQAYQBfAFMAdwBpAG4AZQBfAE0ATQBTAF8ATQBDAEYAcwBfAFMAbwB1AHIAYwBlACIALAAiAFMAbwB1AHIAYwBlAEQAYQB0AGEAXwBTAHcAaQBuAGUALgBTAG8AdQByAGMAZQBEAGEAdABhAF8AUwB3AGkAbgBlAF8ATQBNAFMAXwBNAEMARgBzAF8AVgBhAHIAaQBhAHQAaQBvAG4AIgAsACIAUwBvAHUAcgBjAGUARABhAHQAYQBfAFMAdwBpAG4AZQAuAFMAbwB1AHIAYwBlAEQAYQB0AGEAXwBTAHcAaQBuAGUAXwBNAE0AUwBfAE0AQwBGAHMAXwBEAGEAdABhACIALAAiAFMAbwB1AHIAYwBlAEQAYQB0AGEAXwBTAHcAaQBuAGUALgBTAG8AdQByAGMAZQBEAGEAdABhAF8AUwB3AGkAbgBlAF8AQQB2AGUAcgBhAGcAZQBMAGkAdgBlAHcAZQBpAGcAaAB0AF8AVABpAHQAbABlACIALAAiAFMAbwB1AHIAYwBlAEQAYQB0AGEAXwBTAHcAaQBuAGUALgBTAG8AdQByAGMAZQBEAGEAdABhAF8AUwB3AGkAbgBlAF8AQQB2AGUAcgBhAGcAZQBMAGkAdgBlAHcAZQBpAGcAaAB0AF8AVQBuAGkAdAAiACwAIgBTAG8AdQByAGMAZQBEAGEAdABhAF8AUwB3AGkAbgBlAC4AUwBvAHUAcgBjAGUARABhAHQAYQBfAFMAdwBpAG4AZQBfAEEAdgBlAHIAYQBnAGUATABpAHYAZQB3AGUAaQBnAGgAdABfAFMAbwB1AHIAYwBlACIALAAiAFMAbwB1AHIAYwBlAEQAYQB0AGEAXwBTAHcAaQBuAGUALgBTAG8AdQByAGMAZQBEAGEAdABhAF8AUwB3AGkAbgBlAF8AQQB2AGUAcgBhAGcAZQBMAGkAdgBlAHcAZQBpAGcAaAB0AF8AVgBhAHIAaQBhAHQAaQBvAG4AIgAsACIAUwBvAHUAcgBjAGUARABhAHQAYQBfAFMAdwBpAG4AZQAuAFMAbwB1AHIAYwBlAEQAYQB0AGEAXwBTAHcAaQBuAGUAXwBBAHYAZQByAGEAZwBlAEwAaQB2AGUAdwBlAGkAZwBoAHQAXwBEAGEAdABhACIALAAiAFMAbwB1AHIAYwBlAEQAYQB0AGEAXwBTAHcAaQBuAGUALgBTAG8AdQByAGMAZQBEAGEAdABhAF8AUwB3AGkAbgBlAF8AUAByAG8AZAB1AGMAdABpAG8AbgBTAHkAcwB0AGUAbQBzAF8AVABpAHQAbABlACIALAAiAFMAbwB1AHIAYwBlAEQAYQB0AGEAXwBTAHcAaQBuAGUALgBTAG8AdQByAGMAZQBEAGEAdABhAF8AUwB3AGkAbgBlAF8AUAByAG8AZAB1AGMAdABpAG8AbgBTAHkAcwB0AGUAbQBzAF8AVQBuAGkAdAAiACwAIgBTAG8AdQByAGMAZQBEAGEAdABhAF8AUwB3AGkAbgBlAC4AUwBvAHUAcgBjAGUARABhAHQAYQBfAFMAdwBpAG4AZQBfAFAAcgBvAGQAdQBjAHQAaQBvAG4AUwB5AHMAdABlAG0AcwBfAFMAbwB1AHIAYwBlACIALAAiAFMAbwB1AHIAYwBlAEQAYQB0AGEAXwBTAHcAaQBuAGUALgBTAG8AdQByAGMAZQBEAGEAdABhAF8AUwB3AGkAbgBlAF8AUAByAG8AZAB1AGMAdABpAG8AbgBTAHkAcwB0AGUAbQBzAF8AVgBhAHIAaQBhAHQAaQBvAG4AIgAsACIAUwBvAHUAcgBjAGUARABhAHQAYQBfAFMAdwBpAG4AZQAuAFMAbwB1AHIAYwBlAEQAYQB0AGEAXwBTAHcAaQBuAGUAXwBQAHIAbwBkAHUAYwB0AGkAbwBuAFMAeQBzAHQAZQBtAHMAXwBEAGEAdABhACIALAAiAFMAbwB1AHIAYwBlAEQAYQB0AGEAXwBTAHcAaQBuAGUALgBTAG8AdQByAGMAZQBEAGEAdABhAF8AUwB3AGkAbgBlAF8ARgByAGEAYwBMAEUAQQBDAEgAXwBEAHIAeQBsAG8AdABNAE0AUwBfAFQAaQB0AGwAZQAiACwAIgBTAG8AdQByAGMAZQBEAGEAdABhAF8AUwB3AGkAbgBlAC4AUwBvAHUAcgBjAGUARABhAHQAYQBfAFMAdwBpAG4AZQBfAEYAcgBhAGMATABFAEEAQwBIAF8ARAByAHkAbABvAHQATQBNAFMAXwBWAGEAcgBpAGEAYgBsAGUAIgAsACIAUwBvAHUAcgBjAGUARABhAHQAYQBfAFMAdwBpAG4AZQAuAFMAbwB1AHIAYwBlAEQAYQB0AGEAXwBTAHcAaQBuAGUAXwBGAHIAYQBjAEwARQBBAEMASABfAEQAcgB5AGwAbwB0AE0ATQBTAF8AVQBuAGkAdAAiACwAIgBTAG8AdQByAGMAZQBEAGEAdABhAF8AUwB3AGkAbgBlAC4AUwBvAHUAcgBjAGUARABhAHQAYQBfAFMAdwBpAG4AZQBfAEYAcgBhAGMATABFAEEAQwBIAF8ARAByAHkAbABvAHQATQBNAFMAXwBTAG8AdQByAGMAZQAiACwAIgBTAG8AdQByAGMAZQBEAGEAdABhAF8AUwB3AGkAbgBlAC4AUwBvAHUAcgBjAGUARABhAHQAYQBfAFMAdwBpAG4AZQBfAEYAcgBhAGMATABFAEEAQwBIAF8ARAByAHkAbABvAHQATQBNAFMAXwBWAGEAcgBpAGEAdABpAG8AbgAiACwAIgBTAG8AdQByAGMAZQBEAGEAdABhAF8AUwB3AGkAbgBlAC4AUwBvAHUAcgBjAGUARABhAHQAYQBfAFMAdwBpAG4AZQBfAEYAcgBhAGMATABFAEEAQwBIAF8ARAByAHkAbABvAHQATQBNAFMAXwBEAGEAdABhACIALAAiAFMAbwB1AHIAYwBlAEQAYQB0AGEAXwBTAHcAaQBuAGUALgBTAG8AdQByAGMAZQBEAGEAdABhAF8AUwB3AGkAbgBlAF8ATQBlAGcAYQBqAG8AdQBsAGUAcwBQAGUAcgBLAGkAbABvAGcAcgBhAG0ATQBlAHQAaABhAG4AZQBfAFQAaQB0AGwAZQAiACwAIgBTAG8AdQByAGMAZQBEAGEAdABhAF8AUwB3AGkAbgBlAC4AUwBvAHUAcgBjAGUARABhAHQAYQBfAFMAdwBpAG4AZQBfAE0AZQBnAGEAagBvAHUAbABlAHMAUABlAHIASwBpAGwAbwBnAHIAYQBtAE0AZQB0AGgAYQBuAGUAXwBWAGEAcgBpAGEAYgBsAGUAIgAsACIAUwBvAHUAcgBjAGUARABhAHQAYQBfAFMAdwBpAG4AZQAuAFMAbwB1AHIAYwBlAEQAYQB0AGEAXwBTAHcAaQBuAGUAXwBNAGUAZwBhAGoAbwB1AGwAZQBzAFAAZQByAEsAaQBsAG8AZwByAGEAbQBNAGUAdABoAGEAbgBlAF8AVQBuAGkAdAAiACwAIgBTAG8AdQByAGMAZQBEAGEAdABhAF8AUwB3AGkAbgBlAC4AUwBvAHUAcgBjAGUARABhAHQAYQBfAFMAdwBpAG4AZQBfAE0AZQBnAGEAagBvAHUAbABlAHMAUABlAHIASwBpAGwAbwBnAHIAYQBtAE0AZQB0AGgAYQBuAGUAXwBTAG8AdQByAGMAZQAiACwAIgBTAG8AdQByAGMAZQBEAGEAdABhAF8AUwB3AGkAbgBlAC4AUwBvAHUAcgBjAGUARABhAHQAYQBfAFMAdwBpAG4AZQBfAE0AZQBnAGEAagBvAHUAbABlAHMAUABlAHIASwBpAGwAbwBnAHIAYQBtAE0AZQB0AGgAYQBuAGUAXwBWAGEAcgBpAGEAdABpAG8AbgAiACwAIgBTAG8AdQByAGMAZQBEAGEAdABhAF8AUwB3AGkAbgBlAC4AUwBvAHUAcgBjAGUARABhAHQAYQBfAFMAdwBpAG4AZQBfAE0AZQBnAGEAagBvAHUAbABlAHMAUABlAHIASwBpAGwAbwBnAHIAYQBtAE0AZQB0AGgAYQBuAGUAXwBEAGEAdABhACIALAAiAEUAbgB0AGUAcgBpAGMATQBlAHQAaABhAG4AZQBfAFMAdwBpAG4AZQBfAEUAcQB1AGEAdABpAG8AbgBzAC4AVgBFAEUAUgBHAF8AMwBfADUAXwAxAF8AMQBfAF8AMQBfAFQAbwB0AGEAbABBAG4AbgB1AGEAbABNAGUAdABoAGEAbgBlAEYAcgBvAG0ARQBuAHQAZQByAGkAYwBGAGUAcgBtAGUAbgB0AGEAdABpAG8AbgAiACwAIgBFAG4AdABlAHIAaQBjAE0AZQB0AGgAYQBuAGUAXwBTAHcAaQBuAGUAXwBFAHEAdQBhAHQAaQBvAG4AcwAuAFYARQBFAFIARwBfADMAXwA1AF8AMQBfADEAXwBfADEAXwBUAG8AdABhAGwAQQBuAG4AdQBhAGwATQBlAHQAaABhAG4AZQBGAHIAbwBtAEUAbgB0AGUAcgBpAGMARgBlAHIAbQBlAG4AdABhAHQAaQBvAG4AXwBUAGkAdABsAGUAIgAsACIARQBuAHQAZQByAGkAYwBNAGUAdABoAGEAbgBlAF8AUwB3AGkAbgBlAF8ARQBxAHUAYQB0AGkAbwBuAHMALgBWAEUARQBSAEcAXwAzAF8ANQBfADEAXwAxAF8AXwAxAF8AVABvAHQAYQBsAEEAbgBuAHUAYQBsAE0AZQB0AGgAYQBuAGUARgByAG8AbQBFAG4AdABlAHIAaQBjAEYAZQByAG0AZQBuAHQAYQB0AGkAbwBuAF8AVgBhAHIAaQBhAGIAbABlACIALAAiAEUAbgB0AGUAcgBpAGMATQBlAHQAaABhAG4AZQBfAFMAdwBpAG4AZQBfAEUAcQB1AGEAdABpAG8AbgBzAC4AVgBFAEUAUgBHAF8AMwBfADUAXwAxAF8AMQBfAF8AMQBfAFQAbwB0AGEAbABBAG4AbgB1AGEAbABNAGUAdABoAGEAbgBlAEYAcgBvAG0ARQBuAHQAZQByAGkAYwBGAGUAcgBtAGUAbgB0AGEAdABpAG8AbgBfAFUAbgBpAHQAIgAsACIARQBuAHQAZQByAGkAYwBNAGUAdABoAGEAbgBlAF8AUwB3AGkAbgBlAF8ARQBxAHUAYQB0AGkAbwBuAHMALgBWAEUARQBSAEcAXwAzAF8ANQBfADEAXwAxAF8AXwAxAF8AVABvAHQAYQBsAEEAbgBuAHUAYQBsAE0AZQB0AGgAYQBuAGUARgByAG8AbQBFAG4AdABlAHIAaQBjAEYAZQByAG0AZQBuAHQAYQB0AGkAbwBuAF8AUwBvAHUAcgBjAGUAIgAsACIARQBuAHQAZQByAGkAYwBNAGUAdABoAGEAbgBlAF8AUwB3AGkAbgBlAF8ARQBxAHUAYQB0AGkAbwBuAHMALgBWAEUARQBSAEcAXwAzAF8ANQBfADEAXwAxAF8AXwAxAF8AVABvAHQAYQBsAEEAbgBuAHUAYQBsAE0AZQB0AGgAYQBuAGUARgByAG8AbQBFAG4AdABlAHIAaQBjAEYAZQByAG0AZQBuAHQAYQB0AGkAbwBuAF8ATgBJAFIAUgBlAGYAZQByAGUAbgBjAGUAIgAsACIARQBuAHQAZQByAGkAYwBNAGUAdABoAGEAbgBlAF8AUwB3AGkAbgBlAF8ARQBxAHUAYQB0AGkAbwBuAHMALgBWAEUARQBSAEcAXwAzAF8ANQBfADEAXwAxAF8AXwAxAF8AVABvAHQAYQBsAEEAbgBuAHUAYQBsAE0AZQB0AGgAYQBuAGUARgByAG8AbQBFAG4AdABlAHIAaQBjAEYAZQByAG0AZQBuAHQAYQB0AGkAbwBuAF8ATABhAHQAZQB4AEUAcQB1AGEAdABpAG8AbgAiACwAIgBFAG4AdABlAHIAaQBjAE0AZQB0AGgAYQBuAGUAXwBTAHcAaQBuAGUAXwBFAHEAdQBhAHQAaQBvAG4AcwAuAFYARQBFAFIARwBfADMAXwA1AF8AMQBfADEAXwBfADEAXwBUAG8AdABhAGwAQQBuAG4AdQBhAGwATQBlAHQAaABhAG4AZQBGAHIAbwBtAEUAbgB0AGUAcgBpAGMARgBlAHIAbQBlAG4AdABhAHQAaQBvAG4AXwBBAHIAZwB1AG0AZQBuAHQAcwAiACwAIgBFAG4AdABlAHIAaQBjAE0AZQB0AGgAYQBuAGUAXwBTAHcAaQBuAGUAXwBFAHEAdQBhAHQAaQBvAG4AcwAuAFYARQBFAFIARwBfADMAXwA1AF8AMQBfADEAXwBfADIAXwBEAGEAaQBsAHkARQBuAHQAZQByAGkAYwBNAGUAdABoAGEAbgBlAFAAcgBvAGQAdQBjAHQAaQBvAG4AIgAsACIARQBuAHQAZQByAGkAYwBNAGUAdABoAGEAbgBlAF8AUwB3AGkAbgBlAF8ARQBxAHUAYQB0AGkAbwBuAHMALgBWAEUARQBSAEcAXwAzAF8ANQBfADEAXwAxAF8AXwAyAF8ARABhAGkAbAB5AEUAbgB0AGUAcgBpAGMATQBlAHQAaABhAG4AZQBQAHIAbwBkAHUAYwB0AGkAbwBuAF8AVABpAHQAbABlACIALAAiAEUAbgB0AGUAcgBpAGMATQBlAHQAaABhAG4AZQBfAFMAdwBpAG4AZQBfAEUAcQB1AGEAdABpAG8AbgBzAC4AVgBFAEUAUgBHAF8AMwBfADUAXwAxAF8AMQBfAF8AMgBfAEQAYQBpAGwAeQBFAG4AdABlAHIAaQBjAE0AZQB0AGgAYQBuAGUAUAByAG8AZAB1AGMAdABpAG8AbgBfAFYAYQByAGkAYQBiAGwAZQAiACwAIgBFAG4AdABlAHIAaQBjAE0AZQB0AGgAYQBuAGUAXwBTAHcAaQBuAGUAXwBFAHEAdQBhAHQAaQBvAG4AcwAuAFYARQBFAFIARwBfADMAXwA1AF8AMQBfADEAXwBfADIAXwBEAGEAaQBsAHkARQBuAHQAZQByAGkAYwBNAGUAdABoAGEAbgBlAFAAcgBvAGQAdQBjAHQAaQBvAG4AXwBVAG4AaQB0ACIALAAiAEUAbgB0AGUAcgBpAGMATQBlAHQAaABhAG4AZQBfAFMAdwBpAG4AZQBfAEUAcQB1AGEAdABpAG8AbgBzAC4AVgBFAEUAUgBHAF8AMwBfADUAXwAxAF8AMQBfAF8AMgBfAEQAYQBpAGwAeQBFAG4AdABlAHIAaQBjAE0AZQB0AGgAYQBuAGUAUAByAG8AZAB1AGMAdABpAG8AbgBfAFMAbwB1AHIAYwBlACIALAAiAEUAbgB0AGUAcgBpAGMATQBlAHQAaABhAG4AZQBfAFMAdwBpAG4AZQBfAEUAcQB1AGEAdABpAG8AbgBzAC4AVgBFAEUAUgBHAF8AMwBfADUAXwAxAF8AMQBfAF8AMgBfAEQAYQBpAGwAeQBFAG4AdABlAHIAaQBjAE0AZQB0AGgAYQBuAGUAUAByAG8AZAB1AGMAdABpAG8AbgBfAE4ASQBSAFIAZQBmAGUAcgBlAG4AYwBlACIALAAiAEUAbgB0AGUAcgBpAGMATQBlAHQAaABhAG4AZQBfAFMAdwBpAG4AZQBfAEUAcQB1AGEAdABpAG8AbgBzAC4AVgBFAEUAUgBHAF8AMwBfADUAXwAxAF8AMQBfAF8AMgBfAEQAYQBpAGwAeQBFAG4AdABlAHIAaQBjAE0AZQB0AGgAYQBuAGUAUAByAG8AZAB1AGMAdABpAG8AbgBfAEwAYQB0AGUAeABFAHEAdQBhAHQAaQBvAG4AIgAsACIARQBuAHQAZQByAGkAYwBNAGUAdABoAGEAbgBlAF8AUwB3AGkAbgBlAF8ARQBxAHUAYQB0AGkAbwBuAHMALgBWAEUARQBSAEcAXwAzAF8ANQBfADEAXwAxAF8AXwAyAF8ARABhAGkAbAB5AEUAbgB0AGUAcgBpAGMATQBlAHQAaABhAG4AZQBQAHIAbwBkAHUAYwB0AGkAbwBuAF8AQQByAGcAdQBtAGUAbgB0AHMAIgAsACIATQBNAFMAXwBTAHcAaQBuAGUAXwBNAGUAdABoAGEAbgBlAF8ARQBxAHUAYQB0AGkAbwBuAHMALgBWAEUARQBSAEcAXwA0AF8ANQBfADEAXwAxAF8AXwAxAF8AVABvAHQAYQBsAEEAbgBuAHUAYQBsAE0AZQB0AGgAYQBuAGUARQBtAGkAcwBzAGkAbwBuAHMAIgAsACIATQBNAFMAXwBTAHcAaQBuAGUAXwBNAGUAdABoAGEAbgBlAF8ARQBxAHUAYQB0AGkAbwBuAHMALgBWAEUARQBSAEcAXwA0AF8ANQBfADEAXwAxAF8AXwAxAF8AVABvAHQAYQBsAEEAbgBuAHUAYQBsAE0AZQB0AGgAYQBuAGUARQBtAGkAcwBzAGkAbwBuAHMAXwBUAGkAdABsAGUAIgAsACIATQBNAFMAXwBTAHcAaQBuAGUAXwBNAGUAdABoAGEAbgBlAF8ARQBxAHUAYQB0AGkAbwBuAHMALgBWAEUARQBSAEcAXwA0AF8ANQBfADEAXwAxAF8AXwAxAF8AVABvAHQAYQBsAEEAbgBuAHUAYQBsAE0AZQB0AGgAYQBuAGUARQBtAGkAcwBzAGkAbwBuAHMAXwBWAGEAcgBpAGEAYgBsAGUAIgAsACIATQBNAFMAXwBTAHcAaQBuAGUAXwBNAGUAdABoAGEAbgBlAF8ARQBxAHUAYQB0AGkAbwBuAHMALgBWAEUARQBSAEcAXwA0AF8ANQBfADEAXwAxAF8AXwAxAF8AVABvAHQAYQBsAEEAbgBuAHUAYQBsAE0AZQB0AGgAYQBuAGUARQBtAGkAcwBzAGkAbwBuAHMAXwBVAG4AaQB0ACIALAAiAE0ATQBTAF8AUwB3AGkAbgBlAF8ATQBlAHQAaABhAG4AZQBfAEUAcQB1AGEAdABpAG8AbgBzAC4AVgBFAEUAUgBHAF8ANABfADUAXwAxAF8AMQBfAF8AMQBfAFQAbwB0AGEAbABBAG4AbgB1AGEAbABNAGUAdABoAGEAbgBlAEUAbQBpAHMAcwBpAG8AbgBzAF8AUwBvAHUAcgBjAGUAIgAsACIATQBNAFMAXwBTAHcAaQBuAGUAXwBNAGUAdABoAGEAbgBlAF8ARQBxAHUAYQB0AGkAbwBuAHMALgBWAEUARQBSAEcAXwA0AF8ANQBfADEAXwAxAF8AXwAxAF8AVABvAHQAYQBsAEEAbgBuAHUAYQBsAE0AZQB0AGgAYQBuAGUARQBtAGkAcwBzAGkAbwBuAHMAXwBOAEkAUgBSAGUAZgBlAHIAZQBuAGMAZQAiACwAIgBNAE0AUwBfAFMAdwBpAG4AZQBfAE0AZQB0AGgAYQBuAGUAXwBFAHEAdQBhAHQAaQBvAG4AcwAuAFYARQBFAFIARwBfADQAXwA1AF8AMQBfADEAXwBfADEAXwBUAG8AdABhAGwAQQBuAG4AdQBhAGwATQBlAHQAaABhAG4AZQBFAG0AaQBzAHMAaQBvAG4AcwBfAEwAYQB0AGUAeABFAHEAdQBhAHQAaQBvAG4AIgAsACIATQBNAFMAXwBTAHcAaQBuAGUAXwBNAGUAdABoAGEAbgBlAF8ARQBxAHUAYQB0AGkAbwBuAHMALgBWAEUARQBSAEcAXwA0AF8ANQBfADEAXwAxAF8AXwAxAF8AVABvAHQAYQBsAEEAbgBuAHUAYQBsAE0AZQB0AGgAYQBuAGUARQBtAGkAcwBzAGkAbwBuAHMAXwBBAHIAZwB1AG0AZQBuAHQAcwAiACwAIgBNAE0AUwBfAFMAdwBpAG4AZQBfAE0AZQB0AGgAYQBuAGUAXwBFAHEAdQBhAHQAaQBvAG4AcwAuAFYARQBFAFIARwBfADQAXwA1AF8AMQBfADEAXwBfADIAXwBNAGUAdABoAGEAbgBlAFAAcgBvAGQAdQBjAHQAaQBvAG4AUABlAHIAQwBsAGEAcwBzACIALAAiAE0ATQBTAF8AUwB3AGkAbgBlAF8ATQBlAHQAaABhAG4AZQBfAEUAcQB1AGEAdABpAG8AbgBzAC4AVgBFAEUAUgBHAF8ANABfADUAXwAxAF8AMQBfAF8AMgBfAE0AZQB0AGgAYQBuAGUAUAByAG8AZAB1AGMAdABpAG8AbgBQAGUAcgBDAGwAYQBzAHMAVgBhAHIAaQBhAHQAaQBvAG4AIgAsACIATQBNAFMAXwBTAHcAaQBuAGUAXwBNAGUAdABoAGEAbgBlAF8ARQBxAHUAYQB0AGkAbwBuAHMALgBWAEUARQBSAEcAXwA0AF8ANQBfADEAXwAxAF8AXwAyAF8ATQBlAHQAaABhAG4AZQBQAHIAbwBkAHUAYwB0AGkAbwBuAFAAZQByAEMAbABhAHMAcwBfAFQAaQB0AGwAZQAiACwAIgBNAE0AUwBfAFMAdwBpAG4AZQBfAE0AZQB0AGgAYQBuAGUAXwBFAHEAdQBhAHQAaQBvAG4AcwAuAFYARQBFAFIARwBfADQAXwA1AF8AMQBfADEAXwBfADIAXwBNAGUAdABoAGEAbgBlAFAAcgBvAGQAdQBjAHQAaQBvAG4AUABlAHIAQwBsAGEAcwBzAF8AVgBhAHIAaQBhAGIAbABlACIALAAiAE0ATQBTAF8AUwB3AGkAbgBlAF8ATQBlAHQAaABhAG4AZQBfAEUAcQB1AGEAdABpAG8AbgBzAC4AVgBFAEUAUgBHAF8ANABfADUAXwAxAF8AMQBfAF8AMgBfAE0AZQB0AGgAYQBuAGUAUAByAG8AZAB1AGMAdABpAG8AbgBQAGUAcgBDAGwAYQBzAHMAXwBVAG4AaQB0ACIALAAiAE0ATQBTAF8AUwB3AGkAbgBlAF8ATQBlAHQAaABhAG4AZQBfAEUAcQB1AGEAdABpAG8AbgBzAC4AVgBFAEUAUgBHAF8ANABfADUAXwAxAF8AMQBfAF8AMgBfAE0AZQB0AGgAYQBuAGUAUAByAG8AZAB1AGMAdABpAG8AbgBQAGUAcgBDAGwAYQBzAHMAXwBTAG8AdQByAGMAZQAiACwAIgBNAE0AUwBfAFMAdwBpAG4AZQBfAE0AZQB0AGgAYQBuAGUAXwBFAHEAdQBhAHQAaQBvAG4AcwAuAFYARQBFAFIARwBfADQAXwA1AF8AMQBfADEAXwBfADIAXwBNAGUAdABoAGEAbgBlAFAAcgBvAGQAdQBjAHQAaQBvAG4AUABlAHIAQwBsAGEAcwBzAF8ATgBJAFIAUgBlAGYAZQByAGUAbgBjAGUAIgAsACIATQBNAFMAXwBTAHcAaQBuAGUAXwBNAGUAdABoAGEAbgBlAF8ARQBxAHUAYQB0AGkAbwBuAHMALgBWAEUARQBSAEcAXwA0AF8ANQBfADEAXwAxAF8AXwAyAF8ATQBlAHQAaABhAG4AZQBQAHIAbwBkAHUAYwB0AGkAbwBuAFAAZQByAEMAbABhAHMAcwBfAEwAYQB0AGUAeABFAHEAdQBhAHQAaQBvAG4AIgAsACIATQBNAFMAXwBTAHcAaQBuAGUAXwBNAGUAdABoAGEAbgBlAF8ARQBxAHUAYQB0AGkAbwBuAHMALgBWAEUARQBSAEcAXwA0AF8ANQBfADEAXwAxAF8AXwAyAF8ATQBlAHQAaABhAG4AZQBQAHIAbwBkAHUAYwB0AGkAbwBuAFAAZQByAEMAbABhAHMAcwBfAEEAcgBnAHUAbQBlAG4AdABzACIALAAiAE0ATQBTAF8AUwB3AGkAbgBlAF8ATQBlAHQAaABhAG4AZQBfAEUAcQB1AGEAdABpAG8AbgBzAC4AVgBFAEUAUgBHAF8ANABfADUAXwAxAF8AMQBfAF8AMgBfAE0AZQB0AGgAYQBuAGUAUAByAG8AZAB1AGMAdABpAG8AbgBQAGUAcgBDAGwAYQBzAHMAXwBWAGEAcgBpAGEAdABpAG8AbgAiACwAIgBNAE0AUwBfAFMAdwBpAG4AZQBfAE0AZQB0AGgAYQBuAGUAXwBFAHEAdQBhAHQAaQBvAG4AcwAuAFYARQBFAFIARwBfADQAXwA1AF8AMQBfADEAXwBfADMAXwBTAHQAYQBnAGUAMQBNAGUAdABoAGEAbgBlAFAAcgBvAGQAdQBjAHQAaQBvAG4AIgAsACIATQBNAFMAXwBTAHcAaQBuAGUAXwBNAGUAdABoAGEAbgBlAF8ARQBxAHUAYQB0AGkAbwBuAHMALgBWAEUARQBSAEcAXwA0AF8ANQBfADEAXwAxAF8AXwAzAF8AUwB0AGEAZwBlADEATQBlAHQAaABhAG4AZQBQAHIAbwBkAHUAYwB0AGkAbwBuAF8AVABpAHQAbABlACIALAAiAE0ATQBTAF8AUwB3AGkAbgBlAF8ATQBlAHQAaABhAG4AZQBfAEUAcQB1AGEAdABpAG8AbgBzAC4AVgBFAEUAUgBHAF8ANABfADUAXwAxAF8AMQBfAF8AMwBfAFMAdABhAGcAZQAxAE0AZQB0AGgAYQBuAGUAUAByAG8AZAB1AGMAdABpAG8AbgBfAFYAYQByAGkAYQBiAGwAZQAiACwAIgBNAE0AUwBfAFMAdwBpAG4AZQBfAE0AZQB0AGgAYQBuAGUAXwBFAHEAdQBhAHQAaQBvAG4AcwAuAFYARQBFAFIARwBfADQAXwA1AF8AMQBfADEAXwBfADMAXwBTAHQAYQBnAGUAMQBNAGUAdABoAGEAbgBlAFAAcgBvAGQAdQBjAHQAaQBvAG4AXwBVAG4AaQB0ACIALAAiAE0ATQBTAF8AUwB3AGkAbgBlAF8ATQBlAHQAaABhAG4AZQBfAEUAcQB1AGEAdABpAG8AbgBzAC4AVgBFAEUAUgBHAF8ANABfADUAXwAxAF8AMQBfAF8AMwBfAFMAdABhAGcAZQAxAE0AZQB0AGgAYQBuAGUAUAByAG8AZAB1AGMAdABpAG8AbgBfAFMAbwB1AHIAYwBlACIALAAiAE0ATQBTAF8AUwB3AGkAbgBlAF8ATQBlAHQAaABhAG4AZQBfAEUAcQB1AGEAdABpAG8AbgBzAC4AVgBFAEUAUgBHAF8ANABfADUAXwAxAF8AMQBfAF8AMwBfAFMAdABhAGcAZQAxAE0AZQB0AGgAYQBuAGUAUAByAG8AZAB1AGMAdABpAG8AbgBfAE4ASQBSAFIAZQBmAGUAcgBlAG4AYwBlACIALAAiAE0ATQBTAF8AUwB3AGkAbgBlAF8ATQBlAHQAaABhAG4AZQBfAEUAcQB1AGEAdABpAG8AbgBzAC4AVgBFAEUAUgBHAF8ANABfADUAXwAxAF8AMQBfAF8AMwBfAFMAdABhAGcAZQAxAE0AZQB0AGgAYQBuAGUAUAByAG8AZAB1AGMAdABpAG8AbgBfAEwAYQB0AGUAeABFAHEAdQBhAHQAaQBvAG4AIgAsACIATQBNAFMAXwBTAHcAaQBuAGUAXwBNAGUAdABoAGEAbgBlAF8ARQBxAHUAYQB0AGkAbwBuAHMALgBWAEUARQBSAEcAXwA0AF8ANQBfADEAXwAxAF8AXwAzAF8AUwB0AGEAZwBlADEATQBlAHQAaABhAG4AZQBQAHIAbwBkAHUAYwB0AGkAbwBuAF8AQQByAGcAdQBtAGUAbgB0AHMAIgAsACIATQBNAFMAXwBTAHcAaQBuAGUAXwBNAGUAdABoAGEAbgBlAF8ARQBxAHUAYQB0AGkAbwBuAHMALgBWAEUARQBSAEcAXwA0AF8ANQBfADEAXwAxAF8AXwA0AF8ARgByAGEAYwB0AGkAbwBuAFYAbwBsAGEAdABpAGwAZQBTAG8AbABpAGQAcwBQAHIAaQBtAGEAcgB5AFMAeQBzAHQAZQBtACIALAAiAE0ATQBTAF8AUwB3AGkAbgBlAF8ATQBlAHQAaABhAG4AZQBfAEUAcQB1AGEAdABpAG8AbgBzAC4AVgBFAEUAUgBHAF8ANABfADUAXwAxAF8AMQBfAF8ANABfAEYAcgBhAGMAdABpAG8AbgBWAG8AbABhAHQAaQBsAGUAUwBvAGwAaQBkAHMAUAByAGkAbQBhAHIAeQBTAHkAcwB0AGUAbQBfAFQAaQB0AGwAZQAiACwAIgBNAE0AUwBfAFMAdwBpAG4AZQBfAE0AZQB0AGgAYQBuAGUAXwBFAHEAdQBhAHQAaQBvAG4AcwAuAFYARQBFAFIARwBfADQAXwA1AF8AMQBfADEAXwBfADQAXwBGAHIAYQBjAHQAaQBvAG4AVgBvAGwAYQB0AGkAbABlAFMAbwBsAGkAZABzAFAAcgBpAG0AYQByAHkAUwB5AHMAdABlAG0AXwBWAGEAcgBpAGEAYgBsAGUAIgAsACIATQBNAFMAXwBTAHcAaQBuAGUAXwBNAGUAdABoAGEAbgBlAF8ARQBxAHUAYQB0AGkAbwBuAHMALgBWAEUARQBSAEcAXwA0AF8ANQBfADEAXwAxAF8AXwA0AF8ARgByAGEAYwB0AGkAbwBuAFYAbwBsAGEAdABpAGwAZQBTAG8AbABpAGQAcwBQAHIAaQBtAGEAcgB5AFMAeQBzAHQAZQBtAF8AVQBuAGkAdAAiACwAIgBNAE0AUwBfAFMAdwBpAG4AZQBfAE0AZQB0AGgAYQBuAGUAXwBFAHEAdQBhAHQAaQBvAG4AcwAuAFYARQBFAFIARwBfADQAXwA1AF8AMQBfADEAXwBfADQAXwBGAHIAYQBjAHQAaQBvAG4AVgBvAGwAYQB0AGkAbABlAFMAbwBsAGkAZABzAFAAcgBpAG0AYQByAHkAUwB5AHMAdABlAG0AXwBTAG8AdQByAGMAZQAiACwAIgBNAE0AUwBfAFMAdwBpAG4AZQBfAE0AZQB0AGgAYQBuAGUAXwBFAHEAdQBhAHQAaQBvAG4AcwAuAFYARQBFAFIARwBfADQAXwA1AF8AMQBfADEAXwBfADQAXwBGAHIAYQBjAHQAaQBvAG4AVgBvAGwAYQB0AGkAbABlAFMAbwBsAGkAZABzAFAAcgBpAG0AYQByAHkAUwB5AHMAdABlAG0AXwBOAEkAUgBSAGUAZgBlAHIAZQBuAGMAZQAiACwAIgBNAE0AUwBfAFMAdwBpAG4AZQBfAE0AZQB0AGgAYQBuAGUAXwBFAHEAdQBhAHQAaQBvAG4AcwAuAFYARQBFAFIARwBfADQAXwA1AF8AMQBfADEAXwBfADQAXwBGAHIAYQBjAHQAaQBvAG4AVgBvAGwAYQB0AGkAbABlAFMAbwBsAGkAZABzAFAAcgBpAG0AYQByAHkAUwB5AHMAdABlAG0AXwBMAGEAdABlAHgARQBxAHUAYQB0AGkAbwBuACIALAAiAE0ATQBTAF8AUwB3AGkAbgBlAF8ATQBlAHQAaABhAG4AZQBfAEUAcQB1AGEAdABpAG8AbgBzAC4AVgBFAEUAUgBHAF8ANABfADUAXwAxAF8AMQBfAF8ANABfAEYAcgBhAGMAdABpAG8AbgBWAG8AbABhAHQAaQBsAGUAUwBvAGwAaQBkAHMAUAByAGkAbQBhAHIAeQBTAHkAcwB0AGUAbQBfAEEAcgBnAHUAbQBlAG4AdABzACIALAAiAE0ATQBTAF8AUwB3AGkAbgBlAF8ATQBlAHQAaABhAG4AZQBfAEUAcQB1AGEAdABpAG8AbgBzAC4AVgBFAEUAUgBHAF8ANABfADUAXwAxAF8AMQBfAF8ANABfAEYAcgBhAGMAdABpAG8AbgBWAG8AbABhAHQAaQBsAGUAUwBvAGwAaQBkAHMAUAByAGkAbQBhAHIAeQBTAHkAcwB0AGUAbQBfAFYAYQByAGkAYQB0AGkAbwBuACIALAAiAE0ATQBTAF8AUwB3AGkAbgBlAF8ATQBlAHQAaABhAG4AZQBfAEUAcQB1AGEAdABpAG8AbgBzAC4AVgBFAEUAUgBHAF8ANABfADUAXwAxAF8AMQBfAF8ANQBfAEYAcgBhAGMAdABpAG8AbgBWAG8AbABhAHQAaQBsAGUAUwBvAGwAaQBkAHMAUwBvAGwAaQBkAFMAdABvAHIAYQBnAGUAIgAsACIATQBNAFMAXwBTAHcAaQBuAGUAXwBNAGUAdABoAGEAbgBlAF8ARQBxAHUAYQB0AGkAbwBuAHMALgBWAEUARQBSAEcAXwA0AF8ANQBfADEAXwAxAF8AXwA1AF8ARgByAGEAYwB0AGkAbwBuAFYAbwBsAGEAdABpAGwAZQBTAG8AbABpAGQAcwBTAG8AbABpAGQAUwB0AG8AcgBhAGcAZQBWAGEAcgBpAGEAdABpAG8AbgAiACwAIgBNAE0AUwBfAFMAdwBpAG4AZQBfAE0AZQB0AGgAYQBuAGUAXwBFAHEAdQBhAHQAaQBvAG4AcwAuAFYARQBFAFIARwBfADQAXwA1AF8AMQBfADEAXwBfADUAXwBGAHIAYQBjAHQAaQBvAG4AVgBvAGwAYQB0AGkAbABlAFMAbwBsAGkAZABzAFMAbwBsAGkAZABTAHQAbwByAGEAZwBlAF8AVABpAHQAbABlACIALAAiAE0ATQBTAF8AUwB3AGkAbgBlAF8ATQBlAHQAaABhAG4AZQBfAEUAcQB1AGEAdABpAG8AbgBzAC4AVgBFAEUAUgBHAF8ANABfADUAXwAxAF8AMQBfAF8ANQBfAEYAcgBhAGMAdABpAG8AbgBWAG8AbABhAHQAaQBsAGUAUwBvAGwAaQBkAHMAUwBvAGwAaQBkAFMAdABvAHIAYQBnAGUAXwBWAGEAcgBpAGEAYgBsAGUAIgAsACIATQBNAFMAXwBTAHcAaQBuAGUAXwBNAGUAdABoAGEAbgBlAF8ARQBxAHUAYQB0AGkAbwBuAHMALgBWAEUARQBSAEcAXwA0AF8ANQBfADEAXwAxAF8AXwA1AF8ARgByAGEAYwB0AGkAbwBuAFYAbwBsAGEAdABpAGwAZQBTAG8AbABpAGQAcwBTAG8AbABpAGQAUwB0AG8AcgBhAGcAZQBfAFUAbgBpAHQAIgAsACIATQBNAFMAXwBTAHcAaQBuAGUAXwBNAGUAdABoAGEAbgBlAF8ARQBxAHUAYQB0AGkAbwBuAHMALgBWAEUARQBSAEcAXwA0AF8ANQBfADEAXwAxAF8AXwA1AF8ARgByAGEAYwB0AGkAbwBuAFYAbwBsAGEAdABpAGwAZQBTAG8AbABpAGQAcwBTAG8AbABpAGQAUwB0AG8AcgBhAGcAZQBfAFMAbwB1AHIAYwBlACIALAAiAE0ATQBTAF8AUwB3AGkAbgBlAF8ATQBlAHQAaABhAG4AZQBfAEUAcQB1AGEAdABpAG8AbgBzAC4AVgBFAEUAUgBHAF8ANABfADUAXwAxAF8AMQBfAF8ANQBfAEYAcgBhAGMAdABpAG8AbgBWAG8AbABhAHQAaQBsAGUAUwBvAGwAaQBkAHMAUwBvAGwAaQBkAFMAdABvAHIAYQBnAGUAXwBOAEkAUgBSAGUAZgBlAHIAZQBuAGMAZQAiACwAIgBNAE0AUwBfAFMAdwBpAG4AZQBfAE0AZQB0AGgAYQBuAGUAXwBFAHEAdQBhAHQAaQBvAG4AcwAuAFYARQBFAFIARwBfADQAXwA1AF8AMQBfADEAXwBfADUAXwBGAHIAYQBjAHQAaQBvAG4AVgBvAGwAYQB0AGkAbABlAFMAbwBsAGkAZABzAFMAbwBsAGkAZABTAHQAbwByAGEAZwBlAF8ATABhAHQAZQB4AEUAcQB1AGEAdABpAG8AbgAiACwAIgBNAE0AUwBfAFMAdwBpAG4AZQBfAE0AZQB0AGgAYQBuAGUAXwBFAHEAdQBhAHQAaQBvAG4AcwAuAFYARQBFAFIARwBfADQAXwA1AF8AMQBfADEAXwBfADUAXwBGAHIAYQBjAHQAaQBvAG4AVgBvAGwAYQB0AGkAbABlAFMAbwBsAGkAZABzAFMAbwBsAGkAZABTAHQAbwByAGEAZwBlAF8ATABhAHQAZQB4AEUAcQB1AGEAdABpAG8AbgBWAGEAcgBpAGEAdABpAG8AbgAiACwAIgBNAE0AUwBfAFMAdwBpAG4AZQBfAE0AZQB0AGgAYQBuAGUAXwBFAHEAdQBhAHQAaQBvAG4AcwAuAFYARQBFAFIARwBfADQAXwA1AF8AMQBfADEAXwBfADUAXwBGAHIAYQBjAHQAaQBvAG4AVgBvAGwAYQB0AGkAbABlAFMAbwBsAGkAZABzAFMAbwBsAGkAZABTAHQAbwByAGEAZwBlAF8AQQByAGcAdQBtAGUAbgB0AHMAIgAsACIATQBNAFMAXwBTAHcAaQBuAGUAXwBNAGUAdABoAGEAbgBlAF8ARQBxAHUAYQB0AGkAbwBuAHMALgBWAEUARQBSAEcAXwA0AF8ANQBfADEAXwAxAF8AXwA1AF8ARgByAGEAYwB0AGkAbwBuAFYAbwBsAGEAdABpAGwAZQBTAG8AbABpAGQAcwBTAG8AbABpAGQAUwB0AG8AcgBhAGcAZQBfAFYAYQByAGkAYQB0AGkAbwBuACIALAAiAE0ATQBTAF8AUwB3AGkAbgBlAF8ATQBlAHQAaABhAG4AZQBfAEUAcQB1AGEAdABpAG8AbgBzAC4AVgBFAEUAUgBHAF8ANABfADUAXwAxAF8AMQBfAF8ANgBfAFMAdABhAGcAZQAyAE0AZQB0AGgAYQBuAGUAUAByAG8AZAB1AGMAdABpAG8AbgAiACwAIgBNAE0AUwBfAFMAdwBpAG4AZQBfAE0AZQB0AGgAYQBuAGUAXwBFAHEAdQBhAHQAaQBvAG4AcwAuAFYARQBFAFIARwBfADQAXwA1AF8AMQBfADEAXwBfADYAXwBTAHQAYQBnAGUAMgBNAGUAdABoAGEAbgBlAFAAcgBvAGQAdQBjAHQAaQBvAG4AXwBUAGkAdABsAGUAIgAsACIATQBNAFMAXwBTAHcAaQBuAGUAXwBNAGUAdABoAGEAbgBlAF8ARQBxAHUAYQB0AGkAbwBuAHMALgBWAEUARQBSAEcAXwA0AF8ANQBfADEAXwAxAF8AXwA2AF8AUwB0AGEAZwBlADIATQBlAHQAaABhAG4AZQBQAHIAbwBkAHUAYwB0AGkAbwBuAF8AVgBhAHIAaQBhAGIAbABlACIALAAiAE0ATQBTAF8AUwB3AGkAbgBlAF8ATQBlAHQAaABhAG4AZQBfAEUAcQB1AGEAdABpAG8AbgBzAC4AVgBFAEUAUgBHAF8ANABfADUAXwAxAF8AMQBfAF8ANgBfAFMAdABhAGcAZQAyAE0AZQB0AGgAYQBuAGUAUAByAG8AZAB1AGMAdABpAG8AbgBfAFUAbgBpAHQAIgAsACIATQBNAFMAXwBTAHcAaQBuAGUAXwBNAGUAdABoAGEAbgBlAF8ARQBxAHUAYQB0AGkAbwBuAHMALgBWAEUARQBSAEcAXwA0AF8ANQBfADEAXwAxAF8AXwA2AF8AUwB0AGEAZwBlADIATQBlAHQAaABhAG4AZQBQAHIAbwBkAHUAYwB0AGkAbwBuAF8AUwBvAHUAcgBjAGUAIgAsACIATQBNAFMAXwBTAHcAaQBuAGUAXwBNAGUAdABoAGEAbgBlAF8ARQBxAHUAYQB0AGkAbwBuAHMALgBWAEUARQBSAEcAXwA0AF8ANQBfADEAXwAxAF8AXwA2AF8AUwB0AGEAZwBlADIATQBlAHQAaABhAG4AZQBQAHIAbwBkAHUAYwB0AGkAbwBuAF8ATgBJAFIAUgBlAGYAZQByAGUAbgBjAGUAIgAsACIATQBNAFMAXwBTAHcAaQBuAGUAXwBNAGUAdABoAGEAbgBlAF8ARQBxAHUAYQB0AGkAbwBuAHMALgBWAEUARQBSAEcAXwA0AF8ANQBfADEAXwAxAF8AXwA2AF8AUwB0AGEAZwBlADIATQBlAHQAaABhAG4AZQBQAHIAbwBkAHUAYwB0AGkAbwBuAF8ATABhAHQAZQB4AEUAcQB1AGEAdABpAG8AbgAiACwAIgBNAE0AUwBfAFMAdwBpAG4AZQBfAE0AZQB0AGgAYQBuAGUAXwBFAHEAdQBhAHQAaQBvAG4AcwAuAFYARQBFAFIARwBfADQAXwA1AF8AMQBfADEAXwBfADYAXwBTAHQAYQBnAGUAMgBNAGUAdABoAGEAbgBlAFAAcgBvAGQAdQBjAHQAaQBvAG4AXwBBAHIAZwB1AG0AZQBuAHQAcwAiACwAIgBNAE0AUwBfAFMAdwBpAG4AZQBfAE0AZQB0AGgAYQBuAGUAXwBFAHEAdQBhAHQAaQBvAG4AcwAuAFYARQBFAFIARwBfADQAXwA1AF8AMQBfADEAXwBfADYAXwBTAHQAYQBnAGUAMgBNAGUAdABoAGEAbgBlAFAAcgBvAGQAdQBjAHQAaQBvAG4AXwBBAHIAZwB1AG0AZQBuAHQAcwBfAE0AZQB0AGgAbwBkADIAIgAsACIATQBNAFMAXwBTAHcAaQBuAGUAXwBNAGUAdABoAGEAbgBlAF8ARQBxAHUAYQB0AGkAbwBuAHMALgBWAEUARQBSAEcAXwA0AF8ANQBfADEAXwAxAF8AXwA3AF8AVgBvAGwAYQB0AGkAbABlAFMAbwBsAGkAZABzAFQAcgBhAG4AcwBmAGUAcgByAGUAZABTAHQAYQBnAGUAMgAiACwAIgBNAE0AUwBfAFMAdwBpAG4AZQBfAE0AZQB0AGgAYQBuAGUAXwBFAHEAdQBhAHQAaQBvAG4AcwAuAFYARQBFAFIARwBfADQAXwA1AF8AMQBfADEAXwBfADcAXwBWAG8AbABhAHQAaQBsAGUAUwBvAGwAaQBkAHMAVAByAGEAbgBzAGYAZQByAHIAZQBkAFMAdABhAGcAZQAyAF8AVABpAHQAbABlACIALAAiAE0ATQBTAF8AUwB3AGkAbgBlAF8ATQBlAHQAaABhAG4AZQBfAEUAcQB1AGEAdABpAG8AbgBzAC4AVgBFAEUAUgBHAF8ANABfADUAXwAxAF8AMQBfAF8ANwBfAFYAbwBsAGEAdABpAGwAZQBTAG8AbABpAGQAcwBUAHIAYQBuAHMAZgBlAHIAcgBlAGQAUwB0AGEAZwBlADIAXwBWAGEAcgBpAGEAYgBsAGUAIgAsACIATQBNAFMAXwBTAHcAaQBuAGUAXwBNAGUAdABoAGEAbgBlAF8ARQBxAHUAYQB0AGkAbwBuAHMALgBWAEUARQBSAEcAXwA0AF8ANQBfADEAXwAxAF8AXwA3AF8AVgBvAGwAYQB0AGkAbABlAFMAbwBsAGkAZABzAFQAcgBhAG4AcwBmAGUAcgByAGUAZABTAHQAYQBnAGUAMgBfAFUAbgBpAHQAIgAsACIATQBNAFMAXwBTAHcAaQBuAGUAXwBNAGUAdABoAGEAbgBlAF8ARQBxAHUAYQB0AGkAbwBuAHMALgBWAEUARQBSAEcAXwA0AF8ANQBfADEAXwAxAF8AXwA3AF8AVgBvAGwAYQB0AGkAbABlAFMAbwBsAGkAZABzAFQAcgBhAG4AcwBmAGUAcgByAGUAZABTAHQAYQBnAGUAMgBfAFMAbwB1AHIAYwBlACIALAAiAE0ATQBTAF8AUwB3AGkAbgBlAF8ATQBlAHQAaABhAG4AZQBfAEUAcQB1AGEAdABpAG8AbgBzAC4AVgBFAEUAUgBHAF8ANABfADUAXwAxAF8AMQBfAF8ANwBfAFYAbwBsAGEAdABpAGwAZQBTAG8AbABpAGQAcwBUAHIAYQBuAHMAZgBlAHIAcgBlAGQAUwB0AGEAZwBlADIAXwBOAEkAUgBSAGUAZgBlAHIAZQBuAGMAZQAiACwAIgBNAE0AUwBfAFMAdwBpAG4AZQBfAE0AZQB0AGgAYQBuAGUAXwBFAHEAdQBhAHQAaQBvAG4AcwAuAFYARQBFAFIARwBfADQAXwA1AF8AMQBfADEAXwBfADcAXwBWAG8AbABhAHQAaQBsAGUAUwBvAGwAaQBkAHMAVAByAGEAbgBzAGYAZQByAHIAZQBkAFMAdABhAGcAZQAyAF8ATABhAHQAZQB4AEUAcQB1AGEAdABpAG8AbgAiACwAIgBNAE0AUwBfAFMAdwBpAG4AZQBfAE0AZQB0AGgAYQBuAGUAXwBFAHEAdQBhAHQAaQBvAG4AcwAuAFYARQBFAFIARwBfADQAXwA1AF8AMQBfADEAXwBfADcAXwBWAG8AbABhAHQAaQBsAGUAUwBvAGwAaQBkAHMAVAByAGEAbgBzAGYAZQByAHIAZQBkAFMAdABhAGcAZQAyAF8AQQByAGcAdQBtAGUAbgB0AHMAIgAsACIATQBNAFMAXwBTAHcAaQBuAGUAXwBOADIATwBEAGkAcgBlAGMAdABfAEUAcQB1AGEAdABpAG8AbgBzAC4AVgBFAEUAUgBHAF8ANABfADUAXwAxAF8AMwBfAF8AMQBfAFQAbwB0AGEAbABBAG4AbgB1AGEAbABEAGkAcgBlAGMAdABOAGkAdAByAG8AdQBzAE8AeABpAGQAZQBFAG0AaQBzAHMAaQBvAG4AcwBGAHIAbwBtAE0ATQBTACIALAAiAE0ATQBTAF8AUwB3AGkAbgBlAF8ATgAyAE8ARABpAHIAZQBjAHQAXwBFAHEAdQBhAHQAaQBvAG4AcwAuAFYARQBFAFIARwBfADQAXwA1AF8AMQBfADMAXwBfADEAXwBUAG8AdABhAGwAQQBuAG4AdQBhAGwARABpAHIAZQBjAHQATgBpAHQAcgBvAHUAcwBPAHgAaQBkAGUARQBtAGkAcwBzAGkAbwBuAHMARgByAG8AbQBNAE0AUwBfAFQAaQB0AGwAZQAiACwAIgBNAE0AUwBfAFMAdwBpAG4AZQBfAE4AMgBPAEQAaQByAGUAYwB0AF8ARQBxAHUAYQB0AGkAbwBuAHMALgBWAEUARQBSAEcAXwA0AF8ANQBfADEAXwAzAF8AXwAxAF8AVABvAHQAYQBsAEEAbgBuAHUAYQBsAEQAaQByAGUAYwB0AE4AaQB0AHIAbwB1AHMATwB4AGkAZABlAEUAbQBpAHMAcwBpAG8AbgBzAEYAcgBvAG0ATQBNAFMAXwBWAGEAcgBpAGEAYgBsAGUAIgAsACIATQBNAFMAXwBTAHcAaQBuAGUAXwBOADIATwBEAGkAcgBlAGMAdABfAEUAcQB1AGEAdABpAG8AbgBzAC4AVgBFAEUAUgBHAF8ANABfADUAXwAxAF8AMwBfAF8AMQBfAFQAbwB0AGEAbABBAG4AbgB1AGEAbABEAGkAcgBlAGMAdABOAGkAdAByAG8AdQBzAE8AeABpAGQAZQBFAG0AaQBzAHMAaQBvAG4AcwBGAHIAbwBtAE0ATQBTAF8AVQBuAGkAdAAiACwAIgBNAE0AUwBfAFMAdwBpAG4AZQBfAE4AMgBPAEQAaQByAGUAYwB0AF8ARQBxAHUAYQB0AGkAbwBuAHMALgBWAEUARQBSAEcAXwA0AF8ANQBfADEAXwAzAF8AXwAxAF8AVABvAHQAYQBsAEEAbgBuAHUAYQBsAEQAaQByAGUAYwB0AE4AaQB0AHIAbwB1AHMATwB4AGkAZABlAEUAbQBpAHMAcwBpAG8AbgBzAEYAcgBvAG0ATQBNAFMAXwBTAG8AdQByAGMAZQAiACwAIgBNAE0AUwBfAFMAdwBpAG4AZQBfAE4AMgBPAEQAaQByAGUAYwB0AF8ARQBxAHUAYQB0AGkAbwBuAHMALgBWAEUARQBSAEcAXwA0AF8ANQBfADEAXwAzAF8AXwAxAF8AVABvAHQAYQBsAEEAbgBuAHUAYQBsAEQAaQByAGUAYwB0AE4AaQB0AHIAbwB1AHMATwB4AGkAZABlAEUAbQBpAHMAcwBpAG8AbgBzAEYAcgBvAG0ATQBNAFMAXwBOAEkAUgBSAGUAZgBlAHIAZQBuAGMAZQAiACwAIgBNAE0AUwBfAFMAdwBpAG4AZQBfAE4AMgBPAEQAaQByAGUAYwB0AF8ARQBxAHUAYQB0AGkAbwBuAHMALgBWAEUARQBSAEcAXwA0AF8ANQBfADEAXwAzAF8AXwAxAF8AVABvAHQAYQBsAEEAbgBuAHUAYQBsAEQAaQByAGUAYwB0AE4AaQB0AHIAbwB1AHMATwB4AGkAZABlAEUAbQBpAHMAcwBpAG8AbgBzAEYAcgBvAG0ATQBNAFMAXwBMAGEAdABlAHgARQBxAHUAYQB0AGkAbwBuACIALAAiAE0ATQBTAF8AUwB3AGkAbgBlAF8ATgAyAE8ARABpAHIAZQBjAHQAXwBFAHEAdQBhAHQAaQBvAG4AcwAuAFYARQBFAFIARwBfADQAXwA1AF8AMQBfADMAXwBfADEAXwBUAG8AdABhAGwAQQBuAG4AdQBhAGwARABpAHIAZQBjAHQATgBpAHQAcgBvAHUAcwBPAHgAaQBkAGUARQBtAGkAcwBzAGkAbwBuAHMARgByAG8AbQBNAE0AUwBfAEEAcgBnAHUAbQBlAG4AdABzACIALAAiAE0ATQBTAF8AUwB3AGkAbgBlAF8ATgAyAE8ARABpAHIAZQBjAHQAXwBFAHEAdQBhAHQAaQBvAG4AcwAuAFYARQBFAFIARwBfADQAXwA1AF8AMQBfADMAXwBfADIAXwBTAHQAYQBnAGUAMQBOAGkAdAByAG8AZwBlAG4ASQBuAE0ATQBTACIALAAiAE0ATQBTAF8AUwB3AGkAbgBlAF8ATgAyAE8ARABpAHIAZQBjAHQAXwBFAHEAdQBhAHQAaQBvAG4AcwAuAFYARQBFAFIARwBfADQAXwA1AF8AMQBfADMAXwBfADIAXwBTAHQAYQBnAGUAMQBOAGkAdAByAG8AZwBlAG4ASQBuAE0ATQBTAF8AVABpAHQAbABlACIALAAiAE0ATQBTAF8AUwB3AGkAbgBlAF8ATgAyAE8ARABpAHIAZQBjAHQAXwBFAHEAdQBhAHQAaQBvAG4AcwAuAFYARQBFAFIARwBfADQAXwA1AF8AMQBfADMAXwBfADIAXwBTAHQAYQBnAGUAMQBOAGkAdAByAG8AZwBlAG4ASQBuAE0ATQBTAF8AVgBhAHIAaQBhAGIAbABlACIALAAiAE0ATQBTAF8AUwB3AGkAbgBlAF8ATgAyAE8ARABpAHIAZQBjAHQAXwBFAHEAdQBhAHQAaQBvAG4AcwAuAFYARQBFAFIARwBfADQAXwA1AF8AMQBfADMAXwBfADIAXwBTAHQAYQBnAGUAMQBOAGkAdAByAG8AZwBlAG4ASQBuAE0ATQBTAF8AVQBuAGkAdAAiACwAIgBNAE0AUwBfAFMAdwBpAG4AZQBfAE4AMgBPAEQAaQByAGUAYwB0AF8ARQBxAHUAYQB0AGkAbwBuAHMALgBWAEUARQBSAEcAXwA0AF8ANQBfADEAXwAzAF8AXwAyAF8AUwB0AGEAZwBlADEATgBpAHQAcgBvAGcAZQBuAEkAbgBNAE0AUwBfAFMAbwB1AHIAYwBlACIALAAiAE0ATQBTAF8AUwB3AGkAbgBlAF8ATgAyAE8ARABpAHIAZQBjAHQAXwBFAHEAdQBhAHQAaQBvAG4AcwAuAFYARQBFAFIARwBfADQAXwA1AF8AMQBfADMAXwBfADIAXwBTAHQAYQBnAGUAMQBOAGkAdAByAG8AZwBlAG4ASQBuAE0ATQBTAF8ATgBJAFIAUgBlAGYAZQByAGUAbgBjAGUAIgAsACIATQBNAFMAXwBTAHcAaQBuAGUAXwBOADIATwBEAGkAcgBlAGMAdABfAEUAcQB1AGEAdABpAG8AbgBzAC4AVgBFAEUAUgBHAF8ANABfADUAXwAxAF8AMwBfAF8AMgBfAFMAdABhAGcAZQAxAE4AaQB0AHIAbwBnAGUAbgBJAG4ATQBNAFMAXwBMAGEAdABlAHgARQBxAHUAYQB0AGkAbwBuACIALAAiAE0ATQBTAF8AUwB3AGkAbgBlAF8ATgAyAE8ARABpAHIAZQBjAHQAXwBFAHEAdQBhAHQAaQBvAG4AcwAuAFYARQBFAFIARwBfADQAXwA1AF8AMQBfADMAXwBfADIAXwBTAHQAYQBnAGUAMQBOAGkAdAByAG8AZwBlAG4ASQBuAE0ATQBTAF8AQQByAGcAdQBtAGUAbgB0AHMAIgAsACIATQBNAFMAXwBTAHcAaQBuAGUAXwBOADIATwBEAGkAcgBlAGMAdABfAEUAcQB1AGEAdABpAG8AbgBzAC4AVgBFAEUAUgBHAF8ANABfADUAXwAxAF8AMwBfAF8AMwBfAEYAcgBhAGMAdABpAG8AbgBPAGYATgBpAHQAcgBvAGcAZQBuAEkAbgBQAHIAaQBtAGEAcgB5AE0ATQBTACIALAAiAE0ATQBTAF8AUwB3AGkAbgBlAF8ATgAyAE8ARABpAHIAZQBjAHQAXwBFAHEAdQBhAHQAaQBvAG4AcwAuAFYARQBFAFIARwBfADQAXwA1AF8AMQBfADMAXwBfADMAXwBGAHIAYQBjAHQAaQBvAG4ATwBmAE4AaQB0AHIAbwBnAGUAbgBJAG4AUAByAGkAbQBhAHIAeQBNAE0AUwBfAFQAaQB0AGwAZQAiACwAIgBNAE0AUwBfAFMAdwBpAG4AZQBfAE4AMgBPAEQAaQByAGUAYwB0AF8ARQBxAHUAYQB0AGkAbwBuAHMALgBWAEUARQBSAEcAXwA0AF8ANQBfADEAXwAzAF8AXwAzAF8ARgByAGEAYwB0AGkAbwBuAE8AZgBOAGkAdAByAG8AZwBlAG4ASQBuAFAAcgBpAG0AYQByAHkATQBNAFMAXwBWAGEAcgBpAGEAYgBsAGUAIgAsACIATQBNAFMAXwBTAHcAaQBuAGUAXwBOADIATwBEAGkAcgBlAGMAdABfAEUAcQB1AGEAdABpAG8AbgBzAC4AVgBFAEUAUgBHAF8ANABfADUAXwAxAF8AMwBfAF8AMwBfAEYAcgBhAGMAdABpAG8AbgBPAGYATgBpAHQAcgBvAGcAZQBuAEkAbgBQAHIAaQBtAGEAcgB5AE0ATQBTAF8AVQBuAGkAdAAiACwAIgBNAE0AUwBfAFMAdwBpAG4AZQBfAE4AMgBPAEQAaQByAGUAYwB0AF8ARQBxAHUAYQB0AGkAbwBuAHMALgBWAEUARQBSAEcAXwA0AF8ANQBfADEAXwAzAF8AXwAzAF8ARgByAGEAYwB0AGkAbwBuAE8AZgBOAGkAdAByAG8AZwBlAG4ASQBuAFAAcgBpAG0AYQByAHkATQBNAFMAXwBTAG8AdQByAGMAZQAiACwAIgBNAE0AUwBfAFMAdwBpAG4AZQBfAE4AMgBPAEQAaQByAGUAYwB0AF8ARQBxAHUAYQB0AGkAbwBuAHMALgBWAEUARQBSAEcAXwA0AF8ANQBfADEAXwAzAF8AXwAzAF8ARgByAGEAYwB0AGkAbwBuAE8AZgBOAGkAdAByAG8AZwBlAG4ASQBuAFAAcgBpAG0AYQByAHkATQBNAFMAXwBOAEkAUgBSAGUAZgBlAHIAZQBuAGMAZQAiACwAIgBNAE0AUwBfAFMAdwBpAG4AZQBfAE4AMgBPAEQAaQByAGUAYwB0AF8ARQBxAHUAYQB0AGkAbwBuAHMALgBWAEUARQBSAEcAXwA0AF8ANQBfADEAXwAzAF8AXwAzAF8ARgByAGEAYwB0AGkAbwBuAE8AZgBOAGkAdAByAG8AZwBlAG4ASQBuAFAAcgBpAG0AYQByAHkATQBNAFMAXwBMAGEAdABlAHgARQBxAHUAYQB0AGkAbwBuACIALAAiAE0ATQBTAF8AUwB3AGkAbgBlAF8ATgAyAE8ARABpAHIAZQBjAHQAXwBFAHEAdQBhAHQAaQBvAG4AcwAuAFYARQBFAFIARwBfADQAXwA1AF8AMQBfADMAXwBfADMAXwBGAHIAYQBjAHQAaQBvAG4ATwBmAE4AaQB0AHIAbwBnAGUAbgBJAG4AUAByAGkAbQBhAHIAeQBNAE0AUwBfAEEAcgBnAHUAbQBlAG4AdABzACIALAAiAE0ATQBTAF8AUwB3AGkAbgBlAF8ATgAyAE8ARABpAHIAZQBjAHQAXwBFAHEAdQBhAHQAaQBvAG4AcwAuAFYARQBFAFIARwBfADQAXwA1AF8AMQBfADMAXwBfADQAXwBGAHIAYQBjAHQAaQBvAG4ATwBmAE4AaQB0AHIAbwBnAGUAbgBJAG4AUwBvAGwAaQBkAFMAdABvAHIAYQBnAGUAIgAsACIATQBNAFMAXwBTAHcAaQBuAGUAXwBOADIATwBEAGkAcgBlAGMAdABfAEUAcQB1AGEAdABpAG8AbgBzAC4AVgBFAEUAUgBHAF8ANABfADUAXwAxAF8AMwBfAF8ANABfAEYAcgBhAGMAdABpAG8AbgBPAGYATgBpAHQAcgBvAGcAZQBuAEkAbgBTAG8AbABpAGQAUwB0AG8AcgBhAGcAZQBWAGEAcgBpAGEAdABpAG8AbgAiACwAIgBNAE0AUwBfAFMAdwBpAG4AZQBfAE4AMgBPAEQAaQByAGUAYwB0AF8ARQBxAHUAYQB0AGkAbwBuAHMALgBWAEUARQBSAEcAXwA0AF8ANQBfADEAXwAzAF8AXwA0AF8ARgByAGEAYwB0AGkAbwBuAE8AZgBOAGkAdAByAG8AZwBlAG4ASQBuAFMAbwBsAGkAZABTAHQAbwByAGEAZwBlAF8AVABpAHQAbABlACIALAAiAE0ATQBTAF8AUwB3AGkAbgBlAF8ATgAyAE8ARABpAHIAZQBjAHQAXwBFAHEAdQBhAHQAaQBvAG4AcwAuAFYARQBFAFIARwBfADQAXwA1AF8AMQBfADMAXwBfADQAXwBGAHIAYQBjAHQAaQBvAG4ATwBmAE4AaQB0AHIAbwBnAGUAbgBJAG4AUwBvAGwAaQBkAFMAdABvAHIAYQBnAGUAXwBWAGEAcgBpAGEAYgBsAGUAIgAsACIATQBNAFMAXwBTAHcAaQBuAGUAXwBOADIATwBEAGkAcgBlAGMAdABfAEUAcQB1AGEAdABpAG8AbgBzAC4AVgBFAEUAUgBHAF8ANABfADUAXwAxAF8AMwBfAF8ANABfAEYAcgBhAGMAdABpAG8AbgBPAGYATgBpAHQAcgBvAGcAZQBuAEkAbgBTAG8AbABpAGQAUwB0AG8AcgBhAGcAZQBfAFUAbgBpAHQAIgAsACIATQBNAFMAXwBTAHcAaQBuAGUAXwBOADIATwBEAGkAcgBlAGMAdABfAEUAcQB1AGEAdABpAG8AbgBzAC4AVgBFAEUAUgBHAF8ANABfADUAXwAxAF8AMwBfAF8ANABfAEYAcgBhAGMAdABpAG8AbgBPAGYATgBpAHQAcgBvAGcAZQBuAEkAbgBTAG8AbABpAGQAUwB0AG8AcgBhAGcAZQBfAFMAbwB1AHIAYwBlACIALAAiAE0ATQBTAF8AUwB3AGkAbgBlAF8ATgAyAE8ARABpAHIAZQBjAHQAXwBFAHEAdQBhAHQAaQBvAG4AcwAuAFYARQBFAFIARwBfADQAXwA1AF8AMQBfADMAXwBfADQAXwBGAHIAYQBjAHQAaQBvAG4ATwBmAE4AaQB0AHIAbwBnAGUAbgBJAG4AUwBvAGwAaQBkAFMAdABvAHIAYQBnAGUAXwBOAEkAUgBSAGUAZgBlAHIAZQBuAGMAZQAiACwAIgBNAE0AUwBfAFMAdwBpAG4AZQBfAE4AMgBPAEQAaQByAGUAYwB0AF8ARQBxAHUAYQB0AGkAbwBuAHMALgBWAEUARQBSAEcAXwA0AF8ANQBfADEAXwAzAF8AXwA0AF8ARgByAGEAYwB0AGkAbwBuAE8AZgBOAGkAdAByAG8AZwBlAG4ASQBuAFMAbwBsAGkAZABTAHQAbwByAGEAZwBlAF8ATABhAHQAZQB4AEUAcQB1AGEAdABpAG8AbgAiACwAIgBNAE0AUwBfAFMAdwBpAG4AZQBfAE4AMgBPAEQAaQByAGUAYwB0AF8ARQBxAHUAYQB0AGkAbwBuAHMALgBWAEUARQBSAEcAXwA0AF8ANQBfADEAXwAzAF8AXwA0AF8ARgByAGEAYwB0AGkAbwBuAE8AZgBOAGkAdAByAG8AZwBlAG4ASQBuAFMAbwBsAGkAZABTAHQAbwByAGEAZwBlAF8ATABhAHQAZQB4AEUAcQB1AGEAdABpAG8AbgBWAGEAcgBpAGEAdABpAG8AbgAiACwAIgBNAE0AUwBfAFMAdwBpAG4AZQBfAE4AMgBPAEQAaQByAGUAYwB0AF8ARQBxAHUAYQB0AGkAbwBuAHMALgBWAEUARQBSAEcAXwA0AF8ANQBfADEAXwAzAF8AXwA0AF8ARgByAGEAYwB0AGkAbwBuAE8AZgBOAGkAdAByAG8AZwBlAG4ASQBuAFMAbwBsAGkAZABTAHQAbwByAGEAZwBlAF8AQQByAGcAdQBtAGUAbgB0AHMAIgAsACIATQBNAFMAXwBTAHcAaQBuAGUAXwBOADIATwBEAGkAcgBlAGMAdABfAEUAcQB1AGEAdABpAG8AbgBzAC4AVgBFAEUAUgBHAF8ANABfADUAXwAxAF8AMwBfAF8ANABfAEYAcgBhAGMAdABpAG8AbgBPAGYATgBpAHQAcgBvAGcAZQBuAEkAbgBTAG8AbABpAGQAUwB0AG8AcgBhAGcAZQBfAFYAYQByAGkAYQB0AGkAbwBuACIALAAiAE0ATQBTAF8AUwB3AGkAbgBlAF8ATgAyAE8ARABpAHIAZQBjAHQAXwBFAHEAdQBhAHQAaQBvAG4AcwAuAFYARQBFAFIARwBfADQAXwA1AF8AMQBfADMAXwBfADUAXwBBAG4AbgB1AGEAbABOAGkAdAByAG8AZwBlAG4ARQB4AGMAcgBlAHQAaQBvAG4AIgAsACIATQBNAFMAXwBTAHcAaQBuAGUAXwBOADIATwBEAGkAcgBlAGMAdABfAEUAcQB1AGEAdABpAG8AbgBzAC4AVgBFAEUAUgBHAF8ANABfADUAXwAxAF8AMwBfAF8ANQBfAEEAbgBuAHUAYQBsAE4AaQB0AHIAbwBnAGUAbgBFAHgAYwByAGUAdABpAG8AbgBfAFQAaQB0AGwAZQAiACwAIgBNAE0AUwBfAFMAdwBpAG4AZQBfAE4AMgBPAEQAaQByAGUAYwB0AF8ARQBxAHUAYQB0AGkAbwBuAHMALgBWAEUARQBSAEcAXwA0AF8ANQBfADEAXwAzAF8AXwA1AF8AQQBuAG4AdQBhAGwATgBpAHQAcgBvAGcAZQBuAEUAeABjAHIAZQB0AGkAbwBuAF8AVgBhAHIAaQBhAGIAbABlACIALAAiAE0ATQBTAF8AUwB3AGkAbgBlAF8ATgAyAE8ARABpAHIAZQBjAHQAXwBFAHEAdQBhAHQAaQBvAG4AcwAuAFYARQBFAFIARwBfADQAXwA1AF8AMQBfADMAXwBfADUAXwBBAG4AbgB1AGEAbABOAGkAdAByAG8AZwBlAG4ARQB4AGMAcgBlAHQAaQBvAG4AXwBVAG4AaQB0ACIALAAiAE0ATQBTAF8AUwB3AGkAbgBlAF8ATgAyAE8ARABpAHIAZQBjAHQAXwBFAHEAdQBhAHQAaQBvAG4AcwAuAFYARQBFAFIARwBfADQAXwA1AF8AMQBfADMAXwBfADUAXwBBAG4AbgB1AGEAbABOAGkAdAByAG8AZwBlAG4ARQB4AGMAcgBlAHQAaQBvAG4AXwBTAG8AdQByAGMAZQAiACwAIgBNAE0AUwBfAFMAdwBpAG4AZQBfAE4AMgBPAEQAaQByAGUAYwB0AF8ARQBxAHUAYQB0AGkAbwBuAHMALgBWAEUARQBSAEcAXwA0AF8ANQBfADEAXwAzAF8AXwA1AF8AQQBuAG4AdQBhAGwATgBpAHQAcgBvAGcAZQBuAEUAeABjAHIAZQB0AGkAbwBuAF8ATgBJAFIAUgBlAGYAZQByAGUAbgBjAGUAIgAsACIATQBNAFMAXwBTAHcAaQBuAGUAXwBOADIATwBEAGkAcgBlAGMAdABfAEUAcQB1AGEAdABpAG8AbgBzAC4AVgBFAEUAUgBHAF8ANABfADUAXwAxAF8AMwBfAF8ANQBfAEEAbgBuAHUAYQBsAE4AaQB0AHIAbwBnAGUAbgBFAHgAYwByAGUAdABpAG8AbgBfAEwAYQB0AGUAeABFAHEAdQBhAHQAaQBvAG4AIgAsACIATQBNAFMAXwBTAHcAaQBuAGUAXwBOADIATwBEAGkAcgBlAGMAdABfAEUAcQB1AGEAdABpAG8AbgBzAC4AVgBFAEUAUgBHAF8ANABfADUAXwAxAF8AMwBfAF8ANQBfAEEAbgBuAHUAYQBsAE4AaQB0AHIAbwBnAGUAbgBFAHgAYwByAGUAdABpAG8AbgBfAEEAcgBnAHUAbQBlAG4AdABzACIALAAiAE0ATQBTAF8AUwB3AGkAbgBlAF8ATgAyAE8ARABpAHIAZQBjAHQAXwBFAHEAdQBhAHQAaQBvAG4AcwAuAFYARQBFAFIARwBfADQAXwA1AF8AMQBfADMAXwBfADYAXwBTAHQAYQBnAGUAMgBOAGkAdAByAG8AZwBlAG4ASQBuAE0ATQBTACIALAAiAE0ATQBTAF8AUwB3AGkAbgBlAF8ATgAyAE8ARABpAHIAZQBjAHQAXwBFAHEAdQBhAHQAaQBvAG4AcwAuAFYARQBFAFIARwBfADQAXwA1AF8AMQBfADMAXwBfADYAXwBTAHQAYQBnAGUAMgBOAGkAdAByAG8AZwBlAG4ASQBuAE0ATQBTAF8AVABpAHQAbABlACIALAAiAE0ATQBTAF8AUwB3AGkAbgBlAF8ATgAyAE8ARABpAHIAZQBjAHQAXwBFAHEAdQBhAHQAaQBvAG4AcwAuAFYARQBFAFIARwBfADQAXwA1AF8AMQBfADMAXwBfADYAXwBTAHQAYQBnAGUAMgBOAGkAdAByAG8AZwBlAG4ASQBuAE0ATQBTAF8AVgBhAHIAaQBhAGIAbABlACIALAAiAE0ATQBTAF8AUwB3AGkAbgBlAF8ATgAyAE8ARABpAHIAZQBjAHQAXwBFAHEAdQBhAHQAaQBvAG4AcwAuAFYARQBFAFIARwBfADQAXwA1AF8AMQBfADMAXwBfADYAXwBTAHQAYQBnAGUAMgBOAGkAdAByAG8AZwBlAG4ASQBuAE0ATQBTAF8AVQBuAGkAdAAiACwAIgBNAE0AUwBfAFMAdwBpAG4AZQBfAE4AMgBPAEQAaQByAGUAYwB0AF8ARQBxAHUAYQB0AGkAbwBuAHMALgBWAEUARQBSAEcAXwA0AF8ANQBfADEAXwAzAF8AXwA2AF8AUwB0AGEAZwBlADIATgBpAHQAcgBvAGcAZQBuAEkAbgBNAE0AUwBfAFMAbwB1AHIAYwBlACIALAAiAE0ATQBTAF8AUwB3AGkAbgBlAF8ATgAyAE8ARABpAHIAZQBjAHQAXwBFAHEAdQBhAHQAaQBvAG4AcwAuAFYARQBFAFIARwBfADQAXwA1AF8AMQBfADMAXwBfADYAXwBTAHQAYQBnAGUAMgBOAGkAdAByAG8AZwBlAG4ASQBuAE0ATQBTAF8ATgBJAFIAUgBlAGYAZQByAGUAbgBjAGUAIgAsACIATQBNAFMAXwBTAHcAaQBuAGUAXwBOADIATwBEAGkAcgBlAGMAdABfAEUAcQB1AGEAdABpAG8AbgBzAC4AVgBFAEUAUgBHAF8ANABfADUAXwAxAF8AMwBfAF8ANgBfAFMAdABhAGcAZQAyAE4AaQB0AHIAbwBnAGUAbgBJAG4ATQBNAFMAXwBMAGEAdABlAHgARQBxAHUAYQB0AGkAbwBuACIALAAiAE0ATQBTAF8AUwB3AGkAbgBlAF8ATgAyAE8ARABpAHIAZQBjAHQAXwBFAHEAdQBhAHQAaQBvAG4AcwAuAFYARQBFAFIARwBfADQAXwA1AF8AMQBfADMAXwBfADYAXwBTAHQAYQBnAGUAMgBOAGkAdAByAG8AZwBlAG4ASQBuAE0ATQBTAF8AQQByAGcAdQBtAGUAbgB0AHMAIgAsACIATQBNAFMAXwBTAHcAaQBuAGUAXwBOADIATwBEAGkAcgBlAGMAdABfAEUAcQB1AGEAdABpAG8AbgBzAC4AVgBFAEUAUgBHAF8ANABfADUAXwAxAF8AMwBfAF8ANwBfAE4AaQB0AHIAbwBnAGUAbgBUAHIAYQBuAHMAZgBlAHIAcgBlAGQAVABvAFMAdABhAGcAZQAyAE0ATQBTACIALAAiAE0ATQBTAF8AUwB3AGkAbgBlAF8ATgAyAE8ARABpAHIAZQBjAHQAXwBFAHEAdQBhAHQAaQBvAG4AcwAuAFYARQBFAFIARwBfADQAXwA1AF8AMQBfADMAXwBfADcAXwBOAGkAdAByAG8AZwBlAG4AVAByAGEAbgBzAGYAZQByAHIAZQBkAFQAbwBTAHQAYQBnAGUAMgBNAE0AUwBfAFQAaQB0AGwAZQAiACwAIgBNAE0AUwBfAFMAdwBpAG4AZQBfAE4AMgBPAEQAaQByAGUAYwB0AF8ARQBxAHUAYQB0AGkAbwBuAHMALgBWAEUARQBSAEcAXwA0AF8ANQBfADEAXwAzAF8AXwA3AF8ATgBpAHQAcgBvAGcAZQBuAFQAcgBhAG4AcwBmAGUAcgByAGUAZABUAG8AUwB0AGEAZwBlADIATQBNAFMAXwBWAGEAcgBpAGEAYgBsAGUAIgAsACIATQBNAFMAXwBTAHcAaQBuAGUAXwBOADIATwBEAGkAcgBlAGMAdABfAEUAcQB1AGEAdABpAG8AbgBzAC4AVgBFAEUAUgBHAF8ANABfADUAXwAxAF8AMwBfAF8ANwBfAE4AaQB0AHIAbwBnAGUAbgBUAHIAYQBuAHMAZgBlAHIAcgBlAGQAVABvAFMAdABhAGcAZQAyAE0ATQBTAF8AVQBuAGkAdAAiACwAIgBNAE0AUwBfAFMAdwBpAG4AZQBfAE4AMgBPAEQAaQByAGUAYwB0AF8ARQBxAHUAYQB0AGkAbwBuAHMALgBWAEUARQBSAEcAXwA0AF8ANQBfADEAXwAzAF8AXwA3AF8ATgBpAHQAcgBvAGcAZQBuAFQAcgBhAG4AcwBmAGUAcgByAGUAZABUAG8AUwB0AGEAZwBlADIATQBNAFMAXwBTAG8AdQByAGMAZQAiACwAIgBNAE0AUwBfAFMAdwBpAG4AZQBfAE4AMgBPAEQAaQByAGUAYwB0AF8ARQBxAHUAYQB0AGkAbwBuAHMALgBWAEUARQBSAEcAXwA0AF8ANQBfADEAXwAzAF8AXwA3AF8ATgBpAHQAcgBvAGcAZQBuAFQAcgBhAG4AcwBmAGUAcgByAGUAZABUAG8AUwB0AGEAZwBlADIATQBNAFMAXwBOAEkAUgBSAGUAZgBlAHIAZQBuAGMAZQAiACwAIgBNAE0AUwBfAFMAdwBpAG4AZQBfAE4AMgBPAEQAaQByAGUAYwB0AF8ARQBxAHUAYQB0AGkAbwBuAHMALgBWAEUARQBSAEcAXwA0AF8ANQBfADEAXwAzAF8AXwA3AF8ATgBpAHQAcgBvAGcAZQBuAFQAcgBhAG4AcwBmAGUAcgByAGUAZABUAG8AUwB0AGEAZwBlADIATQBNAFMAXwBMAGEAdABlAHgARQBxAHUAYQB0AGkAbwBuACIALAAiAE0ATQBTAF8AUwB3AGkAbgBlAF8ATgAyAE8ARABpAHIAZQBjAHQAXwBFAHEAdQBhAHQAaQBvAG4AcwAuAFYARQBFAFIARwBfADQAXwA1AF8AMQBfADMAXwBfADcAXwBOAGkAdAByAG8AZwBlAG4AVAByAGEAbgBzAGYAZQByAHIAZQBkAFQAbwBTAHQAYQBnAGUAMgBNAE0AUwBfAEEAcgBnAHUAbQBlAG4AdABz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VABpAHQAbA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VgBhAHIAaQBhAGIAbA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VQBuAGkAdA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MAbwB1AHIAYw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TgBJAFIAUgBlAGYAZQByAGUAbgBj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MAGEAdABlAHgARQBxAHUAYQB0AGkAbwBu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QQByAGcAdQBtAGUAbgB0AHMAIgAsACIATQBNAFMAXwBTAHcAaQBuAGUAXwBBAHQAbQBvAHMAcABoAGUAcgBpAGMARABlAHAAbwBzAGkAdABpAG8AbgBfAEUAcQB1AGEAdABpAG8AbgBzAC4AVgBFAEUAUgBHAF8ANABfADUAXwAxAF8ANQBfAF8AMgBfAFQAbwB0AGEAbABOAGkAdAByAG8AZwBlAG4AVgBvAGwAYQB0AGkAbABpAHMAZQBkAEYAcgBvAG0ATQBNAFMAIgAsACIATQBNAFMAXwBTAHcAaQBuAGUAXwBBAHQAbQBvAHMAcABoAGUAcgBpAGMARABlAHAAbwBzAGkAdABpAG8AbgBfAEUAcQB1AGEAdABpAG8AbgBzAC4AVgBFAEUAUgBHAF8ANABfADUAXwAxAF8ANQBfAF8AMgBfAFQAbwB0AGEAbABOAGkAdAByAG8AZwBlAG4AVgBvAGwAYQB0AGkAbABpAHMAZQBkAEYAcgBvAG0ATQBNAFMAXwBUAGkAdABsAGUAIgAsACIATQBNAFMAXwBTAHcAaQBuAGUAXwBBAHQAbQBvAHMAcABoAGUAcgBpAGMARABlAHAAbwBzAGkAdABpAG8AbgBfAEUAcQB1AGEAdABpAG8AbgBzAC4AVgBFAEUAUgBHAF8ANABfADUAXwAxAF8ANQBfAF8AMgBfAFQAbwB0AGEAbABOAGkAdAByAG8AZwBlAG4AVgBvAGwAYQB0AGkAbABpAHMAZQBkAEYAcgBvAG0ATQBNAFMAXwBWAGEAcgBpAGEAYgBsAGUAIgAsACIATQBNAFMAXwBTAHcAaQBuAGUAXwBBAHQAbQBvAHMAcABoAGUAcgBpAGMARABlAHAAbwBzAGkAdABpAG8AbgBfAEUAcQB1AGEAdABpAG8AbgBzAC4AVgBFAEUAUgBHAF8ANABfADUAXwAxAF8ANQBfAF8AMgBfAFQAbwB0AGEAbABOAGkAdAByAG8AZwBlAG4AVgBvAGwAYQB0AGkAbABpAHMAZQBkAEYAcgBvAG0ATQBNAFMAXwBVAG4AaQB0ACIALAAiAE0ATQBTAF8AUwB3AGkAbgBlAF8AQQB0AG0AbwBzAHAAaABlAHIAaQBjAEQAZQBwAG8AcwBpAHQAaQBvAG4AXwBFAHEAdQBhAHQAaQBvAG4AcwAuAFYARQBFAFIARwBfADQAXwA1AF8AMQBfADUAXwBfADIAXwBUAG8AdABhAGwATgBpAHQAcgBvAGcAZQBuAFYAbwBsAGEAdABpAGwAaQBzAGUAZABGAHIAbwBtAE0ATQBTAF8AUwBvAHUAcgBjAGUAIgAsACIATQBNAFMAXwBTAHcAaQBuAGUAXwBBAHQAbQBvAHMAcABoAGUAcgBpAGMARABlAHAAbwBzAGkAdABpAG8AbgBfAEUAcQB1AGEAdABpAG8AbgBzAC4AVgBFAEUAUgBHAF8ANABfADUAXwAxAF8ANQBfAF8AMgBfAFQAbwB0AGEAbABOAGkAdAByAG8AZwBlAG4AVgBvAGwAYQB0AGkAbABpAHMAZQBkAEYAcgBvAG0ATQBNAFMAXwBOAEkAUgBSAGUAZgBlAHIAZQBuAGMAZQAiACwAIgBNAE0AUwBfAFMAdwBpAG4AZQBfAEEAdABtAG8AcwBwAGgAZQByAGkAYwBEAGUAcABvAHMAaQB0AGkAbwBuAF8ARQBxAHUAYQB0AGkAbwBuAHMALgBWAEUARQBSAEcAXwA0AF8ANQBfADEAXwA1AF8AXwAyAF8AVABvAHQAYQBsAE4AaQB0AHIAbwBnAGUAbgBWAG8AbABhAHQAaQBsAGkAcwBlAGQARgByAG8AbQBNAE0AUwBfAEwAYQB0AGUAeABFAHEAdQBhAHQAaQBvAG4AIgAsACIATQBNAFMAXwBTAHcAaQBuAGUAXwBBAHQAbQBvAHMAcABoAGUAcgBpAGMARABlAHAAbwBzAGkAdABpAG8AbgBfAEUAcQB1AGEAdABpAG8AbgBzAC4AVgBFAEUAUgBHAF8ANABfADUAXwAxAF8ANQBfAF8AMgBfAFQAbwB0AGEAbABOAGkAdAByAG8AZwBlAG4AVgBvAGwAYQB0AGkAbABpAHMAZQBkAEYAcgBvAG0ATQBNAFMAXwBBAHIAZwB1AG0AZQBuAHQAcwAiACwAIgBNAE0AUwBfAFMAdwBpAG4AZQBfAEwAZQBhAGMAaABpAG4AZwBBAG4AZABSAHUAbgBvAGYAZgBfAEUAcQB1AGEAdABpAG8AbgBzAC4AVgBFAEUAUgBHAF8ANABfADUAXwAxAF8ANwBfAF8AMQBfAEEAbgBuAHUAYQBsAEUAbQBpAHMAcwBpAG8AbgBzAEYAcgBvAG0ATABlAGEAYwBoAGkAbgBnAEEAbgBkAFIAdQBuAG8AZgBmAEYAcgBvAG0ATQBNAFMAIgAsACIATQBNAFMAXwBTAHcAaQBuAGUAXwBMAGUAYQBjAGgAaQBuAGcAQQBuAGQAUgB1AG4AbwBmAGYAXwBFAHEAdQBhAHQAaQBvAG4AcwAuAFYARQBFAFIARwBfADQAXwA1AF8AMQBfADcAXwBfADEAXwBBAG4AbgB1AGEAbABFAG0AaQBzAHMAaQBvAG4AcwBGAHIAbwBtAEwAZQBhAGMAaABpAG4AZwBBAG4AZABSAHUAbgBvAGYAZgBGAHIAbwBtAE0ATQBTAF8AVABpAHQAbABlACIALAAiAE0ATQBTAF8AUwB3AGkAbgBlAF8ATABlAGEAYwBoAGkAbgBnAEEAbgBkAFIAdQBuAG8AZgBmAF8ARQBxAHUAYQB0AGkAbwBuAHMALgBWAEUARQBSAEcAXwA0AF8ANQBfADEAXwA3AF8AXwAxAF8AQQBuAG4AdQBhAGwARQBtAGkAcwBzAGkAbwBuAHMARgByAG8AbQBMAGUAYQBjAGgAaQBuAGcAQQBuAGQAUgB1AG4AbwBmAGYARgByAG8AbQBNAE0AUwBfAFYAYQByAGkAYQBiAGwAZQAiACwAIgBNAE0AUwBfAFMAdwBpAG4AZQBfAEwAZQBhAGMAaABpAG4AZwBBAG4AZABSAHUAbgBvAGYAZgBfAEUAcQB1AGEAdABpAG8AbgBzAC4AVgBFAEUAUgBHAF8ANABfADUAXwAxAF8ANwBfAF8AMQBfAEEAbgBuAHUAYQBsAEUAbQBpAHMAcwBpAG8AbgBzAEYAcgBvAG0ATABlAGEAYwBoAGkAbgBnAEEAbgBkAFIAdQBuAG8AZgBmAEYAcgBvAG0ATQBNAFMAXwBVAG4AaQB0ACIALAAiAE0ATQBTAF8AUwB3AGkAbgBlAF8ATABlAGEAYwBoAGkAbgBnAEEAbgBkAFIAdQBuAG8AZgBmAF8ARQBxAHUAYQB0AGkAbwBuAHMALgBWAEUARQBSAEcAXwA0AF8ANQBfADEAXwA3AF8AXwAxAF8AQQBuAG4AdQBhAGwARQBtAGkAcwBzAGkAbwBuAHMARgByAG8AbQBMAGUAYQBjAGgAaQBuAGcAQQBuAGQAUgB1AG4AbwBmAGYARgByAG8AbQBNAE0AUwBfAFMAbwB1AHIAYwBlACIALAAiAE0ATQBTAF8AUwB3AGkAbgBlAF8ATABlAGEAYwBoAGkAbgBnAEEAbgBkAFIAdQBuAG8AZgBmAF8ARQBxAHUAYQB0AGkAbwBuAHMALgBWAEUARQBSAEcAXwA0AF8ANQBfADEAXwA3AF8AXwAxAF8AQQBuAG4AdQBhAGwARQBtAGkAcwBzAGkAbwBuAHMARgByAG8AbQBMAGUAYQBjAGgAaQBuAGcAQQBuAGQAUgB1AG4AbwBmAGYARgByAG8AbQBNAE0AUwBfAE4ASQBSAFIAZQBmAGUAcgBlAG4AYwBlACIALAAiAE0ATQBTAF8AUwB3AGkAbgBlAF8ATABlAGEAYwBoAGkAbgBnAEEAbgBkAFIAdQBuAG8AZgBmAF8ARQBxAHUAYQB0AGkAbwBuAHMALgBWAEUARQBSAEcAXwA0AF8ANQBfADEAXwA3AF8AXwAxAF8AQQBuAG4AdQBhAGwARQBtAGkAcwBzAGkAbwBuAHMARgByAG8AbQBMAGUAYQBjAGgAaQBuAGcAQQBuAGQAUgB1AG4AbwBmAGYARgByAG8AbQBNAE0AUwBfAEwAYQB0AGUAeABFAHEAdQBhAHQAaQBvAG4AIgAsACIATQBNAFMAXwBTAHcAaQBuAGUAXwBMAGUAYQBjAGgAaQBuAGcAQQBuAGQAUgB1AG4AbwBmAGYAXwBFAHEAdQBhAHQAaQBvAG4AcwAuAFYARQBFAFIARwBfADQAXwA1AF8AMQBfADcAXwBfADEAXwBBAG4AbgB1AGEAbABFAG0AaQBzAHMAaQBvAG4AcwBGAHIAbwBtAEwAZQBhAGMAaABpAG4AZwBBAG4AZABSAHUAbgBvAGYAZgBGAHIAbwBtAE0ATQBTAF8AQQByAGcAdQBtAGUAbgB0AHM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UAGkAdABs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WAGEAcgBpAGEAYgBs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VAG4AaQB0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UwBvAHUAcgBj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OAEkAUgBSAGUAZgBlAHIAZQBuAGM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EwAYQB0AGUAeABFAHEAdQBhAHQAaQBvAG4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BAHIAZwB1AG0AZQBuAHQAcwAiACwAIgBNAE0AUwBfAFMAdwBpAG4AZQBfAE0AYQBuAHUAcgBlAEEAcABwAGwAaQBlAGQAVABvAFMAbwBpAGwAcwBfAEUAcQB1AGEAdABpAG8AbgBzAC4AVgBFAEUAUgBHAF8ANABfADUAXwAxAF8AOQBfAF8AMQBfAE0AYQBzAHMATwBmAE4AaQB0AHIAbwBnAGUAbgBBAHAAcABsAGkAZQBkAFQAbwBTAG8AaQBsAHMAUwBjAG8AcABlADEAIgAsACIATQBNAFMAXwBTAHcAaQBuAGUAXwBNAGEAbgB1AHIAZQBBAHAAcABsAGkAZQBkAFQAbwBTAG8AaQBsAHMAXwBFAHEAdQBhAHQAaQBvAG4AcwAuAFYARQBFAFIARwBfADQAXwA1AF8AMQBfADkAXwBfADEAXwBNAGEAcwBzAE8AZgBOAGkAdAByAG8AZwBlAG4AQQBwAHAAbABpAGUAZABUAG8AUwBvAGkAbABzAFMAYwBvAHAAZQAxAF8AVABpAHQAbABlACIALAAiAE0ATQBTAF8AUwB3AGkAbgBlAF8ATQBhAG4AdQByAGUAQQBwAHAAbABpAGUAZABUAG8AUwBvAGkAbABzAF8ARQBxAHUAYQB0AGkAbwBuAHMALgBWAEUARQBSAEcAXwA0AF8ANQBfADEAXwA5AF8AXwAxAF8ATQBhAHMAcwBPAGYATgBpAHQAcgBvAGcAZQBuAEEAcABwAGwAaQBlAGQAVABvAFMAbwBpAGwAcwBTAGMAbwBwAGUAMQBfAFYAYQByAGkAYQBiAGwAZQAiACwAIgBNAE0AUwBfAFMAdwBpAG4AZQBfAE0AYQBuAHUAcgBlAEEAcABwAGwAaQBlAGQAVABvAFMAbwBpAGwAcwBfAEUAcQB1AGEAdABpAG8AbgBzAC4AVgBFAEUAUgBHAF8ANABfADUAXwAxAF8AOQBfAF8AMQBfAE0AYQBzAHMATwBmAE4AaQB0AHIAbwBnAGUAbgBBAHAAcABsAGkAZQBkAFQAbwBTAG8AaQBsAHMAUwBjAG8AcABlADEAXwBVAG4AaQB0ACIALAAiAE0ATQBTAF8AUwB3AGkAbgBlAF8ATQBhAG4AdQByAGUAQQBwAHAAbABpAGUAZABUAG8AUwBvAGkAbABzAF8ARQBxAHUAYQB0AGkAbwBuAHMALgBWAEUARQBSAEcAXwA0AF8ANQBfADEAXwA5AF8AXwAxAF8ATQBhAHMAcwBPAGYATgBpAHQAcgBvAGcAZQBuAEEAcABwAGwAaQBlAGQAVABvAFMAbwBpAGwAcwBTAGMAbwBwAGUAMQBfAFMAbwB1AHIAYwBlACIALAAiAE0ATQBTAF8AUwB3AGkAbgBlAF8ATQBhAG4AdQByAGUAQQBwAHAAbABpAGUAZABUAG8AUwBvAGkAbABzAF8ARQBxAHUAYQB0AGkAbwBuAHMALgBWAEUARQBSAEcAXwA0AF8ANQBfADEAXwA5AF8AXwAxAF8ATQBhAHMAcwBPAGYATgBpAHQAcgBvAGcAZQBuAEEAcABwAGwAaQBlAGQAVABvAFMAbwBpAGwAcwBTAGMAbwBwAGUAMQBfAE4ASQBSAFIAZQBmAGUAcgBlAG4AYwBlACIALAAiAE0ATQBTAF8AUwB3AGkAbgBlAF8ATQBhAG4AdQByAGUAQQBwAHAAbABpAGUAZABUAG8AUwBvAGkAbABzAF8ARQBxAHUAYQB0AGkAbwBuAHMALgBWAEUARQBSAEcAXwA0AF8ANQBfADEAXwA5AF8AXwAxAF8ATQBhAHMAcwBPAGYATgBpAHQAcgBvAGcAZQBuAEEAcABwAGwAaQBlAGQAVABvAFMAbwBpAGwAcwBTAGMAbwBwAGUAMQBfAEwAYQB0AGUAeABFAHEAdQBhAHQAaQBvAG4AIgAsACIATQBNAFMAXwBTAHcAaQBuAGUAXwBNAGEAbgB1AHIAZQBBAHAAcABsAGkAZQBkAFQAbwBTAG8AaQBsAHMAXwBFAHEAdQBhAHQAaQBvAG4AcwAuAFYARQBFAFIARwBfADQAXwA1AF8AMQBfADkAXwBfADEAXwBNAGEAcwBzAE8AZgBOAGkAdAByAG8AZwBlAG4AQQBwAHAAbABpAGUAZABUAG8AUwBvAGkAbABzAFMAYwBvAHAAZQAxAF8AQQByAGcAdQBtAGUAbgB0AHMAIgAsACIATQBNAFMAXwBTAHcAaQBuAGUAXwBNAGEAbgB1AHIAZQBBAHAAcABsAGkAZQBkAFQAbwBTAG8AaQBsAHMAXwBFAHEAdQBhAHQAaQBvAG4AcwAuAFYARQBFAFIARwBfADQAXwA1AF8AMQBfADkAXwBfADIAXwBNAGEAcwBzAE8AZgBOAGkAdAByAG8AZwBlAG4AQQBwAHAAbABpAGUAZABUAG8AUwBvAGkAbABzAFMAYwBvAHAAZQAzACIALAAiAE0ATQBTAF8AUwB3AGkAbgBlAF8ATQBhAG4AdQByAGUAQQBwAHAAbABpAGUAZABUAG8AUwBvAGkAbABzAF8ARQBxAHUAYQB0AGkAbwBuAHMALgBWAEUARQBSAEcAXwA0AF8ANQBfADEAXwA5AF8AXwAyAF8ATQBhAHMAcwBPAGYATgBpAHQAcgBvAGcAZQBuAEEAcABwAGwAaQBlAGQAVABvAFMAbwBpAGwAcwBTAGMAbwBwAGUAMwBfAFQAaQB0AGwAZQAiACwAIgBNAE0AUwBfAFMAdwBpAG4AZQBfAE0AYQBuAHUAcgBlAEEAcABwAGwAaQBlAGQAVABvAFMAbwBpAGwAcwBfAEUAcQB1AGEAdABpAG8AbgBzAC4AVgBFAEUAUgBHAF8ANABfADUAXwAxAF8AOQBfAF8AMgBfAE0AYQBzAHMATwBmAE4AaQB0AHIAbwBnAGUAbgBBAHAAcABsAGkAZQBkAFQAbwBTAG8AaQBsAHMAUwBjAG8AcABlADMAXwBWAGEAcgBpAGEAYgBsAGUAIgAsACIATQBNAFMAXwBTAHcAaQBuAGUAXwBNAGEAbgB1AHIAZQBBAHAAcABsAGkAZQBkAFQAbwBTAG8AaQBsAHMAXwBFAHEAdQBhAHQAaQBvAG4AcwAuAFYARQBFAFIARwBfADQAXwA1AF8AMQBfADkAXwBfADIAXwBNAGEAcwBzAE8AZgBOAGkAdAByAG8AZwBlAG4AQQBwAHAAbABpAGUAZABUAG8AUwBvAGkAbABzAFMAYwBvAHAAZQAzAF8AVQBuAGkAdAAiACwAIgBNAE0AUwBfAFMAdwBpAG4AZQBfAE0AYQBuAHUAcgBlAEEAcABwAGwAaQBlAGQAVABvAFMAbwBpAGwAcwBfAEUAcQB1AGEAdABpAG8AbgBzAC4AVgBFAEUAUgBHAF8ANABfADUAXwAxAF8AOQBfAF8AMgBfAE0AYQBzAHMATwBmAE4AaQB0AHIAbwBnAGUAbgBBAHAAcABsAGkAZQBkAFQAbwBTAG8AaQBsAHMAUwBjAG8AcABlADMAXwBTAG8AdQByAGMAZQAiACwAIgBNAE0AUwBfAFMAdwBpAG4AZQBfAE0AYQBuAHUAcgBlAEEAcABwAGwAaQBlAGQAVABvAFMAbwBpAGwAcwBfAEUAcQB1AGEAdABpAG8AbgBzAC4AVgBFAEUAUgBHAF8ANABfADUAXwAxAF8AOQBfAF8AMgBfAE0AYQBzAHMATwBmAE4AaQB0AHIAbwBnAGUAbgBBAHAAcABsAGkAZQBkAFQAbwBTAG8AaQBsAHMAUwBjAG8AcABlADMAXwBOAEkAUgBSAGUAZgBlAHIAZQBuAGMAZQAiACwAIgBNAE0AUwBfAFMAdwBpAG4AZQBfAE0AYQBuAHUAcgBlAEEAcABwAGwAaQBlAGQAVABvAFMAbwBpAGwAcwBfAEUAcQB1AGEAdABpAG8AbgBzAC4AVgBFAEUAUgBHAF8ANABfADUAXwAxAF8AOQBfAF8AMgBfAE0AYQBzAHMATwBmAE4AaQB0AHIAbwBnAGUAbgBBAHAAcABsAGkAZQBkAFQAbwBTAG8AaQBsAHMAUwBjAG8AcABlADMAXwBMAGEAdABlAHgARQBxAHUAYQB0AGkAbwBuACIALAAiAE0ATQBTAF8AUwB3AGkAbgBlAF8ATQBhAG4AdQByAGUAQQBwAHAAbABpAGUAZABUAG8AUwBvAGkAbABzAF8ARQBxAHUAYQB0AGkAbwBuAHMALgBWAEUARQBSAEcAXwA0AF8ANQBfADEAXwA5AF8AXwAyAF8ATQBhAHMAcwBPAGYATgBpAHQAcgBvAGcAZQBuAEEAcABwAGwAaQBlAGQAVABvAFMAbwBpAGwAcwBTAGMAbwBwAGUAMw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13</vt:i4>
      </vt:variant>
    </vt:vector>
  </HeadingPairs>
  <TitlesOfParts>
    <vt:vector size="23" baseType="lpstr">
      <vt:lpstr>Home</vt:lpstr>
      <vt:lpstr>Overview</vt:lpstr>
      <vt:lpstr>Results</vt:lpstr>
      <vt:lpstr>Input - Site</vt:lpstr>
      <vt:lpstr>Input - Swine</vt:lpstr>
      <vt:lpstr>3.5.1.1-2 Enteric Methane</vt:lpstr>
      <vt:lpstr>Constants - Swine</vt:lpstr>
      <vt:lpstr>Constants - Common</vt:lpstr>
      <vt:lpstr>Constants - Common livestock</vt:lpstr>
      <vt:lpstr>Acknowledgements</vt:lpstr>
      <vt:lpstr>Common_SourceData_DensityOfMethane_Data</vt:lpstr>
      <vt:lpstr>SourceData_Swine_FracLEACH_DrylotMMS_Data</vt:lpstr>
      <vt:lpstr>SourceData_Swine_MegajoulesPerKilogramMethane_Data</vt:lpstr>
      <vt:lpstr>SourceData_Swine_MethaneVolatileSolidsEmissionsPotential_Data</vt:lpstr>
      <vt:lpstr>VEERG_3_5_1_1__1_TotalAnnualMethaneFromEntericFermentation_Result_Method1</vt:lpstr>
      <vt:lpstr>VEERG_3_5_1_1__1_TotalAnnualMethaneFromEntericFermentation_Result_Method2</vt:lpstr>
      <vt:lpstr>X_Cell_Site_EndDate</vt:lpstr>
      <vt:lpstr>X_Cell_Site_FarmName</vt:lpstr>
      <vt:lpstr>X_Cell_Site_ReportingEntityName</vt:lpstr>
      <vt:lpstr>X_Cell_Site_StartDate</vt:lpstr>
      <vt:lpstr>X_Table_Swine_FeedIntake_Method1</vt:lpstr>
      <vt:lpstr>X_Table_Swine_FeedIntake_Method2</vt:lpstr>
      <vt:lpstr>X_Table_Swine_HerdMovement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2026-08-28T04:39:42Z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