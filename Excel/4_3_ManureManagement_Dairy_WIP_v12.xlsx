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FB86171-0CDA-467F-AEB0-12B6EDCF7438}" xr6:coauthVersionLast="47" xr6:coauthVersionMax="47" xr10:uidLastSave="{00000000-0000-0000-0000-000000000000}"/>
  <bookViews>
    <workbookView xWindow="2340" yWindow="1890" windowWidth="36060" windowHeight="19710" activeTab="6"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50" i="76" l="1" a="1"/>
  <c r="T250" i="76" s="1"/>
  <c r="S250" i="76" a="1"/>
  <c r="S250" i="76" s="1"/>
  <c r="R250" i="76" a="1"/>
  <c r="R250" i="76" s="1"/>
  <c r="Q250" i="76" a="1"/>
  <c r="Q250" i="76" s="1"/>
  <c r="P250" i="76" a="1"/>
  <c r="P250" i="76" s="1"/>
  <c r="T249" i="76"/>
  <c r="T249" i="76" a="1"/>
  <c r="S249" i="76" a="1"/>
  <c r="S249" i="76" s="1"/>
  <c r="R249" i="76" a="1"/>
  <c r="R249" i="76" s="1"/>
  <c r="Q249" i="76" a="1"/>
  <c r="Q249" i="76" s="1"/>
  <c r="P249" i="76" a="1"/>
  <c r="P249" i="76" s="1"/>
  <c r="T248" i="76" a="1"/>
  <c r="T248" i="76" s="1"/>
  <c r="S248" i="76" a="1"/>
  <c r="S248" i="76" s="1"/>
  <c r="R248" i="76"/>
  <c r="R248" i="76" a="1"/>
  <c r="Q248" i="76" a="1"/>
  <c r="Q248" i="76" s="1"/>
  <c r="P248" i="76" a="1"/>
  <c r="P248" i="76" s="1"/>
  <c r="T247" i="76" a="1"/>
  <c r="T247" i="76" s="1"/>
  <c r="S247" i="76" a="1"/>
  <c r="S247" i="76" s="1"/>
  <c r="R247" i="76" a="1"/>
  <c r="R247" i="76" s="1"/>
  <c r="Q247" i="76" a="1"/>
  <c r="Q247" i="76" s="1"/>
  <c r="P247" i="76"/>
  <c r="P247" i="76" a="1"/>
  <c r="T246" i="76" a="1"/>
  <c r="T246" i="76" s="1"/>
  <c r="S246" i="76" a="1"/>
  <c r="S246" i="76" s="1"/>
  <c r="R246" i="76" a="1"/>
  <c r="R246" i="76" s="1"/>
  <c r="Q246" i="76" a="1"/>
  <c r="Q246" i="76" s="1"/>
  <c r="P246" i="76" a="1"/>
  <c r="P246" i="76" s="1"/>
  <c r="T245" i="76" a="1"/>
  <c r="T245" i="76" s="1"/>
  <c r="S245" i="76"/>
  <c r="S245" i="76" a="1"/>
  <c r="R245" i="76" a="1"/>
  <c r="R245" i="76" s="1"/>
  <c r="Q245" i="76" a="1"/>
  <c r="Q245" i="76" s="1"/>
  <c r="P245" i="76" a="1"/>
  <c r="P245" i="76" s="1"/>
  <c r="T244" i="76" a="1"/>
  <c r="T244" i="76" s="1"/>
  <c r="S244" i="76" a="1"/>
  <c r="S244" i="76" s="1"/>
  <c r="R244" i="76" a="1"/>
  <c r="R244" i="76" s="1"/>
  <c r="Q244" i="76"/>
  <c r="Q244" i="76" a="1"/>
  <c r="P244" i="76" a="1"/>
  <c r="P244" i="76" s="1"/>
  <c r="T243" i="76" a="1"/>
  <c r="T243" i="76" s="1"/>
  <c r="S243" i="76" a="1"/>
  <c r="S243" i="76" s="1"/>
  <c r="R243" i="76" a="1"/>
  <c r="R243" i="76" s="1"/>
  <c r="Q243" i="76" a="1"/>
  <c r="Q243" i="76" s="1"/>
  <c r="P243" i="76" a="1"/>
  <c r="P243" i="76"/>
  <c r="J250" i="76" a="1"/>
  <c r="J250" i="76" s="1"/>
  <c r="I250" i="76" a="1"/>
  <c r="I250" i="76" s="1"/>
  <c r="H250" i="76" a="1"/>
  <c r="H250" i="76"/>
  <c r="G250" i="76" a="1"/>
  <c r="G250" i="76"/>
  <c r="F250" i="76" a="1"/>
  <c r="F250" i="76"/>
  <c r="J249" i="76" a="1"/>
  <c r="J249" i="76" s="1"/>
  <c r="I249" i="76" a="1"/>
  <c r="I249" i="76"/>
  <c r="H249" i="76" a="1"/>
  <c r="H249" i="76" s="1"/>
  <c r="G249" i="76" a="1"/>
  <c r="G249" i="76" s="1"/>
  <c r="F249" i="76" a="1"/>
  <c r="F249" i="76"/>
  <c r="J248" i="76" a="1"/>
  <c r="J248" i="76"/>
  <c r="I248" i="76" a="1"/>
  <c r="I248" i="76"/>
  <c r="H248" i="76" a="1"/>
  <c r="H248" i="76" s="1"/>
  <c r="G248" i="76" a="1"/>
  <c r="G248" i="76"/>
  <c r="F248" i="76" a="1"/>
  <c r="F248" i="76" s="1"/>
  <c r="J247" i="76" a="1"/>
  <c r="J247" i="76" s="1"/>
  <c r="I247" i="76" a="1"/>
  <c r="I247" i="76"/>
  <c r="H247" i="76" a="1"/>
  <c r="H247" i="76"/>
  <c r="G247" i="76" a="1"/>
  <c r="G247" i="76"/>
  <c r="F247" i="76" a="1"/>
  <c r="F247" i="76" s="1"/>
  <c r="J246" i="76" a="1"/>
  <c r="J246" i="76"/>
  <c r="I246" i="76" a="1"/>
  <c r="I246" i="76" s="1"/>
  <c r="H246" i="76" a="1"/>
  <c r="H246" i="76" s="1"/>
  <c r="G246" i="76" a="1"/>
  <c r="G246" i="76"/>
  <c r="F246" i="76" a="1"/>
  <c r="F246" i="76"/>
  <c r="J245" i="76" a="1"/>
  <c r="J245" i="76"/>
  <c r="I245" i="76" a="1"/>
  <c r="I245" i="76" s="1"/>
  <c r="H245" i="76" a="1"/>
  <c r="H245" i="76"/>
  <c r="G245" i="76" a="1"/>
  <c r="G245" i="76" s="1"/>
  <c r="F245" i="76" a="1"/>
  <c r="F245" i="76" s="1"/>
  <c r="J244" i="76" a="1"/>
  <c r="J244" i="76"/>
  <c r="I244" i="76" a="1"/>
  <c r="I244" i="76"/>
  <c r="H244" i="76" a="1"/>
  <c r="H244" i="76"/>
  <c r="G244" i="76" a="1"/>
  <c r="G244" i="76" s="1"/>
  <c r="F244" i="76" a="1"/>
  <c r="F244" i="76"/>
  <c r="J243" i="76" a="1"/>
  <c r="J243" i="76" s="1"/>
  <c r="I243" i="76" a="1"/>
  <c r="I243" i="76" s="1"/>
  <c r="H243" i="76" a="1"/>
  <c r="H243" i="76"/>
  <c r="G243" i="76" a="1"/>
  <c r="G243" i="76" s="1"/>
  <c r="F243" i="76" a="1"/>
  <c r="F243" i="76" s="1"/>
  <c r="A8" i="72"/>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32" i="97"/>
  <c r="E36" i="95" a="1"/>
  <c r="E55" i="82"/>
  <c r="E37" i="98"/>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7" a="1"/>
  <c r="E91" i="81" a="1"/>
  <c r="E7" i="81" a="1"/>
  <c r="E7" i="98" a="1"/>
  <c r="E37" i="96" a="1"/>
  <c r="E7" i="95" a="1"/>
  <c r="E7" i="96"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56" i="69" a="1"/>
  <c r="E7" i="76" a="1"/>
  <c r="E153" i="76" a="1"/>
  <c r="E35" i="76" a="1"/>
  <c r="E7" i="82" a="1"/>
  <c r="E85" i="69" a="1"/>
  <c r="E109" i="76" a="1"/>
  <c r="E186" i="69" a="1"/>
  <c r="E72" i="76" a="1"/>
  <c r="E256" i="76" a="1"/>
  <c r="E8" i="69" a="1"/>
  <c r="E139" i="69" a="1"/>
  <c r="E219" i="76" a="1"/>
  <c r="E252" i="69" a="1"/>
  <c r="E212" i="69" a="1"/>
  <c r="E120" i="69" a="1"/>
  <c r="E132" i="76" a="1"/>
  <c r="E183"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T51" i="96" a="1"/>
  <c r="T51" i="96" s="1"/>
  <c r="J31" i="96" a="1"/>
  <c r="J31" i="96" s="1"/>
  <c r="H51" i="96" a="1"/>
  <c r="H51" i="96" s="1"/>
  <c r="G31" i="96" a="1"/>
  <c r="G31" i="96" s="1"/>
  <c r="H281" i="76" a="1"/>
  <c r="H281" i="76" s="1"/>
  <c r="H283" i="76" a="1"/>
  <c r="H283" i="76" s="1"/>
  <c r="H284" i="76" a="1"/>
  <c r="H284" i="76" s="1"/>
  <c r="S282" i="76" a="1"/>
  <c r="S282" i="76" s="1"/>
  <c r="S283" i="76" a="1"/>
  <c r="S283" i="76" s="1"/>
  <c r="S284" i="76" a="1"/>
  <c r="S284" i="76" s="1"/>
  <c r="H285" i="76" a="1"/>
  <c r="H285" i="76" s="1"/>
  <c r="S285" i="76" a="1"/>
  <c r="S285" i="76" s="1"/>
  <c r="H280" i="76" a="1"/>
  <c r="H280" i="76" s="1"/>
  <c r="S280" i="76" a="1"/>
  <c r="S280" i="76" s="1"/>
  <c r="S278" i="76" a="1"/>
  <c r="S278" i="76" s="1"/>
  <c r="S279" i="76" a="1"/>
  <c r="S279" i="76" s="1"/>
  <c r="S281" i="76" a="1"/>
  <c r="S281" i="76" s="1"/>
  <c r="H282" i="76" a="1"/>
  <c r="H282"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Q51" i="96" a="1"/>
  <c r="Q51" i="96" s="1"/>
  <c r="I281" i="76" a="1"/>
  <c r="I281"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73" i="82" s="1" a="1"/>
  <c r="P73" i="82" s="1"/>
  <c r="I9" i="13" s="1"/>
  <c r="P52" i="95"/>
  <c r="R54" i="95" s="1"/>
  <c r="F8" i="13"/>
  <c r="E52" i="95"/>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<sst xmlns="http://schemas.openxmlformats.org/spreadsheetml/2006/main" count="1695" uniqueCount="520">
  <si>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</si>
  <si>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</si>
  <si>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</si>
  <si>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</si>
  <si>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</si>
  <si>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</si>
  <si>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</si>
  <si>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</si>
  <si>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</si>
  <si>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</si>
  <si>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</si>
  <si>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</si>
  <si>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</si>
  <si>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</si>
  <si>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</si>
  <si>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</si>
  <si>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</si>
  <si>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</si>
  <si>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</si>
  <si>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</si>
  <si>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</si>
  <si>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</si>
  <si>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</si>
  <si>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</si>
  <si>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</si>
  <si>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</si>
  <si>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</si>
  <si>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</si>
  <si>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</si>
  <si>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</si>
  <si>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</si>
  <si>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</si>
  <si>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</si>
  <si>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</si>
  <si>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</si>
  <si>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</si>
  <si>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</si>
  <si>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</si>
  <si>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</si>
  <si>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</si>
  <si>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</si>
  <si>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</si>
  <si>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</si>
  <si>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</si>
  <si>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</si>
  <si>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</si>
  <si>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</si>
  <si>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</si>
  <si>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</si>
  <si>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</si>
  <si>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</si>
  <si>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</si>
  <si>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</si>
  <si>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</si>
  <si>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</si>
  <si>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</si>
  <si>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</si>
  <si>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</si>
  <si>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</si>
  <si>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</si>
  <si>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</si>
  <si>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</si>
  <si>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</si>
  <si>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</si>
  <si>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</si>
  <si>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</si>
  <si>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</si>
  <si>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</si>
  <si>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</si>
  <si>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</si>
  <si>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</si>
  <si>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</si>
  <si>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</si>
  <si>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</si>
  <si>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</si>
  <si>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</si>
  <si>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</si>
  <si>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</si>
  <si>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</si>
  <si>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</si>
  <si>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</si>
  <si>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</si>
  <si>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</si>
  <si>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</si>
  <si>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</si>
  <si>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</si>
  <si>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</si>
  <si>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</si>
  <si>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</si>
  <si>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</si>
  <si>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</si>
  <si>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</si>
  <si>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</si>
  <si>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</si>
  <si>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0"/>
        <color rgb="FF183C1B"/>
        <rFont val="Arial"/>
        <family val="1"/>
      </rPr>
      <t>im</t>
    </r>
  </si>
  <si>
    <t>Fraction</t>
  </si>
  <si>
    <t>MMS m</t>
  </si>
  <si>
    <t>Stage 1 MMS</t>
  </si>
  <si>
    <t>Manure management systems</t>
  </si>
  <si>
    <t>Herd movement</t>
  </si>
  <si>
    <t>Duration of stay</t>
  </si>
  <si>
    <t>head</t>
  </si>
  <si>
    <t>Table_N_j</t>
  </si>
  <si>
    <t>Head</t>
  </si>
  <si>
    <r>
      <t>E</t>
    </r>
    <r>
      <rPr>
        <vertAlign val="subscript"/>
        <sz val="10"/>
        <color theme="1" tint="0.24994659260841701"/>
        <rFont val="Arial"/>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</si>
  <si>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</si>
  <si>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</si>
  <si>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</si>
  <si>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</si>
  <si>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</si>
  <si>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</si>
  <si>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</si>
  <si>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</si>
  <si>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</si>
  <si>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</si>
  <si>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</si>
  <si>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</si>
  <si>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4"/>
        <color theme="1" tint="0.24994659260841701"/>
        <rFont val="Arial"/>
        <family val="1"/>
      </rPr>
      <t>N2O,dir</t>
    </r>
  </si>
  <si>
    <t>M1_Table_E_N2O_dir</t>
  </si>
  <si>
    <t>M1_Table_DMD_j</t>
  </si>
  <si>
    <t>M1_Table_VS_j</t>
  </si>
  <si>
    <t>Dry matter digestibility (Method 1)</t>
  </si>
  <si>
    <t>M2_Table_DMD_j</t>
  </si>
  <si>
    <t>M2_Table_VS_j</t>
  </si>
  <si>
    <t>ECH4 (Method 1)</t>
  </si>
  <si>
    <r>
      <t>E</t>
    </r>
    <r>
      <rPr>
        <vertAlign val="subscript"/>
        <sz val="10"/>
        <color theme="1" tint="0.24994659260841701"/>
        <rFont val="Arial"/>
        <family val="1"/>
      </rPr>
      <t>CO2e</t>
    </r>
    <r>
      <rPr>
        <sz val="10"/>
        <color theme="1" tint="0.24994659260841701"/>
        <rFont val="Arial"/>
        <family val="1"/>
      </rPr>
      <t xml:space="preserve"> (Method 1)</t>
    </r>
  </si>
  <si>
    <t>kg N</t>
  </si>
  <si>
    <r>
      <t>MNSoil</t>
    </r>
    <r>
      <rPr>
        <b/>
        <vertAlign val="subscript"/>
        <sz val="14"/>
        <color theme="1" tint="0.24994659260841701"/>
        <rFont val="Arial"/>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</si>
  <si>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</si>
  <si>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</si>
  <si>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</si>
  <si>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</si>
  <si>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</si>
  <si>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</si>
  <si>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4"/>
        <color theme="1" tint="0.24994659260841701"/>
        <rFont val="Arial"/>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</si>
  <si>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</si>
  <si>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</si>
  <si>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</si>
  <si>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</si>
  <si>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</si>
  <si>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</si>
  <si>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</si>
  <si>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</si>
  <si>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</si>
  <si>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</si>
  <si>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</si>
  <si>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</si>
  <si>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</si>
  <si>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</si>
  <si>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4"/>
        <color theme="1" tint="0.24994659260841701"/>
        <rFont val="Arial"/>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</si>
  <si>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</si>
  <si>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</si>
  <si>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</si>
  <si>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</si>
  <si>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</si>
  <si>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</si>
  <si>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</si>
  <si>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</si>
  <si>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</si>
  <si>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</si>
  <si>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</si>
  <si>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</si>
  <si>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</si>
  <si>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</si>
  <si>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</si>
  <si>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</si>
  <si>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</si>
  <si>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</si>
  <si>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</si>
  <si>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</si>
  <si>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</si>
  <si>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</si>
  <si>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</si>
  <si>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</si>
  <si>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</si>
  <si>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</si>
  <si>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</si>
  <si>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</si>
  <si>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</si>
  <si>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</si>
  <si>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</si>
  <si>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</si>
  <si>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</si>
  <si>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</si>
  <si>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</si>
  <si>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</si>
  <si>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</si>
  <si>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</si>
  <si>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</si>
  <si>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</si>
  <si>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</si>
  <si>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</si>
  <si>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</si>
  <si>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</si>
  <si>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</si>
  <si>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</si>
  <si>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</si>
  <si>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</si>
  <si>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</si>
  <si>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</si>
  <si>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</si>
  <si>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</si>
  <si>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</si>
  <si>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</si>
  <si>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</si>
  <si>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</si>
  <si>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</si>
  <si>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</si>
  <si>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</si>
  <si>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</si>
  <si>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</si>
  <si>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</si>
  <si>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</si>
  <si>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</si>
  <si>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</si>
  <si>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</si>
  <si>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</si>
  <si>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</si>
  <si>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</si>
  <si>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</si>
  <si>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</si>
  <si>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</si>
  <si>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</si>
  <si>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</si>
  <si>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</si>
  <si>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</si>
  <si>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</si>
  <si>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</si>
  <si>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</si>
  <si>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</si>
  <si>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</si>
  <si>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</si>
  <si>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</si>
  <si>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</si>
  <si>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</si>
  <si>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</si>
  <si>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</si>
  <si>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</si>
  <si>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</si>
  <si>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</si>
  <si>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</si>
  <si>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</si>
  <si>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</si>
  <si>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</si>
  <si>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</si>
  <si>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</si>
  <si>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</si>
  <si>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</si>
  <si>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</si>
  <si>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</si>
  <si>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</si>
  <si>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</si>
  <si>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</si>
  <si>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</si>
  <si>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</si>
  <si>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</si>
  <si>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</si>
  <si>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</si>
  <si>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</si>
  <si>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</si>
  <si>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</si>
  <si>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</si>
  <si>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</si>
  <si>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</si>
  <si>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</si>
  <si>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</si>
  <si>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</si>
  <si>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</si>
  <si>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</si>
  <si>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</si>
  <si>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</si>
  <si>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</si>
  <si>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</si>
  <si>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</si>
  <si>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</si>
  <si>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</si>
  <si>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</si>
  <si>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</si>
  <si>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</si>
  <si>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</si>
  <si>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</si>
  <si>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</si>
  <si>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</si>
  <si>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</si>
  <si>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</si>
  <si>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</si>
  <si>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</si>
  <si>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</si>
  <si>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</si>
  <si>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</si>
  <si>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</si>
  <si>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</si>
  <si>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</si>
  <si>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</si>
  <si>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</si>
  <si>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</si>
  <si>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</si>
  <si>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</si>
  <si>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</si>
  <si>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</si>
  <si>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</si>
  <si>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</si>
  <si>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</si>
  <si>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</si>
  <si>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</si>
  <si>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</si>
  <si>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</si>
  <si>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</si>
  <si>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</si>
  <si>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0"/>
        <color rgb="FF183C1B"/>
        <rFont val="Arial"/>
        <family val="1"/>
      </rPr>
      <t>m</t>
    </r>
  </si>
  <si>
    <t>Total annual direct N2O emissions from each MMS (Method 1)</t>
  </si>
  <si>
    <t>4.3 Manure management: Dairy: Results</t>
  </si>
  <si>
    <t>4.3.1.5 Manure Atmospheric Deposition</t>
  </si>
  <si>
    <t>Table_FracGASM_m</t>
  </si>
  <si>
    <r>
      <t>FracGASM</t>
    </r>
    <r>
      <rPr>
        <b/>
        <vertAlign val="subscript"/>
        <sz val="10"/>
        <color rgb="FF183C1B"/>
        <rFont val="Arial"/>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</si>
  <si>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</si>
  <si>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</si>
  <si>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</si>
  <si>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</si>
  <si>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</si>
  <si>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4"/>
        <color theme="1" tint="0.24994659260841701"/>
        <rFont val="Arial"/>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</si>
  <si>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</si>
  <si>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</si>
  <si>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</si>
  <si>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</si>
  <si>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</si>
  <si>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</si>
  <si>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</si>
  <si>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</si>
  <si>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</si>
  <si>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</si>
  <si>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</si>
  <si>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</si>
  <si>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</si>
  <si>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</si>
  <si>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</si>
  <si>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</si>
  <si>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</si>
  <si>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</si>
  <si>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</si>
  <si>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</si>
  <si>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</si>
  <si>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</si>
  <si>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4"/>
        <color theme="1" tint="0.24994659260841701"/>
        <rFont val="Arial"/>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</si>
  <si>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</si>
  <si>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</si>
  <si>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</si>
  <si>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</si>
  <si>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</si>
  <si>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</si>
  <si>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</si>
  <si>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</si>
  <si>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</si>
  <si>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</si>
  <si>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</si>
  <si>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</si>
  <si>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</si>
  <si>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</si>
  <si>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</si>
  <si>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</si>
  <si>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</si>
  <si>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</si>
  <si>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</si>
  <si>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</si>
  <si>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</si>
  <si>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</si>
  <si>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</si>
  <si>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</si>
  <si>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</si>
  <si>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</si>
  <si>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</si>
  <si>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</si>
  <si>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4"/>
        <color theme="1" tint="0.24994659260841701"/>
        <rFont val="Arial"/>
        <family val="1"/>
      </rPr>
      <t>N2O,leach</t>
    </r>
  </si>
  <si>
    <r>
      <t>M</t>
    </r>
    <r>
      <rPr>
        <b/>
        <vertAlign val="subscript"/>
        <sz val="10"/>
        <color theme="1" tint="0.24994659260841701"/>
        <rFont val="Arial"/>
        <family val="1"/>
      </rPr>
      <t>leach,m=14</t>
    </r>
  </si>
  <si>
    <r>
      <t>M</t>
    </r>
    <r>
      <rPr>
        <b/>
        <vertAlign val="subscript"/>
        <sz val="10"/>
        <color theme="1" tint="0.24994659260841701"/>
        <rFont val="Arial"/>
        <family val="1"/>
      </rPr>
      <t>vol,m=14</t>
    </r>
  </si>
  <si>
    <r>
      <t>MN</t>
    </r>
    <r>
      <rPr>
        <b/>
        <vertAlign val="subscript"/>
        <sz val="10"/>
        <color theme="1" tint="0.24994659260841701"/>
        <rFont val="Arial"/>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</si>
  <si>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</si>
  <si>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</si>
  <si>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</si>
  <si>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</si>
  <si>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</si>
  <si>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</si>
  <si>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</si>
  <si>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</si>
  <si>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</si>
  <si>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</si>
  <si>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</si>
  <si>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</si>
  <si>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</si>
  <si>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0"/>
        <color theme="1" tint="0.24994659260841701"/>
        <rFont val="Arial"/>
        <family val="1"/>
      </rPr>
      <t>including</t>
    </r>
    <r>
      <rPr>
        <sz val="10"/>
        <color theme="1" tint="0.24994659260841701"/>
        <rFont val="Arial"/>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</si>
  <si>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</si>
  <si>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</si>
  <si>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</si>
  <si>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</si>
  <si>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</si>
  <si>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</si>
  <si>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</si>
  <si>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</si>
  <si>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</si>
  <si>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</si>
  <si>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</si>
  <si>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</si>
  <si>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</si>
  <si>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</si>
  <si>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</si>
  <si>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</si>
  <si>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</si>
  <si>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</si>
  <si>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</si>
  <si>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</si>
  <si>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</si>
  <si>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</si>
  <si>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</si>
  <si>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</si>
  <si>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0"/>
        <color theme="1" tint="0.24994659260841701"/>
        <rFont val="Arial"/>
        <family val="1"/>
      </rPr>
      <t>CO2e</t>
    </r>
    <r>
      <rPr>
        <sz val="10"/>
        <color theme="1" tint="0.24994659260841701"/>
        <rFont val="Arial"/>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</si>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</sst>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vertAlign val="subscript"/>
      <sz val="10"/>
      <color rgb="FF183C1B"/>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sz val="10"/>
      <color theme="1"/>
      <name val="Arial"/>
      <family val="2"/>
    </font>
    <font>
      <b/>
      <vertAlign val="subscript"/>
      <sz val="14"/>
      <color theme="1" tint="0.24994659260841701"/>
      <name val="Arial"/>
      <family val="1"/>
    </font>
    <font>
      <b/>
      <vertAlign val="subscript"/>
      <sz val="10"/>
      <color theme="1" tint="0.24994659260841701"/>
      <name val="Arial"/>
      <family val="1"/>
    </font>
    <font>
      <sz val="10"/>
      <color rgb="FFCC6600"/>
      <name val="Arial"/>
      <family val="1"/>
    </font>
    <font>
      <b/>
      <sz val="18"/>
      <color theme="4" tint="-0.249977111117893"/>
      <name val="Arial"/>
      <family val="1"/>
    </font>
    <font>
      <b/>
      <sz val="10"/>
      <color theme="1" tint="0.499984740745262"/>
      <name val="Arial"/>
      <family val="1"/>
    </font>
    <font>
      <sz val="9"/>
      <color theme="1" tint="0.499984740745262"/>
      <name val="Arial"/>
      <family val="1"/>
    </font>
    <font>
      <i/>
      <sz val="10"/>
      <color theme="1" tint="0.24994659260841701"/>
      <name val="Arial"/>
      <family val="1"/>
    </font>
    <font>
      <i/>
      <sz val="9"/>
      <color theme="6" tint="-0.499984740745262"/>
      <name val="Arial"/>
      <family val="1"/>
    </font>
    <font>
      <u/>
      <sz val="9"/>
      <color theme="1" tint="0.34998626667073579"/>
      <name val="Arial"/>
      <family val="1"/>
    </font>
    <font>
      <i/>
      <sz val="9"/>
      <color theme="5" tint="-0.499984740745262"/>
      <name val="Arial"/>
      <family val="1"/>
    </font>
    <font>
      <i/>
      <sz val="9"/>
      <color theme="1" tint="0.14999847407452621"/>
      <name val="Arial"/>
      <family val="1"/>
    </font>
    <font>
      <b/>
      <sz val="18"/>
      <color theme="3" tint="9.9978637043366805E-2"/>
      <name val="Arial"/>
      <family val="1"/>
    </font>
    <font>
      <b/>
      <sz val="20"/>
      <color theme="5" tint="-0.499984740745262"/>
      <name val="Arial"/>
      <family val="1"/>
    </font>
    <font>
      <sz val="9"/>
      <color rgb="FF404040"/>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0D9D96"/>
      <color rgb="FFCC6600"/>
      <color rgb="FFC4434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900" b="0" i="0" u="none" strike="noStrike">
              <a:solidFill>
                <a:srgbClr val="0D9D96"/>
              </a:solidFill>
              <a:latin typeface="Arial"/>
              <a:cs typeface="Arial"/>
            </a:rPr>
            <a:pPr algn="ctr"/>
            <a:t>Metabolisability of diet</a:t>
          </a:fld>
          <a:endParaRPr lang="en-AU" sz="9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4.3.1.3-4 Direct</a:t>
          </a:r>
          <a:r>
            <a:rPr lang="en-AU" sz="1200" b="0" baseline="0">
              <a:solidFill>
                <a:schemeClr val="accent5">
                  <a:lumMod val="75000"/>
                </a:schemeClr>
              </a:solidFill>
            </a:rPr>
            <a:t> N2O</a:t>
          </a:r>
          <a:endParaRPr lang="en-AU" sz="12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900" b="0" i="0" u="none" strike="noStrike">
              <a:solidFill>
                <a:srgbClr val="002060"/>
              </a:solidFill>
              <a:latin typeface="Arial"/>
              <a:cs typeface="Arial"/>
            </a:rPr>
            <a:pPr algn="ctr"/>
            <a:t>Relative size</a:t>
          </a:fld>
          <a:endParaRPr lang="en-AU" sz="9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4.3.1.5 </a:t>
          </a:r>
          <a:br>
            <a:rPr lang="en-AU" sz="1200" b="0">
              <a:solidFill>
                <a:srgbClr val="7030A0"/>
              </a:solidFill>
            </a:rPr>
          </a:br>
          <a:r>
            <a:rPr lang="en-AU" sz="1200" b="0">
              <a:solidFill>
                <a:srgbClr val="7030A0"/>
              </a:solidFill>
            </a:rPr>
            <a:t>Atmospheric</a:t>
          </a:r>
          <a:r>
            <a:rPr lang="en-AU" sz="1200" b="0" baseline="0">
              <a:solidFill>
                <a:srgbClr val="7030A0"/>
              </a:solidFill>
            </a:rPr>
            <a:t> </a:t>
          </a:r>
          <a:r>
            <a:rPr lang="en-AU" sz="12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44340"/>
              </a:solidFill>
            </a:rPr>
            <a:t>4.3.1.6-7 </a:t>
          </a:r>
          <a:br>
            <a:rPr lang="en-AU" sz="1200" b="0">
              <a:solidFill>
                <a:srgbClr val="C44340"/>
              </a:solidFill>
            </a:rPr>
          </a:br>
          <a:r>
            <a:rPr lang="en-AU" sz="12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C6600"/>
              </a:solidFill>
            </a:rPr>
            <a:t>4.3.1.8 Manure applied</a:t>
          </a:r>
          <a:r>
            <a:rPr lang="en-AU" sz="1200" b="0" baseline="0">
              <a:solidFill>
                <a:srgbClr val="CC6600"/>
              </a:solidFill>
            </a:rPr>
            <a:t> to soils</a:t>
          </a:r>
          <a:endParaRPr lang="en-AU" sz="12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900" b="1" i="0" u="none" strike="noStrike">
              <a:solidFill>
                <a:srgbClr val="CC6600"/>
              </a:solidFill>
              <a:latin typeface="Arial"/>
              <a:cs typeface="Arial"/>
            </a:rPr>
            <a:pPr algn="ctr"/>
            <a:t>Mass of nitrogen from manure applied to soils for scope 1 emissions</a:t>
          </a:fld>
          <a:endParaRPr lang="en-AU" sz="9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4.3.1.9</a:t>
          </a:r>
          <a:r>
            <a:rPr lang="en-AU" sz="1200" b="0" baseline="0">
              <a:solidFill>
                <a:schemeClr val="accent6">
                  <a:lumMod val="50000"/>
                </a:schemeClr>
              </a:solidFill>
            </a:rPr>
            <a:t> Soil direct N2O</a:t>
          </a:r>
          <a:endParaRPr lang="en-AU" sz="12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900" b="1" i="0" u="none" strike="noStrike">
              <a:solidFill>
                <a:schemeClr val="accent6">
                  <a:lumMod val="50000"/>
                </a:schemeClr>
              </a:solidFill>
              <a:latin typeface="Arial"/>
              <a:cs typeface="Arial"/>
            </a:rPr>
            <a:pPr algn="ctr"/>
            <a:t>Direct nitrous oxide emissions on pasture</a:t>
          </a:fld>
          <a:endParaRPr lang="en-AU" sz="9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4.3.1.10-11</a:t>
          </a:r>
          <a:r>
            <a:rPr lang="en-AU" sz="1200" b="0" baseline="0">
              <a:solidFill>
                <a:schemeClr val="accent6">
                  <a:lumMod val="50000"/>
                </a:schemeClr>
              </a:solidFill>
            </a:rPr>
            <a:t> Soil Atmospheric deposition</a:t>
          </a:r>
          <a:endParaRPr lang="en-AU" sz="12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900" b="0" i="0" u="none" strike="noStrike">
              <a:solidFill>
                <a:srgbClr val="0D9D96"/>
              </a:solidFill>
              <a:latin typeface="Arial"/>
              <a:cs typeface="Arial"/>
            </a:rPr>
            <a:pPr algn="ctr"/>
            <a:t>Additional intake required for milk production</a:t>
          </a:fld>
          <a:endParaRPr lang="en-AU" sz="9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900" b="0" i="0" u="none" strike="noStrike">
              <a:solidFill>
                <a:srgbClr val="0D9D96"/>
              </a:solidFill>
              <a:latin typeface="Arial"/>
              <a:cs typeface="Arial"/>
            </a:rPr>
            <a:pPr algn="ctr"/>
            <a:t>Feed intake</a:t>
          </a:fld>
          <a:endParaRPr lang="en-AU" sz="9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900" b="0" i="0" u="none" strike="noStrike">
              <a:solidFill>
                <a:srgbClr val="0C769E"/>
              </a:solidFill>
              <a:latin typeface="Arial"/>
              <a:cs typeface="Arial"/>
            </a:rPr>
            <a:pPr algn="ctr"/>
            <a:t>Volatile solids for weaned dairy cattle</a:t>
          </a:fld>
          <a:endParaRPr lang="en-AU" sz="9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900" b="0" i="0" u="none" strike="noStrike">
              <a:solidFill>
                <a:srgbClr val="0C769E"/>
              </a:solidFill>
              <a:latin typeface="Arial"/>
              <a:cs typeface="Arial"/>
            </a:rPr>
            <a:pPr algn="ctr"/>
            <a:t>Fraction of volatile solids in each system other than solid storage</a:t>
          </a:fld>
          <a:endParaRPr lang="en-AU" sz="9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900" b="0" i="0" u="none" strike="noStrike">
              <a:solidFill>
                <a:srgbClr val="0C769E"/>
              </a:solidFill>
              <a:latin typeface="Arial"/>
              <a:cs typeface="Arial"/>
            </a:rPr>
            <a:pPr algn="ctr"/>
            <a:t>Fraction of volatile solids in solid storage</a:t>
          </a:fld>
          <a:endParaRPr lang="en-AU" sz="9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900" b="0" i="0" u="none" strike="noStrike">
              <a:solidFill>
                <a:srgbClr val="0C769E"/>
              </a:solidFill>
              <a:latin typeface="Arial"/>
              <a:cs typeface="Arial"/>
            </a:rPr>
            <a:pPr algn="ctr"/>
            <a:t>Methane from manure production from weaned dairy cattle</a:t>
          </a:fld>
          <a:endParaRPr lang="en-AU" sz="9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900" b="1" i="0" u="none" strike="noStrike">
              <a:solidFill>
                <a:srgbClr val="0C769E"/>
              </a:solidFill>
              <a:latin typeface="Arial"/>
              <a:cs typeface="Arial"/>
            </a:rPr>
            <a:pPr algn="ctr"/>
            <a:t>Total annual methane production from manure management</a:t>
          </a:fld>
          <a:endParaRPr lang="en-AU" sz="9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900" b="0" i="0" u="none" strike="noStrike">
              <a:solidFill>
                <a:srgbClr val="002060"/>
              </a:solidFill>
              <a:latin typeface="Arial"/>
              <a:cs typeface="Arial"/>
            </a:rPr>
            <a:pPr algn="ctr"/>
            <a:t>Intake relative to maintenance</a:t>
          </a:fld>
          <a:endParaRPr lang="en-AU" sz="9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900" b="0" i="0" u="none" strike="noStrike">
              <a:solidFill>
                <a:srgbClr val="002060"/>
              </a:solidFill>
              <a:latin typeface="Arial"/>
              <a:cs typeface="Arial"/>
            </a:rPr>
            <a:pPr algn="ctr"/>
            <a:t>Amount of nitrogen retained by the body</a:t>
          </a:fld>
          <a:endParaRPr lang="en-AU" sz="9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900" b="0" i="0" u="none" strike="noStrike">
              <a:solidFill>
                <a:srgbClr val="002060"/>
              </a:solidFill>
              <a:latin typeface="Arial"/>
              <a:cs typeface="Arial"/>
            </a:rPr>
            <a:pPr algn="ctr"/>
            <a:t>Crude protein intake of dairy cattle</a:t>
          </a:fld>
          <a:endParaRPr lang="en-AU" sz="9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900" b="0" i="0" u="none" strike="noStrike">
              <a:solidFill>
                <a:srgbClr val="002060"/>
              </a:solidFill>
              <a:latin typeface="Arial"/>
              <a:cs typeface="Arial"/>
            </a:rPr>
            <a:pPr algn="ctr"/>
            <a:t>Nitrogen excreted by dairy cattle greater than one year old</a:t>
          </a:fld>
          <a:endParaRPr lang="en-AU" sz="9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900" b="0" i="0" u="none" strike="noStrike">
              <a:solidFill>
                <a:srgbClr val="002060"/>
              </a:solidFill>
              <a:latin typeface="Arial"/>
              <a:cs typeface="Arial"/>
            </a:rPr>
            <a:pPr algn="ctr"/>
            <a:t>Total annual nitrogen excreted by dairy cattle greater than one year old</a:t>
          </a:fld>
          <a:endParaRPr lang="en-AU" sz="9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900" b="0" i="0" u="none" strike="noStrike">
              <a:solidFill>
                <a:srgbClr val="002060"/>
              </a:solidFill>
              <a:latin typeface="Arial"/>
              <a:cs typeface="Arial"/>
            </a:rPr>
            <a:pPr algn="ctr"/>
            <a:t>Total annual nitrogen excreted by dairy cattle less than one year old</a:t>
          </a:fld>
          <a:endParaRPr lang="en-AU" sz="9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900" b="0" i="0" u="none" strike="noStrike">
              <a:solidFill>
                <a:srgbClr val="002060"/>
              </a:solidFill>
              <a:latin typeface="Arial"/>
              <a:cs typeface="Arial"/>
            </a:rPr>
            <a:pPr algn="ctr"/>
            <a:t>Total nitrogen in each MMS</a:t>
          </a:fld>
          <a:endParaRPr lang="en-AU" sz="9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900" b="1" i="0" u="none" strike="noStrike">
              <a:solidFill>
                <a:srgbClr val="002060"/>
              </a:solidFill>
              <a:latin typeface="Arial"/>
              <a:cs typeface="Arial"/>
            </a:rPr>
            <a:pPr algn="ctr"/>
            <a:t>Total annual direct nitrous oxide emissions from manure management systems</a:t>
          </a:fld>
          <a:endParaRPr lang="en-AU" sz="9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900" b="1" i="0" u="none" strike="noStrike">
              <a:solidFill>
                <a:srgbClr val="CC6600"/>
              </a:solidFill>
              <a:latin typeface="Arial"/>
              <a:cs typeface="Arial"/>
            </a:rPr>
            <a:pPr algn="ctr"/>
            <a:t>Mass of nitrogen from manure applied to soils for scope 3 emissions</a:t>
          </a:fld>
          <a:endParaRPr lang="en-AU" sz="9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900" b="0" i="0" u="none" strike="noStrike">
              <a:solidFill>
                <a:srgbClr val="7030A0"/>
              </a:solidFill>
              <a:latin typeface="Arial"/>
              <a:cs typeface="Arial"/>
            </a:rPr>
            <a:pPr algn="ctr"/>
            <a:t>Total nitrogen volatilised from MMS</a:t>
          </a:fld>
          <a:endParaRPr lang="en-AU" sz="9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900" b="0" i="0" u="none" strike="noStrike">
              <a:solidFill>
                <a:srgbClr val="C00000"/>
              </a:solidFill>
              <a:latin typeface="Arial"/>
              <a:cs typeface="Arial"/>
            </a:rPr>
            <a:pPr algn="ctr"/>
            <a:t>Mass of nitrogen lost to leaching and runoff from solid storage systems</a:t>
          </a:fld>
          <a:endParaRPr lang="en-AU" sz="9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900" b="1" i="0" u="none" strike="noStrike">
              <a:solidFill>
                <a:srgbClr val="7030A0"/>
              </a:solidFill>
              <a:latin typeface="Arial"/>
              <a:cs typeface="Arial"/>
            </a:rPr>
            <a:pPr algn="ctr"/>
            <a:t>Annual atmospheric deposition emissions from MMS</a:t>
          </a:fld>
          <a:endParaRPr lang="en-AU" sz="9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900" b="1" i="0" u="none" strike="noStrike">
              <a:solidFill>
                <a:srgbClr val="C00000"/>
              </a:solidFill>
              <a:latin typeface="Arial"/>
              <a:cs typeface="Arial"/>
            </a:rPr>
            <a:pPr algn="ctr"/>
            <a:t>Annual atmospheric deposition emissions from MMS</a:t>
          </a:fld>
          <a:endParaRPr lang="en-AU" sz="9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900" b="0" i="0" u="none" strike="noStrike">
              <a:solidFill>
                <a:schemeClr val="accent6">
                  <a:lumMod val="50000"/>
                </a:schemeClr>
              </a:solidFill>
              <a:latin typeface="Arial"/>
              <a:cs typeface="Arial"/>
            </a:rPr>
            <a:pPr algn="ctr"/>
            <a:t>Mass of nitrogen volatilised from urine and faeces deposited on pasture</a:t>
          </a:fld>
          <a:endParaRPr lang="en-AU" sz="9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900" b="1" i="0" u="none" strike="noStrike">
              <a:solidFill>
                <a:schemeClr val="accent6">
                  <a:lumMod val="50000"/>
                </a:schemeClr>
              </a:solidFill>
              <a:latin typeface="Arial"/>
              <a:cs typeface="Arial"/>
            </a:rPr>
            <a:pPr algn="ctr"/>
            <a:t>Atmospheric deposition emissions from urine and dung deposited on pasture</a:t>
          </a:fld>
          <a:endParaRPr lang="en-AU" sz="9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900" b="0" i="0" u="none" strike="noStrike">
              <a:solidFill>
                <a:schemeClr val="accent6">
                  <a:lumMod val="50000"/>
                </a:schemeClr>
              </a:solidFill>
              <a:latin typeface="Arial"/>
              <a:cs typeface="Arial"/>
            </a:rPr>
            <a:pPr algn="ctr"/>
            <a:t>Mass of nitrogen lost to leaching and runoff from urine and faeces on pasture</a:t>
          </a:fld>
          <a:endParaRPr lang="en-AU" sz="9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900" b="1" i="0" u="none" strike="noStrike">
              <a:solidFill>
                <a:schemeClr val="accent6">
                  <a:lumMod val="50000"/>
                </a:schemeClr>
              </a:solidFill>
              <a:latin typeface="Arial"/>
              <a:cs typeface="Arial"/>
            </a:rPr>
            <a:pPr algn="ctr"/>
            <a:t>Leaching and runoff emissions from urine and dung deposited on pasture</a:t>
          </a:fld>
          <a:endParaRPr lang="en-AU" sz="9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900" b="0" i="0" u="none" strike="noStrike">
              <a:solidFill>
                <a:srgbClr val="0D9D96"/>
              </a:solidFill>
              <a:latin typeface="Arial"/>
              <a:cs typeface="Arial"/>
            </a:rPr>
            <a:pPr algn="ctr"/>
            <a:t>Milk production converted from milk solids</a:t>
          </a:fld>
          <a:endParaRPr lang="en-AU" sz="9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a:t>
              </a: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𝑀𝑁_𝐴𝑇𝑀𝑂𝑆=∑10_𝑗▒∑10_𝑚▒(𝑀𝑁_𝑗𝑚×𝐹𝑟𝑎𝑐𝐺𝐴𝑆𝑀_𝑚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𝐸_(𝑁2𝑂,𝑑𝑖𝑟)=∑10_𝑗▒(𝑀𝑁_(𝑗𝑚=14)×𝐸𝐹_𝑃𝑅𝑃×𝐶_𝑁2𝑂×10^(−3)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𝑀_(𝑣𝑜𝑙,𝑚=14)=∑10_𝑗▒(𝑀𝑁_(𝑗𝑚=14)×𝐹𝑟𝑎𝑐𝐺𝐴𝑆𝑀𝑠𝑜𝑖𝑙)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6"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9" sqref="A29"/>
    </sheetView>
  </sheetViews>
  <sheetFormatPr defaultRowHeight="20" x14ac:dyDescent="0.25" customHeight="1"/>
  <sheetData>
    <row r="1" spans="1:1" x14ac:dyDescent="0.25" ht="30" customHeight="1">
      <c r="A1" t="s">
        <v>470</v>
      </c>
    </row>
    <row r="3" spans="1:1" x14ac:dyDescent="0.25" ht="20" customHeight="1">
      <c r="A3" s="155" t="str">
        <f>HYPERLINK("#'Home'!A1", "Home")</f>
        <v>Home</v>
      </c>
    </row>
    <row r="6" spans="1:1" x14ac:dyDescent="0.25" ht="20" customHeight="1">
      <c r="A6" s="154"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sheetPr>
    <tabColor rgb="FF0C769E"/>
  </sheetPr>
  <dimension ref="A1:BL82"/>
  <sheetViews>
    <sheetView showGridLines="0" zoomScaleNormal="100" workbookViewId="0">
      <selection activeCell="A29" sqref="A29"/>
    </sheetView>
  </sheetViews>
  <sheetFormatPr defaultRowHeight="20" x14ac:dyDescent="0.25" customHeight="1"/>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ht="20" customHeight="1">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ht="20" customHeight="1">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ht="20" customHeight="1">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ht="20" customHeight="1">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ht="20" customHeight="1">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ht="20" customHeight="1">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ht="20" customHeight="1">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ht="20" customHeight="1">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ht="20" customHeight="1">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ht="20" customHeight="1">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ht="20" customHeight="1">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ht="20" customHeight="1">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ht="20" customHeight="1">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ht="20" customHeight="1">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ht="20" customHeight="1">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ht="20" customHeight="1">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ht="20" customHeight="1">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ht="20" customHeight="1">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ht="20" customHeight="1">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ht="20" customHeight="1">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ht="20" customHeight="1">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ht="20" customHeight="1">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ht="20" customHeight="1">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ht="20" customHeight="1">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5" sqref="A25"/>
    </sheetView>
  </sheetViews>
  <sheetFormatPr defaultRowHeight="20" x14ac:dyDescent="0.25" customHeight="1"/>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 customHeight="1" x14ac:dyDescent="0.25">
      <c r="C2" s="9"/>
    </row>
    <row r="3" spans="1:11" ht="20" customHeight="1" x14ac:dyDescent="0.25">
      <c r="A3" s="17" t="str">
        <f>HYPERLINK("#'Home'!A1", "Home")</f>
        <v>Home</v>
      </c>
      <c r="C3" s="23"/>
      <c r="D3" s="23"/>
      <c r="E3" s="23"/>
      <c r="F3" s="23"/>
      <c r="G3" s="23"/>
      <c r="H3" s="23"/>
      <c r="I3" s="23"/>
      <c r="J3" s="23"/>
      <c r="K3" s="23"/>
    </row>
    <row r="4" spans="1:11" ht="20" customHeight="1" x14ac:dyDescent="0.25">
      <c r="A4" s="17" t="str">
        <f>HYPERLINK("#'Overview'!A1", "Overview")</f>
        <v>Overview</v>
      </c>
      <c r="C4" s="23"/>
      <c r="D4" s="6" t="s">
        <v>2</v>
      </c>
      <c r="E4" s="25"/>
      <c r="F4" s="25"/>
      <c r="G4" s="25"/>
      <c r="H4" s="6"/>
      <c r="I4" s="6"/>
      <c r="J4" s="6"/>
      <c r="K4" s="26"/>
    </row>
    <row r="5" spans="1:11" ht="20" customHeight="1" x14ac:dyDescent="0.3">
      <c r="A5" s="119" t="str">
        <f>HYPERLINK("#'Results'!A1", "Results")</f>
        <v>Results</v>
      </c>
      <c r="C5" s="23"/>
      <c r="D5" s="27"/>
      <c r="E5" s="28"/>
      <c r="F5" s="28"/>
      <c r="G5" s="28"/>
      <c r="H5" s="25"/>
      <c r="I5" s="23"/>
      <c r="J5" s="23"/>
      <c r="K5" s="23"/>
    </row>
    <row r="6" spans="1:11" ht="20" customHeight="1" x14ac:dyDescent="0.25">
      <c r="C6" s="23"/>
      <c r="D6" s="118" t="s">
        <v>135</v>
      </c>
      <c r="E6" s="118" t="s">
        <v>376</v>
      </c>
      <c r="F6" s="118" t="s">
        <v>377</v>
      </c>
      <c r="G6" s="118" t="s">
        <v>152</v>
      </c>
      <c r="H6" s="118" t="s">
        <v>382</v>
      </c>
      <c r="I6" s="118" t="s">
        <v>383</v>
      </c>
      <c r="J6" s="118" t="s">
        <v>153</v>
      </c>
      <c r="K6" s="23"/>
    </row>
    <row r="7" spans="1:11" ht="20"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 customHeight="1" x14ac:dyDescent="0.25">
      <c r="A15" s="17" t="str">
        <f>HYPERLINK("#'4.3.1.3-4 Direct N20'!A1", "4.3.1.3-4 Direct N20")</f>
        <v>4.3.1.3-4 Direct N20</v>
      </c>
      <c r="C15" s="23"/>
      <c r="D15" s="1"/>
      <c r="E15" s="1"/>
      <c r="F15" s="1"/>
      <c r="G15" s="25"/>
      <c r="H15" s="23"/>
      <c r="I15" s="1"/>
      <c r="J15" s="1"/>
      <c r="K15" s="23"/>
    </row>
    <row r="16" spans="1:11" ht="20" customHeight="1" x14ac:dyDescent="0.25">
      <c r="A16" s="17" t="str">
        <f>HYPERLINK("#'4.3.1.5 Atmos deposition'!A1", "4.3.1.5 Atmos deposition")</f>
        <v>4.3.1.5 Atmos deposition</v>
      </c>
      <c r="C16" s="23"/>
      <c r="D16" s="49" t="s">
        <v>334</v>
      </c>
      <c r="E16" s="1"/>
      <c r="F16" s="1"/>
      <c r="G16" s="1"/>
      <c r="H16" s="25"/>
      <c r="I16" s="1"/>
      <c r="J16" s="1"/>
      <c r="K16" s="23"/>
    </row>
    <row r="17" spans="1:11" ht="20" customHeight="1" x14ac:dyDescent="0.25">
      <c r="A17" s="17" t="str">
        <f>HYPERLINK("#'4.3.1.6-7 Leaching and runoff'!A1", "4.3.1.6-7 Leaching and runoff")</f>
        <v>4.3.1.6-7 Leaching and runoff</v>
      </c>
      <c r="C17" s="23"/>
      <c r="D17" s="109" t="s">
        <v>157</v>
      </c>
      <c r="E17" s="1"/>
      <c r="F17" s="1"/>
      <c r="G17" s="1"/>
      <c r="H17" s="1"/>
      <c r="I17" s="1"/>
      <c r="J17" s="1"/>
      <c r="K17" s="23"/>
    </row>
    <row r="18" spans="1:11" ht="20"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 customHeight="1" x14ac:dyDescent="0.25">
      <c r="A19" s="17" t="str">
        <f>HYPERLINK("#'4.3.1.9 Soil direct N2O'!A1", "4.3.1.9 Soil direct N2O")</f>
        <v>4.3.1.9 Soil direct N2O</v>
      </c>
      <c r="C19" s="23"/>
      <c r="D19" s="118" t="s">
        <v>158</v>
      </c>
      <c r="E19" s="118" t="s">
        <v>464</v>
      </c>
      <c r="F19" s="118" t="s">
        <v>465</v>
      </c>
      <c r="G19" s="118" t="s">
        <v>156</v>
      </c>
      <c r="H19" s="118" t="s">
        <v>151</v>
      </c>
      <c r="I19" s="118" t="s">
        <v>162</v>
      </c>
      <c r="J19" s="1"/>
      <c r="K19" s="23"/>
    </row>
    <row r="20" spans="1:11" ht="20"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 customHeight="1" x14ac:dyDescent="0.25">
      <c r="C23" s="23"/>
      <c r="D23" s="1"/>
      <c r="E23" s="1"/>
      <c r="F23" s="1"/>
      <c r="G23" s="1"/>
      <c r="H23" s="1"/>
      <c r="I23" s="23"/>
      <c r="J23" s="23"/>
      <c r="K23" s="23"/>
    </row>
    <row r="24" spans="1:11" ht="20" customHeight="1" x14ac:dyDescent="0.25">
      <c r="A24" s="154" t="s">
        <v>1</v>
      </c>
      <c r="C24" s="23"/>
      <c r="D24" s="1"/>
      <c r="E24" s="1"/>
      <c r="F24" s="1"/>
      <c r="G24" s="1"/>
      <c r="H24" s="25"/>
      <c r="I24" s="23"/>
      <c r="J24" s="23"/>
      <c r="K24" s="23"/>
    </row>
    <row r="25" spans="1:11" ht="20" customHeight="1" x14ac:dyDescent="0.3">
      <c r="A25" s="17" t="str">
        <f>HYPERLINK("#'Constants - Dairy'!A1", "Constants - Dairy")</f>
        <v>Constants - Dairy</v>
      </c>
      <c r="C25" s="23"/>
      <c r="D25" s="1"/>
      <c r="E25" s="1"/>
      <c r="F25" s="1"/>
      <c r="G25" s="1"/>
      <c r="H25" s="28"/>
      <c r="I25" s="23"/>
      <c r="J25" s="23"/>
      <c r="K25" s="23"/>
    </row>
    <row r="26" spans="1:11" ht="20" customHeight="1" x14ac:dyDescent="0.25">
      <c r="A26" s="17" t="str">
        <f>HYPERLINK("#'Constants - Common'!A1", "Constants - Common")</f>
        <v>Constants - Common</v>
      </c>
      <c r="C26" s="23"/>
      <c r="D26" s="1"/>
      <c r="E26" s="1"/>
      <c r="F26" s="1"/>
      <c r="G26" s="1"/>
      <c r="H26" s="1"/>
      <c r="I26" s="1"/>
      <c r="J26" s="1"/>
      <c r="K26" s="23"/>
    </row>
    <row r="27" spans="1:11" ht="20" customHeight="1" x14ac:dyDescent="0.25">
      <c r="A27" s="17" t="str">
        <f>HYPERLINK("#'Constants - Livestock'!A1", "Constants - Livestock")</f>
        <v>Constants - Livestock</v>
      </c>
      <c r="C27" s="23"/>
      <c r="D27" s="1"/>
      <c r="E27" s="1"/>
      <c r="F27" s="1"/>
      <c r="G27" s="1"/>
      <c r="H27" s="1"/>
      <c r="I27" s="1"/>
      <c r="J27" s="23"/>
      <c r="K27" s="23"/>
    </row>
    <row r="28" spans="1:11" ht="20" customHeight="1" x14ac:dyDescent="0.25">
      <c r="A28" s="17" t="str">
        <f>HYPERLINK("#'Acknowledgements'!A1", "Acknowledgements")</f>
        <v>Acknowledgements</v>
      </c>
      <c r="C28" s="23"/>
      <c r="D28" s="1"/>
      <c r="E28" s="1"/>
      <c r="F28" s="1"/>
      <c r="G28" s="1"/>
      <c r="H28" s="1"/>
      <c r="I28" s="1"/>
      <c r="J28" s="23"/>
      <c r="K28" s="23"/>
    </row>
    <row r="29" spans="1:11" ht="20" customHeight="1" x14ac:dyDescent="0.25">
      <c r="A29" s="17" t="str">
        <f>HYPERLINK("#'Tab template'!A1", "Tab template")</f>
        <v>Tab template</v>
      </c>
      <c r="C29" s="23"/>
      <c r="D29" s="1"/>
      <c r="E29" s="1"/>
      <c r="F29" s="1"/>
      <c r="G29" s="1"/>
      <c r="H29" s="1"/>
      <c r="I29" s="1"/>
      <c r="J29" s="23"/>
      <c r="K29" s="23"/>
    </row>
    <row r="30" spans="1:11" ht="20" customHeight="1" x14ac:dyDescent="0.25">
      <c r="C30" s="23"/>
      <c r="D30" s="1"/>
      <c r="E30" s="1"/>
      <c r="F30" s="1"/>
      <c r="G30" s="1"/>
      <c r="H30" s="1"/>
      <c r="I30" s="1"/>
      <c r="J30" s="23"/>
      <c r="K30" s="23"/>
    </row>
    <row r="31" spans="1:11" ht="20" customHeight="1" x14ac:dyDescent="0.25">
      <c r="C31" s="23"/>
      <c r="D31" s="1"/>
      <c r="E31" s="1"/>
      <c r="F31" s="1"/>
      <c r="G31" s="1"/>
      <c r="H31" s="1"/>
      <c r="I31" s="1"/>
      <c r="J31" s="23"/>
      <c r="K31" s="23"/>
    </row>
    <row r="32" spans="1:11" ht="20" customHeight="1" x14ac:dyDescent="0.25">
      <c r="C32" s="23"/>
      <c r="D32" s="1"/>
      <c r="E32" s="1"/>
      <c r="F32" s="1"/>
      <c r="G32" s="1"/>
      <c r="H32" s="1"/>
      <c r="I32" s="1"/>
      <c r="J32" s="23"/>
      <c r="K32" s="23"/>
    </row>
    <row r="33" spans="3:11" ht="20" customHeight="1" x14ac:dyDescent="0.25">
      <c r="C33" s="23"/>
      <c r="D33" s="1"/>
      <c r="E33" s="1"/>
      <c r="F33" s="1"/>
      <c r="G33" s="1"/>
      <c r="H33" s="1"/>
      <c r="I33" s="1"/>
      <c r="J33" s="23"/>
      <c r="K33" s="23"/>
    </row>
    <row r="34" spans="3:11" ht="20" customHeight="1" x14ac:dyDescent="0.25">
      <c r="C34" s="23"/>
      <c r="D34" s="1"/>
      <c r="E34" s="1"/>
      <c r="F34" s="1"/>
      <c r="G34" s="1"/>
      <c r="H34" s="1"/>
      <c r="I34" s="23"/>
      <c r="J34" s="23"/>
      <c r="K34" s="23"/>
    </row>
    <row r="35" spans="3:11" ht="20" customHeight="1" x14ac:dyDescent="0.25">
      <c r="C35" s="23"/>
      <c r="D35" s="1"/>
      <c r="E35" s="1"/>
      <c r="F35" s="1"/>
      <c r="G35" s="1"/>
      <c r="H35" s="1"/>
      <c r="I35" s="23"/>
      <c r="J35" s="23"/>
      <c r="K35" s="23"/>
    </row>
    <row r="36" spans="3:11" ht="20" customHeight="1" x14ac:dyDescent="0.25">
      <c r="C36" s="23"/>
      <c r="D36" s="1"/>
      <c r="E36" s="1"/>
      <c r="F36" s="1"/>
      <c r="G36" s="1"/>
      <c r="H36" s="1"/>
      <c r="I36" s="23"/>
      <c r="J36" s="23"/>
      <c r="K36" s="23"/>
    </row>
    <row r="37" spans="3:11" ht="20" customHeight="1" x14ac:dyDescent="0.25">
      <c r="C37" s="23"/>
      <c r="D37" s="1"/>
      <c r="E37" s="1"/>
      <c r="F37" s="1"/>
      <c r="G37" s="1"/>
      <c r="H37" s="1"/>
      <c r="I37" s="23"/>
      <c r="J37" s="23"/>
      <c r="K37" s="23"/>
    </row>
    <row r="38" spans="3:11" ht="20" customHeight="1" x14ac:dyDescent="0.25">
      <c r="C38" s="23"/>
      <c r="D38" s="1"/>
      <c r="E38" s="1"/>
      <c r="F38" s="1"/>
      <c r="G38" s="1"/>
      <c r="H38" s="1"/>
      <c r="I38" s="112"/>
      <c r="J38" s="112"/>
      <c r="K38" s="23"/>
    </row>
    <row r="39" spans="3:11" ht="20" customHeight="1" x14ac:dyDescent="0.25">
      <c r="C39" s="23"/>
      <c r="D39" s="1"/>
      <c r="E39" s="1"/>
      <c r="F39" s="1"/>
      <c r="G39" s="1"/>
      <c r="H39" s="1"/>
      <c r="I39" s="112"/>
      <c r="J39" s="112"/>
      <c r="K39" s="23"/>
    </row>
    <row r="40" spans="3:11" ht="20" customHeight="1" x14ac:dyDescent="0.25">
      <c r="C40" s="23"/>
      <c r="D40" s="1"/>
      <c r="E40" s="1"/>
      <c r="F40" s="1"/>
      <c r="G40" s="1"/>
      <c r="H40" s="1"/>
      <c r="I40" s="112"/>
      <c r="J40" s="112"/>
      <c r="K40" s="23"/>
    </row>
    <row r="41" spans="3:11" ht="20" customHeight="1" x14ac:dyDescent="0.25">
      <c r="C41" s="23"/>
      <c r="D41" s="1"/>
      <c r="E41" s="1"/>
      <c r="F41" s="1"/>
      <c r="G41" s="1"/>
      <c r="H41" s="1"/>
      <c r="I41" s="112"/>
      <c r="J41" s="112"/>
      <c r="K41" s="23"/>
    </row>
    <row r="42" spans="3:11" ht="20" customHeight="1" x14ac:dyDescent="0.25">
      <c r="C42" s="23"/>
      <c r="D42" s="1"/>
      <c r="E42" s="1"/>
      <c r="F42" s="1"/>
      <c r="G42" s="1"/>
      <c r="H42" s="1"/>
      <c r="I42" s="112"/>
      <c r="J42" s="112"/>
      <c r="K42" s="23"/>
    </row>
    <row r="43" spans="3:11" ht="20" customHeight="1" x14ac:dyDescent="0.25">
      <c r="C43" s="23"/>
      <c r="D43" s="1"/>
      <c r="E43" s="1"/>
      <c r="F43" s="1"/>
      <c r="G43" s="1"/>
      <c r="H43" s="1"/>
      <c r="I43" s="112"/>
      <c r="J43" s="112"/>
      <c r="K43" s="23"/>
    </row>
    <row r="44" spans="3:11" ht="20" customHeight="1" x14ac:dyDescent="0.25">
      <c r="C44" s="23"/>
      <c r="D44" s="1"/>
      <c r="E44" s="1"/>
      <c r="F44" s="1"/>
      <c r="G44" s="1"/>
      <c r="H44" s="1"/>
      <c r="I44" s="112"/>
      <c r="J44" s="112"/>
      <c r="K44" s="23"/>
    </row>
    <row r="45" spans="3:11" ht="20" customHeight="1" x14ac:dyDescent="0.25">
      <c r="C45" s="23"/>
      <c r="D45" s="1"/>
      <c r="E45" s="1"/>
      <c r="F45" s="1"/>
      <c r="G45" s="1"/>
      <c r="H45" s="1"/>
      <c r="I45" s="112"/>
      <c r="J45" s="112"/>
      <c r="K45" s="23"/>
    </row>
    <row r="46" spans="3:11" ht="20" customHeight="1" x14ac:dyDescent="0.25">
      <c r="C46" s="23"/>
      <c r="D46" s="1"/>
      <c r="E46" s="1"/>
      <c r="F46" s="1"/>
      <c r="G46" s="1"/>
      <c r="H46" s="1"/>
      <c r="I46" s="112"/>
      <c r="J46" s="112"/>
      <c r="K46" s="23"/>
    </row>
    <row r="47" spans="3:11" ht="20" customHeight="1" x14ac:dyDescent="0.25">
      <c r="C47" s="23"/>
      <c r="D47" s="1"/>
      <c r="E47" s="1"/>
      <c r="F47" s="1"/>
      <c r="G47" s="1"/>
      <c r="H47" s="1"/>
      <c r="I47" s="112"/>
      <c r="J47" s="112"/>
      <c r="K47" s="23"/>
    </row>
    <row r="48" spans="3:11" ht="20" customHeight="1" x14ac:dyDescent="0.25">
      <c r="C48" s="23"/>
      <c r="D48" s="1"/>
      <c r="E48" s="1"/>
      <c r="F48" s="1"/>
      <c r="G48" s="1"/>
      <c r="H48" s="1"/>
      <c r="I48" s="112"/>
      <c r="J48" s="112"/>
      <c r="K48" s="23"/>
    </row>
    <row r="49" spans="3:11" ht="20" customHeight="1" x14ac:dyDescent="0.25">
      <c r="C49" s="23"/>
      <c r="D49" s="1"/>
      <c r="E49" s="1"/>
      <c r="F49" s="1"/>
      <c r="G49" s="1"/>
      <c r="H49" s="112"/>
      <c r="I49" s="112"/>
      <c r="J49" s="112"/>
      <c r="K49" s="23"/>
    </row>
    <row r="50" spans="3:11" ht="20" customHeight="1" x14ac:dyDescent="0.25">
      <c r="C50" s="23"/>
      <c r="D50" s="1"/>
      <c r="E50" s="1"/>
      <c r="F50" s="1"/>
      <c r="G50" s="1"/>
      <c r="H50" s="112"/>
      <c r="I50" s="112"/>
      <c r="J50" s="112"/>
      <c r="K50" s="23"/>
    </row>
    <row r="51" spans="3:11" ht="20" customHeight="1" x14ac:dyDescent="0.25">
      <c r="C51" s="23"/>
      <c r="D51" s="1"/>
      <c r="E51" s="1"/>
      <c r="F51" s="1"/>
      <c r="G51" s="1"/>
      <c r="H51" s="112"/>
      <c r="I51" s="112"/>
      <c r="J51" s="112"/>
      <c r="K51" s="23"/>
    </row>
    <row r="52" spans="3:11" ht="20" customHeight="1" x14ac:dyDescent="0.25">
      <c r="C52" s="23"/>
      <c r="D52" s="1"/>
      <c r="E52" s="1"/>
      <c r="F52" s="1"/>
      <c r="G52" s="1"/>
      <c r="H52" s="112"/>
      <c r="I52" s="112"/>
      <c r="J52" s="112"/>
      <c r="K52" s="23"/>
    </row>
    <row r="53" spans="3:11" ht="20" customHeight="1" x14ac:dyDescent="0.25">
      <c r="C53" s="23"/>
      <c r="D53" s="1"/>
      <c r="E53" s="1"/>
      <c r="F53" s="1"/>
      <c r="G53" s="1"/>
      <c r="H53" s="112"/>
      <c r="I53" s="112"/>
      <c r="J53" s="112"/>
      <c r="K53" s="23"/>
    </row>
    <row r="54" spans="3:11" ht="20" customHeight="1" x14ac:dyDescent="0.25">
      <c r="C54" s="23"/>
      <c r="D54" s="1"/>
      <c r="E54" s="1"/>
      <c r="F54" s="1"/>
      <c r="G54" s="1"/>
      <c r="H54" s="23"/>
      <c r="I54" s="23"/>
      <c r="J54" s="23"/>
      <c r="K54" s="23"/>
    </row>
    <row r="55" spans="3:11" ht="20" customHeight="1" x14ac:dyDescent="0.25">
      <c r="C55" s="23"/>
      <c r="D55" s="1"/>
      <c r="E55" s="1"/>
      <c r="F55" s="1"/>
      <c r="G55" s="1"/>
      <c r="H55" s="23"/>
      <c r="I55" s="23"/>
      <c r="J55" s="23"/>
      <c r="K55" s="23"/>
    </row>
    <row r="56" spans="3:11" ht="20" customHeight="1" x14ac:dyDescent="0.25">
      <c r="C56" s="23"/>
      <c r="D56" s="1"/>
      <c r="E56" s="1"/>
      <c r="F56" s="1"/>
      <c r="G56" s="1"/>
      <c r="H56" s="23"/>
      <c r="I56" s="23"/>
      <c r="J56" s="23"/>
      <c r="K56" s="23"/>
    </row>
    <row r="57" spans="3:11" ht="20" customHeight="1" x14ac:dyDescent="0.25">
      <c r="C57" s="23"/>
      <c r="D57" s="1"/>
      <c r="E57" s="1"/>
      <c r="F57" s="1"/>
      <c r="G57" s="1"/>
      <c r="H57" s="23"/>
      <c r="I57" s="23"/>
      <c r="J57" s="23"/>
      <c r="K57" s="23"/>
    </row>
    <row r="58" spans="3:11" ht="20" customHeight="1" x14ac:dyDescent="0.25">
      <c r="C58" s="23"/>
      <c r="D58" s="1"/>
      <c r="E58" s="31"/>
      <c r="F58" s="29"/>
      <c r="G58" s="23"/>
      <c r="H58" s="23"/>
      <c r="I58" s="23"/>
      <c r="J58" s="23"/>
      <c r="K58" s="23"/>
    </row>
    <row r="59" spans="3:11" ht="20" customHeight="1" x14ac:dyDescent="0.25">
      <c r="C59" s="23"/>
      <c r="D59" s="1"/>
      <c r="E59" s="1"/>
      <c r="F59" s="1"/>
      <c r="G59" s="1"/>
      <c r="H59" s="1"/>
      <c r="I59" s="1"/>
      <c r="J59" s="1"/>
      <c r="K59" s="23"/>
    </row>
    <row r="60" spans="3:11" ht="20" customHeight="1" x14ac:dyDescent="0.25">
      <c r="C60" s="23"/>
      <c r="D60" s="1"/>
      <c r="E60" s="1"/>
      <c r="F60" s="1"/>
      <c r="G60" s="1"/>
      <c r="H60" s="1"/>
      <c r="I60" s="1"/>
      <c r="J60" s="1"/>
      <c r="K60" s="23"/>
    </row>
    <row r="61" spans="3:11" ht="20" customHeight="1" x14ac:dyDescent="0.25">
      <c r="C61" s="23"/>
      <c r="D61" s="1"/>
      <c r="E61" s="1"/>
      <c r="F61" s="1"/>
      <c r="G61" s="1"/>
      <c r="H61" s="1"/>
      <c r="I61" s="1"/>
      <c r="J61" s="1"/>
      <c r="K61" s="23"/>
    </row>
    <row r="62" spans="3:11" ht="20" customHeight="1" x14ac:dyDescent="0.25">
      <c r="C62" s="23"/>
      <c r="D62" s="1"/>
      <c r="E62" s="1"/>
      <c r="F62" s="1"/>
      <c r="G62" s="1"/>
      <c r="H62" s="1"/>
      <c r="I62" s="1"/>
      <c r="J62" s="1"/>
      <c r="K62" s="23"/>
    </row>
    <row r="63" spans="3:11" ht="20" customHeight="1" x14ac:dyDescent="0.25">
      <c r="C63" s="23"/>
      <c r="D63" s="1"/>
      <c r="E63" s="1"/>
      <c r="F63" s="1"/>
      <c r="G63" s="1"/>
      <c r="H63" s="1"/>
      <c r="I63" s="1"/>
      <c r="J63" s="1"/>
      <c r="K63" s="23"/>
    </row>
    <row r="64" spans="3:11" ht="20" customHeight="1" x14ac:dyDescent="0.25">
      <c r="C64" s="23"/>
      <c r="D64" s="1"/>
      <c r="E64" s="1"/>
      <c r="F64" s="1"/>
      <c r="G64" s="1"/>
      <c r="H64" s="1"/>
      <c r="I64" s="1"/>
      <c r="J64" s="1"/>
      <c r="K64" s="23"/>
    </row>
    <row r="65" spans="3:11" ht="20" customHeight="1" x14ac:dyDescent="0.25">
      <c r="C65" s="23"/>
      <c r="D65" s="1"/>
      <c r="E65" s="1"/>
      <c r="F65" s="1"/>
      <c r="G65" s="1"/>
      <c r="H65" s="1"/>
      <c r="I65" s="1"/>
      <c r="J65" s="1"/>
      <c r="K65" s="23"/>
    </row>
    <row r="66" spans="3:11" ht="20" customHeight="1" x14ac:dyDescent="0.25">
      <c r="C66" s="23"/>
      <c r="D66" s="1"/>
      <c r="E66" s="1"/>
      <c r="F66" s="1"/>
      <c r="G66" s="1"/>
      <c r="H66" s="1"/>
      <c r="I66" s="1"/>
      <c r="J66" s="1"/>
      <c r="K66" s="23"/>
    </row>
    <row r="67" spans="3:11" ht="20" customHeight="1" x14ac:dyDescent="0.25">
      <c r="C67" s="23"/>
      <c r="D67" s="1"/>
      <c r="E67" s="1"/>
      <c r="F67" s="1"/>
      <c r="G67" s="1"/>
      <c r="H67" s="1"/>
      <c r="I67" s="1"/>
      <c r="J67" s="1"/>
      <c r="K67" s="23"/>
    </row>
    <row r="68" spans="3:11" ht="20" customHeight="1" x14ac:dyDescent="0.25">
      <c r="C68" s="23"/>
      <c r="D68" s="1"/>
      <c r="E68" s="1"/>
      <c r="F68" s="1"/>
      <c r="G68" s="1"/>
      <c r="H68" s="1"/>
      <c r="I68" s="1"/>
      <c r="J68" s="1"/>
      <c r="K68" s="23"/>
    </row>
    <row r="69" spans="3:11" ht="20" customHeight="1" x14ac:dyDescent="0.25">
      <c r="C69" s="23"/>
      <c r="D69" s="1"/>
      <c r="E69" s="1"/>
      <c r="F69" s="1"/>
      <c r="G69" s="1"/>
      <c r="H69" s="1"/>
      <c r="I69" s="1"/>
      <c r="J69" s="1"/>
      <c r="K69" s="23"/>
    </row>
    <row r="70" spans="3:11" ht="20" customHeight="1" x14ac:dyDescent="0.25">
      <c r="C70" s="23"/>
      <c r="D70" s="1"/>
      <c r="E70" s="1"/>
      <c r="F70" s="1"/>
      <c r="G70" s="1"/>
      <c r="H70" s="1"/>
      <c r="I70" s="1"/>
      <c r="J70" s="1"/>
      <c r="K70" s="23"/>
    </row>
    <row r="71" spans="3:11" ht="20" customHeight="1" x14ac:dyDescent="0.25">
      <c r="C71" s="23"/>
      <c r="D71" s="1"/>
      <c r="E71" s="1"/>
      <c r="F71" s="1"/>
      <c r="G71" s="1"/>
      <c r="H71" s="1"/>
      <c r="I71" s="1"/>
      <c r="J71" s="1"/>
      <c r="K71" s="23"/>
    </row>
    <row r="72" spans="3:11" ht="20" customHeight="1" x14ac:dyDescent="0.25">
      <c r="C72" s="23"/>
      <c r="D72" s="1"/>
      <c r="E72" s="1"/>
      <c r="F72" s="1"/>
      <c r="G72" s="1"/>
      <c r="H72" s="1"/>
      <c r="I72" s="1"/>
      <c r="J72" s="1"/>
      <c r="K72" s="23"/>
    </row>
    <row r="73" spans="3:11" ht="20" customHeight="1" x14ac:dyDescent="0.25">
      <c r="C73" s="23"/>
      <c r="D73" s="1"/>
      <c r="E73" s="1"/>
      <c r="F73" s="1"/>
      <c r="G73" s="1"/>
      <c r="H73" s="1"/>
      <c r="I73" s="1"/>
      <c r="J73" s="1"/>
      <c r="K73" s="23"/>
    </row>
    <row r="74" spans="3:11" ht="20" customHeight="1" x14ac:dyDescent="0.25">
      <c r="C74" s="23"/>
      <c r="D74" s="1"/>
      <c r="E74" s="1"/>
      <c r="F74" s="1"/>
      <c r="G74" s="1"/>
      <c r="H74" s="1"/>
      <c r="I74" s="1"/>
      <c r="J74" s="1"/>
      <c r="K74" s="23"/>
    </row>
    <row r="75" spans="3:11" ht="20" customHeight="1" x14ac:dyDescent="0.25">
      <c r="C75" s="23"/>
      <c r="D75" s="1"/>
      <c r="E75" s="1"/>
      <c r="F75" s="1"/>
      <c r="G75" s="1"/>
      <c r="H75" s="1"/>
      <c r="I75" s="1"/>
      <c r="J75" s="1"/>
      <c r="K75" s="23"/>
    </row>
    <row r="76" spans="3:11" ht="20" x14ac:dyDescent="0.25" customHeight="1">
      <c r="C76" s="23"/>
      <c r="D76" s="1"/>
      <c r="E76" s="1"/>
      <c r="F76" s="1"/>
      <c r="G76" s="1"/>
      <c r="H76" s="1"/>
      <c r="I76" s="1"/>
      <c r="J76" s="1"/>
      <c r="K76" s="23"/>
    </row>
    <row r="77" spans="3:11" ht="20" x14ac:dyDescent="0.25" customHeight="1">
      <c r="C77" s="23"/>
      <c r="D77" s="1"/>
      <c r="E77" s="1"/>
      <c r="F77" s="1"/>
      <c r="G77" s="1"/>
      <c r="H77" s="1"/>
      <c r="I77" s="1"/>
      <c r="J77" s="1"/>
      <c r="K77" s="23"/>
    </row>
    <row r="78" spans="3:11" ht="20" x14ac:dyDescent="0.25" customHeight="1">
      <c r="C78" s="23"/>
      <c r="D78" s="1"/>
      <c r="E78" s="1"/>
      <c r="F78" s="1"/>
      <c r="G78" s="1"/>
      <c r="H78" s="1"/>
      <c r="I78" s="1"/>
      <c r="J78" s="1"/>
      <c r="K78" s="23"/>
    </row>
    <row r="79" spans="3:11" ht="20" x14ac:dyDescent="0.25" customHeight="1">
      <c r="C79" s="23"/>
      <c r="D79" s="1"/>
      <c r="E79" s="1"/>
      <c r="F79" s="1"/>
      <c r="G79" s="1"/>
      <c r="H79" s="1"/>
      <c r="I79" s="1"/>
      <c r="J79" s="1"/>
      <c r="K79" s="23"/>
    </row>
    <row r="80" spans="3:11" ht="20" x14ac:dyDescent="0.25" customHeight="1">
      <c r="C80" s="23"/>
      <c r="D80" s="1"/>
      <c r="E80" s="1"/>
      <c r="F80" s="1"/>
      <c r="G80" s="1"/>
      <c r="H80" s="1"/>
      <c r="I80" s="1"/>
      <c r="J80" s="1"/>
      <c r="K80" s="23"/>
    </row>
    <row r="81" spans="3:11" ht="20" x14ac:dyDescent="0.25" customHeight="1">
      <c r="C81" s="23"/>
      <c r="D81" s="1"/>
      <c r="E81" s="1"/>
      <c r="F81" s="1"/>
      <c r="G81" s="1"/>
      <c r="H81" s="1"/>
      <c r="I81" s="1"/>
      <c r="J81" s="1"/>
      <c r="K81" s="23"/>
    </row>
    <row r="82" spans="3:11" ht="20" x14ac:dyDescent="0.25" customHeight="1">
      <c r="C82" s="23"/>
      <c r="D82" s="1"/>
      <c r="E82" s="1"/>
      <c r="F82" s="1"/>
      <c r="G82" s="1"/>
      <c r="H82" s="1"/>
      <c r="I82" s="1"/>
      <c r="J82" s="1"/>
      <c r="K82" s="23"/>
    </row>
    <row r="83" spans="3:11" ht="20" x14ac:dyDescent="0.25" customHeight="1">
      <c r="C83" s="23"/>
      <c r="D83" s="1"/>
      <c r="E83" s="1"/>
      <c r="F83" s="1"/>
      <c r="G83" s="1"/>
      <c r="H83" s="1"/>
      <c r="I83" s="1"/>
      <c r="J83" s="1"/>
      <c r="K83" s="23"/>
    </row>
    <row r="84" spans="3:11" ht="20" x14ac:dyDescent="0.25" customHeight="1">
      <c r="C84" s="23"/>
      <c r="D84" s="1"/>
      <c r="E84" s="1"/>
      <c r="F84" s="1"/>
      <c r="G84" s="1"/>
      <c r="H84" s="1"/>
      <c r="I84" s="1"/>
      <c r="J84" s="1"/>
      <c r="K84" s="23"/>
    </row>
    <row r="85" spans="3:11" ht="20" x14ac:dyDescent="0.25" customHeight="1">
      <c r="C85" s="23"/>
      <c r="D85" s="1"/>
      <c r="E85" s="1"/>
      <c r="F85" s="1"/>
      <c r="G85" s="1"/>
      <c r="H85" s="1"/>
      <c r="I85" s="1"/>
      <c r="J85" s="1"/>
      <c r="K85" s="23"/>
    </row>
    <row r="86" spans="3:11" x14ac:dyDescent="0.25" ht="20" customHeight="1">
      <c r="C86" s="23"/>
      <c r="D86" s="23"/>
      <c r="E86" s="23"/>
      <c r="F86" s="23"/>
      <c r="G86" s="23"/>
      <c r="H86" s="23"/>
      <c r="I86" s="23"/>
      <c r="J86" s="23"/>
      <c r="K86" s="23"/>
    </row>
    <row r="87" spans="3:11" x14ac:dyDescent="0.25" ht="20" customHeight="1">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10" sqref="A10"/>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69"/>
      <c r="D4" s="69"/>
      <c r="E4" s="69"/>
      <c r="F4" s="69"/>
      <c r="G4" s="69"/>
      <c r="H4" s="69"/>
      <c r="I4" s="69"/>
      <c r="J4" s="69"/>
      <c r="K4" s="69"/>
    </row>
    <row r="5" spans="1:24" ht="20" customHeight="1" x14ac:dyDescent="0.25">
      <c r="A5" s="17" t="str">
        <f>HYPERLINK("#'Results'!A1", "Results")</f>
        <v>Results</v>
      </c>
      <c r="D5" s="6" t="s">
        <v>12</v>
      </c>
      <c r="N5" s="42"/>
    </row>
    <row r="6" spans="1:24" ht="20" customHeight="1" x14ac:dyDescent="0.25">
      <c r="A6"/>
      <c r="D6" s="14"/>
      <c r="N6" s="43"/>
    </row>
    <row r="7" spans="1:24" ht="20" customHeight="1" x14ac:dyDescent="0.25">
      <c r="A7"/>
      <c r="D7" s="1" t="s">
        <v>4</v>
      </c>
      <c r="E7" s="34" t="s">
        <v>3</v>
      </c>
      <c r="F7" s="2"/>
    </row>
    <row r="8" spans="1:24" ht="20" customHeight="1" x14ac:dyDescent="0.25">
      <c r="A8" s="19" t="s">
        <v>0</v>
      </c>
      <c r="D8" s="10" t="s">
        <v>71</v>
      </c>
      <c r="E8" s="34" t="s">
        <v>72</v>
      </c>
    </row>
    <row r="9" spans="1:24" ht="20" customHeight="1" x14ac:dyDescent="0.25">
      <c r="A9" s="20" t="str">
        <f>HYPERLINK("#'Input - Site'!A1", "Site")</f>
        <v>Site</v>
      </c>
      <c r="N9" s="44"/>
    </row>
    <row r="10" spans="1:24" ht="20" customHeight="1" x14ac:dyDescent="0.25">
      <c r="A10" s="17" t="str">
        <f>HYPERLINK("#'Input - Dairy'!A1", "Dairy")</f>
        <v>Dairy</v>
      </c>
      <c r="D10" s="94" t="s">
        <v>86</v>
      </c>
      <c r="E10" s="92"/>
      <c r="F10" s="95"/>
      <c r="G10" s="89"/>
      <c r="N10" s="44"/>
    </row>
    <row r="11" spans="1:24" ht="20" customHeight="1" x14ac:dyDescent="0.25">
      <c r="A11"/>
      <c r="N11" s="45"/>
    </row>
    <row r="12" spans="1:24" ht="20" customHeight="1" x14ac:dyDescent="0.25">
      <c r="A12"/>
      <c r="D12" s="10" t="s">
        <v>92</v>
      </c>
      <c r="E12" s="65">
        <v>45292</v>
      </c>
      <c r="F12" s="2" t="s">
        <v>69</v>
      </c>
    </row>
    <row r="13" spans="1:24" ht="20" customHeight="1" x14ac:dyDescent="0.25">
      <c r="A13" s="18" t="s">
        <v>73</v>
      </c>
      <c r="D13" s="10" t="s">
        <v>93</v>
      </c>
      <c r="E13" s="70">
        <f>DATE(YEAR(X_Cell_Site_StartDate)+1,MONTH(X_Cell_Site_StartDate),DAY(X_Cell_Site_StartDate))-1</f>
        <v>45657</v>
      </c>
      <c r="F13" s="2" t="s">
        <v>14</v>
      </c>
      <c r="N13" s="39"/>
      <c r="O13" s="39"/>
    </row>
    <row r="14" spans="1:24" ht="20" customHeight="1" x14ac:dyDescent="0.25">
      <c r="A14" s="17" t="str">
        <f>HYPERLINK("#'4.3.1.1-2 Methane'!A1", "4.3.1.1-2 Methane")</f>
        <v>4.3.1.1-2 Methane</v>
      </c>
      <c r="N14" s="39"/>
      <c r="O14" s="39"/>
    </row>
    <row r="15" spans="1:24" ht="20" customHeight="1" x14ac:dyDescent="0.25">
      <c r="A15" s="17" t="str">
        <f>HYPERLINK("#'4.3.1.3-4 Direct N20'!A1", "4.3.1.3-4 Direct N20")</f>
        <v>4.3.1.3-4 Direct N20</v>
      </c>
      <c r="N15" s="39"/>
      <c r="O15" s="39"/>
    </row>
    <row r="16" spans="1:24" ht="20" customHeight="1" x14ac:dyDescent="0.25">
      <c r="A16" s="17" t="str">
        <f>HYPERLINK("#'4.3.1.5 Atmos deposition'!A1", "4.3.1.5 Atmos deposition")</f>
        <v>4.3.1.5 Atmos deposition</v>
      </c>
      <c r="D16" s="6" t="s">
        <v>11</v>
      </c>
      <c r="N16" s="39"/>
      <c r="O16" s="39"/>
    </row>
    <row r="17" spans="1:25" ht="20" customHeight="1" x14ac:dyDescent="0.25">
      <c r="A17" s="17" t="str">
        <f>HYPERLINK("#'4.3.1.6-7 Leaching and runoff'!A1", "4.3.1.6-7 Leaching and runoff")</f>
        <v>4.3.1.6-7 Leaching and runoff</v>
      </c>
    </row>
    <row r="18" spans="1:25" ht="20" customHeight="1" x14ac:dyDescent="0.25">
      <c r="A18" s="17" t="str">
        <f>HYPERLINK("#'4.3.1.8 Manure applied to soils'!A1", "4.3.1.8 Manure applied to soils")</f>
        <v>4.3.1.8 Manure applied to soils</v>
      </c>
      <c r="D18" s="96" t="s">
        <v>13</v>
      </c>
      <c r="E18" s="91"/>
      <c r="F18" s="91"/>
      <c r="G18" s="87"/>
    </row>
    <row r="19" spans="1:25" ht="20" customHeight="1" x14ac:dyDescent="0.25">
      <c r="A19" s="17" t="str">
        <f>HYPERLINK("#'4.3.1.9 Soil direct N2O'!A1", "4.3.1.9 Soil direct N2O")</f>
        <v>4.3.1.9 Soil direct N2O</v>
      </c>
      <c r="D19" s="93" t="s">
        <v>70</v>
      </c>
      <c r="E19" s="90"/>
      <c r="F19" s="90"/>
      <c r="G19" s="88"/>
      <c r="N19" s="42"/>
    </row>
    <row r="20" spans="1:25" ht="20" customHeight="1" x14ac:dyDescent="0.25">
      <c r="A20" s="17" t="str">
        <f>HYPERLINK("#'4.3.1.10-11 Soil Atmos Dep'!A1", "4.3.1.10-11 Soil Atmos Dep")</f>
        <v>4.3.1.10-11 Soil Atmos Dep</v>
      </c>
      <c r="D20" s="1"/>
      <c r="E20" s="32"/>
      <c r="F20" s="2"/>
      <c r="N20" s="43"/>
    </row>
    <row r="21" spans="1:25" ht="20" customHeight="1" x14ac:dyDescent="0.25">
      <c r="A21" s="17" t="str">
        <f>HYPERLINK("#'4.3.1.12-13 Soil leach runoff'!A1", "4.3.1.12-13 Soil leach runoff")</f>
        <v>4.3.1.12-13 Soil leach runoff</v>
      </c>
      <c r="D21" s="1" t="s">
        <v>5</v>
      </c>
      <c r="E21" s="41" t="s">
        <v>466</v>
      </c>
      <c r="F21" s="2" t="s">
        <v>8</v>
      </c>
    </row>
    <row r="22" spans="1:25" ht="20" customHeight="1" x14ac:dyDescent="0.25">
      <c r="A22"/>
      <c r="D22" s="1" t="s">
        <v>24</v>
      </c>
      <c r="E22" s="41" t="s">
        <v>33</v>
      </c>
      <c r="F22" s="2" t="s">
        <v>8</v>
      </c>
      <c r="G22" s="1"/>
    </row>
    <row r="23" spans="1:25" ht="20" customHeight="1" x14ac:dyDescent="0.25">
      <c r="A23"/>
      <c r="D23" s="1" t="s">
        <v>6</v>
      </c>
      <c r="E23" s="41" t="s">
        <v>91</v>
      </c>
      <c r="F23" s="2" t="s">
        <v>8</v>
      </c>
    </row>
    <row r="24" spans="1:25" ht="20" customHeight="1" x14ac:dyDescent="0.25">
      <c r="A24" s="154" t="s">
        <v>1</v>
      </c>
      <c r="D24" s="1" t="s">
        <v>38</v>
      </c>
      <c r="E24" s="34">
        <v>307.7</v>
      </c>
      <c r="F24" s="2" t="s">
        <v>52</v>
      </c>
    </row>
    <row r="25" spans="1:25" ht="20" customHeight="1" x14ac:dyDescent="0.25">
      <c r="A25" s="17" t="str">
        <f>HYPERLINK("#'Constants - Dairy'!A1", "Constants - Dairy")</f>
        <v>Constants - Dairy</v>
      </c>
      <c r="D25" s="1" t="s">
        <v>60</v>
      </c>
      <c r="E25" s="34">
        <v>18</v>
      </c>
      <c r="F25" s="2" t="s">
        <v>9</v>
      </c>
      <c r="N25" s="43"/>
    </row>
    <row r="26" spans="1:25" ht="20" customHeight="1" x14ac:dyDescent="0.25">
      <c r="A26" s="17" t="str">
        <f>HYPERLINK("#'Constants - Common'!A1", "Constants - Common")</f>
        <v>Constants - Common</v>
      </c>
      <c r="D26" s="1" t="s">
        <v>61</v>
      </c>
      <c r="E26" s="34">
        <v>601</v>
      </c>
      <c r="F26" s="2" t="s">
        <v>10</v>
      </c>
    </row>
    <row r="27" spans="1:25" ht="20" customHeight="1" x14ac:dyDescent="0.25">
      <c r="A27" s="17" t="str">
        <f>HYPERLINK("#'Constants - Livestock'!A1", "Constants - Livestock")</f>
        <v>Constants - Livestock</v>
      </c>
      <c r="D27" s="10" t="s">
        <v>62</v>
      </c>
      <c r="E27" s="34">
        <v>1326</v>
      </c>
      <c r="F27" s="2" t="s">
        <v>10</v>
      </c>
    </row>
    <row r="28" spans="1:25" ht="20" customHeight="1" x14ac:dyDescent="0.25">
      <c r="A28" s="17" t="str">
        <f>HYPERLINK("#'Acknowledgements'!A1", "Acknowledgements")</f>
        <v>Acknowledgements</v>
      </c>
      <c r="D28" s="1" t="s">
        <v>63</v>
      </c>
      <c r="E28" s="34">
        <v>7</v>
      </c>
      <c r="F28" s="2" t="s">
        <v>53</v>
      </c>
    </row>
    <row r="29" spans="1:25" ht="20" customHeight="1" x14ac:dyDescent="0.25">
      <c r="A29" s="17" t="str">
        <f>HYPERLINK("#'Tab template'!A1", "Tab template")</f>
        <v>Tab template</v>
      </c>
      <c r="D29" s="10" t="s">
        <v>59</v>
      </c>
      <c r="E29" s="53">
        <f>X_Cell_Site_TotalRainfall/X_Cell_Site_PotentialEvapotranspiration</f>
        <v>0.45324283559577677</v>
      </c>
      <c r="F29" s="2"/>
    </row>
    <row r="30" spans="1:25" ht="20"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 customHeight="1" x14ac:dyDescent="0.25">
      <c r="A34"/>
      <c r="J34" s="62"/>
      <c r="K34" s="74"/>
      <c r="L34" s="48"/>
      <c r="M34" s="48"/>
      <c r="N34" s="48"/>
      <c r="O34" s="48"/>
      <c r="P34" s="48"/>
      <c r="Q34" s="48"/>
      <c r="R34" s="48"/>
      <c r="S34" s="48"/>
      <c r="T34" s="48"/>
      <c r="U34" s="48"/>
      <c r="V34" s="48"/>
      <c r="W34" s="48"/>
      <c r="X34" s="48"/>
      <c r="Y34" s="48"/>
    </row>
    <row r="35" spans="1:25" ht="20" customHeight="1" x14ac:dyDescent="0.25">
      <c r="A35"/>
      <c r="J35" s="62"/>
      <c r="K35" s="74"/>
      <c r="L35" s="48"/>
      <c r="M35" s="48"/>
      <c r="N35" s="48"/>
      <c r="O35" s="48"/>
      <c r="P35" s="48"/>
      <c r="Q35" s="48"/>
      <c r="R35" s="48"/>
      <c r="S35" s="48"/>
      <c r="T35" s="48"/>
      <c r="U35" s="48"/>
      <c r="V35" s="48"/>
      <c r="W35" s="48"/>
      <c r="X35" s="48"/>
      <c r="Y35" s="48"/>
    </row>
    <row r="36" spans="1:25" ht="20"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 customHeight="1" x14ac:dyDescent="0.25">
      <c r="A41"/>
    </row>
    <row r="42" spans="1:25" ht="20" customHeight="1" x14ac:dyDescent="0.25">
      <c r="A42"/>
    </row>
    <row r="43" spans="1:25" ht="20" customHeight="1" x14ac:dyDescent="0.25">
      <c r="A43"/>
    </row>
    <row r="44" spans="1:25" ht="20" customHeight="1" x14ac:dyDescent="0.25">
      <c r="A44"/>
    </row>
    <row r="45" spans="1:25" ht="20" customHeight="1" x14ac:dyDescent="0.25">
      <c r="A45"/>
      <c r="D45" s="6"/>
    </row>
    <row r="46" spans="1:25" ht="20" customHeight="1" x14ac:dyDescent="0.25">
      <c r="A46"/>
      <c r="D46" s="22"/>
    </row>
    <row r="47" spans="1:25" ht="20" customHeight="1" x14ac:dyDescent="0.25">
      <c r="A47"/>
      <c r="D47" s="78"/>
      <c r="E47" s="78"/>
      <c r="F47" s="78"/>
      <c r="G47" s="78"/>
      <c r="H47" s="78"/>
    </row>
    <row r="48" spans="1:25" ht="20" customHeight="1" x14ac:dyDescent="0.25">
      <c r="A48"/>
      <c r="D48" s="35"/>
      <c r="E48" s="35"/>
      <c r="F48" s="36"/>
      <c r="G48" s="36"/>
      <c r="H48" s="35"/>
    </row>
    <row r="49" spans="1:8" ht="20" customHeight="1" x14ac:dyDescent="0.25">
      <c r="A49"/>
      <c r="D49" s="35"/>
      <c r="E49" s="35"/>
      <c r="F49" s="36"/>
      <c r="G49" s="36"/>
      <c r="H49" s="35"/>
    </row>
    <row r="50" spans="1:8" ht="20" customHeight="1" x14ac:dyDescent="0.25">
      <c r="A50"/>
      <c r="D50" s="35"/>
      <c r="E50" s="35"/>
      <c r="F50" s="36"/>
      <c r="G50" s="36"/>
      <c r="H50" s="35"/>
    </row>
    <row r="51" spans="1:8" ht="20" customHeight="1" x14ac:dyDescent="0.25">
      <c r="A51"/>
      <c r="D51" s="79"/>
      <c r="E51" s="80"/>
      <c r="F51" s="80"/>
      <c r="G51" s="80"/>
      <c r="H51" s="81"/>
    </row>
    <row r="52" spans="1:8" ht="20" customHeight="1" x14ac:dyDescent="0.25">
      <c r="A52"/>
    </row>
    <row r="53" spans="1:8" ht="20" customHeight="1" x14ac:dyDescent="0.25">
      <c r="A53"/>
    </row>
    <row r="54" spans="1:8" ht="20" customHeight="1" x14ac:dyDescent="0.25">
      <c r="A54"/>
      <c r="G54" s="82"/>
    </row>
    <row r="55" spans="1:8" ht="20" customHeight="1" x14ac:dyDescent="0.25">
      <c r="A55"/>
      <c r="D55" s="6"/>
    </row>
    <row r="56" spans="1:8" ht="20" customHeight="1" x14ac:dyDescent="0.25">
      <c r="A56"/>
    </row>
    <row r="57" spans="1:8" ht="20" customHeight="1" x14ac:dyDescent="0.25">
      <c r="A57"/>
      <c r="D57" s="22"/>
      <c r="F57" s="83"/>
    </row>
    <row r="58" spans="1:8" ht="20" customHeight="1" x14ac:dyDescent="0.25">
      <c r="A58"/>
      <c r="D58" s="1"/>
      <c r="E58" s="84"/>
    </row>
    <row r="59" spans="1:8" ht="20" customHeight="1" x14ac:dyDescent="0.25">
      <c r="A59"/>
      <c r="D59" s="1"/>
      <c r="E59" s="84"/>
    </row>
    <row r="60" spans="1:8" ht="20" customHeight="1" x14ac:dyDescent="0.25">
      <c r="A60"/>
      <c r="D60" s="1"/>
      <c r="E60" s="85"/>
    </row>
    <row r="61" spans="1:8" ht="20" customHeight="1" x14ac:dyDescent="0.25">
      <c r="A61"/>
      <c r="D61" s="1"/>
    </row>
    <row r="62" spans="1:8" ht="20" customHeight="1" x14ac:dyDescent="0.25">
      <c r="A62"/>
    </row>
    <row r="63" spans="1:8" ht="20" customHeight="1" x14ac:dyDescent="0.25">
      <c r="A63"/>
      <c r="D63" s="22"/>
    </row>
    <row r="64" spans="1:8" ht="20" customHeight="1" x14ac:dyDescent="0.25">
      <c r="A64"/>
      <c r="D64" s="1"/>
      <c r="E64" s="84"/>
    </row>
    <row r="65" spans="1:9" ht="20" customHeight="1" x14ac:dyDescent="0.25">
      <c r="A65"/>
      <c r="D65" s="1"/>
      <c r="E65" s="84"/>
    </row>
    <row r="66" spans="1:9" ht="20" customHeight="1" x14ac:dyDescent="0.25">
      <c r="A66"/>
      <c r="D66" s="1"/>
      <c r="E66" s="85"/>
    </row>
    <row r="67" spans="1:9" ht="20" customHeight="1" x14ac:dyDescent="0.25">
      <c r="A67"/>
    </row>
    <row r="68" spans="1:9" ht="20" customHeight="1" x14ac:dyDescent="0.25">
      <c r="A68"/>
    </row>
    <row r="69" spans="1:9" ht="20" customHeight="1" x14ac:dyDescent="0.25">
      <c r="A69"/>
      <c r="D69" s="61"/>
      <c r="E69" s="61"/>
      <c r="F69" s="61"/>
      <c r="G69" s="61"/>
      <c r="H69" s="61"/>
      <c r="I69" s="61"/>
    </row>
    <row r="70" spans="1:9" ht="20" customHeight="1" x14ac:dyDescent="0.25">
      <c r="A70"/>
      <c r="D70" s="61"/>
      <c r="E70" s="61"/>
      <c r="F70" s="61"/>
      <c r="G70" s="61"/>
      <c r="H70" s="61"/>
      <c r="I70" s="61"/>
    </row>
    <row r="71" spans="1:9" ht="20" customHeight="1" x14ac:dyDescent="0.25">
      <c r="A71"/>
      <c r="D71" s="61"/>
      <c r="E71" s="61"/>
      <c r="F71" s="61"/>
      <c r="G71" s="61"/>
      <c r="H71" s="61"/>
      <c r="I71" s="61"/>
    </row>
    <row r="72" spans="1:9" ht="20" customHeight="1" x14ac:dyDescent="0.25">
      <c r="A72"/>
      <c r="D72" s="61"/>
      <c r="E72" s="61"/>
      <c r="F72" s="61"/>
      <c r="G72" s="61"/>
      <c r="H72" s="61"/>
      <c r="I72" s="61"/>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86"/>
    </row>
    <row r="79" spans="1:9" ht="20" customHeight="1" x14ac:dyDescent="0.25">
      <c r="A79"/>
      <c r="D79" s="86"/>
    </row>
    <row r="80" spans="1:9" ht="20" customHeight="1" x14ac:dyDescent="0.25">
      <c r="A80"/>
      <c r="D80" s="86"/>
    </row>
    <row r="81" spans="1:4" ht="20" customHeight="1" x14ac:dyDescent="0.25">
      <c r="A81"/>
      <c r="D81" s="86"/>
    </row>
    <row r="82" spans="1:4" ht="20" customHeight="1" x14ac:dyDescent="0.25">
      <c r="A82"/>
      <c r="D82" s="86"/>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X178"/>
  <sheetViews>
    <sheetView showGridLines="0" topLeftCell="A34" zoomScaleNormal="100" workbookViewId="0">
      <selection activeCell="E44" sqref="E44"/>
    </sheetView>
  </sheetViews>
  <sheetFormatPr defaultRowHeight="20" x14ac:dyDescent="0.25" customHeight="1"/>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 customHeight="1" x14ac:dyDescent="0.25">
      <c r="A2"/>
      <c r="P2" s="57"/>
      <c r="Q2" s="57"/>
      <c r="R2" s="57"/>
      <c r="S2" s="57"/>
      <c r="T2" s="57"/>
      <c r="U2" s="57"/>
      <c r="V2" s="57"/>
      <c r="W2" s="57"/>
      <c r="X2" s="57"/>
    </row>
    <row r="3" spans="1:24" ht="20" customHeight="1" x14ac:dyDescent="0.25">
      <c r="A3" s="17" t="str">
        <f>HYPERLINK("#'Home'!A1", "Home")</f>
        <v>Home</v>
      </c>
      <c r="C3" s="15"/>
      <c r="D3" s="15"/>
      <c r="E3" s="15"/>
      <c r="F3" s="15"/>
      <c r="G3" s="15"/>
      <c r="H3" s="15"/>
      <c r="I3" s="15"/>
      <c r="J3" s="15"/>
      <c r="K3" s="15"/>
      <c r="L3" s="15"/>
      <c r="M3" s="15"/>
      <c r="N3" s="15"/>
      <c r="O3" s="15"/>
    </row>
    <row r="4" spans="1:24" ht="20" customHeight="1" x14ac:dyDescent="0.25">
      <c r="A4" s="17" t="str">
        <f>HYPERLINK("#'Overview'!A1", "Overview")</f>
        <v>Overview</v>
      </c>
    </row>
    <row r="5" spans="1:24" ht="20" customHeight="1" x14ac:dyDescent="0.25">
      <c r="A5" s="17" t="str">
        <f>HYPERLINK("#'Results'!A1", "Results")</f>
        <v>Results</v>
      </c>
      <c r="D5" s="6" t="s">
        <v>99</v>
      </c>
      <c r="O5" s="3"/>
      <c r="S5" s="7"/>
    </row>
    <row r="6" spans="1:24" ht="20" customHeight="1" x14ac:dyDescent="0.25">
      <c r="O6" s="3"/>
      <c r="S6" s="7"/>
    </row>
    <row r="7" spans="1:24" ht="20" customHeight="1" x14ac:dyDescent="0.25">
      <c r="D7" s="1" t="s">
        <v>166</v>
      </c>
      <c r="E7" s="41" t="s">
        <v>209</v>
      </c>
      <c r="F7" s="2" t="s">
        <v>8</v>
      </c>
      <c r="O7" s="3"/>
      <c r="S7" s="7"/>
    </row>
    <row r="8" spans="1:24" ht="20" customHeight="1" x14ac:dyDescent="0.25">
      <c r="A8" s="19" t="s">
        <v>0</v>
      </c>
      <c r="O8" s="3"/>
      <c r="S8" s="7"/>
    </row>
    <row r="9" spans="1:24" ht="20" customHeight="1" x14ac:dyDescent="0.25">
      <c r="A9" s="17" t="str">
        <f>HYPERLINK("#'Input - Site'!A1", "Site")</f>
        <v>Site</v>
      </c>
      <c r="D9" s="64"/>
      <c r="E9" s="40" t="s">
        <v>167</v>
      </c>
      <c r="F9" s="40" t="s">
        <v>184</v>
      </c>
      <c r="G9" s="40" t="s">
        <v>185</v>
      </c>
      <c r="H9" s="40" t="s">
        <v>186</v>
      </c>
      <c r="I9" s="40" t="s">
        <v>187</v>
      </c>
      <c r="S9" s="7"/>
    </row>
    <row r="10" spans="1:24" ht="20"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 customHeight="1" x14ac:dyDescent="0.25">
      <c r="S11" s="7"/>
    </row>
    <row r="12" spans="1:24" ht="20" customHeight="1" x14ac:dyDescent="0.25">
      <c r="D12" s="49" t="s">
        <v>206</v>
      </c>
      <c r="S12" s="7"/>
    </row>
    <row r="13" spans="1:24" ht="20" customHeight="1" x14ac:dyDescent="0.25">
      <c r="A13" s="18" t="s">
        <v>73</v>
      </c>
      <c r="D13" s="64" t="s">
        <v>200</v>
      </c>
      <c r="E13" s="40" t="s">
        <v>167</v>
      </c>
      <c r="F13" s="40" t="s">
        <v>184</v>
      </c>
      <c r="G13" s="40" t="s">
        <v>185</v>
      </c>
      <c r="H13" s="40" t="s">
        <v>186</v>
      </c>
      <c r="I13" s="40" t="s">
        <v>187</v>
      </c>
      <c r="S13" s="39"/>
    </row>
    <row r="14" spans="1:24" ht="20"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 customHeight="1" x14ac:dyDescent="0.25">
      <c r="A16" s="17" t="str">
        <f>HYPERLINK("#'4.3.1.5 Atmos deposition'!A1", "4.3.1.5 Atmos deposition")</f>
        <v>4.3.1.5 Atmos deposition</v>
      </c>
      <c r="S16" s="39"/>
    </row>
    <row r="17" spans="1:19" ht="20"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 customHeight="1" x14ac:dyDescent="0.25">
      <c r="A20" s="17" t="str">
        <f>HYPERLINK("#'4.3.1.10-11 Soil Atmos Dep'!A1", "4.3.1.10-11 Soil Atmos Dep")</f>
        <v>4.3.1.10-11 Soil Atmos Dep</v>
      </c>
      <c r="S20" s="7"/>
    </row>
    <row r="21" spans="1:19" ht="20" customHeight="1" x14ac:dyDescent="0.25">
      <c r="A21" s="17" t="str">
        <f>HYPERLINK("#'4.3.1.12-13 Soil leach runoff'!A1", "4.3.1.12-13 Soil leach runoff")</f>
        <v>4.3.1.12-13 Soil leach runoff</v>
      </c>
      <c r="D21" s="49" t="s">
        <v>100</v>
      </c>
      <c r="S21" s="7"/>
    </row>
    <row r="22" spans="1:19" ht="20" customHeight="1" x14ac:dyDescent="0.25">
      <c r="S22" s="7"/>
    </row>
    <row r="23" spans="1:19" ht="20" customHeight="1" x14ac:dyDescent="0.25">
      <c r="D23" s="64" t="s">
        <v>200</v>
      </c>
      <c r="E23" s="40" t="s">
        <v>167</v>
      </c>
      <c r="F23" s="40" t="s">
        <v>184</v>
      </c>
      <c r="G23" s="40" t="s">
        <v>185</v>
      </c>
      <c r="H23" s="40" t="s">
        <v>186</v>
      </c>
      <c r="I23" s="40" t="s">
        <v>187</v>
      </c>
      <c r="S23" s="7"/>
    </row>
    <row r="24" spans="1:19" ht="20"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 customHeight="1" x14ac:dyDescent="0.25">
      <c r="A26" s="17" t="str">
        <f>HYPERLINK("#'Constants - Common'!A1", "Constants - Common")</f>
        <v>Constants - Common</v>
      </c>
      <c r="S26" s="7"/>
    </row>
    <row r="27" spans="1:19" ht="20"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 customHeight="1" x14ac:dyDescent="0.25">
      <c r="S30" s="7"/>
    </row>
    <row r="31" spans="1:19" ht="20" customHeight="1" x14ac:dyDescent="0.25">
      <c r="S31" s="7"/>
    </row>
    <row r="32" spans="1:19" ht="20" customHeight="1" x14ac:dyDescent="0.25">
      <c r="C32" s="46"/>
      <c r="D32" s="46"/>
      <c r="E32" s="46"/>
      <c r="F32" s="46"/>
      <c r="G32" s="46"/>
      <c r="H32" s="46"/>
      <c r="I32" s="46"/>
      <c r="J32" s="46"/>
      <c r="K32" s="46"/>
      <c r="L32" s="46"/>
      <c r="M32" s="46"/>
      <c r="N32" s="46"/>
      <c r="O32" s="46"/>
      <c r="S32" s="7"/>
    </row>
    <row r="33" spans="3:19" ht="20" customHeight="1" x14ac:dyDescent="0.25">
      <c r="D33" s="6" t="s">
        <v>205</v>
      </c>
      <c r="S33" s="7"/>
    </row>
    <row r="34" spans="3:19" ht="20" customHeight="1" x14ac:dyDescent="0.25">
      <c r="D34" s="49"/>
      <c r="S34" s="7"/>
    </row>
    <row r="35" spans="3:19" ht="20" customHeight="1" x14ac:dyDescent="0.25">
      <c r="D35" s="64" t="s">
        <v>200</v>
      </c>
      <c r="E35" s="40" t="s">
        <v>167</v>
      </c>
      <c r="F35" s="40" t="s">
        <v>184</v>
      </c>
      <c r="G35" s="40" t="s">
        <v>185</v>
      </c>
      <c r="H35" s="40" t="s">
        <v>186</v>
      </c>
      <c r="I35" s="40" t="s">
        <v>187</v>
      </c>
      <c r="S35" s="7"/>
    </row>
    <row r="36" spans="3:19" ht="20"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 customHeight="1" x14ac:dyDescent="0.25">
      <c r="M38" s="2"/>
      <c r="N38" s="2"/>
      <c r="S38" s="7"/>
    </row>
    <row r="39" spans="3:19" ht="20" customHeight="1" x14ac:dyDescent="0.25">
      <c r="D39" s="64" t="s">
        <v>199</v>
      </c>
      <c r="E39" s="40" t="s">
        <v>167</v>
      </c>
      <c r="F39" s="40" t="s">
        <v>184</v>
      </c>
      <c r="G39" s="40" t="s">
        <v>185</v>
      </c>
      <c r="H39" s="40" t="s">
        <v>186</v>
      </c>
      <c r="I39" s="40" t="s">
        <v>187</v>
      </c>
      <c r="S39" s="7"/>
    </row>
    <row r="40" spans="3:19" ht="20"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 customHeight="1" x14ac:dyDescent="0.25">
      <c r="L42" s="2"/>
      <c r="M42" s="2"/>
      <c r="N42" s="2"/>
      <c r="S42" s="7"/>
    </row>
    <row r="43" spans="3:19" ht="20" customHeight="1" x14ac:dyDescent="0.25">
      <c r="S43" s="7"/>
    </row>
    <row r="44" spans="3:19" ht="20" customHeight="1" x14ac:dyDescent="0.25">
      <c r="C44" s="46"/>
      <c r="D44" s="46"/>
      <c r="E44" s="46"/>
      <c r="F44" s="46"/>
      <c r="G44" s="46"/>
      <c r="H44" s="46"/>
      <c r="I44" s="46"/>
      <c r="J44" s="46"/>
      <c r="K44" s="46"/>
      <c r="L44" s="46"/>
      <c r="M44" s="46"/>
      <c r="N44" s="46"/>
      <c r="O44" s="46"/>
      <c r="S44" s="7"/>
    </row>
    <row r="45" spans="3:19" ht="20" customHeight="1" x14ac:dyDescent="0.25">
      <c r="D45" s="6" t="s">
        <v>191</v>
      </c>
      <c r="E45" s="3"/>
      <c r="F45" s="3"/>
      <c r="G45" s="3"/>
      <c r="H45" s="3"/>
      <c r="I45" s="3"/>
      <c r="J45" s="3"/>
      <c r="K45" s="3"/>
      <c r="L45" s="3"/>
      <c r="M45" s="3"/>
      <c r="N45" s="3"/>
      <c r="S45" s="7"/>
    </row>
    <row r="46" spans="3:19" ht="20" customHeight="1" x14ac:dyDescent="0.25">
      <c r="G46" s="6"/>
      <c r="H46" s="6"/>
      <c r="I46" s="6"/>
      <c r="J46" s="122"/>
      <c r="K46" s="122"/>
      <c r="L46" s="122"/>
      <c r="M46" s="122"/>
      <c r="N46" s="122"/>
      <c r="S46" s="7"/>
    </row>
    <row r="47" spans="3:19" ht="20" customHeight="1" x14ac:dyDescent="0.25">
      <c r="D47" s="1" t="s">
        <v>432</v>
      </c>
      <c r="E47" s="41" t="s">
        <v>445</v>
      </c>
      <c r="F47" s="2" t="s">
        <v>8</v>
      </c>
      <c r="S47" s="7"/>
    </row>
    <row r="48" spans="3:19" ht="20" customHeight="1" x14ac:dyDescent="0.25">
      <c r="S48" s="7"/>
    </row>
    <row r="49" spans="3:19" ht="20" customHeight="1" x14ac:dyDescent="0.25">
      <c r="E49" s="40" t="s">
        <v>167</v>
      </c>
      <c r="S49" s="7"/>
    </row>
    <row r="50" spans="3:19" ht="20" customHeight="1" x14ac:dyDescent="0.25">
      <c r="D50" s="1" t="s">
        <v>192</v>
      </c>
      <c r="E50" s="66">
        <v>20</v>
      </c>
      <c r="F50" s="2" t="str">
        <f>IF(X_Cell_Dairy_MilkProductionUnit="Litres of milk", "litres/head/day", "kg milk solids/head/day")</f>
        <v>litres/head/day</v>
      </c>
      <c r="S50" s="7"/>
    </row>
    <row r="51" spans="3:19" ht="20" customHeight="1" x14ac:dyDescent="0.25">
      <c r="E51" s="6"/>
      <c r="F51" s="6"/>
      <c r="S51" s="7"/>
    </row>
    <row r="52" spans="3:19" ht="20" customHeight="1" x14ac:dyDescent="0.25">
      <c r="D52" s="54" t="s">
        <v>433</v>
      </c>
      <c r="E52" s="40" t="s">
        <v>434</v>
      </c>
      <c r="F52" s="40" t="s">
        <v>435</v>
      </c>
      <c r="S52" s="7"/>
    </row>
    <row r="53" spans="3:19" ht="20" customHeight="1" x14ac:dyDescent="0.25">
      <c r="D53" s="1" t="s">
        <v>436</v>
      </c>
      <c r="E53" s="136">
        <f>SourceData_Dairy_FatContentInMilk_Data/100</f>
        <v>0.04</v>
      </c>
      <c r="F53" s="150">
        <f>SourceData_Dairy_FatContentInMilk_Data/100</f>
        <v>0.04</v>
      </c>
      <c r="G53" s="2" t="s">
        <v>437</v>
      </c>
      <c r="S53" s="7"/>
    </row>
    <row r="54" spans="3:19" ht="20" customHeight="1" x14ac:dyDescent="0.25">
      <c r="D54" s="1" t="s">
        <v>438</v>
      </c>
      <c r="E54" s="136">
        <f>SourceData_Dairy_ProteinContentInMilk_Data/100</f>
        <v>3.3000000000000002E-2</v>
      </c>
      <c r="F54" s="150">
        <f>SourceData_Dairy_ProteinContentInMilk_Data/100</f>
        <v>3.3000000000000002E-2</v>
      </c>
      <c r="G54" s="2" t="s">
        <v>437</v>
      </c>
      <c r="S54" s="7"/>
    </row>
    <row r="55" spans="3:19" ht="20" customHeight="1" x14ac:dyDescent="0.25">
      <c r="S55" s="7"/>
    </row>
    <row r="56" spans="3:19" ht="20" customHeight="1" x14ac:dyDescent="0.25">
      <c r="S56" s="7"/>
    </row>
    <row r="57" spans="3:19" ht="20" customHeight="1" x14ac:dyDescent="0.25">
      <c r="C57" s="46"/>
      <c r="D57" s="46"/>
      <c r="E57" s="46"/>
      <c r="F57" s="46"/>
      <c r="G57" s="46"/>
      <c r="H57" s="46"/>
      <c r="I57" s="46"/>
      <c r="J57" s="46"/>
      <c r="K57" s="46"/>
      <c r="L57" s="46"/>
      <c r="M57" s="46"/>
      <c r="N57" s="46"/>
      <c r="O57" s="46"/>
      <c r="S57" s="7"/>
    </row>
    <row r="58" spans="3:19" ht="20" customHeight="1" x14ac:dyDescent="0.25">
      <c r="D58" s="6" t="s">
        <v>202</v>
      </c>
      <c r="S58" s="7"/>
    </row>
    <row r="59" spans="3:19" ht="20" customHeight="1" x14ac:dyDescent="0.25">
      <c r="D59" s="49" t="s">
        <v>195</v>
      </c>
      <c r="S59" s="7"/>
    </row>
    <row r="60" spans="3:19" ht="20" customHeight="1" x14ac:dyDescent="0.25">
      <c r="D60" s="1" t="s">
        <v>197</v>
      </c>
      <c r="E60" s="41" t="s">
        <v>204</v>
      </c>
      <c r="F60" s="2" t="s">
        <v>8</v>
      </c>
      <c r="O60" s="3"/>
      <c r="S60" s="7"/>
    </row>
    <row r="61" spans="3:19" ht="20" customHeight="1" x14ac:dyDescent="0.25">
      <c r="O61" s="3"/>
      <c r="S61" s="7"/>
    </row>
    <row r="62" spans="3:19" ht="20" customHeight="1" x14ac:dyDescent="0.25">
      <c r="D62" s="64" t="s">
        <v>200</v>
      </c>
      <c r="E62" s="40" t="s">
        <v>167</v>
      </c>
      <c r="F62" s="40" t="s">
        <v>184</v>
      </c>
      <c r="G62" s="40" t="s">
        <v>185</v>
      </c>
      <c r="H62" s="40" t="s">
        <v>186</v>
      </c>
      <c r="I62" s="40" t="s">
        <v>187</v>
      </c>
      <c r="O62" s="3"/>
      <c r="S62" s="7"/>
    </row>
    <row r="63" spans="3:19" ht="20"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 customHeight="1" x14ac:dyDescent="0.25">
      <c r="O66" s="3"/>
    </row>
    <row r="67" spans="3:19" ht="20" customHeight="1" x14ac:dyDescent="0.25">
      <c r="D67" s="64" t="s">
        <v>199</v>
      </c>
      <c r="E67" s="40" t="s">
        <v>167</v>
      </c>
      <c r="F67" s="40" t="s">
        <v>184</v>
      </c>
      <c r="G67" s="40" t="s">
        <v>185</v>
      </c>
      <c r="H67" s="40" t="s">
        <v>186</v>
      </c>
      <c r="I67" s="40" t="s">
        <v>187</v>
      </c>
      <c r="O67" s="3"/>
    </row>
    <row r="68" spans="3:19" ht="20"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 customHeight="1" x14ac:dyDescent="0.25">
      <c r="E71" s="126"/>
      <c r="O71" s="3"/>
    </row>
    <row r="72" spans="3:19" ht="20" customHeight="1" x14ac:dyDescent="0.25"/>
    <row r="73" spans="3:19" ht="20" customHeight="1" x14ac:dyDescent="0.25">
      <c r="C73" s="46"/>
      <c r="D73" s="46"/>
      <c r="E73" s="46"/>
      <c r="F73" s="46"/>
      <c r="G73" s="46"/>
      <c r="H73" s="46"/>
      <c r="I73" s="46"/>
      <c r="J73" s="46"/>
      <c r="K73" s="46"/>
      <c r="L73" s="46"/>
      <c r="M73" s="46"/>
      <c r="N73" s="46"/>
      <c r="O73" s="46"/>
    </row>
    <row r="74" spans="3:19" ht="20" customHeight="1" x14ac:dyDescent="0.25">
      <c r="D74" s="6" t="s">
        <v>98</v>
      </c>
      <c r="F74" s="123"/>
    </row>
    <row r="75" spans="3:19" ht="20" customHeight="1" x14ac:dyDescent="0.25">
      <c r="D75" s="49" t="str">
        <f>"From " &amp; $D$64</f>
        <v>From Milking shed</v>
      </c>
      <c r="O75" s="3"/>
    </row>
    <row r="76" spans="3:19" ht="20" customHeight="1" x14ac:dyDescent="0.25">
      <c r="O76" s="3"/>
    </row>
    <row r="77" spans="3:19" ht="20" customHeight="1" x14ac:dyDescent="0.25">
      <c r="D77" s="153" t="s">
        <v>97</v>
      </c>
      <c r="E77" s="40" t="s">
        <v>167</v>
      </c>
      <c r="F77" s="40" t="s">
        <v>184</v>
      </c>
      <c r="G77" s="40" t="s">
        <v>185</v>
      </c>
      <c r="H77" s="40" t="s">
        <v>186</v>
      </c>
      <c r="I77" s="40" t="s">
        <v>187</v>
      </c>
      <c r="J77" s="142" t="s">
        <v>422</v>
      </c>
      <c r="K77" s="142"/>
      <c r="L77" s="64" t="s">
        <v>421</v>
      </c>
      <c r="M77" s="64"/>
      <c r="N77" s="40"/>
      <c r="O77" s="3"/>
    </row>
    <row r="78" spans="3:19" ht="20" customHeight="1" x14ac:dyDescent="0.25">
      <c r="L78" s="117" t="s">
        <v>423</v>
      </c>
      <c r="M78" s="117" t="s">
        <v>424</v>
      </c>
      <c r="N78" s="117" t="s">
        <v>425</v>
      </c>
      <c r="O78" s="3"/>
    </row>
    <row r="79" spans="3:19" ht="20"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 customHeight="1" x14ac:dyDescent="0.25">
      <c r="D80" s="152" t="str">
        <f>"Were solids separated from " &amp; D79 &amp; "?"</f>
        <v>Were solids separated from Anaerobic lagoon?</v>
      </c>
      <c r="E80" s="41" t="s">
        <v>201</v>
      </c>
      <c r="O80" s="3"/>
      <c r="S80" s="7"/>
    </row>
    <row r="81" spans="4:19" ht="20"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 customHeight="1" x14ac:dyDescent="0.25">
      <c r="D82" s="152" t="str">
        <f>"Percent solids separated from " &amp; D79 &amp; " (Method 2)"</f>
        <v>Percent solids separated from Anaerobic lagoon (Method 2)</v>
      </c>
      <c r="E82" s="47">
        <v>0.2</v>
      </c>
      <c r="O82" s="3"/>
      <c r="S82" s="7"/>
    </row>
    <row r="83" spans="4:19" ht="20" customHeight="1" x14ac:dyDescent="0.25">
      <c r="S83" s="7"/>
    </row>
    <row r="84" spans="4:19" ht="20"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 customHeight="1" x14ac:dyDescent="0.25">
      <c r="D85" s="152" t="str">
        <f>"Were solids separated from " &amp; D84 &amp; "?"</f>
        <v>Were solids separated from Sump and dispersal system?</v>
      </c>
      <c r="E85" s="41" t="s">
        <v>201</v>
      </c>
      <c r="S85" s="7"/>
    </row>
    <row r="86" spans="4:19" ht="20"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 customHeight="1" x14ac:dyDescent="0.25">
      <c r="D87" s="152" t="str">
        <f>"Percent solids separated from " &amp; D84 &amp; " (Method 2)"</f>
        <v>Percent solids separated from Sump and dispersal system (Method 2)</v>
      </c>
      <c r="E87" s="47">
        <v>0.2</v>
      </c>
      <c r="S87" s="7"/>
    </row>
    <row r="88" spans="4:19" ht="20" customHeight="1" x14ac:dyDescent="0.25">
      <c r="S88" s="7"/>
    </row>
    <row r="89" spans="4:19" ht="20"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 customHeight="1" x14ac:dyDescent="0.25">
      <c r="D90" s="152" t="str">
        <f>"Were solids separated from " &amp; D89 &amp; "?"</f>
        <v>Were solids separated from Drains to paddock?</v>
      </c>
      <c r="E90" s="41" t="s">
        <v>201</v>
      </c>
      <c r="S90" s="7"/>
    </row>
    <row r="91" spans="4:19" ht="20"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 customHeight="1" x14ac:dyDescent="0.25">
      <c r="D92" s="152" t="str">
        <f>"Percent solids separated from " &amp; D89 &amp; " (Method 2)"</f>
        <v>Percent solids separated from Drains to paddock (Method 2)</v>
      </c>
      <c r="E92" s="47">
        <v>0.2</v>
      </c>
      <c r="S92" s="7"/>
    </row>
    <row r="93" spans="4:19" ht="20" customHeight="1" x14ac:dyDescent="0.25">
      <c r="S93" s="7"/>
    </row>
    <row r="94" spans="4:19" ht="20"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 customHeight="1" x14ac:dyDescent="0.25">
      <c r="F97" s="2"/>
      <c r="S97" s="7"/>
    </row>
    <row r="98" spans="4:19" ht="20" customHeight="1" x14ac:dyDescent="0.25">
      <c r="F98" s="143"/>
      <c r="S98" s="7"/>
    </row>
    <row r="99" spans="4:19" ht="20" customHeight="1" x14ac:dyDescent="0.25">
      <c r="D99" s="49" t="str">
        <f>"From " &amp; $D$65</f>
        <v>From Feed pad</v>
      </c>
      <c r="S99" s="7"/>
    </row>
    <row r="100" spans="4:19" ht="20" customHeight="1" x14ac:dyDescent="0.25">
      <c r="S100" s="7"/>
    </row>
    <row r="101" spans="4:19" ht="20"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 customHeight="1" x14ac:dyDescent="0.25">
      <c r="D102" s="146"/>
      <c r="L102" s="117" t="s">
        <v>423</v>
      </c>
      <c r="M102" s="117" t="s">
        <v>424</v>
      </c>
      <c r="N102" s="117" t="s">
        <v>425</v>
      </c>
      <c r="S102" s="7"/>
    </row>
    <row r="103" spans="4:19" ht="20"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 customHeight="1" x14ac:dyDescent="0.25">
      <c r="D104" s="151" t="str">
        <f>"Were solids separated from " &amp; D103 &amp; "?"</f>
        <v>Were solids separated from Anaerobic lagoon?</v>
      </c>
      <c r="E104" s="41" t="s">
        <v>203</v>
      </c>
      <c r="S104" s="7"/>
    </row>
    <row r="105" spans="4:19" ht="20"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 customHeight="1" x14ac:dyDescent="0.25"/>
    <row r="108" spans="4:19" ht="20"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 customHeight="1" x14ac:dyDescent="0.25">
      <c r="D109" s="151" t="str">
        <f>"Were solids separated from " &amp; D108 &amp; "?"</f>
        <v>Were solids separated from Sump and dispersal system?</v>
      </c>
      <c r="E109" s="41" t="s">
        <v>201</v>
      </c>
    </row>
    <row r="110" spans="4:19" ht="20"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 customHeight="1" x14ac:dyDescent="0.25"/>
    <row r="113" spans="4:14" ht="20"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 customHeight="1" x14ac:dyDescent="0.25">
      <c r="D114" s="151" t="str">
        <f>"Were solids separated from " &amp; D113 &amp; "?"</f>
        <v>Were solids separated from Drains to paddock?</v>
      </c>
      <c r="E114" s="41" t="s">
        <v>201</v>
      </c>
    </row>
    <row r="115" spans="4:14" ht="20"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 customHeight="1" x14ac:dyDescent="0.25"/>
    <row r="118" spans="4:14" ht="20"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 customHeight="1" x14ac:dyDescent="0.25"/>
    <row r="122" spans="4:14" ht="20" customHeight="1" x14ac:dyDescent="0.25"/>
    <row r="123" spans="4:14" ht="20" customHeight="1" x14ac:dyDescent="0.25">
      <c r="D123" s="1" t="s">
        <v>136</v>
      </c>
      <c r="E123" s="41" t="s">
        <v>141</v>
      </c>
      <c r="F123" s="2" t="s">
        <v>8</v>
      </c>
    </row>
    <row r="124" spans="4:14" ht="20" customHeight="1" x14ac:dyDescent="0.25">
      <c r="E124" s="41" t="s">
        <v>146</v>
      </c>
      <c r="F124" s="2" t="s">
        <v>8</v>
      </c>
      <c r="L124" s="2"/>
      <c r="M124" s="2"/>
      <c r="N124" s="2"/>
    </row>
    <row r="125" spans="4:14" ht="20" customHeight="1" x14ac:dyDescent="0.25"/>
    <row r="126" spans="4:14" ht="20" customHeight="1" x14ac:dyDescent="0.25"/>
    <row r="127" spans="4:14" ht="20" customHeight="1" x14ac:dyDescent="0.25"/>
    <row r="128" spans="4:14" ht="20" customHeight="1" x14ac:dyDescent="0.25"/>
    <row r="129" spans="13:14" ht="20" customHeight="1" x14ac:dyDescent="0.25"/>
    <row r="130" spans="13:14" ht="20" customHeight="1" x14ac:dyDescent="0.25"/>
    <row r="131" spans="13:14" ht="20" customHeight="1" x14ac:dyDescent="0.25"/>
    <row r="132" spans="13:14" ht="20" customHeight="1" x14ac:dyDescent="0.25"/>
    <row r="133" spans="13:14" ht="20" customHeight="1" x14ac:dyDescent="0.25"/>
    <row r="134" spans="13:14" ht="20" customHeight="1" x14ac:dyDescent="0.25"/>
    <row r="135" spans="13:14" ht="20" customHeight="1" x14ac:dyDescent="0.25"/>
    <row r="136" spans="13:14" ht="20" customHeight="1" x14ac:dyDescent="0.25"/>
    <row r="137" spans="13:14" ht="20" customHeight="1" x14ac:dyDescent="0.25"/>
    <row r="138" spans="13:14" ht="20" customHeight="1" x14ac:dyDescent="0.25"/>
    <row r="139" spans="13:14" ht="20" customHeight="1" x14ac:dyDescent="0.25"/>
    <row r="140" spans="13:14" ht="20" customHeight="1" x14ac:dyDescent="0.25"/>
    <row r="141" spans="13:14" ht="20" customHeight="1" x14ac:dyDescent="0.25"/>
    <row r="142" spans="13:14" ht="20" customHeight="1" x14ac:dyDescent="0.25">
      <c r="M142" s="2"/>
      <c r="N142" s="2"/>
    </row>
    <row r="143" spans="13:14" ht="20" customHeight="1" x14ac:dyDescent="0.25">
      <c r="M143" s="2"/>
      <c r="N143" s="2"/>
    </row>
    <row r="144" spans="13:14" ht="20" customHeight="1" x14ac:dyDescent="0.25">
      <c r="M144" s="2"/>
      <c r="N144" s="2"/>
    </row>
    <row r="145" spans="13:14" ht="20" customHeight="1" x14ac:dyDescent="0.25"/>
    <row r="146" spans="13:14" ht="20" customHeight="1" x14ac:dyDescent="0.25"/>
    <row r="147" spans="13:14" ht="20" customHeight="1" x14ac:dyDescent="0.25">
      <c r="M147" s="2"/>
      <c r="N147" s="2"/>
    </row>
    <row r="148" spans="13:14" ht="20" customHeight="1" x14ac:dyDescent="0.25">
      <c r="M148" s="2"/>
      <c r="N148" s="2"/>
    </row>
    <row r="149" spans="13:14" ht="20" customHeight="1" x14ac:dyDescent="0.25">
      <c r="M149" s="2"/>
      <c r="N149" s="2"/>
    </row>
    <row r="150" spans="13:14" ht="20" customHeight="1" x14ac:dyDescent="0.25"/>
    <row r="151" spans="13:14" ht="20" customHeight="1" x14ac:dyDescent="0.25"/>
    <row r="152" spans="13:14" ht="20" customHeight="1" x14ac:dyDescent="0.25">
      <c r="M152" s="2"/>
      <c r="N152" s="2"/>
    </row>
    <row r="153" spans="13:14" ht="20" customHeight="1" x14ac:dyDescent="0.25">
      <c r="M153" s="2"/>
      <c r="N153" s="2"/>
    </row>
    <row r="154" spans="13:14" ht="20" customHeight="1" x14ac:dyDescent="0.25">
      <c r="M154" s="2"/>
      <c r="N154" s="2"/>
    </row>
    <row r="155" spans="13:14" ht="20" customHeight="1" x14ac:dyDescent="0.25"/>
    <row r="156" spans="13:14" ht="20" customHeight="1" x14ac:dyDescent="0.25"/>
    <row r="157" spans="13:14" ht="20" customHeight="1" x14ac:dyDescent="0.25"/>
    <row r="158" spans="13:14" ht="20" customHeight="1" x14ac:dyDescent="0.25"/>
    <row r="159" spans="13:14" ht="20" customHeight="1" x14ac:dyDescent="0.25"/>
    <row r="160" spans="13:14" ht="20" customHeight="1" x14ac:dyDescent="0.25"/>
    <row r="161" spans="13:14" ht="20" customHeight="1" x14ac:dyDescent="0.25">
      <c r="M161" s="2"/>
      <c r="N161" s="2"/>
    </row>
    <row r="162" spans="13:14" ht="20" customHeight="1" x14ac:dyDescent="0.25">
      <c r="M162" s="2"/>
      <c r="N162" s="2"/>
    </row>
    <row r="163" spans="13:14" ht="20" customHeight="1" x14ac:dyDescent="0.25">
      <c r="M163" s="2"/>
      <c r="N163" s="2"/>
    </row>
    <row r="164" spans="13:14" ht="20" customHeight="1" x14ac:dyDescent="0.25"/>
    <row r="165" spans="13:14" ht="20" customHeight="1" x14ac:dyDescent="0.25"/>
    <row r="166" spans="13:14" x14ac:dyDescent="0.25" ht="20" customHeight="1">
      <c r="M166" s="2"/>
      <c r="N166" s="2"/>
    </row>
    <row r="167" spans="13:14" x14ac:dyDescent="0.25" ht="20" customHeight="1">
      <c r="M167" s="2"/>
      <c r="N167" s="2"/>
    </row>
    <row r="168" spans="13:14" x14ac:dyDescent="0.25" ht="20" customHeight="1">
      <c r="M168" s="2"/>
      <c r="N168" s="2"/>
    </row>
    <row r="171" spans="13:14" x14ac:dyDescent="0.25" ht="20" customHeight="1">
      <c r="M171" s="2"/>
      <c r="N171" s="2"/>
    </row>
    <row r="172" spans="13:14" x14ac:dyDescent="0.25" ht="20" customHeight="1">
      <c r="M172" s="2"/>
      <c r="N172" s="2"/>
    </row>
    <row r="173" spans="13:14" x14ac:dyDescent="0.25" ht="20" customHeight="1">
      <c r="M173" s="2"/>
      <c r="N173" s="2"/>
    </row>
    <row r="176" spans="13:14" x14ac:dyDescent="0.25" ht="20" customHeight="1">
      <c r="M176" s="2"/>
      <c r="N176" s="2"/>
    </row>
    <row r="177" spans="13:14" x14ac:dyDescent="0.25" ht="20" customHeight="1">
      <c r="M177" s="2"/>
      <c r="N177" s="2"/>
    </row>
    <row r="178" spans="13:14" x14ac:dyDescent="0.25" ht="20" customHeight="1">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W305"/>
  <sheetViews>
    <sheetView showGridLines="0" topLeftCell="A48" zoomScaleNormal="100" workbookViewId="0">
      <selection activeCell="D50" sqref="D50"/>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 customHeight="1" x14ac:dyDescent="0.25">
      <c r="A2"/>
    </row>
    <row r="3" spans="1:23" ht="20"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EntericMethane_Dairy_Equations.VEERG_3_3_1_1__6_MetabolisabilityOfDiet_Title()</f>
        <v>Metabolisability of diet</v>
      </c>
    </row>
    <row r="6" spans="1:23" ht="20" customHeight="1" x14ac:dyDescent="0.25">
      <c r="D6" s="5" t="str" cm="1">
        <f t="array" ref="D6">EntericMethane_Dairy_Equations.VEERG_3_3_1_1__6_MetabolisabilityOfDiet_Source()</f>
        <v>VEERG 2026: 3.3.1.1, Equation (6)</v>
      </c>
    </row>
    <row r="7" spans="1:23" ht="20" customHeight="1" x14ac:dyDescent="0.25">
      <c r="D7" s="56" t="str" cm="1">
        <f t="array" ref="D7">EntericMethane_Dairy_Equations.VEERG_3_3_1_1__6_MetabolisabilityOfDiet_Variation()</f>
        <v>VARIATION ON SOURCE: changed 0.795 to 0.00795 which is the value used in the National Inventory Report</v>
      </c>
    </row>
    <row r="8" spans="1:23" ht="20" customHeight="1" x14ac:dyDescent="0.25">
      <c r="A8" s="19" t="s">
        <v>0</v>
      </c>
      <c r="D8" s="13" t="s">
        <v>25</v>
      </c>
      <c r="E8" s="13" t="str" cm="1">
        <f t="array" aca="1" ref="E8" ca="1">Common_InputFunctions.Utility_DisplayFunctionName(D24)</f>
        <v>=EntericMethane_Dairy_Equations.VEERG_3_3_1_1__6_MetabolisabilityOfDietVariation</v>
      </c>
    </row>
    <row r="9" spans="1:23" ht="20" customHeight="1" x14ac:dyDescent="0.25">
      <c r="A9" s="17" t="str">
        <f>HYPERLINK("#'Input - Site'!A1", "Site")</f>
        <v>Site</v>
      </c>
    </row>
    <row r="10" spans="1:23" ht="20" customHeight="1" x14ac:dyDescent="0.25">
      <c r="A10" s="17" t="str">
        <f>HYPERLINK("#'Input - Dairy'!A1", "Dairy")</f>
        <v>Dairy</v>
      </c>
    </row>
    <row r="11" spans="1:23" ht="20" customHeight="1" x14ac:dyDescent="0.25">
      <c r="D11" s="54" t="s">
        <v>28</v>
      </c>
      <c r="E11" s="1" t="str" cm="1">
        <f t="array" ref="E11">EntericMethane_Dairy_Equations.VEERG_3_3_1_1__6_MetabolisabilityOfDiet_Variable()</f>
        <v>qm_j</v>
      </c>
    </row>
    <row r="12" spans="1:23" ht="20" customHeight="1" x14ac:dyDescent="0.25">
      <c r="D12" s="54" t="s">
        <v>18</v>
      </c>
      <c r="E12" s="55" t="str" cm="1">
        <f t="array" ref="E12">EntericMethane_Dairy_Equations.VEERG_3_3_1_1__6_MetabolisabilityOfDiet_Unit()</f>
        <v>fraction</v>
      </c>
    </row>
    <row r="13" spans="1:23" ht="20" customHeight="1" x14ac:dyDescent="0.25">
      <c r="A13" s="18" t="s">
        <v>73</v>
      </c>
    </row>
    <row r="14" spans="1:23" ht="20"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 customHeight="1" x14ac:dyDescent="0.25">
      <c r="A15" s="17" t="str">
        <f>HYPERLINK("#'4.3.1.3-4 Direct N20'!A1", "4.3.1.3-4 Direct N20")</f>
        <v>4.3.1.3-4 Direct N20</v>
      </c>
    </row>
    <row r="16" spans="1:23" ht="20" customHeight="1" x14ac:dyDescent="0.25">
      <c r="A16" s="17" t="str">
        <f>HYPERLINK("#'4.3.1.5 Atmos deposition'!A1", "4.3.1.5 Atmos deposition")</f>
        <v>4.3.1.5 Atmos deposition</v>
      </c>
      <c r="D16" s="100" t="s">
        <v>119</v>
      </c>
      <c r="O16" s="100" t="s">
        <v>122</v>
      </c>
    </row>
    <row r="17" spans="1:23" ht="20" customHeight="1" x14ac:dyDescent="0.25">
      <c r="A17" s="17" t="str">
        <f>HYPERLINK("#'4.3.1.6-7 Leaching and runoff'!A1", "4.3.1.6-7 Leaching and runoff")</f>
        <v>4.3.1.6-7 Leaching and runoff</v>
      </c>
      <c r="D17" s="99" t="s">
        <v>121</v>
      </c>
      <c r="O17" s="99" t="s">
        <v>231</v>
      </c>
    </row>
    <row r="18" spans="1:23" ht="20"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 customHeight="1" x14ac:dyDescent="0.25">
      <c r="A20" s="17" t="str">
        <f>HYPERLINK("#'4.3.1.10-11 Soil Atmos Dep'!A1", "4.3.1.10-11 Soil Atmos Dep")</f>
        <v>4.3.1.10-11 Soil Atmos Dep</v>
      </c>
    </row>
    <row r="21" spans="1:23" ht="20" customHeight="1" x14ac:dyDescent="0.25">
      <c r="A21" s="17" t="str">
        <f>HYPERLINK("#'4.3.1.12-13 Soil leach runoff'!A1", "4.3.1.12-13 Soil leach runoff")</f>
        <v>4.3.1.12-13 Soil leach runoff</v>
      </c>
      <c r="D21" s="100" t="s">
        <v>221</v>
      </c>
      <c r="O21" s="100" t="s">
        <v>223</v>
      </c>
    </row>
    <row r="22" spans="1:23" ht="20" customHeight="1" x14ac:dyDescent="0.25">
      <c r="D22" s="99" t="s">
        <v>222</v>
      </c>
      <c r="O22" s="99" t="s">
        <v>224</v>
      </c>
    </row>
    <row r="23" spans="1:23" ht="20" customHeight="1" x14ac:dyDescent="0.25">
      <c r="D23" s="52" t="s">
        <v>167</v>
      </c>
      <c r="E23" s="52" t="s">
        <v>184</v>
      </c>
      <c r="F23" s="52" t="s">
        <v>185</v>
      </c>
      <c r="G23" s="52" t="s">
        <v>186</v>
      </c>
      <c r="H23" s="52" t="s">
        <v>187</v>
      </c>
      <c r="O23" s="52" t="s">
        <v>167</v>
      </c>
      <c r="P23" s="52" t="s">
        <v>184</v>
      </c>
      <c r="Q23" s="52" t="s">
        <v>185</v>
      </c>
      <c r="R23" s="52" t="s">
        <v>186</v>
      </c>
      <c r="S23" s="52" t="s">
        <v>187</v>
      </c>
    </row>
    <row r="24" spans="1:23" ht="20"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 customHeight="1" x14ac:dyDescent="0.25">
      <c r="A25" s="17" t="str">
        <f>HYPERLINK("#'Constants - Dairy'!A1", "Constants - Dairy")</f>
        <v>Constants - Dairy</v>
      </c>
    </row>
    <row r="26" spans="1:23" ht="20" customHeight="1" x14ac:dyDescent="0.25">
      <c r="A26" s="17" t="str">
        <f>HYPERLINK("#'Constants - Common'!A1", "Constants - Common")</f>
        <v>Constants - Common</v>
      </c>
    </row>
    <row r="27" spans="1:23" ht="20"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 customHeight="1" x14ac:dyDescent="0.25">
      <c r="A29" s="17" t="str">
        <f>HYPERLINK("#'Tab template'!A1", "Tab template")</f>
        <v>Tab template</v>
      </c>
      <c r="D29" s="5" t="str" cm="1">
        <f t="array" ref="D29">EntericMethane_Dairy_Equations.VEERG_3_3_1_1__5_MilkProductionFromMilkSolids_Source()</f>
        <v>VEERG 2026: 3.3.1.1, Equation (5)</v>
      </c>
    </row>
    <row r="30" spans="1:23" ht="20"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 customHeight="1" x14ac:dyDescent="0.25">
      <c r="D31" s="13" t="s">
        <v>25</v>
      </c>
      <c r="E31" s="13" t="str" cm="1">
        <f t="array" aca="1" ref="E31" ca="1">Common_InputFunctions.Utility_DisplayFunctionName(D50)</f>
        <v>=EntericMethane_Dairy_Equations.VEERG_3_3_1_1__5_MilkProductionFromMilkSolids</v>
      </c>
    </row>
    <row r="32" spans="1:23" ht="20" customHeight="1" x14ac:dyDescent="0.25"/>
    <row r="33" spans="4:20" ht="20" customHeight="1" x14ac:dyDescent="0.25"/>
    <row r="34" spans="4:20" ht="20" customHeight="1" x14ac:dyDescent="0.25">
      <c r="D34" s="54" t="s">
        <v>28</v>
      </c>
      <c r="E34" s="1" t="str" cm="1">
        <f t="array" ref="E34">EntericMethane_Dairy_Equations.VEERG_3_3_1_1__5_MilkProductionFromMilkSolids_Variable()</f>
        <v>MP_j</v>
      </c>
    </row>
    <row r="35" spans="4:20" ht="20" customHeight="1" x14ac:dyDescent="0.25">
      <c r="D35" s="54" t="s">
        <v>18</v>
      </c>
      <c r="E35" s="55" t="str" cm="1">
        <f t="array" ref="E35">EntericMethane_Dairy_Equations.VEERG_3_3_1_1__5_MilkProductionFromMilkSolids_Unit()</f>
        <v>L/head/day</v>
      </c>
    </row>
    <row r="36" spans="4:20" ht="20" customHeight="1" x14ac:dyDescent="0.25"/>
    <row r="37" spans="4:20" ht="20"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 customHeight="1" x14ac:dyDescent="0.25"/>
    <row r="42" spans="4:20" ht="20" customHeight="1" x14ac:dyDescent="0.25">
      <c r="D42" s="100" t="s">
        <v>439</v>
      </c>
    </row>
    <row r="43" spans="4:20" ht="20" customHeight="1" x14ac:dyDescent="0.25">
      <c r="D43" s="99" t="s">
        <v>440</v>
      </c>
    </row>
    <row r="44" spans="4:20" ht="20" customHeight="1" x14ac:dyDescent="0.25">
      <c r="D44" s="40" t="s">
        <v>167</v>
      </c>
      <c r="E44" s="40" t="s">
        <v>184</v>
      </c>
      <c r="F44" s="40" t="s">
        <v>185</v>
      </c>
      <c r="G44" s="40" t="s">
        <v>186</v>
      </c>
      <c r="H44" s="40" t="s">
        <v>187</v>
      </c>
    </row>
    <row r="45" spans="4:20" ht="20" customHeight="1" x14ac:dyDescent="0.25">
      <c r="D45" s="53">
        <f>IF($I$37="Milk solids", X_Cell_Dairy_MilkProductionAmount, 0)</f>
        <v>0</v>
      </c>
      <c r="E45" s="53">
        <v>0</v>
      </c>
      <c r="F45" s="53">
        <v>0</v>
      </c>
      <c r="G45" s="53">
        <v>0</v>
      </c>
      <c r="H45" s="53">
        <v>0</v>
      </c>
      <c r="I45" s="2" t="str">
        <f>G38</f>
        <v>kg MS/head/day</v>
      </c>
    </row>
    <row r="46" spans="4:20" ht="20" customHeight="1" x14ac:dyDescent="0.25"/>
    <row r="47" spans="4:20" ht="20" customHeight="1" x14ac:dyDescent="0.25">
      <c r="D47" s="100" t="s">
        <v>441</v>
      </c>
      <c r="O47" s="100" t="s">
        <v>443</v>
      </c>
    </row>
    <row r="48" spans="4:20" ht="20" customHeight="1" x14ac:dyDescent="0.25">
      <c r="D48" s="99" t="s">
        <v>442</v>
      </c>
      <c r="O48" s="99" t="s">
        <v>444</v>
      </c>
    </row>
    <row r="49" spans="3:23" ht="20" customHeight="1" x14ac:dyDescent="0.25">
      <c r="D49" s="52" t="s">
        <v>167</v>
      </c>
      <c r="E49" s="52" t="s">
        <v>184</v>
      </c>
      <c r="F49" s="52" t="s">
        <v>185</v>
      </c>
      <c r="G49" s="52" t="s">
        <v>186</v>
      </c>
      <c r="H49" s="52" t="s">
        <v>187</v>
      </c>
      <c r="O49" s="52" t="s">
        <v>167</v>
      </c>
      <c r="P49" s="52" t="s">
        <v>184</v>
      </c>
      <c r="Q49" s="52" t="s">
        <v>185</v>
      </c>
      <c r="R49" s="52" t="s">
        <v>186</v>
      </c>
      <c r="S49" s="52" t="s">
        <v>187</v>
      </c>
    </row>
    <row r="50" spans="3:23" ht="20"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 customHeight="1" x14ac:dyDescent="0.25"/>
    <row r="52" spans="3:23" ht="20" customHeight="1" x14ac:dyDescent="0.25"/>
    <row r="53" spans="3:23" ht="20" customHeight="1" x14ac:dyDescent="0.25">
      <c r="C53" s="46"/>
      <c r="D53" s="46"/>
      <c r="E53" s="46"/>
      <c r="F53" s="46"/>
      <c r="G53" s="46"/>
      <c r="H53" s="46"/>
      <c r="I53" s="46"/>
      <c r="J53" s="46"/>
      <c r="K53" s="46"/>
      <c r="L53" s="46"/>
      <c r="N53" s="46"/>
      <c r="O53" s="46"/>
      <c r="P53" s="46"/>
      <c r="Q53" s="46"/>
      <c r="R53" s="46"/>
      <c r="S53" s="46"/>
      <c r="T53" s="46"/>
      <c r="U53" s="46"/>
      <c r="V53" s="46"/>
      <c r="W53" s="46"/>
    </row>
    <row r="54" spans="3:23" ht="20" customHeight="1" x14ac:dyDescent="0.25">
      <c r="D54" s="6" t="str" cm="1">
        <f t="array" ref="D54">EntericMethane_Dairy_Equations.VEERG_3_3_1_1__4_AdditionalIntakeForMilkProduction_Title()</f>
        <v>Additional intake required for milk production</v>
      </c>
    </row>
    <row r="55" spans="3:23" ht="20" customHeight="1" x14ac:dyDescent="0.25">
      <c r="D55" s="5" t="str" cm="1">
        <f t="array" ref="D55">EntericMethane_Dairy_Equations.VEERG_3_3_1_1__4_AdditionalIntakeForMilkProduction_Source()</f>
        <v>VEERG 2026: 3.3.1.1, Equation (4)</v>
      </c>
    </row>
    <row r="56" spans="3:23" ht="20" customHeight="1" x14ac:dyDescent="0.25">
      <c r="D56" s="13" t="s">
        <v>25</v>
      </c>
      <c r="E56" s="13" t="str" cm="1">
        <f t="array" aca="1" ref="E56" ca="1">Common_InputFunctions.Utility_DisplayFunctionName(D79)</f>
        <v>=EntericMethane_Dairy_Equations.VEERG_3_3_1_1__4_AdditionalIntakeForMilkProduction</v>
      </c>
    </row>
    <row r="57" spans="3:23" ht="20" customHeight="1" x14ac:dyDescent="0.25"/>
    <row r="58" spans="3:23" ht="20" customHeight="1" x14ac:dyDescent="0.25">
      <c r="D58" s="6"/>
    </row>
    <row r="59" spans="3:23" ht="20" customHeight="1" x14ac:dyDescent="0.25">
      <c r="D59" s="54" t="s">
        <v>28</v>
      </c>
      <c r="E59" s="1" t="str" cm="1">
        <f t="array" ref="E59">EntericMethane_Dairy_Equations.VEERG_3_3_1_1__4_AdditionalIntakeForMilkProduction_Variable()</f>
        <v>MI_j</v>
      </c>
    </row>
    <row r="60" spans="3:23" ht="20" customHeight="1" x14ac:dyDescent="0.25">
      <c r="D60" s="54" t="s">
        <v>18</v>
      </c>
      <c r="E60" s="55" t="str" cm="1">
        <f t="array" ref="E60">EntericMethane_Dairy_Equations.VEERG_3_3_1_1__4_AdditionalIntakeForMilkProduction_Unit()</f>
        <v>kg DM/head/day</v>
      </c>
    </row>
    <row r="61" spans="3:23" ht="20" customHeight="1" x14ac:dyDescent="0.25"/>
    <row r="62" spans="3:23" ht="20"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 customHeight="1" x14ac:dyDescent="0.25">
      <c r="D65" s="133" t="str">
        <v>NE</v>
      </c>
      <c r="E65" s="132" t="str">
        <v>net energy</v>
      </c>
      <c r="F65" s="134"/>
      <c r="G65" s="133" t="str">
        <v>MJ net energy/kg milk</v>
      </c>
      <c r="H65" s="129" t="str">
        <v>Constant</v>
      </c>
      <c r="I65" s="133">
        <f>SourceData_Dairy_NetEnergy_Data</f>
        <v>3.0539999999999998</v>
      </c>
    </row>
    <row r="66" spans="4:22" ht="20" customHeight="1" x14ac:dyDescent="0.25">
      <c r="D66" s="133" t="str">
        <v>GEC</v>
      </c>
      <c r="E66" s="132" t="str">
        <v>gross energy content</v>
      </c>
      <c r="F66" s="134"/>
      <c r="G66" s="133" t="str">
        <v>MJ/kgDM</v>
      </c>
      <c r="H66" s="129" t="str">
        <v>Constant</v>
      </c>
      <c r="I66" s="133">
        <f>SourceData_Dairy_GrossEnergyContent_Data</f>
        <v>18.399999999999999</v>
      </c>
    </row>
    <row r="67" spans="4:22" ht="20"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 customHeight="1" x14ac:dyDescent="0.25"/>
    <row r="70" spans="4:22" ht="20" customHeight="1" x14ac:dyDescent="0.25"/>
    <row r="71" spans="4:22" ht="20" customHeight="1" x14ac:dyDescent="0.25">
      <c r="D71" s="100" t="s">
        <v>230</v>
      </c>
    </row>
    <row r="72" spans="4:22" ht="20" customHeight="1" x14ac:dyDescent="0.25">
      <c r="D72" s="99" t="s">
        <v>191</v>
      </c>
    </row>
    <row r="73" spans="4:22" ht="20" customHeight="1" x14ac:dyDescent="0.25">
      <c r="D73" s="40" t="s">
        <v>167</v>
      </c>
      <c r="E73" s="40" t="s">
        <v>184</v>
      </c>
      <c r="F73" s="40" t="s">
        <v>185</v>
      </c>
      <c r="G73" s="40" t="s">
        <v>186</v>
      </c>
      <c r="H73" s="40" t="s">
        <v>187</v>
      </c>
    </row>
    <row r="74" spans="4:22" ht="20" customHeight="1" x14ac:dyDescent="0.25">
      <c r="D74" s="53">
        <f>IF(I62="Milk solids", 0, X_Cell_Dairy_MilkProductionAmount)</f>
        <v>20</v>
      </c>
      <c r="E74" s="53">
        <v>0</v>
      </c>
      <c r="F74" s="53">
        <v>0</v>
      </c>
      <c r="G74" s="53">
        <v>0</v>
      </c>
      <c r="H74" s="53">
        <v>0</v>
      </c>
      <c r="I74" s="2" t="s">
        <v>227</v>
      </c>
      <c r="J74" s="2"/>
      <c r="K74" s="2"/>
    </row>
    <row r="75" spans="4:22" ht="20" customHeight="1" x14ac:dyDescent="0.25"/>
    <row r="76" spans="4:22" ht="20" customHeight="1" x14ac:dyDescent="0.25">
      <c r="D76" s="100" t="s">
        <v>225</v>
      </c>
      <c r="O76" s="100" t="s">
        <v>228</v>
      </c>
    </row>
    <row r="77" spans="4:22" ht="20" customHeight="1" x14ac:dyDescent="0.25">
      <c r="D77" s="99" t="s">
        <v>226</v>
      </c>
      <c r="O77" s="99" t="s">
        <v>229</v>
      </c>
    </row>
    <row r="78" spans="4:22" ht="20" customHeight="1" x14ac:dyDescent="0.25">
      <c r="D78" s="52" t="s">
        <v>167</v>
      </c>
      <c r="E78" s="52" t="s">
        <v>184</v>
      </c>
      <c r="F78" s="52" t="s">
        <v>185</v>
      </c>
      <c r="G78" s="52" t="s">
        <v>186</v>
      </c>
      <c r="H78" s="52" t="s">
        <v>187</v>
      </c>
      <c r="O78" s="52" t="s">
        <v>167</v>
      </c>
      <c r="P78" s="52" t="s">
        <v>184</v>
      </c>
      <c r="Q78" s="52" t="s">
        <v>185</v>
      </c>
      <c r="R78" s="52" t="s">
        <v>186</v>
      </c>
      <c r="S78" s="52" t="s">
        <v>187</v>
      </c>
    </row>
    <row r="79" spans="4:22" ht="20"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 customHeight="1" x14ac:dyDescent="0.25"/>
    <row r="81" spans="3:23" ht="20" customHeight="1" x14ac:dyDescent="0.25"/>
    <row r="82" spans="3:23" ht="20" customHeight="1" x14ac:dyDescent="0.25">
      <c r="C82" s="46"/>
      <c r="D82" s="46"/>
      <c r="E82" s="46"/>
      <c r="F82" s="46"/>
      <c r="G82" s="46"/>
      <c r="H82" s="46"/>
      <c r="I82" s="46"/>
      <c r="J82" s="46"/>
      <c r="K82" s="46"/>
      <c r="L82" s="46"/>
      <c r="N82" s="46"/>
      <c r="O82" s="46"/>
      <c r="P82" s="46"/>
      <c r="Q82" s="46"/>
      <c r="R82" s="46"/>
      <c r="S82" s="46"/>
      <c r="T82" s="46"/>
      <c r="U82" s="46"/>
      <c r="V82" s="46"/>
      <c r="W82" s="46"/>
    </row>
    <row r="83" spans="3:23" ht="20" customHeight="1" x14ac:dyDescent="0.25">
      <c r="D83" s="6" t="str" cm="1">
        <f t="array" ref="D83">EntericMethane_Dairy_Equations.VEERG_3_3_1_1__3_DryMatterFeedIntake_Title()</f>
        <v>Feed intake</v>
      </c>
    </row>
    <row r="84" spans="3:23" ht="20" customHeight="1" x14ac:dyDescent="0.25">
      <c r="D84" s="5" t="str" cm="1">
        <f t="array" ref="D84">EntericMethane_Dairy_Equations.VEERG_3_3_1_1__3_DryMatterFeedIntake_Source()</f>
        <v>VEERG 2026: 3.3.1.1, Equation (3)</v>
      </c>
    </row>
    <row r="85" spans="3:23" ht="20" customHeight="1" x14ac:dyDescent="0.25">
      <c r="D85" s="13" t="s">
        <v>25</v>
      </c>
      <c r="E85" s="13" t="str" cm="1">
        <f t="array" aca="1" ref="E85" ca="1">Common_InputFunctions.Utility_DisplayFunctionName(D114)</f>
        <v>=EntericMethane_Dairy_Equations.VEERG_3_3_1_1__3_DryMatterFeedIntake</v>
      </c>
    </row>
    <row r="86" spans="3:23" ht="20" customHeight="1" x14ac:dyDescent="0.25"/>
    <row r="87" spans="3:23" ht="20" customHeight="1" x14ac:dyDescent="0.25"/>
    <row r="88" spans="3:23" ht="20" customHeight="1" x14ac:dyDescent="0.25">
      <c r="D88" s="54" t="s">
        <v>28</v>
      </c>
      <c r="E88" s="1" t="str" cm="1">
        <f t="array" ref="E88">EntericMethane_Dairy_Equations.VEERG_3_3_1_1__3_DryMatterFeedIntake_Variable()</f>
        <v>I_j</v>
      </c>
    </row>
    <row r="89" spans="3:23" ht="20" customHeight="1" x14ac:dyDescent="0.25">
      <c r="D89" s="54" t="s">
        <v>18</v>
      </c>
      <c r="E89" s="55" t="str" cm="1">
        <f t="array" ref="E89">EntericMethane_Dairy_Equations.VEERG_3_3_1_1__3_DryMatterFeedIntake_Unit()</f>
        <v>kg DM/head/day</v>
      </c>
    </row>
    <row r="90" spans="3:23" ht="20" customHeight="1" x14ac:dyDescent="0.25"/>
    <row r="91" spans="3:23" ht="20"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 customHeight="1" x14ac:dyDescent="0.25"/>
    <row r="96" spans="3:23" ht="20" customHeight="1" x14ac:dyDescent="0.25">
      <c r="D96" s="100" t="s">
        <v>210</v>
      </c>
      <c r="O96" s="100" t="s">
        <v>212</v>
      </c>
    </row>
    <row r="97" spans="4:22" ht="20" customHeight="1" x14ac:dyDescent="0.25">
      <c r="D97" s="99" t="s">
        <v>211</v>
      </c>
      <c r="O97" s="99" t="s">
        <v>213</v>
      </c>
    </row>
    <row r="98" spans="4:22" ht="20" customHeight="1" x14ac:dyDescent="0.25">
      <c r="D98" s="40" t="s">
        <v>167</v>
      </c>
      <c r="E98" s="40" t="s">
        <v>184</v>
      </c>
      <c r="F98" s="40" t="s">
        <v>185</v>
      </c>
      <c r="G98" s="40" t="s">
        <v>186</v>
      </c>
      <c r="H98" s="40" t="s">
        <v>187</v>
      </c>
      <c r="O98" s="40" t="s">
        <v>167</v>
      </c>
      <c r="P98" s="40" t="s">
        <v>184</v>
      </c>
      <c r="Q98" s="40" t="s">
        <v>185</v>
      </c>
      <c r="R98" s="40" t="s">
        <v>186</v>
      </c>
      <c r="S98" s="40" t="s">
        <v>187</v>
      </c>
    </row>
    <row r="99" spans="4:22" ht="20"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 customHeight="1" x14ac:dyDescent="0.25"/>
    <row r="101" spans="4:22" ht="20" customHeight="1" x14ac:dyDescent="0.25">
      <c r="D101" s="100" t="s">
        <v>214</v>
      </c>
      <c r="O101" s="100" t="s">
        <v>216</v>
      </c>
    </row>
    <row r="102" spans="4:22" ht="20" customHeight="1" x14ac:dyDescent="0.25">
      <c r="D102" s="99" t="s">
        <v>215</v>
      </c>
      <c r="O102" s="99" t="s">
        <v>217</v>
      </c>
    </row>
    <row r="103" spans="4:22" ht="20"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 customHeight="1" x14ac:dyDescent="0.25"/>
    <row r="106" spans="4:22" ht="20" customHeight="1" x14ac:dyDescent="0.25">
      <c r="D106" s="100" t="s">
        <v>218</v>
      </c>
    </row>
    <row r="107" spans="4:22" ht="20" customHeight="1" x14ac:dyDescent="0.25">
      <c r="D107" s="99" t="s">
        <v>219</v>
      </c>
    </row>
    <row r="108" spans="4:22" ht="20" customHeight="1" x14ac:dyDescent="0.25">
      <c r="D108" s="52" t="s">
        <v>167</v>
      </c>
      <c r="E108" s="52" t="s">
        <v>184</v>
      </c>
      <c r="F108" s="52" t="s">
        <v>185</v>
      </c>
      <c r="G108" s="52" t="s">
        <v>186</v>
      </c>
      <c r="H108" s="52" t="s">
        <v>187</v>
      </c>
    </row>
    <row r="109" spans="4:22" ht="20"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 customHeight="1" x14ac:dyDescent="0.25"/>
    <row r="111" spans="4:22" ht="20" customHeight="1" x14ac:dyDescent="0.25">
      <c r="D111" s="100" t="s">
        <v>107</v>
      </c>
      <c r="O111" s="100" t="s">
        <v>109</v>
      </c>
    </row>
    <row r="112" spans="4:22" ht="20" customHeight="1" x14ac:dyDescent="0.25">
      <c r="D112" s="99" t="s">
        <v>233</v>
      </c>
      <c r="O112" s="99" t="s">
        <v>232</v>
      </c>
    </row>
    <row r="113" spans="3:23" ht="20"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 customHeight="1" x14ac:dyDescent="0.25"/>
    <row r="116" spans="3:23" ht="20" customHeight="1" x14ac:dyDescent="0.25"/>
    <row r="117" spans="3:23" ht="20"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 customHeight="1" x14ac:dyDescent="0.25">
      <c r="D118" s="6" t="str" cm="1">
        <f t="array" ref="D118">MMS_Dairy_Methane_Equations.VEERG_4_3_1_1__3_VolatileSolidsForWeanedDairyCattle_Title()</f>
        <v>Volatile solids for weaned dairy cattle</v>
      </c>
    </row>
    <row r="119" spans="3:23" ht="20" customHeight="1" x14ac:dyDescent="0.25">
      <c r="D119" s="5" t="str" cm="1">
        <f t="array" ref="D119">MMS_Dairy_Methane_Equations.VEERG_4_3_1_1__3_VolatileSolidsForWeanedDairyCattle_Source()</f>
        <v>VEERG 2026: 4.3.1.1, Equation (3)</v>
      </c>
    </row>
    <row r="120" spans="3:23" ht="20" customHeight="1" x14ac:dyDescent="0.25">
      <c r="D120" s="13" t="s">
        <v>25</v>
      </c>
      <c r="E120" s="13" t="str" cm="1">
        <f t="array" aca="1" ref="E120" ca="1">Common_InputFunctions.Utility_DisplayFunctionName(D133)</f>
        <v>=MMS_Dairy_Methane_Equations.VEERG_4_3_1_1__3_VolatileSolidsForWeanedDairyCattle</v>
      </c>
    </row>
    <row r="121" spans="3:23" ht="20" customHeight="1" x14ac:dyDescent="0.25"/>
    <row r="122" spans="3:23" ht="20" customHeight="1" x14ac:dyDescent="0.25"/>
    <row r="123" spans="3:23" ht="20" customHeight="1" x14ac:dyDescent="0.25">
      <c r="D123" s="54" t="s">
        <v>28</v>
      </c>
      <c r="E123" s="1" t="str" cm="1">
        <f t="array" ref="E123">MMS_Dairy_Methane_Equations.VEERG_4_3_1_1__3_VolatileSolidsForWeanedDairyCattle_Variable()</f>
        <v>VS_j</v>
      </c>
    </row>
    <row r="124" spans="3:23" ht="20" customHeight="1" x14ac:dyDescent="0.25">
      <c r="D124" s="54" t="s">
        <v>18</v>
      </c>
      <c r="E124" s="55" t="str" cm="1">
        <f t="array" ref="E124">MMS_Dairy_Methane_Equations.VEERG_4_3_1_1__3_VolatileSolidsForWeanedDairyCattle_Unit()</f>
        <v>kg/head/day</v>
      </c>
    </row>
    <row r="125" spans="3:23" ht="20" customHeight="1" x14ac:dyDescent="0.25"/>
    <row r="126" spans="3:23" ht="20"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 customHeight="1" x14ac:dyDescent="0.25">
      <c r="D128" s="133" t="str">
        <v>A</v>
      </c>
      <c r="E128" s="132" t="str">
        <v>ash content of feed intake</v>
      </c>
      <c r="F128" s="134"/>
      <c r="G128" s="133" t="str">
        <v>fraction</v>
      </c>
      <c r="H128" s="129" t="str">
        <v>Constant</v>
      </c>
      <c r="I128" s="133">
        <f>SourceData_Dairy_AshContent_Data</f>
        <v>0.08</v>
      </c>
    </row>
    <row r="129" spans="3:23" ht="20" customHeight="1" x14ac:dyDescent="0.25"/>
    <row r="130" spans="3:23" ht="20" customHeight="1" x14ac:dyDescent="0.25">
      <c r="D130" s="100" t="s">
        <v>120</v>
      </c>
      <c r="O130" s="100" t="s">
        <v>123</v>
      </c>
    </row>
    <row r="131" spans="3:23" ht="20" customHeight="1" x14ac:dyDescent="0.25">
      <c r="D131" s="99" t="s">
        <v>234</v>
      </c>
      <c r="O131" s="99" t="s">
        <v>235</v>
      </c>
    </row>
    <row r="132" spans="3:23" ht="20"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 customHeight="1" x14ac:dyDescent="0.25"/>
    <row r="135" spans="3:23" ht="20" customHeight="1" x14ac:dyDescent="0.25"/>
    <row r="136" spans="3:23" ht="20"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 customHeight="1" x14ac:dyDescent="0.25">
      <c r="D137" s="6" t="str" cm="1">
        <f t="array" ref="D137">MMS_Dairy_Methane_Equations.VEERG_4_3_1_1__4_FractionVolatileSolidsNotSolidStorage_Title()</f>
        <v>Fraction of volatile solids in each system other than solid storage</v>
      </c>
    </row>
    <row r="138" spans="3:23" ht="20" customHeight="1" x14ac:dyDescent="0.25">
      <c r="D138" s="5" t="str" cm="1">
        <f t="array" ref="D138">MMS_Dairy_Methane_Equations.VEERG_4_3_1_1__4_FractionVolatileSolidsNotSolidStorage_Source()</f>
        <v>VEERG 2026: 4.3.1.1, Equation (4)</v>
      </c>
      <c r="E138" s="13"/>
    </row>
    <row r="139" spans="3:23" ht="20" customHeight="1" x14ac:dyDescent="0.25">
      <c r="D139" s="13" t="s">
        <v>25</v>
      </c>
      <c r="E139" s="13" t="str" cm="1">
        <f t="array" aca="1" ref="E139" ca="1">Common_InputFunctions.Utility_DisplayFunctionName(F174)</f>
        <v>=MMS_Dairy_Methane_Equations.VEERG_4_3_1_1__4_FractionVolatileSolidsNotSolidStorage</v>
      </c>
    </row>
    <row r="140" spans="3:23" ht="20" customHeight="1" x14ac:dyDescent="0.25">
      <c r="D140" s="6"/>
    </row>
    <row r="141" spans="3:23" ht="20" customHeight="1" x14ac:dyDescent="0.25"/>
    <row r="142" spans="3:23" ht="20" customHeight="1" x14ac:dyDescent="0.25">
      <c r="D142" s="54" t="s">
        <v>28</v>
      </c>
      <c r="E142" s="1" t="str" cm="1">
        <f t="array" ref="E142">MMS_Dairy_Methane_Equations.VEERG_4_3_1_1__4_FractionVolatileSolidsNotSolidStorage_Variable()</f>
        <v>FVS_jm</v>
      </c>
    </row>
    <row r="143" spans="3:23" ht="20" customHeight="1" x14ac:dyDescent="0.25">
      <c r="D143" s="54" t="s">
        <v>18</v>
      </c>
      <c r="E143" s="55" t="str" cm="1">
        <f t="array" ref="E143">MMS_Dairy_Methane_Equations.VEERG_4_3_1_1__4_FractionVolatileSolidsNotSolidStorage_Unit()</f>
        <v>fraction</v>
      </c>
    </row>
    <row r="144" spans="3:23" ht="20" customHeight="1" x14ac:dyDescent="0.25"/>
    <row r="145" spans="4:22" ht="20"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 customHeight="1" x14ac:dyDescent="0.25"/>
    <row r="148" spans="4:22" ht="20" customHeight="1" x14ac:dyDescent="0.25">
      <c r="D148" s="100" t="s">
        <v>240</v>
      </c>
      <c r="O148" s="100" t="s">
        <v>242</v>
      </c>
    </row>
    <row r="149" spans="4:22" ht="20" customHeight="1" x14ac:dyDescent="0.25">
      <c r="D149" s="99" t="s">
        <v>241</v>
      </c>
      <c r="O149" s="99" t="s">
        <v>243</v>
      </c>
    </row>
    <row r="150" spans="4:22" ht="20"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 customHeight="1" x14ac:dyDescent="0.25"/>
    <row r="159" spans="4:22" ht="20" customHeight="1" x14ac:dyDescent="0.25">
      <c r="D159" s="100" t="s">
        <v>238</v>
      </c>
      <c r="O159" s="100" t="s">
        <v>244</v>
      </c>
    </row>
    <row r="160" spans="4:22" ht="20" customHeight="1" x14ac:dyDescent="0.25">
      <c r="D160" s="99" t="s">
        <v>247</v>
      </c>
      <c r="O160" s="99" t="s">
        <v>248</v>
      </c>
    </row>
    <row r="161" spans="4:22" ht="20" customHeight="1" x14ac:dyDescent="0.25">
      <c r="D161" s="40" t="s">
        <v>142</v>
      </c>
      <c r="E161" s="40" t="s">
        <v>66</v>
      </c>
      <c r="F161" s="40" t="s">
        <v>239</v>
      </c>
      <c r="O161" s="40" t="s">
        <v>142</v>
      </c>
      <c r="P161" s="40" t="s">
        <v>66</v>
      </c>
      <c r="Q161" s="40" t="s">
        <v>239</v>
      </c>
    </row>
    <row r="162" spans="4:22" ht="20"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 customHeight="1" x14ac:dyDescent="0.25"/>
    <row r="170" spans="4:22" ht="20" customHeight="1" x14ac:dyDescent="0.25">
      <c r="D170" s="100" t="s">
        <v>237</v>
      </c>
      <c r="O170" s="100" t="s">
        <v>237</v>
      </c>
    </row>
    <row r="171" spans="4:22" ht="20" customHeight="1" x14ac:dyDescent="0.25">
      <c r="D171" s="99" t="s">
        <v>236</v>
      </c>
      <c r="O171" s="99" t="s">
        <v>447</v>
      </c>
    </row>
    <row r="172" spans="4:22" ht="20"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 customHeight="1" x14ac:dyDescent="0.25"/>
    <row r="181" spans="1:23" ht="20" customHeight="1" x14ac:dyDescent="0.25"/>
    <row r="182" spans="1:23" ht="20"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 customHeight="1" x14ac:dyDescent="0.25">
      <c r="D183" s="6" t="str" cm="1">
        <f t="array" ref="D183">MMS_Dairy_Methane_Equations.VEERG_4_3_1_1__5_FractionVolatileSolidsSolidStorage_Title()</f>
        <v>Fraction of volatile solids in solid storage</v>
      </c>
    </row>
    <row r="184" spans="1:23" ht="20" customHeight="1" x14ac:dyDescent="0.25">
      <c r="D184" s="5" t="str" cm="1">
        <f t="array" ref="D184">MMS_Dairy_Methane_Equations.VEERG_4_3_1_1__5_FractionVolatileSolidsSolidStorage_Source()</f>
        <v>VEERG 2026: 4.3.1.1, Equation (5)</v>
      </c>
    </row>
    <row r="185" spans="1:23" ht="20" customHeight="1" x14ac:dyDescent="0.25">
      <c r="D185" s="56" t="str" cm="1">
        <f t="array" ref="D185">MMS_Dairy_Methane_Equations.VEERG_4_3_1_1__5_FractionVolatileSolidsSolidStorage_Variation()</f>
        <v>Used separate variables for MMS and SS m 1, 7 and 9.</v>
      </c>
    </row>
    <row r="186" spans="1:23" ht="20" customHeight="1" x14ac:dyDescent="0.25">
      <c r="D186" s="13" t="s">
        <v>25</v>
      </c>
      <c r="E186" s="13" t="str" cm="1">
        <f t="array" aca="1" ref="E186" ca="1">Common_InputFunctions.Utility_DisplayFunctionName($F$205)</f>
        <v>=MMS_Dairy_Methane_Equations.VEERG_4_3_1_1__5_FractionVolatileSolidsSolidStorageVariation</v>
      </c>
    </row>
    <row r="187" spans="1:23" ht="20" customHeight="1" x14ac:dyDescent="0.25"/>
    <row r="188" spans="1:23" ht="20" customHeight="1" x14ac:dyDescent="0.25">
      <c r="D188" s="6"/>
    </row>
    <row r="189" spans="1:23" ht="20" customHeight="1" x14ac:dyDescent="0.25">
      <c r="D189" s="54" t="s">
        <v>28</v>
      </c>
      <c r="E189" s="1" t="str" cm="1">
        <f t="array" ref="E189">MMS_Dairy_Methane_Equations.VEERG_4_3_1_1__5_FractionVolatileSolidsSolidStorage_Variable()</f>
        <v>FVS_jm4</v>
      </c>
    </row>
    <row r="190" spans="1:23" ht="20" customHeight="1" x14ac:dyDescent="0.25">
      <c r="D190" s="54" t="s">
        <v>18</v>
      </c>
      <c r="E190" s="55" t="str" cm="1">
        <f t="array" ref="E190">MMS_Dairy_Methane_Equations.VEERG_4_3_1_1__5_FractionVolatileSolidsSolidStorage_Unit()</f>
        <v>fraction</v>
      </c>
    </row>
    <row r="191" spans="1:23" ht="20" customHeight="1" x14ac:dyDescent="0.25"/>
    <row r="192" spans="1:23" ht="20"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 customHeight="1" x14ac:dyDescent="0.25"/>
    <row r="196" spans="4:22" ht="20" customHeight="1" x14ac:dyDescent="0.25">
      <c r="D196" s="100" t="s">
        <v>245</v>
      </c>
      <c r="O196" s="100" t="s">
        <v>251</v>
      </c>
    </row>
    <row r="197" spans="4:22" ht="20" customHeight="1" x14ac:dyDescent="0.25">
      <c r="D197" s="99" t="s">
        <v>246</v>
      </c>
      <c r="O197" s="99" t="s">
        <v>252</v>
      </c>
    </row>
    <row r="198" spans="4:22" ht="20"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 customHeight="1" x14ac:dyDescent="0.25"/>
    <row r="202" spans="4:22" ht="20" customHeight="1" x14ac:dyDescent="0.25">
      <c r="D202" s="100" t="s">
        <v>249</v>
      </c>
      <c r="O202" s="100" t="s">
        <v>253</v>
      </c>
    </row>
    <row r="203" spans="4:22" ht="20" customHeight="1" x14ac:dyDescent="0.25">
      <c r="D203" s="99" t="s">
        <v>250</v>
      </c>
      <c r="O203" s="99" t="s">
        <v>254</v>
      </c>
    </row>
    <row r="204" spans="4:22" ht="20"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 customHeight="1" x14ac:dyDescent="0.25"/>
    <row r="208" spans="4:22" ht="20" customHeight="1" x14ac:dyDescent="0.25"/>
    <row r="209" spans="1:23" ht="20"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 customHeight="1" x14ac:dyDescent="0.25">
      <c r="D210" s="6" t="str" cm="1">
        <f t="array" ref="D210">MMS_Dairy_Methane_Equations.VEERG_4_3_1_1__2_MethaneFromManureProduction_Title()</f>
        <v>Methane from manure production from weaned dairy cattle</v>
      </c>
    </row>
    <row r="211" spans="1:23" ht="20" customHeight="1" x14ac:dyDescent="0.25">
      <c r="D211" s="5" t="str" cm="1">
        <f t="array" ref="D211">MMS_Dairy_Methane_Equations.VEERG_4_3_1_1__2_MethaneFromManureProduction_Source()</f>
        <v>VEERG 2026: 4.3.1.1, Equation (2)</v>
      </c>
    </row>
    <row r="212" spans="1:23" ht="20" customHeight="1" x14ac:dyDescent="0.25">
      <c r="D212" s="13" t="s">
        <v>25</v>
      </c>
      <c r="E212" s="13" t="str" cm="1">
        <f t="array" aca="1" ref="E212" ca="1">Common_InputFunctions.Utility_DisplayFunctionName($F$238)</f>
        <v>=MMS_Dairy_Methane_Equations.VEERG_4_3_1_1__2_MethaneFromManureProduction</v>
      </c>
    </row>
    <row r="213" spans="1:23" ht="20" customHeight="1" x14ac:dyDescent="0.25"/>
    <row r="214" spans="1:23" ht="20" customHeight="1" x14ac:dyDescent="0.25">
      <c r="D214" s="6"/>
    </row>
    <row r="215" spans="1:23" ht="20" customHeight="1" x14ac:dyDescent="0.25">
      <c r="D215" s="54" t="s">
        <v>28</v>
      </c>
      <c r="E215" s="1" t="str" cm="1">
        <f t="array" ref="E215">MMS_Dairy_Methane_Equations.VEERG_4_3_1_1__2_MethaneFromManureProduction_Variable()</f>
        <v>M_jm</v>
      </c>
    </row>
    <row r="216" spans="1:23" ht="20" customHeight="1" x14ac:dyDescent="0.25">
      <c r="D216" s="54" t="s">
        <v>18</v>
      </c>
      <c r="E216" s="55" t="str" cm="1">
        <f t="array" ref="E216">MMS_Dairy_Methane_Equations.VEERG_4_3_1_1__2_MethaneFromManureProduction_Unit()</f>
        <v>kg CH4/head/day</v>
      </c>
    </row>
    <row r="217" spans="1:23" ht="20" customHeight="1" x14ac:dyDescent="0.25">
      <c r="A217" s="137" t="str">
        <f>HYPERLINK("#A1", "▲ Back to top")</f>
        <v>▲ Back to top</v>
      </c>
    </row>
    <row r="218" spans="1:23" ht="20"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 customHeight="1" x14ac:dyDescent="0.25"/>
    <row r="225" spans="4:22" ht="20" customHeight="1" x14ac:dyDescent="0.25">
      <c r="D225" s="124" t="s">
        <v>255</v>
      </c>
      <c r="O225" s="124" t="s">
        <v>411</v>
      </c>
    </row>
    <row r="226" spans="4:22" ht="20" customHeight="1" x14ac:dyDescent="0.25">
      <c r="D226" s="125" t="s">
        <v>256</v>
      </c>
      <c r="O226" s="125" t="s">
        <v>412</v>
      </c>
    </row>
    <row r="227" spans="4:22" ht="20" customHeight="1" x14ac:dyDescent="0.25">
      <c r="D227" s="52" t="s">
        <v>66</v>
      </c>
      <c r="E227" s="52" t="s">
        <v>94</v>
      </c>
      <c r="O227" s="52" t="s">
        <v>66</v>
      </c>
      <c r="P227" s="52" t="s">
        <v>94</v>
      </c>
    </row>
    <row r="228" spans="4:22" ht="20"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 customHeight="1" x14ac:dyDescent="0.25"/>
    <row r="234" spans="4:22" ht="20" customHeight="1" x14ac:dyDescent="0.25">
      <c r="D234" s="124" t="s">
        <v>257</v>
      </c>
      <c r="O234" s="124" t="s">
        <v>271</v>
      </c>
    </row>
    <row r="235" spans="4:22" ht="20" customHeight="1" x14ac:dyDescent="0.25">
      <c r="D235" s="125" t="s">
        <v>273</v>
      </c>
      <c r="O235" s="125" t="s">
        <v>272</v>
      </c>
    </row>
    <row r="236" spans="4:22" ht="20"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 customHeight="1" x14ac:dyDescent="0.25"/>
    <row r="247" spans="3:23" ht="20" customHeight="1" x14ac:dyDescent="0.25"/>
    <row r="248" spans="3:23" ht="20"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 customHeight="1" x14ac:dyDescent="0.25">
      <c r="D249" s="6" t="str" cm="1">
        <f t="array" ref="D249">MMS_Dairy_Methane_Equations.VEERG_4_3_1_1__1_TotalAnnualMethaneFromManureManagement_Title()</f>
        <v>Total annual methane production from manure management</v>
      </c>
    </row>
    <row r="250" spans="3:23" ht="20" customHeight="1" x14ac:dyDescent="0.25">
      <c r="D250" s="5" t="str" cm="1">
        <f t="array" ref="D250">MMS_Dairy_Methane_Equations.VEERG_4_3_1_1__1_TotalAnnualMethaneFromManureManagement_Source()</f>
        <v>VEERG 2026: 4.3.1.1, Equation (1)</v>
      </c>
    </row>
    <row r="251" spans="3:23" ht="20"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 customHeight="1" x14ac:dyDescent="0.25">
      <c r="D252" s="13" t="s">
        <v>25</v>
      </c>
      <c r="E252" s="13" t="str" cm="1">
        <f t="array" aca="1" ref="E252" ca="1">Common_InputFunctions.Utility_DisplayFunctionName($F$291)</f>
        <v>=MMS_Dairy_Methane_Equations.VEERG_4_3_1_1__1_TotalAnnualMethaneFromManureManagementVariation</v>
      </c>
    </row>
    <row r="253" spans="3:23" ht="20" customHeight="1" x14ac:dyDescent="0.25">
      <c r="D253" s="6"/>
    </row>
    <row r="254" spans="3:23" ht="20" customHeight="1" x14ac:dyDescent="0.25">
      <c r="D254" s="6"/>
    </row>
    <row r="255" spans="3:23" ht="20" customHeight="1" x14ac:dyDescent="0.25">
      <c r="D255" s="54" t="s">
        <v>28</v>
      </c>
      <c r="E255" s="1" t="str" cm="1">
        <f t="array" ref="E255">MMS_Dairy_Methane_Equations.VEERG_4_3_1_1__1_TotalAnnualMethaneFromManureManagement_Variable()</f>
        <v>E_CH4</v>
      </c>
    </row>
    <row r="256" spans="3:23" ht="20" customHeight="1" x14ac:dyDescent="0.25">
      <c r="D256" s="54" t="s">
        <v>18</v>
      </c>
      <c r="E256" s="55" t="str" cm="1">
        <f t="array" ref="E256">MMS_Dairy_Methane_Equations.VEERG_4_3_1_1__1_TotalAnnualMethaneFromManureManagement_Unit()</f>
        <v>t CH4</v>
      </c>
    </row>
    <row r="257" spans="4:15" ht="20" customHeight="1" x14ac:dyDescent="0.25"/>
    <row r="258" spans="4:15" ht="20"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 customHeight="1" x14ac:dyDescent="0.25"/>
    <row r="267" spans="4:15" ht="20" customHeight="1" x14ac:dyDescent="0.25">
      <c r="D267" s="100" t="s">
        <v>102</v>
      </c>
    </row>
    <row r="268" spans="4:15" ht="20" customHeight="1" x14ac:dyDescent="0.25">
      <c r="D268" s="99" t="s">
        <v>258</v>
      </c>
    </row>
    <row r="269" spans="4:15" ht="20" customHeight="1" x14ac:dyDescent="0.25">
      <c r="D269" s="40" t="s">
        <v>167</v>
      </c>
      <c r="E269" s="40" t="s">
        <v>184</v>
      </c>
      <c r="F269" s="40" t="s">
        <v>185</v>
      </c>
      <c r="G269" s="40" t="s">
        <v>186</v>
      </c>
      <c r="H269" s="40" t="s">
        <v>187</v>
      </c>
    </row>
    <row r="270" spans="4:15" ht="20"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 customHeight="1" x14ac:dyDescent="0.25"/>
    <row r="272" spans="4:15" x14ac:dyDescent="0.25" ht="20" customHeight="1">
      <c r="D272" s="100" t="s">
        <v>259</v>
      </c>
      <c r="O272" s="100" t="s">
        <v>269</v>
      </c>
    </row>
    <row r="273" spans="1:20" x14ac:dyDescent="0.25" ht="20" customHeight="1">
      <c r="D273" s="99" t="s">
        <v>267</v>
      </c>
      <c r="O273" s="99" t="s">
        <v>270</v>
      </c>
    </row>
    <row r="274" spans="1:20" x14ac:dyDescent="0.25" ht="20" customHeight="1">
      <c r="D274" s="40" t="s">
        <v>167</v>
      </c>
      <c r="E274" s="40" t="s">
        <v>184</v>
      </c>
      <c r="F274" s="40" t="s">
        <v>185</v>
      </c>
      <c r="G274" s="40" t="s">
        <v>186</v>
      </c>
      <c r="H274" s="40" t="s">
        <v>187</v>
      </c>
      <c r="O274" s="40" t="s">
        <v>167</v>
      </c>
      <c r="P274" s="40" t="s">
        <v>184</v>
      </c>
      <c r="Q274" s="40" t="s">
        <v>185</v>
      </c>
      <c r="R274" s="40" t="s">
        <v>186</v>
      </c>
      <c r="S274" s="40" t="s">
        <v>187</v>
      </c>
    </row>
    <row r="275" spans="1:20" x14ac:dyDescent="0.25" ht="20" customHeight="1">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ht="20" customHeight="1">
      <c r="D277" s="100" t="s">
        <v>261</v>
      </c>
    </row>
    <row r="278" spans="1:20" x14ac:dyDescent="0.25" ht="20" customHeight="1">
      <c r="D278" s="99" t="s">
        <v>262</v>
      </c>
    </row>
    <row r="279" spans="1:20" x14ac:dyDescent="0.25" ht="20" customHeight="1">
      <c r="D279" s="52" t="s">
        <v>167</v>
      </c>
      <c r="E279" s="52" t="s">
        <v>184</v>
      </c>
      <c r="F279" s="52" t="s">
        <v>185</v>
      </c>
      <c r="G279" s="52" t="s">
        <v>186</v>
      </c>
      <c r="H279" s="52" t="s">
        <v>187</v>
      </c>
    </row>
    <row r="280" spans="1:20" x14ac:dyDescent="0.25" ht="20" customHeight="1">
      <c r="D280" s="53">
        <v>0</v>
      </c>
      <c r="E280" s="53">
        <v>0</v>
      </c>
      <c r="F280" s="53">
        <f>'Constants - Dairy'!$E$63</f>
        <v>1.7600000000000001E-2</v>
      </c>
      <c r="G280" s="53">
        <v>0</v>
      </c>
      <c r="H280" s="53">
        <f>'Constants - Dairy'!$E$64</f>
        <v>2.0400000000000001E-2</v>
      </c>
      <c r="I280" s="2" t="s">
        <v>264</v>
      </c>
    </row>
    <row r="282" spans="1:20" x14ac:dyDescent="0.25" ht="20" customHeight="1">
      <c r="D282" s="100" t="s">
        <v>260</v>
      </c>
      <c r="O282" s="100" t="s">
        <v>260</v>
      </c>
    </row>
    <row r="283" spans="1:20" x14ac:dyDescent="0.25" ht="20" customHeight="1">
      <c r="D283" s="99" t="s">
        <v>268</v>
      </c>
      <c r="O283" s="99" t="s">
        <v>268</v>
      </c>
    </row>
    <row r="284" spans="1:20" x14ac:dyDescent="0.25" ht="20" customHeight="1">
      <c r="D284" s="52" t="s">
        <v>167</v>
      </c>
      <c r="E284" s="52" t="s">
        <v>184</v>
      </c>
      <c r="F284" s="52" t="s">
        <v>185</v>
      </c>
      <c r="G284" s="52" t="s">
        <v>186</v>
      </c>
      <c r="H284" s="52" t="s">
        <v>187</v>
      </c>
      <c r="O284" s="40" t="s">
        <v>167</v>
      </c>
      <c r="P284" s="40" t="s">
        <v>184</v>
      </c>
      <c r="Q284" s="40" t="s">
        <v>185</v>
      </c>
      <c r="R284" s="40" t="s">
        <v>186</v>
      </c>
      <c r="S284" s="40" t="s">
        <v>187</v>
      </c>
    </row>
    <row r="285" spans="1:20" x14ac:dyDescent="0.25" ht="20" customHeight="1">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ht="20" customHeight="1">
      <c r="D287" s="100" t="s">
        <v>263</v>
      </c>
      <c r="O287" s="100" t="s">
        <v>263</v>
      </c>
    </row>
    <row r="288" spans="1:20" x14ac:dyDescent="0.25" ht="20" customHeight="1">
      <c r="D288" s="99" t="s">
        <v>274</v>
      </c>
      <c r="O288" s="99" t="s">
        <v>446</v>
      </c>
    </row>
    <row r="289" spans="4:21" x14ac:dyDescent="0.25" ht="20" customHeight="1">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ht="20" customHeight="1">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ht="20" customHeight="1">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ht="20" customHeight="1">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ht="20" customHeight="1">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ht="20" customHeight="1">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ht="20" customHeight="1">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ht="20" customHeight="1">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ht="20" customHeight="1">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ht="20" customHeight="1">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 x14ac:dyDescent="0.25" customHeight="1">
      <c r="D300" s="104" t="s">
        <v>124</v>
      </c>
      <c r="E300" s="105">
        <f ca="1">SUM(F290:J298)</f>
        <v>10.314345551795777</v>
      </c>
      <c r="F300" s="106" t="str">
        <f>$E$256</f>
        <v>t CH4</v>
      </c>
      <c r="O300" s="104" t="s">
        <v>415</v>
      </c>
      <c r="P300" s="105">
        <f ca="1">SUM(Q290:U298)</f>
        <v>10.64070664267806</v>
      </c>
      <c r="Q300" s="106" t="str">
        <f>$E$256</f>
        <v>t CH4</v>
      </c>
    </row>
    <row r="302" spans="4:21" x14ac:dyDescent="0.25" ht="20" customHeight="1">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ht="20" customHeight="1">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20" x14ac:dyDescent="0.25" customHeight="1">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2"/>
  <sheetViews>
    <sheetView showGridLines="0" tabSelected="1" topLeftCell="H228" zoomScaleNormal="100" workbookViewId="0">
      <selection activeCell="S246" sqref="S246"/>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 customHeight="1" x14ac:dyDescent="0.25">
      <c r="A2"/>
    </row>
    <row r="3" spans="1:21" ht="20"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c r="D5" s="6" t="str" cm="1">
        <f t="array" ref="D5">MMS_Dairy_N2ODirect_Equations.VEERG_4_3_1_3__8_RelativeSize_Title()</f>
        <v>Relative size</v>
      </c>
    </row>
    <row r="6" spans="1:21" ht="20" customHeight="1" x14ac:dyDescent="0.25">
      <c r="D6" s="5" t="str" cm="1">
        <f t="array" ref="D6">MMS_Dairy_N2ODirect_Equations.VEERG_4_3_1_3__8_RelativeSize_Source()</f>
        <v>VEERG 2026: 4.3.1.3, Equation (8)</v>
      </c>
    </row>
    <row r="7" spans="1:21" ht="20" customHeight="1" x14ac:dyDescent="0.25">
      <c r="D7" s="13" t="s">
        <v>25</v>
      </c>
      <c r="E7" s="13" t="str" cm="1">
        <f t="array" aca="1" ref="E7" ca="1">Common_InputFunctions.Utility_DisplayFunctionName(D29)</f>
        <v>=MMS_Dairy_N2ODirect_Equations.VEERG_4_3_1_3__8_RelativeSize</v>
      </c>
    </row>
    <row r="8" spans="1:21" ht="20" customHeight="1" x14ac:dyDescent="0.25">
      <c r="A8" s="19" t="s">
        <v>0</v>
      </c>
    </row>
    <row r="9" spans="1:21" ht="20" customHeight="1" x14ac:dyDescent="0.25">
      <c r="A9" s="17" t="str">
        <f>HYPERLINK("#'Input - Site'!A1", "Site")</f>
        <v>Site</v>
      </c>
    </row>
    <row r="10" spans="1:21" ht="20" customHeight="1" x14ac:dyDescent="0.25">
      <c r="A10" s="17" t="str">
        <f>HYPERLINK("#'Input - Dairy'!A1", "Dairy")</f>
        <v>Dairy</v>
      </c>
      <c r="D10" s="54" t="s">
        <v>28</v>
      </c>
      <c r="E10" s="1" t="str" cm="1">
        <f t="array" ref="E10">MMS_Dairy_N2ODirect_Equations.VEERG_4_3_1_3__8_RelativeSize_Variable()</f>
        <v>Z_j</v>
      </c>
    </row>
    <row r="11" spans="1:21" ht="20" customHeight="1" x14ac:dyDescent="0.25">
      <c r="D11" s="54" t="s">
        <v>18</v>
      </c>
      <c r="E11" s="55" t="str" cm="1">
        <f t="array" ref="E11">MMS_Dairy_N2ODirect_Equations.VEERG_4_3_1_3__8_RelativeSize_Unit()</f>
        <v>ratio</v>
      </c>
    </row>
    <row r="12" spans="1:21" ht="20" customHeight="1" x14ac:dyDescent="0.25"/>
    <row r="13" spans="1:21" ht="20"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 customHeight="1" x14ac:dyDescent="0.25">
      <c r="A15" s="21" t="str">
        <f>HYPERLINK("#'4.3.1.3-4 Direct N20'!A1", "4.3.1.3-4 Direct N20")</f>
        <v>4.3.1.3-4 Direct N20</v>
      </c>
    </row>
    <row r="16" spans="1:21" ht="20" customHeight="1" x14ac:dyDescent="0.25">
      <c r="A16" s="17" t="str">
        <f>HYPERLINK("#'4.3.1.5 Atmos deposition'!A1", "4.3.1.5 Atmos deposition")</f>
        <v>4.3.1.5 Atmos deposition</v>
      </c>
      <c r="D16" s="100" t="s">
        <v>210</v>
      </c>
      <c r="N16" s="100" t="s">
        <v>212</v>
      </c>
    </row>
    <row r="17" spans="1:21" ht="20" customHeight="1" x14ac:dyDescent="0.25">
      <c r="A17" s="17" t="str">
        <f>HYPERLINK("#'4.3.1.6-7 Leaching and runoff'!A1", "4.3.1.6-7 Leaching and runoff")</f>
        <v>4.3.1.6-7 Leaching and runoff</v>
      </c>
      <c r="D17" s="99" t="s">
        <v>211</v>
      </c>
      <c r="N17" s="99" t="s">
        <v>213</v>
      </c>
    </row>
    <row r="18" spans="1:21" ht="20"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 customHeight="1" x14ac:dyDescent="0.25">
      <c r="A20" s="17" t="str">
        <f>HYPERLINK("#'4.3.1.10-11 Soil Atmos Dep'!A1", "4.3.1.10-11 Soil Atmos Dep")</f>
        <v>4.3.1.10-11 Soil Atmos Dep</v>
      </c>
    </row>
    <row r="21" spans="1:21" ht="20" customHeight="1" x14ac:dyDescent="0.25">
      <c r="A21" s="17" t="str">
        <f>HYPERLINK("#'4.3.1.12-13 Soil leach runoff'!A1", "4.3.1.12-13 Soil leach runoff")</f>
        <v>4.3.1.12-13 Soil leach runoff</v>
      </c>
      <c r="D21" s="100" t="s">
        <v>277</v>
      </c>
    </row>
    <row r="22" spans="1:21" ht="20" customHeight="1" x14ac:dyDescent="0.25">
      <c r="D22" s="99" t="s">
        <v>278</v>
      </c>
    </row>
    <row r="23" spans="1:21" ht="20" customHeight="1" x14ac:dyDescent="0.25">
      <c r="D23" s="52" t="s">
        <v>167</v>
      </c>
      <c r="E23" s="52" t="s">
        <v>184</v>
      </c>
      <c r="F23" s="52" t="s">
        <v>185</v>
      </c>
      <c r="G23" s="52" t="s">
        <v>186</v>
      </c>
      <c r="H23" s="52" t="s">
        <v>187</v>
      </c>
    </row>
    <row r="24" spans="1:21" ht="20"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 customHeight="1" x14ac:dyDescent="0.25">
      <c r="A25" s="17" t="str">
        <f>HYPERLINK("#'Constants - Dairy'!A1", "Constants - Dairy")</f>
        <v>Constants - Dairy</v>
      </c>
    </row>
    <row r="26" spans="1:21" ht="20" customHeight="1" x14ac:dyDescent="0.25">
      <c r="A26" s="17" t="str">
        <f>HYPERLINK("#'Constants - Common'!A1", "Constants - Common")</f>
        <v>Constants - Common</v>
      </c>
      <c r="D26" s="100" t="s">
        <v>279</v>
      </c>
      <c r="N26" s="100" t="s">
        <v>279</v>
      </c>
    </row>
    <row r="27" spans="1:21" ht="20" customHeight="1" x14ac:dyDescent="0.25">
      <c r="A27" s="17" t="str">
        <f>HYPERLINK("#'Constants - Livestock'!A1", "Constants - Livestock")</f>
        <v>Constants - Livestock</v>
      </c>
      <c r="D27" s="99" t="s">
        <v>280</v>
      </c>
      <c r="N27" s="99" t="s">
        <v>458</v>
      </c>
    </row>
    <row r="28" spans="1:21" ht="20"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 customHeight="1" x14ac:dyDescent="0.25"/>
    <row r="31" spans="1:21" ht="20" customHeight="1" x14ac:dyDescent="0.25"/>
    <row r="32" spans="1:21" ht="20" customHeight="1" x14ac:dyDescent="0.25">
      <c r="C32" s="46"/>
      <c r="D32" s="46"/>
      <c r="E32" s="46"/>
      <c r="F32" s="46"/>
      <c r="G32" s="46"/>
      <c r="H32" s="46"/>
      <c r="I32" s="46"/>
      <c r="J32" s="46"/>
      <c r="K32" s="46"/>
      <c r="M32" s="46"/>
      <c r="N32" s="46"/>
      <c r="O32" s="46"/>
      <c r="P32" s="46"/>
      <c r="Q32" s="46"/>
      <c r="R32" s="46"/>
      <c r="S32" s="46"/>
      <c r="T32" s="46"/>
      <c r="U32" s="46"/>
    </row>
    <row r="33" spans="4:14" ht="20" customHeight="1" x14ac:dyDescent="0.25">
      <c r="D33" s="6" t="str" cm="1">
        <f t="array" ref="D33">MMS_Dairy_N2ODirect_Equations.VEERG_4_3_1_3__7_IntakeRelativeToMaintenance_Title()</f>
        <v>Intake relative to maintenance</v>
      </c>
    </row>
    <row r="34" spans="4:14" ht="20" customHeight="1" x14ac:dyDescent="0.25">
      <c r="D34" s="5" t="str" cm="1">
        <f t="array" ref="D34">MMS_Dairy_N2ODirect_Equations.VEERG_4_3_1_3__7_IntakeRelativeToMaintenance_Source()</f>
        <v>VEERG 2026: 4.3.1.3, Equation (7)</v>
      </c>
    </row>
    <row r="35" spans="4:14" ht="20" customHeight="1" x14ac:dyDescent="0.25">
      <c r="D35" s="13" t="s">
        <v>25</v>
      </c>
      <c r="E35" s="13" t="str" cm="1">
        <f t="array" aca="1" ref="E35" ca="1">Common_InputFunctions.Utility_DisplayFunctionName(D65)</f>
        <v>=MMS_Dairy_N2ODirect_Equations.VEERG_4_3_1_3__7_IntakeRelativeToMaintenance</v>
      </c>
    </row>
    <row r="36" spans="4:14" ht="20" customHeight="1" x14ac:dyDescent="0.25"/>
    <row r="37" spans="4:14" ht="20" customHeight="1" x14ac:dyDescent="0.25">
      <c r="D37" s="6"/>
      <c r="F37" s="6"/>
    </row>
    <row r="38" spans="4:14" ht="20" customHeight="1" x14ac:dyDescent="0.25"/>
    <row r="39" spans="4:14" ht="20" customHeight="1" x14ac:dyDescent="0.25">
      <c r="D39" s="54" t="s">
        <v>28</v>
      </c>
      <c r="E39" s="1" t="str" cm="1">
        <f t="array" ref="E39">MMS_Dairy_N2ODirect_Equations.VEERG_4_3_1_3__7_IntakeRelativeToMaintenance_Variable()</f>
        <v>L_j</v>
      </c>
    </row>
    <row r="40" spans="4:14" ht="20" customHeight="1" x14ac:dyDescent="0.25">
      <c r="D40" s="54" t="s">
        <v>18</v>
      </c>
      <c r="E40" s="55" t="str" cm="1">
        <f t="array" ref="E40">MMS_Dairy_N2ODirect_Equations.VEERG_4_3_1_3__7_IntakeRelativeToMaintenance_Unit()</f>
        <v>ratio</v>
      </c>
    </row>
    <row r="41" spans="4:14" ht="20" customHeight="1" x14ac:dyDescent="0.25"/>
    <row r="42" spans="4:14" ht="20"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 customHeight="1" x14ac:dyDescent="0.25"/>
    <row r="47" spans="4:14" ht="20" customHeight="1" x14ac:dyDescent="0.25">
      <c r="D47" s="100" t="s">
        <v>107</v>
      </c>
      <c r="N47" s="100" t="s">
        <v>109</v>
      </c>
    </row>
    <row r="48" spans="4:14" ht="20" customHeight="1" x14ac:dyDescent="0.25">
      <c r="D48" s="99" t="s">
        <v>233</v>
      </c>
      <c r="N48" s="99" t="s">
        <v>232</v>
      </c>
    </row>
    <row r="49" spans="4:19" ht="20" customHeight="1" x14ac:dyDescent="0.25">
      <c r="D49" s="52" t="s">
        <v>167</v>
      </c>
      <c r="E49" s="52" t="s">
        <v>184</v>
      </c>
      <c r="F49" s="52" t="s">
        <v>185</v>
      </c>
      <c r="G49" s="52" t="s">
        <v>186</v>
      </c>
      <c r="H49" s="52" t="s">
        <v>187</v>
      </c>
      <c r="N49" s="52" t="s">
        <v>167</v>
      </c>
      <c r="O49" s="52" t="s">
        <v>184</v>
      </c>
      <c r="P49" s="52" t="s">
        <v>185</v>
      </c>
      <c r="Q49" s="52" t="s">
        <v>186</v>
      </c>
      <c r="R49" s="52" t="s">
        <v>187</v>
      </c>
    </row>
    <row r="50" spans="4:19" ht="20"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 customHeight="1" x14ac:dyDescent="0.25"/>
    <row r="52" spans="4:19" ht="20" customHeight="1" x14ac:dyDescent="0.25">
      <c r="D52" s="100" t="s">
        <v>218</v>
      </c>
    </row>
    <row r="53" spans="4:19" ht="20" customHeight="1" x14ac:dyDescent="0.25">
      <c r="D53" s="99" t="s">
        <v>219</v>
      </c>
    </row>
    <row r="54" spans="4:19" ht="20" customHeight="1" x14ac:dyDescent="0.25">
      <c r="D54" s="52" t="s">
        <v>167</v>
      </c>
      <c r="E54" s="52" t="s">
        <v>184</v>
      </c>
      <c r="F54" s="52" t="s">
        <v>185</v>
      </c>
      <c r="G54" s="52" t="s">
        <v>186</v>
      </c>
      <c r="H54" s="52" t="s">
        <v>187</v>
      </c>
    </row>
    <row r="55" spans="4:19" ht="20"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 customHeight="1" x14ac:dyDescent="0.25"/>
    <row r="57" spans="4:19" ht="20" customHeight="1" x14ac:dyDescent="0.25">
      <c r="D57" s="100" t="s">
        <v>225</v>
      </c>
    </row>
    <row r="58" spans="4:19" ht="20" customHeight="1" x14ac:dyDescent="0.25">
      <c r="D58" s="99" t="s">
        <v>226</v>
      </c>
    </row>
    <row r="59" spans="4:19" ht="20" customHeight="1" x14ac:dyDescent="0.25">
      <c r="D59" s="52" t="s">
        <v>167</v>
      </c>
      <c r="E59" s="52" t="s">
        <v>184</v>
      </c>
      <c r="F59" s="52" t="s">
        <v>185</v>
      </c>
      <c r="G59" s="52" t="s">
        <v>186</v>
      </c>
      <c r="H59" s="52" t="s">
        <v>187</v>
      </c>
    </row>
    <row r="60" spans="4:19" ht="20"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 customHeight="1" x14ac:dyDescent="0.25"/>
    <row r="62" spans="4:19" ht="20" customHeight="1" x14ac:dyDescent="0.25">
      <c r="D62" s="100" t="s">
        <v>281</v>
      </c>
      <c r="N62" s="100" t="s">
        <v>283</v>
      </c>
    </row>
    <row r="63" spans="4:19" ht="20" customHeight="1" x14ac:dyDescent="0.25">
      <c r="D63" s="99" t="s">
        <v>282</v>
      </c>
      <c r="N63" s="99" t="s">
        <v>284</v>
      </c>
    </row>
    <row r="64" spans="4:19" ht="20" customHeight="1" x14ac:dyDescent="0.25">
      <c r="D64" s="52" t="s">
        <v>167</v>
      </c>
      <c r="E64" s="52" t="s">
        <v>184</v>
      </c>
      <c r="F64" s="52" t="s">
        <v>185</v>
      </c>
      <c r="G64" s="52" t="s">
        <v>186</v>
      </c>
      <c r="H64" s="52" t="s">
        <v>187</v>
      </c>
      <c r="N64" s="52" t="s">
        <v>167</v>
      </c>
      <c r="O64" s="52" t="s">
        <v>184</v>
      </c>
      <c r="P64" s="52" t="s">
        <v>185</v>
      </c>
      <c r="Q64" s="52" t="s">
        <v>186</v>
      </c>
      <c r="R64" s="52" t="s">
        <v>187</v>
      </c>
    </row>
    <row r="65" spans="3:21" ht="20"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 customHeight="1" x14ac:dyDescent="0.25"/>
    <row r="67" spans="3:21" ht="20" customHeight="1" x14ac:dyDescent="0.25"/>
    <row r="68" spans="3:21" ht="20" customHeight="1" x14ac:dyDescent="0.25">
      <c r="C68" s="46"/>
      <c r="D68" s="46"/>
      <c r="E68" s="46"/>
      <c r="F68" s="46"/>
      <c r="G68" s="46"/>
      <c r="H68" s="46"/>
      <c r="I68" s="46"/>
      <c r="J68" s="46"/>
      <c r="K68" s="46"/>
      <c r="M68" s="46"/>
      <c r="N68" s="46"/>
      <c r="O68" s="46"/>
      <c r="P68" s="46"/>
      <c r="Q68" s="46"/>
      <c r="R68" s="46"/>
      <c r="S68" s="46"/>
      <c r="T68" s="46"/>
      <c r="U68" s="46"/>
    </row>
    <row r="69" spans="3:21" ht="20" customHeight="1" x14ac:dyDescent="0.25">
      <c r="D69" s="6" t="str" cm="1">
        <f t="array" ref="D69">MMS_Dairy_N2ODirect_Equations.VEERG_4_3_1_3__6_NitrogenRetainedByBody_Title()</f>
        <v>Amount of nitrogen retained by the body</v>
      </c>
    </row>
    <row r="70" spans="3:21" ht="20" customHeight="1" x14ac:dyDescent="0.25">
      <c r="D70" s="5" t="str" cm="1">
        <f t="array" ref="D70">MMS_Dairy_N2ODirect_Equations.VEERG_4_3_1_3__6_NitrogenRetainedByBody_Source()</f>
        <v>VEERG 2026: 4.3.1.3, Equation (6)</v>
      </c>
    </row>
    <row r="71" spans="3:21" ht="20"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 customHeight="1" x14ac:dyDescent="0.25">
      <c r="D72" s="13" t="s">
        <v>25</v>
      </c>
      <c r="E72" s="13" t="str" cm="1">
        <f t="array" aca="1" ref="E72" ca="1">Common_InputFunctions.Utility_DisplayFunctionName(D103)</f>
        <v>=MMS_Dairy_N2ODirect_Equations.VEERG_4_3_1_3__6_NitrogenRetainedByBody</v>
      </c>
    </row>
    <row r="73" spans="3:21" ht="20" customHeight="1" x14ac:dyDescent="0.25"/>
    <row r="74" spans="3:21" ht="20" customHeight="1" x14ac:dyDescent="0.25"/>
    <row r="75" spans="3:21" ht="20" customHeight="1" x14ac:dyDescent="0.25">
      <c r="D75" s="54" t="s">
        <v>28</v>
      </c>
      <c r="E75" s="1" t="str" cm="1">
        <f t="array" ref="E75">MMS_Dairy_N2ODirect_Equations.VEERG_4_3_1_3__6_NitrogenRetainedByBody_Variable()</f>
        <v>NR_j</v>
      </c>
    </row>
    <row r="76" spans="3:21" ht="20" customHeight="1" x14ac:dyDescent="0.25">
      <c r="D76" s="54" t="s">
        <v>18</v>
      </c>
      <c r="E76" s="55" t="str" cm="1">
        <f t="array" ref="E76">MMS_Dairy_N2ODirect_Equations.VEERG_4_3_1_3__6_NitrogenRetainedByBody_Unit()</f>
        <v>kg N/head/day</v>
      </c>
    </row>
    <row r="77" spans="3:21" ht="20" customHeight="1" x14ac:dyDescent="0.25"/>
    <row r="78" spans="3:21" ht="20"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 customHeight="1" x14ac:dyDescent="0.25"/>
    <row r="85" spans="4:19" ht="20" customHeight="1" x14ac:dyDescent="0.25">
      <c r="D85" s="100" t="s">
        <v>441</v>
      </c>
      <c r="N85" s="100" t="s">
        <v>443</v>
      </c>
    </row>
    <row r="86" spans="4:19" ht="20" customHeight="1" x14ac:dyDescent="0.25">
      <c r="D86" s="99" t="s">
        <v>442</v>
      </c>
      <c r="N86" s="99" t="s">
        <v>444</v>
      </c>
    </row>
    <row r="87" spans="4:19" ht="20" customHeight="1" x14ac:dyDescent="0.25">
      <c r="D87" s="52" t="s">
        <v>167</v>
      </c>
      <c r="E87" s="52" t="s">
        <v>184</v>
      </c>
      <c r="F87" s="52" t="s">
        <v>185</v>
      </c>
      <c r="G87" s="52" t="s">
        <v>186</v>
      </c>
      <c r="H87" s="52" t="s">
        <v>187</v>
      </c>
      <c r="N87" s="52" t="s">
        <v>167</v>
      </c>
      <c r="O87" s="52" t="s">
        <v>184</v>
      </c>
      <c r="P87" s="52" t="s">
        <v>185</v>
      </c>
      <c r="Q87" s="52" t="s">
        <v>186</v>
      </c>
      <c r="R87" s="52" t="s">
        <v>187</v>
      </c>
    </row>
    <row r="88" spans="4:19" ht="20"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 customHeight="1" x14ac:dyDescent="0.25"/>
    <row r="90" spans="4:19" ht="20" customHeight="1" x14ac:dyDescent="0.25">
      <c r="D90" s="100" t="s">
        <v>230</v>
      </c>
    </row>
    <row r="91" spans="4:19" ht="20" customHeight="1" x14ac:dyDescent="0.25">
      <c r="D91" s="99" t="s">
        <v>191</v>
      </c>
    </row>
    <row r="92" spans="4:19" ht="20" customHeight="1" x14ac:dyDescent="0.25">
      <c r="D92" s="40" t="s">
        <v>167</v>
      </c>
      <c r="E92" s="40" t="s">
        <v>184</v>
      </c>
      <c r="F92" s="40" t="s">
        <v>185</v>
      </c>
      <c r="G92" s="40" t="s">
        <v>186</v>
      </c>
      <c r="H92" s="40" t="s">
        <v>187</v>
      </c>
    </row>
    <row r="93" spans="4:19" ht="20" customHeight="1" x14ac:dyDescent="0.25">
      <c r="D93" s="53">
        <f>INDEX(Table_MP_j_Consumer_1,2,1)</f>
        <v>20</v>
      </c>
      <c r="E93" s="53">
        <v>0</v>
      </c>
      <c r="F93" s="53">
        <v>0</v>
      </c>
      <c r="G93" s="53">
        <v>0</v>
      </c>
      <c r="H93" s="53">
        <v>0</v>
      </c>
      <c r="I93" s="2" t="str">
        <f>$G$79</f>
        <v>L/head/day</v>
      </c>
    </row>
    <row r="94" spans="4:19" ht="20" customHeight="1" x14ac:dyDescent="0.25"/>
    <row r="95" spans="4:19" ht="20" customHeight="1" x14ac:dyDescent="0.25">
      <c r="D95" s="100" t="s">
        <v>214</v>
      </c>
      <c r="N95" s="100" t="s">
        <v>216</v>
      </c>
    </row>
    <row r="96" spans="4:19" ht="20" customHeight="1" x14ac:dyDescent="0.25">
      <c r="D96" s="99" t="s">
        <v>215</v>
      </c>
      <c r="N96" s="99" t="s">
        <v>217</v>
      </c>
    </row>
    <row r="97" spans="3:21" ht="20" customHeight="1" x14ac:dyDescent="0.25">
      <c r="D97" s="40" t="s">
        <v>167</v>
      </c>
      <c r="E97" s="40" t="s">
        <v>184</v>
      </c>
      <c r="F97" s="40" t="s">
        <v>185</v>
      </c>
      <c r="G97" s="40" t="s">
        <v>186</v>
      </c>
      <c r="H97" s="40" t="s">
        <v>187</v>
      </c>
      <c r="N97" s="40" t="s">
        <v>167</v>
      </c>
      <c r="O97" s="40" t="s">
        <v>184</v>
      </c>
      <c r="P97" s="40" t="s">
        <v>185</v>
      </c>
      <c r="Q97" s="40" t="s">
        <v>186</v>
      </c>
      <c r="R97" s="40" t="s">
        <v>187</v>
      </c>
    </row>
    <row r="98" spans="3:21" ht="20"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 customHeight="1" x14ac:dyDescent="0.25"/>
    <row r="100" spans="3:21" ht="20" customHeight="1" x14ac:dyDescent="0.25">
      <c r="D100" s="100" t="s">
        <v>110</v>
      </c>
      <c r="N100" s="100" t="s">
        <v>111</v>
      </c>
    </row>
    <row r="101" spans="3:21" ht="20" customHeight="1" x14ac:dyDescent="0.25">
      <c r="D101" s="99" t="s">
        <v>285</v>
      </c>
      <c r="N101" s="99" t="s">
        <v>286</v>
      </c>
    </row>
    <row r="102" spans="3:21" ht="20"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 customHeight="1" x14ac:dyDescent="0.25"/>
    <row r="105" spans="3:21" ht="20" customHeight="1" x14ac:dyDescent="0.25"/>
    <row r="106" spans="3:21" ht="20" customHeight="1" x14ac:dyDescent="0.25">
      <c r="C106" s="46"/>
      <c r="D106" s="46"/>
      <c r="E106" s="46"/>
      <c r="F106" s="46"/>
      <c r="G106" s="46"/>
      <c r="H106" s="46"/>
      <c r="I106" s="46"/>
      <c r="J106" s="46"/>
      <c r="K106" s="46"/>
      <c r="M106" s="46"/>
      <c r="N106" s="46"/>
      <c r="O106" s="46"/>
      <c r="P106" s="46"/>
      <c r="Q106" s="46"/>
      <c r="R106" s="46"/>
      <c r="S106" s="46"/>
      <c r="T106" s="46"/>
      <c r="U106" s="46"/>
    </row>
    <row r="107" spans="3:21" ht="20" customHeight="1" x14ac:dyDescent="0.25">
      <c r="D107" s="6" t="str" cm="1">
        <f t="array" ref="D107">MMS_Dairy_N2ODirect_Equations.VEERG_4_3_1_3__5_CrudeProteinIntakeOfDairyCattle_Title()</f>
        <v>Crude protein intake of dairy cattle</v>
      </c>
    </row>
    <row r="108" spans="3:21" ht="20" customHeight="1" x14ac:dyDescent="0.25">
      <c r="D108" s="5" t="str" cm="1">
        <f t="array" ref="D108">MMS_Dairy_N2ODirect_Equations.VEERG_4_3_1_3__5_CrudeProteinIntakeOfDairyCattle_Source()</f>
        <v>VEERG 2026: 4.3.1.3, Equation (5)</v>
      </c>
    </row>
    <row r="109" spans="3:21" ht="20" customHeight="1" x14ac:dyDescent="0.25">
      <c r="D109" s="13" t="s">
        <v>25</v>
      </c>
      <c r="E109" s="13" t="str" cm="1">
        <f t="array" aca="1" ref="E109" ca="1">Common_InputFunctions.Utility_DisplayFunctionName(D126)</f>
        <v>=MMS_Dairy_N2ODirect_Equations.VEERG_4_3_1_3__5_CrudeProteinIntakeOfDairyCattle</v>
      </c>
    </row>
    <row r="110" spans="3:21" ht="20" customHeight="1" x14ac:dyDescent="0.25"/>
    <row r="111" spans="3:21" ht="20" customHeight="1" x14ac:dyDescent="0.25">
      <c r="D111" s="6"/>
    </row>
    <row r="112" spans="3:21" ht="20" customHeight="1" x14ac:dyDescent="0.25">
      <c r="D112" s="54" t="s">
        <v>28</v>
      </c>
      <c r="E112" s="1" t="str" cm="1">
        <f t="array" ref="E112">MMS_Dairy_N2ODirect_Equations.VEERG_4_3_1_3__5_CrudeProteinIntakeOfDairyCattle_Variable()</f>
        <v>CPI_j</v>
      </c>
    </row>
    <row r="113" spans="4:19" ht="20" customHeight="1" x14ac:dyDescent="0.25">
      <c r="D113" s="54" t="s">
        <v>18</v>
      </c>
      <c r="E113" s="55" t="str" cm="1">
        <f t="array" ref="E113">MMS_Dairy_N2ODirect_Equations.VEERG_4_3_1_3__5_CrudeProteinIntakeOfDairyCattle_Unit()</f>
        <v>kg/head/day</v>
      </c>
    </row>
    <row r="114" spans="4:19" ht="20" customHeight="1" x14ac:dyDescent="0.25"/>
    <row r="115" spans="4:19" ht="20"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 customHeight="1" x14ac:dyDescent="0.25"/>
    <row r="118" spans="4:19" ht="20" customHeight="1" x14ac:dyDescent="0.25">
      <c r="D118" s="100" t="s">
        <v>108</v>
      </c>
      <c r="N118" s="100" t="s">
        <v>454</v>
      </c>
    </row>
    <row r="119" spans="4:19" ht="20" customHeight="1" x14ac:dyDescent="0.25">
      <c r="D119" s="99" t="s">
        <v>287</v>
      </c>
      <c r="N119" s="99" t="s">
        <v>455</v>
      </c>
    </row>
    <row r="120" spans="4:19" ht="20"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 customHeight="1" x14ac:dyDescent="0.25"/>
    <row r="123" spans="4:19" ht="20" customHeight="1" x14ac:dyDescent="0.25">
      <c r="D123" s="100" t="s">
        <v>288</v>
      </c>
      <c r="N123" s="100" t="s">
        <v>456</v>
      </c>
    </row>
    <row r="124" spans="4:19" ht="20" customHeight="1" x14ac:dyDescent="0.25">
      <c r="D124" s="99" t="s">
        <v>289</v>
      </c>
      <c r="N124" s="99" t="s">
        <v>457</v>
      </c>
    </row>
    <row r="125" spans="4:19" ht="20"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 customHeight="1" x14ac:dyDescent="0.25"/>
    <row r="128" spans="4:19" ht="20" customHeight="1" x14ac:dyDescent="0.25"/>
    <row r="129" spans="3:21" ht="20" customHeight="1" x14ac:dyDescent="0.25">
      <c r="C129" s="46"/>
      <c r="D129" s="46"/>
      <c r="E129" s="46"/>
      <c r="F129" s="46"/>
      <c r="G129" s="46"/>
      <c r="H129" s="46"/>
      <c r="I129" s="46"/>
      <c r="J129" s="46"/>
      <c r="K129" s="46"/>
      <c r="M129" s="46"/>
      <c r="N129" s="46"/>
      <c r="O129" s="46"/>
      <c r="P129" s="46"/>
      <c r="Q129" s="46"/>
      <c r="R129" s="46"/>
      <c r="S129" s="46"/>
      <c r="T129" s="46"/>
      <c r="U129" s="46"/>
    </row>
    <row r="130" spans="3:21" ht="20" customHeight="1" x14ac:dyDescent="0.25">
      <c r="D130" s="6" t="str" cm="1">
        <f t="array" ref="D130">MMS_Dairy_N2ODirect_Equations.VEERG_4_3_1_3__4_NitrogenExcretedByDairyCattleGreaterThanOneYear_Title()</f>
        <v>Nitrogen excreted by dairy cattle greater than one year old</v>
      </c>
    </row>
    <row r="131" spans="3:21" ht="20" customHeight="1" x14ac:dyDescent="0.25">
      <c r="D131" s="5" t="str" cm="1">
        <f t="array" ref="D131">MMS_Dairy_N2ODirect_Equations.VEERG_4_3_1_3__4_NitrogenExcretedByDairyCattleGreaterThanOneYear_Source()</f>
        <v>VEERG 2026: 4.3.1.3, Equation (4)</v>
      </c>
    </row>
    <row r="132" spans="3:21" ht="20" customHeight="1" x14ac:dyDescent="0.25">
      <c r="D132" s="13" t="s">
        <v>25</v>
      </c>
      <c r="E132" s="13" t="str" cm="1">
        <f t="array" aca="1" ref="E132" ca="1">Common_InputFunctions.Utility_DisplayFunctionName(D146)</f>
        <v>=MMS_Dairy_N2ODirect_Equations.VEERG_4_3_1_3__4_NitrogenExcretedByDairyCattleGreaterThanOneYear</v>
      </c>
    </row>
    <row r="133" spans="3:21" ht="20" customHeight="1" x14ac:dyDescent="0.25"/>
    <row r="134" spans="3:21" ht="20" customHeight="1" x14ac:dyDescent="0.25">
      <c r="D134" s="6"/>
    </row>
    <row r="135" spans="3:21" ht="20" customHeight="1" x14ac:dyDescent="0.25"/>
    <row r="136" spans="3:21" ht="20" customHeight="1" x14ac:dyDescent="0.25">
      <c r="D136" s="54" t="s">
        <v>28</v>
      </c>
      <c r="E136" s="1" t="str" cm="1">
        <f t="array" ref="E136">MMS_Dairy_N2ODirect_Equations.VEERG_4_3_1_3__4_NitrogenExcretedByDairyCattleGreaterThanOneYear_Variable()</f>
        <v>NE_j</v>
      </c>
    </row>
    <row r="137" spans="3:21" ht="20" customHeight="1" x14ac:dyDescent="0.25">
      <c r="D137" s="54" t="s">
        <v>18</v>
      </c>
      <c r="E137" s="55" t="str" cm="1">
        <f t="array" ref="E137">MMS_Dairy_N2ODirect_Equations.VEERG_4_3_1_3__4_NitrogenExcretedByDairyCattleGreaterThanOneYear_Unit()</f>
        <v>kg N/head/day</v>
      </c>
    </row>
    <row r="138" spans="3:21" ht="20" customHeight="1" x14ac:dyDescent="0.25"/>
    <row r="139" spans="3:21" ht="20"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 customHeight="1" x14ac:dyDescent="0.25"/>
    <row r="143" spans="3:21" ht="20" customHeight="1" x14ac:dyDescent="0.25">
      <c r="D143" s="100" t="s">
        <v>112</v>
      </c>
      <c r="N143" s="100" t="s">
        <v>113</v>
      </c>
    </row>
    <row r="144" spans="3:21" ht="20" customHeight="1" x14ac:dyDescent="0.25">
      <c r="D144" s="99" t="s">
        <v>290</v>
      </c>
      <c r="N144" s="99" t="s">
        <v>291</v>
      </c>
    </row>
    <row r="145" spans="3:21" ht="20"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 customHeight="1" x14ac:dyDescent="0.25"/>
    <row r="148" spans="3:21" ht="20" customHeight="1" x14ac:dyDescent="0.25"/>
    <row r="149" spans="3:21" ht="20" customHeight="1" x14ac:dyDescent="0.25">
      <c r="C149" s="46"/>
      <c r="D149" s="46"/>
      <c r="E149" s="46"/>
      <c r="F149" s="46"/>
      <c r="G149" s="46"/>
      <c r="H149" s="46"/>
      <c r="I149" s="46"/>
      <c r="J149" s="46"/>
      <c r="K149" s="46"/>
      <c r="M149" s="46"/>
      <c r="N149" s="46"/>
      <c r="O149" s="46"/>
      <c r="P149" s="46"/>
      <c r="Q149" s="46"/>
      <c r="R149" s="46"/>
      <c r="S149" s="46"/>
      <c r="T149" s="46"/>
      <c r="U149" s="46"/>
    </row>
    <row r="150" spans="3:21" ht="20" customHeight="1" x14ac:dyDescent="0.25">
      <c r="D150" s="6" t="str" cm="1">
        <f t="array" ref="D150">MMS_Dairy_N2ODirect_Equations.VEERG_4_3_1_3__3a_TotalAnnualNitrogenExcretedGreaterThanOneYear_Title()</f>
        <v>Total annual nitrogen excreted by dairy cattle greater than one year old</v>
      </c>
    </row>
    <row r="151" spans="3:21" ht="20" customHeight="1" x14ac:dyDescent="0.25">
      <c r="D151" s="5" t="str" cm="1">
        <f t="array" ref="D151">MMS_Dairy_N2ODirect_Equations.VEERG_4_3_1_3__3a_TotalAnnualNitrogenExcretedGreaterThanOneYear_Source()</f>
        <v>VEERG 2026: 4.3.1.3, Equation (3a)</v>
      </c>
    </row>
    <row r="152" spans="3:21" ht="20" customHeight="1" x14ac:dyDescent="0.25">
      <c r="D152" s="56" t="str" cm="1">
        <f t="array" ref="D152">MMS_Dairy_N2ODirect_Equations.VEERG_4_3_1_3__3a_TotalAnnualNitrogenExcretedGreaterThanOneYear_Variation()</f>
        <v>VARIATION: Used Duration variables instead of hard-coded 365 value.</v>
      </c>
    </row>
    <row r="153" spans="3:21" ht="20"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 customHeight="1" x14ac:dyDescent="0.25"/>
    <row r="155" spans="3:21" ht="20" customHeight="1" x14ac:dyDescent="0.25">
      <c r="D155" s="6"/>
    </row>
    <row r="156" spans="3:21" ht="20" customHeight="1" x14ac:dyDescent="0.25">
      <c r="D156" s="54" t="s">
        <v>28</v>
      </c>
      <c r="E156" s="1" t="str" cm="1">
        <f t="array" ref="E156">MMS_Dairy_N2ODirect_Equations.VEERG_4_3_1_3__3a_TotalAnnualNitrogenExcretedGreaterThanOneYear_Variable()</f>
        <v>AE_j124</v>
      </c>
    </row>
    <row r="157" spans="3:21" ht="20" customHeight="1" x14ac:dyDescent="0.25">
      <c r="D157" s="54" t="s">
        <v>18</v>
      </c>
      <c r="E157" s="55" t="str" cm="1">
        <f t="array" ref="E157">MMS_Dairy_N2ODirect_Equations.VEERG_4_3_1_3__3a_TotalAnnualNitrogenExcretedGreaterThanOneYear_Unit()</f>
        <v>kg N</v>
      </c>
    </row>
    <row r="158" spans="3:21" ht="20" customHeight="1" x14ac:dyDescent="0.25"/>
    <row r="159" spans="3:21" ht="20"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 customHeight="1" x14ac:dyDescent="0.25"/>
    <row r="163" spans="1:19" ht="20" customHeight="1" x14ac:dyDescent="0.25">
      <c r="D163" s="100" t="s">
        <v>102</v>
      </c>
    </row>
    <row r="164" spans="1:19" ht="20" customHeight="1" x14ac:dyDescent="0.25">
      <c r="D164" s="99" t="s">
        <v>258</v>
      </c>
    </row>
    <row r="165" spans="1:19" ht="20" customHeight="1" x14ac:dyDescent="0.25">
      <c r="D165" s="40" t="s">
        <v>167</v>
      </c>
      <c r="E165" s="40" t="s">
        <v>184</v>
      </c>
      <c r="F165" s="40" t="s">
        <v>185</v>
      </c>
      <c r="G165" s="40" t="s">
        <v>186</v>
      </c>
      <c r="H165" s="40" t="s">
        <v>187</v>
      </c>
    </row>
    <row r="166" spans="1:19" ht="20"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 customHeight="1" x14ac:dyDescent="0.25"/>
    <row r="168" spans="1:19" ht="20" customHeight="1" x14ac:dyDescent="0.25">
      <c r="D168" s="100" t="s">
        <v>265</v>
      </c>
      <c r="N168" s="100" t="s">
        <v>453</v>
      </c>
    </row>
    <row r="169" spans="1:19" ht="20" customHeight="1" x14ac:dyDescent="0.25">
      <c r="D169" s="99" t="s">
        <v>293</v>
      </c>
      <c r="N169" s="99" t="s">
        <v>294</v>
      </c>
    </row>
    <row r="170" spans="1:19" ht="20"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 customHeight="1" x14ac:dyDescent="0.25"/>
    <row r="173" spans="1:19" ht="20" customHeight="1" x14ac:dyDescent="0.25">
      <c r="D173" s="100" t="s">
        <v>292</v>
      </c>
      <c r="N173" s="100" t="s">
        <v>451</v>
      </c>
    </row>
    <row r="174" spans="1:19" ht="20" customHeight="1" x14ac:dyDescent="0.25">
      <c r="D174" s="99" t="s">
        <v>300</v>
      </c>
      <c r="N174" s="99" t="s">
        <v>452</v>
      </c>
    </row>
    <row r="175" spans="1:19" ht="20"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 customHeight="1" x14ac:dyDescent="0.25"/>
    <row r="178" spans="3:21" ht="20" customHeight="1" x14ac:dyDescent="0.25"/>
    <row r="179" spans="3:21" ht="20" customHeight="1" x14ac:dyDescent="0.25">
      <c r="C179" s="46"/>
      <c r="D179" s="46"/>
      <c r="E179" s="46"/>
      <c r="F179" s="46"/>
      <c r="G179" s="46"/>
      <c r="H179" s="46"/>
      <c r="I179" s="46"/>
      <c r="J179" s="46"/>
      <c r="K179" s="46"/>
      <c r="M179" s="46"/>
      <c r="N179" s="46"/>
      <c r="O179" s="46"/>
      <c r="P179" s="46"/>
      <c r="Q179" s="46"/>
      <c r="R179" s="46"/>
      <c r="S179" s="46"/>
      <c r="T179" s="46"/>
      <c r="U179" s="46"/>
    </row>
    <row r="180" spans="3:21" ht="20" customHeight="1" x14ac:dyDescent="0.25">
      <c r="D180" s="6" t="str" cm="1">
        <f t="array" ref="D180">MMS_Dairy_N2ODirect_Equations.VEERG_4_3_1_3__3b_TotalAnnualNitrogenExcretedLessThanOneYear_Title()</f>
        <v>Total annual nitrogen excreted by dairy cattle less than one year old</v>
      </c>
    </row>
    <row r="181" spans="3:21" ht="20" customHeight="1" x14ac:dyDescent="0.25">
      <c r="D181" s="5" t="str" cm="1">
        <f t="array" ref="D181">MMS_Dairy_N2ODirect_Equations.VEERG_4_3_1_3__3b_TotalAnnualNitrogenExcretedLessThanOneYear_Source()</f>
        <v>VEERG 2026: 4.3.1.3, Equation (3b)</v>
      </c>
    </row>
    <row r="182" spans="3:21" ht="20" customHeight="1" x14ac:dyDescent="0.25">
      <c r="D182" s="56" t="str" cm="1">
        <f t="array" ref="D182">MMS_Dairy_N2ODirect_Equations.VEERG_4_3_1_3__3b_TotalAnnualNitrogenExcretedLessThanOneYear_Variation()</f>
        <v>VARIATION: Used Duration variables instead of hard-coded 281 and 84 values.</v>
      </c>
    </row>
    <row r="183" spans="3:21" ht="20"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 customHeight="1" x14ac:dyDescent="0.25">
      <c r="D184" s="6"/>
    </row>
    <row r="185" spans="3:21" ht="20" customHeight="1" x14ac:dyDescent="0.25">
      <c r="D185" s="6"/>
    </row>
    <row r="186" spans="3:21" ht="20" customHeight="1" x14ac:dyDescent="0.25">
      <c r="D186" s="54" t="s">
        <v>28</v>
      </c>
      <c r="E186" s="1" t="str" cm="1">
        <f t="array" ref="E186">MMS_Dairy_N2ODirect_Equations.VEERG_4_3_1_3__3b_TotalAnnualNitrogenExcretedLessThanOneYear_Variable()</f>
        <v>AE_j35</v>
      </c>
    </row>
    <row r="187" spans="3:21" ht="20" customHeight="1" x14ac:dyDescent="0.25">
      <c r="D187" s="54" t="s">
        <v>18</v>
      </c>
      <c r="E187" s="55" t="str" cm="1">
        <f t="array" ref="E187">MMS_Dairy_N2ODirect_Equations.VEERG_4_3_1_3__3b_TotalAnnualNitrogenExcretedLessThanOneYear_Unit()</f>
        <v>kg N</v>
      </c>
    </row>
    <row r="188" spans="3:21" ht="20" customHeight="1" x14ac:dyDescent="0.25"/>
    <row r="189" spans="3:21" ht="20"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 customHeight="1" x14ac:dyDescent="0.25"/>
    <row r="195" spans="1:19" ht="20" customHeight="1" x14ac:dyDescent="0.25">
      <c r="D195" s="100" t="s">
        <v>297</v>
      </c>
    </row>
    <row r="196" spans="1:19" ht="20" customHeight="1" x14ac:dyDescent="0.25">
      <c r="D196" s="99" t="s">
        <v>298</v>
      </c>
    </row>
    <row r="197" spans="1:19" ht="20" customHeight="1" x14ac:dyDescent="0.25">
      <c r="D197" s="52" t="s">
        <v>167</v>
      </c>
      <c r="E197" s="52" t="s">
        <v>184</v>
      </c>
      <c r="F197" s="52" t="s">
        <v>185</v>
      </c>
      <c r="G197" s="52" t="s">
        <v>186</v>
      </c>
      <c r="H197" s="52" t="s">
        <v>187</v>
      </c>
    </row>
    <row r="198" spans="1:19" ht="20" customHeight="1" x14ac:dyDescent="0.25">
      <c r="D198" s="53">
        <v>0</v>
      </c>
      <c r="E198" s="53">
        <v>0</v>
      </c>
      <c r="F198" s="53">
        <f>'Constants - Dairy'!$G$63</f>
        <v>1.37E-2</v>
      </c>
      <c r="G198" s="53">
        <v>0</v>
      </c>
      <c r="H198" s="53">
        <f>'Constants - Dairy'!$G$64</f>
        <v>9.1999999999999998E-3</v>
      </c>
      <c r="I198" s="2" t="str">
        <f>G191</f>
        <v>kg N/head/day</v>
      </c>
    </row>
    <row r="199" spans="1:19" ht="20" customHeight="1" x14ac:dyDescent="0.25"/>
    <row r="200" spans="1:19" ht="20" customHeight="1" x14ac:dyDescent="0.25">
      <c r="D200" s="100" t="s">
        <v>295</v>
      </c>
      <c r="N200" s="100" t="s">
        <v>295</v>
      </c>
    </row>
    <row r="201" spans="1:19" ht="20" customHeight="1" x14ac:dyDescent="0.25">
      <c r="D201" s="99" t="s">
        <v>296</v>
      </c>
      <c r="N201" s="99" t="s">
        <v>448</v>
      </c>
    </row>
    <row r="202" spans="1:19" ht="20"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 customHeight="1" x14ac:dyDescent="0.25"/>
    <row r="205" spans="1:19" ht="20" customHeight="1" x14ac:dyDescent="0.25">
      <c r="D205" s="100" t="s">
        <v>260</v>
      </c>
      <c r="N205" s="100" t="s">
        <v>260</v>
      </c>
    </row>
    <row r="206" spans="1:19" ht="20" customHeight="1" x14ac:dyDescent="0.25">
      <c r="D206" s="99" t="s">
        <v>268</v>
      </c>
      <c r="N206" s="99" t="s">
        <v>449</v>
      </c>
    </row>
    <row r="207" spans="1:19" ht="20"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 customHeight="1" x14ac:dyDescent="0.25"/>
    <row r="210" spans="3:21" ht="20" customHeight="1" x14ac:dyDescent="0.25">
      <c r="D210" s="100" t="s">
        <v>116</v>
      </c>
      <c r="N210" s="100" t="s">
        <v>116</v>
      </c>
    </row>
    <row r="211" spans="3:21" ht="20" customHeight="1" x14ac:dyDescent="0.25">
      <c r="D211" s="99" t="s">
        <v>299</v>
      </c>
      <c r="N211" s="99" t="s">
        <v>450</v>
      </c>
    </row>
    <row r="212" spans="3:21" ht="20"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 customHeight="1" x14ac:dyDescent="0.25"/>
    <row r="215" spans="3:21" ht="20" customHeight="1" x14ac:dyDescent="0.25"/>
    <row r="216" spans="3:21" ht="20" customHeight="1" x14ac:dyDescent="0.25">
      <c r="C216" s="46"/>
      <c r="D216" s="46"/>
      <c r="E216" s="46"/>
      <c r="F216" s="46"/>
      <c r="G216" s="46"/>
      <c r="H216" s="46"/>
      <c r="I216" s="46"/>
      <c r="J216" s="46"/>
      <c r="K216" s="46"/>
      <c r="M216" s="46"/>
      <c r="N216" s="46"/>
      <c r="O216" s="46"/>
      <c r="P216" s="46"/>
      <c r="Q216" s="46"/>
      <c r="R216" s="46"/>
      <c r="S216" s="46"/>
      <c r="T216" s="46"/>
      <c r="U216" s="46"/>
    </row>
    <row r="217" spans="3:21" ht="20" customHeight="1" x14ac:dyDescent="0.25">
      <c r="D217" s="6" t="str" cm="1">
        <f t="array" ref="D217">MMS_Dairy_N2ODirect_Equations.VEERG_4_3_1_3__2_TotalNitrogenInEachMMS_Title()</f>
        <v>Total nitrogen in each MMS</v>
      </c>
    </row>
    <row r="218" spans="3:21" ht="20" customHeight="1" x14ac:dyDescent="0.25">
      <c r="D218" s="5" t="str" cm="1">
        <f t="array" ref="D218">MMS_Dairy_N2ODirect_Equations.VEERG_4_3_1_3__2_TotalNitrogenInEachMMS_Source()</f>
        <v>VEERG 2026: 4.3.1.3, Equation (2)</v>
      </c>
    </row>
    <row r="219" spans="3:21" ht="20" customHeight="1" x14ac:dyDescent="0.25">
      <c r="D219" s="13" t="s">
        <v>25</v>
      </c>
      <c r="E219" s="13" t="str" cm="1">
        <f t="array" aca="1" ref="E219" ca="1">Common_InputFunctions.Utility_DisplayFunctionName(F243)</f>
        <v>=MMS_Dairy_N2ODirect_Equations.VEERG_4_3_1_3__2_TotalNitrogenInEachMMS</v>
      </c>
    </row>
    <row r="220" spans="3:21" ht="20" customHeight="1" x14ac:dyDescent="0.25"/>
    <row r="221" spans="3:21" ht="20" customHeight="1" x14ac:dyDescent="0.25">
      <c r="D221" s="6"/>
    </row>
    <row r="222" spans="3:21" ht="20" customHeight="1" x14ac:dyDescent="0.25">
      <c r="D222" s="54" t="s">
        <v>28</v>
      </c>
      <c r="E222" s="1" t="str" cm="1">
        <f t="array" ref="E222">MMS_Dairy_N2ODirect_Equations.VEERG_4_3_1_3__2_TotalNitrogenInEachMMS_Variable()</f>
        <v>MN_jm</v>
      </c>
    </row>
    <row r="223" spans="3:21" ht="20" customHeight="1" x14ac:dyDescent="0.25">
      <c r="D223" s="54" t="s">
        <v>18</v>
      </c>
      <c r="E223" s="55" t="str" cm="1">
        <f t="array" ref="E223">MMS_Dairy_N2ODirect_Equations.VEERG_4_3_1_3__2_TotalNitrogenInEachMMS_Unit()</f>
        <v>kg N</v>
      </c>
    </row>
    <row r="224" spans="3:21" ht="20" customHeight="1" x14ac:dyDescent="0.25"/>
    <row r="225" spans="4:20" ht="20"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 customHeight="1" x14ac:dyDescent="0.25"/>
    <row r="228" spans="4:20" ht="20" customHeight="1" x14ac:dyDescent="0.25">
      <c r="D228" s="100" t="s">
        <v>240</v>
      </c>
      <c r="N228" s="100" t="s">
        <v>242</v>
      </c>
    </row>
    <row r="229" spans="4:20" ht="20" customHeight="1" x14ac:dyDescent="0.25">
      <c r="D229" s="99" t="s">
        <v>301</v>
      </c>
      <c r="N229" s="99" t="s">
        <v>302</v>
      </c>
    </row>
    <row r="230" spans="4:20" ht="20"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 customHeight="1" x14ac:dyDescent="0.25">
      <c r="Q239" s="127"/>
    </row>
    <row r="240" spans="4:20" ht="20" customHeight="1" x14ac:dyDescent="0.25">
      <c r="D240" s="100" t="s">
        <v>303</v>
      </c>
      <c r="N240" s="100" t="s">
        <v>306</v>
      </c>
    </row>
    <row r="241" spans="1:21" ht="20" customHeight="1" x14ac:dyDescent="0.25">
      <c r="D241" s="99" t="s">
        <v>304</v>
      </c>
      <c r="N241" s="99" t="s">
        <v>305</v>
      </c>
    </row>
    <row r="242" spans="1:21" ht="20"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MMS_Dairy_N2ODirect_Equations.VEERG_4_3_1_3__2_TotalNitrogenInEachMMS(D$176+D$213,F231)</f>
        <v>399.24605684746678</v>
      </c>
      <c r="G243" s="53" cm="1">
        <f t="array" ref="G243">MMS_Dairy_N2ODirect_Equations.VEERG_4_3_1_3__2_TotalNitrogenInEachMMS(E$176+E$213,G231)</f>
        <v>182.35790267782079</v>
      </c>
      <c r="H243" s="53" cm="1">
        <f t="array" ref="H243">MMS_Dairy_N2ODirect_Equations.VEERG_4_3_1_3__2_TotalNitrogenInEachMMS(F$176+F$213,H231)</f>
        <v>72.631224123843424</v>
      </c>
      <c r="I243" s="53" cm="1">
        <f t="array" ref="I243">MMS_Dairy_N2ODirect_Equations.VEERG_4_3_1_3__2_TotalNitrogenInEachMMS(G$176+G$213,I231)</f>
        <v>229.23109573986844</v>
      </c>
      <c r="J243" s="53" cm="1">
        <f t="array" ref="J243">MMS_Dairy_N2ODirect_Equations.VEERG_4_3_1_3__2_TotalNitrogenInEachMMS(H$176+H$213,J231)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MMS_Dairy_N2ODirect_Equations.VEERG_4_3_1_3__2_TotalNitrogenInEachMMS(N$176+N$213,P231)</f>
        <v>399.24605684746678</v>
      </c>
      <c r="Q243" s="53" cm="1">
        <f t="array" ref="Q243">MMS_Dairy_N2ODirect_Equations.VEERG_4_3_1_3__2_TotalNitrogenInEachMMS(O$176+O$213,Q231)</f>
        <v>182.35790267782079</v>
      </c>
      <c r="R243" s="53" cm="1">
        <f t="array" ref="R243">MMS_Dairy_N2ODirect_Equations.VEERG_4_3_1_3__2_TotalNitrogenInEachMMS(P$176+P$213,R231)</f>
        <v>72.631224123843424</v>
      </c>
      <c r="S243" s="53" cm="1">
        <f t="array" ref="S243">MMS_Dairy_N2ODirect_Equations.VEERG_4_3_1_3__2_TotalNitrogenInEachMMS(Q$176+Q$213,S231)</f>
        <v>229.23109573986844</v>
      </c>
      <c r="T243" s="53" cm="1">
        <f t="array" ref="T243">MMS_Dairy_N2ODirect_Equations.VEERG_4_3_1_3__2_TotalNitrogenInEachMMS(R$176+R$213,T231)</f>
        <v>95.962857079055411</v>
      </c>
    </row>
    <row r="244" spans="1:21" ht="20"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MMS_Dairy_N2ODirect_Equations.VEERG_4_3_1_3__2_TotalNitrogenInEachMMS(D$176+D$213,F232)</f>
        <v>399.24605684746678</v>
      </c>
      <c r="G244" s="53" cm="1">
        <f t="array" ref="G244">MMS_Dairy_N2ODirect_Equations.VEERG_4_3_1_3__2_TotalNitrogenInEachMMS(E$176+E$213,G232)</f>
        <v>182.35790267782079</v>
      </c>
      <c r="H244" s="53" cm="1">
        <f t="array" ref="H244">MMS_Dairy_N2ODirect_Equations.VEERG_4_3_1_3__2_TotalNitrogenInEachMMS(F$176+F$213,H232)</f>
        <v>72.631224123843424</v>
      </c>
      <c r="I244" s="53" cm="1">
        <f t="array" ref="I244">MMS_Dairy_N2ODirect_Equations.VEERG_4_3_1_3__2_TotalNitrogenInEachMMS(G$176+G$213,I232)</f>
        <v>229.23109573986844</v>
      </c>
      <c r="J244" s="53" cm="1">
        <f t="array" ref="J244">MMS_Dairy_N2ODirect_Equations.VEERG_4_3_1_3__2_TotalNitrogenInEachMMS(H$176+H$213,J232)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MMS_Dairy_N2ODirect_Equations.VEERG_4_3_1_3__2_TotalNitrogenInEachMMS(N$176+N$213,P232)</f>
        <v>399.24605684746678</v>
      </c>
      <c r="Q244" s="53" cm="1">
        <f t="array" ref="Q244">MMS_Dairy_N2ODirect_Equations.VEERG_4_3_1_3__2_TotalNitrogenInEachMMS(O$176+O$213,Q232)</f>
        <v>182.35790267782079</v>
      </c>
      <c r="R244" s="53" cm="1">
        <f t="array" ref="R244">MMS_Dairy_N2ODirect_Equations.VEERG_4_3_1_3__2_TotalNitrogenInEachMMS(P$176+P$213,R232)</f>
        <v>72.631224123843424</v>
      </c>
      <c r="S244" s="53" cm="1">
        <f t="array" ref="S244">MMS_Dairy_N2ODirect_Equations.VEERG_4_3_1_3__2_TotalNitrogenInEachMMS(Q$176+Q$213,S232)</f>
        <v>229.23109573986844</v>
      </c>
      <c r="T244" s="53" cm="1">
        <f t="array" ref="T244">MMS_Dairy_N2ODirect_Equations.VEERG_4_3_1_3__2_TotalNitrogenInEachMMS(R$176+R$213,T232)</f>
        <v>95.962857079055411</v>
      </c>
    </row>
    <row r="245" spans="1:21" ht="20"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MMS_Dairy_N2ODirect_Equations.VEERG_4_3_1_3__2_TotalNitrogenInEachMMS(D$176+D$213,F233)</f>
        <v>399.24605684746678</v>
      </c>
      <c r="G245" s="53" cm="1">
        <f t="array" ref="G245">MMS_Dairy_N2ODirect_Equations.VEERG_4_3_1_3__2_TotalNitrogenInEachMMS(E$176+E$213,G233)</f>
        <v>182.35790267782079</v>
      </c>
      <c r="H245" s="53" cm="1">
        <f t="array" ref="H245">MMS_Dairy_N2ODirect_Equations.VEERG_4_3_1_3__2_TotalNitrogenInEachMMS(F$176+F$213,H233)</f>
        <v>72.631224123843424</v>
      </c>
      <c r="I245" s="53" cm="1">
        <f t="array" ref="I245">MMS_Dairy_N2ODirect_Equations.VEERG_4_3_1_3__2_TotalNitrogenInEachMMS(G$176+G$213,I233)</f>
        <v>229.23109573986844</v>
      </c>
      <c r="J245" s="53" cm="1">
        <f t="array" ref="J245">MMS_Dairy_N2ODirect_Equations.VEERG_4_3_1_3__2_TotalNitrogenInEachMMS(H$176+H$213,J233)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MMS_Dairy_N2ODirect_Equations.VEERG_4_3_1_3__2_TotalNitrogenInEachMMS(N$176+N$213,P233)</f>
        <v>399.24605684746678</v>
      </c>
      <c r="Q245" s="53" cm="1">
        <f t="array" ref="Q245">MMS_Dairy_N2ODirect_Equations.VEERG_4_3_1_3__2_TotalNitrogenInEachMMS(O$176+O$213,Q233)</f>
        <v>182.35790267782079</v>
      </c>
      <c r="R245" s="53" cm="1">
        <f t="array" ref="R245">MMS_Dairy_N2ODirect_Equations.VEERG_4_3_1_3__2_TotalNitrogenInEachMMS(P$176+P$213,R233)</f>
        <v>72.631224123843424</v>
      </c>
      <c r="S245" s="53" cm="1">
        <f t="array" ref="S245">MMS_Dairy_N2ODirect_Equations.VEERG_4_3_1_3__2_TotalNitrogenInEachMMS(Q$176+Q$213,S233)</f>
        <v>229.23109573986844</v>
      </c>
      <c r="T245" s="53" cm="1">
        <f t="array" ref="T245">MMS_Dairy_N2ODirect_Equations.VEERG_4_3_1_3__2_TotalNitrogenInEachMMS(R$176+R$213,T233)</f>
        <v>95.962857079055411</v>
      </c>
    </row>
    <row r="246" spans="1:21" ht="20" customHeight="1" x14ac:dyDescent="0.25">
      <c r="D246" s="53" t="str">
        <f>INDEX(X_Table_Dairy_ProductionSystems_Method1,3,1)</f>
        <v>Milking shed</v>
      </c>
      <c r="E246" s="53" t="s">
        <v>400</v>
      </c>
      <c r="F246" s="53" cm="1">
        <f t="array" ref="F246">MMS_Dairy_N2ODirect_Equations.VEERG_4_3_1_3__2_TotalNitrogenInEachMMS(D$176+D$213,F234)</f>
        <v>798.49211369493332</v>
      </c>
      <c r="G246" s="53" cm="1">
        <f t="array" ref="G246">MMS_Dairy_N2ODirect_Equations.VEERG_4_3_1_3__2_TotalNitrogenInEachMMS(E$176+E$213,G234)</f>
        <v>364.71580535564152</v>
      </c>
      <c r="H246" s="53" cm="1">
        <f t="array" ref="H246">MMS_Dairy_N2ODirect_Equations.VEERG_4_3_1_3__2_TotalNitrogenInEachMMS(F$176+F$213,H234)</f>
        <v>145.26244824768682</v>
      </c>
      <c r="I246" s="53" cm="1">
        <f t="array" ref="I246">MMS_Dairy_N2ODirect_Equations.VEERG_4_3_1_3__2_TotalNitrogenInEachMMS(G$176+G$213,I234)</f>
        <v>458.46219147973682</v>
      </c>
      <c r="J246" s="53" cm="1">
        <f t="array" ref="J246">MMS_Dairy_N2ODirect_Equations.VEERG_4_3_1_3__2_TotalNitrogenInEachMMS(H$176+H$213,J234)</f>
        <v>191.92571415811079</v>
      </c>
      <c r="N246" s="53" t="str">
        <f>INDEX(X_Table_Dairy_ProductionSystems_Method1,3,1)</f>
        <v>Milking shed</v>
      </c>
      <c r="O246" s="53" t="s">
        <v>400</v>
      </c>
      <c r="P246" s="53" cm="1">
        <f t="array" ref="P246">MMS_Dairy_N2ODirect_Equations.VEERG_4_3_1_3__2_TotalNitrogenInEachMMS(N$176+N$213,P234)</f>
        <v>798.49211369493332</v>
      </c>
      <c r="Q246" s="53" cm="1">
        <f t="array" ref="Q246">MMS_Dairy_N2ODirect_Equations.VEERG_4_3_1_3__2_TotalNitrogenInEachMMS(O$176+O$213,Q234)</f>
        <v>364.71580535564152</v>
      </c>
      <c r="R246" s="53" cm="1">
        <f t="array" ref="R246">MMS_Dairy_N2ODirect_Equations.VEERG_4_3_1_3__2_TotalNitrogenInEachMMS(P$176+P$213,R234)</f>
        <v>145.26244824768682</v>
      </c>
      <c r="S246" s="53" cm="1">
        <f t="array" ref="S246">MMS_Dairy_N2ODirect_Equations.VEERG_4_3_1_3__2_TotalNitrogenInEachMMS(Q$176+Q$213,S234)</f>
        <v>458.46219147973682</v>
      </c>
      <c r="T246" s="53" cm="1">
        <f t="array" ref="T246">MMS_Dairy_N2ODirect_Equations.VEERG_4_3_1_3__2_TotalNitrogenInEachMMS(R$176+R$213,T234)</f>
        <v>191.92571415811079</v>
      </c>
    </row>
    <row r="247" spans="1:21" ht="20"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MMS_Dairy_N2ODirect_Equations.VEERG_4_3_1_3__2_TotalNitrogenInEachMMS(D$176+D$213,F235)</f>
        <v>1615.131775428388</v>
      </c>
      <c r="G247" s="53" cm="1">
        <f t="array" ref="G247">MMS_Dairy_N2ODirect_Equations.VEERG_4_3_1_3__2_TotalNitrogenInEachMMS(E$176+E$213,G235)</f>
        <v>737.72060628754764</v>
      </c>
      <c r="H247" s="53" cm="1">
        <f t="array" ref="H247">MMS_Dairy_N2ODirect_Equations.VEERG_4_3_1_3__2_TotalNitrogenInEachMMS(F$176+F$213,H235)</f>
        <v>293.82631577373019</v>
      </c>
      <c r="I247" s="53" cm="1">
        <f t="array" ref="I247">MMS_Dairy_N2ODirect_Equations.VEERG_4_3_1_3__2_TotalNitrogenInEachMMS(G$176+G$213,I235)</f>
        <v>927.34397822037681</v>
      </c>
      <c r="J247" s="53" cm="1">
        <f t="array" ref="J247">MMS_Dairy_N2ODirect_Equations.VEERG_4_3_1_3__2_TotalNitrogenInEachMMS(H$176+H$213,J235)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MMS_Dairy_N2ODirect_Equations.VEERG_4_3_1_3__2_TotalNitrogenInEachMMS(N$176+N$213,P235)</f>
        <v>1615.131775428388</v>
      </c>
      <c r="Q247" s="53" cm="1">
        <f t="array" ref="Q247">MMS_Dairy_N2ODirect_Equations.VEERG_4_3_1_3__2_TotalNitrogenInEachMMS(O$176+O$213,Q235)</f>
        <v>737.72060628754764</v>
      </c>
      <c r="R247" s="53" cm="1">
        <f t="array" ref="R247">MMS_Dairy_N2ODirect_Equations.VEERG_4_3_1_3__2_TotalNitrogenInEachMMS(P$176+P$213,R235)</f>
        <v>293.82631577373019</v>
      </c>
      <c r="S247" s="53" cm="1">
        <f t="array" ref="S247">MMS_Dairy_N2ODirect_Equations.VEERG_4_3_1_3__2_TotalNitrogenInEachMMS(Q$176+Q$213,S235)</f>
        <v>927.34397822037681</v>
      </c>
      <c r="T247" s="53" cm="1">
        <f t="array" ref="T247">MMS_Dairy_N2ODirect_Equations.VEERG_4_3_1_3__2_TotalNitrogenInEachMMS(R$176+R$213,T235)</f>
        <v>388.21337636526954</v>
      </c>
    </row>
    <row r="248" spans="1:21" ht="20"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MMS_Dairy_N2ODirect_Equations.VEERG_4_3_1_3__2_TotalNitrogenInEachMMS(D$176+D$213,F236)</f>
        <v>1292.1054203427104</v>
      </c>
      <c r="G248" s="53" cm="1">
        <f t="array" ref="G248">MMS_Dairy_N2ODirect_Equations.VEERG_4_3_1_3__2_TotalNitrogenInEachMMS(E$176+E$213,G236)</f>
        <v>590.17648503003818</v>
      </c>
      <c r="H248" s="53" cm="1">
        <f t="array" ref="H248">MMS_Dairy_N2ODirect_Equations.VEERG_4_3_1_3__2_TotalNitrogenInEachMMS(F$176+F$213,H236)</f>
        <v>235.06105261898415</v>
      </c>
      <c r="I248" s="53" cm="1">
        <f t="array" ref="I248">MMS_Dairy_N2ODirect_Equations.VEERG_4_3_1_3__2_TotalNitrogenInEachMMS(G$176+G$213,I236)</f>
        <v>741.87518257630143</v>
      </c>
      <c r="J248" s="53" cm="1">
        <f t="array" ref="J248">MMS_Dairy_N2ODirect_Equations.VEERG_4_3_1_3__2_TotalNitrogenInEachMMS(H$176+H$213,J236)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MMS_Dairy_N2ODirect_Equations.VEERG_4_3_1_3__2_TotalNitrogenInEachMMS(N$176+N$213,P236)</f>
        <v>1292.1054203427104</v>
      </c>
      <c r="Q248" s="53" cm="1">
        <f t="array" ref="Q248">MMS_Dairy_N2ODirect_Equations.VEERG_4_3_1_3__2_TotalNitrogenInEachMMS(O$176+O$213,Q236)</f>
        <v>590.17648503003818</v>
      </c>
      <c r="R248" s="53" cm="1">
        <f t="array" ref="R248">MMS_Dairy_N2ODirect_Equations.VEERG_4_3_1_3__2_TotalNitrogenInEachMMS(P$176+P$213,R236)</f>
        <v>235.06105261898415</v>
      </c>
      <c r="S248" s="53" cm="1">
        <f t="array" ref="S248">MMS_Dairy_N2ODirect_Equations.VEERG_4_3_1_3__2_TotalNitrogenInEachMMS(Q$176+Q$213,S236)</f>
        <v>741.87518257630143</v>
      </c>
      <c r="T248" s="53" cm="1">
        <f t="array" ref="T248">MMS_Dairy_N2ODirect_Equations.VEERG_4_3_1_3__2_TotalNitrogenInEachMMS(R$176+R$213,T236)</f>
        <v>310.57070109221564</v>
      </c>
    </row>
    <row r="249" spans="1:21" ht="20"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MMS_Dairy_N2ODirect_Equations.VEERG_4_3_1_3__2_TotalNitrogenInEachMMS(D$176+D$213,F237)</f>
        <v>1292.1054203427104</v>
      </c>
      <c r="G249" s="53" cm="1">
        <f t="array" ref="G249">MMS_Dairy_N2ODirect_Equations.VEERG_4_3_1_3__2_TotalNitrogenInEachMMS(E$176+E$213,G237)</f>
        <v>590.17648503003818</v>
      </c>
      <c r="H249" s="53" cm="1">
        <f t="array" ref="H249">MMS_Dairy_N2ODirect_Equations.VEERG_4_3_1_3__2_TotalNitrogenInEachMMS(F$176+F$213,H237)</f>
        <v>235.06105261898415</v>
      </c>
      <c r="I249" s="53" cm="1">
        <f t="array" ref="I249">MMS_Dairy_N2ODirect_Equations.VEERG_4_3_1_3__2_TotalNitrogenInEachMMS(G$176+G$213,I237)</f>
        <v>741.87518257630143</v>
      </c>
      <c r="J249" s="53" cm="1">
        <f t="array" ref="J249">MMS_Dairy_N2ODirect_Equations.VEERG_4_3_1_3__2_TotalNitrogenInEachMMS(H$176+H$213,J237)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MMS_Dairy_N2ODirect_Equations.VEERG_4_3_1_3__2_TotalNitrogenInEachMMS(N$176+N$213,P237)</f>
        <v>1292.1054203427104</v>
      </c>
      <c r="Q249" s="53" cm="1">
        <f t="array" ref="Q249">MMS_Dairy_N2ODirect_Equations.VEERG_4_3_1_3__2_TotalNitrogenInEachMMS(O$176+O$213,Q237)</f>
        <v>590.17648503003818</v>
      </c>
      <c r="R249" s="53" cm="1">
        <f t="array" ref="R249">MMS_Dairy_N2ODirect_Equations.VEERG_4_3_1_3__2_TotalNitrogenInEachMMS(P$176+P$213,R237)</f>
        <v>235.06105261898415</v>
      </c>
      <c r="S249" s="53" cm="1">
        <f t="array" ref="S249">MMS_Dairy_N2ODirect_Equations.VEERG_4_3_1_3__2_TotalNitrogenInEachMMS(Q$176+Q$213,S237)</f>
        <v>741.87518257630143</v>
      </c>
      <c r="T249" s="53" cm="1">
        <f t="array" ref="T249">MMS_Dairy_N2ODirect_Equations.VEERG_4_3_1_3__2_TotalNitrogenInEachMMS(R$176+R$213,T237)</f>
        <v>310.57070109221564</v>
      </c>
    </row>
    <row r="250" spans="1:21" ht="20" customHeight="1" x14ac:dyDescent="0.25">
      <c r="D250" s="53" t="str">
        <f>INDEX(X_Table_Dairy_ProductionSystems_Method1,4,1)</f>
        <v>Feed pad</v>
      </c>
      <c r="E250" s="53" t="s">
        <v>400</v>
      </c>
      <c r="F250" s="53" cm="1">
        <f t="array" ref="F250">MMS_Dairy_N2ODirect_Equations.VEERG_4_3_1_3__2_TotalNitrogenInEachMMS(D$176+D$213,F238)</f>
        <v>2261.1844855997429</v>
      </c>
      <c r="G250" s="53" cm="1">
        <f t="array" ref="G250">MMS_Dairy_N2ODirect_Equations.VEERG_4_3_1_3__2_TotalNitrogenInEachMMS(E$176+E$213,G238)</f>
        <v>1032.8088488025667</v>
      </c>
      <c r="H250" s="53" cm="1">
        <f t="array" ref="H250">MMS_Dairy_N2ODirect_Equations.VEERG_4_3_1_3__2_TotalNitrogenInEachMMS(F$176+F$213,H238)</f>
        <v>411.35684208322226</v>
      </c>
      <c r="I250" s="53" cm="1">
        <f t="array" ref="I250">MMS_Dairy_N2ODirect_Equations.VEERG_4_3_1_3__2_TotalNitrogenInEachMMS(G$176+G$213,I238)</f>
        <v>1298.2815695085274</v>
      </c>
      <c r="J250" s="53" cm="1">
        <f t="array" ref="J250">MMS_Dairy_N2ODirect_Equations.VEERG_4_3_1_3__2_TotalNitrogenInEachMMS(H$176+H$213,J238)</f>
        <v>543.49872691137739</v>
      </c>
      <c r="N250" s="53" t="str">
        <f>INDEX(X_Table_Dairy_ProductionSystems_Method1,4,1)</f>
        <v>Feed pad</v>
      </c>
      <c r="O250" s="53" t="s">
        <v>400</v>
      </c>
      <c r="P250" s="53" cm="1">
        <f t="array" ref="P250">MMS_Dairy_N2ODirect_Equations.VEERG_4_3_1_3__2_TotalNitrogenInEachMMS(N$176+N$213,P238)</f>
        <v>2261.1844855997429</v>
      </c>
      <c r="Q250" s="53" cm="1">
        <f t="array" ref="Q250">MMS_Dairy_N2ODirect_Equations.VEERG_4_3_1_3__2_TotalNitrogenInEachMMS(O$176+O$213,Q238)</f>
        <v>1032.8088488025667</v>
      </c>
      <c r="R250" s="53" cm="1">
        <f t="array" ref="R250">MMS_Dairy_N2ODirect_Equations.VEERG_4_3_1_3__2_TotalNitrogenInEachMMS(P$176+P$213,R238)</f>
        <v>411.35684208322226</v>
      </c>
      <c r="S250" s="53" cm="1">
        <f t="array" ref="S250">MMS_Dairy_N2ODirect_Equations.VEERG_4_3_1_3__2_TotalNitrogenInEachMMS(Q$176+Q$213,S238)</f>
        <v>1298.2815695085274</v>
      </c>
      <c r="T250" s="53" cm="1">
        <f t="array" ref="T250">MMS_Dairy_N2ODirect_Equations.VEERG_4_3_1_3__2_TotalNitrogenInEachMMS(R$176+R$213,T238)</f>
        <v>543.49872691137739</v>
      </c>
    </row>
    <row r="251" spans="1:21" ht="20" customHeight="1" x14ac:dyDescent="0.25"/>
    <row r="252" spans="1:21" ht="20" customHeight="1" x14ac:dyDescent="0.25"/>
    <row r="253" spans="1:21" ht="20" customHeight="1" x14ac:dyDescent="0.25">
      <c r="C253" s="46"/>
      <c r="D253" s="46"/>
      <c r="E253" s="46"/>
      <c r="F253" s="46"/>
      <c r="G253" s="46"/>
      <c r="H253" s="46"/>
      <c r="I253" s="46"/>
      <c r="J253" s="46"/>
      <c r="K253" s="46"/>
      <c r="M253" s="46"/>
      <c r="N253" s="46"/>
      <c r="O253" s="46"/>
      <c r="P253" s="46"/>
      <c r="Q253" s="46"/>
      <c r="R253" s="46"/>
      <c r="S253" s="46"/>
      <c r="T253" s="46"/>
      <c r="U253" s="46"/>
    </row>
    <row r="254" spans="1:21" ht="20" customHeight="1" x14ac:dyDescent="0.25">
      <c r="D254" s="6" t="str" cm="1">
        <f t="array" ref="D254">MMS_Dairy_N2ODirect_Equations.VEERG_4_3_1_3__1_TotalAnnualDirectNitrousOxideEmissionsFromMMS_Title()</f>
        <v>Total annual direct nitrous oxide emissions from manure management systems</v>
      </c>
    </row>
    <row r="255" spans="1:21" ht="20" customHeight="1" x14ac:dyDescent="0.25">
      <c r="D255" s="5" t="str" cm="1">
        <f t="array" ref="D255">MMS_Dairy_N2ODirect_Equations.VEERG_4_3_1_3__1_TotalAnnualDirectNitrousOxideEmissionsFromMMS_Source()</f>
        <v>VEERG 2026: 4.3.1.3, Equation (1)</v>
      </c>
    </row>
    <row r="256" spans="1:21" ht="20" customHeight="1" x14ac:dyDescent="0.25">
      <c r="D256" s="13" t="s">
        <v>25</v>
      </c>
      <c r="E256" s="13" t="str" cm="1">
        <f t="array" aca="1" ref="E256" ca="1">Common_InputFunctions.Utility_DisplayFunctionName(F280)</f>
        <v>=MMS_Dairy_N2ODirect_Equations.VEERG_4_3_1_3__1_TotalAnnualDirectNitrousOxideEmissionsFromMMS</v>
      </c>
    </row>
    <row r="257" spans="4:9" ht="20" customHeight="1" x14ac:dyDescent="0.25"/>
    <row r="258" spans="4:9" ht="20" customHeight="1" x14ac:dyDescent="0.25">
      <c r="D258" s="6"/>
    </row>
    <row r="259" spans="4:9" ht="20" customHeight="1" x14ac:dyDescent="0.25">
      <c r="D259" s="54" t="s">
        <v>28</v>
      </c>
      <c r="E259" s="1" t="str" cm="1">
        <f t="array" ref="E259">MMS_Dairy_N2ODirect_Equations.VEERG_4_3_1_3__1_TotalAnnualDirectNitrousOxideEmissionsFromMMS_Variable()</f>
        <v>E_N2Odir</v>
      </c>
    </row>
    <row r="260" spans="4:9" ht="20" customHeight="1" x14ac:dyDescent="0.25">
      <c r="D260" s="54" t="s">
        <v>18</v>
      </c>
      <c r="E260" s="55" t="str" cm="1">
        <f t="array" ref="E260">MMS_Dairy_N2ODirect_Equations.VEERG_4_3_1_3__1_TotalAnnualDirectNitrousOxideEmissionsFromMMS_Unit()</f>
        <v>t N2O</v>
      </c>
    </row>
    <row r="261" spans="4:9" ht="20" customHeight="1" x14ac:dyDescent="0.25"/>
    <row r="262" spans="4:9" ht="20"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 customHeight="1" x14ac:dyDescent="0.25"/>
    <row r="266" spans="4:9" ht="20" customHeight="1" x14ac:dyDescent="0.25">
      <c r="D266" s="100" t="s">
        <v>307</v>
      </c>
    </row>
    <row r="267" spans="4:9" ht="20" customHeight="1" x14ac:dyDescent="0.25">
      <c r="D267" s="99" t="s">
        <v>308</v>
      </c>
    </row>
    <row r="268" spans="4:9" ht="20" customHeight="1" x14ac:dyDescent="0.25">
      <c r="D268" s="52" t="s">
        <v>66</v>
      </c>
      <c r="E268" s="52" t="s">
        <v>309</v>
      </c>
    </row>
    <row r="269" spans="4:9" ht="20" customHeight="1" x14ac:dyDescent="0.25">
      <c r="D269" s="53" t="str" cm="1">
        <f t="array" ref="D269:D273">Table_SourceData_Dairy_EFmFracGASM[NIR reference]</f>
        <v>Pasture range and paddock</v>
      </c>
      <c r="E269" s="53" cm="1">
        <f t="array" ref="E269:E273">Table_SourceData_Dairy_EFmFracGASM[EFm]</f>
        <v>0</v>
      </c>
    </row>
    <row r="270" spans="4:9" ht="20" customHeight="1" x14ac:dyDescent="0.25">
      <c r="D270" s="53" t="str">
        <v>Anaerobic lagoon</v>
      </c>
      <c r="E270" s="53">
        <v>0</v>
      </c>
    </row>
    <row r="271" spans="4:9" ht="20" customHeight="1" x14ac:dyDescent="0.25">
      <c r="D271" s="53" t="str">
        <v>Sump and dispersal system</v>
      </c>
      <c r="E271" s="53">
        <v>0</v>
      </c>
    </row>
    <row r="272" spans="4:9" ht="20" customHeight="1" x14ac:dyDescent="0.25">
      <c r="D272" s="53" t="str">
        <v>Drains to paddock</v>
      </c>
      <c r="E272" s="53">
        <v>0</v>
      </c>
    </row>
    <row r="273" spans="1:20" ht="20" customHeight="1" x14ac:dyDescent="0.25">
      <c r="D273" s="53" t="str">
        <v>Solid storage</v>
      </c>
      <c r="E273" s="53">
        <v>5.0000000000000001E-3</v>
      </c>
    </row>
    <row r="274" spans="1:20" ht="20" customHeight="1" x14ac:dyDescent="0.25"/>
    <row r="275" spans="1:20" ht="20" customHeight="1" x14ac:dyDescent="0.25">
      <c r="D275" s="100" t="s">
        <v>118</v>
      </c>
      <c r="N275" s="100" t="s">
        <v>358</v>
      </c>
    </row>
    <row r="276" spans="1:20" ht="20" customHeight="1" x14ac:dyDescent="0.25">
      <c r="D276" s="99" t="s">
        <v>310</v>
      </c>
      <c r="N276" s="99" t="s">
        <v>459</v>
      </c>
    </row>
    <row r="277" spans="1:20" ht="20"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 customHeight="1" x14ac:dyDescent="0.25"/>
    <row r="287" spans="1:20" ht="20" customHeight="1" x14ac:dyDescent="0.25">
      <c r="D287" s="104" t="s">
        <v>117</v>
      </c>
      <c r="E287" s="105">
        <f>SUM(F278:J285)</f>
        <v>5.8975625860183567E-2</v>
      </c>
      <c r="F287" s="106" t="str">
        <f>$E$260</f>
        <v>t N2O</v>
      </c>
      <c r="N287" s="104" t="s">
        <v>117</v>
      </c>
      <c r="O287" s="105">
        <f>SUM(P278:T285)</f>
        <v>5.8975625860183567E-2</v>
      </c>
      <c r="P287" s="106" t="str">
        <f>$E$260</f>
        <v>t N2O</v>
      </c>
    </row>
    <row r="288" spans="1:20" ht="20" customHeight="1" x14ac:dyDescent="0.25"/>
    <row r="289" spans="4:17" ht="20"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 customHeight="1" x14ac:dyDescent="0.25"/>
    <row r="292" spans="4:17" ht="20" x14ac:dyDescent="0.25" customHeight="1">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W165"/>
  <sheetViews>
    <sheetView showGridLines="0" topLeftCell="A50" zoomScaleNormal="100" workbookViewId="0">
      <selection activeCell="E68" sqref="E68"/>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 customHeight="1" x14ac:dyDescent="0.25">
      <c r="A2"/>
    </row>
    <row r="3" spans="1:23" ht="20"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 customHeight="1" x14ac:dyDescent="0.25">
      <c r="D6" s="5" t="str" cm="1">
        <f t="array" ref="D6">MMS_Dairy_AtmosphericDeposition_Equations.VEERG_4_3_1_5__2_TotalNitrogenVolatilisedFromMMS_Source()</f>
        <v>VEERG 2026: 4.3.1.5, Equation (2)</v>
      </c>
    </row>
    <row r="7" spans="1:23" ht="20" customHeight="1" x14ac:dyDescent="0.25">
      <c r="D7" s="13" t="s">
        <v>25</v>
      </c>
      <c r="E7" s="13" t="str" cm="1">
        <f t="array" aca="1" ref="E7" ca="1">Common_InputFunctions.Utility_DisplayFunctionName(F40)</f>
        <v>=MMS_Dairy_AtmosphericDeposition_Equations.VEERG_4_3_1_5__2_TotalNitrogenVolatilisedFromMMS</v>
      </c>
    </row>
    <row r="8" spans="1:23" ht="20" customHeight="1" x14ac:dyDescent="0.25">
      <c r="A8" s="19" t="s">
        <v>0</v>
      </c>
    </row>
    <row r="9" spans="1:23" ht="20" customHeight="1" x14ac:dyDescent="0.25">
      <c r="A9" s="17" t="str">
        <f>HYPERLINK("#'Input - Site'!A1", "Site")</f>
        <v>Site</v>
      </c>
    </row>
    <row r="10" spans="1:23" ht="20"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 customHeight="1" x14ac:dyDescent="0.25">
      <c r="D11" s="54" t="s">
        <v>18</v>
      </c>
      <c r="E11" s="55" t="str" cm="1">
        <f t="array" ref="E11">MMS_Dairy_AtmosphericDeposition_Equations.VEERG_4_3_1_5__2_TotalNitrogenVolatilisedFromMMS_Unit()</f>
        <v>kg N</v>
      </c>
    </row>
    <row r="12" spans="1:23" ht="20" customHeight="1" x14ac:dyDescent="0.25"/>
    <row r="13" spans="1:23" ht="20"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 customHeight="1" x14ac:dyDescent="0.25">
      <c r="A15" s="17" t="str">
        <f>HYPERLINK("#'4.3.1.3-4 Direct N20'!A1", "4.3.1.3-4 Direct N20")</f>
        <v>4.3.1.3-4 Direct N20</v>
      </c>
    </row>
    <row r="16" spans="1:23" ht="20" customHeight="1" x14ac:dyDescent="0.25">
      <c r="A16" s="21" t="str">
        <f>HYPERLINK("#'4.3.1.5 Atmos deposition'!A1", "4.3.1.5 Atmos deposition")</f>
        <v>4.3.1.5 Atmos deposition</v>
      </c>
      <c r="D16" s="100" t="s">
        <v>303</v>
      </c>
      <c r="O16" s="100" t="s">
        <v>306</v>
      </c>
    </row>
    <row r="17" spans="1:22" ht="20" customHeight="1" x14ac:dyDescent="0.25">
      <c r="A17" s="17" t="str">
        <f>HYPERLINK("#'4.3.1.6-7 Leaching and runoff'!A1", "4.3.1.6-7 Leaching and runoff")</f>
        <v>4.3.1.6-7 Leaching and runoff</v>
      </c>
      <c r="D17" s="99" t="s">
        <v>304</v>
      </c>
      <c r="O17" s="99" t="s">
        <v>305</v>
      </c>
    </row>
    <row r="18" spans="1:22" ht="20"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 customHeight="1" x14ac:dyDescent="0.25">
      <c r="A27" s="17" t="str">
        <f>HYPERLINK("#'Constants - Livestock'!A1", "Constants - Livestock")</f>
        <v>Constants - Livestock</v>
      </c>
    </row>
    <row r="28" spans="1:22" ht="20" customHeight="1" x14ac:dyDescent="0.25">
      <c r="A28" s="17" t="str">
        <f>HYPERLINK("#'Acknowledgements'!A1", "Acknowledgements")</f>
        <v>Acknowledgements</v>
      </c>
      <c r="D28" s="100" t="s">
        <v>313</v>
      </c>
    </row>
    <row r="29" spans="1:22" ht="20" customHeight="1" x14ac:dyDescent="0.25">
      <c r="A29" s="17" t="str">
        <f>HYPERLINK("#'Tab template'!A1", "Tab template")</f>
        <v>Tab template</v>
      </c>
      <c r="D29" s="99" t="s">
        <v>315</v>
      </c>
    </row>
    <row r="30" spans="1:22" ht="20" customHeight="1" x14ac:dyDescent="0.25">
      <c r="D30" s="52" t="s">
        <v>66</v>
      </c>
      <c r="E30" s="52" t="s">
        <v>314</v>
      </c>
    </row>
    <row r="31" spans="1:22" ht="20"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 customHeight="1" x14ac:dyDescent="0.25">
      <c r="D32" s="53" t="str">
        <v>Anaerobic lagoon</v>
      </c>
      <c r="E32" s="53">
        <v>0.35</v>
      </c>
      <c r="F32" s="2"/>
    </row>
    <row r="33" spans="4:22" ht="20" customHeight="1" x14ac:dyDescent="0.25">
      <c r="D33" s="53" t="str">
        <v>Sump and dispersal system</v>
      </c>
      <c r="E33" s="53">
        <v>7.0000000000000007E-2</v>
      </c>
      <c r="F33" s="2"/>
    </row>
    <row r="34" spans="4:22" ht="20" customHeight="1" x14ac:dyDescent="0.25">
      <c r="D34" s="53" t="str">
        <v>Drains to paddock</v>
      </c>
      <c r="E34" s="53">
        <v>0.2</v>
      </c>
      <c r="F34" s="2"/>
    </row>
    <row r="35" spans="4:22" ht="20" customHeight="1" x14ac:dyDescent="0.25">
      <c r="D35" s="53" t="str">
        <v>Solid storage</v>
      </c>
      <c r="E35" s="53">
        <v>0.3</v>
      </c>
      <c r="F35" s="2"/>
    </row>
    <row r="36" spans="4:22" ht="20" customHeight="1" x14ac:dyDescent="0.25"/>
    <row r="37" spans="4:22" ht="20" customHeight="1" x14ac:dyDescent="0.25">
      <c r="D37" s="100" t="s">
        <v>316</v>
      </c>
      <c r="O37" s="100" t="s">
        <v>318</v>
      </c>
    </row>
    <row r="38" spans="4:22" ht="20" customHeight="1" x14ac:dyDescent="0.25">
      <c r="D38" s="99" t="s">
        <v>317</v>
      </c>
      <c r="O38" s="99" t="s">
        <v>319</v>
      </c>
    </row>
    <row r="39" spans="4:22" ht="20"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 customHeight="1" x14ac:dyDescent="0.25"/>
    <row r="49" spans="3:23" ht="20" customHeight="1" x14ac:dyDescent="0.25">
      <c r="D49" s="114" t="s">
        <v>375</v>
      </c>
      <c r="E49" s="46">
        <f>SUM(F40:J47)</f>
        <v>5101.668293837286</v>
      </c>
      <c r="F49" s="108" t="str">
        <f>$E$11</f>
        <v>kg N</v>
      </c>
      <c r="O49" s="114" t="s">
        <v>375</v>
      </c>
      <c r="P49" s="46">
        <f>SUM(Q40:U47)</f>
        <v>5101.668293837286</v>
      </c>
      <c r="Q49" s="108" t="str">
        <f>$E$11</f>
        <v>kg N</v>
      </c>
    </row>
    <row r="50" spans="3:23" ht="20" customHeight="1" x14ac:dyDescent="0.25"/>
    <row r="51" spans="3:23" ht="20" customHeight="1" x14ac:dyDescent="0.25"/>
    <row r="52" spans="3:23" ht="20" customHeight="1" x14ac:dyDescent="0.25">
      <c r="C52" s="46"/>
      <c r="D52" s="46"/>
      <c r="E52" s="46"/>
      <c r="F52" s="46"/>
      <c r="G52" s="46"/>
      <c r="H52" s="46"/>
      <c r="I52" s="46"/>
      <c r="J52" s="46"/>
      <c r="K52" s="46"/>
      <c r="L52" s="46"/>
      <c r="N52" s="46"/>
      <c r="O52" s="46"/>
      <c r="P52" s="46"/>
      <c r="Q52" s="46"/>
      <c r="R52" s="46"/>
      <c r="S52" s="46"/>
      <c r="T52" s="46"/>
      <c r="U52" s="46"/>
      <c r="V52" s="46"/>
      <c r="W52" s="46"/>
    </row>
    <row r="53" spans="3:23" ht="20" customHeight="1" x14ac:dyDescent="0.25">
      <c r="D53" s="6" t="str" cm="1">
        <f t="array" ref="D53">MMS_Dairy_AtmosphericDeposition_Equations.VEERG_4_3_1_5__1_AnnualAtmosphericDepositionEmissionsFromMMS_Title()</f>
        <v>Annual atmospheric deposition emissions from MMS</v>
      </c>
    </row>
    <row r="54" spans="3:23" ht="20" customHeight="1" x14ac:dyDescent="0.25">
      <c r="D54" s="5" t="str" cm="1">
        <f t="array" ref="D54">MMS_Dairy_AtmosphericDeposition_Equations.VEERG_4_3_1_5__1_AnnualAtmosphericDepositionEmissionsFromMMS_Source()</f>
        <v>VEERG 2026: 4.3.1.5, Equation (1)</v>
      </c>
    </row>
    <row r="55" spans="3:23" ht="20"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 customHeight="1" x14ac:dyDescent="0.25"/>
    <row r="57" spans="3:23" ht="20" customHeight="1" x14ac:dyDescent="0.25">
      <c r="D57" s="6"/>
      <c r="H57" s="1" t="s">
        <v>416</v>
      </c>
    </row>
    <row r="58" spans="3:23" ht="20" customHeight="1" x14ac:dyDescent="0.25">
      <c r="D58" s="54" t="s">
        <v>28</v>
      </c>
      <c r="E58" s="1" t="str" cm="1">
        <f t="array" ref="E58">MMS_Dairy_AtmosphericDeposition_Equations.VEERG_4_3_1_5__1_AnnualAtmosphericDepositionEmissionsFromMMS_Variable()</f>
        <v>E_N2OMMSad</v>
      </c>
    </row>
    <row r="59" spans="3:23" ht="20" customHeight="1" x14ac:dyDescent="0.25">
      <c r="D59" s="54" t="s">
        <v>18</v>
      </c>
      <c r="E59" s="55" t="str" cm="1">
        <f t="array" ref="E59">MMS_Dairy_AtmosphericDeposition_Equations.VEERG_4_3_1_5__1_AnnualAtmosphericDepositionEmissionsFromMMS_Unit()</f>
        <v>t N2O</v>
      </c>
    </row>
    <row r="60" spans="3:23" ht="20" customHeight="1" x14ac:dyDescent="0.25"/>
    <row r="61" spans="3:23" ht="20"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 customHeight="1" x14ac:dyDescent="0.25"/>
    <row r="68" spans="4:18" ht="20"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 customHeight="1" x14ac:dyDescent="0.25"/>
    <row r="70" spans="4:18" ht="20"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 customHeight="1" x14ac:dyDescent="0.25"/>
    <row r="73" spans="4:18" ht="20"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 customHeight="1" x14ac:dyDescent="0.25"/>
    <row r="75" spans="4:18" ht="20" customHeight="1" x14ac:dyDescent="0.25"/>
    <row r="76" spans="4:18" ht="20" customHeight="1" x14ac:dyDescent="0.25"/>
    <row r="77" spans="4:18" ht="20" customHeight="1" x14ac:dyDescent="0.25"/>
    <row r="78" spans="4:18" ht="20" customHeight="1" x14ac:dyDescent="0.25"/>
    <row r="79" spans="4:18" ht="20" customHeight="1" x14ac:dyDescent="0.25"/>
    <row r="80" spans="4:18"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sheetPr>
    <tabColor rgb="FF008000"/>
  </sheetPr>
  <dimension ref="A1:W165"/>
  <sheetViews>
    <sheetView showGridLines="0" topLeftCell="A4"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 customHeight="1" x14ac:dyDescent="0.25">
      <c r="A2"/>
    </row>
    <row r="3" spans="1:23" ht="20"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 customHeight="1" x14ac:dyDescent="0.25">
      <c r="D6" s="5" t="str" cm="1">
        <f t="array" ref="D6">MMS_Dairy_LeachingAndRunoff_Equations.VEERG_4_3_1_6__2_MassOfNitrogenLostToLeachingAndRunoffFromSolidStorage_Source()</f>
        <v>VEERG 2026: 4.3.1.6, Equation (2)</v>
      </c>
    </row>
    <row r="7" spans="1:23" ht="20"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 customHeight="1" x14ac:dyDescent="0.25">
      <c r="A8" s="19" t="s">
        <v>0</v>
      </c>
    </row>
    <row r="9" spans="1:23" ht="20" customHeight="1" x14ac:dyDescent="0.25">
      <c r="A9" s="17" t="str">
        <f>HYPERLINK("#'Input - Site'!A1", "Site")</f>
        <v>Site</v>
      </c>
    </row>
    <row r="10" spans="1:23" ht="20"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 customHeight="1" x14ac:dyDescent="0.25">
      <c r="D11" s="54" t="s">
        <v>18</v>
      </c>
      <c r="E11" s="55" t="str" cm="1">
        <f t="array" ref="E11">MMS_Dairy_LeachingAndRunoff_Equations.VEERG_4_3_1_6__2_MassOfNitrogenLostToLeachingAndRunoffFromSolidStorage_Unit()</f>
        <v>kg N</v>
      </c>
    </row>
    <row r="12" spans="1:23" ht="20" customHeight="1" x14ac:dyDescent="0.25"/>
    <row r="13" spans="1:23" ht="20"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 customHeight="1" x14ac:dyDescent="0.25">
      <c r="A19" s="17" t="str">
        <f>HYPERLINK("#'4.3.1.9 Soil direct N2O'!A1", "4.3.1.9 Soil direct N2O")</f>
        <v>4.3.1.9 Soil direct N2O</v>
      </c>
    </row>
    <row r="20" spans="1:22" ht="20" customHeight="1" x14ac:dyDescent="0.25">
      <c r="A20" s="17" t="str">
        <f>HYPERLINK("#'4.3.1.10-11 Soil Atmos Dep'!A1", "4.3.1.10-11 Soil Atmos Dep")</f>
        <v>4.3.1.10-11 Soil Atmos Dep</v>
      </c>
      <c r="D20" s="100" t="s">
        <v>322</v>
      </c>
      <c r="O20" s="100" t="s">
        <v>324</v>
      </c>
    </row>
    <row r="21" spans="1:22" ht="20" customHeight="1" x14ac:dyDescent="0.25">
      <c r="A21" s="17" t="str">
        <f>HYPERLINK("#'4.3.1.12-13 Soil leach runoff'!A1", "4.3.1.12-13 Soil leach runoff")</f>
        <v>4.3.1.12-13 Soil leach runoff</v>
      </c>
      <c r="D21" s="99" t="s">
        <v>323</v>
      </c>
      <c r="O21" s="99" t="s">
        <v>325</v>
      </c>
    </row>
    <row r="22" spans="1:22" ht="20"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 customHeight="1" x14ac:dyDescent="0.25">
      <c r="A25" s="17" t="str">
        <f>HYPERLINK("#'Constants - Dairy'!A1", "Constants - Dairy")</f>
        <v>Constants - Dairy</v>
      </c>
    </row>
    <row r="26" spans="1:22" ht="20" customHeight="1" x14ac:dyDescent="0.25">
      <c r="A26" s="17" t="str">
        <f>HYPERLINK("#'Constants - Common'!A1", "Constants - Common")</f>
        <v>Constants - Common</v>
      </c>
      <c r="D26" s="100" t="s">
        <v>327</v>
      </c>
      <c r="O26" s="100" t="s">
        <v>328</v>
      </c>
    </row>
    <row r="27" spans="1:22" ht="20" customHeight="1" x14ac:dyDescent="0.25">
      <c r="A27" s="17" t="str">
        <f>HYPERLINK("#'Constants - Livestock'!A1", "Constants - Livestock")</f>
        <v>Constants - Livestock</v>
      </c>
      <c r="D27" s="99" t="s">
        <v>326</v>
      </c>
      <c r="O27" s="99" t="s">
        <v>329</v>
      </c>
    </row>
    <row r="28" spans="1:22" ht="20"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 customHeight="1" x14ac:dyDescent="0.25"/>
    <row r="32" spans="1:22" ht="20" customHeight="1" x14ac:dyDescent="0.25"/>
    <row r="33" spans="3:23" ht="20" customHeight="1" x14ac:dyDescent="0.25">
      <c r="C33" s="46"/>
      <c r="D33" s="46"/>
      <c r="E33" s="46"/>
      <c r="F33" s="46"/>
      <c r="G33" s="46"/>
      <c r="H33" s="46"/>
      <c r="I33" s="46"/>
      <c r="J33" s="46"/>
      <c r="K33" s="46"/>
      <c r="L33" s="46"/>
      <c r="N33" s="46"/>
      <c r="O33" s="46"/>
      <c r="P33" s="46"/>
      <c r="Q33" s="46"/>
      <c r="R33" s="46"/>
      <c r="S33" s="46"/>
      <c r="T33" s="46"/>
      <c r="U33" s="46"/>
      <c r="V33" s="46"/>
      <c r="W33" s="46"/>
    </row>
    <row r="34" spans="3:23" ht="20" customHeight="1" x14ac:dyDescent="0.25">
      <c r="D34" s="6" t="str" cm="1">
        <f t="array" ref="D34">MMS_Dairy_LeachingAndRunoff_Equations.VEERG_4_3_1_6__1_AnnualEmissionsFromLeachingAndRunoffFromMMS_Title()</f>
        <v>Annual emissions from leaching and runoff from each MMS</v>
      </c>
    </row>
    <row r="35" spans="3:23" ht="20" customHeight="1" x14ac:dyDescent="0.25">
      <c r="D35" s="5" t="str" cm="1">
        <f t="array" ref="D35">MMS_Dairy_LeachingAndRunoff_Equations.VEERG_4_3_1_6__1_AnnualEmissionsFromLeachingAndRunoffFromMMS_Source()</f>
        <v>VEERG 2026: 4.3.1.6, Equation (1)</v>
      </c>
    </row>
    <row r="36" spans="3:23" ht="20" customHeight="1" x14ac:dyDescent="0.25">
      <c r="D36" s="13" t="s">
        <v>25</v>
      </c>
      <c r="E36" s="13" t="str" cm="1">
        <f t="array" aca="1" ref="E36" ca="1">Common_InputFunctions.Utility_DisplayFunctionName(J49)</f>
        <v>=MMS_Dairy_LeachingAndRunoff_Equations.VEERG_4_3_1_6__1_AnnualEmissionsFromLeachingAndRunoffFromMMS</v>
      </c>
    </row>
    <row r="37" spans="3:23" ht="20" customHeight="1" x14ac:dyDescent="0.25"/>
    <row r="38" spans="3:23" ht="20" customHeight="1" x14ac:dyDescent="0.25">
      <c r="D38" s="6"/>
    </row>
    <row r="39" spans="3:23" ht="20" customHeight="1" x14ac:dyDescent="0.25">
      <c r="D39" s="54" t="s">
        <v>28</v>
      </c>
      <c r="E39" s="1" t="str" cm="1">
        <f t="array" ref="E39">MMS_Dairy_LeachingAndRunoff_Equations.VEERG_4_3_1_6__1_AnnualEmissionsFromLeachingAndRunoffFromMMS_Variable()</f>
        <v>E_N2Oleach</v>
      </c>
    </row>
    <row r="40" spans="3:23" ht="20" customHeight="1" x14ac:dyDescent="0.25">
      <c r="D40" s="54" t="s">
        <v>18</v>
      </c>
      <c r="E40" s="55" t="str" cm="1">
        <f t="array" ref="E40">MMS_Dairy_LeachingAndRunoff_Equations.VEERG_4_3_1_6__1_AnnualEmissionsFromLeachingAndRunoffFromMMS_Unit()</f>
        <v>t N2O</v>
      </c>
    </row>
    <row r="41" spans="3:23" ht="20" customHeight="1" x14ac:dyDescent="0.25"/>
    <row r="42" spans="3:23" ht="20"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 customHeight="1" x14ac:dyDescent="0.25"/>
    <row r="46" spans="3:23" ht="20" customHeight="1" x14ac:dyDescent="0.25">
      <c r="D46" s="100" t="s">
        <v>330</v>
      </c>
      <c r="O46" s="100" t="s">
        <v>332</v>
      </c>
    </row>
    <row r="47" spans="3:23" ht="20" customHeight="1" x14ac:dyDescent="0.25">
      <c r="D47" s="99" t="s">
        <v>331</v>
      </c>
      <c r="O47" s="99" t="s">
        <v>333</v>
      </c>
    </row>
    <row r="48" spans="3:23" ht="20"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 customHeight="1" x14ac:dyDescent="0.25"/>
    <row r="52" spans="4:22" ht="20" customHeight="1" x14ac:dyDescent="0.25">
      <c r="D52" s="104" t="s">
        <v>320</v>
      </c>
      <c r="E52" s="105">
        <f>SUM(F49:J50)</f>
        <v>2.5949275378480772E-3</v>
      </c>
      <c r="F52" s="106" t="str">
        <f>$E$40</f>
        <v>t N2O</v>
      </c>
      <c r="O52" s="104" t="s">
        <v>320</v>
      </c>
      <c r="P52" s="105">
        <f>SUM(Q49:U50)</f>
        <v>2.5949275378480772E-3</v>
      </c>
      <c r="Q52" s="106" t="str">
        <f>$E$40</f>
        <v>t N2O</v>
      </c>
    </row>
    <row r="53" spans="4:22" ht="20" customHeight="1" x14ac:dyDescent="0.25"/>
    <row r="54" spans="4:22" ht="20"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 customHeight="1" x14ac:dyDescent="0.25"/>
    <row r="57" spans="4:22" ht="20"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 customHeight="1" x14ac:dyDescent="0.25"/>
    <row r="59" spans="4:22" ht="20" customHeight="1" x14ac:dyDescent="0.25"/>
    <row r="60" spans="4:22" ht="20" customHeight="1" x14ac:dyDescent="0.25"/>
    <row r="61" spans="4:22" ht="20" customHeight="1" x14ac:dyDescent="0.25"/>
    <row r="62" spans="4:22" ht="20" customHeight="1" x14ac:dyDescent="0.25"/>
    <row r="63" spans="4:22" ht="20" customHeight="1" x14ac:dyDescent="0.25"/>
    <row r="64" spans="4:22"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W207"/>
  <sheetViews>
    <sheetView showGridLines="0" topLeftCell="B53" zoomScaleNormal="100" workbookViewId="0">
      <selection activeCell="A29" sqref="A29"/>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 customHeight="1" x14ac:dyDescent="0.25">
      <c r="A2"/>
      <c r="M2" s="128"/>
    </row>
    <row r="3" spans="1:23" ht="20"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 customHeight="1" x14ac:dyDescent="0.25">
      <c r="D6" s="5" t="str" cm="1">
        <f t="array" ref="D6">MMS_Dairy_ManureAppliedToSoils_Equations.VEERG_4_3_1_8__1_MassOfNitrogenAppliedToSoilsScope1_Source()</f>
        <v>VEERG 2026: 4.3.1.8, Equation (1)</v>
      </c>
    </row>
    <row r="7" spans="1:23" ht="20" customHeight="1" x14ac:dyDescent="0.25">
      <c r="D7" s="13" t="s">
        <v>25</v>
      </c>
      <c r="E7" s="13" t="str" cm="1">
        <f t="array" aca="1" ref="E7" ca="1">Common_InputFunctions.Utility_DisplayFunctionName($F$76)</f>
        <v>=MMS_Dairy_ManureAppliedToSoils_Equations.VEERG_4_3_1_8__1_MassOfNitrogenAppliedToSoilsScope1</v>
      </c>
    </row>
    <row r="8" spans="1:23" ht="20" customHeight="1" x14ac:dyDescent="0.25">
      <c r="A8" s="19" t="s">
        <v>0</v>
      </c>
    </row>
    <row r="9" spans="1:23" ht="20" customHeight="1" x14ac:dyDescent="0.25">
      <c r="A9" s="17" t="str">
        <f>HYPERLINK("#'Input - Site'!A1", "Site")</f>
        <v>Site</v>
      </c>
    </row>
    <row r="10" spans="1:23" ht="20"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 customHeight="1" x14ac:dyDescent="0.25">
      <c r="D11" s="54" t="s">
        <v>18</v>
      </c>
      <c r="E11" s="55" t="str" cm="1">
        <f t="array" ref="E11">MMS_Dairy_ManureAppliedToSoils_Equations.VEERG_4_3_1_8__1_MassOfNitrogenAppliedToSoilsScope1_Unit()</f>
        <v>kg N</v>
      </c>
    </row>
    <row r="12" spans="1:23" ht="20" customHeight="1" x14ac:dyDescent="0.25"/>
    <row r="13" spans="1:23" ht="20"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 customHeight="1" x14ac:dyDescent="0.25">
      <c r="A18" s="21" t="str">
        <f>HYPERLINK("#'4.3.1.8 Manure applied to soils'!A1", "4.3.1.8 Manure applied to soils")</f>
        <v>4.3.1.8 Manure applied to soils</v>
      </c>
    </row>
    <row r="19" spans="1:9" ht="20" customHeight="1" x14ac:dyDescent="0.25">
      <c r="A19" s="17" t="str">
        <f>HYPERLINK("#'4.3.1.9 Soil direct N2O'!A1", "4.3.1.9 Soil direct N2O")</f>
        <v>4.3.1.9 Soil direct N2O</v>
      </c>
      <c r="D19" s="100" t="s">
        <v>307</v>
      </c>
    </row>
    <row r="20" spans="1:9" ht="20" customHeight="1" x14ac:dyDescent="0.25">
      <c r="A20" s="17" t="str">
        <f>HYPERLINK("#'4.3.1.10-11 Soil Atmos Dep'!A1", "4.3.1.10-11 Soil Atmos Dep")</f>
        <v>4.3.1.10-11 Soil Atmos Dep</v>
      </c>
      <c r="D20" s="99" t="s">
        <v>308</v>
      </c>
    </row>
    <row r="21" spans="1:9" ht="20" customHeight="1" x14ac:dyDescent="0.25">
      <c r="A21" s="17" t="str">
        <f>HYPERLINK("#'4.3.1.12-13 Soil leach runoff'!A1", "4.3.1.12-13 Soil leach runoff")</f>
        <v>4.3.1.12-13 Soil leach runoff</v>
      </c>
      <c r="D21" s="52" t="s">
        <v>66</v>
      </c>
      <c r="E21" s="52" t="s">
        <v>309</v>
      </c>
    </row>
    <row r="22" spans="1:9" ht="20" customHeight="1" x14ac:dyDescent="0.25">
      <c r="D22" s="53" t="str" cm="1">
        <f t="array" ref="D22:D26">Table_SourceData_Dairy_EFmFracGASM[NIR reference]</f>
        <v>Pasture range and paddock</v>
      </c>
      <c r="E22" s="53" cm="1">
        <f t="array" ref="E22:E26">Table_SourceData_Dairy_EFmFracGASM[EFm]</f>
        <v>0</v>
      </c>
    </row>
    <row r="23" spans="1:9" ht="20" customHeight="1" x14ac:dyDescent="0.25">
      <c r="D23" s="53" t="str">
        <v>Anaerobic lagoon</v>
      </c>
      <c r="E23" s="53">
        <v>0</v>
      </c>
    </row>
    <row r="24" spans="1:9" ht="20" customHeight="1" x14ac:dyDescent="0.25">
      <c r="A24" s="154" t="s">
        <v>1</v>
      </c>
      <c r="D24" s="53" t="str">
        <v>Sump and dispersal system</v>
      </c>
      <c r="E24" s="53">
        <v>0</v>
      </c>
    </row>
    <row r="25" spans="1:9" ht="20" customHeight="1" x14ac:dyDescent="0.25">
      <c r="A25" s="17" t="str">
        <f>HYPERLINK("#'Constants - Dairy'!A1", "Constants - Dairy")</f>
        <v>Constants - Dairy</v>
      </c>
      <c r="D25" s="53" t="str">
        <v>Drains to paddock</v>
      </c>
      <c r="E25" s="53">
        <v>0</v>
      </c>
    </row>
    <row r="26" spans="1:9" ht="20" customHeight="1" x14ac:dyDescent="0.25">
      <c r="A26" s="17" t="str">
        <f>HYPERLINK("#'Constants - Common'!A1", "Constants - Common")</f>
        <v>Constants - Common</v>
      </c>
      <c r="D26" s="53" t="str">
        <v>Solid storage</v>
      </c>
      <c r="E26" s="53">
        <v>5.0000000000000001E-3</v>
      </c>
    </row>
    <row r="27" spans="1:9" ht="20" customHeight="1" x14ac:dyDescent="0.25">
      <c r="A27" s="17" t="str">
        <f>HYPERLINK("#'Constants - Livestock'!A1", "Constants - Livestock")</f>
        <v>Constants - Livestock</v>
      </c>
    </row>
    <row r="28" spans="1:9" ht="20" customHeight="1" x14ac:dyDescent="0.25">
      <c r="A28" s="17" t="str">
        <f>HYPERLINK("#'Acknowledgements'!A1", "Acknowledgements")</f>
        <v>Acknowledgements</v>
      </c>
      <c r="D28" s="100" t="s">
        <v>313</v>
      </c>
    </row>
    <row r="29" spans="1:9" ht="20" customHeight="1" x14ac:dyDescent="0.25">
      <c r="A29" s="17" t="str">
        <f>HYPERLINK("#'Tab template'!A1", "Tab template")</f>
        <v>Tab template</v>
      </c>
      <c r="D29" s="99" t="s">
        <v>315</v>
      </c>
    </row>
    <row r="30" spans="1:9" ht="20" customHeight="1" x14ac:dyDescent="0.25">
      <c r="D30" s="52" t="s">
        <v>66</v>
      </c>
      <c r="E30" s="52" t="s">
        <v>314</v>
      </c>
    </row>
    <row r="31" spans="1:9" ht="20"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 customHeight="1" x14ac:dyDescent="0.25">
      <c r="D32" s="53" t="str">
        <v>Anaerobic lagoon</v>
      </c>
      <c r="E32" s="53">
        <v>0.35</v>
      </c>
      <c r="F32" s="2" t="str">
        <f>'Constants - Dairy'!$D$84</f>
        <v>kg N2O-N/kg N excreted</v>
      </c>
    </row>
    <row r="33" spans="4:22" ht="20" customHeight="1" x14ac:dyDescent="0.25">
      <c r="D33" s="53" t="str">
        <v>Sump and dispersal system</v>
      </c>
      <c r="E33" s="53">
        <v>7.0000000000000007E-2</v>
      </c>
      <c r="F33" s="2" t="str">
        <f>'Constants - Dairy'!$D$84</f>
        <v>kg N2O-N/kg N excreted</v>
      </c>
    </row>
    <row r="34" spans="4:22" ht="20" customHeight="1" x14ac:dyDescent="0.25">
      <c r="D34" s="53" t="str">
        <v>Drains to paddock</v>
      </c>
      <c r="E34" s="53">
        <v>0.2</v>
      </c>
      <c r="F34" s="2" t="str">
        <f>'Constants - Dairy'!$D$84</f>
        <v>kg N2O-N/kg N excreted</v>
      </c>
    </row>
    <row r="35" spans="4:22" ht="20" customHeight="1" x14ac:dyDescent="0.25">
      <c r="D35" s="53" t="str">
        <v>Solid storage</v>
      </c>
      <c r="E35" s="53">
        <v>0.3</v>
      </c>
      <c r="F35" s="2" t="str">
        <f>'Constants - Dairy'!$D$84</f>
        <v>kg N2O-N/kg N excreted</v>
      </c>
    </row>
    <row r="36" spans="4:22" ht="20" customHeight="1" x14ac:dyDescent="0.25"/>
    <row r="37" spans="4:22" ht="20" customHeight="1" x14ac:dyDescent="0.25">
      <c r="D37" s="100" t="s">
        <v>303</v>
      </c>
      <c r="M37"/>
      <c r="O37" s="100" t="s">
        <v>306</v>
      </c>
    </row>
    <row r="38" spans="4:22" ht="20" customHeight="1" x14ac:dyDescent="0.25">
      <c r="D38" s="99" t="s">
        <v>304</v>
      </c>
      <c r="M38"/>
      <c r="O38" s="99" t="s">
        <v>305</v>
      </c>
    </row>
    <row r="39" spans="4:22" ht="20"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 customHeight="1" x14ac:dyDescent="0.25"/>
    <row r="49" spans="4:22" ht="20" customHeight="1" x14ac:dyDescent="0.25">
      <c r="D49" s="100" t="s">
        <v>392</v>
      </c>
      <c r="O49" s="100" t="s">
        <v>390</v>
      </c>
    </row>
    <row r="50" spans="4:22" ht="20" customHeight="1" x14ac:dyDescent="0.25">
      <c r="D50" s="99" t="s">
        <v>393</v>
      </c>
      <c r="O50" s="99" t="s">
        <v>391</v>
      </c>
    </row>
    <row r="51" spans="4:22" ht="20"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 customHeight="1" x14ac:dyDescent="0.25"/>
    <row r="61" spans="4:22" ht="20" customHeight="1" x14ac:dyDescent="0.25">
      <c r="D61" s="100" t="s">
        <v>335</v>
      </c>
    </row>
    <row r="62" spans="4:22" ht="20" customHeight="1" x14ac:dyDescent="0.25">
      <c r="D62" s="99" t="s">
        <v>336</v>
      </c>
    </row>
    <row r="63" spans="4:22" ht="20" customHeight="1" x14ac:dyDescent="0.25">
      <c r="D63" s="40" t="s">
        <v>142</v>
      </c>
      <c r="E63" s="40" t="s">
        <v>66</v>
      </c>
      <c r="F63" s="40" t="s">
        <v>426</v>
      </c>
    </row>
    <row r="64" spans="4:22" ht="20"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 customHeight="1" x14ac:dyDescent="0.25"/>
    <row r="73" spans="4:22" ht="20" customHeight="1" x14ac:dyDescent="0.25">
      <c r="D73" s="100" t="s">
        <v>337</v>
      </c>
      <c r="O73" s="100" t="s">
        <v>341</v>
      </c>
    </row>
    <row r="74" spans="4:22" ht="20" customHeight="1" x14ac:dyDescent="0.25">
      <c r="D74" s="99" t="s">
        <v>340</v>
      </c>
      <c r="O74" s="99" t="s">
        <v>342</v>
      </c>
    </row>
    <row r="75" spans="4:22" ht="20"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 customHeight="1" x14ac:dyDescent="0.25"/>
    <row r="85" spans="3:23" ht="20" customHeight="1" x14ac:dyDescent="0.25">
      <c r="D85" s="104" t="s">
        <v>127</v>
      </c>
      <c r="E85" s="105">
        <f ca="1">SUM(F76:J83)</f>
        <v>11592.578908618651</v>
      </c>
      <c r="F85" s="106" t="str">
        <f>$E$11</f>
        <v>kg N</v>
      </c>
      <c r="O85" s="104" t="s">
        <v>127</v>
      </c>
      <c r="P85" s="105">
        <f ca="1">SUM(Q76:U83)</f>
        <v>11592.578908618651</v>
      </c>
      <c r="Q85" s="106" t="str">
        <f>$E$11</f>
        <v>kg N</v>
      </c>
    </row>
    <row r="86" spans="3:23" ht="20" customHeight="1" x14ac:dyDescent="0.25"/>
    <row r="87" spans="3:23" ht="20" customHeight="1" x14ac:dyDescent="0.25"/>
    <row r="88" spans="3:23" ht="20" customHeight="1" x14ac:dyDescent="0.25">
      <c r="C88" s="46"/>
      <c r="D88" s="46"/>
      <c r="E88" s="46"/>
      <c r="F88" s="46"/>
      <c r="G88" s="46"/>
      <c r="H88" s="46"/>
      <c r="I88" s="46"/>
      <c r="J88" s="46"/>
      <c r="K88" s="46"/>
      <c r="L88" s="46"/>
      <c r="N88" s="46"/>
      <c r="O88" s="46"/>
      <c r="P88" s="46"/>
      <c r="Q88" s="46"/>
      <c r="R88" s="46"/>
      <c r="S88" s="46"/>
      <c r="T88" s="46"/>
      <c r="U88" s="46"/>
      <c r="V88" s="46"/>
      <c r="W88" s="46"/>
    </row>
    <row r="89" spans="3:23" ht="20" customHeight="1" x14ac:dyDescent="0.25">
      <c r="D89" s="6" t="str" cm="1">
        <f t="array" ref="D89">MMS_Dairy_ManureAppliedToSoils_Equations.VEERG_4_3_1_8__2_MassOfNitrogenAppliedToSoilsScope3_Title()</f>
        <v>Mass of nitrogen from manure applied to soils for scope 3 emissions</v>
      </c>
    </row>
    <row r="90" spans="3:23" ht="20" customHeight="1" x14ac:dyDescent="0.25">
      <c r="D90" s="5" t="str" cm="1">
        <f t="array" ref="D90">MMS_Dairy_ManureAppliedToSoils_Equations.VEERG_4_3_1_8__2_MassOfNitrogenAppliedToSoilsScope3_Source()</f>
        <v>VEERG 2026: 4.3.1.8, Equation (2)</v>
      </c>
    </row>
    <row r="91" spans="3:23" ht="20" customHeight="1" x14ac:dyDescent="0.25">
      <c r="D91" s="13" t="s">
        <v>25</v>
      </c>
      <c r="E91" s="13" t="str" cm="1">
        <f t="array" aca="1" ref="E91" ca="1">Common_InputFunctions.Utility_DisplayFunctionName($F$106)</f>
        <v>=MMS_Dairy_ManureAppliedToSoils_Equations.VEERG_4_3_1_8__2_MassOfNitrogenAppliedToSoilsScope3</v>
      </c>
    </row>
    <row r="92" spans="3:23" ht="20" customHeight="1" x14ac:dyDescent="0.25"/>
    <row r="93" spans="3:23" ht="20" customHeight="1" x14ac:dyDescent="0.25"/>
    <row r="94" spans="3:23" ht="20" customHeight="1" x14ac:dyDescent="0.25">
      <c r="D94" s="54" t="s">
        <v>28</v>
      </c>
      <c r="E94" s="1" t="str" cm="1">
        <f t="array" ref="E94">MMS_Dairy_ManureAppliedToSoils_Equations.VEERG_4_3_1_8__2_MassOfNitrogenAppliedToSoilsScope3_Variable()</f>
        <v>MNSoil_scope3</v>
      </c>
    </row>
    <row r="95" spans="3:23" ht="20" customHeight="1" x14ac:dyDescent="0.25">
      <c r="D95" s="54" t="s">
        <v>18</v>
      </c>
      <c r="E95" s="55" t="str" cm="1">
        <f t="array" ref="E95">MMS_Dairy_ManureAppliedToSoils_Equations.VEERG_4_3_1_8__2_MassOfNitrogenAppliedToSoilsScope3_Unit()</f>
        <v>kg N</v>
      </c>
    </row>
    <row r="96" spans="3:23" ht="20" customHeight="1" x14ac:dyDescent="0.25"/>
    <row r="97" spans="4:22" ht="20"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 customHeight="1" x14ac:dyDescent="0.25"/>
    <row r="103" spans="4:22" ht="20" customHeight="1" x14ac:dyDescent="0.25">
      <c r="D103" s="100" t="s">
        <v>338</v>
      </c>
      <c r="O103" s="100" t="s">
        <v>344</v>
      </c>
    </row>
    <row r="104" spans="4:22" ht="20" customHeight="1" x14ac:dyDescent="0.25">
      <c r="D104" s="99" t="s">
        <v>339</v>
      </c>
      <c r="O104" s="99" t="s">
        <v>345</v>
      </c>
    </row>
    <row r="105" spans="4:22" ht="20"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 customHeight="1" x14ac:dyDescent="0.25"/>
    <row r="115" spans="3:23" ht="20" customHeight="1" x14ac:dyDescent="0.25">
      <c r="D115" s="104" t="s">
        <v>343</v>
      </c>
      <c r="E115" s="105">
        <f ca="1">SUM(F106:J113)</f>
        <v>3864.1929695395502</v>
      </c>
      <c r="F115" s="106" t="str">
        <f>$E$11</f>
        <v>kg N</v>
      </c>
      <c r="O115" s="104" t="s">
        <v>343</v>
      </c>
      <c r="P115" s="105">
        <f ca="1">SUM(Q106:U113)</f>
        <v>3864.1929695395502</v>
      </c>
      <c r="Q115" s="106" t="str">
        <f>$E$11</f>
        <v>kg N</v>
      </c>
    </row>
    <row r="116" spans="3:23" ht="20" customHeight="1" x14ac:dyDescent="0.25"/>
    <row r="117" spans="3:23" ht="20" customHeight="1" x14ac:dyDescent="0.25"/>
    <row r="118" spans="3:23" ht="20"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 customHeight="1" x14ac:dyDescent="0.25">
      <c r="D120" s="93" t="s">
        <v>388</v>
      </c>
      <c r="E120" s="90"/>
      <c r="F120" s="90"/>
      <c r="G120" s="90"/>
      <c r="H120" s="88"/>
    </row>
    <row r="121" spans="3:23" ht="20" customHeight="1" x14ac:dyDescent="0.25"/>
    <row r="122" spans="3:23" ht="20" customHeight="1" x14ac:dyDescent="0.25">
      <c r="D122" s="6" t="s">
        <v>387</v>
      </c>
    </row>
    <row r="123" spans="3:23" ht="20" customHeight="1" x14ac:dyDescent="0.25"/>
    <row r="124" spans="3:23" ht="20" customHeight="1" x14ac:dyDescent="0.25">
      <c r="D124" s="100" t="s">
        <v>128</v>
      </c>
    </row>
    <row r="125" spans="3:23" ht="20" customHeight="1" x14ac:dyDescent="0.25">
      <c r="D125" s="99" t="s">
        <v>129</v>
      </c>
    </row>
    <row r="126" spans="3:23" ht="20" customHeight="1" x14ac:dyDescent="0.25">
      <c r="D126" s="40" t="s">
        <v>142</v>
      </c>
      <c r="E126" s="40" t="s">
        <v>66</v>
      </c>
      <c r="F126" s="40" t="s">
        <v>427</v>
      </c>
    </row>
    <row r="127" spans="3:23" ht="20"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 customHeight="1" x14ac:dyDescent="0.25">
      <c r="D130" s="53" t="str">
        <f>INDEX(X_Table_Dairy_ProductionSystems_Method1,3,1)</f>
        <v>Milking shed</v>
      </c>
      <c r="E130" s="53" t="s">
        <v>400</v>
      </c>
      <c r="F130" s="53">
        <f>INDEX(X_Table_Dairy_Stage1MMS_1_SolidStorage_Destinations,2,3)</f>
        <v>0.25</v>
      </c>
      <c r="G130" s="2"/>
    </row>
    <row r="131" spans="4:22" ht="20"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 customHeight="1" x14ac:dyDescent="0.25">
      <c r="D134" s="53" t="str">
        <f>INDEX(X_Table_Dairy_ProductionSystems_Method1,4,1)</f>
        <v>Feed pad</v>
      </c>
      <c r="E134" s="53" t="s">
        <v>400</v>
      </c>
      <c r="F134" s="53">
        <f>INDEX(X_Table_Dairy_Stage1MMS_2_SolidStorage_Destinations,2,3)</f>
        <v>0.25</v>
      </c>
      <c r="G134" s="2"/>
    </row>
    <row r="135" spans="4:22" ht="20" customHeight="1" x14ac:dyDescent="0.25"/>
    <row r="136" spans="4:22" ht="20" customHeight="1" x14ac:dyDescent="0.25">
      <c r="D136" s="100" t="s">
        <v>130</v>
      </c>
      <c r="O136" s="100" t="s">
        <v>131</v>
      </c>
    </row>
    <row r="137" spans="4:22" ht="20" customHeight="1" x14ac:dyDescent="0.25">
      <c r="D137" s="99" t="s">
        <v>133</v>
      </c>
      <c r="O137" s="99" t="s">
        <v>132</v>
      </c>
    </row>
    <row r="138" spans="4:22" ht="20"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 customHeight="1" x14ac:dyDescent="0.25"/>
    <row r="148" spans="4:22" ht="20" customHeight="1" x14ac:dyDescent="0.25">
      <c r="D148" s="104" t="s">
        <v>134</v>
      </c>
      <c r="E148" s="105">
        <f>SUM(F139:J146)</f>
        <v>3864.1929695395502</v>
      </c>
      <c r="F148" s="106" t="str">
        <f>$E$95</f>
        <v>kg N</v>
      </c>
      <c r="O148" s="104" t="s">
        <v>134</v>
      </c>
      <c r="P148" s="105">
        <f>SUM(Q139:U146)</f>
        <v>3864.1929695395502</v>
      </c>
      <c r="Q148" s="106" t="str">
        <f>$E$95</f>
        <v>kg N</v>
      </c>
    </row>
    <row r="149" spans="4:22" ht="20" customHeight="1" x14ac:dyDescent="0.25"/>
    <row r="150" spans="4:22" ht="20" customHeight="1" x14ac:dyDescent="0.25"/>
    <row r="151" spans="4:22" ht="20" customHeight="1" x14ac:dyDescent="0.25"/>
    <row r="152" spans="4:22" ht="20" customHeight="1" x14ac:dyDescent="0.25"/>
    <row r="153" spans="4:22" ht="20" customHeight="1" x14ac:dyDescent="0.25"/>
    <row r="154" spans="4:22" ht="20" customHeight="1" x14ac:dyDescent="0.25"/>
    <row r="155" spans="4:22" ht="20" customHeight="1" x14ac:dyDescent="0.25"/>
    <row r="156" spans="4:22" ht="20" customHeight="1" x14ac:dyDescent="0.25"/>
    <row r="157" spans="4:22" ht="20" customHeight="1" x14ac:dyDescent="0.25"/>
    <row r="158" spans="4:22" ht="20" customHeight="1" x14ac:dyDescent="0.25"/>
    <row r="159" spans="4:22" ht="20" customHeight="1" x14ac:dyDescent="0.25"/>
    <row r="160" spans="4:22"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sheetPr>
    <tabColor rgb="FF008000"/>
  </sheetPr>
  <dimension ref="A1:W165"/>
  <sheetViews>
    <sheetView showGridLines="0" topLeftCell="B39" zoomScaleNormal="100" workbookViewId="0">
      <selection activeCell="A29" sqref="A29"/>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 customHeight="1" x14ac:dyDescent="0.25">
      <c r="A2"/>
      <c r="M2" s="57"/>
    </row>
    <row r="3" spans="1:23" ht="20"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MMS_Dairy_N2ODirect_Equations.VEERG_4_3_1_3__2_TotalNitrogenInEachMMS_Title()</f>
        <v>Total nitrogen in each MMS</v>
      </c>
    </row>
    <row r="6" spans="1:23" ht="20" customHeight="1" x14ac:dyDescent="0.25">
      <c r="D6" s="5" t="str" cm="1">
        <f t="array" ref="D6">MMS_Dairy_N2ODirect_Equations.VEERG_4_3_1_3__2_TotalNitrogenInEachMMS_Source()</f>
        <v>VEERG 2026: 4.3.1.3, Equation (2)</v>
      </c>
    </row>
    <row r="7" spans="1:23" ht="20" customHeight="1" x14ac:dyDescent="0.25">
      <c r="D7" s="13" t="s">
        <v>25</v>
      </c>
      <c r="E7" s="13" t="str" cm="1">
        <f t="array" aca="1" ref="E7" ca="1">Common_InputFunctions.Utility_DisplayFunctionName(F31)</f>
        <v>=MMS_Dairy_N2ODirect_Equations.VEERG_4_3_1_3__2_TotalNitrogenInEachMMS</v>
      </c>
    </row>
    <row r="8" spans="1:23" ht="20" customHeight="1" x14ac:dyDescent="0.25">
      <c r="A8" s="19" t="s">
        <v>0</v>
      </c>
    </row>
    <row r="9" spans="1:23" ht="20" customHeight="1" x14ac:dyDescent="0.25">
      <c r="A9" s="17" t="str">
        <f>HYPERLINK("#'Input - Site'!A1", "Site")</f>
        <v>Site</v>
      </c>
      <c r="D9" s="6"/>
    </row>
    <row r="10" spans="1:23" ht="20" customHeight="1" x14ac:dyDescent="0.25">
      <c r="A10" s="17" t="str">
        <f>HYPERLINK("#'Input - Dairy'!A1", "Dairy")</f>
        <v>Dairy</v>
      </c>
      <c r="D10" s="54" t="s">
        <v>28</v>
      </c>
      <c r="E10" s="1" t="str" cm="1">
        <f t="array" ref="E10">MMS_Dairy_N2ODirect_Equations.VEERG_4_3_1_3__2_TotalNitrogenInEachMMS_Variable()</f>
        <v>MN_jm</v>
      </c>
    </row>
    <row r="11" spans="1:23" ht="20" customHeight="1" x14ac:dyDescent="0.25">
      <c r="D11" s="54" t="s">
        <v>18</v>
      </c>
      <c r="E11" s="55" t="str" cm="1">
        <f t="array" ref="E11">MMS_Dairy_N2ODirect_Equations.VEERG_4_3_1_3__2_TotalNitrogenInEachMMS_Unit()</f>
        <v>kg N</v>
      </c>
    </row>
    <row r="12" spans="1:23" ht="20" customHeight="1" x14ac:dyDescent="0.25"/>
    <row r="13" spans="1:23" ht="20"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 customHeight="1" x14ac:dyDescent="0.25">
      <c r="A15" s="17" t="str">
        <f>HYPERLINK("#'4.3.1.3-4 Direct N20'!A1", "4.3.1.3-4 Direct N20")</f>
        <v>4.3.1.3-4 Direct N20</v>
      </c>
    </row>
    <row r="16" spans="1:23" ht="20" customHeight="1" x14ac:dyDescent="0.25">
      <c r="A16" s="17" t="str">
        <f>HYPERLINK("#'4.3.1.5 Atmos deposition'!A1", "4.3.1.5 Atmos deposition")</f>
        <v>4.3.1.5 Atmos deposition</v>
      </c>
      <c r="D16" s="100" t="s">
        <v>116</v>
      </c>
      <c r="O16" s="100" t="s">
        <v>461</v>
      </c>
    </row>
    <row r="17" spans="1:22" ht="20" customHeight="1" x14ac:dyDescent="0.25">
      <c r="A17" s="17" t="str">
        <f>HYPERLINK("#'4.3.1.6-7 Leaching and runoff'!A1", "4.3.1.6-7 Leaching and runoff")</f>
        <v>4.3.1.6-7 Leaching and runoff</v>
      </c>
      <c r="D17" s="99" t="s">
        <v>351</v>
      </c>
      <c r="O17" s="99" t="s">
        <v>460</v>
      </c>
    </row>
    <row r="18" spans="1:22" ht="20"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 customHeight="1" x14ac:dyDescent="0.25">
      <c r="A20" s="17" t="str">
        <f>HYPERLINK("#'4.3.1.10-11 Soil Atmos Dep'!A1", "4.3.1.10-11 Soil Atmos Dep")</f>
        <v>4.3.1.10-11 Soil Atmos Dep</v>
      </c>
    </row>
    <row r="21" spans="1:22" ht="20" customHeight="1" x14ac:dyDescent="0.25">
      <c r="A21" s="17" t="str">
        <f>HYPERLINK("#'4.3.1.12-13 Soil leach runoff'!A1", "4.3.1.12-13 Soil leach runoff")</f>
        <v>4.3.1.12-13 Soil leach runoff</v>
      </c>
    </row>
    <row r="22" spans="1:22" ht="20" customHeight="1" x14ac:dyDescent="0.25">
      <c r="D22" s="100" t="s">
        <v>349</v>
      </c>
      <c r="O22" s="100" t="s">
        <v>417</v>
      </c>
    </row>
    <row r="23" spans="1:22" ht="20" customHeight="1" x14ac:dyDescent="0.25">
      <c r="D23" s="99" t="s">
        <v>350</v>
      </c>
      <c r="O23" s="99" t="s">
        <v>418</v>
      </c>
    </row>
    <row r="24" spans="1:22" ht="20"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 customHeight="1" x14ac:dyDescent="0.25">
      <c r="A26" s="17" t="str">
        <f>HYPERLINK("#'Constants - Common'!A1", "Constants - Common")</f>
        <v>Constants - Common</v>
      </c>
    </row>
    <row r="27" spans="1:22" ht="20" customHeight="1" x14ac:dyDescent="0.25">
      <c r="A27" s="17" t="str">
        <f>HYPERLINK("#'Constants - Livestock'!A1", "Constants - Livestock")</f>
        <v>Constants - Livestock</v>
      </c>
      <c r="Q27" s="127"/>
    </row>
    <row r="28" spans="1:22" ht="20" customHeight="1" x14ac:dyDescent="0.25">
      <c r="A28" s="17" t="str">
        <f>HYPERLINK("#'Acknowledgements'!A1", "Acknowledgements")</f>
        <v>Acknowledgements</v>
      </c>
      <c r="D28" s="100" t="s">
        <v>352</v>
      </c>
      <c r="O28" s="100" t="s">
        <v>354</v>
      </c>
    </row>
    <row r="29" spans="1:22" ht="20" customHeight="1" x14ac:dyDescent="0.25">
      <c r="A29" s="17" t="str">
        <f>HYPERLINK("#'Tab template'!A1", "Tab template")</f>
        <v>Tab template</v>
      </c>
      <c r="D29" s="99" t="s">
        <v>353</v>
      </c>
      <c r="O29" s="99" t="s">
        <v>355</v>
      </c>
    </row>
    <row r="30" spans="1:22" ht="20"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 customHeight="1" x14ac:dyDescent="0.25"/>
    <row r="33" spans="3:23" ht="20" customHeight="1" x14ac:dyDescent="0.25"/>
    <row r="34" spans="3:23" ht="20" customHeight="1" x14ac:dyDescent="0.25">
      <c r="C34" s="46"/>
      <c r="D34" s="46"/>
      <c r="E34" s="46"/>
      <c r="F34" s="46"/>
      <c r="G34" s="46"/>
      <c r="H34" s="46"/>
      <c r="I34" s="46"/>
      <c r="J34" s="46"/>
      <c r="K34" s="46"/>
      <c r="L34" s="46"/>
      <c r="N34" s="46"/>
      <c r="O34" s="46"/>
      <c r="P34" s="46"/>
      <c r="Q34" s="46"/>
      <c r="R34" s="46"/>
      <c r="S34" s="46"/>
      <c r="T34" s="46"/>
      <c r="U34" s="46"/>
      <c r="V34" s="46"/>
      <c r="W34" s="46"/>
    </row>
    <row r="35" spans="3:23" ht="20" customHeight="1" x14ac:dyDescent="0.25">
      <c r="D35" s="6" t="str" cm="1">
        <f t="array" ref="D35">MMS_Dairy_Soil_N2ODirect_Equations.VEERG_4_3_1_9__1_DirectNitrousOxideEmissionsOnPasture_Title()</f>
        <v>Direct nitrous oxide emissions on pasture</v>
      </c>
    </row>
    <row r="36" spans="3:23" ht="20" customHeight="1" x14ac:dyDescent="0.25">
      <c r="D36" s="5" t="str" cm="1">
        <f t="array" ref="D36">MMS_Dairy_Soil_N2ODirect_Equations.VEERG_4_3_1_9__1_DirectNitrousOxideEmissionsOnPasture_Source()</f>
        <v>VEERG 2026: 4.3.1.9, Equation (1)</v>
      </c>
    </row>
    <row r="37" spans="3:23" ht="20" customHeight="1" x14ac:dyDescent="0.25">
      <c r="D37" s="13" t="s">
        <v>105</v>
      </c>
      <c r="E37" s="13" t="str" cm="1">
        <f t="array" aca="1" ref="E37" ca="1">Common_InputFunctions.Utility_DisplayFunctionName($F$51)</f>
        <v>=MMS_Dairy_Soil_N2ODirect_Equations.VEERG_4_3_1_9__1_DirectNitrousOxideEmissionsOnPasture</v>
      </c>
    </row>
    <row r="38" spans="3:23" ht="20" customHeight="1" x14ac:dyDescent="0.25"/>
    <row r="39" spans="3:23" ht="20" customHeight="1" x14ac:dyDescent="0.25"/>
    <row r="40" spans="3:23" ht="20" customHeight="1" x14ac:dyDescent="0.25">
      <c r="D40" s="54" t="s">
        <v>28</v>
      </c>
      <c r="E40" s="1" t="str" cm="1">
        <f t="array" ref="E40">MMS_Dairy_Soil_N2ODirect_Equations.VEERG_4_3_1_9__1_DirectNitrousOxideEmissionsOnPasture_Variable()</f>
        <v>E_N2Odir</v>
      </c>
    </row>
    <row r="41" spans="3:23" ht="20" customHeight="1" x14ac:dyDescent="0.25">
      <c r="D41" s="54" t="s">
        <v>18</v>
      </c>
      <c r="E41" s="55" t="str" cm="1">
        <f t="array" ref="E41">MMS_Dairy_Soil_N2ODirect_Equations.VEERG_4_3_1_9__1_DirectNitrousOxideEmissionsOnPasture_Unit()</f>
        <v>t N2O</v>
      </c>
    </row>
    <row r="42" spans="3:23" ht="20" customHeight="1" x14ac:dyDescent="0.25"/>
    <row r="43" spans="3:23" ht="20"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 customHeight="1" x14ac:dyDescent="0.25">
      <c r="D46" s="133" t="str">
        <v>z</v>
      </c>
      <c r="E46" s="132" t="str">
        <v>Wet or dry climate zone</v>
      </c>
      <c r="F46" s="138"/>
      <c r="G46" s="134"/>
      <c r="H46" s="133" t="str">
        <v/>
      </c>
      <c r="I46" s="131" t="str">
        <v>Input</v>
      </c>
      <c r="J46" s="133" t="str">
        <f>X_Cell_Site_WetOrDryClimateZone</f>
        <v>Dry climate zone</v>
      </c>
    </row>
    <row r="47" spans="3:23" ht="20" customHeight="1" x14ac:dyDescent="0.25"/>
    <row r="48" spans="3:23" ht="20" customHeight="1" x14ac:dyDescent="0.25">
      <c r="D48" s="100" t="s">
        <v>118</v>
      </c>
      <c r="O48" s="100" t="s">
        <v>358</v>
      </c>
    </row>
    <row r="49" spans="4:22" ht="20" customHeight="1" x14ac:dyDescent="0.25">
      <c r="D49" s="99" t="s">
        <v>357</v>
      </c>
      <c r="O49" s="99" t="s">
        <v>359</v>
      </c>
    </row>
    <row r="50" spans="4:22" ht="20"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 customHeight="1" x14ac:dyDescent="0.25"/>
    <row r="53" spans="4:22" ht="20" customHeight="1" x14ac:dyDescent="0.25">
      <c r="D53" s="104" t="s">
        <v>117</v>
      </c>
      <c r="E53" s="105">
        <f>SUM(F51:J51)</f>
        <v>7.4716451267705888E-2</v>
      </c>
      <c r="F53" s="106" t="str">
        <f>$E$41</f>
        <v>t N2O</v>
      </c>
      <c r="O53" s="104" t="s">
        <v>117</v>
      </c>
      <c r="P53" s="105">
        <f>SUM(Q51:U51)</f>
        <v>7.4716451267705888E-2</v>
      </c>
      <c r="Q53" s="106" t="str">
        <f>$E$41</f>
        <v>t N2O</v>
      </c>
    </row>
    <row r="54" spans="4:22" ht="20" customHeight="1" x14ac:dyDescent="0.25"/>
    <row r="55" spans="4:22" ht="20"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 customHeight="1" x14ac:dyDescent="0.25"/>
    <row r="58" spans="4:22" ht="20"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 customHeight="1" x14ac:dyDescent="0.25"/>
    <row r="60" spans="4:22" ht="20" customHeight="1" x14ac:dyDescent="0.25"/>
    <row r="61" spans="4:22" ht="20" customHeight="1" x14ac:dyDescent="0.25"/>
    <row r="62" spans="4:22" ht="20" customHeight="1" x14ac:dyDescent="0.25"/>
    <row r="63" spans="4:22" ht="20" customHeight="1" x14ac:dyDescent="0.25"/>
    <row r="64" spans="4:22"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W165"/>
  <sheetViews>
    <sheetView showGridLines="0" topLeftCell="A7" zoomScaleNormal="100" workbookViewId="0">
      <selection activeCell="A29" sqref="A29"/>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 customHeight="1" x14ac:dyDescent="0.25">
      <c r="A2"/>
    </row>
    <row r="3" spans="1:23" ht="20"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 customHeight="1" x14ac:dyDescent="0.25">
      <c r="D6" s="5" t="str" cm="1">
        <f t="array" ref="D6">MMS_Dairy_Soil_AtmosphericDeposition_Equations.VEERG_4_3_1_10__2_MassOfNitrogenVolatilisedOnPasture_Source()</f>
        <v>VEERG 2026: 4.3.1.10, Equation (2)</v>
      </c>
    </row>
    <row r="7" spans="1:23" ht="20" customHeight="1" x14ac:dyDescent="0.25">
      <c r="D7" s="13" t="s">
        <v>25</v>
      </c>
      <c r="E7" s="13" t="str" cm="1">
        <f t="array" aca="1" ref="E7" ca="1">Common_InputFunctions.Utility_DisplayFunctionName(F24)</f>
        <v>=MMS_Dairy_Soil_AtmosphericDeposition_Equations.VEERG_4_3_1_10__2_MassOfNitrogenVolatilisedOnPasture</v>
      </c>
    </row>
    <row r="8" spans="1:23" ht="20" customHeight="1" x14ac:dyDescent="0.25">
      <c r="A8" s="19" t="s">
        <v>0</v>
      </c>
    </row>
    <row r="9" spans="1:23" ht="20" customHeight="1" x14ac:dyDescent="0.25">
      <c r="A9" s="17" t="str">
        <f>HYPERLINK("#'Input - Site'!A1", "Site")</f>
        <v>Site</v>
      </c>
    </row>
    <row r="10" spans="1:23" ht="20"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 customHeight="1" x14ac:dyDescent="0.25">
      <c r="D11" s="54" t="s">
        <v>18</v>
      </c>
      <c r="E11" s="55" t="str" cm="1">
        <f t="array" ref="E11">MMS_Dairy_Soil_AtmosphericDeposition_Equations.VEERG_4_3_1_10__2_MassOfNitrogenVolatilisedOnPasture_Unit()</f>
        <v>kg N</v>
      </c>
    </row>
    <row r="12" spans="1:23" ht="20" customHeight="1" x14ac:dyDescent="0.25"/>
    <row r="13" spans="1:23" ht="20"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 customHeight="1" x14ac:dyDescent="0.25">
      <c r="A15" s="17" t="str">
        <f>HYPERLINK("#'4.3.1.3-4 Direct N20'!A1", "4.3.1.3-4 Direct N20")</f>
        <v>4.3.1.3-4 Direct N20</v>
      </c>
    </row>
    <row r="16" spans="1:23" ht="20" customHeight="1" x14ac:dyDescent="0.25">
      <c r="A16" s="17" t="str">
        <f>HYPERLINK("#'4.3.1.5 Atmos deposition'!A1", "4.3.1.5 Atmos deposition")</f>
        <v>4.3.1.5 Atmos deposition</v>
      </c>
      <c r="D16" s="100" t="s">
        <v>352</v>
      </c>
      <c r="M16" s="57"/>
      <c r="O16" s="100" t="s">
        <v>354</v>
      </c>
    </row>
    <row r="17" spans="1:23" ht="20" customHeight="1" x14ac:dyDescent="0.25">
      <c r="A17" s="17" t="str">
        <f>HYPERLINK("#'4.3.1.6-7 Leaching and runoff'!A1", "4.3.1.6-7 Leaching and runoff")</f>
        <v>4.3.1.6-7 Leaching and runoff</v>
      </c>
      <c r="D17" s="99" t="s">
        <v>353</v>
      </c>
      <c r="M17" s="57"/>
      <c r="O17" s="99" t="s">
        <v>355</v>
      </c>
    </row>
    <row r="18" spans="1:23" ht="20"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 customHeight="1" x14ac:dyDescent="0.25">
      <c r="A20" s="21" t="str">
        <f>HYPERLINK("#'4.3.1.10-11 Soil Atmos Dep'!A1", "4.3.1.10-11 Soil Atmos Dep")</f>
        <v>4.3.1.10-11 Soil Atmos Dep</v>
      </c>
    </row>
    <row r="21" spans="1:23" ht="20" customHeight="1" x14ac:dyDescent="0.25">
      <c r="A21" s="17" t="str">
        <f>HYPERLINK("#'4.3.1.12-13 Soil leach runoff'!A1", "4.3.1.12-13 Soil leach runoff")</f>
        <v>4.3.1.12-13 Soil leach runoff</v>
      </c>
      <c r="D21" s="100" t="s">
        <v>360</v>
      </c>
      <c r="O21" s="100" t="s">
        <v>362</v>
      </c>
    </row>
    <row r="22" spans="1:23" ht="20" customHeight="1" x14ac:dyDescent="0.25">
      <c r="D22" s="99" t="s">
        <v>361</v>
      </c>
      <c r="O22" s="99" t="s">
        <v>363</v>
      </c>
    </row>
    <row r="23" spans="1:23" ht="20"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 customHeight="1" x14ac:dyDescent="0.25">
      <c r="A25" s="17" t="str">
        <f>HYPERLINK("#'Constants - Dairy'!A1", "Constants - Dairy")</f>
        <v>Constants - Dairy</v>
      </c>
    </row>
    <row r="26" spans="1:23" ht="20"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 customHeight="1" x14ac:dyDescent="0.25">
      <c r="A27" s="17" t="str">
        <f>HYPERLINK("#'Constants - Livestock'!A1", "Constants - Livestock")</f>
        <v>Constants - Livestock</v>
      </c>
    </row>
    <row r="28" spans="1:23" ht="20" customHeight="1" x14ac:dyDescent="0.25">
      <c r="A28" s="17" t="str">
        <f>HYPERLINK("#'Acknowledgements'!A1", "Acknowledgements")</f>
        <v>Acknowledgements</v>
      </c>
    </row>
    <row r="29" spans="1:23" ht="20"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 customHeight="1" x14ac:dyDescent="0.25">
      <c r="D31" s="5" t="str" cm="1">
        <f t="array" ref="D31">MMS_Dairy_Soil_AtmosphericDeposition_Equations.VEERG_4_3_1_10__1_AtmosphericDepositionEmissionsFromUrineAndDungOnPasture_Source()</f>
        <v>VEERG 2026: 4.3.1.10, Equation (1)</v>
      </c>
    </row>
    <row r="32" spans="1:23" ht="20"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 customHeight="1" x14ac:dyDescent="0.25"/>
    <row r="34" spans="4:19" ht="20" customHeight="1" x14ac:dyDescent="0.25"/>
    <row r="35" spans="4:19" ht="20" customHeight="1" x14ac:dyDescent="0.25">
      <c r="D35" s="54" t="s">
        <v>28</v>
      </c>
      <c r="E35" s="1" t="str" cm="1">
        <f t="array" ref="E35">MMS_Dairy_Soil_AtmosphericDeposition_Equations.VEERG_4_3_1_10__1_AtmosphericDepositionEmissionsFromUrineAndDungOnPasture_Variable()</f>
        <v>E_N2Oad</v>
      </c>
    </row>
    <row r="36" spans="4:19" ht="20" customHeight="1" x14ac:dyDescent="0.25">
      <c r="D36" s="54" t="s">
        <v>18</v>
      </c>
      <c r="E36" s="55" t="str" cm="1">
        <f t="array" ref="E36">MMS_Dairy_Soil_AtmosphericDeposition_Equations.VEERG_4_3_1_10__1_AtmosphericDepositionEmissionsFromUrineAndDungOnPasture_Unit()</f>
        <v>t N2O</v>
      </c>
    </row>
    <row r="37" spans="4:19" ht="20" customHeight="1" x14ac:dyDescent="0.25"/>
    <row r="38" spans="4:19" ht="20"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 customHeight="1" x14ac:dyDescent="0.25"/>
    <row r="45" spans="4:19" ht="20"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 customHeight="1" x14ac:dyDescent="0.25"/>
    <row r="47" spans="4:19" ht="20"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 customHeight="1" x14ac:dyDescent="0.25"/>
    <row r="50" spans="4:17" ht="20"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 customHeight="1" x14ac:dyDescent="0.25"/>
    <row r="52" spans="4:17" ht="20" customHeight="1" x14ac:dyDescent="0.25"/>
    <row r="53" spans="4:17" ht="20" customHeight="1" x14ac:dyDescent="0.25"/>
    <row r="54" spans="4:17" ht="20" customHeight="1" x14ac:dyDescent="0.25"/>
    <row r="55" spans="4:17" ht="20" customHeight="1" x14ac:dyDescent="0.25"/>
    <row r="56" spans="4:17" ht="20" customHeight="1" x14ac:dyDescent="0.25"/>
    <row r="57" spans="4:17" ht="20" customHeight="1" x14ac:dyDescent="0.25"/>
    <row r="58" spans="4:17" ht="20" customHeight="1" x14ac:dyDescent="0.25"/>
    <row r="59" spans="4:17" ht="20" customHeight="1" x14ac:dyDescent="0.25"/>
    <row r="60" spans="4:17" ht="20" customHeight="1" x14ac:dyDescent="0.25"/>
    <row r="61" spans="4:17" ht="20" customHeight="1" x14ac:dyDescent="0.25"/>
    <row r="62" spans="4:17" ht="20" customHeight="1" x14ac:dyDescent="0.25"/>
    <row r="63" spans="4:17" ht="20" customHeight="1" x14ac:dyDescent="0.25"/>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W165"/>
  <sheetViews>
    <sheetView showGridLines="0" zoomScaleNormal="100" workbookViewId="0">
      <selection activeCell="A10" sqref="A10"/>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 customHeight="1" x14ac:dyDescent="0.25">
      <c r="A2"/>
    </row>
    <row r="3" spans="1:23" ht="20"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 customHeight="1" x14ac:dyDescent="0.25">
      <c r="A4" s="17" t="str">
        <f>HYPERLINK("#'Overview'!A1", "Overview")</f>
        <v>Overview</v>
      </c>
    </row>
    <row r="5" spans="1:23" ht="20"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 customHeight="1" x14ac:dyDescent="0.25">
      <c r="D6" s="5" t="str" cm="1">
        <f t="array" ref="D6">MMS_Dairy_Soil_LeachingAndRunoff.VEERG_4_3_1_12__2_MassOfNitrogenLostToLeachingAndRunoffOnPasture_Source()</f>
        <v>VEERG 2026: 4.3.1.12, Equation (2)</v>
      </c>
    </row>
    <row r="7" spans="1:23" ht="20" customHeight="1" x14ac:dyDescent="0.25">
      <c r="D7" s="13" t="s">
        <v>25</v>
      </c>
      <c r="E7" s="13" t="str" cm="1">
        <f t="array" aca="1" ref="E7" ca="1">Common_InputFunctions.Utility_DisplayFunctionName($F$28)</f>
        <v>=MMS_Dairy_Soil_LeachingAndRunoff.VEERG_4_3_1_12__2_MassOfNitrogenLostToLeachingAndRunoffOnPasture</v>
      </c>
    </row>
    <row r="8" spans="1:23" ht="20" customHeight="1" x14ac:dyDescent="0.25">
      <c r="A8" s="19" t="s">
        <v>0</v>
      </c>
      <c r="E8" s="1" t="s">
        <v>15</v>
      </c>
    </row>
    <row r="9" spans="1:23" ht="20" customHeight="1" x14ac:dyDescent="0.25">
      <c r="A9" s="17" t="str">
        <f>HYPERLINK("#'Input - Site'!A1", "Site")</f>
        <v>Site</v>
      </c>
    </row>
    <row r="10" spans="1:23" ht="20"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 customHeight="1" x14ac:dyDescent="0.25">
      <c r="D11" s="54" t="s">
        <v>18</v>
      </c>
      <c r="E11" s="55" t="str" cm="1">
        <f t="array" ref="E11">MMS_Dairy_Soil_LeachingAndRunoff.VEERG_4_3_1_12__2_MassOfNitrogenLostToLeachingAndRunoffOnPasture_Unit()</f>
        <v>kg N</v>
      </c>
    </row>
    <row r="12" spans="1:23" ht="20" customHeight="1" x14ac:dyDescent="0.25"/>
    <row r="13" spans="1:23" ht="20"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 customHeight="1" x14ac:dyDescent="0.25">
      <c r="A19" s="17" t="str">
        <f>HYPERLINK("#'4.3.1.9 Soil direct N2O'!A1", "4.3.1.9 Soil direct N2O")</f>
        <v>4.3.1.9 Soil direct N2O</v>
      </c>
    </row>
    <row r="20" spans="1:22" ht="20" customHeight="1" x14ac:dyDescent="0.25">
      <c r="A20" s="17" t="str">
        <f>HYPERLINK("#'4.3.1.10-11 Soil Atmos Dep'!A1", "4.3.1.10-11 Soil Atmos Dep")</f>
        <v>4.3.1.10-11 Soil Atmos Dep</v>
      </c>
      <c r="D20" s="100" t="s">
        <v>352</v>
      </c>
      <c r="M20" s="57"/>
      <c r="O20" s="100" t="s">
        <v>354</v>
      </c>
    </row>
    <row r="21" spans="1:22" ht="20" customHeight="1" x14ac:dyDescent="0.25">
      <c r="A21" s="21" t="str">
        <f>HYPERLINK("#'4.3.1.12-13 Soil leach runoff'!A1", "4.3.1.12-13 Soil leach runoff")</f>
        <v>4.3.1.12-13 Soil leach runoff</v>
      </c>
      <c r="D21" s="99" t="s">
        <v>353</v>
      </c>
      <c r="M21" s="57"/>
      <c r="O21" s="99" t="s">
        <v>355</v>
      </c>
    </row>
    <row r="22" spans="1:22" ht="20"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 customHeight="1" x14ac:dyDescent="0.25">
      <c r="A24" s="154" t="s">
        <v>1</v>
      </c>
    </row>
    <row r="25" spans="1:22" ht="20" customHeight="1" x14ac:dyDescent="0.25">
      <c r="A25" s="17" t="str">
        <f>HYPERLINK("#'Constants - Dairy'!A1", "Constants - Dairy")</f>
        <v>Constants - Dairy</v>
      </c>
      <c r="D25" s="100" t="s">
        <v>368</v>
      </c>
      <c r="O25" s="100" t="s">
        <v>370</v>
      </c>
    </row>
    <row r="26" spans="1:22" ht="20" customHeight="1" x14ac:dyDescent="0.25">
      <c r="A26" s="17" t="str">
        <f>HYPERLINK("#'Constants - Common'!A1", "Constants - Common")</f>
        <v>Constants - Common</v>
      </c>
      <c r="D26" s="99" t="s">
        <v>369</v>
      </c>
      <c r="O26" s="99" t="s">
        <v>371</v>
      </c>
    </row>
    <row r="27" spans="1:22" ht="20"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 customHeight="1" x14ac:dyDescent="0.25">
      <c r="A29" s="17" t="str">
        <f>HYPERLINK("#'Tab template'!A1", "Tab template")</f>
        <v>Tab template</v>
      </c>
    </row>
    <row r="30" spans="1:22" ht="20" customHeight="1" x14ac:dyDescent="0.25">
      <c r="D30" s="114" t="s">
        <v>373</v>
      </c>
      <c r="E30" s="46">
        <f>SUM(F28:J28)</f>
        <v>5705.6199149884496</v>
      </c>
      <c r="F30" s="108" t="str">
        <f>$E$11</f>
        <v>kg N</v>
      </c>
      <c r="O30" s="114" t="s">
        <v>373</v>
      </c>
      <c r="P30" s="46">
        <f>SUM(Q28:U28)</f>
        <v>5705.6199149884496</v>
      </c>
      <c r="Q30" s="108" t="str">
        <f>$E$11</f>
        <v>kg N</v>
      </c>
    </row>
    <row r="31" spans="1:22" ht="20" customHeight="1" x14ac:dyDescent="0.25"/>
    <row r="32" spans="1:22" ht="20" customHeight="1" x14ac:dyDescent="0.25"/>
    <row r="33" spans="3:23" ht="20" customHeight="1" x14ac:dyDescent="0.25"/>
    <row r="34" spans="3:23" ht="20" customHeight="1" x14ac:dyDescent="0.25">
      <c r="C34" s="46"/>
      <c r="D34" s="46"/>
      <c r="E34" s="46"/>
      <c r="F34" s="46"/>
      <c r="G34" s="46"/>
      <c r="H34" s="46"/>
      <c r="I34" s="46"/>
      <c r="J34" s="46"/>
      <c r="K34" s="46"/>
      <c r="L34" s="46"/>
      <c r="N34" s="46"/>
      <c r="O34" s="46"/>
      <c r="P34" s="46"/>
      <c r="Q34" s="46"/>
      <c r="R34" s="46"/>
      <c r="S34" s="46"/>
      <c r="T34" s="46"/>
      <c r="U34" s="46"/>
      <c r="V34" s="46"/>
      <c r="W34" s="46"/>
    </row>
    <row r="35" spans="3:23" ht="20" customHeight="1" x14ac:dyDescent="0.25">
      <c r="D35" s="6" t="str" cm="1">
        <f t="array" ref="D35">MMS_Dairy_Soil_LeachingAndRunoff.VEERG_4_3_1_12__1_LeachingAndRunoffEmissionsFromUrineAndDungOnPasture_Title()</f>
        <v>Leaching and runoff emissions from urine and dung deposited on pasture</v>
      </c>
    </row>
    <row r="36" spans="3:23" ht="20" customHeight="1" x14ac:dyDescent="0.25">
      <c r="D36" s="5" t="str" cm="1">
        <f t="array" ref="D36">MMS_Dairy_Soil_LeachingAndRunoff.VEERG_4_3_1_12__1_LeachingAndRunoffEmissionsFromUrineAndDungOnPasture_Source()</f>
        <v>VEERG 2026: 4.3.1.12, Equation (1)</v>
      </c>
    </row>
    <row r="37" spans="3:23" ht="20"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 customHeight="1" x14ac:dyDescent="0.25"/>
    <row r="39" spans="3:23" ht="20" customHeight="1" x14ac:dyDescent="0.25"/>
    <row r="40" spans="3:23" ht="20" customHeight="1" x14ac:dyDescent="0.25">
      <c r="D40" s="54" t="s">
        <v>28</v>
      </c>
      <c r="E40" s="1" t="str" cm="1">
        <f t="array" ref="E40">MMS_Dairy_Soil_LeachingAndRunoff.VEERG_4_3_1_12__1_LeachingAndRunoffEmissionsFromUrineAndDungOnPasture_Variable()</f>
        <v>E_N2Oleach</v>
      </c>
    </row>
    <row r="41" spans="3:23" ht="20" customHeight="1" x14ac:dyDescent="0.25">
      <c r="D41" s="54" t="s">
        <v>18</v>
      </c>
      <c r="E41" s="55" t="str" cm="1">
        <f t="array" ref="E41">MMS_Dairy_Soil_LeachingAndRunoff.VEERG_4_3_1_12__1_LeachingAndRunoffEmissionsFromUrineAndDungOnPasture_Unit()</f>
        <v>t N2O</v>
      </c>
    </row>
    <row r="42" spans="3:23" ht="20" customHeight="1" x14ac:dyDescent="0.25"/>
    <row r="43" spans="3:23" ht="20"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 customHeight="1" x14ac:dyDescent="0.25"/>
    <row r="47" spans="3:23" ht="20"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 customHeight="1" x14ac:dyDescent="0.25"/>
    <row r="49" spans="4:18" ht="20"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 customHeight="1" x14ac:dyDescent="0.25"/>
    <row r="52" spans="4:18" ht="20"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 customHeight="1" x14ac:dyDescent="0.25"/>
    <row r="54" spans="4:18" ht="20" customHeight="1" x14ac:dyDescent="0.25"/>
    <row r="55" spans="4:18" ht="20" customHeight="1" x14ac:dyDescent="0.25"/>
    <row r="56" spans="4:18" ht="20" customHeight="1" x14ac:dyDescent="0.25"/>
    <row r="57" spans="4:18" ht="20" customHeight="1" x14ac:dyDescent="0.25"/>
    <row r="58" spans="4:18" ht="20" customHeight="1" x14ac:dyDescent="0.25"/>
    <row r="59" spans="4:18" ht="20" customHeight="1" x14ac:dyDescent="0.25"/>
    <row r="60" spans="4:18" ht="20" customHeight="1" x14ac:dyDescent="0.25"/>
    <row r="61" spans="4:18" ht="20" customHeight="1" x14ac:dyDescent="0.25"/>
    <row r="62" spans="4:18" ht="20" customHeight="1" x14ac:dyDescent="0.25"/>
    <row r="63" spans="4:18" ht="20" customHeight="1" x14ac:dyDescent="0.25"/>
    <row r="64" spans="4: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 zoomScaleNormal="100" workbookViewId="0">
      <selection activeCell="L5" sqref="L5:L12"/>
    </sheetView>
  </sheetViews>
  <sheetFormatPr defaultRowHeight="20" x14ac:dyDescent="0.25" customHeight="1"/>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M3" s="4"/>
      <c r="N3" s="4"/>
      <c r="O3" s="4"/>
      <c r="P3" s="4"/>
      <c r="Q3" s="4"/>
      <c r="R3" s="4"/>
      <c r="S3" s="4"/>
      <c r="T3" s="4"/>
      <c r="U3" s="4"/>
    </row>
    <row r="4" spans="1:21" ht="20" customHeight="1" x14ac:dyDescent="0.25">
      <c r="A4" s="17" t="str">
        <f>HYPERLINK("#'Overview'!A1", "Overview")</f>
        <v>Overview</v>
      </c>
      <c r="M4" s="23"/>
    </row>
    <row r="5" spans="1:21" ht="20" customHeight="1" x14ac:dyDescent="0.25">
      <c r="A5" s="17" t="str">
        <f>HYPERLINK("#'Results'!A1", "Results")</f>
        <v>Results</v>
      </c>
      <c r="D5" s="6" t="s">
        <v>164</v>
      </c>
      <c r="G5" s="6" t="s">
        <v>165</v>
      </c>
      <c r="J5" s="6" t="s">
        <v>143</v>
      </c>
      <c r="L5" s="6" t="s">
        <v>467</v>
      </c>
      <c r="M5" s="1"/>
    </row>
    <row r="6" spans="1:21" ht="20" customHeight="1" x14ac:dyDescent="0.25">
      <c r="L6" s="1" t="s">
        <v>469</v>
      </c>
      <c r="M6" s="1"/>
    </row>
    <row r="7" spans="1:21" ht="20" customHeight="1" x14ac:dyDescent="0.25">
      <c r="D7" s="98" t="s">
        <v>66</v>
      </c>
      <c r="E7" s="38" t="s">
        <v>77</v>
      </c>
      <c r="G7" s="38" t="s">
        <v>142</v>
      </c>
      <c r="J7" s="38" t="s">
        <v>140</v>
      </c>
      <c r="L7" s="38" t="s">
        <v>468</v>
      </c>
      <c r="M7" s="1"/>
    </row>
    <row r="8" spans="1:21" ht="20"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 customHeight="1" x14ac:dyDescent="0.25">
      <c r="D11" s="38" t="str">
        <f>'Constants - Common Livestock'!$E$15</f>
        <v>Solid storage</v>
      </c>
      <c r="E11" s="38" t="str">
        <f>'Constants - Common Livestock'!$F$15</f>
        <v>Solid storage (m=4)</v>
      </c>
      <c r="J11" s="1" t="s">
        <v>147</v>
      </c>
      <c r="L11" s="38" t="s">
        <v>186</v>
      </c>
      <c r="M11" s="1"/>
    </row>
    <row r="12" spans="1:21" ht="20" customHeight="1" x14ac:dyDescent="0.25">
      <c r="J12" s="1" t="s">
        <v>148</v>
      </c>
      <c r="L12" s="38" t="s">
        <v>187</v>
      </c>
      <c r="M12" s="1"/>
    </row>
    <row r="13" spans="1:21" ht="20" customHeight="1" x14ac:dyDescent="0.25">
      <c r="A13" s="18" t="s">
        <v>73</v>
      </c>
      <c r="M13" s="1"/>
    </row>
    <row r="14" spans="1:21" ht="20" customHeight="1" x14ac:dyDescent="0.25">
      <c r="A14" s="17" t="str">
        <f>HYPERLINK("#'4.3.1.1-2 Methane'!A1", "4.3.1.1-2 Methane")</f>
        <v>4.3.1.1-2 Methane</v>
      </c>
      <c r="M14" s="1"/>
    </row>
    <row r="15" spans="1:21" ht="20" customHeight="1" x14ac:dyDescent="0.25">
      <c r="A15" s="17" t="str">
        <f>HYPERLINK("#'4.3.1.3-4 Direct N20'!A1", "4.3.1.3-4 Direct N20")</f>
        <v>4.3.1.3-4 Direct N20</v>
      </c>
      <c r="M15" s="1"/>
    </row>
    <row r="16" spans="1:21" ht="20"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 customHeight="1" x14ac:dyDescent="0.25">
      <c r="A19" s="17" t="str">
        <f>HYPERLINK("#'4.3.1.9 Soil direct N2O'!A1", "4.3.1.9 Soil direct N2O")</f>
        <v>4.3.1.9 Soil direct N2O</v>
      </c>
      <c r="D19" s="55" t="str" cm="1">
        <f t="array" ref="D19">SourceData_Dairy.SourceData_Dairy_LiveweightCowsAndHeifers_Unit()</f>
        <v>kg</v>
      </c>
      <c r="M19" s="1"/>
    </row>
    <row r="20" spans="1:13" ht="20"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 customHeight="1" x14ac:dyDescent="0.25">
      <c r="A21" s="17" t="str">
        <f>HYPERLINK("#'4.3.1.12-13 Soil leach runoff'!A1", "4.3.1.12-13 Soil leach runoff")</f>
        <v>4.3.1.12-13 Soil leach runoff</v>
      </c>
      <c r="D21" s="38" t="s">
        <v>166</v>
      </c>
      <c r="E21" s="38" t="s">
        <v>167</v>
      </c>
      <c r="F21" s="38" t="s">
        <v>168</v>
      </c>
      <c r="G21" s="38" t="s">
        <v>169</v>
      </c>
      <c r="M21" s="1"/>
    </row>
    <row r="22" spans="1:13" ht="20"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 customHeight="1" x14ac:dyDescent="0.25">
      <c r="M32" s="1"/>
    </row>
    <row r="33" spans="4:13" ht="20" customHeight="1" x14ac:dyDescent="0.25">
      <c r="M33" s="1"/>
    </row>
    <row r="34" spans="4:13" ht="20" customHeight="1" x14ac:dyDescent="0.25">
      <c r="D34" s="6" t="str" cm="1">
        <f t="array" ref="D34">SourceData_Dairy.SourceData_Dairy_LiveweightBulls_Title()</f>
        <v>Table A.1.3.2: Dairy cattle - Liveweight (kg) - Bulls (Wj)</v>
      </c>
      <c r="M34" s="1"/>
    </row>
    <row r="35" spans="4:13" ht="20" customHeight="1" x14ac:dyDescent="0.25">
      <c r="D35" s="5" t="str" cm="1">
        <f t="array" ref="D35">SourceData_Dairy.SourceData_Dairy_LiveweightBulls_Source()</f>
        <v>VEERG 2026: Table A.1.3.2</v>
      </c>
      <c r="M35" s="1"/>
    </row>
    <row r="36" spans="4:13" ht="20" customHeight="1" x14ac:dyDescent="0.25">
      <c r="D36" s="1" t="str" cm="1">
        <f t="array" ref="D36">SourceData_Dairy.SourceData_Dairy_LiveweightBulls_Variable()</f>
        <v>Wj</v>
      </c>
      <c r="M36" s="1"/>
    </row>
    <row r="37" spans="4:13" ht="20" customHeight="1" x14ac:dyDescent="0.25">
      <c r="D37" s="55" t="str" cm="1">
        <f t="array" ref="D37">SourceData_Dairy.SourceData_Dairy_LiveweightBulls_Unit()</f>
        <v>kg</v>
      </c>
      <c r="M37" s="1"/>
    </row>
    <row r="38" spans="4:13" ht="20" customHeight="1" x14ac:dyDescent="0.25">
      <c r="D38" s="38" t="s">
        <v>166</v>
      </c>
      <c r="E38" s="38" t="s">
        <v>171</v>
      </c>
      <c r="F38" s="38" t="s">
        <v>170</v>
      </c>
      <c r="M38" s="1"/>
    </row>
    <row r="39" spans="4:13" ht="20"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 customHeight="1" x14ac:dyDescent="0.25">
      <c r="M40" s="1"/>
    </row>
    <row r="41" spans="4:13" ht="20" customHeight="1" x14ac:dyDescent="0.25">
      <c r="M41" s="1"/>
    </row>
    <row r="42" spans="4:13" ht="20" customHeight="1" x14ac:dyDescent="0.25">
      <c r="D42" s="6" t="str" cm="1">
        <f t="array" ref="D42">SourceData_Dairy.SourceData_Dairy_LiveweightGain_Title()</f>
        <v>Table A.1.3.3: Dairy cattle - Liveweight gain (kg) (LWGj)</v>
      </c>
      <c r="M42" s="1"/>
    </row>
    <row r="43" spans="4:13" ht="20" customHeight="1" x14ac:dyDescent="0.25">
      <c r="D43" s="5" t="str" cm="1">
        <f t="array" ref="D43">SourceData_Dairy.SourceData_Dairy_LiveweightGain_Source()</f>
        <v>VEERG 2026: Table A.1.3.3</v>
      </c>
      <c r="M43" s="1"/>
    </row>
    <row r="44" spans="4:13" ht="20" customHeight="1" x14ac:dyDescent="0.25">
      <c r="D44" s="1" t="str" cm="1">
        <f t="array" ref="D44">SourceData_Dairy.SourceData_Dairy_LiveweightGain_Variable()</f>
        <v>LWGj</v>
      </c>
      <c r="M44" s="1"/>
    </row>
    <row r="45" spans="4:13" ht="20" customHeight="1" x14ac:dyDescent="0.25">
      <c r="D45" s="55" t="str" cm="1">
        <f t="array" ref="D45">SourceData_Dairy.SourceData_Dairy_LiveweightGain_Unit()</f>
        <v>kg</v>
      </c>
      <c r="M45" s="1"/>
    </row>
    <row r="46" spans="4:13" ht="20" customHeight="1" x14ac:dyDescent="0.25">
      <c r="D46" s="38" t="s">
        <v>167</v>
      </c>
      <c r="E46" s="38" t="s">
        <v>168</v>
      </c>
      <c r="F46" s="38" t="s">
        <v>169</v>
      </c>
      <c r="G46" s="38" t="s">
        <v>171</v>
      </c>
      <c r="H46" s="38" t="s">
        <v>170</v>
      </c>
      <c r="M46" s="1"/>
    </row>
    <row r="47" spans="4:13" ht="20"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 customHeight="1" x14ac:dyDescent="0.25">
      <c r="M48" s="1"/>
    </row>
    <row r="49" spans="4:13" ht="20" customHeight="1" x14ac:dyDescent="0.25">
      <c r="M49" s="1"/>
    </row>
    <row r="50" spans="4:13" ht="20" customHeight="1" x14ac:dyDescent="0.25">
      <c r="D50" s="6" t="str" cm="1">
        <f t="array" ref="D50">SourceData_Dairy.SourceData_Dairy_ReferenceWeights_Title()</f>
        <v>Table A.1.3.4: Dairy cattle - Reference weights (kg) (WRj)</v>
      </c>
      <c r="M50" s="1"/>
    </row>
    <row r="51" spans="4:13" ht="20" customHeight="1" x14ac:dyDescent="0.25">
      <c r="D51" s="5" t="str" cm="1">
        <f t="array" ref="D51">SourceData_Dairy.SourceData_Dairy_ReferenceWeights_Source()</f>
        <v>VEERG 2026: Table A.1.3.4</v>
      </c>
      <c r="M51" s="1"/>
    </row>
    <row r="52" spans="4:13" ht="20" customHeight="1" x14ac:dyDescent="0.25">
      <c r="D52" s="1" t="str" cm="1">
        <f t="array" ref="D52">SourceData_Dairy.SourceData_Dairy_ReferenceWeights_Variable()</f>
        <v>WRj</v>
      </c>
      <c r="M52" s="1"/>
    </row>
    <row r="53" spans="4:13" ht="20" customHeight="1" x14ac:dyDescent="0.25">
      <c r="D53" s="55" t="str" cm="1">
        <f t="array" ref="D53">SourceData_Dairy.SourceData_Dairy_ReferenceWeights_Unit()</f>
        <v>kg</v>
      </c>
      <c r="M53" s="1"/>
    </row>
    <row r="54" spans="4:13" ht="20" customHeight="1" x14ac:dyDescent="0.25">
      <c r="D54" s="121" t="s">
        <v>167</v>
      </c>
      <c r="E54" s="121" t="s">
        <v>168</v>
      </c>
      <c r="F54" s="121" t="s">
        <v>169</v>
      </c>
      <c r="G54" s="121" t="s">
        <v>171</v>
      </c>
      <c r="H54" s="121" t="s">
        <v>170</v>
      </c>
      <c r="M54" s="1"/>
    </row>
    <row r="55" spans="4:13" ht="20"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 customHeight="1" x14ac:dyDescent="0.25">
      <c r="M56" s="1"/>
    </row>
    <row r="57" spans="4:13" ht="20" customHeight="1" x14ac:dyDescent="0.25">
      <c r="M57" s="1"/>
    </row>
    <row r="58" spans="4:13" ht="20" customHeight="1" x14ac:dyDescent="0.25">
      <c r="D58" s="6" t="str" cm="1">
        <f t="array" ref="D58">SourceData_Dairy.SourceData_Dairy_PreWeanedCalves_Title()</f>
        <v>Table A.1.3.5: Dairy cattle - Data for pre - weaned calves</v>
      </c>
      <c r="M58" s="1"/>
    </row>
    <row r="59" spans="4:13" ht="20" customHeight="1" x14ac:dyDescent="0.25">
      <c r="D59" s="5" t="str" cm="1">
        <f t="array" ref="D59">SourceData_Dairy.SourceData_Dairy_PreWeanedCalves_Source()</f>
        <v>VEERG 2026: Table A.1.3.5</v>
      </c>
      <c r="M59" s="1"/>
    </row>
    <row r="60" spans="4:13" ht="20" customHeight="1" x14ac:dyDescent="0.25">
      <c r="D60" s="1" t="str" cm="1">
        <f t="array" ref="D60">SourceData_Dairy.SourceData_Dairy_PreWeanedCalves_Variable()</f>
        <v>VSj=3,5; NPWj=3,5</v>
      </c>
      <c r="M60" s="1"/>
    </row>
    <row r="61" spans="4:13" ht="20" customHeight="1" x14ac:dyDescent="0.25">
      <c r="D61" s="55" t="str" cm="1">
        <f t="array" ref="D61">SourceData_Dairy.SourceData_Dairy_PreWeanedCalves_Unit()</f>
        <v>kg/day</v>
      </c>
      <c r="M61" s="1"/>
    </row>
    <row r="62" spans="4:13" ht="20" customHeight="1" x14ac:dyDescent="0.25">
      <c r="D62" s="38" t="s">
        <v>172</v>
      </c>
      <c r="E62" s="38" t="s">
        <v>173</v>
      </c>
      <c r="F62" s="38" t="s">
        <v>174</v>
      </c>
      <c r="G62" s="38" t="s">
        <v>175</v>
      </c>
      <c r="M62" s="1"/>
    </row>
    <row r="63" spans="4:13" ht="20"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 customHeight="1" x14ac:dyDescent="0.25">
      <c r="M65" s="1"/>
    </row>
    <row r="66" spans="4:22" ht="20" customHeight="1" x14ac:dyDescent="0.25">
      <c r="M66" s="1"/>
    </row>
    <row r="67" spans="4:22" ht="20" customHeight="1" x14ac:dyDescent="0.25">
      <c r="D67" s="6" t="str" cm="1">
        <f t="array" ref="D67">SourceData_Dairy.SourceData_Dairy_MCF_Title()</f>
        <v>Table A.1.3.6: Dairy cattle - Dairy cattle - MCFs (fraction) (MCFjm)</v>
      </c>
      <c r="M67" s="1"/>
    </row>
    <row r="68" spans="4:22" ht="20" customHeight="1" x14ac:dyDescent="0.25">
      <c r="D68" s="5" t="str" cm="1">
        <f t="array" ref="D68">SourceData_Dairy.SourceData_Dairy_MCF_Source()</f>
        <v>VEERG 2026: Table A.1.3.6</v>
      </c>
      <c r="M68" s="1"/>
    </row>
    <row r="69" spans="4:22" ht="20" customHeight="1" x14ac:dyDescent="0.25">
      <c r="D69" s="1" t="str" cm="1">
        <f t="array" ref="D69">SourceData_Dairy.SourceData_Dairy_MCF_Variable()</f>
        <v>MCFjm</v>
      </c>
      <c r="M69" s="1"/>
    </row>
    <row r="70" spans="4:22" ht="20" customHeight="1" x14ac:dyDescent="0.25">
      <c r="D70" s="55" t="str" cm="1">
        <f t="array" ref="D70">SourceData_Dairy.SourceData_Dairy_MCF_Unit()</f>
        <v>fraction</v>
      </c>
      <c r="M70" s="1"/>
    </row>
    <row r="71" spans="4:22" ht="20" customHeight="1" x14ac:dyDescent="0.25">
      <c r="D71" s="56" t="str" cm="1">
        <f t="array" ref="D71">SourceData_Dairy.SourceData_Dairy_MCF_Variation()</f>
        <v>VARIATION OF SOURCE: Added 'NIR reference' column to aid lookup</v>
      </c>
      <c r="M71" s="1"/>
      <c r="V71" s="1"/>
    </row>
    <row r="72" spans="4:22" ht="20" customHeight="1" x14ac:dyDescent="0.25">
      <c r="D72" s="38" t="s">
        <v>96</v>
      </c>
      <c r="E72" s="38" t="s">
        <v>78</v>
      </c>
      <c r="F72" s="38" t="s">
        <v>79</v>
      </c>
      <c r="G72" s="38" t="s">
        <v>80</v>
      </c>
      <c r="H72" s="38" t="s">
        <v>81</v>
      </c>
      <c r="I72" s="38" t="s">
        <v>82</v>
      </c>
      <c r="J72" s="38" t="s">
        <v>83</v>
      </c>
      <c r="K72" s="38" t="s">
        <v>84</v>
      </c>
      <c r="L72" s="38" t="s">
        <v>85</v>
      </c>
      <c r="M72" s="38" t="s">
        <v>183</v>
      </c>
      <c r="V72" s="1"/>
    </row>
    <row r="73" spans="4:22" ht="20"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 customHeight="1" x14ac:dyDescent="0.25">
      <c r="M79" s="1"/>
    </row>
    <row r="80" spans="4:22" ht="20" customHeight="1" x14ac:dyDescent="0.25">
      <c r="M80" s="1"/>
    </row>
    <row r="81" spans="4:22" ht="20" customHeight="1" x14ac:dyDescent="0.25">
      <c r="D81" s="6" t="str" cm="1">
        <f t="array" ref="D81">SourceData_Dairy.SourceData_Dairy_NitrousOxideEFsAndFracGASM_Title()</f>
        <v>Table A.1.3.7: Dairy cattle - Nitrous oxide EFs and fraction of N volatilised by MMS</v>
      </c>
      <c r="M81" s="1"/>
    </row>
    <row r="82" spans="4:22" ht="20" customHeight="1" x14ac:dyDescent="0.25">
      <c r="D82" s="5" t="str" cm="1">
        <f t="array" ref="D82">SourceData_Dairy.SourceData_Dairy_NitrousOxideEFsAndFracGASM_Source()</f>
        <v>VEERG 2026: Table A.1.3.7</v>
      </c>
      <c r="M82" s="1"/>
    </row>
    <row r="83" spans="4:22" ht="20" customHeight="1" x14ac:dyDescent="0.25">
      <c r="D83" s="1" t="str" cm="1">
        <f t="array" ref="D83">SourceData_Dairy.SourceData_Dairy_NitrousOxideEFsAndFracGASM_Variable()</f>
        <v>EFm; FracGASMm</v>
      </c>
      <c r="M83" s="1"/>
    </row>
    <row r="84" spans="4:22" ht="20" customHeight="1" x14ac:dyDescent="0.25">
      <c r="D84" s="55" t="str" cm="1">
        <f t="array" ref="D84">SourceData_Dairy.SourceData_Dairy_NitrousOxideEFsAndFracGASM_Unit()</f>
        <v>kg N2O-N/kg N excreted</v>
      </c>
      <c r="M84" s="1"/>
    </row>
    <row r="85" spans="4:22" ht="20" customHeight="1" x14ac:dyDescent="0.25">
      <c r="D85" s="56" t="str" cm="1">
        <f t="array" ref="D85">SourceData_Dairy.SourceData_Dairy_NitrousOxideEFsAndFracGASM_Variation()</f>
        <v>VARIATION OF SOURCE: Added 'NIR reference' column to aid lookup</v>
      </c>
      <c r="M85" s="1"/>
      <c r="V85" s="1"/>
    </row>
    <row r="86" spans="4:22" ht="20" customHeight="1" x14ac:dyDescent="0.25">
      <c r="D86" s="38" t="s">
        <v>96</v>
      </c>
      <c r="E86" s="38" t="s">
        <v>176</v>
      </c>
      <c r="F86" s="38" t="s">
        <v>177</v>
      </c>
      <c r="G86" s="38" t="s">
        <v>183</v>
      </c>
      <c r="M86" s="1"/>
      <c r="V86" s="1"/>
    </row>
    <row r="87" spans="4:22" ht="20"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 customHeight="1" x14ac:dyDescent="0.25">
      <c r="M92" s="1"/>
    </row>
    <row r="93" spans="4:22" ht="20" customHeight="1" x14ac:dyDescent="0.25">
      <c r="M93" s="1"/>
    </row>
    <row r="94" spans="4:22" ht="20"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 customHeight="1" x14ac:dyDescent="0.25">
      <c r="D95" s="5" t="str" cm="1">
        <f t="array" ref="D95">SourceData_Dairy.SourceData_Dairy_MethaneProductionPreWeanedCalves_Source()</f>
        <v>VEERG 2026: Table A.1.3.8</v>
      </c>
      <c r="M95" s="1"/>
    </row>
    <row r="96" spans="4:22" ht="20" customHeight="1" x14ac:dyDescent="0.25">
      <c r="D96" s="1" t="str" cm="1">
        <f t="array" ref="D96">SourceData_Dairy.SourceData_Dairy_MethaneProductionPreWeanedCalves_Variable()</f>
        <v>MPWENTERIC,j=3,5</v>
      </c>
      <c r="M96" s="1"/>
    </row>
    <row r="97" spans="4:13" ht="20" customHeight="1" x14ac:dyDescent="0.25">
      <c r="D97" s="55" t="str" cm="1">
        <f t="array" ref="D97">SourceData_Dairy.SourceData_Dairy_MethaneProductionPreWeanedCalves_Unit()</f>
        <v>kg CH4/head/day</v>
      </c>
      <c r="M97" s="1"/>
    </row>
    <row r="98" spans="4:13" ht="20" customHeight="1" x14ac:dyDescent="0.25">
      <c r="D98" s="38" t="s">
        <v>172</v>
      </c>
      <c r="E98" s="38" t="s">
        <v>178</v>
      </c>
      <c r="M98" s="1"/>
    </row>
    <row r="99" spans="4:13" ht="20"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 customHeight="1" x14ac:dyDescent="0.25">
      <c r="M101" s="1"/>
    </row>
    <row r="102" spans="4:13" ht="20" customHeight="1" x14ac:dyDescent="0.25">
      <c r="M102" s="1"/>
    </row>
    <row r="103" spans="4:13" ht="20" customHeight="1" x14ac:dyDescent="0.25">
      <c r="D103" s="6" t="str" cm="1">
        <f t="array" ref="D103">SourceData_Dairy.SourceData_Dairy_IncreasedMetabolicRateMilk_Title()</f>
        <v>Table A.1.3.9: Dairy cattle - Increased metabolic rate when producing milk (MRj)</v>
      </c>
      <c r="M103" s="1"/>
    </row>
    <row r="104" spans="4:13" ht="20" customHeight="1" x14ac:dyDescent="0.25">
      <c r="D104" s="5" t="str" cm="1">
        <f t="array" ref="D104">SourceData_Dairy.SourceData_Dairy_IncreasedMetabolicRateMilk_Source()</f>
        <v>VEERG 2026: Table A.1.3.9</v>
      </c>
      <c r="M104" s="1"/>
    </row>
    <row r="105" spans="4:13" ht="20" customHeight="1" x14ac:dyDescent="0.25">
      <c r="D105" s="1" t="str" cm="1">
        <f t="array" ref="D105">SourceData_Dairy.SourceData_Dairy_IncreasedMetabolicRateMilk_Variable()</f>
        <v>MRj</v>
      </c>
      <c r="M105" s="1"/>
    </row>
    <row r="106" spans="4:13" ht="20" customHeight="1" x14ac:dyDescent="0.25">
      <c r="D106" s="55" t="str" cm="1">
        <f t="array" ref="D106">SourceData_Dairy.SourceData_Dairy_IncreasedMetabolicRateMilk_Unit()</f>
        <v/>
      </c>
      <c r="M106" s="1"/>
    </row>
    <row r="107" spans="4:13" ht="20" customHeight="1" x14ac:dyDescent="0.25">
      <c r="D107" s="38" t="s">
        <v>172</v>
      </c>
      <c r="E107" s="38" t="s">
        <v>179</v>
      </c>
      <c r="M107" s="1"/>
    </row>
    <row r="108" spans="4:13" ht="20"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 customHeight="1" x14ac:dyDescent="0.25">
      <c r="M110" s="1"/>
    </row>
    <row r="111" spans="4:13" ht="20" customHeight="1" x14ac:dyDescent="0.25">
      <c r="M111" s="1"/>
    </row>
    <row r="112" spans="4:13" ht="20"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 customHeight="1" x14ac:dyDescent="0.25">
      <c r="D113" s="5" t="str" cm="1">
        <f t="array" ref="D113">SourceData_Dairy.SourceData_Dairy_FractionVolatileSolidsVoidedMMS_Source()</f>
        <v>VEERG 2026: Table A.1.3.10</v>
      </c>
      <c r="M113" s="1"/>
    </row>
    <row r="114" spans="4:22" ht="20" customHeight="1" x14ac:dyDescent="0.25">
      <c r="D114" s="1" t="str" cm="1">
        <f t="array" ref="D114">SourceData_Dairy.SourceData_Dairy_FractionVolatileSolidsVoidedMMS_Variable()</f>
        <v>MMSjm</v>
      </c>
      <c r="M114" s="1"/>
    </row>
    <row r="115" spans="4:22" ht="20" customHeight="1" x14ac:dyDescent="0.25">
      <c r="D115" s="55" t="str" cm="1">
        <f t="array" ref="D115">SourceData_Dairy.SourceData_Dairy_FractionVolatileSolidsVoidedMMS_Unit()</f>
        <v>fraction</v>
      </c>
      <c r="M115" s="1"/>
      <c r="V115" s="1"/>
    </row>
    <row r="116" spans="4:22" ht="20" customHeight="1" x14ac:dyDescent="0.25">
      <c r="D116" s="38" t="s">
        <v>180</v>
      </c>
      <c r="E116" s="38" t="s">
        <v>141</v>
      </c>
      <c r="F116" s="38" t="s">
        <v>181</v>
      </c>
      <c r="G116" s="38" t="s">
        <v>182</v>
      </c>
      <c r="M116" s="1"/>
      <c r="V116" s="1"/>
    </row>
    <row r="117" spans="4:22" ht="20"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 customHeight="1" x14ac:dyDescent="0.25">
      <c r="M121" s="1"/>
    </row>
    <row r="122" spans="4:22" ht="20" customHeight="1" x14ac:dyDescent="0.25">
      <c r="M122" s="1"/>
    </row>
    <row r="123" spans="4:22" ht="20" customHeight="1" x14ac:dyDescent="0.25">
      <c r="D123" s="6" t="str" cm="1">
        <f t="array" ref="D123">SourceData_Dairy.SourceData_Dairy_EFNitrousOxidePerMMS_Title()</f>
        <v>Table A.1.3.11: Dairy cattle - EF for nitrous oxide per MMS (kg N2O-N/kg N) (EFm)</v>
      </c>
      <c r="M123" s="1"/>
    </row>
    <row r="124" spans="4:22" ht="20" customHeight="1" x14ac:dyDescent="0.25">
      <c r="D124" s="5" t="str" cm="1">
        <f t="array" ref="D124">SourceData_Dairy.SourceData_Dairy_EFNitrousOxidePerMMS_Source()</f>
        <v>VEERG 2026: Table A.1.3.11</v>
      </c>
      <c r="M124" s="1"/>
    </row>
    <row r="125" spans="4:22" ht="20" customHeight="1" x14ac:dyDescent="0.25">
      <c r="D125" s="1" t="str" cm="1">
        <f t="array" ref="D125">SourceData_Dairy.SourceData_Dairy_EFNitrousOxidePerMMS_Variable()</f>
        <v>EFm</v>
      </c>
      <c r="M125" s="1"/>
      <c r="V125" s="1"/>
    </row>
    <row r="126" spans="4:22" ht="20" customHeight="1" x14ac:dyDescent="0.25">
      <c r="D126" s="55" t="str" cm="1">
        <f t="array" ref="D126">SourceData_Dairy.SourceData_Dairy_EFNitrousOxidePerMMS_Unit()</f>
        <v>kg N2O-N/kg N</v>
      </c>
      <c r="M126" s="1"/>
      <c r="V126" s="1"/>
    </row>
    <row r="127" spans="4:22" ht="20" customHeight="1" x14ac:dyDescent="0.25">
      <c r="D127" s="56" t="str" cm="1">
        <f t="array" ref="D127">SourceData_Dairy.SourceData_Dairy_EFNitrousOxidePerMMS_Variation()</f>
        <v>VARIATION OF SOURCE: Added 'NIR reference' column to aid lookup</v>
      </c>
      <c r="M127" s="1"/>
      <c r="V127" s="1"/>
    </row>
    <row r="128" spans="4:22" ht="20" customHeight="1" x14ac:dyDescent="0.25">
      <c r="D128" s="38" t="s">
        <v>96</v>
      </c>
      <c r="E128" s="38" t="s">
        <v>176</v>
      </c>
      <c r="F128" s="38" t="s">
        <v>183</v>
      </c>
      <c r="G128" s="110" t="s">
        <v>198</v>
      </c>
      <c r="M128" s="1"/>
      <c r="N128" s="23"/>
      <c r="V128" s="1"/>
    </row>
    <row r="129" spans="4:22" ht="20"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 customHeight="1" x14ac:dyDescent="0.25">
      <c r="M134" s="23"/>
    </row>
    <row r="135" spans="4:22" ht="20" customHeight="1" x14ac:dyDescent="0.25">
      <c r="M135" s="23"/>
    </row>
    <row r="136" spans="4:22" ht="20" customHeight="1" x14ac:dyDescent="0.25">
      <c r="D136" s="6" t="str" cm="1">
        <f t="array" ref="D136">SourceData_Dairy.SourceData_Dairy_DurationOfStay_Title()</f>
        <v>Duration of stay for each dairy cattle input class</v>
      </c>
      <c r="M136" s="23"/>
    </row>
    <row r="137" spans="4:22" ht="20" customHeight="1" x14ac:dyDescent="0.25">
      <c r="D137" s="5" t="str" cm="1">
        <f t="array" ref="D137">SourceData_Dairy.SourceData_Dairy_DurationOfStay_Source()</f>
        <v>VEERG 2026: 4.3.2.2	DATA (METHOD 1 AND 2 OPTIONS)</v>
      </c>
      <c r="M137" s="23"/>
    </row>
    <row r="138" spans="4:22" ht="20" customHeight="1" x14ac:dyDescent="0.25">
      <c r="D138" s="1" t="str" cm="1">
        <f t="array" ref="D138">SourceData_Dairy.SourceData_Dairy_DurationOfStay_Variable()</f>
        <v>D</v>
      </c>
      <c r="M138" s="23"/>
    </row>
    <row r="139" spans="4:22" ht="20" customHeight="1" x14ac:dyDescent="0.25">
      <c r="D139" s="55" t="str" cm="1">
        <f t="array" ref="D139">SourceData_Dairy.SourceData_Dairy_DurationOfStay_Unit()</f>
        <v>days</v>
      </c>
      <c r="M139" s="23"/>
    </row>
    <row r="140" spans="4:22" ht="20" customHeight="1" x14ac:dyDescent="0.25">
      <c r="D140" s="56" t="str" cm="1">
        <f t="array" ref="D140">SourceData_Dairy.SourceData_Dairy_DurationOfStay_Variation()</f>
        <v>VARIATION OF SOURCE: Converted free text in document to table, matching livestock class names.</v>
      </c>
      <c r="M140" s="23"/>
    </row>
    <row r="141" spans="4:22" ht="20" customHeight="1" x14ac:dyDescent="0.25">
      <c r="D141" s="38" t="s">
        <v>172</v>
      </c>
      <c r="E141" s="38" t="s">
        <v>193</v>
      </c>
      <c r="F141" s="38" t="s">
        <v>194</v>
      </c>
      <c r="M141" s="23"/>
    </row>
    <row r="142" spans="4:22" ht="20"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 customHeight="1" x14ac:dyDescent="0.25">
      <c r="M147" s="23"/>
    </row>
    <row r="148" spans="4:13" ht="20" customHeight="1" x14ac:dyDescent="0.25">
      <c r="M148" s="23"/>
    </row>
    <row r="149" spans="4:13" ht="20" customHeight="1" x14ac:dyDescent="0.25">
      <c r="D149" s="6" t="str" cm="1">
        <f t="array" ref="D149">SourceData_Dairy.SourceData_Dairy_CrudeProtein_Title()</f>
        <v>Crude protein content of feed intake</v>
      </c>
      <c r="M149" s="23"/>
    </row>
    <row r="150" spans="4:13" ht="20" customHeight="1" x14ac:dyDescent="0.25">
      <c r="D150" s="5" t="str" cm="1">
        <f t="array" ref="D150">SourceData_Dairy.SourceData_Dairy_CrudeProtein_Source()</f>
        <v>VEERG 2026: 4.3.2.2	DATA (METHOD 1 AND 2 OPTIONS)</v>
      </c>
      <c r="M150" s="23"/>
    </row>
    <row r="151" spans="4:13" ht="20" customHeight="1" x14ac:dyDescent="0.25">
      <c r="D151" s="1" t="str" cm="1">
        <f t="array" ref="D151">SourceData_Dairy.SourceData_Dairy_CrudeProtein_Variable()</f>
        <v>CP</v>
      </c>
      <c r="M151" s="23"/>
    </row>
    <row r="152" spans="4:13" ht="20" customHeight="1" x14ac:dyDescent="0.25">
      <c r="D152" s="55" t="str" cm="1">
        <f t="array" ref="D152">SourceData_Dairy.SourceData_Dairy_CrudeProtein_Unit()</f>
        <v>fraction</v>
      </c>
      <c r="M152" s="23"/>
    </row>
    <row r="153" spans="4:13" ht="20" customHeight="1" x14ac:dyDescent="0.25">
      <c r="D153" s="54" cm="1">
        <f t="array" ref="D153">SourceData_Dairy.SourceData_Dairy_CrudeProtein_Data()</f>
        <v>0.2</v>
      </c>
      <c r="M153" s="23"/>
    </row>
    <row r="154" spans="4:13" ht="20" customHeight="1" x14ac:dyDescent="0.25">
      <c r="M154" s="23"/>
    </row>
    <row r="155" spans="4:13" ht="20" customHeight="1" x14ac:dyDescent="0.25">
      <c r="M155" s="23"/>
    </row>
    <row r="156" spans="4:13" ht="20" customHeight="1" x14ac:dyDescent="0.25">
      <c r="D156" s="6" t="str" cm="1">
        <f t="array" ref="D156">SourceData_Dairy.SourceData_Dairy_DryMatterDigestibility_Title()</f>
        <v>Dry matter digestibility</v>
      </c>
      <c r="M156" s="23"/>
    </row>
    <row r="157" spans="4:13" ht="20" customHeight="1" x14ac:dyDescent="0.25">
      <c r="D157" s="5" t="str" cm="1">
        <f t="array" ref="D157">SourceData_Dairy.SourceData_Dairy_DryMatterDigestibility_Source()</f>
        <v>VEERG 2026: 3.3.2.2	DATA (METHOD 1 AND 2 OPTIONS)</v>
      </c>
      <c r="M157" s="23"/>
    </row>
    <row r="158" spans="4:13" ht="20" customHeight="1" x14ac:dyDescent="0.25">
      <c r="D158" s="1" t="str" cm="1">
        <f t="array" ref="D158">SourceData_Dairy.SourceData_Dairy_DryMatterDigestibility_Variable()</f>
        <v>DMD</v>
      </c>
      <c r="M158" s="23"/>
    </row>
    <row r="159" spans="4:13" ht="20" customHeight="1" x14ac:dyDescent="0.25">
      <c r="D159" s="55" t="str" cm="1">
        <f t="array" ref="D159">SourceData_Dairy.SourceData_Dairy_DryMatterDigestibility_Unit()</f>
        <v>fraction</v>
      </c>
      <c r="M159" s="23"/>
    </row>
    <row r="160" spans="4:13" ht="20" customHeight="1" x14ac:dyDescent="0.25">
      <c r="D160" s="54" cm="1">
        <f t="array" ref="D160">SourceData_Dairy.SourceData_Dairy_DryMatterDigestibility_Data()</f>
        <v>0.75</v>
      </c>
      <c r="M160" s="23"/>
    </row>
    <row r="161" spans="1:13" ht="20" customHeight="1" x14ac:dyDescent="0.25">
      <c r="M161" s="23"/>
    </row>
    <row r="162" spans="1:13" ht="20" customHeight="1" x14ac:dyDescent="0.25">
      <c r="M162" s="23"/>
    </row>
    <row r="163" spans="1:13" ht="20" customHeight="1" x14ac:dyDescent="0.25">
      <c r="D163" s="6" t="str" cm="1">
        <f t="array" ref="D163">SourceData_Dairy.SourceData_Dairy_NetEnergy_Title()</f>
        <v>Net energy required for milk production</v>
      </c>
      <c r="M163" s="23"/>
    </row>
    <row r="164" spans="1:13" ht="20" customHeight="1" x14ac:dyDescent="0.25">
      <c r="D164" s="5" t="str" cm="1">
        <f t="array" ref="D164">SourceData_Dairy.SourceData_Dairy_NetEnergy_Source()</f>
        <v>VEERG 2026: 3.3.2.3 CONSTANTS</v>
      </c>
      <c r="M164" s="23"/>
    </row>
    <row r="165" spans="1:13" ht="20" customHeight="1" x14ac:dyDescent="0.25">
      <c r="D165" s="1" t="str" cm="1">
        <f t="array" ref="D165">SourceData_Dairy.SourceData_Dairy_NetEnergy_Variable()</f>
        <v>NE</v>
      </c>
      <c r="M165" s="23"/>
    </row>
    <row r="166" spans="1:13" x14ac:dyDescent="0.25" ht="20" customHeight="1">
      <c r="D166" s="55" t="str" cm="1">
        <f t="array" ref="D166">SourceData_Dairy.SourceData_Dairy_NetEnergy_Unit()</f>
        <v>MJ net energy / kg milk</v>
      </c>
      <c r="M166" s="23"/>
    </row>
    <row r="167" spans="1:13" x14ac:dyDescent="0.25" ht="20" customHeight="1">
      <c r="D167" s="54" cm="1">
        <f t="array" ref="D167">SourceData_Dairy.SourceData_Dairy_NetEnergy_Data()</f>
        <v>3.0539999999999998</v>
      </c>
      <c r="M167" s="23"/>
    </row>
    <row r="168" spans="1:13" x14ac:dyDescent="0.25" ht="20" customHeight="1">
      <c r="M168" s="23"/>
    </row>
    <row r="169" spans="1:13" x14ac:dyDescent="0.25" ht="20" customHeight="1">
      <c r="M169" s="23"/>
    </row>
    <row r="170" spans="1:13" ht="20" x14ac:dyDescent="0.25" customHeight="1">
      <c r="D170" s="6" t="str" cm="1">
        <f t="array" ref="D170">SourceData_Dairy.SourceData_Dairy_GrossEnergyContent_Title()</f>
        <v>Gross energy content of feed dry matter</v>
      </c>
      <c r="M170" s="23"/>
    </row>
    <row r="171" spans="1:13" x14ac:dyDescent="0.25" ht="20" customHeight="1">
      <c r="D171" s="5" t="str" cm="1">
        <f t="array" ref="D171">SourceData_Dairy.SourceData_Dairy_GrossEnergyContent_Source()</f>
        <v>VEERG 2026: 3.3.2.3 CONSTANTS</v>
      </c>
      <c r="M171" s="23"/>
    </row>
    <row r="172" spans="1:13" x14ac:dyDescent="0.25" ht="20" customHeight="1">
      <c r="D172" s="1" t="str" cm="1">
        <f t="array" ref="D172">SourceData_Dairy.SourceData_Dairy_GrossEnergyContent_Variable()</f>
        <v>GEC</v>
      </c>
      <c r="M172" s="23"/>
    </row>
    <row r="173" spans="1:13" x14ac:dyDescent="0.25" ht="20" customHeight="1">
      <c r="D173" s="55" t="str" cm="1">
        <f t="array" ref="D173">SourceData_Dairy.SourceData_Dairy_GrossEnergyContent_Unit()</f>
        <v>MJ / kgDM</v>
      </c>
      <c r="M173" s="23"/>
    </row>
    <row r="174" spans="1:13" x14ac:dyDescent="0.25" ht="20" customHeight="1">
      <c r="A174" s="137" t="str">
        <f>HYPERLINK("#A1", "▲ Back to top")</f>
        <v>▲ Back to top</v>
      </c>
      <c r="D174" s="54" cm="1">
        <f t="array" ref="D174">SourceData_Dairy.SourceData_Dairy_GrossEnergyContent_Data()</f>
        <v>18.399999999999999</v>
      </c>
      <c r="M174" s="23"/>
    </row>
    <row r="175" spans="1:13" x14ac:dyDescent="0.25" ht="20" customHeight="1">
      <c r="M175" s="23"/>
    </row>
    <row r="176" spans="1:13" x14ac:dyDescent="0.25" ht="20" customHeight="1">
      <c r="M176" s="23"/>
    </row>
    <row r="177" spans="4:13" ht="20" x14ac:dyDescent="0.25" customHeight="1">
      <c r="D177" s="6" t="str" cm="1">
        <f t="array" ref="D177">SourceData_Dairy.SourceData_Dairy_EfficiencyOfUseOfMetabolizableEnergy_Title()</f>
        <v>Efficiency of use of metabolizable energy for milk production</v>
      </c>
      <c r="M177" s="23"/>
    </row>
    <row r="178" spans="4:13" x14ac:dyDescent="0.25" ht="20" customHeight="1">
      <c r="D178" s="5" t="str" cm="1">
        <f t="array" ref="D178">SourceData_Dairy.SourceData_Dairy_EfficiencyOfUseOfMetabolizableEnergy_Source()</f>
        <v>VEERG 2026: 3.3.2.3 CONSTANTS</v>
      </c>
      <c r="M178" s="23"/>
    </row>
    <row r="179" spans="4:13" x14ac:dyDescent="0.25" ht="20" customHeight="1">
      <c r="D179" s="1" t="str" cm="1">
        <f t="array" ref="D179">SourceData_Dairy.SourceData_Dairy_EfficiencyOfUseOfMetabolizableEnergy_Variable()</f>
        <v>k</v>
      </c>
      <c r="M179" s="23"/>
    </row>
    <row r="180" spans="4:13" x14ac:dyDescent="0.25" ht="20" customHeight="1">
      <c r="D180" s="55" t="str" cm="1">
        <f t="array" ref="D180">SourceData_Dairy.SourceData_Dairy_EfficiencyOfUseOfMetabolizableEnergy_Unit()</f>
        <v>fraction</v>
      </c>
      <c r="M180" s="23"/>
    </row>
    <row r="181" spans="4:13" x14ac:dyDescent="0.25" ht="20" customHeight="1">
      <c r="D181" s="54" cm="1">
        <f t="array" ref="D181">SourceData_Dairy.SourceData_Dairy_EfficiencyOfUseOfMetabolizableEnergy_Data()</f>
        <v>0.6</v>
      </c>
      <c r="M181" s="23"/>
    </row>
    <row r="182" spans="4:13" x14ac:dyDescent="0.25" ht="20" customHeight="1">
      <c r="M182" s="23"/>
    </row>
    <row r="183" spans="4:13" x14ac:dyDescent="0.25" ht="20" customHeight="1">
      <c r="M183" s="23"/>
    </row>
    <row r="184" spans="4:13" ht="20" x14ac:dyDescent="0.25" customHeight="1">
      <c r="D184" s="6" t="str" cm="1">
        <f t="array" ref="D184">SourceData_Dairy.SourceData_Dairy_AshContent_Title()</f>
        <v>Ash content of manure</v>
      </c>
      <c r="M184" s="23"/>
    </row>
    <row r="185" spans="4:13" x14ac:dyDescent="0.25" ht="20" customHeight="1">
      <c r="D185" s="5" t="str" cm="1">
        <f t="array" ref="D185">SourceData_Dairy.SourceData_Dairy_AshContent_Source()</f>
        <v>VEERG 2026: 4.3.2.3 CONSTANTS</v>
      </c>
      <c r="M185" s="23"/>
    </row>
    <row r="186" spans="4:13" x14ac:dyDescent="0.25" ht="20" customHeight="1">
      <c r="D186" s="1" t="str" cm="1">
        <f t="array" ref="D186">SourceData_Dairy.SourceData_Dairy_AshContent_Variable()</f>
        <v>A</v>
      </c>
      <c r="M186" s="23"/>
    </row>
    <row r="187" spans="4:13" x14ac:dyDescent="0.25" ht="20" customHeight="1">
      <c r="D187" s="55" t="str" cm="1">
        <f t="array" ref="D187">SourceData_Dairy.SourceData_Dairy_AshContent_Unit()</f>
        <v>fraction</v>
      </c>
      <c r="M187" s="23"/>
    </row>
    <row r="188" spans="4:13" x14ac:dyDescent="0.25" ht="20" customHeight="1">
      <c r="D188" s="54" cm="1">
        <f t="array" ref="D188">SourceData_Dairy.SourceData_Dairy_AshContent_Data()</f>
        <v>0.08</v>
      </c>
      <c r="M188" s="23"/>
    </row>
    <row r="189" spans="4:13" x14ac:dyDescent="0.25" ht="20" customHeight="1">
      <c r="M189" s="23"/>
    </row>
    <row r="190" spans="4:13" x14ac:dyDescent="0.25" ht="20" customHeight="1">
      <c r="M190" s="23"/>
    </row>
    <row r="191" spans="4:13" ht="20" x14ac:dyDescent="0.25" customHeight="1">
      <c r="D191" s="6" t="str" cm="1">
        <f t="array" ref="D191">SourceData_Dairy.SourceData_Dairy_MethaneEmissionsPotential_Title()</f>
        <v>Methane emissions potential</v>
      </c>
      <c r="M191" s="23"/>
    </row>
    <row r="192" spans="4:13" x14ac:dyDescent="0.25" ht="20" customHeight="1">
      <c r="D192" s="5" t="str" cm="1">
        <f t="array" ref="D192">SourceData_Dairy.SourceData_Dairy_MethaneEmissionsPotential_Source()</f>
        <v>VEERG 2026: 4.3.2.3 CONSTANTS</v>
      </c>
      <c r="M192" s="23"/>
    </row>
    <row r="193" spans="4:13" x14ac:dyDescent="0.25" ht="20" customHeight="1">
      <c r="D193" s="1" t="str" cm="1">
        <f t="array" ref="D193">SourceData_Dairy.SourceData_Dairy_MethaneEmissionsPotential_Variable()</f>
        <v>B_o</v>
      </c>
      <c r="M193" s="23"/>
    </row>
    <row r="194" spans="4:13" x14ac:dyDescent="0.25" ht="20" customHeight="1">
      <c r="D194" s="55" t="str" cm="1">
        <f t="array" ref="D194">SourceData_Dairy.SourceData_Dairy_MethaneEmissionsPotential_Unit()</f>
        <v>m3 CH4/kgVS</v>
      </c>
      <c r="M194" s="23"/>
    </row>
    <row r="195" spans="4:13" x14ac:dyDescent="0.25" ht="20" customHeight="1">
      <c r="D195" s="54" cm="1">
        <f t="array" ref="D195">SourceData_Dairy.SourceData_Dairy_MethaneEmissionsPotential_Data()</f>
        <v>0.24</v>
      </c>
      <c r="M195" s="23"/>
    </row>
    <row r="196" spans="4:13" x14ac:dyDescent="0.25" ht="20" customHeight="1">
      <c r="M196" s="23"/>
    </row>
    <row r="197" spans="4:13" x14ac:dyDescent="0.25" ht="20" customHeight="1">
      <c r="M197" s="23"/>
    </row>
    <row r="198" spans="4:13" ht="20" x14ac:dyDescent="0.25" customHeight="1">
      <c r="D198" s="6" t="str" cm="1">
        <f t="array" ref="D198">SourceData_Dairy.SourceData_Dairy_EmissionFactorForLeachingAndRunoff_Title()</f>
        <v>Emission factor for leaching and runoff</v>
      </c>
      <c r="M198" s="23"/>
    </row>
    <row r="199" spans="4:13" x14ac:dyDescent="0.25" ht="20" customHeight="1">
      <c r="D199" s="5" t="str" cm="1">
        <f t="array" ref="D199">SourceData_Dairy.SourceData_Dairy_EmissionFactorForLeachingAndRunoff_Source()</f>
        <v>VEERG 2026: 4.3.2.3 CONSTANTS</v>
      </c>
      <c r="M199" s="23"/>
    </row>
    <row r="200" spans="4:13" x14ac:dyDescent="0.25" ht="20" customHeight="1">
      <c r="D200" s="1" t="str" cm="1">
        <f t="array" ref="D200">SourceData_Dairy.SourceData_Dairy_EmissionFactorForLeachingAndRunoff_Variable()</f>
        <v>EF_leach</v>
      </c>
      <c r="M200" s="23"/>
    </row>
    <row r="201" spans="4:13" x14ac:dyDescent="0.25" ht="20" customHeight="1">
      <c r="D201" s="55" t="str" cm="1">
        <f t="array" ref="D201">SourceData_Dairy.SourceData_Dairy_EmissionFactorForLeachingAndRunoff_Unit()</f>
        <v>kg N2O-N/kg N</v>
      </c>
      <c r="M201" s="23"/>
    </row>
    <row r="202" spans="4:13" x14ac:dyDescent="0.25" ht="20" customHeight="1">
      <c r="D202" s="54" cm="1">
        <f t="array" ref="D202">SourceData_Dairy.SourceData_Dairy_EmissionFactorForLeachingAndRunoff_Data()</f>
        <v>1.0999999999999999E-2</v>
      </c>
      <c r="M202" s="23"/>
    </row>
    <row r="203" spans="4:13" x14ac:dyDescent="0.25" ht="20" customHeight="1">
      <c r="M203" s="23"/>
    </row>
    <row r="204" spans="4:13" x14ac:dyDescent="0.25" ht="20" customHeight="1">
      <c r="M204" s="23"/>
    </row>
    <row r="205" spans="4:13" ht="20" x14ac:dyDescent="0.25" customHeight="1">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ht="20" customHeight="1">
      <c r="D206" s="5" t="str" cm="1">
        <f t="array" ref="D206">SourceData_Dairy.SourceData_Dairy_FractionOfNitrogenLostThroughLeachingAndRunoff_Source()</f>
        <v>VEERG 2026: 4.3.2.3 CONSTANTS</v>
      </c>
      <c r="M206" s="23"/>
    </row>
    <row r="207" spans="4:13" x14ac:dyDescent="0.25" ht="20" customHeight="1">
      <c r="D207" s="1" t="str" cm="1">
        <f t="array" ref="D207">SourceData_Dairy.SourceData_Dairy_FractionOfNitrogenLostThroughLeachingAndRunoff_Variable()</f>
        <v>Frac_LEACH_MS</v>
      </c>
      <c r="M207" s="23"/>
    </row>
    <row r="208" spans="4:13" x14ac:dyDescent="0.25" ht="20" customHeight="1">
      <c r="D208" s="55" t="str" cm="1">
        <f t="array" ref="D208">SourceData_Dairy.SourceData_Dairy_FractionOfNitrogenLostThroughLeachingAndRunoff_Unit()</f>
        <v>Fraction</v>
      </c>
      <c r="M208" s="23"/>
    </row>
    <row r="209" spans="1:13" x14ac:dyDescent="0.25" ht="20" customHeight="1">
      <c r="D209" s="54" cm="1">
        <f t="array" ref="D209">SourceData_Dairy.SourceData_Dairy_FractionOfNitrogenLostThroughLeachingAndRunoff_Data()</f>
        <v>0.24</v>
      </c>
      <c r="M209" s="23"/>
    </row>
    <row r="210" spans="1:13" x14ac:dyDescent="0.25" ht="20" customHeight="1">
      <c r="M210" s="23"/>
    </row>
    <row r="211" spans="1:13" ht="20" x14ac:dyDescent="0.25" customHeight="1">
      <c r="D211" s="6" t="str" cm="1">
        <f t="array" ref="D211">SourceData_Dairy.SourceData_Dairy_FractionOfNitrogenLostThroughLeachingAndRunoffSolidStorage_Title()</f>
        <v>Fraction of nitrogen lost through leaching and runoff for solid storage MMS only</v>
      </c>
      <c r="M211" s="23"/>
    </row>
    <row r="212" spans="1:13" x14ac:dyDescent="0.25" ht="20" customHeight="1">
      <c r="D212" s="5" t="str" cm="1">
        <f t="array" ref="D212">SourceData_Dairy.SourceData_Dairy_FractionOfNitrogenLostThroughLeachingAndRunoffSolidStorage_Source()</f>
        <v>VEERG 2026: 4.3.2.3 CONSTANTS</v>
      </c>
      <c r="M212" s="23"/>
    </row>
    <row r="213" spans="1:13" x14ac:dyDescent="0.25" ht="20" customHeight="1">
      <c r="D213" s="1" t="str" cm="1">
        <f t="array" ref="D213">SourceData_Dairy.SourceData_Dairy_FractionOfNitrogenLostThroughLeachingAndRunoffSolidStorage_Variable()</f>
        <v>Frac_LEACH_MS</v>
      </c>
      <c r="M213" s="23"/>
    </row>
    <row r="214" spans="1:13" x14ac:dyDescent="0.25" ht="20" customHeight="1">
      <c r="D214" s="55" t="str" cm="1">
        <f t="array" ref="D214">SourceData_Dairy.SourceData_Dairy_FractionOfNitrogenLostThroughLeachingAndRunoffSolidStorage_Unit()</f>
        <v>Fraction</v>
      </c>
      <c r="M214" s="23"/>
    </row>
    <row r="215" spans="1:13" x14ac:dyDescent="0.25" ht="20" customHeight="1">
      <c r="A215" s="137" t="str">
        <f>HYPERLINK("#A1", "▲ Back to top")</f>
        <v>▲ Back to top</v>
      </c>
      <c r="D215" s="54" cm="1">
        <f t="array" ref="D215">SourceData_Dairy.SourceData_Dairy_FractionOfNitrogenLostThroughLeachingAndRunoffSolidStorage_Data()</f>
        <v>0.02</v>
      </c>
      <c r="M215" s="23"/>
    </row>
    <row r="216" spans="1:13" x14ac:dyDescent="0.25" ht="20" customHeight="1">
      <c r="M216" s="23"/>
    </row>
    <row r="217" spans="1:13" ht="20" x14ac:dyDescent="0.25" customHeight="1">
      <c r="D217" s="6" t="str" cm="1">
        <f t="array" ref="D217">SourceData_Dairy.SourceData_Dairy_FracGASMSoil_Title()</f>
        <v>Fraction of nitrogen volatilized from urine and faeces deposited on pasture</v>
      </c>
      <c r="M217" s="23"/>
    </row>
    <row r="218" spans="1:13" x14ac:dyDescent="0.25" ht="20" customHeight="1">
      <c r="D218" s="5" t="str" cm="1">
        <f t="array" ref="D218">SourceData_Dairy.SourceData_Dairy_FracGASMSoil_Source()</f>
        <v>VEERG 2026: 4.3.2.3 CONSTANTS</v>
      </c>
      <c r="M218" s="23"/>
    </row>
    <row r="219" spans="1:13" x14ac:dyDescent="0.25" ht="20" customHeight="1">
      <c r="D219" s="1" t="str" cm="1">
        <f t="array" ref="D219">SourceData_Dairy.SourceData_Dairy_FracGASMSoil_Variable()</f>
        <v>FracGASMsoil</v>
      </c>
      <c r="M219" s="23"/>
    </row>
    <row r="220" spans="1:13" x14ac:dyDescent="0.25" ht="20" customHeight="1">
      <c r="D220" s="55" t="str" cm="1">
        <f t="array" ref="D220">SourceData_Dairy.SourceData_Dairy_FracGASMSoil_Unit()</f>
        <v>(kg NH3-N + NOx-N)/kg N</v>
      </c>
      <c r="M220" s="23"/>
    </row>
    <row r="221" spans="1:13" x14ac:dyDescent="0.25" ht="20" customHeight="1">
      <c r="D221" s="54" cm="1">
        <f t="array" ref="D221">SourceData_Dairy.SourceData_Dairy_FracGASMSoil_Data()</f>
        <v>0.21</v>
      </c>
      <c r="M221" s="23"/>
    </row>
    <row r="222" spans="1:13" x14ac:dyDescent="0.25" ht="20" customHeight="1">
      <c r="M222" s="23"/>
    </row>
    <row r="223" spans="1:13" ht="20" x14ac:dyDescent="0.25" customHeight="1">
      <c r="D223" s="6" t="str" cm="1">
        <f t="array" ref="D223">SourceData_Dairy.SourceData_Dairy_FatContentInMilk_Title()</f>
        <v>Fat content in fat and protein corrected milk</v>
      </c>
      <c r="M223" s="23"/>
    </row>
    <row r="224" spans="1:13" x14ac:dyDescent="0.25" ht="20" customHeight="1">
      <c r="D224" s="5" t="str" cm="1">
        <f t="array" ref="D224">SourceData_Dairy.SourceData_Dairy_FatContentInMilk_Source()</f>
        <v>VEERG 2026: 3.3.2.2 DATA (METHOD 1 AND 2 OPTIONS)</v>
      </c>
      <c r="M224" s="23"/>
    </row>
    <row r="225" spans="4:13" x14ac:dyDescent="0.25" ht="20" customHeight="1">
      <c r="D225" s="1" t="str" cm="1">
        <f t="array" ref="D225">SourceData_Dairy.SourceData_Dairy_FatContentInMilk_Variable()</f>
        <v>FC_j</v>
      </c>
      <c r="M225" s="23"/>
    </row>
    <row r="226" spans="4:13" x14ac:dyDescent="0.25" ht="20" customHeight="1">
      <c r="D226" s="55" t="str" cm="1">
        <f t="array" ref="D226">SourceData_Dairy.SourceData_Dairy_FatContentInMilk_Unit()</f>
        <v>percent</v>
      </c>
      <c r="M226" s="23"/>
    </row>
    <row r="227" spans="4:13" x14ac:dyDescent="0.25" ht="20" customHeight="1">
      <c r="D227" s="54" cm="1">
        <f t="array" ref="D227">SourceData_Dairy.SourceData_Dairy_FatContentInMilk_Data()</f>
        <v>4</v>
      </c>
      <c r="M227" s="23"/>
    </row>
    <row r="228" spans="4:13" x14ac:dyDescent="0.25" ht="20" customHeight="1">
      <c r="M228" s="23"/>
    </row>
    <row r="229" spans="4:13" ht="20" x14ac:dyDescent="0.25" customHeight="1">
      <c r="D229" s="6" t="str" cm="1">
        <f t="array" ref="D229">SourceData_Dairy.SourceData_Dairy_ProteinContentInMilk_Title()</f>
        <v>Protein content in fat and protein corrected milk</v>
      </c>
      <c r="M229" s="23"/>
    </row>
    <row r="230" spans="4:13" x14ac:dyDescent="0.25" ht="20" customHeight="1">
      <c r="D230" s="5" t="str" cm="1">
        <f t="array" ref="D230">SourceData_Dairy.SourceData_Dairy_ProteinContentInMilk_Source()</f>
        <v>VEERG 2026: 3.3.2.2 DATA (METHOD 1 AND 2 OPTIONS)</v>
      </c>
      <c r="M230" s="23"/>
    </row>
    <row r="231" spans="4:13" x14ac:dyDescent="0.25" ht="20" customHeight="1">
      <c r="D231" s="1" t="str" cm="1">
        <f t="array" ref="D231">SourceData_Dairy.SourceData_Dairy_ProteinContentInMilk_Variable()</f>
        <v>PC_j</v>
      </c>
      <c r="M231" s="23"/>
    </row>
    <row r="232" spans="4:13" x14ac:dyDescent="0.25" ht="20" customHeight="1">
      <c r="D232" s="55" t="str" cm="1">
        <f t="array" ref="D232">SourceData_Dairy.SourceData_Dairy_ProteinContentInMilk_Unit()</f>
        <v>percent</v>
      </c>
      <c r="M232" s="23"/>
    </row>
    <row r="233" spans="4:13" x14ac:dyDescent="0.25" ht="20" customHeight="1">
      <c r="D233" s="54" cm="1">
        <f t="array" ref="D233">SourceData_Dairy.SourceData_Dairy_ProteinContentInMilk_Data()</f>
        <v>3.3</v>
      </c>
      <c r="M233" s="23"/>
    </row>
    <row r="234" spans="4:13" x14ac:dyDescent="0.25" ht="20" customHeight="1">
      <c r="M234" s="23"/>
    </row>
    <row r="235" spans="4:13" x14ac:dyDescent="0.25" ht="20" customHeight="1">
      <c r="M235" s="23"/>
    </row>
    <row r="236" spans="4:13" x14ac:dyDescent="0.25" ht="20" customHeight="1">
      <c r="M236" s="23"/>
    </row>
    <row r="237" spans="4:13" x14ac:dyDescent="0.25" ht="20" customHeight="1">
      <c r="M237" s="23"/>
    </row>
    <row r="238" spans="4:13" x14ac:dyDescent="0.25" ht="20" customHeight="1">
      <c r="M238" s="23"/>
    </row>
    <row r="239" spans="4:13" x14ac:dyDescent="0.25" ht="20" customHeight="1">
      <c r="M239" s="23"/>
    </row>
    <row r="240" spans="4:13" x14ac:dyDescent="0.25" ht="20" customHeight="1">
      <c r="M240" s="23"/>
    </row>
    <row r="241" spans="13:13" x14ac:dyDescent="0.25" ht="20" customHeight="1">
      <c r="M241" s="23"/>
    </row>
    <row r="242" spans="13:13" x14ac:dyDescent="0.25" ht="20" customHeight="1">
      <c r="M242" s="23"/>
    </row>
    <row r="243" spans="13:13" x14ac:dyDescent="0.25" ht="20" customHeight="1">
      <c r="M243" s="23"/>
    </row>
    <row r="244" spans="13:13" x14ac:dyDescent="0.25" ht="20" customHeight="1">
      <c r="M244" s="23"/>
    </row>
    <row r="245" spans="13:13" x14ac:dyDescent="0.25" ht="20" customHeight="1">
      <c r="M245" s="23"/>
    </row>
    <row r="246" spans="13:13" x14ac:dyDescent="0.25" ht="20" customHeight="1">
      <c r="M246" s="23"/>
    </row>
    <row r="247" spans="13:13" x14ac:dyDescent="0.25" ht="20" customHeight="1">
      <c r="M247" s="23"/>
    </row>
    <row r="248" spans="13:13" x14ac:dyDescent="0.25" ht="20" customHeight="1">
      <c r="M248" s="23"/>
    </row>
    <row r="249" spans="13:13" x14ac:dyDescent="0.25" ht="20" customHeight="1">
      <c r="M249" s="23"/>
    </row>
    <row r="250" spans="13:13" x14ac:dyDescent="0.25" ht="20" customHeight="1">
      <c r="M250" s="23"/>
    </row>
    <row r="251" spans="13:13" x14ac:dyDescent="0.25" ht="20" customHeight="1">
      <c r="M251" s="23"/>
    </row>
    <row r="252" spans="13:13" x14ac:dyDescent="0.25" ht="20" customHeight="1">
      <c r="M252" s="23"/>
    </row>
    <row r="253" spans="13:13" x14ac:dyDescent="0.25" ht="20" customHeight="1">
      <c r="M253" s="23"/>
    </row>
    <row r="254" spans="13:13" x14ac:dyDescent="0.25" ht="20" customHeight="1">
      <c r="M254" s="23"/>
    </row>
    <row r="255" spans="13:13" x14ac:dyDescent="0.25" ht="20" customHeight="1">
      <c r="M255" s="23"/>
    </row>
    <row r="256" spans="13:13" x14ac:dyDescent="0.25" ht="20" customHeight="1">
      <c r="M256" s="23"/>
    </row>
    <row r="257" spans="13:13" x14ac:dyDescent="0.25" ht="20" customHeight="1">
      <c r="M257" s="23"/>
    </row>
    <row r="258" spans="13:13" x14ac:dyDescent="0.25" ht="20" customHeight="1">
      <c r="M258" s="23"/>
    </row>
    <row r="259" spans="13:13" x14ac:dyDescent="0.25" ht="20" customHeight="1">
      <c r="M259" s="23"/>
    </row>
    <row r="260" spans="13:13" x14ac:dyDescent="0.25" ht="20" customHeight="1">
      <c r="M260" s="23"/>
    </row>
    <row r="261" spans="13:13" x14ac:dyDescent="0.25" ht="20" customHeight="1">
      <c r="M261" s="23"/>
    </row>
    <row r="262" spans="13:13" x14ac:dyDescent="0.25" ht="20" customHeight="1">
      <c r="M262" s="23"/>
    </row>
    <row r="263" spans="13:13" x14ac:dyDescent="0.25" ht="20" customHeight="1">
      <c r="M263" s="23"/>
    </row>
    <row r="264" spans="13:13" x14ac:dyDescent="0.25" ht="20" customHeight="1">
      <c r="M264" s="23"/>
    </row>
    <row r="265" spans="13:13" x14ac:dyDescent="0.25" ht="20" customHeight="1">
      <c r="M265" s="23"/>
    </row>
    <row r="266" spans="13:13" x14ac:dyDescent="0.25" ht="20" customHeight="1">
      <c r="M266" s="23"/>
    </row>
    <row r="267" spans="13:13" x14ac:dyDescent="0.25" ht="20" customHeight="1">
      <c r="M267" s="23"/>
    </row>
    <row r="268" spans="13:13" x14ac:dyDescent="0.25" ht="20" customHeight="1">
      <c r="M268" s="23"/>
    </row>
    <row r="269" spans="13:13" x14ac:dyDescent="0.25" ht="20" customHeight="1">
      <c r="M269" s="23"/>
    </row>
    <row r="270" spans="13:13" x14ac:dyDescent="0.25" ht="20" customHeight="1">
      <c r="M270" s="23"/>
    </row>
    <row r="271" spans="13:13" x14ac:dyDescent="0.25" ht="20" customHeight="1">
      <c r="M271" s="23"/>
    </row>
    <row r="272" spans="13:13" x14ac:dyDescent="0.25" ht="20" customHeight="1">
      <c r="M272" s="23"/>
    </row>
    <row r="273" spans="13:13" x14ac:dyDescent="0.25" ht="20" customHeight="1">
      <c r="M273" s="23"/>
    </row>
    <row r="274" spans="13:13" x14ac:dyDescent="0.25" ht="20" customHeight="1">
      <c r="M274" s="23"/>
    </row>
    <row r="275" spans="13:13" x14ac:dyDescent="0.25" ht="20" customHeight="1">
      <c r="M275" s="23"/>
    </row>
    <row r="276" spans="13:13" x14ac:dyDescent="0.25" ht="20" customHeight="1">
      <c r="M276" s="23"/>
    </row>
    <row r="277" spans="13:13" x14ac:dyDescent="0.25" ht="20" customHeight="1">
      <c r="M277" s="23"/>
    </row>
    <row r="278" spans="13:13" x14ac:dyDescent="0.25" ht="20" customHeight="1">
      <c r="M278" s="23"/>
    </row>
    <row r="279" spans="13:13" x14ac:dyDescent="0.25" ht="20" customHeight="1">
      <c r="M279" s="23"/>
    </row>
    <row r="280" spans="13:13" x14ac:dyDescent="0.25" ht="20" customHeight="1">
      <c r="M280" s="23"/>
    </row>
    <row r="281" spans="13:13" x14ac:dyDescent="0.25" ht="20" customHeight="1">
      <c r="M281" s="23"/>
    </row>
    <row r="282" spans="13:13" x14ac:dyDescent="0.25" ht="20" customHeight="1">
      <c r="M282" s="23"/>
    </row>
    <row r="283" spans="13:13" x14ac:dyDescent="0.25" ht="20" customHeight="1">
      <c r="M283" s="23"/>
    </row>
    <row r="284" spans="13:13" x14ac:dyDescent="0.25" ht="20" customHeight="1">
      <c r="M284" s="23"/>
    </row>
    <row r="285" spans="13:13" x14ac:dyDescent="0.25" ht="20" customHeight="1">
      <c r="M285" s="23"/>
    </row>
    <row r="286" spans="13:13" x14ac:dyDescent="0.25" ht="20" customHeight="1">
      <c r="M286" s="23"/>
    </row>
    <row r="287" spans="13:13" x14ac:dyDescent="0.25" ht="20" customHeight="1">
      <c r="M287" s="23"/>
    </row>
    <row r="288" spans="13:13" x14ac:dyDescent="0.25" ht="20" customHeight="1">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opLeftCell="A239" zoomScaleNormal="100" workbookViewId="0">
      <selection activeCell="I279" sqref="I279"/>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54" t="s">
        <v>1</v>
      </c>
      <c r="D6" s="38" t="s">
        <v>20</v>
      </c>
      <c r="E6" s="38" t="s">
        <v>21</v>
      </c>
      <c r="F6" s="38" t="s">
        <v>22</v>
      </c>
    </row>
    <row r="7" spans="1:65" ht="20" customHeight="1" x14ac:dyDescent="0.25">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8" t="s">
        <v>23</v>
      </c>
    </row>
    <row r="21" spans="1:4" ht="20" customHeight="1" x14ac:dyDescent="0.25">
      <c r="A21"/>
      <c r="D21" s="38" t="str" cm="1">
        <f t="array" ref="D21">Common_InputFunctions.Utility_DisplayArrayInTable(Common_SourceData.Common_SourceData_WASA4Areas_Data(), Table_WASA4Areas[[#Headers],[SA 4 Name]], 0)</f>
        <v>Bunbury</v>
      </c>
    </row>
    <row r="22" spans="1:4" ht="20" customHeight="1" x14ac:dyDescent="0.25">
      <c r="A22"/>
      <c r="D22" s="38" t="str" cm="1">
        <f t="array" ref="D22">Common_InputFunctions.Utility_DisplayArrayInTable(Common_SourceData.Common_SourceData_WASA4Areas_Data(), Table_WASA4Areas[[#Headers],[SA 4 Name]], 0)</f>
        <v>Mandurah</v>
      </c>
    </row>
    <row r="23" spans="1:4" ht="20" customHeight="1" x14ac:dyDescent="0.25">
      <c r="A23"/>
      <c r="D23" s="38" t="str" cm="1">
        <f t="array" ref="D23">Common_InputFunctions.Utility_DisplayArrayInTable(Common_SourceData.Common_SourceData_WASA4Areas_Data(), Table_WASA4Areas[[#Headers],[SA 4 Name]], 0)</f>
        <v>Perth - Inner</v>
      </c>
    </row>
    <row r="24" spans="1:4" ht="20" customHeight="1" x14ac:dyDescent="0.25">
      <c r="A24"/>
      <c r="D24" s="38" t="str" cm="1">
        <f t="array" ref="D24">Common_InputFunctions.Utility_DisplayArrayInTable(Common_SourceData.Common_SourceData_WASA4Areas_Data(), Table_WASA4Areas[[#Headers],[SA 4 Name]], 0)</f>
        <v>Perth - North East</v>
      </c>
    </row>
    <row r="25" spans="1:4" ht="20" customHeight="1" x14ac:dyDescent="0.25">
      <c r="A25"/>
      <c r="D25" s="38" t="str" cm="1">
        <f t="array" ref="D25">Common_InputFunctions.Utility_DisplayArrayInTable(Common_SourceData.Common_SourceData_WASA4Areas_Data(), Table_WASA4Areas[[#Headers],[SA 4 Name]], 0)</f>
        <v>Perth - North West</v>
      </c>
    </row>
    <row r="26" spans="1:4" ht="20" customHeight="1" x14ac:dyDescent="0.25">
      <c r="A26"/>
      <c r="D26" s="38" t="str" cm="1">
        <f t="array" ref="D26">Common_InputFunctions.Utility_DisplayArrayInTable(Common_SourceData.Common_SourceData_WASA4Areas_Data(), Table_WASA4Areas[[#Headers],[SA 4 Name]], 0)</f>
        <v>Perth - South East</v>
      </c>
    </row>
    <row r="27" spans="1:4" ht="20" customHeight="1" x14ac:dyDescent="0.25">
      <c r="A27"/>
      <c r="D27" s="38" t="str" cm="1">
        <f t="array" ref="D27">Common_InputFunctions.Utility_DisplayArrayInTable(Common_SourceData.Common_SourceData_WASA4Areas_Data(), Table_WASA4Areas[[#Headers],[SA 4 Name]], 0)</f>
        <v>Perth - South West</v>
      </c>
    </row>
    <row r="28" spans="1:4" ht="20" customHeight="1" x14ac:dyDescent="0.25">
      <c r="A28"/>
      <c r="D28" s="38" t="str" cm="1">
        <f t="array" ref="D28">Common_InputFunctions.Utility_DisplayArrayInTable(Common_SourceData.Common_SourceData_WASA4Areas_Data(), Table_WASA4Areas[[#Headers],[SA 4 Name]], 0)</f>
        <v>Western Australia - Wheat Belt</v>
      </c>
    </row>
    <row r="29" spans="1:4" ht="20" customHeight="1" x14ac:dyDescent="0.25">
      <c r="A29"/>
      <c r="D29" s="38" t="str" cm="1">
        <f t="array" ref="D29">Common_InputFunctions.Utility_DisplayArrayInTable(Common_SourceData.Common_SourceData_WASA4Areas_Data(), Table_WASA4Areas[[#Headers],[SA 4 Name]], 0)</f>
        <v>Western Australia - Outback (North)</v>
      </c>
    </row>
    <row r="30" spans="1:4" ht="20" customHeight="1" x14ac:dyDescent="0.25">
      <c r="A30"/>
      <c r="D30" s="38"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8" t="s">
        <v>26</v>
      </c>
      <c r="E36" s="38" t="s">
        <v>27</v>
      </c>
    </row>
    <row r="37" spans="1:8" ht="20"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8" t="s">
        <v>26</v>
      </c>
      <c r="E47" s="38" t="s">
        <v>29</v>
      </c>
      <c r="F47" s="38" t="s">
        <v>30</v>
      </c>
      <c r="G47" s="38" t="s">
        <v>31</v>
      </c>
      <c r="H47" s="38" t="s">
        <v>32</v>
      </c>
    </row>
    <row r="48" spans="1:8" ht="20"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56" t="str" cm="1">
        <f t="array" ref="D59:D61">"⚠️" &amp; Common_SourceData.Common_SourceData_WetAndDryZones_Variation()</f>
        <v>⚠️VARIATION OF SOURCE DATA:</v>
      </c>
    </row>
    <row r="60" spans="1:8" ht="20" customHeight="1" x14ac:dyDescent="0.25">
      <c r="A60"/>
      <c r="D60" s="56" t="str">
        <v>⚠️Added warm / cool temperate moist / dry - low frost and high temp classes to accommodate climate scenarios excluded by VEERG criteria.</v>
      </c>
    </row>
    <row r="61" spans="1:8" ht="20" customHeight="1" x14ac:dyDescent="0.25">
      <c r="A61"/>
      <c r="D61" s="56" t="str">
        <v>⚠️Fixed typo - Changed 'Fry' to 'Dry'.</v>
      </c>
    </row>
    <row r="62" spans="1:8" ht="20" customHeight="1" x14ac:dyDescent="0.25">
      <c r="A62"/>
    </row>
    <row r="63" spans="1:8" ht="20" customHeight="1" x14ac:dyDescent="0.25">
      <c r="A63"/>
      <c r="D63" s="38" t="s">
        <v>7</v>
      </c>
      <c r="E63" s="38" t="s">
        <v>47</v>
      </c>
    </row>
    <row r="64" spans="1:8" ht="20"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56" t="str" cm="1">
        <f t="array" ref="D83:D87">"⚠️" &amp; Common_SourceData.Common_SourceData_ClimateZones_Variation()</f>
        <v>⚠️VARIATION OF SOURCE DATA:</v>
      </c>
    </row>
    <row r="84" spans="1:20" ht="20" customHeight="1" x14ac:dyDescent="0.25">
      <c r="A84"/>
      <c r="D84" s="56" t="str">
        <v>⚠️Added warm / cool temperate moist / dry - low frost and high temp classes to accommodate climate scenarios excluded by VEERG criteria.</v>
      </c>
    </row>
    <row r="85" spans="1:20" ht="20" customHeight="1" x14ac:dyDescent="0.25">
      <c r="A85"/>
      <c r="D85" s="56" t="str">
        <v>⚠️Fixed typo in MAT value for warm temperate dry - changed 10 to 11.</v>
      </c>
    </row>
    <row r="86" spans="1:20" ht="20" customHeight="1" x14ac:dyDescent="0.25">
      <c r="A86"/>
      <c r="D86" s="56" t="str">
        <v>⚠️Added min and max columns for MAT, MAP, frost days per year, elevation, MAP:PET to calculate zones from real climate data.</v>
      </c>
    </row>
    <row r="87" spans="1:20" ht="20" customHeight="1" x14ac:dyDescent="0.25">
      <c r="A87"/>
      <c r="D87" s="56" t="str">
        <v>⚠️GAF accepts rainfall as a proxy for precipitation.</v>
      </c>
    </row>
    <row r="88" spans="1:20" ht="20" customHeight="1" x14ac:dyDescent="0.25">
      <c r="A88"/>
    </row>
    <row r="89" spans="1:20" ht="20"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 customHeight="1" x14ac:dyDescent="0.25">
      <c r="A98"/>
    </row>
    <row r="99" spans="1:20" ht="20" customHeight="1" x14ac:dyDescent="0.25">
      <c r="A99"/>
      <c r="D99" s="55" t="str" cm="1">
        <f t="array" ref="D99:D102">Common_SourceData.Common_SourceData_ClimateZones_Appendices()</f>
        <v>Note:</v>
      </c>
    </row>
    <row r="100" spans="1:20" ht="20" customHeight="1" x14ac:dyDescent="0.25">
      <c r="A100"/>
      <c r="D100" s="55" t="str">
        <v>MAT = mean annual temperature</v>
      </c>
    </row>
    <row r="101" spans="1:20" ht="20" customHeight="1" x14ac:dyDescent="0.25">
      <c r="A101"/>
      <c r="D101" s="55" t="str">
        <v>MAP = mean annual precipitation</v>
      </c>
    </row>
    <row r="102" spans="1:20" ht="20" customHeight="1" x14ac:dyDescent="0.25">
      <c r="A102"/>
      <c r="D102" s="55" t="str">
        <v>PET = potential evapotranspiration</v>
      </c>
    </row>
    <row r="103" spans="1:20" ht="20" customHeight="1" x14ac:dyDescent="0.25">
      <c r="A103"/>
      <c r="D103" s="55"/>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8" t="s">
        <v>54</v>
      </c>
      <c r="E109" s="38" t="s">
        <v>35</v>
      </c>
      <c r="F109" s="38" t="s">
        <v>55</v>
      </c>
      <c r="G109" s="38" t="s">
        <v>56</v>
      </c>
    </row>
    <row r="110" spans="1:20" ht="20"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8" t="s">
        <v>57</v>
      </c>
      <c r="E119" s="38" t="s">
        <v>58</v>
      </c>
      <c r="F119" s="38" t="s">
        <v>42</v>
      </c>
      <c r="G119" s="38" t="s">
        <v>43</v>
      </c>
      <c r="BN119" s="7"/>
    </row>
    <row r="120" spans="1:66" ht="20"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8" t="s">
        <v>64</v>
      </c>
      <c r="E127" s="38" t="s">
        <v>65</v>
      </c>
    </row>
    <row r="128" spans="1:66" ht="20"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3"/>
    </row>
    <row r="133" spans="1:77" ht="20" customHeight="1" x14ac:dyDescent="0.25">
      <c r="A133"/>
      <c r="D133" s="5" t="str" cm="1">
        <f t="array" ref="D133">Common_SourceData.Common_SourceData_FracWET_Source()</f>
        <v>VEERG 2026:5.5.2.3 Constant Parameters</v>
      </c>
      <c r="E133" s="23"/>
    </row>
    <row r="134" spans="1:77" ht="20" customHeight="1" x14ac:dyDescent="0.25">
      <c r="A134"/>
      <c r="D134" t="s">
        <v>89</v>
      </c>
      <c r="E134" t="s">
        <v>90</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8" t="s">
        <v>321</v>
      </c>
      <c r="E142" s="38" t="s">
        <v>90</v>
      </c>
      <c r="BN142" s="7"/>
    </row>
    <row r="143" spans="1:77" ht="20"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8" t="s">
        <v>67</v>
      </c>
      <c r="E153" s="38" t="s">
        <v>68</v>
      </c>
      <c r="BC153" s="3"/>
      <c r="BD153" s="3"/>
      <c r="BE153" s="3"/>
      <c r="BF153" s="3"/>
      <c r="BG153" s="3"/>
      <c r="BH153" s="3"/>
      <c r="BI153" s="3"/>
      <c r="BJ153" s="3"/>
      <c r="BK153" s="3"/>
      <c r="BL153" s="3"/>
      <c r="BM153" s="3"/>
    </row>
    <row r="154" spans="1:66" ht="20"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3"/>
    </row>
    <row r="162" spans="4:68" ht="20" customHeight="1" x14ac:dyDescent="0.25">
      <c r="D162" s="5" t="str" cm="1">
        <f t="array" ref="D162">Common_SourceData.Common_SourceData_FracLEACH_Source()</f>
        <v>VEERG 2026:5.5.2.3 Constant Parameters</v>
      </c>
      <c r="E162" s="23"/>
    </row>
    <row r="163" spans="4:68" ht="20" customHeight="1" x14ac:dyDescent="0.25">
      <c r="D163" s="5" t="str" cm="1">
        <f t="array" ref="D163">Common_SourceData.Common_SourceData_FracLEACH_NIRReference()</f>
        <v>National Inventory Report Volume 1: Leaching and runoff (3.D.b.2)</v>
      </c>
      <c r="E163" s="23"/>
    </row>
    <row r="164" spans="4:68" ht="20" customHeight="1" x14ac:dyDescent="0.25">
      <c r="D164" s="23" t="str" cm="1">
        <f t="array" ref="D164:E164">Common_SourceData.Common_SourceData_FracLEACH_Data()</f>
        <v>FracLEACH</v>
      </c>
      <c r="E164" s="23">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55" t="str" cm="1">
        <f t="array" ref="D180">Common_SourceData.Common_SourceData_EFN2O_Unit()</f>
        <v>(kg N2O-N / kg N</v>
      </c>
    </row>
    <row r="181" spans="4:68" ht="20" customHeight="1" x14ac:dyDescent="0.25">
      <c r="D181" s="56" t="str" cm="1">
        <f t="array" ref="D181:D185">Common_SourceData.Common_SourceData_EFN2O_Variation()</f>
        <v>VARIATION OF SOURCE DATA:</v>
      </c>
    </row>
    <row r="182" spans="4:68" ht="20" customHeight="1" x14ac:dyDescent="0.25">
      <c r="D182" s="56" t="str">
        <v>Removed duplicate 'Aquaculture' row.</v>
      </c>
    </row>
    <row r="183" spans="4:68" ht="20" customHeight="1" x14ac:dyDescent="0.25">
      <c r="D183" s="56" t="str">
        <v>Removed asterisks to aid lookup.</v>
      </c>
    </row>
    <row r="184" spans="4:68" ht="20" customHeight="1" x14ac:dyDescent="0.25">
      <c r="D184" s="56" t="str">
        <v>Added 'production system only', 'rainfall zone' and 'irrigation method' columns to aid lookup.</v>
      </c>
    </row>
    <row r="185" spans="4:68" ht="20" customHeight="1" x14ac:dyDescent="0.25">
      <c r="D185" s="56" t="str">
        <v>Duplicated 'non-irrigated pasture' row with same EF for low and high rainfall zones to aid lookup.</v>
      </c>
    </row>
    <row r="186" spans="4:68" ht="20" customHeight="1" x14ac:dyDescent="0.25">
      <c r="D186" s="38" t="s">
        <v>137</v>
      </c>
      <c r="E186" s="38" t="s">
        <v>138</v>
      </c>
      <c r="F186" s="38" t="s">
        <v>139</v>
      </c>
      <c r="G186" s="38" t="s">
        <v>140</v>
      </c>
      <c r="H186" s="38" t="s">
        <v>34</v>
      </c>
    </row>
    <row r="187" spans="4:68" ht="20"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ht="20" customHeight="1">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ht="20" customHeight="1">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ht="20" customHeight="1">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56" t="str" cm="1">
        <f t="array" ref="D204">Common_SourceData.Common_SourceData_EFPastureRangeAndPaddock_Variation()</f>
        <v>VARIATION FROM SOURCE DATA: Changed 'Dry climate zones' to singular 'Dry climate zone' to aid lookup.</v>
      </c>
    </row>
    <row r="205" spans="4:8" x14ac:dyDescent="0.25" ht="20" customHeight="1">
      <c r="D205" s="55" t="str" cm="1">
        <f t="array" ref="D205">Common_SourceData.Common_SourceData_EFPastureRangeAndPaddock_Unit()</f>
        <v>kg N2O - N / kg N</v>
      </c>
    </row>
    <row r="206" spans="4:8" x14ac:dyDescent="0.25" ht="20" customHeight="1">
      <c r="D206" s="38" t="s">
        <v>7</v>
      </c>
      <c r="E206" s="38" t="s">
        <v>356</v>
      </c>
    </row>
    <row r="207" spans="4:8" x14ac:dyDescent="0.25" ht="20" customHeight="1">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8" t="s">
        <v>385</v>
      </c>
      <c r="E212" s="38" t="s">
        <v>386</v>
      </c>
    </row>
    <row r="213" spans="4:5" x14ac:dyDescent="0.25" ht="20" customHeight="1">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ht="20" customHeight="1">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55" t="str" cm="1">
        <f t="array" ref="D256">Common_SourceData.Common_SourceData_EFOrganicFertiliserAndCropResidues_Unit()</f>
        <v>kg N2O - N / kg N</v>
      </c>
    </row>
    <row r="257" spans="4:6" x14ac:dyDescent="0.25" ht="20" customHeight="1">
      <c r="D257" s="38" t="s">
        <v>462</v>
      </c>
      <c r="E257" s="38" t="s">
        <v>463</v>
      </c>
    </row>
    <row r="258" spans="4:6" x14ac:dyDescent="0.25" ht="20" customHeight="1">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471</v>
      </c>
    </row>
    <row r="264" spans="4:6" x14ac:dyDescent="0.25" ht="20" customHeight="1">
      <c r="D264" s="1" t="s">
        <v>472</v>
      </c>
    </row>
    <row r="265" spans="4:6" x14ac:dyDescent="0.25" ht="20" customHeight="1">
      <c r="D265" s="38" t="s">
        <v>473</v>
      </c>
      <c r="E265" s="38" t="s">
        <v>474</v>
      </c>
      <c r="F265" s="38" t="s">
        <v>475</v>
      </c>
    </row>
    <row r="266" spans="4:6" x14ac:dyDescent="0.25" ht="20" customHeight="1">
      <c r="D266" s="38" t="s">
        <v>476</v>
      </c>
      <c r="E266" s="38" t="s">
        <v>477</v>
      </c>
      <c r="F266" s="38">
        <v>5</v>
      </c>
    </row>
    <row r="267" spans="4:6" x14ac:dyDescent="0.25" ht="20" customHeight="1">
      <c r="D267" s="38" t="s">
        <v>478</v>
      </c>
      <c r="E267" s="38" t="s">
        <v>479</v>
      </c>
      <c r="F267" s="38">
        <v>4</v>
      </c>
    </row>
    <row r="268" spans="4:6" x14ac:dyDescent="0.25" ht="20" customHeight="1">
      <c r="D268" s="38" t="s">
        <v>480</v>
      </c>
      <c r="E268" s="38" t="s">
        <v>481</v>
      </c>
      <c r="F268" s="38">
        <v>3</v>
      </c>
    </row>
    <row r="269" spans="4:6" x14ac:dyDescent="0.25" ht="20" customHeight="1">
      <c r="D269" s="38" t="s">
        <v>482</v>
      </c>
      <c r="E269" s="38" t="s">
        <v>483</v>
      </c>
      <c r="F269" s="38">
        <v>2</v>
      </c>
    </row>
    <row r="270" spans="4:6" x14ac:dyDescent="0.25" ht="20" customHeight="1">
      <c r="D270" s="38" t="s">
        <v>484</v>
      </c>
      <c r="E270" s="38" t="s">
        <v>485</v>
      </c>
      <c r="F270" s="38">
        <v>1</v>
      </c>
    </row>
    <row r="273" spans="4:6" x14ac:dyDescent="0.25" ht="20" customHeight="1">
      <c r="D273" s="1" t="s">
        <v>486</v>
      </c>
    </row>
    <row r="274" spans="4:6" x14ac:dyDescent="0.25" ht="20" customHeight="1">
      <c r="D274" s="38" t="s">
        <v>473</v>
      </c>
      <c r="E274" s="38" t="s">
        <v>474</v>
      </c>
      <c r="F274" s="38" t="s">
        <v>475</v>
      </c>
    </row>
    <row r="275" spans="4:6" x14ac:dyDescent="0.25" ht="20" customHeight="1">
      <c r="D275" s="38" t="s">
        <v>487</v>
      </c>
      <c r="E275" s="38" t="s">
        <v>488</v>
      </c>
      <c r="F275" s="38">
        <v>5</v>
      </c>
    </row>
    <row r="276" spans="4:6" x14ac:dyDescent="0.25" ht="20" customHeight="1">
      <c r="D276" s="38" t="s">
        <v>489</v>
      </c>
      <c r="E276" s="38" t="s">
        <v>490</v>
      </c>
      <c r="F276" s="38">
        <v>4</v>
      </c>
    </row>
    <row r="277" spans="4:6" x14ac:dyDescent="0.25" ht="20" customHeight="1">
      <c r="D277" s="38" t="s">
        <v>491</v>
      </c>
      <c r="E277" s="38" t="s">
        <v>492</v>
      </c>
      <c r="F277" s="38">
        <v>3</v>
      </c>
    </row>
    <row r="278" spans="4:6" x14ac:dyDescent="0.25" ht="20" customHeight="1">
      <c r="D278" s="38" t="s">
        <v>493</v>
      </c>
      <c r="E278" s="38" t="s">
        <v>494</v>
      </c>
      <c r="F278" s="38">
        <v>2</v>
      </c>
    </row>
    <row r="279" spans="4:6" x14ac:dyDescent="0.25" ht="20" customHeight="1">
      <c r="D279" s="38" t="s">
        <v>495</v>
      </c>
      <c r="E279" s="38" t="s">
        <v>496</v>
      </c>
      <c r="F279" s="38">
        <v>1</v>
      </c>
    </row>
    <row r="282" spans="4:6" x14ac:dyDescent="0.25" ht="20" customHeight="1">
      <c r="D282" s="1" t="s">
        <v>497</v>
      </c>
    </row>
    <row r="283" spans="4:6" x14ac:dyDescent="0.25" ht="20" customHeight="1">
      <c r="D283" s="38" t="s">
        <v>473</v>
      </c>
      <c r="E283" s="38" t="s">
        <v>474</v>
      </c>
      <c r="F283" s="38" t="s">
        <v>475</v>
      </c>
    </row>
    <row r="284" spans="4:6" x14ac:dyDescent="0.25" ht="20" customHeight="1">
      <c r="D284" s="38" t="s">
        <v>498</v>
      </c>
      <c r="E284" s="38" t="s">
        <v>499</v>
      </c>
      <c r="F284" s="38">
        <v>5</v>
      </c>
    </row>
    <row r="285" spans="4:6" x14ac:dyDescent="0.25" ht="20" customHeight="1">
      <c r="D285" s="38" t="s">
        <v>500</v>
      </c>
      <c r="E285" s="38" t="s">
        <v>501</v>
      </c>
      <c r="F285" s="38">
        <v>4</v>
      </c>
    </row>
    <row r="286" spans="4:6" x14ac:dyDescent="0.25" ht="20" customHeight="1">
      <c r="D286" s="38" t="s">
        <v>502</v>
      </c>
      <c r="E286" s="38" t="s">
        <v>503</v>
      </c>
      <c r="F286" s="38">
        <v>3</v>
      </c>
    </row>
    <row r="287" spans="4:6" x14ac:dyDescent="0.25" ht="20" customHeight="1">
      <c r="D287" s="38" t="s">
        <v>504</v>
      </c>
      <c r="E287" s="38" t="s">
        <v>505</v>
      </c>
      <c r="F287" s="38">
        <v>2</v>
      </c>
    </row>
    <row r="288" spans="4:6" x14ac:dyDescent="0.25" ht="20" customHeight="1">
      <c r="D288" s="38" t="s">
        <v>506</v>
      </c>
      <c r="E288" s="38" t="s">
        <v>507</v>
      </c>
      <c r="F288" s="38">
        <v>1</v>
      </c>
    </row>
    <row r="291" spans="4:6" x14ac:dyDescent="0.25" ht="20" customHeight="1">
      <c r="D291" s="1" t="s">
        <v>508</v>
      </c>
    </row>
    <row r="292" spans="4:6" x14ac:dyDescent="0.25" ht="20" customHeight="1">
      <c r="D292" s="38" t="s">
        <v>473</v>
      </c>
      <c r="E292" s="38" t="s">
        <v>474</v>
      </c>
      <c r="F292" s="38" t="s">
        <v>475</v>
      </c>
    </row>
    <row r="293" spans="4:6" x14ac:dyDescent="0.25" ht="20" customHeight="1">
      <c r="D293" s="38" t="s">
        <v>509</v>
      </c>
      <c r="E293" s="38" t="s">
        <v>510</v>
      </c>
      <c r="F293" s="38">
        <v>5</v>
      </c>
    </row>
    <row r="294" spans="4:6" x14ac:dyDescent="0.25" ht="20" customHeight="1">
      <c r="D294" s="38" t="s">
        <v>511</v>
      </c>
      <c r="E294" s="38" t="s">
        <v>512</v>
      </c>
      <c r="F294" s="38">
        <v>4</v>
      </c>
    </row>
    <row r="295" spans="4:6" x14ac:dyDescent="0.25" ht="20" customHeight="1">
      <c r="D295" s="38" t="s">
        <v>513</v>
      </c>
      <c r="E295" s="38" t="s">
        <v>514</v>
      </c>
      <c r="F295" s="38">
        <v>3</v>
      </c>
    </row>
    <row r="296" spans="4:6" x14ac:dyDescent="0.25" ht="20" customHeight="1">
      <c r="D296" s="38" t="s">
        <v>515</v>
      </c>
      <c r="E296" s="38" t="s">
        <v>516</v>
      </c>
      <c r="F296" s="38">
        <v>2</v>
      </c>
    </row>
    <row r="297" spans="4:6" x14ac:dyDescent="0.25" ht="20" customHeight="1">
      <c r="D297" s="38" t="s">
        <v>517</v>
      </c>
      <c r="E297" s="38" t="s">
        <v>518</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topLeftCell="A2" zoomScaleNormal="100" workbookViewId="0">
      <selection activeCell="A10" sqref="A10"/>
    </sheetView>
  </sheetViews>
  <sheetFormatPr defaultRowHeight="20" x14ac:dyDescent="0.25" customHeight="1"/>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 customHeight="1" x14ac:dyDescent="0.25">
      <c r="C2" s="9"/>
      <c r="D2" s="9"/>
      <c r="E2" s="9"/>
      <c r="F2" s="9"/>
      <c r="G2" s="9"/>
      <c r="H2" s="9"/>
      <c r="I2" s="9"/>
      <c r="J2" s="9"/>
      <c r="K2" s="9"/>
      <c r="L2" s="9"/>
      <c r="M2" s="9"/>
    </row>
    <row r="3" spans="1:13" ht="20" customHeight="1" x14ac:dyDescent="0.25">
      <c r="A3" s="17" t="str">
        <f>HYPERLINK("#'Home'!A1", "Home")</f>
        <v>Home</v>
      </c>
      <c r="C3" s="4"/>
      <c r="D3" s="4"/>
      <c r="E3" s="4"/>
      <c r="F3" s="4"/>
      <c r="G3" s="4"/>
      <c r="H3" s="4"/>
      <c r="I3" s="4"/>
      <c r="J3" s="4"/>
      <c r="K3" s="4"/>
      <c r="L3" s="4"/>
      <c r="M3" s="4"/>
    </row>
    <row r="4" spans="1:13" ht="20" customHeight="1" x14ac:dyDescent="0.25">
      <c r="A4" s="17" t="str">
        <f>HYPERLINK("#'Overview'!A1", "Overview")</f>
        <v>Overview</v>
      </c>
    </row>
    <row r="5" spans="1:13" ht="20" customHeight="1" x14ac:dyDescent="0.25">
      <c r="A5" s="17" t="str">
        <f>HYPERLINK("#'Results'!A1", "Results")</f>
        <v>Results</v>
      </c>
    </row>
    <row r="6" spans="1:13" ht="20" customHeight="1" x14ac:dyDescent="0.25">
      <c r="D6" s="6" t="str" cm="1">
        <f t="array" ref="D6">CommonLivestock_SourceData.SourceData_Livestock_Common_SymbolsMMS_Title()</f>
        <v>Table 5.12 Additional symbols used in algorithms for manure related emissions</v>
      </c>
      <c r="E6" s="3"/>
      <c r="F6" s="3"/>
      <c r="G6" s="3"/>
      <c r="H6" s="3"/>
    </row>
    <row r="7" spans="1:13" ht="20" customHeight="1" x14ac:dyDescent="0.25">
      <c r="D7" s="3" t="str" cm="1">
        <f t="array" ref="D7">CommonLivestock_SourceData.SourceData_Livestock_Common_SymbolsMMS_Vairable()</f>
        <v>MMS</v>
      </c>
      <c r="E7" s="3"/>
      <c r="F7" s="3"/>
      <c r="G7" s="3"/>
      <c r="H7" s="3"/>
    </row>
    <row r="8" spans="1:13" ht="20" customHeight="1" x14ac:dyDescent="0.25">
      <c r="A8" s="19" t="s">
        <v>0</v>
      </c>
      <c r="D8" s="5" t="str" cm="1">
        <f t="array" ref="D8">CommonLivestock_SourceData.SourceData_Livestock_Common_SymbolsMMS_Source()</f>
        <v>National Inventory Report 2023 Volume 1: Table 5.12</v>
      </c>
      <c r="E8" s="3"/>
      <c r="F8" s="3"/>
      <c r="G8" s="3"/>
      <c r="H8" s="3"/>
    </row>
    <row r="9" spans="1:13" ht="20" customHeight="1" x14ac:dyDescent="0.25">
      <c r="A9" s="17" t="str">
        <f>HYPERLINK("#'Input - Site'!A1", "Site")</f>
        <v>Site</v>
      </c>
      <c r="D9" s="37" t="s">
        <v>76</v>
      </c>
      <c r="E9" s="38" t="s">
        <v>19</v>
      </c>
      <c r="F9" s="38" t="s">
        <v>77</v>
      </c>
      <c r="G9" s="3"/>
    </row>
    <row r="10" spans="1:13" ht="20"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 customHeight="1" x14ac:dyDescent="0.25">
      <c r="A28" s="17" t="str">
        <f>HYPERLINK("#'Acknowledgements'!A1", "Acknowledgements")</f>
        <v>Acknowledgements</v>
      </c>
      <c r="G28" s="3"/>
      <c r="H28" s="3"/>
    </row>
    <row r="29" spans="1:8" ht="20" customHeight="1" x14ac:dyDescent="0.25">
      <c r="A29" s="17" t="str">
        <f>HYPERLINK("#'Tab template'!A1", "Tab template")</f>
        <v>Tab template</v>
      </c>
    </row>
    <row r="30" spans="1:8" ht="20" customHeight="1" x14ac:dyDescent="0.25"/>
    <row r="31" spans="1:8" ht="20" customHeight="1" x14ac:dyDescent="0.25"/>
    <row r="32" spans="1:8"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9" sqref="A29"/>
    </sheetView>
  </sheetViews>
  <sheetFormatPr defaultRowHeight="20" x14ac:dyDescent="0.25" customHeight="1"/>
  <sheetData>
    <row r="1" spans="1:1" x14ac:dyDescent="0.25" ht="30" customHeight="1">
      <c r="A1" t="s">
        <v>519</v>
      </c>
    </row>
    <row r="3" spans="1:1" ht="20" x14ac:dyDescent="0.25" customHeight="1">
      <c r="A3" s="17" t="str">
        <f>HYPERLINK("#'Home'!A1", "Home")</f>
        <v>Home</v>
      </c>
    </row>
    <row r="6" spans="1:1" x14ac:dyDescent="0.25" ht="20" customHeight="1">
      <c r="A6" s="154" t="s">
        <v>1</v>
      </c>
    </row>
    <row r="7" spans="1:1" ht="20" x14ac:dyDescent="0.25" customHeight="1">
      <c r="A7" s="17" t="str">
        <f>HYPERLINK("#'Constants - Common'!A1", "Constants - Common")</f>
        <v>Constants - Common</v>
      </c>
    </row>
    <row r="8" spans="1:1" ht="20" x14ac:dyDescent="0.25" customHeight="1">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N3" s="4"/>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row>
    <row r="6" spans="1:21" ht="20" customHeight="1" x14ac:dyDescent="0.25"/>
    <row r="7" spans="1:21" ht="20" customHeight="1" x14ac:dyDescent="0.25"/>
    <row r="8" spans="1:21" ht="20" customHeight="1" x14ac:dyDescent="0.25">
      <c r="A8" s="19" t="s">
        <v>0</v>
      </c>
    </row>
    <row r="9" spans="1:21" ht="20" customHeight="1" x14ac:dyDescent="0.25">
      <c r="A9" s="17" t="str">
        <f>HYPERLINK("#'Input - Site'!A1", "Site")</f>
        <v>Site</v>
      </c>
    </row>
    <row r="10" spans="1:21" ht="20" customHeight="1" x14ac:dyDescent="0.25">
      <c r="A10" s="17" t="str">
        <f>HYPERLINK("#'Input - Dairy'!A1", "Dairy")</f>
        <v>Dairy</v>
      </c>
    </row>
    <row r="11" spans="1:21" ht="20" customHeight="1" x14ac:dyDescent="0.25"/>
    <row r="12" spans="1:21" ht="20" customHeight="1" x14ac:dyDescent="0.25"/>
    <row r="13" spans="1:21" ht="20" customHeight="1" x14ac:dyDescent="0.25">
      <c r="A13" s="18" t="s">
        <v>73</v>
      </c>
    </row>
    <row r="14" spans="1:21" ht="20" customHeight="1" x14ac:dyDescent="0.25">
      <c r="A14" s="17" t="str">
        <f>HYPERLINK("#'4.3.1.1-2 Methane'!A1", "4.3.1.1-2 Methane")</f>
        <v>4.3.1.1-2 Methane</v>
      </c>
    </row>
    <row r="15" spans="1:21" ht="20" customHeight="1" x14ac:dyDescent="0.25">
      <c r="A15" s="17" t="str">
        <f>HYPERLINK("#'4.3.1.3-4 Direct N20'!A1", "4.3.1.3-4 Direct N20")</f>
        <v>4.3.1.3-4 Direct N20</v>
      </c>
    </row>
    <row r="16" spans="1:21" ht="20" customHeight="1" x14ac:dyDescent="0.25">
      <c r="A16" s="17" t="str">
        <f>HYPERLINK("#'4.3.1.5 Atmos deposition'!A1", "4.3.1.5 Atmos deposition")</f>
        <v>4.3.1.5 Atmos deposition</v>
      </c>
    </row>
    <row r="17" spans="1:1" ht="20" customHeight="1" x14ac:dyDescent="0.25">
      <c r="A17" s="17" t="str">
        <f>HYPERLINK("#'4.3.1.6-7 Leaching and runoff'!A1", "4.3.1.6-7 Leaching and runoff")</f>
        <v>4.3.1.6-7 Leaching and runoff</v>
      </c>
    </row>
    <row r="18" spans="1:1" ht="20" customHeight="1" x14ac:dyDescent="0.25">
      <c r="A18" s="17" t="str">
        <f>HYPERLINK("#'4.3.1.8 Manure applied to soils'!A1", "4.3.1.8 Manure applied to soils")</f>
        <v>4.3.1.8 Manure applied to soils</v>
      </c>
    </row>
    <row r="19" spans="1:1" ht="20" customHeight="1" x14ac:dyDescent="0.25">
      <c r="A19" s="17" t="str">
        <f>HYPERLINK("#'4.3.1.9 Soil direct N2O'!A1", "4.3.1.9 Soil direct N2O")</f>
        <v>4.3.1.9 Soil direct N2O</v>
      </c>
    </row>
    <row r="20" spans="1:1" ht="20" customHeight="1" x14ac:dyDescent="0.25">
      <c r="A20" s="17" t="str">
        <f>HYPERLINK("#'4.3.1.10-11 Soil Atmos Dep'!A1", "4.3.1.10-11 Soil Atmos Dep")</f>
        <v>4.3.1.10-11 Soil Atmos Dep</v>
      </c>
    </row>
    <row r="21" spans="1:1" ht="20" customHeight="1" x14ac:dyDescent="0.25">
      <c r="A21" s="17" t="str">
        <f>HYPERLINK("#'4.3.1.12-13 Soil leach runoff'!A1", "4.3.1.12-13 Soil leach runoff")</f>
        <v>4.3.1.12-13 Soil leach runoff</v>
      </c>
    </row>
    <row r="22" spans="1:1" ht="20" customHeight="1" x14ac:dyDescent="0.25"/>
    <row r="23" spans="1:1" ht="20" customHeight="1" x14ac:dyDescent="0.25"/>
    <row r="24" spans="1:1" ht="20" customHeight="1" x14ac:dyDescent="0.25">
      <c r="A24" s="154" t="s">
        <v>1</v>
      </c>
    </row>
    <row r="25" spans="1:1" ht="20" customHeight="1" x14ac:dyDescent="0.25">
      <c r="A25" s="17" t="str">
        <f>HYPERLINK("#'Constants - Dairy'!A1", "Constants - Dairy")</f>
        <v>Constants - Dairy</v>
      </c>
    </row>
    <row r="26" spans="1:1" ht="20" customHeight="1" x14ac:dyDescent="0.25">
      <c r="A26" s="17" t="str">
        <f>HYPERLINK("#'Constants - Common'!A1", "Constants - Common")</f>
        <v>Constants - Common</v>
      </c>
    </row>
    <row r="27" spans="1:1" ht="20" customHeight="1" x14ac:dyDescent="0.25">
      <c r="A27" s="17" t="str">
        <f>HYPERLINK("#'Constants - Livestock'!A1", "Constants - Livestock")</f>
        <v>Constants - Livestock</v>
      </c>
    </row>
    <row r="28" spans="1:1" ht="20" customHeight="1" x14ac:dyDescent="0.25">
      <c r="A28" s="17" t="str">
        <f>HYPERLINK("#'Acknowledgements'!A1", "Acknowledgements")</f>
        <v>Acknowledgements</v>
      </c>
    </row>
    <row r="29" spans="1:1" ht="20" customHeight="1" x14ac:dyDescent="0.25">
      <c r="A29" s="68" t="str">
        <f>HYPERLINK("#'Tab template'!A1", "Tab template")</f>
        <v>Tab template</v>
      </c>
    </row>
    <row r="30" spans="1:1" ht="20" customHeight="1" x14ac:dyDescent="0.25"/>
    <row r="31" spans="1:1" ht="20" customHeight="1" x14ac:dyDescent="0.25"/>
    <row r="32" spans="1:1"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2026-08-28T05:14:17Z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2026-09-02T17:27:08; rename=True resize=True scope=all</vt:lpwstr>
  </property>
</Properties>
</file>