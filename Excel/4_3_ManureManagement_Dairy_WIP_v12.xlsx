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FB86171-0CDA-467F-AEB0-12B6EDCF7438}" xr6:coauthVersionLast="47" xr6:coauthVersionMax="47" xr10:uidLastSave="{00000000-0000-0000-0000-000000000000}"/>
  <bookViews>
    <workbookView xWindow="2340" yWindow="1890" windowWidth="36060" windowHeight="19710" activeTab="6"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2" r:id="rId15"/>
    <sheet name="Constants - Common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50" i="76" l="1" a="1"/>
  <c r="T250" i="76" s="1"/>
  <c r="S250" i="76" a="1"/>
  <c r="S250" i="76" s="1"/>
  <c r="R250" i="76" a="1"/>
  <c r="R250" i="76" s="1"/>
  <c r="Q250" i="76" a="1"/>
  <c r="Q250" i="76" s="1"/>
  <c r="P250" i="76" a="1"/>
  <c r="P250" i="76" s="1"/>
  <c r="T249" i="76"/>
  <c r="T249" i="76" a="1"/>
  <c r="S249" i="76" a="1"/>
  <c r="S249" i="76" s="1"/>
  <c r="R249" i="76" a="1"/>
  <c r="R249" i="76" s="1"/>
  <c r="Q249" i="76" a="1"/>
  <c r="Q249" i="76" s="1"/>
  <c r="P249" i="76" a="1"/>
  <c r="P249" i="76" s="1"/>
  <c r="T248" i="76" a="1"/>
  <c r="T248" i="76" s="1"/>
  <c r="S248" i="76" a="1"/>
  <c r="S248" i="76" s="1"/>
  <c r="R248" i="76"/>
  <c r="R248" i="76" a="1"/>
  <c r="Q248" i="76" a="1"/>
  <c r="Q248" i="76" s="1"/>
  <c r="P248" i="76" a="1"/>
  <c r="P248" i="76" s="1"/>
  <c r="T247" i="76" a="1"/>
  <c r="T247" i="76" s="1"/>
  <c r="S247" i="76" a="1"/>
  <c r="S247" i="76" s="1"/>
  <c r="R247" i="76" a="1"/>
  <c r="R247" i="76" s="1"/>
  <c r="Q247" i="76" a="1"/>
  <c r="Q247" i="76" s="1"/>
  <c r="P247" i="76"/>
  <c r="P247" i="76" a="1"/>
  <c r="T246" i="76" a="1"/>
  <c r="T246" i="76" s="1"/>
  <c r="S246" i="76" a="1"/>
  <c r="S246" i="76" s="1"/>
  <c r="R246" i="76" a="1"/>
  <c r="R246" i="76" s="1"/>
  <c r="Q246" i="76" a="1"/>
  <c r="Q246" i="76" s="1"/>
  <c r="P246" i="76" a="1"/>
  <c r="P246" i="76" s="1"/>
  <c r="T245" i="76" a="1"/>
  <c r="T245" i="76" s="1"/>
  <c r="S245" i="76"/>
  <c r="S245" i="76" a="1"/>
  <c r="R245" i="76" a="1"/>
  <c r="R245" i="76" s="1"/>
  <c r="Q245" i="76" a="1"/>
  <c r="Q245" i="76" s="1"/>
  <c r="P245" i="76" a="1"/>
  <c r="P245" i="76" s="1"/>
  <c r="T244" i="76" a="1"/>
  <c r="T244" i="76" s="1"/>
  <c r="S244" i="76" a="1"/>
  <c r="S244" i="76" s="1"/>
  <c r="R244" i="76" a="1"/>
  <c r="R244" i="76" s="1"/>
  <c r="Q244" i="76"/>
  <c r="Q244" i="76" a="1"/>
  <c r="P244" i="76" a="1"/>
  <c r="P244" i="76" s="1"/>
  <c r="T243" i="76" a="1"/>
  <c r="T243" i="76" s="1"/>
  <c r="S243" i="76" a="1"/>
  <c r="S243" i="76" s="1"/>
  <c r="R243" i="76" a="1"/>
  <c r="R243" i="76" s="1"/>
  <c r="Q243" i="76" a="1"/>
  <c r="Q243" i="76" s="1"/>
  <c r="P243" i="76" a="1"/>
  <c r="P243" i="76"/>
  <c r="J250" i="76" a="1"/>
  <c r="J250" i="76" s="1"/>
  <c r="I250" i="76" a="1"/>
  <c r="I250" i="76" s="1"/>
  <c r="H250" i="76" a="1"/>
  <c r="H250" i="76"/>
  <c r="G250" i="76" a="1"/>
  <c r="G250" i="76"/>
  <c r="F250" i="76" a="1"/>
  <c r="F250" i="76"/>
  <c r="J249" i="76" a="1"/>
  <c r="J249" i="76" s="1"/>
  <c r="I249" i="76" a="1"/>
  <c r="I249" i="76"/>
  <c r="H249" i="76" a="1"/>
  <c r="H249" i="76" s="1"/>
  <c r="G249" i="76" a="1"/>
  <c r="G249" i="76" s="1"/>
  <c r="F249" i="76" a="1"/>
  <c r="F249" i="76"/>
  <c r="J248" i="76" a="1"/>
  <c r="J248" i="76"/>
  <c r="I248" i="76" a="1"/>
  <c r="I248" i="76"/>
  <c r="H248" i="76" a="1"/>
  <c r="H248" i="76" s="1"/>
  <c r="G248" i="76" a="1"/>
  <c r="G248" i="76"/>
  <c r="F248" i="76" a="1"/>
  <c r="F248" i="76" s="1"/>
  <c r="J247" i="76" a="1"/>
  <c r="J247" i="76" s="1"/>
  <c r="I247" i="76" a="1"/>
  <c r="I247" i="76"/>
  <c r="H247" i="76" a="1"/>
  <c r="H247" i="76"/>
  <c r="G247" i="76" a="1"/>
  <c r="G247" i="76"/>
  <c r="F247" i="76" a="1"/>
  <c r="F247" i="76" s="1"/>
  <c r="J246" i="76" a="1"/>
  <c r="J246" i="76"/>
  <c r="I246" i="76" a="1"/>
  <c r="I246" i="76" s="1"/>
  <c r="H246" i="76" a="1"/>
  <c r="H246" i="76" s="1"/>
  <c r="G246" i="76" a="1"/>
  <c r="G246" i="76"/>
  <c r="F246" i="76" a="1"/>
  <c r="F246" i="76"/>
  <c r="J245" i="76" a="1"/>
  <c r="J245" i="76"/>
  <c r="I245" i="76" a="1"/>
  <c r="I245" i="76" s="1"/>
  <c r="H245" i="76" a="1"/>
  <c r="H245" i="76"/>
  <c r="G245" i="76" a="1"/>
  <c r="G245" i="76" s="1"/>
  <c r="F245" i="76" a="1"/>
  <c r="F245" i="76" s="1"/>
  <c r="J244" i="76" a="1"/>
  <c r="J244" i="76"/>
  <c r="I244" i="76" a="1"/>
  <c r="I244" i="76"/>
  <c r="H244" i="76" a="1"/>
  <c r="H244" i="76"/>
  <c r="G244" i="76" a="1"/>
  <c r="G244" i="76" s="1"/>
  <c r="F244" i="76" a="1"/>
  <c r="F244" i="76"/>
  <c r="J243" i="76" a="1"/>
  <c r="J243" i="76" s="1"/>
  <c r="I243" i="76" a="1"/>
  <c r="I243" i="76" s="1"/>
  <c r="H243" i="76" a="1"/>
  <c r="H243" i="76"/>
  <c r="G243" i="76" a="1"/>
  <c r="G243" i="76" s="1"/>
  <c r="F243" i="76" a="1"/>
  <c r="F243" i="76" s="1"/>
  <c r="A8" i="72"/>
  <c r="A7" i="72"/>
  <c r="A3" i="72"/>
  <c r="G9" i="79"/>
  <c r="G8" i="79"/>
  <c r="R50" i="98"/>
  <c r="G50" i="98"/>
  <c r="J45" i="98"/>
  <c r="I14" i="98"/>
  <c r="R48" i="97"/>
  <c r="G48" i="97"/>
  <c r="I40" i="97"/>
  <c r="I39" i="97"/>
  <c r="R56" i="96"/>
  <c r="G56" i="96"/>
  <c r="J45" i="96"/>
  <c r="J44" i="96"/>
  <c r="R55" i="95"/>
  <c r="G55" i="95"/>
  <c r="I44" i="95"/>
  <c r="J14" i="95"/>
  <c r="R71" i="82"/>
  <c r="G71" i="82"/>
  <c r="I63" i="82"/>
  <c r="I62" i="82"/>
  <c r="Q290" i="76"/>
  <c r="G290" i="76"/>
  <c r="I264" i="76"/>
  <c r="R303" i="69"/>
  <c r="G303" i="69"/>
  <c r="P232" i="69"/>
  <c r="P231" i="69"/>
  <c r="P230" i="69"/>
  <c r="P229" i="69"/>
  <c r="I223" i="69"/>
  <c r="E33" i="15"/>
  <c r="E32" i="15"/>
  <c r="E31" i="15"/>
  <c r="E30" i="15"/>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c r="D229" i="112" a="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c r="D211" i="112" a="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c r="D58" i="112" a="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a="1"/>
  <c r="D46" i="112" s="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a="1"/>
  <c r="D19" i="112" s="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A8" i="112"/>
  <c r="F7" i="112" a="1"/>
  <c r="F7" i="112" s="1"/>
  <c r="E7" i="112" a="1"/>
  <c r="E7" i="112" s="1"/>
  <c r="D7" i="112" a="1"/>
  <c r="D7" i="112" s="1"/>
  <c r="A7" i="112"/>
  <c r="D5" i="112" a="1"/>
  <c r="D5" i="112" s="1"/>
  <c r="A3" i="112"/>
  <c r="A8" i="71"/>
  <c r="A7" i="71"/>
  <c r="A3" i="71"/>
  <c r="E116" i="70"/>
  <c r="E115" i="70"/>
  <c r="E111" i="70"/>
  <c r="E110" i="70"/>
  <c r="E106" i="70"/>
  <c r="E105" i="70"/>
  <c r="I96" i="70"/>
  <c r="H96" i="70"/>
  <c r="G96" i="70"/>
  <c r="F96" i="70"/>
  <c r="E96" i="70"/>
  <c r="E91" i="70"/>
  <c r="E86" i="70"/>
  <c r="E81" i="70"/>
  <c r="F50" i="70"/>
  <c r="E29" i="15"/>
  <c r="E13" i="15"/>
  <c r="D25" i="70" s="1"/>
  <c r="A29" i="74"/>
  <c r="A28" i="74"/>
  <c r="A27" i="74"/>
  <c r="A26" i="74"/>
  <c r="A25" i="74"/>
  <c r="A21" i="74"/>
  <c r="A20" i="74"/>
  <c r="A19" i="74"/>
  <c r="A18" i="74"/>
  <c r="A17" i="74"/>
  <c r="A16" i="74"/>
  <c r="A15" i="74"/>
  <c r="A14" i="74"/>
  <c r="A10" i="74"/>
  <c r="A9" i="74"/>
  <c r="A5" i="74"/>
  <c r="A4" i="74"/>
  <c r="A3" i="74"/>
  <c r="A29" i="43"/>
  <c r="A28" i="43"/>
  <c r="A27" i="43"/>
  <c r="A26" i="43"/>
  <c r="A25" i="43"/>
  <c r="A21" i="43"/>
  <c r="A20" i="43"/>
  <c r="A19" i="43"/>
  <c r="A18" i="43"/>
  <c r="A17" i="43"/>
  <c r="A16" i="43"/>
  <c r="A15" i="43"/>
  <c r="A14" i="43"/>
  <c r="A10" i="43"/>
  <c r="A9" i="43"/>
  <c r="A5" i="43"/>
  <c r="A4" i="43"/>
  <c r="A3" i="43"/>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O37" i="69" a="1"/>
  <c r="O37" i="69" s="1"/>
  <c r="R37" i="69" a="1"/>
  <c r="R37" i="69" s="1"/>
  <c r="E32" i="97"/>
  <c r="E36" i="95" a="1"/>
  <c r="E55" i="82"/>
  <c r="E37" i="98"/>
  <c r="H54" i="112" l="1"/>
  <c r="H52" i="112"/>
  <c r="H49" i="112"/>
  <c r="H53" i="112"/>
  <c r="H48" i="112"/>
  <c r="H51" i="112"/>
  <c r="H50" i="112"/>
  <c r="D10" i="70"/>
  <c r="D28" i="70"/>
  <c r="D29" i="70"/>
  <c r="G120" i="70"/>
  <c r="I95" i="70"/>
  <c r="H120" i="70"/>
  <c r="D24" i="70"/>
  <c r="I119" i="70"/>
  <c r="E95" i="70"/>
  <c r="F95" i="70"/>
  <c r="G95" i="70"/>
  <c r="E119" i="70"/>
  <c r="H95" i="70"/>
  <c r="F119" i="70"/>
  <c r="I120" i="70"/>
  <c r="G119" i="70"/>
  <c r="H119" i="70"/>
  <c r="E120" i="70"/>
  <c r="F120" i="70"/>
  <c r="E36" i="95"/>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I222" i="69"/>
  <c r="D215" i="79" a="1"/>
  <c r="D215" i="79" s="1"/>
  <c r="J15" i="95" s="1"/>
  <c r="D214" i="79" a="1"/>
  <c r="D214" i="79" s="1"/>
  <c r="D213" i="79" a="1"/>
  <c r="D213" i="79" s="1"/>
  <c r="D212" i="79" a="1"/>
  <c r="D212" i="79" s="1"/>
  <c r="D211" i="79" a="1"/>
  <c r="D211" i="79" s="1"/>
  <c r="F163" i="69"/>
  <c r="F165" i="69"/>
  <c r="F164" i="69"/>
  <c r="J46" i="96" l="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3" i="70" l="1"/>
  <c r="T39" i="69" s="1"/>
  <c r="E53" i="70"/>
  <c r="I39" i="69" s="1"/>
  <c r="E54" i="70"/>
  <c r="I40" i="69" s="1"/>
  <c r="F54"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A215" i="79"/>
  <c r="A174" i="79"/>
  <c r="A285" i="76"/>
  <c r="A245" i="76"/>
  <c r="A208" i="76"/>
  <c r="A171" i="76"/>
  <c r="N118" i="70"/>
  <c r="F71" i="81" s="1"/>
  <c r="N113" i="70"/>
  <c r="F70" i="81" s="1"/>
  <c r="N108" i="70"/>
  <c r="F69" i="81" s="1"/>
  <c r="N103" i="70"/>
  <c r="F68" i="81" s="1"/>
  <c r="N94" i="70"/>
  <c r="F67" i="81" s="1"/>
  <c r="N89" i="70"/>
  <c r="F66" i="81" s="1"/>
  <c r="N84" i="70"/>
  <c r="F65" i="81" s="1"/>
  <c r="N79"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7" i="97" a="1"/>
  <c r="E91" i="81" a="1"/>
  <c r="E7" i="81" a="1"/>
  <c r="E7" i="98" a="1"/>
  <c r="E37" i="96" a="1"/>
  <c r="E7" i="95" a="1"/>
  <c r="E7" i="96"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7" i="98"/>
  <c r="K23" i="98"/>
  <c r="V24" i="97"/>
  <c r="K51" i="96"/>
  <c r="V51" i="96"/>
  <c r="K24" i="97"/>
  <c r="E7" i="97"/>
  <c r="K19" i="97"/>
  <c r="V31" i="96"/>
  <c r="F53" i="96"/>
  <c r="G11" i="13" s="1"/>
  <c r="E37" i="96"/>
  <c r="E7" i="96"/>
  <c r="V49" i="95"/>
  <c r="Q52" i="95"/>
  <c r="F52" i="95"/>
  <c r="G10" i="13" s="1"/>
  <c r="Q115" i="81"/>
  <c r="F85" i="81"/>
  <c r="F115" i="81"/>
  <c r="K76" i="81"/>
  <c r="K106" i="81"/>
  <c r="E91" i="81"/>
  <c r="E7" i="81"/>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Q168" i="69"/>
  <c r="F168" i="69"/>
  <c r="Q167" i="69"/>
  <c r="F167" i="69"/>
  <c r="Q166" i="69"/>
  <c r="F166" i="69"/>
  <c r="D75" i="70"/>
  <c r="D99" i="70"/>
  <c r="E56" i="69" a="1"/>
  <c r="E7" i="76" a="1"/>
  <c r="E153" i="76" a="1"/>
  <c r="E35" i="76" a="1"/>
  <c r="E7" i="82" a="1"/>
  <c r="E85" i="69" a="1"/>
  <c r="E109" i="76" a="1"/>
  <c r="E186" i="69" a="1"/>
  <c r="E72" i="76" a="1"/>
  <c r="E256" i="76" a="1"/>
  <c r="E8" i="69" a="1"/>
  <c r="E139" i="69" a="1"/>
  <c r="E219" i="76" a="1"/>
  <c r="E252" i="69" a="1"/>
  <c r="E212" i="69" a="1"/>
  <c r="E120" i="69" a="1"/>
  <c r="E132" i="76" a="1"/>
  <c r="E183" i="76"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S79" i="69" s="1" a="1"/>
  <c r="S79" i="69" s="1"/>
  <c r="E36" i="70"/>
  <c r="D19" i="69" s="1"/>
  <c r="D24" i="69" s="1" a="1"/>
  <c r="D24" i="69" s="1"/>
  <c r="D79" i="69" s="1" a="1"/>
  <c r="D79" i="69" s="1"/>
  <c r="D60" i="76" s="1"/>
  <c r="F40" i="70"/>
  <c r="P19" i="69" s="1"/>
  <c r="P24" i="69" s="1" a="1"/>
  <c r="P24" i="69" s="1"/>
  <c r="P79" i="69" s="1" a="1"/>
  <c r="P79" i="69" s="1"/>
  <c r="H36" i="70"/>
  <c r="G19" i="69" s="1"/>
  <c r="G36" i="70"/>
  <c r="F19" i="69" s="1"/>
  <c r="E40" i="70"/>
  <c r="O19" i="69" s="1"/>
  <c r="O24" i="69" s="1" a="1"/>
  <c r="O24" i="69" s="1"/>
  <c r="O79" i="69" s="1" a="1"/>
  <c r="O79" i="69" s="1"/>
  <c r="H40" i="70"/>
  <c r="R19" i="69" s="1"/>
  <c r="R24" i="69" s="1" a="1"/>
  <c r="R24" i="69" s="1"/>
  <c r="R79" i="69" s="1" a="1"/>
  <c r="R79" i="69" s="1"/>
  <c r="G40" i="70"/>
  <c r="Q19" i="69" s="1"/>
  <c r="Q24" i="69" s="1" a="1"/>
  <c r="Q24" i="69" s="1"/>
  <c r="Q79" i="69" s="1" a="1"/>
  <c r="Q79" i="69" s="1"/>
  <c r="V40" i="82"/>
  <c r="K40" i="82"/>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I69" i="70" l="1"/>
  <c r="E65" i="70"/>
  <c r="H69" i="70"/>
  <c r="I64" i="70"/>
  <c r="G69" i="70"/>
  <c r="H64" i="70"/>
  <c r="F69" i="70"/>
  <c r="G64" i="70"/>
  <c r="E69" i="70"/>
  <c r="F64" i="70"/>
  <c r="I68" i="70"/>
  <c r="U25" i="96" s="1"/>
  <c r="E64" i="70"/>
  <c r="H68" i="70"/>
  <c r="T25" i="96" s="1"/>
  <c r="I63" i="70"/>
  <c r="G68" i="70"/>
  <c r="S25" i="96" s="1"/>
  <c r="H63" i="70"/>
  <c r="F68" i="70"/>
  <c r="G63" i="70"/>
  <c r="I70" i="70"/>
  <c r="E68" i="70"/>
  <c r="F63" i="70"/>
  <c r="H70" i="70"/>
  <c r="I65" i="70"/>
  <c r="E63" i="70"/>
  <c r="G70" i="70"/>
  <c r="H65" i="70"/>
  <c r="F70" i="70"/>
  <c r="G65" i="70"/>
  <c r="E70" i="70"/>
  <c r="F65" i="70"/>
  <c r="G18" i="70"/>
  <c r="F18" i="70"/>
  <c r="E18" i="70"/>
  <c r="G14" i="70"/>
  <c r="F14" i="70"/>
  <c r="E14" i="70"/>
  <c r="F35" i="8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R25" i="96"/>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T51" i="96" a="1"/>
  <c r="T51" i="96" s="1"/>
  <c r="J31" i="96" a="1"/>
  <c r="J31" i="96" s="1"/>
  <c r="H51" i="96" a="1"/>
  <c r="H51" i="96" s="1"/>
  <c r="G31" i="96" a="1"/>
  <c r="G31" i="96" s="1"/>
  <c r="H281" i="76" a="1"/>
  <c r="H281" i="76" s="1"/>
  <c r="H283" i="76" a="1"/>
  <c r="H283" i="76" s="1"/>
  <c r="H284" i="76" a="1"/>
  <c r="H284" i="76" s="1"/>
  <c r="S282" i="76" a="1"/>
  <c r="S282" i="76" s="1"/>
  <c r="S283" i="76" a="1"/>
  <c r="S283" i="76" s="1"/>
  <c r="S284" i="76" a="1"/>
  <c r="S284" i="76" s="1"/>
  <c r="H285" i="76" a="1"/>
  <c r="H285" i="76" s="1"/>
  <c r="S285" i="76" a="1"/>
  <c r="S285" i="76" s="1"/>
  <c r="H280" i="76" a="1"/>
  <c r="H280" i="76" s="1"/>
  <c r="S280" i="76" a="1"/>
  <c r="S280" i="76" s="1"/>
  <c r="S278" i="76" a="1"/>
  <c r="S278" i="76" s="1"/>
  <c r="S279" i="76" a="1"/>
  <c r="S279" i="76" s="1"/>
  <c r="S281" i="76" a="1"/>
  <c r="S281" i="76" s="1"/>
  <c r="H282" i="76" a="1"/>
  <c r="H282"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Q51" i="96" a="1"/>
  <c r="Q51" i="96" s="1"/>
  <c r="I281" i="76" a="1"/>
  <c r="I281"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U19" i="97"/>
  <c r="U24" i="97" s="1" a="1"/>
  <c r="U24" i="97" s="1"/>
  <c r="P26" i="97" s="1"/>
  <c r="S38" i="97" s="1"/>
  <c r="P45" i="97" s="1" a="1"/>
  <c r="P45" i="97" s="1"/>
  <c r="I50" i="95" a="1"/>
  <c r="I50" i="95" s="1"/>
  <c r="I59" i="81"/>
  <c r="F44" i="81"/>
  <c r="F23" i="82"/>
  <c r="F44" i="82" s="1" a="1"/>
  <c r="F44" i="82" s="1"/>
  <c r="F19" i="97"/>
  <c r="F24" i="97" s="1" a="1"/>
  <c r="F24" i="97" s="1"/>
  <c r="E26" i="97" s="1"/>
  <c r="I38" i="97" s="1"/>
  <c r="E45" i="97" s="1" a="1"/>
  <c r="E45" i="97" s="1"/>
  <c r="F23" i="98"/>
  <c r="F28" i="98" s="1" a="1"/>
  <c r="F28" i="98" s="1"/>
  <c r="E30" i="98" s="1"/>
  <c r="J43" i="98" s="1"/>
  <c r="E47" i="98" s="1" a="1"/>
  <c r="E47" i="98" s="1"/>
  <c r="G49"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79" i="70"/>
  <c r="O229" i="69"/>
  <c r="D229" i="69"/>
  <c r="E229" i="69" s="1" a="1"/>
  <c r="E229" i="69" s="1"/>
  <c r="D94" i="70"/>
  <c r="D118" i="70"/>
  <c r="O232" i="69"/>
  <c r="D232" i="69"/>
  <c r="E232" i="69" s="1" a="1"/>
  <c r="E232" i="69" s="1"/>
  <c r="O231" i="69"/>
  <c r="D231" i="69"/>
  <c r="E231" i="69" s="1" a="1"/>
  <c r="E231" i="69" s="1"/>
  <c r="T284" i="76" a="1"/>
  <c r="T284" i="76" s="1"/>
  <c r="U51" i="96" a="1"/>
  <c r="U51" i="96" s="1"/>
  <c r="P53" i="96" s="1"/>
  <c r="R55" i="96" s="1"/>
  <c r="T280" i="76" a="1"/>
  <c r="T280" i="76" s="1"/>
  <c r="T282" i="76" a="1"/>
  <c r="T282" i="76" s="1"/>
  <c r="T285" i="76" a="1"/>
  <c r="T285" i="76" s="1"/>
  <c r="T281" i="76" a="1"/>
  <c r="T281" i="76" s="1"/>
  <c r="F283" i="76" a="1"/>
  <c r="F283" i="76" s="1"/>
  <c r="F282" i="76" a="1"/>
  <c r="F282" i="76" s="1"/>
  <c r="T278" i="76" a="1"/>
  <c r="T278" i="76" s="1"/>
  <c r="F51" i="96" a="1"/>
  <c r="F51" i="96" s="1"/>
  <c r="E53" i="96" s="1"/>
  <c r="G55"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4" i="70"/>
  <c r="D108" i="70"/>
  <c r="D89" i="70"/>
  <c r="D113" i="70"/>
  <c r="D103" i="70"/>
  <c r="E12" i="13" l="1"/>
  <c r="G47" i="97"/>
  <c r="F12" i="13"/>
  <c r="R47" i="97"/>
  <c r="F13" i="13"/>
  <c r="R49" i="98"/>
  <c r="P200" i="69"/>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H238" i="69" s="1" a="1"/>
  <c r="H238" i="69" s="1"/>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F242" i="69" s="1" a="1"/>
  <c r="F242" i="69" s="1"/>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P58" i="96" a="1"/>
  <c r="P58" i="96" s="1"/>
  <c r="I11" i="13" s="1"/>
  <c r="F11" i="13"/>
  <c r="E58" i="96" a="1"/>
  <c r="E58" i="96" s="1"/>
  <c r="H11" i="13" s="1"/>
  <c r="E11" i="13"/>
  <c r="E52" i="98"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1" i="70"/>
  <c r="D80" i="70"/>
  <c r="D82" i="70"/>
  <c r="D104" i="70"/>
  <c r="D105" i="70"/>
  <c r="D106" i="70"/>
  <c r="D116" i="70"/>
  <c r="D115" i="70"/>
  <c r="D114" i="70"/>
  <c r="D111" i="70"/>
  <c r="D110" i="70"/>
  <c r="D109" i="70"/>
  <c r="D92" i="70"/>
  <c r="D91" i="70"/>
  <c r="D90" i="70"/>
  <c r="D87" i="70"/>
  <c r="D86" i="70"/>
  <c r="D85" i="70"/>
  <c r="O287" i="76"/>
  <c r="Q289" i="76" s="1"/>
  <c r="P49" i="82"/>
  <c r="R61" i="82" s="1"/>
  <c r="P68" i="82" s="1" a="1"/>
  <c r="P68" i="82" s="1"/>
  <c r="U49" i="95" a="1"/>
  <c r="U49" i="95" s="1"/>
  <c r="E287" i="76"/>
  <c r="E49" i="82"/>
  <c r="I61" i="82" s="1"/>
  <c r="E68" i="82" s="1" a="1"/>
  <c r="E68" i="82" s="1"/>
  <c r="F49" i="95" a="1"/>
  <c r="F49" i="95" s="1"/>
  <c r="F50" i="95" a="1"/>
  <c r="F50" i="95" s="1"/>
  <c r="P50" i="97" a="1"/>
  <c r="P50" i="97" s="1"/>
  <c r="I12" i="13" s="1"/>
  <c r="P52" i="98" a="1"/>
  <c r="P52" i="98" s="1"/>
  <c r="I13" i="13" s="1"/>
  <c r="E50" i="97" a="1"/>
  <c r="E50" i="97" s="1"/>
  <c r="H12" i="13" s="1"/>
  <c r="J245" i="69" a="1"/>
  <c r="J245" i="69" s="1"/>
  <c r="H241" i="69" a="1"/>
  <c r="H241" i="69" s="1"/>
  <c r="E9" i="13" l="1"/>
  <c r="G70" i="82"/>
  <c r="E73" i="82" s="1" a="1"/>
  <c r="E73" i="82" s="1"/>
  <c r="H9" i="13" s="1"/>
  <c r="E8" i="13"/>
  <c r="G289" i="76"/>
  <c r="F9" i="13"/>
  <c r="R70" i="82"/>
  <c r="P73" i="82" s="1" a="1"/>
  <c r="P73" i="82" s="1"/>
  <c r="I9" i="13" s="1"/>
  <c r="P52" i="95"/>
  <c r="R54" i="95" s="1"/>
  <c r="F8" i="13"/>
  <c r="E52" i="95"/>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E10" i="13" l="1"/>
  <c r="G54" i="95"/>
  <c r="E57" i="95" s="1" a="1"/>
  <c r="E57" i="95" s="1"/>
  <c r="H10" i="13" s="1"/>
  <c r="P57" i="95" a="1"/>
  <c r="P57" i="95" s="1"/>
  <c r="I10" i="13" s="1"/>
  <c r="F10" i="13"/>
  <c r="P85" i="81"/>
  <c r="F20" i="13" s="1"/>
  <c r="P300" i="69"/>
  <c r="R302" i="69" s="1"/>
  <c r="E300" i="69"/>
  <c r="G302" i="69" s="1"/>
  <c r="E85" i="81"/>
  <c r="E20" i="13" s="1"/>
  <c r="P115" i="81"/>
  <c r="F22" i="13" s="1"/>
  <c r="E115" i="81"/>
  <c r="E22" i="13" s="1"/>
  <c r="E148" i="81"/>
  <c r="E21" i="13" s="1"/>
  <c r="P148" i="81"/>
  <c r="F21" i="13" s="1"/>
  <c r="O292" i="76" a="1"/>
  <c r="O292" i="76" s="1"/>
  <c r="I8" i="13" s="1"/>
  <c r="E292" i="76" a="1"/>
  <c r="E292" i="76" s="1"/>
  <c r="H8" i="13" s="1"/>
  <c r="P305" i="69" l="1" a="1"/>
  <c r="P305" i="69" s="1"/>
  <c r="I7" i="13" s="1"/>
  <c r="I14" i="13" s="1"/>
  <c r="F7" i="13"/>
  <c r="E305" i="69"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<sst xmlns="http://schemas.openxmlformats.org/spreadsheetml/2006/main" count="1695" uniqueCount="520">
  <si>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</si>
  <si>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</si>
  <si>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</si>
  <si>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</si>
  <si>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</si>
  <si>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</si>
  <si>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</si>
  <si>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</si>
  <si>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</si>
  <si>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</si>
  <si>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</si>
  <si>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</si>
  <si>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</si>
  <si>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</si>
  <si>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</si>
  <si>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</si>
  <si>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</si>
  <si>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</si>
  <si>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</si>
  <si>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</si>
  <si>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</si>
  <si>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</si>
  <si>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</si>
  <si>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</si>
  <si>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</si>
  <si>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</si>
  <si>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</si>
  <si>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</si>
  <si>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</si>
  <si>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</si>
  <si>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</si>
  <si>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</si>
  <si>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</si>
  <si>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</si>
  <si>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</si>
  <si>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</si>
  <si>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</si>
  <si>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</si>
  <si>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</si>
  <si>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</si>
  <si>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</si>
  <si>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</si>
  <si>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</si>
  <si>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</si>
  <si>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</si>
  <si>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</si>
  <si>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</si>
  <si>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</si>
  <si>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</si>
  <si>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</si>
  <si>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</si>
  <si>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</si>
  <si>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</si>
  <si>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</si>
  <si>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</si>
  <si>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</si>
  <si>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</si>
  <si>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</si>
  <si>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</si>
  <si>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</si>
  <si>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</si>
  <si>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</si>
  <si>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</si>
  <si>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</si>
  <si>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</si>
  <si>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</si>
  <si>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</si>
  <si>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</si>
  <si>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</si>
  <si>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</si>
  <si>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</si>
  <si>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</si>
  <si>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</si>
  <si>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</si>
  <si>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</si>
  <si>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</si>
  <si>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</si>
  <si>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</si>
  <si>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</si>
  <si>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</si>
  <si>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</si>
  <si>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</si>
  <si>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</si>
  <si>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</si>
  <si>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</si>
  <si>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</si>
  <si>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</si>
  <si>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</si>
  <si>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</si>
  <si>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</si>
  <si>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</si>
  <si>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</si>
  <si>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</si>
  <si>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</si>
  <si>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</si>
  <si>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</si>
  <si>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</si>
  <si>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</si>
  <si>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</si>
  <si>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</si>
  <si>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</si>
  <si>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</si>
  <si>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</si>
  <si>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</si>
  <si>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</si>
  <si>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</si>
  <si>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</si>
  <si>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</si>
  <si>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</si>
  <si>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</si>
  <si>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</si>
  <si>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</si>
  <si>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</si>
  <si>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</si>
  <si>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</si>
  <si>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</si>
  <si>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</si>
  <si>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</si>
  <si>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</si>
  <si>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</si>
  <si>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</si>
  <si>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</si>
  <si>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</si>
  <si>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</si>
  <si>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</si>
  <si>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</si>
  <si>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</si>
  <si>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</si>
  <si>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</si>
  <si>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</si>
  <si>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</si>
  <si>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</si>
  <si>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</si>
  <si>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</si>
  <si>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</si>
  <si>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</si>
  <si>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</si>
  <si>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</si>
  <si>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</si>
  <si>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</si>
  <si>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</si>
  <si>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</si>
  <si>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</si>
  <si>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</si>
  <si>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</si>
  <si>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</si>
  <si>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</si>
  <si>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</si>
  <si>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</si>
  <si>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</si>
  <si>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</si>
  <si>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</si>
  <si>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</si>
  <si>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</si>
  <si>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</si>
  <si>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</si>
  <si>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</si>
  <si>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</si>
  <si>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</si>
  <si>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</si>
  <si>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</si>
  <si>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</si>
  <si>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</si>
  <si>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</si>
  <si>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</si>
  <si>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</si>
  <si>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</si>
  <si>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</si>
  <si>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</si>
  <si>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</si>
  <si>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</si>
  <si>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</si>
  <si>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</si>
  <si>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</si>
  <si>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</si>
  <si>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</si>
  <si>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</si>
  <si>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</si>
  <si>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</si>
  <si>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</si>
  <si>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</si>
  <si>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</si>
  <si>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</si>
  <si>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</si>
  <si>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</si>
  <si>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</si>
  <si>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</si>
  <si>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</si>
  <si>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</si>
  <si>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</si>
  <si>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</si>
  <si>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</si>
  <si>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</si>
  <si>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</si>
  <si>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</si>
  <si>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</si>
  <si>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</si>
  <si>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</si>
  <si>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</si>
  <si>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</si>
  <si>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</si>
  <si>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</si>
  <si>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</si>
  <si>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</si>
  <si>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</si>
  <si>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</si>
  <si>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</si>
  <si>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</si>
  <si>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</si>
  <si>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</si>
  <si>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</si>
  <si>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</si>
  <si>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</si>
  <si>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</si>
  <si>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</si>
  <si>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</si>
  <si>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</si>
  <si>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</si>
  <si>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</si>
  <si>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</si>
  <si>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</si>
  <si>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</si>
  <si>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</si>
  <si>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</si>
  <si>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</si>
  <si>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</si>
  <si>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</si>
  <si>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</si>
  <si>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</si>
  <si>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</si>
  <si>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</si>
  <si>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</si>
  <si>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</si>
  <si>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</si>
  <si>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</si>
  <si>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</si>
  <si>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</si>
  <si>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</si>
  <si>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</si>
  <si>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</si>
  <si>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</si>
  <si>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</si>
  <si>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</si>
  <si>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</si>
  <si>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</si>
  <si>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</si>
  <si>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</si>
  <si>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</si>
  <si>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</si>
  <si>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</si>
  <si>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</si>
  <si>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</si>
  <si>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</si>
  <si>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</si>
  <si>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</si>
  <si>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</si>
  <si>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</si>
  <si>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</si>
  <si>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</si>
  <si>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</si>
  <si>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</si>
  <si>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</si>
  <si>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</si>
  <si>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</si>
  <si>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</si>
  <si>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</si>
  <si>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</si>
  <si>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</si>
  <si>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</si>
  <si>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</si>
  <si>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</si>
  <si>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</si>
  <si>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</si>
  <si>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</si>
  <si>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</si>
  <si>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</si>
  <si>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</si>
  <si>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</si>
  <si>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</si>
  <si>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</si>
  <si>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</si>
  <si>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</si>
  <si>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</si>
  <si>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</si>
  <si>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</si>
  <si>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</si>
  <si>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</si>
  <si>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</si>
  <si>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</si>
  <si>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</si>
  <si>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</si>
  <si>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</si>
  <si>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</si>
  <si>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</si>
  <si>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</si>
  <si>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</si>
  <si>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</si>
  <si>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</si>
  <si>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</si>
  <si>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</si>
  <si>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</si>
  <si>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</si>
  <si>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</si>
  <si>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</si>
  <si>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</si>
  <si>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</si>
  <si>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</si>
  <si>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</si>
  <si>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</si>
  <si>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</si>
  <si>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</si>
  <si>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</si>
  <si>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</si>
  <si>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</si>
  <si>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</si>
  <si>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</si>
  <si>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</si>
  <si>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</si>
  <si>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</si>
  <si>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</si>
  <si>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</si>
  <si>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</si>
  <si>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</si>
  <si>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</si>
  <si>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</si>
  <si>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</si>
  <si>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</si>
  <si>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</si>
  <si>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</si>
  <si>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</si>
  <si>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</si>
  <si>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</si>
  <si>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</si>
  <si>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</si>
  <si>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</si>
  <si>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</si>
  <si>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</si>
  <si>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</si>
  <si>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</si>
  <si>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</si>
  <si>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</si>
  <si>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</si>
  <si>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</si>
  <si>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</si>
  <si>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</si>
  <si>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</si>
  <si>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</si>
  <si>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</si>
  <si>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</si>
  <si>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</si>
  <si>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</si>
  <si>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</si>
  <si>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</si>
  <si>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</si>
  <si>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</si>
  <si>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</si>
  <si>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</si>
  <si>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</si>
  <si>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</si>
  <si>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</si>
  <si>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</si>
  <si>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</si>
  <si>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</si>
  <si>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</si>
  <si>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</si>
  <si>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</si>
  <si>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</si>
  <si>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</si>
  <si>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</si>
  <si>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</si>
  <si>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</si>
  <si>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</si>
  <si>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</si>
  <si>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</si>
  <si>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</si>
  <si>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</si>
  <si>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</si>
  <si>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</si>
  <si>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</si>
  <si>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</si>
  <si>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</si>
  <si>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</si>
  <si>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</si>
  <si>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</si>
  <si>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</si>
  <si>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</si>
  <si>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</si>
  <si>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</si>
  <si>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</si>
  <si>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</si>
  <si>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</si>
  <si>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</si>
  <si>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</si>
  <si>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</si>
  <si>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</si>
  <si>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</si>
  <si>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</si>
  <si>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</si>
  <si>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</si>
  <si>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</si>
  <si>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</si>
  <si>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</si>
  <si>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</si>
  <si>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</si>
  <si>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</si>
  <si>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</si>
  <si>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</si>
  <si>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</si>
  <si>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</si>
  <si>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</si>
  <si>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</si>
  <si>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</si>
  <si>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</si>
  <si>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</si>
  <si>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</si>
  <si>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</si>
  <si>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</si>
  <si>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</si>
  <si>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</si>
  <si>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</si>
  <si>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</si>
  <si>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</si>
  <si>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</si>
  <si>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</si>
  <si>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</si>
  <si>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</si>
  <si>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</si>
  <si>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</si>
  <si>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</si>
  <si>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</si>
  <si>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</si>
  <si>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</si>
  <si>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</si>
  <si>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</si>
  <si>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</si>
  <si>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</si>
  <si>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</si>
  <si>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</si>
  <si>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</si>
  <si>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</si>
  <si>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</si>
  <si>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</si>
  <si>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</si>
  <si>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</si>
  <si>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</si>
  <si>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</si>
  <si>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</si>
  <si>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</si>
  <si>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</si>
  <si>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</si>
  <si>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</si>
  <si>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</si>
  <si>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</si>
  <si>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</si>
  <si>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</si>
  <si>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</si>
  <si>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</si>
  <si>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</si>
  <si>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</si>
  <si>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</si>
  <si>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</si>
  <si>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</si>
  <si>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</si>
  <si>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</si>
  <si>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</si>
  <si>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</si>
  <si>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</si>
  <si>
    <t>Livestock classes</t>
  </si>
  <si>
    <t>Livestock class</t>
  </si>
  <si>
    <t>Table_LivestockClasses_Dairy</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</si>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</sst>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xf numFmtId="0" fontId="18" fillId="0" borderId="0" xfId="34"/>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0D9D96"/>
      <color rgb="FFCC6600"/>
      <color rgb="FFC4434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44340"/>
                            </a:solidFill>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6A23F-3930-4C16-9B92-37DD408BCC17}" name="Table_LivestockClasses_Dairy" displayName="Table_LivestockClasses_Dairy" ref="L7:L12" totalsRowShown="0">
  <autoFilter ref="L7:L12" xr:uid="{F006A23F-3930-4C16-9B92-37DD408BCC17}">
    <filterColumn colId="0" hiddenButton="1"/>
  </autoFilter>
  <tableColumns count="1">
    <tableColumn id="1" xr3:uid="{B95B5B59-2A4B-46CF-AD90-30078B653BC2}"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3B1326D-30CA-47B3-B1EC-DED46C8420C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8940301-73BB-4E67-AB2A-576750CFE648}" name="State/Territory">
      <calculatedColumnFormula array="1">Common_InputFunctions.Utility_DisplayArrayInTable(Common_SourceData.Common_SourceData_AustralianStatesTerritories_Data(),Table_AustralianStates[[#Headers],[State/Territory]],0)</calculatedColumnFormula>
    </tableColumn>
    <tableColumn id="2" xr3:uid="{077233D8-4B9E-42A1-A188-E6D2EA4B6623}" name="Common Name">
      <calculatedColumnFormula array="1">Common_InputFunctions.Utility_DisplayArrayInTable(Common_SourceData.Common_SourceData_AustralianStatesTerritories_Data(),Table_AustralianStates[[#Headers],[State/Territory]],0)</calculatedColumnFormula>
    </tableColumn>
    <tableColumn id="3" xr3:uid="{0941E61A-7042-4BC6-8438-CC4265A96E6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8FC0919-46DF-4FC2-96E0-D5C3A54938DE}" name="Table_WASA4Areas" displayName="Table_WASA4Areas" ref="D20:D30" totalsRowShown="0">
  <autoFilter ref="D20:D30" xr:uid="{5FA81339-C6C8-4D36-BEEA-6C4AEDD9E676}">
    <filterColumn colId="0" hiddenButton="1"/>
  </autoFilter>
  <tableColumns count="1">
    <tableColumn id="1" xr3:uid="{B2A9F4A5-C482-4490-910E-2593617867A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E0F15F7-FE7D-4580-92D9-7041C4BC7C80}" name="Table_GWPData" displayName="Table_GWPData" ref="D36:E43" totalsRowShown="0">
  <autoFilter ref="D36:E43" xr:uid="{B8E87A66-3E41-4AD3-925D-01EE21B43D7A}">
    <filterColumn colId="0" hiddenButton="1"/>
    <filterColumn colId="1" hiddenButton="1"/>
  </autoFilter>
  <tableColumns count="2">
    <tableColumn id="1" xr3:uid="{C53EDF46-CDE2-4807-8072-0C05E41A33FE}" name="Gas">
      <calculatedColumnFormula array="1">Common_InputFunctions.Utility_DisplayArrayInTable(Common_SourceData.Common_SourceData_GWP_Data(), Table_GWPData[[#Headers],[Gas]], 0)</calculatedColumnFormula>
    </tableColumn>
    <tableColumn id="2" xr3:uid="{4ED7ACE3-2800-4447-87EA-D924EDA5482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CB8C8D-756D-4DB8-9144-3D8D2A95D97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42FEA96-5497-4866-A159-979FE44FDFB7}" name="Gas">
      <calculatedColumnFormula array="1">Common_InputFunctions.Utility_DisplayArrayInTable(Common_SourceData.Common_SourceData_ConvertGasElementalToMolecular_Data(),Table_GasToMolecularConversionFactor[[#Headers],[Gas]], 0)</calculatedColumnFormula>
    </tableColumn>
    <tableColumn id="5" xr3:uid="{713EA0A8-49A5-404A-ACFF-780668706409}" name="Conversion factor">
      <calculatedColumnFormula array="1">Common_InputFunctions.Utility_DisplayArrayInTable(Common_SourceData.Common_SourceData_ConvertGasElementalToMolecular_Data(),Table_GasToMolecularConversionFactor[[#Headers],[Gas]], 0)</calculatedColumnFormula>
    </tableColumn>
    <tableColumn id="2" xr3:uid="{448F30CB-61D1-4085-A718-166A75A3183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CA76477-7B49-47EA-B5F7-538DA864B31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DC990B-D166-4A5F-91CF-1DB1DB6AAB6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C13B002-90C3-484E-9782-B9D960328D9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B9B908E-1BE0-4D5E-9CAA-3C18FD51777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2726A8A-604C-4418-9792-E9EEB41624FA}" name="MA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3" xr3:uid="{FA055059-DCD3-4AFB-AA37-47F221DA8107}" name="MA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4" xr3:uid="{B2EE3390-A1BB-4701-9FCD-A1DACD818881}" name="Frost days per year"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5" xr3:uid="{3F1A5CF1-982A-479D-96A8-5A9C6D7B28AC}" name="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6" xr3:uid="{DB27E112-2642-459E-A397-CD3A231E02B7}" name="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7" xr3:uid="{5EE3DAEA-6262-46D3-9CD6-753AE4FC2AD9}" name="Min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8" xr3:uid="{51FACF7B-8B1B-4E14-8BA1-48ECA667061A}" name="Max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9" xr3:uid="{EF98AA39-6ED1-429B-B5C1-6760EF8FB884}" name="Min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0" xr3:uid="{817FCA0A-8706-42A8-B5E7-4CED418AE055}" name="Max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1" xr3:uid="{06FFA228-7D1B-4AA4-8A9D-3C48BEB59253}" name="Min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5" xr3:uid="{D2EF5F67-8FA0-4936-911F-F738FDB3DCEE}" name="Max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2" xr3:uid="{9CB46819-5998-49A1-A054-7D7DA3F96FA8}" name="Min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6" xr3:uid="{E224DD33-CF91-4144-A506-C5F79F6A47EF}" name="Max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3" xr3:uid="{F0BD4E15-3DD4-49E4-9CF0-359D880DA1F6}" name="Min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7" xr3:uid="{17EAC686-3C63-4997-BAB8-2741A6149C58}" name="Max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77B9CD-F280-4FBC-868F-B8BBC5B58B3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72669FE-214C-4095-A4D7-A28118FF26D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6FDC36C-00C3-44FB-AE5B-FEB17ACE9393}" name="Wet or Dry Zone" totalsRowDxfId="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CDBE6C4-AED8-4DB8-AD2A-C2074CA3443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3A8EA1B-3F87-4EBE-8349-7D6704974524}" name="Temperature Zone">
      <calculatedColumnFormula array="1">Common_InputFunctions.Utility_DisplayArrayInTable(Common_SourceData.Common_SourceData_TemperatureZones_Data(),Table_SourceData_TemperatureZones[[#Headers],[Temperature Zone]],0)</calculatedColumnFormula>
    </tableColumn>
    <tableColumn id="2" xr3:uid="{9B5D9E4A-4CDC-46A9-BBDE-AA93CFC1AFAE}" name="MAT">
      <calculatedColumnFormula array="1">Common_InputFunctions.Utility_DisplayArrayInTable(Common_SourceData.Common_SourceData_TemperatureZones_Data(),Table_SourceData_TemperatureZones[[#Headers],[Temperature Zone]],0)</calculatedColumnFormula>
    </tableColumn>
    <tableColumn id="3" xr3:uid="{E9BB88A3-9DEE-4007-9D23-853ADFC5809E}" name="Min MAT">
      <calculatedColumnFormula array="1">Common_InputFunctions.Utility_DisplayArrayInTable(Common_SourceData.Common_SourceData_TemperatureZones_Data(),Table_SourceData_TemperatureZones[[#Headers],[Temperature Zone]],0)</calculatedColumnFormula>
    </tableColumn>
    <tableColumn id="4" xr3:uid="{38D1D5E0-F431-46D8-8849-5F30310E016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BB7F5F7-3175-4E04-B99E-60D19AC8786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D372174-B054-4DF8-A4D0-0DDDF38F3F4F}" name="Rainfall Zone">
      <calculatedColumnFormula array="1">Common_InputFunctions.Utility_DisplayArrayInTable(Common_SourceData.Common_SourceData_RainfallZones_Data(),Table_SourceData_RainfallZones[[#Headers],[Rainfall Zone]],0)</calculatedColumnFormula>
    </tableColumn>
    <tableColumn id="2" xr3:uid="{6FE92E37-1C2F-4777-87B1-15ACB106FD5E}" name="Annual rainfall">
      <calculatedColumnFormula array="1">Common_InputFunctions.Utility_DisplayArrayInTable(Common_SourceData.Common_SourceData_RainfallZones_Data(),Table_SourceData_RainfallZones[[#Headers],[Rainfall Zone]],0)</calculatedColumnFormula>
    </tableColumn>
    <tableColumn id="3" xr3:uid="{CDF87C3B-E69B-44D3-9108-C39643CF2A27}" name="Min rainfall">
      <calculatedColumnFormula array="1">Common_InputFunctions.Utility_DisplayArrayInTable(Common_SourceData.Common_SourceData_RainfallZones_Data(),Table_SourceData_RainfallZones[[#Headers],[Rainfall Zone]],0)</calculatedColumnFormula>
    </tableColumn>
    <tableColumn id="4" xr3:uid="{73DE8C76-6E1B-4328-BA12-B0F0ED9505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E3FE8CB-1BE6-4916-968D-80F0CE38C17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20642F8-E0D6-4BF3-A1F3-20AA97B86EC2}" name="Leaching Zone">
      <calculatedColumnFormula array="1">Common_InputFunctions.Utility_DisplayArrayInTable(Common_SourceData.Common_SourceData_LeachingZones_Data(), Table_SourceData_LeachingZones[[#Headers],[Leaching Zone]], 0)</calculatedColumnFormula>
    </tableColumn>
    <tableColumn id="2" xr3:uid="{86A44A7E-A83F-4401-9ACB-5929E074B9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20C3AF2-C9DC-4845-B86B-76E4A7E79D5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CA2DD05-20F5-4F13-9415-D925770CEFD6}" name="Data source">
      <calculatedColumnFormula array="1">Common_InputFunctions.Utility_DisplayArrayInTable(Common_SourceData.Common_SourceData_DataScores_Scope3_Data(), Table_SourceData_DataScores_Scope3[[#Headers],[Data source]], 0)</calculatedColumnFormula>
    </tableColumn>
    <tableColumn id="2" xr3:uid="{DBCD52F9-6B16-4FBE-A5E6-D8C0F6D7240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C7B8A88-AAE1-43B5-8298-A354C6385640}" name="Table_SourceData_FracWET" displayName="Table_SourceData_FracWET" ref="D134:E136" totalsRowShown="0">
  <autoFilter ref="D134:E136" xr:uid="{308E99BE-FE1F-47A4-B2CA-97217277C4E9}">
    <filterColumn colId="0" hiddenButton="1"/>
    <filterColumn colId="1" hiddenButton="1"/>
  </autoFilter>
  <tableColumns count="2">
    <tableColumn id="1" xr3:uid="{33B2C400-68D9-4852-A165-6C288D98BFB3}" name="Is in leaching zone">
      <calculatedColumnFormula array="1">Common_InputFunctions.Utility_DisplayArrayInTable(Common_SourceData.Common_SourceData_FracWET_Data(),Table_SourceData_FracWET[[#Headers],[Is in leaching zone]],0)</calculatedColumnFormula>
    </tableColumn>
    <tableColumn id="2" xr3:uid="{4DE24096-E8BC-4D88-B971-451C4230FDC2}" name="FracWET" dataDxfId="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3CB4F42-1D7F-4A47-8161-33E85E0183E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D016E41-453A-416D-96CA-B680A6455A7F}" name="Production system j">
      <calculatedColumnFormula array="1">Common_InputFunctions.Utility_DisplayArrayInTable(Common_SourceData.Common_SourceData_EFN2O_Data(), Table_SourceData_Common_EFN2O[[#Headers],[Production system j]], 0)</calculatedColumnFormula>
    </tableColumn>
    <tableColumn id="2" xr3:uid="{0E07C4E6-E0E5-49FD-98D8-A194F8D15B4F}" name="EFN2O">
      <calculatedColumnFormula array="1">Common_InputFunctions.Utility_DisplayArrayInTable(Common_SourceData.Common_SourceData_EFN2O_Data(), Table_SourceData_Common_EFN2O[[#Headers],[Production system j]], 0)</calculatedColumnFormula>
    </tableColumn>
    <tableColumn id="3" xr3:uid="{3C5D23E4-5227-490C-A955-2C6E203709FE}" name="Production system only">
      <calculatedColumnFormula array="1">Common_InputFunctions.Utility_DisplayArrayInTable(Common_SourceData.Common_SourceData_EFN2O_Data(), Table_SourceData_Common_EFN2O[[#Headers],[Production system j]], 0)</calculatedColumnFormula>
    </tableColumn>
    <tableColumn id="4" xr3:uid="{EDD322A6-C16A-47F6-8F6F-A720A0E64536}" name="Irrigation method">
      <calculatedColumnFormula array="1">Common_InputFunctions.Utility_DisplayArrayInTable(Common_SourceData.Common_SourceData_EFN2O_Data(), Table_SourceData_Common_EFN2O[[#Headers],[Production system j]], 0)</calculatedColumnFormula>
    </tableColumn>
    <tableColumn id="5" xr3:uid="{24582054-336F-4BC6-B5B8-3A113CCD9E7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8CAC7FB-65C0-44E6-8536-0163FDA271C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19CAD40-0422-4700-8A8F-5078E2CD6E9E}" name="Irrigation type i">
      <calculatedColumnFormula array="1">Common_InputFunctions.Utility_DisplayArrayInTable(Common_SourceData.Common_SourceData_FracWETIrrigation_Data(), Table_SourceData_FracWETIrrigation[[#Headers],[Irrigation type i]], 0)</calculatedColumnFormula>
    </tableColumn>
    <tableColumn id="2" xr3:uid="{8DA4E0B0-7FE9-4001-8C6C-C00D3FD6AB31}" name="FracWET" dataDxfId="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B95320C-A575-4892-9C4A-687386393EC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F994E2A-E888-4336-95FE-752ABBCE85F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CA7DB74-73B7-4893-A31B-401DBB45EFD7}" name="EFPRP" dataDxfId="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CFC15D7-1325-4624-B3E7-F9FA509CF51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D574F38-D57D-48A9-BA0A-BD6A72E06B9D}" name="Month">
      <calculatedColumnFormula array="1">Common_InputFunctions.Utility_DisplayArrayInTable(Common_SourceData.Common_SourceData_MonthsToSeasons_Data(), Table_SourceData_Common_MonthToSeason[[#Headers],[Month]], 0)</calculatedColumnFormula>
    </tableColumn>
    <tableColumn id="2" xr3:uid="{651F99D6-BF40-4FFE-8DCB-E16AD9CEC1AA}" name="Season" dataDxfId="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EBDE6BF-6BD5-4C03-9350-72C5DBA172E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7FB77E3-EC2E-4F97-9167-E7489084AF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85C089-DF97-4DA8-ABF0-91F6354BFF6A}" name="MAT (ºC)"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1F6985B-330B-48A6-AD99-4F8215B120CC}" name="Anaerobic lago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EBF556-93E0-45B6-880F-35205D8C36C4}" name="Digester / covered lagoon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C99BDE7-5FD8-42EE-843E-085FBB1644D6}" name="Liquid system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C20D07C-B060-4211-A7F9-D3C8FFEF187E}" name="Daily spread"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D9A4615-6057-4735-BAE9-F1D3962D3986}" name="Composting (passive windro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20A3410-B7B8-4615-9A90-96CDF7655930}" name="Solid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A350AC-086D-470A-971F-03CD857B6B3D}" name="Pit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AF6D2A8-9099-4FF0-908D-D28A42B65676}" name="Deep litter"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4D277E-BB26-4345-BE30-9519AEC06E83}" name="Poultry manure with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A3B8B0B-9EAA-4DA4-B7BA-C7DC5213DF3F}" name="Poultry manure without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90CABE-7699-49D6-91DE-4B5708FB5959}" name="Direct process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728B60F-D527-436E-A969-34B4DD61FC01}" name="Direct application"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97228C8-055E-45F6-A6AF-32C5EA2492A3}" name="Pasture range and paddock"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1A700CB-C6A7-45C5-9280-A254B66FBA7E}" name="MAT raw"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46F62C5-AE9D-46B2-AB6B-5B695423998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E52A442-51C8-443F-93C8-CF5B34F6BED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9EBF67B-F3B8-47F7-91FC-529C28066D33}" name="EFNi &amp; EFN2Oi" dataDxfId="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D4A507F-6CCF-427A-A419-48B4775C8AC3}"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DE47831-56CD-45ED-9400-63E11413BC18}" name="Description" dataDxfId="6" dataCellStyle="Content normal"/>
    <tableColumn id="1" xr3:uid="{FA928827-4BC8-497E-B195-EDFA101822F9}" name="ID"/>
    <tableColumn id="3" xr3:uid="{EA6F302D-3FE7-499E-8F4A-9839EAB7B25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70B55BE-FEAD-4D22-8F15-157A1CB75B4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E97A203-6EC9-4794-95B1-4623E7FE42F8}" name="Description"/>
    <tableColumn id="2" xr3:uid="{1B1F1869-4C81-47F7-87E5-752E06DE724C}" name="ID"/>
    <tableColumn id="3" xr3:uid="{68D3583D-2375-4B50-A1CD-A5C356DDD6F6}"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3AA69D3-29F7-4B1E-956B-102EF5C46F65}"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E21B539-E400-4AB1-81D5-736D1B14085D}" name="Description"/>
    <tableColumn id="2" xr3:uid="{517B4DC0-A850-4CF9-847F-6AB14241094C}" name="ID"/>
    <tableColumn id="3" xr3:uid="{653D9115-14BF-451F-885D-DE7E44949718}"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1809687-8924-4EB9-859F-2C38922FA87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E3383BEC-CC8B-44C9-826D-C4506B4E31D9}" name="Description"/>
    <tableColumn id="2" xr3:uid="{83E037AC-7D3C-4FB2-A0F3-CFBF6FB510CA}" name="ID"/>
    <tableColumn id="3" xr3:uid="{7CB4660B-06E3-4D2A-888D-4C32832AA5EA}"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10.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9" sqref="A29"/>
    </sheetView>
  </sheetViews>
  <sheetFormatPr defaultRowHeight="15" x14ac:dyDescent="0.25"/>
  <sheetData>
    <row r="1" spans="1:1" x14ac:dyDescent="0.25">
      <c r="A1" t="s">
        <v>470</v>
      </c>
    </row>
    <row r="3" spans="1:1" x14ac:dyDescent="0.25">
      <c r="A3" s="155" t="str">
        <f>HYPERLINK("#'Home'!A1", "Home")</f>
        <v>Home</v>
      </c>
    </row>
    <row r="6" spans="1:1" x14ac:dyDescent="0.25">
      <c r="A6" s="15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sheetPr>
    <tabColor rgb="FF0C769E"/>
  </sheetPr>
  <dimension ref="A1:BL82"/>
  <sheetViews>
    <sheetView showGridLines="0" zoomScaleNormal="100" workbookViewId="0">
      <selection activeCell="A29" sqref="A29"/>
    </sheetView>
  </sheetViews>
  <sheetFormatPr defaultRowHeight="15" x14ac:dyDescent="0.25"/>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9" t="str">
        <f>HYPERLINK("#'Results'!A1", "Results")</f>
        <v>Results</v>
      </c>
      <c r="C5" s="23"/>
      <c r="D5" s="27"/>
      <c r="E5" s="28"/>
      <c r="F5" s="28"/>
      <c r="G5" s="28"/>
      <c r="H5" s="25"/>
      <c r="I5" s="23"/>
      <c r="J5" s="23"/>
      <c r="K5" s="23"/>
    </row>
    <row r="6" spans="1:11" ht="20.100000000000001" customHeight="1" x14ac:dyDescent="0.25">
      <c r="C6" s="23"/>
      <c r="D6" s="118" t="s">
        <v>135</v>
      </c>
      <c r="E6" s="118" t="s">
        <v>376</v>
      </c>
      <c r="F6" s="118" t="s">
        <v>377</v>
      </c>
      <c r="G6" s="118" t="s">
        <v>152</v>
      </c>
      <c r="H6" s="118" t="s">
        <v>382</v>
      </c>
      <c r="I6" s="118" t="s">
        <v>383</v>
      </c>
      <c r="J6" s="118" t="s">
        <v>153</v>
      </c>
      <c r="K6" s="23"/>
    </row>
    <row r="7" spans="1:11" ht="20.100000000000001" customHeight="1" x14ac:dyDescent="0.25">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100000000000001" customHeight="1" x14ac:dyDescent="0.25">
      <c r="A8" s="19" t="s">
        <v>0</v>
      </c>
      <c r="C8" s="23"/>
      <c r="D8" s="1" t="s">
        <v>379</v>
      </c>
      <c r="E8" s="113">
        <f>VEERG_4_3_1_3__1_TotalAnnualDirectNitrousOxideEmissionsFromMMS_Result_Method1</f>
        <v>5.8975625860183567E-2</v>
      </c>
      <c r="F8" s="113">
        <f>VEERG_4_3_1_3__1_TotalAnnualDirectNitrousOxideEmissionsFromMMS_Result_Method2</f>
        <v>5.8975625860183567E-2</v>
      </c>
      <c r="G8" s="55" t="str">
        <f>'4.3.1.3-4 Direct N20'!$F$287</f>
        <v>t N2O</v>
      </c>
      <c r="H8" s="113">
        <f>'4.3.1.3-4 Direct N20'!$E$292</f>
        <v>15.628540852948646</v>
      </c>
      <c r="I8" s="113">
        <f>'4.3.1.3-4 Direct N20'!$O$292</f>
        <v>15.628540852948646</v>
      </c>
      <c r="J8" s="55" t="str">
        <f>'4.3.1.3-4 Direct N20'!$F$292</f>
        <v>t CO2e</v>
      </c>
      <c r="K8" s="23"/>
    </row>
    <row r="9" spans="1:11" ht="20.100000000000001" customHeight="1" x14ac:dyDescent="0.25">
      <c r="A9" s="17" t="str">
        <f>HYPERLINK("#'Input - Site'!A1", "Site")</f>
        <v>Site</v>
      </c>
      <c r="C9" s="23"/>
      <c r="D9" s="1" t="s">
        <v>380</v>
      </c>
      <c r="E9" s="113">
        <f>VEERG_4_3_1_5__1_AnnualAtmosphericDepositionEmissionsFromMMS_Result_Method1</f>
        <v>4.7299753181434263E-2</v>
      </c>
      <c r="F9" s="113">
        <f>VEERG_4_3_1_5__1_AnnualAtmosphericDepositionEmissionsFromMMS_Result_Method2</f>
        <v>4.7299753181434263E-2</v>
      </c>
      <c r="G9" s="55" t="str">
        <f>'4.3.1.5 Atmos deposition'!$F$68</f>
        <v>t N2O</v>
      </c>
      <c r="H9" s="113">
        <f>'4.3.1.5 Atmos deposition'!$E$73</f>
        <v>12.53443459308008</v>
      </c>
      <c r="I9" s="113">
        <f>'4.3.1.5 Atmos deposition'!$P$73</f>
        <v>12.53443459308008</v>
      </c>
      <c r="J9" s="55" t="str">
        <f>'4.3.1.5 Atmos deposition'!$F$73</f>
        <v>t CO2e</v>
      </c>
      <c r="K9" s="23"/>
    </row>
    <row r="10" spans="1:11" ht="20.100000000000001" customHeight="1" x14ac:dyDescent="0.25">
      <c r="A10" s="17" t="str">
        <f>HYPERLINK("#'Input - Dairy'!A1", "Dairy")</f>
        <v>Dairy</v>
      </c>
      <c r="C10" s="23"/>
      <c r="D10" s="1" t="s">
        <v>381</v>
      </c>
      <c r="E10" s="113">
        <f>VEERG_4_3_1_6__1_AnnualEmissionsFromLeachingAndRunoffFromMMS_Result_Method1</f>
        <v>2.5949275378480772E-3</v>
      </c>
      <c r="F10" s="113">
        <f>VEERG_4_3_1_6__1_AnnualEmissionsFromLeachingAndRunoffFromMMS_Result_Method2</f>
        <v>2.5949275378480772E-3</v>
      </c>
      <c r="G10" s="55" t="str">
        <f>'4.3.1.6-7 Leaching and runoff'!$F$52</f>
        <v>t N2O</v>
      </c>
      <c r="H10" s="113">
        <f>'4.3.1.6-7 Leaching and runoff'!$E$57</f>
        <v>0.68765579752974049</v>
      </c>
      <c r="I10" s="113">
        <f>'4.3.1.6-7 Leaching and runoff'!$P$57</f>
        <v>0.68765579752974049</v>
      </c>
      <c r="J10" s="55" t="str">
        <f>'4.3.1.6-7 Leaching and runoff'!$F$57</f>
        <v>t CO2e</v>
      </c>
      <c r="K10" s="23"/>
    </row>
    <row r="11" spans="1:11" ht="20.100000000000001" customHeight="1" x14ac:dyDescent="0.25">
      <c r="C11" s="23"/>
      <c r="D11" s="1" t="s">
        <v>348</v>
      </c>
      <c r="E11" s="113">
        <f>VEERG_4_3_1_9__1_DirectNitrousOxideEmissionsOnPasture_Result_Method1</f>
        <v>7.4716451267705888E-2</v>
      </c>
      <c r="F11" s="113">
        <f>VEERG_4_3_1_9__1_DirectNitrousOxideEmissionsOnPasture_Result_Method2</f>
        <v>7.4716451267705888E-2</v>
      </c>
      <c r="G11" s="55" t="str">
        <f>'4.3.1.9 Soil direct N2O'!$F$53</f>
        <v>t N2O</v>
      </c>
      <c r="H11" s="113">
        <f>'4.3.1.9 Soil direct N2O'!$E$58</f>
        <v>19.799859585942059</v>
      </c>
      <c r="I11" s="113">
        <f>'4.3.1.9 Soil direct N2O'!$P$58</f>
        <v>19.799859585942059</v>
      </c>
      <c r="J11" s="55" t="str">
        <f>'4.3.1.9 Soil direct N2O'!$F$58</f>
        <v>t CO2e</v>
      </c>
      <c r="K11" s="23"/>
    </row>
    <row r="12" spans="1:11" ht="20.100000000000001" customHeight="1" x14ac:dyDescent="0.25">
      <c r="C12" s="23"/>
      <c r="D12" s="1" t="s">
        <v>364</v>
      </c>
      <c r="E12" s="113">
        <f>VEERG_4_3_1_10__1_AtmosphericDepositionEmissionsFromUrineAndDungOnPasture_Result_Method1</f>
        <v>4.6286841560343794E-2</v>
      </c>
      <c r="F12" s="113">
        <f>VEERG_4_3_1_10__1_AtmosphericDepositionEmissionsFromUrineAndDungOnPasture_Result_Method2</f>
        <v>4.6286841560343794E-2</v>
      </c>
      <c r="G12" s="55" t="str">
        <f>'4.3.1.10-11 Soil Atmos Dep'!$F$45</f>
        <v>t N2O</v>
      </c>
      <c r="H12" s="113">
        <f>'4.3.1.10-11 Soil Atmos Dep'!$E$50</f>
        <v>12.266013013491106</v>
      </c>
      <c r="I12" s="113">
        <f>'4.3.1.10-11 Soil Atmos Dep'!$P$50</f>
        <v>12.266013013491106</v>
      </c>
      <c r="J12" s="55" t="str">
        <f>'4.3.1.10-11 Soil Atmos Dep'!$F$50</f>
        <v>t CO2e</v>
      </c>
      <c r="K12" s="23"/>
    </row>
    <row r="13" spans="1:11" ht="20.100000000000001" customHeight="1" x14ac:dyDescent="0.25">
      <c r="A13" s="18" t="s">
        <v>73</v>
      </c>
      <c r="C13" s="23"/>
      <c r="D13" s="1" t="s">
        <v>365</v>
      </c>
      <c r="E13" s="113">
        <f>VEERG_4_3_1_12__1_LeachingAndRunoffEmissionsFromUrineAndDungOnPasture_Result_Method1</f>
        <v>9.8625715673371778E-2</v>
      </c>
      <c r="F13" s="113">
        <f>VEERG_4_3_1_12__1_LeachingAndRunoffEmissionsFromUrineAndDungOnPasture_Result_Method2</f>
        <v>9.8625715673371778E-2</v>
      </c>
      <c r="G13" s="55" t="str">
        <f>'4.3.1.12-13 Soil leach runoff'!$F$47</f>
        <v>t N2O</v>
      </c>
      <c r="H13" s="113">
        <f>'4.3.1.12-13 Soil leach runoff'!$E$52</f>
        <v>26.135814653443521</v>
      </c>
      <c r="I13" s="113">
        <f>'4.3.1.12-13 Soil leach runoff'!$P$52</f>
        <v>26.135814653443521</v>
      </c>
      <c r="J13" s="55" t="str">
        <f>'4.3.1.12-13 Soil leach runoff'!$F$52</f>
        <v>t CO2e</v>
      </c>
      <c r="K13" s="23"/>
    </row>
    <row r="14" spans="1:11" ht="20.100000000000001" customHeight="1" x14ac:dyDescent="0.3">
      <c r="A14" s="17" t="str">
        <f>HYPERLINK("#'4.3.1.1-2 Methane'!A1", "4.3.1.1-2 Methane")</f>
        <v>4.3.1.1-2 Methane</v>
      </c>
      <c r="C14" s="23"/>
      <c r="D14" s="30" t="s">
        <v>150</v>
      </c>
      <c r="E14" s="24"/>
      <c r="F14" s="24"/>
      <c r="G14" s="30"/>
      <c r="H14" s="115">
        <f ca="1">SUM(H7:H13)</f>
        <v>375.85399394671686</v>
      </c>
      <c r="I14" s="115">
        <f ca="1">SUM(I7:I13)</f>
        <v>384.99210449142083</v>
      </c>
      <c r="J14" s="108" t="s">
        <v>346</v>
      </c>
      <c r="K14" s="23"/>
    </row>
    <row r="15" spans="1:11" ht="20.100000000000001" customHeight="1" x14ac:dyDescent="0.25">
      <c r="A15" s="17" t="str">
        <f>HYPERLINK("#'4.3.1.3-4 Direct N20'!A1", "4.3.1.3-4 Direct N20")</f>
        <v>4.3.1.3-4 Direct N20</v>
      </c>
      <c r="C15" s="23"/>
      <c r="D15" s="1"/>
      <c r="E15" s="1"/>
      <c r="F15" s="1"/>
      <c r="G15" s="25"/>
      <c r="H15" s="23"/>
      <c r="I15" s="1"/>
      <c r="J15" s="1"/>
      <c r="K15" s="23"/>
    </row>
    <row r="16" spans="1:11" ht="20.100000000000001" customHeight="1" x14ac:dyDescent="0.25">
      <c r="A16" s="17" t="str">
        <f>HYPERLINK("#'4.3.1.5 Atmos deposition'!A1", "4.3.1.5 Atmos deposition")</f>
        <v>4.3.1.5 Atmos deposition</v>
      </c>
      <c r="C16" s="23"/>
      <c r="D16" s="49" t="s">
        <v>334</v>
      </c>
      <c r="E16" s="1"/>
      <c r="F16" s="1"/>
      <c r="G16" s="1"/>
      <c r="H16" s="25"/>
      <c r="I16" s="1"/>
      <c r="J16" s="1"/>
      <c r="K16" s="23"/>
    </row>
    <row r="17" spans="1:11" ht="20.100000000000001" customHeight="1" x14ac:dyDescent="0.25">
      <c r="A17" s="17" t="str">
        <f>HYPERLINK("#'4.3.1.6-7 Leaching and runoff'!A1", "4.3.1.6-7 Leaching and runoff")</f>
        <v>4.3.1.6-7 Leaching and runoff</v>
      </c>
      <c r="C17" s="23"/>
      <c r="D17" s="109" t="s">
        <v>157</v>
      </c>
      <c r="E17" s="1"/>
      <c r="F17" s="1"/>
      <c r="G17" s="1"/>
      <c r="H17" s="1"/>
      <c r="I17" s="1"/>
      <c r="J17" s="1"/>
      <c r="K17" s="23"/>
    </row>
    <row r="18" spans="1:11" ht="20.100000000000001" customHeight="1" x14ac:dyDescent="0.25">
      <c r="A18" s="17" t="str">
        <f>HYPERLINK("#'4.3.1.8 Manure applied to soils'!A1", "4.3.1.8 Manure applied to soils")</f>
        <v>4.3.1.8 Manure applied to soils</v>
      </c>
      <c r="C18" s="23"/>
      <c r="D18" s="116" t="s">
        <v>163</v>
      </c>
      <c r="E18" s="1"/>
      <c r="F18" s="1"/>
      <c r="G18" s="1"/>
      <c r="H18" s="1"/>
      <c r="I18" s="1"/>
      <c r="J18" s="1"/>
      <c r="K18" s="23"/>
    </row>
    <row r="19" spans="1:11" ht="20.100000000000001" customHeight="1" x14ac:dyDescent="0.25">
      <c r="A19" s="17" t="str">
        <f>HYPERLINK("#'4.3.1.9 Soil direct N2O'!A1", "4.3.1.9 Soil direct N2O")</f>
        <v>4.3.1.9 Soil direct N2O</v>
      </c>
      <c r="C19" s="23"/>
      <c r="D19" s="118" t="s">
        <v>158</v>
      </c>
      <c r="E19" s="118" t="s">
        <v>464</v>
      </c>
      <c r="F19" s="118" t="s">
        <v>465</v>
      </c>
      <c r="G19" s="118" t="s">
        <v>156</v>
      </c>
      <c r="H19" s="118" t="s">
        <v>151</v>
      </c>
      <c r="I19" s="118" t="s">
        <v>162</v>
      </c>
      <c r="J19" s="1"/>
      <c r="K19" s="23"/>
    </row>
    <row r="20" spans="1:11" ht="20.100000000000001" customHeight="1" x14ac:dyDescent="0.25">
      <c r="A20" s="17" t="str">
        <f>HYPERLINK("#'4.3.1.10-11 Soil Atmos Dep'!A1", "4.3.1.10-11 Soil Atmos Dep")</f>
        <v>4.3.1.10-11 Soil Atmos Dep</v>
      </c>
      <c r="C20" s="23"/>
      <c r="D20" s="1" t="s">
        <v>389</v>
      </c>
      <c r="E20" s="117">
        <f ca="1">VEERG_4_3_1_8__1_MassOfNitrogenAppliedToSoilsScope1_Result_Method1</f>
        <v>11592.578908618651</v>
      </c>
      <c r="F20" s="117">
        <f ca="1">VEERG_4_3_1_8__1_MassOfNitrogenAppliedToSoilsScope1_Result_Method2</f>
        <v>11592.578908618651</v>
      </c>
      <c r="G20" s="55" t="s">
        <v>126</v>
      </c>
      <c r="H20" s="1" t="s">
        <v>384</v>
      </c>
      <c r="I20" s="1" t="s">
        <v>161</v>
      </c>
      <c r="J20" s="1"/>
      <c r="K20" s="23"/>
    </row>
    <row r="21" spans="1:11" ht="20.100000000000001" customHeight="1" x14ac:dyDescent="0.25">
      <c r="A21" s="17" t="str">
        <f>HYPERLINK("#'4.3.1.12-13 Soil leach runoff'!A1", "4.3.1.12-13 Soil leach runoff")</f>
        <v>4.3.1.12-13 Soil leach runoff</v>
      </c>
      <c r="C21" s="23"/>
      <c r="D21" s="1" t="s">
        <v>159</v>
      </c>
      <c r="E21" s="117">
        <f>'4.3.1.8 Manure applied to soils'!$E$148</f>
        <v>3864.1929695395502</v>
      </c>
      <c r="F21" s="117">
        <f>'4.3.1.8 Manure applied to soils'!$P$148</f>
        <v>3864.1929695395502</v>
      </c>
      <c r="G21" s="55" t="s">
        <v>126</v>
      </c>
      <c r="H21" s="1" t="s">
        <v>384</v>
      </c>
      <c r="I21" s="1" t="s">
        <v>161</v>
      </c>
      <c r="J21" s="1"/>
      <c r="K21" s="23"/>
    </row>
    <row r="22" spans="1:11" ht="20.100000000000001" customHeight="1" x14ac:dyDescent="0.25">
      <c r="C22" s="23"/>
      <c r="D22" s="1" t="s">
        <v>154</v>
      </c>
      <c r="E22" s="117">
        <f ca="1">VEERG_4_3_1_8__2_MassOfNitrogenAppliedToSoilsScope3_Result_Method1</f>
        <v>3864.1929695395502</v>
      </c>
      <c r="F22" s="117">
        <f ca="1">VEERG_4_3_1_8__2_MassOfNitrogenAppliedToSoilsScope3_Result_Method2</f>
        <v>3864.1929695395502</v>
      </c>
      <c r="G22" s="55" t="s">
        <v>126</v>
      </c>
      <c r="H22" s="1" t="s">
        <v>155</v>
      </c>
      <c r="I22" s="1" t="s">
        <v>160</v>
      </c>
      <c r="J22" s="23"/>
      <c r="K22" s="23"/>
    </row>
    <row r="23" spans="1:11" ht="20.100000000000001" customHeight="1" x14ac:dyDescent="0.25">
      <c r="C23" s="23"/>
      <c r="D23" s="1"/>
      <c r="E23" s="1"/>
      <c r="F23" s="1"/>
      <c r="G23" s="1"/>
      <c r="H23" s="1"/>
      <c r="I23" s="23"/>
      <c r="J23" s="23"/>
      <c r="K23" s="23"/>
    </row>
    <row r="24" spans="1:11" ht="20.100000000000001" customHeight="1" x14ac:dyDescent="0.25">
      <c r="A24" s="154" t="s">
        <v>1</v>
      </c>
      <c r="C24" s="23"/>
      <c r="D24" s="1"/>
      <c r="E24" s="1"/>
      <c r="F24" s="1"/>
      <c r="G24" s="1"/>
      <c r="H24" s="25"/>
      <c r="I24" s="23"/>
      <c r="J24" s="23"/>
      <c r="K24" s="23"/>
    </row>
    <row r="25" spans="1:11" ht="20.100000000000001" customHeight="1" x14ac:dyDescent="0.3">
      <c r="A25" s="17" t="str">
        <f>HYPERLINK("#'Constants - Dairy'!A1", "Constants - Dairy")</f>
        <v>Constants - Dairy</v>
      </c>
      <c r="C25" s="23"/>
      <c r="D25" s="1"/>
      <c r="E25" s="1"/>
      <c r="F25" s="1"/>
      <c r="G25" s="1"/>
      <c r="H25" s="28"/>
      <c r="I25" s="23"/>
      <c r="J25" s="23"/>
      <c r="K25" s="23"/>
    </row>
    <row r="26" spans="1:11" ht="20.100000000000001" customHeight="1" x14ac:dyDescent="0.25">
      <c r="A26" s="17" t="str">
        <f>HYPERLINK("#'Constants - Common'!A1", "Constants - Common")</f>
        <v>Constants - Common</v>
      </c>
      <c r="C26" s="23"/>
      <c r="D26" s="1"/>
      <c r="E26" s="1"/>
      <c r="F26" s="1"/>
      <c r="G26" s="1"/>
      <c r="H26" s="1"/>
      <c r="I26" s="1"/>
      <c r="J26" s="1"/>
      <c r="K26" s="23"/>
    </row>
    <row r="27" spans="1:11" ht="20.100000000000001" customHeight="1" x14ac:dyDescent="0.25">
      <c r="A27" s="17" t="str">
        <f>HYPERLINK("#'Constants - Livestock'!A1", "Constants - Livestock")</f>
        <v>Constants - Livestock</v>
      </c>
      <c r="C27" s="23"/>
      <c r="D27" s="1"/>
      <c r="E27" s="1"/>
      <c r="F27" s="1"/>
      <c r="G27" s="1"/>
      <c r="H27" s="1"/>
      <c r="I27" s="1"/>
      <c r="J27" s="23"/>
      <c r="K27" s="23"/>
    </row>
    <row r="28" spans="1:11" ht="20.100000000000001" customHeight="1" x14ac:dyDescent="0.25">
      <c r="A28" s="17" t="str">
        <f>HYPERLINK("#'Acknowledgements'!A1", "Acknowledgements")</f>
        <v>Acknowledgements</v>
      </c>
      <c r="C28" s="23"/>
      <c r="D28" s="1"/>
      <c r="E28" s="1"/>
      <c r="F28" s="1"/>
      <c r="G28" s="1"/>
      <c r="H28" s="1"/>
      <c r="I28" s="1"/>
      <c r="J28" s="23"/>
      <c r="K28" s="23"/>
    </row>
    <row r="29" spans="1:11" ht="20.100000000000001" customHeight="1" x14ac:dyDescent="0.25">
      <c r="A29" s="17" t="str">
        <f>HYPERLINK("#'Tab template'!A1", "Tab template")</f>
        <v>Tab template</v>
      </c>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12"/>
      <c r="J38" s="112"/>
      <c r="K38" s="23"/>
    </row>
    <row r="39" spans="3:11" ht="20.100000000000001" customHeight="1" x14ac:dyDescent="0.25">
      <c r="C39" s="23"/>
      <c r="D39" s="1"/>
      <c r="E39" s="1"/>
      <c r="F39" s="1"/>
      <c r="G39" s="1"/>
      <c r="H39" s="1"/>
      <c r="I39" s="112"/>
      <c r="J39" s="112"/>
      <c r="K39" s="23"/>
    </row>
    <row r="40" spans="3:11" ht="20.100000000000001" customHeight="1" x14ac:dyDescent="0.25">
      <c r="C40" s="23"/>
      <c r="D40" s="1"/>
      <c r="E40" s="1"/>
      <c r="F40" s="1"/>
      <c r="G40" s="1"/>
      <c r="H40" s="1"/>
      <c r="I40" s="112"/>
      <c r="J40" s="112"/>
      <c r="K40" s="23"/>
    </row>
    <row r="41" spans="3:11" ht="20.100000000000001" customHeight="1" x14ac:dyDescent="0.25">
      <c r="C41" s="23"/>
      <c r="D41" s="1"/>
      <c r="E41" s="1"/>
      <c r="F41" s="1"/>
      <c r="G41" s="1"/>
      <c r="H41" s="1"/>
      <c r="I41" s="112"/>
      <c r="J41" s="112"/>
      <c r="K41" s="23"/>
    </row>
    <row r="42" spans="3:11" ht="20.100000000000001" customHeight="1" x14ac:dyDescent="0.25">
      <c r="C42" s="23"/>
      <c r="D42" s="1"/>
      <c r="E42" s="1"/>
      <c r="F42" s="1"/>
      <c r="G42" s="1"/>
      <c r="H42" s="1"/>
      <c r="I42" s="112"/>
      <c r="J42" s="112"/>
      <c r="K42" s="23"/>
    </row>
    <row r="43" spans="3:11" ht="20.100000000000001" customHeight="1" x14ac:dyDescent="0.25">
      <c r="C43" s="23"/>
      <c r="D43" s="1"/>
      <c r="E43" s="1"/>
      <c r="F43" s="1"/>
      <c r="G43" s="1"/>
      <c r="H43" s="1"/>
      <c r="I43" s="112"/>
      <c r="J43" s="112"/>
      <c r="K43" s="23"/>
    </row>
    <row r="44" spans="3:11" ht="20.100000000000001" customHeight="1" x14ac:dyDescent="0.25">
      <c r="C44" s="23"/>
      <c r="D44" s="1"/>
      <c r="E44" s="1"/>
      <c r="F44" s="1"/>
      <c r="G44" s="1"/>
      <c r="H44" s="1"/>
      <c r="I44" s="112"/>
      <c r="J44" s="112"/>
      <c r="K44" s="23"/>
    </row>
    <row r="45" spans="3:11" ht="20.100000000000001" customHeight="1" x14ac:dyDescent="0.25">
      <c r="C45" s="23"/>
      <c r="D45" s="1"/>
      <c r="E45" s="1"/>
      <c r="F45" s="1"/>
      <c r="G45" s="1"/>
      <c r="H45" s="1"/>
      <c r="I45" s="112"/>
      <c r="J45" s="112"/>
      <c r="K45" s="23"/>
    </row>
    <row r="46" spans="3:11" ht="20.100000000000001" customHeight="1" x14ac:dyDescent="0.25">
      <c r="C46" s="23"/>
      <c r="D46" s="1"/>
      <c r="E46" s="1"/>
      <c r="F46" s="1"/>
      <c r="G46" s="1"/>
      <c r="H46" s="1"/>
      <c r="I46" s="112"/>
      <c r="J46" s="112"/>
      <c r="K46" s="23"/>
    </row>
    <row r="47" spans="3:11" ht="20.100000000000001" customHeight="1" x14ac:dyDescent="0.25">
      <c r="C47" s="23"/>
      <c r="D47" s="1"/>
      <c r="E47" s="1"/>
      <c r="F47" s="1"/>
      <c r="G47" s="1"/>
      <c r="H47" s="1"/>
      <c r="I47" s="112"/>
      <c r="J47" s="112"/>
      <c r="K47" s="23"/>
    </row>
    <row r="48" spans="3:11" ht="20.100000000000001" customHeight="1" x14ac:dyDescent="0.25">
      <c r="C48" s="23"/>
      <c r="D48" s="1"/>
      <c r="E48" s="1"/>
      <c r="F48" s="1"/>
      <c r="G48" s="1"/>
      <c r="H48" s="1"/>
      <c r="I48" s="112"/>
      <c r="J48" s="112"/>
      <c r="K48" s="23"/>
    </row>
    <row r="49" spans="3:11" ht="20.100000000000001" customHeight="1" x14ac:dyDescent="0.25">
      <c r="C49" s="23"/>
      <c r="D49" s="1"/>
      <c r="E49" s="1"/>
      <c r="F49" s="1"/>
      <c r="G49" s="1"/>
      <c r="H49" s="112"/>
      <c r="I49" s="112"/>
      <c r="J49" s="112"/>
      <c r="K49" s="23"/>
    </row>
    <row r="50" spans="3:11" ht="20.100000000000001" customHeight="1" x14ac:dyDescent="0.25">
      <c r="C50" s="23"/>
      <c r="D50" s="1"/>
      <c r="E50" s="1"/>
      <c r="F50" s="1"/>
      <c r="G50" s="1"/>
      <c r="H50" s="112"/>
      <c r="I50" s="112"/>
      <c r="J50" s="112"/>
      <c r="K50" s="23"/>
    </row>
    <row r="51" spans="3:11" ht="20.100000000000001" customHeight="1" x14ac:dyDescent="0.25">
      <c r="C51" s="23"/>
      <c r="D51" s="1"/>
      <c r="E51" s="1"/>
      <c r="F51" s="1"/>
      <c r="G51" s="1"/>
      <c r="H51" s="112"/>
      <c r="I51" s="112"/>
      <c r="J51" s="112"/>
      <c r="K51" s="23"/>
    </row>
    <row r="52" spans="3:11" ht="20.100000000000001" customHeight="1" x14ac:dyDescent="0.25">
      <c r="C52" s="23"/>
      <c r="D52" s="1"/>
      <c r="E52" s="1"/>
      <c r="F52" s="1"/>
      <c r="G52" s="1"/>
      <c r="H52" s="112"/>
      <c r="I52" s="112"/>
      <c r="J52" s="112"/>
      <c r="K52" s="23"/>
    </row>
    <row r="53" spans="3:11" ht="20.100000000000001" customHeight="1" x14ac:dyDescent="0.25">
      <c r="C53" s="23"/>
      <c r="D53" s="1"/>
      <c r="E53" s="1"/>
      <c r="F53" s="1"/>
      <c r="G53" s="1"/>
      <c r="H53" s="112"/>
      <c r="I53" s="112"/>
      <c r="J53" s="112"/>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A10" sqref="A10"/>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71</v>
      </c>
      <c r="E8" s="34" t="s">
        <v>72</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4" t="s">
        <v>86</v>
      </c>
      <c r="E10" s="92"/>
      <c r="F10" s="95"/>
      <c r="G10" s="89"/>
      <c r="N10" s="44"/>
    </row>
    <row r="11" spans="1:24" ht="20.100000000000001" customHeight="1" x14ac:dyDescent="0.25">
      <c r="A11"/>
      <c r="N11" s="45"/>
    </row>
    <row r="12" spans="1:24" ht="20.100000000000001" customHeight="1" x14ac:dyDescent="0.25">
      <c r="A12"/>
      <c r="D12" s="10" t="s">
        <v>92</v>
      </c>
      <c r="E12" s="65">
        <v>45292</v>
      </c>
      <c r="F12" s="2" t="s">
        <v>69</v>
      </c>
    </row>
    <row r="13" spans="1:24" ht="20.100000000000001" customHeight="1" x14ac:dyDescent="0.25">
      <c r="A13" s="18" t="s">
        <v>73</v>
      </c>
      <c r="D13" s="10" t="s">
        <v>93</v>
      </c>
      <c r="E13" s="70">
        <f>DATE(YEAR(X_Cell_Site_StartDate)+1,MONTH(X_Cell_Site_StartDate),DAY(X_Cell_Site_StartDate))-1</f>
        <v>45657</v>
      </c>
      <c r="F13" s="2" t="s">
        <v>14</v>
      </c>
      <c r="N13" s="39"/>
      <c r="O13" s="39"/>
    </row>
    <row r="14" spans="1:24" ht="20.100000000000001" customHeight="1" x14ac:dyDescent="0.25">
      <c r="A14" s="17" t="str">
        <f>HYPERLINK("#'4.3.1.1-2 Methane'!A1", "4.3.1.1-2 Methane")</f>
        <v>4.3.1.1-2 Methane</v>
      </c>
      <c r="N14" s="39"/>
      <c r="O14" s="39"/>
    </row>
    <row r="15" spans="1:24" ht="20.100000000000001" customHeight="1" x14ac:dyDescent="0.25">
      <c r="A15" s="17" t="str">
        <f>HYPERLINK("#'4.3.1.3-4 Direct N20'!A1", "4.3.1.3-4 Direct N20")</f>
        <v>4.3.1.3-4 Direct N20</v>
      </c>
      <c r="N15" s="39"/>
      <c r="O15" s="39"/>
    </row>
    <row r="16" spans="1:24" ht="20.100000000000001" customHeight="1" x14ac:dyDescent="0.25">
      <c r="A16" s="17" t="str">
        <f>HYPERLINK("#'4.3.1.5 Atmos deposition'!A1", "4.3.1.5 Atmos deposition")</f>
        <v>4.3.1.5 Atmos deposition</v>
      </c>
      <c r="D16" s="6" t="s">
        <v>11</v>
      </c>
      <c r="N16" s="39"/>
      <c r="O16" s="39"/>
    </row>
    <row r="17" spans="1:25" ht="20.100000000000001" customHeight="1" x14ac:dyDescent="0.25">
      <c r="A17" s="17" t="str">
        <f>HYPERLINK("#'4.3.1.6-7 Leaching and runoff'!A1", "4.3.1.6-7 Leaching and runoff")</f>
        <v>4.3.1.6-7 Leaching and runoff</v>
      </c>
    </row>
    <row r="18" spans="1:25" ht="20.100000000000001" customHeight="1" x14ac:dyDescent="0.25">
      <c r="A18" s="17" t="str">
        <f>HYPERLINK("#'4.3.1.8 Manure applied to soils'!A1", "4.3.1.8 Manure applied to soils")</f>
        <v>4.3.1.8 Manure applied to soils</v>
      </c>
      <c r="D18" s="96" t="s">
        <v>13</v>
      </c>
      <c r="E18" s="91"/>
      <c r="F18" s="91"/>
      <c r="G18" s="87"/>
    </row>
    <row r="19" spans="1:25" ht="20.100000000000001" customHeight="1" x14ac:dyDescent="0.25">
      <c r="A19" s="17" t="str">
        <f>HYPERLINK("#'4.3.1.9 Soil direct N2O'!A1", "4.3.1.9 Soil direct N2O")</f>
        <v>4.3.1.9 Soil direct N2O</v>
      </c>
      <c r="D19" s="93" t="s">
        <v>70</v>
      </c>
      <c r="E19" s="90"/>
      <c r="F19" s="90"/>
      <c r="G19" s="88"/>
      <c r="N19" s="42"/>
    </row>
    <row r="20" spans="1:25" ht="20.100000000000001" customHeight="1" x14ac:dyDescent="0.25">
      <c r="A20" s="17" t="str">
        <f>HYPERLINK("#'4.3.1.10-11 Soil Atmos Dep'!A1", "4.3.1.10-11 Soil Atmos Dep")</f>
        <v>4.3.1.10-11 Soil Atmos Dep</v>
      </c>
      <c r="D20" s="1"/>
      <c r="E20" s="32"/>
      <c r="F20" s="2"/>
      <c r="N20" s="43"/>
    </row>
    <row r="21" spans="1:25" ht="20.100000000000001" customHeight="1" x14ac:dyDescent="0.25">
      <c r="A21" s="17" t="str">
        <f>HYPERLINK("#'4.3.1.12-13 Soil leach runoff'!A1", "4.3.1.12-13 Soil leach runoff")</f>
        <v>4.3.1.12-13 Soil leach runoff</v>
      </c>
      <c r="D21" s="1" t="s">
        <v>5</v>
      </c>
      <c r="E21" s="41" t="s">
        <v>466</v>
      </c>
      <c r="F21" s="2" t="s">
        <v>8</v>
      </c>
    </row>
    <row r="22" spans="1:25" ht="20.100000000000001" customHeight="1" x14ac:dyDescent="0.25">
      <c r="A22"/>
      <c r="D22" s="1" t="s">
        <v>24</v>
      </c>
      <c r="E22" s="41" t="s">
        <v>33</v>
      </c>
      <c r="F22" s="2" t="s">
        <v>8</v>
      </c>
      <c r="G22" s="1"/>
    </row>
    <row r="23" spans="1:25" ht="20.100000000000001" customHeight="1" x14ac:dyDescent="0.25">
      <c r="A23"/>
      <c r="D23" s="1" t="s">
        <v>6</v>
      </c>
      <c r="E23" s="41" t="s">
        <v>91</v>
      </c>
      <c r="F23" s="2" t="s">
        <v>8</v>
      </c>
    </row>
    <row r="24" spans="1:25" ht="20.100000000000001" customHeight="1" x14ac:dyDescent="0.25">
      <c r="A24" s="154" t="s">
        <v>1</v>
      </c>
      <c r="D24" s="1" t="s">
        <v>38</v>
      </c>
      <c r="E24" s="34">
        <v>307.7</v>
      </c>
      <c r="F24" s="2" t="s">
        <v>52</v>
      </c>
    </row>
    <row r="25" spans="1:25" ht="20.100000000000001" customHeight="1" x14ac:dyDescent="0.25">
      <c r="A25" s="17" t="str">
        <f>HYPERLINK("#'Constants - Dairy'!A1", "Constants - Dairy")</f>
        <v>Constants - Dairy</v>
      </c>
      <c r="D25" s="1" t="s">
        <v>60</v>
      </c>
      <c r="E25" s="34">
        <v>18</v>
      </c>
      <c r="F25" s="2" t="s">
        <v>9</v>
      </c>
      <c r="N25" s="43"/>
    </row>
    <row r="26" spans="1:25" ht="20.100000000000001" customHeight="1" x14ac:dyDescent="0.25">
      <c r="A26" s="17" t="str">
        <f>HYPERLINK("#'Constants - Common'!A1", "Constants - Common")</f>
        <v>Constants - Common</v>
      </c>
      <c r="D26" s="1" t="s">
        <v>61</v>
      </c>
      <c r="E26" s="34">
        <v>601</v>
      </c>
      <c r="F26" s="2" t="s">
        <v>10</v>
      </c>
    </row>
    <row r="27" spans="1:25" ht="20.100000000000001" customHeight="1" x14ac:dyDescent="0.25">
      <c r="A27" s="17" t="str">
        <f>HYPERLINK("#'Constants - Livestock'!A1", "Constants - Livestock")</f>
        <v>Constants - Livestock</v>
      </c>
      <c r="D27" s="10" t="s">
        <v>62</v>
      </c>
      <c r="E27" s="34">
        <v>1326</v>
      </c>
      <c r="F27" s="2" t="s">
        <v>10</v>
      </c>
    </row>
    <row r="28" spans="1:25" ht="20.100000000000001" customHeight="1" x14ac:dyDescent="0.25">
      <c r="A28" s="17" t="str">
        <f>HYPERLINK("#'Acknowledgements'!A1", "Acknowledgements")</f>
        <v>Acknowledgements</v>
      </c>
      <c r="D28" s="1" t="s">
        <v>63</v>
      </c>
      <c r="E28" s="34">
        <v>7</v>
      </c>
      <c r="F28" s="2" t="s">
        <v>53</v>
      </c>
    </row>
    <row r="29" spans="1:25" ht="20.100000000000001" customHeight="1" x14ac:dyDescent="0.25">
      <c r="A29" s="17" t="str">
        <f>HYPERLINK("#'Tab template'!A1", "Tab template")</f>
        <v>Tab template</v>
      </c>
      <c r="D29" s="10" t="s">
        <v>59</v>
      </c>
      <c r="E29" s="53">
        <f>X_Cell_Site_TotalRainfall/X_Cell_Site_PotentialEvapotranspiration</f>
        <v>0.45324283559577677</v>
      </c>
      <c r="F29" s="2"/>
    </row>
    <row r="30" spans="1:25" ht="20.100000000000001" customHeight="1" x14ac:dyDescent="0.25">
      <c r="A30"/>
      <c r="D30" s="10" t="s">
        <v>34</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88</v>
      </c>
      <c r="E32" s="53" t="str">
        <f>Common_InputFunctions.Utility_LookupValueInTable(X_Cell_Site_ClimateZone,Table_SourceData_WetDryZones[Climate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51</v>
      </c>
      <c r="E33" s="53" t="str">
        <f>Common_InputFunctions.Utility_LookupItemFromMinMax(X_Cell_Site_AverageTemperature,Table_SourceData_TemperatureZones[Min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100000000000001" customHeight="1" x14ac:dyDescent="0.25">
      <c r="A34"/>
      <c r="J34" s="62"/>
      <c r="K34" s="74"/>
      <c r="L34" s="48"/>
      <c r="M34" s="48"/>
      <c r="N34" s="48"/>
      <c r="O34" s="48"/>
      <c r="P34" s="48"/>
      <c r="Q34" s="48"/>
      <c r="R34" s="48"/>
      <c r="S34" s="48"/>
      <c r="T34" s="48"/>
      <c r="U34" s="48"/>
      <c r="V34" s="48"/>
      <c r="W34" s="48"/>
      <c r="X34" s="48"/>
      <c r="Y34" s="48"/>
    </row>
    <row r="35" spans="1:25" ht="20.100000000000001" customHeight="1" x14ac:dyDescent="0.25">
      <c r="A35"/>
      <c r="J35" s="62"/>
      <c r="K35" s="74"/>
      <c r="L35" s="48"/>
      <c r="M35" s="48"/>
      <c r="N35" s="48"/>
      <c r="O35" s="48"/>
      <c r="P35" s="48"/>
      <c r="Q35" s="48"/>
      <c r="R35" s="48"/>
      <c r="S35" s="48"/>
      <c r="T35" s="48"/>
      <c r="U35" s="48"/>
      <c r="V35" s="48"/>
      <c r="W35" s="48"/>
      <c r="X35" s="48"/>
      <c r="Y35" s="48"/>
    </row>
    <row r="36" spans="1:25" ht="20.100000000000001" customHeight="1" x14ac:dyDescent="0.25">
      <c r="A36"/>
      <c r="D36" s="72"/>
      <c r="E36" s="72"/>
      <c r="F36" s="73"/>
      <c r="G36" s="62"/>
      <c r="H36" s="62"/>
      <c r="I36" s="63"/>
      <c r="J36" s="62"/>
      <c r="K36" s="74"/>
      <c r="L36" s="48"/>
      <c r="M36" s="48"/>
      <c r="N36" s="48"/>
      <c r="O36" s="48"/>
      <c r="P36" s="48"/>
      <c r="Q36" s="48"/>
      <c r="R36" s="48"/>
      <c r="S36" s="48"/>
      <c r="T36" s="48"/>
      <c r="U36" s="48"/>
      <c r="V36" s="48"/>
      <c r="W36" s="48"/>
      <c r="X36" s="48"/>
      <c r="Y36" s="48"/>
    </row>
    <row r="37" spans="1:25" ht="20.100000000000001" customHeight="1" x14ac:dyDescent="0.25">
      <c r="A37"/>
      <c r="D37" s="72"/>
      <c r="E37" s="72"/>
      <c r="F37" s="73"/>
      <c r="G37" s="62"/>
      <c r="H37" s="62"/>
      <c r="I37" s="63"/>
      <c r="J37" s="62"/>
      <c r="K37" s="74"/>
      <c r="L37" s="48"/>
      <c r="M37" s="48"/>
      <c r="N37" s="48"/>
      <c r="O37" s="48"/>
      <c r="P37" s="48"/>
      <c r="Q37" s="48"/>
      <c r="R37" s="48"/>
      <c r="S37" s="48"/>
      <c r="T37" s="48"/>
      <c r="U37" s="48"/>
      <c r="V37" s="48"/>
      <c r="W37" s="48"/>
      <c r="X37" s="48"/>
      <c r="Y37" s="48"/>
    </row>
    <row r="38" spans="1:25" ht="20.100000000000001" customHeight="1" x14ac:dyDescent="0.25">
      <c r="A38"/>
      <c r="D38" s="72"/>
      <c r="E38" s="72"/>
      <c r="F38" s="73"/>
      <c r="G38" s="62"/>
      <c r="H38" s="62"/>
      <c r="I38" s="63"/>
      <c r="J38" s="62"/>
      <c r="K38" s="74"/>
      <c r="L38" s="48"/>
      <c r="M38" s="48"/>
      <c r="N38" s="48"/>
      <c r="O38" s="48"/>
      <c r="P38" s="48"/>
      <c r="Q38" s="48"/>
      <c r="R38" s="48"/>
      <c r="S38" s="48"/>
      <c r="T38" s="48"/>
      <c r="U38" s="48"/>
      <c r="V38" s="48"/>
      <c r="W38" s="48"/>
      <c r="X38" s="48"/>
      <c r="Y38" s="48"/>
    </row>
    <row r="39" spans="1:25" ht="20.100000000000001" customHeight="1" x14ac:dyDescent="0.25">
      <c r="A39"/>
      <c r="D39" s="72"/>
      <c r="E39" s="72"/>
      <c r="F39" s="73"/>
      <c r="G39" s="62"/>
      <c r="H39" s="62"/>
      <c r="I39" s="63"/>
      <c r="J39" s="62"/>
      <c r="K39" s="74"/>
      <c r="L39" s="48"/>
      <c r="M39" s="48"/>
      <c r="N39" s="48"/>
      <c r="O39" s="48"/>
      <c r="P39" s="48"/>
      <c r="Q39" s="48"/>
      <c r="R39" s="48"/>
      <c r="S39" s="48"/>
      <c r="T39" s="48"/>
      <c r="U39" s="48"/>
      <c r="V39" s="48"/>
      <c r="W39" s="48"/>
      <c r="X39" s="48"/>
      <c r="Y39" s="48"/>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8"/>
      <c r="E47" s="78"/>
      <c r="F47" s="78"/>
      <c r="G47" s="78"/>
      <c r="H47" s="78"/>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9"/>
      <c r="E51" s="80"/>
      <c r="F51" s="80"/>
      <c r="G51" s="80"/>
      <c r="H51" s="81"/>
    </row>
    <row r="52" spans="1:8" ht="20.100000000000001" customHeight="1" x14ac:dyDescent="0.25">
      <c r="A52"/>
    </row>
    <row r="53" spans="1:8" ht="20.100000000000001" customHeight="1" x14ac:dyDescent="0.25">
      <c r="A53"/>
    </row>
    <row r="54" spans="1:8" ht="20.100000000000001" customHeight="1" x14ac:dyDescent="0.25">
      <c r="A54"/>
      <c r="G54" s="82"/>
    </row>
    <row r="55" spans="1:8" ht="20.100000000000001" customHeight="1" x14ac:dyDescent="0.25">
      <c r="A55"/>
      <c r="D55" s="6"/>
    </row>
    <row r="56" spans="1:8" ht="20.100000000000001" customHeight="1" x14ac:dyDescent="0.25">
      <c r="A56"/>
    </row>
    <row r="57" spans="1:8" ht="20.100000000000001" customHeight="1" x14ac:dyDescent="0.25">
      <c r="A57"/>
      <c r="D57" s="22"/>
      <c r="F57" s="83"/>
    </row>
    <row r="58" spans="1:8" ht="20.100000000000001" customHeight="1" x14ac:dyDescent="0.25">
      <c r="A58"/>
      <c r="D58" s="1"/>
      <c r="E58" s="84"/>
    </row>
    <row r="59" spans="1:8" ht="20.100000000000001" customHeight="1" x14ac:dyDescent="0.25">
      <c r="A59"/>
      <c r="D59" s="1"/>
      <c r="E59" s="84"/>
    </row>
    <row r="60" spans="1:8" ht="20.100000000000001" customHeight="1" x14ac:dyDescent="0.25">
      <c r="A60"/>
      <c r="D60" s="1"/>
      <c r="E60" s="85"/>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4"/>
    </row>
    <row r="65" spans="1:9" ht="20.100000000000001" customHeight="1" x14ac:dyDescent="0.25">
      <c r="A65"/>
      <c r="D65" s="1"/>
      <c r="E65" s="84"/>
    </row>
    <row r="66" spans="1:9" ht="20.100000000000001" customHeight="1" x14ac:dyDescent="0.25">
      <c r="A66"/>
      <c r="D66" s="1"/>
      <c r="E66" s="85"/>
    </row>
    <row r="67" spans="1:9" ht="20.100000000000001" customHeight="1" x14ac:dyDescent="0.25">
      <c r="A67"/>
    </row>
    <row r="68" spans="1:9" ht="20.100000000000001" customHeight="1" x14ac:dyDescent="0.25">
      <c r="A68"/>
    </row>
    <row r="69" spans="1:9" ht="20.100000000000001" customHeight="1" x14ac:dyDescent="0.25">
      <c r="A69"/>
      <c r="D69" s="61"/>
      <c r="E69" s="61"/>
      <c r="F69" s="61"/>
      <c r="G69" s="61"/>
      <c r="H69" s="61"/>
      <c r="I69" s="61"/>
    </row>
    <row r="70" spans="1:9" ht="20.100000000000001" customHeight="1" x14ac:dyDescent="0.25">
      <c r="A70"/>
      <c r="D70" s="61"/>
      <c r="E70" s="61"/>
      <c r="F70" s="61"/>
      <c r="G70" s="61"/>
      <c r="H70" s="61"/>
      <c r="I70" s="61"/>
    </row>
    <row r="71" spans="1:9" ht="20.100000000000001" customHeight="1" x14ac:dyDescent="0.25">
      <c r="A71"/>
      <c r="D71" s="61"/>
      <c r="E71" s="61"/>
      <c r="F71" s="61"/>
      <c r="G71" s="61"/>
      <c r="H71" s="61"/>
      <c r="I71" s="61"/>
    </row>
    <row r="72" spans="1:9" ht="20.100000000000001" customHeight="1" x14ac:dyDescent="0.25">
      <c r="A72"/>
      <c r="D72" s="61"/>
      <c r="E72" s="61"/>
      <c r="F72" s="61"/>
      <c r="G72" s="61"/>
      <c r="H72" s="61"/>
      <c r="I72" s="6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X178"/>
  <sheetViews>
    <sheetView showGridLines="0" topLeftCell="A34" zoomScaleNormal="100" workbookViewId="0">
      <selection activeCell="E44" sqref="E44"/>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100000000000001" customHeight="1" x14ac:dyDescent="0.25">
      <c r="A2"/>
      <c r="P2" s="57"/>
      <c r="Q2" s="57"/>
      <c r="R2" s="57"/>
      <c r="S2" s="57"/>
      <c r="T2" s="57"/>
      <c r="U2" s="57"/>
      <c r="V2" s="57"/>
      <c r="W2" s="57"/>
      <c r="X2" s="57"/>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99</v>
      </c>
      <c r="O5" s="3"/>
      <c r="S5" s="7"/>
    </row>
    <row r="6" spans="1:24" ht="20.100000000000001" customHeight="1" x14ac:dyDescent="0.25">
      <c r="O6" s="3"/>
      <c r="S6" s="7"/>
    </row>
    <row r="7" spans="1:24" ht="20.100000000000001" customHeight="1" x14ac:dyDescent="0.25">
      <c r="D7" s="1" t="s">
        <v>166</v>
      </c>
      <c r="E7" s="41" t="s">
        <v>209</v>
      </c>
      <c r="F7" s="2" t="s">
        <v>8</v>
      </c>
      <c r="O7" s="3"/>
      <c r="S7" s="7"/>
    </row>
    <row r="8" spans="1:24" ht="20.100000000000001" customHeight="1" x14ac:dyDescent="0.25">
      <c r="A8" s="19" t="s">
        <v>0</v>
      </c>
      <c r="O8" s="3"/>
      <c r="S8" s="7"/>
    </row>
    <row r="9" spans="1:24" ht="20.100000000000001" customHeight="1" x14ac:dyDescent="0.25">
      <c r="A9" s="17" t="str">
        <f>HYPERLINK("#'Input - Site'!A1", "Site")</f>
        <v>Site</v>
      </c>
      <c r="D9" s="64"/>
      <c r="E9" s="40" t="s">
        <v>167</v>
      </c>
      <c r="F9" s="40" t="s">
        <v>184</v>
      </c>
      <c r="G9" s="40" t="s">
        <v>185</v>
      </c>
      <c r="H9" s="40" t="s">
        <v>186</v>
      </c>
      <c r="I9" s="40" t="s">
        <v>187</v>
      </c>
      <c r="S9" s="7"/>
    </row>
    <row r="10" spans="1:24"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102">
        <v>100</v>
      </c>
      <c r="F10" s="102">
        <v>100</v>
      </c>
      <c r="G10" s="102">
        <v>100</v>
      </c>
      <c r="H10" s="102">
        <v>100</v>
      </c>
      <c r="I10" s="102">
        <v>100</v>
      </c>
      <c r="J10" s="2" t="s">
        <v>101</v>
      </c>
      <c r="K10" s="2"/>
      <c r="L10" s="2"/>
      <c r="M10" s="2"/>
      <c r="N10" s="2"/>
      <c r="S10" s="7"/>
    </row>
    <row r="11" spans="1:24" ht="20.100000000000001" customHeight="1" x14ac:dyDescent="0.25">
      <c r="S11" s="7"/>
    </row>
    <row r="12" spans="1:24" ht="20.100000000000001" customHeight="1" x14ac:dyDescent="0.25">
      <c r="D12" s="49" t="s">
        <v>206</v>
      </c>
      <c r="S12" s="7"/>
    </row>
    <row r="13" spans="1:24" ht="20.100000000000001" customHeight="1" x14ac:dyDescent="0.25">
      <c r="A13" s="18" t="s">
        <v>73</v>
      </c>
      <c r="D13" s="64" t="s">
        <v>200</v>
      </c>
      <c r="E13" s="40" t="s">
        <v>167</v>
      </c>
      <c r="F13" s="40" t="s">
        <v>184</v>
      </c>
      <c r="G13" s="40" t="s">
        <v>185</v>
      </c>
      <c r="H13" s="40" t="s">
        <v>186</v>
      </c>
      <c r="I13" s="40" t="s">
        <v>187</v>
      </c>
      <c r="S13" s="39"/>
    </row>
    <row r="14" spans="1:24" ht="20.100000000000001" customHeight="1" x14ac:dyDescent="0.25">
      <c r="A14" s="17" t="str">
        <f>HYPERLINK("#'4.3.1.1-2 Methane'!A1", "4.3.1.1-2 Methane")</f>
        <v>4.3.1.1-2 Methane</v>
      </c>
      <c r="D14" s="1" t="s">
        <v>207</v>
      </c>
      <c r="E14" s="53">
        <f>Common_InputFunctions.Utility_LookupValueInTableNumber(X_Cell_Dairy_Breed, Table_SourceData_Dairy_WjCowsHeifers[Breed],Table_SourceData_Dairy_WjCowsHeifers[Milking cows])</f>
        <v>550</v>
      </c>
      <c r="F14" s="53">
        <f>Common_InputFunctions.Utility_LookupValueInTableNumber(X_Cell_Dairy_Breed, Table_SourceData_Dairy_WjCowsHeifers[Breed],Table_SourceData_Dairy_WjCowsHeifers[Heifers &gt; 1])</f>
        <v>380</v>
      </c>
      <c r="G14" s="53">
        <f>Common_InputFunctions.Utility_LookupValueInTableNumber(X_Cell_Dairy_Breed,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100000000000001" customHeight="1" x14ac:dyDescent="0.25">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100000000000001" customHeight="1" x14ac:dyDescent="0.25">
      <c r="A16" s="17" t="str">
        <f>HYPERLINK("#'4.3.1.5 Atmos deposition'!A1", "4.3.1.5 Atmos deposition")</f>
        <v>4.3.1.5 Atmos deposition</v>
      </c>
      <c r="S16" s="39"/>
    </row>
    <row r="17" spans="1:19" ht="20.100000000000001" customHeight="1" x14ac:dyDescent="0.25">
      <c r="A17" s="17" t="str">
        <f>HYPERLINK("#'4.3.1.6-7 Leaching and runoff'!A1", "4.3.1.6-7 Leaching and runoff")</f>
        <v>4.3.1.6-7 Leaching and runoff</v>
      </c>
      <c r="D17" s="64" t="s">
        <v>199</v>
      </c>
      <c r="E17" s="40" t="s">
        <v>167</v>
      </c>
      <c r="F17" s="40" t="s">
        <v>184</v>
      </c>
      <c r="G17" s="40" t="s">
        <v>185</v>
      </c>
      <c r="H17" s="40" t="s">
        <v>186</v>
      </c>
      <c r="I17" s="40" t="s">
        <v>187</v>
      </c>
      <c r="S17" s="7"/>
    </row>
    <row r="18" spans="1:19" ht="20.100000000000001" customHeight="1" x14ac:dyDescent="0.25">
      <c r="A18" s="17" t="str">
        <f>HYPERLINK("#'4.3.1.8 Manure applied to soils'!A1", "4.3.1.8 Manure applied to soils")</f>
        <v>4.3.1.8 Manure applied to soils</v>
      </c>
      <c r="D18" s="1" t="s">
        <v>207</v>
      </c>
      <c r="E18" s="66">
        <f>Common_InputFunctions.Utility_LookupValueInTableNumber(X_Cell_Dairy_Breed, Table_SourceData_Dairy_WjCowsHeifers[Breed],Table_SourceData_Dairy_WjCowsHeifers[Milking cows])</f>
        <v>550</v>
      </c>
      <c r="F18" s="66">
        <f>Common_InputFunctions.Utility_LookupValueInTableNumber(X_Cell_Dairy_Breed, Table_SourceData_Dairy_WjCowsHeifers[Breed],Table_SourceData_Dairy_WjCowsHeifers[Heifers &gt; 1])</f>
        <v>380</v>
      </c>
      <c r="G18" s="66">
        <f>Common_InputFunctions.Utility_LookupValueInTableNumber(X_Cell_Dairy_Breed,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100000000000001" customHeight="1" x14ac:dyDescent="0.25">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100000000000001" customHeight="1" x14ac:dyDescent="0.25">
      <c r="A20" s="17" t="str">
        <f>HYPERLINK("#'4.3.1.10-11 Soil Atmos Dep'!A1", "4.3.1.10-11 Soil Atmos Dep")</f>
        <v>4.3.1.10-11 Soil Atmos Dep</v>
      </c>
      <c r="S20" s="7"/>
    </row>
    <row r="21" spans="1:19" ht="20.100000000000001" customHeight="1" x14ac:dyDescent="0.25">
      <c r="A21" s="17" t="str">
        <f>HYPERLINK("#'4.3.1.12-13 Soil leach runoff'!A1", "4.3.1.12-13 Soil leach runoff")</f>
        <v>4.3.1.12-13 Soil leach runoff</v>
      </c>
      <c r="D21" s="49" t="s">
        <v>100</v>
      </c>
      <c r="S21" s="7"/>
    </row>
    <row r="22" spans="1:19" ht="20.100000000000001" customHeight="1" x14ac:dyDescent="0.25">
      <c r="S22" s="7"/>
    </row>
    <row r="23" spans="1:19" ht="20.100000000000001" customHeight="1" x14ac:dyDescent="0.25">
      <c r="D23" s="64" t="s">
        <v>200</v>
      </c>
      <c r="E23" s="40" t="s">
        <v>167</v>
      </c>
      <c r="F23" s="40" t="s">
        <v>184</v>
      </c>
      <c r="G23" s="40" t="s">
        <v>185</v>
      </c>
      <c r="H23" s="40" t="s">
        <v>186</v>
      </c>
      <c r="I23" s="40" t="s">
        <v>187</v>
      </c>
      <c r="S23" s="7"/>
    </row>
    <row r="24" spans="1:19" ht="20.100000000000001" customHeight="1" x14ac:dyDescent="0.25">
      <c r="A24" s="154" t="s">
        <v>1</v>
      </c>
      <c r="D24" s="1" t="str">
        <f>"Average duration of stay between " &amp; TEXT(X_Cell_Site_StartDate, "dd mmm yy") &amp; " and " &amp; TEXT(X_Cell_Site_EndDate,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100000000000001" customHeight="1" x14ac:dyDescent="0.25">
      <c r="A25" s="17" t="str">
        <f>HYPERLINK("#'Constants - Dairy'!A1", "Constants - Dairy")</f>
        <v>Constants - Dairy</v>
      </c>
      <c r="D25" s="1" t="str">
        <f>"Average duration of stay between " &amp; TEXT(X_Cell_Site_StartDate, "dd mmm yy") &amp; " and " &amp; TEXT(X_Cell_Site_EndDate,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100000000000001" customHeight="1" x14ac:dyDescent="0.25">
      <c r="A26" s="17" t="str">
        <f>HYPERLINK("#'Constants - Common'!A1", "Constants - Common")</f>
        <v>Constants - Common</v>
      </c>
      <c r="S26" s="7"/>
    </row>
    <row r="27" spans="1:19" ht="20.100000000000001" customHeight="1" x14ac:dyDescent="0.25">
      <c r="A27" s="17" t="str">
        <f>HYPERLINK("#'Constants - Livestock'!A1", "Constants - Livestock")</f>
        <v>Constants - Livestock</v>
      </c>
      <c r="D27" s="64" t="s">
        <v>199</v>
      </c>
      <c r="E27" s="40" t="s">
        <v>167</v>
      </c>
      <c r="F27" s="40" t="s">
        <v>184</v>
      </c>
      <c r="G27" s="40" t="s">
        <v>185</v>
      </c>
      <c r="H27" s="40" t="s">
        <v>186</v>
      </c>
      <c r="I27" s="40" t="s">
        <v>187</v>
      </c>
      <c r="S27" s="7"/>
    </row>
    <row r="28" spans="1:19" ht="20.100000000000001" customHeight="1" x14ac:dyDescent="0.25">
      <c r="A28" s="17" t="str">
        <f>HYPERLINK("#'Acknowledgements'!A1", "Acknowledgements")</f>
        <v>Acknowledgements</v>
      </c>
      <c r="D28" s="1" t="str">
        <f>"Average duration of stay between " &amp; TEXT(X_Cell_Site_StartDate, "dd mmm yy") &amp; " and " &amp; TEXT(X_Cell_Site_EndDate,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100000000000001" customHeight="1" x14ac:dyDescent="0.25">
      <c r="A29" s="17" t="str">
        <f>HYPERLINK("#'Tab template'!A1", "Tab template")</f>
        <v>Tab template</v>
      </c>
      <c r="D29" s="1" t="str">
        <f>"Average duration of stay between " &amp; TEXT(X_Cell_Site_StartDate, "dd mmm yy") &amp; " and " &amp; TEXT(X_Cell_Site_EndDate,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100000000000001" customHeight="1" x14ac:dyDescent="0.25">
      <c r="S30" s="7"/>
    </row>
    <row r="31" spans="1:19" ht="20.100000000000001" customHeight="1" x14ac:dyDescent="0.25">
      <c r="S31" s="7"/>
    </row>
    <row r="32" spans="1:19" ht="20.100000000000001" customHeight="1" x14ac:dyDescent="0.25">
      <c r="C32" s="46"/>
      <c r="D32" s="46"/>
      <c r="E32" s="46"/>
      <c r="F32" s="46"/>
      <c r="G32" s="46"/>
      <c r="H32" s="46"/>
      <c r="I32" s="46"/>
      <c r="J32" s="46"/>
      <c r="K32" s="46"/>
      <c r="L32" s="46"/>
      <c r="M32" s="46"/>
      <c r="N32" s="46"/>
      <c r="O32" s="46"/>
      <c r="S32" s="7"/>
    </row>
    <row r="33" spans="3:19" ht="20.100000000000001" customHeight="1" x14ac:dyDescent="0.25">
      <c r="D33" s="6" t="s">
        <v>205</v>
      </c>
      <c r="S33" s="7"/>
    </row>
    <row r="34" spans="3:19" ht="20.100000000000001" customHeight="1" x14ac:dyDescent="0.25">
      <c r="D34" s="49"/>
      <c r="S34" s="7"/>
    </row>
    <row r="35" spans="3:19" ht="20.100000000000001" customHeight="1" x14ac:dyDescent="0.25">
      <c r="D35" s="64" t="s">
        <v>200</v>
      </c>
      <c r="E35" s="40" t="s">
        <v>167</v>
      </c>
      <c r="F35" s="40" t="s">
        <v>184</v>
      </c>
      <c r="G35" s="40" t="s">
        <v>185</v>
      </c>
      <c r="H35" s="40" t="s">
        <v>186</v>
      </c>
      <c r="I35" s="40" t="s">
        <v>187</v>
      </c>
      <c r="S35" s="7"/>
    </row>
    <row r="36" spans="3:19" ht="20.100000000000001" customHeight="1" x14ac:dyDescent="0.25">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100000000000001" customHeight="1" x14ac:dyDescent="0.25">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100000000000001" customHeight="1" x14ac:dyDescent="0.25">
      <c r="M38" s="2"/>
      <c r="N38" s="2"/>
      <c r="S38" s="7"/>
    </row>
    <row r="39" spans="3:19" ht="20.100000000000001" customHeight="1" x14ac:dyDescent="0.25">
      <c r="D39" s="64" t="s">
        <v>199</v>
      </c>
      <c r="E39" s="40" t="s">
        <v>167</v>
      </c>
      <c r="F39" s="40" t="s">
        <v>184</v>
      </c>
      <c r="G39" s="40" t="s">
        <v>185</v>
      </c>
      <c r="H39" s="40" t="s">
        <v>186</v>
      </c>
      <c r="I39" s="40" t="s">
        <v>187</v>
      </c>
      <c r="S39" s="7"/>
    </row>
    <row r="40" spans="3:19" ht="20.100000000000001" customHeight="1" x14ac:dyDescent="0.25">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100000000000001" customHeight="1" x14ac:dyDescent="0.25">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100000000000001" customHeight="1" x14ac:dyDescent="0.25">
      <c r="L42" s="2"/>
      <c r="M42" s="2"/>
      <c r="N42" s="2"/>
      <c r="S42" s="7"/>
    </row>
    <row r="43" spans="3:19" ht="20.100000000000001" customHeight="1" x14ac:dyDescent="0.25">
      <c r="S43" s="7"/>
    </row>
    <row r="44" spans="3:19" ht="20.100000000000001" customHeight="1" x14ac:dyDescent="0.25">
      <c r="C44" s="46"/>
      <c r="D44" s="46"/>
      <c r="E44" s="46"/>
      <c r="F44" s="46"/>
      <c r="G44" s="46"/>
      <c r="H44" s="46"/>
      <c r="I44" s="46"/>
      <c r="J44" s="46"/>
      <c r="K44" s="46"/>
      <c r="L44" s="46"/>
      <c r="M44" s="46"/>
      <c r="N44" s="46"/>
      <c r="O44" s="46"/>
      <c r="S44" s="7"/>
    </row>
    <row r="45" spans="3:19" ht="20.100000000000001" customHeight="1" x14ac:dyDescent="0.25">
      <c r="D45" s="6" t="s">
        <v>191</v>
      </c>
      <c r="E45" s="3"/>
      <c r="F45" s="3"/>
      <c r="G45" s="3"/>
      <c r="H45" s="3"/>
      <c r="I45" s="3"/>
      <c r="J45" s="3"/>
      <c r="K45" s="3"/>
      <c r="L45" s="3"/>
      <c r="M45" s="3"/>
      <c r="N45" s="3"/>
      <c r="S45" s="7"/>
    </row>
    <row r="46" spans="3:19" ht="20.100000000000001" customHeight="1" x14ac:dyDescent="0.25">
      <c r="G46" s="6"/>
      <c r="H46" s="6"/>
      <c r="I46" s="6"/>
      <c r="J46" s="122"/>
      <c r="K46" s="122"/>
      <c r="L46" s="122"/>
      <c r="M46" s="122"/>
      <c r="N46" s="122"/>
      <c r="S46" s="7"/>
    </row>
    <row r="47" spans="3:19" ht="20.100000000000001" customHeight="1" x14ac:dyDescent="0.25">
      <c r="D47" s="1" t="s">
        <v>432</v>
      </c>
      <c r="E47" s="41" t="s">
        <v>445</v>
      </c>
      <c r="F47" s="2" t="s">
        <v>8</v>
      </c>
      <c r="S47" s="7"/>
    </row>
    <row r="48" spans="3:19" ht="20.100000000000001" customHeight="1" x14ac:dyDescent="0.25">
      <c r="S48" s="7"/>
    </row>
    <row r="49" spans="3:19" ht="20.100000000000001" customHeight="1" x14ac:dyDescent="0.25">
      <c r="E49" s="40" t="s">
        <v>167</v>
      </c>
      <c r="S49" s="7"/>
    </row>
    <row r="50" spans="3:19" ht="20.100000000000001" customHeight="1" x14ac:dyDescent="0.25">
      <c r="D50" s="1" t="s">
        <v>192</v>
      </c>
      <c r="E50" s="66">
        <v>20</v>
      </c>
      <c r="F50" s="2" t="str">
        <f>IF(X_Cell_Dairy_MilkProductionUnit="Litres of milk", "litres/head/day", "kg milk solids/head/day")</f>
        <v>litres/head/day</v>
      </c>
      <c r="S50" s="7"/>
    </row>
    <row r="51" spans="3:19" ht="20.100000000000001" customHeight="1" x14ac:dyDescent="0.25">
      <c r="E51" s="6"/>
      <c r="F51" s="6"/>
      <c r="S51" s="7"/>
    </row>
    <row r="52" spans="3:19" ht="20.100000000000001" customHeight="1" x14ac:dyDescent="0.25">
      <c r="D52" s="54" t="s">
        <v>433</v>
      </c>
      <c r="E52" s="40" t="s">
        <v>434</v>
      </c>
      <c r="F52" s="40" t="s">
        <v>435</v>
      </c>
      <c r="S52" s="7"/>
    </row>
    <row r="53" spans="3:19" ht="20.100000000000001" customHeight="1" x14ac:dyDescent="0.25">
      <c r="D53" s="1" t="s">
        <v>436</v>
      </c>
      <c r="E53" s="136">
        <f>SourceData_Dairy_FatContentInMilk_Data/100</f>
        <v>0.04</v>
      </c>
      <c r="F53" s="150">
        <f>SourceData_Dairy_FatContentInMilk_Data/100</f>
        <v>0.04</v>
      </c>
      <c r="G53" s="2" t="s">
        <v>437</v>
      </c>
      <c r="S53" s="7"/>
    </row>
    <row r="54" spans="3:19" ht="20.100000000000001" customHeight="1" x14ac:dyDescent="0.25">
      <c r="D54" s="1" t="s">
        <v>438</v>
      </c>
      <c r="E54" s="136">
        <f>SourceData_Dairy_ProteinContentInMilk_Data/100</f>
        <v>3.3000000000000002E-2</v>
      </c>
      <c r="F54" s="150">
        <f>SourceData_Dairy_ProteinContentInMilk_Data/100</f>
        <v>3.3000000000000002E-2</v>
      </c>
      <c r="G54" s="2" t="s">
        <v>437</v>
      </c>
      <c r="S54" s="7"/>
    </row>
    <row r="55" spans="3:19" ht="20.100000000000001" customHeight="1" x14ac:dyDescent="0.25">
      <c r="S55" s="7"/>
    </row>
    <row r="56" spans="3:19" ht="20.100000000000001" customHeight="1" x14ac:dyDescent="0.25">
      <c r="S56" s="7"/>
    </row>
    <row r="57" spans="3:19" ht="20.100000000000001" customHeight="1" x14ac:dyDescent="0.25">
      <c r="C57" s="46"/>
      <c r="D57" s="46"/>
      <c r="E57" s="46"/>
      <c r="F57" s="46"/>
      <c r="G57" s="46"/>
      <c r="H57" s="46"/>
      <c r="I57" s="46"/>
      <c r="J57" s="46"/>
      <c r="K57" s="46"/>
      <c r="L57" s="46"/>
      <c r="M57" s="46"/>
      <c r="N57" s="46"/>
      <c r="O57" s="46"/>
      <c r="S57" s="7"/>
    </row>
    <row r="58" spans="3:19" ht="20.100000000000001" customHeight="1" x14ac:dyDescent="0.25">
      <c r="D58" s="6" t="s">
        <v>202</v>
      </c>
      <c r="S58" s="7"/>
    </row>
    <row r="59" spans="3:19" ht="20.100000000000001" customHeight="1" x14ac:dyDescent="0.25">
      <c r="D59" s="49" t="s">
        <v>195</v>
      </c>
      <c r="S59" s="7"/>
    </row>
    <row r="60" spans="3:19" ht="20.100000000000001" customHeight="1" x14ac:dyDescent="0.25">
      <c r="D60" s="1" t="s">
        <v>197</v>
      </c>
      <c r="E60" s="41" t="s">
        <v>204</v>
      </c>
      <c r="F60" s="2" t="s">
        <v>8</v>
      </c>
      <c r="O60" s="3"/>
      <c r="S60" s="7"/>
    </row>
    <row r="61" spans="3:19" ht="20.100000000000001" customHeight="1" x14ac:dyDescent="0.25">
      <c r="O61" s="3"/>
      <c r="S61" s="7"/>
    </row>
    <row r="62" spans="3:19" ht="20.100000000000001" customHeight="1" x14ac:dyDescent="0.25">
      <c r="D62" s="64" t="s">
        <v>200</v>
      </c>
      <c r="E62" s="40" t="s">
        <v>167</v>
      </c>
      <c r="F62" s="40" t="s">
        <v>184</v>
      </c>
      <c r="G62" s="40" t="s">
        <v>185</v>
      </c>
      <c r="H62" s="40" t="s">
        <v>186</v>
      </c>
      <c r="I62" s="40" t="s">
        <v>187</v>
      </c>
      <c r="O62" s="3"/>
      <c r="S62" s="7"/>
    </row>
    <row r="63" spans="3:19" ht="20.100000000000001" customHeight="1" x14ac:dyDescent="0.25">
      <c r="D63" s="1" t="s">
        <v>141</v>
      </c>
      <c r="E63" s="136">
        <f>Common_InputFunctions.Utility_LookupValueInTableNumber(X_Cell_Dairy_ProductionSystemTemplate, Table_SourceData_Dairy_ProductionSystemTemplates[Area],Table_SourceData_Dairy_ProductionSystemTemplates[Pasture])</f>
        <v>0.53400000000000003</v>
      </c>
      <c r="F63" s="136">
        <f>Common_InputFunctions.Utility_LookupValueInTableNumber(X_Cell_Dairy_ProductionSystemTemplate, Table_SourceData_Dairy_ProductionSystemTemplates[Area],Table_SourceData_Dairy_ProductionSystemTemplates[Pasture])</f>
        <v>0.53400000000000003</v>
      </c>
      <c r="G63" s="136">
        <f>Common_InputFunctions.Utility_LookupValueInTableNumber(X_Cell_Dairy_ProductionSystemTemplate, Table_SourceData_Dairy_ProductionSystemTemplates[Area],Table_SourceData_Dairy_ProductionSystemTemplates[Pasture])</f>
        <v>0.53400000000000003</v>
      </c>
      <c r="H63" s="136">
        <f>Common_InputFunctions.Utility_LookupValueInTableNumber(X_Cell_Dairy_ProductionSystemTemplate, Table_SourceData_Dairy_ProductionSystemTemplates[Area],Table_SourceData_Dairy_ProductionSystemTemplates[Pasture])</f>
        <v>0.53400000000000003</v>
      </c>
      <c r="I63" s="136">
        <f>Common_InputFunctions.Utility_LookupValueInTableNumber(X_Cell_Dairy_ProductionSystemTemplate, Table_SourceData_Dairy_ProductionSystemTemplates[Area],Table_SourceData_Dairy_ProductionSystemTemplates[Pasture])</f>
        <v>0.53400000000000003</v>
      </c>
      <c r="J63" s="2" t="s">
        <v>17</v>
      </c>
      <c r="K63" s="2"/>
      <c r="L63" s="2"/>
      <c r="M63" s="2"/>
      <c r="N63" s="2"/>
      <c r="O63" s="3"/>
      <c r="S63" s="7"/>
    </row>
    <row r="64" spans="3:19" ht="20.100000000000001" customHeight="1" x14ac:dyDescent="0.25">
      <c r="D64" s="1" t="s">
        <v>181</v>
      </c>
      <c r="E64" s="136">
        <f>Common_InputFunctions.Utility_LookupValueInTableNumber(X_Cell_Dairy_ProductionSystemTemplate, Table_SourceData_Dairy_ProductionSystemTemplates[Area],Table_SourceData_Dairy_ProductionSystemTemplates[Milking shed])</f>
        <v>0.11</v>
      </c>
      <c r="F64" s="136">
        <f>Common_InputFunctions.Utility_LookupValueInTableNumber(X_Cell_Dairy_ProductionSystemTemplate, Table_SourceData_Dairy_ProductionSystemTemplates[Area],Table_SourceData_Dairy_ProductionSystemTemplates[Milking shed])</f>
        <v>0.11</v>
      </c>
      <c r="G64" s="136">
        <f>Common_InputFunctions.Utility_LookupValueInTableNumber(X_Cell_Dairy_ProductionSystemTemplate, Table_SourceData_Dairy_ProductionSystemTemplates[Area],Table_SourceData_Dairy_ProductionSystemTemplates[Milking shed])</f>
        <v>0.11</v>
      </c>
      <c r="H64" s="136">
        <f>Common_InputFunctions.Utility_LookupValueInTableNumber(X_Cell_Dairy_ProductionSystemTemplate, Table_SourceData_Dairy_ProductionSystemTemplates[Area],Table_SourceData_Dairy_ProductionSystemTemplates[Milking shed])</f>
        <v>0.11</v>
      </c>
      <c r="I64" s="136">
        <f>Common_InputFunctions.Utility_LookupValueInTableNumber(X_Cell_Dairy_ProductionSystemTemplate, Table_SourceData_Dairy_ProductionSystemTemplates[Area],Table_SourceData_Dairy_ProductionSystemTemplates[Milking shed])</f>
        <v>0.11</v>
      </c>
      <c r="J64" s="2" t="s">
        <v>17</v>
      </c>
      <c r="K64" s="2"/>
      <c r="L64" s="2"/>
      <c r="M64" s="2"/>
      <c r="N64" s="2"/>
      <c r="O64" s="3"/>
      <c r="S64" s="7"/>
    </row>
    <row r="65" spans="3:19" ht="20.100000000000001" customHeight="1" x14ac:dyDescent="0.25">
      <c r="D65" s="1" t="s">
        <v>196</v>
      </c>
      <c r="E65" s="136">
        <f>Common_InputFunctions.Utility_LookupValueInTableNumber(X_Cell_Dairy_ProductionSystemTemplate, Table_SourceData_Dairy_ProductionSystemTemplates[Area],Table_SourceData_Dairy_ProductionSystemTemplates[Feedpad])</f>
        <v>0.35599999999999998</v>
      </c>
      <c r="F65" s="136">
        <f>Common_InputFunctions.Utility_LookupValueInTableNumber(X_Cell_Dairy_ProductionSystemTemplate, Table_SourceData_Dairy_ProductionSystemTemplates[Area],Table_SourceData_Dairy_ProductionSystemTemplates[Feedpad])</f>
        <v>0.35599999999999998</v>
      </c>
      <c r="G65" s="136">
        <f>Common_InputFunctions.Utility_LookupValueInTableNumber(X_Cell_Dairy_ProductionSystemTemplate, Table_SourceData_Dairy_ProductionSystemTemplates[Area],Table_SourceData_Dairy_ProductionSystemTemplates[Feedpad])</f>
        <v>0.35599999999999998</v>
      </c>
      <c r="H65" s="136">
        <f>Common_InputFunctions.Utility_LookupValueInTableNumber(X_Cell_Dairy_ProductionSystemTemplate, Table_SourceData_Dairy_ProductionSystemTemplates[Area],Table_SourceData_Dairy_ProductionSystemTemplates[Feedpad])</f>
        <v>0.35599999999999998</v>
      </c>
      <c r="I65" s="136">
        <f>Common_InputFunctions.Utility_LookupValueInTableNumber(X_Cell_Dairy_ProductionSystemTemplate, Table_SourceData_Dairy_ProductionSystemTemplates[Area],Table_SourceData_Dairy_ProductionSystemTemplates[Feedpad])</f>
        <v>0.35599999999999998</v>
      </c>
      <c r="J65" s="2" t="s">
        <v>17</v>
      </c>
      <c r="K65" s="2"/>
      <c r="L65" s="2"/>
      <c r="M65" s="2"/>
      <c r="N65" s="2"/>
      <c r="O65" s="3"/>
    </row>
    <row r="66" spans="3:19" ht="20.100000000000001" customHeight="1" x14ac:dyDescent="0.25">
      <c r="O66" s="3"/>
    </row>
    <row r="67" spans="3:19" ht="20.100000000000001" customHeight="1" x14ac:dyDescent="0.25">
      <c r="D67" s="64" t="s">
        <v>199</v>
      </c>
      <c r="E67" s="40" t="s">
        <v>167</v>
      </c>
      <c r="F67" s="40" t="s">
        <v>184</v>
      </c>
      <c r="G67" s="40" t="s">
        <v>185</v>
      </c>
      <c r="H67" s="40" t="s">
        <v>186</v>
      </c>
      <c r="I67" s="40" t="s">
        <v>187</v>
      </c>
      <c r="O67" s="3"/>
    </row>
    <row r="68" spans="3:19" ht="20.100000000000001" customHeight="1" x14ac:dyDescent="0.25">
      <c r="D68" s="1" t="s">
        <v>141</v>
      </c>
      <c r="E68" s="135">
        <f>Common_InputFunctions.Utility_LookupValueInTableNumber(X_Cell_Dairy_ProductionSystemTemplate, Table_SourceData_Dairy_ProductionSystemTemplates[Area],Table_SourceData_Dairy_ProductionSystemTemplates[Pasture])</f>
        <v>0.53400000000000003</v>
      </c>
      <c r="F68" s="135">
        <f>Common_InputFunctions.Utility_LookupValueInTableNumber(X_Cell_Dairy_ProductionSystemTemplate, Table_SourceData_Dairy_ProductionSystemTemplates[Area],Table_SourceData_Dairy_ProductionSystemTemplates[Pasture])</f>
        <v>0.53400000000000003</v>
      </c>
      <c r="G68" s="135">
        <f>Common_InputFunctions.Utility_LookupValueInTableNumber(X_Cell_Dairy_ProductionSystemTemplate, Table_SourceData_Dairy_ProductionSystemTemplates[Area],Table_SourceData_Dairy_ProductionSystemTemplates[Pasture])</f>
        <v>0.53400000000000003</v>
      </c>
      <c r="H68" s="135">
        <f>Common_InputFunctions.Utility_LookupValueInTableNumber(X_Cell_Dairy_ProductionSystemTemplate, Table_SourceData_Dairy_ProductionSystemTemplates[Area],Table_SourceData_Dairy_ProductionSystemTemplates[Pasture])</f>
        <v>0.53400000000000003</v>
      </c>
      <c r="I68" s="135">
        <f>Common_InputFunctions.Utility_LookupValueInTableNumber(X_Cell_Dairy_ProductionSystemTemplate, Table_SourceData_Dairy_ProductionSystemTemplates[Area],Table_SourceData_Dairy_ProductionSystemTemplates[Pasture])</f>
        <v>0.53400000000000003</v>
      </c>
      <c r="J68" s="2" t="s">
        <v>17</v>
      </c>
      <c r="K68" s="2"/>
      <c r="L68" s="2"/>
      <c r="M68" s="2"/>
      <c r="N68" s="2"/>
      <c r="O68" s="3"/>
    </row>
    <row r="69" spans="3:19" ht="20.100000000000001" customHeight="1" x14ac:dyDescent="0.25">
      <c r="D69" s="1" t="s">
        <v>181</v>
      </c>
      <c r="E69" s="135">
        <f>Common_InputFunctions.Utility_LookupValueInTableNumber(X_Cell_Dairy_ProductionSystemTemplate, Table_SourceData_Dairy_ProductionSystemTemplates[Area],Table_SourceData_Dairy_ProductionSystemTemplates[Milking shed])</f>
        <v>0.11</v>
      </c>
      <c r="F69" s="135">
        <f>Common_InputFunctions.Utility_LookupValueInTableNumber(X_Cell_Dairy_ProductionSystemTemplate, Table_SourceData_Dairy_ProductionSystemTemplates[Area],Table_SourceData_Dairy_ProductionSystemTemplates[Milking shed])</f>
        <v>0.11</v>
      </c>
      <c r="G69" s="135">
        <f>Common_InputFunctions.Utility_LookupValueInTableNumber(X_Cell_Dairy_ProductionSystemTemplate, Table_SourceData_Dairy_ProductionSystemTemplates[Area],Table_SourceData_Dairy_ProductionSystemTemplates[Milking shed])</f>
        <v>0.11</v>
      </c>
      <c r="H69" s="135">
        <f>Common_InputFunctions.Utility_LookupValueInTableNumber(X_Cell_Dairy_ProductionSystemTemplate, Table_SourceData_Dairy_ProductionSystemTemplates[Area],Table_SourceData_Dairy_ProductionSystemTemplates[Milking shed])</f>
        <v>0.11</v>
      </c>
      <c r="I69" s="135">
        <f>Common_InputFunctions.Utility_LookupValueInTableNumber(X_Cell_Dairy_ProductionSystemTemplate, Table_SourceData_Dairy_ProductionSystemTemplates[Area],Table_SourceData_Dairy_ProductionSystemTemplates[Milking shed])</f>
        <v>0.11</v>
      </c>
      <c r="J69" s="2" t="s">
        <v>17</v>
      </c>
      <c r="K69" s="2"/>
      <c r="L69" s="2"/>
      <c r="M69" s="2"/>
      <c r="N69" s="2"/>
      <c r="O69" s="3"/>
    </row>
    <row r="70" spans="3:19" ht="20.100000000000001" customHeight="1" x14ac:dyDescent="0.25">
      <c r="D70" s="1" t="s">
        <v>196</v>
      </c>
      <c r="E70" s="135">
        <f>Common_InputFunctions.Utility_LookupValueInTableNumber(X_Cell_Dairy_ProductionSystemTemplate, Table_SourceData_Dairy_ProductionSystemTemplates[Area],Table_SourceData_Dairy_ProductionSystemTemplates[Feedpad])</f>
        <v>0.35599999999999998</v>
      </c>
      <c r="F70" s="135">
        <f>Common_InputFunctions.Utility_LookupValueInTableNumber(X_Cell_Dairy_ProductionSystemTemplate, Table_SourceData_Dairy_ProductionSystemTemplates[Area],Table_SourceData_Dairy_ProductionSystemTemplates[Feedpad])</f>
        <v>0.35599999999999998</v>
      </c>
      <c r="G70" s="135">
        <f>Common_InputFunctions.Utility_LookupValueInTableNumber(X_Cell_Dairy_ProductionSystemTemplate, Table_SourceData_Dairy_ProductionSystemTemplates[Area],Table_SourceData_Dairy_ProductionSystemTemplates[Feedpad])</f>
        <v>0.35599999999999998</v>
      </c>
      <c r="H70" s="135">
        <f>Common_InputFunctions.Utility_LookupValueInTableNumber(X_Cell_Dairy_ProductionSystemTemplate, Table_SourceData_Dairy_ProductionSystemTemplates[Area],Table_SourceData_Dairy_ProductionSystemTemplates[Feedpad])</f>
        <v>0.35599999999999998</v>
      </c>
      <c r="I70" s="135">
        <f>Common_InputFunctions.Utility_LookupValueInTableNumber(X_Cell_Dairy_ProductionSystemTemplate, Table_SourceData_Dairy_ProductionSystemTemplates[Area],Table_SourceData_Dairy_ProductionSystemTemplates[Feedpad])</f>
        <v>0.35599999999999998</v>
      </c>
      <c r="J70" s="2" t="s">
        <v>17</v>
      </c>
      <c r="K70" s="2"/>
      <c r="L70" s="2"/>
      <c r="M70" s="2"/>
      <c r="N70" s="2"/>
      <c r="O70" s="3"/>
    </row>
    <row r="71" spans="3:19" ht="20.100000000000001" customHeight="1" x14ac:dyDescent="0.25">
      <c r="E71" s="126"/>
      <c r="O71" s="3"/>
    </row>
    <row r="72" spans="3:19" ht="20.100000000000001" customHeight="1" x14ac:dyDescent="0.25"/>
    <row r="73" spans="3:19" ht="20.100000000000001" customHeight="1" x14ac:dyDescent="0.25">
      <c r="C73" s="46"/>
      <c r="D73" s="46"/>
      <c r="E73" s="46"/>
      <c r="F73" s="46"/>
      <c r="G73" s="46"/>
      <c r="H73" s="46"/>
      <c r="I73" s="46"/>
      <c r="J73" s="46"/>
      <c r="K73" s="46"/>
      <c r="L73" s="46"/>
      <c r="M73" s="46"/>
      <c r="N73" s="46"/>
      <c r="O73" s="46"/>
    </row>
    <row r="74" spans="3:19" ht="20.100000000000001" customHeight="1" x14ac:dyDescent="0.25">
      <c r="D74" s="6" t="s">
        <v>98</v>
      </c>
      <c r="F74" s="123"/>
    </row>
    <row r="75" spans="3:19" ht="20.100000000000001" customHeight="1" x14ac:dyDescent="0.25">
      <c r="D75" s="49" t="str">
        <f>"From " &amp; $D$64</f>
        <v>From Milking shed</v>
      </c>
      <c r="O75" s="3"/>
    </row>
    <row r="76" spans="3:19" ht="20.100000000000001" customHeight="1" x14ac:dyDescent="0.25">
      <c r="O76" s="3"/>
    </row>
    <row r="77" spans="3:19" ht="20.100000000000001" customHeight="1" x14ac:dyDescent="0.25">
      <c r="D77" s="153" t="s">
        <v>97</v>
      </c>
      <c r="E77" s="40" t="s">
        <v>167</v>
      </c>
      <c r="F77" s="40" t="s">
        <v>184</v>
      </c>
      <c r="G77" s="40" t="s">
        <v>185</v>
      </c>
      <c r="H77" s="40" t="s">
        <v>186</v>
      </c>
      <c r="I77" s="40" t="s">
        <v>187</v>
      </c>
      <c r="J77" s="142" t="s">
        <v>422</v>
      </c>
      <c r="K77" s="142"/>
      <c r="L77" s="64" t="s">
        <v>421</v>
      </c>
      <c r="M77" s="64"/>
      <c r="N77" s="40"/>
      <c r="O77" s="3"/>
    </row>
    <row r="78" spans="3:19" ht="20.100000000000001" customHeight="1" x14ac:dyDescent="0.25">
      <c r="L78" s="117" t="s">
        <v>423</v>
      </c>
      <c r="M78" s="117" t="s">
        <v>424</v>
      </c>
      <c r="N78" s="117" t="s">
        <v>425</v>
      </c>
      <c r="O78" s="3"/>
    </row>
    <row r="79" spans="3:19" ht="20.100000000000001" customHeight="1" x14ac:dyDescent="0.25">
      <c r="D79" s="54" t="str">
        <f>'Constants - Dairy'!$D$8</f>
        <v>Anaerobic lagoon</v>
      </c>
      <c r="E79" s="47">
        <v>0.25</v>
      </c>
      <c r="F79" s="47">
        <v>0.25</v>
      </c>
      <c r="G79" s="47">
        <v>0.25</v>
      </c>
      <c r="H79" s="47">
        <v>0.25</v>
      </c>
      <c r="I79" s="47">
        <v>0.25</v>
      </c>
      <c r="J79" s="2" t="s">
        <v>17</v>
      </c>
      <c r="K79" s="2"/>
      <c r="L79" s="47">
        <v>0.25</v>
      </c>
      <c r="M79" s="47">
        <v>0.25</v>
      </c>
      <c r="N79" s="97">
        <f>1-SUM(L79:M79)</f>
        <v>0.5</v>
      </c>
      <c r="O79" s="3"/>
    </row>
    <row r="80" spans="3:19" ht="20.100000000000001" customHeight="1" x14ac:dyDescent="0.25">
      <c r="D80" s="152" t="str">
        <f>"Were solids separated from " &amp; D79 &amp; "?"</f>
        <v>Were solids separated from Anaerobic lagoon?</v>
      </c>
      <c r="E80" s="41" t="s">
        <v>201</v>
      </c>
      <c r="O80" s="3"/>
      <c r="S80" s="7"/>
    </row>
    <row r="81" spans="4:19" ht="20.100000000000001" customHeight="1" x14ac:dyDescent="0.25">
      <c r="D81" s="152" t="str">
        <f>"Percent solids separated from " &amp; D79 &amp; " (Method 1)"</f>
        <v>Percent solids separated from Anaerobic lagoon (Method 1)</v>
      </c>
      <c r="E81" s="97">
        <f>IF(X_Cell_Dairy_Stage1MMS_1_AnaerobicLagoon_SolidsSeparated="Yes", 20%, 0)</f>
        <v>0.2</v>
      </c>
      <c r="O81" s="3"/>
      <c r="S81" s="7"/>
    </row>
    <row r="82" spans="4:19" ht="20.100000000000001" customHeight="1" x14ac:dyDescent="0.25">
      <c r="D82" s="152" t="str">
        <f>"Percent solids separated from " &amp; D79 &amp; " (Method 2)"</f>
        <v>Percent solids separated from Anaerobic lagoon (Method 2)</v>
      </c>
      <c r="E82" s="47">
        <v>0.2</v>
      </c>
      <c r="O82" s="3"/>
      <c r="S82" s="7"/>
    </row>
    <row r="83" spans="4:19" ht="20.100000000000001" customHeight="1" x14ac:dyDescent="0.25">
      <c r="S83" s="7"/>
    </row>
    <row r="84" spans="4:19" ht="20.100000000000001" customHeight="1" x14ac:dyDescent="0.25">
      <c r="D84" s="54" t="str">
        <f>'Constants - Dairy'!$D$9</f>
        <v>Sump and dispersal system</v>
      </c>
      <c r="E84" s="47">
        <v>0.25</v>
      </c>
      <c r="F84" s="47">
        <v>0.25</v>
      </c>
      <c r="G84" s="47">
        <v>0.25</v>
      </c>
      <c r="H84" s="47">
        <v>0.25</v>
      </c>
      <c r="I84" s="47">
        <v>0.25</v>
      </c>
      <c r="J84" s="2" t="s">
        <v>17</v>
      </c>
      <c r="K84" s="2"/>
      <c r="L84" s="47">
        <v>0.25</v>
      </c>
      <c r="M84" s="47">
        <v>0.25</v>
      </c>
      <c r="N84" s="97">
        <f t="shared" ref="N84" si="1">1-SUM(L84:M84)</f>
        <v>0.5</v>
      </c>
      <c r="S84" s="7"/>
    </row>
    <row r="85" spans="4:19" ht="20.100000000000001" customHeight="1" x14ac:dyDescent="0.25">
      <c r="D85" s="152" t="str">
        <f>"Were solids separated from " &amp; D84 &amp; "?"</f>
        <v>Were solids separated from Sump and dispersal system?</v>
      </c>
      <c r="E85" s="41" t="s">
        <v>201</v>
      </c>
      <c r="S85" s="7"/>
    </row>
    <row r="86" spans="4:19" ht="20.100000000000001" customHeight="1" x14ac:dyDescent="0.25">
      <c r="D86" s="152" t="str">
        <f>"Percent solids separated from " &amp; D84 &amp; " (Method 1)"</f>
        <v>Percent solids separated from Sump and dispersal system (Method 1)</v>
      </c>
      <c r="E86" s="97">
        <f>IF(X_Cell_Dairy_Stage1MMS_1_SumpAndDispersal_SolidsSeparated="Yes", 20%, 0)</f>
        <v>0.2</v>
      </c>
      <c r="S86" s="7"/>
    </row>
    <row r="87" spans="4:19" ht="20.100000000000001" customHeight="1" x14ac:dyDescent="0.25">
      <c r="D87" s="152" t="str">
        <f>"Percent solids separated from " &amp; D84 &amp; " (Method 2)"</f>
        <v>Percent solids separated from Sump and dispersal system (Method 2)</v>
      </c>
      <c r="E87" s="47">
        <v>0.2</v>
      </c>
      <c r="S87" s="7"/>
    </row>
    <row r="88" spans="4:19" ht="20.100000000000001" customHeight="1" x14ac:dyDescent="0.25">
      <c r="S88" s="7"/>
    </row>
    <row r="89" spans="4:19" ht="20.100000000000001" customHeight="1" x14ac:dyDescent="0.25">
      <c r="D89" s="54" t="str">
        <f>'Constants - Dairy'!$D$10</f>
        <v>Drains to paddock</v>
      </c>
      <c r="E89" s="47">
        <v>0.25</v>
      </c>
      <c r="F89" s="47">
        <v>0.25</v>
      </c>
      <c r="G89" s="47">
        <v>0.25</v>
      </c>
      <c r="H89" s="47">
        <v>0.25</v>
      </c>
      <c r="I89" s="47">
        <v>0.25</v>
      </c>
      <c r="J89" s="2" t="s">
        <v>17</v>
      </c>
      <c r="K89" s="2"/>
      <c r="L89" s="47">
        <v>0.25</v>
      </c>
      <c r="M89" s="47">
        <v>0.25</v>
      </c>
      <c r="N89" s="97">
        <f>1-SUM(L89:M89)</f>
        <v>0.5</v>
      </c>
      <c r="S89" s="7"/>
    </row>
    <row r="90" spans="4:19" ht="20.100000000000001" customHeight="1" x14ac:dyDescent="0.25">
      <c r="D90" s="152" t="str">
        <f>"Were solids separated from " &amp; D89 &amp; "?"</f>
        <v>Were solids separated from Drains to paddock?</v>
      </c>
      <c r="E90" s="41" t="s">
        <v>201</v>
      </c>
      <c r="S90" s="7"/>
    </row>
    <row r="91" spans="4:19" ht="20.100000000000001" customHeight="1" x14ac:dyDescent="0.25">
      <c r="D91" s="152" t="str">
        <f>"Percent solids separated from " &amp; D89 &amp; " (Method 1)"</f>
        <v>Percent solids separated from Drains to paddock (Method 1)</v>
      </c>
      <c r="E91" s="97">
        <f>IF(X_Cell_Dairy_Stage1MMS_1_DrainsToPaddock_SolidsSeparated="Yes", 20%, 0)</f>
        <v>0.2</v>
      </c>
      <c r="S91" s="7"/>
    </row>
    <row r="92" spans="4:19" ht="20.100000000000001" customHeight="1" x14ac:dyDescent="0.25">
      <c r="D92" s="152" t="str">
        <f>"Percent solids separated from " &amp; D89 &amp; " (Method 2)"</f>
        <v>Percent solids separated from Drains to paddock (Method 2)</v>
      </c>
      <c r="E92" s="47">
        <v>0.2</v>
      </c>
      <c r="S92" s="7"/>
    </row>
    <row r="93" spans="4:19" ht="20.100000000000001" customHeight="1" x14ac:dyDescent="0.25">
      <c r="S93" s="7"/>
    </row>
    <row r="94" spans="4:19" ht="20.100000000000001" customHeight="1" x14ac:dyDescent="0.25">
      <c r="D94" s="54" t="str">
        <f>'Constants - Dairy'!$D$11 &amp; " (before solid separation)"</f>
        <v>Solid storage (before solid separation)</v>
      </c>
      <c r="E94" s="47">
        <v>0.25</v>
      </c>
      <c r="F94" s="47">
        <v>0.25</v>
      </c>
      <c r="G94" s="47">
        <v>0.25</v>
      </c>
      <c r="H94" s="47">
        <v>0.25</v>
      </c>
      <c r="I94" s="47">
        <v>0.25</v>
      </c>
      <c r="J94" s="2" t="s">
        <v>17</v>
      </c>
      <c r="K94" s="2"/>
      <c r="L94" s="47">
        <v>0.25</v>
      </c>
      <c r="M94" s="47">
        <v>0.25</v>
      </c>
      <c r="N94" s="97">
        <f t="shared" ref="N94" si="2">1-SUM(L94:M94)</f>
        <v>0.5</v>
      </c>
      <c r="S94" s="7"/>
    </row>
    <row r="95" spans="4:19" ht="20.100000000000001" customHeight="1" x14ac:dyDescent="0.25">
      <c r="D95" s="1" t="s">
        <v>428</v>
      </c>
      <c r="E95" s="97">
        <f>E94+(E79*X_Cell_Dairy_Stage1MMS_1_AnaerobicLagoon_AmountSeparated_Method1)+(E84*X_Cell_Dairy_Stage1MMS_1_SumpAndDispersal_AmountSeparated_Method1)+(E89*X_Cell_Dairy_Stage1MMS_1_DrainsToPaddock_AmountSeparated_Method1)</f>
        <v>0.39999999999999997</v>
      </c>
      <c r="F95" s="97">
        <f>F94+(F79*X_Cell_Dairy_Stage1MMS_1_AnaerobicLagoon_AmountSeparated_Method1)+(F84*X_Cell_Dairy_Stage1MMS_1_SumpAndDispersal_AmountSeparated_Method1)+(F89*X_Cell_Dairy_Stage1MMS_1_DrainsToPaddock_AmountSeparated_Method1)</f>
        <v>0.39999999999999997</v>
      </c>
      <c r="G95" s="97">
        <f>G94+(G79*X_Cell_Dairy_Stage1MMS_1_AnaerobicLagoon_AmountSeparated_Method1)+(G84*X_Cell_Dairy_Stage1MMS_1_SumpAndDispersal_AmountSeparated_Method1)+(G89*X_Cell_Dairy_Stage1MMS_1_DrainsToPaddock_AmountSeparated_Method1)</f>
        <v>0.39999999999999997</v>
      </c>
      <c r="H95" s="97">
        <f>H94+(H79*X_Cell_Dairy_Stage1MMS_1_AnaerobicLagoon_AmountSeparated_Method1)+(H84*X_Cell_Dairy_Stage1MMS_1_SumpAndDispersal_AmountSeparated_Method1)+(H89*X_Cell_Dairy_Stage1MMS_1_DrainsToPaddock_AmountSeparated_Method1)</f>
        <v>0.39999999999999997</v>
      </c>
      <c r="I95" s="97">
        <f>I94+(I79*X_Cell_Dairy_Stage1MMS_1_AnaerobicLagoon_AmountSeparated_Method1)+(I84*X_Cell_Dairy_Stage1MMS_1_SumpAndDispersal_AmountSeparated_Method1)+(I89*X_Cell_Dairy_Stage1MMS_1_DrainsToPaddock_AmountSeparated_Method1)</f>
        <v>0.39999999999999997</v>
      </c>
      <c r="J95" s="2" t="s">
        <v>17</v>
      </c>
      <c r="K95" s="2"/>
      <c r="L95" s="2"/>
      <c r="M95" s="2"/>
      <c r="N95" s="2"/>
      <c r="S95" s="7"/>
    </row>
    <row r="96" spans="4:19" ht="20.100000000000001" customHeight="1" x14ac:dyDescent="0.25">
      <c r="D96" s="1" t="s">
        <v>429</v>
      </c>
      <c r="E96" s="97">
        <f>E94+(E79*X_Cell_Dairy_Stage1MMS_1_AnaerobicLagoon_AmountSeparated_Method2)+(E84*X_Cell_Dairy_Stage1MMS_1_SumpAndDispersal_AmountSeparated_Method2)+(E89*X_Cell_Dairy_Stage1MMS_1_DrainsToPaddock_AmountSeparated_Method2)</f>
        <v>0.39999999999999997</v>
      </c>
      <c r="F96" s="97">
        <f>F94+(F79*X_Cell_Dairy_Stage1MMS_1_AnaerobicLagoon_AmountSeparated_Method2)+(F84*X_Cell_Dairy_Stage1MMS_1_SumpAndDispersal_AmountSeparated_Method2)+(F89*X_Cell_Dairy_Stage1MMS_1_DrainsToPaddock_AmountSeparated_Method2)</f>
        <v>0.39999999999999997</v>
      </c>
      <c r="G96" s="97">
        <f>G94+(G79*X_Cell_Dairy_Stage1MMS_1_AnaerobicLagoon_AmountSeparated_Method2)+(G84*X_Cell_Dairy_Stage1MMS_1_SumpAndDispersal_AmountSeparated_Method2)+(G89*X_Cell_Dairy_Stage1MMS_1_DrainsToPaddock_AmountSeparated_Method2)</f>
        <v>0.39999999999999997</v>
      </c>
      <c r="H96" s="97">
        <f>H94+(H79*X_Cell_Dairy_Stage1MMS_1_AnaerobicLagoon_AmountSeparated_Method2)+(H84*X_Cell_Dairy_Stage1MMS_1_SumpAndDispersal_AmountSeparated_Method2)+(H89*X_Cell_Dairy_Stage1MMS_1_DrainsToPaddock_AmountSeparated_Method2)</f>
        <v>0.39999999999999997</v>
      </c>
      <c r="I96" s="97">
        <f>I94+(I79*X_Cell_Dairy_Stage1MMS_1_AnaerobicLagoon_AmountSeparated_Method2)+(I84*X_Cell_Dairy_Stage1MMS_1_SumpAndDispersal_AmountSeparated_Method2)+(I89*X_Cell_Dairy_Stage1MMS_1_DrainsToPaddock_AmountSeparated_Method2)</f>
        <v>0.39999999999999997</v>
      </c>
      <c r="J96" s="2" t="s">
        <v>17</v>
      </c>
      <c r="K96" s="2"/>
      <c r="S96" s="7"/>
    </row>
    <row r="97" spans="4:19" ht="20.100000000000001" customHeight="1" x14ac:dyDescent="0.25">
      <c r="F97" s="2"/>
      <c r="S97" s="7"/>
    </row>
    <row r="98" spans="4:19" ht="20.100000000000001" customHeight="1" x14ac:dyDescent="0.25">
      <c r="F98" s="143"/>
      <c r="S98" s="7"/>
    </row>
    <row r="99" spans="4:19" ht="20.100000000000001" customHeight="1" x14ac:dyDescent="0.25">
      <c r="D99" s="49" t="str">
        <f>"From " &amp; $D$65</f>
        <v>From Feed pad</v>
      </c>
      <c r="S99" s="7"/>
    </row>
    <row r="100" spans="4:19" ht="20.100000000000001" customHeight="1" x14ac:dyDescent="0.25">
      <c r="S100" s="7"/>
    </row>
    <row r="101" spans="4:19" ht="20.100000000000001" customHeight="1" x14ac:dyDescent="0.25">
      <c r="D101" s="144" t="s">
        <v>97</v>
      </c>
      <c r="E101" s="40" t="s">
        <v>167</v>
      </c>
      <c r="F101" s="40" t="s">
        <v>184</v>
      </c>
      <c r="G101" s="40" t="s">
        <v>185</v>
      </c>
      <c r="H101" s="40" t="s">
        <v>186</v>
      </c>
      <c r="I101" s="40" t="s">
        <v>187</v>
      </c>
      <c r="J101" s="142" t="s">
        <v>422</v>
      </c>
      <c r="K101" s="142"/>
      <c r="L101" s="64" t="s">
        <v>421</v>
      </c>
      <c r="M101" s="64"/>
      <c r="N101" s="40"/>
      <c r="S101" s="7"/>
    </row>
    <row r="102" spans="4:19" ht="20.100000000000001" customHeight="1" x14ac:dyDescent="0.25">
      <c r="D102" s="146"/>
      <c r="L102" s="117" t="s">
        <v>423</v>
      </c>
      <c r="M102" s="117" t="s">
        <v>424</v>
      </c>
      <c r="N102" s="117" t="s">
        <v>425</v>
      </c>
      <c r="S102" s="7"/>
    </row>
    <row r="103" spans="4:19" ht="20.100000000000001" customHeight="1" x14ac:dyDescent="0.25">
      <c r="D103" s="145" t="str">
        <f>'Constants - Dairy'!$D$8</f>
        <v>Anaerobic lagoon</v>
      </c>
      <c r="E103" s="47">
        <v>0.25</v>
      </c>
      <c r="F103" s="47">
        <v>0.25</v>
      </c>
      <c r="G103" s="47">
        <v>0.25</v>
      </c>
      <c r="H103" s="47">
        <v>0.25</v>
      </c>
      <c r="I103" s="47">
        <v>0.25</v>
      </c>
      <c r="J103" s="2" t="s">
        <v>17</v>
      </c>
      <c r="K103" s="2"/>
      <c r="L103" s="47">
        <v>0.25</v>
      </c>
      <c r="M103" s="47">
        <v>0.25</v>
      </c>
      <c r="N103" s="97">
        <f>1-SUM(L103:M103)</f>
        <v>0.5</v>
      </c>
      <c r="S103" s="7"/>
    </row>
    <row r="104" spans="4:19" ht="20.100000000000001" customHeight="1" x14ac:dyDescent="0.25">
      <c r="D104" s="151" t="str">
        <f>"Were solids separated from " &amp; D103 &amp; "?"</f>
        <v>Were solids separated from Anaerobic lagoon?</v>
      </c>
      <c r="E104" s="41" t="s">
        <v>203</v>
      </c>
      <c r="S104" s="7"/>
    </row>
    <row r="105" spans="4:19" ht="20.100000000000001" customHeight="1" x14ac:dyDescent="0.25">
      <c r="D105" s="151" t="str">
        <f>"Percent solids separated from " &amp; D103 &amp; " (Method 1)"</f>
        <v>Percent solids separated from Anaerobic lagoon (Method 1)</v>
      </c>
      <c r="E105" s="97">
        <f>IF(X_Cell_Dairy_Stage1MMS_2_AnaerobicLagoon_SolidsSeparated="Yes", 20%, 0)</f>
        <v>0</v>
      </c>
      <c r="S105" s="7"/>
    </row>
    <row r="106" spans="4:19" ht="20.100000000000001" customHeight="1" x14ac:dyDescent="0.25">
      <c r="D106" s="151" t="str">
        <f>"Percent solids separated from " &amp; D103 &amp; " (Method 2)"</f>
        <v>Percent solids separated from Anaerobic lagoon (Method 2)</v>
      </c>
      <c r="E106" s="47">
        <f>IF(X_Cell_Dairy_Stage1MMS_2_AnaerobicLagoon_SolidsSeparated="Yes", 20%, 0)</f>
        <v>0</v>
      </c>
      <c r="S106" s="7"/>
    </row>
    <row r="107" spans="4:19" ht="20.100000000000001" customHeight="1" x14ac:dyDescent="0.25"/>
    <row r="108" spans="4:19" ht="20.100000000000001" customHeight="1" x14ac:dyDescent="0.25">
      <c r="D108" s="145" t="str">
        <f>'Constants - Dairy'!$D$9</f>
        <v>Sump and dispersal system</v>
      </c>
      <c r="E108" s="47">
        <v>0.25</v>
      </c>
      <c r="F108" s="47">
        <v>0.25</v>
      </c>
      <c r="G108" s="47">
        <v>0.25</v>
      </c>
      <c r="H108" s="47">
        <v>0.25</v>
      </c>
      <c r="I108" s="47">
        <v>0.25</v>
      </c>
      <c r="J108" s="2" t="s">
        <v>17</v>
      </c>
      <c r="K108" s="2"/>
      <c r="L108" s="47">
        <v>0.25</v>
      </c>
      <c r="M108" s="47">
        <v>0.25</v>
      </c>
      <c r="N108" s="97">
        <f t="shared" ref="N108" si="3">1-SUM(L108:M108)</f>
        <v>0.5</v>
      </c>
    </row>
    <row r="109" spans="4:19" ht="20.100000000000001" customHeight="1" x14ac:dyDescent="0.25">
      <c r="D109" s="151" t="str">
        <f>"Were solids separated from " &amp; D108 &amp; "?"</f>
        <v>Were solids separated from Sump and dispersal system?</v>
      </c>
      <c r="E109" s="41" t="s">
        <v>201</v>
      </c>
    </row>
    <row r="110" spans="4:19" ht="20.100000000000001" customHeight="1" x14ac:dyDescent="0.25">
      <c r="D110" s="151" t="str">
        <f>"Percent solids separated from " &amp; D108 &amp; " (Method 1)"</f>
        <v>Percent solids separated from Sump and dispersal system (Method 1)</v>
      </c>
      <c r="E110" s="97">
        <f>IF(X_Cell_Dairy_Stage1MMS_2_SumpAndDispersal_SolidsSeparated="Yes", 20%, 0)</f>
        <v>0.2</v>
      </c>
    </row>
    <row r="111" spans="4:19" ht="20.100000000000001" customHeight="1" x14ac:dyDescent="0.25">
      <c r="D111" s="151" t="str">
        <f>"Percent solids separated from " &amp; D108 &amp; " (Method 2)"</f>
        <v>Percent solids separated from Sump and dispersal system (Method 2)</v>
      </c>
      <c r="E111" s="47">
        <f>IF(X_Cell_Dairy_Stage1MMS_2_SumpAndDispersal_SolidsSeparated="Yes", 20%, 0)</f>
        <v>0.2</v>
      </c>
    </row>
    <row r="112" spans="4:19" ht="20.100000000000001" customHeight="1" x14ac:dyDescent="0.25"/>
    <row r="113" spans="4:14" ht="20.100000000000001" customHeight="1" x14ac:dyDescent="0.25">
      <c r="D113" s="145" t="str">
        <f>'Constants - Dairy'!$D$10</f>
        <v>Drains to paddock</v>
      </c>
      <c r="E113" s="47">
        <v>0.25</v>
      </c>
      <c r="F113" s="47">
        <v>0.25</v>
      </c>
      <c r="G113" s="47">
        <v>0.25</v>
      </c>
      <c r="H113" s="47">
        <v>0.25</v>
      </c>
      <c r="I113" s="47">
        <v>0.25</v>
      </c>
      <c r="J113" s="2" t="s">
        <v>17</v>
      </c>
      <c r="K113" s="2"/>
      <c r="L113" s="47">
        <v>0.25</v>
      </c>
      <c r="M113" s="47">
        <v>0.25</v>
      </c>
      <c r="N113" s="97">
        <f>1-SUM(L113:M113)</f>
        <v>0.5</v>
      </c>
    </row>
    <row r="114" spans="4:14" ht="20.100000000000001" customHeight="1" x14ac:dyDescent="0.25">
      <c r="D114" s="151" t="str">
        <f>"Were solids separated from " &amp; D113 &amp; "?"</f>
        <v>Were solids separated from Drains to paddock?</v>
      </c>
      <c r="E114" s="41" t="s">
        <v>201</v>
      </c>
    </row>
    <row r="115" spans="4:14" ht="20.100000000000001" customHeight="1" x14ac:dyDescent="0.25">
      <c r="D115" s="151" t="str">
        <f>"Percent solids separated from " &amp; D113 &amp; " (Method 1)"</f>
        <v>Percent solids separated from Drains to paddock (Method 1)</v>
      </c>
      <c r="E115" s="97">
        <f>IF(X_Cell_Dairy_Stage1MMS_2_DrainsToPaddock_SolidsSeparated="Yes", 20%, 0)</f>
        <v>0.2</v>
      </c>
    </row>
    <row r="116" spans="4:14" ht="20.100000000000001" customHeight="1" x14ac:dyDescent="0.25">
      <c r="D116" s="151" t="str">
        <f>"Percent solids separated from " &amp; D113 &amp; " (Method 2)"</f>
        <v>Percent solids separated from Drains to paddock (Method 2)</v>
      </c>
      <c r="E116" s="47">
        <f>IF(X_Cell_Dairy_Stage1MMS_2_DrainsToPaddock_SolidsSeparated="Yes", 20%, 0)</f>
        <v>0.2</v>
      </c>
    </row>
    <row r="117" spans="4:14" ht="20.100000000000001" customHeight="1" x14ac:dyDescent="0.25"/>
    <row r="118" spans="4:14" ht="20.100000000000001" customHeight="1" x14ac:dyDescent="0.25">
      <c r="D118" s="145" t="str">
        <f>'Constants - Dairy'!$D$11 &amp; " (before solid separation)"</f>
        <v>Solid storage (before solid separation)</v>
      </c>
      <c r="E118" s="47">
        <v>0.25</v>
      </c>
      <c r="F118" s="47">
        <v>0.25</v>
      </c>
      <c r="G118" s="47">
        <v>0.25</v>
      </c>
      <c r="H118" s="47">
        <v>0.25</v>
      </c>
      <c r="I118" s="47">
        <v>0.25</v>
      </c>
      <c r="J118" s="2" t="s">
        <v>17</v>
      </c>
      <c r="K118" s="2"/>
      <c r="L118" s="47">
        <v>0.25</v>
      </c>
      <c r="M118" s="47">
        <v>0.25</v>
      </c>
      <c r="N118" s="97">
        <f>1-SUM(L118:M118)</f>
        <v>0.5</v>
      </c>
    </row>
    <row r="119" spans="4:14" ht="20.100000000000001" customHeight="1" x14ac:dyDescent="0.25">
      <c r="D119" s="146" t="s">
        <v>428</v>
      </c>
      <c r="E119" s="97">
        <f>E118+(E103*X_Cell_Dairy_Stage1MMS_2_AnaerobicLagoon_AmountSeparated_Method1)+(E108*X_Cell_Dairy_Stage1MMS_2_SumpAndDispersal_AmountSeparated_Method1)+(E113*X_Cell_Dairy_Stage1MMS_2_DrainsToPaddock_AmountSeparated_Method1)</f>
        <v>0.35</v>
      </c>
      <c r="F119" s="97">
        <f>F118+(F103*X_Cell_Dairy_Stage1MMS_2_AnaerobicLagoon_AmountSeparated_Method1)+(F108*X_Cell_Dairy_Stage1MMS_2_SumpAndDispersal_AmountSeparated_Method1)+(F113*X_Cell_Dairy_Stage1MMS_2_DrainsToPaddock_AmountSeparated_Method1)</f>
        <v>0.35</v>
      </c>
      <c r="G119" s="97">
        <f>G118+(G103*X_Cell_Dairy_Stage1MMS_2_AnaerobicLagoon_AmountSeparated_Method1)+(G108*X_Cell_Dairy_Stage1MMS_2_SumpAndDispersal_AmountSeparated_Method1)+(G113*X_Cell_Dairy_Stage1MMS_2_DrainsToPaddock_AmountSeparated_Method1)</f>
        <v>0.35</v>
      </c>
      <c r="H119" s="97">
        <f>H118+(H103*X_Cell_Dairy_Stage1MMS_2_AnaerobicLagoon_AmountSeparated_Method1)+(H108*X_Cell_Dairy_Stage1MMS_2_SumpAndDispersal_AmountSeparated_Method1)+(H113*X_Cell_Dairy_Stage1MMS_2_DrainsToPaddock_AmountSeparated_Method1)</f>
        <v>0.35</v>
      </c>
      <c r="I119" s="97">
        <f>I118+(I103*X_Cell_Dairy_Stage1MMS_2_AnaerobicLagoon_AmountSeparated_Method1)+(I108*X_Cell_Dairy_Stage1MMS_2_SumpAndDispersal_AmountSeparated_Method1)+(I113*X_Cell_Dairy_Stage1MMS_2_DrainsToPaddock_AmountSeparated_Method1)</f>
        <v>0.35</v>
      </c>
      <c r="J119" s="2" t="s">
        <v>17</v>
      </c>
      <c r="K119" s="2"/>
      <c r="L119" s="2"/>
      <c r="M119" s="2"/>
      <c r="N119" s="2"/>
    </row>
    <row r="120" spans="4:14" ht="20.100000000000001" customHeight="1" x14ac:dyDescent="0.25">
      <c r="D120" s="146" t="s">
        <v>429</v>
      </c>
      <c r="E120" s="97">
        <f>E118+(E103*X_Cell_Dairy_Stage1MMS_2_AnaerobicLagoon_AmountSeparated_Method2)+(E108*X_Cell_Dairy_Stage1MMS_2_SumpAndDispersal_AmountSeparated_Method2)+(E113*X_Cell_Dairy_Stage1MMS_2_DrainsToPaddock_AmountSeparated_Method2)</f>
        <v>0.35</v>
      </c>
      <c r="F120" s="97">
        <f>F118+(F103*X_Cell_Dairy_Stage1MMS_2_AnaerobicLagoon_AmountSeparated_Method2)+(F108*X_Cell_Dairy_Stage1MMS_2_SumpAndDispersal_AmountSeparated_Method2)+(F113*X_Cell_Dairy_Stage1MMS_2_DrainsToPaddock_AmountSeparated_Method2)</f>
        <v>0.35</v>
      </c>
      <c r="G120" s="97">
        <f>G118+(G103*X_Cell_Dairy_Stage1MMS_2_AnaerobicLagoon_AmountSeparated_Method2)+(G108*X_Cell_Dairy_Stage1MMS_2_SumpAndDispersal_AmountSeparated_Method2)+(G113*X_Cell_Dairy_Stage1MMS_2_DrainsToPaddock_AmountSeparated_Method2)</f>
        <v>0.35</v>
      </c>
      <c r="H120" s="97">
        <f>H118+(H103*X_Cell_Dairy_Stage1MMS_2_AnaerobicLagoon_AmountSeparated_Method2)+(H108*X_Cell_Dairy_Stage1MMS_2_SumpAndDispersal_AmountSeparated_Method2)+(H113*X_Cell_Dairy_Stage1MMS_2_DrainsToPaddock_AmountSeparated_Method2)</f>
        <v>0.35</v>
      </c>
      <c r="I120" s="97">
        <f>I118+(I103*X_Cell_Dairy_Stage1MMS_2_AnaerobicLagoon_AmountSeparated_Method2)+(I108*X_Cell_Dairy_Stage1MMS_2_SumpAndDispersal_AmountSeparated_Method2)+(I113*X_Cell_Dairy_Stage1MMS_2_DrainsToPaddock_AmountSeparated_Method2)</f>
        <v>0.35</v>
      </c>
      <c r="J120" s="2" t="s">
        <v>17</v>
      </c>
      <c r="K120" s="2"/>
    </row>
    <row r="121" spans="4:14" ht="20.100000000000001" customHeight="1" x14ac:dyDescent="0.25"/>
    <row r="122" spans="4:14" ht="20.100000000000001" customHeight="1" x14ac:dyDescent="0.25"/>
    <row r="123" spans="4:14" ht="20.100000000000001" customHeight="1" x14ac:dyDescent="0.25">
      <c r="D123" s="1" t="s">
        <v>136</v>
      </c>
      <c r="E123" s="41" t="s">
        <v>141</v>
      </c>
      <c r="F123" s="2" t="s">
        <v>8</v>
      </c>
    </row>
    <row r="124" spans="4:14" ht="20.100000000000001" customHeight="1" x14ac:dyDescent="0.25">
      <c r="E124" s="41" t="s">
        <v>146</v>
      </c>
      <c r="F124" s="2" t="s">
        <v>8</v>
      </c>
      <c r="L124" s="2"/>
      <c r="M124" s="2"/>
      <c r="N124" s="2"/>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2 M42:N42 P43:Q43 J79:K79 J84:K84 F89 J89:K89 F94 J94:K96 L95:N95 F100 J103:K103 J108:K108 J113:K113 J118:K120 L119:N119 L124:N124">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97">
    <cfRule type="cellIs" dxfId="2" priority="22" operator="lessThan">
      <formula>0</formula>
    </cfRule>
  </conditionalFormatting>
  <conditionalFormatting sqref="J63:N65">
    <cfRule type="cellIs" dxfId="1" priority="26" operator="lessThan">
      <formula>0</formula>
    </cfRule>
  </conditionalFormatting>
  <conditionalFormatting sqref="J68:N70">
    <cfRule type="cellIs" dxfId="0" priority="25" operator="lessThan">
      <formula>0</formula>
    </cfRule>
  </conditionalFormatting>
  <dataValidations count="6">
    <dataValidation type="list" allowBlank="1" showInputMessage="1" showErrorMessage="1" sqref="E123" xr:uid="{AF94BFC8-A9BD-4286-932B-111409BF1EB6}">
      <formula1>INDIRECT("Table_SourceData_Dairy_CropProdSystems[Production system]")</formula1>
    </dataValidation>
    <dataValidation type="list" allowBlank="1" showInputMessage="1" showErrorMessage="1" sqref="E124"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80 E85 E90 E104 E109 E114"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W305"/>
  <sheetViews>
    <sheetView showGridLines="0" topLeftCell="A48" zoomScaleNormal="100" workbookViewId="0">
      <selection activeCell="D50" sqref="D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D6" s="5" t="str" cm="1">
        <f t="array" ref="D6">EntericMethane_Dairy_Equations.VEERG_3_3_1_1__6_MetabolisabilityOfDiet_Source()</f>
        <v>VEERG 2026: 3.3.1.1, Equation (6)</v>
      </c>
    </row>
    <row r="7" spans="1:23" ht="20.100000000000001" customHeight="1" x14ac:dyDescent="0.25">
      <c r="D7" s="5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9" t="s">
        <v>0</v>
      </c>
      <c r="D8" s="13" t="s">
        <v>25</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Site'!A1", "Site")</f>
        <v>Site</v>
      </c>
    </row>
    <row r="10" spans="1:23" ht="20.100000000000001" customHeight="1" x14ac:dyDescent="0.25">
      <c r="A10" s="17" t="str">
        <f>HYPERLINK("#'Input - Dairy'!A1", "Dairy")</f>
        <v>Dairy</v>
      </c>
    </row>
    <row r="11" spans="1:23" ht="20.100000000000001" customHeight="1" x14ac:dyDescent="0.25">
      <c r="D11" s="54" t="s">
        <v>28</v>
      </c>
      <c r="E11" s="1" t="str" cm="1">
        <f t="array" ref="E11">EntericMethane_Dairy_Equations.VEERG_3_3_1_1__6_MetabolisabilityOfDiet_Variable()</f>
        <v>qm_j</v>
      </c>
    </row>
    <row r="12" spans="1:23" ht="20.100000000000001" customHeight="1" x14ac:dyDescent="0.25">
      <c r="D12" s="54" t="s">
        <v>18</v>
      </c>
      <c r="E12" s="55" t="str" cm="1">
        <f t="array" ref="E12">EntericMethane_Dairy_Equations.VEERG_3_3_1_1__6_MetabolisabilityOfDiet_Unit()</f>
        <v>fraction</v>
      </c>
    </row>
    <row r="13" spans="1:23" ht="20.100000000000001" customHeight="1" x14ac:dyDescent="0.25">
      <c r="A13" s="18" t="s">
        <v>73</v>
      </c>
    </row>
    <row r="14" spans="1:23" ht="20.100000000000001" customHeight="1" x14ac:dyDescent="0.25">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119</v>
      </c>
      <c r="O16" s="100" t="s">
        <v>122</v>
      </c>
    </row>
    <row r="17" spans="1:23" ht="20.100000000000001" customHeight="1" x14ac:dyDescent="0.25">
      <c r="A17" s="17" t="str">
        <f>HYPERLINK("#'4.3.1.6-7 Leaching and runoff'!A1", "4.3.1.6-7 Leaching and runoff")</f>
        <v>4.3.1.6-7 Leaching and runoff</v>
      </c>
      <c r="D17" s="99" t="s">
        <v>121</v>
      </c>
      <c r="O17" s="99" t="s">
        <v>231</v>
      </c>
    </row>
    <row r="18" spans="1:23"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100000000000001" customHeight="1" x14ac:dyDescent="0.25">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100000000000001" customHeight="1" x14ac:dyDescent="0.25">
      <c r="A20" s="17"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221</v>
      </c>
      <c r="O21" s="100" t="s">
        <v>223</v>
      </c>
    </row>
    <row r="22" spans="1:23" ht="20.100000000000001" customHeight="1" x14ac:dyDescent="0.25">
      <c r="D22" s="99" t="s">
        <v>222</v>
      </c>
      <c r="O22" s="99" t="s">
        <v>224</v>
      </c>
    </row>
    <row r="23" spans="1:23" ht="20.100000000000001" customHeight="1" x14ac:dyDescent="0.25">
      <c r="D23" s="52" t="s">
        <v>167</v>
      </c>
      <c r="E23" s="52" t="s">
        <v>184</v>
      </c>
      <c r="F23" s="52" t="s">
        <v>185</v>
      </c>
      <c r="G23" s="52" t="s">
        <v>186</v>
      </c>
      <c r="H23" s="52" t="s">
        <v>187</v>
      </c>
      <c r="O23" s="52" t="s">
        <v>167</v>
      </c>
      <c r="P23" s="52" t="s">
        <v>184</v>
      </c>
      <c r="Q23" s="52" t="s">
        <v>185</v>
      </c>
      <c r="R23" s="52" t="s">
        <v>186</v>
      </c>
      <c r="S23" s="52" t="s">
        <v>187</v>
      </c>
    </row>
    <row r="24" spans="1:23" ht="20.100000000000001" customHeight="1" x14ac:dyDescent="0.25">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row>
    <row r="27" spans="1:23" ht="20.100000000000001" customHeight="1" x14ac:dyDescent="0.25">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100000000000001" customHeight="1" x14ac:dyDescent="0.25">
      <c r="A28" s="17" t="str">
        <f>HYPERLINK("#'Acknowledgements'!A1", "Acknowledgements")</f>
        <v>Acknowledgements</v>
      </c>
      <c r="D28" s="6" t="str" cm="1">
        <f t="array" ref="D28">EntericMethane_Dairy_Equations.VEERG_3_3_1_1__5_MilkProductionFromMilkSolids_Title()</f>
        <v>Milk production converted from milk solids</v>
      </c>
    </row>
    <row r="29" spans="1:23" ht="20.100000000000001" customHeight="1" x14ac:dyDescent="0.25">
      <c r="A29" s="17" t="str">
        <f>HYPERLINK("#'Tab template'!A1", "Tab template")</f>
        <v>Tab template</v>
      </c>
      <c r="D29" s="5" t="str" cm="1">
        <f t="array" ref="D29">EntericMethane_Dairy_Equations.VEERG_3_3_1_1__5_MilkProductionFromMilkSolids_Source()</f>
        <v>VEERG 2026: 3.3.1.1, Equation (5)</v>
      </c>
    </row>
    <row r="30" spans="1:23" ht="20.100000000000001" customHeight="1" x14ac:dyDescent="0.25">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25</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4" t="s">
        <v>28</v>
      </c>
      <c r="E34" s="1" t="str" cm="1">
        <f t="array" ref="E34">EntericMethane_Dairy_Equations.VEERG_3_3_1_1__5_MilkProductionFromMilkSolids_Variable()</f>
        <v>MP_j</v>
      </c>
    </row>
    <row r="35" spans="4:20" ht="20.100000000000001" customHeight="1" x14ac:dyDescent="0.25">
      <c r="D35" s="54" t="s">
        <v>18</v>
      </c>
      <c r="E35" s="55" t="str" cm="1">
        <f t="array" ref="E35">EntericMethane_Dairy_Equations.VEERG_3_3_1_1__5_MilkProductionFromMilkSolids_Unit()</f>
        <v>L/head/day</v>
      </c>
    </row>
    <row r="36" spans="4:20" ht="20.100000000000001" customHeight="1" x14ac:dyDescent="0.25"/>
    <row r="37" spans="4:20" ht="20.100000000000001" customHeight="1" x14ac:dyDescent="0.25">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100000000000001" customHeight="1" x14ac:dyDescent="0.25">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100000000000001" customHeight="1" x14ac:dyDescent="0.25">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100000000000001" customHeight="1" x14ac:dyDescent="0.25">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1" spans="4:20" ht="20.100000000000001" customHeight="1" x14ac:dyDescent="0.25"/>
    <row r="42" spans="4:20" ht="20.100000000000001" customHeight="1" x14ac:dyDescent="0.25">
      <c r="D42" s="100" t="s">
        <v>439</v>
      </c>
    </row>
    <row r="43" spans="4:20" ht="20.100000000000001" customHeight="1" x14ac:dyDescent="0.25">
      <c r="D43" s="99" t="s">
        <v>440</v>
      </c>
    </row>
    <row r="44" spans="4:20" ht="20.100000000000001" customHeight="1" x14ac:dyDescent="0.25">
      <c r="D44" s="40" t="s">
        <v>167</v>
      </c>
      <c r="E44" s="40" t="s">
        <v>184</v>
      </c>
      <c r="F44" s="40" t="s">
        <v>185</v>
      </c>
      <c r="G44" s="40" t="s">
        <v>186</v>
      </c>
      <c r="H44" s="40" t="s">
        <v>187</v>
      </c>
    </row>
    <row r="45" spans="4:20" ht="20.100000000000001" customHeight="1" x14ac:dyDescent="0.25">
      <c r="D45" s="53">
        <f>IF($I$37="Milk solids", X_Cell_Dairy_MilkProductionAmount, 0)</f>
        <v>0</v>
      </c>
      <c r="E45" s="53">
        <v>0</v>
      </c>
      <c r="F45" s="53">
        <v>0</v>
      </c>
      <c r="G45" s="53">
        <v>0</v>
      </c>
      <c r="H45" s="53">
        <v>0</v>
      </c>
      <c r="I45" s="2" t="str">
        <f>G38</f>
        <v>kg MS/head/day</v>
      </c>
    </row>
    <row r="46" spans="4:20" ht="20.100000000000001" customHeight="1" x14ac:dyDescent="0.25"/>
    <row r="47" spans="4:20" ht="20.100000000000001" customHeight="1" x14ac:dyDescent="0.25">
      <c r="D47" s="100" t="s">
        <v>441</v>
      </c>
      <c r="O47" s="100" t="s">
        <v>443</v>
      </c>
    </row>
    <row r="48" spans="4:20" ht="20.100000000000001" customHeight="1" x14ac:dyDescent="0.25">
      <c r="D48" s="99" t="s">
        <v>442</v>
      </c>
      <c r="O48" s="99" t="s">
        <v>444</v>
      </c>
    </row>
    <row r="49" spans="3:23" ht="20.100000000000001" customHeight="1" x14ac:dyDescent="0.25">
      <c r="D49" s="52" t="s">
        <v>167</v>
      </c>
      <c r="E49" s="52" t="s">
        <v>184</v>
      </c>
      <c r="F49" s="52" t="s">
        <v>185</v>
      </c>
      <c r="G49" s="52" t="s">
        <v>186</v>
      </c>
      <c r="H49" s="52" t="s">
        <v>187</v>
      </c>
      <c r="O49" s="52" t="s">
        <v>167</v>
      </c>
      <c r="P49" s="52" t="s">
        <v>184</v>
      </c>
      <c r="Q49" s="52" t="s">
        <v>185</v>
      </c>
      <c r="R49" s="52" t="s">
        <v>186</v>
      </c>
      <c r="S49" s="52" t="s">
        <v>187</v>
      </c>
    </row>
    <row r="50" spans="3:23" ht="20.100000000000001" customHeight="1" x14ac:dyDescent="0.25">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1" spans="3:23" ht="20.100000000000001" customHeight="1" x14ac:dyDescent="0.25"/>
    <row r="52" spans="3:23" ht="20.100000000000001" customHeight="1" x14ac:dyDescent="0.25"/>
    <row r="53" spans="3:23" ht="20.100000000000001" customHeight="1" x14ac:dyDescent="0.25">
      <c r="C53" s="46"/>
      <c r="D53" s="46"/>
      <c r="E53" s="46"/>
      <c r="F53" s="46"/>
      <c r="G53" s="46"/>
      <c r="H53" s="46"/>
      <c r="I53" s="46"/>
      <c r="J53" s="46"/>
      <c r="K53" s="46"/>
      <c r="L53" s="46"/>
      <c r="N53" s="46"/>
      <c r="O53" s="46"/>
      <c r="P53" s="46"/>
      <c r="Q53" s="46"/>
      <c r="R53" s="46"/>
      <c r="S53" s="46"/>
      <c r="T53" s="46"/>
      <c r="U53" s="46"/>
      <c r="V53" s="46"/>
      <c r="W53" s="46"/>
    </row>
    <row r="54" spans="3:23" ht="20.100000000000001" customHeight="1" x14ac:dyDescent="0.25">
      <c r="D54" s="6" t="str" cm="1">
        <f t="array" ref="D54">EntericMethane_Dairy_Equations.VEERG_3_3_1_1__4_AdditionalIntakeForMilkProduction_Title()</f>
        <v>Additional intake required for milk production</v>
      </c>
    </row>
    <row r="55" spans="3:23" ht="20.100000000000001" customHeight="1" x14ac:dyDescent="0.25">
      <c r="D55" s="5" t="str" cm="1">
        <f t="array" ref="D55">EntericMethane_Dairy_Equations.VEERG_3_3_1_1__4_AdditionalIntakeForMilkProduction_Source()</f>
        <v>VEERG 2026: 3.3.1.1, Equation (4)</v>
      </c>
    </row>
    <row r="56" spans="3:23" ht="20.100000000000001" customHeight="1" x14ac:dyDescent="0.25">
      <c r="D56" s="13" t="s">
        <v>25</v>
      </c>
      <c r="E56" s="13" t="str" cm="1">
        <f t="array" aca="1" ref="E56" ca="1">Common_InputFunctions.Utility_DisplayFunctionName(D79)</f>
        <v>=EntericMethane_Dairy_Equations.VEERG_3_3_1_1__4_AdditionalIntakeForMilkProduction</v>
      </c>
    </row>
    <row r="57" spans="3:23" ht="20.100000000000001" customHeight="1" x14ac:dyDescent="0.25"/>
    <row r="58" spans="3:23" ht="20.100000000000001" customHeight="1" x14ac:dyDescent="0.25">
      <c r="D58" s="6"/>
    </row>
    <row r="59" spans="3:23" ht="20.100000000000001" customHeight="1" x14ac:dyDescent="0.25">
      <c r="D59" s="54" t="s">
        <v>28</v>
      </c>
      <c r="E59" s="1" t="str" cm="1">
        <f t="array" ref="E59">EntericMethane_Dairy_Equations.VEERG_3_3_1_1__4_AdditionalIntakeForMilkProduction_Variable()</f>
        <v>MI_j</v>
      </c>
    </row>
    <row r="60" spans="3:23" ht="20.100000000000001" customHeight="1" x14ac:dyDescent="0.25">
      <c r="D60" s="54" t="s">
        <v>18</v>
      </c>
      <c r="E60" s="55" t="str" cm="1">
        <f t="array" ref="E60">EntericMethane_Dairy_Equations.VEERG_3_3_1_1__4_AdditionalIntakeForMilkProduction_Unit()</f>
        <v>kg DM/head/day</v>
      </c>
    </row>
    <row r="61" spans="3:23" ht="20.100000000000001" customHeight="1" x14ac:dyDescent="0.25"/>
    <row r="62" spans="3:23" ht="20.100000000000001" customHeight="1" x14ac:dyDescent="0.25">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100000000000001" customHeight="1" x14ac:dyDescent="0.25">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100000000000001" customHeight="1" x14ac:dyDescent="0.25">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100000000000001" customHeight="1" x14ac:dyDescent="0.25">
      <c r="D65" s="133" t="str">
        <v>NE</v>
      </c>
      <c r="E65" s="132" t="str">
        <v>net energy</v>
      </c>
      <c r="F65" s="134"/>
      <c r="G65" s="133" t="str">
        <v>MJ net energy/kg milk</v>
      </c>
      <c r="H65" s="129" t="str">
        <v>Constant</v>
      </c>
      <c r="I65" s="133">
        <f>SourceData_Dairy_NetEnergy_Data</f>
        <v>3.0539999999999998</v>
      </c>
    </row>
    <row r="66" spans="4:22" ht="20.100000000000001" customHeight="1" x14ac:dyDescent="0.25">
      <c r="D66" s="133" t="str">
        <v>GEC</v>
      </c>
      <c r="E66" s="132" t="str">
        <v>gross energy content</v>
      </c>
      <c r="F66" s="134"/>
      <c r="G66" s="133" t="str">
        <v>MJ/kgDM</v>
      </c>
      <c r="H66" s="129" t="str">
        <v>Constant</v>
      </c>
      <c r="I66" s="133">
        <f>SourceData_Dairy_GrossEnergyContent_Data</f>
        <v>18.399999999999999</v>
      </c>
    </row>
    <row r="67" spans="4:22" ht="20.100000000000001" customHeight="1" x14ac:dyDescent="0.25">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100000000000001" customHeight="1" x14ac:dyDescent="0.25">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0" t="s">
        <v>230</v>
      </c>
    </row>
    <row r="72" spans="4:22" ht="20.100000000000001" customHeight="1" x14ac:dyDescent="0.25">
      <c r="D72" s="99" t="s">
        <v>191</v>
      </c>
    </row>
    <row r="73" spans="4:22" ht="20.100000000000001" customHeight="1" x14ac:dyDescent="0.25">
      <c r="D73" s="40" t="s">
        <v>167</v>
      </c>
      <c r="E73" s="40" t="s">
        <v>184</v>
      </c>
      <c r="F73" s="40" t="s">
        <v>185</v>
      </c>
      <c r="G73" s="40" t="s">
        <v>186</v>
      </c>
      <c r="H73" s="40" t="s">
        <v>187</v>
      </c>
    </row>
    <row r="74" spans="4:22" ht="20.100000000000001" customHeight="1" x14ac:dyDescent="0.25">
      <c r="D74" s="53">
        <f>IF(I62="Milk solids", 0, X_Cell_Dairy_MilkProductionAmount)</f>
        <v>20</v>
      </c>
      <c r="E74" s="53">
        <v>0</v>
      </c>
      <c r="F74" s="53">
        <v>0</v>
      </c>
      <c r="G74" s="53">
        <v>0</v>
      </c>
      <c r="H74" s="53">
        <v>0</v>
      </c>
      <c r="I74" s="2" t="s">
        <v>227</v>
      </c>
      <c r="J74" s="2"/>
      <c r="K74" s="2"/>
    </row>
    <row r="75" spans="4:22" ht="20.100000000000001" customHeight="1" x14ac:dyDescent="0.25"/>
    <row r="76" spans="4:22" ht="20.100000000000001" customHeight="1" x14ac:dyDescent="0.25">
      <c r="D76" s="100" t="s">
        <v>225</v>
      </c>
      <c r="O76" s="100" t="s">
        <v>228</v>
      </c>
    </row>
    <row r="77" spans="4:22" ht="20.100000000000001" customHeight="1" x14ac:dyDescent="0.25">
      <c r="D77" s="99" t="s">
        <v>226</v>
      </c>
      <c r="O77" s="99" t="s">
        <v>229</v>
      </c>
    </row>
    <row r="78" spans="4:22" ht="20.100000000000001" customHeight="1" x14ac:dyDescent="0.25">
      <c r="D78" s="52" t="s">
        <v>167</v>
      </c>
      <c r="E78" s="52" t="s">
        <v>184</v>
      </c>
      <c r="F78" s="52" t="s">
        <v>185</v>
      </c>
      <c r="G78" s="52" t="s">
        <v>186</v>
      </c>
      <c r="H78" s="52" t="s">
        <v>187</v>
      </c>
      <c r="O78" s="52" t="s">
        <v>167</v>
      </c>
      <c r="P78" s="52" t="s">
        <v>184</v>
      </c>
      <c r="Q78" s="52" t="s">
        <v>185</v>
      </c>
      <c r="R78" s="52" t="s">
        <v>186</v>
      </c>
      <c r="S78" s="52" t="s">
        <v>187</v>
      </c>
    </row>
    <row r="79" spans="4:22" ht="20.100000000000001" customHeight="1" x14ac:dyDescent="0.25">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6"/>
      <c r="D82" s="46"/>
      <c r="E82" s="46"/>
      <c r="F82" s="46"/>
      <c r="G82" s="46"/>
      <c r="H82" s="46"/>
      <c r="I82" s="46"/>
      <c r="J82" s="46"/>
      <c r="K82" s="46"/>
      <c r="L82" s="46"/>
      <c r="N82" s="46"/>
      <c r="O82" s="46"/>
      <c r="P82" s="46"/>
      <c r="Q82" s="46"/>
      <c r="R82" s="46"/>
      <c r="S82" s="46"/>
      <c r="T82" s="46"/>
      <c r="U82" s="46"/>
      <c r="V82" s="46"/>
      <c r="W82" s="46"/>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25</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4" t="s">
        <v>28</v>
      </c>
      <c r="E88" s="1" t="str" cm="1">
        <f t="array" ref="E88">EntericMethane_Dairy_Equations.VEERG_3_3_1_1__3_DryMatterFeedIntake_Variable()</f>
        <v>I_j</v>
      </c>
    </row>
    <row r="89" spans="3:23" ht="20.100000000000001" customHeight="1" x14ac:dyDescent="0.25">
      <c r="D89" s="54" t="s">
        <v>18</v>
      </c>
      <c r="E89" s="55" t="str" cm="1">
        <f t="array" ref="E89">EntericMethane_Dairy_Equations.VEERG_3_3_1_1__3_DryMatterFeedIntake_Unit()</f>
        <v>kg DM/head/day</v>
      </c>
    </row>
    <row r="90" spans="3:23" ht="20.100000000000001" customHeight="1" x14ac:dyDescent="0.25"/>
    <row r="91" spans="3:23" ht="20.100000000000001" customHeight="1" x14ac:dyDescent="0.25">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100000000000001" customHeight="1" x14ac:dyDescent="0.25">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100000000000001" customHeight="1" x14ac:dyDescent="0.25">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100000000000001" customHeight="1" x14ac:dyDescent="0.25">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5" spans="3:23" ht="20.100000000000001" customHeight="1" x14ac:dyDescent="0.25"/>
    <row r="96" spans="3:23" ht="20.100000000000001" customHeight="1" x14ac:dyDescent="0.25">
      <c r="D96" s="100" t="s">
        <v>210</v>
      </c>
      <c r="O96" s="100" t="s">
        <v>212</v>
      </c>
    </row>
    <row r="97" spans="4:22" ht="20.100000000000001" customHeight="1" x14ac:dyDescent="0.25">
      <c r="D97" s="99" t="s">
        <v>211</v>
      </c>
      <c r="O97" s="99" t="s">
        <v>213</v>
      </c>
    </row>
    <row r="98" spans="4:22" ht="20.100000000000001" customHeight="1" x14ac:dyDescent="0.25">
      <c r="D98" s="40" t="s">
        <v>167</v>
      </c>
      <c r="E98" s="40" t="s">
        <v>184</v>
      </c>
      <c r="F98" s="40" t="s">
        <v>185</v>
      </c>
      <c r="G98" s="40" t="s">
        <v>186</v>
      </c>
      <c r="H98" s="40" t="s">
        <v>187</v>
      </c>
      <c r="O98" s="40" t="s">
        <v>167</v>
      </c>
      <c r="P98" s="40" t="s">
        <v>184</v>
      </c>
      <c r="Q98" s="40" t="s">
        <v>185</v>
      </c>
      <c r="R98" s="40" t="s">
        <v>186</v>
      </c>
      <c r="S98" s="40" t="s">
        <v>187</v>
      </c>
    </row>
    <row r="99" spans="4:22" ht="20.100000000000001" customHeight="1" x14ac:dyDescent="0.25">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0" spans="4:22" ht="20.100000000000001" customHeight="1" x14ac:dyDescent="0.25"/>
    <row r="101" spans="4:22" ht="20.100000000000001" customHeight="1" x14ac:dyDescent="0.25">
      <c r="D101" s="100" t="s">
        <v>214</v>
      </c>
      <c r="O101" s="100" t="s">
        <v>216</v>
      </c>
    </row>
    <row r="102" spans="4:22" ht="20.100000000000001" customHeight="1" x14ac:dyDescent="0.25">
      <c r="D102" s="99" t="s">
        <v>215</v>
      </c>
      <c r="O102" s="99" t="s">
        <v>217</v>
      </c>
    </row>
    <row r="103" spans="4:22" ht="20.100000000000001" customHeight="1" x14ac:dyDescent="0.25">
      <c r="D103" s="40" t="s">
        <v>167</v>
      </c>
      <c r="E103" s="40" t="s">
        <v>184</v>
      </c>
      <c r="F103" s="40" t="s">
        <v>185</v>
      </c>
      <c r="G103" s="40" t="s">
        <v>186</v>
      </c>
      <c r="H103" s="40" t="s">
        <v>187</v>
      </c>
      <c r="O103" s="40" t="s">
        <v>167</v>
      </c>
      <c r="P103" s="40" t="s">
        <v>184</v>
      </c>
      <c r="Q103" s="40" t="s">
        <v>185</v>
      </c>
      <c r="R103" s="40" t="s">
        <v>186</v>
      </c>
      <c r="S103" s="40" t="s">
        <v>187</v>
      </c>
    </row>
    <row r="104" spans="4:22" ht="20.100000000000001" customHeight="1" x14ac:dyDescent="0.25">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5" spans="4:22" ht="20.100000000000001" customHeight="1" x14ac:dyDescent="0.25"/>
    <row r="106" spans="4:22" ht="20.100000000000001" customHeight="1" x14ac:dyDescent="0.25">
      <c r="D106" s="100" t="s">
        <v>218</v>
      </c>
    </row>
    <row r="107" spans="4:22" ht="20.100000000000001" customHeight="1" x14ac:dyDescent="0.25">
      <c r="D107" s="99" t="s">
        <v>219</v>
      </c>
    </row>
    <row r="108" spans="4:22" ht="20.100000000000001" customHeight="1" x14ac:dyDescent="0.25">
      <c r="D108" s="52" t="s">
        <v>167</v>
      </c>
      <c r="E108" s="52" t="s">
        <v>184</v>
      </c>
      <c r="F108" s="52" t="s">
        <v>185</v>
      </c>
      <c r="G108" s="52" t="s">
        <v>186</v>
      </c>
      <c r="H108" s="52" t="s">
        <v>187</v>
      </c>
    </row>
    <row r="109" spans="4:22" ht="20.100000000000001" customHeight="1" x14ac:dyDescent="0.25">
      <c r="D109" s="53">
        <f>'Constants - Dairy'!$E$108</f>
        <v>1.1000000000000001</v>
      </c>
      <c r="E109" s="53">
        <f>'Constants - Dairy'!$E$109</f>
        <v>1</v>
      </c>
      <c r="F109" s="53">
        <f>'Constants - Dairy'!$E$109</f>
        <v>1</v>
      </c>
      <c r="G109" s="53">
        <f>'Constants - Dairy'!$E$109</f>
        <v>1</v>
      </c>
      <c r="H109" s="53">
        <f>'Constants - Dairy'!$E$109</f>
        <v>1</v>
      </c>
      <c r="I109" s="2" t="s">
        <v>95</v>
      </c>
      <c r="J109" s="2"/>
      <c r="K109" s="2"/>
    </row>
    <row r="110" spans="4:22" ht="20.100000000000001" customHeight="1" x14ac:dyDescent="0.25"/>
    <row r="111" spans="4:22" ht="20.100000000000001" customHeight="1" x14ac:dyDescent="0.25">
      <c r="D111" s="100" t="s">
        <v>107</v>
      </c>
      <c r="O111" s="100" t="s">
        <v>109</v>
      </c>
    </row>
    <row r="112" spans="4:22" ht="20.100000000000001" customHeight="1" x14ac:dyDescent="0.25">
      <c r="D112" s="99" t="s">
        <v>233</v>
      </c>
      <c r="O112" s="99" t="s">
        <v>232</v>
      </c>
    </row>
    <row r="113" spans="3:23" ht="20.100000000000001" customHeight="1" x14ac:dyDescent="0.25">
      <c r="D113" s="52" t="s">
        <v>167</v>
      </c>
      <c r="E113" s="52" t="s">
        <v>184</v>
      </c>
      <c r="F113" s="52" t="s">
        <v>185</v>
      </c>
      <c r="G113" s="52" t="s">
        <v>186</v>
      </c>
      <c r="H113" s="52" t="s">
        <v>187</v>
      </c>
      <c r="O113" s="52" t="s">
        <v>167</v>
      </c>
      <c r="P113" s="52" t="s">
        <v>184</v>
      </c>
      <c r="Q113" s="52" t="s">
        <v>185</v>
      </c>
      <c r="R113" s="52" t="s">
        <v>186</v>
      </c>
      <c r="S113" s="52" t="s">
        <v>187</v>
      </c>
    </row>
    <row r="114" spans="3:23" ht="20.100000000000001" customHeight="1" x14ac:dyDescent="0.25">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6"/>
      <c r="D117" s="46"/>
      <c r="E117" s="46"/>
      <c r="F117" s="46"/>
      <c r="G117" s="46"/>
      <c r="H117" s="46"/>
      <c r="I117" s="46"/>
      <c r="J117" s="46"/>
      <c r="K117" s="46"/>
      <c r="L117" s="46"/>
      <c r="N117" s="46"/>
      <c r="O117" s="46"/>
      <c r="P117" s="46"/>
      <c r="Q117" s="46"/>
      <c r="R117" s="46"/>
      <c r="S117" s="46"/>
      <c r="T117" s="46"/>
      <c r="U117" s="46"/>
      <c r="V117" s="46"/>
      <c r="W117" s="46"/>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25</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4" t="s">
        <v>28</v>
      </c>
      <c r="E123" s="1" t="str" cm="1">
        <f t="array" ref="E123">MMS_Dairy_Methane_Equations.VEERG_4_3_1_1__3_VolatileSolidsForWeanedDairyCattle_Variable()</f>
        <v>VS_j</v>
      </c>
    </row>
    <row r="124" spans="3:23" ht="20.100000000000001" customHeight="1" x14ac:dyDescent="0.25">
      <c r="D124" s="54" t="s">
        <v>18</v>
      </c>
      <c r="E124" s="5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100000000000001" customHeight="1" x14ac:dyDescent="0.25">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100000000000001" customHeight="1" x14ac:dyDescent="0.25">
      <c r="D128" s="133" t="str">
        <v>A</v>
      </c>
      <c r="E128" s="132" t="str">
        <v>ash content of feed intake</v>
      </c>
      <c r="F128" s="134"/>
      <c r="G128" s="133" t="str">
        <v>fraction</v>
      </c>
      <c r="H128" s="129" t="str">
        <v>Constant</v>
      </c>
      <c r="I128" s="133">
        <f>SourceData_Dairy_AshContent_Data</f>
        <v>0.08</v>
      </c>
    </row>
    <row r="129" spans="3:23" ht="20.100000000000001" customHeight="1" x14ac:dyDescent="0.25"/>
    <row r="130" spans="3:23" ht="20.100000000000001" customHeight="1" x14ac:dyDescent="0.25">
      <c r="D130" s="100" t="s">
        <v>120</v>
      </c>
      <c r="O130" s="100" t="s">
        <v>123</v>
      </c>
    </row>
    <row r="131" spans="3:23" ht="20.100000000000001" customHeight="1" x14ac:dyDescent="0.25">
      <c r="D131" s="99" t="s">
        <v>234</v>
      </c>
      <c r="O131" s="99" t="s">
        <v>235</v>
      </c>
    </row>
    <row r="132" spans="3:23" ht="20.100000000000001" customHeight="1" x14ac:dyDescent="0.25">
      <c r="D132" s="52" t="s">
        <v>167</v>
      </c>
      <c r="E132" s="52" t="s">
        <v>184</v>
      </c>
      <c r="F132" s="52" t="s">
        <v>185</v>
      </c>
      <c r="G132" s="52" t="s">
        <v>186</v>
      </c>
      <c r="H132" s="52" t="s">
        <v>187</v>
      </c>
      <c r="O132" s="52" t="s">
        <v>167</v>
      </c>
      <c r="P132" s="52" t="s">
        <v>184</v>
      </c>
      <c r="Q132" s="52" t="s">
        <v>185</v>
      </c>
      <c r="R132" s="52" t="s">
        <v>186</v>
      </c>
      <c r="S132" s="52" t="s">
        <v>187</v>
      </c>
    </row>
    <row r="133" spans="3:23" ht="20.100000000000001" customHeight="1" x14ac:dyDescent="0.25">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6"/>
      <c r="D136" s="46"/>
      <c r="E136" s="46"/>
      <c r="F136" s="46"/>
      <c r="G136" s="46"/>
      <c r="H136" s="46"/>
      <c r="I136" s="46"/>
      <c r="J136" s="46"/>
      <c r="K136" s="46"/>
      <c r="L136" s="46"/>
      <c r="N136" s="46"/>
      <c r="O136" s="46"/>
      <c r="P136" s="46"/>
      <c r="Q136" s="46"/>
      <c r="R136" s="46"/>
      <c r="S136" s="46"/>
      <c r="T136" s="46"/>
      <c r="U136" s="46"/>
      <c r="V136" s="46"/>
      <c r="W136" s="46"/>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25</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4" t="s">
        <v>28</v>
      </c>
      <c r="E142" s="1" t="str" cm="1">
        <f t="array" ref="E142">MMS_Dairy_Methane_Equations.VEERG_4_3_1_1__4_FractionVolatileSolidsNotSolidStorage_Variable()</f>
        <v>FVS_jm</v>
      </c>
    </row>
    <row r="143" spans="3:23" ht="20.100000000000001" customHeight="1" x14ac:dyDescent="0.25">
      <c r="D143" s="54" t="s">
        <v>18</v>
      </c>
      <c r="E143" s="5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100000000000001" customHeight="1" x14ac:dyDescent="0.25">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7" spans="4:22" ht="20.100000000000001" customHeight="1" x14ac:dyDescent="0.25"/>
    <row r="148" spans="4:22" ht="20.100000000000001" customHeight="1" x14ac:dyDescent="0.25">
      <c r="D148" s="100" t="s">
        <v>240</v>
      </c>
      <c r="O148" s="100" t="s">
        <v>242</v>
      </c>
    </row>
    <row r="149" spans="4:22" ht="20.100000000000001" customHeight="1" x14ac:dyDescent="0.25">
      <c r="D149" s="99" t="s">
        <v>241</v>
      </c>
      <c r="O149" s="99" t="s">
        <v>243</v>
      </c>
    </row>
    <row r="150" spans="4:22" ht="20.100000000000001" customHeight="1" x14ac:dyDescent="0.25">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100000000000001" customHeight="1" x14ac:dyDescent="0.25">
      <c r="D151" s="53" t="str">
        <f>INDEX(X_Table_Dairy_ProductionSystems_Method1,2,1)</f>
        <v>Pasture</v>
      </c>
      <c r="E151" s="53" t="str">
        <f>'Constants - Common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Common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100000000000001" customHeight="1" x14ac:dyDescent="0.25">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100000000000001" customHeight="1" x14ac:dyDescent="0.25">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100000000000001" customHeight="1" x14ac:dyDescent="0.25">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100000000000001" customHeight="1" x14ac:dyDescent="0.25">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100000000000001" customHeight="1" x14ac:dyDescent="0.25">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100000000000001" customHeight="1" x14ac:dyDescent="0.25">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8" spans="4:22" ht="20.100000000000001" customHeight="1" x14ac:dyDescent="0.25"/>
    <row r="159" spans="4:22" ht="20.100000000000001" customHeight="1" x14ac:dyDescent="0.25">
      <c r="D159" s="100" t="s">
        <v>238</v>
      </c>
      <c r="O159" s="100" t="s">
        <v>244</v>
      </c>
    </row>
    <row r="160" spans="4:22" ht="20.100000000000001" customHeight="1" x14ac:dyDescent="0.25">
      <c r="D160" s="99" t="s">
        <v>247</v>
      </c>
      <c r="O160" s="99" t="s">
        <v>248</v>
      </c>
    </row>
    <row r="161" spans="4:22" ht="20.100000000000001" customHeight="1" x14ac:dyDescent="0.25">
      <c r="D161" s="40" t="s">
        <v>142</v>
      </c>
      <c r="E161" s="40" t="s">
        <v>66</v>
      </c>
      <c r="F161" s="40" t="s">
        <v>239</v>
      </c>
      <c r="O161" s="40" t="s">
        <v>142</v>
      </c>
      <c r="P161" s="40" t="s">
        <v>66</v>
      </c>
      <c r="Q161" s="40" t="s">
        <v>239</v>
      </c>
    </row>
    <row r="162" spans="4:22" ht="20.100000000000001" customHeight="1" x14ac:dyDescent="0.25">
      <c r="D162" s="53" t="str">
        <f>INDEX(X_Table_Dairy_ProductionSystems_Method1,2,1)</f>
        <v>Pasture</v>
      </c>
      <c r="E162" s="53" t="str">
        <f>'Constants - Common Livestock'!$E$27</f>
        <v>Pasture range and paddock</v>
      </c>
      <c r="F162" s="53">
        <v>0</v>
      </c>
      <c r="G162" s="2" t="str">
        <f>$G$146</f>
        <v>fraction</v>
      </c>
      <c r="O162" s="53" t="str">
        <f>INDEX(X_Table_Dairy_ProductionSystems_Method1,2,1)</f>
        <v>Pasture</v>
      </c>
      <c r="P162" s="53" t="str">
        <f>'Constants - Common Livestock'!$E$27</f>
        <v>Pasture range and paddock</v>
      </c>
      <c r="Q162" s="53">
        <v>0</v>
      </c>
      <c r="R162" s="2" t="str">
        <f>$G$146</f>
        <v>fraction</v>
      </c>
    </row>
    <row r="163" spans="4:22" ht="20.100000000000001" customHeight="1" x14ac:dyDescent="0.25">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100000000000001" customHeight="1" x14ac:dyDescent="0.25">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100000000000001" customHeight="1" x14ac:dyDescent="0.25">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100000000000001" customHeight="1" x14ac:dyDescent="0.25">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100000000000001" customHeight="1" x14ac:dyDescent="0.25">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100000000000001" customHeight="1" x14ac:dyDescent="0.25">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69" spans="4:22" ht="20.100000000000001" customHeight="1" x14ac:dyDescent="0.25"/>
    <row r="170" spans="4:22" ht="20.100000000000001" customHeight="1" x14ac:dyDescent="0.25">
      <c r="D170" s="100" t="s">
        <v>237</v>
      </c>
      <c r="O170" s="100" t="s">
        <v>237</v>
      </c>
    </row>
    <row r="171" spans="4:22" ht="20.100000000000001" customHeight="1" x14ac:dyDescent="0.25">
      <c r="D171" s="99" t="s">
        <v>236</v>
      </c>
      <c r="O171" s="99" t="s">
        <v>447</v>
      </c>
    </row>
    <row r="172" spans="4:22" ht="20.100000000000001" customHeight="1" x14ac:dyDescent="0.25">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100000000000001" customHeight="1" x14ac:dyDescent="0.25">
      <c r="D173" s="53" t="str">
        <f>INDEX(X_Table_Dairy_ProductionSystems_Method1,2,1)</f>
        <v>Pasture</v>
      </c>
      <c r="E173" s="53" t="str">
        <f>'Constants - Common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Common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100000000000001" customHeight="1" x14ac:dyDescent="0.25">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100000000000001" customHeight="1" x14ac:dyDescent="0.25">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100000000000001" customHeight="1" x14ac:dyDescent="0.25">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100000000000001" customHeight="1" x14ac:dyDescent="0.25">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100000000000001" customHeight="1" x14ac:dyDescent="0.25">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100000000000001" customHeight="1" x14ac:dyDescent="0.25">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6"/>
      <c r="D182" s="46"/>
      <c r="E182" s="46"/>
      <c r="F182" s="46"/>
      <c r="G182" s="46"/>
      <c r="H182" s="46"/>
      <c r="I182" s="46"/>
      <c r="J182" s="46"/>
      <c r="K182" s="46"/>
      <c r="L182" s="46"/>
      <c r="N182" s="46"/>
      <c r="O182" s="46"/>
      <c r="P182" s="46"/>
      <c r="Q182" s="46"/>
      <c r="R182" s="46"/>
      <c r="S182" s="46"/>
      <c r="T182" s="46"/>
      <c r="U182" s="46"/>
      <c r="V182" s="46"/>
      <c r="W182" s="46"/>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6" t="str" cm="1">
        <f t="array" ref="D185">MMS_Dairy_Methane_Equations.VEERG_4_3_1_1__5_FractionVolatileSolidsSolidStorage_Variation()</f>
        <v>Used separate variables for MMS and SS m 1, 7 and 9.</v>
      </c>
    </row>
    <row r="186" spans="1:23" ht="20.100000000000001" customHeight="1" x14ac:dyDescent="0.25">
      <c r="D186" s="13" t="s">
        <v>25</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4" t="s">
        <v>28</v>
      </c>
      <c r="E189" s="1" t="str" cm="1">
        <f t="array" ref="E189">MMS_Dairy_Methane_Equations.VEERG_4_3_1_1__5_FractionVolatileSolidsSolidStorage_Variable()</f>
        <v>FVS_jm4</v>
      </c>
    </row>
    <row r="190" spans="1:23" ht="20.100000000000001" customHeight="1" x14ac:dyDescent="0.25">
      <c r="D190" s="54" t="s">
        <v>18</v>
      </c>
      <c r="E190" s="55" t="str" cm="1">
        <f t="array" ref="E190">MMS_Dairy_Methane_Equations.VEERG_4_3_1_1__5_FractionVolatileSolidsSolidStorage_Unit()</f>
        <v>fraction</v>
      </c>
    </row>
    <row r="191" spans="1:23" ht="20.100000000000001" customHeight="1" x14ac:dyDescent="0.25"/>
    <row r="192" spans="1:23" ht="20.100000000000001" customHeight="1" x14ac:dyDescent="0.25">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100000000000001" customHeight="1" x14ac:dyDescent="0.25">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100000000000001" customHeight="1" x14ac:dyDescent="0.25">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5" spans="4:22" ht="20.100000000000001" customHeight="1" x14ac:dyDescent="0.25"/>
    <row r="196" spans="4:22" ht="20.100000000000001" customHeight="1" x14ac:dyDescent="0.25">
      <c r="D196" s="100" t="s">
        <v>245</v>
      </c>
      <c r="O196" s="100" t="s">
        <v>251</v>
      </c>
    </row>
    <row r="197" spans="4:22" ht="20.100000000000001" customHeight="1" x14ac:dyDescent="0.25">
      <c r="D197" s="99" t="s">
        <v>246</v>
      </c>
      <c r="O197" s="99" t="s">
        <v>252</v>
      </c>
    </row>
    <row r="198" spans="4:22" ht="20.100000000000001" customHeight="1" x14ac:dyDescent="0.25">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100000000000001" customHeight="1" x14ac:dyDescent="0.25">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100000000000001" customHeight="1" x14ac:dyDescent="0.25">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1" spans="4:22" ht="20.100000000000001" customHeight="1" x14ac:dyDescent="0.25"/>
    <row r="202" spans="4:22" ht="20.100000000000001" customHeight="1" x14ac:dyDescent="0.25">
      <c r="D202" s="100" t="s">
        <v>249</v>
      </c>
      <c r="O202" s="100" t="s">
        <v>253</v>
      </c>
    </row>
    <row r="203" spans="4:22" ht="20.100000000000001" customHeight="1" x14ac:dyDescent="0.25">
      <c r="D203" s="99" t="s">
        <v>250</v>
      </c>
      <c r="O203" s="99" t="s">
        <v>254</v>
      </c>
    </row>
    <row r="204" spans="4:22" ht="20.100000000000001" customHeight="1" x14ac:dyDescent="0.25">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100000000000001" customHeight="1" x14ac:dyDescent="0.25">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6"/>
      <c r="D209" s="46"/>
      <c r="E209" s="46"/>
      <c r="F209" s="46"/>
      <c r="G209" s="46"/>
      <c r="H209" s="46"/>
      <c r="I209" s="46"/>
      <c r="J209" s="46"/>
      <c r="K209" s="46"/>
      <c r="L209" s="46"/>
      <c r="N209" s="46"/>
      <c r="O209" s="46"/>
      <c r="P209" s="46"/>
      <c r="Q209" s="46"/>
      <c r="R209" s="46"/>
      <c r="S209" s="46"/>
      <c r="T209" s="46"/>
      <c r="U209" s="46"/>
      <c r="V209" s="46"/>
      <c r="W209" s="46"/>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25</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4" t="s">
        <v>28</v>
      </c>
      <c r="E215" s="1" t="str" cm="1">
        <f t="array" ref="E215">MMS_Dairy_Methane_Equations.VEERG_4_3_1_1__2_MethaneFromManureProduction_Variable()</f>
        <v>M_jm</v>
      </c>
    </row>
    <row r="216" spans="1:23" ht="20.100000000000001" customHeight="1" x14ac:dyDescent="0.25">
      <c r="D216" s="54" t="s">
        <v>18</v>
      </c>
      <c r="E216" s="55" t="str" cm="1">
        <f t="array" ref="E216">MMS_Dairy_Methane_Equations.VEERG_4_3_1_1__2_MethaneFromManureProduction_Unit()</f>
        <v>kg CH4/head/day</v>
      </c>
    </row>
    <row r="217" spans="1:23" ht="20.100000000000001" customHeight="1" x14ac:dyDescent="0.25">
      <c r="A217" s="137" t="str">
        <f>HYPERLINK("#A1", "▲ Back to top")</f>
        <v>▲ Back to top</v>
      </c>
    </row>
    <row r="218" spans="1:23" ht="20.100000000000001" customHeight="1" x14ac:dyDescent="0.25">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100000000000001" customHeight="1" x14ac:dyDescent="0.25">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100000000000001" customHeight="1" x14ac:dyDescent="0.25">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100000000000001" customHeight="1" x14ac:dyDescent="0.25">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100000000000001" customHeight="1" x14ac:dyDescent="0.25">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100000000000001" customHeight="1" x14ac:dyDescent="0.25">
      <c r="D223" s="133" t="str">
        <v>i</v>
      </c>
      <c r="E223" s="132" t="str">
        <v>state</v>
      </c>
      <c r="F223" s="134"/>
      <c r="G223" s="133" t="str">
        <v>state</v>
      </c>
      <c r="H223" s="131" t="str">
        <v>Input</v>
      </c>
      <c r="I223" s="133" t="str">
        <f>Common_InputFunctions.Utility_LookupValueInTable(X_Cell_Site_State,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4" spans="1:23" ht="20.100000000000001" customHeight="1" x14ac:dyDescent="0.25"/>
    <row r="225" spans="4:22" ht="20.100000000000001" customHeight="1" x14ac:dyDescent="0.25">
      <c r="D225" s="124" t="s">
        <v>255</v>
      </c>
      <c r="O225" s="124" t="s">
        <v>411</v>
      </c>
    </row>
    <row r="226" spans="4:22" ht="20.100000000000001" customHeight="1" x14ac:dyDescent="0.25">
      <c r="D226" s="125" t="s">
        <v>256</v>
      </c>
      <c r="O226" s="125" t="s">
        <v>412</v>
      </c>
    </row>
    <row r="227" spans="4:22" ht="20.100000000000001" customHeight="1" x14ac:dyDescent="0.25">
      <c r="D227" s="52" t="s">
        <v>66</v>
      </c>
      <c r="E227" s="52" t="s">
        <v>94</v>
      </c>
      <c r="O227" s="52" t="s">
        <v>66</v>
      </c>
      <c r="P227" s="52" t="s">
        <v>94</v>
      </c>
    </row>
    <row r="228" spans="4:22" ht="20.100000000000001" customHeight="1" x14ac:dyDescent="0.25">
      <c r="D228" s="58" t="str">
        <f>'Constants - Common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Common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100000000000001" customHeight="1" x14ac:dyDescent="0.25">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100000000000001" customHeight="1" x14ac:dyDescent="0.25">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100000000000001" customHeight="1" x14ac:dyDescent="0.25">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4" t="s">
        <v>257</v>
      </c>
      <c r="O234" s="124" t="s">
        <v>271</v>
      </c>
    </row>
    <row r="235" spans="4:22" ht="20.100000000000001" customHeight="1" x14ac:dyDescent="0.25">
      <c r="D235" s="125" t="s">
        <v>273</v>
      </c>
      <c r="O235" s="125" t="s">
        <v>272</v>
      </c>
    </row>
    <row r="236" spans="4:22" ht="20.100000000000001" customHeight="1" x14ac:dyDescent="0.25">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100000000000001" customHeight="1" x14ac:dyDescent="0.25">
      <c r="D237" s="53" t="str">
        <f>INDEX(X_Table_Dairy_ProductionSystems_Method1,2,1)</f>
        <v>Pasture</v>
      </c>
      <c r="E237" s="53" t="str">
        <f>'Constants - Common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Common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100000000000001" customHeight="1" x14ac:dyDescent="0.25">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100000000000001" customHeight="1" x14ac:dyDescent="0.25">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100000000000001" customHeight="1" x14ac:dyDescent="0.25">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100000000000001" customHeight="1" x14ac:dyDescent="0.25">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100000000000001" customHeight="1" x14ac:dyDescent="0.25">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100000000000001" customHeight="1" x14ac:dyDescent="0.25">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100000000000001" customHeight="1" x14ac:dyDescent="0.25">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6"/>
      <c r="D248" s="46"/>
      <c r="E248" s="46"/>
      <c r="F248" s="46"/>
      <c r="G248" s="46"/>
      <c r="H248" s="46"/>
      <c r="I248" s="46"/>
      <c r="J248" s="46"/>
      <c r="K248" s="46"/>
      <c r="L248" s="46"/>
      <c r="N248" s="46"/>
      <c r="O248" s="46"/>
      <c r="P248" s="46"/>
      <c r="Q248" s="46"/>
      <c r="R248" s="46"/>
      <c r="S248" s="46"/>
      <c r="T248" s="46"/>
      <c r="U248" s="46"/>
      <c r="V248" s="46"/>
      <c r="W248" s="46"/>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25</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4" t="s">
        <v>28</v>
      </c>
      <c r="E255" s="1" t="str" cm="1">
        <f t="array" ref="E255">MMS_Dairy_Methane_Equations.VEERG_4_3_1_1__1_TotalAnnualMethaneFromManureManagement_Variable()</f>
        <v>E_CH4</v>
      </c>
    </row>
    <row r="256" spans="3:23" ht="20.100000000000001" customHeight="1" x14ac:dyDescent="0.25">
      <c r="D256" s="54" t="s">
        <v>18</v>
      </c>
      <c r="E256" s="5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100000000000001" customHeight="1" x14ac:dyDescent="0.25">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100000000000001" customHeight="1" x14ac:dyDescent="0.25">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100000000000001" customHeight="1" x14ac:dyDescent="0.25">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100000000000001" customHeight="1" x14ac:dyDescent="0.25">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100000000000001" customHeight="1" x14ac:dyDescent="0.25">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100000000000001" customHeight="1" x14ac:dyDescent="0.25">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100000000000001" customHeight="1" x14ac:dyDescent="0.25">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6" spans="4:15" ht="20.100000000000001" customHeight="1" x14ac:dyDescent="0.25"/>
    <row r="267" spans="4:15" ht="20.100000000000001" customHeight="1" x14ac:dyDescent="0.25">
      <c r="D267" s="100" t="s">
        <v>102</v>
      </c>
    </row>
    <row r="268" spans="4:15" ht="20.100000000000001" customHeight="1" x14ac:dyDescent="0.25">
      <c r="D268" s="99" t="s">
        <v>258</v>
      </c>
    </row>
    <row r="269" spans="4:15" ht="20.100000000000001" customHeight="1" x14ac:dyDescent="0.25">
      <c r="D269" s="40" t="s">
        <v>167</v>
      </c>
      <c r="E269" s="40" t="s">
        <v>184</v>
      </c>
      <c r="F269" s="40" t="s">
        <v>185</v>
      </c>
      <c r="G269" s="40" t="s">
        <v>186</v>
      </c>
      <c r="H269" s="40" t="s">
        <v>187</v>
      </c>
    </row>
    <row r="270" spans="4:15" ht="20.100000000000001" customHeight="1" x14ac:dyDescent="0.25">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1" spans="4:15" ht="20.100000000000001" customHeight="1" x14ac:dyDescent="0.25"/>
    <row r="272" spans="4:15" x14ac:dyDescent="0.25">
      <c r="D272" s="100" t="s">
        <v>259</v>
      </c>
      <c r="O272" s="100" t="s">
        <v>269</v>
      </c>
    </row>
    <row r="273" spans="1:20" x14ac:dyDescent="0.25">
      <c r="D273" s="99" t="s">
        <v>267</v>
      </c>
      <c r="O273" s="99" t="s">
        <v>270</v>
      </c>
    </row>
    <row r="274" spans="1:20" x14ac:dyDescent="0.25">
      <c r="D274" s="40" t="s">
        <v>167</v>
      </c>
      <c r="E274" s="40" t="s">
        <v>184</v>
      </c>
      <c r="F274" s="40" t="s">
        <v>185</v>
      </c>
      <c r="G274" s="40" t="s">
        <v>186</v>
      </c>
      <c r="H274" s="40" t="s">
        <v>187</v>
      </c>
      <c r="O274" s="40" t="s">
        <v>167</v>
      </c>
      <c r="P274" s="40" t="s">
        <v>184</v>
      </c>
      <c r="Q274" s="40" t="s">
        <v>185</v>
      </c>
      <c r="R274" s="40" t="s">
        <v>186</v>
      </c>
      <c r="S274" s="40" t="s">
        <v>187</v>
      </c>
    </row>
    <row r="275" spans="1:20" x14ac:dyDescent="0.25">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x14ac:dyDescent="0.25">
      <c r="D277" s="100" t="s">
        <v>261</v>
      </c>
    </row>
    <row r="278" spans="1:20" x14ac:dyDescent="0.25">
      <c r="D278" s="99" t="s">
        <v>262</v>
      </c>
    </row>
    <row r="279" spans="1:20" x14ac:dyDescent="0.25">
      <c r="D279" s="52" t="s">
        <v>167</v>
      </c>
      <c r="E279" s="52" t="s">
        <v>184</v>
      </c>
      <c r="F279" s="52" t="s">
        <v>185</v>
      </c>
      <c r="G279" s="52" t="s">
        <v>186</v>
      </c>
      <c r="H279" s="52" t="s">
        <v>187</v>
      </c>
    </row>
    <row r="280" spans="1:20" x14ac:dyDescent="0.25">
      <c r="D280" s="53">
        <v>0</v>
      </c>
      <c r="E280" s="53">
        <v>0</v>
      </c>
      <c r="F280" s="53">
        <f>'Constants - Dairy'!$E$63</f>
        <v>1.7600000000000001E-2</v>
      </c>
      <c r="G280" s="53">
        <v>0</v>
      </c>
      <c r="H280" s="53">
        <f>'Constants - Dairy'!$E$64</f>
        <v>2.0400000000000001E-2</v>
      </c>
      <c r="I280" s="2" t="s">
        <v>264</v>
      </c>
    </row>
    <row r="282" spans="1:20" x14ac:dyDescent="0.25">
      <c r="D282" s="100" t="s">
        <v>260</v>
      </c>
      <c r="O282" s="100" t="s">
        <v>260</v>
      </c>
    </row>
    <row r="283" spans="1:20" x14ac:dyDescent="0.25">
      <c r="D283" s="99" t="s">
        <v>268</v>
      </c>
      <c r="O283" s="99" t="s">
        <v>268</v>
      </c>
    </row>
    <row r="284" spans="1:20" x14ac:dyDescent="0.25">
      <c r="D284" s="52" t="s">
        <v>167</v>
      </c>
      <c r="E284" s="52" t="s">
        <v>184</v>
      </c>
      <c r="F284" s="52" t="s">
        <v>185</v>
      </c>
      <c r="G284" s="52" t="s">
        <v>186</v>
      </c>
      <c r="H284" s="52" t="s">
        <v>187</v>
      </c>
      <c r="O284" s="40" t="s">
        <v>167</v>
      </c>
      <c r="P284" s="40" t="s">
        <v>184</v>
      </c>
      <c r="Q284" s="40" t="s">
        <v>185</v>
      </c>
      <c r="R284" s="40" t="s">
        <v>186</v>
      </c>
      <c r="S284" s="40" t="s">
        <v>187</v>
      </c>
    </row>
    <row r="285" spans="1:20" x14ac:dyDescent="0.25">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x14ac:dyDescent="0.25">
      <c r="D287" s="100" t="s">
        <v>263</v>
      </c>
      <c r="O287" s="100" t="s">
        <v>263</v>
      </c>
    </row>
    <row r="288" spans="1:20" x14ac:dyDescent="0.25">
      <c r="D288" s="99" t="s">
        <v>274</v>
      </c>
      <c r="O288" s="99" t="s">
        <v>446</v>
      </c>
    </row>
    <row r="289" spans="4:21" x14ac:dyDescent="0.25">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x14ac:dyDescent="0.25">
      <c r="D290" s="53" t="str">
        <f>INDEX(X_Table_Dairy_ProductionSystems_Method1,2,1)</f>
        <v>Pasture</v>
      </c>
      <c r="E290" s="53" t="str">
        <f>'Constants - Common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Common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x14ac:dyDescent="0.25">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x14ac:dyDescent="0.25">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x14ac:dyDescent="0.25">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x14ac:dyDescent="0.25">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x14ac:dyDescent="0.25">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x14ac:dyDescent="0.25">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x14ac:dyDescent="0.25">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x14ac:dyDescent="0.25">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25" x14ac:dyDescent="0.25">
      <c r="D300" s="104" t="s">
        <v>124</v>
      </c>
      <c r="E300" s="105">
        <f ca="1">SUM(F290:J298)</f>
        <v>10.314345551795777</v>
      </c>
      <c r="F300" s="106" t="str">
        <f>$E$256</f>
        <v>t CH4</v>
      </c>
      <c r="O300" s="104" t="s">
        <v>415</v>
      </c>
      <c r="P300" s="105">
        <f ca="1">SUM(Q290:U298)</f>
        <v>10.64070664267806</v>
      </c>
      <c r="Q300" s="106" t="str">
        <f>$E$256</f>
        <v>t CH4</v>
      </c>
    </row>
    <row r="302" spans="4:21" x14ac:dyDescent="0.25">
      <c r="D302" s="58" t="str" cm="1">
        <f t="array" ref="D302:E303">Common_Equations.Common_ConvertCH4ToCO2e_Arguments()</f>
        <v>ECH4</v>
      </c>
      <c r="E302" s="59" t="str">
        <v>Methane emissions (t CH4)</v>
      </c>
      <c r="F302" s="107"/>
      <c r="G302" s="53">
        <f ca="1">VEERG_4_3_1_1__1_TotalAnnualMethaneFromManureManagement_Result_Method1</f>
        <v>10.314345551795777</v>
      </c>
      <c r="H302" s="2"/>
      <c r="O302" s="58" t="str" cm="1">
        <f t="array" ref="O302:P303">Common_Equations.Common_ConvertCH4ToCO2e_Arguments()</f>
        <v>ECH4</v>
      </c>
      <c r="P302" s="59" t="str">
        <v>Methane emissions (t CH4)</v>
      </c>
      <c r="Q302" s="107"/>
      <c r="R302" s="53">
        <f ca="1">VEERG_4_3_1_1__1_TotalAnnualMethaneFromManureManagement_Result_Method2</f>
        <v>10.64070664267806</v>
      </c>
      <c r="S302" s="2" t="s">
        <v>266</v>
      </c>
    </row>
    <row r="303" spans="4:21" x14ac:dyDescent="0.25">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18.75" x14ac:dyDescent="0.25">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2"/>
  <sheetViews>
    <sheetView showGridLines="0" tabSelected="1" topLeftCell="H228" zoomScaleNormal="100" workbookViewId="0">
      <selection activeCell="S246" sqref="S2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100000000000001" customHeight="1" x14ac:dyDescent="0.25">
      <c r="A2"/>
    </row>
    <row r="3" spans="1:21" ht="20.100000000000001" customHeight="1" x14ac:dyDescent="0.25">
      <c r="A3" s="17" t="str">
        <f>HYPERLINK("#'Home'!A1", "Home")</f>
        <v>Home</v>
      </c>
      <c r="C3" s="4"/>
      <c r="D3" s="4" t="s">
        <v>114</v>
      </c>
      <c r="E3" s="4"/>
      <c r="F3" s="4"/>
      <c r="G3" s="4"/>
      <c r="H3" s="4"/>
      <c r="I3" s="4"/>
      <c r="J3" s="4"/>
      <c r="K3" s="4"/>
      <c r="M3" s="4"/>
      <c r="N3" s="4" t="s">
        <v>115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D6" s="5" t="str" cm="1">
        <f t="array" ref="D6">MMS_Dairy_N2ODirect_Equations.VEERG_4_3_1_3__8_RelativeSize_Source()</f>
        <v>VEERG 2026: 4.3.1.3, Equation (8)</v>
      </c>
    </row>
    <row r="7" spans="1:21" ht="20.100000000000001" customHeight="1" x14ac:dyDescent="0.25">
      <c r="D7" s="13" t="s">
        <v>25</v>
      </c>
      <c r="E7" s="13" t="str" cm="1">
        <f t="array" aca="1" ref="E7" ca="1">Common_InputFunctions.Utility_DisplayFunctionName(D29)</f>
        <v>=MMS_Dairy_N2ODirect_Equations.VEERG_4_3_1_3__8_RelativeSize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c r="D10" s="54" t="s">
        <v>28</v>
      </c>
      <c r="E10" s="1" t="str" cm="1">
        <f t="array" ref="E10">MMS_Dairy_N2ODirect_Equations.VEERG_4_3_1_3__8_RelativeSize_Variable()</f>
        <v>Z_j</v>
      </c>
    </row>
    <row r="11" spans="1:21" ht="20.100000000000001" customHeight="1" x14ac:dyDescent="0.25">
      <c r="D11" s="54" t="s">
        <v>18</v>
      </c>
      <c r="E11" s="55" t="str" cm="1">
        <f t="array" ref="E11">MMS_Dairy_N2ODirect_Equations.VEERG_4_3_1_3__8_RelativeSize_Unit()</f>
        <v>ratio</v>
      </c>
    </row>
    <row r="12" spans="1:21" ht="20.100000000000001" customHeight="1" x14ac:dyDescent="0.25"/>
    <row r="13" spans="1:21" ht="20.100000000000001" customHeight="1" x14ac:dyDescent="0.25">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100000000000001" customHeight="1" x14ac:dyDescent="0.25">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100000000000001" customHeight="1" x14ac:dyDescent="0.25">
      <c r="A15" s="21" t="str">
        <f>HYPERLINK("#'4.3.1.3-4 Direct N20'!A1", "4.3.1.3-4 Direct N20")</f>
        <v>4.3.1.3-4 Direct N20</v>
      </c>
    </row>
    <row r="16" spans="1:21" ht="20.100000000000001" customHeight="1" x14ac:dyDescent="0.25">
      <c r="A16" s="17" t="str">
        <f>HYPERLINK("#'4.3.1.5 Atmos deposition'!A1", "4.3.1.5 Atmos deposition")</f>
        <v>4.3.1.5 Atmos deposition</v>
      </c>
      <c r="D16" s="100" t="s">
        <v>210</v>
      </c>
      <c r="N16" s="100" t="s">
        <v>212</v>
      </c>
    </row>
    <row r="17" spans="1:21" ht="20.100000000000001" customHeight="1" x14ac:dyDescent="0.25">
      <c r="A17" s="17" t="str">
        <f>HYPERLINK("#'4.3.1.6-7 Leaching and runoff'!A1", "4.3.1.6-7 Leaching and runoff")</f>
        <v>4.3.1.6-7 Leaching and runoff</v>
      </c>
      <c r="D17" s="99" t="s">
        <v>211</v>
      </c>
      <c r="N17" s="99" t="s">
        <v>213</v>
      </c>
    </row>
    <row r="18" spans="1:21"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100000000000001" customHeight="1" x14ac:dyDescent="0.25">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100000000000001" customHeight="1" x14ac:dyDescent="0.25">
      <c r="A20" s="17" t="str">
        <f>HYPERLINK("#'4.3.1.10-11 Soil Atmos Dep'!A1", "4.3.1.10-11 Soil Atmos Dep")</f>
        <v>4.3.1.10-11 Soil Atmos Dep</v>
      </c>
    </row>
    <row r="21" spans="1:21" ht="20.100000000000001" customHeight="1" x14ac:dyDescent="0.25">
      <c r="A21" s="17" t="str">
        <f>HYPERLINK("#'4.3.1.12-13 Soil leach runoff'!A1", "4.3.1.12-13 Soil leach runoff")</f>
        <v>4.3.1.12-13 Soil leach runoff</v>
      </c>
      <c r="D21" s="100" t="s">
        <v>277</v>
      </c>
    </row>
    <row r="22" spans="1:21" ht="20.100000000000001" customHeight="1" x14ac:dyDescent="0.25">
      <c r="D22" s="99" t="s">
        <v>278</v>
      </c>
    </row>
    <row r="23" spans="1:21" ht="20.100000000000001" customHeight="1" x14ac:dyDescent="0.25">
      <c r="D23" s="52" t="s">
        <v>167</v>
      </c>
      <c r="E23" s="52" t="s">
        <v>184</v>
      </c>
      <c r="F23" s="52" t="s">
        <v>185</v>
      </c>
      <c r="G23" s="52" t="s">
        <v>186</v>
      </c>
      <c r="H23" s="52" t="s">
        <v>187</v>
      </c>
    </row>
    <row r="24" spans="1:21" ht="20.100000000000001" customHeight="1" x14ac:dyDescent="0.25">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100000000000001" customHeight="1" x14ac:dyDescent="0.25">
      <c r="A25" s="17" t="str">
        <f>HYPERLINK("#'Constants - Dairy'!A1", "Constants - Dairy")</f>
        <v>Constants - Dairy</v>
      </c>
    </row>
    <row r="26" spans="1:21" ht="20.100000000000001" customHeight="1" x14ac:dyDescent="0.25">
      <c r="A26" s="17" t="str">
        <f>HYPERLINK("#'Constants - Common'!A1", "Constants - Common")</f>
        <v>Constants - Common</v>
      </c>
      <c r="D26" s="100" t="s">
        <v>279</v>
      </c>
      <c r="N26" s="100" t="s">
        <v>279</v>
      </c>
    </row>
    <row r="27" spans="1:21" ht="20.100000000000001" customHeight="1" x14ac:dyDescent="0.25">
      <c r="A27" s="17" t="str">
        <f>HYPERLINK("#'Constants - Livestock'!A1", "Constants - Livestock")</f>
        <v>Constants - Livestock</v>
      </c>
      <c r="D27" s="99" t="s">
        <v>280</v>
      </c>
      <c r="N27" s="99" t="s">
        <v>458</v>
      </c>
    </row>
    <row r="28" spans="1:21" ht="20.100000000000001" customHeight="1" x14ac:dyDescent="0.25">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100000000000001" customHeight="1" x14ac:dyDescent="0.25">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6"/>
      <c r="D32" s="46"/>
      <c r="E32" s="46"/>
      <c r="F32" s="46"/>
      <c r="G32" s="46"/>
      <c r="H32" s="46"/>
      <c r="I32" s="46"/>
      <c r="J32" s="46"/>
      <c r="K32" s="46"/>
      <c r="M32" s="46"/>
      <c r="N32" s="46"/>
      <c r="O32" s="46"/>
      <c r="P32" s="46"/>
      <c r="Q32" s="46"/>
      <c r="R32" s="46"/>
      <c r="S32" s="46"/>
      <c r="T32" s="46"/>
      <c r="U32" s="46"/>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25</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4" t="s">
        <v>28</v>
      </c>
      <c r="E39" s="1" t="str" cm="1">
        <f t="array" ref="E39">MMS_Dairy_N2ODirect_Equations.VEERG_4_3_1_3__7_IntakeRelativeToMaintenance_Variable()</f>
        <v>L_j</v>
      </c>
    </row>
    <row r="40" spans="4:14" ht="20.100000000000001" customHeight="1" x14ac:dyDescent="0.25">
      <c r="D40" s="54" t="s">
        <v>18</v>
      </c>
      <c r="E40" s="55" t="str" cm="1">
        <f t="array" ref="E40">MMS_Dairy_N2ODirect_Equations.VEERG_4_3_1_3__7_IntakeRelativeToMaintenance_Unit()</f>
        <v>ratio</v>
      </c>
    </row>
    <row r="41" spans="4:14" ht="20.100000000000001" customHeight="1" x14ac:dyDescent="0.25"/>
    <row r="42" spans="4:14" ht="20.100000000000001" customHeight="1" x14ac:dyDescent="0.25">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100000000000001" customHeight="1" x14ac:dyDescent="0.25">
      <c r="D43" s="133" t="str">
        <v>W_j</v>
      </c>
      <c r="E43" s="132" t="str">
        <v>liveweight</v>
      </c>
      <c r="F43" s="134"/>
      <c r="G43" s="133" t="str">
        <v>kg/head</v>
      </c>
      <c r="H43" s="131" t="str">
        <v>Input</v>
      </c>
      <c r="I43" s="130" t="str" cm="1">
        <f t="array" aca="1" ref="I43" ca="1">HYPERLINK(Common_InputFunctions.Utility_SourceHyperlink($D$16),$D$16)</f>
        <v>M1_Table_W_j</v>
      </c>
    </row>
    <row r="44" spans="4:14" ht="20.100000000000001" customHeight="1" x14ac:dyDescent="0.25">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100000000000001" customHeight="1" x14ac:dyDescent="0.25">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6" spans="4:14" ht="20.100000000000001" customHeight="1" x14ac:dyDescent="0.25"/>
    <row r="47" spans="4:14" ht="20.100000000000001" customHeight="1" x14ac:dyDescent="0.25">
      <c r="D47" s="100" t="s">
        <v>107</v>
      </c>
      <c r="N47" s="100" t="s">
        <v>109</v>
      </c>
    </row>
    <row r="48" spans="4:14" ht="20.100000000000001" customHeight="1" x14ac:dyDescent="0.25">
      <c r="D48" s="99" t="s">
        <v>233</v>
      </c>
      <c r="N48" s="99" t="s">
        <v>232</v>
      </c>
    </row>
    <row r="49" spans="4:19" ht="20.100000000000001" customHeight="1" x14ac:dyDescent="0.25">
      <c r="D49" s="52" t="s">
        <v>167</v>
      </c>
      <c r="E49" s="52" t="s">
        <v>184</v>
      </c>
      <c r="F49" s="52" t="s">
        <v>185</v>
      </c>
      <c r="G49" s="52" t="s">
        <v>186</v>
      </c>
      <c r="H49" s="52" t="s">
        <v>187</v>
      </c>
      <c r="N49" s="52" t="s">
        <v>167</v>
      </c>
      <c r="O49" s="52" t="s">
        <v>184</v>
      </c>
      <c r="P49" s="52" t="s">
        <v>185</v>
      </c>
      <c r="Q49" s="52" t="s">
        <v>186</v>
      </c>
      <c r="R49" s="52" t="s">
        <v>187</v>
      </c>
    </row>
    <row r="50" spans="4:19" ht="20.100000000000001" customHeight="1" x14ac:dyDescent="0.25">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1" spans="4:19" ht="20.100000000000001" customHeight="1" x14ac:dyDescent="0.25"/>
    <row r="52" spans="4:19" ht="20.100000000000001" customHeight="1" x14ac:dyDescent="0.25">
      <c r="D52" s="100" t="s">
        <v>218</v>
      </c>
    </row>
    <row r="53" spans="4:19" ht="20.100000000000001" customHeight="1" x14ac:dyDescent="0.25">
      <c r="D53" s="99" t="s">
        <v>219</v>
      </c>
    </row>
    <row r="54" spans="4:19" ht="20.100000000000001" customHeight="1" x14ac:dyDescent="0.25">
      <c r="D54" s="52" t="s">
        <v>167</v>
      </c>
      <c r="E54" s="52" t="s">
        <v>184</v>
      </c>
      <c r="F54" s="52" t="s">
        <v>185</v>
      </c>
      <c r="G54" s="52" t="s">
        <v>186</v>
      </c>
      <c r="H54" s="52" t="s">
        <v>187</v>
      </c>
    </row>
    <row r="55" spans="4:19" ht="20.100000000000001" customHeight="1" x14ac:dyDescent="0.25">
      <c r="D55" s="53">
        <f>'Constants - Dairy'!$E$108</f>
        <v>1.1000000000000001</v>
      </c>
      <c r="E55" s="53">
        <f>'Constants - Dairy'!$E$109</f>
        <v>1</v>
      </c>
      <c r="F55" s="53">
        <f>'Constants - Dairy'!$E$109</f>
        <v>1</v>
      </c>
      <c r="G55" s="53">
        <f>'Constants - Dairy'!$E$109</f>
        <v>1</v>
      </c>
      <c r="H55" s="53">
        <f>'Constants - Dairy'!$E$109</f>
        <v>1</v>
      </c>
      <c r="I55" s="2" t="str">
        <f>G44</f>
        <v/>
      </c>
    </row>
    <row r="56" spans="4:19" ht="20.100000000000001" customHeight="1" x14ac:dyDescent="0.25"/>
    <row r="57" spans="4:19" ht="20.100000000000001" customHeight="1" x14ac:dyDescent="0.25">
      <c r="D57" s="100" t="s">
        <v>225</v>
      </c>
    </row>
    <row r="58" spans="4:19" ht="20.100000000000001" customHeight="1" x14ac:dyDescent="0.25">
      <c r="D58" s="99" t="s">
        <v>226</v>
      </c>
    </row>
    <row r="59" spans="4:19" ht="20.100000000000001" customHeight="1" x14ac:dyDescent="0.25">
      <c r="D59" s="52" t="s">
        <v>167</v>
      </c>
      <c r="E59" s="52" t="s">
        <v>184</v>
      </c>
      <c r="F59" s="52" t="s">
        <v>185</v>
      </c>
      <c r="G59" s="52" t="s">
        <v>186</v>
      </c>
      <c r="H59" s="52" t="s">
        <v>187</v>
      </c>
    </row>
    <row r="60" spans="4:19" ht="20.100000000000001" customHeight="1" x14ac:dyDescent="0.25">
      <c r="D60" s="53">
        <f>INDEX(M1_Table_MI_j,2,1)</f>
        <v>9.5798721636071917</v>
      </c>
      <c r="E60" s="53">
        <f>INDEX(M1_Table_MI_j,2,2)</f>
        <v>0</v>
      </c>
      <c r="F60" s="53">
        <f>INDEX(M1_Table_MI_j,2,3)</f>
        <v>0</v>
      </c>
      <c r="G60" s="53">
        <f>INDEX(M1_Table_MI_j,2,4)</f>
        <v>0</v>
      </c>
      <c r="H60" s="53">
        <f>INDEX(M1_Table_MI_j,2,5)</f>
        <v>0</v>
      </c>
      <c r="I60" s="2" t="str">
        <f>'4.3.1.1-2 Methane'!I79</f>
        <v>kg DM/head/day</v>
      </c>
    </row>
    <row r="61" spans="4:19" ht="20.100000000000001" customHeight="1" x14ac:dyDescent="0.25"/>
    <row r="62" spans="4:19" ht="20.100000000000001" customHeight="1" x14ac:dyDescent="0.25">
      <c r="D62" s="100" t="s">
        <v>281</v>
      </c>
      <c r="N62" s="100" t="s">
        <v>283</v>
      </c>
    </row>
    <row r="63" spans="4:19" ht="20.100000000000001" customHeight="1" x14ac:dyDescent="0.25">
      <c r="D63" s="99" t="s">
        <v>282</v>
      </c>
      <c r="N63" s="99" t="s">
        <v>284</v>
      </c>
    </row>
    <row r="64" spans="4:19" ht="20.100000000000001" customHeight="1" x14ac:dyDescent="0.25">
      <c r="D64" s="52" t="s">
        <v>167</v>
      </c>
      <c r="E64" s="52" t="s">
        <v>184</v>
      </c>
      <c r="F64" s="52" t="s">
        <v>185</v>
      </c>
      <c r="G64" s="52" t="s">
        <v>186</v>
      </c>
      <c r="H64" s="52" t="s">
        <v>187</v>
      </c>
      <c r="N64" s="52" t="s">
        <v>167</v>
      </c>
      <c r="O64" s="52" t="s">
        <v>184</v>
      </c>
      <c r="P64" s="52" t="s">
        <v>185</v>
      </c>
      <c r="Q64" s="52" t="s">
        <v>186</v>
      </c>
      <c r="R64" s="52" t="s">
        <v>187</v>
      </c>
    </row>
    <row r="65" spans="3:21" ht="20.100000000000001" customHeight="1" x14ac:dyDescent="0.25">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6"/>
      <c r="D68" s="46"/>
      <c r="E68" s="46"/>
      <c r="F68" s="46"/>
      <c r="G68" s="46"/>
      <c r="H68" s="46"/>
      <c r="I68" s="46"/>
      <c r="J68" s="46"/>
      <c r="K68" s="46"/>
      <c r="M68" s="46"/>
      <c r="N68" s="46"/>
      <c r="O68" s="46"/>
      <c r="P68" s="46"/>
      <c r="Q68" s="46"/>
      <c r="R68" s="46"/>
      <c r="S68" s="46"/>
      <c r="T68" s="46"/>
      <c r="U68" s="46"/>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5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3" t="s">
        <v>25</v>
      </c>
      <c r="E72" s="13"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54" t="s">
        <v>28</v>
      </c>
      <c r="E75" s="1" t="str" cm="1">
        <f t="array" ref="E75">MMS_Dairy_N2ODirect_Equations.VEERG_4_3_1_3__6_NitrogenRetainedByBody_Variable()</f>
        <v>NR_j</v>
      </c>
    </row>
    <row r="76" spans="3:21" ht="20.100000000000001" customHeight="1" x14ac:dyDescent="0.25">
      <c r="D76" s="54" t="s">
        <v>18</v>
      </c>
      <c r="E76" s="55" t="str" cm="1">
        <f t="array" ref="E76">MMS_Dairy_N2ODirect_Equations.VEERG_4_3_1_3__6_NitrogenRetainedByBody_Unit()</f>
        <v>kg N/head/day</v>
      </c>
    </row>
    <row r="77" spans="3:21" ht="20.100000000000001" customHeight="1" x14ac:dyDescent="0.25"/>
    <row r="78" spans="3:21" ht="20.100000000000001" customHeight="1" x14ac:dyDescent="0.25">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100000000000001" customHeight="1" x14ac:dyDescent="0.25">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100000000000001" customHeight="1" x14ac:dyDescent="0.25">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100000000000001" customHeight="1" x14ac:dyDescent="0.25">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100000000000001" customHeight="1" x14ac:dyDescent="0.25">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100000000000001" customHeight="1" x14ac:dyDescent="0.25">
      <c r="D83" s="133" t="str">
        <v>LWG_j</v>
      </c>
      <c r="E83" s="132" t="str">
        <v>liveweight gain</v>
      </c>
      <c r="F83" s="134"/>
      <c r="G83" s="133" t="str">
        <v>kg/head/day</v>
      </c>
      <c r="H83" s="131" t="str">
        <v>Input</v>
      </c>
      <c r="I83" s="130" t="str" cm="1">
        <f t="array" aca="1" ref="I83" ca="1">HYPERLINK(Common_InputFunctions.Utility_SourceHyperlink($D$95),$D$95)</f>
        <v>M1_Table_LWG_j</v>
      </c>
    </row>
    <row r="84" spans="4:19" ht="20.100000000000001" customHeight="1" x14ac:dyDescent="0.25"/>
    <row r="85" spans="4:19" ht="20.100000000000001" customHeight="1" x14ac:dyDescent="0.25">
      <c r="D85" s="100" t="s">
        <v>441</v>
      </c>
      <c r="N85" s="100" t="s">
        <v>443</v>
      </c>
    </row>
    <row r="86" spans="4:19" ht="20.100000000000001" customHeight="1" x14ac:dyDescent="0.25">
      <c r="D86" s="99" t="s">
        <v>442</v>
      </c>
      <c r="N86" s="99" t="s">
        <v>444</v>
      </c>
    </row>
    <row r="87" spans="4:19" ht="20.100000000000001" customHeight="1" x14ac:dyDescent="0.25">
      <c r="D87" s="52" t="s">
        <v>167</v>
      </c>
      <c r="E87" s="52" t="s">
        <v>184</v>
      </c>
      <c r="F87" s="52" t="s">
        <v>185</v>
      </c>
      <c r="G87" s="52" t="s">
        <v>186</v>
      </c>
      <c r="H87" s="52" t="s">
        <v>187</v>
      </c>
      <c r="N87" s="52" t="s">
        <v>167</v>
      </c>
      <c r="O87" s="52" t="s">
        <v>184</v>
      </c>
      <c r="P87" s="52" t="s">
        <v>185</v>
      </c>
      <c r="Q87" s="52" t="s">
        <v>186</v>
      </c>
      <c r="R87" s="52" t="s">
        <v>187</v>
      </c>
    </row>
    <row r="88" spans="4:19" ht="20.100000000000001" customHeight="1" x14ac:dyDescent="0.25">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89" spans="4:19" ht="20.100000000000001" customHeight="1" x14ac:dyDescent="0.25"/>
    <row r="90" spans="4:19" ht="20.100000000000001" customHeight="1" x14ac:dyDescent="0.25">
      <c r="D90" s="100" t="s">
        <v>230</v>
      </c>
    </row>
    <row r="91" spans="4:19" ht="20.100000000000001" customHeight="1" x14ac:dyDescent="0.25">
      <c r="D91" s="99" t="s">
        <v>191</v>
      </c>
    </row>
    <row r="92" spans="4:19" ht="20.100000000000001" customHeight="1" x14ac:dyDescent="0.25">
      <c r="D92" s="40" t="s">
        <v>167</v>
      </c>
      <c r="E92" s="40" t="s">
        <v>184</v>
      </c>
      <c r="F92" s="40" t="s">
        <v>185</v>
      </c>
      <c r="G92" s="40" t="s">
        <v>186</v>
      </c>
      <c r="H92" s="40" t="s">
        <v>187</v>
      </c>
    </row>
    <row r="93" spans="4:19" ht="20.100000000000001" customHeight="1" x14ac:dyDescent="0.25">
      <c r="D93" s="53">
        <f>INDEX(Table_MP_j_Consumer_1,2,1)</f>
        <v>20</v>
      </c>
      <c r="E93" s="53">
        <v>0</v>
      </c>
      <c r="F93" s="53">
        <v>0</v>
      </c>
      <c r="G93" s="53">
        <v>0</v>
      </c>
      <c r="H93" s="53">
        <v>0</v>
      </c>
      <c r="I93" s="2" t="str">
        <f>$G$79</f>
        <v>L/head/day</v>
      </c>
    </row>
    <row r="94" spans="4:19" ht="20.100000000000001" customHeight="1" x14ac:dyDescent="0.25"/>
    <row r="95" spans="4:19" ht="20.100000000000001" customHeight="1" x14ac:dyDescent="0.25">
      <c r="D95" s="100" t="s">
        <v>214</v>
      </c>
      <c r="N95" s="100" t="s">
        <v>216</v>
      </c>
    </row>
    <row r="96" spans="4:19" ht="20.100000000000001" customHeight="1" x14ac:dyDescent="0.25">
      <c r="D96" s="99" t="s">
        <v>215</v>
      </c>
      <c r="N96" s="99" t="s">
        <v>217</v>
      </c>
    </row>
    <row r="97" spans="3:21" ht="20.100000000000001" customHeight="1" x14ac:dyDescent="0.25">
      <c r="D97" s="40" t="s">
        <v>167</v>
      </c>
      <c r="E97" s="40" t="s">
        <v>184</v>
      </c>
      <c r="F97" s="40" t="s">
        <v>185</v>
      </c>
      <c r="G97" s="40" t="s">
        <v>186</v>
      </c>
      <c r="H97" s="40" t="s">
        <v>187</v>
      </c>
      <c r="N97" s="40" t="s">
        <v>167</v>
      </c>
      <c r="O97" s="40" t="s">
        <v>184</v>
      </c>
      <c r="P97" s="40" t="s">
        <v>185</v>
      </c>
      <c r="Q97" s="40" t="s">
        <v>186</v>
      </c>
      <c r="R97" s="40" t="s">
        <v>187</v>
      </c>
    </row>
    <row r="98" spans="3:21" ht="20.100000000000001" customHeight="1" x14ac:dyDescent="0.25">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99" spans="3:21" ht="20.100000000000001" customHeight="1" x14ac:dyDescent="0.25"/>
    <row r="100" spans="3:21" ht="20.100000000000001" customHeight="1" x14ac:dyDescent="0.25">
      <c r="D100" s="100" t="s">
        <v>110</v>
      </c>
      <c r="N100" s="100" t="s">
        <v>111</v>
      </c>
    </row>
    <row r="101" spans="3:21" ht="20.100000000000001" customHeight="1" x14ac:dyDescent="0.25">
      <c r="D101" s="99" t="s">
        <v>285</v>
      </c>
      <c r="N101" s="99" t="s">
        <v>286</v>
      </c>
    </row>
    <row r="102" spans="3:21" ht="20.100000000000001" customHeight="1" x14ac:dyDescent="0.25">
      <c r="D102" s="52" t="s">
        <v>167</v>
      </c>
      <c r="E102" s="52" t="s">
        <v>184</v>
      </c>
      <c r="F102" s="52" t="s">
        <v>185</v>
      </c>
      <c r="G102" s="52" t="s">
        <v>186</v>
      </c>
      <c r="H102" s="52" t="s">
        <v>187</v>
      </c>
      <c r="N102" s="52" t="s">
        <v>167</v>
      </c>
      <c r="O102" s="52" t="s">
        <v>184</v>
      </c>
      <c r="P102" s="52" t="s">
        <v>185</v>
      </c>
      <c r="Q102" s="52" t="s">
        <v>186</v>
      </c>
      <c r="R102" s="52" t="s">
        <v>187</v>
      </c>
    </row>
    <row r="103" spans="3:21" ht="20.100000000000001" customHeight="1" x14ac:dyDescent="0.25">
      <c r="D103" s="53" cm="1">
        <f t="array" ref="D103">MMS_Dairy_N2ODirect_Equations.VEERG_4_3_1_3__6_NitrogenRetainedByBody(IF($I$78="Milk solids", D88, D93),D65,D29,D98)</f>
        <v>0.10350619833262559</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0.10350619833262559</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4" spans="3:21" ht="20.100000000000001" customHeight="1" x14ac:dyDescent="0.25"/>
    <row r="105" spans="3:21" ht="20.100000000000001" customHeight="1" x14ac:dyDescent="0.25"/>
    <row r="106" spans="3:21" ht="20.100000000000001" customHeight="1" x14ac:dyDescent="0.25">
      <c r="C106" s="46"/>
      <c r="D106" s="46"/>
      <c r="E106" s="46"/>
      <c r="F106" s="46"/>
      <c r="G106" s="46"/>
      <c r="H106" s="46"/>
      <c r="I106" s="46"/>
      <c r="J106" s="46"/>
      <c r="K106" s="46"/>
      <c r="M106" s="46"/>
      <c r="N106" s="46"/>
      <c r="O106" s="46"/>
      <c r="P106" s="46"/>
      <c r="Q106" s="46"/>
      <c r="R106" s="46"/>
      <c r="S106" s="46"/>
      <c r="T106" s="46"/>
      <c r="U106" s="46"/>
    </row>
    <row r="107" spans="3:21" ht="20.100000000000001" customHeight="1" x14ac:dyDescent="0.25">
      <c r="D107" s="6" t="str" cm="1">
        <f t="array" ref="D107">MMS_Dairy_N2ODirect_Equations.VEERG_4_3_1_3__5_CrudeProteinIntakeOfDairyCattle_Title()</f>
        <v>Crude protein intake of dairy cattle</v>
      </c>
    </row>
    <row r="108" spans="3:21" ht="20.100000000000001" customHeight="1" x14ac:dyDescent="0.25">
      <c r="D108" s="5" t="str" cm="1">
        <f t="array" ref="D108">MMS_Dairy_N2ODirect_Equations.VEERG_4_3_1_3__5_CrudeProteinIntakeOfDairyCattle_Source()</f>
        <v>VEERG 2026: 4.3.1.3, Equation (5)</v>
      </c>
    </row>
    <row r="109" spans="3:21" ht="20.100000000000001" customHeight="1" x14ac:dyDescent="0.25">
      <c r="D109" s="13" t="s">
        <v>25</v>
      </c>
      <c r="E109" s="13"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6"/>
    </row>
    <row r="112" spans="3:21" ht="20.100000000000001" customHeight="1" x14ac:dyDescent="0.25">
      <c r="D112" s="54" t="s">
        <v>28</v>
      </c>
      <c r="E112" s="1" t="str" cm="1">
        <f t="array" ref="E112">MMS_Dairy_N2ODirect_Equations.VEERG_4_3_1_3__5_CrudeProteinIntakeOfDairyCattle_Variable()</f>
        <v>CPI_j</v>
      </c>
    </row>
    <row r="113" spans="4:19" ht="20.100000000000001" customHeight="1" x14ac:dyDescent="0.25">
      <c r="D113" s="54" t="s">
        <v>18</v>
      </c>
      <c r="E113" s="55" t="str" cm="1">
        <f t="array" ref="E113">MMS_Dairy_N2ODirect_Equations.VEERG_4_3_1_3__5_CrudeProteinIntakeOfDairyCattle_Unit()</f>
        <v>kg/head/day</v>
      </c>
    </row>
    <row r="114" spans="4:19" ht="20.100000000000001" customHeight="1" x14ac:dyDescent="0.25"/>
    <row r="115" spans="4:19" ht="20.100000000000001" customHeight="1" x14ac:dyDescent="0.25">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100000000000001" customHeight="1" x14ac:dyDescent="0.25">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7" spans="4:19" ht="20.100000000000001" customHeight="1" x14ac:dyDescent="0.25"/>
    <row r="118" spans="4:19" ht="20.100000000000001" customHeight="1" x14ac:dyDescent="0.25">
      <c r="D118" s="100" t="s">
        <v>108</v>
      </c>
      <c r="N118" s="100" t="s">
        <v>454</v>
      </c>
    </row>
    <row r="119" spans="4:19" ht="20.100000000000001" customHeight="1" x14ac:dyDescent="0.25">
      <c r="D119" s="99" t="s">
        <v>287</v>
      </c>
      <c r="N119" s="99" t="s">
        <v>455</v>
      </c>
    </row>
    <row r="120" spans="4:19" ht="20.100000000000001" customHeight="1" x14ac:dyDescent="0.25">
      <c r="D120" s="40" t="s">
        <v>167</v>
      </c>
      <c r="E120" s="40" t="s">
        <v>184</v>
      </c>
      <c r="F120" s="40" t="s">
        <v>185</v>
      </c>
      <c r="G120" s="40" t="s">
        <v>186</v>
      </c>
      <c r="H120" s="40" t="s">
        <v>187</v>
      </c>
      <c r="N120" s="40" t="s">
        <v>167</v>
      </c>
      <c r="O120" s="40" t="s">
        <v>184</v>
      </c>
      <c r="P120" s="40" t="s">
        <v>185</v>
      </c>
      <c r="Q120" s="40" t="s">
        <v>186</v>
      </c>
      <c r="R120" s="40" t="s">
        <v>187</v>
      </c>
    </row>
    <row r="121" spans="4:19" ht="20.100000000000001" customHeight="1" x14ac:dyDescent="0.25">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2" spans="4:19" ht="20.100000000000001" customHeight="1" x14ac:dyDescent="0.25"/>
    <row r="123" spans="4:19" ht="20.100000000000001" customHeight="1" x14ac:dyDescent="0.25">
      <c r="D123" s="100" t="s">
        <v>288</v>
      </c>
      <c r="N123" s="100" t="s">
        <v>456</v>
      </c>
    </row>
    <row r="124" spans="4:19" ht="20.100000000000001" customHeight="1" x14ac:dyDescent="0.25">
      <c r="D124" s="99" t="s">
        <v>289</v>
      </c>
      <c r="N124" s="99" t="s">
        <v>457</v>
      </c>
    </row>
    <row r="125" spans="4:19" ht="20.100000000000001" customHeight="1" x14ac:dyDescent="0.25">
      <c r="D125" s="52" t="s">
        <v>167</v>
      </c>
      <c r="E125" s="52" t="s">
        <v>184</v>
      </c>
      <c r="F125" s="52" t="s">
        <v>185</v>
      </c>
      <c r="G125" s="52" t="s">
        <v>186</v>
      </c>
      <c r="H125" s="52" t="s">
        <v>187</v>
      </c>
      <c r="N125" s="52" t="s">
        <v>167</v>
      </c>
      <c r="O125" s="52" t="s">
        <v>184</v>
      </c>
      <c r="P125" s="52" t="s">
        <v>185</v>
      </c>
      <c r="Q125" s="52" t="s">
        <v>186</v>
      </c>
      <c r="R125" s="52" t="s">
        <v>187</v>
      </c>
    </row>
    <row r="126" spans="4:19" ht="20.100000000000001" customHeight="1" x14ac:dyDescent="0.25">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7" spans="4:19" ht="20.100000000000001" customHeight="1" x14ac:dyDescent="0.25"/>
    <row r="128" spans="4:19" ht="20.100000000000001" customHeight="1" x14ac:dyDescent="0.25"/>
    <row r="129" spans="3:21" ht="20.100000000000001" customHeight="1" x14ac:dyDescent="0.25">
      <c r="C129" s="46"/>
      <c r="D129" s="46"/>
      <c r="E129" s="46"/>
      <c r="F129" s="46"/>
      <c r="G129" s="46"/>
      <c r="H129" s="46"/>
      <c r="I129" s="46"/>
      <c r="J129" s="46"/>
      <c r="K129" s="46"/>
      <c r="M129" s="46"/>
      <c r="N129" s="46"/>
      <c r="O129" s="46"/>
      <c r="P129" s="46"/>
      <c r="Q129" s="46"/>
      <c r="R129" s="46"/>
      <c r="S129" s="46"/>
      <c r="T129" s="46"/>
      <c r="U129" s="46"/>
    </row>
    <row r="130" spans="3:21" ht="20.100000000000001" customHeight="1" x14ac:dyDescent="0.25">
      <c r="D130" s="6" t="str" cm="1">
        <f t="array" ref="D130">MMS_Dairy_N2ODirect_Equations.VEERG_4_3_1_3__4_NitrogenExcretedByDairyCattleGreaterThanOneYear_Title()</f>
        <v>Nitrogen excreted by dairy cattle greater than one year old</v>
      </c>
    </row>
    <row r="131" spans="3:21" ht="20.100000000000001" customHeight="1" x14ac:dyDescent="0.25">
      <c r="D131" s="5" t="str" cm="1">
        <f t="array" ref="D131">MMS_Dairy_N2ODirect_Equations.VEERG_4_3_1_3__4_NitrogenExcretedByDairyCattleGreaterThanOneYear_Source()</f>
        <v>VEERG 2026: 4.3.1.3, Equation (4)</v>
      </c>
    </row>
    <row r="132" spans="3:21" ht="20.100000000000001" customHeight="1" x14ac:dyDescent="0.25">
      <c r="D132" s="13" t="s">
        <v>25</v>
      </c>
      <c r="E132" s="13"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6"/>
    </row>
    <row r="135" spans="3:21" ht="20.100000000000001" customHeight="1" x14ac:dyDescent="0.25"/>
    <row r="136" spans="3:21" ht="20.100000000000001" customHeight="1" x14ac:dyDescent="0.25">
      <c r="D136" s="54" t="s">
        <v>28</v>
      </c>
      <c r="E136" s="1" t="str" cm="1">
        <f t="array" ref="E136">MMS_Dairy_N2ODirect_Equations.VEERG_4_3_1_3__4_NitrogenExcretedByDairyCattleGreaterThanOneYear_Variable()</f>
        <v>NE_j</v>
      </c>
    </row>
    <row r="137" spans="3:21" ht="20.100000000000001" customHeight="1" x14ac:dyDescent="0.25">
      <c r="D137" s="54" t="s">
        <v>18</v>
      </c>
      <c r="E137" s="5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100000000000001" customHeight="1" x14ac:dyDescent="0.25">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100000000000001" customHeight="1" x14ac:dyDescent="0.25">
      <c r="D141" s="133" t="str">
        <v>W_j</v>
      </c>
      <c r="E141" s="132" t="str">
        <v>liveweight (kg)</v>
      </c>
      <c r="F141" s="134"/>
      <c r="G141" s="133" t="str">
        <v>kg</v>
      </c>
      <c r="H141" s="131" t="str">
        <v>Input</v>
      </c>
      <c r="I141" s="130" t="str" cm="1">
        <f t="array" aca="1" ref="I141" ca="1">HYPERLINK(Common_InputFunctions.Utility_SourceHyperlink($D$16),$D$16)</f>
        <v>M1_Table_W_j</v>
      </c>
    </row>
    <row r="142" spans="3:21" ht="20.100000000000001" customHeight="1" x14ac:dyDescent="0.25"/>
    <row r="143" spans="3:21" ht="20.100000000000001" customHeight="1" x14ac:dyDescent="0.25">
      <c r="D143" s="100" t="s">
        <v>112</v>
      </c>
      <c r="N143" s="100" t="s">
        <v>113</v>
      </c>
    </row>
    <row r="144" spans="3:21" ht="20.100000000000001" customHeight="1" x14ac:dyDescent="0.25">
      <c r="D144" s="99" t="s">
        <v>290</v>
      </c>
      <c r="N144" s="99" t="s">
        <v>291</v>
      </c>
    </row>
    <row r="145" spans="3:21" ht="20.100000000000001" customHeight="1" x14ac:dyDescent="0.25">
      <c r="D145" s="52" t="s">
        <v>167</v>
      </c>
      <c r="E145" s="52" t="s">
        <v>184</v>
      </c>
      <c r="F145" s="52" t="s">
        <v>185</v>
      </c>
      <c r="G145" s="52" t="s">
        <v>186</v>
      </c>
      <c r="H145" s="52" t="s">
        <v>187</v>
      </c>
      <c r="N145" s="52" t="s">
        <v>167</v>
      </c>
      <c r="O145" s="52" t="s">
        <v>184</v>
      </c>
      <c r="P145" s="52" t="s">
        <v>185</v>
      </c>
      <c r="Q145" s="52" t="s">
        <v>186</v>
      </c>
      <c r="R145" s="52" t="s">
        <v>187</v>
      </c>
    </row>
    <row r="146" spans="3:21" ht="20.100000000000001" customHeight="1" x14ac:dyDescent="0.25">
      <c r="D146" s="53" cm="1">
        <f t="array" ref="D146">MMS_Dairy_N2ODirect_Equations.VEERG_4_3_1_3__4_NitrogenExcretedByDairyCattleGreaterThanOneYear(D126,D103,D19)</f>
        <v>0.49719309694578667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0.49719309694578667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6"/>
      <c r="D149" s="46"/>
      <c r="E149" s="46"/>
      <c r="F149" s="46"/>
      <c r="G149" s="46"/>
      <c r="H149" s="46"/>
      <c r="I149" s="46"/>
      <c r="J149" s="46"/>
      <c r="K149" s="46"/>
      <c r="M149" s="46"/>
      <c r="N149" s="46"/>
      <c r="O149" s="46"/>
      <c r="P149" s="46"/>
      <c r="Q149" s="46"/>
      <c r="R149" s="46"/>
      <c r="S149" s="46"/>
      <c r="T149" s="46"/>
      <c r="U149" s="46"/>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25</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4" t="s">
        <v>28</v>
      </c>
      <c r="E156" s="1" t="str" cm="1">
        <f t="array" ref="E156">MMS_Dairy_N2ODirect_Equations.VEERG_4_3_1_3__3a_TotalAnnualNitrogenExcretedGreaterThanOneYear_Variable()</f>
        <v>AE_j124</v>
      </c>
    </row>
    <row r="157" spans="3:21" ht="20.100000000000001" customHeight="1" x14ac:dyDescent="0.25">
      <c r="D157" s="54" t="s">
        <v>18</v>
      </c>
      <c r="E157" s="5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100000000000001" customHeight="1" x14ac:dyDescent="0.25">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100000000000001" customHeight="1" x14ac:dyDescent="0.25">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2" spans="1:19" ht="20.100000000000001" customHeight="1" x14ac:dyDescent="0.25"/>
    <row r="163" spans="1:19" ht="20.100000000000001" customHeight="1" x14ac:dyDescent="0.25">
      <c r="D163" s="100" t="s">
        <v>102</v>
      </c>
    </row>
    <row r="164" spans="1:19" ht="20.100000000000001" customHeight="1" x14ac:dyDescent="0.25">
      <c r="D164" s="99" t="s">
        <v>258</v>
      </c>
    </row>
    <row r="165" spans="1:19" ht="20.100000000000001" customHeight="1" x14ac:dyDescent="0.25">
      <c r="D165" s="40" t="s">
        <v>167</v>
      </c>
      <c r="E165" s="40" t="s">
        <v>184</v>
      </c>
      <c r="F165" s="40" t="s">
        <v>185</v>
      </c>
      <c r="G165" s="40" t="s">
        <v>186</v>
      </c>
      <c r="H165" s="40" t="s">
        <v>187</v>
      </c>
    </row>
    <row r="166" spans="1:19" ht="20.100000000000001" customHeight="1" x14ac:dyDescent="0.25">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7" spans="1:19" ht="20.100000000000001" customHeight="1" x14ac:dyDescent="0.25"/>
    <row r="168" spans="1:19" ht="20.100000000000001" customHeight="1" x14ac:dyDescent="0.25">
      <c r="D168" s="100" t="s">
        <v>265</v>
      </c>
      <c r="N168" s="100" t="s">
        <v>453</v>
      </c>
    </row>
    <row r="169" spans="1:19" ht="20.100000000000001" customHeight="1" x14ac:dyDescent="0.25">
      <c r="D169" s="99" t="s">
        <v>293</v>
      </c>
      <c r="N169" s="99" t="s">
        <v>294</v>
      </c>
    </row>
    <row r="170" spans="1:19" ht="20.100000000000001" customHeight="1" x14ac:dyDescent="0.25">
      <c r="D170" s="40" t="s">
        <v>167</v>
      </c>
      <c r="E170" s="40" t="s">
        <v>184</v>
      </c>
      <c r="F170" s="40" t="s">
        <v>185</v>
      </c>
      <c r="G170" s="40" t="s">
        <v>186</v>
      </c>
      <c r="H170" s="40" t="s">
        <v>187</v>
      </c>
      <c r="N170" s="40" t="s">
        <v>167</v>
      </c>
      <c r="O170" s="40" t="s">
        <v>184</v>
      </c>
      <c r="P170" s="40" t="s">
        <v>185</v>
      </c>
      <c r="Q170" s="40" t="s">
        <v>186</v>
      </c>
      <c r="R170" s="40" t="s">
        <v>187</v>
      </c>
    </row>
    <row r="171" spans="1:19" ht="20.100000000000001" customHeight="1" x14ac:dyDescent="0.25">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2" spans="1:19" ht="20.100000000000001" customHeight="1" x14ac:dyDescent="0.25"/>
    <row r="173" spans="1:19" ht="20.100000000000001" customHeight="1" x14ac:dyDescent="0.25">
      <c r="D173" s="100" t="s">
        <v>292</v>
      </c>
      <c r="N173" s="100" t="s">
        <v>451</v>
      </c>
    </row>
    <row r="174" spans="1:19" ht="20.100000000000001" customHeight="1" x14ac:dyDescent="0.25">
      <c r="D174" s="99" t="s">
        <v>300</v>
      </c>
      <c r="N174" s="99" t="s">
        <v>452</v>
      </c>
    </row>
    <row r="175" spans="1:19" ht="20.100000000000001" customHeight="1" x14ac:dyDescent="0.25">
      <c r="D175" s="52" t="s">
        <v>167</v>
      </c>
      <c r="E175" s="52" t="s">
        <v>184</v>
      </c>
      <c r="F175" s="52" t="s">
        <v>185</v>
      </c>
      <c r="G175" s="52" t="s">
        <v>186</v>
      </c>
      <c r="H175" s="52" t="s">
        <v>187</v>
      </c>
      <c r="N175" s="52" t="s">
        <v>167</v>
      </c>
      <c r="O175" s="52" t="s">
        <v>184</v>
      </c>
      <c r="P175" s="52" t="s">
        <v>185</v>
      </c>
      <c r="Q175" s="52" t="s">
        <v>186</v>
      </c>
      <c r="R175" s="52" t="s">
        <v>187</v>
      </c>
    </row>
    <row r="176" spans="1:19" ht="20.100000000000001" customHeight="1" x14ac:dyDescent="0.25">
      <c r="D176" s="53" cm="1">
        <f t="array" ref="D176">MMS_Dairy_N2ODirect_Equations.VEERG_4_3_1_3__3a_TotalAnnualNitrogenExcretedGreaterThanOneYearVariation(D166,D146,D171)</f>
        <v>18147.548038521214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18147.548038521214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6"/>
      <c r="D179" s="46"/>
      <c r="E179" s="46"/>
      <c r="F179" s="46"/>
      <c r="G179" s="46"/>
      <c r="H179" s="46"/>
      <c r="I179" s="46"/>
      <c r="J179" s="46"/>
      <c r="K179" s="46"/>
      <c r="M179" s="46"/>
      <c r="N179" s="46"/>
      <c r="O179" s="46"/>
      <c r="P179" s="46"/>
      <c r="Q179" s="46"/>
      <c r="R179" s="46"/>
      <c r="S179" s="46"/>
      <c r="T179" s="46"/>
      <c r="U179" s="46"/>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25</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4" t="s">
        <v>28</v>
      </c>
      <c r="E186" s="1" t="str" cm="1">
        <f t="array" ref="E186">MMS_Dairy_N2ODirect_Equations.VEERG_4_3_1_3__3b_TotalAnnualNitrogenExcretedLessThanOneYear_Variable()</f>
        <v>AE_j35</v>
      </c>
    </row>
    <row r="187" spans="3:21" ht="20.100000000000001" customHeight="1" x14ac:dyDescent="0.25">
      <c r="D187" s="54" t="s">
        <v>18</v>
      </c>
      <c r="E187" s="5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100000000000001" customHeight="1" x14ac:dyDescent="0.25">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100000000000001" customHeight="1" x14ac:dyDescent="0.25">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100000000000001" customHeight="1" x14ac:dyDescent="0.25">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100000000000001" customHeight="1" x14ac:dyDescent="0.25">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4" spans="1:19" ht="20.100000000000001" customHeight="1" x14ac:dyDescent="0.25"/>
    <row r="195" spans="1:19" ht="20.100000000000001" customHeight="1" x14ac:dyDescent="0.25">
      <c r="D195" s="100" t="s">
        <v>297</v>
      </c>
    </row>
    <row r="196" spans="1:19" ht="20.100000000000001" customHeight="1" x14ac:dyDescent="0.25">
      <c r="D196" s="99" t="s">
        <v>298</v>
      </c>
    </row>
    <row r="197" spans="1:19" ht="20.100000000000001" customHeight="1" x14ac:dyDescent="0.25">
      <c r="D197" s="52" t="s">
        <v>167</v>
      </c>
      <c r="E197" s="52" t="s">
        <v>184</v>
      </c>
      <c r="F197" s="52" t="s">
        <v>185</v>
      </c>
      <c r="G197" s="52" t="s">
        <v>186</v>
      </c>
      <c r="H197" s="52" t="s">
        <v>187</v>
      </c>
    </row>
    <row r="198" spans="1:19" ht="20.100000000000001" customHeight="1" x14ac:dyDescent="0.25">
      <c r="D198" s="53">
        <v>0</v>
      </c>
      <c r="E198" s="53">
        <v>0</v>
      </c>
      <c r="F198" s="53">
        <f>'Constants - Dairy'!$G$63</f>
        <v>1.37E-2</v>
      </c>
      <c r="G198" s="53">
        <v>0</v>
      </c>
      <c r="H198" s="53">
        <f>'Constants - Dairy'!$G$64</f>
        <v>9.1999999999999998E-3</v>
      </c>
      <c r="I198" s="2" t="str">
        <f>G191</f>
        <v>kg N/head/day</v>
      </c>
    </row>
    <row r="199" spans="1:19" ht="20.100000000000001" customHeight="1" x14ac:dyDescent="0.25"/>
    <row r="200" spans="1:19" ht="20.100000000000001" customHeight="1" x14ac:dyDescent="0.25">
      <c r="D200" s="100" t="s">
        <v>295</v>
      </c>
      <c r="N200" s="100" t="s">
        <v>295</v>
      </c>
    </row>
    <row r="201" spans="1:19" ht="20.100000000000001" customHeight="1" x14ac:dyDescent="0.25">
      <c r="D201" s="99" t="s">
        <v>296</v>
      </c>
      <c r="N201" s="99" t="s">
        <v>448</v>
      </c>
    </row>
    <row r="202" spans="1:19" ht="20.100000000000001" customHeight="1" x14ac:dyDescent="0.25">
      <c r="D202" s="40" t="s">
        <v>167</v>
      </c>
      <c r="E202" s="40" t="s">
        <v>184</v>
      </c>
      <c r="F202" s="40" t="s">
        <v>185</v>
      </c>
      <c r="G202" s="40" t="s">
        <v>186</v>
      </c>
      <c r="H202" s="40" t="s">
        <v>187</v>
      </c>
      <c r="N202" s="40" t="s">
        <v>167</v>
      </c>
      <c r="O202" s="40" t="s">
        <v>184</v>
      </c>
      <c r="P202" s="40" t="s">
        <v>185</v>
      </c>
      <c r="Q202" s="40" t="s">
        <v>186</v>
      </c>
      <c r="R202" s="40" t="s">
        <v>187</v>
      </c>
    </row>
    <row r="203" spans="1:19" ht="20.100000000000001" customHeight="1" x14ac:dyDescent="0.25">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4" spans="1:19" ht="20.100000000000001" customHeight="1" x14ac:dyDescent="0.25"/>
    <row r="205" spans="1:19" ht="20.100000000000001" customHeight="1" x14ac:dyDescent="0.25">
      <c r="D205" s="100" t="s">
        <v>260</v>
      </c>
      <c r="N205" s="100" t="s">
        <v>260</v>
      </c>
    </row>
    <row r="206" spans="1:19" ht="20.100000000000001" customHeight="1" x14ac:dyDescent="0.25">
      <c r="D206" s="99" t="s">
        <v>268</v>
      </c>
      <c r="N206" s="99" t="s">
        <v>449</v>
      </c>
    </row>
    <row r="207" spans="1:19" ht="20.100000000000001" customHeight="1" x14ac:dyDescent="0.25">
      <c r="D207" s="40" t="s">
        <v>167</v>
      </c>
      <c r="E207" s="40" t="s">
        <v>184</v>
      </c>
      <c r="F207" s="40" t="s">
        <v>185</v>
      </c>
      <c r="G207" s="40" t="s">
        <v>186</v>
      </c>
      <c r="H207" s="40" t="s">
        <v>187</v>
      </c>
      <c r="N207" s="40" t="s">
        <v>167</v>
      </c>
      <c r="O207" s="40" t="s">
        <v>184</v>
      </c>
      <c r="P207" s="40" t="s">
        <v>185</v>
      </c>
      <c r="Q207" s="40" t="s">
        <v>186</v>
      </c>
      <c r="R207" s="40" t="s">
        <v>187</v>
      </c>
    </row>
    <row r="208" spans="1:19" ht="20.100000000000001" customHeight="1" x14ac:dyDescent="0.25">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09" spans="3:21" ht="20.100000000000001" customHeight="1" x14ac:dyDescent="0.25"/>
    <row r="210" spans="3:21" ht="20.100000000000001" customHeight="1" x14ac:dyDescent="0.25">
      <c r="D210" s="100" t="s">
        <v>116</v>
      </c>
      <c r="N210" s="100" t="s">
        <v>116</v>
      </c>
    </row>
    <row r="211" spans="3:21" ht="20.100000000000001" customHeight="1" x14ac:dyDescent="0.25">
      <c r="D211" s="99" t="s">
        <v>299</v>
      </c>
      <c r="N211" s="99" t="s">
        <v>450</v>
      </c>
    </row>
    <row r="212" spans="3:21" ht="20.100000000000001" customHeight="1" x14ac:dyDescent="0.25">
      <c r="D212" s="52" t="s">
        <v>167</v>
      </c>
      <c r="E212" s="52" t="s">
        <v>184</v>
      </c>
      <c r="F212" s="52" t="s">
        <v>185</v>
      </c>
      <c r="G212" s="52" t="s">
        <v>186</v>
      </c>
      <c r="H212" s="52" t="s">
        <v>187</v>
      </c>
      <c r="N212" s="52" t="s">
        <v>167</v>
      </c>
      <c r="O212" s="52" t="s">
        <v>184</v>
      </c>
      <c r="P212" s="52" t="s">
        <v>185</v>
      </c>
      <c r="Q212" s="52" t="s">
        <v>186</v>
      </c>
      <c r="R212" s="52" t="s">
        <v>187</v>
      </c>
    </row>
    <row r="213" spans="3:21" ht="20.100000000000001" customHeight="1" x14ac:dyDescent="0.25">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6"/>
      <c r="D216" s="46"/>
      <c r="E216" s="46"/>
      <c r="F216" s="46"/>
      <c r="G216" s="46"/>
      <c r="H216" s="46"/>
      <c r="I216" s="46"/>
      <c r="J216" s="46"/>
      <c r="K216" s="46"/>
      <c r="M216" s="46"/>
      <c r="N216" s="46"/>
      <c r="O216" s="46"/>
      <c r="P216" s="46"/>
      <c r="Q216" s="46"/>
      <c r="R216" s="46"/>
      <c r="S216" s="46"/>
      <c r="T216" s="46"/>
      <c r="U216" s="46"/>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25</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4" t="s">
        <v>28</v>
      </c>
      <c r="E222" s="1" t="str" cm="1">
        <f t="array" ref="E222">MMS_Dairy_N2ODirect_Equations.VEERG_4_3_1_3__2_TotalNitrogenInEachMMS_Variable()</f>
        <v>MN_jm</v>
      </c>
    </row>
    <row r="223" spans="3:21" ht="20.100000000000001" customHeight="1" x14ac:dyDescent="0.25">
      <c r="D223" s="54" t="s">
        <v>18</v>
      </c>
      <c r="E223" s="55" t="str" cm="1">
        <f t="array" ref="E223">MMS_Dairy_N2ODirect_Equations.VEERG_4_3_1_3__2_TotalNitrogenInEachMMS_Unit()</f>
        <v>kg N</v>
      </c>
    </row>
    <row r="224" spans="3:21" ht="20.100000000000001" customHeight="1" x14ac:dyDescent="0.25"/>
    <row r="225" spans="4:20" ht="20.100000000000001" customHeight="1" x14ac:dyDescent="0.25">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100000000000001" customHeight="1" x14ac:dyDescent="0.25">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7" spans="4:20" ht="20.100000000000001" customHeight="1" x14ac:dyDescent="0.25"/>
    <row r="228" spans="4:20" ht="20.100000000000001" customHeight="1" x14ac:dyDescent="0.25">
      <c r="D228" s="100" t="s">
        <v>240</v>
      </c>
      <c r="N228" s="100" t="s">
        <v>242</v>
      </c>
    </row>
    <row r="229" spans="4:20" ht="20.100000000000001" customHeight="1" x14ac:dyDescent="0.25">
      <c r="D229" s="99" t="s">
        <v>301</v>
      </c>
      <c r="N229" s="99" t="s">
        <v>302</v>
      </c>
    </row>
    <row r="230" spans="4:20" ht="20.100000000000001" customHeight="1" x14ac:dyDescent="0.25">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100000000000001" customHeight="1" x14ac:dyDescent="0.25">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27"/>
    </row>
    <row r="240" spans="4:20" ht="20.100000000000001" customHeight="1" x14ac:dyDescent="0.25">
      <c r="D240" s="100" t="s">
        <v>303</v>
      </c>
      <c r="N240" s="100" t="s">
        <v>306</v>
      </c>
    </row>
    <row r="241" spans="1:21" ht="20.100000000000001" customHeight="1" x14ac:dyDescent="0.25">
      <c r="D241" s="99" t="s">
        <v>304</v>
      </c>
      <c r="N241" s="99" t="s">
        <v>305</v>
      </c>
    </row>
    <row r="242" spans="1:21" ht="20.100000000000001" customHeight="1" x14ac:dyDescent="0.25">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100000000000001" customHeight="1" x14ac:dyDescent="0.25">
      <c r="D243" s="53" t="str">
        <f>INDEX(X_Table_Dairy_ProductionSystems_Method1,3,1)</f>
        <v>Milking shed</v>
      </c>
      <c r="E243" s="53" t="str">
        <f>INDEX(X_Table_Dairy_Stage1MMS_1_AnaerobicLagoon,2,1)</f>
        <v>Anaerobic lagoon</v>
      </c>
      <c r="F243" s="53" cm="1">
        <f t="array" ref="F243">MMS_Dairy_N2ODirect_Equations.VEERG_4_3_1_3__2_TotalNitrogenInEachMMS(D$176+D$213,F231)</f>
        <v>399.24605684746678</v>
      </c>
      <c r="G243" s="53" cm="1">
        <f t="array" ref="G243">MMS_Dairy_N2ODirect_Equations.VEERG_4_3_1_3__2_TotalNitrogenInEachMMS(E$176+E$213,G231)</f>
        <v>182.35790267782079</v>
      </c>
      <c r="H243" s="53" cm="1">
        <f t="array" ref="H243">MMS_Dairy_N2ODirect_Equations.VEERG_4_3_1_3__2_TotalNitrogenInEachMMS(F$176+F$213,H231)</f>
        <v>72.631224123843424</v>
      </c>
      <c r="I243" s="53" cm="1">
        <f t="array" ref="I243">MMS_Dairy_N2ODirect_Equations.VEERG_4_3_1_3__2_TotalNitrogenInEachMMS(G$176+G$213,I231)</f>
        <v>229.23109573986844</v>
      </c>
      <c r="J243" s="53" cm="1">
        <f t="array" ref="J243">MMS_Dairy_N2ODirect_Equations.VEERG_4_3_1_3__2_TotalNitrogenInEachMMS(H$176+H$213,J231)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MMS_Dairy_N2ODirect_Equations.VEERG_4_3_1_3__2_TotalNitrogenInEachMMS(N$176+N$213,P231)</f>
        <v>399.24605684746678</v>
      </c>
      <c r="Q243" s="53" cm="1">
        <f t="array" ref="Q243">MMS_Dairy_N2ODirect_Equations.VEERG_4_3_1_3__2_TotalNitrogenInEachMMS(O$176+O$213,Q231)</f>
        <v>182.35790267782079</v>
      </c>
      <c r="R243" s="53" cm="1">
        <f t="array" ref="R243">MMS_Dairy_N2ODirect_Equations.VEERG_4_3_1_3__2_TotalNitrogenInEachMMS(P$176+P$213,R231)</f>
        <v>72.631224123843424</v>
      </c>
      <c r="S243" s="53" cm="1">
        <f t="array" ref="S243">MMS_Dairy_N2ODirect_Equations.VEERG_4_3_1_3__2_TotalNitrogenInEachMMS(Q$176+Q$213,S231)</f>
        <v>229.23109573986844</v>
      </c>
      <c r="T243" s="53" cm="1">
        <f t="array" ref="T243">MMS_Dairy_N2ODirect_Equations.VEERG_4_3_1_3__2_TotalNitrogenInEachMMS(R$176+R$213,T231)</f>
        <v>95.962857079055411</v>
      </c>
    </row>
    <row r="244" spans="1:21" ht="20.100000000000001" customHeight="1" x14ac:dyDescent="0.25">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MMS_Dairy_N2ODirect_Equations.VEERG_4_3_1_3__2_TotalNitrogenInEachMMS(D$176+D$213,F232)</f>
        <v>399.24605684746678</v>
      </c>
      <c r="G244" s="53" cm="1">
        <f t="array" ref="G244">MMS_Dairy_N2ODirect_Equations.VEERG_4_3_1_3__2_TotalNitrogenInEachMMS(E$176+E$213,G232)</f>
        <v>182.35790267782079</v>
      </c>
      <c r="H244" s="53" cm="1">
        <f t="array" ref="H244">MMS_Dairy_N2ODirect_Equations.VEERG_4_3_1_3__2_TotalNitrogenInEachMMS(F$176+F$213,H232)</f>
        <v>72.631224123843424</v>
      </c>
      <c r="I244" s="53" cm="1">
        <f t="array" ref="I244">MMS_Dairy_N2ODirect_Equations.VEERG_4_3_1_3__2_TotalNitrogenInEachMMS(G$176+G$213,I232)</f>
        <v>229.23109573986844</v>
      </c>
      <c r="J244" s="53" cm="1">
        <f t="array" ref="J244">MMS_Dairy_N2ODirect_Equations.VEERG_4_3_1_3__2_TotalNitrogenInEachMMS(H$176+H$213,J232)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MMS_Dairy_N2ODirect_Equations.VEERG_4_3_1_3__2_TotalNitrogenInEachMMS(N$176+N$213,P232)</f>
        <v>399.24605684746678</v>
      </c>
      <c r="Q244" s="53" cm="1">
        <f t="array" ref="Q244">MMS_Dairy_N2ODirect_Equations.VEERG_4_3_1_3__2_TotalNitrogenInEachMMS(O$176+O$213,Q232)</f>
        <v>182.35790267782079</v>
      </c>
      <c r="R244" s="53" cm="1">
        <f t="array" ref="R244">MMS_Dairy_N2ODirect_Equations.VEERG_4_3_1_3__2_TotalNitrogenInEachMMS(P$176+P$213,R232)</f>
        <v>72.631224123843424</v>
      </c>
      <c r="S244" s="53" cm="1">
        <f t="array" ref="S244">MMS_Dairy_N2ODirect_Equations.VEERG_4_3_1_3__2_TotalNitrogenInEachMMS(Q$176+Q$213,S232)</f>
        <v>229.23109573986844</v>
      </c>
      <c r="T244" s="53" cm="1">
        <f t="array" ref="T244">MMS_Dairy_N2ODirect_Equations.VEERG_4_3_1_3__2_TotalNitrogenInEachMMS(R$176+R$213,T232)</f>
        <v>95.962857079055411</v>
      </c>
    </row>
    <row r="245" spans="1:21" ht="20.100000000000001" customHeight="1" x14ac:dyDescent="0.25">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MMS_Dairy_N2ODirect_Equations.VEERG_4_3_1_3__2_TotalNitrogenInEachMMS(D$176+D$213,F233)</f>
        <v>399.24605684746678</v>
      </c>
      <c r="G245" s="53" cm="1">
        <f t="array" ref="G245">MMS_Dairy_N2ODirect_Equations.VEERG_4_3_1_3__2_TotalNitrogenInEachMMS(E$176+E$213,G233)</f>
        <v>182.35790267782079</v>
      </c>
      <c r="H245" s="53" cm="1">
        <f t="array" ref="H245">MMS_Dairy_N2ODirect_Equations.VEERG_4_3_1_3__2_TotalNitrogenInEachMMS(F$176+F$213,H233)</f>
        <v>72.631224123843424</v>
      </c>
      <c r="I245" s="53" cm="1">
        <f t="array" ref="I245">MMS_Dairy_N2ODirect_Equations.VEERG_4_3_1_3__2_TotalNitrogenInEachMMS(G$176+G$213,I233)</f>
        <v>229.23109573986844</v>
      </c>
      <c r="J245" s="53" cm="1">
        <f t="array" ref="J245">MMS_Dairy_N2ODirect_Equations.VEERG_4_3_1_3__2_TotalNitrogenInEachMMS(H$176+H$213,J233)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MMS_Dairy_N2ODirect_Equations.VEERG_4_3_1_3__2_TotalNitrogenInEachMMS(N$176+N$213,P233)</f>
        <v>399.24605684746678</v>
      </c>
      <c r="Q245" s="53" cm="1">
        <f t="array" ref="Q245">MMS_Dairy_N2ODirect_Equations.VEERG_4_3_1_3__2_TotalNitrogenInEachMMS(O$176+O$213,Q233)</f>
        <v>182.35790267782079</v>
      </c>
      <c r="R245" s="53" cm="1">
        <f t="array" ref="R245">MMS_Dairy_N2ODirect_Equations.VEERG_4_3_1_3__2_TotalNitrogenInEachMMS(P$176+P$213,R233)</f>
        <v>72.631224123843424</v>
      </c>
      <c r="S245" s="53" cm="1">
        <f t="array" ref="S245">MMS_Dairy_N2ODirect_Equations.VEERG_4_3_1_3__2_TotalNitrogenInEachMMS(Q$176+Q$213,S233)</f>
        <v>229.23109573986844</v>
      </c>
      <c r="T245" s="53" cm="1">
        <f t="array" ref="T245">MMS_Dairy_N2ODirect_Equations.VEERG_4_3_1_3__2_TotalNitrogenInEachMMS(R$176+R$213,T233)</f>
        <v>95.962857079055411</v>
      </c>
    </row>
    <row r="246" spans="1:21" ht="20.100000000000001" customHeight="1" x14ac:dyDescent="0.25">
      <c r="D246" s="53" t="str">
        <f>INDEX(X_Table_Dairy_ProductionSystems_Method1,3,1)</f>
        <v>Milking shed</v>
      </c>
      <c r="E246" s="53" t="s">
        <v>400</v>
      </c>
      <c r="F246" s="53" cm="1">
        <f t="array" ref="F246">MMS_Dairy_N2ODirect_Equations.VEERG_4_3_1_3__2_TotalNitrogenInEachMMS(D$176+D$213,F234)</f>
        <v>798.49211369493332</v>
      </c>
      <c r="G246" s="53" cm="1">
        <f t="array" ref="G246">MMS_Dairy_N2ODirect_Equations.VEERG_4_3_1_3__2_TotalNitrogenInEachMMS(E$176+E$213,G234)</f>
        <v>364.71580535564152</v>
      </c>
      <c r="H246" s="53" cm="1">
        <f t="array" ref="H246">MMS_Dairy_N2ODirect_Equations.VEERG_4_3_1_3__2_TotalNitrogenInEachMMS(F$176+F$213,H234)</f>
        <v>145.26244824768682</v>
      </c>
      <c r="I246" s="53" cm="1">
        <f t="array" ref="I246">MMS_Dairy_N2ODirect_Equations.VEERG_4_3_1_3__2_TotalNitrogenInEachMMS(G$176+G$213,I234)</f>
        <v>458.46219147973682</v>
      </c>
      <c r="J246" s="53" cm="1">
        <f t="array" ref="J246">MMS_Dairy_N2ODirect_Equations.VEERG_4_3_1_3__2_TotalNitrogenInEachMMS(H$176+H$213,J234)</f>
        <v>191.92571415811079</v>
      </c>
      <c r="N246" s="53" t="str">
        <f>INDEX(X_Table_Dairy_ProductionSystems_Method1,3,1)</f>
        <v>Milking shed</v>
      </c>
      <c r="O246" s="53" t="s">
        <v>400</v>
      </c>
      <c r="P246" s="53" cm="1">
        <f t="array" ref="P246">MMS_Dairy_N2ODirect_Equations.VEERG_4_3_1_3__2_TotalNitrogenInEachMMS(N$176+N$213,P234)</f>
        <v>798.49211369493332</v>
      </c>
      <c r="Q246" s="53" cm="1">
        <f t="array" ref="Q246">MMS_Dairy_N2ODirect_Equations.VEERG_4_3_1_3__2_TotalNitrogenInEachMMS(O$176+O$213,Q234)</f>
        <v>364.71580535564152</v>
      </c>
      <c r="R246" s="53" cm="1">
        <f t="array" ref="R246">MMS_Dairy_N2ODirect_Equations.VEERG_4_3_1_3__2_TotalNitrogenInEachMMS(P$176+P$213,R234)</f>
        <v>145.26244824768682</v>
      </c>
      <c r="S246" s="53" cm="1">
        <f t="array" ref="S246">MMS_Dairy_N2ODirect_Equations.VEERG_4_3_1_3__2_TotalNitrogenInEachMMS(Q$176+Q$213,S234)</f>
        <v>458.46219147973682</v>
      </c>
      <c r="T246" s="53" cm="1">
        <f t="array" ref="T246">MMS_Dairy_N2ODirect_Equations.VEERG_4_3_1_3__2_TotalNitrogenInEachMMS(R$176+R$213,T234)</f>
        <v>191.92571415811079</v>
      </c>
    </row>
    <row r="247" spans="1:21" ht="20.100000000000001" customHeight="1" x14ac:dyDescent="0.25">
      <c r="D247" s="53" t="str">
        <f>INDEX(X_Table_Dairy_ProductionSystems_Method1,4,1)</f>
        <v>Feed pad</v>
      </c>
      <c r="E247" s="53" t="str">
        <f>INDEX(X_Table_Dairy_Stage1MMS_2_AnaerobicLagoon,2,1)</f>
        <v>Anaerobic lagoon</v>
      </c>
      <c r="F247" s="53" cm="1">
        <f t="array" ref="F247">MMS_Dairy_N2ODirect_Equations.VEERG_4_3_1_3__2_TotalNitrogenInEachMMS(D$176+D$213,F235)</f>
        <v>1615.131775428388</v>
      </c>
      <c r="G247" s="53" cm="1">
        <f t="array" ref="G247">MMS_Dairy_N2ODirect_Equations.VEERG_4_3_1_3__2_TotalNitrogenInEachMMS(E$176+E$213,G235)</f>
        <v>737.72060628754764</v>
      </c>
      <c r="H247" s="53" cm="1">
        <f t="array" ref="H247">MMS_Dairy_N2ODirect_Equations.VEERG_4_3_1_3__2_TotalNitrogenInEachMMS(F$176+F$213,H235)</f>
        <v>293.82631577373019</v>
      </c>
      <c r="I247" s="53" cm="1">
        <f t="array" ref="I247">MMS_Dairy_N2ODirect_Equations.VEERG_4_3_1_3__2_TotalNitrogenInEachMMS(G$176+G$213,I235)</f>
        <v>927.34397822037681</v>
      </c>
      <c r="J247" s="53" cm="1">
        <f t="array" ref="J247">MMS_Dairy_N2ODirect_Equations.VEERG_4_3_1_3__2_TotalNitrogenInEachMMS(H$176+H$213,J235)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MMS_Dairy_N2ODirect_Equations.VEERG_4_3_1_3__2_TotalNitrogenInEachMMS(N$176+N$213,P235)</f>
        <v>1615.131775428388</v>
      </c>
      <c r="Q247" s="53" cm="1">
        <f t="array" ref="Q247">MMS_Dairy_N2ODirect_Equations.VEERG_4_3_1_3__2_TotalNitrogenInEachMMS(O$176+O$213,Q235)</f>
        <v>737.72060628754764</v>
      </c>
      <c r="R247" s="53" cm="1">
        <f t="array" ref="R247">MMS_Dairy_N2ODirect_Equations.VEERG_4_3_1_3__2_TotalNitrogenInEachMMS(P$176+P$213,R235)</f>
        <v>293.82631577373019</v>
      </c>
      <c r="S247" s="53" cm="1">
        <f t="array" ref="S247">MMS_Dairy_N2ODirect_Equations.VEERG_4_3_1_3__2_TotalNitrogenInEachMMS(Q$176+Q$213,S235)</f>
        <v>927.34397822037681</v>
      </c>
      <c r="T247" s="53" cm="1">
        <f t="array" ref="T247">MMS_Dairy_N2ODirect_Equations.VEERG_4_3_1_3__2_TotalNitrogenInEachMMS(R$176+R$213,T235)</f>
        <v>388.21337636526954</v>
      </c>
    </row>
    <row r="248" spans="1:21" ht="20.100000000000001" customHeight="1" x14ac:dyDescent="0.25">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MMS_Dairy_N2ODirect_Equations.VEERG_4_3_1_3__2_TotalNitrogenInEachMMS(D$176+D$213,F236)</f>
        <v>1292.1054203427104</v>
      </c>
      <c r="G248" s="53" cm="1">
        <f t="array" ref="G248">MMS_Dairy_N2ODirect_Equations.VEERG_4_3_1_3__2_TotalNitrogenInEachMMS(E$176+E$213,G236)</f>
        <v>590.17648503003818</v>
      </c>
      <c r="H248" s="53" cm="1">
        <f t="array" ref="H248">MMS_Dairy_N2ODirect_Equations.VEERG_4_3_1_3__2_TotalNitrogenInEachMMS(F$176+F$213,H236)</f>
        <v>235.06105261898415</v>
      </c>
      <c r="I248" s="53" cm="1">
        <f t="array" ref="I248">MMS_Dairy_N2ODirect_Equations.VEERG_4_3_1_3__2_TotalNitrogenInEachMMS(G$176+G$213,I236)</f>
        <v>741.87518257630143</v>
      </c>
      <c r="J248" s="53" cm="1">
        <f t="array" ref="J248">MMS_Dairy_N2ODirect_Equations.VEERG_4_3_1_3__2_TotalNitrogenInEachMMS(H$176+H$213,J236)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MMS_Dairy_N2ODirect_Equations.VEERG_4_3_1_3__2_TotalNitrogenInEachMMS(N$176+N$213,P236)</f>
        <v>1292.1054203427104</v>
      </c>
      <c r="Q248" s="53" cm="1">
        <f t="array" ref="Q248">MMS_Dairy_N2ODirect_Equations.VEERG_4_3_1_3__2_TotalNitrogenInEachMMS(O$176+O$213,Q236)</f>
        <v>590.17648503003818</v>
      </c>
      <c r="R248" s="53" cm="1">
        <f t="array" ref="R248">MMS_Dairy_N2ODirect_Equations.VEERG_4_3_1_3__2_TotalNitrogenInEachMMS(P$176+P$213,R236)</f>
        <v>235.06105261898415</v>
      </c>
      <c r="S248" s="53" cm="1">
        <f t="array" ref="S248">MMS_Dairy_N2ODirect_Equations.VEERG_4_3_1_3__2_TotalNitrogenInEachMMS(Q$176+Q$213,S236)</f>
        <v>741.87518257630143</v>
      </c>
      <c r="T248" s="53" cm="1">
        <f t="array" ref="T248">MMS_Dairy_N2ODirect_Equations.VEERG_4_3_1_3__2_TotalNitrogenInEachMMS(R$176+R$213,T236)</f>
        <v>310.57070109221564</v>
      </c>
    </row>
    <row r="249" spans="1:21" ht="20.100000000000001" customHeight="1" x14ac:dyDescent="0.25">
      <c r="D249" s="53" t="str">
        <f>INDEX(X_Table_Dairy_ProductionSystems_Method1,4,1)</f>
        <v>Feed pad</v>
      </c>
      <c r="E249" s="53" t="str">
        <f>INDEX(X_Table_Dairy_Stage1MMS_2_DrainsToPaddock,2,1)</f>
        <v>Drains to paddock</v>
      </c>
      <c r="F249" s="53" cm="1">
        <f t="array" ref="F249">MMS_Dairy_N2ODirect_Equations.VEERG_4_3_1_3__2_TotalNitrogenInEachMMS(D$176+D$213,F237)</f>
        <v>1292.1054203427104</v>
      </c>
      <c r="G249" s="53" cm="1">
        <f t="array" ref="G249">MMS_Dairy_N2ODirect_Equations.VEERG_4_3_1_3__2_TotalNitrogenInEachMMS(E$176+E$213,G237)</f>
        <v>590.17648503003818</v>
      </c>
      <c r="H249" s="53" cm="1">
        <f t="array" ref="H249">MMS_Dairy_N2ODirect_Equations.VEERG_4_3_1_3__2_TotalNitrogenInEachMMS(F$176+F$213,H237)</f>
        <v>235.06105261898415</v>
      </c>
      <c r="I249" s="53" cm="1">
        <f t="array" ref="I249">MMS_Dairy_N2ODirect_Equations.VEERG_4_3_1_3__2_TotalNitrogenInEachMMS(G$176+G$213,I237)</f>
        <v>741.87518257630143</v>
      </c>
      <c r="J249" s="53" cm="1">
        <f t="array" ref="J249">MMS_Dairy_N2ODirect_Equations.VEERG_4_3_1_3__2_TotalNitrogenInEachMMS(H$176+H$213,J237)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MMS_Dairy_N2ODirect_Equations.VEERG_4_3_1_3__2_TotalNitrogenInEachMMS(N$176+N$213,P237)</f>
        <v>1292.1054203427104</v>
      </c>
      <c r="Q249" s="53" cm="1">
        <f t="array" ref="Q249">MMS_Dairy_N2ODirect_Equations.VEERG_4_3_1_3__2_TotalNitrogenInEachMMS(O$176+O$213,Q237)</f>
        <v>590.17648503003818</v>
      </c>
      <c r="R249" s="53" cm="1">
        <f t="array" ref="R249">MMS_Dairy_N2ODirect_Equations.VEERG_4_3_1_3__2_TotalNitrogenInEachMMS(P$176+P$213,R237)</f>
        <v>235.06105261898415</v>
      </c>
      <c r="S249" s="53" cm="1">
        <f t="array" ref="S249">MMS_Dairy_N2ODirect_Equations.VEERG_4_3_1_3__2_TotalNitrogenInEachMMS(Q$176+Q$213,S237)</f>
        <v>741.87518257630143</v>
      </c>
      <c r="T249" s="53" cm="1">
        <f t="array" ref="T249">MMS_Dairy_N2ODirect_Equations.VEERG_4_3_1_3__2_TotalNitrogenInEachMMS(R$176+R$213,T237)</f>
        <v>310.57070109221564</v>
      </c>
    </row>
    <row r="250" spans="1:21" ht="20.100000000000001" customHeight="1" x14ac:dyDescent="0.25">
      <c r="D250" s="53" t="str">
        <f>INDEX(X_Table_Dairy_ProductionSystems_Method1,4,1)</f>
        <v>Feed pad</v>
      </c>
      <c r="E250" s="53" t="s">
        <v>400</v>
      </c>
      <c r="F250" s="53" cm="1">
        <f t="array" ref="F250">MMS_Dairy_N2ODirect_Equations.VEERG_4_3_1_3__2_TotalNitrogenInEachMMS(D$176+D$213,F238)</f>
        <v>2261.1844855997429</v>
      </c>
      <c r="G250" s="53" cm="1">
        <f t="array" ref="G250">MMS_Dairy_N2ODirect_Equations.VEERG_4_3_1_3__2_TotalNitrogenInEachMMS(E$176+E$213,G238)</f>
        <v>1032.8088488025667</v>
      </c>
      <c r="H250" s="53" cm="1">
        <f t="array" ref="H250">MMS_Dairy_N2ODirect_Equations.VEERG_4_3_1_3__2_TotalNitrogenInEachMMS(F$176+F$213,H238)</f>
        <v>411.35684208322226</v>
      </c>
      <c r="I250" s="53" cm="1">
        <f t="array" ref="I250">MMS_Dairy_N2ODirect_Equations.VEERG_4_3_1_3__2_TotalNitrogenInEachMMS(G$176+G$213,I238)</f>
        <v>1298.2815695085274</v>
      </c>
      <c r="J250" s="53" cm="1">
        <f t="array" ref="J250">MMS_Dairy_N2ODirect_Equations.VEERG_4_3_1_3__2_TotalNitrogenInEachMMS(H$176+H$213,J238)</f>
        <v>543.49872691137739</v>
      </c>
      <c r="N250" s="53" t="str">
        <f>INDEX(X_Table_Dairy_ProductionSystems_Method1,4,1)</f>
        <v>Feed pad</v>
      </c>
      <c r="O250" s="53" t="s">
        <v>400</v>
      </c>
      <c r="P250" s="53" cm="1">
        <f t="array" ref="P250">MMS_Dairy_N2ODirect_Equations.VEERG_4_3_1_3__2_TotalNitrogenInEachMMS(N$176+N$213,P238)</f>
        <v>2261.1844855997429</v>
      </c>
      <c r="Q250" s="53" cm="1">
        <f t="array" ref="Q250">MMS_Dairy_N2ODirect_Equations.VEERG_4_3_1_3__2_TotalNitrogenInEachMMS(O$176+O$213,Q238)</f>
        <v>1032.8088488025667</v>
      </c>
      <c r="R250" s="53" cm="1">
        <f t="array" ref="R250">MMS_Dairy_N2ODirect_Equations.VEERG_4_3_1_3__2_TotalNitrogenInEachMMS(P$176+P$213,R238)</f>
        <v>411.35684208322226</v>
      </c>
      <c r="S250" s="53" cm="1">
        <f t="array" ref="S250">MMS_Dairy_N2ODirect_Equations.VEERG_4_3_1_3__2_TotalNitrogenInEachMMS(Q$176+Q$213,S238)</f>
        <v>1298.2815695085274</v>
      </c>
      <c r="T250" s="53" cm="1">
        <f t="array" ref="T250">MMS_Dairy_N2ODirect_Equations.VEERG_4_3_1_3__2_TotalNitrogenInEachMMS(R$176+R$213,T238)</f>
        <v>543.49872691137739</v>
      </c>
    </row>
    <row r="251" spans="1:21" ht="20.100000000000001" customHeight="1" x14ac:dyDescent="0.25"/>
    <row r="252" spans="1:21" ht="20.100000000000001" customHeight="1" x14ac:dyDescent="0.25"/>
    <row r="253" spans="1:21" ht="20.100000000000001" customHeight="1" x14ac:dyDescent="0.25">
      <c r="C253" s="46"/>
      <c r="D253" s="46"/>
      <c r="E253" s="46"/>
      <c r="F253" s="46"/>
      <c r="G253" s="46"/>
      <c r="H253" s="46"/>
      <c r="I253" s="46"/>
      <c r="J253" s="46"/>
      <c r="K253" s="46"/>
      <c r="M253" s="46"/>
      <c r="N253" s="46"/>
      <c r="O253" s="46"/>
      <c r="P253" s="46"/>
      <c r="Q253" s="46"/>
      <c r="R253" s="46"/>
      <c r="S253" s="46"/>
      <c r="T253" s="46"/>
      <c r="U253" s="46"/>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25</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4" t="s">
        <v>28</v>
      </c>
      <c r="E259" s="1" t="str" cm="1">
        <f t="array" ref="E259">MMS_Dairy_N2ODirect_Equations.VEERG_4_3_1_3__1_TotalAnnualDirectNitrousOxideEmissionsFromMMS_Variable()</f>
        <v>E_N2Odir</v>
      </c>
    </row>
    <row r="260" spans="4:9" ht="20.100000000000001" customHeight="1" x14ac:dyDescent="0.25">
      <c r="D260" s="54" t="s">
        <v>18</v>
      </c>
      <c r="E260" s="5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100000000000001" customHeight="1" x14ac:dyDescent="0.25">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100000000000001" customHeight="1" x14ac:dyDescent="0.25">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0" t="s">
        <v>307</v>
      </c>
    </row>
    <row r="267" spans="4:9" ht="20.100000000000001" customHeight="1" x14ac:dyDescent="0.25">
      <c r="D267" s="99" t="s">
        <v>308</v>
      </c>
    </row>
    <row r="268" spans="4:9" ht="20.100000000000001" customHeight="1" x14ac:dyDescent="0.25">
      <c r="D268" s="52" t="s">
        <v>66</v>
      </c>
      <c r="E268" s="52" t="s">
        <v>309</v>
      </c>
    </row>
    <row r="269" spans="4:9" ht="20.100000000000001" customHeight="1" x14ac:dyDescent="0.25">
      <c r="D269" s="53" t="str" cm="1">
        <f t="array" ref="D269:D273">Table_SourceData_Dairy_EFmFracGASM[NIR reference]</f>
        <v>Pasture range and paddock</v>
      </c>
      <c r="E269" s="53" cm="1">
        <f t="array" ref="E269:E273">Table_SourceData_Dairy_EFmFracGASM[EFm]</f>
        <v>0</v>
      </c>
    </row>
    <row r="270" spans="4:9" ht="20.100000000000001" customHeight="1" x14ac:dyDescent="0.25">
      <c r="D270" s="53" t="str">
        <v>Anaerobic lagoon</v>
      </c>
      <c r="E270" s="53">
        <v>0</v>
      </c>
    </row>
    <row r="271" spans="4:9" ht="20.100000000000001" customHeight="1" x14ac:dyDescent="0.25">
      <c r="D271" s="53" t="str">
        <v>Sump and dispersal system</v>
      </c>
      <c r="E271" s="53">
        <v>0</v>
      </c>
    </row>
    <row r="272" spans="4:9" ht="20.100000000000001" customHeight="1" x14ac:dyDescent="0.25">
      <c r="D272" s="53" t="str">
        <v>Drains to paddock</v>
      </c>
      <c r="E272" s="53">
        <v>0</v>
      </c>
    </row>
    <row r="273" spans="1:20" ht="20.100000000000001" customHeight="1" x14ac:dyDescent="0.25">
      <c r="D273" s="53" t="str">
        <v>Solid storage</v>
      </c>
      <c r="E273" s="53">
        <v>5.0000000000000001E-3</v>
      </c>
    </row>
    <row r="274" spans="1:20" ht="20.100000000000001" customHeight="1" x14ac:dyDescent="0.25"/>
    <row r="275" spans="1:20" ht="20.100000000000001" customHeight="1" x14ac:dyDescent="0.25">
      <c r="D275" s="100" t="s">
        <v>118</v>
      </c>
      <c r="N275" s="100" t="s">
        <v>358</v>
      </c>
    </row>
    <row r="276" spans="1:20" ht="20.100000000000001" customHeight="1" x14ac:dyDescent="0.25">
      <c r="D276" s="99" t="s">
        <v>310</v>
      </c>
      <c r="N276" s="99" t="s">
        <v>459</v>
      </c>
    </row>
    <row r="277" spans="1:20" ht="20.100000000000001" customHeight="1" x14ac:dyDescent="0.25">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100000000000001" customHeight="1" x14ac:dyDescent="0.25">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100000000000001" customHeight="1" x14ac:dyDescent="0.25">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100000000000001" customHeight="1" x14ac:dyDescent="0.25">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100000000000001" customHeight="1" x14ac:dyDescent="0.25">
      <c r="D281" s="53" t="str">
        <f>INDEX(X_Table_Dairy_ProductionSystems_Method1,3,1)</f>
        <v>Milking shed</v>
      </c>
      <c r="E281" s="53" t="s">
        <v>400</v>
      </c>
      <c r="F281" s="53" cm="1">
        <f t="array" ref="F281">MMS_Dairy_N2ODirect_Equations.VEERG_4_3_1_3__1_TotalAnnualDirectNitrousOxideEmissionsFromMMS(F246,$E273,$I$264)</f>
        <v>6.2738666076030481E-3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6.2738666076030481E-3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100000000000001" customHeight="1" x14ac:dyDescent="0.25">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100000000000001" customHeight="1" x14ac:dyDescent="0.25">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100000000000001" customHeight="1" x14ac:dyDescent="0.25">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100000000000001" customHeight="1" x14ac:dyDescent="0.25">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1.7766449529712264E-2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1.7766449529712264E-2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4" t="s">
        <v>117</v>
      </c>
      <c r="E287" s="105">
        <f>SUM(F278:J285)</f>
        <v>5.8975625860183567E-2</v>
      </c>
      <c r="F287" s="106" t="str">
        <f>$E$260</f>
        <v>t N2O</v>
      </c>
      <c r="N287" s="104" t="s">
        <v>117</v>
      </c>
      <c r="O287" s="105">
        <f>SUM(P278:T285)</f>
        <v>5.8975625860183567E-2</v>
      </c>
      <c r="P287" s="106" t="str">
        <f>$E$260</f>
        <v>t N2O</v>
      </c>
    </row>
    <row r="288" spans="1:20" ht="20.100000000000001" customHeight="1" x14ac:dyDescent="0.25"/>
    <row r="289" spans="4:17" ht="20.100000000000001" customHeight="1" x14ac:dyDescent="0.25">
      <c r="D289" s="58" t="str" cm="1">
        <f t="array" ref="D289:E290">Common_Equations.Common_ConvertN2OToCO2e_Arguments()</f>
        <v>EN2O</v>
      </c>
      <c r="E289" s="59" t="str">
        <v>Nitrous oxide emissions (t N2O)</v>
      </c>
      <c r="F289" s="107"/>
      <c r="G289" s="53">
        <f>VEERG_4_3_1_3__1_TotalAnnualDirectNitrousOxideEmissionsFromMMS_Result_Method1</f>
        <v>5.8975625860183567E-2</v>
      </c>
      <c r="N289" s="58" t="str" cm="1">
        <f t="array" ref="N289:O290">Common_Equations.Common_ConvertN2OToCO2e_Arguments()</f>
        <v>EN2O</v>
      </c>
      <c r="O289" s="59" t="str">
        <v>Nitrous oxide emissions (t N2O)</v>
      </c>
      <c r="P289" s="107"/>
      <c r="Q289" s="53">
        <f>VEERG_4_3_1_3__1_TotalAnnualDirectNitrousOxideEmissionsFromMMS_Result_Method2</f>
        <v>5.8975625860183567E-2</v>
      </c>
    </row>
    <row r="290" spans="4:17" ht="20.100000000000001" customHeight="1" x14ac:dyDescent="0.25">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1" spans="4:17" ht="20.100000000000001" customHeight="1" x14ac:dyDescent="0.25"/>
    <row r="292" spans="4:17" ht="18.75" x14ac:dyDescent="0.25">
      <c r="D292" s="46" t="s">
        <v>104</v>
      </c>
      <c r="E292" s="46" cm="1">
        <f t="array" ref="E292">Common_Equations.Common_ConvertN2OToCO2e(G289,G290)</f>
        <v>15.628540852948646</v>
      </c>
      <c r="F292" s="108" t="str" cm="1">
        <f t="array" ref="F292">Common_Equations.Common_ConvertN2OToCO2e_Unit()</f>
        <v>t CO2e</v>
      </c>
      <c r="N292" s="46" t="s">
        <v>104</v>
      </c>
      <c r="O292" s="46" cm="1">
        <f t="array" ref="O292">Common_Equations.Common_ConvertN2OToCO2e(Q289,Q290)</f>
        <v>15.628540852948646</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sheetPr>
    <tabColor rgb="FF008000"/>
  </sheetPr>
  <dimension ref="A1:W165"/>
  <sheetViews>
    <sheetView showGridLines="0" topLeftCell="A50" zoomScaleNormal="100" workbookViewId="0">
      <selection activeCell="E68" sqref="E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D6" s="5" t="str" cm="1">
        <f t="array" ref="D6">MMS_Dairy_AtmosphericDeposition_Equations.VEERG_4_3_1_5__2_TotalNitrogenVolatilisedFromMMS_Source()</f>
        <v>VEERG 2026: 4.3.1.5, Equation (2)</v>
      </c>
    </row>
    <row r="7" spans="1:23" ht="20.100000000000001" customHeight="1" x14ac:dyDescent="0.25">
      <c r="D7" s="13" t="s">
        <v>25</v>
      </c>
      <c r="E7" s="13" t="str" cm="1">
        <f t="array" aca="1" ref="E7" ca="1">Common_InputFunctions.Utility_DisplayFunctionName(F40)</f>
        <v>=MMS_Dairy_AtmosphericDeposition_Equations.VEERG_4_3_1_5__2_TotalNitrogenVolatilisedFromMMS</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MMS_Dairy_AtmosphericDeposition_Equations.VEERG_4_3_1_5__2_TotalNitrogenVolatilisedFromMMS_Variable()</f>
        <v>MN_ATMOS</v>
      </c>
    </row>
    <row r="11" spans="1:23" ht="20.100000000000001" customHeight="1" x14ac:dyDescent="0.25">
      <c r="D11" s="54" t="s">
        <v>18</v>
      </c>
      <c r="E11" s="55" t="str" cm="1">
        <f t="array" ref="E11">MMS_Dairy_AtmosphericDeposition_Equations.VEERG_4_3_1_5__2_TotalNitrogenVolatilisedFromMMS_Unit()</f>
        <v>kg N</v>
      </c>
    </row>
    <row r="12" spans="1:23" ht="20.100000000000001" customHeight="1" x14ac:dyDescent="0.25"/>
    <row r="13" spans="1:23" ht="20.100000000000001" customHeight="1" x14ac:dyDescent="0.25">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100000000000001" customHeight="1" x14ac:dyDescent="0.25">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100000000000001" customHeight="1" x14ac:dyDescent="0.25">
      <c r="A15" s="17" t="str">
        <f>HYPERLINK("#'4.3.1.3-4 Direct N20'!A1", "4.3.1.3-4 Direct N20")</f>
        <v>4.3.1.3-4 Direct N20</v>
      </c>
    </row>
    <row r="16" spans="1:23" ht="20.100000000000001" customHeight="1" x14ac:dyDescent="0.25">
      <c r="A16" s="21" t="str">
        <f>HYPERLINK("#'4.3.1.5 Atmos deposition'!A1", "4.3.1.5 Atmos deposition")</f>
        <v>4.3.1.5 Atmos deposition</v>
      </c>
      <c r="D16" s="100" t="s">
        <v>303</v>
      </c>
      <c r="O16" s="100" t="s">
        <v>306</v>
      </c>
    </row>
    <row r="17" spans="1:22" ht="20.100000000000001" customHeight="1" x14ac:dyDescent="0.25">
      <c r="A17" s="17" t="str">
        <f>HYPERLINK("#'4.3.1.6-7 Leaching and runoff'!A1", "4.3.1.6-7 Leaching and runoff")</f>
        <v>4.3.1.6-7 Leaching and runoff</v>
      </c>
      <c r="D17" s="99" t="s">
        <v>304</v>
      </c>
      <c r="O17" s="99" t="s">
        <v>305</v>
      </c>
    </row>
    <row r="18" spans="1:22"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100000000000001" customHeight="1" x14ac:dyDescent="0.25">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399.24605684746678</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399.24605684746678</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100000000000001" customHeight="1" x14ac:dyDescent="0.25">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399.24605684746678</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399.24605684746678</v>
      </c>
      <c r="R20" s="53">
        <f>INDEX(M2_Table_MN_j_m,3,4)</f>
        <v>182.35790267782079</v>
      </c>
      <c r="S20" s="53">
        <f>INDEX(M2_Table_MN_j_m,3,5)</f>
        <v>72.631224123843424</v>
      </c>
      <c r="T20" s="53">
        <f>INDEX(M2_Table_MN_j_m,3,6)</f>
        <v>229.23109573986844</v>
      </c>
      <c r="U20" s="53">
        <f>INDEX(M2_Table_MN_j_m,3,7)</f>
        <v>95.962857079055411</v>
      </c>
      <c r="V20" s="2"/>
    </row>
    <row r="21" spans="1:22" ht="20.100000000000001" customHeight="1" x14ac:dyDescent="0.25">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399.24605684746678</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399.24605684746678</v>
      </c>
      <c r="R21" s="53">
        <f>INDEX(M2_Table_MN_j_m,4,4)</f>
        <v>182.35790267782079</v>
      </c>
      <c r="S21" s="53">
        <f>INDEX(M2_Table_MN_j_m,4,5)</f>
        <v>72.631224123843424</v>
      </c>
      <c r="T21" s="53">
        <f>INDEX(M2_Table_MN_j_m,4,6)</f>
        <v>229.23109573986844</v>
      </c>
      <c r="U21" s="53">
        <f>INDEX(M2_Table_MN_j_m,4,7)</f>
        <v>95.962857079055411</v>
      </c>
      <c r="V21" s="2"/>
    </row>
    <row r="22" spans="1:22" ht="20.100000000000001" customHeight="1" x14ac:dyDescent="0.25">
      <c r="D22" s="53" t="str">
        <f>INDEX(X_Table_Dairy_ProductionSystems_Method1,3,1)</f>
        <v>Milking shed</v>
      </c>
      <c r="E22" s="53" t="s">
        <v>400</v>
      </c>
      <c r="F22" s="53">
        <f>INDEX(M1_Table_MN_j_m,5,3)</f>
        <v>798.49211369493332</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798.49211369493332</v>
      </c>
      <c r="R22" s="53">
        <f>INDEX(M2_Table_MN_j_m,5,4)</f>
        <v>364.71580535564152</v>
      </c>
      <c r="S22" s="53">
        <f>INDEX(M2_Table_MN_j_m,5,5)</f>
        <v>145.26244824768682</v>
      </c>
      <c r="T22" s="53">
        <f>INDEX(M2_Table_MN_j_m,5,6)</f>
        <v>458.46219147973682</v>
      </c>
      <c r="U22" s="53">
        <f>INDEX(M2_Table_MN_j_m,5,7)</f>
        <v>191.92571415811079</v>
      </c>
      <c r="V22" s="2"/>
    </row>
    <row r="23" spans="1:22" ht="20.100000000000001" customHeight="1" x14ac:dyDescent="0.25">
      <c r="D23" s="53" t="str">
        <f>INDEX(X_Table_Dairy_ProductionSystems_Method1,4,1)</f>
        <v>Feed pad</v>
      </c>
      <c r="E23" s="53" t="str">
        <f>INDEX(X_Table_Dairy_Stage1MMS_2_AnaerobicLagoon,2,1)</f>
        <v>Anaerobic lagoon</v>
      </c>
      <c r="F23" s="53">
        <f>INDEX(M1_Table_MN_j_m,6,3)</f>
        <v>1615.131775428388</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1615.131775428388</v>
      </c>
      <c r="R23" s="53">
        <f>INDEX(M2_Table_MN_j_m,6,4)</f>
        <v>737.72060628754764</v>
      </c>
      <c r="S23" s="53">
        <f>INDEX(M2_Table_MN_j_m,6,5)</f>
        <v>293.82631577373019</v>
      </c>
      <c r="T23" s="53">
        <f>INDEX(M2_Table_MN_j_m,6,6)</f>
        <v>927.34397822037681</v>
      </c>
      <c r="U23" s="53">
        <f>INDEX(M2_Table_MN_j_m,6,7)</f>
        <v>388.21337636526954</v>
      </c>
      <c r="V23" s="2"/>
    </row>
    <row r="24" spans="1:22" ht="20.100000000000001" customHeight="1" x14ac:dyDescent="0.25">
      <c r="A24" s="154" t="s">
        <v>1</v>
      </c>
      <c r="D24" s="53" t="str">
        <f>INDEX(X_Table_Dairy_ProductionSystems_Method1,4,1)</f>
        <v>Feed pad</v>
      </c>
      <c r="E24" s="53" t="str">
        <f>INDEX(X_Table_Dairy_Stage1MMS_2_SumpAndDispersal,2,1)</f>
        <v>Sump and dispersal system</v>
      </c>
      <c r="F24" s="53">
        <f>INDEX(M1_Table_MN_j_m,7,3)</f>
        <v>1292.1054203427104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1292.1054203427104</v>
      </c>
      <c r="R24" s="53">
        <f>INDEX(M2_Table_MN_j_m,7,4)</f>
        <v>590.17648503003818</v>
      </c>
      <c r="S24" s="53">
        <f>INDEX(M2_Table_MN_j_m,7,5)</f>
        <v>235.06105261898415</v>
      </c>
      <c r="T24" s="53">
        <f>INDEX(M2_Table_MN_j_m,7,6)</f>
        <v>741.87518257630143</v>
      </c>
      <c r="U24" s="53">
        <f>INDEX(M2_Table_MN_j_m,7,7)</f>
        <v>310.57070109221564</v>
      </c>
      <c r="V24" s="2"/>
    </row>
    <row r="25" spans="1:22" ht="20.100000000000001" customHeight="1" x14ac:dyDescent="0.25">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1292.1054203427104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1292.1054203427104</v>
      </c>
      <c r="R25" s="53">
        <f>INDEX(M2_Table_MN_j_m,8,4)</f>
        <v>590.17648503003818</v>
      </c>
      <c r="S25" s="53">
        <f>INDEX(M2_Table_MN_j_m,8,5)</f>
        <v>235.06105261898415</v>
      </c>
      <c r="T25" s="53">
        <f>INDEX(M2_Table_MN_j_m,8,6)</f>
        <v>741.87518257630143</v>
      </c>
      <c r="U25" s="53">
        <f>INDEX(M2_Table_MN_j_m,8,7)</f>
        <v>310.57070109221564</v>
      </c>
      <c r="V25" s="2"/>
    </row>
    <row r="26" spans="1:22" ht="20.100000000000001" customHeight="1" x14ac:dyDescent="0.25">
      <c r="A26" s="17" t="str">
        <f>HYPERLINK("#'Constants - Common'!A1", "Constants - Common")</f>
        <v>Constants - Common</v>
      </c>
      <c r="D26" s="53" t="str">
        <f>INDEX(X_Table_Dairy_ProductionSystems_Method1,4,1)</f>
        <v>Feed pad</v>
      </c>
      <c r="E26" s="53" t="s">
        <v>400</v>
      </c>
      <c r="F26" s="53">
        <f>INDEX(M1_Table_MN_j_m,9,3)</f>
        <v>2261.1844855997429</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2261.1844855997429</v>
      </c>
      <c r="R26" s="53">
        <f>INDEX(M2_Table_MN_j_m,9,4)</f>
        <v>1032.8088488025667</v>
      </c>
      <c r="S26" s="53">
        <f>INDEX(M2_Table_MN_j_m,9,5)</f>
        <v>411.35684208322226</v>
      </c>
      <c r="T26" s="53">
        <f>INDEX(M2_Table_MN_j_m,9,6)</f>
        <v>1298.2815695085274</v>
      </c>
      <c r="U26" s="53">
        <f>INDEX(M2_Table_MN_j_m,9,7)</f>
        <v>543.49872691137739</v>
      </c>
      <c r="V26" s="2"/>
    </row>
    <row r="27" spans="1:22" ht="20.100000000000001" customHeight="1" x14ac:dyDescent="0.25">
      <c r="A27" s="17" t="str">
        <f>HYPERLINK("#'Constants - Livestock'!A1", "Constants - Livestock")</f>
        <v>Constants - Livestock</v>
      </c>
    </row>
    <row r="28" spans="1:22" ht="20.100000000000001" customHeight="1" x14ac:dyDescent="0.25">
      <c r="A28" s="17" t="str">
        <f>HYPERLINK("#'Acknowledgements'!A1", "Acknowledgements")</f>
        <v>Acknowledgements</v>
      </c>
      <c r="D28" s="100" t="s">
        <v>313</v>
      </c>
    </row>
    <row r="29" spans="1:22" ht="20.100000000000001" customHeight="1" x14ac:dyDescent="0.25">
      <c r="A29" s="17" t="str">
        <f>HYPERLINK("#'Tab template'!A1", "Tab template")</f>
        <v>Tab template</v>
      </c>
      <c r="D29" s="99" t="s">
        <v>315</v>
      </c>
    </row>
    <row r="30" spans="1:22" ht="20.100000000000001" customHeight="1" x14ac:dyDescent="0.25">
      <c r="D30" s="52" t="s">
        <v>66</v>
      </c>
      <c r="E30" s="52" t="s">
        <v>314</v>
      </c>
    </row>
    <row r="31" spans="1:22" ht="20.100000000000001" customHeight="1" x14ac:dyDescent="0.25">
      <c r="D31" s="53" t="str" cm="1">
        <f t="array" ref="D31:D35">Table_SourceData_Dairy_EFmFracGASM[NIR reference]</f>
        <v>Pasture range and paddock</v>
      </c>
      <c r="E31" s="53" cm="1">
        <f t="array" ref="E31:E35">Table_SourceData_Dairy_EFmFracGASM[FracGASMm]</f>
        <v>0</v>
      </c>
      <c r="F31" s="2" t="str">
        <f>G14</f>
        <v>fraction</v>
      </c>
    </row>
    <row r="32" spans="1:22" ht="20.100000000000001" customHeight="1" x14ac:dyDescent="0.25">
      <c r="D32" s="53" t="str">
        <v>Anaerobic lagoon</v>
      </c>
      <c r="E32" s="53">
        <v>0.35</v>
      </c>
      <c r="F32" s="2"/>
    </row>
    <row r="33" spans="4:22" ht="20.100000000000001" customHeight="1" x14ac:dyDescent="0.25">
      <c r="D33" s="53" t="str">
        <v>Sump and dispersal system</v>
      </c>
      <c r="E33" s="53">
        <v>7.0000000000000007E-2</v>
      </c>
      <c r="F33" s="2"/>
    </row>
    <row r="34" spans="4:22" ht="20.100000000000001" customHeight="1" x14ac:dyDescent="0.25">
      <c r="D34" s="53" t="str">
        <v>Drains to paddock</v>
      </c>
      <c r="E34" s="53">
        <v>0.2</v>
      </c>
      <c r="F34" s="2"/>
    </row>
    <row r="35" spans="4:22" ht="20.100000000000001" customHeight="1" x14ac:dyDescent="0.25">
      <c r="D35" s="53" t="str">
        <v>Solid storage</v>
      </c>
      <c r="E35" s="53">
        <v>0.3</v>
      </c>
      <c r="F35" s="2"/>
    </row>
    <row r="36" spans="4:22" ht="20.100000000000001" customHeight="1" x14ac:dyDescent="0.25"/>
    <row r="37" spans="4:22" ht="20.100000000000001" customHeight="1" x14ac:dyDescent="0.25">
      <c r="D37" s="100" t="s">
        <v>316</v>
      </c>
      <c r="O37" s="100" t="s">
        <v>318</v>
      </c>
    </row>
    <row r="38" spans="4:22" ht="20.100000000000001" customHeight="1" x14ac:dyDescent="0.25">
      <c r="D38" s="99" t="s">
        <v>317</v>
      </c>
      <c r="O38" s="99" t="s">
        <v>319</v>
      </c>
    </row>
    <row r="39" spans="4:22" ht="20.100000000000001" customHeight="1" x14ac:dyDescent="0.25">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139.73611989661336</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139.73611989661336</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100000000000001" customHeight="1" x14ac:dyDescent="0.25">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27.947223979322676</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27.947223979322676</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100000000000001" customHeight="1" x14ac:dyDescent="0.25">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79.849211369493361</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79.849211369493361</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100000000000001" customHeight="1" x14ac:dyDescent="0.25">
      <c r="D43" s="53" t="str">
        <f>INDEX(X_Table_Dairy_ProductionSystems_Method1,3,1)</f>
        <v>Milking shed</v>
      </c>
      <c r="E43" s="53" t="s">
        <v>400</v>
      </c>
      <c r="F43" s="53" cm="1">
        <f t="array" ref="F43">MMS_Dairy_AtmosphericDeposition_Equations.VEERG_4_3_1_5__2_TotalNitrogenVolatilisedFromMMS(F22,$E35)</f>
        <v>239.54763410848</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239.54763410848</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100000000000001" customHeight="1" x14ac:dyDescent="0.25">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565.29612139993571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565.29612139993571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100000000000001" customHeight="1" x14ac:dyDescent="0.25">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90.447379423989744</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90.447379423989744</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100000000000001" customHeight="1" x14ac:dyDescent="0.25">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258.42108406854209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258.42108406854209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100000000000001" customHeight="1" x14ac:dyDescent="0.25">
      <c r="D47" s="53" t="str">
        <f>INDEX(X_Table_Dairy_ProductionSystems_Method1,4,1)</f>
        <v>Feed pad</v>
      </c>
      <c r="E47" s="53" t="s">
        <v>400</v>
      </c>
      <c r="F47" s="53" cm="1">
        <f t="array" ref="F47">MMS_Dairy_AtmosphericDeposition_Equations.VEERG_4_3_1_5__2_TotalNitrogenVolatilisedFromMMS(F26, $E35)</f>
        <v>678.35534567992283</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678.35534567992283</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8" spans="4:22" ht="20.100000000000001" customHeight="1" x14ac:dyDescent="0.25"/>
    <row r="49" spans="3:23" ht="20.100000000000001" customHeight="1" x14ac:dyDescent="0.25">
      <c r="D49" s="114" t="s">
        <v>375</v>
      </c>
      <c r="E49" s="46">
        <f>SUM(F40:J47)</f>
        <v>5101.668293837286</v>
      </c>
      <c r="F49" s="108" t="str">
        <f>$E$11</f>
        <v>kg N</v>
      </c>
      <c r="O49" s="114" t="s">
        <v>375</v>
      </c>
      <c r="P49" s="46">
        <f>SUM(Q40:U47)</f>
        <v>5101.668293837286</v>
      </c>
      <c r="Q49" s="108" t="str">
        <f>$E$11</f>
        <v>kg N</v>
      </c>
    </row>
    <row r="50" spans="3:23" ht="20.100000000000001" customHeight="1" x14ac:dyDescent="0.25"/>
    <row r="51" spans="3:23" ht="20.100000000000001" customHeight="1" x14ac:dyDescent="0.25"/>
    <row r="52" spans="3:23" ht="20.100000000000001" customHeight="1" x14ac:dyDescent="0.25">
      <c r="C52" s="46"/>
      <c r="D52" s="46"/>
      <c r="E52" s="46"/>
      <c r="F52" s="46"/>
      <c r="G52" s="46"/>
      <c r="H52" s="46"/>
      <c r="I52" s="46"/>
      <c r="J52" s="46"/>
      <c r="K52" s="46"/>
      <c r="L52" s="46"/>
      <c r="N52" s="46"/>
      <c r="O52" s="46"/>
      <c r="P52" s="46"/>
      <c r="Q52" s="46"/>
      <c r="R52" s="46"/>
      <c r="S52" s="46"/>
      <c r="T52" s="46"/>
      <c r="U52" s="46"/>
      <c r="V52" s="46"/>
      <c r="W52" s="46"/>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25</v>
      </c>
      <c r="E55" s="13" t="str">
        <f ca="1">Common_InputFunctions.Utility_DisplayFunctionName(VEERG_4_3_1_5__1_AnnualAtmosphericDepositionEmissionsFromMMS_Result_Method1)</f>
        <v>=MMS_Dairy_AtmosphericDeposition_Equations.VEERG_4_3_1_5__1_AnnualAtmosphericDepositionEmissionsFromMMS</v>
      </c>
    </row>
    <row r="56" spans="3:23" ht="20.100000000000001" customHeight="1" x14ac:dyDescent="0.25"/>
    <row r="57" spans="3:23" ht="20.100000000000001" customHeight="1" x14ac:dyDescent="0.25">
      <c r="D57" s="6"/>
      <c r="H57" s="1" t="s">
        <v>416</v>
      </c>
    </row>
    <row r="58" spans="3:23" ht="20.100000000000001" customHeight="1" x14ac:dyDescent="0.25">
      <c r="D58" s="54" t="s">
        <v>28</v>
      </c>
      <c r="E58" s="1" t="str" cm="1">
        <f t="array" ref="E58">MMS_Dairy_AtmosphericDeposition_Equations.VEERG_4_3_1_5__1_AnnualAtmosphericDepositionEmissionsFromMMS_Variable()</f>
        <v>E_N2OMMSad</v>
      </c>
    </row>
    <row r="59" spans="3:23" ht="20.100000000000001" customHeight="1" x14ac:dyDescent="0.25">
      <c r="D59" s="54" t="s">
        <v>18</v>
      </c>
      <c r="E59" s="55"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5101.668293837286</v>
      </c>
      <c r="O61" s="58" t="str">
        <f>D61</f>
        <v>MN_ATMOS</v>
      </c>
      <c r="P61" s="59" t="str">
        <f>E61</f>
        <v>mass of N volatilised from MMS</v>
      </c>
      <c r="Q61" s="60"/>
      <c r="R61" s="58">
        <f>$P$49</f>
        <v>5101.668293837286</v>
      </c>
    </row>
    <row r="62" spans="3:23" ht="20.100000000000001" customHeight="1" x14ac:dyDescent="0.25">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100000000000001" customHeight="1" x14ac:dyDescent="0.25">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100000000000001" customHeight="1" x14ac:dyDescent="0.25">
      <c r="D64" s="133" t="str">
        <v>j</v>
      </c>
      <c r="E64" s="132" t="str">
        <v>production system</v>
      </c>
      <c r="F64" s="134"/>
      <c r="G64" s="133" t="str">
        <v/>
      </c>
      <c r="H64" s="131" t="str">
        <v>Input</v>
      </c>
      <c r="I64" s="133" t="str">
        <f>X_Cell_Dairy_ManureAppliedProductionSystem</f>
        <v>Pasture</v>
      </c>
      <c r="O64" s="58"/>
      <c r="P64" s="59"/>
      <c r="Q64" s="60"/>
      <c r="R64" s="58"/>
    </row>
    <row r="65" spans="4:18" ht="20.100000000000001" customHeight="1" x14ac:dyDescent="0.25">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100000000000001" customHeight="1" x14ac:dyDescent="0.25">
      <c r="D66" s="133" t="str">
        <v>r</v>
      </c>
      <c r="E66" s="132" t="str">
        <v>rainfall region</v>
      </c>
      <c r="F66" s="134"/>
      <c r="G66" s="133" t="str">
        <v/>
      </c>
      <c r="H66" s="131" t="str">
        <v>Input</v>
      </c>
      <c r="I66" s="133" t="str">
        <f>X_Cell_Site_RainfallZone</f>
        <v>High rainfall</v>
      </c>
      <c r="O66" s="58"/>
      <c r="P66" s="59"/>
      <c r="Q66" s="60"/>
      <c r="R66" s="58"/>
    </row>
    <row r="67" spans="4:18" ht="20.100000000000001" customHeight="1" x14ac:dyDescent="0.25"/>
    <row r="68" spans="4:18" ht="20.100000000000001" customHeight="1" x14ac:dyDescent="0.25">
      <c r="D68" s="104" t="s">
        <v>320</v>
      </c>
      <c r="E68" s="105" cm="1">
        <f t="array" ref="E68">MMS_Dairy_AtmosphericDeposition_Equations.VEERG_4_3_1_5__1_AnnualAtmosphericDepositionEmissionsFromMMS($I$61,$I$62,$I$63)</f>
        <v>4.7299753181434263E-2</v>
      </c>
      <c r="F68" s="106" t="str">
        <f>$E$59</f>
        <v>t N2O</v>
      </c>
      <c r="O68" s="104" t="s">
        <v>320</v>
      </c>
      <c r="P68" s="105" cm="1">
        <f t="array" ref="P68">MMS_Dairy_AtmosphericDeposition_Equations.VEERG_4_3_1_5__1_AnnualAtmosphericDepositionEmissionsFromMMS($R$61,$I$62,$I$63)</f>
        <v>4.7299753181434263E-2</v>
      </c>
      <c r="Q68" s="106" t="str">
        <f>$E$59</f>
        <v>t N2O</v>
      </c>
    </row>
    <row r="69" spans="4:18" ht="20.100000000000001" customHeight="1" x14ac:dyDescent="0.25"/>
    <row r="70" spans="4:18" ht="20.100000000000001" customHeight="1" x14ac:dyDescent="0.25">
      <c r="D70" s="58" t="str" cm="1">
        <f t="array" ref="D70:E71">Common_Equations.Common_ConvertN2OToCO2e_Arguments()</f>
        <v>EN2O</v>
      </c>
      <c r="E70" s="59" t="str">
        <v>Nitrous oxide emissions (t N2O)</v>
      </c>
      <c r="F70" s="107"/>
      <c r="G70" s="53">
        <f>VEERG_4_3_1_5__1_AnnualAtmosphericDepositionEmissionsFromMMS_Result_Method1</f>
        <v>4.7299753181434263E-2</v>
      </c>
      <c r="O70" s="58" t="str" cm="1">
        <f t="array" ref="O70:P71">Common_Equations.Common_ConvertN2OToCO2e_Arguments()</f>
        <v>EN2O</v>
      </c>
      <c r="P70" s="59" t="str">
        <v>Nitrous oxide emissions (t N2O)</v>
      </c>
      <c r="Q70" s="107"/>
      <c r="R70" s="53">
        <f>VEERG_4_3_1_5__1_AnnualAtmosphericDepositionEmissionsFromMMS_Result_Method2</f>
        <v>4.7299753181434263E-2</v>
      </c>
    </row>
    <row r="71" spans="4:18" ht="20.100000000000001" customHeight="1" x14ac:dyDescent="0.25">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2" spans="4:18" ht="20.100000000000001" customHeight="1" x14ac:dyDescent="0.25"/>
    <row r="73" spans="4:18" ht="20.100000000000001" customHeight="1" x14ac:dyDescent="0.25">
      <c r="D73" s="46" t="s">
        <v>104</v>
      </c>
      <c r="E73" s="46" cm="1">
        <f t="array" ref="E73">Common_Equations.Common_ConvertN2OToCO2e(G70,G71)</f>
        <v>12.53443459308008</v>
      </c>
      <c r="F73" s="108" t="str" cm="1">
        <f t="array" ref="F73">Common_Equations.Common_ConvertN2OToCO2e_Unit()</f>
        <v>t CO2e</v>
      </c>
      <c r="O73" s="46" t="s">
        <v>104</v>
      </c>
      <c r="P73" s="46" cm="1">
        <f t="array" ref="P73">Common_Equations.Common_ConvertN2OToCO2e(R70,R71)</f>
        <v>12.53443459308008</v>
      </c>
      <c r="Q73" s="10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sheetPr>
    <tabColor rgb="FF008000"/>
  </sheetPr>
  <dimension ref="A1:W165"/>
  <sheetViews>
    <sheetView showGridLines="0" topLeftCell="A4"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5" t="str" cm="1">
        <f t="array" ref="D6">MMS_Dairy_LeachingAndRunoff_Equations.VEERG_4_3_1_6__2_MassOfNitrogenLostToLeachingAndRunoffFromSolidStorage_Source()</f>
        <v>VEERG 2026: 4.3.1.6, Equation (2)</v>
      </c>
    </row>
    <row r="7" spans="1:23" ht="20.100000000000001" customHeight="1" x14ac:dyDescent="0.25">
      <c r="D7" s="13" t="s">
        <v>25</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MMS_Dairy_LeachingAndRunoff_Equations.VEERG_4_3_1_6__2_MassOfNitrogenLostToLeachingAndRunoffFromSolidStorage_Variable()</f>
        <v>MNLeach_jm4</v>
      </c>
    </row>
    <row r="11" spans="1:23" ht="20.100000000000001" customHeight="1" x14ac:dyDescent="0.25">
      <c r="D11" s="54" t="s">
        <v>18</v>
      </c>
      <c r="E11" s="55" t="str" cm="1">
        <f t="array" ref="E11">MMS_Dairy_LeachingAndRunoff_Equations.VEERG_4_3_1_6__2_MassOfNitrogenLostToLeachingAndRunoffFromSolidStorage_Unit()</f>
        <v>kg N</v>
      </c>
    </row>
    <row r="12" spans="1:23" ht="20.100000000000001" customHeight="1" x14ac:dyDescent="0.25"/>
    <row r="13" spans="1:23" ht="20.100000000000001" customHeight="1" x14ac:dyDescent="0.25">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100000000000001" customHeight="1" x14ac:dyDescent="0.25">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100000000000001" customHeight="1" x14ac:dyDescent="0.25">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100000000000001" customHeight="1" x14ac:dyDescent="0.25">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322</v>
      </c>
      <c r="O20" s="100" t="s">
        <v>324</v>
      </c>
    </row>
    <row r="21" spans="1:22" ht="20.100000000000001" customHeight="1" x14ac:dyDescent="0.25">
      <c r="A21" s="17" t="str">
        <f>HYPERLINK("#'4.3.1.12-13 Soil leach runoff'!A1", "4.3.1.12-13 Soil leach runoff")</f>
        <v>4.3.1.12-13 Soil leach runoff</v>
      </c>
      <c r="D21" s="99" t="s">
        <v>323</v>
      </c>
      <c r="O21" s="99" t="s">
        <v>325</v>
      </c>
    </row>
    <row r="22" spans="1:22" ht="20.100000000000001" customHeight="1" x14ac:dyDescent="0.25">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INDEX(X_Table_Dairy_ProductionSystems_Method1,3,1)</f>
        <v>Milking shed</v>
      </c>
      <c r="E23" s="53" t="s">
        <v>400</v>
      </c>
      <c r="F23" s="53">
        <f>INDEX(M1_Table_MN_j_m,5,3)</f>
        <v>798.49211369493332</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798.49211369493332</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100000000000001" customHeight="1" x14ac:dyDescent="0.25">
      <c r="A24" s="154" t="s">
        <v>1</v>
      </c>
      <c r="D24" s="53" t="str">
        <f>INDEX(X_Table_Dairy_ProductionSystems_Method1,4,1)</f>
        <v>Feed pad</v>
      </c>
      <c r="E24" s="53" t="s">
        <v>400</v>
      </c>
      <c r="F24" s="53">
        <f>INDEX(M1_Table_MN_j_m,9,3)</f>
        <v>2261.1844855997429</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2261.1844855997429</v>
      </c>
      <c r="R24" s="53">
        <f>INDEX(M2_Table_MN_j_m,9,4)</f>
        <v>1032.8088488025667</v>
      </c>
      <c r="S24" s="53">
        <f>INDEX(M2_Table_MN_j_m,9,5)</f>
        <v>411.35684208322226</v>
      </c>
      <c r="T24" s="53">
        <f>INDEX(M2_Table_MN_j_m,9,6)</f>
        <v>1298.2815695085274</v>
      </c>
      <c r="U24" s="53">
        <f>INDEX(M2_Table_MN_j_m,9,7)</f>
        <v>543.49872691137739</v>
      </c>
      <c r="V24" s="2"/>
    </row>
    <row r="25" spans="1:22" ht="20.100000000000001" customHeight="1" x14ac:dyDescent="0.25">
      <c r="A25" s="17" t="str">
        <f>HYPERLINK("#'Constants - Dairy'!A1", "Constants - Dairy")</f>
        <v>Constants - Dairy</v>
      </c>
    </row>
    <row r="26" spans="1:22" ht="20.100000000000001" customHeight="1" x14ac:dyDescent="0.25">
      <c r="A26" s="17" t="str">
        <f>HYPERLINK("#'Constants - Common'!A1", "Constants - Common")</f>
        <v>Constants - Common</v>
      </c>
      <c r="D26" s="100" t="s">
        <v>327</v>
      </c>
      <c r="O26" s="100" t="s">
        <v>328</v>
      </c>
    </row>
    <row r="27" spans="1:22" ht="20.100000000000001" customHeight="1" x14ac:dyDescent="0.25">
      <c r="A27" s="17" t="str">
        <f>HYPERLINK("#'Constants - Livestock'!A1", "Constants - Livestock")</f>
        <v>Constants - Livestock</v>
      </c>
      <c r="D27" s="99" t="s">
        <v>326</v>
      </c>
      <c r="O27" s="99" t="s">
        <v>329</v>
      </c>
    </row>
    <row r="28" spans="1:22" ht="20.100000000000001" customHeight="1" x14ac:dyDescent="0.25">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100000000000001" customHeight="1" x14ac:dyDescent="0.25">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15.969842273898667</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15.969842273898667</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100000000000001" customHeight="1" x14ac:dyDescent="0.25">
      <c r="D30" s="53" t="str">
        <f>INDEX(X_Table_Dairy_ProductionSystems_Method1,4,1)</f>
        <v>Feed pad</v>
      </c>
      <c r="E30" s="53" t="s">
        <v>400</v>
      </c>
      <c r="F30" s="53" cm="1">
        <f t="array" ref="F30">MMS_Dairy_LeachingAndRunoff_Equations.VEERG_4_3_1_6__2_MassOfNitrogenLostToLeachingAndRunoffFromSolidStorage(F24,$J$14,$J$15)</f>
        <v>45.223689711994858</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45.223689711994858</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6"/>
      <c r="D33" s="46"/>
      <c r="E33" s="46"/>
      <c r="F33" s="46"/>
      <c r="G33" s="46"/>
      <c r="H33" s="46"/>
      <c r="I33" s="46"/>
      <c r="J33" s="46"/>
      <c r="K33" s="46"/>
      <c r="L33" s="46"/>
      <c r="N33" s="46"/>
      <c r="O33" s="46"/>
      <c r="P33" s="46"/>
      <c r="Q33" s="46"/>
      <c r="R33" s="46"/>
      <c r="S33" s="46"/>
      <c r="T33" s="46"/>
      <c r="U33" s="46"/>
      <c r="V33" s="46"/>
      <c r="W33" s="46"/>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25</v>
      </c>
      <c r="E36" s="13" t="str" cm="1">
        <f t="array" aca="1" ref="E36" ca="1">Common_InputFunctions.Utility_DisplayFunctionName(J49)</f>
        <v>=MMS_Dairy_LeachingAndRunoff_Equations.VEERG_4_3_1_6__1_AnnualEmissionsFromLeachingAndRunoffFromMMS</v>
      </c>
    </row>
    <row r="37" spans="3:23" ht="20.100000000000001" customHeight="1" x14ac:dyDescent="0.25"/>
    <row r="38" spans="3:23" ht="20.100000000000001" customHeight="1" x14ac:dyDescent="0.25">
      <c r="D38" s="6"/>
    </row>
    <row r="39" spans="3:23" ht="20.100000000000001" customHeight="1" x14ac:dyDescent="0.25">
      <c r="D39" s="54" t="s">
        <v>28</v>
      </c>
      <c r="E39" s="1" t="str" cm="1">
        <f t="array" ref="E39">MMS_Dairy_LeachingAndRunoff_Equations.VEERG_4_3_1_6__1_AnnualEmissionsFromLeachingAndRunoffFromMMS_Variable()</f>
        <v>E_N2Oleach</v>
      </c>
    </row>
    <row r="40" spans="3:23" ht="20.100000000000001" customHeight="1" x14ac:dyDescent="0.25">
      <c r="D40" s="54" t="s">
        <v>18</v>
      </c>
      <c r="E40" s="55"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100000000000001" customHeight="1" x14ac:dyDescent="0.25">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100000000000001" customHeight="1" x14ac:dyDescent="0.25">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0" t="s">
        <v>330</v>
      </c>
      <c r="O46" s="100" t="s">
        <v>332</v>
      </c>
    </row>
    <row r="47" spans="3:23" ht="20.100000000000001" customHeight="1" x14ac:dyDescent="0.25">
      <c r="D47" s="99" t="s">
        <v>331</v>
      </c>
      <c r="O47" s="99" t="s">
        <v>333</v>
      </c>
    </row>
    <row r="48" spans="3:23" ht="20.100000000000001" customHeight="1" x14ac:dyDescent="0.25">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100000000000001" customHeight="1" x14ac:dyDescent="0.25">
      <c r="D49" s="53" t="str">
        <f>INDEX(X_Table_Dairy_ProductionSystems_Method1,3,1)</f>
        <v>Milking shed</v>
      </c>
      <c r="E49" s="53" t="s">
        <v>400</v>
      </c>
      <c r="F49" s="53" cm="1">
        <f t="array" ref="F49">MMS_Dairy_LeachingAndRunoff_Equations.VEERG_4_3_1_6__1_AnnualEmissionsFromLeachingAndRunoffFromMMS(F29,$I$43,$I$44)</f>
        <v>2.7605013073453405E-4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2.7605013073453405E-4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100000000000001" customHeight="1" x14ac:dyDescent="0.25">
      <c r="D50" s="53" t="str">
        <f>INDEX(X_Table_Dairy_ProductionSystems_Method1,4,1)</f>
        <v>Feed pad</v>
      </c>
      <c r="E50" s="53" t="s">
        <v>400</v>
      </c>
      <c r="F50" s="53" cm="1">
        <f t="array" ref="F50">MMS_Dairy_LeachingAndRunoff_Equations.VEERG_4_3_1_6__1_AnnualEmissionsFromLeachingAndRunoffFromMMS(F30,$I$43,$I$44)</f>
        <v>7.8172377930733959E-4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7.8172377930733959E-4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1" spans="4:22" ht="20.100000000000001" customHeight="1" x14ac:dyDescent="0.25"/>
    <row r="52" spans="4:22" ht="20.100000000000001" customHeight="1" x14ac:dyDescent="0.25">
      <c r="D52" s="104" t="s">
        <v>320</v>
      </c>
      <c r="E52" s="105">
        <f>SUM(F49:J50)</f>
        <v>2.5949275378480772E-3</v>
      </c>
      <c r="F52" s="106" t="str">
        <f>$E$40</f>
        <v>t N2O</v>
      </c>
      <c r="O52" s="104" t="s">
        <v>320</v>
      </c>
      <c r="P52" s="105">
        <f>SUM(Q49:U50)</f>
        <v>2.5949275378480772E-3</v>
      </c>
      <c r="Q52" s="106" t="str">
        <f>$E$40</f>
        <v>t N2O</v>
      </c>
    </row>
    <row r="53" spans="4:22" ht="20.100000000000001" customHeight="1" x14ac:dyDescent="0.25"/>
    <row r="54" spans="4:22" ht="20.100000000000001" customHeight="1" x14ac:dyDescent="0.25">
      <c r="D54" s="58" t="str" cm="1">
        <f t="array" ref="D54:E55">Common_Equations.Common_ConvertN2OToCO2e_Arguments()</f>
        <v>EN2O</v>
      </c>
      <c r="E54" s="59" t="str">
        <v>Nitrous oxide emissions (t N2O)</v>
      </c>
      <c r="F54" s="107"/>
      <c r="G54" s="53">
        <f>VEERG_4_3_1_6__1_AnnualEmissionsFromLeachingAndRunoffFromMMS_Result_Method1</f>
        <v>2.5949275378480772E-3</v>
      </c>
      <c r="O54" s="58" t="str" cm="1">
        <f t="array" ref="O54:P55">Common_Equations.Common_ConvertN2OToCO2e_Arguments()</f>
        <v>EN2O</v>
      </c>
      <c r="P54" s="59" t="str">
        <v>Nitrous oxide emissions (t N2O)</v>
      </c>
      <c r="Q54" s="107"/>
      <c r="R54" s="53">
        <f>VEERG_4_3_1_6__1_AnnualEmissionsFromLeachingAndRunoffFromMMS_Result_Method2</f>
        <v>2.5949275378480772E-3</v>
      </c>
    </row>
    <row r="55" spans="4:22" ht="20.100000000000001" customHeight="1" x14ac:dyDescent="0.25">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6" spans="4:22" ht="20.100000000000001" customHeight="1" x14ac:dyDescent="0.25"/>
    <row r="57" spans="4:22" ht="20.100000000000001" customHeight="1" x14ac:dyDescent="0.25">
      <c r="D57" s="46" t="s">
        <v>104</v>
      </c>
      <c r="E57" s="46" cm="1">
        <f t="array" ref="E57">Common_Equations.Common_ConvertN2OToCO2e(G54,G55)</f>
        <v>0.68765579752974049</v>
      </c>
      <c r="F57" s="108" t="str" cm="1">
        <f t="array" ref="F57">Common_Equations.Common_ConvertN2OToCO2e_Unit()</f>
        <v>t CO2e</v>
      </c>
      <c r="O57" s="46" t="s">
        <v>104</v>
      </c>
      <c r="P57" s="46" cm="1">
        <f t="array" ref="P57">Common_Equations.Common_ConvertN2OToCO2e(R54,R55)</f>
        <v>0.68765579752974049</v>
      </c>
      <c r="Q57" s="108"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sheetPr>
    <tabColor rgb="FF008000"/>
  </sheetPr>
  <dimension ref="A1:W207"/>
  <sheetViews>
    <sheetView showGridLines="0" topLeftCell="B53"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100000000000001" customHeight="1" x14ac:dyDescent="0.25">
      <c r="A2"/>
      <c r="M2" s="128"/>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D6" s="5" t="str" cm="1">
        <f t="array" ref="D6">MMS_Dairy_ManureAppliedToSoils_Equations.VEERG_4_3_1_8__1_MassOfNitrogenAppliedToSoilsScope1_Source()</f>
        <v>VEERG 2026: 4.3.1.8, Equation (1)</v>
      </c>
    </row>
    <row r="7" spans="1:23" ht="20.100000000000001" customHeight="1" x14ac:dyDescent="0.25">
      <c r="D7" s="13" t="s">
        <v>25</v>
      </c>
      <c r="E7" s="13" t="str" cm="1">
        <f t="array" aca="1" ref="E7" ca="1">Common_InputFunctions.Utility_DisplayFunctionName($F$76)</f>
        <v>=MMS_Dairy_ManureAppliedToSoils_Equations.VEERG_4_3_1_8__1_MassOfNitrogenAppliedToSoilsScope1</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MMS_Dairy_ManureAppliedToSoils_Equations.VEERG_4_3_1_8__1_MassOfNitrogenAppliedToSoilsScope1_Variable()</f>
        <v>MNSoil_scope1</v>
      </c>
    </row>
    <row r="11" spans="1:23" ht="20.100000000000001" customHeight="1" x14ac:dyDescent="0.25">
      <c r="D11" s="54" t="s">
        <v>18</v>
      </c>
      <c r="E11" s="55" t="str" cm="1">
        <f t="array" ref="E11">MMS_Dairy_ManureAppliedToSoils_Equations.VEERG_4_3_1_8__1_MassOfNitrogenAppliedToSoilsScope1_Unit()</f>
        <v>kg N</v>
      </c>
    </row>
    <row r="12" spans="1:23" ht="20.100000000000001" customHeight="1" x14ac:dyDescent="0.25"/>
    <row r="13" spans="1:23" ht="20.100000000000001" customHeight="1" x14ac:dyDescent="0.25">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100000000000001" customHeight="1" x14ac:dyDescent="0.25">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100000000000001" customHeight="1" x14ac:dyDescent="0.25">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100000000000001" customHeight="1" x14ac:dyDescent="0.25">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100000000000001" customHeight="1" x14ac:dyDescent="0.25">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100000000000001" customHeight="1" x14ac:dyDescent="0.25">
      <c r="A18" s="21" t="str">
        <f>HYPERLINK("#'4.3.1.8 Manure applied to soils'!A1", "4.3.1.8 Manure applied to soils")</f>
        <v>4.3.1.8 Manure applied to soils</v>
      </c>
    </row>
    <row r="19" spans="1:9" ht="20.100000000000001" customHeight="1" x14ac:dyDescent="0.25">
      <c r="A19" s="17" t="str">
        <f>HYPERLINK("#'4.3.1.9 Soil direct N2O'!A1", "4.3.1.9 Soil direct N2O")</f>
        <v>4.3.1.9 Soil direct N2O</v>
      </c>
      <c r="D19" s="100" t="s">
        <v>307</v>
      </c>
    </row>
    <row r="20" spans="1:9" ht="20.100000000000001" customHeight="1" x14ac:dyDescent="0.25">
      <c r="A20" s="17" t="str">
        <f>HYPERLINK("#'4.3.1.10-11 Soil Atmos Dep'!A1", "4.3.1.10-11 Soil Atmos Dep")</f>
        <v>4.3.1.10-11 Soil Atmos Dep</v>
      </c>
      <c r="D20" s="99" t="s">
        <v>308</v>
      </c>
    </row>
    <row r="21" spans="1:9" ht="20.100000000000001" customHeight="1" x14ac:dyDescent="0.25">
      <c r="A21" s="17" t="str">
        <f>HYPERLINK("#'4.3.1.12-13 Soil leach runoff'!A1", "4.3.1.12-13 Soil leach runoff")</f>
        <v>4.3.1.12-13 Soil leach runoff</v>
      </c>
      <c r="D21" s="52" t="s">
        <v>66</v>
      </c>
      <c r="E21" s="52" t="s">
        <v>309</v>
      </c>
    </row>
    <row r="22" spans="1:9" ht="20.100000000000001" customHeight="1" x14ac:dyDescent="0.25">
      <c r="D22" s="53" t="str" cm="1">
        <f t="array" ref="D22:D26">Table_SourceData_Dairy_EFmFracGASM[NIR reference]</f>
        <v>Pasture range and paddock</v>
      </c>
      <c r="E22" s="53" cm="1">
        <f t="array" ref="E22:E26">Table_SourceData_Dairy_EFmFracGASM[EFm]</f>
        <v>0</v>
      </c>
    </row>
    <row r="23" spans="1:9" ht="20.100000000000001" customHeight="1" x14ac:dyDescent="0.25">
      <c r="D23" s="53" t="str">
        <v>Anaerobic lagoon</v>
      </c>
      <c r="E23" s="53">
        <v>0</v>
      </c>
    </row>
    <row r="24" spans="1:9" ht="20.100000000000001" customHeight="1" x14ac:dyDescent="0.25">
      <c r="A24" s="154" t="s">
        <v>1</v>
      </c>
      <c r="D24" s="53" t="str">
        <v>Sump and dispersal system</v>
      </c>
      <c r="E24" s="53">
        <v>0</v>
      </c>
    </row>
    <row r="25" spans="1:9" ht="20.100000000000001" customHeight="1" x14ac:dyDescent="0.25">
      <c r="A25" s="17" t="str">
        <f>HYPERLINK("#'Constants - Dairy'!A1", "Constants - Dairy")</f>
        <v>Constants - Dairy</v>
      </c>
      <c r="D25" s="53" t="str">
        <v>Drains to paddock</v>
      </c>
      <c r="E25" s="53">
        <v>0</v>
      </c>
    </row>
    <row r="26" spans="1:9" ht="20.100000000000001" customHeight="1" x14ac:dyDescent="0.25">
      <c r="A26" s="17" t="str">
        <f>HYPERLINK("#'Constants - Common'!A1", "Constants - Common")</f>
        <v>Constants - Common</v>
      </c>
      <c r="D26" s="53" t="str">
        <v>Solid storage</v>
      </c>
      <c r="E26" s="53">
        <v>5.0000000000000001E-3</v>
      </c>
    </row>
    <row r="27" spans="1:9" ht="20.100000000000001" customHeight="1" x14ac:dyDescent="0.25">
      <c r="A27" s="17" t="str">
        <f>HYPERLINK("#'Constants - Livestock'!A1", "Constants - Livestock")</f>
        <v>Constants - Livestock</v>
      </c>
    </row>
    <row r="28" spans="1:9" ht="20.100000000000001" customHeight="1" x14ac:dyDescent="0.25">
      <c r="A28" s="17" t="str">
        <f>HYPERLINK("#'Acknowledgements'!A1", "Acknowledgements")</f>
        <v>Acknowledgements</v>
      </c>
      <c r="D28" s="100" t="s">
        <v>313</v>
      </c>
    </row>
    <row r="29" spans="1:9" ht="20.100000000000001" customHeight="1" x14ac:dyDescent="0.25">
      <c r="A29" s="17" t="str">
        <f>HYPERLINK("#'Tab template'!A1", "Tab template")</f>
        <v>Tab template</v>
      </c>
      <c r="D29" s="99" t="s">
        <v>315</v>
      </c>
    </row>
    <row r="30" spans="1:9" ht="20.100000000000001" customHeight="1" x14ac:dyDescent="0.25">
      <c r="D30" s="52" t="s">
        <v>66</v>
      </c>
      <c r="E30" s="52" t="s">
        <v>314</v>
      </c>
    </row>
    <row r="31" spans="1:9" ht="20.100000000000001" customHeight="1" x14ac:dyDescent="0.25">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100000000000001" customHeight="1" x14ac:dyDescent="0.25">
      <c r="D32" s="53" t="str">
        <v>Anaerobic lagoon</v>
      </c>
      <c r="E32" s="53">
        <v>0.35</v>
      </c>
      <c r="F32" s="2" t="str">
        <f>'Constants - Dairy'!$D$84</f>
        <v>kg N2O-N/kg N excreted</v>
      </c>
    </row>
    <row r="33" spans="4:22" ht="20.100000000000001" customHeight="1" x14ac:dyDescent="0.25">
      <c r="D33" s="53" t="str">
        <v>Sump and dispersal system</v>
      </c>
      <c r="E33" s="53">
        <v>7.0000000000000007E-2</v>
      </c>
      <c r="F33" s="2" t="str">
        <f>'Constants - Dairy'!$D$84</f>
        <v>kg N2O-N/kg N excreted</v>
      </c>
    </row>
    <row r="34" spans="4:22" ht="20.100000000000001" customHeight="1" x14ac:dyDescent="0.25">
      <c r="D34" s="53" t="str">
        <v>Drains to paddock</v>
      </c>
      <c r="E34" s="53">
        <v>0.2</v>
      </c>
      <c r="F34" s="2" t="str">
        <f>'Constants - Dairy'!$D$84</f>
        <v>kg N2O-N/kg N excreted</v>
      </c>
    </row>
    <row r="35" spans="4:22" ht="20.100000000000001" customHeight="1" x14ac:dyDescent="0.25">
      <c r="D35" s="53" t="str">
        <v>Solid storage</v>
      </c>
      <c r="E35" s="53">
        <v>0.3</v>
      </c>
      <c r="F35" s="2" t="str">
        <f>'Constants - Dairy'!$D$84</f>
        <v>kg N2O-N/kg N excreted</v>
      </c>
    </row>
    <row r="36" spans="4:22" ht="20.100000000000001" customHeight="1" x14ac:dyDescent="0.25"/>
    <row r="37" spans="4:22" ht="20.100000000000001" customHeight="1" x14ac:dyDescent="0.25">
      <c r="D37" s="100" t="s">
        <v>303</v>
      </c>
      <c r="M37"/>
      <c r="O37" s="100" t="s">
        <v>306</v>
      </c>
    </row>
    <row r="38" spans="4:22" ht="20.100000000000001" customHeight="1" x14ac:dyDescent="0.25">
      <c r="D38" s="99" t="s">
        <v>304</v>
      </c>
      <c r="M38"/>
      <c r="O38" s="99" t="s">
        <v>305</v>
      </c>
    </row>
    <row r="39" spans="4:22" ht="20.100000000000001" customHeight="1" x14ac:dyDescent="0.25">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f>INDEX(M1_Table_MN_j_m,2,3)</f>
        <v>399.24605684746678</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399.24605684746678</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100000000000001" customHeight="1" x14ac:dyDescent="0.25">
      <c r="D41" s="53" t="str">
        <f>INDEX(X_Table_Dairy_ProductionSystems_Method1,3,1)</f>
        <v>Milking shed</v>
      </c>
      <c r="E41" s="53" t="str">
        <f>INDEX(X_Table_Dairy_Stage1MMS_1_SumpAndDispersal,2,1)</f>
        <v>Sump and dispersal system</v>
      </c>
      <c r="F41" s="53">
        <f>INDEX(M1_Table_MN_j_m,3,3)</f>
        <v>399.24605684746678</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399.24605684746678</v>
      </c>
      <c r="R41" s="53">
        <f>INDEX(M2_Table_MN_j_m,3,4)</f>
        <v>182.35790267782079</v>
      </c>
      <c r="S41" s="53">
        <f>INDEX(M2_Table_MN_j_m,3,5)</f>
        <v>72.631224123843424</v>
      </c>
      <c r="T41" s="53">
        <f>INDEX(M2_Table_MN_j_m,3,6)</f>
        <v>229.23109573986844</v>
      </c>
      <c r="U41" s="53">
        <f>INDEX(M2_Table_MN_j_m,3,7)</f>
        <v>95.962857079055411</v>
      </c>
      <c r="V41" s="2"/>
    </row>
    <row r="42" spans="4:22" ht="20.100000000000001" customHeight="1" x14ac:dyDescent="0.25">
      <c r="D42" s="53" t="str">
        <f>INDEX(X_Table_Dairy_ProductionSystems_Method1,3,1)</f>
        <v>Milking shed</v>
      </c>
      <c r="E42" s="53" t="str">
        <f>INDEX(X_Table_Dairy_Stage1MMS_1_DrainsToPaddock,2,1)</f>
        <v>Drains to paddock</v>
      </c>
      <c r="F42" s="53">
        <f>INDEX(M1_Table_MN_j_m,4,3)</f>
        <v>399.24605684746678</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399.24605684746678</v>
      </c>
      <c r="R42" s="53">
        <f>INDEX(M2_Table_MN_j_m,4,4)</f>
        <v>182.35790267782079</v>
      </c>
      <c r="S42" s="53">
        <f>INDEX(M2_Table_MN_j_m,4,5)</f>
        <v>72.631224123843424</v>
      </c>
      <c r="T42" s="53">
        <f>INDEX(M2_Table_MN_j_m,4,6)</f>
        <v>229.23109573986844</v>
      </c>
      <c r="U42" s="53">
        <f>INDEX(M2_Table_MN_j_m,4,7)</f>
        <v>95.962857079055411</v>
      </c>
      <c r="V42" s="2"/>
    </row>
    <row r="43" spans="4:22" ht="20.100000000000001" customHeight="1" x14ac:dyDescent="0.25">
      <c r="D43" s="53" t="str">
        <f>INDEX(X_Table_Dairy_ProductionSystems_Method1,3,1)</f>
        <v>Milking shed</v>
      </c>
      <c r="E43" s="53" t="s">
        <v>400</v>
      </c>
      <c r="F43" s="53">
        <f>INDEX(M1_Table_MN_j_m,5,3)</f>
        <v>798.49211369493332</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798.49211369493332</v>
      </c>
      <c r="R43" s="53">
        <f>INDEX(M2_Table_MN_j_m,5,4)</f>
        <v>364.71580535564152</v>
      </c>
      <c r="S43" s="53">
        <f>INDEX(M2_Table_MN_j_m,5,5)</f>
        <v>145.26244824768682</v>
      </c>
      <c r="T43" s="53">
        <f>INDEX(M2_Table_MN_j_m,5,6)</f>
        <v>458.46219147973682</v>
      </c>
      <c r="U43" s="53">
        <f>INDEX(M2_Table_MN_j_m,5,7)</f>
        <v>191.92571415811079</v>
      </c>
      <c r="V43" s="2"/>
    </row>
    <row r="44" spans="4:22" ht="20.100000000000001" customHeight="1" x14ac:dyDescent="0.25">
      <c r="D44" s="53" t="str">
        <f>INDEX(X_Table_Dairy_ProductionSystems_Method1,4,1)</f>
        <v>Feed pad</v>
      </c>
      <c r="E44" s="53" t="str">
        <f>INDEX(X_Table_Dairy_Stage1MMS_2_AnaerobicLagoon,2,1)</f>
        <v>Anaerobic lagoon</v>
      </c>
      <c r="F44" s="53">
        <f>INDEX(M1_Table_MN_j_m,6,3)</f>
        <v>1615.131775428388</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1615.131775428388</v>
      </c>
      <c r="R44" s="53">
        <f>INDEX(M2_Table_MN_j_m,6,4)</f>
        <v>737.72060628754764</v>
      </c>
      <c r="S44" s="53">
        <f>INDEX(M2_Table_MN_j_m,6,5)</f>
        <v>293.82631577373019</v>
      </c>
      <c r="T44" s="53">
        <f>INDEX(M2_Table_MN_j_m,6,6)</f>
        <v>927.34397822037681</v>
      </c>
      <c r="U44" s="53">
        <f>INDEX(M2_Table_MN_j_m,6,7)</f>
        <v>388.21337636526954</v>
      </c>
      <c r="V44" s="2"/>
    </row>
    <row r="45" spans="4:22" ht="20.100000000000001" customHeight="1" x14ac:dyDescent="0.25">
      <c r="D45" s="53" t="str">
        <f>INDEX(X_Table_Dairy_ProductionSystems_Method1,4,1)</f>
        <v>Feed pad</v>
      </c>
      <c r="E45" s="53" t="str">
        <f>INDEX(X_Table_Dairy_Stage1MMS_2_SumpAndDispersal,2,1)</f>
        <v>Sump and dispersal system</v>
      </c>
      <c r="F45" s="53">
        <f>INDEX(M1_Table_MN_j_m,7,3)</f>
        <v>1292.1054203427104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1292.1054203427104</v>
      </c>
      <c r="R45" s="53">
        <f>INDEX(M2_Table_MN_j_m,7,4)</f>
        <v>590.17648503003818</v>
      </c>
      <c r="S45" s="53">
        <f>INDEX(M2_Table_MN_j_m,7,5)</f>
        <v>235.06105261898415</v>
      </c>
      <c r="T45" s="53">
        <f>INDEX(M2_Table_MN_j_m,7,6)</f>
        <v>741.87518257630143</v>
      </c>
      <c r="U45" s="53">
        <f>INDEX(M2_Table_MN_j_m,7,7)</f>
        <v>310.57070109221564</v>
      </c>
      <c r="V45" s="2"/>
    </row>
    <row r="46" spans="4:22" ht="20.100000000000001" customHeight="1" x14ac:dyDescent="0.25">
      <c r="D46" s="53" t="str">
        <f>INDEX(X_Table_Dairy_ProductionSystems_Method1,4,1)</f>
        <v>Feed pad</v>
      </c>
      <c r="E46" s="53" t="str">
        <f>INDEX(X_Table_Dairy_Stage1MMS_2_DrainsToPaddock,2,1)</f>
        <v>Drains to paddock</v>
      </c>
      <c r="F46" s="53">
        <f>INDEX(M1_Table_MN_j_m,8,3)</f>
        <v>1292.1054203427104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1292.1054203427104</v>
      </c>
      <c r="R46" s="53">
        <f>INDEX(M2_Table_MN_j_m,8,4)</f>
        <v>590.17648503003818</v>
      </c>
      <c r="S46" s="53">
        <f>INDEX(M2_Table_MN_j_m,8,5)</f>
        <v>235.06105261898415</v>
      </c>
      <c r="T46" s="53">
        <f>INDEX(M2_Table_MN_j_m,8,6)</f>
        <v>741.87518257630143</v>
      </c>
      <c r="U46" s="53">
        <f>INDEX(M2_Table_MN_j_m,8,7)</f>
        <v>310.57070109221564</v>
      </c>
      <c r="V46" s="2"/>
    </row>
    <row r="47" spans="4:22" ht="20.100000000000001" customHeight="1" x14ac:dyDescent="0.25">
      <c r="D47" s="53" t="str">
        <f>INDEX(X_Table_Dairy_ProductionSystems_Method1,4,1)</f>
        <v>Feed pad</v>
      </c>
      <c r="E47" s="53" t="s">
        <v>400</v>
      </c>
      <c r="F47" s="53">
        <f>INDEX(M1_Table_MN_j_m,9,3)</f>
        <v>2261.1844855997429</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2261.1844855997429</v>
      </c>
      <c r="R47" s="53">
        <f>INDEX(M2_Table_MN_j_m,9,4)</f>
        <v>1032.8088488025667</v>
      </c>
      <c r="S47" s="53">
        <f>INDEX(M2_Table_MN_j_m,9,5)</f>
        <v>411.35684208322226</v>
      </c>
      <c r="T47" s="53">
        <f>INDEX(M2_Table_MN_j_m,9,6)</f>
        <v>1298.2815695085274</v>
      </c>
      <c r="U47" s="53">
        <f>INDEX(M2_Table_MN_j_m,9,7)</f>
        <v>543.49872691137739</v>
      </c>
      <c r="V47" s="2"/>
    </row>
    <row r="48" spans="4:22" ht="20.100000000000001" customHeight="1" x14ac:dyDescent="0.25"/>
    <row r="49" spans="4:22" ht="20.100000000000001" customHeight="1" x14ac:dyDescent="0.25">
      <c r="D49" s="100" t="s">
        <v>392</v>
      </c>
      <c r="O49" s="100" t="s">
        <v>390</v>
      </c>
    </row>
    <row r="50" spans="4:22" ht="20.100000000000001" customHeight="1" x14ac:dyDescent="0.25">
      <c r="D50" s="99" t="s">
        <v>393</v>
      </c>
      <c r="O50" s="99" t="s">
        <v>391</v>
      </c>
    </row>
    <row r="51" spans="4:22" ht="20.100000000000001" customHeight="1" x14ac:dyDescent="0.25">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100000000000001" customHeight="1" x14ac:dyDescent="0.25">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100000000000001" customHeight="1" x14ac:dyDescent="0.25">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100000000000001" customHeight="1" x14ac:dyDescent="0.25">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100000000000001" customHeight="1" x14ac:dyDescent="0.25">
      <c r="D55" s="53" t="str">
        <f>INDEX(X_Table_Dairy_ProductionSystems_Method1,3,1)</f>
        <v>Milking shed</v>
      </c>
      <c r="E55" s="53" t="s">
        <v>400</v>
      </c>
      <c r="F55" s="53">
        <f>INDEX(M1_Table_MN_leach_j_m4,2,3)</f>
        <v>15.969842273898667</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15.969842273898667</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100000000000001" customHeight="1" x14ac:dyDescent="0.25">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100000000000001" customHeight="1" x14ac:dyDescent="0.25">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100000000000001" customHeight="1" x14ac:dyDescent="0.25">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100000000000001" customHeight="1" x14ac:dyDescent="0.25">
      <c r="D59" s="53" t="str">
        <f>INDEX(X_Table_Dairy_ProductionSystems_Method1,4,1)</f>
        <v>Feed pad</v>
      </c>
      <c r="E59" s="53" t="s">
        <v>400</v>
      </c>
      <c r="F59" s="53">
        <f>INDEX(M1_Table_MN_leach_j_m4,3,3)</f>
        <v>45.223689711994858</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45.223689711994858</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0" spans="4:22" ht="20.100000000000001" customHeight="1" x14ac:dyDescent="0.25"/>
    <row r="61" spans="4:22" ht="20.100000000000001" customHeight="1" x14ac:dyDescent="0.25">
      <c r="D61" s="100" t="s">
        <v>335</v>
      </c>
    </row>
    <row r="62" spans="4:22" ht="20.100000000000001" customHeight="1" x14ac:dyDescent="0.25">
      <c r="D62" s="99" t="s">
        <v>336</v>
      </c>
    </row>
    <row r="63" spans="4:22" ht="20.100000000000001" customHeight="1" x14ac:dyDescent="0.25">
      <c r="D63" s="40" t="s">
        <v>142</v>
      </c>
      <c r="E63" s="40" t="s">
        <v>66</v>
      </c>
      <c r="F63" s="40" t="s">
        <v>426</v>
      </c>
    </row>
    <row r="64" spans="4:22" ht="20.100000000000001" customHeight="1" x14ac:dyDescent="0.25">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100000000000001" customHeight="1" x14ac:dyDescent="0.25">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100000000000001" customHeight="1" x14ac:dyDescent="0.25">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100000000000001" customHeight="1" x14ac:dyDescent="0.25">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100000000000001" customHeight="1" x14ac:dyDescent="0.25">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100000000000001" customHeight="1" x14ac:dyDescent="0.25">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100000000000001" customHeight="1" x14ac:dyDescent="0.25">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100000000000001" customHeight="1" x14ac:dyDescent="0.25">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2" spans="4:22" ht="20.100000000000001" customHeight="1" x14ac:dyDescent="0.25"/>
    <row r="73" spans="4:22" ht="20.100000000000001" customHeight="1" x14ac:dyDescent="0.25">
      <c r="D73" s="100" t="s">
        <v>337</v>
      </c>
      <c r="O73" s="100" t="s">
        <v>341</v>
      </c>
    </row>
    <row r="74" spans="4:22" ht="20.100000000000001" customHeight="1" x14ac:dyDescent="0.25">
      <c r="D74" s="99" t="s">
        <v>340</v>
      </c>
      <c r="O74" s="99" t="s">
        <v>342</v>
      </c>
    </row>
    <row r="75" spans="4:22" ht="20.100000000000001" customHeight="1" x14ac:dyDescent="0.25">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100000000000001" customHeight="1" x14ac:dyDescent="0.25">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194.63245271314003</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194.63245271314003</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278.47412465110807</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278.47412465110807</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239.54763410848008</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239.54763410848008</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404.23663255806008</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404.23663255806008</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787.37674052133912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787.37674052133912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100000000000001" customHeight="1" x14ac:dyDescent="0.25">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901.24353068904043</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901.24353068904043</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100000000000001" customHeight="1" x14ac:dyDescent="0.25">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775.26325220562626</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775.26325220562626</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100000000000001" customHeight="1" x14ac:dyDescent="0.25">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1144.72464583487</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1144.72464583487</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4" spans="3:23" ht="20.100000000000001" customHeight="1" x14ac:dyDescent="0.25"/>
    <row r="85" spans="3:23" ht="20.100000000000001" customHeight="1" x14ac:dyDescent="0.25">
      <c r="D85" s="104" t="s">
        <v>127</v>
      </c>
      <c r="E85" s="105">
        <f ca="1">SUM(F76:J83)</f>
        <v>11592.578908618651</v>
      </c>
      <c r="F85" s="106" t="str">
        <f>$E$11</f>
        <v>kg N</v>
      </c>
      <c r="O85" s="104" t="s">
        <v>127</v>
      </c>
      <c r="P85" s="105">
        <f ca="1">SUM(Q76:U83)</f>
        <v>11592.578908618651</v>
      </c>
      <c r="Q85" s="106" t="str">
        <f>$E$11</f>
        <v>kg N</v>
      </c>
    </row>
    <row r="86" spans="3:23" ht="20.100000000000001" customHeight="1" x14ac:dyDescent="0.25"/>
    <row r="87" spans="3:23" ht="20.100000000000001" customHeight="1" x14ac:dyDescent="0.25"/>
    <row r="88" spans="3:23" ht="20.100000000000001" customHeight="1" x14ac:dyDescent="0.25">
      <c r="C88" s="46"/>
      <c r="D88" s="46"/>
      <c r="E88" s="46"/>
      <c r="F88" s="46"/>
      <c r="G88" s="46"/>
      <c r="H88" s="46"/>
      <c r="I88" s="46"/>
      <c r="J88" s="46"/>
      <c r="K88" s="46"/>
      <c r="L88" s="46"/>
      <c r="N88" s="46"/>
      <c r="O88" s="46"/>
      <c r="P88" s="46"/>
      <c r="Q88" s="46"/>
      <c r="R88" s="46"/>
      <c r="S88" s="46"/>
      <c r="T88" s="46"/>
      <c r="U88" s="46"/>
      <c r="V88" s="46"/>
      <c r="W88" s="46"/>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25</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54" t="s">
        <v>28</v>
      </c>
      <c r="E94" s="1" t="str" cm="1">
        <f t="array" ref="E94">MMS_Dairy_ManureAppliedToSoils_Equations.VEERG_4_3_1_8__2_MassOfNitrogenAppliedToSoilsScope3_Variable()</f>
        <v>MNSoil_scope3</v>
      </c>
    </row>
    <row r="95" spans="3:23" ht="20.100000000000001" customHeight="1" x14ac:dyDescent="0.25">
      <c r="D95" s="54" t="s">
        <v>18</v>
      </c>
      <c r="E95" s="5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100000000000001" customHeight="1" x14ac:dyDescent="0.25">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100000000000001" customHeight="1" x14ac:dyDescent="0.25">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100000000000001" customHeight="1" x14ac:dyDescent="0.25">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100000000000001" customHeight="1" x14ac:dyDescent="0.25">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2" spans="4:22" ht="20.100000000000001" customHeight="1" x14ac:dyDescent="0.25"/>
    <row r="103" spans="4:22" ht="20.100000000000001" customHeight="1" x14ac:dyDescent="0.25">
      <c r="D103" s="100" t="s">
        <v>338</v>
      </c>
      <c r="O103" s="100" t="s">
        <v>344</v>
      </c>
    </row>
    <row r="104" spans="4:22" ht="20.100000000000001" customHeight="1" x14ac:dyDescent="0.25">
      <c r="D104" s="99" t="s">
        <v>339</v>
      </c>
      <c r="O104" s="99" t="s">
        <v>345</v>
      </c>
    </row>
    <row r="105" spans="4:22" ht="20.100000000000001" customHeight="1" x14ac:dyDescent="0.25">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100000000000001" customHeight="1" x14ac:dyDescent="0.25">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64.877484237713347</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64.877484237713347</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92.824708217036019</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92.824708217036019</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79.849211369493361</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79.849211369493361</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134.74554418602003</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134.74554418602003</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262.45891350711304</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262.45891350711304</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300.41451022968016</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300.41451022968016</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258.42108406854209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258.42108406854209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100000000000001" customHeight="1" x14ac:dyDescent="0.25">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381.57488194495664</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381.57488194495664</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4" spans="3:23" ht="20.100000000000001" customHeight="1" x14ac:dyDescent="0.25"/>
    <row r="115" spans="3:23" ht="20.100000000000001" customHeight="1" x14ac:dyDescent="0.25">
      <c r="D115" s="104" t="s">
        <v>343</v>
      </c>
      <c r="E115" s="105">
        <f ca="1">SUM(F106:J113)</f>
        <v>3864.1929695395502</v>
      </c>
      <c r="F115" s="106" t="str">
        <f>$E$11</f>
        <v>kg N</v>
      </c>
      <c r="O115" s="104" t="s">
        <v>343</v>
      </c>
      <c r="P115" s="105">
        <f ca="1">SUM(Q106:U113)</f>
        <v>3864.1929695395502</v>
      </c>
      <c r="Q115" s="106" t="str">
        <f>$E$11</f>
        <v>kg N</v>
      </c>
    </row>
    <row r="116" spans="3:23" ht="20.100000000000001" customHeight="1" x14ac:dyDescent="0.25"/>
    <row r="117" spans="3:23" ht="20.100000000000001" customHeight="1" x14ac:dyDescent="0.25"/>
    <row r="118" spans="3:23" ht="20.100000000000001" customHeight="1" x14ac:dyDescent="0.25">
      <c r="C118" s="46"/>
      <c r="D118" s="46"/>
      <c r="E118" s="46"/>
      <c r="F118" s="46"/>
      <c r="G118" s="46"/>
      <c r="H118" s="46"/>
      <c r="I118" s="46"/>
      <c r="J118" s="46"/>
      <c r="K118" s="46"/>
      <c r="L118" s="46"/>
      <c r="N118" s="46"/>
      <c r="O118" s="46"/>
      <c r="P118" s="46"/>
      <c r="Q118" s="46"/>
      <c r="R118" s="46"/>
      <c r="S118" s="46"/>
      <c r="T118" s="46"/>
      <c r="U118" s="46"/>
      <c r="V118" s="46"/>
      <c r="W118" s="46"/>
    </row>
    <row r="119" spans="3:23" ht="20.100000000000001" customHeight="1" x14ac:dyDescent="0.25">
      <c r="D119" s="111" t="str">
        <f>"Below are applications of " &amp; D6 &amp; " that are applied to the following contexts:"</f>
        <v>Below are applications of VEERG 2026: 4.3.1.8, Equation (1) that are applied to the following contexts:</v>
      </c>
      <c r="E119" s="91"/>
      <c r="F119" s="91"/>
      <c r="G119" s="91"/>
      <c r="H119" s="87"/>
    </row>
    <row r="120" spans="3:23" ht="20.100000000000001" customHeight="1" x14ac:dyDescent="0.25">
      <c r="D120" s="93" t="s">
        <v>388</v>
      </c>
      <c r="E120" s="90"/>
      <c r="F120" s="90"/>
      <c r="G120" s="90"/>
      <c r="H120" s="88"/>
    </row>
    <row r="121" spans="3:23" ht="20.100000000000001" customHeight="1" x14ac:dyDescent="0.25"/>
    <row r="122" spans="3:23" ht="20.100000000000001" customHeight="1" x14ac:dyDescent="0.25">
      <c r="D122" s="6" t="s">
        <v>387</v>
      </c>
    </row>
    <row r="123" spans="3:23" ht="20.100000000000001" customHeight="1" x14ac:dyDescent="0.25"/>
    <row r="124" spans="3:23" ht="20.100000000000001" customHeight="1" x14ac:dyDescent="0.25">
      <c r="D124" s="100" t="s">
        <v>128</v>
      </c>
    </row>
    <row r="125" spans="3:23" ht="20.100000000000001" customHeight="1" x14ac:dyDescent="0.25">
      <c r="D125" s="99" t="s">
        <v>129</v>
      </c>
    </row>
    <row r="126" spans="3:23" ht="20.100000000000001" customHeight="1" x14ac:dyDescent="0.25">
      <c r="D126" s="40" t="s">
        <v>142</v>
      </c>
      <c r="E126" s="40" t="s">
        <v>66</v>
      </c>
      <c r="F126" s="40" t="s">
        <v>427</v>
      </c>
    </row>
    <row r="127" spans="3:23" ht="20.100000000000001" customHeight="1" x14ac:dyDescent="0.25">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100000000000001" customHeight="1" x14ac:dyDescent="0.25">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100000000000001" customHeight="1" x14ac:dyDescent="0.25">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100000000000001" customHeight="1" x14ac:dyDescent="0.25">
      <c r="D130" s="53" t="str">
        <f>INDEX(X_Table_Dairy_ProductionSystems_Method1,3,1)</f>
        <v>Milking shed</v>
      </c>
      <c r="E130" s="53" t="s">
        <v>400</v>
      </c>
      <c r="F130" s="53">
        <f>INDEX(X_Table_Dairy_Stage1MMS_1_SolidStorage_Destinations,2,3)</f>
        <v>0.25</v>
      </c>
      <c r="G130" s="2"/>
    </row>
    <row r="131" spans="4:22" ht="20.100000000000001" customHeight="1" x14ac:dyDescent="0.25">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100000000000001" customHeight="1" x14ac:dyDescent="0.25">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100000000000001" customHeight="1" x14ac:dyDescent="0.25">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100000000000001" customHeight="1" x14ac:dyDescent="0.25">
      <c r="D134" s="53" t="str">
        <f>INDEX(X_Table_Dairy_ProductionSystems_Method1,4,1)</f>
        <v>Feed pad</v>
      </c>
      <c r="E134" s="53" t="s">
        <v>400</v>
      </c>
      <c r="F134" s="53">
        <f>INDEX(X_Table_Dairy_Stage1MMS_2_SolidStorage_Destinations,2,3)</f>
        <v>0.25</v>
      </c>
      <c r="G134" s="2"/>
    </row>
    <row r="135" spans="4:22" ht="20.100000000000001" customHeight="1" x14ac:dyDescent="0.25"/>
    <row r="136" spans="4:22" ht="20.100000000000001" customHeight="1" x14ac:dyDescent="0.25">
      <c r="D136" s="100" t="s">
        <v>130</v>
      </c>
      <c r="O136" s="100" t="s">
        <v>131</v>
      </c>
    </row>
    <row r="137" spans="4:22" ht="20.100000000000001" customHeight="1" x14ac:dyDescent="0.25">
      <c r="D137" s="99" t="s">
        <v>133</v>
      </c>
      <c r="O137" s="99" t="s">
        <v>132</v>
      </c>
    </row>
    <row r="138" spans="4:22" ht="20.100000000000001" customHeight="1" x14ac:dyDescent="0.25">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100000000000001" customHeight="1" x14ac:dyDescent="0.25">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64.877484237713347</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64.877484237713347</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92.824708217036019</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92.824708217036019</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79.849211369493361</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79.849211369493361</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134.74554418602003</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134.74554418602003</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262.45891350711304</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262.45891350711304</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300.41451022968016</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300.41451022968016</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100000000000001" customHeight="1" x14ac:dyDescent="0.25">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258.42108406854209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258.42108406854209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100000000000001" customHeight="1" x14ac:dyDescent="0.25">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381.57488194495664</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381.57488194495664</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7" spans="4:22" ht="20.100000000000001" customHeight="1" x14ac:dyDescent="0.25"/>
    <row r="148" spans="4:22" ht="20.100000000000001" customHeight="1" x14ac:dyDescent="0.25">
      <c r="D148" s="104" t="s">
        <v>134</v>
      </c>
      <c r="E148" s="105">
        <f>SUM(F139:J146)</f>
        <v>3864.1929695395502</v>
      </c>
      <c r="F148" s="106" t="str">
        <f>$E$95</f>
        <v>kg N</v>
      </c>
      <c r="O148" s="104" t="s">
        <v>134</v>
      </c>
      <c r="P148" s="105">
        <f>SUM(Q139:U146)</f>
        <v>3864.1929695395502</v>
      </c>
      <c r="Q148" s="106"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sheetPr>
    <tabColor rgb="FF008000"/>
  </sheetPr>
  <dimension ref="A1:W165"/>
  <sheetViews>
    <sheetView showGridLines="0" topLeftCell="B39"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100000000000001" customHeight="1" x14ac:dyDescent="0.25">
      <c r="A2"/>
      <c r="M2" s="57"/>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D6" s="5" t="str" cm="1">
        <f t="array" ref="D6">MMS_Dairy_N2ODirect_Equations.VEERG_4_3_1_3__2_TotalNitrogenInEachMMS_Source()</f>
        <v>VEERG 2026: 4.3.1.3, Equation (2)</v>
      </c>
    </row>
    <row r="7" spans="1:23" ht="20.100000000000001" customHeight="1" x14ac:dyDescent="0.25">
      <c r="D7" s="13" t="s">
        <v>25</v>
      </c>
      <c r="E7" s="13" t="str" cm="1">
        <f t="array" aca="1" ref="E7" ca="1">Common_InputFunctions.Utility_DisplayFunctionName(F31)</f>
        <v>=MMS_Dairy_N2ODirect_Equations.VEERG_4_3_1_3__2_TotalNitrogenInEachMMS</v>
      </c>
    </row>
    <row r="8" spans="1:23" ht="20.100000000000001" customHeight="1" x14ac:dyDescent="0.25">
      <c r="A8" s="19" t="s">
        <v>0</v>
      </c>
    </row>
    <row r="9" spans="1:23" ht="20.100000000000001" customHeight="1" x14ac:dyDescent="0.25">
      <c r="A9" s="17" t="str">
        <f>HYPERLINK("#'Input - Site'!A1", "Site")</f>
        <v>Site</v>
      </c>
      <c r="D9" s="6"/>
    </row>
    <row r="10" spans="1:23" ht="20.100000000000001" customHeight="1" x14ac:dyDescent="0.25">
      <c r="A10" s="17" t="str">
        <f>HYPERLINK("#'Input - Dairy'!A1", "Dairy")</f>
        <v>Dairy</v>
      </c>
      <c r="D10" s="54" t="s">
        <v>28</v>
      </c>
      <c r="E10" s="1" t="str" cm="1">
        <f t="array" ref="E10">MMS_Dairy_N2ODirect_Equations.VEERG_4_3_1_3__2_TotalNitrogenInEachMMS_Variable()</f>
        <v>MN_jm</v>
      </c>
    </row>
    <row r="11" spans="1:23" ht="20.100000000000001" customHeight="1" x14ac:dyDescent="0.25">
      <c r="D11" s="54" t="s">
        <v>18</v>
      </c>
      <c r="E11" s="55" t="str" cm="1">
        <f t="array" ref="E11">MMS_Dairy_N2ODirect_Equations.VEERG_4_3_1_3__2_TotalNitrogenInEachMMS_Unit()</f>
        <v>kg N</v>
      </c>
    </row>
    <row r="12" spans="1:23" ht="20.100000000000001" customHeight="1" x14ac:dyDescent="0.25"/>
    <row r="13" spans="1:23" ht="20.100000000000001" customHeight="1" x14ac:dyDescent="0.25">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100000000000001" customHeight="1" x14ac:dyDescent="0.25">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116</v>
      </c>
      <c r="O16" s="100" t="s">
        <v>461</v>
      </c>
    </row>
    <row r="17" spans="1:22" ht="20.100000000000001" customHeight="1" x14ac:dyDescent="0.25">
      <c r="A17" s="17" t="str">
        <f>HYPERLINK("#'4.3.1.6-7 Leaching and runoff'!A1", "4.3.1.6-7 Leaching and runoff")</f>
        <v>4.3.1.6-7 Leaching and runoff</v>
      </c>
      <c r="D17" s="99" t="s">
        <v>351</v>
      </c>
      <c r="O17" s="99" t="s">
        <v>460</v>
      </c>
    </row>
    <row r="18" spans="1:22" ht="20.100000000000001" customHeight="1" x14ac:dyDescent="0.25">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100000000000001" customHeight="1" x14ac:dyDescent="0.25">
      <c r="A19" s="21" t="str">
        <f>HYPERLINK("#'4.3.1.9 Soil direct N2O'!A1", "4.3.1.9 Soil direct N2O")</f>
        <v>4.3.1.9 Soil direct N2O</v>
      </c>
      <c r="D19" s="53">
        <f>INDEX(M1_Table_AE_j124,2,1)</f>
        <v>18147.548038521214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18147.548038521214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100000000000001" customHeight="1" x14ac:dyDescent="0.25">
      <c r="A20" s="17" t="str">
        <f>HYPERLINK("#'4.3.1.10-11 Soil Atmos Dep'!A1", "4.3.1.10-11 Soil Atmos Dep")</f>
        <v>4.3.1.10-11 Soil Atmos Dep</v>
      </c>
    </row>
    <row r="21" spans="1:22" ht="20.100000000000001" customHeight="1" x14ac:dyDescent="0.25">
      <c r="A21" s="17" t="str">
        <f>HYPERLINK("#'4.3.1.12-13 Soil leach runoff'!A1", "4.3.1.12-13 Soil leach runoff")</f>
        <v>4.3.1.12-13 Soil leach runoff</v>
      </c>
    </row>
    <row r="22" spans="1:22" ht="20.100000000000001" customHeight="1" x14ac:dyDescent="0.25">
      <c r="D22" s="100" t="s">
        <v>349</v>
      </c>
      <c r="O22" s="100" t="s">
        <v>417</v>
      </c>
    </row>
    <row r="23" spans="1:22" ht="20.100000000000001" customHeight="1" x14ac:dyDescent="0.25">
      <c r="D23" s="99" t="s">
        <v>350</v>
      </c>
      <c r="O23" s="99" t="s">
        <v>418</v>
      </c>
    </row>
    <row r="24" spans="1:22" ht="20.100000000000001" customHeight="1" x14ac:dyDescent="0.25">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100000000000001" customHeight="1" x14ac:dyDescent="0.25">
      <c r="A25" s="17" t="str">
        <f>HYPERLINK("#'Constants - Dairy'!A1", "Constants - Dairy")</f>
        <v>Constants - Dairy</v>
      </c>
      <c r="D25" s="53" t="str">
        <f>INDEX(X_Table_Dairy_ProductionSystems_Method1,2,1)</f>
        <v>Pasture</v>
      </c>
      <c r="E25" s="53" t="str">
        <f>'Constants - Common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Common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100000000000001" customHeight="1" x14ac:dyDescent="0.25">
      <c r="A26" s="17" t="str">
        <f>HYPERLINK("#'Constants - Common'!A1", "Constants - Common")</f>
        <v>Constants - Common</v>
      </c>
    </row>
    <row r="27" spans="1:22" ht="20.100000000000001" customHeight="1" x14ac:dyDescent="0.25">
      <c r="A27" s="17" t="str">
        <f>HYPERLINK("#'Constants - Livestock'!A1", "Constants - Livestock")</f>
        <v>Constants - Livestock</v>
      </c>
      <c r="Q27" s="127"/>
    </row>
    <row r="28" spans="1:22" ht="20.100000000000001" customHeight="1" x14ac:dyDescent="0.25">
      <c r="A28" s="17" t="str">
        <f>HYPERLINK("#'Acknowledgements'!A1", "Acknowledgements")</f>
        <v>Acknowledgements</v>
      </c>
      <c r="D28" s="100" t="s">
        <v>352</v>
      </c>
      <c r="O28" s="100" t="s">
        <v>354</v>
      </c>
    </row>
    <row r="29" spans="1:22" ht="20.100000000000001" customHeight="1" x14ac:dyDescent="0.25">
      <c r="A29" s="17" t="str">
        <f>HYPERLINK("#'Tab template'!A1", "Tab template")</f>
        <v>Tab template</v>
      </c>
      <c r="D29" s="99" t="s">
        <v>353</v>
      </c>
      <c r="O29" s="99" t="s">
        <v>355</v>
      </c>
    </row>
    <row r="30" spans="1:22" ht="20.100000000000001" customHeight="1" x14ac:dyDescent="0.25">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100000000000001" customHeight="1" x14ac:dyDescent="0.25">
      <c r="D31" s="53" t="str">
        <f>INDEX(X_Table_Dairy_ProductionSystems_Method1,2,1)</f>
        <v>Pasture</v>
      </c>
      <c r="E31" s="53" t="str">
        <f>'Constants - Common Livestock'!$E$27</f>
        <v>Pasture range and paddock</v>
      </c>
      <c r="F31" s="53" cm="1">
        <f t="array" ref="F31">MMS_Dairy_N2ODirect_Equations.VEERG_4_3_1_3__2_TotalNitrogenInEachMMS(D19,F25)</f>
        <v>9690.7906525703293</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Common Livestock'!$E$27</f>
        <v>Pasture range and paddock</v>
      </c>
      <c r="Q31" s="53" cm="1">
        <f t="array" ref="Q31">MMS_Dairy_N2ODirect_Equations.VEERG_4_3_1_3__2_TotalNitrogenInEachMMS(O19,Q25)</f>
        <v>9690.7906525703293</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105</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MMS_Dairy_Soil_N2ODirect_Equations.VEERG_4_3_1_9__1_DirectNitrousOxideEmissionsOnPasture_Variable()</f>
        <v>E_N2Odir</v>
      </c>
    </row>
    <row r="41" spans="3:23" ht="20.100000000000001" customHeight="1" x14ac:dyDescent="0.25">
      <c r="D41" s="54" t="s">
        <v>18</v>
      </c>
      <c r="E41" s="55"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100000000000001" customHeight="1" x14ac:dyDescent="0.25">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100000000000001" customHeight="1" x14ac:dyDescent="0.25">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100000000000001" customHeight="1" x14ac:dyDescent="0.25">
      <c r="D46" s="133" t="str">
        <v>z</v>
      </c>
      <c r="E46" s="132" t="str">
        <v>Wet or dry climate zone</v>
      </c>
      <c r="F46" s="138"/>
      <c r="G46" s="134"/>
      <c r="H46" s="133" t="str">
        <v/>
      </c>
      <c r="I46" s="131" t="str">
        <v>Input</v>
      </c>
      <c r="J46" s="133" t="str">
        <f>X_Cell_Site_WetOrDryClimateZone</f>
        <v>Dry climate zone</v>
      </c>
    </row>
    <row r="47" spans="3:23" ht="20.100000000000001" customHeight="1" x14ac:dyDescent="0.25"/>
    <row r="48" spans="3:23" ht="20.100000000000001" customHeight="1" x14ac:dyDescent="0.25">
      <c r="D48" s="100" t="s">
        <v>118</v>
      </c>
      <c r="O48" s="100" t="s">
        <v>358</v>
      </c>
    </row>
    <row r="49" spans="4:22" ht="20.100000000000001" customHeight="1" x14ac:dyDescent="0.25">
      <c r="D49" s="99" t="s">
        <v>357</v>
      </c>
      <c r="O49" s="99" t="s">
        <v>359</v>
      </c>
    </row>
    <row r="50" spans="4:22" ht="20.100000000000001" customHeight="1" x14ac:dyDescent="0.25">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100000000000001" customHeight="1" x14ac:dyDescent="0.25">
      <c r="D51" s="53" t="str">
        <f>INDEX(X_Table_Dairy_ProductionSystems_Method1,2,1)</f>
        <v>Pasture</v>
      </c>
      <c r="E51" s="53" t="str">
        <f>'Constants - Common Livestock'!$E$27</f>
        <v>Pasture range and paddock</v>
      </c>
      <c r="F51" s="53" cm="1">
        <f t="array" ref="F51">MMS_Dairy_Soil_N2ODirect_Equations.VEERG_4_3_1_9__1_DirectNitrousOxideEmissionsOnPasture(F31,$J$44,$J$45)</f>
        <v>3.0456770622363894E-2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Common Livestock'!$E$27</f>
        <v>Pasture range and paddock</v>
      </c>
      <c r="Q51" s="53" cm="1">
        <f t="array" ref="Q51">MMS_Dairy_Soil_N2ODirect_Equations.VEERG_4_3_1_9__1_DirectNitrousOxideEmissionsOnPasture(Q31,$J$44,$J$45)</f>
        <v>3.0456770622363894E-2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2" spans="4:22" ht="20.100000000000001" customHeight="1" x14ac:dyDescent="0.25"/>
    <row r="53" spans="4:22" ht="20.100000000000001" customHeight="1" x14ac:dyDescent="0.25">
      <c r="D53" s="104" t="s">
        <v>117</v>
      </c>
      <c r="E53" s="105">
        <f>SUM(F51:J51)</f>
        <v>7.4716451267705888E-2</v>
      </c>
      <c r="F53" s="106" t="str">
        <f>$E$41</f>
        <v>t N2O</v>
      </c>
      <c r="O53" s="104" t="s">
        <v>117</v>
      </c>
      <c r="P53" s="105">
        <f>SUM(Q51:U51)</f>
        <v>7.4716451267705888E-2</v>
      </c>
      <c r="Q53" s="106" t="str">
        <f>$E$41</f>
        <v>t N2O</v>
      </c>
    </row>
    <row r="54" spans="4:22" ht="20.100000000000001" customHeight="1" x14ac:dyDescent="0.25"/>
    <row r="55" spans="4:22" ht="20.100000000000001" customHeight="1" x14ac:dyDescent="0.25">
      <c r="D55" s="58" t="str" cm="1">
        <f t="array" ref="D55:E56">Common_Equations.Common_ConvertN2OToCO2e_Arguments()</f>
        <v>EN2O</v>
      </c>
      <c r="E55" s="59" t="str">
        <v>Nitrous oxide emissions (t N2O)</v>
      </c>
      <c r="F55" s="107"/>
      <c r="G55" s="53">
        <f>VEERG_4_3_1_9__1_DirectNitrousOxideEmissionsOnPasture_Result_Method1</f>
        <v>7.4716451267705888E-2</v>
      </c>
      <c r="O55" s="58" t="str" cm="1">
        <f t="array" ref="O55:P56">Common_Equations.Common_ConvertN2OToCO2e_Arguments()</f>
        <v>EN2O</v>
      </c>
      <c r="P55" s="59" t="str">
        <v>Nitrous oxide emissions (t N2O)</v>
      </c>
      <c r="Q55" s="107"/>
      <c r="R55" s="53">
        <f>VEERG_4_3_1_9__1_DirectNitrousOxideEmissionsOnPasture_Result_Method2</f>
        <v>7.4716451267705888E-2</v>
      </c>
    </row>
    <row r="56" spans="4:22" ht="20.100000000000001" customHeight="1" x14ac:dyDescent="0.25">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7" spans="4:22" ht="20.100000000000001" customHeight="1" x14ac:dyDescent="0.25"/>
    <row r="58" spans="4:22" ht="20.100000000000001" customHeight="1" x14ac:dyDescent="0.25">
      <c r="D58" s="46" t="s">
        <v>104</v>
      </c>
      <c r="E58" s="46" cm="1">
        <f t="array" ref="E58">Common_Equations.Common_ConvertN2OToCO2e(G55,G56)</f>
        <v>19.799859585942059</v>
      </c>
      <c r="F58" s="108" t="str" cm="1">
        <f t="array" ref="F58">Common_Equations.Common_ConvertN2OToCO2e_Unit()</f>
        <v>t CO2e</v>
      </c>
      <c r="O58" s="46" t="s">
        <v>104</v>
      </c>
      <c r="P58" s="46" cm="1">
        <f t="array" ref="P58">Common_Equations.Common_ConvertN2OToCO2e(R55,R56)</f>
        <v>19.799859585942059</v>
      </c>
      <c r="Q58" s="108"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W165"/>
  <sheetViews>
    <sheetView showGridLines="0" topLeftCell="A7"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5" t="str" cm="1">
        <f t="array" ref="D6">MMS_Dairy_Soil_AtmosphericDeposition_Equations.VEERG_4_3_1_10__2_MassOfNitrogenVolatilisedOnPasture_Source()</f>
        <v>VEERG 2026: 4.3.1.10, Equation (2)</v>
      </c>
    </row>
    <row r="7" spans="1:23" ht="20.100000000000001" customHeight="1" x14ac:dyDescent="0.25">
      <c r="D7" s="13" t="s">
        <v>25</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MMS_Dairy_Soil_AtmosphericDeposition_Equations.VEERG_4_3_1_10__2_MassOfNitrogenVolatilisedOnPasture_Variable()</f>
        <v>M_vol_m14</v>
      </c>
    </row>
    <row r="11" spans="1:23" ht="20.100000000000001" customHeight="1" x14ac:dyDescent="0.25">
      <c r="D11" s="54" t="s">
        <v>18</v>
      </c>
      <c r="E11" s="55" t="str" cm="1">
        <f t="array" ref="E11">MMS_Dairy_Soil_AtmosphericDeposition_Equations.VEERG_4_3_1_10__2_MassOfNitrogenVolatilisedOnPasture_Unit()</f>
        <v>kg N</v>
      </c>
    </row>
    <row r="12" spans="1:23" ht="20.100000000000001" customHeight="1" x14ac:dyDescent="0.25"/>
    <row r="13" spans="1:23" ht="20.100000000000001" customHeight="1" x14ac:dyDescent="0.25">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100000000000001" customHeight="1" x14ac:dyDescent="0.25">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352</v>
      </c>
      <c r="M16" s="57"/>
      <c r="O16" s="100" t="s">
        <v>354</v>
      </c>
    </row>
    <row r="17" spans="1:23" ht="20.100000000000001" customHeight="1" x14ac:dyDescent="0.25">
      <c r="A17" s="17" t="str">
        <f>HYPERLINK("#'4.3.1.6-7 Leaching and runoff'!A1", "4.3.1.6-7 Leaching and runoff")</f>
        <v>4.3.1.6-7 Leaching and runoff</v>
      </c>
      <c r="D17" s="99" t="s">
        <v>353</v>
      </c>
      <c r="M17" s="57"/>
      <c r="O17" s="99" t="s">
        <v>355</v>
      </c>
    </row>
    <row r="18" spans="1:23"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100000000000001" customHeight="1" x14ac:dyDescent="0.25">
      <c r="A19" s="17" t="str">
        <f>HYPERLINK("#'4.3.1.9 Soil direct N2O'!A1", "4.3.1.9 Soil direct N2O")</f>
        <v>4.3.1.9 Soil direct N2O</v>
      </c>
      <c r="D19" s="53" t="str">
        <f>INDEX(X_Table_Dairy_ProductionSystems_Method1,2,1)</f>
        <v>Pasture</v>
      </c>
      <c r="E19" s="53" t="str">
        <f>'Constants - Common Livestock'!$E$27</f>
        <v>Pasture range and paddock</v>
      </c>
      <c r="F19" s="53">
        <f>INDEX(M1_Table_MN_j_m14,2,3)</f>
        <v>9690.7906525703293</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Common Livestock'!$E$27</f>
        <v>Pasture range and paddock</v>
      </c>
      <c r="Q19" s="53">
        <f>INDEX(M2_Table_MN_j_m14,2,3)</f>
        <v>9690.7906525703293</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100000000000001" customHeight="1" x14ac:dyDescent="0.25">
      <c r="A20" s="21"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360</v>
      </c>
      <c r="O21" s="100" t="s">
        <v>362</v>
      </c>
    </row>
    <row r="22" spans="1:23" ht="20.100000000000001" customHeight="1" x14ac:dyDescent="0.25">
      <c r="D22" s="99" t="s">
        <v>361</v>
      </c>
      <c r="O22" s="99" t="s">
        <v>363</v>
      </c>
    </row>
    <row r="23" spans="1:23" ht="20.100000000000001" customHeight="1" x14ac:dyDescent="0.25">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100000000000001" customHeight="1" x14ac:dyDescent="0.25">
      <c r="A24" s="154" t="s">
        <v>1</v>
      </c>
      <c r="D24" s="53" t="str">
        <f>INDEX(X_Table_Dairy_ProductionSystems_Method1,2,1)</f>
        <v>Pasture</v>
      </c>
      <c r="E24" s="53" t="str">
        <f>'Constants - Common Livestock'!$E$27</f>
        <v>Pasture range and paddock</v>
      </c>
      <c r="F24" s="53" cm="1">
        <f t="array" ref="F24">MMS_Dairy_Soil_AtmosphericDeposition_Equations.VEERG_4_3_1_10__2_MassOfNitrogenVolatilisedOnPasture(F19,$I$14)</f>
        <v>2035.0660370397691</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Common Livestock'!$E$27</f>
        <v>Pasture range and paddock</v>
      </c>
      <c r="Q24" s="53" cm="1">
        <f t="array" ref="Q24">MMS_Dairy_Soil_AtmosphericDeposition_Equations.VEERG_4_3_1_10__2_MassOfNitrogenVolatilisedOnPasture(Q19,$I$14)</f>
        <v>2035.0660370397691</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c r="D26" s="114" t="s">
        <v>374</v>
      </c>
      <c r="E26" s="46">
        <f>SUM(F24:J24)</f>
        <v>4992.4174256148935</v>
      </c>
      <c r="F26" s="108" t="str">
        <f>$E$11</f>
        <v>kg N</v>
      </c>
      <c r="O26" s="114" t="s">
        <v>374</v>
      </c>
      <c r="P26" s="46">
        <f>SUM(Q24:U24)</f>
        <v>4992.4174256148935</v>
      </c>
      <c r="Q26" s="108" t="str">
        <f>$E$11</f>
        <v>kg N</v>
      </c>
    </row>
    <row r="27" spans="1:23" ht="20.100000000000001" customHeight="1" x14ac:dyDescent="0.25">
      <c r="A27" s="17" t="str">
        <f>HYPERLINK("#'Constants - Livestock'!A1", "Constants - Livestock")</f>
        <v>Constants - Livestock</v>
      </c>
    </row>
    <row r="28" spans="1:23" ht="20.100000000000001" customHeight="1" x14ac:dyDescent="0.25">
      <c r="A28" s="17" t="str">
        <f>HYPERLINK("#'Acknowledgements'!A1", "Acknowledgements")</f>
        <v>Acknowledgements</v>
      </c>
    </row>
    <row r="29" spans="1:23" ht="20.100000000000001" customHeight="1" x14ac:dyDescent="0.25">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25</v>
      </c>
      <c r="E32" s="13"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4" t="s">
        <v>28</v>
      </c>
      <c r="E35" s="1" t="str" cm="1">
        <f t="array" ref="E35">MMS_Dairy_Soil_AtmosphericDeposition_Equations.VEERG_4_3_1_10__1_AtmosphericDepositionEmissionsFromUrineAndDungOnPasture_Variable()</f>
        <v>E_N2Oad</v>
      </c>
    </row>
    <row r="36" spans="4:19" ht="20.100000000000001" customHeight="1" x14ac:dyDescent="0.25">
      <c r="D36" s="54" t="s">
        <v>18</v>
      </c>
      <c r="E36" s="55"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4992.4174256148935</v>
      </c>
      <c r="O38" s="58" t="str">
        <f>D38</f>
        <v>M_vol_m14</v>
      </c>
      <c r="P38" s="58" t="str">
        <f>E38</f>
        <v>mass of nitrogen volatilised from urine and faeces deposited on pasture</v>
      </c>
      <c r="Q38" s="59"/>
      <c r="R38" s="60"/>
      <c r="S38" s="58">
        <f>$P$26</f>
        <v>4992.4174256148935</v>
      </c>
    </row>
    <row r="39" spans="4:19" ht="20.100000000000001" customHeight="1" x14ac:dyDescent="0.25">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100000000000001" customHeight="1" x14ac:dyDescent="0.25">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100000000000001" customHeight="1" x14ac:dyDescent="0.25">
      <c r="D41" s="133" t="str">
        <v>j</v>
      </c>
      <c r="E41" s="132" t="str">
        <v>production system</v>
      </c>
      <c r="F41" s="134"/>
      <c r="G41" s="133" t="str">
        <v/>
      </c>
      <c r="H41" s="131" t="str">
        <v>Input</v>
      </c>
      <c r="I41" s="133" t="str">
        <f>X_Cell_Dairy_ManureAppliedProductionSystem</f>
        <v>Pasture</v>
      </c>
      <c r="O41" s="58"/>
      <c r="P41" s="59"/>
      <c r="Q41" s="101"/>
      <c r="R41" s="60"/>
      <c r="S41" s="58"/>
    </row>
    <row r="42" spans="4:19" ht="20.100000000000001" customHeight="1" x14ac:dyDescent="0.25">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100000000000001" customHeight="1" x14ac:dyDescent="0.25">
      <c r="D43" s="133" t="str">
        <v>r</v>
      </c>
      <c r="E43" s="132" t="str">
        <v>rainfall region</v>
      </c>
      <c r="F43" s="134"/>
      <c r="G43" s="133" t="str">
        <v/>
      </c>
      <c r="H43" s="131" t="str">
        <v>Input</v>
      </c>
      <c r="I43" s="133" t="str">
        <f>X_Cell_Site_RainfallZone</f>
        <v>High rainfall</v>
      </c>
      <c r="O43" s="58"/>
      <c r="P43" s="59"/>
      <c r="Q43" s="101"/>
      <c r="R43" s="60"/>
      <c r="S43" s="58"/>
    </row>
    <row r="44" spans="4:19" ht="20.100000000000001" customHeight="1" x14ac:dyDescent="0.25"/>
    <row r="45" spans="4:19" ht="20.100000000000001" customHeight="1" x14ac:dyDescent="0.25">
      <c r="D45" s="104" t="s">
        <v>149</v>
      </c>
      <c r="E45" s="105" cm="1">
        <f t="array" ref="E45">MMS_Dairy_Soil_AtmosphericDeposition_Equations.VEERG_4_3_1_10__1_AtmosphericDepositionEmissionsFromUrineAndDungOnPasture($I$38,$I$39,$I$40)</f>
        <v>4.6286841560343794E-2</v>
      </c>
      <c r="F45" s="106" t="str">
        <f>$E$36</f>
        <v>t N2O</v>
      </c>
      <c r="O45" s="104" t="s">
        <v>149</v>
      </c>
      <c r="P45" s="105" cm="1">
        <f t="array" ref="P45">MMS_Dairy_Soil_AtmosphericDeposition_Equations.VEERG_4_3_1_10__1_AtmosphericDepositionEmissionsFromUrineAndDungOnPasture($S$38,$I$39,$I$40)</f>
        <v>4.6286841560343794E-2</v>
      </c>
      <c r="Q45" s="106" t="str">
        <f>$E$36</f>
        <v>t N2O</v>
      </c>
    </row>
    <row r="46" spans="4:19" ht="20.100000000000001" customHeight="1" x14ac:dyDescent="0.25"/>
    <row r="47" spans="4:19" ht="20.100000000000001" customHeight="1" x14ac:dyDescent="0.25">
      <c r="D47" s="58" t="str" cm="1">
        <f t="array" ref="D47:E48">Common_Equations.Common_ConvertN2OToCO2e_Arguments()</f>
        <v>EN2O</v>
      </c>
      <c r="E47" s="59" t="str">
        <v>Nitrous oxide emissions (t N2O)</v>
      </c>
      <c r="F47" s="107"/>
      <c r="G47" s="53">
        <f>VEERG_4_3_1_10__1_AtmosphericDepositionEmissionsFromUrineAndDungOnPasture_Result_Method1</f>
        <v>4.6286841560343794E-2</v>
      </c>
      <c r="O47" s="58" t="str" cm="1">
        <f t="array" ref="O47:P48">Common_Equations.Common_ConvertN2OToCO2e_Arguments()</f>
        <v>EN2O</v>
      </c>
      <c r="P47" s="59" t="str">
        <v>Nitrous oxide emissions (t N2O)</v>
      </c>
      <c r="Q47" s="107"/>
      <c r="R47" s="53">
        <f>VEERG_4_3_1_10__1_AtmosphericDepositionEmissionsFromUrineAndDungOnPasture_Result_Method2</f>
        <v>4.6286841560343794E-2</v>
      </c>
    </row>
    <row r="48" spans="4:19" ht="20.100000000000001" customHeight="1" x14ac:dyDescent="0.25">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49" spans="4:17" ht="20.100000000000001" customHeight="1" x14ac:dyDescent="0.25"/>
    <row r="50" spans="4:17" ht="20.100000000000001" customHeight="1" x14ac:dyDescent="0.25">
      <c r="D50" s="46" t="s">
        <v>104</v>
      </c>
      <c r="E50" s="46" cm="1">
        <f t="array" ref="E50">Common_Equations.Common_ConvertN2OToCO2e(G47,G48)</f>
        <v>12.266013013491106</v>
      </c>
      <c r="F50" s="108" t="str" cm="1">
        <f t="array" ref="F50">Common_Equations.Common_ConvertN2OToCO2e_Unit()</f>
        <v>t CO2e</v>
      </c>
      <c r="O50" s="46" t="s">
        <v>104</v>
      </c>
      <c r="P50" s="46" cm="1">
        <f t="array" ref="P50">Common_Equations.Common_ConvertN2OToCO2e(R47,R48)</f>
        <v>12.266013013491106</v>
      </c>
      <c r="Q50" s="108"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W16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5" t="str" cm="1">
        <f t="array" ref="D6">MMS_Dairy_Soil_LeachingAndRunoff.VEERG_4_3_1_12__2_MassOfNitrogenLostToLeachingAndRunoffOnPasture_Source()</f>
        <v>VEERG 2026: 4.3.1.12, Equation (2)</v>
      </c>
    </row>
    <row r="7" spans="1:23" ht="20.100000000000001" customHeight="1" x14ac:dyDescent="0.25">
      <c r="D7" s="13" t="s">
        <v>25</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9" t="s">
        <v>0</v>
      </c>
      <c r="E8" s="1" t="s">
        <v>15</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MMS_Dairy_Soil_LeachingAndRunoff.VEERG_4_3_1_12__2_MassOfNitrogenLostToLeachingAndRunoffOnPasture_Variable()</f>
        <v>M_leach_m14</v>
      </c>
    </row>
    <row r="11" spans="1:23" ht="20.100000000000001" customHeight="1" x14ac:dyDescent="0.25">
      <c r="D11" s="54" t="s">
        <v>18</v>
      </c>
      <c r="E11" s="55" t="str" cm="1">
        <f t="array" ref="E11">MMS_Dairy_Soil_LeachingAndRunoff.VEERG_4_3_1_12__2_MassOfNitrogenLostToLeachingAndRunoffOnPasture_Unit()</f>
        <v>kg N</v>
      </c>
    </row>
    <row r="12" spans="1:23" ht="20.100000000000001" customHeight="1" x14ac:dyDescent="0.25"/>
    <row r="13" spans="1:23" ht="20.100000000000001" customHeight="1" x14ac:dyDescent="0.25">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100000000000001" customHeight="1" x14ac:dyDescent="0.25">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100000000000001" customHeight="1" x14ac:dyDescent="0.25">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100000000000001" customHeight="1" x14ac:dyDescent="0.25">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352</v>
      </c>
      <c r="M20" s="57"/>
      <c r="O20" s="100" t="s">
        <v>354</v>
      </c>
    </row>
    <row r="21" spans="1:22" ht="20.100000000000001" customHeight="1" x14ac:dyDescent="0.25">
      <c r="A21" s="21" t="str">
        <f>HYPERLINK("#'4.3.1.12-13 Soil leach runoff'!A1", "4.3.1.12-13 Soil leach runoff")</f>
        <v>4.3.1.12-13 Soil leach runoff</v>
      </c>
      <c r="D21" s="99" t="s">
        <v>353</v>
      </c>
      <c r="M21" s="57"/>
      <c r="O21" s="99" t="s">
        <v>355</v>
      </c>
    </row>
    <row r="22" spans="1:22" ht="20.100000000000001" customHeight="1" x14ac:dyDescent="0.25">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INDEX(X_Table_Dairy_ProductionSystems_Method1,2,1)</f>
        <v>Pasture</v>
      </c>
      <c r="E23" s="53" t="str">
        <f>'Constants - Common Livestock'!$E$27</f>
        <v>Pasture range and paddock</v>
      </c>
      <c r="F23" s="53">
        <f>INDEX(M1_Table_MN_j_m14,2,3)</f>
        <v>9690.7906525703293</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Common Livestock'!$E$27</f>
        <v>Pasture range and paddock</v>
      </c>
      <c r="Q23" s="53">
        <f>INDEX(M2_Table_MN_j_m14,2,3)</f>
        <v>9690.7906525703293</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100000000000001" customHeight="1" x14ac:dyDescent="0.25">
      <c r="A24" s="154" t="s">
        <v>1</v>
      </c>
    </row>
    <row r="25" spans="1:22" ht="20.100000000000001" customHeight="1" x14ac:dyDescent="0.25">
      <c r="A25" s="17" t="str">
        <f>HYPERLINK("#'Constants - Dairy'!A1", "Constants - Dairy")</f>
        <v>Constants - Dairy</v>
      </c>
      <c r="D25" s="100" t="s">
        <v>368</v>
      </c>
      <c r="O25" s="100" t="s">
        <v>370</v>
      </c>
    </row>
    <row r="26" spans="1:22" ht="20.100000000000001" customHeight="1" x14ac:dyDescent="0.25">
      <c r="A26" s="17" t="str">
        <f>HYPERLINK("#'Constants - Common'!A1", "Constants - Common")</f>
        <v>Constants - Common</v>
      </c>
      <c r="D26" s="99" t="s">
        <v>369</v>
      </c>
      <c r="O26" s="99" t="s">
        <v>371</v>
      </c>
    </row>
    <row r="27" spans="1:22" ht="20.100000000000001" customHeight="1" x14ac:dyDescent="0.25">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100000000000001" customHeight="1" x14ac:dyDescent="0.25">
      <c r="A28" s="17" t="str">
        <f>HYPERLINK("#'Acknowledgements'!A1", "Acknowledgements")</f>
        <v>Acknowledgements</v>
      </c>
      <c r="D28" s="53" t="str">
        <f>INDEX(X_Table_Dairy_ProductionSystems_Method1,2,1)</f>
        <v>Pasture</v>
      </c>
      <c r="E28" s="53" t="str">
        <f>'Constants - Common Livestock'!$E$27</f>
        <v>Pasture range and paddock</v>
      </c>
      <c r="F28" s="53" cm="1">
        <f t="array" ref="F28">MMS_Dairy_Soil_LeachingAndRunoff.VEERG_4_3_1_12__2_MassOfNitrogenLostToLeachingAndRunoffOnPasture(F23,$I$14,$I$15)</f>
        <v>2325.789756616879</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Common Livestock'!$E$27</f>
        <v>Pasture range and paddock</v>
      </c>
      <c r="Q28" s="53" cm="1">
        <f t="array" ref="Q28">MMS_Dairy_Soil_LeachingAndRunoff.VEERG_4_3_1_12__2_MassOfNitrogenLostToLeachingAndRunoffOnPasture(Q23,$I$14,$I$15)</f>
        <v>2325.789756616879</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100000000000001" customHeight="1" x14ac:dyDescent="0.25">
      <c r="A29" s="17" t="str">
        <f>HYPERLINK("#'Tab template'!A1", "Tab template")</f>
        <v>Tab template</v>
      </c>
    </row>
    <row r="30" spans="1:22" ht="20.100000000000001" customHeight="1" x14ac:dyDescent="0.25">
      <c r="D30" s="114" t="s">
        <v>373</v>
      </c>
      <c r="E30" s="46">
        <f>SUM(F28:J28)</f>
        <v>5705.6199149884496</v>
      </c>
      <c r="F30" s="108" t="str">
        <f>$E$11</f>
        <v>kg N</v>
      </c>
      <c r="O30" s="114" t="s">
        <v>373</v>
      </c>
      <c r="P30" s="46">
        <f>SUM(Q28:U28)</f>
        <v>5705.6199149884496</v>
      </c>
      <c r="Q30" s="108"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25</v>
      </c>
      <c r="E37" s="13" t="str">
        <f ca="1">Common_InputFunctions.Utility_DisplayFunctionName(VEERG_4_3_1_12__1_LeachingAndRunoffEmissionsFromUrineAndDungOnPasture_Result_Method1)</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MMS_Dairy_Soil_LeachingAndRunoff.VEERG_4_3_1_12__1_LeachingAndRunoffEmissionsFromUrineAndDungOnPasture_Variable()</f>
        <v>E_N2Oleach</v>
      </c>
    </row>
    <row r="41" spans="3:23" ht="20.100000000000001" customHeight="1" x14ac:dyDescent="0.25">
      <c r="D41" s="54" t="s">
        <v>18</v>
      </c>
      <c r="E41" s="55"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5705.6199149884496</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5705.6199149884496</v>
      </c>
    </row>
    <row r="44" spans="3:23" ht="20.100000000000001" customHeight="1" x14ac:dyDescent="0.25">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100000000000001" customHeight="1" x14ac:dyDescent="0.25">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6" spans="3:23" ht="20.100000000000001" customHeight="1" x14ac:dyDescent="0.25"/>
    <row r="47" spans="3:23" ht="20.100000000000001" customHeight="1" x14ac:dyDescent="0.25">
      <c r="D47" s="104" t="s">
        <v>372</v>
      </c>
      <c r="E47" s="105" cm="1">
        <f t="array" ref="E47">MMS_Dairy_Soil_LeachingAndRunoff.VEERG_4_3_1_12__1_LeachingAndRunoffEmissionsFromUrineAndDungOnPasture($J$43,$J$44,$J$45)</f>
        <v>9.8625715673371778E-2</v>
      </c>
      <c r="F47" s="106" t="str">
        <f>$E$41</f>
        <v>t N2O</v>
      </c>
      <c r="O47" s="104" t="s">
        <v>372</v>
      </c>
      <c r="P47" s="105" cm="1">
        <f t="array" ref="P47">MMS_Dairy_Soil_LeachingAndRunoff.VEERG_4_3_1_12__1_LeachingAndRunoffEmissionsFromUrineAndDungOnPasture($U$43,$J$44,$J$45)</f>
        <v>9.8625715673371778E-2</v>
      </c>
      <c r="Q47" s="106" t="str">
        <f>$E$41</f>
        <v>t N2O</v>
      </c>
    </row>
    <row r="48" spans="3:23" ht="20.100000000000001" customHeight="1" x14ac:dyDescent="0.25"/>
    <row r="49" spans="4:18" ht="20.100000000000001" customHeight="1" x14ac:dyDescent="0.25">
      <c r="D49" s="58" t="str" cm="1">
        <f t="array" ref="D49:E50">Common_Equations.Common_ConvertN2OToCO2e_Arguments()</f>
        <v>EN2O</v>
      </c>
      <c r="E49" s="59" t="str">
        <v>Nitrous oxide emissions (t N2O)</v>
      </c>
      <c r="F49" s="107"/>
      <c r="G49" s="53">
        <f>VEERG_4_3_1_12__1_LeachingAndRunoffEmissionsFromUrineAndDungOnPasture_Result_Method1</f>
        <v>9.8625715673371778E-2</v>
      </c>
      <c r="O49" s="58" t="str" cm="1">
        <f t="array" ref="O49:P50">Common_Equations.Common_ConvertN2OToCO2e_Arguments()</f>
        <v>EN2O</v>
      </c>
      <c r="P49" s="59" t="str">
        <v>Nitrous oxide emissions (t N2O)</v>
      </c>
      <c r="Q49" s="107"/>
      <c r="R49" s="53">
        <f>VEERG_4_3_1_12__1_LeachingAndRunoffEmissionsFromUrineAndDungOnPasture_Result_Method2</f>
        <v>9.8625715673371778E-2</v>
      </c>
    </row>
    <row r="50" spans="4:18" ht="20.100000000000001" customHeight="1" x14ac:dyDescent="0.25">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1" spans="4:18" ht="20.100000000000001" customHeight="1" x14ac:dyDescent="0.25"/>
    <row r="52" spans="4:18" ht="20.100000000000001" customHeight="1" x14ac:dyDescent="0.25">
      <c r="D52" s="46" t="s">
        <v>104</v>
      </c>
      <c r="E52" s="46" cm="1">
        <f t="array" ref="E52">Common_Equations.Common_ConvertN2OToCO2e(G49,G50)</f>
        <v>26.135814653443521</v>
      </c>
      <c r="F52" s="108" t="str" cm="1">
        <f t="array" ref="F52">Common_Equations.Common_ConvertN2OToCO2e_Unit()</f>
        <v>t CO2e</v>
      </c>
      <c r="O52" s="46" t="s">
        <v>104</v>
      </c>
      <c r="P52" s="46" cm="1">
        <f t="array" ref="P52">Common_Equations.Common_ConvertN2OToCO2e(R49,R50)</f>
        <v>26.135814653443521</v>
      </c>
      <c r="Q52" s="108"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topLeftCell="H1" zoomScaleNormal="100" workbookViewId="0">
      <selection activeCell="L5" sqref="L5:L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164</v>
      </c>
      <c r="G5" s="6" t="s">
        <v>165</v>
      </c>
      <c r="J5" s="6" t="s">
        <v>143</v>
      </c>
      <c r="L5" s="6" t="s">
        <v>467</v>
      </c>
      <c r="M5" s="1"/>
    </row>
    <row r="6" spans="1:21" ht="20.100000000000001" customHeight="1" x14ac:dyDescent="0.25">
      <c r="L6" s="1" t="s">
        <v>469</v>
      </c>
      <c r="M6" s="1"/>
    </row>
    <row r="7" spans="1:21" ht="20.100000000000001" customHeight="1" x14ac:dyDescent="0.25">
      <c r="D7" s="98" t="s">
        <v>66</v>
      </c>
      <c r="E7" s="38" t="s">
        <v>77</v>
      </c>
      <c r="G7" s="38" t="s">
        <v>142</v>
      </c>
      <c r="J7" s="38" t="s">
        <v>140</v>
      </c>
      <c r="L7" s="38" t="s">
        <v>468</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144</v>
      </c>
      <c r="L8" s="38" t="s">
        <v>167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145</v>
      </c>
      <c r="L9" s="38" t="s">
        <v>184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146</v>
      </c>
      <c r="L10" s="38" t="s">
        <v>185</v>
      </c>
      <c r="M10" s="1"/>
    </row>
    <row r="11" spans="1:21" ht="20.100000000000001" customHeight="1" x14ac:dyDescent="0.25">
      <c r="D11" s="38" t="str">
        <f>'Constants - Common Livestock'!$E$15</f>
        <v>Solid storage</v>
      </c>
      <c r="E11" s="38" t="str">
        <f>'Constants - Common Livestock'!$F$15</f>
        <v>Solid storage (m=4)</v>
      </c>
      <c r="J11" s="1" t="s">
        <v>147</v>
      </c>
      <c r="L11" s="38" t="s">
        <v>186</v>
      </c>
      <c r="M11" s="1"/>
    </row>
    <row r="12" spans="1:21" ht="20.100000000000001" customHeight="1" x14ac:dyDescent="0.25">
      <c r="J12" s="1" t="s">
        <v>148</v>
      </c>
      <c r="L12" s="38" t="s">
        <v>187</v>
      </c>
      <c r="M12" s="1"/>
    </row>
    <row r="13" spans="1:21" ht="20.100000000000001" customHeight="1" x14ac:dyDescent="0.25">
      <c r="A13" s="18" t="s">
        <v>73</v>
      </c>
      <c r="M13" s="1"/>
    </row>
    <row r="14" spans="1:21" ht="20.100000000000001" customHeight="1" x14ac:dyDescent="0.25">
      <c r="A14" s="17" t="str">
        <f>HYPERLINK("#'4.3.1.1-2 Methane'!A1", "4.3.1.1-2 Methane")</f>
        <v>4.3.1.1-2 Methane</v>
      </c>
      <c r="M14" s="1"/>
    </row>
    <row r="15" spans="1:21" ht="20.100000000000001" customHeight="1" x14ac:dyDescent="0.25">
      <c r="A15" s="17" t="str">
        <f>HYPERLINK("#'4.3.1.3-4 Direct N20'!A1", "4.3.1.3-4 Direct N20")</f>
        <v>4.3.1.3-4 Direct N20</v>
      </c>
      <c r="M15" s="1"/>
    </row>
    <row r="16" spans="1:21" ht="20.100000000000001" customHeight="1" x14ac:dyDescent="0.25">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100000000000001" customHeight="1" x14ac:dyDescent="0.25">
      <c r="A17" s="17" t="str">
        <f>HYPERLINK("#'4.3.1.6-7 Leaching and runoff'!A1", "4.3.1.6-7 Leaching and runoff")</f>
        <v>4.3.1.6-7 Leaching and runoff</v>
      </c>
      <c r="D17" s="5" t="str" cm="1">
        <f t="array" ref="D17">SourceData_Dairy.SourceData_Dairy_LiveweightCowsAndHeifers_Source()</f>
        <v>VEERG 2026: Table A.1.3.1</v>
      </c>
      <c r="M17" s="1"/>
    </row>
    <row r="18" spans="1:13" ht="20.100000000000001" customHeight="1" x14ac:dyDescent="0.25">
      <c r="A18" s="17" t="str">
        <f>HYPERLINK("#'4.3.1.8 Manure applied to soils'!A1", "4.3.1.8 Manure applied to soils")</f>
        <v>4.3.1.8 Manure applied to soils</v>
      </c>
      <c r="D18" s="1" t="str" cm="1">
        <f t="array" ref="D18">SourceData_Dairy.SourceData_Dairy_LiveweightCowsAndHeifers_Variable()</f>
        <v>Wj</v>
      </c>
      <c r="M18" s="1"/>
    </row>
    <row r="19" spans="1:13" ht="20.100000000000001" customHeight="1" x14ac:dyDescent="0.25">
      <c r="A19" s="17" t="str">
        <f>HYPERLINK("#'4.3.1.9 Soil direct N2O'!A1", "4.3.1.9 Soil direct N2O")</f>
        <v>4.3.1.9 Soil direct N2O</v>
      </c>
      <c r="D19" s="55" t="str" cm="1">
        <f t="array" ref="D19">SourceData_Dairy.SourceData_Dairy_LiveweightCowsAndHeifers_Unit()</f>
        <v>kg</v>
      </c>
      <c r="M19" s="1"/>
    </row>
    <row r="20" spans="1:13" ht="20.100000000000001" customHeight="1" x14ac:dyDescent="0.25">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HYPERLINK("#'4.3.1.12-13 Soil leach runoff'!A1", "4.3.1.12-13 Soil leach runoff")</f>
        <v>4.3.1.12-13 Soil leach runoff</v>
      </c>
      <c r="D21" s="38" t="s">
        <v>166</v>
      </c>
      <c r="E21" s="38" t="s">
        <v>167</v>
      </c>
      <c r="F21" s="38" t="s">
        <v>168</v>
      </c>
      <c r="G21" s="38" t="s">
        <v>169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5" t="str" cm="1">
        <f t="array" ref="D37">SourceData_Dairy.SourceData_Dairy_LiveweightBulls_Unit()</f>
        <v>kg</v>
      </c>
      <c r="M37" s="1"/>
    </row>
    <row r="38" spans="4:13" ht="20.100000000000001" customHeight="1" x14ac:dyDescent="0.25">
      <c r="D38" s="38" t="s">
        <v>166</v>
      </c>
      <c r="E38" s="38" t="s">
        <v>171</v>
      </c>
      <c r="F38" s="38" t="s">
        <v>170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5" t="str" cm="1">
        <f t="array" ref="D45">SourceData_Dairy.SourceData_Dairy_LiveweightGain_Unit()</f>
        <v>kg</v>
      </c>
      <c r="M45" s="1"/>
    </row>
    <row r="46" spans="4:13" ht="20.100000000000001" customHeight="1" x14ac:dyDescent="0.25">
      <c r="D46" s="38" t="s">
        <v>167</v>
      </c>
      <c r="E46" s="38" t="s">
        <v>168</v>
      </c>
      <c r="F46" s="38" t="s">
        <v>169</v>
      </c>
      <c r="G46" s="38" t="s">
        <v>171</v>
      </c>
      <c r="H46" s="38" t="s">
        <v>170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5" t="str" cm="1">
        <f t="array" ref="D53">SourceData_Dairy.SourceData_Dairy_ReferenceWeights_Unit()</f>
        <v>kg</v>
      </c>
      <c r="M53" s="1"/>
    </row>
    <row r="54" spans="4:13" ht="20.100000000000001" customHeight="1" x14ac:dyDescent="0.25">
      <c r="D54" s="121" t="s">
        <v>167</v>
      </c>
      <c r="E54" s="121" t="s">
        <v>168</v>
      </c>
      <c r="F54" s="121" t="s">
        <v>169</v>
      </c>
      <c r="G54" s="121" t="s">
        <v>171</v>
      </c>
      <c r="H54" s="121" t="s">
        <v>170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5" t="str" cm="1">
        <f t="array" ref="D61">SourceData_Dairy.SourceData_Dairy_PreWeanedCalves_Unit()</f>
        <v>kg/day</v>
      </c>
      <c r="M61" s="1"/>
    </row>
    <row r="62" spans="4:13" ht="20.100000000000001" customHeight="1" x14ac:dyDescent="0.25">
      <c r="D62" s="38" t="s">
        <v>172</v>
      </c>
      <c r="E62" s="38" t="s">
        <v>173</v>
      </c>
      <c r="F62" s="38" t="s">
        <v>174</v>
      </c>
      <c r="G62" s="38" t="s">
        <v>175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5" t="str" cm="1">
        <f t="array" ref="D70">SourceData_Dairy.SourceData_Dairy_MCF_Unit()</f>
        <v>fraction</v>
      </c>
      <c r="M70" s="1"/>
    </row>
    <row r="71" spans="4:22" ht="20.100000000000001" customHeight="1" x14ac:dyDescent="0.25">
      <c r="D71" s="56" t="str" cm="1">
        <f t="array" ref="D71">SourceData_Dairy.SourceData_Dairy_MCF_Variation()</f>
        <v>VARIATION OF SOURCE: Added 'NIR reference' column to aid lookup</v>
      </c>
      <c r="M71" s="1"/>
      <c r="V71" s="1"/>
    </row>
    <row r="72" spans="4:22" ht="20.100000000000001" customHeight="1" x14ac:dyDescent="0.25">
      <c r="D72" s="38" t="s">
        <v>96</v>
      </c>
      <c r="E72" s="38" t="s">
        <v>78</v>
      </c>
      <c r="F72" s="38" t="s">
        <v>79</v>
      </c>
      <c r="G72" s="38" t="s">
        <v>80</v>
      </c>
      <c r="H72" s="38" t="s">
        <v>81</v>
      </c>
      <c r="I72" s="38" t="s">
        <v>82</v>
      </c>
      <c r="J72" s="38" t="s">
        <v>83</v>
      </c>
      <c r="K72" s="38" t="s">
        <v>84</v>
      </c>
      <c r="L72" s="38" t="s">
        <v>85</v>
      </c>
      <c r="M72" s="38" t="s">
        <v>183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5" t="str" cm="1">
        <f t="array" ref="D84">SourceData_Dairy.SourceData_Dairy_NitrousOxideEFsAndFracGASM_Unit()</f>
        <v>kg N2O-N/kg N excreted</v>
      </c>
      <c r="M84" s="1"/>
    </row>
    <row r="85" spans="4:22" ht="20.100000000000001" customHeight="1" x14ac:dyDescent="0.25">
      <c r="D85" s="56" t="str" cm="1">
        <f t="array" ref="D85">SourceData_Dairy.SourceData_Dairy_NitrousOxideEFsAndFracGASM_Variation()</f>
        <v>VARIATION OF SOURCE: Added 'NIR reference' column to aid lookup</v>
      </c>
      <c r="M85" s="1"/>
      <c r="V85" s="1"/>
    </row>
    <row r="86" spans="4:22" ht="20.100000000000001" customHeight="1" x14ac:dyDescent="0.25">
      <c r="D86" s="38" t="s">
        <v>96</v>
      </c>
      <c r="E86" s="38" t="s">
        <v>176</v>
      </c>
      <c r="F86" s="38" t="s">
        <v>177</v>
      </c>
      <c r="G86" s="38" t="s">
        <v>183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5" t="str" cm="1">
        <f t="array" ref="D97">SourceData_Dairy.SourceData_Dairy_MethaneProductionPreWeanedCalves_Unit()</f>
        <v>kg CH4/head/day</v>
      </c>
      <c r="M97" s="1"/>
    </row>
    <row r="98" spans="4:13" ht="20.100000000000001" customHeight="1" x14ac:dyDescent="0.25">
      <c r="D98" s="38" t="s">
        <v>172</v>
      </c>
      <c r="E98" s="38" t="s">
        <v>178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5" t="str" cm="1">
        <f t="array" ref="D106">SourceData_Dairy.SourceData_Dairy_IncreasedMetabolicRateMilk_Unit()</f>
        <v/>
      </c>
      <c r="M106" s="1"/>
    </row>
    <row r="107" spans="4:13" ht="20.100000000000001" customHeight="1" x14ac:dyDescent="0.25">
      <c r="D107" s="38" t="s">
        <v>172</v>
      </c>
      <c r="E107" s="38" t="s">
        <v>179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5" t="str" cm="1">
        <f t="array" ref="D115">SourceData_Dairy.SourceData_Dairy_FractionVolatileSolidsVoidedMMS_Unit()</f>
        <v>fraction</v>
      </c>
      <c r="M115" s="1"/>
      <c r="V115" s="1"/>
    </row>
    <row r="116" spans="4:22" ht="20.100000000000001" customHeight="1" x14ac:dyDescent="0.25">
      <c r="D116" s="38" t="s">
        <v>180</v>
      </c>
      <c r="E116" s="38" t="s">
        <v>141</v>
      </c>
      <c r="F116" s="38" t="s">
        <v>181</v>
      </c>
      <c r="G116" s="38" t="s">
        <v>182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5" t="str" cm="1">
        <f t="array" ref="D126">SourceData_Dairy.SourceData_Dairy_EFNitrousOxidePerMMS_Unit()</f>
        <v>kg N2O-N/kg N</v>
      </c>
      <c r="M126" s="1"/>
      <c r="V126" s="1"/>
    </row>
    <row r="127" spans="4:22" ht="20.100000000000001" customHeight="1" x14ac:dyDescent="0.25">
      <c r="D127" s="56" t="str" cm="1">
        <f t="array" ref="D127">SourceData_Dairy.SourceData_Dairy_EFNitrousOxidePerMMS_Variation()</f>
        <v>VARIATION OF SOURCE: Added 'NIR reference' column to aid lookup</v>
      </c>
      <c r="M127" s="1"/>
      <c r="V127" s="1"/>
    </row>
    <row r="128" spans="4:22" ht="20.100000000000001" customHeight="1" x14ac:dyDescent="0.25">
      <c r="D128" s="38" t="s">
        <v>96</v>
      </c>
      <c r="E128" s="38" t="s">
        <v>176</v>
      </c>
      <c r="F128" s="38" t="s">
        <v>183</v>
      </c>
      <c r="G128" s="110" t="s">
        <v>198</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5" t="str" cm="1">
        <f t="array" ref="D139">SourceData_Dairy.SourceData_Dairy_DurationOfStay_Unit()</f>
        <v>days</v>
      </c>
      <c r="M139" s="23"/>
    </row>
    <row r="140" spans="4:22" ht="20.100000000000001" customHeight="1" x14ac:dyDescent="0.25">
      <c r="D140" s="56"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172</v>
      </c>
      <c r="E141" s="38" t="s">
        <v>193</v>
      </c>
      <c r="F141" s="38" t="s">
        <v>194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5" t="str" cm="1">
        <f t="array" ref="D152">SourceData_Dairy.SourceData_Dairy_CrudeProtein_Unit()</f>
        <v>fraction</v>
      </c>
      <c r="M152" s="23"/>
    </row>
    <row r="153" spans="4:13" ht="20.100000000000001" customHeight="1" x14ac:dyDescent="0.25">
      <c r="D153" s="54"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5" t="str" cm="1">
        <f t="array" ref="D159">SourceData_Dairy.SourceData_Dairy_DryMatterDigestibility_Unit()</f>
        <v>fraction</v>
      </c>
      <c r="M159" s="23"/>
    </row>
    <row r="160" spans="4:13" ht="20.100000000000001" customHeight="1" x14ac:dyDescent="0.25">
      <c r="D160" s="54"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5" t="str" cm="1">
        <f t="array" ref="D166">SourceData_Dairy.SourceData_Dairy_NetEnergy_Unit()</f>
        <v>MJ net energy / kg milk</v>
      </c>
      <c r="M166" s="23"/>
    </row>
    <row r="167" spans="1:13" x14ac:dyDescent="0.25">
      <c r="D167" s="54"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5" t="str" cm="1">
        <f t="array" ref="D173">SourceData_Dairy.SourceData_Dairy_GrossEnergyContent_Unit()</f>
        <v>MJ / kgDM</v>
      </c>
      <c r="M173" s="23"/>
    </row>
    <row r="174" spans="1:13" x14ac:dyDescent="0.25">
      <c r="A174" s="137" t="str">
        <f>HYPERLINK("#A1", "▲ Back to top")</f>
        <v>▲ Back to top</v>
      </c>
      <c r="D174" s="54"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5" t="str" cm="1">
        <f t="array" ref="D180">SourceData_Dairy.SourceData_Dairy_EfficiencyOfUseOfMetabolizableEnergy_Unit()</f>
        <v>fraction</v>
      </c>
      <c r="M180" s="23"/>
    </row>
    <row r="181" spans="4:13" x14ac:dyDescent="0.25">
      <c r="D181" s="54"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5" t="str" cm="1">
        <f t="array" ref="D187">SourceData_Dairy.SourceData_Dairy_AshContent_Unit()</f>
        <v>fraction</v>
      </c>
      <c r="M187" s="23"/>
    </row>
    <row r="188" spans="4:13" x14ac:dyDescent="0.25">
      <c r="D188" s="54"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5" t="str" cm="1">
        <f t="array" ref="D194">SourceData_Dairy.SourceData_Dairy_MethaneEmissionsPotential_Unit()</f>
        <v>m3 CH4/kgVS</v>
      </c>
      <c r="M194" s="23"/>
    </row>
    <row r="195" spans="4:13" x14ac:dyDescent="0.25">
      <c r="D195" s="54"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5" t="str" cm="1">
        <f t="array" ref="D201">SourceData_Dairy.SourceData_Dairy_EmissionFactorForLeachingAndRunoff_Unit()</f>
        <v>kg N2O-N/kg N</v>
      </c>
      <c r="M201" s="23"/>
    </row>
    <row r="202" spans="4:13" x14ac:dyDescent="0.25">
      <c r="D202" s="54"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5" t="str" cm="1">
        <f t="array" ref="D208">SourceData_Dairy.SourceData_Dairy_FractionOfNitrogenLostThroughLeachingAndRunoff_Unit()</f>
        <v>Fraction</v>
      </c>
      <c r="M208" s="23"/>
    </row>
    <row r="209" spans="1:13" x14ac:dyDescent="0.25">
      <c r="D209" s="54"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SourceData_Dairy.SourceData_Dairy_FractionOfNitrogenLostThroughLeachingAndRunoffSolidStorage_Title()</f>
        <v>Fraction of nitrogen lost through leaching and runoff for solid storage MMS only</v>
      </c>
      <c r="M211" s="23"/>
    </row>
    <row r="212" spans="1:13" x14ac:dyDescent="0.25">
      <c r="D212" s="5" t="str" cm="1">
        <f t="array" ref="D212">SourceData_Dairy.SourceData_Dairy_FractionOfNitrogenLostThroughLeachingAndRunoffSolidStorage_Source()</f>
        <v>VEERG 2026: 4.3.2.3 CONSTANTS</v>
      </c>
      <c r="M212" s="23"/>
    </row>
    <row r="213" spans="1:13" x14ac:dyDescent="0.25">
      <c r="D213" s="1" t="str" cm="1">
        <f t="array" ref="D213">SourceData_Dairy.SourceData_Dairy_FractionOfNitrogenLostThroughLeachingAndRunoffSolidStorage_Variable()</f>
        <v>Frac_LEACH_MS</v>
      </c>
      <c r="M213" s="23"/>
    </row>
    <row r="214" spans="1:13" x14ac:dyDescent="0.25">
      <c r="D214" s="55" t="str" cm="1">
        <f t="array" ref="D214">SourceData_Dairy.SourceData_Dairy_FractionOfNitrogenLostThroughLeachingAndRunoffSolidStorage_Unit()</f>
        <v>Fraction</v>
      </c>
      <c r="M214" s="23"/>
    </row>
    <row r="215" spans="1:13" x14ac:dyDescent="0.25">
      <c r="A215" s="137" t="str">
        <f>HYPERLINK("#A1", "▲ Back to top")</f>
        <v>▲ Back to top</v>
      </c>
      <c r="D215" s="54" cm="1">
        <f t="array" ref="D215">SourceData_Dairy.SourceData_Dairy_FractionOfNitrogenLostThroughLeachingAndRunoffSolidStorage_Data()</f>
        <v>0.02</v>
      </c>
      <c r="M215" s="23"/>
    </row>
    <row r="216" spans="1:13" x14ac:dyDescent="0.25">
      <c r="M216" s="23"/>
    </row>
    <row r="217" spans="1:13" ht="23.25" x14ac:dyDescent="0.25">
      <c r="D217" s="6" t="str" cm="1">
        <f t="array" ref="D217">SourceData_Dairy.SourceData_Dairy_FracGASMSoil_Title()</f>
        <v>Fraction of nitrogen volatilized from urine and faeces deposited on pasture</v>
      </c>
      <c r="M217" s="23"/>
    </row>
    <row r="218" spans="1:13" x14ac:dyDescent="0.25">
      <c r="D218" s="5" t="str" cm="1">
        <f t="array" ref="D218">SourceData_Dairy.SourceData_Dairy_FracGASMSoil_Source()</f>
        <v>VEERG 2026: 4.3.2.3 CONSTANTS</v>
      </c>
      <c r="M218" s="23"/>
    </row>
    <row r="219" spans="1:13" x14ac:dyDescent="0.25">
      <c r="D219" s="1" t="str" cm="1">
        <f t="array" ref="D219">SourceData_Dairy.SourceData_Dairy_FracGASMSoil_Variable()</f>
        <v>FracGASMsoil</v>
      </c>
      <c r="M219" s="23"/>
    </row>
    <row r="220" spans="1:13" x14ac:dyDescent="0.25">
      <c r="D220" s="55" t="str" cm="1">
        <f t="array" ref="D220">SourceData_Dairy.SourceData_Dairy_FracGASMSoil_Unit()</f>
        <v>(kg NH3-N + NOx-N)/kg N</v>
      </c>
      <c r="M220" s="23"/>
    </row>
    <row r="221" spans="1:13" x14ac:dyDescent="0.25">
      <c r="D221" s="54" cm="1">
        <f t="array" ref="D221">SourceData_Dairy.SourceData_Dairy_FracGASMSoil_Data()</f>
        <v>0.21</v>
      </c>
      <c r="M221" s="23"/>
    </row>
    <row r="222" spans="1:13" x14ac:dyDescent="0.25">
      <c r="M222" s="23"/>
    </row>
    <row r="223" spans="1:13" ht="23.25" x14ac:dyDescent="0.25">
      <c r="D223" s="6" t="str" cm="1">
        <f t="array" ref="D223">SourceData_Dairy.SourceData_Dairy_FatContentInMilk_Title()</f>
        <v>Fat content in fat and protein corrected milk</v>
      </c>
      <c r="M223" s="23"/>
    </row>
    <row r="224" spans="1:13" x14ac:dyDescent="0.25">
      <c r="D224" s="5" t="str" cm="1">
        <f t="array" ref="D224">SourceData_Dairy.SourceData_Dairy_FatContentInMilk_Source()</f>
        <v>VEERG 2026: 3.3.2.2 DATA (METHOD 1 AND 2 OPTIONS)</v>
      </c>
      <c r="M224" s="23"/>
    </row>
    <row r="225" spans="4:13" x14ac:dyDescent="0.25">
      <c r="D225" s="1" t="str" cm="1">
        <f t="array" ref="D225">SourceData_Dairy.SourceData_Dairy_FatContentInMilk_Variable()</f>
        <v>FC_j</v>
      </c>
      <c r="M225" s="23"/>
    </row>
    <row r="226" spans="4:13" x14ac:dyDescent="0.25">
      <c r="D226" s="55" t="str" cm="1">
        <f t="array" ref="D226">SourceData_Dairy.SourceData_Dairy_FatContentInMilk_Unit()</f>
        <v>percent</v>
      </c>
      <c r="M226" s="23"/>
    </row>
    <row r="227" spans="4:13" x14ac:dyDescent="0.25">
      <c r="D227" s="54" cm="1">
        <f t="array" ref="D227">SourceData_Dairy.SourceData_Dairy_FatContentInMilk_Data()</f>
        <v>4</v>
      </c>
      <c r="M227" s="23"/>
    </row>
    <row r="228" spans="4:13" x14ac:dyDescent="0.25">
      <c r="M228" s="23"/>
    </row>
    <row r="229" spans="4:13" ht="23.25" x14ac:dyDescent="0.25">
      <c r="D229" s="6" t="str" cm="1">
        <f t="array" ref="D229">SourceData_Dairy.SourceData_Dairy_ProteinContentInMilk_Title()</f>
        <v>Protein content in fat and protein corrected milk</v>
      </c>
      <c r="M229" s="23"/>
    </row>
    <row r="230" spans="4:13" x14ac:dyDescent="0.25">
      <c r="D230" s="5" t="str" cm="1">
        <f t="array" ref="D230">SourceData_Dairy.SourceData_Dairy_ProteinContentInMilk_Source()</f>
        <v>VEERG 2026: 3.3.2.2 DATA (METHOD 1 AND 2 OPTIONS)</v>
      </c>
      <c r="M230" s="23"/>
    </row>
    <row r="231" spans="4:13" x14ac:dyDescent="0.25">
      <c r="D231" s="1" t="str" cm="1">
        <f t="array" ref="D231">SourceData_Dairy.SourceData_Dairy_ProteinContentInMilk_Variable()</f>
        <v>PC_j</v>
      </c>
      <c r="M231" s="23"/>
    </row>
    <row r="232" spans="4:13" x14ac:dyDescent="0.25">
      <c r="D232" s="55" t="str" cm="1">
        <f t="array" ref="D232">SourceData_Dairy.SourceData_Dairy_ProteinContentInMilk_Unit()</f>
        <v>percent</v>
      </c>
      <c r="M232" s="23"/>
    </row>
    <row r="233" spans="4:13" x14ac:dyDescent="0.25">
      <c r="D233" s="54" cm="1">
        <f t="array" ref="D233">SourceData_Dairy.SourceData_Dairy_ProteinContentInMilk_Data()</f>
        <v>3.3</v>
      </c>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94F4E-AD00-4D4C-A7E4-E8C5637B75F9}">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54" t="s">
        <v>1</v>
      </c>
      <c r="D6" s="38" t="s">
        <v>20</v>
      </c>
      <c r="E6" s="38" t="s">
        <v>21</v>
      </c>
      <c r="F6" s="38" t="s">
        <v>22</v>
      </c>
    </row>
    <row r="7" spans="1:65" ht="20.100000000000001" customHeight="1" x14ac:dyDescent="0.25">
      <c r="A7" s="68"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23</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26</v>
      </c>
      <c r="E36" s="38" t="s">
        <v>27</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26</v>
      </c>
      <c r="E47" s="38" t="s">
        <v>29</v>
      </c>
      <c r="F47" s="38" t="s">
        <v>30</v>
      </c>
      <c r="G47" s="38" t="s">
        <v>31</v>
      </c>
      <c r="H47" s="38" t="s">
        <v>32</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47</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54</v>
      </c>
      <c r="E109" s="38" t="s">
        <v>35</v>
      </c>
      <c r="F109" s="38" t="s">
        <v>55</v>
      </c>
      <c r="G109" s="38" t="s">
        <v>56</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57</v>
      </c>
      <c r="E119" s="38" t="s">
        <v>58</v>
      </c>
      <c r="F119" s="38" t="s">
        <v>42</v>
      </c>
      <c r="G119" s="38" t="s">
        <v>43</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64</v>
      </c>
      <c r="E127" s="38" t="s">
        <v>65</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89</v>
      </c>
      <c r="E134" t="s">
        <v>90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321</v>
      </c>
      <c r="E142" s="38" t="s">
        <v>90</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67</v>
      </c>
      <c r="E153" s="38" t="s">
        <v>68</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137</v>
      </c>
      <c r="E186" s="38" t="s">
        <v>138</v>
      </c>
      <c r="F186" s="38" t="s">
        <v>139</v>
      </c>
      <c r="G186" s="38" t="s">
        <v>140</v>
      </c>
      <c r="H186" s="38" t="s">
        <v>34</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356</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385</v>
      </c>
      <c r="E212" s="38" t="s">
        <v>386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6" x14ac:dyDescent="0.25">
      <c r="D257" s="38" t="s">
        <v>462</v>
      </c>
      <c r="E257" s="38" t="s">
        <v>463</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471</v>
      </c>
    </row>
    <row r="264" spans="4:6" x14ac:dyDescent="0.25">
      <c r="D264" s="1" t="s">
        <v>472</v>
      </c>
    </row>
    <row r="265" spans="4:6" x14ac:dyDescent="0.25">
      <c r="D265" s="38" t="s">
        <v>473</v>
      </c>
      <c r="E265" s="38" t="s">
        <v>474</v>
      </c>
      <c r="F265" s="38" t="s">
        <v>475</v>
      </c>
    </row>
    <row r="266" spans="4:6" x14ac:dyDescent="0.25">
      <c r="D266" s="38" t="s">
        <v>476</v>
      </c>
      <c r="E266" s="38" t="s">
        <v>477</v>
      </c>
      <c r="F266" s="38">
        <v>5</v>
      </c>
    </row>
    <row r="267" spans="4:6" x14ac:dyDescent="0.25">
      <c r="D267" s="38" t="s">
        <v>478</v>
      </c>
      <c r="E267" s="38" t="s">
        <v>479</v>
      </c>
      <c r="F267" s="38">
        <v>4</v>
      </c>
    </row>
    <row r="268" spans="4:6" x14ac:dyDescent="0.25">
      <c r="D268" s="38" t="s">
        <v>480</v>
      </c>
      <c r="E268" s="38" t="s">
        <v>481</v>
      </c>
      <c r="F268" s="38">
        <v>3</v>
      </c>
    </row>
    <row r="269" spans="4:6" x14ac:dyDescent="0.25">
      <c r="D269" s="38" t="s">
        <v>482</v>
      </c>
      <c r="E269" s="38" t="s">
        <v>483</v>
      </c>
      <c r="F269" s="38">
        <v>2</v>
      </c>
    </row>
    <row r="270" spans="4:6" x14ac:dyDescent="0.25">
      <c r="D270" s="38" t="s">
        <v>484</v>
      </c>
      <c r="E270" s="38" t="s">
        <v>485</v>
      </c>
      <c r="F270" s="38">
        <v>1</v>
      </c>
    </row>
    <row r="273" spans="4:6" x14ac:dyDescent="0.25">
      <c r="D273" s="1" t="s">
        <v>486</v>
      </c>
    </row>
    <row r="274" spans="4:6" x14ac:dyDescent="0.25">
      <c r="D274" s="38" t="s">
        <v>473</v>
      </c>
      <c r="E274" s="38" t="s">
        <v>474</v>
      </c>
      <c r="F274" s="38" t="s">
        <v>475</v>
      </c>
    </row>
    <row r="275" spans="4:6" x14ac:dyDescent="0.25">
      <c r="D275" s="38" t="s">
        <v>487</v>
      </c>
      <c r="E275" s="38" t="s">
        <v>488</v>
      </c>
      <c r="F275" s="38">
        <v>5</v>
      </c>
    </row>
    <row r="276" spans="4:6" x14ac:dyDescent="0.25">
      <c r="D276" s="38" t="s">
        <v>489</v>
      </c>
      <c r="E276" s="38" t="s">
        <v>490</v>
      </c>
      <c r="F276" s="38">
        <v>4</v>
      </c>
    </row>
    <row r="277" spans="4:6" x14ac:dyDescent="0.25">
      <c r="D277" s="38" t="s">
        <v>491</v>
      </c>
      <c r="E277" s="38" t="s">
        <v>492</v>
      </c>
      <c r="F277" s="38">
        <v>3</v>
      </c>
    </row>
    <row r="278" spans="4:6" x14ac:dyDescent="0.25">
      <c r="D278" s="38" t="s">
        <v>493</v>
      </c>
      <c r="E278" s="38" t="s">
        <v>494</v>
      </c>
      <c r="F278" s="38">
        <v>2</v>
      </c>
    </row>
    <row r="279" spans="4:6" x14ac:dyDescent="0.25">
      <c r="D279" s="38" t="s">
        <v>495</v>
      </c>
      <c r="E279" s="38" t="s">
        <v>496</v>
      </c>
      <c r="F279" s="38">
        <v>1</v>
      </c>
    </row>
    <row r="282" spans="4:6" x14ac:dyDescent="0.25">
      <c r="D282" s="1" t="s">
        <v>497</v>
      </c>
    </row>
    <row r="283" spans="4:6" x14ac:dyDescent="0.25">
      <c r="D283" s="38" t="s">
        <v>473</v>
      </c>
      <c r="E283" s="38" t="s">
        <v>474</v>
      </c>
      <c r="F283" s="38" t="s">
        <v>475</v>
      </c>
    </row>
    <row r="284" spans="4:6" x14ac:dyDescent="0.25">
      <c r="D284" s="38" t="s">
        <v>498</v>
      </c>
      <c r="E284" s="38" t="s">
        <v>499</v>
      </c>
      <c r="F284" s="38">
        <v>5</v>
      </c>
    </row>
    <row r="285" spans="4:6" x14ac:dyDescent="0.25">
      <c r="D285" s="38" t="s">
        <v>500</v>
      </c>
      <c r="E285" s="38" t="s">
        <v>501</v>
      </c>
      <c r="F285" s="38">
        <v>4</v>
      </c>
    </row>
    <row r="286" spans="4:6" x14ac:dyDescent="0.25">
      <c r="D286" s="38" t="s">
        <v>502</v>
      </c>
      <c r="E286" s="38" t="s">
        <v>503</v>
      </c>
      <c r="F286" s="38">
        <v>3</v>
      </c>
    </row>
    <row r="287" spans="4:6" x14ac:dyDescent="0.25">
      <c r="D287" s="38" t="s">
        <v>504</v>
      </c>
      <c r="E287" s="38" t="s">
        <v>505</v>
      </c>
      <c r="F287" s="38">
        <v>2</v>
      </c>
    </row>
    <row r="288" spans="4:6" x14ac:dyDescent="0.25">
      <c r="D288" s="38" t="s">
        <v>506</v>
      </c>
      <c r="E288" s="38" t="s">
        <v>507</v>
      </c>
      <c r="F288" s="38">
        <v>1</v>
      </c>
    </row>
    <row r="291" spans="4:6" x14ac:dyDescent="0.25">
      <c r="D291" s="1" t="s">
        <v>508</v>
      </c>
    </row>
    <row r="292" spans="4:6" x14ac:dyDescent="0.25">
      <c r="D292" s="38" t="s">
        <v>473</v>
      </c>
      <c r="E292" s="38" t="s">
        <v>474</v>
      </c>
      <c r="F292" s="38" t="s">
        <v>475</v>
      </c>
    </row>
    <row r="293" spans="4:6" x14ac:dyDescent="0.25">
      <c r="D293" s="38" t="s">
        <v>509</v>
      </c>
      <c r="E293" s="38" t="s">
        <v>510</v>
      </c>
      <c r="F293" s="38">
        <v>5</v>
      </c>
    </row>
    <row r="294" spans="4:6" x14ac:dyDescent="0.25">
      <c r="D294" s="38" t="s">
        <v>511</v>
      </c>
      <c r="E294" s="38" t="s">
        <v>512</v>
      </c>
      <c r="F294" s="38">
        <v>4</v>
      </c>
    </row>
    <row r="295" spans="4:6" x14ac:dyDescent="0.25">
      <c r="D295" s="38" t="s">
        <v>513</v>
      </c>
      <c r="E295" s="38" t="s">
        <v>514</v>
      </c>
      <c r="F295" s="38">
        <v>3</v>
      </c>
    </row>
    <row r="296" spans="4:6" x14ac:dyDescent="0.25">
      <c r="D296" s="38" t="s">
        <v>515</v>
      </c>
      <c r="E296" s="38" t="s">
        <v>516</v>
      </c>
      <c r="F296" s="38">
        <v>2</v>
      </c>
    </row>
    <row r="297" spans="4:6" x14ac:dyDescent="0.25">
      <c r="D297" s="38" t="s">
        <v>517</v>
      </c>
      <c r="E297" s="38" t="s">
        <v>518</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topLeftCell="A2"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76</v>
      </c>
      <c r="E9" s="38" t="s">
        <v>19</v>
      </c>
      <c r="F9" s="38" t="s">
        <v>77</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17" t="str">
        <f>HYPERLINK("#'Acknowledgements'!A1", "Acknowledgements")</f>
        <v>Acknowledgements</v>
      </c>
      <c r="G28" s="3"/>
      <c r="H28" s="3"/>
    </row>
    <row r="29" spans="1:8" ht="20.100000000000001" customHeight="1" x14ac:dyDescent="0.25">
      <c r="A29" s="17" t="str">
        <f>HYPERLINK("#'Tab template'!A1", "Tab template")</f>
        <v>Tab template</v>
      </c>
    </row>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9" sqref="A29"/>
    </sheetView>
  </sheetViews>
  <sheetFormatPr defaultRowHeight="15" x14ac:dyDescent="0.25"/>
  <sheetData>
    <row r="1" spans="1:1" x14ac:dyDescent="0.25">
      <c r="A1" t="s">
        <v>519</v>
      </c>
    </row>
    <row r="3" spans="1:1" ht="15.75" x14ac:dyDescent="0.25">
      <c r="A3" s="17" t="str">
        <f>HYPERLINK("#'Home'!A1", "Home")</f>
        <v>Home</v>
      </c>
    </row>
    <row r="6" spans="1:1" x14ac:dyDescent="0.25">
      <c r="A6" s="154" t="s">
        <v>1</v>
      </c>
    </row>
    <row r="7" spans="1:1" ht="15.75" x14ac:dyDescent="0.25">
      <c r="A7" s="17" t="str">
        <f>HYPERLINK("#'Constants - Common'!A1", "Constants - Common")</f>
        <v>Constants - Common</v>
      </c>
    </row>
    <row r="8" spans="1:1" ht="15.75" x14ac:dyDescent="0.25">
      <c r="A8" s="68" t="str">
        <f>HYPERLINK("#'Acknowledgements'!A1", "Acknowledgements")</f>
        <v>Acknowledgements</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row>
    <row r="11" spans="1:21" ht="20.100000000000001" customHeight="1" x14ac:dyDescent="0.25"/>
    <row r="12" spans="1:21" ht="20.100000000000001" customHeight="1" x14ac:dyDescent="0.25"/>
    <row r="13" spans="1:21" ht="20.100000000000001" customHeight="1" x14ac:dyDescent="0.25">
      <c r="A13" s="18" t="s">
        <v>73</v>
      </c>
    </row>
    <row r="14" spans="1:21" ht="20.100000000000001" customHeight="1" x14ac:dyDescent="0.25">
      <c r="A14" s="17" t="str">
        <f>HYPERLINK("#'4.3.1.1-2 Methane'!A1", "4.3.1.1-2 Methane")</f>
        <v>4.3.1.1-2 Methane</v>
      </c>
    </row>
    <row r="15" spans="1:21" ht="20.100000000000001" customHeight="1" x14ac:dyDescent="0.25">
      <c r="A15" s="17" t="str">
        <f>HYPERLINK("#'4.3.1.3-4 Direct N20'!A1", "4.3.1.3-4 Direct N20")</f>
        <v>4.3.1.3-4 Direct N20</v>
      </c>
    </row>
    <row r="16" spans="1:21" ht="20.100000000000001" customHeight="1" x14ac:dyDescent="0.25">
      <c r="A16" s="17" t="str">
        <f>HYPERLINK("#'4.3.1.5 Atmos deposition'!A1", "4.3.1.5 Atmos deposition")</f>
        <v>4.3.1.5 Atmos deposition</v>
      </c>
    </row>
    <row r="17" spans="1:1" ht="20.100000000000001" customHeight="1" x14ac:dyDescent="0.25">
      <c r="A17" s="17" t="str">
        <f>HYPERLINK("#'4.3.1.6-7 Leaching and runoff'!A1", "4.3.1.6-7 Leaching and runoff")</f>
        <v>4.3.1.6-7 Leaching and runoff</v>
      </c>
    </row>
    <row r="18" spans="1:1" ht="20.100000000000001" customHeight="1" x14ac:dyDescent="0.25">
      <c r="A18" s="17" t="str">
        <f>HYPERLINK("#'4.3.1.8 Manure applied to soils'!A1", "4.3.1.8 Manure applied to soils")</f>
        <v>4.3.1.8 Manure applied to soils</v>
      </c>
    </row>
    <row r="19" spans="1:1" ht="20.100000000000001" customHeight="1" x14ac:dyDescent="0.25">
      <c r="A19" s="17" t="str">
        <f>HYPERLINK("#'4.3.1.9 Soil direct N2O'!A1", "4.3.1.9 Soil direct N2O")</f>
        <v>4.3.1.9 Soil direct N2O</v>
      </c>
    </row>
    <row r="20" spans="1:1" ht="20.100000000000001" customHeight="1" x14ac:dyDescent="0.25">
      <c r="A20" s="17" t="str">
        <f>HYPERLINK("#'4.3.1.10-11 Soil Atmos Dep'!A1", "4.3.1.10-11 Soil Atmos Dep")</f>
        <v>4.3.1.10-11 Soil Atmos Dep</v>
      </c>
    </row>
    <row r="21" spans="1:1" ht="20.100000000000001" customHeight="1" x14ac:dyDescent="0.25">
      <c r="A21" s="17" t="str">
        <f>HYPERLINK("#'4.3.1.12-13 Soil leach runoff'!A1", "4.3.1.12-13 Soil leach runoff")</f>
        <v>4.3.1.12-13 Soil leach runoff</v>
      </c>
    </row>
    <row r="22" spans="1:1" ht="20.100000000000001" customHeight="1" x14ac:dyDescent="0.25"/>
    <row r="23" spans="1:1" ht="20.100000000000001" customHeight="1" x14ac:dyDescent="0.25"/>
    <row r="24" spans="1:1" ht="20.100000000000001" customHeight="1" x14ac:dyDescent="0.25">
      <c r="A24" s="154" t="s">
        <v>1</v>
      </c>
    </row>
    <row r="25" spans="1:1" ht="20.100000000000001" customHeight="1" x14ac:dyDescent="0.25">
      <c r="A25" s="17" t="str">
        <f>HYPERLINK("#'Constants - Dairy'!A1", "Constants - Dairy")</f>
        <v>Constants - Dairy</v>
      </c>
    </row>
    <row r="26" spans="1:1" ht="20.100000000000001" customHeight="1" x14ac:dyDescent="0.25">
      <c r="A26" s="17" t="str">
        <f>HYPERLINK("#'Constants - Common'!A1", "Constants - Common")</f>
        <v>Constants - Common</v>
      </c>
    </row>
    <row r="27" spans="1:1" ht="20.100000000000001" customHeight="1" x14ac:dyDescent="0.25">
      <c r="A27" s="17" t="str">
        <f>HYPERLINK("#'Constants - Livestock'!A1", "Constants - Livestock")</f>
        <v>Constants - Livestock</v>
      </c>
    </row>
    <row r="28" spans="1:1" ht="20.100000000000001" customHeight="1" x14ac:dyDescent="0.25">
      <c r="A28" s="17" t="str">
        <f>HYPERLINK("#'Acknowledgements'!A1", "Acknowledgements")</f>
        <v>Acknowledgements</v>
      </c>
    </row>
    <row r="29" spans="1:1" ht="20.100000000000001" customHeight="1" x14ac:dyDescent="0.25">
      <c r="A29" s="68" t="str">
        <f>HYPERLINK("#'Tab template'!A1", "Tab template")</f>
        <v>Tab template</v>
      </c>
    </row>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226</vt:i4>
      </vt:variant>
    </vt:vector>
  </HeadingPairs>
  <TitlesOfParts>
    <vt:vector size="244"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Common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2026-08-28T05:14:17Z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