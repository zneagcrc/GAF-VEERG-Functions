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95FF5FEE-4AF6-4298-B7A5-B941477D3947}" xr6:coauthVersionLast="47" xr6:coauthVersionMax="47" xr10:uidLastSave="{00000000-0000-0000-0000-000000000000}"/>
  <bookViews>
    <workbookView xWindow="1155" yWindow="735" windowWidth="36330" windowHeight="19485" firstSheet="7" activeTab="12" xr2:uid="{992023F3-CAB7-4E5B-A348-08D563A0EF40}"/>
  </bookViews>
  <sheets>
    <sheet name="Home" sheetId="71" r:id="rId1"/>
    <sheet name="Overview" sheetId="106" r:id="rId2"/>
    <sheet name="Results" sheetId="13" r:id="rId3"/>
    <sheet name="Input - Site" sheetId="15" r:id="rId4"/>
    <sheet name="Input - Dairy" sheetId="70" r:id="rId5"/>
    <sheet name="4.3.1.1-2 Methane" sheetId="69" r:id="rId6"/>
    <sheet name="4.3.1.3-4 Direct N20" sheetId="76" r:id="rId7"/>
    <sheet name="4.3.1.5 Atmos deposition" sheetId="82" r:id="rId8"/>
    <sheet name="4.3.1.6-7 Leaching and runoff" sheetId="95" r:id="rId9"/>
    <sheet name="4.3.1.8 Manure applied to soils" sheetId="81" r:id="rId10"/>
    <sheet name="4.3.1.9 Soil direct N2O" sheetId="96" r:id="rId11"/>
    <sheet name="4.3.1.10-11 Soil Atmos Dep" sheetId="97" r:id="rId12"/>
    <sheet name="4.3.1.12-13 Soil leach runoff" sheetId="98" r:id="rId13"/>
    <sheet name="Constants - Dairy" sheetId="79" r:id="rId14"/>
    <sheet name="Constants - Common" sheetId="112" r:id="rId15"/>
    <sheet name="Constants - Common Livestock" sheetId="43" r:id="rId16"/>
    <sheet name="Acknowledgements" sheetId="72" r:id="rId17"/>
    <sheet name="Tab template" sheetId="74" r:id="rId18"/>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4">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4">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4">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4">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4">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_j">'4.3.1.3-4 Direct N20'!$N$212:$R$213</definedName>
    <definedName name="M1_Table_AE_j_Consumer_1">'4.3.1.3-4 Direct N20'!$D$212:$H$213</definedName>
    <definedName name="M1_Table_AE_j_Consumer_2">'4.3.1.9 Soil direct N2O'!$D$18:$H$19</definedName>
    <definedName name="M1_Table_AE_j124">'4.3.1.3-4 Direct N20'!$D$175:$H$176</definedName>
    <definedName name="M1_Table_CP_j">'4.3.1.3-4 Direct N20'!$D$120:$H$121</definedName>
    <definedName name="M1_Table_CPI_j">'4.3.1.3-4 Direct N20'!$D$125:$H$126</definedName>
    <definedName name="M1_Table_D_j">'4.3.1.1-2 Methane'!$D$274:$H$275</definedName>
    <definedName name="M1_Table_D_j124">'4.3.1.3-4 Direct N20'!$D$170:$H$171</definedName>
    <definedName name="M1_Table_D_j35">'4.3.1.3-4 Direct N20'!$N$202:$R$203</definedName>
    <definedName name="M1_Table_D_j35_Consumer_1">'4.3.1.3-4 Direct N20'!$D$202:$H$203</definedName>
    <definedName name="M1_Table_DMD_j">'4.3.1.1-2 Methane'!$D$18:$H$19</definedName>
    <definedName name="M1_Table_DPW_j">'4.3.1.3-4 Direct N20'!$D$207:$H$208</definedName>
    <definedName name="M1_Table_DPW_j_Consumer_1">'4.3.1.1-2 Methane'!$D$284:$H$285</definedName>
    <definedName name="M1_Table_DPW_j_Consumer_2">'4.3.1.1-2 Methane'!$O$284:$S$285</definedName>
    <definedName name="M1_Table_DPW_j_Consumer_3">'4.3.1.3-4 Direct N20'!$N$207:$R$208</definedName>
    <definedName name="M1_Table_E_CH4">'4.3.1.1-2 Methane'!$O$289:$U$298</definedName>
    <definedName name="M1_Table_E_CH4_Consumer_1">'4.3.1.1-2 Methane'!$D$289:$J$298</definedName>
    <definedName name="M1_Table_E_N2O_dir">'4.3.1.3-4 Direct N20'!$D$277:$J$285</definedName>
    <definedName name="M1_Table_E_N2O_dir_Consumer_1">'4.3.1.9 Soil direct N2O'!$D$50:$J$51</definedName>
    <definedName name="M1_Table_EF_N2O_leach">'4.3.1.6-7 Leaching and runoff'!$D$48:$J$50</definedName>
    <definedName name="M1_Table_FVS_j_m">'4.3.1.1-2 Methane'!$O$172:$U$179</definedName>
    <definedName name="M1_Table_FVS_j_m_Consumer_1">'4.3.1.1-2 Methane'!$D$172:$J$179</definedName>
    <definedName name="M1_Table_FVS_j_m4">'4.3.1.1-2 Methane'!$D$204:$J$206</definedName>
    <definedName name="M1_Table_I_j">'4.3.1.1-2 Methane'!$D$113:$H$114</definedName>
    <definedName name="M1_Table_I_j_Consumer_1">'4.3.1.3-4 Direct N20'!$D$49:$H$50</definedName>
    <definedName name="M1_Table_L_j">'4.3.1.3-4 Direct N20'!$D$64:$H$65</definedName>
    <definedName name="M1_Table_LWG_j">'4.3.1.3-4 Direct N20'!$D$97:$H$98</definedName>
    <definedName name="M1_Table_LWG_j_Consumer_1">'4.3.1.1-2 Methane'!$D$103:$H$104</definedName>
    <definedName name="M1_Table_M_leach_M14">'4.3.1.12-13 Soil leach runoff'!$D$27:$J$28</definedName>
    <definedName name="M1_Table_M_vol_m14">'4.3.1.10-11 Soil Atmos Dep'!$D$23:$J$24</definedName>
    <definedName name="M1_Table_MI_j">'4.3.1.1-2 Methane'!$D$78:$H$79</definedName>
    <definedName name="M1_Table_MI_j_Consumer_1">'4.3.1.3-4 Direct N20'!$D$59:$H$60</definedName>
    <definedName name="M1_Table_MMS_j_m">'4.3.1.3-4 Direct N20'!$D$230:$J$238</definedName>
    <definedName name="M1_Table_MMS_j_m_Consumer_1">'4.3.1.1-2 Methane'!$D$150:$J$157</definedName>
    <definedName name="M1_Table_MMS_j_m14">'4.3.1.9 Soil direct N2O'!$D$24:$J$25</definedName>
    <definedName name="M1_Table_MMS_j_m4">'4.3.1.1-2 Methane'!$D$198:$J$200</definedName>
    <definedName name="M1_Table_MN_atmos">'4.3.1.5 Atmos deposition'!$D$39:$J$47</definedName>
    <definedName name="M1_Table_MN_j_m">'4.3.1.3-4 Direct N20'!$D$242:$J$250</definedName>
    <definedName name="M1_Table_MN_j_m_Consumer_1">'4.3.1.5 Atmos deposition'!$D$18:$J$26</definedName>
    <definedName name="M1_Table_MN_j_m_Consumer_2">'4.3.1.8 Manure applied to soils'!$D$39:$J$47</definedName>
    <definedName name="M1_Table_MN_j_m14">'4.3.1.9 Soil direct N2O'!$D$30:$J$31</definedName>
    <definedName name="M1_Table_MN_j_m14_Consumer_1">'4.3.1.10-11 Soil Atmos Dep'!$D$18:$J$19</definedName>
    <definedName name="M1_Table_MN_j_m14_Consumer_2">'4.3.1.12-13 Soil leach runoff'!$D$22:$J$23</definedName>
    <definedName name="M1_Table_MN_j_m4">'4.3.1.6-7 Leaching and runoff'!$D$22:$J$24</definedName>
    <definedName name="M1_Table_MN_leach_j_m">'4.3.1.8 Manure applied to soils'!$D$51:$J$59</definedName>
    <definedName name="M1_Table_MN_leach_j_m4">'4.3.1.6-7 Leaching and runoff'!$D$28:$J$30</definedName>
    <definedName name="M1_Table_MN_soil_scope1">'4.3.1.8 Manure applied to soils'!$D$75:$J$83</definedName>
    <definedName name="M1_Table_MN_soil_scope3">'4.3.1.8 Manure applied to soils'!$D$105:$J$113</definedName>
    <definedName name="M1_Table_MNSoil_scope3_fert">'4.3.1.8 Manure applied to soils'!$D$138:$J$146</definedName>
    <definedName name="M1_Table_MP_j_from_solids">'4.3.1.1-2 Methane'!$D$49:$H$50</definedName>
    <definedName name="M1_Table_MP_j_from_solids_Consumer_1">'4.3.1.3-4 Direct N20'!$D$87:$H$88</definedName>
    <definedName name="M1_Table_MS_j">'4.3.1.1-2 Methane'!$D$44:$H$45</definedName>
    <definedName name="M1_Table_NE_j">'4.3.1.3-4 Direct N20'!$D$145:$H$146</definedName>
    <definedName name="M1_Table_NR_j">'4.3.1.3-4 Direct N20'!$D$102:$H$103</definedName>
    <definedName name="M1_Table_qm_j">'4.3.1.1-2 Methane'!$D$23:$H$24</definedName>
    <definedName name="M1_Table_SS_m">'4.3.1.1-2 Methane'!$D$161:$F$168</definedName>
    <definedName name="M1_Table_VS_j">'4.3.1.1-2 Methane'!$D$132:$H$133</definedName>
    <definedName name="M1_Table_W_j">'4.3.1.3-4 Direct N20'!$D$18:$H$19</definedName>
    <definedName name="M1_Table_W_j_Consumer_1">'4.3.1.1-2 Methane'!$D$98:$H$99</definedName>
    <definedName name="M1_Table_Z_j">'4.3.1.3-4 Direct N20'!$N$28:$R$29</definedName>
    <definedName name="M1_Table_Z_j_Consumer_1">'4.3.1.3-4 Direct N20'!$D$28:$H$29</definedName>
    <definedName name="M2_Table_AE_j">'4.3.1.9 Soil direct N2O'!$O$18:$S$19</definedName>
    <definedName name="M2_Table_AE_j124">'4.3.1.3-4 Direct N20'!$N$175:$R$176</definedName>
    <definedName name="M2_Table_CP_j">'4.3.1.3-4 Direct N20'!$N$120:$R$121</definedName>
    <definedName name="M2_Table_CPI_j">'4.3.1.3-4 Direct N20'!$N$125:$R$126</definedName>
    <definedName name="M2_Table_D_j">'4.3.1.1-2 Methane'!$O$274:$S$275</definedName>
    <definedName name="M2_Table_D_j124">'4.3.1.3-4 Direct N20'!$N$170:$R$171</definedName>
    <definedName name="M2_Table_DMD_j">'4.3.1.1-2 Methane'!$O$18:$S$19</definedName>
    <definedName name="M2_Table_E_N2O_dir">'4.3.1.3-4 Direct N20'!$N$277:$T$285</definedName>
    <definedName name="M2_Table_E_N2O_dir_Consumer_1">'4.3.1.9 Soil direct N2O'!$O$50:$U$51</definedName>
    <definedName name="M2_Table_EF_N2O_leach">'4.3.1.6-7 Leaching and runoff'!$O$48:$U$50</definedName>
    <definedName name="M2_Table_FVS_j_m4">'4.3.1.1-2 Methane'!$O$204:$U$206</definedName>
    <definedName name="M2_Table_I_j">'4.3.1.1-2 Methane'!$O$113:$S$114</definedName>
    <definedName name="M2_Table_I_j_Consumer_1">'4.3.1.3-4 Direct N20'!$N$49:$R$50</definedName>
    <definedName name="M2_Table_L_j">'4.3.1.3-4 Direct N20'!$N$64:$R$65</definedName>
    <definedName name="M2_Table_LWG_j">'4.3.1.3-4 Direct N20'!$N$97:$R$98</definedName>
    <definedName name="M2_Table_LWG_j_Consumer_1">'4.3.1.1-2 Methane'!$O$103:$S$104</definedName>
    <definedName name="M2_Table_M_leach_M14">'4.3.1.12-13 Soil leach runoff'!$O$27:$U$28</definedName>
    <definedName name="M2_Table_M_vol_m14">'4.3.1.10-11 Soil Atmos Dep'!$O$23:$U$24</definedName>
    <definedName name="M2_Table_MI_j">'4.3.1.1-2 Methane'!$O$78:$S$79</definedName>
    <definedName name="M2_Table_MMS_j_m">'4.3.1.3-4 Direct N20'!$N$230:$T$238</definedName>
    <definedName name="M2_Table_MMS_j_m_Consumer_1">'4.3.1.1-2 Methane'!$O$150:$U$157</definedName>
    <definedName name="M2_Table_MMS_j_m14">'4.3.1.9 Soil direct N2O'!$O$24:$U$25</definedName>
    <definedName name="M2_Table_MMS_j_m4">'4.3.1.1-2 Methane'!$O$198:$U$200</definedName>
    <definedName name="M2_Table_MN_atmos">'4.3.1.5 Atmos deposition'!$O$39:$U$47</definedName>
    <definedName name="M2_Table_MN_j_m">'4.3.1.3-4 Direct N20'!$N$242:$T$250</definedName>
    <definedName name="M2_Table_MN_j_m_Consumer_1">'4.3.1.5 Atmos deposition'!$O$18:$U$26</definedName>
    <definedName name="M2_Table_MN_j_m_Consumer_2">'4.3.1.8 Manure applied to soils'!$O$39:$U$47</definedName>
    <definedName name="M2_Table_MN_j_m14">'4.3.1.9 Soil direct N2O'!$O$30:$U$31</definedName>
    <definedName name="M2_Table_MN_j_m14_Consumer_1">'4.3.1.10-11 Soil Atmos Dep'!$O$18:$U$19</definedName>
    <definedName name="M2_Table_MN_j_m14_Consumer_2">'4.3.1.12-13 Soil leach runoff'!$O$22:$U$23</definedName>
    <definedName name="M2_Table_MN_j_m4">'4.3.1.6-7 Leaching and runoff'!$O$22:$U$24</definedName>
    <definedName name="M2_Table_MN_leach_j_m">'4.3.1.8 Manure applied to soils'!$O$51:$U$59</definedName>
    <definedName name="M2_Table_MN_leach_j_m4">'4.3.1.6-7 Leaching and runoff'!$O$28:$U$30</definedName>
    <definedName name="M2_Table_MN_soil_scope1">'4.3.1.8 Manure applied to soils'!$O$75:$U$83</definedName>
    <definedName name="M2_Table_MN_soil_scope3">'4.3.1.8 Manure applied to soils'!$O$105:$U$113</definedName>
    <definedName name="M2_Table_MNSoil_scope3_fert">'4.3.1.8 Manure applied to soils'!$O$138:$U$146</definedName>
    <definedName name="M2_Table_MP_j_from_solids">'4.3.1.1-2 Methane'!$O$49:$S$50</definedName>
    <definedName name="M2_Table_MP_j_from_solids_Consumer_1">'4.3.1.3-4 Direct N20'!$N$87:$R$88</definedName>
    <definedName name="M2_Table_NE_j">'4.3.1.3-4 Direct N20'!$N$145:$R$146</definedName>
    <definedName name="M2_Table_NR_j">'4.3.1.3-4 Direct N20'!$N$102:$R$103</definedName>
    <definedName name="M2_Table_qm_j">'4.3.1.1-2 Methane'!$O$23:$S$24</definedName>
    <definedName name="M2_Table_SS_m">'4.3.1.1-2 Methane'!$O$161:$Q$168</definedName>
    <definedName name="M2_Table_VS_j">'4.3.1.1-2 Methane'!$O$132:$S$133</definedName>
    <definedName name="M2_Table_W_j">'4.3.1.3-4 Direct N20'!$N$18:$R$19</definedName>
    <definedName name="M2_Table_W_j_Consumer_1">'4.3.1.1-2 Methane'!$O$98:$S$99</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_AshContent_Data">'Constants - Dairy'!$D$188</definedName>
    <definedName name="SourceData_Dairy_CrudeProtein_Data">'Constants - Dairy'!$D$153</definedName>
    <definedName name="SourceData_Dairy_DryMatterDigestibility_Data">'Constants - Dairy'!$D$160</definedName>
    <definedName name="SourceData_Dairy_EfficiencyOfUseOfMetabolizableEnergy_Data">'Constants - Dairy'!$D$181</definedName>
    <definedName name="SourceData_Dairy_EmissionFactorForLeachingAndRunoff_Data">'Constants - Dairy'!$D$202</definedName>
    <definedName name="SourceData_Dairy_FatContentInMilk_Data">'Constants - Dairy'!$D$227</definedName>
    <definedName name="SourceData_Dairy_FracGASMSoil_Data">'Constants - Dairy'!$D$221</definedName>
    <definedName name="SourceData_Dairy_FractionOfNitrogenLostThroughLeachingAndRunoff_Data">'Constants - Dairy'!$D$209</definedName>
    <definedName name="SourceData_Dairy_FractionOfNitrogenLostThroughLeachingAndRunoffSolidStorage_Data">'Constants - Dairy'!$D$215</definedName>
    <definedName name="SourceData_Dairy_GrossEnergyContent_Data">'Constants - Dairy'!$D$174</definedName>
    <definedName name="SourceData_Dairy_MethaneEmissionsPotential_Data">'Constants - Dairy'!$D$195</definedName>
    <definedName name="SourceData_Dairy_NetEnergy_Data">'Constants - Dairy'!$D$167</definedName>
    <definedName name="SourceData_Dairy_ProteinContentInMilk_Data">'Constants - Dairy'!$D$233</definedName>
    <definedName name="Table_EF_m">'4.3.1.8 Manure applied to soils'!$D$21:$E$26</definedName>
    <definedName name="Table_EF_m_Consumer_1">'4.3.1.3-4 Direct N20'!$D$268:$E$273</definedName>
    <definedName name="Table_FracGASM_m">'4.3.1.8 Manure applied to soils'!$D$30:$E$35</definedName>
    <definedName name="Table_FracGASM_m_Consumer_1">'4.3.1.5 Atmos deposition'!$D$30:$E$35</definedName>
    <definedName name="Table_MP_j">'4.3.1.3-4 Direct N20'!$D$92:$H$93</definedName>
    <definedName name="Table_MP_j_Consumer_1">'4.3.1.1-2 Methane'!$D$73:$H$74</definedName>
    <definedName name="Table_MPW_manure_j35">'4.3.1.1-2 Methane'!$D$279:$H$280</definedName>
    <definedName name="Table_MR_j">'4.3.1.3-4 Direct N20'!$D$54:$H$55</definedName>
    <definedName name="Table_MR_j_Consumer_1">'4.3.1.1-2 Methane'!$D$108:$H$109</definedName>
    <definedName name="Table_N_j">'4.3.1.3-4 Direct N20'!$D$165:$H$166</definedName>
    <definedName name="Table_N_j_Consumer_1">'4.3.1.1-2 Methane'!$D$269:$H$270</definedName>
    <definedName name="Table_NPW_j35">'4.3.1.3-4 Direct N20'!$D$197:$H$198</definedName>
    <definedName name="Table_PF_fert">'4.3.1.8 Manure applied to soils'!$D$126:$F$134</definedName>
    <definedName name="Table_PF_scope">'4.3.1.8 Manure applied to soils'!$D$63:$F$71</definedName>
    <definedName name="Table_WR_j">'4.3.1.3-4 Direct N20'!$D$23:$H$24</definedName>
    <definedName name="VEERG_4_3_1_1__1_TotalAnnualMethaneFromManureManagement_Result_Method1">'4.3.1.1-2 Methane'!$E$300</definedName>
    <definedName name="VEERG_4_3_1_1__1_TotalAnnualMethaneFromManureManagement_Result_Method2">'4.3.1.1-2 Methane'!$P$300</definedName>
    <definedName name="VEERG_4_3_1_10__1_AtmosphericDepositionEmissionsFromUrineAndDungOnPasture_Result_Method1">'4.3.1.10-11 Soil Atmos Dep'!$E$45</definedName>
    <definedName name="VEERG_4_3_1_10__1_AtmosphericDepositionEmissionsFromUrineAndDungOnPasture_Result_Method2">'4.3.1.10-11 Soil Atmos Dep'!$P$45</definedName>
    <definedName name="VEERG_4_3_1_12__1_LeachingAndRunoffEmissionsFromUrineAndDungOnPasture_Result_Method1">'4.3.1.12-13 Soil leach runoff'!$E$47</definedName>
    <definedName name="VEERG_4_3_1_12__1_LeachingAndRunoffEmissionsFromUrineAndDungOnPasture_Result_Method2">'4.3.1.12-13 Soil leach runoff'!$P$47</definedName>
    <definedName name="VEERG_4_3_1_3__1_TotalAnnualDirectNitrousOxideEmissionsFromMMS_Result_Method1">'4.3.1.3-4 Direct N20'!$E$287</definedName>
    <definedName name="VEERG_4_3_1_3__1_TotalAnnualDirectNitrousOxideEmissionsFromMMS_Result_Method2">'4.3.1.3-4 Direct N20'!$O$287</definedName>
    <definedName name="VEERG_4_3_1_5__1_AnnualAtmosphericDepositionEmissionsFromMMS_Result_Method1">'4.3.1.5 Atmos deposition'!$E$68</definedName>
    <definedName name="VEERG_4_3_1_5__1_AnnualAtmosphericDepositionEmissionsFromMMS_Result_Method2">'4.3.1.5 Atmos deposition'!$P$68</definedName>
    <definedName name="VEERG_4_3_1_6__1_AnnualEmissionsFromLeachingAndRunoffFromMMS_Result_Method1">'4.3.1.6-7 Leaching and runoff'!$E$52</definedName>
    <definedName name="VEERG_4_3_1_6__1_AnnualEmissionsFromLeachingAndRunoffFromMMS_Result_Method2">'4.3.1.6-7 Leaching and runoff'!$P$52</definedName>
    <definedName name="VEERG_4_3_1_6__2_MassOfNitrogenLostToLeachingAndRunoffFromSolidStorage_Result_Method1">'4.3.1.6-7 Leaching and runoff'!$E$52</definedName>
    <definedName name="VEERG_4_3_1_6__2_MassOfNitrogenLostToLeachingAndRunoffFromSolidStorage_Result_Method2">'4.3.1.6-7 Leaching and runoff'!$P$52</definedName>
    <definedName name="VEERG_4_3_1_8__1_MassOfNitrogenAppliedToSoilsScope1_Result_Method1">'4.3.1.8 Manure applied to soils'!$E$85</definedName>
    <definedName name="VEERG_4_3_1_8__1_MassOfNitrogenAppliedToSoilsScope1_Result_Method2">'4.3.1.8 Manure applied to soils'!$P$85</definedName>
    <definedName name="VEERG_4_3_1_8__2_MassOfNitrogenAppliedToSoilsScope3_Result_Method1">'4.3.1.8 Manure applied to soils'!$E$115</definedName>
    <definedName name="VEERG_4_3_1_8__2_MassOfNitrogenAppliedToSoilsScope3_Result_Method2">'4.3.1.8 Manure applied to soils'!$P$115</definedName>
    <definedName name="VEERG_4_3_1_9__1_DirectNitrousOxideEmissionsOnPasture_Result_Method1">'4.3.1.9 Soil direct N2O'!$E$53</definedName>
    <definedName name="VEERG_4_3_1_9__1_DirectNitrousOxideEmissionsOnPasture_Result_Method2">'4.3.1.9 Soil direct N2O'!$P$53</definedName>
    <definedName name="X_Cell_Dairy_Breed">'Input - Dairy'!$E$7</definedName>
    <definedName name="X_Cell_Dairy_ManureAppliedIrrigationMethod">'Input - Dairy'!$E$124</definedName>
    <definedName name="X_Cell_Dairy_ManureAppliedProductionSystem">'Input - Dairy'!$E$123</definedName>
    <definedName name="X_Cell_Dairy_MilkProductionAmount">'Input - Dairy'!$E$50</definedName>
    <definedName name="X_Cell_Dairy_MilkProductionUnit">'Input - Dairy'!$E$47</definedName>
    <definedName name="X_Cell_Dairy_MilkSolidsFatContent_Method1">'Input - Dairy'!$E$53</definedName>
    <definedName name="X_Cell_Dairy_MilkSolidsFatContent_Method2">'Input - Dairy'!$F$53</definedName>
    <definedName name="X_Cell_Dairy_MilkSolidsProteinContent_Method1">'Input - Dairy'!$E$54</definedName>
    <definedName name="X_Cell_Dairy_MilkSolidsProteinContent_Method2">'Input - Dairy'!$F$54</definedName>
    <definedName name="X_Cell_Dairy_ProductionSystemTemplate">'Input - Dairy'!$E$60</definedName>
    <definedName name="X_Cell_Dairy_Stage1MMS_1_AnaerobicLagoon_AmountSeparated_Method1">'Input - Dairy'!$E$81</definedName>
    <definedName name="X_Cell_Dairy_Stage1MMS_1_AnaerobicLagoon_AmountSeparated_Method2">'Input - Dairy'!$E$82</definedName>
    <definedName name="X_Cell_Dairy_Stage1MMS_1_AnaerobicLagoon_SolidsSeparated">'Input - Dairy'!$E$80</definedName>
    <definedName name="X_Cell_Dairy_Stage1MMS_1_DrainsToPaddock_AmountSeparated_Method1">'Input - Dairy'!$E$91</definedName>
    <definedName name="X_Cell_Dairy_Stage1MMS_1_DrainsToPaddock_AmountSeparated_Method2">'Input - Dairy'!$E$92</definedName>
    <definedName name="X_Cell_Dairy_Stage1MMS_1_DrainsToPaddock_SolidsSeparated">'Input - Dairy'!$E$90</definedName>
    <definedName name="X_Cell_Dairy_Stage1MMS_1_SumpAndDispersal_AmountSeparated_Method1">'Input - Dairy'!$E$86</definedName>
    <definedName name="X_Cell_Dairy_Stage1MMS_1_SumpAndDispersal_AmountSeparated_Method2">'Input - Dairy'!$E$87</definedName>
    <definedName name="X_Cell_Dairy_Stage1MMS_1_SumpAndDispersal_SolidsSeparated">'Input - Dairy'!$E$85</definedName>
    <definedName name="X_Cell_Dairy_Stage1MMS_2_AnaerobicLagoon_AmountSeparated_Method1">'Input - Dairy'!$E$105</definedName>
    <definedName name="X_Cell_Dairy_Stage1MMS_2_AnaerobicLagoon_AmountSeparated_Method2">'Input - Dairy'!$E$106</definedName>
    <definedName name="X_Cell_Dairy_Stage1MMS_2_AnaerobicLagoon_SolidsSeparated">'Input - Dairy'!$E$104</definedName>
    <definedName name="X_Cell_Dairy_Stage1MMS_2_DrainsToPaddock_AmountSeparated_Method1">'Input - Dairy'!$E$115</definedName>
    <definedName name="X_Cell_Dairy_Stage1MMS_2_DrainsToPaddock_AmountSeparated_Method2">'Input - Dairy'!$E$116</definedName>
    <definedName name="X_Cell_Dairy_Stage1MMS_2_DrainsToPaddock_SolidsSeparated">'Input - Dairy'!$E$114</definedName>
    <definedName name="X_Cell_Dairy_Stage1MMS_2_SumpAndDispersal_AmountSeparated_Method1">'Input - Dairy'!$E$110</definedName>
    <definedName name="X_Cell_Dairy_Stage1MMS_2_SumpAndDispersal_AmountSeparated_Method2">'Input - Dairy'!$E$111</definedName>
    <definedName name="X_Cell_Dairy_Stage1MMS_2_SumpAndDispersal_SolidsSeparated">'Input - Dairy'!$E$109</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Table_Dairy_Diet_Method1">'Input - Dairy'!$D$35:$I$37</definedName>
    <definedName name="X_Table_Dairy_Diet_Method2">'Input - Dairy'!$D$39:$I$41</definedName>
    <definedName name="X_Table_Dairy_DurationOfStay_Method1">'Input - Dairy'!$D$23:$I$25</definedName>
    <definedName name="X_Table_Dairy_DurationOfStay_Method2">'Input - Dairy'!$D$27:$I$29</definedName>
    <definedName name="X_Table_Dairy_HerdMovement">'Input - Dairy'!$D$9:$I$10</definedName>
    <definedName name="X_Table_Dairy_Liveweight_Method1">'Input - Dairy'!$D$13:$I$15</definedName>
    <definedName name="X_Table_Dairy_Liveweight_Method2">'Input - Dairy'!$D$17:$I$19</definedName>
    <definedName name="X_Table_Dairy_MilkSolidAttributes">'Input - Dairy'!$D$52:$F$54</definedName>
    <definedName name="X_Table_Dairy_ProductionSystems_Method1">'Input - Dairy'!$D$62:$I$65</definedName>
    <definedName name="X_Table_Dairy_ProductionSystems_Method2">'Input - Dairy'!$D$67:$I$70</definedName>
    <definedName name="X_Table_Dairy_Stage1MMS_1_AnaerobicLagoon">'Input - Dairy'!$D$78:$I$79</definedName>
    <definedName name="X_Table_Dairy_Stage1MMS_1_AnaerobicLagoon_Destinations">'Input - Dairy'!$K$78:$N$79</definedName>
    <definedName name="X_Table_Dairy_Stage1MMS_1_DrainsToPaddock">'Input - Dairy'!$D$88:$I$89</definedName>
    <definedName name="X_Table_Dairy_Stage1MMS_1_DrainsToPaddock_Destinations">'Input - Dairy'!$K$88:$N$89</definedName>
    <definedName name="X_Table_Dairy_Stage1MMS_1_SolidStorage">'Input - Dairy'!$D$93:$I$94</definedName>
    <definedName name="X_Table_Dairy_Stage1MMS_1_SolidStorage_Destinations">'Input - Dairy'!$K$93:$N$94</definedName>
    <definedName name="X_Table_Dairy_Stage1MMS_1_SumpAndDispersal">'Input - Dairy'!$D$83:$I$84</definedName>
    <definedName name="X_Table_Dairy_Stage1MMS_1_SumpAndDispersal_Destinations">'Input - Dairy'!$K$83:$N$84</definedName>
    <definedName name="X_Table_Dairy_Stage1MMS_2_AnaerobicLagoon">'Input - Dairy'!$D$102:$I$103</definedName>
    <definedName name="X_Table_Dairy_Stage1MMS_2_AnaerobicLagoon_Destinations">'Input - Dairy'!$K$102:$N$103</definedName>
    <definedName name="X_Table_Dairy_Stage1MMS_2_DrainsToPaddock">'Input - Dairy'!$D$112:$I$113</definedName>
    <definedName name="X_Table_Dairy_Stage1MMS_2_DrainsToPaddock_Destinations">'Input - Dairy'!$K$112:$N$113</definedName>
    <definedName name="X_Table_Dairy_Stage1MMS_2_SolidStorage">'Input - Dairy'!$D$117:$I$118</definedName>
    <definedName name="X_Table_Dairy_Stage1MMS_2_SolidStorage_Destinations">'Input - Dairy'!$K$117:$N$118</definedName>
    <definedName name="X_Table_Dairy_Stage1MMS_2_SumpAndDispersal">'Input - Dairy'!$D$107:$I$108</definedName>
    <definedName name="X_Table_Dairy_Stage1MMS_2_SumpAndDispersal_Destinations">'Input - Dairy'!$K$107:$N$108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250" i="76" l="1" a="1"/>
  <c r="T250" i="76" s="1"/>
  <c r="S250" i="76" a="1"/>
  <c r="S250" i="76" s="1"/>
  <c r="R250" i="76" a="1"/>
  <c r="R250" i="76" s="1"/>
  <c r="Q250" i="76" a="1"/>
  <c r="Q250" i="76" s="1"/>
  <c r="P250" i="76" a="1"/>
  <c r="P250" i="76" s="1"/>
  <c r="T249" i="76"/>
  <c r="T249" i="76" a="1"/>
  <c r="S249" i="76" a="1"/>
  <c r="S249" i="76" s="1"/>
  <c r="R249" i="76" a="1"/>
  <c r="R249" i="76" s="1"/>
  <c r="Q249" i="76" a="1"/>
  <c r="Q249" i="76" s="1"/>
  <c r="P249" i="76" a="1"/>
  <c r="P249" i="76" s="1"/>
  <c r="T248" i="76" a="1"/>
  <c r="T248" i="76" s="1"/>
  <c r="S248" i="76" a="1"/>
  <c r="S248" i="76" s="1"/>
  <c r="R248" i="76"/>
  <c r="R248" i="76" a="1"/>
  <c r="Q248" i="76" a="1"/>
  <c r="Q248" i="76" s="1"/>
  <c r="P248" i="76" a="1"/>
  <c r="P248" i="76" s="1"/>
  <c r="T247" i="76" a="1"/>
  <c r="T247" i="76" s="1"/>
  <c r="S247" i="76" a="1"/>
  <c r="S247" i="76" s="1"/>
  <c r="R247" i="76" a="1"/>
  <c r="R247" i="76" s="1"/>
  <c r="Q247" i="76" a="1"/>
  <c r="Q247" i="76" s="1"/>
  <c r="P247" i="76"/>
  <c r="P247" i="76" a="1"/>
  <c r="T246" i="76" a="1"/>
  <c r="T246" i="76" s="1"/>
  <c r="S246" i="76" a="1"/>
  <c r="S246" i="76" s="1"/>
  <c r="R246" i="76" a="1"/>
  <c r="R246" i="76" s="1"/>
  <c r="Q246" i="76" a="1"/>
  <c r="Q246" i="76" s="1"/>
  <c r="P246" i="76" a="1"/>
  <c r="P246" i="76" s="1"/>
  <c r="T245" i="76" a="1"/>
  <c r="T245" i="76" s="1"/>
  <c r="S245" i="76"/>
  <c r="S245" i="76" a="1"/>
  <c r="R245" i="76" a="1"/>
  <c r="R245" i="76" s="1"/>
  <c r="Q245" i="76" a="1"/>
  <c r="Q245" i="76" s="1"/>
  <c r="P245" i="76" a="1"/>
  <c r="P245" i="76" s="1"/>
  <c r="T244" i="76" a="1"/>
  <c r="T244" i="76" s="1"/>
  <c r="S244" i="76" a="1"/>
  <c r="S244" i="76" s="1"/>
  <c r="R244" i="76" a="1"/>
  <c r="R244" i="76" s="1"/>
  <c r="Q244" i="76"/>
  <c r="Q244" i="76" a="1"/>
  <c r="P244" i="76" a="1"/>
  <c r="P244" i="76" s="1"/>
  <c r="T243" i="76" a="1"/>
  <c r="T243" i="76" s="1"/>
  <c r="S243" i="76" a="1"/>
  <c r="S243" i="76" s="1"/>
  <c r="R243" i="76" a="1"/>
  <c r="R243" i="76" s="1"/>
  <c r="Q243" i="76" a="1"/>
  <c r="Q243" i="76" s="1"/>
  <c r="P243" i="76" a="1"/>
  <c r="P243" i="76"/>
  <c r="J250" i="76" a="1"/>
  <c r="J250" i="76" s="1"/>
  <c r="I250" i="76" a="1"/>
  <c r="I250" i="76" s="1"/>
  <c r="H250" i="76" a="1"/>
  <c r="H250" i="76"/>
  <c r="G250" i="76" a="1"/>
  <c r="G250" i="76"/>
  <c r="F250" i="76" a="1"/>
  <c r="F250" i="76"/>
  <c r="J249" i="76" a="1"/>
  <c r="J249" i="76" s="1"/>
  <c r="I249" i="76" a="1"/>
  <c r="I249" i="76"/>
  <c r="H249" i="76" a="1"/>
  <c r="H249" i="76" s="1"/>
  <c r="G249" i="76" a="1"/>
  <c r="G249" i="76" s="1"/>
  <c r="F249" i="76" a="1"/>
  <c r="F249" i="76"/>
  <c r="J248" i="76" a="1"/>
  <c r="J248" i="76"/>
  <c r="I248" i="76" a="1"/>
  <c r="I248" i="76"/>
  <c r="H248" i="76" a="1"/>
  <c r="H248" i="76" s="1"/>
  <c r="G248" i="76" a="1"/>
  <c r="G248" i="76"/>
  <c r="F248" i="76" a="1"/>
  <c r="F248" i="76" s="1"/>
  <c r="J247" i="76" a="1"/>
  <c r="J247" i="76" s="1"/>
  <c r="I247" i="76" a="1"/>
  <c r="I247" i="76"/>
  <c r="H247" i="76" a="1"/>
  <c r="H247" i="76"/>
  <c r="G247" i="76" a="1"/>
  <c r="G247" i="76"/>
  <c r="F247" i="76" a="1"/>
  <c r="F247" i="76" s="1"/>
  <c r="J246" i="76" a="1"/>
  <c r="J246" i="76"/>
  <c r="I246" i="76" a="1"/>
  <c r="I246" i="76" s="1"/>
  <c r="H246" i="76" a="1"/>
  <c r="H246" i="76" s="1"/>
  <c r="G246" i="76" a="1"/>
  <c r="G246" i="76"/>
  <c r="F246" i="76" a="1"/>
  <c r="F246" i="76"/>
  <c r="J245" i="76" a="1"/>
  <c r="J245" i="76"/>
  <c r="I245" i="76" a="1"/>
  <c r="I245" i="76" s="1"/>
  <c r="H245" i="76" a="1"/>
  <c r="H245" i="76"/>
  <c r="G245" i="76" a="1"/>
  <c r="G245" i="76" s="1"/>
  <c r="F245" i="76" a="1"/>
  <c r="F245" i="76" s="1"/>
  <c r="J244" i="76" a="1"/>
  <c r="J244" i="76"/>
  <c r="I244" i="76" a="1"/>
  <c r="I244" i="76"/>
  <c r="H244" i="76" a="1"/>
  <c r="H244" i="76"/>
  <c r="G244" i="76" a="1"/>
  <c r="G244" i="76" s="1"/>
  <c r="F244" i="76" a="1"/>
  <c r="F244" i="76"/>
  <c r="J243" i="76" a="1"/>
  <c r="J243" i="76" s="1"/>
  <c r="I243" i="76" a="1"/>
  <c r="I243" i="76" s="1"/>
  <c r="H243" i="76" a="1"/>
  <c r="H243" i="76"/>
  <c r="G243" i="76" a="1"/>
  <c r="G243" i="76" s="1"/>
  <c r="F243" i="76" a="1"/>
  <c r="F243" i="76" s="1"/>
  <c r="A8" i="72"/>
  <c r="A7" i="72"/>
  <c r="A3" i="72"/>
  <c r="G9" i="79"/>
  <c r="G8" i="79"/>
  <c r="R50" i="98"/>
  <c r="G50" i="98"/>
  <c r="J45" i="98"/>
  <c r="I14" i="98"/>
  <c r="R48" i="97"/>
  <c r="G48" i="97"/>
  <c r="I40" i="97"/>
  <c r="I39" i="97"/>
  <c r="R56" i="96"/>
  <c r="G56" i="96"/>
  <c r="J45" i="96"/>
  <c r="J44" i="96"/>
  <c r="R55" i="95"/>
  <c r="G55" i="95"/>
  <c r="I44" i="95"/>
  <c r="J14" i="95"/>
  <c r="R71" i="82"/>
  <c r="G71" i="82"/>
  <c r="I63" i="82"/>
  <c r="I62" i="82"/>
  <c r="Q290" i="76"/>
  <c r="G290" i="76"/>
  <c r="I264" i="76"/>
  <c r="R303" i="69"/>
  <c r="G303" i="69"/>
  <c r="P232" i="69"/>
  <c r="P231" i="69"/>
  <c r="P230" i="69"/>
  <c r="P229" i="69"/>
  <c r="I223" i="69"/>
  <c r="E33" i="15"/>
  <c r="E32" i="15"/>
  <c r="E31" i="15"/>
  <c r="E30" i="15"/>
  <c r="E259" i="112" a="1"/>
  <c r="E259" i="112" s="1"/>
  <c r="D259" i="112" a="1"/>
  <c r="D259" i="112" s="1"/>
  <c r="E258" i="112" a="1"/>
  <c r="E258" i="112" s="1"/>
  <c r="D258" i="112" a="1"/>
  <c r="D258" i="112" s="1"/>
  <c r="D256" i="112" a="1"/>
  <c r="D256" i="112" s="1"/>
  <c r="D255" i="112" a="1"/>
  <c r="D255" i="112" s="1"/>
  <c r="D254" i="112" a="1"/>
  <c r="D254" i="112" s="1"/>
  <c r="D253" i="112" a="1"/>
  <c r="D253" i="112" s="1"/>
  <c r="S250" i="112" a="1"/>
  <c r="S250" i="112" s="1"/>
  <c r="R250" i="112" a="1"/>
  <c r="R250" i="112" s="1"/>
  <c r="Q250" i="112" a="1"/>
  <c r="Q250" i="112" s="1"/>
  <c r="P250" i="112" a="1"/>
  <c r="P250" i="112" s="1"/>
  <c r="O250" i="112" a="1"/>
  <c r="O250" i="112" s="1"/>
  <c r="N250" i="112" a="1"/>
  <c r="N250" i="112" s="1"/>
  <c r="M250" i="112" a="1"/>
  <c r="M250" i="112" s="1"/>
  <c r="L250" i="112" a="1"/>
  <c r="L250" i="112" s="1"/>
  <c r="K250" i="112" a="1"/>
  <c r="K250" i="112" s="1"/>
  <c r="J250" i="112" a="1"/>
  <c r="J250" i="112" s="1"/>
  <c r="I250" i="112" a="1"/>
  <c r="I250" i="112" s="1"/>
  <c r="H250" i="112" a="1"/>
  <c r="H250" i="112" s="1"/>
  <c r="G250" i="112" a="1"/>
  <c r="G250" i="112" s="1"/>
  <c r="F250" i="112" a="1"/>
  <c r="F250" i="112" s="1"/>
  <c r="E250" i="112" a="1"/>
  <c r="E250" i="112" s="1"/>
  <c r="D250" i="112" a="1"/>
  <c r="D250" i="112" s="1"/>
  <c r="S249" i="112" a="1"/>
  <c r="S249" i="112" s="1"/>
  <c r="R249" i="112" a="1"/>
  <c r="R249" i="112" s="1"/>
  <c r="Q249" i="112" a="1"/>
  <c r="Q249" i="112" s="1"/>
  <c r="P249" i="112" a="1"/>
  <c r="P249" i="112" s="1"/>
  <c r="O249" i="112" a="1"/>
  <c r="O249" i="112" s="1"/>
  <c r="N249" i="112" a="1"/>
  <c r="N249" i="112" s="1"/>
  <c r="M249" i="112" a="1"/>
  <c r="M249" i="112" s="1"/>
  <c r="L249" i="112" a="1"/>
  <c r="L249" i="112" s="1"/>
  <c r="K249" i="112" a="1"/>
  <c r="K249" i="112" s="1"/>
  <c r="J249" i="112" a="1"/>
  <c r="J249" i="112" s="1"/>
  <c r="I249" i="112" a="1"/>
  <c r="I249" i="112" s="1"/>
  <c r="H249" i="112" a="1"/>
  <c r="H249" i="112" s="1"/>
  <c r="G249" i="112" a="1"/>
  <c r="G249" i="112" s="1"/>
  <c r="F249" i="112" a="1"/>
  <c r="F249" i="112" s="1"/>
  <c r="E249" i="112" a="1"/>
  <c r="E249" i="112" s="1"/>
  <c r="D249" i="112" a="1"/>
  <c r="D249" i="112" s="1"/>
  <c r="S248" i="112" a="1"/>
  <c r="S248" i="112" s="1"/>
  <c r="R248" i="112" a="1"/>
  <c r="R248" i="112" s="1"/>
  <c r="Q248" i="112" a="1"/>
  <c r="Q248" i="112" s="1"/>
  <c r="P248" i="112" a="1"/>
  <c r="P248" i="112" s="1"/>
  <c r="O248" i="112" a="1"/>
  <c r="O248" i="112" s="1"/>
  <c r="N248" i="112" a="1"/>
  <c r="N248" i="112" s="1"/>
  <c r="M248" i="112" a="1"/>
  <c r="M248" i="112" s="1"/>
  <c r="L248" i="112" a="1"/>
  <c r="L248" i="112" s="1"/>
  <c r="K248" i="112" a="1"/>
  <c r="K248" i="112" s="1"/>
  <c r="J248" i="112" a="1"/>
  <c r="J248" i="112" s="1"/>
  <c r="I248" i="112" a="1"/>
  <c r="I248" i="112" s="1"/>
  <c r="H248" i="112" a="1"/>
  <c r="H248" i="112" s="1"/>
  <c r="G248" i="112" a="1"/>
  <c r="G248" i="112" s="1"/>
  <c r="F248" i="112" a="1"/>
  <c r="F248" i="112" s="1"/>
  <c r="E248" i="112" a="1"/>
  <c r="E248" i="112" s="1"/>
  <c r="D248" i="112" a="1"/>
  <c r="D248" i="112" s="1"/>
  <c r="S247" i="112" a="1"/>
  <c r="S247" i="112" s="1"/>
  <c r="R247" i="112" a="1"/>
  <c r="R247" i="112" s="1"/>
  <c r="Q247" i="112" a="1"/>
  <c r="Q247" i="112" s="1"/>
  <c r="P247" i="112" a="1"/>
  <c r="P247" i="112" s="1"/>
  <c r="O247" i="112" a="1"/>
  <c r="O247" i="112" s="1"/>
  <c r="N247" i="112" a="1"/>
  <c r="N247" i="112" s="1"/>
  <c r="M247" i="112" a="1"/>
  <c r="M247" i="112" s="1"/>
  <c r="L247" i="112" a="1"/>
  <c r="L247" i="112" s="1"/>
  <c r="K247" i="112" a="1"/>
  <c r="K247" i="112" s="1"/>
  <c r="J247" i="112" a="1"/>
  <c r="J247" i="112" s="1"/>
  <c r="I247" i="112" a="1"/>
  <c r="I247" i="112" s="1"/>
  <c r="H247" i="112" a="1"/>
  <c r="H247" i="112" s="1"/>
  <c r="G247" i="112" a="1"/>
  <c r="G247" i="112" s="1"/>
  <c r="F247" i="112" a="1"/>
  <c r="F247" i="112" s="1"/>
  <c r="E247" i="112" a="1"/>
  <c r="E247" i="112" s="1"/>
  <c r="D247" i="112" a="1"/>
  <c r="D247" i="112" s="1"/>
  <c r="S246" i="112" a="1"/>
  <c r="S246" i="112" s="1"/>
  <c r="R246" i="112" a="1"/>
  <c r="R246" i="112" s="1"/>
  <c r="Q246" i="112" a="1"/>
  <c r="Q246" i="112" s="1"/>
  <c r="P246" i="112" a="1"/>
  <c r="P246" i="112" s="1"/>
  <c r="O246" i="112" a="1"/>
  <c r="O246" i="112" s="1"/>
  <c r="N246" i="112" a="1"/>
  <c r="N246" i="112" s="1"/>
  <c r="M246" i="112" a="1"/>
  <c r="M246" i="112" s="1"/>
  <c r="L246" i="112" a="1"/>
  <c r="L246" i="112" s="1"/>
  <c r="K246" i="112" a="1"/>
  <c r="K246" i="112" s="1"/>
  <c r="J246" i="112" a="1"/>
  <c r="J246" i="112" s="1"/>
  <c r="I246" i="112" a="1"/>
  <c r="I246" i="112" s="1"/>
  <c r="H246" i="112" a="1"/>
  <c r="H246" i="112" s="1"/>
  <c r="G246" i="112" a="1"/>
  <c r="G246" i="112" s="1"/>
  <c r="F246" i="112" a="1"/>
  <c r="F246" i="112" s="1"/>
  <c r="E246" i="112" a="1"/>
  <c r="E246" i="112" s="1"/>
  <c r="D246" i="112" a="1"/>
  <c r="D246" i="112" s="1"/>
  <c r="S245" i="112" a="1"/>
  <c r="S245" i="112" s="1"/>
  <c r="R245" i="112" a="1"/>
  <c r="R245" i="112" s="1"/>
  <c r="Q245" i="112" a="1"/>
  <c r="Q245" i="112" s="1"/>
  <c r="P245" i="112" a="1"/>
  <c r="P245" i="112" s="1"/>
  <c r="O245" i="112" a="1"/>
  <c r="O245" i="112" s="1"/>
  <c r="N245" i="112" a="1"/>
  <c r="N245" i="112" s="1"/>
  <c r="M245" i="112" a="1"/>
  <c r="M245" i="112" s="1"/>
  <c r="L245" i="112" a="1"/>
  <c r="L245" i="112" s="1"/>
  <c r="K245" i="112" a="1"/>
  <c r="K245" i="112" s="1"/>
  <c r="J245" i="112" a="1"/>
  <c r="J245" i="112" s="1"/>
  <c r="I245" i="112" a="1"/>
  <c r="I245" i="112" s="1"/>
  <c r="H245" i="112" a="1"/>
  <c r="H245" i="112" s="1"/>
  <c r="G245" i="112" a="1"/>
  <c r="G245" i="112" s="1"/>
  <c r="F245" i="112" a="1"/>
  <c r="F245" i="112" s="1"/>
  <c r="E245" i="112" a="1"/>
  <c r="E245" i="112" s="1"/>
  <c r="D245" i="112" a="1"/>
  <c r="D245" i="112" s="1"/>
  <c r="S244" i="112" a="1"/>
  <c r="S244" i="112" s="1"/>
  <c r="R244" i="112" a="1"/>
  <c r="R244" i="112" s="1"/>
  <c r="Q244" i="112" a="1"/>
  <c r="Q244" i="112" s="1"/>
  <c r="P244" i="112" a="1"/>
  <c r="P244" i="112" s="1"/>
  <c r="O244" i="112" a="1"/>
  <c r="O244" i="112" s="1"/>
  <c r="N244" i="112" a="1"/>
  <c r="N244" i="112" s="1"/>
  <c r="M244" i="112" a="1"/>
  <c r="M244" i="112" s="1"/>
  <c r="L244" i="112" a="1"/>
  <c r="L244" i="112" s="1"/>
  <c r="K244" i="112" a="1"/>
  <c r="K244" i="112" s="1"/>
  <c r="J244" i="112" a="1"/>
  <c r="J244" i="112" s="1"/>
  <c r="I244" i="112" a="1"/>
  <c r="I244" i="112" s="1"/>
  <c r="H244" i="112" a="1"/>
  <c r="H244" i="112" s="1"/>
  <c r="G244" i="112" a="1"/>
  <c r="G244" i="112" s="1"/>
  <c r="F244" i="112" a="1"/>
  <c r="F244" i="112" s="1"/>
  <c r="E244" i="112" a="1"/>
  <c r="E244" i="112" s="1"/>
  <c r="D244" i="112" a="1"/>
  <c r="D244" i="112" s="1"/>
  <c r="S243" i="112" a="1"/>
  <c r="S243" i="112" s="1"/>
  <c r="R243" i="112" a="1"/>
  <c r="R243" i="112" s="1"/>
  <c r="Q243" i="112" a="1"/>
  <c r="Q243" i="112" s="1"/>
  <c r="P243" i="112" a="1"/>
  <c r="P243" i="112" s="1"/>
  <c r="O243" i="112" a="1"/>
  <c r="O243" i="112" s="1"/>
  <c r="N243" i="112" a="1"/>
  <c r="N243" i="112" s="1"/>
  <c r="M243" i="112" a="1"/>
  <c r="M243" i="112" s="1"/>
  <c r="L243" i="112" a="1"/>
  <c r="L243" i="112" s="1"/>
  <c r="K243" i="112" a="1"/>
  <c r="K243" i="112" s="1"/>
  <c r="J243" i="112" a="1"/>
  <c r="J243" i="112" s="1"/>
  <c r="I243" i="112" a="1"/>
  <c r="I243" i="112" s="1"/>
  <c r="H243" i="112" a="1"/>
  <c r="H243" i="112" s="1"/>
  <c r="G243" i="112" a="1"/>
  <c r="G243" i="112" s="1"/>
  <c r="F243" i="112" a="1"/>
  <c r="F243" i="112" s="1"/>
  <c r="E243" i="112" a="1"/>
  <c r="E243" i="112" s="1"/>
  <c r="D243" i="112" a="1"/>
  <c r="D243" i="112" s="1"/>
  <c r="S242" i="112" a="1"/>
  <c r="S242" i="112" s="1"/>
  <c r="R242" i="112" a="1"/>
  <c r="R242" i="112" s="1"/>
  <c r="Q242" i="112" a="1"/>
  <c r="Q242" i="112" s="1"/>
  <c r="P242" i="112" a="1"/>
  <c r="P242" i="112" s="1"/>
  <c r="O242" i="112" a="1"/>
  <c r="O242" i="112" s="1"/>
  <c r="N242" i="112" a="1"/>
  <c r="N242" i="112" s="1"/>
  <c r="M242" i="112" a="1"/>
  <c r="M242" i="112" s="1"/>
  <c r="L242" i="112" a="1"/>
  <c r="L242" i="112" s="1"/>
  <c r="K242" i="112" a="1"/>
  <c r="K242" i="112" s="1"/>
  <c r="J242" i="112" a="1"/>
  <c r="J242" i="112" s="1"/>
  <c r="I242" i="112" a="1"/>
  <c r="I242" i="112" s="1"/>
  <c r="H242" i="112" a="1"/>
  <c r="H242" i="112" s="1"/>
  <c r="G242" i="112" a="1"/>
  <c r="G242" i="112" s="1"/>
  <c r="F242" i="112" a="1"/>
  <c r="F242" i="112" s="1"/>
  <c r="E242" i="112" a="1"/>
  <c r="E242" i="112" s="1"/>
  <c r="D242" i="112" a="1"/>
  <c r="D242" i="112" s="1"/>
  <c r="S241" i="112" a="1"/>
  <c r="S241" i="112" s="1"/>
  <c r="R241" i="112" a="1"/>
  <c r="R241" i="112" s="1"/>
  <c r="Q241" i="112" a="1"/>
  <c r="Q241" i="112" s="1"/>
  <c r="P241" i="112" a="1"/>
  <c r="P241" i="112" s="1"/>
  <c r="O241" i="112" a="1"/>
  <c r="O241" i="112" s="1"/>
  <c r="N241" i="112" a="1"/>
  <c r="N241" i="112" s="1"/>
  <c r="M241" i="112" a="1"/>
  <c r="M241" i="112" s="1"/>
  <c r="L241" i="112" a="1"/>
  <c r="L241" i="112" s="1"/>
  <c r="K241" i="112" a="1"/>
  <c r="K241" i="112" s="1"/>
  <c r="J241" i="112" a="1"/>
  <c r="J241" i="112" s="1"/>
  <c r="I241" i="112" a="1"/>
  <c r="I241" i="112" s="1"/>
  <c r="H241" i="112" a="1"/>
  <c r="H241" i="112" s="1"/>
  <c r="G241" i="112" a="1"/>
  <c r="G241" i="112" s="1"/>
  <c r="F241" i="112" a="1"/>
  <c r="F241" i="112" s="1"/>
  <c r="E241" i="112" a="1"/>
  <c r="E241" i="112" s="1"/>
  <c r="D241" i="112" a="1"/>
  <c r="D241" i="112" s="1"/>
  <c r="S240" i="112" a="1"/>
  <c r="S240" i="112" s="1"/>
  <c r="R240" i="112" a="1"/>
  <c r="R240" i="112" s="1"/>
  <c r="Q240" i="112" a="1"/>
  <c r="Q240" i="112" s="1"/>
  <c r="P240" i="112" a="1"/>
  <c r="P240" i="112" s="1"/>
  <c r="O240" i="112" a="1"/>
  <c r="O240" i="112" s="1"/>
  <c r="N240" i="112" a="1"/>
  <c r="N240" i="112" s="1"/>
  <c r="M240" i="112" a="1"/>
  <c r="M240" i="112" s="1"/>
  <c r="L240" i="112" a="1"/>
  <c r="L240" i="112" s="1"/>
  <c r="K240" i="112" a="1"/>
  <c r="K240" i="112" s="1"/>
  <c r="J240" i="112" a="1"/>
  <c r="J240" i="112" s="1"/>
  <c r="I240" i="112" a="1"/>
  <c r="I240" i="112" s="1"/>
  <c r="H240" i="112" a="1"/>
  <c r="H240" i="112" s="1"/>
  <c r="G240" i="112" a="1"/>
  <c r="G240" i="112" s="1"/>
  <c r="F240" i="112" a="1"/>
  <c r="F240" i="112" s="1"/>
  <c r="E240" i="112" a="1"/>
  <c r="E240" i="112" s="1"/>
  <c r="D240" i="112" a="1"/>
  <c r="D240" i="112" s="1"/>
  <c r="S239" i="112" a="1"/>
  <c r="S239" i="112" s="1"/>
  <c r="R239" i="112" a="1"/>
  <c r="R239" i="112" s="1"/>
  <c r="Q239" i="112" a="1"/>
  <c r="Q239" i="112" s="1"/>
  <c r="P239" i="112" a="1"/>
  <c r="P239" i="112" s="1"/>
  <c r="O239" i="112" a="1"/>
  <c r="O239" i="112" s="1"/>
  <c r="N239" i="112" a="1"/>
  <c r="N239" i="112" s="1"/>
  <c r="M239" i="112" a="1"/>
  <c r="M239" i="112" s="1"/>
  <c r="L239" i="112" a="1"/>
  <c r="L239" i="112" s="1"/>
  <c r="K239" i="112" a="1"/>
  <c r="K239" i="112" s="1"/>
  <c r="J239" i="112" a="1"/>
  <c r="J239" i="112" s="1"/>
  <c r="I239" i="112" a="1"/>
  <c r="I239" i="112" s="1"/>
  <c r="H239" i="112" a="1"/>
  <c r="H239" i="112" s="1"/>
  <c r="G239" i="112" a="1"/>
  <c r="G239" i="112" s="1"/>
  <c r="F239" i="112" a="1"/>
  <c r="F239" i="112" s="1"/>
  <c r="E239" i="112" a="1"/>
  <c r="E239" i="112" s="1"/>
  <c r="D239" i="112" a="1"/>
  <c r="D239" i="112" s="1"/>
  <c r="S238" i="112" a="1"/>
  <c r="S238" i="112" s="1"/>
  <c r="R238" i="112" a="1"/>
  <c r="R238" i="112" s="1"/>
  <c r="Q238" i="112" a="1"/>
  <c r="Q238" i="112" s="1"/>
  <c r="P238" i="112" a="1"/>
  <c r="P238" i="112" s="1"/>
  <c r="O238" i="112" a="1"/>
  <c r="O238" i="112" s="1"/>
  <c r="N238" i="112" a="1"/>
  <c r="N238" i="112" s="1"/>
  <c r="M238" i="112" a="1"/>
  <c r="M238" i="112" s="1"/>
  <c r="L238" i="112" a="1"/>
  <c r="L238" i="112" s="1"/>
  <c r="K238" i="112" a="1"/>
  <c r="K238" i="112" s="1"/>
  <c r="J238" i="112" a="1"/>
  <c r="J238" i="112" s="1"/>
  <c r="I238" i="112" a="1"/>
  <c r="I238" i="112" s="1"/>
  <c r="H238" i="112" a="1"/>
  <c r="H238" i="112" s="1"/>
  <c r="G238" i="112" a="1"/>
  <c r="G238" i="112" s="1"/>
  <c r="F238" i="112" a="1"/>
  <c r="F238" i="112" s="1"/>
  <c r="E238" i="112" a="1"/>
  <c r="E238" i="112" s="1"/>
  <c r="D238" i="112" a="1"/>
  <c r="D238" i="112" s="1"/>
  <c r="S237" i="112" a="1"/>
  <c r="S237" i="112" s="1"/>
  <c r="R237" i="112" a="1"/>
  <c r="R237" i="112" s="1"/>
  <c r="Q237" i="112" a="1"/>
  <c r="Q237" i="112" s="1"/>
  <c r="P237" i="112" a="1"/>
  <c r="P237" i="112" s="1"/>
  <c r="O237" i="112" a="1"/>
  <c r="O237" i="112" s="1"/>
  <c r="N237" i="112" a="1"/>
  <c r="N237" i="112" s="1"/>
  <c r="M237" i="112" a="1"/>
  <c r="M237" i="112" s="1"/>
  <c r="L237" i="112" a="1"/>
  <c r="L237" i="112" s="1"/>
  <c r="K237" i="112" a="1"/>
  <c r="K237" i="112" s="1"/>
  <c r="J237" i="112" a="1"/>
  <c r="J237" i="112" s="1"/>
  <c r="I237" i="112" a="1"/>
  <c r="I237" i="112" s="1"/>
  <c r="H237" i="112" a="1"/>
  <c r="H237" i="112" s="1"/>
  <c r="G237" i="112" a="1"/>
  <c r="G237" i="112" s="1"/>
  <c r="F237" i="112" a="1"/>
  <c r="F237" i="112" s="1"/>
  <c r="E237" i="112" a="1"/>
  <c r="E237" i="112" s="1"/>
  <c r="D237" i="112" a="1"/>
  <c r="D237" i="112" s="1"/>
  <c r="S236" i="112" a="1"/>
  <c r="S236" i="112" s="1"/>
  <c r="R236" i="112" a="1"/>
  <c r="R236" i="112" s="1"/>
  <c r="Q236" i="112" a="1"/>
  <c r="Q236" i="112" s="1"/>
  <c r="P236" i="112" a="1"/>
  <c r="P236" i="112" s="1"/>
  <c r="O236" i="112" a="1"/>
  <c r="O236" i="112" s="1"/>
  <c r="N236" i="112" a="1"/>
  <c r="N236" i="112" s="1"/>
  <c r="M236" i="112" a="1"/>
  <c r="M236" i="112" s="1"/>
  <c r="L236" i="112" a="1"/>
  <c r="L236" i="112" s="1"/>
  <c r="K236" i="112" a="1"/>
  <c r="K236" i="112" s="1"/>
  <c r="J236" i="112" a="1"/>
  <c r="J236" i="112" s="1"/>
  <c r="I236" i="112" a="1"/>
  <c r="I236" i="112" s="1"/>
  <c r="H236" i="112" a="1"/>
  <c r="H236" i="112" s="1"/>
  <c r="G236" i="112" a="1"/>
  <c r="G236" i="112" s="1"/>
  <c r="F236" i="112" a="1"/>
  <c r="F236" i="112" s="1"/>
  <c r="E236" i="112" a="1"/>
  <c r="E236" i="112" s="1"/>
  <c r="D236" i="112" a="1"/>
  <c r="D236" i="112" s="1"/>
  <c r="S235" i="112" a="1"/>
  <c r="S235" i="112" s="1"/>
  <c r="R235" i="112" a="1"/>
  <c r="R235" i="112" s="1"/>
  <c r="Q235" i="112" a="1"/>
  <c r="Q235" i="112" s="1"/>
  <c r="P235" i="112" a="1"/>
  <c r="P235" i="112" s="1"/>
  <c r="O235" i="112" a="1"/>
  <c r="O235" i="112" s="1"/>
  <c r="N235" i="112" a="1"/>
  <c r="N235" i="112" s="1"/>
  <c r="M235" i="112" a="1"/>
  <c r="M235" i="112" s="1"/>
  <c r="L235" i="112" a="1"/>
  <c r="L235" i="112" s="1"/>
  <c r="K235" i="112" a="1"/>
  <c r="K235" i="112" s="1"/>
  <c r="J235" i="112" a="1"/>
  <c r="J235" i="112" s="1"/>
  <c r="I235" i="112" a="1"/>
  <c r="I235" i="112" s="1"/>
  <c r="H235" i="112" a="1"/>
  <c r="H235" i="112" s="1"/>
  <c r="G235" i="112" a="1"/>
  <c r="G235" i="112" s="1"/>
  <c r="F235" i="112" a="1"/>
  <c r="F235" i="112" s="1"/>
  <c r="E235" i="112" a="1"/>
  <c r="E235" i="112" s="1"/>
  <c r="D235" i="112" a="1"/>
  <c r="D235" i="112" s="1"/>
  <c r="S234" i="112" a="1"/>
  <c r="S234" i="112" s="1"/>
  <c r="R234" i="112" a="1"/>
  <c r="R234" i="112" s="1"/>
  <c r="Q234" i="112" a="1"/>
  <c r="Q234" i="112" s="1"/>
  <c r="P234" i="112" a="1"/>
  <c r="P234" i="112" s="1"/>
  <c r="O234" i="112" a="1"/>
  <c r="O234" i="112" s="1"/>
  <c r="N234" i="112" a="1"/>
  <c r="N234" i="112" s="1"/>
  <c r="M234" i="112" a="1"/>
  <c r="M234" i="112" s="1"/>
  <c r="L234" i="112" a="1"/>
  <c r="L234" i="112" s="1"/>
  <c r="K234" i="112" a="1"/>
  <c r="K234" i="112" s="1"/>
  <c r="J234" i="112" a="1"/>
  <c r="J234" i="112" s="1"/>
  <c r="I234" i="112" a="1"/>
  <c r="I234" i="112" s="1"/>
  <c r="H234" i="112" a="1"/>
  <c r="H234" i="112" s="1"/>
  <c r="G234" i="112" a="1"/>
  <c r="G234" i="112" s="1"/>
  <c r="F234" i="112" a="1"/>
  <c r="F234" i="112" s="1"/>
  <c r="E234" i="112" a="1"/>
  <c r="E234" i="112" s="1"/>
  <c r="D234" i="112" a="1"/>
  <c r="D234" i="112" s="1"/>
  <c r="S233" i="112" a="1"/>
  <c r="S233" i="112" s="1"/>
  <c r="R233" i="112" a="1"/>
  <c r="R233" i="112" s="1"/>
  <c r="Q233" i="112" a="1"/>
  <c r="Q233" i="112" s="1"/>
  <c r="P233" i="112" a="1"/>
  <c r="P233" i="112" s="1"/>
  <c r="O233" i="112" a="1"/>
  <c r="O233" i="112" s="1"/>
  <c r="N233" i="112" a="1"/>
  <c r="N233" i="112" s="1"/>
  <c r="M233" i="112" a="1"/>
  <c r="M233" i="112" s="1"/>
  <c r="L233" i="112" a="1"/>
  <c r="L233" i="112" s="1"/>
  <c r="K233" i="112" a="1"/>
  <c r="K233" i="112" s="1"/>
  <c r="J233" i="112" a="1"/>
  <c r="J233" i="112" s="1"/>
  <c r="I233" i="112" a="1"/>
  <c r="I233" i="112" s="1"/>
  <c r="H233" i="112" a="1"/>
  <c r="H233" i="112" s="1"/>
  <c r="G233" i="112" a="1"/>
  <c r="G233" i="112" s="1"/>
  <c r="F233" i="112" a="1"/>
  <c r="F233" i="112" s="1"/>
  <c r="E233" i="112" a="1"/>
  <c r="E233" i="112" s="1"/>
  <c r="D233" i="112" a="1"/>
  <c r="D233" i="112" s="1"/>
  <c r="S232" i="112" a="1"/>
  <c r="S232" i="112" s="1"/>
  <c r="R232" i="112" a="1"/>
  <c r="R232" i="112" s="1"/>
  <c r="Q232" i="112" a="1"/>
  <c r="Q232" i="112" s="1"/>
  <c r="P232" i="112" a="1"/>
  <c r="P232" i="112" s="1"/>
  <c r="O232" i="112" a="1"/>
  <c r="O232" i="112" s="1"/>
  <c r="N232" i="112" a="1"/>
  <c r="N232" i="112" s="1"/>
  <c r="M232" i="112" a="1"/>
  <c r="M232" i="112" s="1"/>
  <c r="L232" i="112" a="1"/>
  <c r="L232" i="112" s="1"/>
  <c r="K232" i="112" a="1"/>
  <c r="K232" i="112" s="1"/>
  <c r="J232" i="112" a="1"/>
  <c r="J232" i="112" s="1"/>
  <c r="I232" i="112" a="1"/>
  <c r="I232" i="112" s="1"/>
  <c r="H232" i="112" a="1"/>
  <c r="H232" i="112" s="1"/>
  <c r="G232" i="112" a="1"/>
  <c r="G232" i="112" s="1"/>
  <c r="F232" i="112" a="1"/>
  <c r="F232" i="112" s="1"/>
  <c r="E232" i="112" a="1"/>
  <c r="E232" i="112" s="1"/>
  <c r="D232" i="112" a="1"/>
  <c r="D232" i="112" s="1"/>
  <c r="D229" i="112"/>
  <c r="D229" i="112" a="1"/>
  <c r="D228" i="112" a="1"/>
  <c r="D228" i="112" s="1"/>
  <c r="D227" i="112" a="1"/>
  <c r="D227" i="112" s="1"/>
  <c r="E224" i="112" a="1"/>
  <c r="E224" i="112" s="1"/>
  <c r="D224" i="112" a="1"/>
  <c r="D224" i="112" s="1"/>
  <c r="E223" i="112" a="1"/>
  <c r="E223" i="112" s="1"/>
  <c r="D223" i="112" a="1"/>
  <c r="D223" i="112" s="1"/>
  <c r="E222" i="112" a="1"/>
  <c r="E222" i="112" s="1"/>
  <c r="D222" i="112" a="1"/>
  <c r="D222" i="112" s="1"/>
  <c r="E221" i="112" a="1"/>
  <c r="E221" i="112" s="1"/>
  <c r="D221" i="112" a="1"/>
  <c r="D221" i="112" s="1"/>
  <c r="E220" i="112" a="1"/>
  <c r="E220" i="112" s="1"/>
  <c r="D220" i="112" a="1"/>
  <c r="D220" i="112" s="1"/>
  <c r="E219" i="112" a="1"/>
  <c r="E219" i="112" s="1"/>
  <c r="D219" i="112" a="1"/>
  <c r="D219" i="112" s="1"/>
  <c r="E218" i="112" a="1"/>
  <c r="E218" i="112" s="1"/>
  <c r="D218" i="112" a="1"/>
  <c r="D218" i="112" s="1"/>
  <c r="E217" i="112" a="1"/>
  <c r="E217" i="112" s="1"/>
  <c r="D217" i="112" a="1"/>
  <c r="D217" i="112" s="1"/>
  <c r="E216" i="112" a="1"/>
  <c r="E216" i="112" s="1"/>
  <c r="D216" i="112" a="1"/>
  <c r="D216" i="112" s="1"/>
  <c r="E215" i="112" a="1"/>
  <c r="E215" i="112" s="1"/>
  <c r="D215" i="112" a="1"/>
  <c r="D215" i="112" s="1"/>
  <c r="E214" i="112" a="1"/>
  <c r="E214" i="112" s="1"/>
  <c r="D214" i="112" a="1"/>
  <c r="D214" i="112" s="1"/>
  <c r="E213" i="112" a="1"/>
  <c r="E213" i="112" s="1"/>
  <c r="D213" i="112" a="1"/>
  <c r="D213" i="112" s="1"/>
  <c r="D211" i="112"/>
  <c r="D211" i="112" a="1"/>
  <c r="E208" i="112" a="1"/>
  <c r="E208" i="112" s="1"/>
  <c r="D208" i="112" a="1"/>
  <c r="D208" i="112" s="1"/>
  <c r="E207" i="112" a="1"/>
  <c r="E207" i="112" s="1"/>
  <c r="D207" i="112" a="1"/>
  <c r="D207" i="112" s="1"/>
  <c r="D205" i="112" a="1"/>
  <c r="D205" i="112" s="1"/>
  <c r="D204" i="112" a="1"/>
  <c r="D204" i="112" s="1"/>
  <c r="D203" i="112" a="1"/>
  <c r="D203" i="112" s="1"/>
  <c r="D202" i="112" a="1"/>
  <c r="D202" i="112" s="1"/>
  <c r="H199" i="112" a="1"/>
  <c r="H199" i="112" s="1"/>
  <c r="G199" i="112" a="1"/>
  <c r="G199" i="112" s="1"/>
  <c r="F199" i="112" a="1"/>
  <c r="F199" i="112" s="1"/>
  <c r="E199" i="112" a="1"/>
  <c r="E199" i="112" s="1"/>
  <c r="D199" i="112" a="1"/>
  <c r="D199" i="112" s="1"/>
  <c r="H198" i="112" a="1"/>
  <c r="H198" i="112" s="1"/>
  <c r="G198" i="112" a="1"/>
  <c r="G198" i="112" s="1"/>
  <c r="F198" i="112" a="1"/>
  <c r="F198" i="112" s="1"/>
  <c r="E198" i="112" a="1"/>
  <c r="E198" i="112" s="1"/>
  <c r="D198" i="112" a="1"/>
  <c r="D198" i="112" s="1"/>
  <c r="H197" i="112" a="1"/>
  <c r="H197" i="112" s="1"/>
  <c r="G197" i="112" a="1"/>
  <c r="G197" i="112" s="1"/>
  <c r="F197" i="112" a="1"/>
  <c r="F197" i="112" s="1"/>
  <c r="E197" i="112" a="1"/>
  <c r="E197" i="112" s="1"/>
  <c r="D197" i="112" a="1"/>
  <c r="D197" i="112" s="1"/>
  <c r="H196" i="112" a="1"/>
  <c r="H196" i="112" s="1"/>
  <c r="G196" i="112" a="1"/>
  <c r="G196" i="112" s="1"/>
  <c r="F196" i="112" a="1"/>
  <c r="F196" i="112" s="1"/>
  <c r="E196" i="112" a="1"/>
  <c r="E196" i="112" s="1"/>
  <c r="D196" i="112" a="1"/>
  <c r="D196" i="112" s="1"/>
  <c r="H195" i="112" a="1"/>
  <c r="H195" i="112" s="1"/>
  <c r="G195" i="112" a="1"/>
  <c r="G195" i="112" s="1"/>
  <c r="F195" i="112" a="1"/>
  <c r="F195" i="112" s="1"/>
  <c r="E195" i="112" a="1"/>
  <c r="E195" i="112" s="1"/>
  <c r="D195" i="112" a="1"/>
  <c r="D195" i="112" s="1"/>
  <c r="H194" i="112" a="1"/>
  <c r="H194" i="112" s="1"/>
  <c r="G194" i="112" a="1"/>
  <c r="G194" i="112" s="1"/>
  <c r="F194" i="112" a="1"/>
  <c r="F194" i="112" s="1"/>
  <c r="E194" i="112" a="1"/>
  <c r="E194" i="112" s="1"/>
  <c r="D194" i="112" a="1"/>
  <c r="D194" i="112" s="1"/>
  <c r="H193" i="112" a="1"/>
  <c r="H193" i="112" s="1"/>
  <c r="G193" i="112" a="1"/>
  <c r="G193" i="112" s="1"/>
  <c r="F193" i="112" a="1"/>
  <c r="F193" i="112" s="1"/>
  <c r="E193" i="112" a="1"/>
  <c r="E193" i="112" s="1"/>
  <c r="D193" i="112" a="1"/>
  <c r="D193" i="112" s="1"/>
  <c r="H192" i="112" a="1"/>
  <c r="H192" i="112" s="1"/>
  <c r="G192" i="112" a="1"/>
  <c r="G192" i="112" s="1"/>
  <c r="F192" i="112" a="1"/>
  <c r="F192" i="112" s="1"/>
  <c r="E192" i="112" a="1"/>
  <c r="E192" i="112" s="1"/>
  <c r="D192" i="112" a="1"/>
  <c r="D192" i="112" s="1"/>
  <c r="H191" i="112" a="1"/>
  <c r="H191" i="112" s="1"/>
  <c r="G191" i="112" a="1"/>
  <c r="G191" i="112" s="1"/>
  <c r="F191" i="112" a="1"/>
  <c r="F191" i="112" s="1"/>
  <c r="E191" i="112" a="1"/>
  <c r="E191" i="112" s="1"/>
  <c r="D191" i="112" a="1"/>
  <c r="D191" i="112" s="1"/>
  <c r="H190" i="112" a="1"/>
  <c r="H190" i="112" s="1"/>
  <c r="G190" i="112" a="1"/>
  <c r="G190" i="112" s="1"/>
  <c r="F190" i="112" a="1"/>
  <c r="F190" i="112" s="1"/>
  <c r="E190" i="112" a="1"/>
  <c r="E190" i="112" s="1"/>
  <c r="D190" i="112" a="1"/>
  <c r="D190" i="112" s="1"/>
  <c r="H189" i="112" a="1"/>
  <c r="H189" i="112" s="1"/>
  <c r="G189" i="112" a="1"/>
  <c r="G189" i="112" s="1"/>
  <c r="F189" i="112" a="1"/>
  <c r="F189" i="112" s="1"/>
  <c r="E189" i="112" a="1"/>
  <c r="E189" i="112" s="1"/>
  <c r="D189" i="112" a="1"/>
  <c r="D189" i="112" s="1"/>
  <c r="H188" i="112" a="1"/>
  <c r="H188" i="112" s="1"/>
  <c r="G188" i="112" a="1"/>
  <c r="G188" i="112" s="1"/>
  <c r="F188" i="112" a="1"/>
  <c r="F188" i="112" s="1"/>
  <c r="E188" i="112" a="1"/>
  <c r="E188" i="112" s="1"/>
  <c r="D188" i="112" a="1"/>
  <c r="D188" i="112" s="1"/>
  <c r="H187" i="112" a="1"/>
  <c r="H187" i="112" s="1"/>
  <c r="G187" i="112" a="1"/>
  <c r="G187" i="112" s="1"/>
  <c r="F187" i="112" a="1"/>
  <c r="F187" i="112" s="1"/>
  <c r="E187" i="112" a="1"/>
  <c r="E187" i="112" s="1"/>
  <c r="D187" i="112" a="1"/>
  <c r="D187" i="112" s="1"/>
  <c r="D181" i="112" a="1"/>
  <c r="D181" i="112" s="1"/>
  <c r="D180" i="112" a="1"/>
  <c r="D180" i="112" s="1"/>
  <c r="D179" i="112" a="1"/>
  <c r="D179" i="112" s="1"/>
  <c r="D178" i="112" a="1"/>
  <c r="D178" i="112" s="1"/>
  <c r="E175" i="112" a="1"/>
  <c r="E175" i="112" s="1"/>
  <c r="D175" i="112" a="1"/>
  <c r="D175" i="112" s="1"/>
  <c r="D174" i="112" a="1"/>
  <c r="D174" i="112" s="1"/>
  <c r="D173" i="112" a="1"/>
  <c r="D173" i="112" s="1"/>
  <c r="D170" i="112" a="1"/>
  <c r="D170" i="112" s="1"/>
  <c r="D169" i="112" a="1"/>
  <c r="D169" i="112" s="1"/>
  <c r="D168" i="112" a="1"/>
  <c r="D168" i="112" s="1"/>
  <c r="D167" i="112" a="1"/>
  <c r="D167" i="112" s="1"/>
  <c r="D164" i="112" a="1"/>
  <c r="D164" i="112" s="1"/>
  <c r="D163" i="112" a="1"/>
  <c r="D163" i="112" s="1"/>
  <c r="D162" i="112" a="1"/>
  <c r="D162" i="112" s="1"/>
  <c r="D161" i="112" a="1"/>
  <c r="D161" i="112" s="1"/>
  <c r="E158" i="112" a="1"/>
  <c r="E158" i="112" s="1"/>
  <c r="D158" i="112" a="1"/>
  <c r="D158" i="112" s="1"/>
  <c r="E157" i="112" a="1"/>
  <c r="E157" i="112" s="1"/>
  <c r="D157" i="112" a="1"/>
  <c r="D157" i="112" s="1"/>
  <c r="E156" i="112" a="1"/>
  <c r="E156" i="112" s="1"/>
  <c r="D156" i="112" a="1"/>
  <c r="D156" i="112" s="1"/>
  <c r="E155" i="112" a="1"/>
  <c r="E155" i="112" s="1"/>
  <c r="D155" i="112" a="1"/>
  <c r="D155" i="112" s="1"/>
  <c r="E154" i="112" a="1"/>
  <c r="E154" i="112" s="1"/>
  <c r="D154" i="112" a="1"/>
  <c r="D154" i="112" s="1"/>
  <c r="D151" i="112" a="1"/>
  <c r="D151" i="112" s="1"/>
  <c r="D150" i="112" a="1"/>
  <c r="D150" i="112" s="1"/>
  <c r="E147" i="112" a="1"/>
  <c r="E147" i="112" s="1"/>
  <c r="D147" i="112" a="1"/>
  <c r="D147" i="112" s="1"/>
  <c r="E146" i="112" a="1"/>
  <c r="E146" i="112" s="1"/>
  <c r="D146" i="112" a="1"/>
  <c r="D146" i="112" s="1"/>
  <c r="E145" i="112" a="1"/>
  <c r="E145" i="112" s="1"/>
  <c r="D145" i="112" a="1"/>
  <c r="D145" i="112" s="1"/>
  <c r="E144" i="112" a="1"/>
  <c r="E144" i="112" s="1"/>
  <c r="D144" i="112" a="1"/>
  <c r="D144" i="112" s="1"/>
  <c r="E143" i="112" a="1"/>
  <c r="E143" i="112" s="1"/>
  <c r="D143" i="112" a="1"/>
  <c r="D143" i="112" s="1"/>
  <c r="D141" i="112" a="1"/>
  <c r="D141" i="112" s="1"/>
  <c r="D140" i="112" a="1"/>
  <c r="D140" i="112" s="1"/>
  <c r="D139" i="112" a="1"/>
  <c r="D139" i="112" s="1"/>
  <c r="E136" i="112" a="1"/>
  <c r="E136" i="112" s="1"/>
  <c r="D136" i="112" a="1"/>
  <c r="D136" i="112" s="1"/>
  <c r="E135" i="112" a="1"/>
  <c r="E135" i="112" s="1"/>
  <c r="D135" i="112" a="1"/>
  <c r="D135" i="112" s="1"/>
  <c r="D133" i="112" a="1"/>
  <c r="D133" i="112" s="1"/>
  <c r="D132" i="112" a="1"/>
  <c r="D132" i="112" s="1"/>
  <c r="E129" i="112" a="1"/>
  <c r="E129" i="112" s="1"/>
  <c r="D129" i="112" a="1"/>
  <c r="D129" i="112" s="1"/>
  <c r="E128" i="112" a="1"/>
  <c r="E128" i="112" s="1"/>
  <c r="D128" i="112" a="1"/>
  <c r="D128" i="112" s="1"/>
  <c r="D125" i="112" a="1"/>
  <c r="D125" i="112" s="1"/>
  <c r="D124" i="112" a="1"/>
  <c r="D124" i="112" s="1"/>
  <c r="G121" i="112" a="1"/>
  <c r="G121" i="112" s="1"/>
  <c r="F121" i="112" a="1"/>
  <c r="F121" i="112" s="1"/>
  <c r="E121" i="112" a="1"/>
  <c r="E121" i="112" s="1"/>
  <c r="D121" i="112" a="1"/>
  <c r="D121" i="112" s="1"/>
  <c r="G120" i="112" a="1"/>
  <c r="G120" i="112" s="1"/>
  <c r="F120" i="112" a="1"/>
  <c r="F120" i="112" s="1"/>
  <c r="E120" i="112" a="1"/>
  <c r="E120" i="112" s="1"/>
  <c r="D120" i="112" a="1"/>
  <c r="D120" i="112" s="1"/>
  <c r="D117" i="112" a="1"/>
  <c r="D117" i="112" s="1"/>
  <c r="D116" i="112" a="1"/>
  <c r="D116" i="112" s="1"/>
  <c r="D115" i="112" a="1"/>
  <c r="D115" i="112" s="1"/>
  <c r="G112" i="112" a="1"/>
  <c r="G112" i="112" s="1"/>
  <c r="F112" i="112" a="1"/>
  <c r="F112" i="112" s="1"/>
  <c r="E112" i="112" a="1"/>
  <c r="E112" i="112" s="1"/>
  <c r="D112" i="112" a="1"/>
  <c r="D112" i="112" s="1"/>
  <c r="G111" i="112" a="1"/>
  <c r="G111" i="112" s="1"/>
  <c r="F111" i="112" a="1"/>
  <c r="F111" i="112" s="1"/>
  <c r="E111" i="112" a="1"/>
  <c r="E111" i="112" s="1"/>
  <c r="D111" i="112" a="1"/>
  <c r="D111" i="112" s="1"/>
  <c r="G110" i="112" a="1"/>
  <c r="G110" i="112" s="1"/>
  <c r="F110" i="112" a="1"/>
  <c r="F110" i="112" s="1"/>
  <c r="E110" i="112" a="1"/>
  <c r="E110" i="112" s="1"/>
  <c r="D110" i="112" a="1"/>
  <c r="D110" i="112" s="1"/>
  <c r="D107" i="112" a="1"/>
  <c r="D107" i="112" s="1"/>
  <c r="D106" i="112" a="1"/>
  <c r="D106" i="112" s="1"/>
  <c r="D105" i="112" a="1"/>
  <c r="D105" i="112" s="1"/>
  <c r="D99" i="112" a="1"/>
  <c r="D99" i="112" s="1"/>
  <c r="S97" i="112" a="1"/>
  <c r="S97" i="112" s="1"/>
  <c r="R97" i="112" a="1"/>
  <c r="R97" i="112" s="1"/>
  <c r="Q97" i="112" a="1"/>
  <c r="Q97" i="112" s="1"/>
  <c r="P97" i="112" a="1"/>
  <c r="P97" i="112" s="1"/>
  <c r="O97" i="112" a="1"/>
  <c r="O97" i="112" s="1"/>
  <c r="N97" i="112" a="1"/>
  <c r="N97" i="112" s="1"/>
  <c r="M97" i="112" a="1"/>
  <c r="M97" i="112" s="1"/>
  <c r="L97" i="112" a="1"/>
  <c r="L97" i="112" s="1"/>
  <c r="K97" i="112" a="1"/>
  <c r="K97" i="112" s="1"/>
  <c r="J97" i="112" a="1"/>
  <c r="J97" i="112" s="1"/>
  <c r="I97" i="112" a="1"/>
  <c r="I97" i="112" s="1"/>
  <c r="H97" i="112" a="1"/>
  <c r="H97" i="112" s="1"/>
  <c r="G97" i="112" a="1"/>
  <c r="G97" i="112" s="1"/>
  <c r="F97" i="112" a="1"/>
  <c r="F97" i="112" s="1"/>
  <c r="E97" i="112" a="1"/>
  <c r="E97" i="112" s="1"/>
  <c r="D97" i="112" a="1"/>
  <c r="D97" i="112" s="1"/>
  <c r="S96" i="112" a="1"/>
  <c r="S96" i="112" s="1"/>
  <c r="R96" i="112" a="1"/>
  <c r="R96" i="112" s="1"/>
  <c r="Q96" i="112" a="1"/>
  <c r="Q96" i="112" s="1"/>
  <c r="P96" i="112" a="1"/>
  <c r="P96" i="112" s="1"/>
  <c r="O96" i="112" a="1"/>
  <c r="O96" i="112" s="1"/>
  <c r="N96" i="112" a="1"/>
  <c r="N96" i="112" s="1"/>
  <c r="M96" i="112" a="1"/>
  <c r="M96" i="112" s="1"/>
  <c r="L96" i="112" a="1"/>
  <c r="L96" i="112" s="1"/>
  <c r="K96" i="112" a="1"/>
  <c r="K96" i="112" s="1"/>
  <c r="J96" i="112" a="1"/>
  <c r="J96" i="112" s="1"/>
  <c r="I96" i="112" a="1"/>
  <c r="I96" i="112" s="1"/>
  <c r="H96" i="112" a="1"/>
  <c r="H96" i="112" s="1"/>
  <c r="G96" i="112" a="1"/>
  <c r="G96" i="112" s="1"/>
  <c r="F96" i="112" a="1"/>
  <c r="F96" i="112" s="1"/>
  <c r="E96" i="112" a="1"/>
  <c r="E96" i="112" s="1"/>
  <c r="D96" i="112" a="1"/>
  <c r="D96" i="112" s="1"/>
  <c r="S95" i="112" a="1"/>
  <c r="S95" i="112" s="1"/>
  <c r="R95" i="112" a="1"/>
  <c r="R95" i="112" s="1"/>
  <c r="Q95" i="112" a="1"/>
  <c r="Q95" i="112" s="1"/>
  <c r="P95" i="112" a="1"/>
  <c r="P95" i="112" s="1"/>
  <c r="O95" i="112" a="1"/>
  <c r="O95" i="112" s="1"/>
  <c r="N95" i="112" a="1"/>
  <c r="N95" i="112" s="1"/>
  <c r="M95" i="112" a="1"/>
  <c r="M95" i="112" s="1"/>
  <c r="L95" i="112" a="1"/>
  <c r="L95" i="112" s="1"/>
  <c r="K95" i="112" a="1"/>
  <c r="K95" i="112" s="1"/>
  <c r="J95" i="112" a="1"/>
  <c r="J95" i="112" s="1"/>
  <c r="I95" i="112" a="1"/>
  <c r="I95" i="112" s="1"/>
  <c r="H95" i="112" a="1"/>
  <c r="H95" i="112" s="1"/>
  <c r="G95" i="112" a="1"/>
  <c r="G95" i="112" s="1"/>
  <c r="F95" i="112" a="1"/>
  <c r="F95" i="112" s="1"/>
  <c r="E95" i="112" a="1"/>
  <c r="E95" i="112" s="1"/>
  <c r="D95" i="112" a="1"/>
  <c r="D95" i="112" s="1"/>
  <c r="S94" i="112" a="1"/>
  <c r="S94" i="112" s="1"/>
  <c r="R94" i="112" a="1"/>
  <c r="R94" i="112" s="1"/>
  <c r="Q94" i="112" a="1"/>
  <c r="Q94" i="112" s="1"/>
  <c r="P94" i="112" a="1"/>
  <c r="P94" i="112" s="1"/>
  <c r="O94" i="112" a="1"/>
  <c r="O94" i="112" s="1"/>
  <c r="N94" i="112" a="1"/>
  <c r="N94" i="112" s="1"/>
  <c r="M94" i="112" a="1"/>
  <c r="M94" i="112" s="1"/>
  <c r="L94" i="112" a="1"/>
  <c r="L94" i="112" s="1"/>
  <c r="K94" i="112" a="1"/>
  <c r="K94" i="112" s="1"/>
  <c r="J94" i="112" a="1"/>
  <c r="J94" i="112" s="1"/>
  <c r="I94" i="112" a="1"/>
  <c r="I94" i="112" s="1"/>
  <c r="H94" i="112" a="1"/>
  <c r="H94" i="112" s="1"/>
  <c r="G94" i="112" a="1"/>
  <c r="G94" i="112" s="1"/>
  <c r="F94" i="112" a="1"/>
  <c r="F94" i="112" s="1"/>
  <c r="E94" i="112" a="1"/>
  <c r="E94" i="112" s="1"/>
  <c r="D94" i="112" a="1"/>
  <c r="D94" i="112" s="1"/>
  <c r="S93" i="112" a="1"/>
  <c r="S93" i="112" s="1"/>
  <c r="R93" i="112" a="1"/>
  <c r="R93" i="112" s="1"/>
  <c r="Q93" i="112" a="1"/>
  <c r="Q93" i="112" s="1"/>
  <c r="P93" i="112" a="1"/>
  <c r="P93" i="112" s="1"/>
  <c r="O93" i="112" a="1"/>
  <c r="O93" i="112" s="1"/>
  <c r="N93" i="112" a="1"/>
  <c r="N93" i="112" s="1"/>
  <c r="M93" i="112" a="1"/>
  <c r="M93" i="112" s="1"/>
  <c r="L93" i="112" a="1"/>
  <c r="L93" i="112" s="1"/>
  <c r="K93" i="112" a="1"/>
  <c r="K93" i="112" s="1"/>
  <c r="J93" i="112" a="1"/>
  <c r="J93" i="112" s="1"/>
  <c r="I93" i="112" a="1"/>
  <c r="I93" i="112" s="1"/>
  <c r="H93" i="112" a="1"/>
  <c r="H93" i="112" s="1"/>
  <c r="G93" i="112" a="1"/>
  <c r="G93" i="112" s="1"/>
  <c r="F93" i="112" a="1"/>
  <c r="F93" i="112" s="1"/>
  <c r="E93" i="112" a="1"/>
  <c r="E93" i="112" s="1"/>
  <c r="D93" i="112" a="1"/>
  <c r="D93" i="112" s="1"/>
  <c r="S92" i="112" a="1"/>
  <c r="S92" i="112" s="1"/>
  <c r="R92" i="112" a="1"/>
  <c r="R92" i="112" s="1"/>
  <c r="Q92" i="112" a="1"/>
  <c r="Q92" i="112" s="1"/>
  <c r="P92" i="112" a="1"/>
  <c r="P92" i="112" s="1"/>
  <c r="O92" i="112" a="1"/>
  <c r="O92" i="112" s="1"/>
  <c r="N92" i="112" a="1"/>
  <c r="N92" i="112" s="1"/>
  <c r="M92" i="112" a="1"/>
  <c r="M92" i="112" s="1"/>
  <c r="L92" i="112" a="1"/>
  <c r="L92" i="112" s="1"/>
  <c r="K92" i="112" a="1"/>
  <c r="K92" i="112" s="1"/>
  <c r="J92" i="112" a="1"/>
  <c r="J92" i="112" s="1"/>
  <c r="I92" i="112" a="1"/>
  <c r="I92" i="112" s="1"/>
  <c r="H92" i="112" a="1"/>
  <c r="H92" i="112" s="1"/>
  <c r="G92" i="112" a="1"/>
  <c r="G92" i="112" s="1"/>
  <c r="F92" i="112" a="1"/>
  <c r="F92" i="112" s="1"/>
  <c r="E92" i="112" a="1"/>
  <c r="E92" i="112" s="1"/>
  <c r="D92" i="112" a="1"/>
  <c r="D92" i="112" s="1"/>
  <c r="S91" i="112" a="1"/>
  <c r="S91" i="112" s="1"/>
  <c r="R91" i="112" a="1"/>
  <c r="R91" i="112" s="1"/>
  <c r="Q91" i="112" a="1"/>
  <c r="Q91" i="112" s="1"/>
  <c r="P91" i="112" a="1"/>
  <c r="P91" i="112" s="1"/>
  <c r="O91" i="112" a="1"/>
  <c r="O91" i="112" s="1"/>
  <c r="N91" i="112" a="1"/>
  <c r="N91" i="112" s="1"/>
  <c r="M91" i="112" a="1"/>
  <c r="M91" i="112" s="1"/>
  <c r="L91" i="112" a="1"/>
  <c r="L91" i="112" s="1"/>
  <c r="K91" i="112" a="1"/>
  <c r="K91" i="112" s="1"/>
  <c r="J91" i="112" a="1"/>
  <c r="J91" i="112" s="1"/>
  <c r="I91" i="112" a="1"/>
  <c r="I91" i="112" s="1"/>
  <c r="H91" i="112" a="1"/>
  <c r="H91" i="112" s="1"/>
  <c r="G91" i="112" a="1"/>
  <c r="G91" i="112" s="1"/>
  <c r="F91" i="112" a="1"/>
  <c r="F91" i="112" s="1"/>
  <c r="E91" i="112" a="1"/>
  <c r="E91" i="112" s="1"/>
  <c r="D91" i="112" a="1"/>
  <c r="D91" i="112" s="1"/>
  <c r="S90" i="112" a="1"/>
  <c r="S90" i="112" s="1"/>
  <c r="R90" i="112" a="1"/>
  <c r="R90" i="112" s="1"/>
  <c r="Q90" i="112" a="1"/>
  <c r="Q90" i="112" s="1"/>
  <c r="P90" i="112" a="1"/>
  <c r="P90" i="112" s="1"/>
  <c r="O90" i="112" a="1"/>
  <c r="O90" i="112" s="1"/>
  <c r="N90" i="112" a="1"/>
  <c r="N90" i="112" s="1"/>
  <c r="M90" i="112" a="1"/>
  <c r="M90" i="112" s="1"/>
  <c r="L90" i="112" a="1"/>
  <c r="L90" i="112" s="1"/>
  <c r="K90" i="112" a="1"/>
  <c r="K90" i="112" s="1"/>
  <c r="J90" i="112" a="1"/>
  <c r="J90" i="112" s="1"/>
  <c r="I90" i="112" a="1"/>
  <c r="I90" i="112" s="1"/>
  <c r="H90" i="112" a="1"/>
  <c r="H90" i="112" s="1"/>
  <c r="G90" i="112" a="1"/>
  <c r="G90" i="112" s="1"/>
  <c r="F90" i="112" a="1"/>
  <c r="F90" i="112" s="1"/>
  <c r="E90" i="112" a="1"/>
  <c r="E90" i="112" s="1"/>
  <c r="D90" i="112" a="1"/>
  <c r="D90" i="112" s="1"/>
  <c r="D83" i="112" a="1"/>
  <c r="D83" i="112" s="1"/>
  <c r="D82" i="112" a="1"/>
  <c r="D82" i="112" s="1"/>
  <c r="D81" i="112" a="1"/>
  <c r="D81" i="112" s="1"/>
  <c r="E77" i="112" a="1"/>
  <c r="E77" i="112" s="1"/>
  <c r="D77" i="112" a="1"/>
  <c r="D77" i="112" s="1"/>
  <c r="E76" i="112" a="1"/>
  <c r="E76" i="112" s="1"/>
  <c r="D76" i="112" a="1"/>
  <c r="D76" i="112" s="1"/>
  <c r="E75" i="112" a="1"/>
  <c r="E75" i="112" s="1"/>
  <c r="D75" i="112" a="1"/>
  <c r="D75" i="112" s="1"/>
  <c r="E74" i="112" a="1"/>
  <c r="E74" i="112" s="1"/>
  <c r="D74" i="112" a="1"/>
  <c r="D74" i="112" s="1"/>
  <c r="E73" i="112" a="1"/>
  <c r="E73" i="112" s="1"/>
  <c r="D73" i="112" a="1"/>
  <c r="D73" i="112" s="1"/>
  <c r="E72" i="112" a="1"/>
  <c r="E72" i="112" s="1"/>
  <c r="D72" i="112" a="1"/>
  <c r="D72" i="112" s="1"/>
  <c r="E71" i="112" a="1"/>
  <c r="E71" i="112" s="1"/>
  <c r="D71" i="112" a="1"/>
  <c r="D71" i="112" s="1"/>
  <c r="E70" i="112" a="1"/>
  <c r="E70" i="112" s="1"/>
  <c r="D70" i="112" a="1"/>
  <c r="D70" i="112" s="1"/>
  <c r="E69" i="112" a="1"/>
  <c r="E69" i="112" s="1"/>
  <c r="D69" i="112" a="1"/>
  <c r="D69" i="112" s="1"/>
  <c r="E68" i="112" a="1"/>
  <c r="E68" i="112" s="1"/>
  <c r="D68" i="112" a="1"/>
  <c r="D68" i="112" s="1"/>
  <c r="E67" i="112" a="1"/>
  <c r="E67" i="112" s="1"/>
  <c r="D67" i="112" a="1"/>
  <c r="D67" i="112" s="1"/>
  <c r="E66" i="112" a="1"/>
  <c r="E66" i="112" s="1"/>
  <c r="D66" i="112" a="1"/>
  <c r="D66" i="112" s="1"/>
  <c r="E65" i="112" a="1"/>
  <c r="E65" i="112" s="1"/>
  <c r="D65" i="112" a="1"/>
  <c r="D65" i="112" s="1"/>
  <c r="E64" i="112" a="1"/>
  <c r="E64" i="112" s="1"/>
  <c r="D64" i="112" a="1"/>
  <c r="D64" i="112" s="1"/>
  <c r="D59" i="112" a="1"/>
  <c r="D59" i="112" s="1"/>
  <c r="D58" i="112"/>
  <c r="D58" i="112" a="1"/>
  <c r="D57" i="112" a="1"/>
  <c r="D57" i="112" s="1"/>
  <c r="G54" i="112" a="1"/>
  <c r="G54" i="112" s="1"/>
  <c r="F54" i="112" a="1"/>
  <c r="F54" i="112" s="1"/>
  <c r="E54" i="112" a="1"/>
  <c r="E54" i="112" s="1"/>
  <c r="D54" i="112" a="1"/>
  <c r="D54" i="112" s="1"/>
  <c r="G53" i="112" a="1"/>
  <c r="G53" i="112" s="1"/>
  <c r="F53" i="112" a="1"/>
  <c r="F53" i="112" s="1"/>
  <c r="E53" i="112" a="1"/>
  <c r="E53" i="112" s="1"/>
  <c r="D53" i="112" a="1"/>
  <c r="D53" i="112" s="1"/>
  <c r="G52" i="112" a="1"/>
  <c r="G52" i="112" s="1"/>
  <c r="F52" i="112" a="1"/>
  <c r="F52" i="112" s="1"/>
  <c r="E52" i="112" a="1"/>
  <c r="E52" i="112" s="1"/>
  <c r="D52" i="112" a="1"/>
  <c r="D52" i="112" s="1"/>
  <c r="G51" i="112" a="1"/>
  <c r="G51" i="112" s="1"/>
  <c r="F51" i="112" a="1"/>
  <c r="F51" i="112" s="1"/>
  <c r="E51" i="112" a="1"/>
  <c r="E51" i="112" s="1"/>
  <c r="D51" i="112" a="1"/>
  <c r="D51" i="112" s="1"/>
  <c r="G50" i="112" a="1"/>
  <c r="G50" i="112" s="1"/>
  <c r="F50" i="112" a="1"/>
  <c r="F50" i="112" s="1"/>
  <c r="E50" i="112" a="1"/>
  <c r="E50" i="112" s="1"/>
  <c r="D50" i="112" a="1"/>
  <c r="D50" i="112" s="1"/>
  <c r="G49" i="112" a="1"/>
  <c r="G49" i="112" s="1"/>
  <c r="F49" i="112" a="1"/>
  <c r="F49" i="112" s="1"/>
  <c r="E49" i="112" a="1"/>
  <c r="E49" i="112" s="1"/>
  <c r="D49" i="112" a="1"/>
  <c r="D49" i="112" s="1"/>
  <c r="G48" i="112" a="1"/>
  <c r="G48" i="112" s="1"/>
  <c r="F48" i="112" a="1"/>
  <c r="F48" i="112" s="1"/>
  <c r="E48" i="112" a="1"/>
  <c r="E48" i="112" s="1"/>
  <c r="D48" i="112" a="1"/>
  <c r="D48" i="112" s="1"/>
  <c r="D46" i="112" a="1"/>
  <c r="D46" i="112" s="1"/>
  <c r="D45" i="112" a="1"/>
  <c r="D45" i="112" s="1"/>
  <c r="E43" i="112" a="1"/>
  <c r="E43" i="112" s="1"/>
  <c r="D43" i="112" a="1"/>
  <c r="D43" i="112" s="1"/>
  <c r="E42" i="112" a="1"/>
  <c r="E42" i="112" s="1"/>
  <c r="D42" i="112" a="1"/>
  <c r="D42" i="112" s="1"/>
  <c r="E41" i="112" a="1"/>
  <c r="E41" i="112" s="1"/>
  <c r="D41" i="112" a="1"/>
  <c r="D41" i="112" s="1"/>
  <c r="E40" i="112" a="1"/>
  <c r="E40" i="112" s="1"/>
  <c r="D40" i="112" a="1"/>
  <c r="D40" i="112" s="1"/>
  <c r="E39" i="112" a="1"/>
  <c r="E39" i="112" s="1"/>
  <c r="D39" i="112" a="1"/>
  <c r="D39" i="112" s="1"/>
  <c r="E38" i="112" a="1"/>
  <c r="E38" i="112" s="1"/>
  <c r="D38" i="112" a="1"/>
  <c r="D38" i="112" s="1"/>
  <c r="E37" i="112" a="1"/>
  <c r="E37" i="112" s="1"/>
  <c r="D37" i="112" a="1"/>
  <c r="D37" i="112" s="1"/>
  <c r="D35" i="112" a="1"/>
  <c r="D35" i="112" s="1"/>
  <c r="D34" i="112" a="1"/>
  <c r="D34" i="112" s="1"/>
  <c r="D30" i="112" a="1"/>
  <c r="D30" i="112" s="1"/>
  <c r="D29" i="112" a="1"/>
  <c r="D29" i="112" s="1"/>
  <c r="D28" i="112" a="1"/>
  <c r="D28" i="112" s="1"/>
  <c r="D27" i="112" a="1"/>
  <c r="D27" i="112" s="1"/>
  <c r="D26" i="112" a="1"/>
  <c r="D26" i="112" s="1"/>
  <c r="D25" i="112" a="1"/>
  <c r="D25" i="112" s="1"/>
  <c r="D24" i="112" a="1"/>
  <c r="D24" i="112" s="1"/>
  <c r="D23" i="112" a="1"/>
  <c r="D23" i="112" s="1"/>
  <c r="D22" i="112" a="1"/>
  <c r="D22" i="112" s="1"/>
  <c r="D21" i="112" a="1"/>
  <c r="D21" i="112" s="1"/>
  <c r="D19" i="112" a="1"/>
  <c r="D19" i="112" s="1"/>
  <c r="D18" i="112" a="1"/>
  <c r="D18" i="112" s="1"/>
  <c r="F14" i="112" a="1"/>
  <c r="F14" i="112" s="1"/>
  <c r="E14" i="112" a="1"/>
  <c r="E14" i="112" s="1"/>
  <c r="D14" i="112" a="1"/>
  <c r="D14" i="112" s="1"/>
  <c r="F13" i="112" a="1"/>
  <c r="F13" i="112" s="1"/>
  <c r="E13" i="112" a="1"/>
  <c r="E13" i="112" s="1"/>
  <c r="D13" i="112" a="1"/>
  <c r="D13" i="112" s="1"/>
  <c r="F12" i="112" a="1"/>
  <c r="F12" i="112" s="1"/>
  <c r="E12" i="112" a="1"/>
  <c r="E12" i="112" s="1"/>
  <c r="D12" i="112" a="1"/>
  <c r="D12" i="112" s="1"/>
  <c r="F11" i="112" a="1"/>
  <c r="F11" i="112" s="1"/>
  <c r="E11" i="112" a="1"/>
  <c r="E11" i="112" s="1"/>
  <c r="D11" i="112" a="1"/>
  <c r="D11" i="112" s="1"/>
  <c r="F10" i="112" a="1"/>
  <c r="F10" i="112" s="1"/>
  <c r="E10" i="112" a="1"/>
  <c r="E10" i="112" s="1"/>
  <c r="D10" i="112" a="1"/>
  <c r="D10" i="112" s="1"/>
  <c r="F9" i="112" a="1"/>
  <c r="F9" i="112" s="1"/>
  <c r="E9" i="112" a="1"/>
  <c r="E9" i="112" s="1"/>
  <c r="D9" i="112" a="1"/>
  <c r="D9" i="112" s="1"/>
  <c r="F8" i="112" a="1"/>
  <c r="F8" i="112" s="1"/>
  <c r="E8" i="112" a="1"/>
  <c r="E8" i="112" s="1"/>
  <c r="D8" i="112" a="1"/>
  <c r="D8" i="112" s="1"/>
  <c r="A8" i="112"/>
  <c r="F7" i="112" a="1"/>
  <c r="F7" i="112" s="1"/>
  <c r="E7" i="112" a="1"/>
  <c r="E7" i="112" s="1"/>
  <c r="D7" i="112" a="1"/>
  <c r="D7" i="112" s="1"/>
  <c r="A7" i="112"/>
  <c r="D5" i="112" a="1"/>
  <c r="D5" i="112" s="1"/>
  <c r="A3" i="112"/>
  <c r="A8" i="71"/>
  <c r="A7" i="71"/>
  <c r="A3" i="71"/>
  <c r="E116" i="70"/>
  <c r="E115" i="70"/>
  <c r="E111" i="70"/>
  <c r="E110" i="70"/>
  <c r="E106" i="70"/>
  <c r="E105" i="70"/>
  <c r="I96" i="70"/>
  <c r="H96" i="70"/>
  <c r="G96" i="70"/>
  <c r="F96" i="70"/>
  <c r="E96" i="70"/>
  <c r="E91" i="70"/>
  <c r="E86" i="70"/>
  <c r="E81" i="70"/>
  <c r="F50" i="70"/>
  <c r="E29" i="15"/>
  <c r="E13" i="15"/>
  <c r="D25" i="70" s="1"/>
  <c r="A29" i="74"/>
  <c r="A28" i="74"/>
  <c r="A27" i="74"/>
  <c r="A26" i="74"/>
  <c r="A25" i="74"/>
  <c r="A21" i="74"/>
  <c r="A20" i="74"/>
  <c r="A19" i="74"/>
  <c r="A18" i="74"/>
  <c r="A17" i="74"/>
  <c r="A16" i="74"/>
  <c r="A15" i="74"/>
  <c r="A14" i="74"/>
  <c r="A10" i="74"/>
  <c r="A9" i="74"/>
  <c r="A5" i="74"/>
  <c r="A4" i="74"/>
  <c r="A3" i="74"/>
  <c r="A29" i="43"/>
  <c r="A28" i="43"/>
  <c r="A27" i="43"/>
  <c r="A26" i="43"/>
  <c r="A25" i="43"/>
  <c r="A21" i="43"/>
  <c r="A20" i="43"/>
  <c r="A19" i="43"/>
  <c r="A18" i="43"/>
  <c r="A17" i="43"/>
  <c r="A16" i="43"/>
  <c r="A15" i="43"/>
  <c r="A14" i="43"/>
  <c r="A10" i="43"/>
  <c r="A9" i="43"/>
  <c r="A5" i="43"/>
  <c r="A4" i="43"/>
  <c r="A3" i="43"/>
  <c r="A29" i="79"/>
  <c r="A28" i="79"/>
  <c r="A27" i="79"/>
  <c r="A26" i="79"/>
  <c r="A25" i="79"/>
  <c r="A21" i="79"/>
  <c r="A20" i="79"/>
  <c r="A19" i="79"/>
  <c r="A18" i="79"/>
  <c r="A17" i="79"/>
  <c r="A16" i="79"/>
  <c r="A15" i="79"/>
  <c r="A14" i="79"/>
  <c r="A10" i="79"/>
  <c r="A9" i="79"/>
  <c r="A5" i="79"/>
  <c r="A4" i="79"/>
  <c r="A3" i="79"/>
  <c r="A29" i="98"/>
  <c r="A28" i="98"/>
  <c r="A27" i="98"/>
  <c r="A26" i="98"/>
  <c r="A25" i="98"/>
  <c r="A21" i="98"/>
  <c r="A20" i="98"/>
  <c r="A19" i="98"/>
  <c r="A18" i="98"/>
  <c r="A17" i="98"/>
  <c r="A16" i="98"/>
  <c r="A15" i="98"/>
  <c r="A14" i="98"/>
  <c r="A10" i="98"/>
  <c r="A9" i="98"/>
  <c r="A5" i="98"/>
  <c r="A4" i="98"/>
  <c r="A3" i="98"/>
  <c r="A29" i="97"/>
  <c r="A28" i="97"/>
  <c r="A27" i="97"/>
  <c r="A26" i="97"/>
  <c r="A25" i="97"/>
  <c r="A21" i="97"/>
  <c r="A20" i="97"/>
  <c r="A19" i="97"/>
  <c r="A18" i="97"/>
  <c r="A17" i="97"/>
  <c r="A16" i="97"/>
  <c r="A15" i="97"/>
  <c r="A14" i="97"/>
  <c r="A10" i="97"/>
  <c r="A9" i="97"/>
  <c r="A5" i="97"/>
  <c r="A4" i="97"/>
  <c r="A3" i="97"/>
  <c r="A29" i="96"/>
  <c r="A28" i="96"/>
  <c r="A27" i="96"/>
  <c r="A26" i="96"/>
  <c r="A25" i="96"/>
  <c r="A21" i="96"/>
  <c r="A20" i="96"/>
  <c r="A19" i="96"/>
  <c r="A18" i="96"/>
  <c r="A17" i="96"/>
  <c r="A16" i="96"/>
  <c r="A15" i="96"/>
  <c r="A14" i="96"/>
  <c r="A10" i="96"/>
  <c r="A9" i="96"/>
  <c r="A5" i="96"/>
  <c r="A4" i="96"/>
  <c r="A3" i="96"/>
  <c r="A29" i="81"/>
  <c r="A28" i="81"/>
  <c r="A27" i="81"/>
  <c r="A26" i="81"/>
  <c r="A25" i="81"/>
  <c r="A21" i="81"/>
  <c r="A20" i="81"/>
  <c r="A19" i="81"/>
  <c r="A18" i="81"/>
  <c r="A17" i="81"/>
  <c r="A16" i="81"/>
  <c r="A15" i="81"/>
  <c r="A14" i="81"/>
  <c r="A10" i="81"/>
  <c r="A9" i="81"/>
  <c r="A5" i="81"/>
  <c r="A4" i="81"/>
  <c r="A3" i="81"/>
  <c r="A29" i="95"/>
  <c r="A28" i="95"/>
  <c r="A27" i="95"/>
  <c r="A26" i="95"/>
  <c r="A25" i="95"/>
  <c r="A21" i="95"/>
  <c r="A20" i="95"/>
  <c r="A19" i="95"/>
  <c r="A18" i="95"/>
  <c r="A17" i="95"/>
  <c r="A16" i="95"/>
  <c r="A15" i="95"/>
  <c r="A14" i="95"/>
  <c r="A10" i="95"/>
  <c r="A9" i="95"/>
  <c r="A5" i="95"/>
  <c r="A4" i="95"/>
  <c r="A3" i="95"/>
  <c r="A29" i="82"/>
  <c r="A28" i="82"/>
  <c r="A27" i="82"/>
  <c r="A26" i="82"/>
  <c r="A25" i="82"/>
  <c r="A21" i="82"/>
  <c r="A20" i="82"/>
  <c r="A19" i="82"/>
  <c r="A18" i="82"/>
  <c r="A17" i="82"/>
  <c r="A16" i="82"/>
  <c r="A15" i="82"/>
  <c r="A14" i="82"/>
  <c r="A10" i="82"/>
  <c r="A9" i="82"/>
  <c r="A5" i="82"/>
  <c r="A4" i="82"/>
  <c r="A3" i="82"/>
  <c r="A29" i="76"/>
  <c r="A28" i="76"/>
  <c r="A27" i="76"/>
  <c r="A26" i="76"/>
  <c r="A25" i="76"/>
  <c r="A21" i="76"/>
  <c r="A20" i="76"/>
  <c r="A19" i="76"/>
  <c r="A18" i="76"/>
  <c r="A17" i="76"/>
  <c r="A16" i="76"/>
  <c r="A15" i="76"/>
  <c r="A14" i="76"/>
  <c r="A10" i="76"/>
  <c r="A9" i="76"/>
  <c r="A5" i="76"/>
  <c r="A4" i="76"/>
  <c r="A3" i="76"/>
  <c r="A29" i="69"/>
  <c r="A28" i="69"/>
  <c r="A27" i="69"/>
  <c r="A26" i="69"/>
  <c r="A25" i="69"/>
  <c r="A21" i="69"/>
  <c r="A20" i="69"/>
  <c r="A19" i="69"/>
  <c r="A18" i="69"/>
  <c r="A17" i="69"/>
  <c r="A16" i="69"/>
  <c r="A15" i="69"/>
  <c r="A14" i="69"/>
  <c r="A10" i="69"/>
  <c r="A9" i="69"/>
  <c r="A5" i="69"/>
  <c r="A4" i="69"/>
  <c r="A3" i="69"/>
  <c r="A29" i="70"/>
  <c r="A28" i="70"/>
  <c r="A27" i="70"/>
  <c r="A26" i="70"/>
  <c r="A25" i="70"/>
  <c r="A21" i="70"/>
  <c r="A20" i="70"/>
  <c r="A19" i="70"/>
  <c r="A18" i="70"/>
  <c r="A17" i="70"/>
  <c r="A16" i="70"/>
  <c r="A15" i="70"/>
  <c r="A14" i="70"/>
  <c r="A10" i="70"/>
  <c r="A9" i="70"/>
  <c r="A5" i="70"/>
  <c r="A4" i="70"/>
  <c r="A3" i="70"/>
  <c r="A29" i="15"/>
  <c r="A28" i="15"/>
  <c r="A27" i="15"/>
  <c r="A26" i="15"/>
  <c r="A25" i="15"/>
  <c r="A21" i="15"/>
  <c r="A20" i="15"/>
  <c r="A19" i="15"/>
  <c r="A18" i="15"/>
  <c r="A17" i="15"/>
  <c r="A16" i="15"/>
  <c r="A15" i="15"/>
  <c r="A14" i="15"/>
  <c r="A10" i="15"/>
  <c r="A9" i="15"/>
  <c r="A5" i="15"/>
  <c r="A4" i="15"/>
  <c r="A3" i="15"/>
  <c r="A29" i="13"/>
  <c r="A28" i="13"/>
  <c r="A27" i="13"/>
  <c r="A26" i="13"/>
  <c r="A25" i="13"/>
  <c r="A21" i="13"/>
  <c r="A20" i="13"/>
  <c r="A19" i="13"/>
  <c r="A18" i="13"/>
  <c r="A17" i="13"/>
  <c r="A16" i="13"/>
  <c r="A15" i="13"/>
  <c r="A14" i="13"/>
  <c r="A10" i="13"/>
  <c r="A9" i="13"/>
  <c r="A5" i="13"/>
  <c r="A4" i="13"/>
  <c r="A3" i="13"/>
  <c r="A29" i="106"/>
  <c r="A28" i="106"/>
  <c r="A27" i="106"/>
  <c r="A26" i="106"/>
  <c r="A25" i="106"/>
  <c r="A21" i="106"/>
  <c r="A20" i="106"/>
  <c r="A19" i="106"/>
  <c r="A18" i="106"/>
  <c r="A17" i="106"/>
  <c r="A16" i="106"/>
  <c r="A15" i="106"/>
  <c r="A14" i="106"/>
  <c r="A10" i="106"/>
  <c r="A9" i="106"/>
  <c r="A5" i="106"/>
  <c r="A4" i="106"/>
  <c r="A3" i="106"/>
  <c r="O37" i="69" a="1"/>
  <c r="O37" i="69" s="1"/>
  <c r="R37" i="69" a="1"/>
  <c r="R37" i="69" s="1"/>
  <c r="E55" i="82"/>
  <c r="E37" i="98"/>
  <c r="E32" i="97"/>
  <c r="E36" i="95" a="1"/>
  <c r="H54" i="112" l="1"/>
  <c r="H52" i="112"/>
  <c r="H49" i="112"/>
  <c r="H53" i="112"/>
  <c r="H48" i="112"/>
  <c r="H51" i="112"/>
  <c r="H50" i="112"/>
  <c r="D10" i="70"/>
  <c r="D28" i="70"/>
  <c r="D29" i="70"/>
  <c r="G120" i="70"/>
  <c r="I95" i="70"/>
  <c r="H120" i="70"/>
  <c r="D24" i="70"/>
  <c r="I119" i="70"/>
  <c r="E95" i="70"/>
  <c r="F95" i="70"/>
  <c r="G95" i="70"/>
  <c r="E119" i="70"/>
  <c r="H95" i="70"/>
  <c r="F119" i="70"/>
  <c r="I120" i="70"/>
  <c r="G119" i="70"/>
  <c r="H119" i="70"/>
  <c r="E120" i="70"/>
  <c r="F120" i="70"/>
  <c r="E36" i="95"/>
  <c r="J226" i="76" l="1" a="1"/>
  <c r="J226" i="76" s="1"/>
  <c r="O28" i="98"/>
  <c r="D28" i="98"/>
  <c r="O23" i="98"/>
  <c r="D23" i="98"/>
  <c r="I18" i="98"/>
  <c r="I17" i="98"/>
  <c r="I16" i="98"/>
  <c r="I42" i="97"/>
  <c r="I41" i="97"/>
  <c r="O24" i="97"/>
  <c r="D24" i="97"/>
  <c r="O19" i="97"/>
  <c r="D19" i="97"/>
  <c r="O51" i="96"/>
  <c r="D51" i="96"/>
  <c r="O31" i="96"/>
  <c r="D31" i="96"/>
  <c r="O25" i="96"/>
  <c r="D25" i="96"/>
  <c r="O146" i="81"/>
  <c r="D146" i="81"/>
  <c r="O145" i="81"/>
  <c r="D145" i="81"/>
  <c r="O144" i="81"/>
  <c r="D144" i="81"/>
  <c r="O143" i="81"/>
  <c r="D143" i="81"/>
  <c r="O142" i="81"/>
  <c r="D142" i="81"/>
  <c r="O141" i="81"/>
  <c r="D141" i="81"/>
  <c r="O140" i="81"/>
  <c r="D140" i="81"/>
  <c r="O139" i="81"/>
  <c r="D139" i="81"/>
  <c r="F134" i="81"/>
  <c r="D134" i="81"/>
  <c r="F133" i="81"/>
  <c r="D133" i="81"/>
  <c r="F132" i="81"/>
  <c r="D132" i="81"/>
  <c r="F131" i="81"/>
  <c r="D131" i="81"/>
  <c r="F130" i="81"/>
  <c r="D130" i="81"/>
  <c r="F129" i="81"/>
  <c r="D129" i="81"/>
  <c r="F128" i="81"/>
  <c r="D128" i="81"/>
  <c r="F127" i="81"/>
  <c r="D127" i="81"/>
  <c r="O113" i="81"/>
  <c r="D113" i="81"/>
  <c r="O112" i="81"/>
  <c r="D112" i="81"/>
  <c r="O111" i="81"/>
  <c r="D111" i="81"/>
  <c r="O110" i="81"/>
  <c r="D110" i="81"/>
  <c r="O109" i="81"/>
  <c r="D109" i="81"/>
  <c r="O108" i="81"/>
  <c r="D108" i="81"/>
  <c r="O107" i="81"/>
  <c r="D107" i="81"/>
  <c r="O106" i="81"/>
  <c r="D106" i="81"/>
  <c r="O83" i="81"/>
  <c r="D83" i="81"/>
  <c r="O82" i="81"/>
  <c r="D82" i="81"/>
  <c r="O81" i="81"/>
  <c r="D81" i="81"/>
  <c r="O80" i="81"/>
  <c r="D80" i="81"/>
  <c r="O79" i="81"/>
  <c r="D79" i="81"/>
  <c r="O78" i="81"/>
  <c r="D78" i="81"/>
  <c r="O77" i="81"/>
  <c r="D77" i="81"/>
  <c r="O76" i="81"/>
  <c r="D76" i="81"/>
  <c r="D71" i="81"/>
  <c r="D70" i="81"/>
  <c r="D69" i="81"/>
  <c r="D68" i="81"/>
  <c r="D67" i="81"/>
  <c r="D66" i="81"/>
  <c r="D65" i="81"/>
  <c r="D64" i="81"/>
  <c r="O59" i="81"/>
  <c r="D59" i="81"/>
  <c r="O58" i="81"/>
  <c r="D58" i="81"/>
  <c r="O57" i="81"/>
  <c r="D57" i="81"/>
  <c r="O56" i="81"/>
  <c r="D56" i="81"/>
  <c r="O55" i="81"/>
  <c r="D55" i="81"/>
  <c r="O54" i="81"/>
  <c r="D54" i="81"/>
  <c r="O53" i="81"/>
  <c r="D53" i="81"/>
  <c r="O52" i="81"/>
  <c r="D52" i="81"/>
  <c r="O47" i="81"/>
  <c r="D47" i="81"/>
  <c r="O46" i="81"/>
  <c r="D46" i="81"/>
  <c r="O45" i="81"/>
  <c r="D45" i="81"/>
  <c r="O44" i="81"/>
  <c r="D44" i="81"/>
  <c r="O43" i="81"/>
  <c r="D43" i="81"/>
  <c r="O42" i="81"/>
  <c r="D42" i="81"/>
  <c r="O41" i="81"/>
  <c r="D41" i="81"/>
  <c r="O40" i="81"/>
  <c r="D40" i="81"/>
  <c r="O50" i="95"/>
  <c r="D50" i="95"/>
  <c r="O49" i="95"/>
  <c r="D49" i="95"/>
  <c r="O30" i="95"/>
  <c r="D30" i="95"/>
  <c r="O29" i="95"/>
  <c r="D29" i="95"/>
  <c r="O24" i="95"/>
  <c r="D24" i="95"/>
  <c r="O23" i="95"/>
  <c r="D23" i="95"/>
  <c r="J18" i="95"/>
  <c r="J17" i="95"/>
  <c r="J16" i="95"/>
  <c r="I65" i="82"/>
  <c r="I64" i="82"/>
  <c r="O47" i="82"/>
  <c r="D47" i="82"/>
  <c r="O46" i="82"/>
  <c r="D46" i="82"/>
  <c r="O45" i="82"/>
  <c r="D45" i="82"/>
  <c r="O44" i="82"/>
  <c r="D44" i="82"/>
  <c r="O43" i="82"/>
  <c r="D43" i="82"/>
  <c r="O42" i="82"/>
  <c r="D42" i="82"/>
  <c r="O41" i="82"/>
  <c r="D41" i="82"/>
  <c r="O40" i="82"/>
  <c r="D40" i="82"/>
  <c r="O26" i="82"/>
  <c r="D26" i="82"/>
  <c r="O25" i="82"/>
  <c r="D25" i="82"/>
  <c r="O24" i="82"/>
  <c r="D24" i="82"/>
  <c r="O23" i="82"/>
  <c r="D23" i="82"/>
  <c r="O22" i="82"/>
  <c r="D22" i="82"/>
  <c r="O21" i="82"/>
  <c r="D21" i="82"/>
  <c r="O20" i="82"/>
  <c r="D20" i="82"/>
  <c r="O19" i="82"/>
  <c r="D19" i="82"/>
  <c r="N285" i="76"/>
  <c r="D285" i="76"/>
  <c r="N284" i="76"/>
  <c r="D284" i="76"/>
  <c r="N283" i="76"/>
  <c r="D283" i="76"/>
  <c r="N282" i="76"/>
  <c r="D282" i="76"/>
  <c r="N281" i="76"/>
  <c r="D281" i="76"/>
  <c r="N280" i="76"/>
  <c r="D280" i="76"/>
  <c r="N279" i="76"/>
  <c r="D279" i="76"/>
  <c r="N278" i="76"/>
  <c r="D278" i="76"/>
  <c r="N250" i="76"/>
  <c r="D250" i="76"/>
  <c r="N249" i="76"/>
  <c r="D249" i="76"/>
  <c r="N248" i="76"/>
  <c r="D248" i="76"/>
  <c r="N247" i="76"/>
  <c r="D247" i="76"/>
  <c r="N246" i="76"/>
  <c r="D246" i="76"/>
  <c r="N245" i="76"/>
  <c r="D245" i="76"/>
  <c r="N244" i="76"/>
  <c r="D244" i="76"/>
  <c r="N243" i="76"/>
  <c r="D243" i="76"/>
  <c r="N238" i="76"/>
  <c r="D238" i="76"/>
  <c r="N237" i="76"/>
  <c r="D237" i="76"/>
  <c r="N236" i="76"/>
  <c r="D236" i="76"/>
  <c r="N235" i="76"/>
  <c r="D235" i="76"/>
  <c r="N234" i="76"/>
  <c r="D234" i="76"/>
  <c r="N233" i="76"/>
  <c r="D233" i="76"/>
  <c r="N232" i="76"/>
  <c r="D232" i="76"/>
  <c r="N231" i="76"/>
  <c r="D231" i="76"/>
  <c r="H166" i="76"/>
  <c r="G166" i="76"/>
  <c r="F166" i="76"/>
  <c r="E166" i="76"/>
  <c r="D166" i="76"/>
  <c r="I78" i="76"/>
  <c r="O298" i="69"/>
  <c r="D298" i="69"/>
  <c r="O297" i="69"/>
  <c r="D297" i="69"/>
  <c r="O296" i="69"/>
  <c r="D296" i="69"/>
  <c r="O295" i="69"/>
  <c r="D295" i="69"/>
  <c r="O294" i="69"/>
  <c r="D294" i="69"/>
  <c r="O293" i="69"/>
  <c r="D293" i="69"/>
  <c r="O292" i="69"/>
  <c r="D292" i="69"/>
  <c r="O291" i="69"/>
  <c r="D291" i="69"/>
  <c r="O290" i="69"/>
  <c r="D290" i="69"/>
  <c r="H270" i="69"/>
  <c r="G270" i="69"/>
  <c r="F270" i="69"/>
  <c r="E270" i="69"/>
  <c r="D270" i="69"/>
  <c r="O245" i="69"/>
  <c r="D245" i="69"/>
  <c r="O244" i="69"/>
  <c r="D244" i="69"/>
  <c r="O243" i="69"/>
  <c r="D243" i="69"/>
  <c r="O242" i="69"/>
  <c r="D242" i="69"/>
  <c r="O241" i="69"/>
  <c r="D241" i="69"/>
  <c r="O240" i="69"/>
  <c r="D240" i="69"/>
  <c r="O239" i="69"/>
  <c r="D239" i="69"/>
  <c r="O238" i="69"/>
  <c r="D238" i="69"/>
  <c r="O237" i="69"/>
  <c r="D237" i="69"/>
  <c r="T223" i="69"/>
  <c r="O206" i="69"/>
  <c r="D206" i="69"/>
  <c r="O205" i="69"/>
  <c r="D205" i="69"/>
  <c r="O200" i="69"/>
  <c r="D200" i="69"/>
  <c r="O199" i="69"/>
  <c r="D199" i="69"/>
  <c r="O179" i="69"/>
  <c r="D179" i="69"/>
  <c r="O178" i="69"/>
  <c r="D178" i="69"/>
  <c r="O177" i="69"/>
  <c r="D177" i="69"/>
  <c r="O176" i="69"/>
  <c r="D176" i="69"/>
  <c r="O175" i="69"/>
  <c r="D175" i="69"/>
  <c r="O174" i="69"/>
  <c r="D174" i="69"/>
  <c r="O173" i="69"/>
  <c r="D173" i="69"/>
  <c r="O168" i="69"/>
  <c r="D168" i="69"/>
  <c r="O167" i="69"/>
  <c r="D167" i="69"/>
  <c r="O166" i="69"/>
  <c r="D166" i="69"/>
  <c r="Q165" i="69"/>
  <c r="O165" i="69"/>
  <c r="D165" i="69"/>
  <c r="Q164" i="69"/>
  <c r="O164" i="69"/>
  <c r="D164" i="69"/>
  <c r="Q163" i="69"/>
  <c r="O163" i="69"/>
  <c r="D163" i="69"/>
  <c r="O162" i="69"/>
  <c r="D162" i="69"/>
  <c r="O157" i="69"/>
  <c r="D157" i="69"/>
  <c r="O156" i="69"/>
  <c r="D156" i="69"/>
  <c r="O155" i="69"/>
  <c r="D155" i="69"/>
  <c r="O154" i="69"/>
  <c r="D154" i="69"/>
  <c r="O153" i="69"/>
  <c r="D153" i="69"/>
  <c r="O152" i="69"/>
  <c r="D152" i="69"/>
  <c r="O151" i="69"/>
  <c r="D151" i="69"/>
  <c r="I62" i="69"/>
  <c r="D74" i="69" s="1"/>
  <c r="D93" i="76" s="1"/>
  <c r="I37" i="69"/>
  <c r="D45" i="69" s="1"/>
  <c r="I222" i="69"/>
  <c r="D215" i="79" a="1"/>
  <c r="D215" i="79" s="1"/>
  <c r="J15" i="95" s="1"/>
  <c r="D214" i="79" a="1"/>
  <c r="D214" i="79" s="1"/>
  <c r="D213" i="79" a="1"/>
  <c r="D213" i="79" s="1"/>
  <c r="D212" i="79" a="1"/>
  <c r="D212" i="79" s="1"/>
  <c r="D211" i="79" a="1"/>
  <c r="D211" i="79" s="1"/>
  <c r="F163" i="69"/>
  <c r="F165" i="69"/>
  <c r="F164" i="69"/>
  <c r="J46" i="96" l="1"/>
  <c r="I66" i="82"/>
  <c r="I43" i="97"/>
  <c r="D7" i="69" a="1"/>
  <c r="D7" i="69" s="1"/>
  <c r="D233" i="79" l="1" a="1"/>
  <c r="D233" i="79" s="1"/>
  <c r="D232" i="79" a="1"/>
  <c r="D232" i="79" s="1"/>
  <c r="D231" i="79" a="1"/>
  <c r="D231" i="79" s="1"/>
  <c r="D230" i="79" a="1"/>
  <c r="D230" i="79" s="1"/>
  <c r="D229" i="79" a="1"/>
  <c r="D229" i="79" s="1"/>
  <c r="D227" i="79" a="1"/>
  <c r="D227" i="79" s="1"/>
  <c r="D226" i="79" a="1"/>
  <c r="D226" i="79" s="1"/>
  <c r="D225" i="79" a="1"/>
  <c r="D225" i="79" s="1"/>
  <c r="D224" i="79" a="1"/>
  <c r="D224" i="79" s="1"/>
  <c r="D223" i="79" a="1"/>
  <c r="D223" i="79" s="1"/>
  <c r="F53" i="70" l="1"/>
  <c r="T39" i="69" s="1"/>
  <c r="E53" i="70"/>
  <c r="I39" i="69" s="1"/>
  <c r="E54" i="70"/>
  <c r="I40" i="69" s="1"/>
  <c r="F54" i="70"/>
  <c r="T40" i="69" s="1"/>
  <c r="D71" i="76" a="1"/>
  <c r="D71" i="76" s="1"/>
  <c r="I80" i="76" a="1"/>
  <c r="I80" i="76" s="1"/>
  <c r="G78" i="76" a="1"/>
  <c r="G78" i="76" s="1"/>
  <c r="D78" i="76" a="1"/>
  <c r="D78" i="76" s="1"/>
  <c r="I64" i="69" a="1"/>
  <c r="I64" i="69" s="1"/>
  <c r="I38" i="69" a="1"/>
  <c r="I38" i="69" s="1"/>
  <c r="G37" i="69" a="1"/>
  <c r="G37" i="69" s="1"/>
  <c r="D37" i="69" a="1"/>
  <c r="D37" i="69" s="1"/>
  <c r="E35" i="69" a="1"/>
  <c r="E35" i="69" s="1"/>
  <c r="E34" i="69" a="1"/>
  <c r="E34" i="69" s="1"/>
  <c r="D30" i="69" a="1"/>
  <c r="D30" i="69" s="1"/>
  <c r="D29" i="69" a="1"/>
  <c r="D29" i="69" s="1"/>
  <c r="D28" i="69" a="1"/>
  <c r="D28" i="69" s="1"/>
  <c r="A215" i="79"/>
  <c r="A174" i="79"/>
  <c r="A285" i="76"/>
  <c r="A245" i="76"/>
  <c r="A208" i="76"/>
  <c r="A171" i="76"/>
  <c r="N118" i="70"/>
  <c r="F71" i="81" s="1"/>
  <c r="N113" i="70"/>
  <c r="F70" i="81" s="1"/>
  <c r="N108" i="70"/>
  <c r="F69" i="81" s="1"/>
  <c r="N103" i="70"/>
  <c r="F68" i="81" s="1"/>
  <c r="N94" i="70"/>
  <c r="F67" i="81" s="1"/>
  <c r="N89" i="70"/>
  <c r="F66" i="81" s="1"/>
  <c r="N84" i="70"/>
  <c r="F65" i="81" s="1"/>
  <c r="N79" i="70"/>
  <c r="F64" i="81" s="1"/>
  <c r="E31" i="69" a="1"/>
  <c r="I88" i="76" l="1"/>
  <c r="I93" i="76"/>
  <c r="I98" i="76"/>
  <c r="S98" i="76"/>
  <c r="S88" i="76"/>
  <c r="I45" i="69"/>
  <c r="D50" i="69" a="1"/>
  <c r="D50" i="69" s="1"/>
  <c r="D88" i="76" s="1"/>
  <c r="O50" i="69" a="1"/>
  <c r="O50" i="69" s="1"/>
  <c r="N88" i="76" s="1"/>
  <c r="E31" i="69"/>
  <c r="I14" i="96" l="1" a="1"/>
  <c r="I14" i="96" s="1"/>
  <c r="I13" i="96" a="1"/>
  <c r="I13" i="96" s="1"/>
  <c r="I13" i="97" a="1"/>
  <c r="I13" i="97" s="1"/>
  <c r="S43" i="98" a="1"/>
  <c r="S43" i="98" s="1"/>
  <c r="O43" i="98" a="1"/>
  <c r="O43" i="98" s="1"/>
  <c r="I13" i="98" a="1"/>
  <c r="I13" i="98" s="1"/>
  <c r="H43" i="98" a="1"/>
  <c r="H43" i="98" s="1"/>
  <c r="D43" i="98" a="1"/>
  <c r="D43" i="98" s="1"/>
  <c r="G13" i="98" a="1"/>
  <c r="G13" i="98" s="1"/>
  <c r="D13" i="98" a="1"/>
  <c r="D13" i="98" s="1"/>
  <c r="G13" i="97" a="1"/>
  <c r="G13" i="97" s="1"/>
  <c r="D13" i="97" a="1"/>
  <c r="D13" i="97" s="1"/>
  <c r="G38" i="97" a="1"/>
  <c r="G38" i="97" s="1"/>
  <c r="D38" i="97" a="1"/>
  <c r="D38" i="97" s="1"/>
  <c r="J43" i="96" a="1"/>
  <c r="J43" i="96" s="1"/>
  <c r="H43" i="96" a="1"/>
  <c r="H43" i="96" s="1"/>
  <c r="D43" i="96" a="1"/>
  <c r="D43" i="96" s="1"/>
  <c r="I161" i="76" a="1"/>
  <c r="I161" i="76" s="1"/>
  <c r="I160" i="76" a="1"/>
  <c r="I160" i="76" s="1"/>
  <c r="I159" i="76" a="1"/>
  <c r="I159" i="76" s="1"/>
  <c r="G159" i="76" a="1"/>
  <c r="G159" i="76" s="1"/>
  <c r="I166" i="76" s="1"/>
  <c r="D159" i="76" a="1"/>
  <c r="D159" i="76" s="1"/>
  <c r="G13" i="96" a="1"/>
  <c r="G13" i="96" s="1"/>
  <c r="T19" i="96" s="1"/>
  <c r="D13" i="96" a="1"/>
  <c r="D13" i="96" s="1"/>
  <c r="I101" i="81" a="1"/>
  <c r="I101" i="81" s="1"/>
  <c r="I100" i="81" a="1"/>
  <c r="I100" i="81" s="1"/>
  <c r="I99" i="81" a="1"/>
  <c r="I99" i="81" s="1"/>
  <c r="I98" i="81" a="1"/>
  <c r="I98" i="81" s="1"/>
  <c r="I97" i="81" a="1"/>
  <c r="I97" i="81" s="1"/>
  <c r="I17" i="81" a="1"/>
  <c r="I17" i="81" s="1"/>
  <c r="I16" i="81" a="1"/>
  <c r="I16" i="81" s="1"/>
  <c r="I15" i="81" a="1"/>
  <c r="I15" i="81" s="1"/>
  <c r="I14" i="81" a="1"/>
  <c r="I14" i="81" s="1"/>
  <c r="I13" i="81" a="1"/>
  <c r="I13" i="81" s="1"/>
  <c r="G13" i="81" a="1"/>
  <c r="D13" i="81" a="1"/>
  <c r="D13" i="81" s="1"/>
  <c r="G97" i="81" a="1"/>
  <c r="D97" i="81" a="1"/>
  <c r="D97" i="81" s="1"/>
  <c r="I42" i="95" a="1"/>
  <c r="I42" i="95" s="1"/>
  <c r="J13" i="95" a="1"/>
  <c r="J13" i="95" s="1"/>
  <c r="G42" i="95" a="1"/>
  <c r="G42" i="95" s="1"/>
  <c r="D42" i="95" a="1"/>
  <c r="D42" i="95" s="1"/>
  <c r="H13" i="95" a="1"/>
  <c r="H13" i="95" s="1"/>
  <c r="K23" i="95" s="1"/>
  <c r="D13" i="95" a="1"/>
  <c r="D13" i="95" s="1"/>
  <c r="G61" i="82" a="1"/>
  <c r="G61" i="82" s="1"/>
  <c r="D61" i="82" a="1"/>
  <c r="D61" i="82" s="1"/>
  <c r="I14" i="82" a="1"/>
  <c r="I14" i="82" s="1"/>
  <c r="I13" i="82" a="1"/>
  <c r="I13" i="82" s="1"/>
  <c r="G13" i="82" a="1"/>
  <c r="G13" i="82" s="1"/>
  <c r="V19" i="82" s="1"/>
  <c r="D13" i="82" a="1"/>
  <c r="D13" i="82" s="1"/>
  <c r="I262" i="76" a="1"/>
  <c r="I262" i="76" s="1"/>
  <c r="I263" i="76" a="1"/>
  <c r="I263" i="76" s="1"/>
  <c r="G262" i="76" a="1"/>
  <c r="G262" i="76" s="1"/>
  <c r="D262" i="76" a="1"/>
  <c r="D262" i="76" s="1"/>
  <c r="I226" i="76" a="1"/>
  <c r="I226" i="76" s="1"/>
  <c r="I225" i="76" a="1"/>
  <c r="I225" i="76" s="1"/>
  <c r="J225" i="76" a="1"/>
  <c r="J225" i="76" s="1"/>
  <c r="G225" i="76" a="1"/>
  <c r="G225" i="76" s="1"/>
  <c r="D225" i="76" a="1"/>
  <c r="D225" i="76" s="1"/>
  <c r="I193" i="76" a="1"/>
  <c r="I193" i="76" s="1"/>
  <c r="I192" i="76" a="1"/>
  <c r="I192" i="76" s="1"/>
  <c r="I191" i="76" a="1"/>
  <c r="I191" i="76" s="1"/>
  <c r="I190" i="76" a="1"/>
  <c r="I190" i="76" s="1"/>
  <c r="I189" i="76" a="1"/>
  <c r="I189" i="76" s="1"/>
  <c r="G189" i="76" a="1"/>
  <c r="G189" i="76" s="1"/>
  <c r="D189" i="76" a="1"/>
  <c r="D189" i="76" s="1"/>
  <c r="I139" i="76" a="1"/>
  <c r="I139" i="76" s="1"/>
  <c r="I140" i="76" a="1"/>
  <c r="I140" i="76" s="1"/>
  <c r="I141" i="76" a="1"/>
  <c r="I141" i="76" s="1"/>
  <c r="G139" i="76" a="1"/>
  <c r="G139" i="76" s="1"/>
  <c r="D139" i="76" a="1"/>
  <c r="D139" i="76" s="1"/>
  <c r="H115" i="76" a="1"/>
  <c r="H115" i="76" s="1"/>
  <c r="H116" i="76" a="1"/>
  <c r="H116" i="76" s="1"/>
  <c r="D115" i="76" a="1"/>
  <c r="D115" i="76" s="1"/>
  <c r="I83" i="76" a="1"/>
  <c r="I83" i="76" s="1"/>
  <c r="I82" i="76" a="1"/>
  <c r="I82" i="76" s="1"/>
  <c r="I81" i="76" a="1"/>
  <c r="I81" i="76" s="1"/>
  <c r="I79" i="76" a="1"/>
  <c r="I79" i="76" s="1"/>
  <c r="I45" i="76" a="1"/>
  <c r="I45" i="76" s="1"/>
  <c r="I44" i="76" a="1"/>
  <c r="I44" i="76" s="1"/>
  <c r="I43" i="76" a="1"/>
  <c r="I43" i="76" s="1"/>
  <c r="I42" i="76" a="1"/>
  <c r="I42" i="76" s="1"/>
  <c r="G42" i="76" a="1"/>
  <c r="G42" i="76" s="1"/>
  <c r="I50" i="76" s="1"/>
  <c r="D42" i="76" a="1"/>
  <c r="D42" i="76" s="1"/>
  <c r="H14" i="76" a="1"/>
  <c r="H14" i="76" s="1"/>
  <c r="H13" i="76" a="1"/>
  <c r="H13" i="76" s="1"/>
  <c r="F13" i="76" a="1"/>
  <c r="F13" i="76" s="1"/>
  <c r="D13" i="76" a="1"/>
  <c r="D13" i="76" s="1"/>
  <c r="A178" i="69"/>
  <c r="A217" i="69"/>
  <c r="A275" i="69"/>
  <c r="K19" i="82" l="1"/>
  <c r="F31" i="82"/>
  <c r="V23" i="95"/>
  <c r="G97" i="81"/>
  <c r="G127" i="81"/>
  <c r="G13" i="81"/>
  <c r="G64" i="81"/>
  <c r="V52" i="81"/>
  <c r="K52" i="81"/>
  <c r="I19" i="96"/>
  <c r="K25" i="96"/>
  <c r="V25" i="96"/>
  <c r="I171" i="76"/>
  <c r="I121" i="76"/>
  <c r="S121" i="76"/>
  <c r="I198" i="76"/>
  <c r="I203" i="76"/>
  <c r="I208" i="76"/>
  <c r="S203" i="76"/>
  <c r="S208" i="76"/>
  <c r="I55" i="76"/>
  <c r="V40" i="81" l="1"/>
  <c r="K40" i="81"/>
  <c r="T220" i="69" a="1"/>
  <c r="T220" i="69" s="1"/>
  <c r="R218" i="69" a="1"/>
  <c r="R218" i="69" s="1"/>
  <c r="O218" i="69" a="1"/>
  <c r="O218" i="69" s="1"/>
  <c r="J265" i="69" l="1" a="1"/>
  <c r="J265" i="69" s="1"/>
  <c r="J264" i="69" a="1"/>
  <c r="J264" i="69" s="1"/>
  <c r="J263" i="69" a="1"/>
  <c r="J263" i="69" s="1"/>
  <c r="J262" i="69" a="1"/>
  <c r="J262" i="69" s="1"/>
  <c r="J261" i="69" a="1"/>
  <c r="J261" i="69" s="1"/>
  <c r="J260" i="69" a="1"/>
  <c r="J260" i="69" s="1"/>
  <c r="J259" i="69" a="1"/>
  <c r="J259" i="69" s="1"/>
  <c r="J258" i="69" a="1"/>
  <c r="J258" i="69" s="1"/>
  <c r="H258" i="69" a="1"/>
  <c r="H258" i="69" s="1"/>
  <c r="D258" i="69" a="1"/>
  <c r="D258" i="69" s="1"/>
  <c r="I220" i="69" a="1"/>
  <c r="I220" i="69" s="1"/>
  <c r="I219" i="69" a="1"/>
  <c r="I219" i="69" s="1"/>
  <c r="J219" i="69" a="1"/>
  <c r="J219" i="69" s="1"/>
  <c r="I218" i="69" a="1"/>
  <c r="I218" i="69" s="1"/>
  <c r="G218" i="69" a="1"/>
  <c r="G218" i="69" s="1"/>
  <c r="D218" i="69" a="1"/>
  <c r="D218" i="69" s="1"/>
  <c r="I194" i="69" a="1"/>
  <c r="I194" i="69" s="1"/>
  <c r="I193" i="69" a="1"/>
  <c r="I193" i="69" s="1"/>
  <c r="I192" i="69" a="1"/>
  <c r="I192" i="69" s="1"/>
  <c r="G192" i="69" a="1"/>
  <c r="G192" i="69" s="1"/>
  <c r="D192" i="69" a="1"/>
  <c r="D192" i="69" s="1"/>
  <c r="I146" i="69" a="1"/>
  <c r="I146" i="69" s="1"/>
  <c r="I145" i="69" a="1"/>
  <c r="I145" i="69" s="1"/>
  <c r="G145" i="69" a="1"/>
  <c r="D145" i="69" a="1"/>
  <c r="D145" i="69" s="1"/>
  <c r="I127" i="69" a="1"/>
  <c r="I127" i="69" s="1"/>
  <c r="I126" i="69" a="1"/>
  <c r="I126" i="69" s="1"/>
  <c r="G126" i="69" a="1"/>
  <c r="G126" i="69" s="1"/>
  <c r="D126" i="69" a="1"/>
  <c r="D126" i="69" s="1"/>
  <c r="I91" i="69" a="1"/>
  <c r="I91" i="69" s="1"/>
  <c r="I92" i="69" a="1"/>
  <c r="I92" i="69" s="1"/>
  <c r="I93" i="69" a="1"/>
  <c r="I93" i="69" s="1"/>
  <c r="I94" i="69" a="1"/>
  <c r="I94" i="69" s="1"/>
  <c r="G91" i="69" a="1"/>
  <c r="G91" i="69" s="1"/>
  <c r="D91" i="69" a="1"/>
  <c r="D91" i="69" s="1"/>
  <c r="I63" i="69" a="1"/>
  <c r="I63" i="69" s="1"/>
  <c r="I68" i="69" a="1"/>
  <c r="I68" i="69" s="1"/>
  <c r="G62" i="69" a="1"/>
  <c r="G62" i="69" s="1"/>
  <c r="D62" i="69" a="1"/>
  <c r="D62" i="69" s="1"/>
  <c r="G145" i="69" l="1"/>
  <c r="G162" i="69"/>
  <c r="R162" i="69"/>
  <c r="K151" i="69" l="1"/>
  <c r="V152" i="69"/>
  <c r="G14" i="69" l="1" a="1"/>
  <c r="G14" i="69" s="1"/>
  <c r="D14" i="69" a="1"/>
  <c r="D14" i="69" s="1"/>
  <c r="D249" i="69" l="1" a="1"/>
  <c r="D249" i="69" s="1"/>
  <c r="Q52" i="98" a="1"/>
  <c r="Q52" i="98" s="1"/>
  <c r="O49" i="98" a="1"/>
  <c r="O49" i="98" s="1"/>
  <c r="F52" i="98" a="1"/>
  <c r="F52" i="98" s="1"/>
  <c r="J13" i="13" s="1"/>
  <c r="D49" i="98" a="1"/>
  <c r="D49" i="98" s="1"/>
  <c r="D35" i="98" a="1"/>
  <c r="D35" i="98" s="1"/>
  <c r="E41" i="98" a="1"/>
  <c r="E41" i="98" s="1"/>
  <c r="F47" i="98" s="1"/>
  <c r="G13" i="13" s="1"/>
  <c r="E40" i="98" a="1"/>
  <c r="E40" i="98" s="1"/>
  <c r="D36" i="98" a="1"/>
  <c r="D36" i="98" s="1"/>
  <c r="E11" i="98" a="1"/>
  <c r="E11" i="98" s="1"/>
  <c r="V23" i="98" s="1"/>
  <c r="E10" i="98" a="1"/>
  <c r="E10" i="98" s="1"/>
  <c r="D6" i="98" a="1"/>
  <c r="D6" i="98" s="1"/>
  <c r="D5" i="98" a="1"/>
  <c r="D5" i="98" s="1"/>
  <c r="Q50" i="97" a="1"/>
  <c r="Q50" i="97" s="1"/>
  <c r="O47" i="97" a="1"/>
  <c r="O47" i="97" s="1"/>
  <c r="F50" i="97" a="1"/>
  <c r="F50" i="97" s="1"/>
  <c r="J12" i="13" s="1"/>
  <c r="D47" i="97" a="1"/>
  <c r="D47" i="97" s="1"/>
  <c r="O38" i="97"/>
  <c r="E36" i="97" a="1"/>
  <c r="E36" i="97" s="1"/>
  <c r="F45" i="97" s="1"/>
  <c r="G12" i="13" s="1"/>
  <c r="E35" i="97" a="1"/>
  <c r="E35" i="97" s="1"/>
  <c r="D31" i="97" a="1"/>
  <c r="D31" i="97" s="1"/>
  <c r="D30" i="97" a="1"/>
  <c r="D30" i="97" s="1"/>
  <c r="D221" i="79" a="1"/>
  <c r="D221" i="79" s="1"/>
  <c r="I14" i="97" s="1"/>
  <c r="D220" i="79" a="1"/>
  <c r="D220" i="79" s="1"/>
  <c r="D219" i="79" a="1"/>
  <c r="D219" i="79" s="1"/>
  <c r="D218" i="79" a="1"/>
  <c r="D218" i="79" s="1"/>
  <c r="D217" i="79" a="1"/>
  <c r="D217" i="79" s="1"/>
  <c r="E11" i="97" a="1"/>
  <c r="E11" i="97" s="1"/>
  <c r="V19" i="97" s="1"/>
  <c r="E10" i="97" a="1"/>
  <c r="E10" i="97" s="1"/>
  <c r="D6" i="97" a="1"/>
  <c r="D6" i="97" s="1"/>
  <c r="D5" i="97" a="1"/>
  <c r="D5" i="97" s="1"/>
  <c r="Q58" i="96" a="1"/>
  <c r="Q58" i="96" s="1"/>
  <c r="O55" i="96" a="1"/>
  <c r="O55" i="96" s="1"/>
  <c r="F58" i="96" a="1"/>
  <c r="F58" i="96" s="1"/>
  <c r="J11" i="13" s="1"/>
  <c r="D55" i="96" a="1"/>
  <c r="D55" i="96" s="1"/>
  <c r="D35" i="96" a="1"/>
  <c r="D35" i="96" s="1"/>
  <c r="D36" i="96" a="1"/>
  <c r="D36" i="96" s="1"/>
  <c r="E11" i="96" a="1"/>
  <c r="E11" i="96" s="1"/>
  <c r="K31" i="96" s="1"/>
  <c r="E10" i="96" a="1"/>
  <c r="E10" i="96" s="1"/>
  <c r="D6" i="96" a="1"/>
  <c r="D6" i="96" s="1"/>
  <c r="D5" i="96" a="1"/>
  <c r="D5" i="96" s="1"/>
  <c r="E41" i="96" a="1"/>
  <c r="E41" i="96" s="1"/>
  <c r="Q53" i="96" s="1"/>
  <c r="E40" i="96" a="1"/>
  <c r="E40" i="96" s="1"/>
  <c r="E95" i="81" a="1"/>
  <c r="E95" i="81" s="1"/>
  <c r="V106" i="81" s="1"/>
  <c r="E94" i="81" a="1"/>
  <c r="E94" i="81" s="1"/>
  <c r="D90" i="81" a="1"/>
  <c r="D90" i="81" s="1"/>
  <c r="D89" i="81" a="1"/>
  <c r="D89" i="81" s="1"/>
  <c r="E11" i="81" a="1"/>
  <c r="E11" i="81" s="1"/>
  <c r="E10" i="81" a="1"/>
  <c r="E10" i="81" s="1"/>
  <c r="D6" i="81" a="1"/>
  <c r="D6" i="81" s="1"/>
  <c r="D119" i="81" s="1"/>
  <c r="D5" i="81" a="1"/>
  <c r="D5" i="81" s="1"/>
  <c r="D209" i="79" a="1"/>
  <c r="D209" i="79" s="1"/>
  <c r="I15" i="98" s="1"/>
  <c r="D208" i="79" a="1"/>
  <c r="D208" i="79" s="1"/>
  <c r="D207" i="79" a="1"/>
  <c r="D207" i="79" s="1"/>
  <c r="D206" i="79" a="1"/>
  <c r="D206" i="79" s="1"/>
  <c r="D205" i="79" a="1"/>
  <c r="D205" i="79" s="1"/>
  <c r="D202" i="79" a="1"/>
  <c r="D202" i="79" s="1"/>
  <c r="D201" i="79" a="1"/>
  <c r="D201" i="79" s="1"/>
  <c r="D200" i="79" a="1"/>
  <c r="D200" i="79" s="1"/>
  <c r="D199" i="79" a="1"/>
  <c r="D199" i="79" s="1"/>
  <c r="D198" i="79" a="1"/>
  <c r="D198" i="79" s="1"/>
  <c r="Q57" i="95" a="1"/>
  <c r="Q57" i="95" s="1"/>
  <c r="O54" i="95" a="1"/>
  <c r="O54" i="95" s="1"/>
  <c r="F57" i="95" a="1"/>
  <c r="F57" i="95" s="1"/>
  <c r="J10" i="13" s="1"/>
  <c r="D54" i="95" a="1"/>
  <c r="D54" i="95" s="1"/>
  <c r="E40" i="95" a="1"/>
  <c r="E40" i="95" s="1"/>
  <c r="K49" i="95" s="1"/>
  <c r="E39" i="95" a="1"/>
  <c r="E39" i="95" s="1"/>
  <c r="D35" i="95" a="1"/>
  <c r="D35" i="95" s="1"/>
  <c r="D34" i="95" a="1"/>
  <c r="D34" i="95" s="1"/>
  <c r="E91" i="81" a="1"/>
  <c r="E7" i="81" a="1"/>
  <c r="E7" i="96" a="1"/>
  <c r="E7" i="98" a="1"/>
  <c r="E7" i="95" a="1"/>
  <c r="E37" i="96" a="1"/>
  <c r="E7" i="97" a="1"/>
  <c r="I43" i="95" l="1"/>
  <c r="J44" i="98"/>
  <c r="V76" i="81"/>
  <c r="Q85" i="81"/>
  <c r="F148" i="81"/>
  <c r="K142" i="81"/>
  <c r="V139" i="81"/>
  <c r="K144" i="81"/>
  <c r="K140" i="81"/>
  <c r="K146" i="81"/>
  <c r="K139" i="81"/>
  <c r="K141" i="81"/>
  <c r="K143" i="81"/>
  <c r="K145" i="81"/>
  <c r="Q148" i="81"/>
  <c r="Q47" i="98"/>
  <c r="P38" i="97"/>
  <c r="K28" i="98"/>
  <c r="V28" i="98"/>
  <c r="F30" i="98"/>
  <c r="F26" i="97"/>
  <c r="Q45" i="97"/>
  <c r="Q30" i="98"/>
  <c r="Q26" i="97"/>
  <c r="E7" i="98"/>
  <c r="K23" i="98"/>
  <c r="V24" i="97"/>
  <c r="K51" i="96"/>
  <c r="V51" i="96"/>
  <c r="K24" i="97"/>
  <c r="E7" i="97"/>
  <c r="K19" i="97"/>
  <c r="V31" i="96"/>
  <c r="F53" i="96"/>
  <c r="G11" i="13" s="1"/>
  <c r="E37" i="96"/>
  <c r="E7" i="96"/>
  <c r="V49" i="95"/>
  <c r="Q52" i="95"/>
  <c r="F52" i="95"/>
  <c r="G10" i="13" s="1"/>
  <c r="Q115" i="81"/>
  <c r="F85" i="81"/>
  <c r="F115" i="81"/>
  <c r="K76" i="81"/>
  <c r="K106" i="81"/>
  <c r="E91" i="81"/>
  <c r="E7" i="81"/>
  <c r="E7" i="95"/>
  <c r="D6" i="95" l="1" a="1"/>
  <c r="D6" i="95" s="1"/>
  <c r="E11" i="95" a="1"/>
  <c r="E11" i="95" s="1"/>
  <c r="V29" i="95" s="1"/>
  <c r="E10" i="95" a="1"/>
  <c r="E10" i="95" s="1"/>
  <c r="D5" i="95" a="1"/>
  <c r="D5" i="95" s="1"/>
  <c r="Q73" i="82" a="1"/>
  <c r="Q73" i="82" s="1"/>
  <c r="O70" i="82" a="1"/>
  <c r="O70" i="82" s="1"/>
  <c r="F73" i="82" a="1"/>
  <c r="F73" i="82" s="1"/>
  <c r="J9" i="13" s="1"/>
  <c r="D70" i="82" a="1"/>
  <c r="D70" i="82" s="1"/>
  <c r="E59" i="82" a="1"/>
  <c r="E59" i="82" s="1"/>
  <c r="F68" i="82" s="1"/>
  <c r="G9" i="13" s="1"/>
  <c r="E58" i="82" a="1"/>
  <c r="E58" i="82" s="1"/>
  <c r="D54" i="82" a="1"/>
  <c r="D54" i="82" s="1"/>
  <c r="D53" i="82" a="1"/>
  <c r="D53" i="82" s="1"/>
  <c r="D6" i="82" a="1"/>
  <c r="D6" i="82" s="1"/>
  <c r="E11" i="82" a="1"/>
  <c r="E11" i="82" s="1"/>
  <c r="E10" i="82" a="1"/>
  <c r="E10" i="82" s="1"/>
  <c r="D5" i="82" a="1"/>
  <c r="D5" i="82" s="1"/>
  <c r="P292" i="76" a="1"/>
  <c r="P292" i="76" s="1"/>
  <c r="N289" i="76" a="1"/>
  <c r="N289" i="76" s="1"/>
  <c r="F292" i="76" a="1"/>
  <c r="F292" i="76" s="1"/>
  <c r="D289" i="76" a="1"/>
  <c r="D289" i="76" s="1"/>
  <c r="E260" i="76" a="1"/>
  <c r="E260" i="76" s="1"/>
  <c r="P287" i="76" s="1"/>
  <c r="E259" i="76" a="1"/>
  <c r="E259" i="76" s="1"/>
  <c r="D255" i="76" a="1"/>
  <c r="D255" i="76" s="1"/>
  <c r="D254" i="76" a="1"/>
  <c r="D254" i="76" s="1"/>
  <c r="E223" i="76" a="1"/>
  <c r="E223" i="76" s="1"/>
  <c r="E222" i="76" a="1"/>
  <c r="E222" i="76" s="1"/>
  <c r="D218" i="76" a="1"/>
  <c r="D218" i="76" s="1"/>
  <c r="D217" i="76" a="1"/>
  <c r="D217" i="76" s="1"/>
  <c r="D182" i="76" a="1"/>
  <c r="D182" i="76" s="1"/>
  <c r="E187" i="76" a="1"/>
  <c r="E187" i="76" s="1"/>
  <c r="E186" i="76" a="1"/>
  <c r="E186" i="76" s="1"/>
  <c r="D181" i="76" a="1"/>
  <c r="D181" i="76" s="1"/>
  <c r="D180" i="76" a="1"/>
  <c r="D180" i="76" s="1"/>
  <c r="D152" i="76" a="1"/>
  <c r="D152" i="76" s="1"/>
  <c r="E157" i="76" a="1"/>
  <c r="E157" i="76" s="1"/>
  <c r="S176" i="76" s="1"/>
  <c r="E156" i="76" a="1"/>
  <c r="E156" i="76" s="1"/>
  <c r="D151" i="76" a="1"/>
  <c r="D151" i="76" s="1"/>
  <c r="D150" i="76" a="1"/>
  <c r="D150" i="76" s="1"/>
  <c r="E137" i="76" a="1"/>
  <c r="E137" i="76" s="1"/>
  <c r="I146" i="76" s="1"/>
  <c r="E136" i="76" a="1"/>
  <c r="E136" i="76" s="1"/>
  <c r="D131" i="76" a="1"/>
  <c r="D131" i="76" s="1"/>
  <c r="D130" i="76" a="1"/>
  <c r="D130" i="76" s="1"/>
  <c r="E113" i="76" a="1"/>
  <c r="E113" i="76" s="1"/>
  <c r="S126" i="76" s="1"/>
  <c r="E112" i="76" a="1"/>
  <c r="E112" i="76" s="1"/>
  <c r="D108" i="76" a="1"/>
  <c r="D108" i="76" s="1"/>
  <c r="D107" i="76" a="1"/>
  <c r="D107" i="76" s="1"/>
  <c r="E76" i="76" a="1"/>
  <c r="E76" i="76" s="1"/>
  <c r="I103" i="76" s="1"/>
  <c r="E75" i="76" a="1"/>
  <c r="E75" i="76" s="1"/>
  <c r="D70" i="76" a="1"/>
  <c r="D70" i="76" s="1"/>
  <c r="D69" i="76" a="1"/>
  <c r="D69" i="76" s="1"/>
  <c r="E40" i="76" a="1"/>
  <c r="E40" i="76" s="1"/>
  <c r="S65" i="76" s="1"/>
  <c r="E39" i="76" a="1"/>
  <c r="E39" i="76" s="1"/>
  <c r="D34" i="76" a="1"/>
  <c r="D34" i="76" s="1"/>
  <c r="D33" i="76" a="1"/>
  <c r="D33" i="76" s="1"/>
  <c r="E11" i="76" a="1"/>
  <c r="E11" i="76" s="1"/>
  <c r="I29" i="76" s="1"/>
  <c r="E10" i="76" a="1"/>
  <c r="E10" i="76" s="1"/>
  <c r="D6" i="76" a="1"/>
  <c r="D6" i="76" s="1"/>
  <c r="D5" i="76" a="1"/>
  <c r="D5" i="76" s="1"/>
  <c r="Q305" i="69" a="1"/>
  <c r="Q305" i="69" s="1"/>
  <c r="O302" i="69" a="1"/>
  <c r="O302" i="69" s="1"/>
  <c r="F305" i="69" a="1"/>
  <c r="F305" i="69" s="1"/>
  <c r="J7" i="13" s="1"/>
  <c r="D302" i="69" a="1"/>
  <c r="D302" i="69" s="1"/>
  <c r="E256" i="69" a="1"/>
  <c r="E256" i="69" s="1"/>
  <c r="Q300" i="69" s="1"/>
  <c r="E255" i="69" a="1"/>
  <c r="E255" i="69" s="1"/>
  <c r="D251" i="69" a="1"/>
  <c r="D251" i="69" s="1"/>
  <c r="D250" i="69" a="1"/>
  <c r="D250" i="69" s="1"/>
  <c r="D195" i="79" a="1"/>
  <c r="D195" i="79" s="1"/>
  <c r="I221" i="69" s="1"/>
  <c r="D194" i="79" a="1"/>
  <c r="D194" i="79" s="1"/>
  <c r="D193" i="79" a="1"/>
  <c r="D193" i="79" s="1"/>
  <c r="D192" i="79" a="1"/>
  <c r="D192" i="79" s="1"/>
  <c r="D191" i="79" a="1"/>
  <c r="D191" i="79" s="1"/>
  <c r="E215" i="69" a="1"/>
  <c r="E215" i="69" s="1"/>
  <c r="D211" i="69" a="1"/>
  <c r="D211" i="69" s="1"/>
  <c r="E216" i="69" a="1"/>
  <c r="E216" i="69" s="1"/>
  <c r="D210" i="69" a="1"/>
  <c r="D210" i="69" s="1"/>
  <c r="D185" i="69" a="1"/>
  <c r="D185" i="69" s="1"/>
  <c r="E190" i="69" a="1"/>
  <c r="E190" i="69" s="1"/>
  <c r="V206" i="69" s="1"/>
  <c r="E189" i="69" a="1"/>
  <c r="E189" i="69" s="1"/>
  <c r="D184" i="69" a="1"/>
  <c r="D184" i="69" s="1"/>
  <c r="D183" i="69" a="1"/>
  <c r="D183" i="69" s="1"/>
  <c r="D138" i="69" a="1"/>
  <c r="D138" i="69" s="1"/>
  <c r="E142" i="69" a="1"/>
  <c r="E142" i="69" s="1"/>
  <c r="E143" i="69" a="1"/>
  <c r="E143" i="69" s="1"/>
  <c r="D137" i="69" a="1"/>
  <c r="D137" i="69" s="1"/>
  <c r="D188" i="79" a="1"/>
  <c r="D188" i="79" s="1"/>
  <c r="I128" i="69" s="1"/>
  <c r="D187" i="79" a="1"/>
  <c r="D187" i="79" s="1"/>
  <c r="D186" i="79" a="1"/>
  <c r="D186" i="79" s="1"/>
  <c r="D185" i="79" a="1"/>
  <c r="D185" i="79" s="1"/>
  <c r="D184" i="79" a="1"/>
  <c r="D184" i="79" s="1"/>
  <c r="D54" i="69" a="1"/>
  <c r="D54" i="69" s="1"/>
  <c r="I14" i="69"/>
  <c r="D6" i="69" a="1"/>
  <c r="D6" i="69" s="1"/>
  <c r="E11" i="69" a="1"/>
  <c r="E11" i="69" s="1"/>
  <c r="E12" i="69" a="1"/>
  <c r="E12" i="69" s="1"/>
  <c r="D5" i="69" a="1"/>
  <c r="D5" i="69" s="1"/>
  <c r="D55" i="69" a="1"/>
  <c r="D55" i="69" s="1"/>
  <c r="D181" i="79" a="1"/>
  <c r="D181" i="79" s="1"/>
  <c r="I67" i="69" s="1"/>
  <c r="D180" i="79" a="1"/>
  <c r="D180" i="79" s="1"/>
  <c r="D179" i="79" a="1"/>
  <c r="D179" i="79" s="1"/>
  <c r="D178" i="79" a="1"/>
  <c r="D178" i="79" s="1"/>
  <c r="D177" i="79" a="1"/>
  <c r="D177" i="79" s="1"/>
  <c r="D174" i="79" a="1"/>
  <c r="D174" i="79" s="1"/>
  <c r="I66" i="69" s="1"/>
  <c r="D173" i="79" a="1"/>
  <c r="D173" i="79" s="1"/>
  <c r="D172" i="79" a="1"/>
  <c r="D172" i="79" s="1"/>
  <c r="D171" i="79" a="1"/>
  <c r="D171" i="79" s="1"/>
  <c r="D170" i="79" a="1"/>
  <c r="D170" i="79" s="1"/>
  <c r="D167" i="79" a="1"/>
  <c r="D167" i="79" s="1"/>
  <c r="I65" i="69" s="1"/>
  <c r="D166" i="79" a="1"/>
  <c r="D166" i="79" s="1"/>
  <c r="D165" i="79" a="1"/>
  <c r="D165" i="79" s="1"/>
  <c r="D164" i="79" a="1"/>
  <c r="D164" i="79" s="1"/>
  <c r="D163" i="79" a="1"/>
  <c r="D163" i="79" s="1"/>
  <c r="E59" i="69" a="1"/>
  <c r="E59" i="69" s="1"/>
  <c r="E60" i="69" a="1"/>
  <c r="E60" i="69" s="1"/>
  <c r="T79" i="69" s="1"/>
  <c r="D84" i="69" a="1"/>
  <c r="D84" i="69" s="1"/>
  <c r="E88" i="69" a="1"/>
  <c r="E88" i="69" s="1"/>
  <c r="E89" i="69" a="1"/>
  <c r="E89" i="69" s="1"/>
  <c r="I114" i="69" s="1"/>
  <c r="D83" i="69" a="1"/>
  <c r="D83" i="69" s="1"/>
  <c r="D160" i="79" a="1"/>
  <c r="D160" i="79" s="1"/>
  <c r="D159" i="79" a="1"/>
  <c r="D159" i="79" s="1"/>
  <c r="D158" i="79" a="1"/>
  <c r="D158" i="79" s="1"/>
  <c r="D157" i="79" a="1"/>
  <c r="D157" i="79" s="1"/>
  <c r="D156" i="79" a="1"/>
  <c r="D156" i="79" s="1"/>
  <c r="D150" i="79" a="1"/>
  <c r="D150" i="79" s="1"/>
  <c r="D151" i="79" a="1"/>
  <c r="D151" i="79" s="1"/>
  <c r="D152" i="79" a="1"/>
  <c r="D152" i="79" s="1"/>
  <c r="D153" i="79" a="1"/>
  <c r="D153" i="79" s="1"/>
  <c r="D149" i="79" a="1"/>
  <c r="D149" i="79" s="1"/>
  <c r="D119" i="69" a="1"/>
  <c r="D119" i="69" s="1"/>
  <c r="E123" i="69" a="1"/>
  <c r="E123" i="69" s="1"/>
  <c r="E124" i="69" a="1"/>
  <c r="E124" i="69" s="1"/>
  <c r="I133" i="69" s="1"/>
  <c r="D118" i="69" a="1"/>
  <c r="D118" i="69" s="1"/>
  <c r="Q168" i="69"/>
  <c r="F168" i="69"/>
  <c r="Q167" i="69"/>
  <c r="F167" i="69"/>
  <c r="Q166" i="69"/>
  <c r="F166" i="69"/>
  <c r="D75" i="70"/>
  <c r="D99" i="70"/>
  <c r="E153" i="76" a="1"/>
  <c r="E132" i="76" a="1"/>
  <c r="E252" i="69" a="1"/>
  <c r="E35" i="76" a="1"/>
  <c r="E183" i="76" a="1"/>
  <c r="E85" i="69" a="1"/>
  <c r="E7" i="82" a="1"/>
  <c r="E7" i="76" a="1"/>
  <c r="E120" i="69" a="1"/>
  <c r="E109" i="76" a="1"/>
  <c r="E72" i="76" a="1"/>
  <c r="E256" i="76" a="1"/>
  <c r="E8" i="69" a="1"/>
  <c r="E212" i="69" a="1"/>
  <c r="E186" i="69" a="1"/>
  <c r="E139" i="69" a="1"/>
  <c r="E56" i="69" a="1"/>
  <c r="E219" i="76" a="1"/>
  <c r="I41" i="70" l="1"/>
  <c r="R121" i="76" s="1"/>
  <c r="E37" i="70"/>
  <c r="D121" i="76" s="1"/>
  <c r="H41" i="70"/>
  <c r="Q121" i="76" s="1"/>
  <c r="H37" i="70"/>
  <c r="G121" i="76" s="1"/>
  <c r="G41" i="70"/>
  <c r="P121" i="76" s="1"/>
  <c r="F41" i="70"/>
  <c r="O121" i="76" s="1"/>
  <c r="I37" i="70"/>
  <c r="H121" i="76" s="1"/>
  <c r="E41" i="70"/>
  <c r="N121" i="76" s="1"/>
  <c r="G37" i="70"/>
  <c r="F121" i="76" s="1"/>
  <c r="F37" i="70"/>
  <c r="E121" i="76" s="1"/>
  <c r="I36" i="70"/>
  <c r="H19" i="69" s="1"/>
  <c r="F36" i="70"/>
  <c r="E19" i="69" s="1"/>
  <c r="I40" i="70"/>
  <c r="S19" i="69" s="1"/>
  <c r="S24" i="69" s="1" a="1"/>
  <c r="S24" i="69" s="1"/>
  <c r="S79" i="69" s="1" a="1"/>
  <c r="S79" i="69" s="1"/>
  <c r="E36" i="70"/>
  <c r="D19" i="69" s="1"/>
  <c r="D24" i="69" s="1" a="1"/>
  <c r="D24" i="69" s="1"/>
  <c r="D79" i="69" s="1" a="1"/>
  <c r="D79" i="69" s="1"/>
  <c r="D60" i="76" s="1"/>
  <c r="F40" i="70"/>
  <c r="P19" i="69" s="1"/>
  <c r="P24" i="69" s="1" a="1"/>
  <c r="P24" i="69" s="1"/>
  <c r="P79" i="69" s="1" a="1"/>
  <c r="P79" i="69" s="1"/>
  <c r="H36" i="70"/>
  <c r="G19" i="69" s="1"/>
  <c r="G36" i="70"/>
  <c r="F19" i="69" s="1"/>
  <c r="E40" i="70"/>
  <c r="O19" i="69" s="1"/>
  <c r="O24" i="69" s="1" a="1"/>
  <c r="O24" i="69" s="1"/>
  <c r="O79" i="69" s="1" a="1"/>
  <c r="O79" i="69" s="1"/>
  <c r="H40" i="70"/>
  <c r="R19" i="69" s="1"/>
  <c r="R24" i="69" s="1" a="1"/>
  <c r="R24" i="69" s="1"/>
  <c r="R79" i="69" s="1" a="1"/>
  <c r="R79" i="69" s="1"/>
  <c r="G40" i="70"/>
  <c r="Q19" i="69" s="1"/>
  <c r="Q24" i="69" s="1" a="1"/>
  <c r="Q24" i="69" s="1"/>
  <c r="Q79" i="69" s="1" a="1"/>
  <c r="Q79" i="69" s="1"/>
  <c r="V40" i="82"/>
  <c r="K40" i="82"/>
  <c r="S146" i="76"/>
  <c r="F49" i="82"/>
  <c r="Q49" i="82"/>
  <c r="O61" i="82"/>
  <c r="P61" i="82"/>
  <c r="S29" i="76"/>
  <c r="S213" i="76"/>
  <c r="I213" i="76"/>
  <c r="I176" i="76"/>
  <c r="K29" i="95"/>
  <c r="S103" i="76"/>
  <c r="I126" i="76"/>
  <c r="F287" i="76"/>
  <c r="G8" i="13" s="1"/>
  <c r="T114" i="69"/>
  <c r="S50" i="76" s="1"/>
  <c r="T133" i="69"/>
  <c r="I65" i="76"/>
  <c r="V205" i="69"/>
  <c r="K206" i="69"/>
  <c r="K205" i="69"/>
  <c r="F300" i="69"/>
  <c r="G7" i="13" s="1"/>
  <c r="I24" i="69"/>
  <c r="T24" i="69"/>
  <c r="Q68" i="82"/>
  <c r="V173" i="69"/>
  <c r="V237" i="69"/>
  <c r="K237" i="69"/>
  <c r="J8" i="13"/>
  <c r="K173" i="69"/>
  <c r="E7" i="82"/>
  <c r="E256" i="76"/>
  <c r="E219" i="76"/>
  <c r="E183" i="76"/>
  <c r="E153" i="76"/>
  <c r="E132" i="76"/>
  <c r="E109" i="76"/>
  <c r="E72" i="76"/>
  <c r="E35" i="76"/>
  <c r="E7" i="76"/>
  <c r="E252" i="69"/>
  <c r="E212" i="69"/>
  <c r="E186" i="69"/>
  <c r="E139" i="69"/>
  <c r="E85" i="69"/>
  <c r="E120" i="69"/>
  <c r="I79" i="69"/>
  <c r="I60" i="76" s="1"/>
  <c r="E56" i="69"/>
  <c r="E8" i="69"/>
  <c r="G24" i="69" l="1" a="1"/>
  <c r="G24" i="69" s="1"/>
  <c r="G79" i="69" s="1" a="1"/>
  <c r="G79" i="69" s="1"/>
  <c r="G60" i="76" s="1"/>
  <c r="F24" i="69" a="1"/>
  <c r="F24" i="69" s="1"/>
  <c r="F79" i="69" s="1" a="1"/>
  <c r="F79" i="69" s="1"/>
  <c r="F60" i="76" s="1"/>
  <c r="E24" i="69" a="1"/>
  <c r="E24" i="69" s="1"/>
  <c r="E79" i="69" s="1" a="1"/>
  <c r="E79" i="69" s="1"/>
  <c r="E60" i="76" s="1"/>
  <c r="H24" i="69" a="1"/>
  <c r="H24" i="69" s="1"/>
  <c r="H79" i="69" s="1" a="1"/>
  <c r="H79" i="69" s="1"/>
  <c r="H60" i="76" s="1"/>
  <c r="D146" i="79" a="1"/>
  <c r="D146" i="79" s="1"/>
  <c r="E146" i="79" a="1"/>
  <c r="E146" i="79" s="1"/>
  <c r="F146" i="79" a="1"/>
  <c r="F146" i="79" s="1"/>
  <c r="D145" i="79" a="1"/>
  <c r="D145" i="79" s="1"/>
  <c r="E145" i="79" a="1"/>
  <c r="E145" i="79" s="1"/>
  <c r="F145" i="79" a="1"/>
  <c r="F145" i="79" s="1"/>
  <c r="D144" i="79" a="1"/>
  <c r="D144" i="79" s="1"/>
  <c r="E144" i="79" a="1"/>
  <c r="E144" i="79" s="1"/>
  <c r="F144" i="79" a="1"/>
  <c r="F144" i="79" s="1"/>
  <c r="D143" i="79" a="1"/>
  <c r="D143" i="79" s="1"/>
  <c r="E143" i="79" a="1"/>
  <c r="E143" i="79" s="1"/>
  <c r="F143" i="79" a="1"/>
  <c r="F143" i="79" s="1"/>
  <c r="F142" i="79" a="1"/>
  <c r="F142" i="79" s="1"/>
  <c r="E142" i="79" a="1"/>
  <c r="E142" i="79" s="1"/>
  <c r="D142" i="79" a="1"/>
  <c r="D142" i="79" s="1"/>
  <c r="D137" i="79" a="1"/>
  <c r="D137" i="79" s="1"/>
  <c r="D138" i="79" a="1"/>
  <c r="D138" i="79" s="1"/>
  <c r="D139" i="79" a="1"/>
  <c r="D139" i="79" s="1"/>
  <c r="D140" i="79" a="1"/>
  <c r="D140" i="79" s="1"/>
  <c r="D136" i="79" a="1"/>
  <c r="D136" i="79" s="1"/>
  <c r="E28" i="70" l="1" a="1"/>
  <c r="E28" i="70" s="1"/>
  <c r="G25" i="70" a="1"/>
  <c r="G25" i="70" s="1"/>
  <c r="G28" i="70" a="1"/>
  <c r="G28" i="70" s="1"/>
  <c r="H25" i="70" a="1"/>
  <c r="H25" i="70" s="1"/>
  <c r="H28" i="70" a="1"/>
  <c r="H28" i="70" s="1"/>
  <c r="I25" i="70" a="1"/>
  <c r="I25" i="70" s="1"/>
  <c r="F25" i="70" a="1"/>
  <c r="F25" i="70" s="1"/>
  <c r="F28" i="70" a="1"/>
  <c r="F28" i="70" s="1"/>
  <c r="E24" i="70" a="1"/>
  <c r="E24" i="70" s="1"/>
  <c r="I28" i="70" a="1"/>
  <c r="I28" i="70" s="1"/>
  <c r="F24" i="70" a="1"/>
  <c r="F24" i="70" s="1"/>
  <c r="G24" i="70" a="1"/>
  <c r="G24" i="70" s="1"/>
  <c r="H24" i="70" a="1"/>
  <c r="H24" i="70" s="1"/>
  <c r="I24" i="70" a="1"/>
  <c r="I24" i="70" s="1"/>
  <c r="E25" i="70" a="1"/>
  <c r="E25" i="70" s="1"/>
  <c r="F275" i="69" l="1"/>
  <c r="F203" i="76"/>
  <c r="D171" i="76"/>
  <c r="D275" i="69"/>
  <c r="O171" i="76"/>
  <c r="P275" i="69"/>
  <c r="D208" i="76"/>
  <c r="D285" i="69"/>
  <c r="N208" i="76"/>
  <c r="E275" i="69"/>
  <c r="E171" i="76"/>
  <c r="E208" i="76"/>
  <c r="E285" i="69"/>
  <c r="O208" i="76"/>
  <c r="H203" i="76"/>
  <c r="H275" i="69"/>
  <c r="G171" i="76"/>
  <c r="G275" i="69"/>
  <c r="Q171" i="76"/>
  <c r="R275" i="69"/>
  <c r="G208" i="76"/>
  <c r="Q208" i="76"/>
  <c r="G285" i="69"/>
  <c r="R203" i="76"/>
  <c r="S275" i="69"/>
  <c r="P203" i="76"/>
  <c r="Q275" i="69"/>
  <c r="H208" i="76"/>
  <c r="H285" i="69"/>
  <c r="F208" i="76"/>
  <c r="F285" i="69"/>
  <c r="N171" i="76"/>
  <c r="O275" i="69"/>
  <c r="G29" i="70"/>
  <c r="I29" i="70"/>
  <c r="F29" i="70"/>
  <c r="P285" i="69" s="1"/>
  <c r="H29" i="70"/>
  <c r="R285" i="69" s="1"/>
  <c r="E29" i="70"/>
  <c r="O285" i="69" s="1"/>
  <c r="P208" i="76" l="1"/>
  <c r="Q285" i="69"/>
  <c r="R208" i="76"/>
  <c r="S285" i="69"/>
  <c r="D71" i="79" a="1"/>
  <c r="D71" i="79" s="1"/>
  <c r="M78" i="79" a="1"/>
  <c r="M78" i="79" s="1"/>
  <c r="M77" i="79" a="1"/>
  <c r="M77" i="79" s="1"/>
  <c r="M76" i="79" a="1"/>
  <c r="M76" i="79" s="1"/>
  <c r="M75" i="79" a="1"/>
  <c r="M75" i="79" s="1"/>
  <c r="M74" i="79" a="1"/>
  <c r="M74" i="79" s="1"/>
  <c r="M73" i="79" a="1"/>
  <c r="M73" i="79" s="1"/>
  <c r="G91" i="79" a="1"/>
  <c r="G91" i="79" s="1"/>
  <c r="G90" i="79" a="1"/>
  <c r="G90" i="79" s="1"/>
  <c r="G89" i="79" a="1"/>
  <c r="G89" i="79" s="1"/>
  <c r="G88" i="79" a="1"/>
  <c r="G88" i="79" s="1"/>
  <c r="G87" i="79" a="1"/>
  <c r="G87" i="79" s="1"/>
  <c r="D85" i="79" a="1"/>
  <c r="D85" i="79" s="1"/>
  <c r="D127" i="79" a="1"/>
  <c r="D127" i="79" s="1"/>
  <c r="F133" i="79" a="1"/>
  <c r="F133" i="79" s="1"/>
  <c r="F132" i="79" a="1"/>
  <c r="F132" i="79" s="1"/>
  <c r="F131" i="79" a="1"/>
  <c r="F131" i="79" s="1"/>
  <c r="F130" i="79" a="1"/>
  <c r="F130" i="79" s="1"/>
  <c r="F129" i="79" a="1"/>
  <c r="F129" i="79" s="1"/>
  <c r="D124" i="79" a="1"/>
  <c r="D124" i="79" s="1"/>
  <c r="D125" i="79" a="1"/>
  <c r="D125" i="79" s="1"/>
  <c r="D126" i="79" a="1"/>
  <c r="D126" i="79" s="1"/>
  <c r="D133" i="79" a="1"/>
  <c r="D133" i="79" s="1"/>
  <c r="E133" i="79" a="1"/>
  <c r="E133" i="79" s="1"/>
  <c r="D132" i="79" a="1"/>
  <c r="D132" i="79" s="1"/>
  <c r="E132" i="79" a="1"/>
  <c r="E132" i="79" s="1"/>
  <c r="D131" i="79" a="1"/>
  <c r="D131" i="79" s="1"/>
  <c r="E131" i="79" a="1"/>
  <c r="E131" i="79" s="1"/>
  <c r="D130" i="79" a="1"/>
  <c r="D130" i="79" s="1"/>
  <c r="E130" i="79" a="1"/>
  <c r="E130" i="79" s="1"/>
  <c r="E129" i="79" a="1"/>
  <c r="E129" i="79" s="1"/>
  <c r="D129" i="79" a="1"/>
  <c r="D129" i="79" s="1"/>
  <c r="D123" i="79" a="1"/>
  <c r="D123" i="79" s="1"/>
  <c r="D113" i="79" a="1"/>
  <c r="D113" i="79" s="1"/>
  <c r="D114" i="79" a="1"/>
  <c r="D114" i="79" s="1"/>
  <c r="D115" i="79" a="1"/>
  <c r="D115" i="79" s="1"/>
  <c r="D120" i="79" a="1"/>
  <c r="D120" i="79" s="1"/>
  <c r="E120" i="79" a="1"/>
  <c r="E120" i="79" s="1"/>
  <c r="F120" i="79" a="1"/>
  <c r="F120" i="79" s="1"/>
  <c r="G120" i="79" a="1"/>
  <c r="G120" i="79" s="1"/>
  <c r="D119" i="79" a="1"/>
  <c r="D119" i="79" s="1"/>
  <c r="E119" i="79" a="1"/>
  <c r="E119" i="79" s="1"/>
  <c r="F119" i="79" a="1"/>
  <c r="F119" i="79" s="1"/>
  <c r="G119" i="79" a="1"/>
  <c r="G119" i="79" s="1"/>
  <c r="D118" i="79" a="1"/>
  <c r="D118" i="79" s="1"/>
  <c r="E118" i="79" a="1"/>
  <c r="E118" i="79" s="1"/>
  <c r="F118" i="79" a="1"/>
  <c r="F118" i="79" s="1"/>
  <c r="G118" i="79" a="1"/>
  <c r="G118" i="79" s="1"/>
  <c r="G117" i="79" a="1"/>
  <c r="G117" i="79" s="1"/>
  <c r="F117" i="79" a="1"/>
  <c r="F117" i="79" s="1"/>
  <c r="E117" i="79" a="1"/>
  <c r="E117" i="79" s="1"/>
  <c r="D117" i="79" a="1"/>
  <c r="D117" i="79" s="1"/>
  <c r="D112" i="79" a="1"/>
  <c r="D112" i="79" s="1"/>
  <c r="D104" i="79" a="1"/>
  <c r="D104" i="79" s="1"/>
  <c r="D105" i="79" a="1"/>
  <c r="D105" i="79" s="1"/>
  <c r="D106" i="79" a="1"/>
  <c r="D106" i="79" s="1"/>
  <c r="D109" i="79" a="1"/>
  <c r="D109" i="79" s="1"/>
  <c r="E109" i="79" a="1"/>
  <c r="E109" i="79" s="1"/>
  <c r="E108" i="79" a="1"/>
  <c r="E108" i="79" s="1"/>
  <c r="D55" i="76" s="1"/>
  <c r="D108" i="79" a="1"/>
  <c r="D108" i="79" s="1"/>
  <c r="D103" i="79" a="1"/>
  <c r="D103" i="79" s="1"/>
  <c r="D95" i="79" a="1"/>
  <c r="D95" i="79" s="1"/>
  <c r="D96" i="79" a="1"/>
  <c r="D96" i="79" s="1"/>
  <c r="D97" i="79" a="1"/>
  <c r="D97" i="79" s="1"/>
  <c r="D100" i="79" a="1"/>
  <c r="D100" i="79" s="1"/>
  <c r="E100" i="79" a="1"/>
  <c r="E100" i="79" s="1"/>
  <c r="E99" i="79" a="1"/>
  <c r="E99" i="79" s="1"/>
  <c r="D99" i="79" a="1"/>
  <c r="D99" i="79" s="1"/>
  <c r="D94" i="79" a="1"/>
  <c r="D94" i="79" s="1"/>
  <c r="D91" i="79" a="1"/>
  <c r="D91" i="79" s="1"/>
  <c r="E91" i="79" a="1"/>
  <c r="E91" i="79" s="1"/>
  <c r="F91" i="79" a="1"/>
  <c r="F91" i="79" s="1"/>
  <c r="D90" i="79" a="1"/>
  <c r="D90" i="79" s="1"/>
  <c r="E90" i="79" a="1"/>
  <c r="E90" i="79" s="1"/>
  <c r="F90" i="79" a="1"/>
  <c r="F90" i="79" s="1"/>
  <c r="D89" i="79" a="1"/>
  <c r="D89" i="79" s="1"/>
  <c r="E89" i="79" a="1"/>
  <c r="E89" i="79" s="1"/>
  <c r="F89" i="79" a="1"/>
  <c r="F89" i="79" s="1"/>
  <c r="D88" i="79" a="1"/>
  <c r="D88" i="79" s="1"/>
  <c r="E88" i="79" a="1"/>
  <c r="E88" i="79" s="1"/>
  <c r="F88" i="79" a="1"/>
  <c r="F88" i="79" s="1"/>
  <c r="F87" i="79" a="1"/>
  <c r="F87" i="79" s="1"/>
  <c r="E87" i="79" a="1"/>
  <c r="E87" i="79" s="1"/>
  <c r="D87" i="79" a="1"/>
  <c r="D87" i="79" s="1"/>
  <c r="D82" i="79" a="1"/>
  <c r="D82" i="79" s="1"/>
  <c r="D83" i="79" a="1"/>
  <c r="D83" i="79" s="1"/>
  <c r="D84" i="79" a="1"/>
  <c r="D84" i="79" s="1"/>
  <c r="D81" i="79" a="1"/>
  <c r="D81" i="79" s="1"/>
  <c r="D68" i="79" a="1"/>
  <c r="D68" i="79" s="1"/>
  <c r="D69" i="79" a="1"/>
  <c r="D69" i="79" s="1"/>
  <c r="D70" i="79" a="1"/>
  <c r="D70" i="79" s="1"/>
  <c r="D78" i="79" a="1"/>
  <c r="D78" i="79" s="1"/>
  <c r="E78" i="79" a="1"/>
  <c r="E78" i="79" s="1"/>
  <c r="F78" i="79" a="1"/>
  <c r="F78" i="79" s="1"/>
  <c r="G78" i="79" a="1"/>
  <c r="G78" i="79" s="1"/>
  <c r="H78" i="79" a="1"/>
  <c r="H78" i="79" s="1"/>
  <c r="I78" i="79" a="1"/>
  <c r="I78" i="79" s="1"/>
  <c r="J78" i="79" a="1"/>
  <c r="J78" i="79" s="1"/>
  <c r="K78" i="79" a="1"/>
  <c r="K78" i="79" s="1"/>
  <c r="L78" i="79" a="1"/>
  <c r="L78" i="79" s="1"/>
  <c r="D77" i="79" a="1"/>
  <c r="D77" i="79" s="1"/>
  <c r="E77" i="79" a="1"/>
  <c r="E77" i="79" s="1"/>
  <c r="F77" i="79" a="1"/>
  <c r="F77" i="79" s="1"/>
  <c r="G77" i="79" a="1"/>
  <c r="G77" i="79" s="1"/>
  <c r="H77" i="79" a="1"/>
  <c r="H77" i="79" s="1"/>
  <c r="I77" i="79" a="1"/>
  <c r="I77" i="79" s="1"/>
  <c r="J77" i="79" a="1"/>
  <c r="J77" i="79" s="1"/>
  <c r="K77" i="79" a="1"/>
  <c r="K77" i="79" s="1"/>
  <c r="L77" i="79" a="1"/>
  <c r="L77" i="79" s="1"/>
  <c r="D76" i="79" a="1"/>
  <c r="D76" i="79" s="1"/>
  <c r="E76" i="79" a="1"/>
  <c r="E76" i="79" s="1"/>
  <c r="F76" i="79" a="1"/>
  <c r="F76" i="79" s="1"/>
  <c r="G76" i="79" a="1"/>
  <c r="G76" i="79" s="1"/>
  <c r="H76" i="79" a="1"/>
  <c r="H76" i="79" s="1"/>
  <c r="I76" i="79" a="1"/>
  <c r="I76" i="79" s="1"/>
  <c r="J76" i="79" a="1"/>
  <c r="J76" i="79" s="1"/>
  <c r="K76" i="79" a="1"/>
  <c r="K76" i="79" s="1"/>
  <c r="L76" i="79" a="1"/>
  <c r="L76" i="79" s="1"/>
  <c r="D75" i="79" a="1"/>
  <c r="D75" i="79" s="1"/>
  <c r="E75" i="79" a="1"/>
  <c r="E75" i="79" s="1"/>
  <c r="F75" i="79" a="1"/>
  <c r="F75" i="79" s="1"/>
  <c r="G75" i="79" a="1"/>
  <c r="G75" i="79" s="1"/>
  <c r="H75" i="79" a="1"/>
  <c r="H75" i="79" s="1"/>
  <c r="I75" i="79" a="1"/>
  <c r="I75" i="79" s="1"/>
  <c r="J75" i="79" a="1"/>
  <c r="J75" i="79" s="1"/>
  <c r="K75" i="79" a="1"/>
  <c r="K75" i="79" s="1"/>
  <c r="L75" i="79" a="1"/>
  <c r="L75" i="79" s="1"/>
  <c r="D74" i="79" a="1"/>
  <c r="D74" i="79" s="1"/>
  <c r="E74" i="79" a="1"/>
  <c r="E74" i="79" s="1"/>
  <c r="F74" i="79" a="1"/>
  <c r="F74" i="79" s="1"/>
  <c r="G74" i="79" a="1"/>
  <c r="G74" i="79" s="1"/>
  <c r="H74" i="79" a="1"/>
  <c r="H74" i="79" s="1"/>
  <c r="I74" i="79" a="1"/>
  <c r="I74" i="79" s="1"/>
  <c r="J74" i="79" a="1"/>
  <c r="J74" i="79" s="1"/>
  <c r="K74" i="79" a="1"/>
  <c r="K74" i="79" s="1"/>
  <c r="L74" i="79" a="1"/>
  <c r="L74" i="79" s="1"/>
  <c r="L73" i="79" a="1"/>
  <c r="L73" i="79" s="1"/>
  <c r="K73" i="79" a="1"/>
  <c r="K73" i="79" s="1"/>
  <c r="J73" i="79" a="1"/>
  <c r="J73" i="79" s="1"/>
  <c r="I73" i="79" a="1"/>
  <c r="I73" i="79" s="1"/>
  <c r="H73" i="79" a="1"/>
  <c r="H73" i="79" s="1"/>
  <c r="G73" i="79" a="1"/>
  <c r="G73" i="79" s="1"/>
  <c r="F73" i="79" a="1"/>
  <c r="F73" i="79" s="1"/>
  <c r="E73" i="79" a="1"/>
  <c r="E73" i="79" s="1"/>
  <c r="D73" i="79" a="1"/>
  <c r="D73" i="79" s="1"/>
  <c r="D67" i="79" a="1"/>
  <c r="D67" i="79" s="1"/>
  <c r="G64" i="79" a="1"/>
  <c r="G64" i="79" s="1"/>
  <c r="H198" i="76" s="1"/>
  <c r="F64" i="79" a="1"/>
  <c r="F64" i="79" s="1"/>
  <c r="E64" i="79" a="1"/>
  <c r="E64" i="79" s="1"/>
  <c r="H280" i="69" s="1"/>
  <c r="D64" i="79" a="1"/>
  <c r="D64" i="79" s="1"/>
  <c r="G63" i="79" a="1"/>
  <c r="G63" i="79" s="1"/>
  <c r="F198" i="76" s="1"/>
  <c r="F63" i="79" a="1"/>
  <c r="F63" i="79" s="1"/>
  <c r="E63" i="79" a="1"/>
  <c r="E63" i="79" s="1"/>
  <c r="F280" i="69" s="1"/>
  <c r="D63" i="79" a="1"/>
  <c r="D63" i="79" s="1"/>
  <c r="D59" i="79" a="1"/>
  <c r="D59" i="79" s="1"/>
  <c r="D60" i="79" a="1"/>
  <c r="D60" i="79" s="1"/>
  <c r="D61" i="79" a="1"/>
  <c r="D61" i="79" s="1"/>
  <c r="D58" i="79" a="1"/>
  <c r="D58" i="79" s="1"/>
  <c r="H55" i="79" a="1"/>
  <c r="H55" i="79" s="1"/>
  <c r="H24" i="76" s="1" a="1"/>
  <c r="H24" i="76" s="1"/>
  <c r="G55" i="79" a="1"/>
  <c r="G55" i="79" s="1"/>
  <c r="G24" i="76" s="1" a="1"/>
  <c r="G24" i="76" s="1"/>
  <c r="F55" i="79" a="1"/>
  <c r="F55" i="79" s="1"/>
  <c r="F24" i="76" s="1" a="1"/>
  <c r="F24" i="76" s="1"/>
  <c r="E55" i="79" a="1"/>
  <c r="E55" i="79" s="1"/>
  <c r="E24" i="76" s="1" a="1"/>
  <c r="E24" i="76" s="1"/>
  <c r="D55" i="79" a="1"/>
  <c r="D55" i="79" s="1"/>
  <c r="D24" i="76" s="1" a="1"/>
  <c r="D24" i="76" s="1"/>
  <c r="D51" i="79" a="1"/>
  <c r="D51" i="79" s="1"/>
  <c r="D52" i="79" a="1"/>
  <c r="D52" i="79" s="1"/>
  <c r="D53" i="79" a="1"/>
  <c r="D53" i="79" s="1"/>
  <c r="D50" i="79" a="1"/>
  <c r="D50" i="79" s="1"/>
  <c r="D43" i="79" a="1"/>
  <c r="D43" i="79" s="1"/>
  <c r="D44" i="79" a="1"/>
  <c r="D44" i="79" s="1"/>
  <c r="D45" i="79" a="1"/>
  <c r="D45" i="79" s="1"/>
  <c r="H47" i="79" a="1"/>
  <c r="H47" i="79" s="1"/>
  <c r="G47" i="79" a="1"/>
  <c r="G47" i="79" s="1"/>
  <c r="F47" i="79" a="1"/>
  <c r="F47" i="79" s="1"/>
  <c r="E47" i="79" a="1"/>
  <c r="E47" i="79" s="1"/>
  <c r="D47" i="79" a="1"/>
  <c r="D47" i="79" s="1"/>
  <c r="D42" i="79" a="1"/>
  <c r="D42" i="79" s="1"/>
  <c r="F39" i="79" a="1"/>
  <c r="F39" i="79" s="1"/>
  <c r="E39" i="79" a="1"/>
  <c r="E39" i="79" s="1"/>
  <c r="D39" i="79" a="1"/>
  <c r="D39" i="79" s="1"/>
  <c r="D35" i="79" a="1"/>
  <c r="D35" i="79" s="1"/>
  <c r="D36" i="79" a="1"/>
  <c r="D36" i="79" s="1"/>
  <c r="D37" i="79" a="1"/>
  <c r="D37" i="79" s="1"/>
  <c r="D34" i="79" a="1"/>
  <c r="D34" i="79" s="1"/>
  <c r="D20" i="79" a="1"/>
  <c r="D20" i="79" s="1"/>
  <c r="D31" i="79" a="1"/>
  <c r="D31" i="79" s="1"/>
  <c r="E31" i="79" a="1"/>
  <c r="E31" i="79" s="1"/>
  <c r="F31" i="79" a="1"/>
  <c r="F31" i="79" s="1"/>
  <c r="G31" i="79" a="1"/>
  <c r="G31" i="79" s="1"/>
  <c r="D30" i="79" a="1"/>
  <c r="D30" i="79" s="1"/>
  <c r="E30" i="79" a="1"/>
  <c r="E30" i="79" s="1"/>
  <c r="F30" i="79" a="1"/>
  <c r="F30" i="79" s="1"/>
  <c r="G30" i="79" a="1"/>
  <c r="G30" i="79" s="1"/>
  <c r="D29" i="79" a="1"/>
  <c r="D29" i="79" s="1"/>
  <c r="E29" i="79" a="1"/>
  <c r="E29" i="79" s="1"/>
  <c r="F29" i="79" a="1"/>
  <c r="F29" i="79" s="1"/>
  <c r="G29" i="79" a="1"/>
  <c r="G29" i="79" s="1"/>
  <c r="D28" i="79" a="1"/>
  <c r="D28" i="79" s="1"/>
  <c r="E28" i="79" a="1"/>
  <c r="E28" i="79" s="1"/>
  <c r="F28" i="79" a="1"/>
  <c r="F28" i="79" s="1"/>
  <c r="G28" i="79" a="1"/>
  <c r="G28" i="79" s="1"/>
  <c r="D27" i="79" a="1"/>
  <c r="D27" i="79" s="1"/>
  <c r="E27" i="79" a="1"/>
  <c r="E27" i="79" s="1"/>
  <c r="F27" i="79" a="1"/>
  <c r="F27" i="79" s="1"/>
  <c r="G27" i="79" a="1"/>
  <c r="G27" i="79" s="1"/>
  <c r="D26" i="79" a="1"/>
  <c r="D26" i="79" s="1"/>
  <c r="E26" i="79" a="1"/>
  <c r="E26" i="79" s="1"/>
  <c r="F26" i="79" a="1"/>
  <c r="F26" i="79" s="1"/>
  <c r="G26" i="79" a="1"/>
  <c r="G26" i="79" s="1"/>
  <c r="D25" i="79" a="1"/>
  <c r="D25" i="79" s="1"/>
  <c r="E25" i="79" a="1"/>
  <c r="E25" i="79" s="1"/>
  <c r="F25" i="79" a="1"/>
  <c r="F25" i="79" s="1"/>
  <c r="G25" i="79" a="1"/>
  <c r="G25" i="79" s="1"/>
  <c r="D24" i="79" a="1"/>
  <c r="D24" i="79" s="1"/>
  <c r="E24" i="79" a="1"/>
  <c r="E24" i="79" s="1"/>
  <c r="F24" i="79" a="1"/>
  <c r="F24" i="79" s="1"/>
  <c r="G24" i="79" a="1"/>
  <c r="G24" i="79" s="1"/>
  <c r="D23" i="79" a="1"/>
  <c r="D23" i="79" s="1"/>
  <c r="E23" i="79" a="1"/>
  <c r="E23" i="79" s="1"/>
  <c r="F23" i="79" a="1"/>
  <c r="F23" i="79" s="1"/>
  <c r="G23" i="79" a="1"/>
  <c r="G23" i="79" s="1"/>
  <c r="G22" i="79" a="1"/>
  <c r="G22" i="79" s="1"/>
  <c r="F22" i="79" a="1"/>
  <c r="F22" i="79" s="1"/>
  <c r="E22" i="79" a="1"/>
  <c r="E22" i="79" s="1"/>
  <c r="D22" i="79" a="1"/>
  <c r="D22" i="79" s="1"/>
  <c r="D19" i="79" a="1"/>
  <c r="D19" i="79" s="1"/>
  <c r="D18" i="79" a="1"/>
  <c r="D18" i="79" s="1"/>
  <c r="D17" i="79" a="1"/>
  <c r="D17" i="79" s="1"/>
  <c r="D16" i="79" a="1"/>
  <c r="D16" i="79" s="1"/>
  <c r="I69" i="70" l="1"/>
  <c r="E65" i="70"/>
  <c r="H69" i="70"/>
  <c r="I64" i="70"/>
  <c r="G69" i="70"/>
  <c r="H64" i="70"/>
  <c r="F69" i="70"/>
  <c r="G64" i="70"/>
  <c r="E69" i="70"/>
  <c r="F64" i="70"/>
  <c r="I68" i="70"/>
  <c r="U25" i="96" s="1"/>
  <c r="E64" i="70"/>
  <c r="H68" i="70"/>
  <c r="T25" i="96" s="1"/>
  <c r="I63" i="70"/>
  <c r="G68" i="70"/>
  <c r="S25" i="96" s="1"/>
  <c r="H63" i="70"/>
  <c r="F68" i="70"/>
  <c r="G63" i="70"/>
  <c r="I70" i="70"/>
  <c r="E68" i="70"/>
  <c r="F63" i="70"/>
  <c r="H70" i="70"/>
  <c r="I65" i="70"/>
  <c r="E63" i="70"/>
  <c r="G70" i="70"/>
  <c r="H65" i="70"/>
  <c r="F70" i="70"/>
  <c r="G65" i="70"/>
  <c r="E70" i="70"/>
  <c r="F65" i="70"/>
  <c r="G18" i="70"/>
  <c r="F18" i="70"/>
  <c r="E18" i="70"/>
  <c r="G14" i="70"/>
  <c r="F14" i="70"/>
  <c r="E14" i="70"/>
  <c r="F35" i="81"/>
  <c r="F34" i="81"/>
  <c r="F32" i="81"/>
  <c r="F31" i="81"/>
  <c r="F33" i="81"/>
  <c r="E22" i="81" a="1"/>
  <c r="E31" i="81" a="1"/>
  <c r="E31" i="81" s="1"/>
  <c r="D31" i="81" a="1"/>
  <c r="D31" i="81" s="1"/>
  <c r="D22" i="81" a="1"/>
  <c r="D22" i="81" s="1"/>
  <c r="E269" i="76" a="1"/>
  <c r="E269" i="76" s="1"/>
  <c r="E31" i="82" a="1"/>
  <c r="E31" i="82" s="1"/>
  <c r="D269" i="76" a="1"/>
  <c r="D269" i="76" s="1"/>
  <c r="D31" i="82" a="1"/>
  <c r="D31" i="82" s="1"/>
  <c r="H55" i="76"/>
  <c r="G55" i="76"/>
  <c r="E55" i="76"/>
  <c r="F55" i="76"/>
  <c r="F109" i="69"/>
  <c r="E109" i="69"/>
  <c r="G109" i="69"/>
  <c r="H109" i="69"/>
  <c r="D109" i="69"/>
  <c r="G19" i="70" a="1"/>
  <c r="G19" i="70" s="1"/>
  <c r="G15" i="70" a="1"/>
  <c r="G15" i="70" s="1"/>
  <c r="H15" i="70" a="1"/>
  <c r="H15" i="70" s="1"/>
  <c r="H19" i="70" a="1"/>
  <c r="H19" i="70" s="1"/>
  <c r="I19" i="70" a="1"/>
  <c r="I19" i="70" s="1"/>
  <c r="I15" i="70" a="1"/>
  <c r="I15" i="70" s="1"/>
  <c r="H18" i="70" a="1"/>
  <c r="H18" i="70" s="1"/>
  <c r="H14" i="70" a="1"/>
  <c r="H14" i="70" s="1"/>
  <c r="I18" i="70" a="1"/>
  <c r="I18" i="70" s="1"/>
  <c r="I14" i="70" a="1"/>
  <c r="I14" i="70" s="1"/>
  <c r="E15" i="70" a="1"/>
  <c r="E15" i="70" s="1"/>
  <c r="E19" i="70" a="1"/>
  <c r="E19" i="70" s="1"/>
  <c r="F19" i="70" a="1"/>
  <c r="F19" i="70" s="1"/>
  <c r="F15" i="70" a="1"/>
  <c r="F15" i="70" s="1"/>
  <c r="R25" i="96"/>
  <c r="E104" i="69" l="1"/>
  <c r="E98" i="76"/>
  <c r="H25" i="96"/>
  <c r="S234" i="76" a="1"/>
  <c r="S234" i="76" s="1"/>
  <c r="S233" i="76" a="1"/>
  <c r="S233" i="76" s="1"/>
  <c r="S232" i="76" a="1"/>
  <c r="S232" i="76" s="1"/>
  <c r="S231" i="76" a="1"/>
  <c r="S231" i="76" s="1"/>
  <c r="P104" i="69"/>
  <c r="O98" i="76"/>
  <c r="E99" i="69"/>
  <c r="E19" i="76"/>
  <c r="E29" i="76" s="1" a="1"/>
  <c r="E29" i="76" s="1"/>
  <c r="P99" i="69"/>
  <c r="O19" i="76"/>
  <c r="O29" i="76" s="1" a="1"/>
  <c r="O29" i="76" s="1"/>
  <c r="F151" i="69" a="1"/>
  <c r="F151" i="69" s="1"/>
  <c r="F173" i="69" s="1" a="1"/>
  <c r="F173" i="69" s="1"/>
  <c r="F25" i="96"/>
  <c r="O104" i="69"/>
  <c r="N98" i="76"/>
  <c r="P19" i="76"/>
  <c r="P29" i="76" s="1" a="1"/>
  <c r="P29" i="76" s="1"/>
  <c r="Q99" i="69"/>
  <c r="H231" i="76" a="1"/>
  <c r="H231" i="76" s="1"/>
  <c r="H233" i="76" a="1"/>
  <c r="H233" i="76" s="1"/>
  <c r="H232" i="76" a="1"/>
  <c r="H232" i="76" s="1"/>
  <c r="H234" i="76" a="1"/>
  <c r="H234" i="76" s="1"/>
  <c r="H236" i="76" a="1"/>
  <c r="H236" i="76" s="1"/>
  <c r="H238" i="76" a="1"/>
  <c r="H238" i="76" s="1"/>
  <c r="H235" i="76" a="1"/>
  <c r="H235" i="76" s="1"/>
  <c r="H237" i="76" a="1"/>
  <c r="H237" i="76" s="1"/>
  <c r="S99" i="69"/>
  <c r="R19" i="76"/>
  <c r="R29" i="76" s="1" a="1"/>
  <c r="R29" i="76" s="1"/>
  <c r="D99" i="69"/>
  <c r="D19" i="76"/>
  <c r="J233" i="76" a="1"/>
  <c r="J233" i="76" s="1"/>
  <c r="J234" i="76" a="1"/>
  <c r="J234" i="76" s="1"/>
  <c r="J232" i="76" a="1"/>
  <c r="J232" i="76" s="1"/>
  <c r="J231" i="76" a="1"/>
  <c r="J231" i="76" s="1"/>
  <c r="F99" i="69"/>
  <c r="F19" i="76"/>
  <c r="F29" i="76" s="1" a="1"/>
  <c r="F29" i="76" s="1"/>
  <c r="O99" i="69"/>
  <c r="N19" i="76"/>
  <c r="N29" i="76" s="1" a="1"/>
  <c r="N29" i="76" s="1"/>
  <c r="S238" i="76" a="1"/>
  <c r="S238" i="76" s="1"/>
  <c r="S237" i="76" a="1"/>
  <c r="S237" i="76" s="1"/>
  <c r="S236" i="76" a="1"/>
  <c r="S236" i="76" s="1"/>
  <c r="S235" i="76" a="1"/>
  <c r="S235" i="76" s="1"/>
  <c r="Q19" i="76"/>
  <c r="R99" i="69"/>
  <c r="T238" i="76" a="1"/>
  <c r="T238" i="76" s="1"/>
  <c r="T237" i="76" a="1"/>
  <c r="T237" i="76" s="1"/>
  <c r="T236" i="76" a="1"/>
  <c r="T236" i="76" s="1"/>
  <c r="T235" i="76" a="1"/>
  <c r="T235" i="76" s="1"/>
  <c r="F157" i="69" a="1"/>
  <c r="F157" i="69" s="1"/>
  <c r="F179" i="69" s="1" a="1"/>
  <c r="F179" i="69" s="1"/>
  <c r="F156" i="69" a="1"/>
  <c r="F156" i="69" s="1"/>
  <c r="F178" i="69" s="1" a="1"/>
  <c r="F178" i="69" s="1"/>
  <c r="F236" i="76" a="1"/>
  <c r="F236" i="76" s="1"/>
  <c r="F155" i="69" a="1"/>
  <c r="F155" i="69" s="1"/>
  <c r="F177" i="69" s="1" a="1"/>
  <c r="F177" i="69" s="1"/>
  <c r="F200" i="69" a="1"/>
  <c r="F200" i="69" s="1"/>
  <c r="F238" i="76" a="1"/>
  <c r="F238" i="76" s="1"/>
  <c r="F235" i="76" a="1"/>
  <c r="F235" i="76" s="1"/>
  <c r="F237" i="76" a="1"/>
  <c r="F237" i="76" s="1"/>
  <c r="D104" i="69"/>
  <c r="D98" i="76"/>
  <c r="G236" i="76" a="1"/>
  <c r="G236" i="76" s="1"/>
  <c r="G238" i="76" a="1"/>
  <c r="G238" i="76" s="1"/>
  <c r="G235" i="76" a="1"/>
  <c r="G235" i="76" s="1"/>
  <c r="G237" i="76" a="1"/>
  <c r="G237" i="76" s="1"/>
  <c r="Q234" i="76" a="1"/>
  <c r="Q234" i="76" s="1"/>
  <c r="Q233" i="76" a="1"/>
  <c r="Q233" i="76" s="1"/>
  <c r="Q232" i="76" a="1"/>
  <c r="Q232" i="76" s="1"/>
  <c r="Q231" i="76" a="1"/>
  <c r="Q231" i="76" s="1"/>
  <c r="G99" i="69"/>
  <c r="G19" i="76"/>
  <c r="G29" i="76" s="1" a="1"/>
  <c r="G29" i="76" s="1"/>
  <c r="G231" i="76" a="1"/>
  <c r="G231" i="76" s="1"/>
  <c r="G233" i="76" a="1"/>
  <c r="G233" i="76" s="1"/>
  <c r="G232" i="76" a="1"/>
  <c r="G232" i="76" s="1"/>
  <c r="G234" i="76" a="1"/>
  <c r="G234" i="76" s="1"/>
  <c r="H104" i="69"/>
  <c r="H98" i="76"/>
  <c r="H99" i="69"/>
  <c r="H19" i="76"/>
  <c r="H29" i="76" s="1" a="1"/>
  <c r="H29" i="76" s="1"/>
  <c r="Q236" i="76" a="1"/>
  <c r="Q236" i="76" s="1"/>
  <c r="Q235" i="76" a="1"/>
  <c r="Q235" i="76" s="1"/>
  <c r="Q238" i="76" a="1"/>
  <c r="Q238" i="76" s="1"/>
  <c r="Q237" i="76" a="1"/>
  <c r="Q237" i="76" s="1"/>
  <c r="I233" i="76" a="1"/>
  <c r="I233" i="76" s="1"/>
  <c r="I232" i="76" a="1"/>
  <c r="I232" i="76" s="1"/>
  <c r="I234" i="76" a="1"/>
  <c r="I234" i="76" s="1"/>
  <c r="I231" i="76" a="1"/>
  <c r="I231" i="76" s="1"/>
  <c r="J25" i="96"/>
  <c r="S104" i="69"/>
  <c r="R98" i="76"/>
  <c r="R232" i="76" a="1"/>
  <c r="R232" i="76" s="1"/>
  <c r="R233" i="76" a="1"/>
  <c r="R233" i="76" s="1"/>
  <c r="R234" i="76" a="1"/>
  <c r="R234" i="76" s="1"/>
  <c r="R231" i="76" a="1"/>
  <c r="R231" i="76" s="1"/>
  <c r="T234" i="76" a="1"/>
  <c r="T234" i="76" s="1"/>
  <c r="T233" i="76" a="1"/>
  <c r="T233" i="76" s="1"/>
  <c r="T232" i="76" a="1"/>
  <c r="T232" i="76" s="1"/>
  <c r="T231" i="76" a="1"/>
  <c r="T231" i="76" s="1"/>
  <c r="R104" i="69"/>
  <c r="R114" i="69" s="1" a="1"/>
  <c r="R114" i="69" s="1"/>
  <c r="Q50" i="76" s="1"/>
  <c r="Q98" i="76"/>
  <c r="G25" i="96"/>
  <c r="F234" i="76" a="1"/>
  <c r="F234" i="76" s="1"/>
  <c r="F231" i="76" a="1"/>
  <c r="F231" i="76" s="1"/>
  <c r="F154" i="69" a="1"/>
  <c r="F154" i="69" s="1"/>
  <c r="F176" i="69" s="1" a="1"/>
  <c r="F176" i="69" s="1"/>
  <c r="F233" i="76" a="1"/>
  <c r="F233" i="76" s="1"/>
  <c r="F153" i="69" a="1"/>
  <c r="F153" i="69" s="1"/>
  <c r="F175" i="69" s="1" a="1"/>
  <c r="F175" i="69" s="1"/>
  <c r="F199" i="69" a="1"/>
  <c r="F152" i="69" a="1"/>
  <c r="F232" i="76" a="1"/>
  <c r="F232" i="76" s="1"/>
  <c r="I236" i="76" a="1"/>
  <c r="I236" i="76" s="1"/>
  <c r="I238" i="76" a="1"/>
  <c r="I238" i="76" s="1"/>
  <c r="I235" i="76" a="1"/>
  <c r="I235" i="76" s="1"/>
  <c r="I237" i="76" a="1"/>
  <c r="I237" i="76" s="1"/>
  <c r="F104" i="69"/>
  <c r="F98" i="76"/>
  <c r="I25" i="96"/>
  <c r="J238" i="76" a="1"/>
  <c r="J238" i="76" s="1"/>
  <c r="J235" i="76" a="1"/>
  <c r="J235" i="76" s="1"/>
  <c r="J237" i="76" a="1"/>
  <c r="J237" i="76" s="1"/>
  <c r="J236" i="76" a="1"/>
  <c r="J236" i="76" s="1"/>
  <c r="Q200" i="69" a="1"/>
  <c r="Q200" i="69" s="1"/>
  <c r="Q155" i="69" a="1"/>
  <c r="Q155" i="69" s="1"/>
  <c r="Q177" i="69" s="1" a="1"/>
  <c r="Q177" i="69" s="1"/>
  <c r="P237" i="76" a="1"/>
  <c r="P237" i="76" s="1"/>
  <c r="Q157" i="69" a="1"/>
  <c r="Q157" i="69" s="1"/>
  <c r="Q179" i="69" s="1" a="1"/>
  <c r="Q179" i="69" s="1"/>
  <c r="P236" i="76" a="1"/>
  <c r="P236" i="76" s="1"/>
  <c r="P238" i="76" a="1"/>
  <c r="P238" i="76" s="1"/>
  <c r="Q156" i="69" a="1"/>
  <c r="Q156" i="69" s="1"/>
  <c r="Q178" i="69" s="1" a="1"/>
  <c r="Q178" i="69" s="1"/>
  <c r="P235" i="76" a="1"/>
  <c r="P235" i="76" s="1"/>
  <c r="G104" i="69"/>
  <c r="G98" i="76"/>
  <c r="Q25" i="96"/>
  <c r="Q151" i="69" a="1"/>
  <c r="Q151" i="69" s="1"/>
  <c r="Q173" i="69" s="1" a="1"/>
  <c r="Q173" i="69" s="1"/>
  <c r="P232" i="76" a="1"/>
  <c r="P232" i="76" s="1"/>
  <c r="P231" i="76" a="1"/>
  <c r="P231" i="76" s="1"/>
  <c r="Q199" i="69" a="1"/>
  <c r="Q199" i="69" s="1"/>
  <c r="Q154" i="69" a="1"/>
  <c r="Q154" i="69" s="1"/>
  <c r="Q176" i="69" s="1" a="1"/>
  <c r="Q176" i="69" s="1"/>
  <c r="Q153" i="69" a="1"/>
  <c r="Q153" i="69" s="1"/>
  <c r="Q175" i="69" s="1" a="1"/>
  <c r="Q175" i="69" s="1"/>
  <c r="P234" i="76" a="1"/>
  <c r="P234" i="76" s="1"/>
  <c r="Q152" i="69" a="1"/>
  <c r="Q152" i="69" s="1"/>
  <c r="Q174" i="69" s="1" a="1"/>
  <c r="Q174" i="69" s="1"/>
  <c r="P233" i="76" a="1"/>
  <c r="P233" i="76" s="1"/>
  <c r="R238" i="76" a="1"/>
  <c r="R238" i="76" s="1"/>
  <c r="R237" i="76" a="1"/>
  <c r="R237" i="76" s="1"/>
  <c r="R236" i="76" a="1"/>
  <c r="R236" i="76" s="1"/>
  <c r="R235" i="76" a="1"/>
  <c r="R235" i="76" s="1"/>
  <c r="Q104" i="69"/>
  <c r="P98" i="76"/>
  <c r="E22" i="81"/>
  <c r="D29" i="76" a="1"/>
  <c r="D29" i="76" s="1"/>
  <c r="Q29" i="76" a="1"/>
  <c r="Q29" i="76" s="1"/>
  <c r="U173" i="69" l="1" a="1"/>
  <c r="U173" i="69" s="1"/>
  <c r="S173" i="69" a="1"/>
  <c r="S173" i="69" s="1"/>
  <c r="T174" i="69" a="1"/>
  <c r="T174" i="69" s="1"/>
  <c r="I173" i="69" a="1"/>
  <c r="I173" i="69" s="1"/>
  <c r="U174" i="69" a="1"/>
  <c r="U174" i="69" s="1"/>
  <c r="S174" i="69" a="1"/>
  <c r="S174" i="69" s="1"/>
  <c r="G173" i="69" a="1"/>
  <c r="G173" i="69" s="1"/>
  <c r="J173" i="69" a="1"/>
  <c r="J173" i="69" s="1"/>
  <c r="H173" i="69" a="1"/>
  <c r="H173" i="69" s="1"/>
  <c r="R174" i="69" a="1"/>
  <c r="R174" i="69" s="1"/>
  <c r="G176" i="69" a="1"/>
  <c r="G176" i="69" s="1"/>
  <c r="I179" i="69" a="1"/>
  <c r="I179" i="69" s="1"/>
  <c r="T178" i="69" a="1"/>
  <c r="T178" i="69" s="1"/>
  <c r="U178" i="69" a="1"/>
  <c r="U178" i="69" s="1"/>
  <c r="S178" i="69" a="1"/>
  <c r="S178" i="69" s="1"/>
  <c r="G175" i="69" a="1"/>
  <c r="G175" i="69" s="1"/>
  <c r="S177" i="69" a="1"/>
  <c r="S177" i="69" s="1"/>
  <c r="S176" i="69" a="1"/>
  <c r="S176" i="69" s="1"/>
  <c r="I177" i="69" a="1"/>
  <c r="I177" i="69" s="1"/>
  <c r="J179" i="69" a="1"/>
  <c r="J179" i="69" s="1"/>
  <c r="G178" i="69" a="1"/>
  <c r="G178" i="69" s="1"/>
  <c r="J177" i="69" a="1"/>
  <c r="J177" i="69" s="1"/>
  <c r="G177" i="69" a="1"/>
  <c r="G177" i="69" s="1"/>
  <c r="T176" i="69" a="1"/>
  <c r="T176" i="69" s="1"/>
  <c r="I175" i="69" a="1"/>
  <c r="I175" i="69" s="1"/>
  <c r="J175" i="69" a="1"/>
  <c r="J175" i="69" s="1"/>
  <c r="I176" i="69" a="1"/>
  <c r="I176" i="69" s="1"/>
  <c r="J176" i="69" a="1"/>
  <c r="J176" i="69" s="1"/>
  <c r="H176" i="69" a="1"/>
  <c r="H176" i="69" s="1"/>
  <c r="R178" i="69" a="1"/>
  <c r="R178" i="69" s="1"/>
  <c r="H177" i="69" a="1"/>
  <c r="H177" i="69" s="1"/>
  <c r="G179" i="69" a="1"/>
  <c r="G179" i="69" s="1"/>
  <c r="R173" i="69" a="1"/>
  <c r="R173" i="69" s="1"/>
  <c r="H178" i="69" a="1"/>
  <c r="H178" i="69" s="1"/>
  <c r="H179" i="69" a="1"/>
  <c r="H179" i="69" s="1"/>
  <c r="I178" i="69" a="1"/>
  <c r="I178" i="69" s="1"/>
  <c r="U176" i="69" a="1"/>
  <c r="U176" i="69" s="1"/>
  <c r="T177" i="69" a="1"/>
  <c r="T177" i="69" s="1"/>
  <c r="H175" i="69" a="1"/>
  <c r="H175" i="69" s="1"/>
  <c r="T173" i="69" a="1"/>
  <c r="T173" i="69" s="1"/>
  <c r="F152" i="69"/>
  <c r="F174" i="69" s="1" a="1"/>
  <c r="F174" i="69" s="1"/>
  <c r="H174" i="69" a="1"/>
  <c r="H174" i="69" s="1"/>
  <c r="J174" i="69" a="1"/>
  <c r="J174" i="69" s="1"/>
  <c r="I174" i="69" a="1"/>
  <c r="I174" i="69" s="1"/>
  <c r="G174" i="69" a="1"/>
  <c r="G174" i="69" s="1"/>
  <c r="T175" i="69" a="1"/>
  <c r="T175" i="69" s="1"/>
  <c r="U179" i="69" a="1"/>
  <c r="U179" i="69" s="1"/>
  <c r="U175" i="69" a="1"/>
  <c r="U175" i="69" s="1"/>
  <c r="S175" i="69" a="1"/>
  <c r="S175" i="69" s="1"/>
  <c r="T179" i="69" a="1"/>
  <c r="T179" i="69" s="1"/>
  <c r="R175" i="69" a="1"/>
  <c r="R175" i="69" s="1"/>
  <c r="F199" i="69"/>
  <c r="I205" i="69" a="1"/>
  <c r="I205" i="69" s="1"/>
  <c r="J205" i="69" a="1"/>
  <c r="J205" i="69" s="1"/>
  <c r="G205" i="69" a="1"/>
  <c r="G205" i="69" s="1"/>
  <c r="H205" i="69" a="1"/>
  <c r="H205" i="69" s="1"/>
  <c r="R179" i="69" a="1"/>
  <c r="R179" i="69" s="1"/>
  <c r="S179" i="69" a="1"/>
  <c r="S179" i="69" s="1"/>
  <c r="R176" i="69" a="1"/>
  <c r="R176" i="69" s="1"/>
  <c r="R177" i="69" a="1"/>
  <c r="R177" i="69" s="1"/>
  <c r="U177" i="69" a="1"/>
  <c r="U177" i="69" s="1"/>
  <c r="J178" i="69" a="1"/>
  <c r="J178" i="69" s="1"/>
  <c r="D114" i="69" a="1"/>
  <c r="D114" i="69" s="1"/>
  <c r="G114" i="69" a="1"/>
  <c r="G114" i="69" s="1"/>
  <c r="G50" i="76" s="1"/>
  <c r="F114" i="69" a="1"/>
  <c r="F114" i="69" s="1"/>
  <c r="E114" i="69" a="1"/>
  <c r="E114" i="69" s="1"/>
  <c r="H114" i="69" a="1"/>
  <c r="H114" i="69" s="1"/>
  <c r="Q114" i="69" a="1"/>
  <c r="Q114" i="69" s="1"/>
  <c r="P50" i="76" s="1"/>
  <c r="P114" i="69" a="1"/>
  <c r="P114" i="69" s="1"/>
  <c r="O50" i="76" s="1"/>
  <c r="S114" i="69" a="1"/>
  <c r="S114" i="69" s="1"/>
  <c r="O114" i="69" a="1"/>
  <c r="O114" i="69" s="1"/>
  <c r="R206" i="69" a="1"/>
  <c r="R206" i="69" s="1"/>
  <c r="G206" i="69" a="1"/>
  <c r="G206" i="69" s="1"/>
  <c r="Q206" i="69" a="1"/>
  <c r="Q206" i="69" s="1"/>
  <c r="J206" i="69" a="1"/>
  <c r="J206" i="69" s="1"/>
  <c r="S205" i="69" a="1"/>
  <c r="S205" i="69" s="1"/>
  <c r="F206" i="69" a="1"/>
  <c r="F206" i="69" s="1"/>
  <c r="U206" i="69" a="1"/>
  <c r="U206" i="69" s="1"/>
  <c r="I206" i="69" a="1"/>
  <c r="I206" i="69" s="1"/>
  <c r="R133" i="69" a="1"/>
  <c r="R133" i="69" s="1"/>
  <c r="T206" i="69" a="1"/>
  <c r="T206" i="69" s="1"/>
  <c r="S206" i="69" a="1"/>
  <c r="S206" i="69" s="1"/>
  <c r="U205" i="69" a="1"/>
  <c r="U205" i="69" s="1"/>
  <c r="Q205" i="69" a="1"/>
  <c r="Q205" i="69" s="1"/>
  <c r="R205" i="69" a="1"/>
  <c r="R205" i="69" s="1"/>
  <c r="H206" i="69" a="1"/>
  <c r="H206" i="69" s="1"/>
  <c r="T205" i="69" a="1"/>
  <c r="T205" i="69" s="1"/>
  <c r="F205" i="69" l="1" a="1"/>
  <c r="F205" i="69" s="1"/>
  <c r="S133" i="69" a="1"/>
  <c r="S133" i="69" s="1"/>
  <c r="R50" i="76"/>
  <c r="R126" i="76" s="1" a="1"/>
  <c r="R126" i="76" s="1"/>
  <c r="H133" i="69" a="1"/>
  <c r="H133" i="69" s="1"/>
  <c r="H50" i="76"/>
  <c r="H65" i="76" s="1" a="1"/>
  <c r="H65" i="76" s="1"/>
  <c r="H103" i="76" s="1" a="1"/>
  <c r="H103" i="76" s="1"/>
  <c r="F133" i="69" a="1"/>
  <c r="F133" i="69" s="1"/>
  <c r="F50" i="76"/>
  <c r="F65" i="76" s="1" a="1"/>
  <c r="F65" i="76" s="1"/>
  <c r="F103" i="76" s="1" a="1"/>
  <c r="F103" i="76" s="1"/>
  <c r="E133" i="69" a="1"/>
  <c r="E133" i="69" s="1"/>
  <c r="E50" i="76"/>
  <c r="E65" i="76" s="1" a="1"/>
  <c r="E65" i="76" s="1"/>
  <c r="E103" i="76" s="1" a="1"/>
  <c r="E103" i="76" s="1"/>
  <c r="O133" i="69" a="1"/>
  <c r="O133" i="69" s="1"/>
  <c r="N50" i="76"/>
  <c r="N65" i="76" s="1" a="1"/>
  <c r="N65" i="76" s="1"/>
  <c r="N103" i="76" s="1" a="1"/>
  <c r="N103" i="76" s="1"/>
  <c r="D133" i="69" a="1"/>
  <c r="D133" i="69" s="1"/>
  <c r="D50" i="76"/>
  <c r="D126" i="76" s="1" a="1"/>
  <c r="D126" i="76" s="1"/>
  <c r="G133" i="69" a="1"/>
  <c r="G133" i="69" s="1"/>
  <c r="Q133" i="69" a="1"/>
  <c r="Q133" i="69" s="1"/>
  <c r="P133" i="69" a="1"/>
  <c r="P133" i="69" s="1"/>
  <c r="P65" i="76" a="1"/>
  <c r="P65" i="76" s="1"/>
  <c r="P103" i="76" s="1" a="1"/>
  <c r="P103" i="76" s="1"/>
  <c r="P126" i="76" a="1"/>
  <c r="P126" i="76" s="1"/>
  <c r="Q65" i="76" a="1"/>
  <c r="Q65" i="76" s="1"/>
  <c r="Q103" i="76" s="1" a="1"/>
  <c r="Q103" i="76" s="1"/>
  <c r="Q126" i="76" a="1"/>
  <c r="Q126" i="76" s="1"/>
  <c r="G126" i="76" a="1"/>
  <c r="G126" i="76" s="1"/>
  <c r="G65" i="76" a="1"/>
  <c r="G65" i="76" s="1"/>
  <c r="G103" i="76" s="1" a="1"/>
  <c r="G103" i="76" s="1"/>
  <c r="O65" i="76" a="1"/>
  <c r="O65" i="76" s="1"/>
  <c r="O103" i="76" s="1" a="1"/>
  <c r="O103" i="76" s="1"/>
  <c r="O126" i="76" a="1"/>
  <c r="O126" i="76" s="1"/>
  <c r="F126" i="76" l="1" a="1"/>
  <c r="F126" i="76" s="1"/>
  <c r="F146" i="76" s="1" a="1"/>
  <c r="F146" i="76" s="1"/>
  <c r="F213" i="76" s="1" a="1"/>
  <c r="F213" i="76" s="1"/>
  <c r="F19" i="96" s="1"/>
  <c r="N126" i="76" a="1"/>
  <c r="N126" i="76" s="1"/>
  <c r="N146" i="76" s="1" a="1"/>
  <c r="N146" i="76" s="1"/>
  <c r="D65" i="76" a="1"/>
  <c r="D65" i="76" s="1"/>
  <c r="E126" i="76" a="1"/>
  <c r="E126" i="76" s="1"/>
  <c r="E146" i="76" s="1" a="1"/>
  <c r="E146" i="76" s="1"/>
  <c r="H126" i="76" a="1"/>
  <c r="H126" i="76" s="1"/>
  <c r="H146" i="76" s="1" a="1"/>
  <c r="H146" i="76" s="1"/>
  <c r="R65" i="76" a="1"/>
  <c r="R65" i="76" s="1"/>
  <c r="Q146" i="76" a="1"/>
  <c r="Q146" i="76" s="1"/>
  <c r="Q176" i="76" s="1" a="1"/>
  <c r="Q176" i="76" s="1"/>
  <c r="G146" i="76" a="1"/>
  <c r="G146" i="76" s="1"/>
  <c r="G213" i="76" s="1" a="1"/>
  <c r="G213" i="76" s="1"/>
  <c r="O146" i="76" a="1"/>
  <c r="O146" i="76" s="1"/>
  <c r="P146" i="76" a="1"/>
  <c r="P146" i="76" s="1"/>
  <c r="R19" i="96" l="1"/>
  <c r="T31" i="96" s="1" a="1"/>
  <c r="T31" i="96" s="1"/>
  <c r="R103" i="76" a="1"/>
  <c r="R103" i="76" s="1"/>
  <c r="R146" i="76" s="1" a="1"/>
  <c r="R146" i="76" s="1"/>
  <c r="D103" i="76" a="1"/>
  <c r="D103" i="76" s="1"/>
  <c r="D146" i="76" s="1" a="1"/>
  <c r="D146" i="76" s="1"/>
  <c r="G176" i="76" a="1"/>
  <c r="G176" i="76" s="1"/>
  <c r="H176" i="76" a="1"/>
  <c r="H176" i="76" s="1"/>
  <c r="H213" i="76" a="1"/>
  <c r="H213" i="76" s="1"/>
  <c r="H19" i="96" s="1"/>
  <c r="F176" i="76" a="1"/>
  <c r="F176" i="76" s="1"/>
  <c r="H31" i="96" a="1"/>
  <c r="H31" i="96" s="1"/>
  <c r="Q213" i="76" a="1"/>
  <c r="Q213" i="76" s="1"/>
  <c r="O176" i="76" a="1"/>
  <c r="O176" i="76" s="1"/>
  <c r="O213" i="76" a="1"/>
  <c r="O213" i="76" s="1"/>
  <c r="E176" i="76" a="1"/>
  <c r="E176" i="76" s="1"/>
  <c r="E19" i="96" s="1"/>
  <c r="E213" i="76" a="1"/>
  <c r="E213" i="76" s="1"/>
  <c r="N176" i="76" a="1"/>
  <c r="N176" i="76" s="1"/>
  <c r="N213" i="76" a="1"/>
  <c r="N213" i="76" s="1"/>
  <c r="P176" i="76" a="1"/>
  <c r="P176" i="76" s="1"/>
  <c r="P213" i="76" a="1"/>
  <c r="P213" i="76" s="1"/>
  <c r="T23" i="98" l="1"/>
  <c r="T19" i="97"/>
  <c r="H23" i="95"/>
  <c r="H29" i="95" s="1" a="1"/>
  <c r="H29" i="95" s="1"/>
  <c r="H55" i="81" s="1"/>
  <c r="H22" i="82"/>
  <c r="H43" i="82" s="1" a="1"/>
  <c r="H43" i="82" s="1"/>
  <c r="H43" i="81"/>
  <c r="T40" i="81"/>
  <c r="T19" i="82"/>
  <c r="T40" i="82" s="1" a="1"/>
  <c r="T40" i="82" s="1"/>
  <c r="H24" i="82"/>
  <c r="H45" i="82" s="1" a="1"/>
  <c r="H45" i="82" s="1"/>
  <c r="H45" i="81"/>
  <c r="H25" i="82"/>
  <c r="H46" i="82" s="1" a="1"/>
  <c r="H46" i="82" s="1"/>
  <c r="H46" i="81"/>
  <c r="T41" i="81"/>
  <c r="T20" i="82"/>
  <c r="T41" i="82" s="1" a="1"/>
  <c r="T41" i="82" s="1"/>
  <c r="H47" i="81"/>
  <c r="H24" i="95"/>
  <c r="H30" i="95" s="1" a="1"/>
  <c r="H30" i="95" s="1"/>
  <c r="H59" i="81" s="1"/>
  <c r="H26" i="82"/>
  <c r="H47" i="82" s="1" a="1"/>
  <c r="H47" i="82" s="1"/>
  <c r="T46" i="81"/>
  <c r="T25" i="82"/>
  <c r="T46" i="82" s="1" a="1"/>
  <c r="T46" i="82" s="1"/>
  <c r="T43" i="81"/>
  <c r="T22" i="82"/>
  <c r="T43" i="82" s="1" a="1"/>
  <c r="T43" i="82" s="1"/>
  <c r="T23" i="95"/>
  <c r="T29" i="95" s="1" a="1"/>
  <c r="T29" i="95" s="1"/>
  <c r="T55" i="81" s="1"/>
  <c r="P19" i="96"/>
  <c r="R31" i="96" s="1" a="1"/>
  <c r="R31" i="96" s="1"/>
  <c r="T44" i="81"/>
  <c r="T23" i="82"/>
  <c r="T44" i="82" s="1" a="1"/>
  <c r="T44" i="82" s="1"/>
  <c r="T42" i="81"/>
  <c r="T21" i="82"/>
  <c r="T42" i="82" s="1" a="1"/>
  <c r="T42" i="82" s="1"/>
  <c r="H19" i="97"/>
  <c r="H24" i="97" s="1" a="1"/>
  <c r="H24" i="97" s="1"/>
  <c r="H23" i="98"/>
  <c r="H28" i="98" s="1" a="1"/>
  <c r="H28" i="98" s="1"/>
  <c r="T45" i="81"/>
  <c r="T24" i="82"/>
  <c r="T45" i="82" s="1" a="1"/>
  <c r="T45" i="82" s="1"/>
  <c r="T47" i="81"/>
  <c r="T26" i="82"/>
  <c r="T47" i="82" s="1" a="1"/>
  <c r="T47" i="82" s="1"/>
  <c r="T24" i="95"/>
  <c r="T30" i="95" s="1" a="1"/>
  <c r="T30" i="95" s="1"/>
  <c r="T59" i="81" s="1"/>
  <c r="G19" i="96"/>
  <c r="I31" i="96" s="1" a="1"/>
  <c r="I31" i="96" s="1"/>
  <c r="I51" i="96" s="1" a="1"/>
  <c r="I51" i="96" s="1"/>
  <c r="Q19" i="96"/>
  <c r="S31" i="96" s="1" a="1"/>
  <c r="S31" i="96" s="1"/>
  <c r="H19" i="82"/>
  <c r="H40" i="82" s="1" a="1"/>
  <c r="H40" i="82" s="1"/>
  <c r="H40" i="81"/>
  <c r="H21" i="82"/>
  <c r="H42" i="82" s="1" a="1"/>
  <c r="H42" i="82" s="1"/>
  <c r="H42" i="81"/>
  <c r="O19" i="96"/>
  <c r="Q31" i="96" s="1" a="1"/>
  <c r="Q31" i="96" s="1"/>
  <c r="H44" i="81"/>
  <c r="H23" i="82"/>
  <c r="H44" i="82" s="1" a="1"/>
  <c r="H44" i="82" s="1"/>
  <c r="H20" i="82"/>
  <c r="H41" i="82" s="1" a="1"/>
  <c r="H41" i="82" s="1"/>
  <c r="H41" i="81"/>
  <c r="R176" i="76" a="1"/>
  <c r="R176" i="76" s="1"/>
  <c r="R213" i="76" a="1"/>
  <c r="R213" i="76" s="1"/>
  <c r="D213" i="76" a="1"/>
  <c r="D213" i="76" s="1"/>
  <c r="D176" i="76" a="1"/>
  <c r="D176" i="76" s="1"/>
  <c r="T51" i="96" a="1"/>
  <c r="T51" i="96" s="1"/>
  <c r="J31" i="96" a="1"/>
  <c r="J31" i="96" s="1"/>
  <c r="H51" i="96" a="1"/>
  <c r="H51" i="96" s="1"/>
  <c r="G31" i="96" a="1"/>
  <c r="G31" i="96" s="1"/>
  <c r="H281" i="76" a="1"/>
  <c r="H281" i="76" s="1"/>
  <c r="H283" i="76" a="1"/>
  <c r="H283" i="76" s="1"/>
  <c r="H284" i="76" a="1"/>
  <c r="H284" i="76" s="1"/>
  <c r="S282" i="76" a="1"/>
  <c r="S282" i="76" s="1"/>
  <c r="S283" i="76" a="1"/>
  <c r="S283" i="76" s="1"/>
  <c r="S284" i="76" a="1"/>
  <c r="S284" i="76" s="1"/>
  <c r="H285" i="76" a="1"/>
  <c r="H285" i="76" s="1"/>
  <c r="S285" i="76" a="1"/>
  <c r="S285" i="76" s="1"/>
  <c r="H280" i="76" a="1"/>
  <c r="H280" i="76" s="1"/>
  <c r="S280" i="76" a="1"/>
  <c r="S280" i="76" s="1"/>
  <c r="S278" i="76" a="1"/>
  <c r="S278" i="76" s="1"/>
  <c r="S279" i="76" a="1"/>
  <c r="S279" i="76" s="1"/>
  <c r="S281" i="76" a="1"/>
  <c r="S281" i="76" s="1"/>
  <c r="H282" i="76" a="1"/>
  <c r="H282" i="76" s="1"/>
  <c r="H278" i="76" a="1"/>
  <c r="H278" i="76" s="1"/>
  <c r="H279" i="76" a="1"/>
  <c r="H279" i="76" s="1"/>
  <c r="R23" i="98" l="1"/>
  <c r="R28" i="98" s="1" a="1"/>
  <c r="R28" i="98" s="1"/>
  <c r="R19" i="97"/>
  <c r="R24" i="97" s="1" a="1"/>
  <c r="R24" i="97" s="1"/>
  <c r="S23" i="98"/>
  <c r="S28" i="98" s="1" a="1"/>
  <c r="S28" i="98" s="1"/>
  <c r="S19" i="97"/>
  <c r="S24" i="97" s="1" a="1"/>
  <c r="S24" i="97" s="1"/>
  <c r="S51" i="96" a="1"/>
  <c r="S51" i="96" s="1"/>
  <c r="G45" i="81"/>
  <c r="G24" i="82"/>
  <c r="G45" i="82" s="1" a="1"/>
  <c r="G45" i="82" s="1"/>
  <c r="J20" i="82"/>
  <c r="J41" i="82" s="1" a="1"/>
  <c r="J41" i="82" s="1"/>
  <c r="J41" i="81"/>
  <c r="I24" i="82"/>
  <c r="I45" i="82" s="1" a="1"/>
  <c r="I45" i="82" s="1"/>
  <c r="I45" i="81"/>
  <c r="S24" i="95"/>
  <c r="S30" i="95" s="1" a="1"/>
  <c r="S30" i="95" s="1"/>
  <c r="S59" i="81" s="1"/>
  <c r="S47" i="81"/>
  <c r="S26" i="82"/>
  <c r="S47" i="82" s="1" a="1"/>
  <c r="S47" i="82" s="1"/>
  <c r="Q41" i="81"/>
  <c r="Q20" i="82"/>
  <c r="Q41" i="82" s="1" a="1"/>
  <c r="Q41" i="82" s="1"/>
  <c r="J280" i="76" a="1"/>
  <c r="J280" i="76" s="1"/>
  <c r="J21" i="82"/>
  <c r="J42" i="82" s="1" a="1"/>
  <c r="J42" i="82" s="1"/>
  <c r="J42" i="81"/>
  <c r="I25" i="82"/>
  <c r="I46" i="82" s="1" a="1"/>
  <c r="I46" i="82" s="1"/>
  <c r="I46" i="81"/>
  <c r="J23" i="82"/>
  <c r="J44" i="82" s="1" a="1"/>
  <c r="J44" i="82" s="1"/>
  <c r="J44" i="81"/>
  <c r="I23" i="95"/>
  <c r="I29" i="95" s="1" a="1"/>
  <c r="I29" i="95" s="1"/>
  <c r="I55" i="81" s="1"/>
  <c r="I22" i="82"/>
  <c r="I43" i="82" s="1" a="1"/>
  <c r="I43" i="82" s="1"/>
  <c r="I43" i="81"/>
  <c r="G44" i="81"/>
  <c r="G23" i="82"/>
  <c r="G44" i="82" s="1" a="1"/>
  <c r="G44" i="82" s="1"/>
  <c r="Q46" i="81"/>
  <c r="Q25" i="82"/>
  <c r="Q46" i="82" s="1" a="1"/>
  <c r="Q46" i="82" s="1"/>
  <c r="R41" i="81"/>
  <c r="R20" i="82"/>
  <c r="R41" i="82" s="1" a="1"/>
  <c r="R41" i="82" s="1"/>
  <c r="G47" i="81"/>
  <c r="G24" i="95"/>
  <c r="G30" i="95" s="1" a="1"/>
  <c r="G30" i="95" s="1"/>
  <c r="G59" i="81" s="1"/>
  <c r="G26" i="82"/>
  <c r="G47" i="82" s="1" a="1"/>
  <c r="G47" i="82" s="1"/>
  <c r="Q43" i="81"/>
  <c r="Q23" i="95"/>
  <c r="Q29" i="95" s="1" a="1"/>
  <c r="Q29" i="95" s="1"/>
  <c r="Q55" i="81" s="1"/>
  <c r="Q22" i="82"/>
  <c r="Q43" i="82" s="1" a="1"/>
  <c r="Q43" i="82" s="1"/>
  <c r="J24" i="95"/>
  <c r="J30" i="95" s="1" a="1"/>
  <c r="J30" i="95" s="1"/>
  <c r="J59" i="81" s="1"/>
  <c r="J26" i="82"/>
  <c r="J47" i="82" s="1" a="1"/>
  <c r="J47" i="82" s="1"/>
  <c r="J47" i="81"/>
  <c r="I24" i="95"/>
  <c r="I30" i="95" s="1" a="1"/>
  <c r="I30" i="95" s="1"/>
  <c r="I26" i="82"/>
  <c r="I47" i="82" s="1" a="1"/>
  <c r="I47" i="82" s="1"/>
  <c r="I47" i="81"/>
  <c r="R43" i="81"/>
  <c r="R22" i="82"/>
  <c r="R43" i="82" s="1" a="1"/>
  <c r="R43" i="82" s="1"/>
  <c r="R23" i="95"/>
  <c r="R29" i="95" s="1" a="1"/>
  <c r="R29" i="95" s="1"/>
  <c r="R55" i="81" s="1"/>
  <c r="G19" i="97"/>
  <c r="G24" i="97" s="1" a="1"/>
  <c r="G24" i="97" s="1"/>
  <c r="G23" i="98"/>
  <c r="G28" i="98" s="1" a="1"/>
  <c r="G28" i="98" s="1"/>
  <c r="J51" i="96" a="1"/>
  <c r="J51" i="96" s="1"/>
  <c r="J19" i="97"/>
  <c r="J24" i="97" s="1" a="1"/>
  <c r="J24" i="97" s="1"/>
  <c r="J23" i="98"/>
  <c r="J28" i="98" s="1" a="1"/>
  <c r="J28" i="98" s="1"/>
  <c r="D19" i="96"/>
  <c r="F31" i="96" s="1" a="1"/>
  <c r="F31" i="96" s="1"/>
  <c r="G20" i="82"/>
  <c r="G41" i="82" s="1" a="1"/>
  <c r="G41" i="82" s="1"/>
  <c r="G41" i="81"/>
  <c r="J25" i="82"/>
  <c r="J46" i="82" s="1" a="1"/>
  <c r="J46" i="82" s="1"/>
  <c r="J46" i="81"/>
  <c r="R23" i="82"/>
  <c r="R44" i="82" s="1" a="1"/>
  <c r="R44" i="82" s="1"/>
  <c r="R44" i="81"/>
  <c r="G21" i="82"/>
  <c r="G42" i="82" s="1" a="1"/>
  <c r="G42" i="82" s="1"/>
  <c r="G42" i="81"/>
  <c r="Q24" i="95"/>
  <c r="Q30" i="95" s="1" a="1"/>
  <c r="Q30" i="95" s="1"/>
  <c r="Q59" i="81" s="1"/>
  <c r="Q26" i="82"/>
  <c r="Q47" i="82" s="1" a="1"/>
  <c r="Q47" i="82" s="1"/>
  <c r="Q47" i="81"/>
  <c r="J19" i="82"/>
  <c r="J40" i="82" s="1" a="1"/>
  <c r="J40" i="82" s="1"/>
  <c r="J40" i="81"/>
  <c r="S19" i="96"/>
  <c r="U31" i="96" s="1" a="1"/>
  <c r="U31" i="96" s="1"/>
  <c r="I19" i="97"/>
  <c r="I24" i="97" s="1" a="1"/>
  <c r="I24" i="97" s="1"/>
  <c r="I23" i="98"/>
  <c r="I28" i="98" s="1" a="1"/>
  <c r="I28" i="98" s="1"/>
  <c r="J23" i="95"/>
  <c r="J29" i="95" s="1" a="1"/>
  <c r="J29" i="95" s="1"/>
  <c r="J22" i="82"/>
  <c r="J43" i="82" s="1" a="1"/>
  <c r="J43" i="82" s="1"/>
  <c r="J43" i="81"/>
  <c r="S46" i="81"/>
  <c r="S25" i="82"/>
  <c r="S46" i="82" s="1" a="1"/>
  <c r="S46" i="82" s="1"/>
  <c r="R45" i="81"/>
  <c r="R24" i="82"/>
  <c r="R45" i="82" s="1" a="1"/>
  <c r="R45" i="82" s="1"/>
  <c r="Q44" i="81"/>
  <c r="Q23" i="82"/>
  <c r="Q44" i="82" s="1" a="1"/>
  <c r="Q44" i="82" s="1"/>
  <c r="J24" i="82"/>
  <c r="J45" i="82" s="1" a="1"/>
  <c r="J45" i="82" s="1"/>
  <c r="J45" i="81"/>
  <c r="I23" i="82"/>
  <c r="I44" i="82" s="1" a="1"/>
  <c r="I44" i="82" s="1"/>
  <c r="I44" i="81"/>
  <c r="Q24" i="82"/>
  <c r="Q45" i="82" s="1" a="1"/>
  <c r="Q45" i="82" s="1"/>
  <c r="Q45" i="81"/>
  <c r="R42" i="81"/>
  <c r="R21" i="82"/>
  <c r="R42" i="82" s="1" a="1"/>
  <c r="R42" i="82" s="1"/>
  <c r="S41" i="81"/>
  <c r="S20" i="82"/>
  <c r="S41" i="82" s="1" a="1"/>
  <c r="S41" i="82" s="1"/>
  <c r="R26" i="82"/>
  <c r="R47" i="82" s="1" a="1"/>
  <c r="R47" i="82" s="1"/>
  <c r="R24" i="95"/>
  <c r="R30" i="95" s="1" a="1"/>
  <c r="R30" i="95" s="1"/>
  <c r="R59" i="81" s="1"/>
  <c r="R47" i="81"/>
  <c r="G23" i="95"/>
  <c r="G29" i="95" s="1" a="1"/>
  <c r="G29" i="95" s="1"/>
  <c r="G55" i="81" s="1"/>
  <c r="G22" i="82"/>
  <c r="G43" i="82" s="1" a="1"/>
  <c r="G43" i="82" s="1"/>
  <c r="G43" i="81"/>
  <c r="Q42" i="81"/>
  <c r="Q21" i="82"/>
  <c r="Q42" i="82" s="1" a="1"/>
  <c r="Q42" i="82" s="1"/>
  <c r="S44" i="81"/>
  <c r="S23" i="82"/>
  <c r="S44" i="82" s="1" a="1"/>
  <c r="S44" i="82" s="1"/>
  <c r="S23" i="95"/>
  <c r="S29" i="95" s="1" a="1"/>
  <c r="S29" i="95" s="1"/>
  <c r="S55" i="81" s="1"/>
  <c r="S43" i="81"/>
  <c r="S22" i="82"/>
  <c r="S43" i="82" s="1" a="1"/>
  <c r="S43" i="82" s="1"/>
  <c r="I21" i="82"/>
  <c r="I42" i="82" s="1" a="1"/>
  <c r="I42" i="82" s="1"/>
  <c r="I42" i="81"/>
  <c r="S42" i="81"/>
  <c r="S21" i="82"/>
  <c r="S42" i="82" s="1" a="1"/>
  <c r="S42" i="82" s="1"/>
  <c r="Q40" i="81"/>
  <c r="Q19" i="82"/>
  <c r="Q40" i="82" s="1" a="1"/>
  <c r="Q40" i="82" s="1"/>
  <c r="R40" i="81"/>
  <c r="R19" i="82"/>
  <c r="R40" i="82" s="1" a="1"/>
  <c r="R40" i="82" s="1"/>
  <c r="S40" i="81"/>
  <c r="S19" i="82"/>
  <c r="S40" i="82" s="1" a="1"/>
  <c r="S40" i="82" s="1"/>
  <c r="I20" i="82"/>
  <c r="I41" i="82" s="1" a="1"/>
  <c r="I41" i="82" s="1"/>
  <c r="I41" i="81"/>
  <c r="G19" i="82"/>
  <c r="G40" i="82" s="1" a="1"/>
  <c r="G40" i="82" s="1"/>
  <c r="G40" i="81"/>
  <c r="R46" i="81"/>
  <c r="R25" i="82"/>
  <c r="R46" i="82" s="1" a="1"/>
  <c r="R46" i="82" s="1"/>
  <c r="S24" i="82"/>
  <c r="S45" i="82" s="1" a="1"/>
  <c r="S45" i="82" s="1"/>
  <c r="S45" i="81"/>
  <c r="G46" i="81"/>
  <c r="G25" i="82"/>
  <c r="G46" i="82" s="1" a="1"/>
  <c r="G46" i="82" s="1"/>
  <c r="I19" i="82"/>
  <c r="I40" i="82" s="1" a="1"/>
  <c r="I40" i="82" s="1"/>
  <c r="I40" i="81"/>
  <c r="Q23" i="98"/>
  <c r="Q28" i="98" s="1" a="1"/>
  <c r="Q28" i="98" s="1"/>
  <c r="Q19" i="97"/>
  <c r="Q24" i="97" s="1" a="1"/>
  <c r="Q24" i="97" s="1"/>
  <c r="Q51" i="96" a="1"/>
  <c r="Q51" i="96" s="1"/>
  <c r="I281" i="76" a="1"/>
  <c r="I281" i="76" s="1"/>
  <c r="I278" i="76" a="1"/>
  <c r="I278" i="76" s="1"/>
  <c r="I282" i="76" a="1"/>
  <c r="I282" i="76" s="1"/>
  <c r="I283" i="76" a="1"/>
  <c r="I283" i="76" s="1"/>
  <c r="I280" i="76" a="1"/>
  <c r="I280" i="76" s="1"/>
  <c r="I285" i="76" a="1"/>
  <c r="I285" i="76" s="1"/>
  <c r="I279" i="76" a="1"/>
  <c r="I279" i="76" s="1"/>
  <c r="I284" i="76" a="1"/>
  <c r="I284" i="76" s="1"/>
  <c r="J281" i="76" a="1"/>
  <c r="J281" i="76" s="1"/>
  <c r="J283" i="76" a="1"/>
  <c r="J283" i="76" s="1"/>
  <c r="T24" i="97" a="1"/>
  <c r="T24" i="97" s="1"/>
  <c r="T28" i="98" a="1"/>
  <c r="T28" i="98" s="1"/>
  <c r="H50" i="95" a="1"/>
  <c r="H50" i="95" s="1"/>
  <c r="T49" i="95" a="1"/>
  <c r="T49" i="95" s="1"/>
  <c r="J284" i="76" a="1"/>
  <c r="J284" i="76" s="1"/>
  <c r="H49" i="95" a="1"/>
  <c r="H49" i="95" s="1"/>
  <c r="J278" i="76" a="1"/>
  <c r="J278" i="76" s="1"/>
  <c r="T50" i="95" a="1"/>
  <c r="T50" i="95" s="1"/>
  <c r="J285" i="76" a="1"/>
  <c r="J285" i="76" s="1"/>
  <c r="J282" i="76" a="1"/>
  <c r="J282" i="76" s="1"/>
  <c r="J279" i="76" a="1"/>
  <c r="J279" i="76" s="1"/>
  <c r="G51" i="96" a="1"/>
  <c r="G51" i="96" s="1"/>
  <c r="R51" i="96" a="1"/>
  <c r="R51" i="96" s="1"/>
  <c r="G284" i="76" a="1"/>
  <c r="G284" i="76" s="1"/>
  <c r="R280" i="76" a="1"/>
  <c r="R280" i="76" s="1"/>
  <c r="P279" i="76" a="1"/>
  <c r="P279" i="76" s="1"/>
  <c r="P284" i="76" a="1"/>
  <c r="P284" i="76" s="1"/>
  <c r="P281" i="76" a="1"/>
  <c r="P281" i="76" s="1"/>
  <c r="R285" i="76" a="1"/>
  <c r="R285" i="76" s="1"/>
  <c r="P278" i="76" a="1"/>
  <c r="P278" i="76" s="1"/>
  <c r="Q284" i="76" a="1"/>
  <c r="Q284" i="76" s="1"/>
  <c r="G281" i="76" a="1"/>
  <c r="G281" i="76" s="1"/>
  <c r="P283" i="76" a="1"/>
  <c r="P283" i="76" s="1"/>
  <c r="P285" i="76" a="1"/>
  <c r="P285" i="76" s="1"/>
  <c r="P280" i="76" a="1"/>
  <c r="P280" i="76" s="1"/>
  <c r="Q279" i="76" a="1"/>
  <c r="Q279" i="76" s="1"/>
  <c r="Q281" i="76" a="1"/>
  <c r="Q281" i="76" s="1"/>
  <c r="G283" i="76" a="1"/>
  <c r="G283" i="76" s="1"/>
  <c r="G282" i="76" a="1"/>
  <c r="G282" i="76" s="1"/>
  <c r="R284" i="76" a="1"/>
  <c r="R284" i="76" s="1"/>
  <c r="Q278" i="76" a="1"/>
  <c r="Q278" i="76" s="1"/>
  <c r="G285" i="76" a="1"/>
  <c r="G285" i="76" s="1"/>
  <c r="R282" i="76" a="1"/>
  <c r="R282" i="76" s="1"/>
  <c r="Q283" i="76" a="1"/>
  <c r="Q283" i="76" s="1"/>
  <c r="G278" i="76" a="1"/>
  <c r="G278" i="76" s="1"/>
  <c r="P282" i="76" a="1"/>
  <c r="P282" i="76" s="1"/>
  <c r="Q282" i="76" a="1"/>
  <c r="Q282" i="76" s="1"/>
  <c r="R279" i="76" a="1"/>
  <c r="R279" i="76" s="1"/>
  <c r="R281" i="76" a="1"/>
  <c r="R281" i="76" s="1"/>
  <c r="G280" i="76" a="1"/>
  <c r="G280" i="76" s="1"/>
  <c r="R278" i="76" a="1"/>
  <c r="R278" i="76" s="1"/>
  <c r="Q280" i="76" a="1"/>
  <c r="Q280" i="76" s="1"/>
  <c r="G279" i="76" a="1"/>
  <c r="G279" i="76" s="1"/>
  <c r="Q285" i="76" a="1"/>
  <c r="Q285" i="76" s="1"/>
  <c r="R283" i="76" a="1"/>
  <c r="R283" i="76" s="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1" i="79" s="1"/>
  <c r="E15" i="43" a="1"/>
  <c r="E15" i="43" s="1"/>
  <c r="D11" i="79" s="1"/>
  <c r="D15" i="43" a="1"/>
  <c r="D15" i="43" s="1"/>
  <c r="F14" i="43" a="1"/>
  <c r="F14" i="43" s="1"/>
  <c r="E10" i="79" s="1"/>
  <c r="E14" i="43" a="1"/>
  <c r="E14" i="43" s="1"/>
  <c r="D10" i="79" s="1"/>
  <c r="D14" i="43" a="1"/>
  <c r="D14" i="43" s="1"/>
  <c r="F13" i="43" a="1"/>
  <c r="F13" i="43" s="1"/>
  <c r="E9" i="79" s="1"/>
  <c r="E13" i="43" a="1"/>
  <c r="E13" i="43" s="1"/>
  <c r="D9" i="79" s="1"/>
  <c r="D13" i="43" a="1"/>
  <c r="D13" i="43" s="1"/>
  <c r="F12" i="43" a="1"/>
  <c r="F12" i="43" s="1"/>
  <c r="E12" i="43" a="1"/>
  <c r="E12" i="43" s="1"/>
  <c r="D12" i="43" a="1"/>
  <c r="D12" i="43" s="1"/>
  <c r="F11" i="43" a="1"/>
  <c r="F11" i="43" s="1"/>
  <c r="E11" i="43" a="1"/>
  <c r="E11" i="43" s="1"/>
  <c r="D11" i="43" a="1"/>
  <c r="D11" i="43" s="1"/>
  <c r="F10" i="43" a="1"/>
  <c r="F10" i="43" s="1"/>
  <c r="E8" i="79" s="1"/>
  <c r="E10" i="43" a="1"/>
  <c r="E10" i="43" s="1"/>
  <c r="D8" i="79" s="1"/>
  <c r="D10" i="43" a="1"/>
  <c r="D10" i="43" s="1"/>
  <c r="D8" i="43" a="1"/>
  <c r="D8" i="43" s="1"/>
  <c r="D7" i="43" a="1"/>
  <c r="D7" i="43" s="1"/>
  <c r="D6" i="43" a="1"/>
  <c r="D6" i="43" s="1"/>
  <c r="U23" i="98" l="1"/>
  <c r="U28" i="98" s="1" a="1"/>
  <c r="U28" i="98" s="1"/>
  <c r="P30" i="98" s="1"/>
  <c r="U43" i="98" s="1"/>
  <c r="P47" i="98" s="1" a="1"/>
  <c r="P47" i="98" s="1"/>
  <c r="U19" i="97"/>
  <c r="U24" i="97" s="1" a="1"/>
  <c r="U24" i="97" s="1"/>
  <c r="P26" i="97" s="1"/>
  <c r="S38" i="97" s="1"/>
  <c r="P45" i="97" s="1" a="1"/>
  <c r="P45" i="97" s="1"/>
  <c r="I50" i="95" a="1"/>
  <c r="I50" i="95" s="1"/>
  <c r="I59" i="81"/>
  <c r="F44" i="81"/>
  <c r="F23" i="82"/>
  <c r="F44" i="82" s="1" a="1"/>
  <c r="F44" i="82" s="1"/>
  <c r="F19" i="97"/>
  <c r="F24" i="97" s="1" a="1"/>
  <c r="F24" i="97" s="1"/>
  <c r="E26" i="97" s="1"/>
  <c r="I38" i="97" s="1"/>
  <c r="E45" i="97" s="1" a="1"/>
  <c r="E45" i="97" s="1"/>
  <c r="F23" i="98"/>
  <c r="F28" i="98" s="1" a="1"/>
  <c r="F28" i="98" s="1"/>
  <c r="E30" i="98" s="1"/>
  <c r="J43" i="98" s="1"/>
  <c r="E47" i="98" s="1" a="1"/>
  <c r="E47" i="98" s="1"/>
  <c r="G49" i="98" s="1"/>
  <c r="U41" i="81"/>
  <c r="U20" i="82"/>
  <c r="U41" i="82" s="1" a="1"/>
  <c r="U41" i="82" s="1"/>
  <c r="J49" i="95" a="1"/>
  <c r="J49" i="95" s="1"/>
  <c r="J55" i="81"/>
  <c r="F45" i="81"/>
  <c r="F24" i="82"/>
  <c r="F45" i="82" s="1" a="1"/>
  <c r="F45" i="82" s="1"/>
  <c r="F284" i="76" a="1"/>
  <c r="F284" i="76" s="1"/>
  <c r="F46" i="81"/>
  <c r="F25" i="82"/>
  <c r="F46" i="82" s="1" a="1"/>
  <c r="F46" i="82" s="1"/>
  <c r="U43" i="81"/>
  <c r="U22" i="82"/>
  <c r="U43" i="82" s="1" a="1"/>
  <c r="U43" i="82" s="1"/>
  <c r="U23" i="95"/>
  <c r="U29" i="95" s="1" a="1"/>
  <c r="U29" i="95" s="1"/>
  <c r="U55" i="81" s="1"/>
  <c r="U19" i="82"/>
  <c r="U40" i="82" s="1" a="1"/>
  <c r="U40" i="82" s="1"/>
  <c r="U40" i="81"/>
  <c r="F47" i="81"/>
  <c r="F26" i="82"/>
  <c r="F47" i="82" s="1" a="1"/>
  <c r="F47" i="82" s="1"/>
  <c r="F24" i="95"/>
  <c r="F30" i="95" s="1" a="1"/>
  <c r="F30" i="95" s="1"/>
  <c r="F59" i="81" s="1"/>
  <c r="U44" i="81"/>
  <c r="U23" i="82"/>
  <c r="U44" i="82" s="1" a="1"/>
  <c r="U44" i="82" s="1"/>
  <c r="F43" i="81"/>
  <c r="F23" i="95"/>
  <c r="F29" i="95" s="1" a="1"/>
  <c r="F29" i="95" s="1"/>
  <c r="F55" i="81" s="1"/>
  <c r="F22" i="82"/>
  <c r="F43" i="82" s="1" a="1"/>
  <c r="F43" i="82" s="1"/>
  <c r="T279" i="76" a="1"/>
  <c r="T279" i="76" s="1"/>
  <c r="U42" i="81"/>
  <c r="U21" i="82"/>
  <c r="U42" i="82" s="1" a="1"/>
  <c r="U42" i="82" s="1"/>
  <c r="F278" i="76" a="1"/>
  <c r="F278" i="76" s="1"/>
  <c r="F19" i="82"/>
  <c r="F40" i="82" s="1" a="1"/>
  <c r="F40" i="82" s="1"/>
  <c r="F40" i="81"/>
  <c r="U46" i="81"/>
  <c r="U25" i="82"/>
  <c r="U46" i="82" s="1" a="1"/>
  <c r="U46" i="82" s="1"/>
  <c r="U47" i="81"/>
  <c r="U24" i="95"/>
  <c r="U30" i="95" s="1" a="1"/>
  <c r="U30" i="95" s="1"/>
  <c r="U26" i="82"/>
  <c r="U47" i="82" s="1" a="1"/>
  <c r="U47" i="82" s="1"/>
  <c r="F20" i="82"/>
  <c r="F41" i="82" s="1" a="1"/>
  <c r="F41" i="82" s="1"/>
  <c r="F41" i="81"/>
  <c r="T283" i="76" a="1"/>
  <c r="T283" i="76" s="1"/>
  <c r="U45" i="81"/>
  <c r="U24" i="82"/>
  <c r="U45" i="82" s="1" a="1"/>
  <c r="U45" i="82" s="1"/>
  <c r="F21" i="82"/>
  <c r="F42" i="82" s="1" a="1"/>
  <c r="F42" i="82" s="1"/>
  <c r="F42" i="81"/>
  <c r="O230" i="69"/>
  <c r="D230" i="69"/>
  <c r="E230" i="69" s="1" a="1"/>
  <c r="E230" i="69" s="1"/>
  <c r="D228" i="69"/>
  <c r="E228" i="69" s="1" a="1"/>
  <c r="E228" i="69" s="1"/>
  <c r="P151" i="69"/>
  <c r="P162" i="69"/>
  <c r="E290" i="69"/>
  <c r="E173" i="69"/>
  <c r="P237" i="69"/>
  <c r="E162" i="69"/>
  <c r="E237" i="69"/>
  <c r="P290" i="69"/>
  <c r="P173" i="69"/>
  <c r="E151" i="69"/>
  <c r="O228" i="69"/>
  <c r="P228" i="69" s="1" a="1"/>
  <c r="P228" i="69" s="1"/>
  <c r="D79" i="70"/>
  <c r="O229" i="69"/>
  <c r="D229" i="69"/>
  <c r="E229" i="69" s="1" a="1"/>
  <c r="E229" i="69" s="1"/>
  <c r="D94" i="70"/>
  <c r="D118" i="70"/>
  <c r="O232" i="69"/>
  <c r="D232" i="69"/>
  <c r="E232" i="69" s="1" a="1"/>
  <c r="E232" i="69" s="1"/>
  <c r="O231" i="69"/>
  <c r="D231" i="69"/>
  <c r="E231" i="69" s="1" a="1"/>
  <c r="E231" i="69" s="1"/>
  <c r="T284" i="76" a="1"/>
  <c r="T284" i="76" s="1"/>
  <c r="U51" i="96" a="1"/>
  <c r="U51" i="96" s="1"/>
  <c r="P53" i="96" s="1"/>
  <c r="R55" i="96" s="1"/>
  <c r="T280" i="76" a="1"/>
  <c r="T280" i="76" s="1"/>
  <c r="T282" i="76" a="1"/>
  <c r="T282" i="76" s="1"/>
  <c r="T285" i="76" a="1"/>
  <c r="T285" i="76" s="1"/>
  <c r="T281" i="76" a="1"/>
  <c r="T281" i="76" s="1"/>
  <c r="F283" i="76" a="1"/>
  <c r="F283" i="76" s="1"/>
  <c r="F282" i="76" a="1"/>
  <c r="F282" i="76" s="1"/>
  <c r="T278" i="76" a="1"/>
  <c r="T278" i="76" s="1"/>
  <c r="F51" i="96" a="1"/>
  <c r="F51" i="96" s="1"/>
  <c r="E53" i="96" s="1"/>
  <c r="G55" i="96" s="1"/>
  <c r="F279" i="76" a="1"/>
  <c r="F279" i="76" s="1"/>
  <c r="F280" i="76" a="1"/>
  <c r="F280" i="76" s="1"/>
  <c r="F281" i="76" a="1"/>
  <c r="F281" i="76" s="1"/>
  <c r="F285" i="76" a="1"/>
  <c r="F285" i="76" s="1"/>
  <c r="I49" i="95" a="1"/>
  <c r="I49" i="95" s="1"/>
  <c r="J50" i="95" a="1"/>
  <c r="J50" i="95" s="1"/>
  <c r="G49" i="95" a="1"/>
  <c r="G49" i="95" s="1"/>
  <c r="G50" i="95" a="1"/>
  <c r="G50" i="95" s="1"/>
  <c r="R50" i="95" a="1"/>
  <c r="R50" i="95" s="1"/>
  <c r="S49" i="95" a="1"/>
  <c r="S49" i="95" s="1"/>
  <c r="S50" i="95" a="1"/>
  <c r="S50" i="95" s="1"/>
  <c r="Q50" i="95" a="1"/>
  <c r="Q50" i="95" s="1"/>
  <c r="R49" i="95" a="1"/>
  <c r="R49" i="95" s="1"/>
  <c r="Q49" i="95" a="1"/>
  <c r="Q49" i="95" s="1"/>
  <c r="E28" i="98"/>
  <c r="P28" i="98"/>
  <c r="E23" i="98"/>
  <c r="P23" i="98"/>
  <c r="P19" i="97"/>
  <c r="E19" i="97"/>
  <c r="P24" i="97"/>
  <c r="E24" i="97"/>
  <c r="P51" i="96"/>
  <c r="P25" i="96"/>
  <c r="E25" i="96"/>
  <c r="P31" i="96"/>
  <c r="E51" i="96"/>
  <c r="E31" i="96"/>
  <c r="D84" i="70"/>
  <c r="D108" i="70"/>
  <c r="D89" i="70"/>
  <c r="D113" i="70"/>
  <c r="D103" i="70"/>
  <c r="E12" i="13" l="1"/>
  <c r="G47" i="97"/>
  <c r="F12" i="13"/>
  <c r="R47" i="97"/>
  <c r="F13" i="13"/>
  <c r="R49" i="98"/>
  <c r="P200" i="69"/>
  <c r="E71" i="81"/>
  <c r="E200" i="69"/>
  <c r="O238" i="76"/>
  <c r="P199" i="69"/>
  <c r="E199" i="69"/>
  <c r="E67" i="81"/>
  <c r="E127" i="81"/>
  <c r="E106" i="81"/>
  <c r="E76" i="81"/>
  <c r="P52" i="81"/>
  <c r="P40" i="81"/>
  <c r="P174" i="69"/>
  <c r="E64" i="81"/>
  <c r="E52" i="81"/>
  <c r="E40" i="81"/>
  <c r="E174" i="69"/>
  <c r="P40" i="82"/>
  <c r="P19" i="82"/>
  <c r="O278" i="76"/>
  <c r="O243" i="76"/>
  <c r="P238" i="69"/>
  <c r="P139" i="81"/>
  <c r="O231" i="76"/>
  <c r="P291" i="69"/>
  <c r="E40" i="82"/>
  <c r="E19" i="82"/>
  <c r="E278" i="76"/>
  <c r="E243" i="76"/>
  <c r="E238" i="69"/>
  <c r="H238" i="69" s="1" a="1"/>
  <c r="H238" i="69" s="1"/>
  <c r="P163" i="69"/>
  <c r="E139" i="81"/>
  <c r="E231" i="76"/>
  <c r="E291" i="69"/>
  <c r="P152" i="69"/>
  <c r="E152" i="69"/>
  <c r="P106" i="81"/>
  <c r="E163" i="69"/>
  <c r="P76" i="81"/>
  <c r="E110" i="81"/>
  <c r="E80" i="81"/>
  <c r="P56" i="81"/>
  <c r="P44" i="81"/>
  <c r="E56" i="81"/>
  <c r="E44" i="81"/>
  <c r="P177" i="69"/>
  <c r="E131" i="81"/>
  <c r="P44" i="82"/>
  <c r="P23" i="82"/>
  <c r="O282" i="76"/>
  <c r="O247" i="76"/>
  <c r="P242" i="69"/>
  <c r="P143" i="81"/>
  <c r="O235" i="76"/>
  <c r="P295" i="69"/>
  <c r="E177" i="69"/>
  <c r="E166" i="69"/>
  <c r="E44" i="82"/>
  <c r="E23" i="82"/>
  <c r="E282" i="76"/>
  <c r="E247" i="76"/>
  <c r="E242" i="69"/>
  <c r="F242" i="69" s="1" a="1"/>
  <c r="F242" i="69" s="1"/>
  <c r="P166" i="69"/>
  <c r="E143" i="81"/>
  <c r="E235" i="76"/>
  <c r="E295" i="69"/>
  <c r="E68" i="81"/>
  <c r="P155" i="69"/>
  <c r="P80" i="81"/>
  <c r="P110" i="81"/>
  <c r="E155" i="69"/>
  <c r="P157" i="69"/>
  <c r="E58" i="81"/>
  <c r="P25" i="82"/>
  <c r="O249" i="76"/>
  <c r="P112" i="81"/>
  <c r="P82" i="81"/>
  <c r="E70" i="81"/>
  <c r="E157" i="69"/>
  <c r="P179" i="69"/>
  <c r="E46" i="81"/>
  <c r="O284" i="76"/>
  <c r="P244" i="69"/>
  <c r="E112" i="81"/>
  <c r="E82" i="81"/>
  <c r="P58" i="81"/>
  <c r="P46" i="81"/>
  <c r="P46" i="82"/>
  <c r="P168" i="69"/>
  <c r="P145" i="81"/>
  <c r="O237" i="76"/>
  <c r="P297" i="69"/>
  <c r="E179" i="69"/>
  <c r="E168" i="69"/>
  <c r="E237" i="76"/>
  <c r="E133" i="81"/>
  <c r="E46" i="82"/>
  <c r="E25" i="82"/>
  <c r="E284" i="76"/>
  <c r="E249" i="76"/>
  <c r="E244" i="69"/>
  <c r="G244" i="69" s="1" a="1"/>
  <c r="G244" i="69" s="1"/>
  <c r="E297" i="69"/>
  <c r="E145" i="81"/>
  <c r="E165" i="69"/>
  <c r="P154" i="69"/>
  <c r="P21" i="82"/>
  <c r="E154" i="69"/>
  <c r="P108" i="81"/>
  <c r="P78" i="81"/>
  <c r="E129" i="81"/>
  <c r="E54" i="81"/>
  <c r="E176" i="69"/>
  <c r="P42" i="82"/>
  <c r="O280" i="76"/>
  <c r="O245" i="76"/>
  <c r="P240" i="69"/>
  <c r="E108" i="81"/>
  <c r="E78" i="81"/>
  <c r="P54" i="81"/>
  <c r="P42" i="81"/>
  <c r="P176" i="69"/>
  <c r="E42" i="81"/>
  <c r="P141" i="81"/>
  <c r="O233" i="76"/>
  <c r="P293" i="69"/>
  <c r="E293" i="69"/>
  <c r="E42" i="82"/>
  <c r="E21" i="82"/>
  <c r="E280" i="76"/>
  <c r="E245" i="76"/>
  <c r="E240" i="69"/>
  <c r="J240" i="69" s="1" a="1"/>
  <c r="J240" i="69" s="1"/>
  <c r="P165" i="69"/>
  <c r="E141" i="81"/>
  <c r="E66" i="81"/>
  <c r="E233" i="76"/>
  <c r="P41" i="82"/>
  <c r="P20" i="82"/>
  <c r="O279" i="76"/>
  <c r="O244" i="76"/>
  <c r="P239" i="69"/>
  <c r="P140" i="81"/>
  <c r="E65" i="81"/>
  <c r="O232" i="76"/>
  <c r="P292" i="69"/>
  <c r="E41" i="82"/>
  <c r="E20" i="82"/>
  <c r="E279" i="76"/>
  <c r="E244" i="76"/>
  <c r="E239" i="69"/>
  <c r="F239" i="69" s="1" a="1"/>
  <c r="F239" i="69" s="1"/>
  <c r="E140" i="81"/>
  <c r="E232" i="76"/>
  <c r="E292" i="69"/>
  <c r="P107" i="81"/>
  <c r="P164" i="69"/>
  <c r="P77" i="81"/>
  <c r="P153" i="69"/>
  <c r="E164" i="69"/>
  <c r="E153" i="69"/>
  <c r="E107" i="81"/>
  <c r="E77" i="81"/>
  <c r="P53" i="81"/>
  <c r="P41" i="81"/>
  <c r="P175" i="69"/>
  <c r="E41" i="81"/>
  <c r="E128" i="81"/>
  <c r="E53" i="81"/>
  <c r="E175" i="69"/>
  <c r="P45" i="82"/>
  <c r="P24" i="82"/>
  <c r="O283" i="76"/>
  <c r="O248" i="76"/>
  <c r="P243" i="69"/>
  <c r="P167" i="69"/>
  <c r="P144" i="81"/>
  <c r="E132" i="81"/>
  <c r="O236" i="76"/>
  <c r="P296" i="69"/>
  <c r="E178" i="69"/>
  <c r="E45" i="82"/>
  <c r="E24" i="82"/>
  <c r="E283" i="76"/>
  <c r="E248" i="76"/>
  <c r="E243" i="69"/>
  <c r="H243" i="69" s="1" a="1"/>
  <c r="H243" i="69" s="1"/>
  <c r="E144" i="81"/>
  <c r="E236" i="76"/>
  <c r="E296" i="69"/>
  <c r="E167" i="69"/>
  <c r="E156" i="69"/>
  <c r="E69" i="81"/>
  <c r="P156" i="69"/>
  <c r="P111" i="81"/>
  <c r="P81" i="81"/>
  <c r="E111" i="81"/>
  <c r="E81" i="81"/>
  <c r="P57" i="81"/>
  <c r="P45" i="81"/>
  <c r="E57" i="81"/>
  <c r="P178" i="69"/>
  <c r="E45" i="81"/>
  <c r="U50" i="95" a="1"/>
  <c r="U50" i="95" s="1"/>
  <c r="U59" i="81"/>
  <c r="P58" i="96" a="1"/>
  <c r="P58" i="96" s="1"/>
  <c r="I11" i="13" s="1"/>
  <c r="F11" i="13"/>
  <c r="E58" i="96" a="1"/>
  <c r="E58" i="96" s="1"/>
  <c r="H11" i="13" s="1"/>
  <c r="E11" i="13"/>
  <c r="E52" i="98" a="1"/>
  <c r="E52" i="98" s="1"/>
  <c r="H13" i="13" s="1"/>
  <c r="E13" i="13"/>
  <c r="J237" i="69" a="1"/>
  <c r="J237" i="69" s="1"/>
  <c r="J290" i="69" s="1" a="1"/>
  <c r="J290" i="69" s="1"/>
  <c r="H237" i="69" a="1"/>
  <c r="H237" i="69" s="1"/>
  <c r="H290" i="69" s="1" a="1"/>
  <c r="H290" i="69" s="1"/>
  <c r="G237" i="69" a="1"/>
  <c r="G237" i="69" s="1"/>
  <c r="G290" i="69" s="1" a="1"/>
  <c r="G290" i="69" s="1"/>
  <c r="F237" i="69" a="1"/>
  <c r="F237" i="69" s="1"/>
  <c r="F290" i="69" s="1" a="1"/>
  <c r="F290" i="69" s="1"/>
  <c r="I237" i="69" a="1"/>
  <c r="I237" i="69" s="1"/>
  <c r="I290" i="69" s="1" a="1"/>
  <c r="I290" i="69" s="1"/>
  <c r="U237" i="69" a="1"/>
  <c r="U237" i="69" s="1"/>
  <c r="U290" i="69" s="1" a="1"/>
  <c r="U290" i="69" s="1"/>
  <c r="T237" i="69" a="1"/>
  <c r="T237" i="69" s="1"/>
  <c r="T290" i="69" s="1" a="1"/>
  <c r="T290" i="69" s="1"/>
  <c r="Q237" i="69" a="1"/>
  <c r="Q237" i="69" s="1"/>
  <c r="Q290" i="69" s="1" a="1"/>
  <c r="Q290" i="69" s="1"/>
  <c r="S237" i="69" a="1"/>
  <c r="S237" i="69" s="1"/>
  <c r="S290" i="69" s="1" a="1"/>
  <c r="S290" i="69" s="1"/>
  <c r="R237" i="69" a="1"/>
  <c r="R237" i="69" s="1"/>
  <c r="R290" i="69" s="1" a="1"/>
  <c r="R290" i="69" s="1"/>
  <c r="D81" i="70"/>
  <c r="D80" i="70"/>
  <c r="D82" i="70"/>
  <c r="D104" i="70"/>
  <c r="D105" i="70"/>
  <c r="D106" i="70"/>
  <c r="D116" i="70"/>
  <c r="D115" i="70"/>
  <c r="D114" i="70"/>
  <c r="D111" i="70"/>
  <c r="D110" i="70"/>
  <c r="D109" i="70"/>
  <c r="D92" i="70"/>
  <c r="D91" i="70"/>
  <c r="D90" i="70"/>
  <c r="D87" i="70"/>
  <c r="D86" i="70"/>
  <c r="D85" i="70"/>
  <c r="O287" i="76"/>
  <c r="Q289" i="76" s="1"/>
  <c r="P49" i="82"/>
  <c r="R61" i="82" s="1"/>
  <c r="P68" i="82" s="1" a="1"/>
  <c r="P68" i="82" s="1"/>
  <c r="U49" i="95" a="1"/>
  <c r="U49" i="95" s="1"/>
  <c r="E287" i="76"/>
  <c r="E49" i="82"/>
  <c r="I61" i="82" s="1"/>
  <c r="E68" i="82" s="1" a="1"/>
  <c r="E68" i="82" s="1"/>
  <c r="F49" i="95" a="1"/>
  <c r="F49" i="95" s="1"/>
  <c r="F50" i="95" a="1"/>
  <c r="F50" i="95" s="1"/>
  <c r="P50" i="97" a="1"/>
  <c r="P50" i="97" s="1"/>
  <c r="I12" i="13" s="1"/>
  <c r="P52" i="98" a="1"/>
  <c r="P52" i="98" s="1"/>
  <c r="I13" i="13" s="1"/>
  <c r="E50" i="97" a="1"/>
  <c r="E50" i="97" s="1"/>
  <c r="H12" i="13" s="1"/>
  <c r="J245" i="69" a="1"/>
  <c r="J245" i="69" s="1"/>
  <c r="H241" i="69" a="1"/>
  <c r="H241" i="69" s="1"/>
  <c r="E9" i="13" l="1"/>
  <c r="G70" i="82"/>
  <c r="E73" i="82" s="1" a="1"/>
  <c r="E73" i="82" s="1"/>
  <c r="H9" i="13" s="1"/>
  <c r="E8" i="13"/>
  <c r="G289" i="76"/>
  <c r="F9" i="13"/>
  <c r="R70" i="82"/>
  <c r="P73" i="82" s="1" a="1"/>
  <c r="P73" i="82" s="1"/>
  <c r="I9" i="13" s="1"/>
  <c r="P52" i="95"/>
  <c r="R54" i="95" s="1"/>
  <c r="F8" i="13"/>
  <c r="E52" i="95"/>
  <c r="F78" i="81" a="1"/>
  <c r="F78" i="81" s="1"/>
  <c r="J78" i="81" a="1"/>
  <c r="J78" i="81" s="1"/>
  <c r="G78" i="81" a="1"/>
  <c r="G78" i="81" s="1"/>
  <c r="I78" i="81" a="1"/>
  <c r="I78" i="81" s="1"/>
  <c r="H78" i="81" a="1"/>
  <c r="H78" i="81" s="1"/>
  <c r="U81" i="81" a="1"/>
  <c r="U81" i="81" s="1"/>
  <c r="Q81" i="81" a="1"/>
  <c r="Q81" i="81" s="1"/>
  <c r="T81" i="81" a="1"/>
  <c r="T81" i="81" s="1"/>
  <c r="S81" i="81" a="1"/>
  <c r="S81" i="81" s="1"/>
  <c r="R81" i="81" a="1"/>
  <c r="R81" i="81" s="1"/>
  <c r="U113" i="81" a="1"/>
  <c r="U113" i="81" s="1"/>
  <c r="T113" i="81" a="1"/>
  <c r="T113" i="81" s="1"/>
  <c r="S113" i="81" a="1"/>
  <c r="S113" i="81" s="1"/>
  <c r="R113" i="81" a="1"/>
  <c r="R113" i="81" s="1"/>
  <c r="Q113" i="81" a="1"/>
  <c r="Q113" i="81" s="1"/>
  <c r="U79" i="81" a="1"/>
  <c r="U79" i="81" s="1"/>
  <c r="R79" i="81" a="1"/>
  <c r="R79" i="81" s="1"/>
  <c r="T79" i="81" a="1"/>
  <c r="T79" i="81" s="1"/>
  <c r="S79" i="81" a="1"/>
  <c r="S79" i="81" s="1"/>
  <c r="Q79" i="81" a="1"/>
  <c r="Q79" i="81" s="1"/>
  <c r="T83" i="81" a="1"/>
  <c r="T83" i="81" s="1"/>
  <c r="U83" i="81" a="1"/>
  <c r="U83" i="81" s="1"/>
  <c r="S83" i="81" a="1"/>
  <c r="S83" i="81" s="1"/>
  <c r="R83" i="81" a="1"/>
  <c r="R83" i="81" s="1"/>
  <c r="Q83" i="81" a="1"/>
  <c r="Q83" i="81" s="1"/>
  <c r="S78" i="81" a="1"/>
  <c r="S78" i="81" s="1"/>
  <c r="T78" i="81" a="1"/>
  <c r="T78" i="81" s="1"/>
  <c r="U78" i="81" a="1"/>
  <c r="U78" i="81" s="1"/>
  <c r="R78" i="81" a="1"/>
  <c r="R78" i="81" s="1"/>
  <c r="Q78" i="81" a="1"/>
  <c r="Q78" i="81" s="1"/>
  <c r="F106" i="81" a="1"/>
  <c r="F106" i="81" s="1"/>
  <c r="J106" i="81" a="1"/>
  <c r="J106" i="81" s="1"/>
  <c r="I106" i="81" a="1"/>
  <c r="I106" i="81" s="1"/>
  <c r="G106" i="81" a="1"/>
  <c r="G106" i="81" s="1"/>
  <c r="H106" i="81" a="1"/>
  <c r="H106" i="81" s="1"/>
  <c r="G142" i="81" a="1"/>
  <c r="G142" i="81" s="1"/>
  <c r="I142" i="81" a="1"/>
  <c r="I142" i="81" s="1"/>
  <c r="J142" i="81" a="1"/>
  <c r="J142" i="81" s="1"/>
  <c r="F142" i="81" a="1"/>
  <c r="F142" i="81" s="1"/>
  <c r="H142" i="81" a="1"/>
  <c r="H142" i="81" s="1"/>
  <c r="J144" i="81" a="1"/>
  <c r="J144" i="81" s="1"/>
  <c r="I144" i="81" a="1"/>
  <c r="I144" i="81" s="1"/>
  <c r="F144" i="81" a="1"/>
  <c r="F144" i="81" s="1"/>
  <c r="H144" i="81" a="1"/>
  <c r="H144" i="81" s="1"/>
  <c r="G144" i="81" a="1"/>
  <c r="G144" i="81" s="1"/>
  <c r="T145" i="81" a="1"/>
  <c r="T145" i="81" s="1"/>
  <c r="S145" i="81" a="1"/>
  <c r="S145" i="81" s="1"/>
  <c r="U145" i="81" a="1"/>
  <c r="U145" i="81" s="1"/>
  <c r="R145" i="81" a="1"/>
  <c r="R145" i="81" s="1"/>
  <c r="Q145" i="81" a="1"/>
  <c r="Q145" i="81" s="1"/>
  <c r="R143" i="81" a="1"/>
  <c r="R143" i="81" s="1"/>
  <c r="S143" i="81" a="1"/>
  <c r="S143" i="81" s="1"/>
  <c r="Q143" i="81" a="1"/>
  <c r="Q143" i="81" s="1"/>
  <c r="U143" i="81" a="1"/>
  <c r="U143" i="81" s="1"/>
  <c r="T143" i="81" a="1"/>
  <c r="T143" i="81" s="1"/>
  <c r="U108" i="81" a="1"/>
  <c r="U108" i="81" s="1"/>
  <c r="Q108" i="81" a="1"/>
  <c r="Q108" i="81" s="1"/>
  <c r="T108" i="81" a="1"/>
  <c r="T108" i="81" s="1"/>
  <c r="S108" i="81" a="1"/>
  <c r="S108" i="81" s="1"/>
  <c r="R108" i="81" a="1"/>
  <c r="R108" i="81" s="1"/>
  <c r="F76" i="81" a="1"/>
  <c r="F76" i="81" s="1"/>
  <c r="J76" i="81" a="1"/>
  <c r="J76" i="81" s="1"/>
  <c r="I76" i="81" a="1"/>
  <c r="I76" i="81" s="1"/>
  <c r="H76" i="81" a="1"/>
  <c r="H76" i="81" s="1"/>
  <c r="G76" i="81" a="1"/>
  <c r="G76" i="81" s="1"/>
  <c r="H80" i="81" a="1"/>
  <c r="H80" i="81" s="1"/>
  <c r="F80" i="81" a="1"/>
  <c r="F80" i="81" s="1"/>
  <c r="I80" i="81" a="1"/>
  <c r="I80" i="81" s="1"/>
  <c r="G80" i="81" a="1"/>
  <c r="G80" i="81" s="1"/>
  <c r="J80" i="81" a="1"/>
  <c r="J80" i="81" s="1"/>
  <c r="F143" i="81" a="1"/>
  <c r="F143" i="81" s="1"/>
  <c r="H143" i="81" a="1"/>
  <c r="H143" i="81" s="1"/>
  <c r="I143" i="81" a="1"/>
  <c r="I143" i="81" s="1"/>
  <c r="J143" i="81" a="1"/>
  <c r="J143" i="81" s="1"/>
  <c r="G143" i="81" a="1"/>
  <c r="G143" i="81" s="1"/>
  <c r="H108" i="81" a="1"/>
  <c r="H108" i="81" s="1"/>
  <c r="I108" i="81" a="1"/>
  <c r="I108" i="81" s="1"/>
  <c r="G108" i="81" a="1"/>
  <c r="G108" i="81" s="1"/>
  <c r="J108" i="81" a="1"/>
  <c r="J108" i="81" s="1"/>
  <c r="F108" i="81" a="1"/>
  <c r="F108" i="81" s="1"/>
  <c r="Q106" i="81" a="1"/>
  <c r="Q106" i="81" s="1"/>
  <c r="R106" i="81" a="1"/>
  <c r="R106" i="81" s="1"/>
  <c r="S106" i="81" a="1"/>
  <c r="S106" i="81" s="1"/>
  <c r="U106" i="81" a="1"/>
  <c r="U106" i="81" s="1"/>
  <c r="T106" i="81" a="1"/>
  <c r="T106" i="81" s="1"/>
  <c r="J110" i="81" a="1"/>
  <c r="J110" i="81" s="1"/>
  <c r="I110" i="81" a="1"/>
  <c r="I110" i="81" s="1"/>
  <c r="H110" i="81" a="1"/>
  <c r="H110" i="81" s="1"/>
  <c r="G110" i="81" a="1"/>
  <c r="G110" i="81" s="1"/>
  <c r="F110" i="81" a="1"/>
  <c r="F110" i="81" s="1"/>
  <c r="U142" i="81" a="1"/>
  <c r="U142" i="81" s="1"/>
  <c r="T142" i="81" a="1"/>
  <c r="T142" i="81" s="1"/>
  <c r="S142" i="81" a="1"/>
  <c r="S142" i="81" s="1"/>
  <c r="R142" i="81" a="1"/>
  <c r="R142" i="81" s="1"/>
  <c r="Q142" i="81" a="1"/>
  <c r="Q142" i="81" s="1"/>
  <c r="Q144" i="81" a="1"/>
  <c r="Q144" i="81" s="1"/>
  <c r="U144" i="81" a="1"/>
  <c r="U144" i="81" s="1"/>
  <c r="T144" i="81" a="1"/>
  <c r="T144" i="81" s="1"/>
  <c r="R144" i="81" a="1"/>
  <c r="R144" i="81" s="1"/>
  <c r="S144" i="81" a="1"/>
  <c r="S144" i="81" s="1"/>
  <c r="G145" i="81" a="1"/>
  <c r="G145" i="81" s="1"/>
  <c r="F145" i="81" a="1"/>
  <c r="F145" i="81" s="1"/>
  <c r="J145" i="81" a="1"/>
  <c r="J145" i="81" s="1"/>
  <c r="H145" i="81" a="1"/>
  <c r="H145" i="81" s="1"/>
  <c r="I145" i="81" a="1"/>
  <c r="I145" i="81" s="1"/>
  <c r="T112" i="81" a="1"/>
  <c r="T112" i="81" s="1"/>
  <c r="Q112" i="81" a="1"/>
  <c r="Q112" i="81" s="1"/>
  <c r="U112" i="81" a="1"/>
  <c r="U112" i="81" s="1"/>
  <c r="S112" i="81" a="1"/>
  <c r="S112" i="81" s="1"/>
  <c r="R112" i="81" a="1"/>
  <c r="R112" i="81" s="1"/>
  <c r="U76" i="81" a="1"/>
  <c r="U76" i="81" s="1"/>
  <c r="T76" i="81" a="1"/>
  <c r="T76" i="81" s="1"/>
  <c r="S76" i="81" a="1"/>
  <c r="S76" i="81" s="1"/>
  <c r="R76" i="81" a="1"/>
  <c r="R76" i="81" s="1"/>
  <c r="Q76" i="81" a="1"/>
  <c r="Q76" i="81" s="1"/>
  <c r="Q80" i="81" a="1"/>
  <c r="Q80" i="81" s="1"/>
  <c r="R80" i="81" a="1"/>
  <c r="R80" i="81" s="1"/>
  <c r="S80" i="81" a="1"/>
  <c r="S80" i="81" s="1"/>
  <c r="U80" i="81" a="1"/>
  <c r="U80" i="81" s="1"/>
  <c r="T80" i="81" a="1"/>
  <c r="T80" i="81" s="1"/>
  <c r="H82" i="81" a="1"/>
  <c r="H82" i="81" s="1"/>
  <c r="G82" i="81" a="1"/>
  <c r="G82" i="81" s="1"/>
  <c r="F82" i="81" a="1"/>
  <c r="F82" i="81" s="1"/>
  <c r="J82" i="81" a="1"/>
  <c r="J82" i="81" s="1"/>
  <c r="I82" i="81" a="1"/>
  <c r="I82" i="81" s="1"/>
  <c r="Q110" i="81" a="1"/>
  <c r="Q110" i="81" s="1"/>
  <c r="U110" i="81" a="1"/>
  <c r="U110" i="81" s="1"/>
  <c r="T110" i="81" a="1"/>
  <c r="T110" i="81" s="1"/>
  <c r="R110" i="81" a="1"/>
  <c r="R110" i="81" s="1"/>
  <c r="S110" i="81" a="1"/>
  <c r="S110" i="81" s="1"/>
  <c r="J112" i="81" a="1"/>
  <c r="J112" i="81" s="1"/>
  <c r="G112" i="81" a="1"/>
  <c r="G112" i="81" s="1"/>
  <c r="I112" i="81" a="1"/>
  <c r="I112" i="81" s="1"/>
  <c r="F112" i="81" a="1"/>
  <c r="F112" i="81" s="1"/>
  <c r="H112" i="81" a="1"/>
  <c r="H112" i="81" s="1"/>
  <c r="F146" i="81" a="1"/>
  <c r="F146" i="81" s="1"/>
  <c r="J146" i="81" a="1"/>
  <c r="J146" i="81" s="1"/>
  <c r="I146" i="81" a="1"/>
  <c r="I146" i="81" s="1"/>
  <c r="H146" i="81" a="1"/>
  <c r="H146" i="81" s="1"/>
  <c r="G146" i="81" a="1"/>
  <c r="G146" i="81" s="1"/>
  <c r="F140" i="81" a="1"/>
  <c r="F140" i="81" s="1"/>
  <c r="I140" i="81" a="1"/>
  <c r="I140" i="81" s="1"/>
  <c r="H140" i="81" a="1"/>
  <c r="H140" i="81" s="1"/>
  <c r="J140" i="81" a="1"/>
  <c r="J140" i="81" s="1"/>
  <c r="G140" i="81" a="1"/>
  <c r="G140" i="81" s="1"/>
  <c r="I77" i="81" a="1"/>
  <c r="I77" i="81" s="1"/>
  <c r="G77" i="81" a="1"/>
  <c r="G77" i="81" s="1"/>
  <c r="F77" i="81" a="1"/>
  <c r="F77" i="81" s="1"/>
  <c r="J77" i="81" a="1"/>
  <c r="J77" i="81" s="1"/>
  <c r="H77" i="81" a="1"/>
  <c r="H77" i="81" s="1"/>
  <c r="Q140" i="81" a="1"/>
  <c r="Q140" i="81" s="1"/>
  <c r="T140" i="81" a="1"/>
  <c r="T140" i="81" s="1"/>
  <c r="S140" i="81" a="1"/>
  <c r="S140" i="81" s="1"/>
  <c r="R140" i="81" a="1"/>
  <c r="R140" i="81" s="1"/>
  <c r="U140" i="81" a="1"/>
  <c r="U140" i="81" s="1"/>
  <c r="J141" i="81" a="1"/>
  <c r="J141" i="81" s="1"/>
  <c r="I141" i="81" a="1"/>
  <c r="I141" i="81" s="1"/>
  <c r="H141" i="81" a="1"/>
  <c r="H141" i="81" s="1"/>
  <c r="G141" i="81" a="1"/>
  <c r="G141" i="81" s="1"/>
  <c r="F141" i="81" a="1"/>
  <c r="F141" i="81" s="1"/>
  <c r="G139" i="81" a="1"/>
  <c r="G139" i="81" s="1"/>
  <c r="I139" i="81" a="1"/>
  <c r="I139" i="81" s="1"/>
  <c r="H139" i="81" a="1"/>
  <c r="H139" i="81" s="1"/>
  <c r="F139" i="81" a="1"/>
  <c r="F139" i="81" s="1"/>
  <c r="J139" i="81" a="1"/>
  <c r="J139" i="81" s="1"/>
  <c r="U107" i="81" a="1"/>
  <c r="U107" i="81" s="1"/>
  <c r="R107" i="81" a="1"/>
  <c r="R107" i="81" s="1"/>
  <c r="T107" i="81" a="1"/>
  <c r="T107" i="81" s="1"/>
  <c r="S107" i="81" a="1"/>
  <c r="S107" i="81" s="1"/>
  <c r="Q107" i="81" a="1"/>
  <c r="Q107" i="81" s="1"/>
  <c r="H111" i="81" a="1"/>
  <c r="H111" i="81" s="1"/>
  <c r="G111" i="81" a="1"/>
  <c r="G111" i="81" s="1"/>
  <c r="I111" i="81" a="1"/>
  <c r="I111" i="81" s="1"/>
  <c r="F111" i="81" a="1"/>
  <c r="F111" i="81" s="1"/>
  <c r="J111" i="81" a="1"/>
  <c r="J111" i="81" s="1"/>
  <c r="F109" i="81" a="1"/>
  <c r="F109" i="81" s="1"/>
  <c r="H109" i="81" a="1"/>
  <c r="H109" i="81" s="1"/>
  <c r="J109" i="81" a="1"/>
  <c r="J109" i="81" s="1"/>
  <c r="I109" i="81" a="1"/>
  <c r="I109" i="81" s="1"/>
  <c r="G109" i="81" a="1"/>
  <c r="G109" i="81" s="1"/>
  <c r="R139" i="81" a="1"/>
  <c r="R139" i="81" s="1"/>
  <c r="U139" i="81" a="1"/>
  <c r="U139" i="81" s="1"/>
  <c r="T139" i="81" a="1"/>
  <c r="T139" i="81" s="1"/>
  <c r="S139" i="81" a="1"/>
  <c r="S139" i="81" s="1"/>
  <c r="Q139" i="81" a="1"/>
  <c r="Q139" i="81" s="1"/>
  <c r="G81" i="81" a="1"/>
  <c r="G81" i="81" s="1"/>
  <c r="J81" i="81" a="1"/>
  <c r="J81" i="81" s="1"/>
  <c r="F81" i="81" a="1"/>
  <c r="F81" i="81" s="1"/>
  <c r="I81" i="81" a="1"/>
  <c r="I81" i="81" s="1"/>
  <c r="H81" i="81" a="1"/>
  <c r="H81" i="81" s="1"/>
  <c r="G113" i="81" a="1"/>
  <c r="G113" i="81" s="1"/>
  <c r="J113" i="81" a="1"/>
  <c r="J113" i="81" s="1"/>
  <c r="I113" i="81" a="1"/>
  <c r="I113" i="81" s="1"/>
  <c r="H113" i="81" a="1"/>
  <c r="H113" i="81" s="1"/>
  <c r="F113" i="81" a="1"/>
  <c r="F113" i="81" s="1"/>
  <c r="S82" i="81" a="1"/>
  <c r="S82" i="81" s="1"/>
  <c r="R82" i="81" a="1"/>
  <c r="R82" i="81" s="1"/>
  <c r="U82" i="81" a="1"/>
  <c r="U82" i="81" s="1"/>
  <c r="Q82" i="81" a="1"/>
  <c r="Q82" i="81" s="1"/>
  <c r="T82" i="81" a="1"/>
  <c r="T82" i="81" s="1"/>
  <c r="T146" i="81" a="1"/>
  <c r="T146" i="81" s="1"/>
  <c r="Q146" i="81" a="1"/>
  <c r="Q146" i="81" s="1"/>
  <c r="U146" i="81" a="1"/>
  <c r="U146" i="81" s="1"/>
  <c r="S146" i="81" a="1"/>
  <c r="S146" i="81" s="1"/>
  <c r="R146" i="81" a="1"/>
  <c r="R146" i="81" s="1"/>
  <c r="U141" i="81" a="1"/>
  <c r="U141" i="81" s="1"/>
  <c r="R141" i="81" a="1"/>
  <c r="R141" i="81" s="1"/>
  <c r="T141" i="81" a="1"/>
  <c r="T141" i="81" s="1"/>
  <c r="S141" i="81" a="1"/>
  <c r="S141" i="81" s="1"/>
  <c r="Q141" i="81" a="1"/>
  <c r="Q141" i="81" s="1"/>
  <c r="J107" i="81" a="1"/>
  <c r="J107" i="81" s="1"/>
  <c r="F107" i="81" a="1"/>
  <c r="F107" i="81" s="1"/>
  <c r="I107" i="81" a="1"/>
  <c r="I107" i="81" s="1"/>
  <c r="H107" i="81" a="1"/>
  <c r="H107" i="81" s="1"/>
  <c r="G107" i="81" a="1"/>
  <c r="G107" i="81" s="1"/>
  <c r="J79" i="81" a="1"/>
  <c r="J79" i="81" s="1"/>
  <c r="F79" i="81" a="1"/>
  <c r="F79" i="81" s="1"/>
  <c r="I79" i="81" a="1"/>
  <c r="I79" i="81" s="1"/>
  <c r="H79" i="81" a="1"/>
  <c r="H79" i="81" s="1"/>
  <c r="G79" i="81" a="1"/>
  <c r="G79" i="81" s="1"/>
  <c r="R77" i="81" a="1"/>
  <c r="R77" i="81" s="1"/>
  <c r="Q77" i="81" a="1"/>
  <c r="Q77" i="81" s="1"/>
  <c r="S77" i="81" a="1"/>
  <c r="S77" i="81" s="1"/>
  <c r="U77" i="81" a="1"/>
  <c r="U77" i="81" s="1"/>
  <c r="T77" i="81" a="1"/>
  <c r="T77" i="81" s="1"/>
  <c r="T111" i="81" a="1"/>
  <c r="T111" i="81" s="1"/>
  <c r="S111" i="81" a="1"/>
  <c r="S111" i="81" s="1"/>
  <c r="R111" i="81" a="1"/>
  <c r="R111" i="81" s="1"/>
  <c r="Q111" i="81" a="1"/>
  <c r="Q111" i="81" s="1"/>
  <c r="U111" i="81" a="1"/>
  <c r="U111" i="81" s="1"/>
  <c r="G83" i="81" a="1"/>
  <c r="G83" i="81" s="1"/>
  <c r="J83" i="81" a="1"/>
  <c r="J83" i="81" s="1"/>
  <c r="H83" i="81" a="1"/>
  <c r="H83" i="81" s="1"/>
  <c r="I83" i="81" a="1"/>
  <c r="I83" i="81" s="1"/>
  <c r="F83" i="81" a="1"/>
  <c r="F83" i="81" s="1"/>
  <c r="R109" i="81" a="1"/>
  <c r="R109" i="81" s="1"/>
  <c r="Q109" i="81" a="1"/>
  <c r="Q109" i="81" s="1"/>
  <c r="U109" i="81" a="1"/>
  <c r="U109" i="81" s="1"/>
  <c r="T109" i="81" a="1"/>
  <c r="T109" i="81" s="1"/>
  <c r="S109" i="81" a="1"/>
  <c r="S109" i="81" s="1"/>
  <c r="I245" i="69" a="1"/>
  <c r="I245" i="69" s="1"/>
  <c r="I298" i="69" s="1" a="1"/>
  <c r="I298" i="69" s="1"/>
  <c r="J244" i="69" a="1"/>
  <c r="J244" i="69" s="1"/>
  <c r="J297" i="69" s="1" a="1"/>
  <c r="J297" i="69" s="1"/>
  <c r="F243" i="69" a="1"/>
  <c r="F243" i="69" s="1"/>
  <c r="F296" i="69" s="1" a="1"/>
  <c r="F296" i="69" s="1"/>
  <c r="I241" i="69" a="1"/>
  <c r="I241" i="69" s="1"/>
  <c r="I294" i="69" s="1" a="1"/>
  <c r="I294" i="69" s="1"/>
  <c r="G240" i="69" a="1"/>
  <c r="G240" i="69" s="1"/>
  <c r="G293" i="69" s="1" a="1"/>
  <c r="G293" i="69" s="1"/>
  <c r="J239" i="69" a="1"/>
  <c r="J239" i="69" s="1"/>
  <c r="J292" i="69" s="1" a="1"/>
  <c r="J292" i="69" s="1"/>
  <c r="U241" i="69" a="1"/>
  <c r="U241" i="69" s="1"/>
  <c r="U294" i="69" s="1" a="1"/>
  <c r="U294" i="69" s="1"/>
  <c r="T241" i="69" a="1"/>
  <c r="T241" i="69" s="1"/>
  <c r="T294" i="69" s="1" a="1"/>
  <c r="T294" i="69" s="1"/>
  <c r="Q241" i="69" a="1"/>
  <c r="Q241" i="69" s="1"/>
  <c r="Q294" i="69" s="1" a="1"/>
  <c r="Q294" i="69" s="1"/>
  <c r="S241" i="69" a="1"/>
  <c r="S241" i="69" s="1"/>
  <c r="S294" i="69" s="1" a="1"/>
  <c r="S294" i="69" s="1"/>
  <c r="R241" i="69" a="1"/>
  <c r="R241" i="69" s="1"/>
  <c r="R294" i="69" s="1" a="1"/>
  <c r="R294" i="69" s="1"/>
  <c r="U245" i="69" a="1"/>
  <c r="U245" i="69" s="1"/>
  <c r="U298" i="69" s="1" a="1"/>
  <c r="U298" i="69" s="1"/>
  <c r="Q245" i="69" a="1"/>
  <c r="Q245" i="69" s="1"/>
  <c r="Q298" i="69" s="1" a="1"/>
  <c r="Q298" i="69" s="1"/>
  <c r="T245" i="69" a="1"/>
  <c r="T245" i="69" s="1"/>
  <c r="T298" i="69" s="1" a="1"/>
  <c r="T298" i="69" s="1"/>
  <c r="R245" i="69" a="1"/>
  <c r="R245" i="69" s="1"/>
  <c r="R298" i="69" s="1" a="1"/>
  <c r="R298" i="69" s="1"/>
  <c r="S245" i="69" a="1"/>
  <c r="S245" i="69" s="1"/>
  <c r="S298" i="69" s="1" a="1"/>
  <c r="S298" i="69" s="1"/>
  <c r="U244" i="69" a="1"/>
  <c r="U244" i="69" s="1"/>
  <c r="U297" i="69" s="1" a="1"/>
  <c r="U297" i="69" s="1"/>
  <c r="Q244" i="69" a="1"/>
  <c r="Q244" i="69" s="1"/>
  <c r="Q297" i="69" s="1" a="1"/>
  <c r="Q297" i="69" s="1"/>
  <c r="T244" i="69" a="1"/>
  <c r="T244" i="69" s="1"/>
  <c r="T297" i="69" s="1" a="1"/>
  <c r="T297" i="69" s="1"/>
  <c r="R244" i="69" a="1"/>
  <c r="R244" i="69" s="1"/>
  <c r="R297" i="69" s="1" a="1"/>
  <c r="R297" i="69" s="1"/>
  <c r="S244" i="69" a="1"/>
  <c r="S244" i="69" s="1"/>
  <c r="S297" i="69" s="1" a="1"/>
  <c r="S297" i="69" s="1"/>
  <c r="G245" i="69" a="1"/>
  <c r="G245" i="69" s="1"/>
  <c r="G298" i="69" s="1" a="1"/>
  <c r="G298" i="69" s="1"/>
  <c r="H240" i="69" a="1"/>
  <c r="H240" i="69" s="1"/>
  <c r="H293" i="69" s="1" a="1"/>
  <c r="H293" i="69" s="1"/>
  <c r="I242" i="69" a="1"/>
  <c r="I242" i="69" s="1"/>
  <c r="I295" i="69" s="1" a="1"/>
  <c r="I295" i="69" s="1"/>
  <c r="H245" i="69" a="1"/>
  <c r="H245" i="69" s="1"/>
  <c r="H298" i="69" s="1" a="1"/>
  <c r="H298" i="69" s="1"/>
  <c r="H244" i="69" a="1"/>
  <c r="H244" i="69" s="1"/>
  <c r="H297" i="69" s="1" a="1"/>
  <c r="H297" i="69" s="1"/>
  <c r="I238" i="69" a="1"/>
  <c r="I238" i="69" s="1"/>
  <c r="I291" i="69" s="1" a="1"/>
  <c r="I291" i="69" s="1"/>
  <c r="F245" i="69" a="1"/>
  <c r="F245" i="69" s="1"/>
  <c r="F298" i="69" s="1" a="1"/>
  <c r="F298" i="69" s="1"/>
  <c r="F240" i="69" a="1"/>
  <c r="F240" i="69" s="1"/>
  <c r="F293" i="69" s="1" a="1"/>
  <c r="F293" i="69" s="1"/>
  <c r="J238" i="69" a="1"/>
  <c r="J238" i="69" s="1"/>
  <c r="J291" i="69" s="1" a="1"/>
  <c r="J291" i="69" s="1"/>
  <c r="F241" i="69" a="1"/>
  <c r="F241" i="69" s="1"/>
  <c r="F294" i="69" s="1" a="1"/>
  <c r="F294" i="69" s="1"/>
  <c r="F244" i="69" a="1"/>
  <c r="F244" i="69" s="1"/>
  <c r="F297" i="69" s="1" a="1"/>
  <c r="F297" i="69" s="1"/>
  <c r="J242" i="69" a="1"/>
  <c r="J242" i="69" s="1"/>
  <c r="J295" i="69" s="1" a="1"/>
  <c r="J295" i="69" s="1"/>
  <c r="J241" i="69" a="1"/>
  <c r="J241" i="69" s="1"/>
  <c r="J294" i="69" s="1" a="1"/>
  <c r="J294" i="69" s="1"/>
  <c r="I239" i="69" a="1"/>
  <c r="I239" i="69" s="1"/>
  <c r="I292" i="69" s="1" a="1"/>
  <c r="I292" i="69" s="1"/>
  <c r="G238" i="69" a="1"/>
  <c r="G238" i="69" s="1"/>
  <c r="G291" i="69" s="1" a="1"/>
  <c r="G291" i="69" s="1"/>
  <c r="I243" i="69" a="1"/>
  <c r="I243" i="69" s="1"/>
  <c r="I296" i="69" s="1" a="1"/>
  <c r="I296" i="69" s="1"/>
  <c r="H242" i="69" a="1"/>
  <c r="H242" i="69" s="1"/>
  <c r="H295" i="69" s="1" a="1"/>
  <c r="H295" i="69" s="1"/>
  <c r="G241" i="69" a="1"/>
  <c r="G241" i="69" s="1"/>
  <c r="G294" i="69" s="1" a="1"/>
  <c r="G294" i="69" s="1"/>
  <c r="G239" i="69" a="1"/>
  <c r="G239" i="69" s="1"/>
  <c r="G292" i="69" s="1" a="1"/>
  <c r="G292" i="69" s="1"/>
  <c r="F238" i="69" a="1"/>
  <c r="F238" i="69" s="1"/>
  <c r="F291" i="69" s="1" a="1"/>
  <c r="F291" i="69" s="1"/>
  <c r="G243" i="69" a="1"/>
  <c r="G243" i="69" s="1"/>
  <c r="G296" i="69" s="1" a="1"/>
  <c r="G296" i="69" s="1"/>
  <c r="G242" i="69" a="1"/>
  <c r="G242" i="69" s="1"/>
  <c r="G295" i="69" s="1" a="1"/>
  <c r="G295" i="69" s="1"/>
  <c r="T238" i="69" a="1"/>
  <c r="T238" i="69" s="1"/>
  <c r="T291" i="69" s="1" a="1"/>
  <c r="T291" i="69" s="1"/>
  <c r="U238" i="69" a="1"/>
  <c r="U238" i="69" s="1"/>
  <c r="U291" i="69" s="1" a="1"/>
  <c r="U291" i="69" s="1"/>
  <c r="Q238" i="69" a="1"/>
  <c r="Q238" i="69" s="1"/>
  <c r="Q291" i="69" s="1" a="1"/>
  <c r="Q291" i="69" s="1"/>
  <c r="R238" i="69" a="1"/>
  <c r="R238" i="69" s="1"/>
  <c r="R291" i="69" s="1" a="1"/>
  <c r="R291" i="69" s="1"/>
  <c r="S238" i="69" a="1"/>
  <c r="S238" i="69" s="1"/>
  <c r="S291" i="69" s="1" a="1"/>
  <c r="S291" i="69" s="1"/>
  <c r="T240" i="69" a="1"/>
  <c r="T240" i="69" s="1"/>
  <c r="T293" i="69" s="1" a="1"/>
  <c r="T293" i="69" s="1"/>
  <c r="U240" i="69" a="1"/>
  <c r="U240" i="69" s="1"/>
  <c r="U293" i="69" s="1" a="1"/>
  <c r="U293" i="69" s="1"/>
  <c r="Q240" i="69" a="1"/>
  <c r="Q240" i="69" s="1"/>
  <c r="Q293" i="69" s="1" a="1"/>
  <c r="Q293" i="69" s="1"/>
  <c r="R240" i="69" a="1"/>
  <c r="R240" i="69" s="1"/>
  <c r="R293" i="69" s="1" a="1"/>
  <c r="R293" i="69" s="1"/>
  <c r="S240" i="69" a="1"/>
  <c r="S240" i="69" s="1"/>
  <c r="S293" i="69" s="1" a="1"/>
  <c r="S293" i="69" s="1"/>
  <c r="U243" i="69" a="1"/>
  <c r="U243" i="69" s="1"/>
  <c r="U296" i="69" s="1" a="1"/>
  <c r="U296" i="69" s="1"/>
  <c r="T243" i="69" a="1"/>
  <c r="T243" i="69" s="1"/>
  <c r="T296" i="69" s="1" a="1"/>
  <c r="T296" i="69" s="1"/>
  <c r="Q243" i="69" a="1"/>
  <c r="Q243" i="69" s="1"/>
  <c r="Q296" i="69" s="1" a="1"/>
  <c r="Q296" i="69" s="1"/>
  <c r="R243" i="69" a="1"/>
  <c r="R243" i="69" s="1"/>
  <c r="R296" i="69" s="1" a="1"/>
  <c r="R296" i="69" s="1"/>
  <c r="S243" i="69" a="1"/>
  <c r="S243" i="69" s="1"/>
  <c r="S296" i="69" s="1" a="1"/>
  <c r="S296" i="69" s="1"/>
  <c r="I244" i="69" a="1"/>
  <c r="I244" i="69" s="1"/>
  <c r="I297" i="69" s="1" a="1"/>
  <c r="I297" i="69" s="1"/>
  <c r="J243" i="69" a="1"/>
  <c r="J243" i="69" s="1"/>
  <c r="J296" i="69" s="1" a="1"/>
  <c r="J296" i="69" s="1"/>
  <c r="I240" i="69" a="1"/>
  <c r="I240" i="69" s="1"/>
  <c r="I293" i="69" s="1" a="1"/>
  <c r="I293" i="69" s="1"/>
  <c r="H239" i="69" a="1"/>
  <c r="H239" i="69" s="1"/>
  <c r="H292" i="69" s="1" a="1"/>
  <c r="H292" i="69" s="1"/>
  <c r="U239" i="69" a="1"/>
  <c r="U239" i="69" s="1"/>
  <c r="U292" i="69" s="1" a="1"/>
  <c r="U292" i="69" s="1"/>
  <c r="Q239" i="69" a="1"/>
  <c r="Q239" i="69" s="1"/>
  <c r="Q292" i="69" s="1" a="1"/>
  <c r="Q292" i="69" s="1"/>
  <c r="T239" i="69" a="1"/>
  <c r="T239" i="69" s="1"/>
  <c r="T292" i="69" s="1" a="1"/>
  <c r="T292" i="69" s="1"/>
  <c r="S239" i="69" a="1"/>
  <c r="S239" i="69" s="1"/>
  <c r="S292" i="69" s="1" a="1"/>
  <c r="S292" i="69" s="1"/>
  <c r="R239" i="69" a="1"/>
  <c r="R239" i="69" s="1"/>
  <c r="R292" i="69" s="1" a="1"/>
  <c r="R292" i="69" s="1"/>
  <c r="T242" i="69" a="1"/>
  <c r="T242" i="69" s="1"/>
  <c r="T295" i="69" s="1" a="1"/>
  <c r="T295" i="69" s="1"/>
  <c r="U242" i="69" a="1"/>
  <c r="U242" i="69" s="1"/>
  <c r="U295" i="69" s="1" a="1"/>
  <c r="U295" i="69" s="1"/>
  <c r="Q242" i="69" a="1"/>
  <c r="Q242" i="69" s="1"/>
  <c r="Q295" i="69" s="1" a="1"/>
  <c r="Q295" i="69" s="1"/>
  <c r="S242" i="69" a="1"/>
  <c r="S242" i="69" s="1"/>
  <c r="S295" i="69" s="1" a="1"/>
  <c r="S295" i="69" s="1"/>
  <c r="R242" i="69" a="1"/>
  <c r="R242" i="69" s="1"/>
  <c r="R295" i="69" s="1" a="1"/>
  <c r="R295" i="69" s="1"/>
  <c r="F292" i="69" a="1"/>
  <c r="F292" i="69" s="1"/>
  <c r="F295" i="69" a="1"/>
  <c r="F295" i="69" s="1"/>
  <c r="H294" i="69" a="1"/>
  <c r="H294" i="69" s="1"/>
  <c r="J298" i="69" a="1"/>
  <c r="J298" i="69" s="1"/>
  <c r="J293" i="69" a="1"/>
  <c r="J293" i="69" s="1"/>
  <c r="H296" i="69" a="1"/>
  <c r="H296" i="69" s="1"/>
  <c r="H291" i="69" a="1"/>
  <c r="H291" i="69" s="1"/>
  <c r="G297" i="69" a="1"/>
  <c r="G297" i="69" s="1"/>
  <c r="E10" i="13" l="1"/>
  <c r="G54" i="95"/>
  <c r="E57" i="95" s="1" a="1"/>
  <c r="E57" i="95" s="1"/>
  <c r="H10" i="13" s="1"/>
  <c r="P57" i="95" a="1"/>
  <c r="P57" i="95" s="1"/>
  <c r="I10" i="13" s="1"/>
  <c r="F10" i="13"/>
  <c r="P85" i="81"/>
  <c r="F20" i="13" s="1"/>
  <c r="P300" i="69"/>
  <c r="R302" i="69" s="1"/>
  <c r="E300" i="69"/>
  <c r="G302" i="69" s="1"/>
  <c r="E85" i="81"/>
  <c r="E20" i="13" s="1"/>
  <c r="P115" i="81"/>
  <c r="F22" i="13" s="1"/>
  <c r="E115" i="81"/>
  <c r="E22" i="13" s="1"/>
  <c r="E148" i="81"/>
  <c r="E21" i="13" s="1"/>
  <c r="P148" i="81"/>
  <c r="F21" i="13" s="1"/>
  <c r="O292" i="76" a="1"/>
  <c r="O292" i="76" s="1"/>
  <c r="I8" i="13" s="1"/>
  <c r="E292" i="76" a="1"/>
  <c r="E292" i="76" s="1"/>
  <c r="H8" i="13" s="1"/>
  <c r="P305" i="69" l="1" a="1"/>
  <c r="P305" i="69" s="1"/>
  <c r="I7" i="13" s="1"/>
  <c r="I14" i="13" s="1"/>
  <c r="F7" i="13"/>
  <c r="E305" i="69" a="1"/>
  <c r="E305" i="69" s="1"/>
  <c r="H7" i="13" s="1"/>
  <c r="H14" i="13" s="1"/>
  <c r="E7"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<sst xmlns="http://schemas.openxmlformats.org/spreadsheetml/2006/main" count="1695" uniqueCount="520">
  <si>
    <t>INPUTS</t>
  </si>
  <si>
    <t>APPENDICES</t>
  </si>
  <si>
    <t>Emissions breakdown</t>
  </si>
  <si>
    <t>Test Farms</t>
  </si>
  <si>
    <t>Farm name</t>
  </si>
  <si>
    <t>State</t>
  </si>
  <si>
    <t>Leaching zone</t>
  </si>
  <si>
    <t>Climate zone</t>
  </si>
  <si>
    <r>
      <rPr>
        <sz val="10"/>
        <color theme="1" tint="0.34998626667073579"/>
        <rFont val="Arial"/>
        <family val="1"/>
      </rPr>
      <t xml:space="preserve">← </t>
    </r>
    <r>
      <rPr>
        <i/>
        <sz val="10"/>
        <color theme="1" tint="0.34998626667073579"/>
        <rFont val="Arial"/>
        <family val="1"/>
      </rPr>
      <t>Please select</t>
    </r>
  </si>
  <si>
    <t>Degrees celsius</t>
  </si>
  <si>
    <t>Millimetres</t>
  </si>
  <si>
    <t>Location and climate</t>
  </si>
  <si>
    <t>Your business</t>
  </si>
  <si>
    <t>Location information is used to reference some region and climate-specific emission factors</t>
  </si>
  <si>
    <r>
      <rPr>
        <sz val="10"/>
        <color theme="1" tint="0.34998626667073579"/>
        <rFont val="Arial"/>
        <family val="1"/>
      </rPr>
      <t xml:space="preserve">← </t>
    </r>
    <r>
      <rPr>
        <i/>
        <sz val="10"/>
        <color theme="1" tint="0.34998626667073579"/>
        <rFont val="Arial"/>
        <family val="1"/>
      </rPr>
      <t>Automatically calculated, 12 months after start date</t>
    </r>
  </si>
  <si>
    <t xml:space="preserve"> </t>
  </si>
  <si>
    <t>Dry matter digestibility</t>
  </si>
  <si>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</si>
  <si>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</si>
  <si>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</si>
  <si>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</si>
  <si>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</si>
  <si>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</si>
  <si>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</si>
  <si>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</si>
  <si>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</si>
  <si>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</si>
  <si>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</si>
  <si>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</si>
  <si>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</si>
  <si>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</si>
  <si>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</si>
  <si>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</si>
  <si>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</si>
  <si>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</si>
  <si>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</si>
  <si>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</si>
  <si>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</si>
  <si>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</si>
  <si>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</si>
  <si>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</si>
  <si>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</si>
  <si>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</si>
  <si>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</si>
  <si>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</si>
  <si>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</si>
  <si>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</si>
  <si>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</si>
  <si>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</si>
  <si>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</si>
  <si>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</si>
  <si>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</si>
  <si>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</si>
  <si>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</si>
  <si>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</si>
  <si>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</si>
  <si>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</si>
  <si>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</si>
  <si>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</si>
  <si>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</si>
  <si>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</si>
  <si>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</si>
  <si>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</si>
  <si>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</si>
  <si>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</si>
  <si>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</si>
  <si>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</si>
  <si>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</si>
  <si>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</si>
  <si>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0"/>
        <color theme="1" tint="0.34998626667073579"/>
        <rFont val="Arial"/>
        <family val="1"/>
      </rPr>
      <t xml:space="preserve">← </t>
    </r>
    <r>
      <rPr>
        <i/>
        <sz val="10"/>
        <color theme="1" tint="0.34998626667073579"/>
        <rFont val="Arial"/>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</si>
  <si>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</si>
  <si>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</si>
  <si>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</si>
  <si>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</si>
  <si>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</si>
  <si>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</si>
  <si>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</si>
  <si>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</si>
  <si>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</si>
  <si>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</si>
  <si>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</si>
  <si>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</si>
  <si>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</si>
  <si>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</si>
  <si>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</si>
  <si>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</si>
  <si>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</si>
  <si>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</si>
  <si>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</si>
  <si>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</si>
  <si>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</si>
  <si>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</si>
  <si>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</si>
  <si>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</si>
  <si>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0"/>
        <color rgb="FF183C1B"/>
        <rFont val="Arial"/>
        <family val="1"/>
      </rPr>
      <t>im</t>
    </r>
  </si>
  <si>
    <t>Fraction</t>
  </si>
  <si>
    <t>MMS m</t>
  </si>
  <si>
    <t>Stage 1 MMS</t>
  </si>
  <si>
    <t>Manure management systems</t>
  </si>
  <si>
    <t>Herd movement</t>
  </si>
  <si>
    <t>Duration of stay</t>
  </si>
  <si>
    <t>head</t>
  </si>
  <si>
    <t>Table_N_j</t>
  </si>
  <si>
    <t>Head</t>
  </si>
  <si>
    <r>
      <t>E</t>
    </r>
    <r>
      <rPr>
        <vertAlign val="subscript"/>
        <sz val="10"/>
        <color theme="1" tint="0.24994659260841701"/>
        <rFont val="Arial"/>
        <family val="1"/>
      </rPr>
      <t>CO2e</t>
    </r>
  </si>
  <si>
    <t>Formula name</t>
  </si>
  <si>
    <t>Crude protein</t>
  </si>
  <si>
    <t>M1_Table_I_j</t>
  </si>
  <si>
    <t>M1_Table_CP_j</t>
  </si>
  <si>
    <t>M2_Table_I_j</t>
  </si>
  <si>
    <t>M1_Table_NR_j</t>
  </si>
  <si>
    <t>M2_Table_NR_j</t>
  </si>
  <si>
    <t>M1_Table_NE_j</t>
  </si>
  <si>
    <t>M2_Table_NE_j</t>
  </si>
  <si>
    <t>Method 1</t>
  </si>
  <si>
    <t>Method 2</t>
  </si>
  <si>
    <t>M1_Table_AE_j</t>
  </si>
  <si>
    <r>
      <t>E</t>
    </r>
    <r>
      <rPr>
        <b/>
        <vertAlign val="subscript"/>
        <sz val="14"/>
        <color theme="1" tint="0.24994659260841701"/>
        <rFont val="Arial"/>
        <family val="1"/>
      </rPr>
      <t>N2O,dir</t>
    </r>
  </si>
  <si>
    <t>M1_Table_E_N2O_dir</t>
  </si>
  <si>
    <t>M1_Table_DMD_j</t>
  </si>
  <si>
    <t>M1_Table_VS_j</t>
  </si>
  <si>
    <t>Dry matter digestibility (Method 1)</t>
  </si>
  <si>
    <t>M2_Table_DMD_j</t>
  </si>
  <si>
    <t>M2_Table_VS_j</t>
  </si>
  <si>
    <t>ECH4 (Method 1)</t>
  </si>
  <si>
    <r>
      <t>E</t>
    </r>
    <r>
      <rPr>
        <vertAlign val="subscript"/>
        <sz val="10"/>
        <color theme="1" tint="0.24994659260841701"/>
        <rFont val="Arial"/>
        <family val="1"/>
      </rPr>
      <t>CO2e</t>
    </r>
    <r>
      <rPr>
        <sz val="10"/>
        <color theme="1" tint="0.24994659260841701"/>
        <rFont val="Arial"/>
        <family val="1"/>
      </rPr>
      <t xml:space="preserve"> (Method 1)</t>
    </r>
  </si>
  <si>
    <t>kg N</t>
  </si>
  <si>
    <r>
      <t>MNSoil</t>
    </r>
    <r>
      <rPr>
        <b/>
        <vertAlign val="subscript"/>
        <sz val="14"/>
        <color theme="1" tint="0.24994659260841701"/>
        <rFont val="Arial"/>
        <family val="1"/>
      </rPr>
      <t>scope1</t>
    </r>
  </si>
  <si>
    <t>Table_PF_fert</t>
  </si>
  <si>
    <t>Fraction of manure applied to as fertiliser on own farm from MMS</t>
  </si>
  <si>
    <t>M1_Table_MNSoil_scope3_fert</t>
  </si>
  <si>
    <t>M2_Table_MNSoil_scope3_fert</t>
  </si>
  <si>
    <t>Mass of N applied to own farm as fertiliser (Method 2)</t>
  </si>
  <si>
    <t>Mass of N applied to own farm as fertiliser (Method 1)</t>
  </si>
  <si>
    <r>
      <t>MNSoil</t>
    </r>
    <r>
      <rPr>
        <b/>
        <vertAlign val="subscript"/>
        <sz val="14"/>
        <color theme="1" tint="0.24994659260841701"/>
        <rFont val="Arial"/>
        <family val="1"/>
      </rPr>
      <t>scope3,fert</t>
    </r>
  </si>
  <si>
    <t>Scope 1 source</t>
  </si>
  <si>
    <t>Where deposited on farm soils as waste, what is the closest match?</t>
  </si>
  <si>
    <t>Production system j</t>
  </si>
  <si>
    <t>EFN2O</t>
  </si>
  <si>
    <t>Production system only</t>
  </si>
  <si>
    <t>Irrigation method</t>
  </si>
  <si>
    <t>Pasture</t>
  </si>
  <si>
    <t>Production system</t>
  </si>
  <si>
    <t>Irrigation methods</t>
  </si>
  <si>
    <t>Not irrigated</t>
  </si>
  <si>
    <t>Drip irrigation</t>
  </si>
  <si>
    <t>Sprinkler irrigation</t>
  </si>
  <si>
    <t>Surface irrigation</t>
  </si>
  <si>
    <t>Other irrigation</t>
  </si>
  <si>
    <r>
      <t>E</t>
    </r>
    <r>
      <rPr>
        <b/>
        <vertAlign val="subscript"/>
        <sz val="14"/>
        <color theme="1" tint="0.24994659260841701"/>
        <rFont val="Arial"/>
        <family val="1"/>
      </rPr>
      <t>N2O,ad</t>
    </r>
  </si>
  <si>
    <t>Total</t>
  </si>
  <si>
    <t>Emissions allocated to</t>
  </si>
  <si>
    <t>GHG Unit</t>
  </si>
  <si>
    <t>CO2-e unit</t>
  </si>
  <si>
    <t>Manure nitrogen sold</t>
  </si>
  <si>
    <t>Scope 3 (downstream)</t>
  </si>
  <si>
    <t>N unit</t>
  </si>
  <si>
    <t>WARNING: Manure nitrogen that was applied to soils must be accounted for</t>
  </si>
  <si>
    <t>Manure nitrogen use</t>
  </si>
  <si>
    <t>Manure nitrogen deposited on farm soils as fertiliser for other farm enterpsies (eg crops)</t>
  </si>
  <si>
    <t>15.13.1.1 (1), 5.2.2.1 (1), 5.4.1.3 (1, 2), 5.5.1.1 (1, 3)</t>
  </si>
  <si>
    <t>5.2.2.1 (1), 5.4.1.3 (1, 2), 5.5.1.1 (1, 3)</t>
  </si>
  <si>
    <t>VEERG Calculation method</t>
  </si>
  <si>
    <t>See the table below for how to account for manure applied to soils for scope 1 and 3.</t>
  </si>
  <si>
    <t>Dairy manure management systems</t>
  </si>
  <si>
    <t>Dairy crop or pasture production systems</t>
  </si>
  <si>
    <t>Breed</t>
  </si>
  <si>
    <t>Milking cows</t>
  </si>
  <si>
    <t>Heifers &gt; 1</t>
  </si>
  <si>
    <t>Heifers &lt; 1 (weaned)</t>
  </si>
  <si>
    <t>Bulls &lt; 1 (weaned)</t>
  </si>
  <si>
    <t>Bulls &gt; 1</t>
  </si>
  <si>
    <t>Animal class j</t>
  </si>
  <si>
    <t>CH4 production</t>
  </si>
  <si>
    <t>Volatile solids (VSj=3,5)</t>
  </si>
  <si>
    <t>Nitrogen Excreted (NPWj=3,5)</t>
  </si>
  <si>
    <t>EFm</t>
  </si>
  <si>
    <t>FracGASMm</t>
  </si>
  <si>
    <t>MPW ENTERIC</t>
  </si>
  <si>
    <t>MRj</t>
  </si>
  <si>
    <t>Area</t>
  </si>
  <si>
    <t>Milking shed</t>
  </si>
  <si>
    <t>Feedpad</t>
  </si>
  <si>
    <t>NIR reference</t>
  </si>
  <si>
    <t>Heifers &gt; 1 year</t>
  </si>
  <si>
    <t>Heifers &lt; 1 year</t>
  </si>
  <si>
    <t>Bulls &gt; 1 year</t>
  </si>
  <si>
    <t>Bulls &lt; 1 year</t>
  </si>
  <si>
    <t>Input -Dairy</t>
  </si>
  <si>
    <t>kg/head</t>
  </si>
  <si>
    <t>kg/head/day</t>
  </si>
  <si>
    <t>Milk production</t>
  </si>
  <si>
    <t>Average daily milk production</t>
  </si>
  <si>
    <t>Duration (weaned)</t>
  </si>
  <si>
    <t>Duration (pre-weaned)</t>
  </si>
  <si>
    <t>Time spent in production systems</t>
  </si>
  <si>
    <t>Feed pad</t>
  </si>
  <si>
    <t>Production system template</t>
  </si>
  <si>
    <t>Duplicate of data in table 1.3.7</t>
  </si>
  <si>
    <t>Method 2 custom values (Edit if known)</t>
  </si>
  <si>
    <t>Method 1 default values (Do not edit)</t>
  </si>
  <si>
    <t>Yes</t>
  </si>
  <si>
    <t>Production systems</t>
  </si>
  <si>
    <t>No</t>
  </si>
  <si>
    <t>System 3: Pasture-grazed 3-9 months/year</t>
  </si>
  <si>
    <t>Diet</t>
  </si>
  <si>
    <t>Liveweight</t>
  </si>
  <si>
    <t>Average liveweight</t>
  </si>
  <si>
    <t>Average liveweight gain</t>
  </si>
  <si>
    <t>Medium Friesian</t>
  </si>
  <si>
    <t>M1_Table_W_j</t>
  </si>
  <si>
    <t>Liveweight for each animal class j (Method 1)</t>
  </si>
  <si>
    <t>M2_Table_W_j</t>
  </si>
  <si>
    <t>Liveweight for each animal class j (Method 2)</t>
  </si>
  <si>
    <t>M1_Table_LWG_j</t>
  </si>
  <si>
    <t>Liveweight gain for each animal class j (Method 1)</t>
  </si>
  <si>
    <t>M2_Table_LWG_j</t>
  </si>
  <si>
    <t>Liveweight gain for each animal class j (Method 2)</t>
  </si>
  <si>
    <t>Table_MR_j</t>
  </si>
  <si>
    <t>Increase in metabolic rate when producing milk</t>
  </si>
  <si>
    <t>fraction</t>
  </si>
  <si>
    <t>M1_Table_qm_j</t>
  </si>
  <si>
    <t>Metabolisability of diet (Method 1)</t>
  </si>
  <si>
    <t>M2_Table_qm_j</t>
  </si>
  <si>
    <t>Metabolisability of diet (Method 2)</t>
  </si>
  <si>
    <t>M1_Table_MI_j</t>
  </si>
  <si>
    <t>Additional intake for milk production (Method 1)</t>
  </si>
  <si>
    <t>L/head/day</t>
  </si>
  <si>
    <t>M2_Table_MI_j</t>
  </si>
  <si>
    <t>Additional intake for milk production (Method 2)</t>
  </si>
  <si>
    <t>Table_MP_j</t>
  </si>
  <si>
    <t>Dry matter digestibility (Method 2)</t>
  </si>
  <si>
    <t>Feed intake (Method 2)</t>
  </si>
  <si>
    <t>Feed intake (Method 1)</t>
  </si>
  <si>
    <t>Volatile solids for weaned cattle (Method 1)</t>
  </si>
  <si>
    <t>Volatile solids for weaned cattle (Method 2)</t>
  </si>
  <si>
    <t>Fraction volatile solids to MMS other than solid storage (Method 1)</t>
  </si>
  <si>
    <t>M1_Table_FVS_j_m</t>
  </si>
  <si>
    <t>M1_Table_SS_m</t>
  </si>
  <si>
    <t>SS</t>
  </si>
  <si>
    <t>M1_Table_MMS_j_m</t>
  </si>
  <si>
    <t>Fraction of manure in each MMS prior to solid separation (Method 1)</t>
  </si>
  <si>
    <t>M2_Table_MMS_j_m</t>
  </si>
  <si>
    <t>Fraction of manure in each MMS prior to solid separation (Method 2)</t>
  </si>
  <si>
    <t>M2_Table_SS_m</t>
  </si>
  <si>
    <t>M1_Table_MMS_j_m-4</t>
  </si>
  <si>
    <t>Fraction volatile solids to in solid storage before transfer (Method 1)</t>
  </si>
  <si>
    <t>Fraction volatile solids separated to solid storage (Method 1)</t>
  </si>
  <si>
    <t>Fraction volatile solids separated to solid storage (Method 2)</t>
  </si>
  <si>
    <t>M1_Table_FVS_j_m-4</t>
  </si>
  <si>
    <t>Fraction volatile solids to in solid storage (Method 1)</t>
  </si>
  <si>
    <t>M2_Table_MMS_j_m-4</t>
  </si>
  <si>
    <t>Fraction volatile solids to in solid storage before transfer (Method 2)</t>
  </si>
  <si>
    <t>M2_Table_FVS_j_m-4</t>
  </si>
  <si>
    <t>Fraction volatile solids to in solid storage (Method 2)</t>
  </si>
  <si>
    <t>M1_Table_MCF_i_m</t>
  </si>
  <si>
    <t>Methane conversion factor for state (Method 1)</t>
  </si>
  <si>
    <t>M1_M_j_m</t>
  </si>
  <si>
    <t>Number of dairy cattle in all classes</t>
  </si>
  <si>
    <t>M1_Table_D_j</t>
  </si>
  <si>
    <t>M1_Table_DPW_j</t>
  </si>
  <si>
    <t>Table_MPW_manure_j-3-5</t>
  </si>
  <si>
    <t>Methane production of pre-weaned cattle</t>
  </si>
  <si>
    <t>M1_Table_E_CH4</t>
  </si>
  <si>
    <t>CH4/head/day</t>
  </si>
  <si>
    <t>M1_Table_D_j-1-2-4</t>
  </si>
  <si>
    <t>t CH4</t>
  </si>
  <si>
    <t>Duration of stay of weaned dairy cattle in all classes (Method 1)</t>
  </si>
  <si>
    <t>Duration of stay of of pre-weaned dairy cattle in all classes (Method 1)</t>
  </si>
  <si>
    <t>M2_Table_D_j</t>
  </si>
  <si>
    <t>Duration of stay of weaned dairy cattle in all classes (Method 2)</t>
  </si>
  <si>
    <t>M2_M_j_m</t>
  </si>
  <si>
    <t>Methane from manure production of weaned cattle (Method 2)</t>
  </si>
  <si>
    <t>Methane from manure production of weaned cattle (Method 1)</t>
  </si>
  <si>
    <t>Methane production from manure management (Method 1)</t>
  </si>
  <si>
    <t>4.3.1.1-2 Manure Methane</t>
  </si>
  <si>
    <t>4.3.1.3-4 Manure Direct N2O</t>
  </si>
  <si>
    <t>Table_WR_j</t>
  </si>
  <si>
    <t>Reference weight for each animal class</t>
  </si>
  <si>
    <t>M1_Table_Z_j</t>
  </si>
  <si>
    <t>Relative size for each animal class (Method 1)</t>
  </si>
  <si>
    <t>M1_Table_L_j</t>
  </si>
  <si>
    <t>Intake relative to maintenance (Method 1)</t>
  </si>
  <si>
    <t>M2_Table_L_j</t>
  </si>
  <si>
    <t>Intake relative to maintenance (Method 2)</t>
  </si>
  <si>
    <t>Nitrogen retained in the body for each animal class j (Method 1)</t>
  </si>
  <si>
    <t>Nitrogen retained in the body for each animal class j (Method 2)</t>
  </si>
  <si>
    <t>Crude protein content of feed intake for each animal class j (Method 1)</t>
  </si>
  <si>
    <t>M1_Table_CPI_j</t>
  </si>
  <si>
    <t>Crude protein intake for each animal class j (Method 1)</t>
  </si>
  <si>
    <t>Nitrogen excreted for each animal class j (Method 1)</t>
  </si>
  <si>
    <t>Nitrogen excreted for each animal class j (Method 2)</t>
  </si>
  <si>
    <t>M1_Table_AE_j-1-2-4</t>
  </si>
  <si>
    <t>Duration of stay of cattle &gt; 1 year (Method 1)</t>
  </si>
  <si>
    <t>Duration of stay of cattle &gt; 1 year (Method 2)</t>
  </si>
  <si>
    <t>M1_Table_D_j-3-5</t>
  </si>
  <si>
    <t>Duration of stay of weaned cattle &lt; 1 year (Method 1)</t>
  </si>
  <si>
    <t>Table_NPW_j-3-5</t>
  </si>
  <si>
    <t>Nitrogen excretion of pre-weaned cattle</t>
  </si>
  <si>
    <t>Total annual nitrogen excreted cattle &lt; 1 year old (Method 1)</t>
  </si>
  <si>
    <t>Total annual nitrogen excreted cattle &gt; 1 year old (Method 1)</t>
  </si>
  <si>
    <t>Fraction of manure sent to each MMS (Method 1)</t>
  </si>
  <si>
    <t>Fraction of manure sent to each MMS (Method 2)</t>
  </si>
  <si>
    <t>M1_Table_MN_j_m</t>
  </si>
  <si>
    <t>Total nitrogen in each MMS (Method 1)</t>
  </si>
  <si>
    <t>Total nitrogen in each MMS (Method 2)</t>
  </si>
  <si>
    <t>M2_Table_MN_j_m</t>
  </si>
  <si>
    <t>Table_EF_m</t>
  </si>
  <si>
    <t>Nitrous oxide EF for each MMS</t>
  </si>
  <si>
    <r>
      <t>EF</t>
    </r>
    <r>
      <rPr>
        <b/>
        <vertAlign val="subscript"/>
        <sz val="10"/>
        <color rgb="FF183C1B"/>
        <rFont val="Arial"/>
        <family val="1"/>
      </rPr>
      <t>m</t>
    </r>
  </si>
  <si>
    <t>Total annual direct N2O emissions from each MMS (Method 1)</t>
  </si>
  <si>
    <t>4.3 Manure management: Dairy: Results</t>
  </si>
  <si>
    <t>4.3.1.5 Manure Atmospheric Deposition</t>
  </si>
  <si>
    <t>Table_FracGASM_m</t>
  </si>
  <si>
    <r>
      <t>FracGASM</t>
    </r>
    <r>
      <rPr>
        <b/>
        <vertAlign val="subscript"/>
        <sz val="10"/>
        <color rgb="FF183C1B"/>
        <rFont val="Arial"/>
        <family val="1"/>
      </rPr>
      <t>m</t>
    </r>
  </si>
  <si>
    <t>Fraction N volatilised from each MS</t>
  </si>
  <si>
    <t>M1_Table_MN_atmos</t>
  </si>
  <si>
    <t>Total nitrogen volatilised from each MMS (Method 1)</t>
  </si>
  <si>
    <t>M2_Table_MN_atmos</t>
  </si>
  <si>
    <t>Total nitrogen volatilised from each MMS (Method 2)</t>
  </si>
  <si>
    <r>
      <t>E</t>
    </r>
    <r>
      <rPr>
        <b/>
        <vertAlign val="subscript"/>
        <sz val="14"/>
        <color theme="1" tint="0.24994659260841701"/>
        <rFont val="Arial"/>
        <family val="1"/>
      </rPr>
      <t>N2O,MMS,ad</t>
    </r>
  </si>
  <si>
    <t>Irrigation type i</t>
  </si>
  <si>
    <t>M1_Table_MN_j_m-4</t>
  </si>
  <si>
    <t>Total nitrogen in solid storage MMS (Method 1)</t>
  </si>
  <si>
    <t>M2_Table_MN_j_m-4</t>
  </si>
  <si>
    <t>Total nitrogen in solid storage MMS (Method 2)</t>
  </si>
  <si>
    <t>Mass of N lost to leaching and runoff from solid storage (Method 1)</t>
  </si>
  <si>
    <t>M1_Table_MN_leach_j_m-4</t>
  </si>
  <si>
    <t>M2_Table_MN_leach_j_m-4</t>
  </si>
  <si>
    <t>Mass of N lost to leaching and runoff from solid storage (Method 2)</t>
  </si>
  <si>
    <t>M1_Table_EF_N2O_leach</t>
  </si>
  <si>
    <t>Emissions from leaching and runoff (Method 1)</t>
  </si>
  <si>
    <t>M2_Table_EF_N2O_leach</t>
  </si>
  <si>
    <t>Emissions from leaching and runoff (Method 2)</t>
  </si>
  <si>
    <t>4.3.1.8 Manure applied to soils</t>
  </si>
  <si>
    <t>Table_PF_scope</t>
  </si>
  <si>
    <t>Fraction of manure applied to soils within farm boundary</t>
  </si>
  <si>
    <t>M1_Table_MN_soil_scope1</t>
  </si>
  <si>
    <t>M1_Table_MN_soil_scope3</t>
  </si>
  <si>
    <t>Mass of nitrogen from manure applied to soils for scope 3 emissions (Method 1)</t>
  </si>
  <si>
    <t>Mass of nitrogen from manure applied to soils for scope 1 emissions (Method 1)</t>
  </si>
  <si>
    <t>M2_Table_MN_soil_scope1</t>
  </si>
  <si>
    <t>Mass of nitrogen from manure applied to soils for scope 1 emissions (Method 2)</t>
  </si>
  <si>
    <r>
      <t>MNSoil</t>
    </r>
    <r>
      <rPr>
        <b/>
        <vertAlign val="subscript"/>
        <sz val="14"/>
        <color theme="1" tint="0.24994659260841701"/>
        <rFont val="Arial"/>
        <family val="1"/>
      </rPr>
      <t>scope3</t>
    </r>
  </si>
  <si>
    <t>M2_Table_MN_soil_scope3</t>
  </si>
  <si>
    <t>Mass of nitrogen from manure applied to soils for scope 3 emissions (Method 2)</t>
  </si>
  <si>
    <t>t CO2e</t>
  </si>
  <si>
    <t>4.1.1.6-7 Manure leaching and runoff</t>
  </si>
  <si>
    <t>4.3.1.9 Soil direct N2O</t>
  </si>
  <si>
    <t>M1_Table_MMS_j_m-14</t>
  </si>
  <si>
    <t>Fraction of manure deposited on pasture range and paddock (Method 1)</t>
  </si>
  <si>
    <t>Total annual nitrogen excreted all cattle (Method 1)</t>
  </si>
  <si>
    <t>M1_Table_MN_j_m-14</t>
  </si>
  <si>
    <t>Total nitrogen deposited on pasture range and paddock (Method 1)</t>
  </si>
  <si>
    <t>M2_Table_MN_j_m-14</t>
  </si>
  <si>
    <t>Total nitrogen deposited on pasture range and paddock (Method 2)</t>
  </si>
  <si>
    <t>EFPRP</t>
  </si>
  <si>
    <t>Direct nitrous oxide emissions from urine and dung deposited on pasture (Method 1)</t>
  </si>
  <si>
    <t>M2_Table_E_N2O_dir</t>
  </si>
  <si>
    <t>Direct nitrous oxide emissions from urine and dung deposited on pasture (Method 2)</t>
  </si>
  <si>
    <t>M1_Table_M_vol_m-14</t>
  </si>
  <si>
    <t>Mass of N volatilised from urine and dung on pasture (Method 1)</t>
  </si>
  <si>
    <t>M2_Table_M_vol_m-14</t>
  </si>
  <si>
    <t>Mass of N volatilised from urine and dung on pasture (Method 2)</t>
  </si>
  <si>
    <t>4.3.1.10-11 Soil atmospheric deposition</t>
  </si>
  <si>
    <t>4.3.1.12-13 Soil leaching and runoff</t>
  </si>
  <si>
    <t>4.3.1.12-13 Soil leaching and runoff N2O</t>
  </si>
  <si>
    <t>4.3.1.10-11 Soil atmospheric deposition N2O</t>
  </si>
  <si>
    <t>M1_Table_M_leach_M-14</t>
  </si>
  <si>
    <t>Mass of N lost to leaching and runoff urine and faeces on pasture (Method 1)</t>
  </si>
  <si>
    <t>M2_Table_M_leach_M-14</t>
  </si>
  <si>
    <t>Mass of N lost to leaching and runoff urine and faeces on pasture (Method 2)</t>
  </si>
  <si>
    <r>
      <t>E</t>
    </r>
    <r>
      <rPr>
        <b/>
        <vertAlign val="subscript"/>
        <sz val="14"/>
        <color theme="1" tint="0.24994659260841701"/>
        <rFont val="Arial"/>
        <family val="1"/>
      </rPr>
      <t>N2O,leach</t>
    </r>
  </si>
  <si>
    <r>
      <t>M</t>
    </r>
    <r>
      <rPr>
        <b/>
        <vertAlign val="subscript"/>
        <sz val="10"/>
        <color theme="1" tint="0.24994659260841701"/>
        <rFont val="Arial"/>
        <family val="1"/>
      </rPr>
      <t>leach,m=14</t>
    </r>
  </si>
  <si>
    <r>
      <t>M</t>
    </r>
    <r>
      <rPr>
        <b/>
        <vertAlign val="subscript"/>
        <sz val="10"/>
        <color theme="1" tint="0.24994659260841701"/>
        <rFont val="Arial"/>
        <family val="1"/>
      </rPr>
      <t>vol,m=14</t>
    </r>
  </si>
  <si>
    <r>
      <t>MN</t>
    </r>
    <r>
      <rPr>
        <b/>
        <vertAlign val="subscript"/>
        <sz val="10"/>
        <color theme="1" tint="0.24994659260841701"/>
        <rFont val="Arial"/>
        <family val="1"/>
      </rPr>
      <t>ATMOS</t>
    </r>
  </si>
  <si>
    <t>GHG emissions method 1</t>
  </si>
  <si>
    <t>GHG emissions method 2</t>
  </si>
  <si>
    <t>4.3.1.1-2 Manure methane</t>
  </si>
  <si>
    <t>4.3.1.3-4 Manure direct N2O</t>
  </si>
  <si>
    <t>4.3.1.5 Manure atmospheric deposition</t>
  </si>
  <si>
    <t>4.3.1.6-7 Manure leaching and runoff</t>
  </si>
  <si>
    <t>CO2-e emissions method 1</t>
  </si>
  <si>
    <t>CO2-e emissions method 2</t>
  </si>
  <si>
    <t>Scope 1 - This dairy</t>
  </si>
  <si>
    <t>Month</t>
  </si>
  <si>
    <t>Season</t>
  </si>
  <si>
    <t>Scope 1: Mass of nitrogen applied as fertiliser on own farm</t>
  </si>
  <si>
    <t>* Scope 1: Manure that is removed from MMS and used as fertiliser on the farm, for other enterprises (eg crops)</t>
  </si>
  <si>
    <r>
      <t>Manure nitrogen deposited on farm soils (</t>
    </r>
    <r>
      <rPr>
        <i/>
        <sz val="10"/>
        <color theme="1" tint="0.24994659260841701"/>
        <rFont val="Arial"/>
        <family val="1"/>
      </rPr>
      <t>including</t>
    </r>
    <r>
      <rPr>
        <sz val="10"/>
        <color theme="1" tint="0.24994659260841701"/>
        <rFont val="Arial"/>
        <family val="1"/>
      </rPr>
      <t xml:space="preserve"> use as fertiliser for other enterprises on own farm eg crops)</t>
    </r>
  </si>
  <si>
    <t>M2_Table_MN_leach_j_m</t>
  </si>
  <si>
    <t>Mass of N lost to leaching and runoff from MMS (Method 2)</t>
  </si>
  <si>
    <t>M1_Table_MN_leach_j_m</t>
  </si>
  <si>
    <t>Mass of N lost to leaching and runoff from MMS (Method 1)</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</si>
  <si>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</si>
  <si>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</si>
  <si>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</si>
  <si>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</si>
  <si>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</si>
  <si>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</si>
  <si>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</si>
  <si>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</si>
  <si>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</si>
  <si>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</si>
  <si>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</si>
  <si>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</si>
  <si>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</si>
  <si>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</si>
  <si>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</si>
  <si>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NOTE: Drains to paddock uses 'Liquid slurry' MCFs</t>
  </si>
  <si>
    <t>NOTE: 'Sump and dispersal' uses 'Daily spread' MCFs</t>
  </si>
  <si>
    <t>M2_Table_MCF_i_m</t>
  </si>
  <si>
    <t>Methane conversion factor for state (Method 2)</t>
  </si>
  <si>
    <t>NOTE: 'Pasture range and paddock' MCF is state-based</t>
  </si>
  <si>
    <r>
      <t>E</t>
    </r>
    <r>
      <rPr>
        <vertAlign val="subscript"/>
        <sz val="10"/>
        <color theme="1" tint="0.24994659260841701"/>
        <rFont val="Arial"/>
        <family val="1"/>
      </rPr>
      <t>CO2e</t>
    </r>
    <r>
      <rPr>
        <sz val="10"/>
        <color theme="1" tint="0.24994659260841701"/>
        <rFont val="Arial"/>
        <family val="1"/>
      </rPr>
      <t xml:space="preserve"> (Method 2)</t>
    </r>
  </si>
  <si>
    <t>ECH4 (Method 2)</t>
  </si>
  <si>
    <t>`</t>
  </si>
  <si>
    <t>M2_Table_MMS_j_m-14</t>
  </si>
  <si>
    <t>Fraction of manure deposited on pasture range and paddock (Method 2)</t>
  </si>
  <si>
    <t xml:space="preserve">    Click on a box to go to the corresponding calculation.</t>
  </si>
  <si>
    <t>4.3: Manure Management: Dairy: Overview</t>
  </si>
  <si>
    <t>Destination after stage 2 MMS (Percent)</t>
  </si>
  <si>
    <t>►</t>
  </si>
  <si>
    <t>Sold</t>
  </si>
  <si>
    <t>Fert for own farm (eg crop)</t>
  </si>
  <si>
    <t>Direct application to soil</t>
  </si>
  <si>
    <t>PF_scope</t>
  </si>
  <si>
    <t>PF_fert</t>
  </si>
  <si>
    <t>Solid storage (after solid separation) - Method 1</t>
  </si>
  <si>
    <t>Solid storage (after solid separation) - Method 2</t>
  </si>
  <si>
    <t>💡 Below is a diagram that maps the equations used to calculate emissions, how they interact with each other and how they align with dairy manure management processes.</t>
  </si>
  <si>
    <t>Source Data - Dairy</t>
  </si>
  <si>
    <t>Milk production unit</t>
  </si>
  <si>
    <t>For milk solids only:</t>
  </si>
  <si>
    <t>Method 1 (don't edit)</t>
  </si>
  <si>
    <t>Method 2 (edit if known)</t>
  </si>
  <si>
    <t>Fat content in fat and protein corrected milk</t>
  </si>
  <si>
    <t>percent</t>
  </si>
  <si>
    <t>Protein content in fat and protein corrected milk</t>
  </si>
  <si>
    <t>M1_Table_MS_j</t>
  </si>
  <si>
    <t>Milk solids production (Method 1)</t>
  </si>
  <si>
    <t>M1_Table_MP_j_from_solids</t>
  </si>
  <si>
    <t>Milk production from milk solids (Method 1)</t>
  </si>
  <si>
    <t>M2_Table_MP_j_from_solids</t>
  </si>
  <si>
    <t>Milk production from milk solids (Method 2)</t>
  </si>
  <si>
    <t>Litres of milk</t>
  </si>
  <si>
    <t>Methane production from manure management (Method 2)</t>
  </si>
  <si>
    <t>Fraction volatile solids to MMS other than solid storage (Method 2)</t>
  </si>
  <si>
    <t>Duration of stay of weaned cattle &lt; 1 year (Method 2)</t>
  </si>
  <si>
    <t>Duration of stay of of pre-weaned dairy cattle in all classes (Method 2)</t>
  </si>
  <si>
    <t>Total annual nitrogen excreted cattle &lt; 1 year old (Method 2)</t>
  </si>
  <si>
    <t>M2_Table_AE_j-1-2-4</t>
  </si>
  <si>
    <t>Total annual nitrogen excreted cattle &gt; 1 year old (Method 2)</t>
  </si>
  <si>
    <t>M2_Table_D_j-1-2-4</t>
  </si>
  <si>
    <t>M2_Table_CP_j</t>
  </si>
  <si>
    <t>Crude protein content of feed intake for each animal class j (Method 2)</t>
  </si>
  <si>
    <t>M2_Table_CPI_j</t>
  </si>
  <si>
    <t>Crude protein intake for each animal class j (Method 2)</t>
  </si>
  <si>
    <t>Relative size for each animal class (Method 2)</t>
  </si>
  <si>
    <t>Total annual direct N2O emissions from each MMS (Method 2)</t>
  </si>
  <si>
    <t>Total annual nitrogen excreted all cattle (Method 2)</t>
  </si>
  <si>
    <t>M2_Table_AE_j</t>
  </si>
  <si>
    <t>Climate Zone</t>
  </si>
  <si>
    <t>EFNi &amp; EFN2Oi</t>
  </si>
  <si>
    <t xml:space="preserve"> N in manure (Method 1)</t>
  </si>
  <si>
    <t xml:space="preserve"> N in manure (Method 2)</t>
  </si>
  <si>
    <t>Western Australia</t>
  </si>
  <si>
    <t>Livestock classes</t>
  </si>
  <si>
    <t>Livestock class</t>
  </si>
  <si>
    <t>Table_LivestockClasses_Dairy</t>
  </si>
  <si>
    <t>Home</t>
  </si>
  <si>
    <t>Data quality scoring</t>
  </si>
  <si>
    <t>Table_SourceData_DataQuality_TemporalRepresentativeness</t>
  </si>
  <si>
    <t>Description</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</si>
  <si>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</si>
  <si>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</si>
  <si>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</si>
  <si>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</si>
  <si>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</si>
  <si>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</si>
  <si>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</si>
  <si>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</si>
  <si>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</si>
  <si>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</si>
  <si>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</si>
  <si>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</si>
  <si>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</si>
  <si>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</si>
  <si>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</si>
  <si>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</si>
  <si>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</si>
  <si>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</si>
  <si>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</si>
  <si>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</si>
  <si>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</si>
  <si>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</si>
  <si>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</si>
  <si>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</si>
  <si>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</si>
  <si>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</si>
  <si>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</si>
  <si>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</si>
  <si>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</si>
  <si>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</si>
  <si>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</si>
  <si>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</si>
  <si>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</si>
  <si>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</si>
  <si>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</si>
  <si>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</si>
  <si>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</si>
  <si>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</si>
  <si>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</si>
  <si>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</si>
  <si>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</si>
  <si>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</si>
  <si>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</si>
  <si>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</si>
  <si>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</si>
  <si>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Acknowledgements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</si>
</sst>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 numFmtId="171" formatCode="0.0%"/>
  </numFmts>
  <fonts count="70" x14ac:knownFonts="1">
    <font>
      <sz val="10"/>
      <color theme="1"/>
      <name val="Arial"/>
      <family val="2"/>
    </font>
    <font>
      <i/>
      <sz val="10"/>
      <color theme="1" tint="0.499984740745262"/>
      <name val="Arial"/>
      <family val="1"/>
    </font>
    <font>
      <sz val="10"/>
      <color theme="1" tint="0.14999847407452621"/>
      <name val="Arial"/>
      <family val="1"/>
    </font>
    <font>
      <b/>
      <sz val="10"/>
      <color theme="1" tint="0.14999847407452621"/>
      <name val="Arial"/>
      <family val="1"/>
    </font>
    <font>
      <b/>
      <sz val="18"/>
      <color rgb="FF183C1B"/>
      <name val="Arial"/>
      <family val="1"/>
    </font>
    <font>
      <b/>
      <sz val="10"/>
      <color rgb="FF183C1B"/>
      <name val="Arial"/>
      <family val="1"/>
    </font>
    <font>
      <i/>
      <sz val="10"/>
      <color theme="1" tint="0.34998626667073579"/>
      <name val="Arial"/>
      <family val="1"/>
    </font>
    <font>
      <sz val="10"/>
      <color theme="1" tint="0.34998626667073579"/>
      <name val="Arial"/>
      <family val="1"/>
    </font>
    <font>
      <sz val="10"/>
      <color theme="1" tint="0.14996795556505021"/>
      <name val="Arial"/>
      <family val="1"/>
    </font>
    <font>
      <i/>
      <sz val="9"/>
      <color theme="1" tint="0.34998626667073579"/>
      <name val="Arial"/>
      <family val="1"/>
    </font>
    <font>
      <sz val="10"/>
      <color theme="1"/>
      <name val="Arial"/>
      <family val="2"/>
    </font>
    <font>
      <b/>
      <sz val="18"/>
      <color rgb="FFCC6600"/>
      <name val="Arial"/>
      <family val="1"/>
    </font>
    <font>
      <i/>
      <sz val="10"/>
      <color rgb="FFCC6600"/>
      <name val="Arial"/>
      <family val="1"/>
    </font>
    <font>
      <b/>
      <sz val="10"/>
      <color rgb="FF533001"/>
      <name val="Arial"/>
      <family val="1"/>
    </font>
    <font>
      <i/>
      <strike/>
      <sz val="10"/>
      <color theme="1" tint="0.499984740745262"/>
      <name val="Arial"/>
      <family val="1"/>
    </font>
    <font>
      <b/>
      <i/>
      <strike/>
      <sz val="10"/>
      <color theme="1" tint="0.499984740745262"/>
      <name val="Arial"/>
      <family val="1"/>
    </font>
    <font>
      <sz val="9"/>
      <color theme="1" tint="0.499984740745262"/>
      <name val="Courier New"/>
      <family val="3"/>
    </font>
    <font>
      <b/>
      <sz val="14"/>
      <color theme="0"/>
      <name val="Arial"/>
      <family val="1"/>
    </font>
    <font>
      <u/>
      <sz val="10"/>
      <color theme="10"/>
      <name val="Arial"/>
      <family val="2"/>
    </font>
    <font>
      <sz val="9"/>
      <color theme="1" tint="0.249977111117893"/>
      <name val="Arial"/>
      <family val="1"/>
    </font>
    <font>
      <sz val="9"/>
      <color rgb="FF008000"/>
      <name val="Arial"/>
      <family val="1"/>
    </font>
    <font>
      <sz val="9"/>
      <color rgb="FFCC6600"/>
      <name val="Arial"/>
      <family val="1"/>
    </font>
    <font>
      <sz val="10"/>
      <color theme="0"/>
      <name val="Arial"/>
      <family val="1"/>
    </font>
    <font>
      <sz val="8"/>
      <name val="Arial"/>
      <family val="2"/>
    </font>
    <font>
      <sz val="10"/>
      <color theme="1" tint="0.499984740745262"/>
      <name val="Arial"/>
      <family val="1"/>
    </font>
    <font>
      <sz val="10"/>
      <color theme="1"/>
      <name val="Arial"/>
      <family val="1"/>
    </font>
    <font>
      <sz val="10"/>
      <color theme="1"/>
      <name val="Arial"/>
      <family val="1"/>
    </font>
    <font>
      <b/>
      <sz val="10"/>
      <color theme="1"/>
      <name val="Arial"/>
      <family val="1"/>
    </font>
    <font>
      <b/>
      <sz val="10"/>
      <color theme="1" tint="0.249977111117893"/>
      <name val="Arial"/>
      <family val="1"/>
    </font>
    <font>
      <sz val="10"/>
      <color theme="1" tint="0.249977111117893"/>
      <name val="Arial"/>
      <family val="1"/>
    </font>
    <font>
      <b/>
      <sz val="10"/>
      <color theme="1" tint="0.249977111117893"/>
      <name val="Arial"/>
      <family val="1"/>
    </font>
    <font>
      <b/>
      <sz val="10"/>
      <color theme="1"/>
      <name val="Arial"/>
      <family val="1"/>
    </font>
    <font>
      <b/>
      <sz val="12"/>
      <color theme="1"/>
      <name val="Arial"/>
      <family val="1"/>
    </font>
    <font>
      <sz val="10"/>
      <color rgb="FF242424"/>
      <name val="Consolas"/>
      <family val="3"/>
    </font>
    <font>
      <sz val="10"/>
      <color theme="0" tint="-4.9989318521683403E-2"/>
      <name val="Arial"/>
      <family val="1"/>
    </font>
    <font>
      <sz val="9"/>
      <color theme="1" tint="0.34998626667073579"/>
      <name val="Arial"/>
      <family val="1"/>
    </font>
    <font>
      <sz val="9"/>
      <name val="Arial"/>
      <family val="2"/>
    </font>
    <font>
      <sz val="16"/>
      <color theme="1" tint="0.14996795556505021"/>
      <name val="Arial"/>
      <family val="1"/>
    </font>
    <font>
      <sz val="9"/>
      <color theme="1" tint="0.34998626667073579"/>
      <name val="Arial"/>
      <family val="2"/>
    </font>
    <font>
      <sz val="10"/>
      <color theme="1" tint="0.24994659260841701"/>
      <name val="Arial"/>
      <family val="1"/>
    </font>
    <font>
      <b/>
      <vertAlign val="subscript"/>
      <sz val="10"/>
      <color rgb="FF183C1B"/>
      <name val="Arial"/>
      <family val="1"/>
    </font>
    <font>
      <b/>
      <sz val="10"/>
      <color theme="1" tint="0.24994659260841701"/>
      <name val="Arial"/>
      <family val="1"/>
    </font>
    <font>
      <sz val="10"/>
      <color rgb="FFC44340"/>
      <name val="Arial"/>
      <family val="1"/>
    </font>
    <font>
      <sz val="10"/>
      <color rgb="FF008000"/>
      <name val="Arial"/>
      <family val="1"/>
    </font>
    <font>
      <sz val="10"/>
      <color rgb="FF0070C0"/>
      <name val="Arial"/>
      <family val="1"/>
    </font>
    <font>
      <b/>
      <sz val="10"/>
      <color rgb="FF0070C0"/>
      <name val="Arial"/>
      <family val="1"/>
    </font>
    <font>
      <b/>
      <sz val="10"/>
      <color theme="0"/>
      <name val="Arial"/>
      <family val="1"/>
    </font>
    <font>
      <b/>
      <sz val="10"/>
      <color theme="0" tint="-0.499984740745262"/>
      <name val="Arial"/>
      <family val="1"/>
    </font>
    <font>
      <sz val="9"/>
      <color theme="0" tint="-0.499984740745262"/>
      <name val="Arial"/>
      <family val="1"/>
    </font>
    <font>
      <b/>
      <sz val="14"/>
      <color theme="1" tint="0.24994659260841701"/>
      <name val="Arial"/>
      <family val="1"/>
    </font>
    <font>
      <sz val="14"/>
      <color theme="1" tint="0.24994659260841701"/>
      <name val="Arial"/>
      <family val="1"/>
    </font>
    <font>
      <i/>
      <sz val="14"/>
      <color theme="1" tint="0.34998626667073579"/>
      <name val="Arial"/>
      <family val="1"/>
    </font>
    <font>
      <vertAlign val="subscript"/>
      <sz val="10"/>
      <color theme="1" tint="0.24994659260841701"/>
      <name val="Arial"/>
      <family val="1"/>
    </font>
    <font>
      <sz val="12"/>
      <color theme="1" tint="0.34998626667073579"/>
      <name val="Arial"/>
      <family val="1"/>
    </font>
    <font>
      <b/>
      <sz val="10"/>
      <color rgb="FFCC6600"/>
      <name val="Arial"/>
      <family val="1"/>
    </font>
    <font>
      <b/>
      <sz val="10"/>
      <color theme="1"/>
      <name val="Arial"/>
      <family val="2"/>
    </font>
    <font>
      <b/>
      <vertAlign val="subscript"/>
      <sz val="14"/>
      <color theme="1" tint="0.24994659260841701"/>
      <name val="Arial"/>
      <family val="1"/>
    </font>
    <font>
      <b/>
      <vertAlign val="subscript"/>
      <sz val="10"/>
      <color theme="1" tint="0.24994659260841701"/>
      <name val="Arial"/>
      <family val="1"/>
    </font>
    <font>
      <sz val="10"/>
      <color rgb="FFCC6600"/>
      <name val="Arial"/>
      <family val="1"/>
    </font>
    <font>
      <b/>
      <sz val="18"/>
      <color theme="4" tint="-0.249977111117893"/>
      <name val="Arial"/>
      <family val="1"/>
    </font>
    <font>
      <b/>
      <sz val="10"/>
      <color theme="1" tint="0.499984740745262"/>
      <name val="Arial"/>
      <family val="1"/>
    </font>
    <font>
      <sz val="9"/>
      <color theme="1" tint="0.499984740745262"/>
      <name val="Arial"/>
      <family val="1"/>
    </font>
    <font>
      <i/>
      <sz val="10"/>
      <color theme="1" tint="0.24994659260841701"/>
      <name val="Arial"/>
      <family val="1"/>
    </font>
    <font>
      <i/>
      <sz val="9"/>
      <color theme="6" tint="-0.499984740745262"/>
      <name val="Arial"/>
      <family val="1"/>
    </font>
    <font>
      <u/>
      <sz val="9"/>
      <color theme="1" tint="0.34998626667073579"/>
      <name val="Arial"/>
      <family val="1"/>
    </font>
    <font>
      <i/>
      <sz val="9"/>
      <color theme="5" tint="-0.499984740745262"/>
      <name val="Arial"/>
      <family val="1"/>
    </font>
    <font>
      <i/>
      <sz val="9"/>
      <color theme="1" tint="0.14999847407452621"/>
      <name val="Arial"/>
      <family val="1"/>
    </font>
    <font>
      <b/>
      <sz val="18"/>
      <color theme="3" tint="9.9978637043366805E-2"/>
      <name val="Arial"/>
      <family val="1"/>
    </font>
    <font>
      <b/>
      <sz val="20"/>
      <color theme="5" tint="-0.499984740745262"/>
      <name val="Arial"/>
      <family val="1"/>
    </font>
    <font>
      <sz val="9"/>
      <color rgb="FF404040"/>
      <name val="Arial"/>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7" fillId="4" borderId="0">
      <alignment horizontal="left" vertical="center"/>
    </xf>
    <xf numFmtId="0" fontId="43" fillId="4" borderId="0">
      <alignment vertical="center"/>
    </xf>
    <xf numFmtId="0" fontId="3" fillId="4" borderId="0">
      <alignment horizontal="left" vertical="center"/>
    </xf>
    <xf numFmtId="0" fontId="3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4"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3" fillId="4" borderId="0">
      <alignment horizontal="left" vertical="center"/>
    </xf>
    <xf numFmtId="0" fontId="38"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7" fillId="4" borderId="0">
      <alignment horizontal="left" vertical="center"/>
    </xf>
    <xf numFmtId="0" fontId="48" fillId="4" borderId="0">
      <alignment horizontal="left" vertical="center"/>
    </xf>
    <xf numFmtId="0" fontId="54" fillId="4" borderId="0">
      <alignment horizontal="left" vertical="center"/>
    </xf>
    <xf numFmtId="0" fontId="46" fillId="11" borderId="0">
      <alignment horizontal="center" vertical="center"/>
    </xf>
    <xf numFmtId="0" fontId="22" fillId="11" borderId="0">
      <alignment horizontal="left" vertical="center" indent="1"/>
    </xf>
    <xf numFmtId="0" fontId="63" fillId="15" borderId="2">
      <alignment horizontal="center" vertical="center"/>
    </xf>
    <xf numFmtId="0" fontId="64" fillId="4" borderId="2">
      <alignment horizontal="left" vertical="center"/>
    </xf>
    <xf numFmtId="0" fontId="65" fillId="16" borderId="2">
      <alignment horizontal="center" vertical="center"/>
    </xf>
    <xf numFmtId="0" fontId="35" fillId="4" borderId="2">
      <alignment horizontal="left" vertical="center"/>
    </xf>
    <xf numFmtId="0" fontId="66" fillId="0" borderId="0"/>
  </cellStyleXfs>
  <cellXfs count="156">
    <xf numFmtId="0" fontId="0" fillId="0" borderId="0" xfId="0"/>
    <xf numFmtId="0" fontId="39"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7"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22" fillId="5" borderId="0" xfId="38">
      <alignment horizontal="left" vertical="center" indent="1"/>
    </xf>
    <xf numFmtId="0" fontId="22" fillId="8" borderId="0" xfId="39">
      <alignment horizontal="left" vertical="center" indent="1"/>
    </xf>
    <xf numFmtId="0" fontId="44"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39"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30">
      <alignment horizontal="center" vertical="center"/>
      <protection locked="0"/>
    </xf>
    <xf numFmtId="0" fontId="3" fillId="12" borderId="2" xfId="16">
      <alignment horizontal="center" vertical="center"/>
    </xf>
    <xf numFmtId="0" fontId="37" fillId="0" borderId="0" xfId="5" applyFill="1">
      <alignment horizontal="left" vertical="center"/>
    </xf>
    <xf numFmtId="0" fontId="43" fillId="0" borderId="0" xfId="6" applyFill="1">
      <alignment vertical="center"/>
    </xf>
    <xf numFmtId="0" fontId="39" fillId="0" borderId="0" xfId="8" applyFill="1">
      <alignment horizontal="left" vertical="center"/>
    </xf>
    <xf numFmtId="0" fontId="9" fillId="0" borderId="0" xfId="12" applyFont="1" applyFill="1" applyAlignment="1">
      <alignment horizontal="left" vertical="center"/>
    </xf>
    <xf numFmtId="0" fontId="39"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3"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35" fillId="4" borderId="6"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2" xfId="59">
      <alignment horizontal="center" vertical="center"/>
    </xf>
    <xf numFmtId="0" fontId="11" fillId="0" borderId="0" xfId="33"/>
    <xf numFmtId="0" fontId="22" fillId="10" borderId="0" xfId="37">
      <alignment horizontal="left" vertical="center" indent="1"/>
    </xf>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4" fillId="13" borderId="10" xfId="41" applyBorder="1">
      <alignment horizontal="left" vertical="center"/>
    </xf>
    <xf numFmtId="0" fontId="44" fillId="13" borderId="12" xfId="41" applyBorder="1">
      <alignment horizontal="left" vertical="center"/>
    </xf>
    <xf numFmtId="0" fontId="44" fillId="13" borderId="14" xfId="41" applyBorder="1">
      <alignment horizontal="left" vertical="center"/>
    </xf>
    <xf numFmtId="0" fontId="44" fillId="13" borderId="13" xfId="41" applyBorder="1">
      <alignment horizontal="left" vertical="center"/>
    </xf>
    <xf numFmtId="0" fontId="44" fillId="13" borderId="15" xfId="41" applyBorder="1">
      <alignment horizontal="left" vertical="center"/>
    </xf>
    <xf numFmtId="0" fontId="44" fillId="13" borderId="17" xfId="41" applyBorder="1">
      <alignment horizontal="left" vertical="center"/>
    </xf>
    <xf numFmtId="0" fontId="44" fillId="13" borderId="11" xfId="41" applyBorder="1">
      <alignment horizontal="left" vertical="center"/>
    </xf>
    <xf numFmtId="0" fontId="44" fillId="13" borderId="16" xfId="41" applyBorder="1">
      <alignment horizontal="left" vertical="center"/>
    </xf>
    <xf numFmtId="0" fontId="44" fillId="13" borderId="18" xfId="41" applyBorder="1">
      <alignment horizontal="left" vertical="center"/>
    </xf>
    <xf numFmtId="0" fontId="45" fillId="13" borderId="9" xfId="41" applyFont="1" applyBorder="1">
      <alignment horizontal="left" vertical="center"/>
    </xf>
    <xf numFmtId="9" fontId="35" fillId="4" borderId="2" xfId="14" applyFont="1" applyFill="1" applyBorder="1" applyAlignment="1">
      <alignment horizontal="center" vertical="center"/>
    </xf>
    <xf numFmtId="0" fontId="0" fillId="0" borderId="0" xfId="1" applyFont="1" applyFill="1">
      <alignment horizontal="left" vertical="center" indent="1"/>
      <protection locked="0"/>
    </xf>
    <xf numFmtId="0" fontId="48" fillId="4" borderId="0" xfId="61">
      <alignment horizontal="left" vertical="center"/>
    </xf>
    <xf numFmtId="0" fontId="47" fillId="4" borderId="0" xfId="60">
      <alignment horizontal="left" vertical="center"/>
    </xf>
    <xf numFmtId="0" fontId="35" fillId="4" borderId="19" xfId="55" applyBorder="1" applyAlignment="1">
      <alignment horizontal="left" vertical="center"/>
    </xf>
    <xf numFmtId="3" fontId="2" fillId="0" borderId="2" xfId="19">
      <alignment horizontal="center" vertical="center"/>
    </xf>
    <xf numFmtId="3" fontId="35" fillId="4" borderId="2" xfId="55" applyNumberFormat="1">
      <alignment horizontal="center" vertical="center"/>
    </xf>
    <xf numFmtId="0" fontId="49" fillId="4" borderId="1" xfId="8" applyFont="1" applyBorder="1">
      <alignment horizontal="left" vertical="center"/>
    </xf>
    <xf numFmtId="0" fontId="50" fillId="4" borderId="1" xfId="8" applyFont="1" applyBorder="1">
      <alignment horizontal="left" vertical="center"/>
    </xf>
    <xf numFmtId="0" fontId="51"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4" fillId="4" borderId="0" xfId="62">
      <alignment horizontal="left" vertical="center"/>
    </xf>
    <xf numFmtId="0" fontId="39" fillId="14" borderId="0" xfId="8" applyFill="1">
      <alignment horizontal="left" vertical="center"/>
    </xf>
    <xf numFmtId="0" fontId="44" fillId="13" borderId="9" xfId="41" applyBorder="1">
      <alignment horizontal="left" vertical="center"/>
    </xf>
    <xf numFmtId="9" fontId="8" fillId="4" borderId="0" xfId="11">
      <alignment horizontal="center" vertical="center"/>
    </xf>
    <xf numFmtId="164" fontId="8" fillId="4" borderId="0" xfId="10">
      <alignment horizontal="center" vertical="center"/>
    </xf>
    <xf numFmtId="0" fontId="41" fillId="4" borderId="1" xfId="8" applyFont="1" applyBorder="1">
      <alignment horizontal="left" vertical="center"/>
    </xf>
    <xf numFmtId="2" fontId="32" fillId="4" borderId="1" xfId="0" applyNumberFormat="1" applyFont="1" applyFill="1" applyBorder="1" applyAlignment="1">
      <alignment horizontal="center"/>
    </xf>
    <xf numFmtId="0" fontId="58" fillId="4" borderId="0" xfId="62" applyFont="1">
      <alignment horizontal="left" vertical="center"/>
    </xf>
    <xf numFmtId="0" fontId="39" fillId="4" borderId="0" xfId="8" applyAlignment="1">
      <alignment horizontal="center" vertical="center"/>
    </xf>
    <xf numFmtId="0" fontId="46" fillId="11" borderId="0" xfId="63">
      <alignment horizontal="center" vertical="center"/>
    </xf>
    <xf numFmtId="0" fontId="22" fillId="11" borderId="0" xfId="64">
      <alignment horizontal="left" vertical="center" indent="1"/>
    </xf>
    <xf numFmtId="0" fontId="59" fillId="0" borderId="0" xfId="2" applyFont="1"/>
    <xf numFmtId="0" fontId="55" fillId="2" borderId="0" xfId="8" applyFont="1" applyFill="1">
      <alignment horizontal="left" vertical="center"/>
    </xf>
    <xf numFmtId="0" fontId="17" fillId="4" borderId="0" xfId="32" applyFill="1">
      <alignment vertical="center"/>
    </xf>
    <xf numFmtId="170" fontId="39" fillId="4" borderId="0" xfId="8" applyNumberFormat="1">
      <alignment horizontal="left" vertical="center"/>
    </xf>
    <xf numFmtId="0" fontId="60" fillId="4" borderId="0" xfId="8" applyFont="1">
      <alignment horizontal="left" vertical="center"/>
    </xf>
    <xf numFmtId="0" fontId="61" fillId="4" borderId="0" xfId="8" applyFont="1">
      <alignment horizontal="left" vertical="center"/>
    </xf>
    <xf numFmtId="171" fontId="39" fillId="4" borderId="0" xfId="8" applyNumberFormat="1">
      <alignment horizontal="left" vertical="center"/>
    </xf>
    <xf numFmtId="43" fontId="39" fillId="4" borderId="0" xfId="42" applyFont="1" applyFill="1" applyAlignment="1">
      <alignment horizontal="left" vertical="center"/>
    </xf>
    <xf numFmtId="0" fontId="10" fillId="0" borderId="0" xfId="46"/>
    <xf numFmtId="0" fontId="63" fillId="15" borderId="2" xfId="65">
      <alignment horizontal="center" vertical="center"/>
    </xf>
    <xf numFmtId="0" fontId="64" fillId="4" borderId="2" xfId="66">
      <alignment horizontal="left" vertical="center"/>
    </xf>
    <xf numFmtId="0" fontId="65" fillId="16" borderId="2" xfId="67">
      <alignment horizontal="center" vertical="center"/>
    </xf>
    <xf numFmtId="0" fontId="35" fillId="4" borderId="7" xfId="68" applyBorder="1">
      <alignment horizontal="left" vertical="center"/>
    </xf>
    <xf numFmtId="0" fontId="35" fillId="4" borderId="2" xfId="68">
      <alignment horizontal="left" vertical="center"/>
    </xf>
    <xf numFmtId="0" fontId="35" fillId="4" borderId="6" xfId="68" applyBorder="1">
      <alignment horizontal="left" vertical="center"/>
    </xf>
    <xf numFmtId="171" fontId="2" fillId="0" borderId="2" xfId="14" applyNumberFormat="1" applyFont="1" applyBorder="1" applyAlignment="1">
      <alignment horizontal="center" vertical="center"/>
    </xf>
    <xf numFmtId="171" fontId="35" fillId="4" borderId="2" xfId="14" applyNumberFormat="1" applyFont="1" applyFill="1" applyBorder="1" applyAlignment="1">
      <alignment horizontal="center" vertical="center"/>
    </xf>
    <xf numFmtId="0" fontId="66" fillId="0" borderId="0" xfId="69"/>
    <xf numFmtId="0" fontId="35" fillId="4" borderId="19" xfId="68" applyBorder="1">
      <alignment horizontal="left" vertical="center"/>
    </xf>
    <xf numFmtId="0" fontId="67" fillId="9" borderId="0" xfId="33" applyFont="1" applyFill="1"/>
    <xf numFmtId="0" fontId="39" fillId="9" borderId="0" xfId="8" applyFill="1">
      <alignment horizontal="left" vertical="center"/>
    </xf>
    <xf numFmtId="0" fontId="17" fillId="11" borderId="0" xfId="32" applyFill="1">
      <alignment vertical="center"/>
    </xf>
    <xf numFmtId="0" fontId="68" fillId="4" borderId="0" xfId="62" applyFont="1">
      <alignment horizontal="left" vertical="center"/>
    </xf>
    <xf numFmtId="10" fontId="39" fillId="4" borderId="0" xfId="8" applyNumberFormat="1">
      <alignment horizontal="left" vertical="center"/>
    </xf>
    <xf numFmtId="0" fontId="13" fillId="6" borderId="0" xfId="29" applyAlignment="1">
      <alignment horizontal="left" vertical="center" indent="6"/>
    </xf>
    <xf numFmtId="0" fontId="41" fillId="4" borderId="0" xfId="8" applyFont="1" applyAlignment="1">
      <alignment horizontal="left" vertical="center" indent="6"/>
    </xf>
    <xf numFmtId="0" fontId="39" fillId="4" borderId="0" xfId="8" applyAlignment="1">
      <alignment horizontal="left" vertical="center" indent="6"/>
    </xf>
    <xf numFmtId="0" fontId="44" fillId="13" borderId="21" xfId="41" applyBorder="1">
      <alignment horizontal="left" vertical="center"/>
    </xf>
    <xf numFmtId="0" fontId="44" fillId="13" borderId="20" xfId="41" applyBorder="1">
      <alignment horizontal="left" vertical="center"/>
    </xf>
    <xf numFmtId="0" fontId="45" fillId="13" borderId="21" xfId="41" applyFont="1" applyBorder="1">
      <alignment horizontal="left" vertical="center"/>
    </xf>
    <xf numFmtId="171" fontId="2" fillId="0" borderId="2" xfId="17" applyNumberFormat="1">
      <alignment horizontal="center" vertical="center"/>
    </xf>
    <xf numFmtId="0" fontId="39" fillId="4" borderId="0" xfId="8" applyAlignment="1">
      <alignment horizontal="left" vertical="center" indent="9"/>
    </xf>
    <xf numFmtId="0" fontId="39" fillId="4" borderId="0" xfId="8" applyAlignment="1">
      <alignment horizontal="left" vertical="center" indent="3"/>
    </xf>
    <xf numFmtId="0" fontId="13" fillId="6" borderId="0" xfId="29" applyAlignment="1">
      <alignment horizontal="left" vertical="center"/>
    </xf>
    <xf numFmtId="0" fontId="69" fillId="9" borderId="5" xfId="36" applyFont="1">
      <alignment horizontal="left" vertical="center" indent="1"/>
    </xf>
    <xf numFmtId="0" fontId="18" fillId="0" borderId="0" xfId="34"/>
  </cellXfs>
  <cellStyles count="70">
    <cellStyle name="Alert" xfId="62" xr:uid="{34EFE908-8095-4010-8F93-8CFE88055637}"/>
    <cellStyle name="Arguments" xfId="68" xr:uid="{FA757B97-4758-40CB-8A6E-0394BBFDA67B}"/>
    <cellStyle name="Arguments hyperlink" xfId="66" xr:uid="{33A5ECEB-99F2-4A12-BA97-44EC5955E59E}"/>
    <cellStyle name="Back to top link" xfId="69" xr:uid="{10673712-2C80-48FA-8576-FE2FBB8719E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7" xr:uid="{8B650911-9251-4CA7-8D5F-FC6CA32FF621}"/>
    <cellStyle name="Variable type other" xfId="65" xr:uid="{B3E8C5CF-C085-4800-95E7-0E14E266DEDE}"/>
  </cellStyles>
  <dxfs count="92">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91"/>
      <tableStyleElement type="headerRow" dxfId="90"/>
      <tableStyleElement type="totalRow" dxfId="89"/>
      <tableStyleElement type="firstColumn" dxfId="88"/>
      <tableStyleElement type="firstRowStripe" dxfId="87"/>
      <tableStyleElement type="secondRowStripe" dxfId="86"/>
    </tableStyle>
    <tableStyle name="Equation table" pivot="0" count="6" xr9:uid="{B247698E-E41D-4CCD-AA0A-C14817E9DE65}">
      <tableStyleElement type="wholeTable" dxfId="85"/>
      <tableStyleElement type="headerRow" dxfId="84"/>
      <tableStyleElement type="totalRow" dxfId="83"/>
      <tableStyleElement type="firstColumn" dxfId="82"/>
      <tableStyleElement type="firstRowStripe" dxfId="81"/>
      <tableStyleElement type="secondRowStripe" dxfId="80"/>
    </tableStyle>
    <tableStyle name="Table Style 1" pivot="0" count="0" xr9:uid="{97B370DB-5463-4A31-9160-5A96BD6A559D}"/>
  </tableStyles>
  <colors>
    <mruColors>
      <color rgb="FF0C769E"/>
      <color rgb="FF008000"/>
      <color rgb="FF0D9D96"/>
      <color rgb="FFCC6600"/>
      <color rgb="FFC44340"/>
      <color rgb="FFFFCCCC"/>
      <color rgb="FFC4433F"/>
      <color rgb="FFE9F2FB"/>
      <color rgb="FF183C1B"/>
      <color rgb="FFB2D49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Structure" Target="richData/rdrichvaluestructure.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 Target="richData/rdrichvalu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22/10/relationships/richValueRel" Target="richData/richValueRel.xml"/><Relationship Id="rId28"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theme" Target="theme/theme1.xml"/><Relationship Id="rId31"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 Id="rId27" Type="http://schemas.openxmlformats.org/officeDocument/2006/relationships/calcChain" Target="calcChain.xml"/><Relationship Id="rId30"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4.3.1.1-2 Methane'!D107"/><Relationship Id="rId13" Type="http://schemas.openxmlformats.org/officeDocument/2006/relationships/hyperlink" Target="#'4.3.1.3-4 Direct N20'!D69"/><Relationship Id="rId18" Type="http://schemas.openxmlformats.org/officeDocument/2006/relationships/hyperlink" Target="#'4.3.1.3-4 Direct N20'!D210"/><Relationship Id="rId26" Type="http://schemas.openxmlformats.org/officeDocument/2006/relationships/hyperlink" Target="#'4.3.1.12-13 Soil leach runoff'!D5"/><Relationship Id="rId3" Type="http://schemas.openxmlformats.org/officeDocument/2006/relationships/hyperlink" Target="#'4.3.1.8 Manure applied to soils'!D5"/><Relationship Id="rId21" Type="http://schemas.openxmlformats.org/officeDocument/2006/relationships/hyperlink" Target="#'4.3.1.5 Atmos deposition'!D5"/><Relationship Id="rId7" Type="http://schemas.openxmlformats.org/officeDocument/2006/relationships/hyperlink" Target="#'4.3.1.1-2 Methane'!D88"/><Relationship Id="rId12" Type="http://schemas.openxmlformats.org/officeDocument/2006/relationships/hyperlink" Target="#'4.3.1.3-4 Direct N20'!D33"/><Relationship Id="rId17" Type="http://schemas.openxmlformats.org/officeDocument/2006/relationships/hyperlink" Target="#'4.3.1.3-4 Direct N20'!D173"/><Relationship Id="rId25" Type="http://schemas.openxmlformats.org/officeDocument/2006/relationships/hyperlink" Target="#'4.3.1.10-11 Soil Atmos Dep'!D30"/><Relationship Id="rId2" Type="http://schemas.openxmlformats.org/officeDocument/2006/relationships/hyperlink" Target="#'4.3.1.3-4 Direct N20'!D5"/><Relationship Id="rId16" Type="http://schemas.openxmlformats.org/officeDocument/2006/relationships/hyperlink" Target="#'4.3.1.3-4 Direct N20'!D143"/><Relationship Id="rId20" Type="http://schemas.openxmlformats.org/officeDocument/2006/relationships/hyperlink" Target="#'4.3.1.8 Manure applied to soils'!D89"/><Relationship Id="rId1" Type="http://schemas.openxmlformats.org/officeDocument/2006/relationships/hyperlink" Target="#'4.3.1.1-2 Methane'!D5"/><Relationship Id="rId6" Type="http://schemas.openxmlformats.org/officeDocument/2006/relationships/hyperlink" Target="#'4.3.1.1-2 Methane'!D53"/><Relationship Id="rId11" Type="http://schemas.openxmlformats.org/officeDocument/2006/relationships/hyperlink" Target="#'4.3.1.1-2 Methane'!D219"/><Relationship Id="rId24" Type="http://schemas.openxmlformats.org/officeDocument/2006/relationships/hyperlink" Target="#'4.3.1.10-11 Soil Atmos Dep'!D5"/><Relationship Id="rId5" Type="http://schemas.openxmlformats.org/officeDocument/2006/relationships/hyperlink" Target="#'4.3.1.1-2 Methane'!D27"/><Relationship Id="rId15" Type="http://schemas.openxmlformats.org/officeDocument/2006/relationships/hyperlink" Target="#'4.3.1.3-4 Direct N20'!D123"/><Relationship Id="rId23" Type="http://schemas.openxmlformats.org/officeDocument/2006/relationships/hyperlink" Target="#'4.3.1.5 Atmos deposition'!D53"/><Relationship Id="rId10" Type="http://schemas.openxmlformats.org/officeDocument/2006/relationships/hyperlink" Target="#'4.3.1.1-2 Methane'!D180"/><Relationship Id="rId19" Type="http://schemas.openxmlformats.org/officeDocument/2006/relationships/hyperlink" Target="#'4.3.1.3-4 Direct N20'!D247"/><Relationship Id="rId4" Type="http://schemas.openxmlformats.org/officeDocument/2006/relationships/hyperlink" Target="#'4.3.1.9 Soil direct N2O'!D35"/><Relationship Id="rId9" Type="http://schemas.openxmlformats.org/officeDocument/2006/relationships/hyperlink" Target="#'4.3.1.1-2 Methane'!D153"/><Relationship Id="rId14" Type="http://schemas.openxmlformats.org/officeDocument/2006/relationships/hyperlink" Target="#'4.3.1.3-4 Direct N20'!D100"/><Relationship Id="rId22" Type="http://schemas.openxmlformats.org/officeDocument/2006/relationships/hyperlink" Target="#'4.3.1.6-7 Leaching and runoff'!D5"/><Relationship Id="rId27" Type="http://schemas.openxmlformats.org/officeDocument/2006/relationships/hyperlink" Target="#'4.3.1.12-13 Soil leach runoff'!D3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7</xdr:col>
      <xdr:colOff>123990</xdr:colOff>
      <xdr:row>7</xdr:row>
      <xdr:rowOff>106369</xdr:rowOff>
    </xdr:from>
    <xdr:ext cx="1928078" cy="298800"/>
    <xdr:sp macro="" textlink="">
      <xdr:nvSpPr>
        <xdr:cNvPr id="2" name="TextBox 1">
          <a:extLst>
            <a:ext uri="{FF2B5EF4-FFF2-40B4-BE49-F238E27FC236}">
              <a16:creationId xmlns:a16="http://schemas.microsoft.com/office/drawing/2014/main" id="{1D84D715-10A5-40B7-9527-5C8FA3BD89EE}"/>
            </a:ext>
          </a:extLst>
        </xdr:cNvPr>
        <xdr:cNvSpPr txBox="1"/>
      </xdr:nvSpPr>
      <xdr:spPr>
        <a:xfrm>
          <a:off x="5253883" y="1956940"/>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200" b="0">
              <a:solidFill>
                <a:srgbClr val="0C769E"/>
              </a:solidFill>
            </a:rPr>
            <a:t>4.3.1.1-2 Methane</a:t>
          </a:r>
        </a:p>
      </xdr:txBody>
    </xdr:sp>
    <xdr:clientData/>
  </xdr:oneCellAnchor>
  <xdr:twoCellAnchor>
    <xdr:from>
      <xdr:col>3</xdr:col>
      <xdr:colOff>110835</xdr:colOff>
      <xdr:row>9</xdr:row>
      <xdr:rowOff>180108</xdr:rowOff>
    </xdr:from>
    <xdr:to>
      <xdr:col>5</xdr:col>
      <xdr:colOff>403635</xdr:colOff>
      <xdr:row>12</xdr:row>
      <xdr:rowOff>157158</xdr:rowOff>
    </xdr:to>
    <xdr:sp macro="" textlink="'4.3.1.1-2 Methane'!D5">
      <xdr:nvSpPr>
        <xdr:cNvPr id="3" name="TextBox 2">
          <a:hlinkClick xmlns:r="http://schemas.openxmlformats.org/officeDocument/2006/relationships" r:id="rId1"/>
          <a:extLst>
            <a:ext uri="{FF2B5EF4-FFF2-40B4-BE49-F238E27FC236}">
              <a16:creationId xmlns:a16="http://schemas.microsoft.com/office/drawing/2014/main" id="{110A9EA9-6A5C-4265-A12D-7D16577EF13E}"/>
            </a:ext>
          </a:extLst>
        </xdr:cNvPr>
        <xdr:cNvSpPr txBox="1"/>
      </xdr:nvSpPr>
      <xdr:spPr>
        <a:xfrm>
          <a:off x="2787360" y="2542308"/>
          <a:ext cx="1512000" cy="720000"/>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13BC695-B346-48CF-9041-49D631DF69F4}" type="TxLink">
            <a:rPr lang="en-US" sz="900" b="0" i="0" u="none" strike="noStrike">
              <a:solidFill>
                <a:srgbClr val="0D9D96"/>
              </a:solidFill>
              <a:latin typeface="Arial"/>
              <a:cs typeface="Arial"/>
            </a:rPr>
            <a:pPr algn="ctr"/>
            <a:t>Metabolisability of diet</a:t>
          </a:fld>
          <a:endParaRPr lang="en-AU" sz="900">
            <a:solidFill>
              <a:srgbClr val="0D9D96"/>
            </a:solidFill>
          </a:endParaRPr>
        </a:p>
      </xdr:txBody>
    </xdr:sp>
    <xdr:clientData/>
  </xdr:twoCellAnchor>
  <xdr:oneCellAnchor>
    <xdr:from>
      <xdr:col>11</xdr:col>
      <xdr:colOff>336371</xdr:colOff>
      <xdr:row>7</xdr:row>
      <xdr:rowOff>106369</xdr:rowOff>
    </xdr:from>
    <xdr:ext cx="1946138" cy="298800"/>
    <xdr:sp macro="" textlink="">
      <xdr:nvSpPr>
        <xdr:cNvPr id="12" name="TextBox 11">
          <a:extLst>
            <a:ext uri="{FF2B5EF4-FFF2-40B4-BE49-F238E27FC236}">
              <a16:creationId xmlns:a16="http://schemas.microsoft.com/office/drawing/2014/main" id="{D9E520E3-EDA0-4545-8A08-1BA9077945B3}"/>
            </a:ext>
          </a:extLst>
        </xdr:cNvPr>
        <xdr:cNvSpPr txBox="1"/>
      </xdr:nvSpPr>
      <xdr:spPr>
        <a:xfrm>
          <a:off x="7915550" y="1956940"/>
          <a:ext cx="194613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200" b="0">
              <a:solidFill>
                <a:schemeClr val="accent5">
                  <a:lumMod val="75000"/>
                </a:schemeClr>
              </a:solidFill>
            </a:rPr>
            <a:t>4.3.1.3-4 Direct</a:t>
          </a:r>
          <a:r>
            <a:rPr lang="en-AU" sz="1200" b="0" baseline="0">
              <a:solidFill>
                <a:schemeClr val="accent5">
                  <a:lumMod val="75000"/>
                </a:schemeClr>
              </a:solidFill>
            </a:rPr>
            <a:t> N2O</a:t>
          </a:r>
          <a:endParaRPr lang="en-AU" sz="1200" b="0">
            <a:solidFill>
              <a:schemeClr val="accent5">
                <a:lumMod val="75000"/>
              </a:schemeClr>
            </a:solidFill>
          </a:endParaRPr>
        </a:p>
      </xdr:txBody>
    </xdr:sp>
    <xdr:clientData/>
  </xdr:oneCellAnchor>
  <xdr:twoCellAnchor>
    <xdr:from>
      <xdr:col>11</xdr:col>
      <xdr:colOff>491466</xdr:colOff>
      <xdr:row>9</xdr:row>
      <xdr:rowOff>180108</xdr:rowOff>
    </xdr:from>
    <xdr:to>
      <xdr:col>14</xdr:col>
      <xdr:colOff>174666</xdr:colOff>
      <xdr:row>12</xdr:row>
      <xdr:rowOff>157158</xdr:rowOff>
    </xdr:to>
    <xdr:sp macro="" textlink="'4.3.1.3-4 Direct N20'!D5">
      <xdr:nvSpPr>
        <xdr:cNvPr id="13" name="TextBox 12">
          <a:hlinkClick xmlns:r="http://schemas.openxmlformats.org/officeDocument/2006/relationships" r:id="rId2"/>
          <a:extLst>
            <a:ext uri="{FF2B5EF4-FFF2-40B4-BE49-F238E27FC236}">
              <a16:creationId xmlns:a16="http://schemas.microsoft.com/office/drawing/2014/main" id="{A0F40C96-5DBA-4237-B85A-83903BEB28E4}"/>
            </a:ext>
          </a:extLst>
        </xdr:cNvPr>
        <xdr:cNvSpPr txBox="1"/>
      </xdr:nvSpPr>
      <xdr:spPr>
        <a:xfrm>
          <a:off x="8070645" y="2520537"/>
          <a:ext cx="1520164" cy="71183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8693AB1-EB1F-4E54-BE18-0AD5C946102B}" type="TxLink">
            <a:rPr lang="en-US" sz="900" b="0" i="0" u="none" strike="noStrike">
              <a:solidFill>
                <a:srgbClr val="002060"/>
              </a:solidFill>
              <a:latin typeface="Arial"/>
              <a:cs typeface="Arial"/>
            </a:rPr>
            <a:pPr algn="ctr"/>
            <a:t>Relative size</a:t>
          </a:fld>
          <a:endParaRPr lang="en-AU" sz="900">
            <a:solidFill>
              <a:srgbClr val="002060"/>
            </a:solidFill>
          </a:endParaRPr>
        </a:p>
      </xdr:txBody>
    </xdr:sp>
    <xdr:clientData/>
  </xdr:twoCellAnchor>
  <xdr:oneCellAnchor>
    <xdr:from>
      <xdr:col>15</xdr:col>
      <xdr:colOff>566813</xdr:colOff>
      <xdr:row>7</xdr:row>
      <xdr:rowOff>3136</xdr:rowOff>
    </xdr:from>
    <xdr:ext cx="1905000" cy="505267"/>
    <xdr:sp macro="" textlink="">
      <xdr:nvSpPr>
        <xdr:cNvPr id="16" name="TextBox 15">
          <a:extLst>
            <a:ext uri="{FF2B5EF4-FFF2-40B4-BE49-F238E27FC236}">
              <a16:creationId xmlns:a16="http://schemas.microsoft.com/office/drawing/2014/main" id="{97FDFA38-FB5B-4D8A-944A-FACF4C57836C}"/>
            </a:ext>
          </a:extLst>
        </xdr:cNvPr>
        <xdr:cNvSpPr txBox="1"/>
      </xdr:nvSpPr>
      <xdr:spPr>
        <a:xfrm>
          <a:off x="10595277" y="1853707"/>
          <a:ext cx="190500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200" b="0">
              <a:solidFill>
                <a:srgbClr val="7030A0"/>
              </a:solidFill>
            </a:rPr>
            <a:t>4.3.1.5 </a:t>
          </a:r>
          <a:br>
            <a:rPr lang="en-AU" sz="1200" b="0">
              <a:solidFill>
                <a:srgbClr val="7030A0"/>
              </a:solidFill>
            </a:rPr>
          </a:br>
          <a:r>
            <a:rPr lang="en-AU" sz="1200" b="0">
              <a:solidFill>
                <a:srgbClr val="7030A0"/>
              </a:solidFill>
            </a:rPr>
            <a:t>Atmospheric</a:t>
          </a:r>
          <a:r>
            <a:rPr lang="en-AU" sz="1200" b="0" baseline="0">
              <a:solidFill>
                <a:srgbClr val="7030A0"/>
              </a:solidFill>
            </a:rPr>
            <a:t> </a:t>
          </a:r>
          <a:r>
            <a:rPr lang="en-AU" sz="1200" b="0">
              <a:solidFill>
                <a:srgbClr val="7030A0"/>
              </a:solidFill>
            </a:rPr>
            <a:t>deposition</a:t>
          </a:r>
        </a:p>
      </xdr:txBody>
    </xdr:sp>
    <xdr:clientData/>
  </xdr:oneCellAnchor>
  <xdr:oneCellAnchor>
    <xdr:from>
      <xdr:col>20</xdr:col>
      <xdr:colOff>143795</xdr:colOff>
      <xdr:row>7</xdr:row>
      <xdr:rowOff>3136</xdr:rowOff>
    </xdr:from>
    <xdr:ext cx="1590674" cy="505267"/>
    <xdr:sp macro="" textlink="">
      <xdr:nvSpPr>
        <xdr:cNvPr id="20" name="TextBox 19">
          <a:extLst>
            <a:ext uri="{FF2B5EF4-FFF2-40B4-BE49-F238E27FC236}">
              <a16:creationId xmlns:a16="http://schemas.microsoft.com/office/drawing/2014/main" id="{8D1E9E99-F69F-4259-969F-3EA4B11C92C2}"/>
            </a:ext>
          </a:extLst>
        </xdr:cNvPr>
        <xdr:cNvSpPr txBox="1"/>
      </xdr:nvSpPr>
      <xdr:spPr>
        <a:xfrm>
          <a:off x="13233866" y="1853707"/>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200" b="0">
              <a:solidFill>
                <a:srgbClr val="C44340"/>
              </a:solidFill>
            </a:rPr>
            <a:t>4.3.1.6-7 </a:t>
          </a:r>
          <a:br>
            <a:rPr lang="en-AU" sz="1200" b="0">
              <a:solidFill>
                <a:srgbClr val="C44340"/>
              </a:solidFill>
            </a:rPr>
          </a:br>
          <a:r>
            <a:rPr lang="en-AU" sz="1200" b="0">
              <a:solidFill>
                <a:srgbClr val="C44340"/>
              </a:solidFill>
            </a:rPr>
            <a:t>Leaching &amp; runoff</a:t>
          </a:r>
        </a:p>
      </xdr:txBody>
    </xdr:sp>
    <xdr:clientData/>
  </xdr:oneCellAnchor>
  <xdr:oneCellAnchor>
    <xdr:from>
      <xdr:col>24</xdr:col>
      <xdr:colOff>18772</xdr:colOff>
      <xdr:row>7</xdr:row>
      <xdr:rowOff>106369</xdr:rowOff>
    </xdr:from>
    <xdr:ext cx="1683647" cy="505267"/>
    <xdr:sp macro="" textlink="">
      <xdr:nvSpPr>
        <xdr:cNvPr id="22" name="TextBox 21">
          <a:extLst>
            <a:ext uri="{FF2B5EF4-FFF2-40B4-BE49-F238E27FC236}">
              <a16:creationId xmlns:a16="http://schemas.microsoft.com/office/drawing/2014/main" id="{90C102F1-A574-4017-9AFC-4FC1E36AD803}"/>
            </a:ext>
          </a:extLst>
        </xdr:cNvPr>
        <xdr:cNvSpPr txBox="1"/>
      </xdr:nvSpPr>
      <xdr:spPr>
        <a:xfrm>
          <a:off x="15558129" y="1956940"/>
          <a:ext cx="168364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200" b="0">
              <a:solidFill>
                <a:srgbClr val="CC6600"/>
              </a:solidFill>
            </a:rPr>
            <a:t>4.3.1.8 Manure applied</a:t>
          </a:r>
          <a:r>
            <a:rPr lang="en-AU" sz="1200" b="0" baseline="0">
              <a:solidFill>
                <a:srgbClr val="CC6600"/>
              </a:solidFill>
            </a:rPr>
            <a:t> to soils</a:t>
          </a:r>
          <a:endParaRPr lang="en-AU" sz="1200" b="0">
            <a:solidFill>
              <a:srgbClr val="CC6600"/>
            </a:solidFill>
          </a:endParaRPr>
        </a:p>
      </xdr:txBody>
    </xdr:sp>
    <xdr:clientData/>
  </xdr:oneCellAnchor>
  <xdr:twoCellAnchor>
    <xdr:from>
      <xdr:col>23</xdr:col>
      <xdr:colOff>292702</xdr:colOff>
      <xdr:row>72</xdr:row>
      <xdr:rowOff>44035</xdr:rowOff>
    </xdr:from>
    <xdr:to>
      <xdr:col>25</xdr:col>
      <xdr:colOff>584910</xdr:colOff>
      <xdr:row>75</xdr:row>
      <xdr:rowOff>184370</xdr:rowOff>
    </xdr:to>
    <xdr:sp macro="" textlink="'4.3.1.8 Manure applied to soils'!D5">
      <xdr:nvSpPr>
        <xdr:cNvPr id="23" name="TextBox 22">
          <a:hlinkClick xmlns:r="http://schemas.openxmlformats.org/officeDocument/2006/relationships" r:id="rId3"/>
          <a:extLst>
            <a:ext uri="{FF2B5EF4-FFF2-40B4-BE49-F238E27FC236}">
              <a16:creationId xmlns:a16="http://schemas.microsoft.com/office/drawing/2014/main" id="{9397134A-F539-41D7-997F-30953678168E}"/>
            </a:ext>
          </a:extLst>
        </xdr:cNvPr>
        <xdr:cNvSpPr txBox="1"/>
      </xdr:nvSpPr>
      <xdr:spPr>
        <a:xfrm>
          <a:off x="15082429" y="16911944"/>
          <a:ext cx="1504481"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707C738-1CA7-4C5B-978C-8966CCA93A67}" type="TxLink">
            <a:rPr lang="en-US" sz="900" b="1" i="0" u="none" strike="noStrike">
              <a:solidFill>
                <a:srgbClr val="CC6600"/>
              </a:solidFill>
              <a:latin typeface="Arial"/>
              <a:cs typeface="Arial"/>
            </a:rPr>
            <a:pPr algn="ctr"/>
            <a:t>Mass of nitrogen from manure applied to soils for scope 1 emissions</a:t>
          </a:fld>
          <a:endParaRPr lang="en-AU" sz="900" b="1">
            <a:solidFill>
              <a:srgbClr val="CC6600"/>
            </a:solidFill>
          </a:endParaRPr>
        </a:p>
      </xdr:txBody>
    </xdr:sp>
    <xdr:clientData/>
  </xdr:twoCellAnchor>
  <xdr:oneCellAnchor>
    <xdr:from>
      <xdr:col>27</xdr:col>
      <xdr:colOff>599044</xdr:colOff>
      <xdr:row>7</xdr:row>
      <xdr:rowOff>106369</xdr:rowOff>
    </xdr:from>
    <xdr:ext cx="1587293" cy="505267"/>
    <xdr:sp macro="" textlink="">
      <xdr:nvSpPr>
        <xdr:cNvPr id="31" name="TextBox 30">
          <a:extLst>
            <a:ext uri="{FF2B5EF4-FFF2-40B4-BE49-F238E27FC236}">
              <a16:creationId xmlns:a16="http://schemas.microsoft.com/office/drawing/2014/main" id="{E90C6298-1BCA-44F6-9B9E-02AE6CD8BDAB}"/>
            </a:ext>
          </a:extLst>
        </xdr:cNvPr>
        <xdr:cNvSpPr txBox="1"/>
      </xdr:nvSpPr>
      <xdr:spPr>
        <a:xfrm>
          <a:off x="17975365" y="1956940"/>
          <a:ext cx="1587293"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200" b="0">
              <a:solidFill>
                <a:schemeClr val="accent6">
                  <a:lumMod val="50000"/>
                </a:schemeClr>
              </a:solidFill>
            </a:rPr>
            <a:t>4.3.1.9</a:t>
          </a:r>
          <a:r>
            <a:rPr lang="en-AU" sz="1200" b="0" baseline="0">
              <a:solidFill>
                <a:schemeClr val="accent6">
                  <a:lumMod val="50000"/>
                </a:schemeClr>
              </a:solidFill>
            </a:rPr>
            <a:t> Soil direct N2O</a:t>
          </a:r>
          <a:endParaRPr lang="en-AU" sz="1200" b="0">
            <a:solidFill>
              <a:schemeClr val="accent6">
                <a:lumMod val="50000"/>
              </a:schemeClr>
            </a:solidFill>
          </a:endParaRPr>
        </a:p>
      </xdr:txBody>
    </xdr:sp>
    <xdr:clientData/>
  </xdr:oneCellAnchor>
  <xdr:twoCellAnchor>
    <xdr:from>
      <xdr:col>29</xdr:col>
      <xdr:colOff>93889</xdr:colOff>
      <xdr:row>52</xdr:row>
      <xdr:rowOff>31667</xdr:rowOff>
    </xdr:from>
    <xdr:to>
      <xdr:col>31</xdr:col>
      <xdr:colOff>389411</xdr:colOff>
      <xdr:row>55</xdr:row>
      <xdr:rowOff>14844</xdr:rowOff>
    </xdr:to>
    <xdr:sp macro="" textlink="'4.3.1.9 Soil direct N2O'!D35">
      <xdr:nvSpPr>
        <xdr:cNvPr id="32" name="TextBox 31">
          <a:hlinkClick xmlns:r="http://schemas.openxmlformats.org/officeDocument/2006/relationships" r:id="rId4"/>
          <a:extLst>
            <a:ext uri="{FF2B5EF4-FFF2-40B4-BE49-F238E27FC236}">
              <a16:creationId xmlns:a16="http://schemas.microsoft.com/office/drawing/2014/main" id="{C1AB63F5-4B24-47F1-9CF2-9095A9B98919}"/>
            </a:ext>
          </a:extLst>
        </xdr:cNvPr>
        <xdr:cNvSpPr txBox="1"/>
      </xdr:nvSpPr>
      <xdr:spPr>
        <a:xfrm>
          <a:off x="18520434" y="12777849"/>
          <a:ext cx="1507795" cy="71054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F0A44C-9B3C-4F36-BC43-BFFDE477146A}" type="TxLink">
            <a:rPr lang="en-US" sz="900" b="1" i="0" u="none" strike="noStrike">
              <a:solidFill>
                <a:schemeClr val="accent6">
                  <a:lumMod val="50000"/>
                </a:schemeClr>
              </a:solidFill>
              <a:latin typeface="Arial"/>
              <a:cs typeface="Arial"/>
            </a:rPr>
            <a:pPr algn="ctr"/>
            <a:t>Direct nitrous oxide emissions on pasture</a:t>
          </a:fld>
          <a:endParaRPr lang="en-AU" sz="900" b="1">
            <a:solidFill>
              <a:schemeClr val="accent6">
                <a:lumMod val="50000"/>
              </a:schemeClr>
            </a:solidFill>
          </a:endParaRPr>
        </a:p>
      </xdr:txBody>
    </xdr:sp>
    <xdr:clientData/>
  </xdr:twoCellAnchor>
  <xdr:oneCellAnchor>
    <xdr:from>
      <xdr:col>31</xdr:col>
      <xdr:colOff>470640</xdr:colOff>
      <xdr:row>7</xdr:row>
      <xdr:rowOff>115894</xdr:rowOff>
    </xdr:from>
    <xdr:ext cx="1962150" cy="505267"/>
    <xdr:sp macro="" textlink="">
      <xdr:nvSpPr>
        <xdr:cNvPr id="39" name="TextBox 38">
          <a:extLst>
            <a:ext uri="{FF2B5EF4-FFF2-40B4-BE49-F238E27FC236}">
              <a16:creationId xmlns:a16="http://schemas.microsoft.com/office/drawing/2014/main" id="{21681B8B-168C-49D7-9D40-4349668ACBB1}"/>
            </a:ext>
          </a:extLst>
        </xdr:cNvPr>
        <xdr:cNvSpPr txBox="1"/>
      </xdr:nvSpPr>
      <xdr:spPr>
        <a:xfrm>
          <a:off x="20296247" y="1966465"/>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200" b="0">
              <a:solidFill>
                <a:schemeClr val="accent6">
                  <a:lumMod val="50000"/>
                </a:schemeClr>
              </a:solidFill>
            </a:rPr>
            <a:t>4.3.1.10-11</a:t>
          </a:r>
          <a:r>
            <a:rPr lang="en-AU" sz="1200" b="0" baseline="0">
              <a:solidFill>
                <a:schemeClr val="accent6">
                  <a:lumMod val="50000"/>
                </a:schemeClr>
              </a:solidFill>
            </a:rPr>
            <a:t> Soil Atmospheric deposition</a:t>
          </a:r>
          <a:endParaRPr lang="en-AU" sz="1200" b="0">
            <a:solidFill>
              <a:schemeClr val="accent6">
                <a:lumMod val="50000"/>
              </a:schemeClr>
            </a:solidFill>
          </a:endParaRPr>
        </a:p>
      </xdr:txBody>
    </xdr:sp>
    <xdr:clientData/>
  </xdr:oneCellAnchor>
  <xdr:oneCellAnchor>
    <xdr:from>
      <xdr:col>36</xdr:col>
      <xdr:colOff>104775</xdr:colOff>
      <xdr:row>7</xdr:row>
      <xdr:rowOff>125419</xdr:rowOff>
    </xdr:from>
    <xdr:ext cx="1962150" cy="505267"/>
    <xdr:sp macro="" textlink="">
      <xdr:nvSpPr>
        <xdr:cNvPr id="40" name="TextBox 39">
          <a:extLst>
            <a:ext uri="{FF2B5EF4-FFF2-40B4-BE49-F238E27FC236}">
              <a16:creationId xmlns:a16="http://schemas.microsoft.com/office/drawing/2014/main" id="{FF9E80FC-DBE6-4B05-979C-00544A3BB45E}"/>
            </a:ext>
          </a:extLst>
        </xdr:cNvPr>
        <xdr:cNvSpPr txBox="1"/>
      </xdr:nvSpPr>
      <xdr:spPr>
        <a:xfrm>
          <a:off x="22898100" y="1992319"/>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200" b="0">
              <a:solidFill>
                <a:schemeClr val="accent6">
                  <a:lumMod val="50000"/>
                </a:schemeClr>
              </a:solidFill>
            </a:rPr>
            <a:t>4.3.1.12-13 Soil Leaching &amp; Runoff</a:t>
          </a:r>
        </a:p>
      </xdr:txBody>
    </xdr:sp>
    <xdr:clientData/>
  </xdr:oneCellAnchor>
  <xdr:twoCellAnchor>
    <xdr:from>
      <xdr:col>3</xdr:col>
      <xdr:colOff>120360</xdr:colOff>
      <xdr:row>18</xdr:row>
      <xdr:rowOff>201756</xdr:rowOff>
    </xdr:from>
    <xdr:to>
      <xdr:col>5</xdr:col>
      <xdr:colOff>413160</xdr:colOff>
      <xdr:row>21</xdr:row>
      <xdr:rowOff>178806</xdr:rowOff>
    </xdr:to>
    <xdr:sp macro="" textlink="'4.3.1.1-2 Methane'!D54">
      <xdr:nvSpPr>
        <xdr:cNvPr id="41" name="TextBox 40">
          <a:hlinkClick xmlns:r="http://schemas.openxmlformats.org/officeDocument/2006/relationships" r:id="rId5"/>
          <a:extLst>
            <a:ext uri="{FF2B5EF4-FFF2-40B4-BE49-F238E27FC236}">
              <a16:creationId xmlns:a16="http://schemas.microsoft.com/office/drawing/2014/main" id="{82BBB490-20A6-44A4-855D-5BFCA5839BC1}"/>
            </a:ext>
          </a:extLst>
        </xdr:cNvPr>
        <xdr:cNvSpPr txBox="1"/>
      </xdr:nvSpPr>
      <xdr:spPr>
        <a:xfrm>
          <a:off x="2796885" y="4792806"/>
          <a:ext cx="1512000" cy="720000"/>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19A448A-EDED-4D06-8B0A-9F5C65C58677}" type="TxLink">
            <a:rPr lang="en-US" sz="900" b="0" i="0" u="none" strike="noStrike">
              <a:solidFill>
                <a:srgbClr val="0D9D96"/>
              </a:solidFill>
              <a:latin typeface="Arial"/>
              <a:cs typeface="Arial"/>
            </a:rPr>
            <a:pPr algn="ctr"/>
            <a:t>Additional intake required for milk production</a:t>
          </a:fld>
          <a:endParaRPr lang="en-AU" sz="900">
            <a:solidFill>
              <a:srgbClr val="0D9D96"/>
            </a:solidFill>
          </a:endParaRPr>
        </a:p>
      </xdr:txBody>
    </xdr:sp>
    <xdr:clientData/>
  </xdr:twoCellAnchor>
  <xdr:twoCellAnchor>
    <xdr:from>
      <xdr:col>3</xdr:col>
      <xdr:colOff>110835</xdr:colOff>
      <xdr:row>23</xdr:row>
      <xdr:rowOff>39831</xdr:rowOff>
    </xdr:from>
    <xdr:to>
      <xdr:col>5</xdr:col>
      <xdr:colOff>403635</xdr:colOff>
      <xdr:row>26</xdr:row>
      <xdr:rowOff>16880</xdr:rowOff>
    </xdr:to>
    <xdr:sp macro="" textlink="'4.3.1.1-2 Methane'!D83">
      <xdr:nvSpPr>
        <xdr:cNvPr id="42" name="TextBox 41">
          <a:hlinkClick xmlns:r="http://schemas.openxmlformats.org/officeDocument/2006/relationships" r:id="rId6"/>
          <a:extLst>
            <a:ext uri="{FF2B5EF4-FFF2-40B4-BE49-F238E27FC236}">
              <a16:creationId xmlns:a16="http://schemas.microsoft.com/office/drawing/2014/main" id="{5890F85A-690F-4E76-AFA6-9552C00B26D5}"/>
            </a:ext>
          </a:extLst>
        </xdr:cNvPr>
        <xdr:cNvSpPr txBox="1"/>
      </xdr:nvSpPr>
      <xdr:spPr>
        <a:xfrm>
          <a:off x="2777835" y="5754831"/>
          <a:ext cx="1505073" cy="704413"/>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C70739-4C3A-4EAC-8F15-28C27F4E622A}" type="TxLink">
            <a:rPr lang="en-US" sz="900" b="0" i="0" u="none" strike="noStrike">
              <a:solidFill>
                <a:srgbClr val="0D9D96"/>
              </a:solidFill>
              <a:latin typeface="Arial"/>
              <a:cs typeface="Arial"/>
            </a:rPr>
            <a:pPr algn="ctr"/>
            <a:t>Feed intake</a:t>
          </a:fld>
          <a:endParaRPr lang="en-AU" sz="900">
            <a:solidFill>
              <a:srgbClr val="0D9D96"/>
            </a:solidFill>
          </a:endParaRPr>
        </a:p>
      </xdr:txBody>
    </xdr:sp>
    <xdr:clientData/>
  </xdr:twoCellAnchor>
  <xdr:twoCellAnchor>
    <xdr:from>
      <xdr:col>7</xdr:col>
      <xdr:colOff>101310</xdr:colOff>
      <xdr:row>26</xdr:row>
      <xdr:rowOff>148935</xdr:rowOff>
    </xdr:from>
    <xdr:to>
      <xdr:col>9</xdr:col>
      <xdr:colOff>394110</xdr:colOff>
      <xdr:row>29</xdr:row>
      <xdr:rowOff>125986</xdr:rowOff>
    </xdr:to>
    <xdr:sp macro="" textlink="'4.3.1.1-2 Methane'!D118">
      <xdr:nvSpPr>
        <xdr:cNvPr id="43" name="TextBox 42">
          <a:hlinkClick xmlns:r="http://schemas.openxmlformats.org/officeDocument/2006/relationships" r:id="rId7"/>
          <a:extLst>
            <a:ext uri="{FF2B5EF4-FFF2-40B4-BE49-F238E27FC236}">
              <a16:creationId xmlns:a16="http://schemas.microsoft.com/office/drawing/2014/main" id="{91312EE3-1F9E-4914-8F12-5096A0DE65B9}"/>
            </a:ext>
          </a:extLst>
        </xdr:cNvPr>
        <xdr:cNvSpPr txBox="1"/>
      </xdr:nvSpPr>
      <xdr:spPr>
        <a:xfrm>
          <a:off x="5192855" y="6591299"/>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0FBB973-88ED-4A22-A935-BDD550D6A852}" type="TxLink">
            <a:rPr lang="en-US" sz="900" b="0" i="0" u="none" strike="noStrike">
              <a:solidFill>
                <a:srgbClr val="0C769E"/>
              </a:solidFill>
              <a:latin typeface="Arial"/>
              <a:cs typeface="Arial"/>
            </a:rPr>
            <a:pPr algn="ctr"/>
            <a:t>Volatile solids for weaned dairy cattle</a:t>
          </a:fld>
          <a:endParaRPr lang="en-AU" sz="900">
            <a:solidFill>
              <a:srgbClr val="0C769E"/>
            </a:solidFill>
          </a:endParaRPr>
        </a:p>
      </xdr:txBody>
    </xdr:sp>
    <xdr:clientData/>
  </xdr:twoCellAnchor>
  <xdr:twoCellAnchor>
    <xdr:from>
      <xdr:col>7</xdr:col>
      <xdr:colOff>74096</xdr:colOff>
      <xdr:row>47</xdr:row>
      <xdr:rowOff>218331</xdr:rowOff>
    </xdr:from>
    <xdr:to>
      <xdr:col>9</xdr:col>
      <xdr:colOff>366896</xdr:colOff>
      <xdr:row>50</xdr:row>
      <xdr:rowOff>195381</xdr:rowOff>
    </xdr:to>
    <xdr:sp macro="" textlink="'4.3.1.1-2 Methane'!D137">
      <xdr:nvSpPr>
        <xdr:cNvPr id="44" name="TextBox 43">
          <a:hlinkClick xmlns:r="http://schemas.openxmlformats.org/officeDocument/2006/relationships" r:id="rId8"/>
          <a:extLst>
            <a:ext uri="{FF2B5EF4-FFF2-40B4-BE49-F238E27FC236}">
              <a16:creationId xmlns:a16="http://schemas.microsoft.com/office/drawing/2014/main" id="{27FF12DD-C78D-4BF6-BDF1-4AE217C14861}"/>
            </a:ext>
          </a:extLst>
        </xdr:cNvPr>
        <xdr:cNvSpPr txBox="1"/>
      </xdr:nvSpPr>
      <xdr:spPr>
        <a:xfrm>
          <a:off x="5165641" y="11752240"/>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FAC6FE5-9375-488F-8972-E21E68EED8B2}" type="TxLink">
            <a:rPr lang="en-US" sz="900" b="0" i="0" u="none" strike="noStrike">
              <a:solidFill>
                <a:srgbClr val="0C769E"/>
              </a:solidFill>
              <a:latin typeface="Arial"/>
              <a:cs typeface="Arial"/>
            </a:rPr>
            <a:pPr algn="ctr"/>
            <a:t>Fraction of volatile solids in each system other than solid storage</a:t>
          </a:fld>
          <a:endParaRPr lang="en-AU" sz="900">
            <a:solidFill>
              <a:srgbClr val="0C769E"/>
            </a:solidFill>
          </a:endParaRPr>
        </a:p>
      </xdr:txBody>
    </xdr:sp>
    <xdr:clientData/>
  </xdr:twoCellAnchor>
  <xdr:twoCellAnchor>
    <xdr:from>
      <xdr:col>7</xdr:col>
      <xdr:colOff>93146</xdr:colOff>
      <xdr:row>51</xdr:row>
      <xdr:rowOff>116030</xdr:rowOff>
    </xdr:from>
    <xdr:to>
      <xdr:col>9</xdr:col>
      <xdr:colOff>385946</xdr:colOff>
      <xdr:row>54</xdr:row>
      <xdr:rowOff>93080</xdr:rowOff>
    </xdr:to>
    <xdr:sp macro="" textlink="'4.3.1.1-2 Methane'!D183">
      <xdr:nvSpPr>
        <xdr:cNvPr id="45" name="TextBox 44">
          <a:hlinkClick xmlns:r="http://schemas.openxmlformats.org/officeDocument/2006/relationships" r:id="rId9"/>
          <a:extLst>
            <a:ext uri="{FF2B5EF4-FFF2-40B4-BE49-F238E27FC236}">
              <a16:creationId xmlns:a16="http://schemas.microsoft.com/office/drawing/2014/main" id="{B60DE701-E046-4FE6-8418-F08AB3556650}"/>
            </a:ext>
          </a:extLst>
        </xdr:cNvPr>
        <xdr:cNvSpPr txBox="1"/>
      </xdr:nvSpPr>
      <xdr:spPr>
        <a:xfrm>
          <a:off x="5184691" y="12619757"/>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DA313D9-C45C-43CA-B870-14C168DFFDC9}" type="TxLink">
            <a:rPr lang="en-US" sz="900" b="0" i="0" u="none" strike="noStrike">
              <a:solidFill>
                <a:srgbClr val="0C769E"/>
              </a:solidFill>
              <a:latin typeface="Arial"/>
              <a:cs typeface="Arial"/>
            </a:rPr>
            <a:pPr algn="ctr"/>
            <a:t>Fraction of volatile solids in solid storage</a:t>
          </a:fld>
          <a:endParaRPr lang="en-AU" sz="900">
            <a:solidFill>
              <a:srgbClr val="0C769E"/>
            </a:solidFill>
          </a:endParaRPr>
        </a:p>
      </xdr:txBody>
    </xdr:sp>
    <xdr:clientData/>
  </xdr:twoCellAnchor>
  <xdr:twoCellAnchor>
    <xdr:from>
      <xdr:col>7</xdr:col>
      <xdr:colOff>93146</xdr:colOff>
      <xdr:row>55</xdr:row>
      <xdr:rowOff>42552</xdr:rowOff>
    </xdr:from>
    <xdr:to>
      <xdr:col>9</xdr:col>
      <xdr:colOff>385946</xdr:colOff>
      <xdr:row>58</xdr:row>
      <xdr:rowOff>19602</xdr:rowOff>
    </xdr:to>
    <xdr:sp macro="" textlink="'4.3.1.1-2 Methane'!D210">
      <xdr:nvSpPr>
        <xdr:cNvPr id="46" name="TextBox 45">
          <a:hlinkClick xmlns:r="http://schemas.openxmlformats.org/officeDocument/2006/relationships" r:id="rId10"/>
          <a:extLst>
            <a:ext uri="{FF2B5EF4-FFF2-40B4-BE49-F238E27FC236}">
              <a16:creationId xmlns:a16="http://schemas.microsoft.com/office/drawing/2014/main" id="{1DF73E34-8559-4F1F-BB82-E3E2B4035879}"/>
            </a:ext>
          </a:extLst>
        </xdr:cNvPr>
        <xdr:cNvSpPr txBox="1"/>
      </xdr:nvSpPr>
      <xdr:spPr>
        <a:xfrm>
          <a:off x="5184691" y="13516097"/>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C728A61-C488-4859-9D64-BDEEC900F74F}" type="TxLink">
            <a:rPr lang="en-US" sz="900" b="0" i="0" u="none" strike="noStrike">
              <a:solidFill>
                <a:srgbClr val="0C769E"/>
              </a:solidFill>
              <a:latin typeface="Arial"/>
              <a:cs typeface="Arial"/>
            </a:rPr>
            <a:pPr algn="ctr"/>
            <a:t>Methane from manure production from weaned dairy cattle</a:t>
          </a:fld>
          <a:endParaRPr lang="en-AU" sz="900">
            <a:solidFill>
              <a:srgbClr val="0C769E"/>
            </a:solidFill>
          </a:endParaRPr>
        </a:p>
      </xdr:txBody>
    </xdr:sp>
    <xdr:clientData/>
  </xdr:twoCellAnchor>
  <xdr:twoCellAnchor>
    <xdr:from>
      <xdr:col>7</xdr:col>
      <xdr:colOff>74096</xdr:colOff>
      <xdr:row>63</xdr:row>
      <xdr:rowOff>137906</xdr:rowOff>
    </xdr:from>
    <xdr:to>
      <xdr:col>9</xdr:col>
      <xdr:colOff>366896</xdr:colOff>
      <xdr:row>67</xdr:row>
      <xdr:rowOff>82792</xdr:rowOff>
    </xdr:to>
    <xdr:sp macro="" textlink="'4.3.1.1-2 Methane'!D249">
      <xdr:nvSpPr>
        <xdr:cNvPr id="47" name="TextBox 46">
          <a:hlinkClick xmlns:r="http://schemas.openxmlformats.org/officeDocument/2006/relationships" r:id="rId11"/>
          <a:extLst>
            <a:ext uri="{FF2B5EF4-FFF2-40B4-BE49-F238E27FC236}">
              <a16:creationId xmlns:a16="http://schemas.microsoft.com/office/drawing/2014/main" id="{5BB39083-14D5-4E03-B2EF-96E2D8D78D27}"/>
            </a:ext>
          </a:extLst>
        </xdr:cNvPr>
        <xdr:cNvSpPr txBox="1"/>
      </xdr:nvSpPr>
      <xdr:spPr>
        <a:xfrm>
          <a:off x="5165641" y="15291315"/>
          <a:ext cx="1505073" cy="70688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C116284-0161-4ADB-B34F-D4AB31F12260}" type="TxLink">
            <a:rPr lang="en-US" sz="900" b="1" i="0" u="none" strike="noStrike">
              <a:solidFill>
                <a:srgbClr val="0C769E"/>
              </a:solidFill>
              <a:latin typeface="Arial"/>
              <a:cs typeface="Arial"/>
            </a:rPr>
            <a:pPr algn="ctr"/>
            <a:t>Total annual methane production from manure management</a:t>
          </a:fld>
          <a:endParaRPr lang="en-AU" sz="900" b="1">
            <a:solidFill>
              <a:srgbClr val="0C769E"/>
            </a:solidFill>
          </a:endParaRPr>
        </a:p>
      </xdr:txBody>
    </xdr:sp>
    <xdr:clientData/>
  </xdr:twoCellAnchor>
  <xdr:oneCellAnchor>
    <xdr:from>
      <xdr:col>2</xdr:col>
      <xdr:colOff>224573</xdr:colOff>
      <xdr:row>7</xdr:row>
      <xdr:rowOff>96844</xdr:rowOff>
    </xdr:from>
    <xdr:ext cx="1928078" cy="298800"/>
    <xdr:sp macro="" textlink="">
      <xdr:nvSpPr>
        <xdr:cNvPr id="52" name="TextBox 51">
          <a:extLst>
            <a:ext uri="{FF2B5EF4-FFF2-40B4-BE49-F238E27FC236}">
              <a16:creationId xmlns:a16="http://schemas.microsoft.com/office/drawing/2014/main" id="{C875CD87-FE1D-41B0-946A-B4B8E4614B48}"/>
            </a:ext>
          </a:extLst>
        </xdr:cNvPr>
        <xdr:cNvSpPr txBox="1"/>
      </xdr:nvSpPr>
      <xdr:spPr>
        <a:xfrm>
          <a:off x="2586773" y="1963744"/>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200" b="0">
              <a:solidFill>
                <a:srgbClr val="0D9D96"/>
              </a:solidFill>
            </a:rPr>
            <a:t>3.3.1.1 Enteric methane</a:t>
          </a:r>
        </a:p>
      </xdr:txBody>
    </xdr:sp>
    <xdr:clientData/>
  </xdr:oneCellAnchor>
  <xdr:twoCellAnchor>
    <xdr:from>
      <xdr:col>4</xdr:col>
      <xdr:colOff>257236</xdr:colOff>
      <xdr:row>21</xdr:row>
      <xdr:rowOff>178806</xdr:rowOff>
    </xdr:from>
    <xdr:to>
      <xdr:col>4</xdr:col>
      <xdr:colOff>266761</xdr:colOff>
      <xdr:row>23</xdr:row>
      <xdr:rowOff>39831</xdr:rowOff>
    </xdr:to>
    <xdr:cxnSp macro="">
      <xdr:nvCxnSpPr>
        <xdr:cNvPr id="54" name="Connector: Curved 53">
          <a:extLst>
            <a:ext uri="{FF2B5EF4-FFF2-40B4-BE49-F238E27FC236}">
              <a16:creationId xmlns:a16="http://schemas.microsoft.com/office/drawing/2014/main" id="{900B639B-115C-1DCF-B500-684BF27906A8}"/>
            </a:ext>
          </a:extLst>
        </xdr:cNvPr>
        <xdr:cNvCxnSpPr>
          <a:stCxn id="41" idx="2"/>
          <a:endCxn id="42" idx="0"/>
        </xdr:cNvCxnSpPr>
      </xdr:nvCxnSpPr>
      <xdr:spPr>
        <a:xfrm rot="5400000">
          <a:off x="3369961" y="5686206"/>
          <a:ext cx="356325" cy="9525"/>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403635</xdr:colOff>
      <xdr:row>24</xdr:row>
      <xdr:rowOff>149583</xdr:rowOff>
    </xdr:from>
    <xdr:to>
      <xdr:col>8</xdr:col>
      <xdr:colOff>247710</xdr:colOff>
      <xdr:row>26</xdr:row>
      <xdr:rowOff>148935</xdr:rowOff>
    </xdr:to>
    <xdr:cxnSp macro="">
      <xdr:nvCxnSpPr>
        <xdr:cNvPr id="56" name="Connector: Curved 55">
          <a:extLst>
            <a:ext uri="{FF2B5EF4-FFF2-40B4-BE49-F238E27FC236}">
              <a16:creationId xmlns:a16="http://schemas.microsoft.com/office/drawing/2014/main" id="{1C8DCB3A-3AD5-64F4-B793-763E4DE2AC62}"/>
            </a:ext>
          </a:extLst>
        </xdr:cNvPr>
        <xdr:cNvCxnSpPr>
          <a:stCxn id="42" idx="3"/>
          <a:endCxn id="43" idx="0"/>
        </xdr:cNvCxnSpPr>
      </xdr:nvCxnSpPr>
      <xdr:spPr>
        <a:xfrm>
          <a:off x="4282908" y="6107038"/>
          <a:ext cx="1662484" cy="484261"/>
        </a:xfrm>
        <a:prstGeom prst="curvedConnector2">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220497</xdr:colOff>
      <xdr:row>29</xdr:row>
      <xdr:rowOff>125985</xdr:rowOff>
    </xdr:from>
    <xdr:to>
      <xdr:col>8</xdr:col>
      <xdr:colOff>247711</xdr:colOff>
      <xdr:row>47</xdr:row>
      <xdr:rowOff>218330</xdr:rowOff>
    </xdr:to>
    <xdr:cxnSp macro="">
      <xdr:nvCxnSpPr>
        <xdr:cNvPr id="58" name="Connector: Curved 57">
          <a:extLst>
            <a:ext uri="{FF2B5EF4-FFF2-40B4-BE49-F238E27FC236}">
              <a16:creationId xmlns:a16="http://schemas.microsoft.com/office/drawing/2014/main" id="{61022535-73B7-6FA8-34C1-B96F2865BCA7}"/>
            </a:ext>
          </a:extLst>
        </xdr:cNvPr>
        <xdr:cNvCxnSpPr>
          <a:stCxn id="43" idx="2"/>
          <a:endCxn id="44" idx="0"/>
        </xdr:cNvCxnSpPr>
      </xdr:nvCxnSpPr>
      <xdr:spPr>
        <a:xfrm rot="5400000">
          <a:off x="3703522" y="9510369"/>
          <a:ext cx="4456527" cy="2721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220497</xdr:colOff>
      <xdr:row>50</xdr:row>
      <xdr:rowOff>195380</xdr:rowOff>
    </xdr:from>
    <xdr:to>
      <xdr:col>8</xdr:col>
      <xdr:colOff>239547</xdr:colOff>
      <xdr:row>51</xdr:row>
      <xdr:rowOff>116029</xdr:rowOff>
    </xdr:to>
    <xdr:cxnSp macro="">
      <xdr:nvCxnSpPr>
        <xdr:cNvPr id="60" name="Connector: Curved 59">
          <a:extLst>
            <a:ext uri="{FF2B5EF4-FFF2-40B4-BE49-F238E27FC236}">
              <a16:creationId xmlns:a16="http://schemas.microsoft.com/office/drawing/2014/main" id="{DEBC39A6-15BA-3E5D-DF57-4FEE0FD6B27D}"/>
            </a:ext>
          </a:extLst>
        </xdr:cNvPr>
        <xdr:cNvCxnSpPr>
          <a:stCxn id="44" idx="2"/>
          <a:endCxn id="45" idx="0"/>
        </xdr:cNvCxnSpPr>
      </xdr:nvCxnSpPr>
      <xdr:spPr>
        <a:xfrm rot="16200000" flipH="1">
          <a:off x="5846152" y="12528680"/>
          <a:ext cx="163103" cy="1905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233196</xdr:colOff>
      <xdr:row>54</xdr:row>
      <xdr:rowOff>99430</xdr:rowOff>
    </xdr:from>
    <xdr:to>
      <xdr:col>8</xdr:col>
      <xdr:colOff>245896</xdr:colOff>
      <xdr:row>55</xdr:row>
      <xdr:rowOff>48902</xdr:rowOff>
    </xdr:to>
    <xdr:cxnSp macro="">
      <xdr:nvCxnSpPr>
        <xdr:cNvPr id="62" name="Connector: Curved 61">
          <a:extLst>
            <a:ext uri="{FF2B5EF4-FFF2-40B4-BE49-F238E27FC236}">
              <a16:creationId xmlns:a16="http://schemas.microsoft.com/office/drawing/2014/main" id="{5A2BA810-5644-6241-791A-DB9FB9D1418E}"/>
            </a:ext>
          </a:extLst>
        </xdr:cNvPr>
        <xdr:cNvCxnSpPr>
          <a:stCxn id="45" idx="2"/>
          <a:endCxn id="46" idx="0"/>
        </xdr:cNvCxnSpPr>
      </xdr:nvCxnSpPr>
      <xdr:spPr>
        <a:xfrm rot="5400000">
          <a:off x="5841265" y="13420134"/>
          <a:ext cx="191926" cy="1270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220496</xdr:colOff>
      <xdr:row>58</xdr:row>
      <xdr:rowOff>19602</xdr:rowOff>
    </xdr:from>
    <xdr:to>
      <xdr:col>8</xdr:col>
      <xdr:colOff>239546</xdr:colOff>
      <xdr:row>63</xdr:row>
      <xdr:rowOff>137906</xdr:rowOff>
    </xdr:to>
    <xdr:cxnSp macro="">
      <xdr:nvCxnSpPr>
        <xdr:cNvPr id="64" name="Connector: Curved 63">
          <a:extLst>
            <a:ext uri="{FF2B5EF4-FFF2-40B4-BE49-F238E27FC236}">
              <a16:creationId xmlns:a16="http://schemas.microsoft.com/office/drawing/2014/main" id="{66D9845B-9E16-E423-ADE5-2754DBB16C8F}"/>
            </a:ext>
          </a:extLst>
        </xdr:cNvPr>
        <xdr:cNvCxnSpPr>
          <a:stCxn id="46" idx="2"/>
          <a:endCxn id="47" idx="0"/>
        </xdr:cNvCxnSpPr>
      </xdr:nvCxnSpPr>
      <xdr:spPr>
        <a:xfrm rot="5400000">
          <a:off x="5392301" y="14746388"/>
          <a:ext cx="1070804" cy="190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487723</xdr:colOff>
      <xdr:row>26</xdr:row>
      <xdr:rowOff>81502</xdr:rowOff>
    </xdr:from>
    <xdr:to>
      <xdr:col>14</xdr:col>
      <xdr:colOff>170923</xdr:colOff>
      <xdr:row>29</xdr:row>
      <xdr:rowOff>58553</xdr:rowOff>
    </xdr:to>
    <xdr:sp macro="" textlink="'4.3.1.3-4 Direct N20'!D33">
      <xdr:nvSpPr>
        <xdr:cNvPr id="65" name="TextBox 64">
          <a:hlinkClick xmlns:r="http://schemas.openxmlformats.org/officeDocument/2006/relationships" r:id="rId12"/>
          <a:extLst>
            <a:ext uri="{FF2B5EF4-FFF2-40B4-BE49-F238E27FC236}">
              <a16:creationId xmlns:a16="http://schemas.microsoft.com/office/drawing/2014/main" id="{BE3FB815-FBE9-4F7A-8364-CD052E9659EE}"/>
            </a:ext>
          </a:extLst>
        </xdr:cNvPr>
        <xdr:cNvSpPr txBox="1"/>
      </xdr:nvSpPr>
      <xdr:spPr>
        <a:xfrm>
          <a:off x="8003814" y="6523866"/>
          <a:ext cx="1501609"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548F6F5-BAE7-4105-A6FD-6B8198866203}" type="TxLink">
            <a:rPr lang="en-US" sz="900" b="0" i="0" u="none" strike="noStrike">
              <a:solidFill>
                <a:srgbClr val="002060"/>
              </a:solidFill>
              <a:latin typeface="Arial"/>
              <a:cs typeface="Arial"/>
            </a:rPr>
            <a:pPr algn="ctr"/>
            <a:t>Intake relative to maintenance</a:t>
          </a:fld>
          <a:endParaRPr lang="en-AU" sz="900">
            <a:solidFill>
              <a:srgbClr val="002060"/>
            </a:solidFill>
          </a:endParaRPr>
        </a:p>
      </xdr:txBody>
    </xdr:sp>
    <xdr:clientData/>
  </xdr:twoCellAnchor>
  <xdr:twoCellAnchor>
    <xdr:from>
      <xdr:col>5</xdr:col>
      <xdr:colOff>403635</xdr:colOff>
      <xdr:row>24</xdr:row>
      <xdr:rowOff>149583</xdr:rowOff>
    </xdr:from>
    <xdr:to>
      <xdr:col>13</xdr:col>
      <xdr:colOff>26255</xdr:colOff>
      <xdr:row>26</xdr:row>
      <xdr:rowOff>81502</xdr:rowOff>
    </xdr:to>
    <xdr:cxnSp macro="">
      <xdr:nvCxnSpPr>
        <xdr:cNvPr id="69" name="Connector: Curved 68">
          <a:extLst>
            <a:ext uri="{FF2B5EF4-FFF2-40B4-BE49-F238E27FC236}">
              <a16:creationId xmlns:a16="http://schemas.microsoft.com/office/drawing/2014/main" id="{90C4E357-7C61-617B-133C-0323E517E2CC}"/>
            </a:ext>
          </a:extLst>
        </xdr:cNvPr>
        <xdr:cNvCxnSpPr>
          <a:stCxn id="42" idx="3"/>
          <a:endCxn id="65" idx="0"/>
        </xdr:cNvCxnSpPr>
      </xdr:nvCxnSpPr>
      <xdr:spPr>
        <a:xfrm>
          <a:off x="4282908" y="6107038"/>
          <a:ext cx="4471711" cy="416828"/>
        </a:xfrm>
        <a:prstGeom prst="curvedConnector2">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479389</xdr:colOff>
      <xdr:row>30</xdr:row>
      <xdr:rowOff>1731</xdr:rowOff>
    </xdr:from>
    <xdr:to>
      <xdr:col>14</xdr:col>
      <xdr:colOff>162589</xdr:colOff>
      <xdr:row>32</xdr:row>
      <xdr:rowOff>221235</xdr:rowOff>
    </xdr:to>
    <xdr:sp macro="" textlink="'4.3.1.3-4 Direct N20'!D69">
      <xdr:nvSpPr>
        <xdr:cNvPr id="71" name="TextBox 70">
          <a:hlinkClick xmlns:r="http://schemas.openxmlformats.org/officeDocument/2006/relationships" r:id="rId13"/>
          <a:extLst>
            <a:ext uri="{FF2B5EF4-FFF2-40B4-BE49-F238E27FC236}">
              <a16:creationId xmlns:a16="http://schemas.microsoft.com/office/drawing/2014/main" id="{7D7EFDD9-03EF-49FF-A864-1C7FA40DCCF2}"/>
            </a:ext>
          </a:extLst>
        </xdr:cNvPr>
        <xdr:cNvSpPr txBox="1"/>
      </xdr:nvSpPr>
      <xdr:spPr>
        <a:xfrm>
          <a:off x="7995480" y="7413913"/>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7E903EE-14B6-4C9A-AA3D-938C1DDA9BA1}" type="TxLink">
            <a:rPr lang="en-US" sz="900" b="0" i="0" u="none" strike="noStrike">
              <a:solidFill>
                <a:srgbClr val="002060"/>
              </a:solidFill>
              <a:latin typeface="Arial"/>
              <a:cs typeface="Arial"/>
            </a:rPr>
            <a:pPr algn="ctr"/>
            <a:t>Amount of nitrogen retained by the body</a:t>
          </a:fld>
          <a:endParaRPr lang="en-AU" sz="900">
            <a:solidFill>
              <a:srgbClr val="002060"/>
            </a:solidFill>
          </a:endParaRPr>
        </a:p>
      </xdr:txBody>
    </xdr:sp>
    <xdr:clientData/>
  </xdr:twoCellAnchor>
  <xdr:twoCellAnchor>
    <xdr:from>
      <xdr:col>13</xdr:col>
      <xdr:colOff>26255</xdr:colOff>
      <xdr:row>12</xdr:row>
      <xdr:rowOff>157159</xdr:rowOff>
    </xdr:from>
    <xdr:to>
      <xdr:col>13</xdr:col>
      <xdr:colOff>29998</xdr:colOff>
      <xdr:row>26</xdr:row>
      <xdr:rowOff>81503</xdr:rowOff>
    </xdr:to>
    <xdr:cxnSp macro="">
      <xdr:nvCxnSpPr>
        <xdr:cNvPr id="73" name="Connector: Curved 72">
          <a:extLst>
            <a:ext uri="{FF2B5EF4-FFF2-40B4-BE49-F238E27FC236}">
              <a16:creationId xmlns:a16="http://schemas.microsoft.com/office/drawing/2014/main" id="{5ADBA7D5-DA21-ACAB-CAB2-F8955A4CF96D}"/>
            </a:ext>
          </a:extLst>
        </xdr:cNvPr>
        <xdr:cNvCxnSpPr>
          <a:stCxn id="13" idx="2"/>
          <a:endCxn id="65" idx="0"/>
        </xdr:cNvCxnSpPr>
      </xdr:nvCxnSpPr>
      <xdr:spPr>
        <a:xfrm rot="5400000">
          <a:off x="7097137" y="4862641"/>
          <a:ext cx="3318708" cy="3743"/>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482961</xdr:colOff>
      <xdr:row>33</xdr:row>
      <xdr:rowOff>164414</xdr:rowOff>
    </xdr:from>
    <xdr:to>
      <xdr:col>14</xdr:col>
      <xdr:colOff>166161</xdr:colOff>
      <xdr:row>36</xdr:row>
      <xdr:rowOff>141463</xdr:rowOff>
    </xdr:to>
    <xdr:sp macro="" textlink="'4.3.1.3-4 Direct N20'!D107">
      <xdr:nvSpPr>
        <xdr:cNvPr id="74" name="TextBox 73">
          <a:hlinkClick xmlns:r="http://schemas.openxmlformats.org/officeDocument/2006/relationships" r:id="rId14"/>
          <a:extLst>
            <a:ext uri="{FF2B5EF4-FFF2-40B4-BE49-F238E27FC236}">
              <a16:creationId xmlns:a16="http://schemas.microsoft.com/office/drawing/2014/main" id="{ED329F61-0057-4B10-AAF5-B29223F0C1C7}"/>
            </a:ext>
          </a:extLst>
        </xdr:cNvPr>
        <xdr:cNvSpPr txBox="1"/>
      </xdr:nvSpPr>
      <xdr:spPr>
        <a:xfrm>
          <a:off x="7999052" y="8303959"/>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3D8DBE2-ABD6-498E-A8B5-C74C4141311E}" type="TxLink">
            <a:rPr lang="en-US" sz="900" b="0" i="0" u="none" strike="noStrike">
              <a:solidFill>
                <a:srgbClr val="002060"/>
              </a:solidFill>
              <a:latin typeface="Arial"/>
              <a:cs typeface="Arial"/>
            </a:rPr>
            <a:pPr algn="ctr"/>
            <a:t>Crude protein intake of dairy cattle</a:t>
          </a:fld>
          <a:endParaRPr lang="en-AU" sz="900">
            <a:solidFill>
              <a:srgbClr val="002060"/>
            </a:solidFill>
          </a:endParaRPr>
        </a:p>
      </xdr:txBody>
    </xdr:sp>
    <xdr:clientData/>
  </xdr:twoCellAnchor>
  <xdr:twoCellAnchor>
    <xdr:from>
      <xdr:col>11</xdr:col>
      <xdr:colOff>498440</xdr:colOff>
      <xdr:row>37</xdr:row>
      <xdr:rowOff>68405</xdr:rowOff>
    </xdr:from>
    <xdr:to>
      <xdr:col>14</xdr:col>
      <xdr:colOff>181640</xdr:colOff>
      <xdr:row>40</xdr:row>
      <xdr:rowOff>45457</xdr:rowOff>
    </xdr:to>
    <xdr:sp macro="" textlink="'4.3.1.3-4 Direct N20'!D130">
      <xdr:nvSpPr>
        <xdr:cNvPr id="75" name="TextBox 74">
          <a:hlinkClick xmlns:r="http://schemas.openxmlformats.org/officeDocument/2006/relationships" r:id="rId15"/>
          <a:extLst>
            <a:ext uri="{FF2B5EF4-FFF2-40B4-BE49-F238E27FC236}">
              <a16:creationId xmlns:a16="http://schemas.microsoft.com/office/drawing/2014/main" id="{EF341A28-8B51-47C3-8F79-E7E1684C4D44}"/>
            </a:ext>
          </a:extLst>
        </xdr:cNvPr>
        <xdr:cNvSpPr txBox="1"/>
      </xdr:nvSpPr>
      <xdr:spPr>
        <a:xfrm>
          <a:off x="8014531" y="9177769"/>
          <a:ext cx="1501609" cy="70441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EF25A30-2812-4765-A458-BA62006E84A8}" type="TxLink">
            <a:rPr lang="en-US" sz="900" b="0" i="0" u="none" strike="noStrike">
              <a:solidFill>
                <a:srgbClr val="002060"/>
              </a:solidFill>
              <a:latin typeface="Arial"/>
              <a:cs typeface="Arial"/>
            </a:rPr>
            <a:pPr algn="ctr"/>
            <a:t>Nitrogen excreted by dairy cattle greater than one year old</a:t>
          </a:fld>
          <a:endParaRPr lang="en-AU" sz="900">
            <a:solidFill>
              <a:srgbClr val="002060"/>
            </a:solidFill>
          </a:endParaRPr>
        </a:p>
      </xdr:txBody>
    </xdr:sp>
    <xdr:clientData/>
  </xdr:twoCellAnchor>
  <xdr:twoCellAnchor>
    <xdr:from>
      <xdr:col>10</xdr:col>
      <xdr:colOff>238262</xdr:colOff>
      <xdr:row>41</xdr:row>
      <xdr:rowOff>109509</xdr:rowOff>
    </xdr:from>
    <xdr:to>
      <xdr:col>12</xdr:col>
      <xdr:colOff>534375</xdr:colOff>
      <xdr:row>44</xdr:row>
      <xdr:rowOff>86560</xdr:rowOff>
    </xdr:to>
    <xdr:sp macro="" textlink="'4.3.1.3-4 Direct N20'!D150">
      <xdr:nvSpPr>
        <xdr:cNvPr id="76" name="TextBox 75">
          <a:hlinkClick xmlns:r="http://schemas.openxmlformats.org/officeDocument/2006/relationships" r:id="rId16"/>
          <a:extLst>
            <a:ext uri="{FF2B5EF4-FFF2-40B4-BE49-F238E27FC236}">
              <a16:creationId xmlns:a16="http://schemas.microsoft.com/office/drawing/2014/main" id="{E81D19C4-A204-4EAB-B09F-3181E6CFBBDE}"/>
            </a:ext>
          </a:extLst>
        </xdr:cNvPr>
        <xdr:cNvSpPr txBox="1"/>
      </xdr:nvSpPr>
      <xdr:spPr>
        <a:xfrm>
          <a:off x="7148217" y="10188691"/>
          <a:ext cx="1508385"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5D7B348-2C71-4279-BD94-24CE3245FC92}" type="TxLink">
            <a:rPr lang="en-US" sz="900" b="0" i="0" u="none" strike="noStrike">
              <a:solidFill>
                <a:srgbClr val="002060"/>
              </a:solidFill>
              <a:latin typeface="Arial"/>
              <a:cs typeface="Arial"/>
            </a:rPr>
            <a:pPr algn="ctr"/>
            <a:t>Total annual nitrogen excreted by dairy cattle greater than one year old</a:t>
          </a:fld>
          <a:endParaRPr lang="en-AU" sz="900">
            <a:solidFill>
              <a:srgbClr val="002060"/>
            </a:solidFill>
          </a:endParaRPr>
        </a:p>
      </xdr:txBody>
    </xdr:sp>
    <xdr:clientData/>
  </xdr:twoCellAnchor>
  <xdr:twoCellAnchor>
    <xdr:from>
      <xdr:col>13</xdr:col>
      <xdr:colOff>63240</xdr:colOff>
      <xdr:row>41</xdr:row>
      <xdr:rowOff>113081</xdr:rowOff>
    </xdr:from>
    <xdr:to>
      <xdr:col>15</xdr:col>
      <xdr:colOff>359354</xdr:colOff>
      <xdr:row>44</xdr:row>
      <xdr:rowOff>90132</xdr:rowOff>
    </xdr:to>
    <xdr:sp macro="" textlink="'4.3.1.3-4 Direct N20'!D180">
      <xdr:nvSpPr>
        <xdr:cNvPr id="77" name="TextBox 76">
          <a:hlinkClick xmlns:r="http://schemas.openxmlformats.org/officeDocument/2006/relationships" r:id="rId17"/>
          <a:extLst>
            <a:ext uri="{FF2B5EF4-FFF2-40B4-BE49-F238E27FC236}">
              <a16:creationId xmlns:a16="http://schemas.microsoft.com/office/drawing/2014/main" id="{AE747D7E-F842-455A-B724-ECC014DD9AFD}"/>
            </a:ext>
          </a:extLst>
        </xdr:cNvPr>
        <xdr:cNvSpPr txBox="1"/>
      </xdr:nvSpPr>
      <xdr:spPr>
        <a:xfrm>
          <a:off x="8791604" y="10192263"/>
          <a:ext cx="1508386"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9C9358C-3002-4C87-86E9-93AEF25C673A}" type="TxLink">
            <a:rPr lang="en-US" sz="900" b="0" i="0" u="none" strike="noStrike">
              <a:solidFill>
                <a:srgbClr val="002060"/>
              </a:solidFill>
              <a:latin typeface="Arial"/>
              <a:cs typeface="Arial"/>
            </a:rPr>
            <a:pPr algn="ctr"/>
            <a:t>Total annual nitrogen excreted by dairy cattle less than one year old</a:t>
          </a:fld>
          <a:endParaRPr lang="en-AU" sz="900">
            <a:solidFill>
              <a:srgbClr val="002060"/>
            </a:solidFill>
          </a:endParaRPr>
        </a:p>
      </xdr:txBody>
    </xdr:sp>
    <xdr:clientData/>
  </xdr:twoCellAnchor>
  <xdr:twoCellAnchor>
    <xdr:from>
      <xdr:col>11</xdr:col>
      <xdr:colOff>459459</xdr:colOff>
      <xdr:row>47</xdr:row>
      <xdr:rowOff>222074</xdr:rowOff>
    </xdr:from>
    <xdr:to>
      <xdr:col>14</xdr:col>
      <xdr:colOff>136966</xdr:colOff>
      <xdr:row>50</xdr:row>
      <xdr:rowOff>199124</xdr:rowOff>
    </xdr:to>
    <xdr:sp macro="" textlink="'4.3.1.3-4 Direct N20'!D217">
      <xdr:nvSpPr>
        <xdr:cNvPr id="78" name="TextBox 77">
          <a:hlinkClick xmlns:r="http://schemas.openxmlformats.org/officeDocument/2006/relationships" r:id="rId18"/>
          <a:extLst>
            <a:ext uri="{FF2B5EF4-FFF2-40B4-BE49-F238E27FC236}">
              <a16:creationId xmlns:a16="http://schemas.microsoft.com/office/drawing/2014/main" id="{0A04FC63-812A-4B29-93E2-9109058499F4}"/>
            </a:ext>
          </a:extLst>
        </xdr:cNvPr>
        <xdr:cNvSpPr txBox="1"/>
      </xdr:nvSpPr>
      <xdr:spPr>
        <a:xfrm>
          <a:off x="7975550" y="11755983"/>
          <a:ext cx="1495916"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C4287E5-F972-4674-A9C7-86E5DE613A85}" type="TxLink">
            <a:rPr lang="en-US" sz="900" b="0" i="0" u="none" strike="noStrike">
              <a:solidFill>
                <a:srgbClr val="002060"/>
              </a:solidFill>
              <a:latin typeface="Arial"/>
              <a:cs typeface="Arial"/>
            </a:rPr>
            <a:pPr algn="ctr"/>
            <a:t>Total nitrogen in each MMS</a:t>
          </a:fld>
          <a:endParaRPr lang="en-AU" sz="900">
            <a:solidFill>
              <a:srgbClr val="002060"/>
            </a:solidFill>
          </a:endParaRPr>
        </a:p>
      </xdr:txBody>
    </xdr:sp>
    <xdr:clientData/>
  </xdr:twoCellAnchor>
  <xdr:twoCellAnchor>
    <xdr:from>
      <xdr:col>11</xdr:col>
      <xdr:colOff>457078</xdr:colOff>
      <xdr:row>63</xdr:row>
      <xdr:rowOff>150710</xdr:rowOff>
    </xdr:from>
    <xdr:to>
      <xdr:col>14</xdr:col>
      <xdr:colOff>134585</xdr:colOff>
      <xdr:row>67</xdr:row>
      <xdr:rowOff>98070</xdr:rowOff>
    </xdr:to>
    <xdr:sp macro="" textlink="'4.3.1.3-4 Direct N20'!D254">
      <xdr:nvSpPr>
        <xdr:cNvPr id="79" name="TextBox 78">
          <a:hlinkClick xmlns:r="http://schemas.openxmlformats.org/officeDocument/2006/relationships" r:id="rId19"/>
          <a:extLst>
            <a:ext uri="{FF2B5EF4-FFF2-40B4-BE49-F238E27FC236}">
              <a16:creationId xmlns:a16="http://schemas.microsoft.com/office/drawing/2014/main" id="{C3BC9EB5-F04F-4C6D-A04D-225779E975AE}"/>
            </a:ext>
          </a:extLst>
        </xdr:cNvPr>
        <xdr:cNvSpPr txBox="1"/>
      </xdr:nvSpPr>
      <xdr:spPr>
        <a:xfrm>
          <a:off x="7973169" y="15304119"/>
          <a:ext cx="1495916" cy="70936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3057367-B228-4AD6-9D17-C0D1F71DB32A}" type="TxLink">
            <a:rPr lang="en-US" sz="900" b="1" i="0" u="none" strike="noStrike">
              <a:solidFill>
                <a:srgbClr val="002060"/>
              </a:solidFill>
              <a:latin typeface="Arial"/>
              <a:cs typeface="Arial"/>
            </a:rPr>
            <a:pPr algn="ctr"/>
            <a:t>Total annual direct nitrous oxide emissions from manure management systems</a:t>
          </a:fld>
          <a:endParaRPr lang="en-AU" sz="900" b="1">
            <a:solidFill>
              <a:srgbClr val="002060"/>
            </a:solidFill>
          </a:endParaRPr>
        </a:p>
      </xdr:txBody>
    </xdr:sp>
    <xdr:clientData/>
  </xdr:twoCellAnchor>
  <xdr:twoCellAnchor>
    <xdr:from>
      <xdr:col>13</xdr:col>
      <xdr:colOff>17922</xdr:colOff>
      <xdr:row>29</xdr:row>
      <xdr:rowOff>58552</xdr:rowOff>
    </xdr:from>
    <xdr:to>
      <xdr:col>13</xdr:col>
      <xdr:colOff>26256</xdr:colOff>
      <xdr:row>30</xdr:row>
      <xdr:rowOff>1730</xdr:rowOff>
    </xdr:to>
    <xdr:cxnSp macro="">
      <xdr:nvCxnSpPr>
        <xdr:cNvPr id="81" name="Connector: Curved 80">
          <a:extLst>
            <a:ext uri="{FF2B5EF4-FFF2-40B4-BE49-F238E27FC236}">
              <a16:creationId xmlns:a16="http://schemas.microsoft.com/office/drawing/2014/main" id="{269449AD-6D65-DAD3-75BB-00595941A6CA}"/>
            </a:ext>
          </a:extLst>
        </xdr:cNvPr>
        <xdr:cNvCxnSpPr>
          <a:stCxn id="65" idx="2"/>
          <a:endCxn id="71" idx="0"/>
        </xdr:cNvCxnSpPr>
      </xdr:nvCxnSpPr>
      <xdr:spPr>
        <a:xfrm rot="5400000">
          <a:off x="8657636" y="7316929"/>
          <a:ext cx="185633" cy="8334"/>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17922</xdr:colOff>
      <xdr:row>32</xdr:row>
      <xdr:rowOff>221234</xdr:rowOff>
    </xdr:from>
    <xdr:to>
      <xdr:col>13</xdr:col>
      <xdr:colOff>21494</xdr:colOff>
      <xdr:row>33</xdr:row>
      <xdr:rowOff>164413</xdr:rowOff>
    </xdr:to>
    <xdr:cxnSp macro="">
      <xdr:nvCxnSpPr>
        <xdr:cNvPr id="83" name="Connector: Curved 82">
          <a:extLst>
            <a:ext uri="{FF2B5EF4-FFF2-40B4-BE49-F238E27FC236}">
              <a16:creationId xmlns:a16="http://schemas.microsoft.com/office/drawing/2014/main" id="{1E727A50-8C79-F3D5-9191-A5300FED2CB6}"/>
            </a:ext>
          </a:extLst>
        </xdr:cNvPr>
        <xdr:cNvCxnSpPr>
          <a:stCxn id="71" idx="2"/>
          <a:endCxn id="74" idx="0"/>
        </xdr:cNvCxnSpPr>
      </xdr:nvCxnSpPr>
      <xdr:spPr>
        <a:xfrm rot="16200000" flipH="1">
          <a:off x="8655255" y="8209356"/>
          <a:ext cx="185633" cy="3572"/>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21493</xdr:colOff>
      <xdr:row>36</xdr:row>
      <xdr:rowOff>141462</xdr:rowOff>
    </xdr:from>
    <xdr:to>
      <xdr:col>13</xdr:col>
      <xdr:colOff>36972</xdr:colOff>
      <xdr:row>37</xdr:row>
      <xdr:rowOff>68404</xdr:rowOff>
    </xdr:to>
    <xdr:cxnSp macro="">
      <xdr:nvCxnSpPr>
        <xdr:cNvPr id="85" name="Connector: Curved 84">
          <a:extLst>
            <a:ext uri="{FF2B5EF4-FFF2-40B4-BE49-F238E27FC236}">
              <a16:creationId xmlns:a16="http://schemas.microsoft.com/office/drawing/2014/main" id="{CD77FCA6-AC3D-5496-EAB1-97FC53A1A144}"/>
            </a:ext>
          </a:extLst>
        </xdr:cNvPr>
        <xdr:cNvCxnSpPr>
          <a:stCxn id="74" idx="2"/>
          <a:endCxn id="75" idx="0"/>
        </xdr:cNvCxnSpPr>
      </xdr:nvCxnSpPr>
      <xdr:spPr>
        <a:xfrm rot="16200000" flipH="1">
          <a:off x="8672898" y="9085330"/>
          <a:ext cx="169397" cy="15479"/>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386320</xdr:colOff>
      <xdr:row>40</xdr:row>
      <xdr:rowOff>45456</xdr:rowOff>
    </xdr:from>
    <xdr:to>
      <xdr:col>13</xdr:col>
      <xdr:colOff>36973</xdr:colOff>
      <xdr:row>41</xdr:row>
      <xdr:rowOff>109508</xdr:rowOff>
    </xdr:to>
    <xdr:cxnSp macro="">
      <xdr:nvCxnSpPr>
        <xdr:cNvPr id="87" name="Connector: Curved 86">
          <a:extLst>
            <a:ext uri="{FF2B5EF4-FFF2-40B4-BE49-F238E27FC236}">
              <a16:creationId xmlns:a16="http://schemas.microsoft.com/office/drawing/2014/main" id="{AFBF84D8-D07E-B1D2-EEB6-1788FE8F5EA0}"/>
            </a:ext>
          </a:extLst>
        </xdr:cNvPr>
        <xdr:cNvCxnSpPr>
          <a:stCxn id="75" idx="2"/>
          <a:endCxn id="76" idx="0"/>
        </xdr:cNvCxnSpPr>
      </xdr:nvCxnSpPr>
      <xdr:spPr>
        <a:xfrm rot="5400000">
          <a:off x="8180620" y="9603974"/>
          <a:ext cx="306507" cy="862926"/>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386319</xdr:colOff>
      <xdr:row>44</xdr:row>
      <xdr:rowOff>86560</xdr:rowOff>
    </xdr:from>
    <xdr:to>
      <xdr:col>12</xdr:col>
      <xdr:colOff>601281</xdr:colOff>
      <xdr:row>47</xdr:row>
      <xdr:rowOff>222074</xdr:rowOff>
    </xdr:to>
    <xdr:cxnSp macro="">
      <xdr:nvCxnSpPr>
        <xdr:cNvPr id="89" name="Connector: Curved 88">
          <a:extLst>
            <a:ext uri="{FF2B5EF4-FFF2-40B4-BE49-F238E27FC236}">
              <a16:creationId xmlns:a16="http://schemas.microsoft.com/office/drawing/2014/main" id="{3C9EB857-15C1-DA45-5042-4B6F5197C3DC}"/>
            </a:ext>
          </a:extLst>
        </xdr:cNvPr>
        <xdr:cNvCxnSpPr>
          <a:stCxn id="76" idx="2"/>
          <a:endCxn id="78" idx="0"/>
        </xdr:cNvCxnSpPr>
      </xdr:nvCxnSpPr>
      <xdr:spPr>
        <a:xfrm rot="16200000" flipH="1">
          <a:off x="7881520" y="10913995"/>
          <a:ext cx="862878" cy="821098"/>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36972</xdr:colOff>
      <xdr:row>40</xdr:row>
      <xdr:rowOff>45456</xdr:rowOff>
    </xdr:from>
    <xdr:to>
      <xdr:col>14</xdr:col>
      <xdr:colOff>211297</xdr:colOff>
      <xdr:row>41</xdr:row>
      <xdr:rowOff>113080</xdr:rowOff>
    </xdr:to>
    <xdr:cxnSp macro="">
      <xdr:nvCxnSpPr>
        <xdr:cNvPr id="91" name="Connector: Curved 90">
          <a:extLst>
            <a:ext uri="{FF2B5EF4-FFF2-40B4-BE49-F238E27FC236}">
              <a16:creationId xmlns:a16="http://schemas.microsoft.com/office/drawing/2014/main" id="{09599CB2-63B0-FF3C-CDFB-6AAFCCE2B8CF}"/>
            </a:ext>
          </a:extLst>
        </xdr:cNvPr>
        <xdr:cNvCxnSpPr>
          <a:stCxn id="75" idx="2"/>
          <a:endCxn id="77" idx="0"/>
        </xdr:cNvCxnSpPr>
      </xdr:nvCxnSpPr>
      <xdr:spPr>
        <a:xfrm rot="16200000" flipH="1">
          <a:off x="9000527" y="9646992"/>
          <a:ext cx="310079" cy="78046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601281</xdr:colOff>
      <xdr:row>44</xdr:row>
      <xdr:rowOff>90133</xdr:rowOff>
    </xdr:from>
    <xdr:to>
      <xdr:col>14</xdr:col>
      <xdr:colOff>211297</xdr:colOff>
      <xdr:row>47</xdr:row>
      <xdr:rowOff>222075</xdr:rowOff>
    </xdr:to>
    <xdr:cxnSp macro="">
      <xdr:nvCxnSpPr>
        <xdr:cNvPr id="93" name="Connector: Curved 92">
          <a:extLst>
            <a:ext uri="{FF2B5EF4-FFF2-40B4-BE49-F238E27FC236}">
              <a16:creationId xmlns:a16="http://schemas.microsoft.com/office/drawing/2014/main" id="{0F5EDDB3-F613-5D9D-7109-ACFCD05B4037}"/>
            </a:ext>
          </a:extLst>
        </xdr:cNvPr>
        <xdr:cNvCxnSpPr>
          <a:stCxn id="77" idx="2"/>
          <a:endCxn id="78" idx="0"/>
        </xdr:cNvCxnSpPr>
      </xdr:nvCxnSpPr>
      <xdr:spPr>
        <a:xfrm rot="5400000">
          <a:off x="8705000" y="10915186"/>
          <a:ext cx="859306" cy="822289"/>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598900</xdr:colOff>
      <xdr:row>50</xdr:row>
      <xdr:rowOff>199125</xdr:rowOff>
    </xdr:from>
    <xdr:to>
      <xdr:col>12</xdr:col>
      <xdr:colOff>601281</xdr:colOff>
      <xdr:row>63</xdr:row>
      <xdr:rowOff>150711</xdr:rowOff>
    </xdr:to>
    <xdr:cxnSp macro="">
      <xdr:nvCxnSpPr>
        <xdr:cNvPr id="95" name="Connector: Curved 94">
          <a:extLst>
            <a:ext uri="{FF2B5EF4-FFF2-40B4-BE49-F238E27FC236}">
              <a16:creationId xmlns:a16="http://schemas.microsoft.com/office/drawing/2014/main" id="{4A0592A3-E6C8-DCD3-EE51-D171A932D6B0}"/>
            </a:ext>
          </a:extLst>
        </xdr:cNvPr>
        <xdr:cNvCxnSpPr>
          <a:stCxn id="78" idx="2"/>
          <a:endCxn id="79" idx="0"/>
        </xdr:cNvCxnSpPr>
      </xdr:nvCxnSpPr>
      <xdr:spPr>
        <a:xfrm rot="5400000">
          <a:off x="7300457" y="13881068"/>
          <a:ext cx="2843722" cy="238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17</xdr:col>
      <xdr:colOff>304489</xdr:colOff>
      <xdr:row>52</xdr:row>
      <xdr:rowOff>53556</xdr:rowOff>
    </xdr:to>
    <xdr:cxnSp macro="">
      <xdr:nvCxnSpPr>
        <xdr:cNvPr id="111" name="Connector: Curved 110">
          <a:extLst>
            <a:ext uri="{FF2B5EF4-FFF2-40B4-BE49-F238E27FC236}">
              <a16:creationId xmlns:a16="http://schemas.microsoft.com/office/drawing/2014/main" id="{8CD3589F-9AFB-C690-9C6F-7AF5DE7E57BB}"/>
            </a:ext>
          </a:extLst>
        </xdr:cNvPr>
        <xdr:cNvCxnSpPr>
          <a:stCxn id="78" idx="3"/>
          <a:endCxn id="17" idx="0"/>
        </xdr:cNvCxnSpPr>
      </xdr:nvCxnSpPr>
      <xdr:spPr>
        <a:xfrm>
          <a:off x="9471466" y="12108190"/>
          <a:ext cx="1985932" cy="691548"/>
        </a:xfrm>
        <a:prstGeom prst="curvedConnector2">
          <a:avLst/>
        </a:prstGeom>
        <a:ln>
          <a:solidFill>
            <a:srgbClr val="7030A0"/>
          </a:solidFill>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17</xdr:col>
      <xdr:colOff>304489</xdr:colOff>
      <xdr:row>55</xdr:row>
      <xdr:rowOff>30607</xdr:rowOff>
    </xdr:from>
    <xdr:to>
      <xdr:col>17</xdr:col>
      <xdr:colOff>307388</xdr:colOff>
      <xdr:row>63</xdr:row>
      <xdr:rowOff>126960</xdr:rowOff>
    </xdr:to>
    <xdr:cxnSp macro="">
      <xdr:nvCxnSpPr>
        <xdr:cNvPr id="113" name="Connector: Curved 112">
          <a:extLst>
            <a:ext uri="{FF2B5EF4-FFF2-40B4-BE49-F238E27FC236}">
              <a16:creationId xmlns:a16="http://schemas.microsoft.com/office/drawing/2014/main" id="{1C67CB42-96F4-DAA4-196C-8A64548918E8}"/>
            </a:ext>
          </a:extLst>
        </xdr:cNvPr>
        <xdr:cNvCxnSpPr>
          <a:stCxn id="17" idx="2"/>
          <a:endCxn id="107" idx="0"/>
        </xdr:cNvCxnSpPr>
      </xdr:nvCxnSpPr>
      <xdr:spPr>
        <a:xfrm rot="16200000" flipH="1">
          <a:off x="10570739" y="14390811"/>
          <a:ext cx="1776217" cy="2899"/>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21</xdr:col>
      <xdr:colOff>292245</xdr:colOff>
      <xdr:row>52</xdr:row>
      <xdr:rowOff>36990</xdr:rowOff>
    </xdr:to>
    <xdr:cxnSp macro="">
      <xdr:nvCxnSpPr>
        <xdr:cNvPr id="117" name="Connector: Curved 116">
          <a:extLst>
            <a:ext uri="{FF2B5EF4-FFF2-40B4-BE49-F238E27FC236}">
              <a16:creationId xmlns:a16="http://schemas.microsoft.com/office/drawing/2014/main" id="{4610B5F2-BA4A-C232-1266-CB5F0FED0277}"/>
            </a:ext>
          </a:extLst>
        </xdr:cNvPr>
        <xdr:cNvCxnSpPr>
          <a:stCxn id="78" idx="3"/>
          <a:endCxn id="21" idx="0"/>
        </xdr:cNvCxnSpPr>
      </xdr:nvCxnSpPr>
      <xdr:spPr>
        <a:xfrm>
          <a:off x="9471466" y="12108190"/>
          <a:ext cx="4398234" cy="674982"/>
        </a:xfrm>
        <a:prstGeom prst="curvedConnector2">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292245</xdr:colOff>
      <xdr:row>55</xdr:row>
      <xdr:rowOff>14042</xdr:rowOff>
    </xdr:from>
    <xdr:to>
      <xdr:col>21</xdr:col>
      <xdr:colOff>303841</xdr:colOff>
      <xdr:row>63</xdr:row>
      <xdr:rowOff>115010</xdr:rowOff>
    </xdr:to>
    <xdr:cxnSp macro="">
      <xdr:nvCxnSpPr>
        <xdr:cNvPr id="119" name="Connector: Curved 118">
          <a:extLst>
            <a:ext uri="{FF2B5EF4-FFF2-40B4-BE49-F238E27FC236}">
              <a16:creationId xmlns:a16="http://schemas.microsoft.com/office/drawing/2014/main" id="{F880E262-4162-C2AA-9F7A-BEC2A3ED7D21}"/>
            </a:ext>
          </a:extLst>
        </xdr:cNvPr>
        <xdr:cNvCxnSpPr>
          <a:stCxn id="21" idx="2"/>
          <a:endCxn id="115" idx="0"/>
        </xdr:cNvCxnSpPr>
      </xdr:nvCxnSpPr>
      <xdr:spPr>
        <a:xfrm rot="16200000" flipH="1">
          <a:off x="12985082" y="14372205"/>
          <a:ext cx="1780832" cy="11596"/>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26</xdr:col>
      <xdr:colOff>48779</xdr:colOff>
      <xdr:row>72</xdr:row>
      <xdr:rowOff>37409</xdr:rowOff>
    </xdr:from>
    <xdr:to>
      <xdr:col>28</xdr:col>
      <xdr:colOff>341580</xdr:colOff>
      <xdr:row>75</xdr:row>
      <xdr:rowOff>177744</xdr:rowOff>
    </xdr:to>
    <xdr:sp macro="" textlink="'4.3.1.8 Manure applied to soils'!D89">
      <xdr:nvSpPr>
        <xdr:cNvPr id="120" name="TextBox 119">
          <a:hlinkClick xmlns:r="http://schemas.openxmlformats.org/officeDocument/2006/relationships" r:id="rId20"/>
          <a:extLst>
            <a:ext uri="{FF2B5EF4-FFF2-40B4-BE49-F238E27FC236}">
              <a16:creationId xmlns:a16="http://schemas.microsoft.com/office/drawing/2014/main" id="{AF0739EF-5132-4BB9-8A48-332CA37733AD}"/>
            </a:ext>
          </a:extLst>
        </xdr:cNvPr>
        <xdr:cNvSpPr txBox="1"/>
      </xdr:nvSpPr>
      <xdr:spPr>
        <a:xfrm>
          <a:off x="16656915" y="16905318"/>
          <a:ext cx="1505074"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6A2476F-D79B-4943-8251-6752031A25D4}" type="TxLink">
            <a:rPr lang="en-US" sz="900" b="1" i="0" u="none" strike="noStrike">
              <a:solidFill>
                <a:srgbClr val="CC6600"/>
              </a:solidFill>
              <a:latin typeface="Arial"/>
              <a:cs typeface="Arial"/>
            </a:rPr>
            <a:pPr algn="ctr"/>
            <a:t>Mass of nitrogen from manure applied to soils for scope 3 emissions</a:t>
          </a:fld>
          <a:endParaRPr lang="en-AU" sz="900" b="1">
            <a:solidFill>
              <a:srgbClr val="CC6600"/>
            </a:solidFill>
          </a:endParaRPr>
        </a:p>
      </xdr:txBody>
    </xdr:sp>
    <xdr:clientData/>
  </xdr:twoCellAnchor>
  <xdr:twoCellAnchor>
    <xdr:from>
      <xdr:col>14</xdr:col>
      <xdr:colOff>136966</xdr:colOff>
      <xdr:row>49</xdr:row>
      <xdr:rowOff>89372</xdr:rowOff>
    </xdr:from>
    <xdr:to>
      <xdr:col>24</xdr:col>
      <xdr:colOff>438806</xdr:colOff>
      <xdr:row>72</xdr:row>
      <xdr:rowOff>44035</xdr:rowOff>
    </xdr:to>
    <xdr:cxnSp macro="">
      <xdr:nvCxnSpPr>
        <xdr:cNvPr id="122" name="Connector: Curved 121">
          <a:extLst>
            <a:ext uri="{FF2B5EF4-FFF2-40B4-BE49-F238E27FC236}">
              <a16:creationId xmlns:a16="http://schemas.microsoft.com/office/drawing/2014/main" id="{D16DD1C8-8C84-E3C7-8AB3-CB7BA5947779}"/>
            </a:ext>
          </a:extLst>
        </xdr:cNvPr>
        <xdr:cNvCxnSpPr>
          <a:stCxn id="78" idx="3"/>
          <a:endCxn id="23" idx="0"/>
        </xdr:cNvCxnSpPr>
      </xdr:nvCxnSpPr>
      <xdr:spPr>
        <a:xfrm>
          <a:off x="9471466" y="12108190"/>
          <a:ext cx="6363204" cy="4803754"/>
        </a:xfrm>
        <a:prstGeom prst="curvedConnector2">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27</xdr:col>
      <xdr:colOff>195179</xdr:colOff>
      <xdr:row>72</xdr:row>
      <xdr:rowOff>37409</xdr:rowOff>
    </xdr:to>
    <xdr:cxnSp macro="">
      <xdr:nvCxnSpPr>
        <xdr:cNvPr id="124" name="Connector: Curved 123">
          <a:extLst>
            <a:ext uri="{FF2B5EF4-FFF2-40B4-BE49-F238E27FC236}">
              <a16:creationId xmlns:a16="http://schemas.microsoft.com/office/drawing/2014/main" id="{AB9103AE-7367-BB76-1C06-299E20CE0DE8}"/>
            </a:ext>
          </a:extLst>
        </xdr:cNvPr>
        <xdr:cNvCxnSpPr>
          <a:stCxn id="78" idx="3"/>
          <a:endCxn id="120" idx="0"/>
        </xdr:cNvCxnSpPr>
      </xdr:nvCxnSpPr>
      <xdr:spPr>
        <a:xfrm>
          <a:off x="9471466" y="12108190"/>
          <a:ext cx="7937986" cy="4797128"/>
        </a:xfrm>
        <a:prstGeom prst="curvedConnector2">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158089</xdr:colOff>
      <xdr:row>52</xdr:row>
      <xdr:rowOff>53556</xdr:rowOff>
    </xdr:from>
    <xdr:to>
      <xdr:col>18</xdr:col>
      <xdr:colOff>450889</xdr:colOff>
      <xdr:row>55</xdr:row>
      <xdr:rowOff>30608</xdr:rowOff>
    </xdr:to>
    <xdr:sp macro="" textlink="'4.3.1.5 Atmos deposition'!D5">
      <xdr:nvSpPr>
        <xdr:cNvPr id="17" name="TextBox 16">
          <a:hlinkClick xmlns:r="http://schemas.openxmlformats.org/officeDocument/2006/relationships" r:id="rId21"/>
          <a:extLst>
            <a:ext uri="{FF2B5EF4-FFF2-40B4-BE49-F238E27FC236}">
              <a16:creationId xmlns:a16="http://schemas.microsoft.com/office/drawing/2014/main" id="{68C548DB-4AE3-450A-9AE3-76F39207811B}"/>
            </a:ext>
          </a:extLst>
        </xdr:cNvPr>
        <xdr:cNvSpPr txBox="1"/>
      </xdr:nvSpPr>
      <xdr:spPr>
        <a:xfrm>
          <a:off x="10704862" y="12799738"/>
          <a:ext cx="1505072" cy="704415"/>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72D26E0-7285-4F7D-8766-85C46C34EA77}" type="TxLink">
            <a:rPr lang="en-US" sz="900" b="0" i="0" u="none" strike="noStrike">
              <a:solidFill>
                <a:srgbClr val="7030A0"/>
              </a:solidFill>
              <a:latin typeface="Arial"/>
              <a:cs typeface="Arial"/>
            </a:rPr>
            <a:pPr algn="ctr"/>
            <a:t>Total nitrogen volatilised from MMS</a:t>
          </a:fld>
          <a:endParaRPr lang="en-AU" sz="900">
            <a:solidFill>
              <a:srgbClr val="7030A0"/>
            </a:solidFill>
          </a:endParaRPr>
        </a:p>
      </xdr:txBody>
    </xdr:sp>
    <xdr:clientData/>
  </xdr:twoCellAnchor>
  <xdr:twoCellAnchor>
    <xdr:from>
      <xdr:col>20</xdr:col>
      <xdr:colOff>144485</xdr:colOff>
      <xdr:row>52</xdr:row>
      <xdr:rowOff>36990</xdr:rowOff>
    </xdr:from>
    <xdr:to>
      <xdr:col>22</xdr:col>
      <xdr:colOff>440006</xdr:colOff>
      <xdr:row>55</xdr:row>
      <xdr:rowOff>14042</xdr:rowOff>
    </xdr:to>
    <xdr:sp macro="" textlink="'4.3.1.6-7 Leaching and runoff'!D5">
      <xdr:nvSpPr>
        <xdr:cNvPr id="21" name="TextBox 20">
          <a:hlinkClick xmlns:r="http://schemas.openxmlformats.org/officeDocument/2006/relationships" r:id="rId22"/>
          <a:extLst>
            <a:ext uri="{FF2B5EF4-FFF2-40B4-BE49-F238E27FC236}">
              <a16:creationId xmlns:a16="http://schemas.microsoft.com/office/drawing/2014/main" id="{ADE1B198-9F1F-4820-80B2-2F9A45A5EAF5}"/>
            </a:ext>
          </a:extLst>
        </xdr:cNvPr>
        <xdr:cNvSpPr txBox="1"/>
      </xdr:nvSpPr>
      <xdr:spPr>
        <a:xfrm>
          <a:off x="13115803" y="12783172"/>
          <a:ext cx="1507794" cy="704415"/>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67840F7-9D56-4C7F-AE66-7D2F8BD2026B}" type="TxLink">
            <a:rPr lang="en-US" sz="900" b="0" i="0" u="none" strike="noStrike">
              <a:solidFill>
                <a:srgbClr val="C00000"/>
              </a:solidFill>
              <a:latin typeface="Arial"/>
              <a:cs typeface="Arial"/>
            </a:rPr>
            <a:pPr algn="ctr"/>
            <a:t>Mass of nitrogen lost to leaching and runoff from solid storage systems</a:t>
          </a:fld>
          <a:endParaRPr lang="en-AU" sz="900" b="0">
            <a:solidFill>
              <a:srgbClr val="C00000"/>
            </a:solidFill>
          </a:endParaRPr>
        </a:p>
      </xdr:txBody>
    </xdr:sp>
    <xdr:clientData/>
  </xdr:twoCellAnchor>
  <xdr:twoCellAnchor>
    <xdr:from>
      <xdr:col>16</xdr:col>
      <xdr:colOff>160988</xdr:colOff>
      <xdr:row>63</xdr:row>
      <xdr:rowOff>126961</xdr:rowOff>
    </xdr:from>
    <xdr:to>
      <xdr:col>18</xdr:col>
      <xdr:colOff>453788</xdr:colOff>
      <xdr:row>67</xdr:row>
      <xdr:rowOff>71847</xdr:rowOff>
    </xdr:to>
    <xdr:sp macro="" textlink="'4.3.1.5 Atmos deposition'!D53">
      <xdr:nvSpPr>
        <xdr:cNvPr id="107" name="TextBox 106">
          <a:hlinkClick xmlns:r="http://schemas.openxmlformats.org/officeDocument/2006/relationships" r:id="rId23"/>
          <a:extLst>
            <a:ext uri="{FF2B5EF4-FFF2-40B4-BE49-F238E27FC236}">
              <a16:creationId xmlns:a16="http://schemas.microsoft.com/office/drawing/2014/main" id="{75AB35EF-987C-4659-9DCC-48F50A4077A0}"/>
            </a:ext>
          </a:extLst>
        </xdr:cNvPr>
        <xdr:cNvSpPr txBox="1"/>
      </xdr:nvSpPr>
      <xdr:spPr>
        <a:xfrm>
          <a:off x="10707761" y="15280370"/>
          <a:ext cx="1505072" cy="706886"/>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4A81703-96F8-4EAB-A73D-294E59030947}" type="TxLink">
            <a:rPr lang="en-US" sz="900" b="1" i="0" u="none" strike="noStrike">
              <a:solidFill>
                <a:srgbClr val="7030A0"/>
              </a:solidFill>
              <a:latin typeface="Arial"/>
              <a:cs typeface="Arial"/>
            </a:rPr>
            <a:pPr algn="ctr"/>
            <a:t>Annual atmospheric deposition emissions from MMS</a:t>
          </a:fld>
          <a:endParaRPr lang="en-AU" sz="900" b="1">
            <a:solidFill>
              <a:srgbClr val="7030A0"/>
            </a:solidFill>
          </a:endParaRPr>
        </a:p>
      </xdr:txBody>
    </xdr:sp>
    <xdr:clientData/>
  </xdr:twoCellAnchor>
  <xdr:twoCellAnchor>
    <xdr:from>
      <xdr:col>20</xdr:col>
      <xdr:colOff>156081</xdr:colOff>
      <xdr:row>63</xdr:row>
      <xdr:rowOff>115010</xdr:rowOff>
    </xdr:from>
    <xdr:to>
      <xdr:col>22</xdr:col>
      <xdr:colOff>451602</xdr:colOff>
      <xdr:row>67</xdr:row>
      <xdr:rowOff>59896</xdr:rowOff>
    </xdr:to>
    <xdr:sp macro="" textlink="'4.3.1.5 Atmos deposition'!D53">
      <xdr:nvSpPr>
        <xdr:cNvPr id="115" name="TextBox 114">
          <a:hlinkClick xmlns:r="http://schemas.openxmlformats.org/officeDocument/2006/relationships" r:id="rId23"/>
          <a:extLst>
            <a:ext uri="{FF2B5EF4-FFF2-40B4-BE49-F238E27FC236}">
              <a16:creationId xmlns:a16="http://schemas.microsoft.com/office/drawing/2014/main" id="{44EE026D-EBA6-4CD3-89C2-9EFD65454A24}"/>
            </a:ext>
          </a:extLst>
        </xdr:cNvPr>
        <xdr:cNvSpPr txBox="1"/>
      </xdr:nvSpPr>
      <xdr:spPr>
        <a:xfrm>
          <a:off x="13127399" y="15268419"/>
          <a:ext cx="1507794" cy="706886"/>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5932A5A-4B9C-4952-80C0-031C99452CAA}" type="TxLink">
            <a:rPr lang="en-US" sz="900" b="1" i="0" u="none" strike="noStrike">
              <a:solidFill>
                <a:srgbClr val="C00000"/>
              </a:solidFill>
              <a:latin typeface="Arial"/>
              <a:cs typeface="Arial"/>
            </a:rPr>
            <a:pPr algn="ctr"/>
            <a:t>Annual atmospheric deposition emissions from MMS</a:t>
          </a:fld>
          <a:endParaRPr lang="en-AU" sz="900" b="1">
            <a:solidFill>
              <a:srgbClr val="C00000"/>
            </a:solidFill>
          </a:endParaRPr>
        </a:p>
      </xdr:txBody>
    </xdr:sp>
    <xdr:clientData/>
  </xdr:twoCellAnchor>
  <xdr:twoCellAnchor>
    <xdr:from>
      <xdr:col>14</xdr:col>
      <xdr:colOff>136966</xdr:colOff>
      <xdr:row>49</xdr:row>
      <xdr:rowOff>89372</xdr:rowOff>
    </xdr:from>
    <xdr:to>
      <xdr:col>30</xdr:col>
      <xdr:colOff>241650</xdr:colOff>
      <xdr:row>52</xdr:row>
      <xdr:rowOff>31667</xdr:rowOff>
    </xdr:to>
    <xdr:cxnSp macro="">
      <xdr:nvCxnSpPr>
        <xdr:cNvPr id="129" name="Connector: Curved 128">
          <a:extLst>
            <a:ext uri="{FF2B5EF4-FFF2-40B4-BE49-F238E27FC236}">
              <a16:creationId xmlns:a16="http://schemas.microsoft.com/office/drawing/2014/main" id="{5F37BF19-90E1-DBD6-6E23-A13BC59FED3A}"/>
            </a:ext>
          </a:extLst>
        </xdr:cNvPr>
        <xdr:cNvCxnSpPr>
          <a:stCxn id="78" idx="3"/>
          <a:endCxn id="32" idx="0"/>
        </xdr:cNvCxnSpPr>
      </xdr:nvCxnSpPr>
      <xdr:spPr>
        <a:xfrm>
          <a:off x="9471466" y="12108190"/>
          <a:ext cx="9802866" cy="669659"/>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32</xdr:col>
      <xdr:colOff>164645</xdr:colOff>
      <xdr:row>52</xdr:row>
      <xdr:rowOff>47996</xdr:rowOff>
    </xdr:from>
    <xdr:to>
      <xdr:col>34</xdr:col>
      <xdr:colOff>460168</xdr:colOff>
      <xdr:row>55</xdr:row>
      <xdr:rowOff>31173</xdr:rowOff>
    </xdr:to>
    <xdr:sp macro="" textlink="'4.3.1.10-11 Soil Atmos Dep'!D5">
      <xdr:nvSpPr>
        <xdr:cNvPr id="130" name="TextBox 129">
          <a:hlinkClick xmlns:r="http://schemas.openxmlformats.org/officeDocument/2006/relationships" r:id="rId24"/>
          <a:extLst>
            <a:ext uri="{FF2B5EF4-FFF2-40B4-BE49-F238E27FC236}">
              <a16:creationId xmlns:a16="http://schemas.microsoft.com/office/drawing/2014/main" id="{44B66A09-F9C9-4EF3-BB0C-2D541F5B6CC8}"/>
            </a:ext>
          </a:extLst>
        </xdr:cNvPr>
        <xdr:cNvSpPr txBox="1"/>
      </xdr:nvSpPr>
      <xdr:spPr>
        <a:xfrm>
          <a:off x="20409600" y="12794178"/>
          <a:ext cx="1507795" cy="71054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850D902-5385-4FBC-835E-4ECD29601E2C}" type="TxLink">
            <a:rPr lang="en-US" sz="900" b="0" i="0" u="none" strike="noStrike">
              <a:solidFill>
                <a:schemeClr val="accent6">
                  <a:lumMod val="50000"/>
                </a:schemeClr>
              </a:solidFill>
              <a:latin typeface="Arial"/>
              <a:cs typeface="Arial"/>
            </a:rPr>
            <a:pPr algn="ctr"/>
            <a:t>Mass of nitrogen volatilised from urine and faeces deposited on pasture</a:t>
          </a:fld>
          <a:endParaRPr lang="en-AU" sz="900" b="0">
            <a:solidFill>
              <a:schemeClr val="accent6">
                <a:lumMod val="50000"/>
              </a:schemeClr>
            </a:solidFill>
          </a:endParaRPr>
        </a:p>
      </xdr:txBody>
    </xdr:sp>
    <xdr:clientData/>
  </xdr:twoCellAnchor>
  <xdr:twoCellAnchor>
    <xdr:from>
      <xdr:col>32</xdr:col>
      <xdr:colOff>167366</xdr:colOff>
      <xdr:row>56</xdr:row>
      <xdr:rowOff>143493</xdr:rowOff>
    </xdr:from>
    <xdr:to>
      <xdr:col>34</xdr:col>
      <xdr:colOff>462889</xdr:colOff>
      <xdr:row>59</xdr:row>
      <xdr:rowOff>178625</xdr:rowOff>
    </xdr:to>
    <xdr:sp macro="" textlink="'4.3.1.10-11 Soil Atmos Dep'!D30">
      <xdr:nvSpPr>
        <xdr:cNvPr id="131" name="TextBox 130">
          <a:hlinkClick xmlns:r="http://schemas.openxmlformats.org/officeDocument/2006/relationships" r:id="rId25"/>
          <a:extLst>
            <a:ext uri="{FF2B5EF4-FFF2-40B4-BE49-F238E27FC236}">
              <a16:creationId xmlns:a16="http://schemas.microsoft.com/office/drawing/2014/main" id="{C11A3B18-67DA-434D-BF87-46D534AAC1C3}"/>
            </a:ext>
          </a:extLst>
        </xdr:cNvPr>
        <xdr:cNvSpPr txBox="1"/>
      </xdr:nvSpPr>
      <xdr:spPr>
        <a:xfrm>
          <a:off x="20412321" y="13859493"/>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C54E621-A07E-4777-91A3-B2F47EE59156}" type="TxLink">
            <a:rPr lang="en-US" sz="900" b="1" i="0" u="none" strike="noStrike">
              <a:solidFill>
                <a:schemeClr val="accent6">
                  <a:lumMod val="50000"/>
                </a:schemeClr>
              </a:solidFill>
              <a:latin typeface="Arial"/>
              <a:cs typeface="Arial"/>
            </a:rPr>
            <a:pPr algn="ctr"/>
            <a:t>Atmospheric deposition emissions from urine and dung deposited on pasture</a:t>
          </a:fld>
          <a:endParaRPr lang="en-AU" sz="900" b="1">
            <a:solidFill>
              <a:schemeClr val="accent6">
                <a:lumMod val="50000"/>
              </a:schemeClr>
            </a:solidFill>
          </a:endParaRPr>
        </a:p>
      </xdr:txBody>
    </xdr:sp>
    <xdr:clientData/>
  </xdr:twoCellAnchor>
  <xdr:twoCellAnchor>
    <xdr:from>
      <xdr:col>36</xdr:col>
      <xdr:colOff>6802</xdr:colOff>
      <xdr:row>52</xdr:row>
      <xdr:rowOff>39832</xdr:rowOff>
    </xdr:from>
    <xdr:to>
      <xdr:col>38</xdr:col>
      <xdr:colOff>302324</xdr:colOff>
      <xdr:row>55</xdr:row>
      <xdr:rowOff>23009</xdr:rowOff>
    </xdr:to>
    <xdr:sp macro="" textlink="'4.3.1.12-13 Soil leach runoff'!D5">
      <xdr:nvSpPr>
        <xdr:cNvPr id="132" name="TextBox 131">
          <a:hlinkClick xmlns:r="http://schemas.openxmlformats.org/officeDocument/2006/relationships" r:id="rId26"/>
          <a:extLst>
            <a:ext uri="{FF2B5EF4-FFF2-40B4-BE49-F238E27FC236}">
              <a16:creationId xmlns:a16="http://schemas.microsoft.com/office/drawing/2014/main" id="{D5FAD217-5D22-42A6-832F-EADF4D6CEC65}"/>
            </a:ext>
          </a:extLst>
        </xdr:cNvPr>
        <xdr:cNvSpPr txBox="1"/>
      </xdr:nvSpPr>
      <xdr:spPr>
        <a:xfrm>
          <a:off x="22676302" y="12786014"/>
          <a:ext cx="1507795" cy="71054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142AFC9-F71C-49CD-88C3-99E89341784D}" type="TxLink">
            <a:rPr lang="en-US" sz="900" b="0" i="0" u="none" strike="noStrike">
              <a:solidFill>
                <a:schemeClr val="accent6">
                  <a:lumMod val="50000"/>
                </a:schemeClr>
              </a:solidFill>
              <a:latin typeface="Arial"/>
              <a:cs typeface="Arial"/>
            </a:rPr>
            <a:pPr algn="ctr"/>
            <a:t>Mass of nitrogen lost to leaching and runoff from urine and faeces on pasture</a:t>
          </a:fld>
          <a:endParaRPr lang="en-AU" sz="900" b="0">
            <a:solidFill>
              <a:schemeClr val="accent6">
                <a:lumMod val="50000"/>
              </a:schemeClr>
            </a:solidFill>
          </a:endParaRPr>
        </a:p>
      </xdr:txBody>
    </xdr:sp>
    <xdr:clientData/>
  </xdr:twoCellAnchor>
  <xdr:twoCellAnchor>
    <xdr:from>
      <xdr:col>36</xdr:col>
      <xdr:colOff>4082</xdr:colOff>
      <xdr:row>56</xdr:row>
      <xdr:rowOff>143493</xdr:rowOff>
    </xdr:from>
    <xdr:to>
      <xdr:col>38</xdr:col>
      <xdr:colOff>299604</xdr:colOff>
      <xdr:row>59</xdr:row>
      <xdr:rowOff>178625</xdr:rowOff>
    </xdr:to>
    <xdr:sp macro="" textlink="'4.3.1.12-13 Soil leach runoff'!D35">
      <xdr:nvSpPr>
        <xdr:cNvPr id="133" name="TextBox 132">
          <a:hlinkClick xmlns:r="http://schemas.openxmlformats.org/officeDocument/2006/relationships" r:id="rId27"/>
          <a:extLst>
            <a:ext uri="{FF2B5EF4-FFF2-40B4-BE49-F238E27FC236}">
              <a16:creationId xmlns:a16="http://schemas.microsoft.com/office/drawing/2014/main" id="{3C13A335-1F96-4FF2-9226-69D75ABB98C7}"/>
            </a:ext>
          </a:extLst>
        </xdr:cNvPr>
        <xdr:cNvSpPr txBox="1"/>
      </xdr:nvSpPr>
      <xdr:spPr>
        <a:xfrm>
          <a:off x="22673582" y="13859493"/>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D737E15-2502-44D4-B826-A5C1A57AF917}" type="TxLink">
            <a:rPr lang="en-US" sz="900" b="1" i="0" u="none" strike="noStrike">
              <a:solidFill>
                <a:schemeClr val="accent6">
                  <a:lumMod val="50000"/>
                </a:schemeClr>
              </a:solidFill>
              <a:latin typeface="Arial"/>
              <a:cs typeface="Arial"/>
            </a:rPr>
            <a:pPr algn="ctr"/>
            <a:t>Leaching and runoff emissions from urine and dung deposited on pasture</a:t>
          </a:fld>
          <a:endParaRPr lang="en-AU" sz="900" b="1">
            <a:solidFill>
              <a:schemeClr val="accent6">
                <a:lumMod val="50000"/>
              </a:schemeClr>
            </a:solidFill>
          </a:endParaRPr>
        </a:p>
      </xdr:txBody>
    </xdr:sp>
    <xdr:clientData/>
  </xdr:twoCellAnchor>
  <xdr:twoCellAnchor>
    <xdr:from>
      <xdr:col>14</xdr:col>
      <xdr:colOff>136966</xdr:colOff>
      <xdr:row>49</xdr:row>
      <xdr:rowOff>89372</xdr:rowOff>
    </xdr:from>
    <xdr:to>
      <xdr:col>33</xdr:col>
      <xdr:colOff>312407</xdr:colOff>
      <xdr:row>52</xdr:row>
      <xdr:rowOff>47996</xdr:rowOff>
    </xdr:to>
    <xdr:cxnSp macro="">
      <xdr:nvCxnSpPr>
        <xdr:cNvPr id="135" name="Connector: Curved 134">
          <a:extLst>
            <a:ext uri="{FF2B5EF4-FFF2-40B4-BE49-F238E27FC236}">
              <a16:creationId xmlns:a16="http://schemas.microsoft.com/office/drawing/2014/main" id="{B2B05C77-061C-DBBD-AD4C-857262EA55EB}"/>
            </a:ext>
          </a:extLst>
        </xdr:cNvPr>
        <xdr:cNvCxnSpPr>
          <a:stCxn id="78" idx="3"/>
          <a:endCxn id="130" idx="0"/>
        </xdr:cNvCxnSpPr>
      </xdr:nvCxnSpPr>
      <xdr:spPr>
        <a:xfrm>
          <a:off x="9471466" y="12108190"/>
          <a:ext cx="11692032" cy="685988"/>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37</xdr:col>
      <xdr:colOff>154564</xdr:colOff>
      <xdr:row>52</xdr:row>
      <xdr:rowOff>39832</xdr:rowOff>
    </xdr:to>
    <xdr:cxnSp macro="">
      <xdr:nvCxnSpPr>
        <xdr:cNvPr id="137" name="Connector: Curved 136">
          <a:extLst>
            <a:ext uri="{FF2B5EF4-FFF2-40B4-BE49-F238E27FC236}">
              <a16:creationId xmlns:a16="http://schemas.microsoft.com/office/drawing/2014/main" id="{6586B6B4-0A15-144D-16BE-39BC6D205D1B}"/>
            </a:ext>
          </a:extLst>
        </xdr:cNvPr>
        <xdr:cNvCxnSpPr>
          <a:stCxn id="78" idx="3"/>
          <a:endCxn id="132" idx="0"/>
        </xdr:cNvCxnSpPr>
      </xdr:nvCxnSpPr>
      <xdr:spPr>
        <a:xfrm>
          <a:off x="9471466" y="12108190"/>
          <a:ext cx="13958734" cy="677824"/>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312407</xdr:colOff>
      <xdr:row>55</xdr:row>
      <xdr:rowOff>31172</xdr:rowOff>
    </xdr:from>
    <xdr:to>
      <xdr:col>33</xdr:col>
      <xdr:colOff>315128</xdr:colOff>
      <xdr:row>56</xdr:row>
      <xdr:rowOff>143492</xdr:rowOff>
    </xdr:to>
    <xdr:cxnSp macro="">
      <xdr:nvCxnSpPr>
        <xdr:cNvPr id="150" name="Connector: Curved 149">
          <a:extLst>
            <a:ext uri="{FF2B5EF4-FFF2-40B4-BE49-F238E27FC236}">
              <a16:creationId xmlns:a16="http://schemas.microsoft.com/office/drawing/2014/main" id="{36AE65F0-C291-B81A-22D7-D7425B7986CF}"/>
            </a:ext>
          </a:extLst>
        </xdr:cNvPr>
        <xdr:cNvCxnSpPr>
          <a:stCxn id="130" idx="2"/>
          <a:endCxn id="131" idx="0"/>
        </xdr:cNvCxnSpPr>
      </xdr:nvCxnSpPr>
      <xdr:spPr>
        <a:xfrm rot="16200000" flipH="1">
          <a:off x="20987471" y="13680744"/>
          <a:ext cx="354775" cy="2721"/>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151845</xdr:colOff>
      <xdr:row>55</xdr:row>
      <xdr:rowOff>23008</xdr:rowOff>
    </xdr:from>
    <xdr:to>
      <xdr:col>37</xdr:col>
      <xdr:colOff>154565</xdr:colOff>
      <xdr:row>56</xdr:row>
      <xdr:rowOff>143492</xdr:rowOff>
    </xdr:to>
    <xdr:cxnSp macro="">
      <xdr:nvCxnSpPr>
        <xdr:cNvPr id="152" name="Connector: Curved 151">
          <a:extLst>
            <a:ext uri="{FF2B5EF4-FFF2-40B4-BE49-F238E27FC236}">
              <a16:creationId xmlns:a16="http://schemas.microsoft.com/office/drawing/2014/main" id="{676866DA-B673-DBF2-88B5-DBF16E0247F0}"/>
            </a:ext>
          </a:extLst>
        </xdr:cNvPr>
        <xdr:cNvCxnSpPr>
          <a:stCxn id="132" idx="2"/>
          <a:endCxn id="133" idx="0"/>
        </xdr:cNvCxnSpPr>
      </xdr:nvCxnSpPr>
      <xdr:spPr>
        <a:xfrm rot="5400000">
          <a:off x="23247371" y="13676663"/>
          <a:ext cx="362939" cy="2720"/>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42</xdr:col>
      <xdr:colOff>517071</xdr:colOff>
      <xdr:row>49</xdr:row>
      <xdr:rowOff>80404</xdr:rowOff>
    </xdr:from>
    <xdr:to>
      <xdr:col>45</xdr:col>
      <xdr:colOff>341701</xdr:colOff>
      <xdr:row>52</xdr:row>
      <xdr:rowOff>227610</xdr:rowOff>
    </xdr:to>
    <xdr:sp macro="" textlink="">
      <xdr:nvSpPr>
        <xdr:cNvPr id="162" name="Rectangle 161">
          <a:extLst>
            <a:ext uri="{FF2B5EF4-FFF2-40B4-BE49-F238E27FC236}">
              <a16:creationId xmlns:a16="http://schemas.microsoft.com/office/drawing/2014/main" id="{D5CF8D1D-D154-45F7-818B-B91705E6D8DC}"/>
            </a:ext>
          </a:extLst>
        </xdr:cNvPr>
        <xdr:cNvSpPr/>
      </xdr:nvSpPr>
      <xdr:spPr>
        <a:xfrm>
          <a:off x="26823389" y="12099222"/>
          <a:ext cx="1643039" cy="87457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Manure deposited on pasture range and paddock</a:t>
          </a:r>
        </a:p>
      </xdr:txBody>
    </xdr:sp>
    <xdr:clientData/>
  </xdr:twoCellAnchor>
  <xdr:twoCellAnchor>
    <xdr:from>
      <xdr:col>42</xdr:col>
      <xdr:colOff>506185</xdr:colOff>
      <xdr:row>25</xdr:row>
      <xdr:rowOff>205590</xdr:rowOff>
    </xdr:from>
    <xdr:to>
      <xdr:col>45</xdr:col>
      <xdr:colOff>330815</xdr:colOff>
      <xdr:row>29</xdr:row>
      <xdr:rowOff>112815</xdr:rowOff>
    </xdr:to>
    <xdr:sp macro="" textlink="">
      <xdr:nvSpPr>
        <xdr:cNvPr id="164" name="Rectangle 163">
          <a:extLst>
            <a:ext uri="{FF2B5EF4-FFF2-40B4-BE49-F238E27FC236}">
              <a16:creationId xmlns:a16="http://schemas.microsoft.com/office/drawing/2014/main" id="{F3C6CB1D-4C84-464D-B2BF-DC8AF4FE5DFE}"/>
            </a:ext>
          </a:extLst>
        </xdr:cNvPr>
        <xdr:cNvSpPr/>
      </xdr:nvSpPr>
      <xdr:spPr>
        <a:xfrm>
          <a:off x="26812503" y="6405499"/>
          <a:ext cx="1643039" cy="877043"/>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Cattle on pasture, range and paddock</a:t>
          </a:r>
        </a:p>
      </xdr:txBody>
    </xdr:sp>
    <xdr:clientData/>
  </xdr:twoCellAnchor>
  <xdr:twoCellAnchor>
    <xdr:from>
      <xdr:col>51</xdr:col>
      <xdr:colOff>454479</xdr:colOff>
      <xdr:row>25</xdr:row>
      <xdr:rowOff>194705</xdr:rowOff>
    </xdr:from>
    <xdr:to>
      <xdr:col>54</xdr:col>
      <xdr:colOff>279109</xdr:colOff>
      <xdr:row>29</xdr:row>
      <xdr:rowOff>101930</xdr:rowOff>
    </xdr:to>
    <xdr:sp macro="" textlink="">
      <xdr:nvSpPr>
        <xdr:cNvPr id="166" name="Rectangle 165">
          <a:extLst>
            <a:ext uri="{FF2B5EF4-FFF2-40B4-BE49-F238E27FC236}">
              <a16:creationId xmlns:a16="http://schemas.microsoft.com/office/drawing/2014/main" id="{5618E090-501A-4B00-8965-422A095F6833}"/>
            </a:ext>
          </a:extLst>
        </xdr:cNvPr>
        <xdr:cNvSpPr/>
      </xdr:nvSpPr>
      <xdr:spPr>
        <a:xfrm>
          <a:off x="32216024" y="6394614"/>
          <a:ext cx="1643040" cy="877043"/>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Cattle in milking shed or feed pad</a:t>
          </a:r>
        </a:p>
      </xdr:txBody>
    </xdr:sp>
    <xdr:clientData/>
  </xdr:twoCellAnchor>
  <xdr:twoCellAnchor>
    <xdr:from>
      <xdr:col>48</xdr:col>
      <xdr:colOff>443594</xdr:colOff>
      <xdr:row>49</xdr:row>
      <xdr:rowOff>47748</xdr:rowOff>
    </xdr:from>
    <xdr:to>
      <xdr:col>51</xdr:col>
      <xdr:colOff>268223</xdr:colOff>
      <xdr:row>52</xdr:row>
      <xdr:rowOff>194954</xdr:rowOff>
    </xdr:to>
    <xdr:sp macro="" textlink="">
      <xdr:nvSpPr>
        <xdr:cNvPr id="167" name="Rectangle 166">
          <a:extLst>
            <a:ext uri="{FF2B5EF4-FFF2-40B4-BE49-F238E27FC236}">
              <a16:creationId xmlns:a16="http://schemas.microsoft.com/office/drawing/2014/main" id="{C628196E-E770-4DF9-8942-3CE7510D0535}"/>
            </a:ext>
          </a:extLst>
        </xdr:cNvPr>
        <xdr:cNvSpPr/>
      </xdr:nvSpPr>
      <xdr:spPr>
        <a:xfrm>
          <a:off x="30386730" y="12066566"/>
          <a:ext cx="1643038" cy="87457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Manure sent to MMS other than solid storage</a:t>
          </a:r>
        </a:p>
      </xdr:txBody>
    </xdr:sp>
    <xdr:clientData/>
  </xdr:twoCellAnchor>
  <xdr:twoCellAnchor>
    <xdr:from>
      <xdr:col>52</xdr:col>
      <xdr:colOff>204108</xdr:colOff>
      <xdr:row>55</xdr:row>
      <xdr:rowOff>216478</xdr:rowOff>
    </xdr:from>
    <xdr:to>
      <xdr:col>55</xdr:col>
      <xdr:colOff>28735</xdr:colOff>
      <xdr:row>58</xdr:row>
      <xdr:rowOff>148441</xdr:rowOff>
    </xdr:to>
    <xdr:sp macro="" textlink="">
      <xdr:nvSpPr>
        <xdr:cNvPr id="168" name="Rectangle 167">
          <a:extLst>
            <a:ext uri="{FF2B5EF4-FFF2-40B4-BE49-F238E27FC236}">
              <a16:creationId xmlns:a16="http://schemas.microsoft.com/office/drawing/2014/main" id="{FDFC5965-793F-482A-B053-A4CED5383D93}"/>
            </a:ext>
          </a:extLst>
        </xdr:cNvPr>
        <xdr:cNvSpPr/>
      </xdr:nvSpPr>
      <xdr:spPr>
        <a:xfrm>
          <a:off x="32571790" y="13690023"/>
          <a:ext cx="1643036" cy="659327"/>
        </a:xfrm>
        <a:prstGeom prst="rect">
          <a:avLst/>
        </a:prstGeom>
        <a:solidFill>
          <a:schemeClr val="bg1"/>
        </a:solidFill>
        <a:ln>
          <a:solidFill>
            <a:srgbClr val="008000"/>
          </a:solidFill>
        </a:ln>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i="1">
              <a:solidFill>
                <a:srgbClr val="008000"/>
              </a:solidFill>
            </a:rPr>
            <a:t>Solids separated</a:t>
          </a:r>
        </a:p>
      </xdr:txBody>
    </xdr:sp>
    <xdr:clientData/>
  </xdr:twoCellAnchor>
  <xdr:twoCellAnchor>
    <xdr:from>
      <xdr:col>55</xdr:col>
      <xdr:colOff>190501</xdr:colOff>
      <xdr:row>49</xdr:row>
      <xdr:rowOff>107620</xdr:rowOff>
    </xdr:from>
    <xdr:to>
      <xdr:col>58</xdr:col>
      <xdr:colOff>19611</xdr:colOff>
      <xdr:row>52</xdr:row>
      <xdr:rowOff>227611</xdr:rowOff>
    </xdr:to>
    <xdr:sp macro="" textlink="">
      <xdr:nvSpPr>
        <xdr:cNvPr id="169" name="Rectangle 168">
          <a:extLst>
            <a:ext uri="{FF2B5EF4-FFF2-40B4-BE49-F238E27FC236}">
              <a16:creationId xmlns:a16="http://schemas.microsoft.com/office/drawing/2014/main" id="{BF5584D8-512F-4D4F-9E7C-5AF2A07186D6}"/>
            </a:ext>
          </a:extLst>
        </xdr:cNvPr>
        <xdr:cNvSpPr/>
      </xdr:nvSpPr>
      <xdr:spPr>
        <a:xfrm>
          <a:off x="34376592" y="12126438"/>
          <a:ext cx="1647519" cy="847355"/>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Manure sent to Solid storage</a:t>
          </a:r>
        </a:p>
      </xdr:txBody>
    </xdr:sp>
    <xdr:clientData/>
  </xdr:twoCellAnchor>
  <xdr:twoCellAnchor>
    <xdr:from>
      <xdr:col>55</xdr:col>
      <xdr:colOff>176894</xdr:colOff>
      <xdr:row>61</xdr:row>
      <xdr:rowOff>12618</xdr:rowOff>
    </xdr:from>
    <xdr:to>
      <xdr:col>58</xdr:col>
      <xdr:colOff>6004</xdr:colOff>
      <xdr:row>65</xdr:row>
      <xdr:rowOff>108856</xdr:rowOff>
    </xdr:to>
    <xdr:sp macro="" textlink="">
      <xdr:nvSpPr>
        <xdr:cNvPr id="170" name="Rectangle 169">
          <a:extLst>
            <a:ext uri="{FF2B5EF4-FFF2-40B4-BE49-F238E27FC236}">
              <a16:creationId xmlns:a16="http://schemas.microsoft.com/office/drawing/2014/main" id="{C72EDE28-0617-46C7-81EC-9A84A4C42015}"/>
            </a:ext>
          </a:extLst>
        </xdr:cNvPr>
        <xdr:cNvSpPr/>
      </xdr:nvSpPr>
      <xdr:spPr>
        <a:xfrm>
          <a:off x="34362985" y="14785027"/>
          <a:ext cx="1647519" cy="858238"/>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Post-separation solid storage</a:t>
          </a:r>
        </a:p>
      </xdr:txBody>
    </xdr:sp>
    <xdr:clientData/>
  </xdr:twoCellAnchor>
  <xdr:twoCellAnchor>
    <xdr:from>
      <xdr:col>48</xdr:col>
      <xdr:colOff>446315</xdr:colOff>
      <xdr:row>61</xdr:row>
      <xdr:rowOff>7175</xdr:rowOff>
    </xdr:from>
    <xdr:to>
      <xdr:col>51</xdr:col>
      <xdr:colOff>270944</xdr:colOff>
      <xdr:row>65</xdr:row>
      <xdr:rowOff>119743</xdr:rowOff>
    </xdr:to>
    <xdr:sp macro="" textlink="">
      <xdr:nvSpPr>
        <xdr:cNvPr id="171" name="Rectangle 170">
          <a:extLst>
            <a:ext uri="{FF2B5EF4-FFF2-40B4-BE49-F238E27FC236}">
              <a16:creationId xmlns:a16="http://schemas.microsoft.com/office/drawing/2014/main" id="{4C54173E-FBA6-4D09-A37C-3C8E553DCA07}"/>
            </a:ext>
          </a:extLst>
        </xdr:cNvPr>
        <xdr:cNvSpPr/>
      </xdr:nvSpPr>
      <xdr:spPr>
        <a:xfrm>
          <a:off x="30389451" y="14779584"/>
          <a:ext cx="1643038" cy="874568"/>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Post-separation MMS other than solid storage</a:t>
          </a:r>
        </a:p>
      </xdr:txBody>
    </xdr:sp>
    <xdr:clientData/>
  </xdr:twoCellAnchor>
  <xdr:twoCellAnchor>
    <xdr:from>
      <xdr:col>49</xdr:col>
      <xdr:colOff>97971</xdr:colOff>
      <xdr:row>71</xdr:row>
      <xdr:rowOff>16328</xdr:rowOff>
    </xdr:from>
    <xdr:to>
      <xdr:col>51</xdr:col>
      <xdr:colOff>534920</xdr:colOff>
      <xdr:row>74</xdr:row>
      <xdr:rowOff>111578</xdr:rowOff>
    </xdr:to>
    <xdr:sp macro="" textlink="">
      <xdr:nvSpPr>
        <xdr:cNvPr id="172" name="Rectangle 171">
          <a:extLst>
            <a:ext uri="{FF2B5EF4-FFF2-40B4-BE49-F238E27FC236}">
              <a16:creationId xmlns:a16="http://schemas.microsoft.com/office/drawing/2014/main" id="{93B6012B-B836-486D-84EA-65A9F19BC0B9}"/>
            </a:ext>
          </a:extLst>
        </xdr:cNvPr>
        <xdr:cNvSpPr/>
      </xdr:nvSpPr>
      <xdr:spPr>
        <a:xfrm>
          <a:off x="30647244" y="16693737"/>
          <a:ext cx="1649221"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Direct application</a:t>
          </a:r>
        </a:p>
      </xdr:txBody>
    </xdr:sp>
    <xdr:clientData/>
  </xdr:twoCellAnchor>
  <xdr:twoCellAnchor>
    <xdr:from>
      <xdr:col>51</xdr:col>
      <xdr:colOff>583905</xdr:colOff>
      <xdr:row>71</xdr:row>
      <xdr:rowOff>16328</xdr:rowOff>
    </xdr:from>
    <xdr:to>
      <xdr:col>54</xdr:col>
      <xdr:colOff>408534</xdr:colOff>
      <xdr:row>74</xdr:row>
      <xdr:rowOff>111578</xdr:rowOff>
    </xdr:to>
    <xdr:sp macro="" textlink="">
      <xdr:nvSpPr>
        <xdr:cNvPr id="173" name="Rectangle 172">
          <a:extLst>
            <a:ext uri="{FF2B5EF4-FFF2-40B4-BE49-F238E27FC236}">
              <a16:creationId xmlns:a16="http://schemas.microsoft.com/office/drawing/2014/main" id="{D422C0CF-B4B3-45D9-9031-C7206C9FFDF3}"/>
            </a:ext>
          </a:extLst>
        </xdr:cNvPr>
        <xdr:cNvSpPr/>
      </xdr:nvSpPr>
      <xdr:spPr>
        <a:xfrm>
          <a:off x="32345450" y="16693737"/>
          <a:ext cx="164303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Used as fertiliser on own farm</a:t>
          </a:r>
        </a:p>
      </xdr:txBody>
    </xdr:sp>
    <xdr:clientData/>
  </xdr:twoCellAnchor>
  <xdr:twoCellAnchor>
    <xdr:from>
      <xdr:col>54</xdr:col>
      <xdr:colOff>486094</xdr:colOff>
      <xdr:row>71</xdr:row>
      <xdr:rowOff>16328</xdr:rowOff>
    </xdr:from>
    <xdr:to>
      <xdr:col>57</xdr:col>
      <xdr:colOff>310724</xdr:colOff>
      <xdr:row>74</xdr:row>
      <xdr:rowOff>111578</xdr:rowOff>
    </xdr:to>
    <xdr:sp macro="" textlink="">
      <xdr:nvSpPr>
        <xdr:cNvPr id="174" name="Rectangle 173">
          <a:extLst>
            <a:ext uri="{FF2B5EF4-FFF2-40B4-BE49-F238E27FC236}">
              <a16:creationId xmlns:a16="http://schemas.microsoft.com/office/drawing/2014/main" id="{B845FD8D-6D69-4637-BB63-9D69985BA226}"/>
            </a:ext>
          </a:extLst>
        </xdr:cNvPr>
        <xdr:cNvSpPr/>
      </xdr:nvSpPr>
      <xdr:spPr>
        <a:xfrm>
          <a:off x="34066049" y="16693737"/>
          <a:ext cx="164303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Sold</a:t>
          </a:r>
        </a:p>
      </xdr:txBody>
    </xdr:sp>
    <xdr:clientData/>
  </xdr:twoCellAnchor>
  <xdr:twoCellAnchor>
    <xdr:from>
      <xdr:col>44</xdr:col>
      <xdr:colOff>115432</xdr:colOff>
      <xdr:row>29</xdr:row>
      <xdr:rowOff>112815</xdr:rowOff>
    </xdr:from>
    <xdr:to>
      <xdr:col>44</xdr:col>
      <xdr:colOff>126318</xdr:colOff>
      <xdr:row>49</xdr:row>
      <xdr:rowOff>80404</xdr:rowOff>
    </xdr:to>
    <xdr:cxnSp macro="">
      <xdr:nvCxnSpPr>
        <xdr:cNvPr id="178" name="Connector: Curved 177">
          <a:extLst>
            <a:ext uri="{FF2B5EF4-FFF2-40B4-BE49-F238E27FC236}">
              <a16:creationId xmlns:a16="http://schemas.microsoft.com/office/drawing/2014/main" id="{C1B26EC3-A31F-6C94-46DA-FC6B6D4590BA}"/>
            </a:ext>
          </a:extLst>
        </xdr:cNvPr>
        <xdr:cNvCxnSpPr>
          <a:stCxn id="164" idx="2"/>
          <a:endCxn id="162" idx="0"/>
        </xdr:cNvCxnSpPr>
      </xdr:nvCxnSpPr>
      <xdr:spPr>
        <a:xfrm rot="16200000" flipH="1">
          <a:off x="25231126" y="9685439"/>
          <a:ext cx="4816680" cy="108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52841</xdr:colOff>
      <xdr:row>29</xdr:row>
      <xdr:rowOff>101930</xdr:rowOff>
    </xdr:from>
    <xdr:to>
      <xdr:col>53</xdr:col>
      <xdr:colOff>63727</xdr:colOff>
      <xdr:row>49</xdr:row>
      <xdr:rowOff>47748</xdr:rowOff>
    </xdr:to>
    <xdr:cxnSp macro="">
      <xdr:nvCxnSpPr>
        <xdr:cNvPr id="180" name="Connector: Curved 179">
          <a:extLst>
            <a:ext uri="{FF2B5EF4-FFF2-40B4-BE49-F238E27FC236}">
              <a16:creationId xmlns:a16="http://schemas.microsoft.com/office/drawing/2014/main" id="{155D7C87-2737-953F-F874-54B06F7D9DB4}"/>
            </a:ext>
          </a:extLst>
        </xdr:cNvPr>
        <xdr:cNvCxnSpPr>
          <a:stCxn id="166" idx="2"/>
          <a:endCxn id="167" idx="0"/>
        </xdr:cNvCxnSpPr>
      </xdr:nvCxnSpPr>
      <xdr:spPr>
        <a:xfrm rot="5400000">
          <a:off x="29725443" y="8754464"/>
          <a:ext cx="4794909" cy="182929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63727</xdr:colOff>
      <xdr:row>29</xdr:row>
      <xdr:rowOff>101929</xdr:rowOff>
    </xdr:from>
    <xdr:to>
      <xdr:col>56</xdr:col>
      <xdr:colOff>408126</xdr:colOff>
      <xdr:row>49</xdr:row>
      <xdr:rowOff>107619</xdr:rowOff>
    </xdr:to>
    <xdr:cxnSp macro="">
      <xdr:nvCxnSpPr>
        <xdr:cNvPr id="182" name="Connector: Curved 181">
          <a:extLst>
            <a:ext uri="{FF2B5EF4-FFF2-40B4-BE49-F238E27FC236}">
              <a16:creationId xmlns:a16="http://schemas.microsoft.com/office/drawing/2014/main" id="{B2CF4B38-87AB-1EFC-EA91-0CF0553D3EFD}"/>
            </a:ext>
          </a:extLst>
        </xdr:cNvPr>
        <xdr:cNvCxnSpPr>
          <a:stCxn id="166" idx="2"/>
          <a:endCxn id="169" idx="0"/>
        </xdr:cNvCxnSpPr>
      </xdr:nvCxnSpPr>
      <xdr:spPr>
        <a:xfrm rot="16200000" flipH="1">
          <a:off x="31691558" y="8617643"/>
          <a:ext cx="4854781" cy="216280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52839</xdr:colOff>
      <xdr:row>52</xdr:row>
      <xdr:rowOff>194954</xdr:rowOff>
    </xdr:from>
    <xdr:to>
      <xdr:col>50</xdr:col>
      <xdr:colOff>55560</xdr:colOff>
      <xdr:row>61</xdr:row>
      <xdr:rowOff>7175</xdr:rowOff>
    </xdr:to>
    <xdr:cxnSp macro="">
      <xdr:nvCxnSpPr>
        <xdr:cNvPr id="186" name="Connector: Curved 185">
          <a:extLst>
            <a:ext uri="{FF2B5EF4-FFF2-40B4-BE49-F238E27FC236}">
              <a16:creationId xmlns:a16="http://schemas.microsoft.com/office/drawing/2014/main" id="{0CE31E0D-560A-286A-FAE8-E9476A807CD9}"/>
            </a:ext>
          </a:extLst>
        </xdr:cNvPr>
        <xdr:cNvCxnSpPr>
          <a:stCxn id="167" idx="2"/>
          <a:endCxn id="171" idx="0"/>
        </xdr:cNvCxnSpPr>
      </xdr:nvCxnSpPr>
      <xdr:spPr>
        <a:xfrm rot="16200000" flipH="1">
          <a:off x="30290385" y="13858999"/>
          <a:ext cx="1838448" cy="2721"/>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52840</xdr:colOff>
      <xdr:row>52</xdr:row>
      <xdr:rowOff>194953</xdr:rowOff>
    </xdr:from>
    <xdr:to>
      <xdr:col>53</xdr:col>
      <xdr:colOff>419490</xdr:colOff>
      <xdr:row>55</xdr:row>
      <xdr:rowOff>216477</xdr:rowOff>
    </xdr:to>
    <xdr:cxnSp macro="">
      <xdr:nvCxnSpPr>
        <xdr:cNvPr id="189" name="Connector: Curved 188">
          <a:extLst>
            <a:ext uri="{FF2B5EF4-FFF2-40B4-BE49-F238E27FC236}">
              <a16:creationId xmlns:a16="http://schemas.microsoft.com/office/drawing/2014/main" id="{00FDE934-5A19-25E6-EF23-46FF18983C09}"/>
            </a:ext>
          </a:extLst>
        </xdr:cNvPr>
        <xdr:cNvCxnSpPr>
          <a:stCxn id="167" idx="2"/>
          <a:endCxn id="168" idx="0"/>
        </xdr:cNvCxnSpPr>
      </xdr:nvCxnSpPr>
      <xdr:spPr>
        <a:xfrm rot="16200000" flipH="1">
          <a:off x="31926335" y="12223049"/>
          <a:ext cx="748887" cy="2185059"/>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419490</xdr:colOff>
      <xdr:row>58</xdr:row>
      <xdr:rowOff>148440</xdr:rowOff>
    </xdr:from>
    <xdr:to>
      <xdr:col>56</xdr:col>
      <xdr:colOff>394518</xdr:colOff>
      <xdr:row>61</xdr:row>
      <xdr:rowOff>12617</xdr:rowOff>
    </xdr:to>
    <xdr:cxnSp macro="">
      <xdr:nvCxnSpPr>
        <xdr:cNvPr id="191" name="Connector: Curved 190">
          <a:extLst>
            <a:ext uri="{FF2B5EF4-FFF2-40B4-BE49-F238E27FC236}">
              <a16:creationId xmlns:a16="http://schemas.microsoft.com/office/drawing/2014/main" id="{088FCC81-87E4-CBBD-B651-8124D36ABCD7}"/>
            </a:ext>
          </a:extLst>
        </xdr:cNvPr>
        <xdr:cNvCxnSpPr>
          <a:stCxn id="168" idx="2"/>
          <a:endCxn id="170" idx="0"/>
        </xdr:cNvCxnSpPr>
      </xdr:nvCxnSpPr>
      <xdr:spPr>
        <a:xfrm rot="16200000" flipH="1">
          <a:off x="34072188" y="13670469"/>
          <a:ext cx="435677" cy="1793437"/>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56</xdr:col>
      <xdr:colOff>394518</xdr:colOff>
      <xdr:row>52</xdr:row>
      <xdr:rowOff>227612</xdr:rowOff>
    </xdr:from>
    <xdr:to>
      <xdr:col>56</xdr:col>
      <xdr:colOff>408125</xdr:colOff>
      <xdr:row>61</xdr:row>
      <xdr:rowOff>12619</xdr:rowOff>
    </xdr:to>
    <xdr:cxnSp macro="">
      <xdr:nvCxnSpPr>
        <xdr:cNvPr id="193" name="Connector: Curved 192">
          <a:extLst>
            <a:ext uri="{FF2B5EF4-FFF2-40B4-BE49-F238E27FC236}">
              <a16:creationId xmlns:a16="http://schemas.microsoft.com/office/drawing/2014/main" id="{68C7F3D3-EB68-FD43-7BD2-4385F61FA27A}"/>
            </a:ext>
          </a:extLst>
        </xdr:cNvPr>
        <xdr:cNvCxnSpPr>
          <a:stCxn id="169" idx="2"/>
          <a:endCxn id="170" idx="0"/>
        </xdr:cNvCxnSpPr>
      </xdr:nvCxnSpPr>
      <xdr:spPr>
        <a:xfrm rot="5400000">
          <a:off x="34287932" y="13872607"/>
          <a:ext cx="1811234" cy="13607"/>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47</xdr:col>
      <xdr:colOff>386443</xdr:colOff>
      <xdr:row>10</xdr:row>
      <xdr:rowOff>57397</xdr:rowOff>
    </xdr:from>
    <xdr:to>
      <xdr:col>50</xdr:col>
      <xdr:colOff>211073</xdr:colOff>
      <xdr:row>13</xdr:row>
      <xdr:rowOff>207075</xdr:rowOff>
    </xdr:to>
    <xdr:sp macro="" textlink="">
      <xdr:nvSpPr>
        <xdr:cNvPr id="196" name="Rectangle 195">
          <a:extLst>
            <a:ext uri="{FF2B5EF4-FFF2-40B4-BE49-F238E27FC236}">
              <a16:creationId xmlns:a16="http://schemas.microsoft.com/office/drawing/2014/main" id="{9E607BF0-8A60-43F8-A85C-7AFBAB5516F7}"/>
            </a:ext>
          </a:extLst>
        </xdr:cNvPr>
        <xdr:cNvSpPr/>
      </xdr:nvSpPr>
      <xdr:spPr>
        <a:xfrm>
          <a:off x="29723443" y="2620488"/>
          <a:ext cx="1643039" cy="877042"/>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Dairy enterprise</a:t>
          </a:r>
        </a:p>
      </xdr:txBody>
    </xdr:sp>
    <xdr:clientData/>
  </xdr:twoCellAnchor>
  <xdr:twoCellAnchor>
    <xdr:from>
      <xdr:col>44</xdr:col>
      <xdr:colOff>115433</xdr:colOff>
      <xdr:row>13</xdr:row>
      <xdr:rowOff>207074</xdr:rowOff>
    </xdr:from>
    <xdr:to>
      <xdr:col>48</xdr:col>
      <xdr:colOff>601828</xdr:colOff>
      <xdr:row>25</xdr:row>
      <xdr:rowOff>205589</xdr:rowOff>
    </xdr:to>
    <xdr:cxnSp macro="">
      <xdr:nvCxnSpPr>
        <xdr:cNvPr id="198" name="Connector: Curved 197">
          <a:extLst>
            <a:ext uri="{FF2B5EF4-FFF2-40B4-BE49-F238E27FC236}">
              <a16:creationId xmlns:a16="http://schemas.microsoft.com/office/drawing/2014/main" id="{5B085BC6-6DCC-1D67-2FE0-4A7686DB1998}"/>
            </a:ext>
          </a:extLst>
        </xdr:cNvPr>
        <xdr:cNvCxnSpPr>
          <a:stCxn id="196" idx="2"/>
          <a:endCxn id="164" idx="0"/>
        </xdr:cNvCxnSpPr>
      </xdr:nvCxnSpPr>
      <xdr:spPr>
        <a:xfrm rot="5400000">
          <a:off x="27635509" y="3496044"/>
          <a:ext cx="2907969" cy="291094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48</xdr:col>
      <xdr:colOff>601826</xdr:colOff>
      <xdr:row>13</xdr:row>
      <xdr:rowOff>207075</xdr:rowOff>
    </xdr:from>
    <xdr:to>
      <xdr:col>53</xdr:col>
      <xdr:colOff>63725</xdr:colOff>
      <xdr:row>25</xdr:row>
      <xdr:rowOff>194705</xdr:rowOff>
    </xdr:to>
    <xdr:cxnSp macro="">
      <xdr:nvCxnSpPr>
        <xdr:cNvPr id="200" name="Connector: Curved 199">
          <a:extLst>
            <a:ext uri="{FF2B5EF4-FFF2-40B4-BE49-F238E27FC236}">
              <a16:creationId xmlns:a16="http://schemas.microsoft.com/office/drawing/2014/main" id="{D3483AA1-2050-B84D-44BA-6AFB06CA7695}"/>
            </a:ext>
          </a:extLst>
        </xdr:cNvPr>
        <xdr:cNvCxnSpPr>
          <a:stCxn id="196" idx="2"/>
          <a:endCxn id="166" idx="0"/>
        </xdr:cNvCxnSpPr>
      </xdr:nvCxnSpPr>
      <xdr:spPr>
        <a:xfrm rot="16200000" flipH="1">
          <a:off x="30342711" y="3699781"/>
          <a:ext cx="2897084" cy="249258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46</xdr:col>
      <xdr:colOff>540327</xdr:colOff>
      <xdr:row>7</xdr:row>
      <xdr:rowOff>138597</xdr:rowOff>
    </xdr:from>
    <xdr:ext cx="2490354" cy="298800"/>
    <xdr:sp macro="" textlink="">
      <xdr:nvSpPr>
        <xdr:cNvPr id="254" name="TextBox 253">
          <a:extLst>
            <a:ext uri="{FF2B5EF4-FFF2-40B4-BE49-F238E27FC236}">
              <a16:creationId xmlns:a16="http://schemas.microsoft.com/office/drawing/2014/main" id="{F962AD50-F9C3-4CD3-AE84-E76EA6281DDC}"/>
            </a:ext>
          </a:extLst>
        </xdr:cNvPr>
        <xdr:cNvSpPr txBox="1"/>
      </xdr:nvSpPr>
      <xdr:spPr>
        <a:xfrm>
          <a:off x="29271191" y="1974324"/>
          <a:ext cx="2490354"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200" b="0">
              <a:solidFill>
                <a:schemeClr val="accent3">
                  <a:lumMod val="75000"/>
                </a:schemeClr>
              </a:solidFill>
            </a:rPr>
            <a:t>Manure management process</a:t>
          </a:r>
        </a:p>
      </xdr:txBody>
    </xdr:sp>
    <xdr:clientData/>
  </xdr:oneCellAnchor>
  <xdr:twoCellAnchor>
    <xdr:from>
      <xdr:col>50</xdr:col>
      <xdr:colOff>55561</xdr:colOff>
      <xdr:row>65</xdr:row>
      <xdr:rowOff>119742</xdr:rowOff>
    </xdr:from>
    <xdr:to>
      <xdr:col>50</xdr:col>
      <xdr:colOff>316446</xdr:colOff>
      <xdr:row>71</xdr:row>
      <xdr:rowOff>16327</xdr:rowOff>
    </xdr:to>
    <xdr:cxnSp macro="">
      <xdr:nvCxnSpPr>
        <xdr:cNvPr id="256" name="Connector: Curved 255">
          <a:extLst>
            <a:ext uri="{FF2B5EF4-FFF2-40B4-BE49-F238E27FC236}">
              <a16:creationId xmlns:a16="http://schemas.microsoft.com/office/drawing/2014/main" id="{DB2A268F-D151-4025-71DF-AA7FD0A82CD0}"/>
            </a:ext>
          </a:extLst>
        </xdr:cNvPr>
        <xdr:cNvCxnSpPr>
          <a:stCxn id="171" idx="2"/>
          <a:endCxn id="172" idx="0"/>
        </xdr:cNvCxnSpPr>
      </xdr:nvCxnSpPr>
      <xdr:spPr>
        <a:xfrm rot="16200000" flipH="1">
          <a:off x="30821620" y="16043501"/>
          <a:ext cx="1039585" cy="26088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55562</xdr:colOff>
      <xdr:row>65</xdr:row>
      <xdr:rowOff>119742</xdr:rowOff>
    </xdr:from>
    <xdr:to>
      <xdr:col>53</xdr:col>
      <xdr:colOff>193153</xdr:colOff>
      <xdr:row>71</xdr:row>
      <xdr:rowOff>16327</xdr:rowOff>
    </xdr:to>
    <xdr:cxnSp macro="">
      <xdr:nvCxnSpPr>
        <xdr:cNvPr id="258" name="Connector: Curved 257">
          <a:extLst>
            <a:ext uri="{FF2B5EF4-FFF2-40B4-BE49-F238E27FC236}">
              <a16:creationId xmlns:a16="http://schemas.microsoft.com/office/drawing/2014/main" id="{093A1E3C-0054-2F9D-A5AF-A75BD3C2E675}"/>
            </a:ext>
          </a:extLst>
        </xdr:cNvPr>
        <xdr:cNvCxnSpPr>
          <a:stCxn id="171" idx="2"/>
          <a:endCxn id="173" idx="0"/>
        </xdr:cNvCxnSpPr>
      </xdr:nvCxnSpPr>
      <xdr:spPr>
        <a:xfrm rot="16200000" flipH="1">
          <a:off x="31669178" y="15195944"/>
          <a:ext cx="1039585" cy="195600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55561</xdr:colOff>
      <xdr:row>65</xdr:row>
      <xdr:rowOff>119742</xdr:rowOff>
    </xdr:from>
    <xdr:to>
      <xdr:col>56</xdr:col>
      <xdr:colOff>95342</xdr:colOff>
      <xdr:row>71</xdr:row>
      <xdr:rowOff>16327</xdr:rowOff>
    </xdr:to>
    <xdr:cxnSp macro="">
      <xdr:nvCxnSpPr>
        <xdr:cNvPr id="260" name="Connector: Curved 259">
          <a:extLst>
            <a:ext uri="{FF2B5EF4-FFF2-40B4-BE49-F238E27FC236}">
              <a16:creationId xmlns:a16="http://schemas.microsoft.com/office/drawing/2014/main" id="{D4FDC863-3D9A-66CB-47BC-8FC8B21FF805}"/>
            </a:ext>
          </a:extLst>
        </xdr:cNvPr>
        <xdr:cNvCxnSpPr>
          <a:stCxn id="171" idx="2"/>
          <a:endCxn id="174" idx="0"/>
        </xdr:cNvCxnSpPr>
      </xdr:nvCxnSpPr>
      <xdr:spPr>
        <a:xfrm rot="16200000" flipH="1">
          <a:off x="32529477" y="14335644"/>
          <a:ext cx="1039585" cy="3676599"/>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316446</xdr:colOff>
      <xdr:row>65</xdr:row>
      <xdr:rowOff>108856</xdr:rowOff>
    </xdr:from>
    <xdr:to>
      <xdr:col>56</xdr:col>
      <xdr:colOff>394518</xdr:colOff>
      <xdr:row>71</xdr:row>
      <xdr:rowOff>16328</xdr:rowOff>
    </xdr:to>
    <xdr:cxnSp macro="">
      <xdr:nvCxnSpPr>
        <xdr:cNvPr id="262" name="Connector: Curved 261">
          <a:extLst>
            <a:ext uri="{FF2B5EF4-FFF2-40B4-BE49-F238E27FC236}">
              <a16:creationId xmlns:a16="http://schemas.microsoft.com/office/drawing/2014/main" id="{66799E70-D94E-7822-F8C8-FF9972A796B9}"/>
            </a:ext>
          </a:extLst>
        </xdr:cNvPr>
        <xdr:cNvCxnSpPr>
          <a:stCxn id="170" idx="2"/>
          <a:endCxn id="172" idx="0"/>
        </xdr:cNvCxnSpPr>
      </xdr:nvCxnSpPr>
      <xdr:spPr>
        <a:xfrm rot="5400000">
          <a:off x="32804064" y="14311056"/>
          <a:ext cx="1050472" cy="371489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193152</xdr:colOff>
      <xdr:row>65</xdr:row>
      <xdr:rowOff>108857</xdr:rowOff>
    </xdr:from>
    <xdr:to>
      <xdr:col>56</xdr:col>
      <xdr:colOff>394518</xdr:colOff>
      <xdr:row>71</xdr:row>
      <xdr:rowOff>16329</xdr:rowOff>
    </xdr:to>
    <xdr:cxnSp macro="">
      <xdr:nvCxnSpPr>
        <xdr:cNvPr id="264" name="Connector: Curved 263">
          <a:extLst>
            <a:ext uri="{FF2B5EF4-FFF2-40B4-BE49-F238E27FC236}">
              <a16:creationId xmlns:a16="http://schemas.microsoft.com/office/drawing/2014/main" id="{3349764F-CE49-F2E6-6D97-C28C59B79BA4}"/>
            </a:ext>
          </a:extLst>
        </xdr:cNvPr>
        <xdr:cNvCxnSpPr>
          <a:stCxn id="170" idx="2"/>
          <a:endCxn id="173" idx="0"/>
        </xdr:cNvCxnSpPr>
      </xdr:nvCxnSpPr>
      <xdr:spPr>
        <a:xfrm rot="5400000">
          <a:off x="33651622" y="15158614"/>
          <a:ext cx="1050472" cy="201977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56</xdr:col>
      <xdr:colOff>95342</xdr:colOff>
      <xdr:row>65</xdr:row>
      <xdr:rowOff>108856</xdr:rowOff>
    </xdr:from>
    <xdr:to>
      <xdr:col>56</xdr:col>
      <xdr:colOff>394518</xdr:colOff>
      <xdr:row>71</xdr:row>
      <xdr:rowOff>16328</xdr:rowOff>
    </xdr:to>
    <xdr:cxnSp macro="">
      <xdr:nvCxnSpPr>
        <xdr:cNvPr id="266" name="Connector: Curved 265">
          <a:extLst>
            <a:ext uri="{FF2B5EF4-FFF2-40B4-BE49-F238E27FC236}">
              <a16:creationId xmlns:a16="http://schemas.microsoft.com/office/drawing/2014/main" id="{8251E7A0-48B0-57DD-6444-827E7DB18995}"/>
            </a:ext>
          </a:extLst>
        </xdr:cNvPr>
        <xdr:cNvCxnSpPr>
          <a:stCxn id="170" idx="2"/>
          <a:endCxn id="174" idx="0"/>
        </xdr:cNvCxnSpPr>
      </xdr:nvCxnSpPr>
      <xdr:spPr>
        <a:xfrm rot="5400000">
          <a:off x="34511921" y="16018913"/>
          <a:ext cx="1050472" cy="29917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106098</xdr:colOff>
      <xdr:row>14</xdr:row>
      <xdr:rowOff>48591</xdr:rowOff>
    </xdr:from>
    <xdr:to>
      <xdr:col>5</xdr:col>
      <xdr:colOff>398898</xdr:colOff>
      <xdr:row>17</xdr:row>
      <xdr:rowOff>25641</xdr:rowOff>
    </xdr:to>
    <xdr:sp macro="" textlink="'4.3.1.1-2 Methane'!D28">
      <xdr:nvSpPr>
        <xdr:cNvPr id="4" name="TextBox 3">
          <a:extLst>
            <a:ext uri="{FF2B5EF4-FFF2-40B4-BE49-F238E27FC236}">
              <a16:creationId xmlns:a16="http://schemas.microsoft.com/office/drawing/2014/main" id="{A70746A1-EBF7-43FF-85D8-0B3F9463F885}"/>
            </a:ext>
          </a:extLst>
        </xdr:cNvPr>
        <xdr:cNvSpPr txBox="1"/>
      </xdr:nvSpPr>
      <xdr:spPr>
        <a:xfrm>
          <a:off x="2773098" y="3581500"/>
          <a:ext cx="1505073" cy="704414"/>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3836C7B-CDBC-4017-8FDA-D8799018F3FC}" type="TxLink">
            <a:rPr lang="en-US" sz="900" b="0" i="0" u="none" strike="noStrike">
              <a:solidFill>
                <a:srgbClr val="0D9D96"/>
              </a:solidFill>
              <a:latin typeface="Arial"/>
              <a:cs typeface="Arial"/>
            </a:rPr>
            <a:pPr algn="ctr"/>
            <a:t>Milk production converted from milk solids</a:t>
          </a:fld>
          <a:endParaRPr lang="en-AU" sz="900">
            <a:solidFill>
              <a:srgbClr val="0D9D96"/>
            </a:solidFill>
          </a:endParaRPr>
        </a:p>
      </xdr:txBody>
    </xdr:sp>
    <xdr:clientData/>
  </xdr:twoCellAnchor>
  <xdr:twoCellAnchor>
    <xdr:from>
      <xdr:col>4</xdr:col>
      <xdr:colOff>252499</xdr:colOff>
      <xdr:row>17</xdr:row>
      <xdr:rowOff>25640</xdr:rowOff>
    </xdr:from>
    <xdr:to>
      <xdr:col>4</xdr:col>
      <xdr:colOff>266761</xdr:colOff>
      <xdr:row>18</xdr:row>
      <xdr:rowOff>201755</xdr:rowOff>
    </xdr:to>
    <xdr:cxnSp macro="">
      <xdr:nvCxnSpPr>
        <xdr:cNvPr id="49" name="Connector: Curved 48">
          <a:extLst>
            <a:ext uri="{FF2B5EF4-FFF2-40B4-BE49-F238E27FC236}">
              <a16:creationId xmlns:a16="http://schemas.microsoft.com/office/drawing/2014/main" id="{1D041237-CB58-D291-A916-B20245816879}"/>
            </a:ext>
          </a:extLst>
        </xdr:cNvPr>
        <xdr:cNvCxnSpPr>
          <a:stCxn id="4" idx="2"/>
          <a:endCxn id="41" idx="0"/>
        </xdr:cNvCxnSpPr>
      </xdr:nvCxnSpPr>
      <xdr:spPr>
        <a:xfrm rot="16200000" flipH="1">
          <a:off x="3333872" y="4573792"/>
          <a:ext cx="423765" cy="14262"/>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252498</xdr:colOff>
      <xdr:row>12</xdr:row>
      <xdr:rowOff>157159</xdr:rowOff>
    </xdr:from>
    <xdr:to>
      <xdr:col>4</xdr:col>
      <xdr:colOff>257235</xdr:colOff>
      <xdr:row>14</xdr:row>
      <xdr:rowOff>48592</xdr:rowOff>
    </xdr:to>
    <xdr:cxnSp macro="">
      <xdr:nvCxnSpPr>
        <xdr:cNvPr id="53" name="Connector: Curved 52">
          <a:extLst>
            <a:ext uri="{FF2B5EF4-FFF2-40B4-BE49-F238E27FC236}">
              <a16:creationId xmlns:a16="http://schemas.microsoft.com/office/drawing/2014/main" id="{8F8E6DFB-9AE6-E5DB-DC6C-966E80CD3668}"/>
            </a:ext>
          </a:extLst>
        </xdr:cNvPr>
        <xdr:cNvCxnSpPr>
          <a:stCxn id="3" idx="2"/>
          <a:endCxn id="4" idx="0"/>
        </xdr:cNvCxnSpPr>
      </xdr:nvCxnSpPr>
      <xdr:spPr>
        <a:xfrm rot="5400000">
          <a:off x="3357151" y="3420649"/>
          <a:ext cx="381290" cy="4737"/>
        </a:xfrm>
        <a:prstGeom prst="curvedConnector3">
          <a:avLst>
            <a:gd name="adj1" fmla="val 50000"/>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14287</xdr:colOff>
      <xdr:row>120</xdr:row>
      <xdr:rowOff>90487</xdr:rowOff>
    </xdr:from>
    <xdr:ext cx="2975751"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73179BBD-EF70-3AA3-409E-878BDA2E566F}"/>
                </a:ext>
              </a:extLst>
            </xdr:cNvPr>
            <xdr:cNvSpPr txBox="1"/>
          </xdr:nvSpPr>
          <xdr:spPr>
            <a:xfrm>
              <a:off x="2690812" y="195738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m:t>
                        </m:r>
                      </m:sub>
                    </m:sSub>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𝐷𝑀</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0.04×</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e>
                        </m:d>
                      </m:e>
                    </m:d>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𝐴</m:t>
                        </m:r>
                      </m:e>
                    </m:d>
                  </m:oMath>
                </m:oMathPara>
              </a14:m>
              <a:endParaRPr lang="en-AU" sz="1000"/>
            </a:p>
          </xdr:txBody>
        </xdr:sp>
      </mc:Choice>
      <mc:Fallback xmlns="">
        <xdr:sp macro="" textlink="">
          <xdr:nvSpPr>
            <xdr:cNvPr id="6" name="TextBox 5">
              <a:extLst>
                <a:ext uri="{FF2B5EF4-FFF2-40B4-BE49-F238E27FC236}">
                  <a16:creationId xmlns:a16="http://schemas.microsoft.com/office/drawing/2014/main" id="{73179BBD-EF70-3AA3-409E-878BDA2E566F}"/>
                </a:ext>
              </a:extLst>
            </xdr:cNvPr>
            <xdr:cNvSpPr txBox="1"/>
          </xdr:nvSpPr>
          <xdr:spPr>
            <a:xfrm>
              <a:off x="2690812" y="195738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𝑉𝑆_𝑗=(𝐼_𝑗×(1−𝐷𝑀𝐷_𝑗 )+(0.04×𝐼_𝑗 ))×(1−𝐴)</a:t>
              </a:r>
              <a:endParaRPr lang="en-AU" sz="1000"/>
            </a:p>
          </xdr:txBody>
        </xdr:sp>
      </mc:Fallback>
    </mc:AlternateContent>
    <xdr:clientData/>
  </xdr:oneCellAnchor>
  <xdr:oneCellAnchor>
    <xdr:from>
      <xdr:col>2</xdr:col>
      <xdr:colOff>309562</xdr:colOff>
      <xdr:row>85</xdr:row>
      <xdr:rowOff>52387</xdr:rowOff>
    </xdr:from>
    <xdr:ext cx="4845044" cy="234103"/>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d>
                          <m:dPr>
                            <m:ctrlPr>
                              <a:rPr lang="en-AU" sz="1000" i="1">
                                <a:latin typeface="Cambria Math" panose="02040503050406030204" pitchFamily="18" charset="0"/>
                              </a:rPr>
                            </m:ctrlPr>
                          </m:dPr>
                          <m:e>
                            <m:r>
                              <a:rPr lang="en-AU" sz="1000" i="1">
                                <a:latin typeface="Cambria Math" panose="02040503050406030204" pitchFamily="18" charset="0"/>
                              </a:rPr>
                              <m:t>1.185+0.00454×</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𝑗</m:t>
                                </m:r>
                              </m:sub>
                            </m:sSub>
                            <m:r>
                              <a:rPr lang="en-AU" sz="1000" i="1">
                                <a:latin typeface="Cambria Math" panose="02040503050406030204" pitchFamily="18" charset="0"/>
                              </a:rPr>
                              <m:t>−0.0000026×</m:t>
                            </m:r>
                            <m:sSubSup>
                              <m:sSubSupPr>
                                <m:ctrlPr>
                                  <a:rPr lang="en-AU" sz="1000" i="1">
                                    <a:latin typeface="Cambria Math" panose="02040503050406030204" pitchFamily="18" charset="0"/>
                                  </a:rPr>
                                </m:ctrlPr>
                              </m:sSubSupPr>
                              <m:e>
                                <m:r>
                                  <a:rPr lang="en-AU" sz="1000" i="1">
                                    <a:latin typeface="Cambria Math" panose="02040503050406030204" pitchFamily="18" charset="0"/>
                                  </a:rPr>
                                  <m:t>𝑊</m:t>
                                </m:r>
                              </m:e>
                              <m:sub>
                                <m:r>
                                  <a:rPr lang="en-AU" sz="1000" i="1">
                                    <a:latin typeface="Cambria Math" panose="02040503050406030204" pitchFamily="18" charset="0"/>
                                  </a:rPr>
                                  <m:t>𝑗</m:t>
                                </m:r>
                              </m:sub>
                              <m:sup>
                                <m:r>
                                  <a:rPr lang="en-AU" sz="1000" i="1">
                                    <a:latin typeface="Cambria Math" panose="02040503050406030204" pitchFamily="18" charset="0"/>
                                  </a:rPr>
                                  <m:t>2</m:t>
                                </m:r>
                              </m:sup>
                            </m:sSubSup>
                            <m:r>
                              <a:rPr lang="en-AU" sz="1000" i="1">
                                <a:latin typeface="Cambria Math" panose="02040503050406030204" pitchFamily="18" charset="0"/>
                              </a:rPr>
                              <m:t>+0.315×</m:t>
                            </m:r>
                            <m:r>
                              <a:rPr lang="en-AU" sz="1000" i="1">
                                <a:latin typeface="Cambria Math" panose="02040503050406030204" pitchFamily="18" charset="0"/>
                              </a:rPr>
                              <m:t>𝐿𝑊</m:t>
                            </m:r>
                            <m:sSub>
                              <m:sSubPr>
                                <m:ctrlPr>
                                  <a:rPr lang="en-AU" sz="1000" i="1">
                                    <a:latin typeface="Cambria Math" panose="02040503050406030204" pitchFamily="18" charset="0"/>
                                  </a:rPr>
                                </m:ctrlPr>
                              </m:sSubPr>
                              <m:e>
                                <m:r>
                                  <a:rPr lang="en-AU" sz="1000" i="1">
                                    <a:latin typeface="Cambria Math" panose="02040503050406030204" pitchFamily="18" charset="0"/>
                                  </a:rPr>
                                  <m:t>𝐺</m:t>
                                </m:r>
                              </m:e>
                              <m:sub>
                                <m:r>
                                  <a:rPr lang="en-AU" sz="1000" i="1">
                                    <a:latin typeface="Cambria Math" panose="02040503050406030204" pitchFamily="18" charset="0"/>
                                  </a:rPr>
                                  <m:t>𝑗</m:t>
                                </m:r>
                              </m:sub>
                            </m:sSub>
                          </m:e>
                        </m:d>
                      </m:e>
                      <m:sup>
                        <m:r>
                          <a:rPr lang="en-AU" sz="1000" i="1">
                            <a:latin typeface="Cambria Math" panose="02040503050406030204" pitchFamily="18" charset="0"/>
                          </a:rPr>
                          <m:t>2</m:t>
                        </m:r>
                      </m:sup>
                    </m:sSup>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oMath>
                </m:oMathPara>
              </a14:m>
              <a:endParaRPr lang="en-AU" sz="1000"/>
            </a:p>
          </xdr:txBody>
        </xdr:sp>
      </mc:Choice>
      <mc:Fallback xmlns="">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𝐼_𝑗=(1.185+0.00454×𝑊_𝑗−0.0000026×𝑊_𝑗^2+0.315×𝐿𝑊𝐺_𝑗 )^2×𝑀𝑅_𝑗+𝑀𝐼_𝑗</a:t>
              </a:r>
              <a:endParaRPr lang="en-AU" sz="1000"/>
            </a:p>
          </xdr:txBody>
        </xdr:sp>
      </mc:Fallback>
    </mc:AlternateContent>
    <xdr:clientData/>
  </xdr:oneCellAnchor>
  <xdr:oneCellAnchor>
    <xdr:from>
      <xdr:col>3</xdr:col>
      <xdr:colOff>14287</xdr:colOff>
      <xdr:row>56</xdr:row>
      <xdr:rowOff>42862</xdr:rowOff>
    </xdr:from>
    <xdr:ext cx="1461105" cy="37055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690812" y="190976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r>
                      <a:rPr lang="en-AU" sz="1000" i="1">
                        <a:latin typeface="Cambria Math" panose="02040503050406030204" pitchFamily="18" charset="0"/>
                      </a:rPr>
                      <m:t>=</m:t>
                    </m:r>
                    <m:f>
                      <m:fPr>
                        <m:ctrlPr>
                          <a:rPr lang="en-AU" sz="1000" i="1">
                            <a:latin typeface="Cambria Math" panose="02040503050406030204" pitchFamily="18" charset="0"/>
                          </a:rPr>
                        </m:ctrlPr>
                      </m:fPr>
                      <m:num>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𝑗</m:t>
                            </m:r>
                          </m:sub>
                        </m:sSub>
                        <m:r>
                          <a:rPr lang="en-AU" sz="1000" i="1">
                            <a:latin typeface="Cambria Math" panose="02040503050406030204" pitchFamily="18" charset="0"/>
                          </a:rPr>
                          <m:t>×1.03×</m:t>
                        </m:r>
                        <m:r>
                          <a:rPr lang="en-AU" sz="1000" i="1">
                            <a:latin typeface="Cambria Math" panose="02040503050406030204" pitchFamily="18" charset="0"/>
                          </a:rPr>
                          <m:t>𝑁𝐸</m:t>
                        </m:r>
                      </m:num>
                      <m:den>
                        <m:r>
                          <a:rPr lang="en-AU" sz="1000" i="1">
                            <a:latin typeface="Cambria Math" panose="02040503050406030204" pitchFamily="18" charset="0"/>
                          </a:rPr>
                          <m:t>𝐺𝐸𝐶</m:t>
                        </m:r>
                        <m:r>
                          <a:rPr lang="en-AU" sz="1000" i="1">
                            <a:latin typeface="Cambria Math" panose="02040503050406030204" pitchFamily="18" charset="0"/>
                          </a:rPr>
                          <m:t>×</m:t>
                        </m:r>
                        <m:r>
                          <a:rPr lang="en-AU" sz="1000" i="1">
                            <a:latin typeface="Cambria Math" panose="02040503050406030204" pitchFamily="18" charset="0"/>
                          </a:rPr>
                          <m:t>𝑘</m:t>
                        </m:r>
                        <m:r>
                          <a:rPr lang="en-AU" sz="1000" i="1">
                            <a:latin typeface="Cambria Math" panose="02040503050406030204" pitchFamily="18" charset="0"/>
                          </a:rPr>
                          <m:t>×</m:t>
                        </m:r>
                        <m:r>
                          <a:rPr lang="en-AU" sz="1000" i="1">
                            <a:latin typeface="Cambria Math" panose="02040503050406030204" pitchFamily="18" charset="0"/>
                          </a:rPr>
                          <m:t>𝑞</m:t>
                        </m:r>
                        <m:sSub>
                          <m:sSubPr>
                            <m:ctrlPr>
                              <a:rPr lang="en-AU" sz="1000" i="1">
                                <a:latin typeface="Cambria Math" panose="02040503050406030204" pitchFamily="18" charset="0"/>
                              </a:rPr>
                            </m:ctrlPr>
                          </m:sSubPr>
                          <m:e>
                            <m:r>
                              <a:rPr lang="en-AU" sz="1000" i="1">
                                <a:latin typeface="Cambria Math" panose="02040503050406030204" pitchFamily="18" charset="0"/>
                              </a:rPr>
                              <m:t>𝑚</m:t>
                            </m:r>
                          </m:e>
                          <m:sub>
                            <m:r>
                              <a:rPr lang="en-AU" sz="1000" i="1">
                                <a:latin typeface="Cambria Math" panose="02040503050406030204" pitchFamily="18" charset="0"/>
                              </a:rPr>
                              <m:t>𝑗</m:t>
                            </m:r>
                          </m:sub>
                        </m:sSub>
                      </m:den>
                    </m:f>
                  </m:oMath>
                </m:oMathPara>
              </a14:m>
              <a:endParaRPr lang="en-AU" sz="1000"/>
            </a:p>
          </xdr:txBody>
        </xdr:sp>
      </mc:Choice>
      <mc:Fallback xmlns="">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690812" y="190976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𝑀𝐼_𝑗=(𝑀𝑃_𝑗×1.03×𝑁𝐸)/(𝐺𝐸𝐶×𝑘×𝑞𝑚_𝑗 )</a:t>
              </a:r>
              <a:endParaRPr lang="en-AU" sz="1000"/>
            </a:p>
          </xdr:txBody>
        </xdr:sp>
      </mc:Fallback>
    </mc:AlternateContent>
    <xdr:clientData/>
  </xdr:oneCellAnchor>
  <xdr:oneCellAnchor>
    <xdr:from>
      <xdr:col>3</xdr:col>
      <xdr:colOff>23812</xdr:colOff>
      <xdr:row>8</xdr:row>
      <xdr:rowOff>128587</xdr:rowOff>
    </xdr:from>
    <xdr:ext cx="2591542" cy="194990"/>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5466" y="2004279"/>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𝑞</m:t>
                    </m:r>
                    <m:sSub>
                      <m:sSubPr>
                        <m:ctrlPr>
                          <a:rPr lang="en-AU" sz="1000" i="1">
                            <a:latin typeface="Cambria Math" panose="02040503050406030204" pitchFamily="18" charset="0"/>
                          </a:rPr>
                        </m:ctrlPr>
                      </m:sSubPr>
                      <m:e>
                        <m:r>
                          <a:rPr lang="en-AU" sz="1000" i="1">
                            <a:latin typeface="Cambria Math" panose="02040503050406030204" pitchFamily="18" charset="0"/>
                          </a:rPr>
                          <m:t>𝑚</m:t>
                        </m:r>
                      </m:e>
                      <m:sub>
                        <m:r>
                          <a:rPr lang="en-AU" sz="1000" i="1">
                            <a:latin typeface="Cambria Math" panose="02040503050406030204" pitchFamily="18" charset="0"/>
                          </a:rPr>
                          <m:t>𝑗</m:t>
                        </m:r>
                      </m:sub>
                    </m:sSub>
                    <m:r>
                      <a:rPr lang="en-AU" sz="1000" i="1">
                        <a:latin typeface="Cambria Math" panose="02040503050406030204" pitchFamily="18" charset="0"/>
                      </a:rPr>
                      <m:t>=0.00795×</m:t>
                    </m:r>
                    <m:d>
                      <m:dPr>
                        <m:ctrlPr>
                          <a:rPr lang="en-AU" sz="1000" i="1">
                            <a:latin typeface="Cambria Math" panose="02040503050406030204" pitchFamily="18" charset="0"/>
                          </a:rPr>
                        </m:ctrlPr>
                      </m:dPr>
                      <m:e>
                        <m:r>
                          <a:rPr lang="en-AU" sz="1000" i="1">
                            <a:latin typeface="Cambria Math" panose="02040503050406030204" pitchFamily="18" charset="0"/>
                          </a:rPr>
                          <m:t>𝐷𝑀</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sub>
                        </m:sSub>
                        <m:r>
                          <a:rPr lang="en-AU" sz="1000" i="1">
                            <a:latin typeface="Cambria Math" panose="02040503050406030204" pitchFamily="18" charset="0"/>
                          </a:rPr>
                          <m:t>×100</m:t>
                        </m:r>
                      </m:e>
                    </m:d>
                    <m:r>
                      <a:rPr lang="en-AU" sz="1000" i="1">
                        <a:latin typeface="Cambria Math" panose="02040503050406030204" pitchFamily="18" charset="0"/>
                      </a:rPr>
                      <m:t>−0.0014</m:t>
                    </m:r>
                  </m:oMath>
                </m:oMathPara>
              </a14:m>
              <a:endParaRPr lang="en-AU" sz="1000"/>
            </a:p>
          </xdr:txBody>
        </xdr:sp>
      </mc:Choice>
      <mc:Fallback xmlns="">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5466" y="2004279"/>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𝑞𝑚_𝑗=0.00795×(𝐷𝑀𝐷_𝑗×100)−0.0014</a:t>
              </a:r>
              <a:endParaRPr lang="en-AU" sz="1000"/>
            </a:p>
          </xdr:txBody>
        </xdr:sp>
      </mc:Fallback>
    </mc:AlternateContent>
    <xdr:clientData/>
  </xdr:oneCellAnchor>
  <xdr:oneCellAnchor>
    <xdr:from>
      <xdr:col>3</xdr:col>
      <xdr:colOff>14287</xdr:colOff>
      <xdr:row>139</xdr:row>
      <xdr:rowOff>128587</xdr:rowOff>
    </xdr:from>
    <xdr:ext cx="1834220" cy="182871"/>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FE428F22-1198-DB5D-F222-30923EBCE0F1}"/>
                </a:ext>
              </a:extLst>
            </xdr:cNvPr>
            <xdr:cNvSpPr txBox="1"/>
          </xdr:nvSpPr>
          <xdr:spPr>
            <a:xfrm>
              <a:off x="2690812" y="272557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𝐹𝑉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𝑆</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𝑚</m:t>
                            </m:r>
                          </m:sub>
                        </m:sSub>
                      </m:e>
                    </m:d>
                  </m:oMath>
                </m:oMathPara>
              </a14:m>
              <a:endParaRPr lang="en-AU" sz="1000"/>
            </a:p>
          </xdr:txBody>
        </xdr:sp>
      </mc:Choice>
      <mc:Fallback xmlns="">
        <xdr:sp macro="" textlink="">
          <xdr:nvSpPr>
            <xdr:cNvPr id="14" name="TextBox 13">
              <a:extLst>
                <a:ext uri="{FF2B5EF4-FFF2-40B4-BE49-F238E27FC236}">
                  <a16:creationId xmlns:a16="http://schemas.microsoft.com/office/drawing/2014/main" id="{FE428F22-1198-DB5D-F222-30923EBCE0F1}"/>
                </a:ext>
              </a:extLst>
            </xdr:cNvPr>
            <xdr:cNvSpPr txBox="1"/>
          </xdr:nvSpPr>
          <xdr:spPr>
            <a:xfrm>
              <a:off x="2690812" y="272557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𝐹𝑉𝑆_𝑗𝑚=𝑀𝑀𝑆_𝑗𝑚×(1−𝑆𝑆_𝑚 )</a:t>
              </a:r>
              <a:endParaRPr lang="en-AU" sz="1000"/>
            </a:p>
          </xdr:txBody>
        </xdr:sp>
      </mc:Fallback>
    </mc:AlternateContent>
    <xdr:clientData/>
  </xdr:oneCellAnchor>
  <xdr:oneCellAnchor>
    <xdr:from>
      <xdr:col>6</xdr:col>
      <xdr:colOff>1604962</xdr:colOff>
      <xdr:row>186</xdr:row>
      <xdr:rowOff>157162</xdr:rowOff>
    </xdr:from>
    <xdr:ext cx="3888692" cy="194990"/>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3EE9869D-6FA8-8099-9C36-BD26AA525E1F}"/>
                </a:ext>
              </a:extLst>
            </xdr:cNvPr>
            <xdr:cNvSpPr txBox="1"/>
          </xdr:nvSpPr>
          <xdr:spPr>
            <a:xfrm>
              <a:off x="10425112" y="3818096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m:rPr>
                        <m:sty m:val="p"/>
                      </m:rPr>
                      <a:rPr lang="en-AU" sz="1000" b="0" i="1">
                        <a:solidFill>
                          <a:srgbClr val="C44340"/>
                        </a:solidFill>
                        <a:latin typeface="Cambria Math" panose="02040503050406030204" pitchFamily="18" charset="0"/>
                      </a:rPr>
                      <m:t>Original</m:t>
                    </m:r>
                    <m:r>
                      <a:rPr lang="en-AU" sz="1000" b="0" i="1">
                        <a:solidFill>
                          <a:srgbClr val="C44340"/>
                        </a:solidFill>
                        <a:latin typeface="Cambria Math" panose="02040503050406030204" pitchFamily="18" charset="0"/>
                      </a:rPr>
                      <m:t> </m:t>
                    </m:r>
                    <m:r>
                      <m:rPr>
                        <m:sty m:val="p"/>
                      </m:rPr>
                      <a:rPr lang="en-AU" sz="1000" b="0" i="1">
                        <a:solidFill>
                          <a:srgbClr val="C44340"/>
                        </a:solidFill>
                        <a:latin typeface="Cambria Math" panose="02040503050406030204" pitchFamily="18" charset="0"/>
                      </a:rPr>
                      <m:t>equation</m:t>
                    </m:r>
                    <m:r>
                      <a:rPr lang="en-AU" sz="1000" b="0" i="1">
                        <a:solidFill>
                          <a:srgbClr val="C44340"/>
                        </a:solidFill>
                        <a:latin typeface="Cambria Math" panose="02040503050406030204" pitchFamily="18" charset="0"/>
                      </a:rPr>
                      <m:t>: </m:t>
                    </m:r>
                    <m:r>
                      <a:rPr lang="en-AU" sz="1000" i="1">
                        <a:latin typeface="Cambria Math" panose="02040503050406030204" pitchFamily="18" charset="0"/>
                      </a:rPr>
                      <m:t>𝐹𝑉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=4</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=4</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=1,7,9</m:t>
                            </m:r>
                          </m:sub>
                        </m:sSub>
                        <m:r>
                          <a:rPr lang="en-AU" sz="1000" i="1">
                            <a:latin typeface="Cambria Math" panose="02040503050406030204" pitchFamily="18" charset="0"/>
                          </a:rPr>
                          <m:t>×</m:t>
                        </m:r>
                        <m:r>
                          <a:rPr lang="en-AU" sz="1000" i="1">
                            <a:latin typeface="Cambria Math" panose="02040503050406030204" pitchFamily="18" charset="0"/>
                          </a:rPr>
                          <m:t>𝑆</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𝑚</m:t>
                            </m:r>
                          </m:sub>
                        </m:sSub>
                      </m:e>
                    </m:d>
                  </m:oMath>
                </m:oMathPara>
              </a14:m>
              <a:endParaRPr lang="en-AU" sz="1000"/>
            </a:p>
          </xdr:txBody>
        </xdr:sp>
      </mc:Choice>
      <mc:Fallback xmlns="">
        <xdr:sp macro="" textlink="">
          <xdr:nvSpPr>
            <xdr:cNvPr id="15" name="TextBox 14">
              <a:extLst>
                <a:ext uri="{FF2B5EF4-FFF2-40B4-BE49-F238E27FC236}">
                  <a16:creationId xmlns:a16="http://schemas.microsoft.com/office/drawing/2014/main" id="{3EE9869D-6FA8-8099-9C36-BD26AA525E1F}"/>
                </a:ext>
              </a:extLst>
            </xdr:cNvPr>
            <xdr:cNvSpPr txBox="1"/>
          </xdr:nvSpPr>
          <xdr:spPr>
            <a:xfrm>
              <a:off x="10425112" y="3818096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0" i="0">
                  <a:solidFill>
                    <a:srgbClr val="C44340"/>
                  </a:solidFill>
                  <a:latin typeface="Cambria Math" panose="02040503050406030204" pitchFamily="18" charset="0"/>
                </a:rPr>
                <a:t>Original equation: </a:t>
              </a:r>
              <a:r>
                <a:rPr lang="en-AU" sz="1000" i="0">
                  <a:latin typeface="Cambria Math" panose="02040503050406030204" pitchFamily="18" charset="0"/>
                </a:rPr>
                <a:t>𝐹𝑉𝑆_(𝑗𝑚=4)=𝑀𝑀𝑆_(𝑗𝑚=4)+(𝑀𝑀𝑆_(𝑗𝑚=1,7,9)×𝑆𝑆_𝑚 )</a:t>
              </a:r>
              <a:endParaRPr lang="en-AU" sz="1000"/>
            </a:p>
          </xdr:txBody>
        </xdr:sp>
      </mc:Fallback>
    </mc:AlternateContent>
    <xdr:clientData/>
  </xdr:oneCellAnchor>
  <xdr:oneCellAnchor>
    <xdr:from>
      <xdr:col>2</xdr:col>
      <xdr:colOff>276225</xdr:colOff>
      <xdr:row>186</xdr:row>
      <xdr:rowOff>128587</xdr:rowOff>
    </xdr:from>
    <xdr:ext cx="5606791" cy="194990"/>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B783E7C7-628E-ED4E-B009-8738147D5CD4}"/>
                </a:ext>
              </a:extLst>
            </xdr:cNvPr>
            <xdr:cNvSpPr txBox="1"/>
          </xdr:nvSpPr>
          <xdr:spPr>
            <a:xfrm>
              <a:off x="2638425" y="379047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𝐹𝑉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=4</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=4</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𝑆</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𝑚</m:t>
                            </m:r>
                            <m:r>
                              <a:rPr lang="en-AU" sz="1000" i="1">
                                <a:latin typeface="Cambria Math" panose="02040503050406030204" pitchFamily="18" charset="0"/>
                              </a:rPr>
                              <m:t>=1</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=7</m:t>
                            </m:r>
                          </m:sub>
                        </m:sSub>
                        <m:r>
                          <a:rPr lang="en-AU" sz="1000" i="1">
                            <a:latin typeface="Cambria Math" panose="02040503050406030204" pitchFamily="18" charset="0"/>
                          </a:rPr>
                          <m:t>×</m:t>
                        </m:r>
                        <m:r>
                          <a:rPr lang="en-AU" sz="1000" i="1">
                            <a:latin typeface="Cambria Math" panose="02040503050406030204" pitchFamily="18" charset="0"/>
                          </a:rPr>
                          <m:t>𝑆</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𝑚</m:t>
                            </m:r>
                            <m:r>
                              <a:rPr lang="en-AU" sz="1000" i="1">
                                <a:latin typeface="Cambria Math" panose="02040503050406030204" pitchFamily="18" charset="0"/>
                              </a:rPr>
                              <m:t>=7</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=9</m:t>
                            </m:r>
                          </m:sub>
                        </m:sSub>
                        <m:r>
                          <a:rPr lang="en-AU" sz="1000" i="1">
                            <a:latin typeface="Cambria Math" panose="02040503050406030204" pitchFamily="18" charset="0"/>
                          </a:rPr>
                          <m:t>×</m:t>
                        </m:r>
                        <m:r>
                          <a:rPr lang="en-AU" sz="1000" i="1">
                            <a:latin typeface="Cambria Math" panose="02040503050406030204" pitchFamily="18" charset="0"/>
                          </a:rPr>
                          <m:t>𝑆</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𝑚</m:t>
                            </m:r>
                            <m:r>
                              <a:rPr lang="en-AU" sz="1000" i="1">
                                <a:latin typeface="Cambria Math" panose="02040503050406030204" pitchFamily="18" charset="0"/>
                              </a:rPr>
                              <m:t>=9</m:t>
                            </m:r>
                          </m:sub>
                        </m:sSub>
                      </m:e>
                    </m:d>
                  </m:oMath>
                </m:oMathPara>
              </a14:m>
              <a:endParaRPr lang="en-AU" sz="1000"/>
            </a:p>
          </xdr:txBody>
        </xdr:sp>
      </mc:Choice>
      <mc:Fallback xmlns="">
        <xdr:sp macro="" textlink="">
          <xdr:nvSpPr>
            <xdr:cNvPr id="16" name="TextBox 15">
              <a:extLst>
                <a:ext uri="{FF2B5EF4-FFF2-40B4-BE49-F238E27FC236}">
                  <a16:creationId xmlns:a16="http://schemas.microsoft.com/office/drawing/2014/main" id="{B783E7C7-628E-ED4E-B009-8738147D5CD4}"/>
                </a:ext>
              </a:extLst>
            </xdr:cNvPr>
            <xdr:cNvSpPr txBox="1"/>
          </xdr:nvSpPr>
          <xdr:spPr>
            <a:xfrm>
              <a:off x="2638425" y="379047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𝐹𝑉𝑆_(𝑗𝑚=4)=𝑀𝑀𝑆_(𝑗𝑚=4)+(𝑀𝑀𝑆_(𝑗𝑚=1)×𝑆𝑆_(𝑚=1) )+(𝑀𝑀𝑆_(𝑗𝑚=7)×𝑆𝑆_(𝑚=7) )+(𝑀𝑀𝑆_(𝑗𝑚=9)×𝑆𝑆_(𝑚=9) )</a:t>
              </a:r>
              <a:endParaRPr lang="en-AU" sz="1000"/>
            </a:p>
          </xdr:txBody>
        </xdr:sp>
      </mc:Fallback>
    </mc:AlternateContent>
    <xdr:clientData/>
  </xdr:oneCellAnchor>
  <xdr:oneCellAnchor>
    <xdr:from>
      <xdr:col>3</xdr:col>
      <xdr:colOff>4762</xdr:colOff>
      <xdr:row>212</xdr:row>
      <xdr:rowOff>157162</xdr:rowOff>
    </xdr:from>
    <xdr:ext cx="2591222" cy="182871"/>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18E21375-9427-CC3D-EA08-BABBDC2A099B}"/>
                </a:ext>
              </a:extLst>
            </xdr:cNvPr>
            <xdr:cNvSpPr txBox="1"/>
          </xdr:nvSpPr>
          <xdr:spPr>
            <a:xfrm>
              <a:off x="2681287" y="4404836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𝑗𝑚</m:t>
                        </m:r>
                      </m:sub>
                    </m:sSub>
                    <m:r>
                      <a:rPr lang="en-AU" sz="1000" i="1">
                        <a:latin typeface="Cambria Math" panose="02040503050406030204" pitchFamily="18" charset="0"/>
                      </a:rPr>
                      <m:t>=</m:t>
                    </m:r>
                    <m:r>
                      <a:rPr lang="en-AU" sz="1000" i="1">
                        <a:latin typeface="Cambria Math" panose="02040503050406030204" pitchFamily="18" charset="0"/>
                      </a:rPr>
                      <m:t>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𝑀𝐶</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𝑖𝑚</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𝐵</m:t>
                        </m:r>
                      </m:e>
                      <m:sub>
                        <m:r>
                          <a:rPr lang="en-AU" sz="1000" i="1">
                            <a:latin typeface="Cambria Math" panose="02040503050406030204" pitchFamily="18" charset="0"/>
                          </a:rPr>
                          <m:t>𝑜</m:t>
                        </m:r>
                      </m:sub>
                    </m:sSub>
                    <m:r>
                      <a:rPr lang="en-AU" sz="1000" i="1">
                        <a:latin typeface="Cambria Math" panose="02040503050406030204" pitchFamily="18" charset="0"/>
                      </a:rPr>
                      <m:t>×</m:t>
                    </m:r>
                    <m:r>
                      <a:rPr lang="en-AU" sz="1000" i="1">
                        <a:latin typeface="Cambria Math" panose="02040503050406030204" pitchFamily="18" charset="0"/>
                      </a:rPr>
                      <m:t>𝜌</m:t>
                    </m:r>
                  </m:oMath>
                </m:oMathPara>
              </a14:m>
              <a:endParaRPr lang="en-AU" sz="1000"/>
            </a:p>
          </xdr:txBody>
        </xdr:sp>
      </mc:Choice>
      <mc:Fallback xmlns="">
        <xdr:sp macro="" textlink="">
          <xdr:nvSpPr>
            <xdr:cNvPr id="17" name="TextBox 16">
              <a:extLst>
                <a:ext uri="{FF2B5EF4-FFF2-40B4-BE49-F238E27FC236}">
                  <a16:creationId xmlns:a16="http://schemas.microsoft.com/office/drawing/2014/main" id="{18E21375-9427-CC3D-EA08-BABBDC2A099B}"/>
                </a:ext>
              </a:extLst>
            </xdr:cNvPr>
            <xdr:cNvSpPr txBox="1"/>
          </xdr:nvSpPr>
          <xdr:spPr>
            <a:xfrm>
              <a:off x="2681287" y="4404836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𝑀_𝑗𝑚=𝑉𝑆_𝑗×𝐹𝑉𝑆_(𝑗𝑚,𝑇=1)×𝑀𝐶𝐹_𝑖𝑚×𝐵_𝑜×𝜌</a:t>
              </a:r>
              <a:endParaRPr lang="en-AU" sz="1000"/>
            </a:p>
          </xdr:txBody>
        </xdr:sp>
      </mc:Fallback>
    </mc:AlternateContent>
    <xdr:clientData/>
  </xdr:oneCellAnchor>
  <xdr:oneCellAnchor>
    <xdr:from>
      <xdr:col>3</xdr:col>
      <xdr:colOff>14287</xdr:colOff>
      <xdr:row>252</xdr:row>
      <xdr:rowOff>166687</xdr:rowOff>
    </xdr:from>
    <xdr:ext cx="7943200" cy="332079"/>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016DD997-BB8E-716E-6CC6-AEDE1997F35D}"/>
                </a:ext>
              </a:extLst>
            </xdr:cNvPr>
            <xdr:cNvSpPr txBox="1"/>
          </xdr:nvSpPr>
          <xdr:spPr>
            <a:xfrm>
              <a:off x="2690812" y="5404008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=1,2,4</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m:t>
                                        </m:r>
                                        <m:r>
                                          <a:rPr lang="en-AU" sz="1000" i="1">
                                            <a:latin typeface="Cambria Math" panose="02040503050406030204" pitchFamily="18" charset="0"/>
                                          </a:rPr>
                                          <m:t>=1,2,4,</m:t>
                                        </m:r>
                                        <m:r>
                                          <a:rPr lang="en-AU" sz="1000" i="1">
                                            <a:latin typeface="Cambria Math" panose="02040503050406030204" pitchFamily="18" charset="0"/>
                                          </a:rPr>
                                          <m:t>𝑚</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r>
                                          <a:rPr lang="en-AU" sz="1000" i="1">
                                            <a:latin typeface="Cambria Math" panose="02040503050406030204" pitchFamily="18" charset="0"/>
                                          </a:rPr>
                                          <m:t>=1,2,4</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m:t>
                                        </m:r>
                                        <m:r>
                                          <a:rPr lang="en-AU" sz="1000" i="1">
                                            <a:latin typeface="Cambria Math" panose="02040503050406030204" pitchFamily="18" charset="0"/>
                                          </a:rPr>
                                          <m:t>=3,5,</m:t>
                                        </m:r>
                                        <m:r>
                                          <a:rPr lang="en-AU" sz="1000" i="1">
                                            <a:latin typeface="Cambria Math" panose="02040503050406030204" pitchFamily="18" charset="0"/>
                                          </a:rPr>
                                          <m:t>𝑚</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r>
                                          <a:rPr lang="en-AU" sz="1000" i="1">
                                            <a:latin typeface="Cambria Math" panose="02040503050406030204" pitchFamily="18" charset="0"/>
                                          </a:rPr>
                                          <m:t>=3,5</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r>
                                      <a:rPr lang="en-AU" sz="1000" i="1">
                                        <a:latin typeface="Cambria Math" panose="02040503050406030204" pitchFamily="18" charset="0"/>
                                      </a:rPr>
                                      <m:t>𝑀𝑃</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𝑚𝑎𝑛𝑢𝑟𝑒</m:t>
                                        </m:r>
                                        <m:r>
                                          <a:rPr lang="en-AU" sz="1000" i="1">
                                            <a:latin typeface="Cambria Math" panose="02040503050406030204" pitchFamily="18" charset="0"/>
                                          </a:rPr>
                                          <m:t>,</m:t>
                                        </m:r>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r>
                                      <a:rPr lang="en-AU" sz="1000" i="1">
                                        <a:latin typeface="Cambria Math" panose="02040503050406030204" pitchFamily="18" charset="0"/>
                                      </a:rPr>
                                      <m:t>𝐷𝑃</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𝑗</m:t>
                                        </m:r>
                                        <m:r>
                                          <a:rPr lang="en-AU" sz="1000" i="1">
                                            <a:latin typeface="Cambria Math" panose="02040503050406030204" pitchFamily="18" charset="0"/>
                                          </a:rPr>
                                          <m:t>=3,5</m:t>
                                        </m:r>
                                      </m:sub>
                                    </m:sSub>
                                  </m:e>
                                </m:d>
                              </m:e>
                            </m:d>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8" name="TextBox 17">
              <a:extLst>
                <a:ext uri="{FF2B5EF4-FFF2-40B4-BE49-F238E27FC236}">
                  <a16:creationId xmlns:a16="http://schemas.microsoft.com/office/drawing/2014/main" id="{016DD997-BB8E-716E-6CC6-AEDE1997F35D}"/>
                </a:ext>
              </a:extLst>
            </xdr:cNvPr>
            <xdr:cNvSpPr txBox="1"/>
          </xdr:nvSpPr>
          <xdr:spPr>
            <a:xfrm>
              <a:off x="2690812" y="5404008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𝐸_𝐶𝐻4=∑2_𝑗▒∑2_𝑚▒((𝑁_(𝑗=1,2,4)×𝑀_(𝑗=1,2,4,𝑚)×𝐷_(𝑗=1,2,4) )+(𝑁_(𝑗=3,5)×𝑀_(𝑗=3,5,𝑚)×𝐷_(𝑗=3,5) )+(𝑁_(𝑗=3,5)×𝑀𝑃𝑊_(𝑚𝑎𝑛𝑢𝑟𝑒,𝑗=3,5)×𝐷𝑃𝑊_(𝑗=3,5) )) ×10^(−3)</a:t>
              </a:r>
              <a:endParaRPr lang="en-AU" sz="1000"/>
            </a:p>
          </xdr:txBody>
        </xdr:sp>
      </mc:Fallback>
    </mc:AlternateContent>
    <xdr:clientData/>
  </xdr:oneCellAnchor>
  <xdr:oneCellAnchor>
    <xdr:from>
      <xdr:col>7</xdr:col>
      <xdr:colOff>4762</xdr:colOff>
      <xdr:row>252</xdr:row>
      <xdr:rowOff>147637</xdr:rowOff>
    </xdr:from>
    <xdr:ext cx="8406468" cy="332079"/>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334A6A40-C561-1982-B5AC-9BE72AF47198}"/>
                </a:ext>
              </a:extLst>
            </xdr:cNvPr>
            <xdr:cNvSpPr txBox="1"/>
          </xdr:nvSpPr>
          <xdr:spPr>
            <a:xfrm>
              <a:off x="10872787" y="5402103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b="0" i="1">
                            <a:solidFill>
                              <a:srgbClr val="C44340"/>
                            </a:solidFill>
                            <a:latin typeface="Cambria Math" panose="02040503050406030204" pitchFamily="18" charset="0"/>
                          </a:rPr>
                        </m:ctrlPr>
                      </m:sSubPr>
                      <m:e>
                        <m:r>
                          <m:rPr>
                            <m:sty m:val="p"/>
                          </m:rPr>
                          <a:rPr lang="en-AU" sz="1000" b="0" i="1">
                            <a:solidFill>
                              <a:srgbClr val="C44340"/>
                            </a:solidFill>
                            <a:latin typeface="Cambria Math" panose="02040503050406030204" pitchFamily="18" charset="0"/>
                          </a:rPr>
                          <m:t>ORIGINAL</m:t>
                        </m:r>
                        <m:r>
                          <a:rPr lang="en-AU" sz="1000" b="0" i="1">
                            <a:solidFill>
                              <a:srgbClr val="C44340"/>
                            </a:solidFill>
                            <a:latin typeface="Cambria Math" panose="02040503050406030204" pitchFamily="18" charset="0"/>
                          </a:rPr>
                          <m:t>: </m:t>
                        </m:r>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=1,2,4</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m:t>
                                        </m:r>
                                        <m:r>
                                          <a:rPr lang="en-AU" sz="1000" i="1">
                                            <a:latin typeface="Cambria Math" panose="02040503050406030204" pitchFamily="18" charset="0"/>
                                          </a:rPr>
                                          <m:t>=1,2,4,</m:t>
                                        </m:r>
                                        <m:r>
                                          <a:rPr lang="en-AU" sz="1000" i="1">
                                            <a:latin typeface="Cambria Math" panose="02040503050406030204" pitchFamily="18" charset="0"/>
                                          </a:rPr>
                                          <m:t>𝑚</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r>
                                          <a:rPr lang="en-AU" sz="1000" i="1">
                                            <a:latin typeface="Cambria Math" panose="02040503050406030204" pitchFamily="18" charset="0"/>
                                          </a:rPr>
                                          <m:t>=1,2,4</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m:t>
                                        </m:r>
                                        <m:r>
                                          <a:rPr lang="en-AU" sz="1000" i="1">
                                            <a:latin typeface="Cambria Math" panose="02040503050406030204" pitchFamily="18" charset="0"/>
                                          </a:rPr>
                                          <m:t>=3,5,</m:t>
                                        </m:r>
                                        <m:r>
                                          <a:rPr lang="en-AU" sz="1000" i="1">
                                            <a:latin typeface="Cambria Math" panose="02040503050406030204" pitchFamily="18" charset="0"/>
                                          </a:rPr>
                                          <m:t>𝑚</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r>
                                          <a:rPr lang="en-AU" sz="1000" i="1">
                                            <a:latin typeface="Cambria Math" panose="02040503050406030204" pitchFamily="18" charset="0"/>
                                          </a:rPr>
                                          <m:t>=3,5</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r>
                                      <a:rPr lang="en-AU" sz="1000" i="1">
                                        <a:latin typeface="Cambria Math" panose="02040503050406030204" pitchFamily="18" charset="0"/>
                                      </a:rPr>
                                      <m:t>𝑀𝑃</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𝑚𝑎𝑛𝑢𝑟𝑒</m:t>
                                        </m:r>
                                        <m:r>
                                          <a:rPr lang="en-AU" sz="1000" i="1">
                                            <a:latin typeface="Cambria Math" panose="02040503050406030204" pitchFamily="18" charset="0"/>
                                          </a:rPr>
                                          <m:t>,</m:t>
                                        </m:r>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r>
                                          <a:rPr lang="en-AU" sz="1000" i="1">
                                            <a:latin typeface="Cambria Math" panose="02040503050406030204" pitchFamily="18" charset="0"/>
                                          </a:rPr>
                                          <m:t>=3,5</m:t>
                                        </m:r>
                                      </m:sub>
                                    </m:sSub>
                                  </m:e>
                                </m:d>
                              </m:e>
                            </m:d>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9" name="TextBox 18">
              <a:extLst>
                <a:ext uri="{FF2B5EF4-FFF2-40B4-BE49-F238E27FC236}">
                  <a16:creationId xmlns:a16="http://schemas.microsoft.com/office/drawing/2014/main" id="{334A6A40-C561-1982-B5AC-9BE72AF47198}"/>
                </a:ext>
              </a:extLst>
            </xdr:cNvPr>
            <xdr:cNvSpPr txBox="1"/>
          </xdr:nvSpPr>
          <xdr:spPr>
            <a:xfrm>
              <a:off x="10872787" y="5402103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a:t>
              </a:r>
              <a:r>
                <a:rPr lang="en-AU" sz="1000" b="0" i="0">
                  <a:solidFill>
                    <a:srgbClr val="C44340"/>
                  </a:solidFill>
                  <a:latin typeface="Cambria Math" panose="02040503050406030204" pitchFamily="18" charset="0"/>
                </a:rPr>
                <a:t>ORIGINAL: </a:t>
              </a:r>
              <a:r>
                <a:rPr lang="en-AU" sz="1000" i="0">
                  <a:latin typeface="Cambria Math" panose="02040503050406030204" pitchFamily="18" charset="0"/>
                </a:rPr>
                <a:t>𝐸〗_𝐶𝐻4=∑2_𝑗▒∑2_𝑚▒((𝑁_(𝑗=1,2,4)×𝑀_(𝑗=1,2,4,𝑚)×𝐷_(𝑗=1,2,4) )+(𝑁_(𝑗=3,5)×𝑀_(𝑗=3,5,𝑚)×𝐷_(𝑗=3,5) )+(𝑁_(𝑗=3,5)×𝑀𝑃𝑊_(𝑚𝑎𝑛𝑢𝑟𝑒,𝑗=3,5)×𝐷_(𝑗=3,5) )) ×10^(−3)</a:t>
              </a:r>
              <a:endParaRPr lang="en-AU" sz="1000"/>
            </a:p>
          </xdr:txBody>
        </xdr:sp>
      </mc:Fallback>
    </mc:AlternateContent>
    <xdr:clientData/>
  </xdr:oneCellAnchor>
  <xdr:oneCellAnchor>
    <xdr:from>
      <xdr:col>3</xdr:col>
      <xdr:colOff>9525</xdr:colOff>
      <xdr:row>30</xdr:row>
      <xdr:rowOff>228600</xdr:rowOff>
    </xdr:from>
    <xdr:ext cx="1606465" cy="383888"/>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5AFB0A2-AF9C-4D0F-A4C7-54D5CB251EE6}"/>
                </a:ext>
              </a:extLst>
            </xdr:cNvPr>
            <xdr:cNvSpPr txBox="1"/>
          </xdr:nvSpPr>
          <xdr:spPr>
            <a:xfrm>
              <a:off x="2686050" y="754380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𝑗</m:t>
                        </m:r>
                      </m:sub>
                    </m:sSub>
                    <m:r>
                      <a:rPr lang="en-AU" sz="1000" i="1">
                        <a:latin typeface="Cambria Math" panose="02040503050406030204" pitchFamily="18" charset="0"/>
                      </a:rPr>
                      <m:t>=</m:t>
                    </m:r>
                    <m:f>
                      <m:fPr>
                        <m:ctrlPr>
                          <a:rPr lang="en-AU" sz="1000" i="1">
                            <a:latin typeface="Cambria Math" panose="02040503050406030204" pitchFamily="18" charset="0"/>
                          </a:rPr>
                        </m:ctrlPr>
                      </m:fPr>
                      <m:num>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m:t>
                            </m:r>
                          </m:sub>
                        </m:sSub>
                      </m:num>
                      <m:den>
                        <m:r>
                          <a:rPr lang="en-AU" sz="1000" i="1">
                            <a:latin typeface="Cambria Math" panose="02040503050406030204" pitchFamily="18" charset="0"/>
                          </a:rPr>
                          <m:t>0.01×</m:t>
                        </m:r>
                        <m:d>
                          <m:dPr>
                            <m:ctrlPr>
                              <a:rPr lang="en-AU" sz="1000" i="1">
                                <a:latin typeface="Cambria Math" panose="02040503050406030204" pitchFamily="18" charset="0"/>
                              </a:rPr>
                            </m:ctrlPr>
                          </m:dPr>
                          <m:e>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𝑃</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𝑗</m:t>
                                </m:r>
                              </m:sub>
                            </m:sSub>
                          </m:e>
                        </m:d>
                      </m:den>
                    </m:f>
                  </m:oMath>
                </m:oMathPara>
              </a14:m>
              <a:endParaRPr lang="en-AU" sz="1000"/>
            </a:p>
          </xdr:txBody>
        </xdr:sp>
      </mc:Choice>
      <mc:Fallback xmlns="">
        <xdr:sp macro="" textlink="">
          <xdr:nvSpPr>
            <xdr:cNvPr id="2" name="TextBox 1">
              <a:extLst>
                <a:ext uri="{FF2B5EF4-FFF2-40B4-BE49-F238E27FC236}">
                  <a16:creationId xmlns:a16="http://schemas.microsoft.com/office/drawing/2014/main" id="{F5AFB0A2-AF9C-4D0F-A4C7-54D5CB251EE6}"/>
                </a:ext>
              </a:extLst>
            </xdr:cNvPr>
            <xdr:cNvSpPr txBox="1"/>
          </xdr:nvSpPr>
          <xdr:spPr>
            <a:xfrm>
              <a:off x="2686050" y="754380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𝑀𝑃_𝑗=(𝑀𝑆_𝑗)/(0.01×(𝐹𝐶_𝑗+𝑃𝐶_𝑗 ) )</a:t>
              </a:r>
              <a:endParaRPr lang="en-AU" sz="10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57150</xdr:colOff>
      <xdr:row>7</xdr:row>
      <xdr:rowOff>52387</xdr:rowOff>
    </xdr:from>
    <xdr:ext cx="615810" cy="369460"/>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DC1AC29-4554-D3F7-3394-68026F9F736D}"/>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𝑍</m:t>
                        </m:r>
                      </m:e>
                      <m:sub>
                        <m:r>
                          <a:rPr lang="en-AU" sz="1000" i="1">
                            <a:latin typeface="Cambria Math" panose="02040503050406030204" pitchFamily="18" charset="0"/>
                          </a:rPr>
                          <m:t>𝑗</m:t>
                        </m:r>
                      </m:sub>
                    </m:sSub>
                    <m:r>
                      <a:rPr lang="en-AU" sz="1000" i="1">
                        <a:latin typeface="Cambria Math" panose="02040503050406030204" pitchFamily="18" charset="0"/>
                      </a:rPr>
                      <m:t>=</m:t>
                    </m:r>
                    <m:f>
                      <m:fPr>
                        <m:ctrlPr>
                          <a:rPr lang="en-AU" sz="1000" i="1">
                            <a:latin typeface="Cambria Math" panose="02040503050406030204" pitchFamily="18" charset="0"/>
                          </a:rPr>
                        </m:ctrlPr>
                      </m:fPr>
                      <m:num>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𝑗</m:t>
                            </m:r>
                          </m:sub>
                        </m:sSub>
                      </m:num>
                      <m:den>
                        <m:r>
                          <a:rPr lang="en-AU" sz="1000" i="1">
                            <a:latin typeface="Cambria Math" panose="02040503050406030204" pitchFamily="18" charset="0"/>
                          </a:rPr>
                          <m:t>𝑊</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𝑗</m:t>
                            </m:r>
                          </m:sub>
                        </m:sSub>
                      </m:den>
                    </m:f>
                  </m:oMath>
                </m:oMathPara>
              </a14:m>
              <a:endParaRPr lang="en-AU" sz="1000"/>
            </a:p>
          </xdr:txBody>
        </xdr:sp>
      </mc:Choice>
      <mc:Fallback xmlns="">
        <xdr:sp macro="" textlink="">
          <xdr:nvSpPr>
            <xdr:cNvPr id="6" name="TextBox 5">
              <a:extLst>
                <a:ext uri="{FF2B5EF4-FFF2-40B4-BE49-F238E27FC236}">
                  <a16:creationId xmlns:a16="http://schemas.microsoft.com/office/drawing/2014/main" id="{ADC1AC29-4554-D3F7-3394-68026F9F736D}"/>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i="0">
                  <a:latin typeface="Cambria Math" panose="02040503050406030204" pitchFamily="18" charset="0"/>
                </a:rPr>
                <a:t>𝑍_𝑗=𝑊_𝑗/(𝑊𝑅_𝑗 )</a:t>
              </a:r>
              <a:endParaRPr lang="en-AU" sz="1000"/>
            </a:p>
          </xdr:txBody>
        </xdr:sp>
      </mc:Fallback>
    </mc:AlternateContent>
    <xdr:clientData/>
  </xdr:oneCellAnchor>
  <xdr:oneCellAnchor>
    <xdr:from>
      <xdr:col>3</xdr:col>
      <xdr:colOff>19050</xdr:colOff>
      <xdr:row>35</xdr:row>
      <xdr:rowOff>157162</xdr:rowOff>
    </xdr:from>
    <xdr:ext cx="3857466" cy="426592"/>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CEB8026E-DC74-F16A-425F-99C91A2791F4}"/>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𝐿</m:t>
                        </m:r>
                      </m:e>
                      <m:sub>
                        <m:r>
                          <a:rPr lang="en-AU" sz="1000" i="1">
                            <a:latin typeface="Cambria Math" panose="02040503050406030204" pitchFamily="18" charset="0"/>
                          </a:rPr>
                          <m:t>𝑗</m:t>
                        </m:r>
                      </m:sub>
                    </m:sSub>
                    <m:r>
                      <a:rPr lang="en-AU" sz="1000" i="1">
                        <a:latin typeface="Cambria Math" panose="02040503050406030204" pitchFamily="18" charset="0"/>
                      </a:rPr>
                      <m:t>=</m:t>
                    </m:r>
                    <m:f>
                      <m:fPr>
                        <m:ctrlPr>
                          <a:rPr lang="en-AU" sz="1000" i="1">
                            <a:latin typeface="Cambria Math" panose="02040503050406030204" pitchFamily="18" charset="0"/>
                          </a:rPr>
                        </m:ctrlPr>
                      </m:fPr>
                      <m:num>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num>
                      <m:den>
                        <m:sSup>
                          <m:sSupPr>
                            <m:ctrlPr>
                              <a:rPr lang="en-AU" sz="1000" i="1">
                                <a:latin typeface="Cambria Math" panose="02040503050406030204" pitchFamily="18" charset="0"/>
                              </a:rPr>
                            </m:ctrlPr>
                          </m:sSupPr>
                          <m:e>
                            <m:d>
                              <m:dPr>
                                <m:ctrlPr>
                                  <a:rPr lang="en-AU" sz="1000" i="1">
                                    <a:latin typeface="Cambria Math" panose="02040503050406030204" pitchFamily="18" charset="0"/>
                                  </a:rPr>
                                </m:ctrlPr>
                              </m:dPr>
                              <m:e>
                                <m:r>
                                  <a:rPr lang="en-AU" sz="1000" i="1">
                                    <a:latin typeface="Cambria Math" panose="02040503050406030204" pitchFamily="18" charset="0"/>
                                  </a:rPr>
                                  <m:t>1.185+0.00454×</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𝑗</m:t>
                                    </m:r>
                                  </m:sub>
                                </m:sSub>
                                <m:r>
                                  <a:rPr lang="en-AU" sz="1000" i="1">
                                    <a:latin typeface="Cambria Math" panose="02040503050406030204" pitchFamily="18" charset="0"/>
                                  </a:rPr>
                                  <m:t>−0.0000026×</m:t>
                                </m:r>
                                <m:sSubSup>
                                  <m:sSubSupPr>
                                    <m:ctrlPr>
                                      <a:rPr lang="en-AU" sz="1000" i="1">
                                        <a:latin typeface="Cambria Math" panose="02040503050406030204" pitchFamily="18" charset="0"/>
                                      </a:rPr>
                                    </m:ctrlPr>
                                  </m:sSubSupPr>
                                  <m:e>
                                    <m:r>
                                      <a:rPr lang="en-AU" sz="1000" i="1">
                                        <a:latin typeface="Cambria Math" panose="02040503050406030204" pitchFamily="18" charset="0"/>
                                      </a:rPr>
                                      <m:t>𝑊</m:t>
                                    </m:r>
                                  </m:e>
                                  <m:sub>
                                    <m:r>
                                      <a:rPr lang="en-AU" sz="1000" i="1">
                                        <a:latin typeface="Cambria Math" panose="02040503050406030204" pitchFamily="18" charset="0"/>
                                      </a:rPr>
                                      <m:t>𝑗</m:t>
                                    </m:r>
                                  </m:sub>
                                  <m:sup>
                                    <m:r>
                                      <a:rPr lang="en-AU" sz="1000" i="1">
                                        <a:latin typeface="Cambria Math" panose="02040503050406030204" pitchFamily="18" charset="0"/>
                                      </a:rPr>
                                      <m:t>2</m:t>
                                    </m:r>
                                  </m:sup>
                                </m:sSubSup>
                              </m:e>
                            </m:d>
                          </m:e>
                          <m:sup>
                            <m:r>
                              <a:rPr lang="en-AU" sz="1000" i="1">
                                <a:latin typeface="Cambria Math" panose="02040503050406030204" pitchFamily="18" charset="0"/>
                              </a:rPr>
                              <m:t>2</m:t>
                            </m:r>
                          </m:sup>
                        </m:sSup>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den>
                    </m:f>
                  </m:oMath>
                </m:oMathPara>
              </a14:m>
              <a:endParaRPr lang="en-AU" sz="1000"/>
            </a:p>
          </xdr:txBody>
        </xdr:sp>
      </mc:Choice>
      <mc:Fallback xmlns="">
        <xdr:sp macro="" textlink="">
          <xdr:nvSpPr>
            <xdr:cNvPr id="11" name="TextBox 10">
              <a:extLst>
                <a:ext uri="{FF2B5EF4-FFF2-40B4-BE49-F238E27FC236}">
                  <a16:creationId xmlns:a16="http://schemas.microsoft.com/office/drawing/2014/main" id="{CEB8026E-DC74-F16A-425F-99C91A2791F4}"/>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i="0">
                  <a:latin typeface="Cambria Math" panose="02040503050406030204" pitchFamily="18" charset="0"/>
                </a:rPr>
                <a:t>𝐿_𝑗=𝐼_𝑗/((1.185+0.00454×𝑊_𝑗−0.0000026×𝑊_𝑗^2 )^2×𝑀𝑅_𝑗+𝑀𝐼_𝑗 )</a:t>
              </a:r>
              <a:endParaRPr lang="en-AU" sz="1000"/>
            </a:p>
          </xdr:txBody>
        </xdr:sp>
      </mc:Fallback>
    </mc:AlternateContent>
    <xdr:clientData/>
  </xdr:oneCellAnchor>
  <xdr:oneCellAnchor>
    <xdr:from>
      <xdr:col>3</xdr:col>
      <xdr:colOff>19050</xdr:colOff>
      <xdr:row>72</xdr:row>
      <xdr:rowOff>71437</xdr:rowOff>
    </xdr:from>
    <xdr:ext cx="7038402" cy="39728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4551B19B-D856-1382-65D0-2C898FCEC22A}"/>
                </a:ext>
              </a:extLst>
            </xdr:cNvPr>
            <xdr:cNvSpPr txBox="1"/>
          </xdr:nvSpPr>
          <xdr:spPr>
            <a:xfrm>
              <a:off x="2695575" y="180355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𝑗</m:t>
                        </m:r>
                      </m:sub>
                    </m:sSub>
                    <m:r>
                      <a:rPr lang="en-AU" sz="1000" i="1">
                        <a:latin typeface="Cambria Math" panose="02040503050406030204" pitchFamily="18" charset="0"/>
                      </a:rPr>
                      <m:t>=</m:t>
                    </m:r>
                    <m:d>
                      <m:dPr>
                        <m:ctrlPr>
                          <a:rPr lang="en-AU" sz="1000" i="1">
                            <a:latin typeface="Cambria Math" panose="02040503050406030204" pitchFamily="18" charset="0"/>
                          </a:rPr>
                        </m:ctrlPr>
                      </m:dPr>
                      <m:e>
                        <m:f>
                          <m:fPr>
                            <m:ctrlPr>
                              <a:rPr lang="en-AU" sz="1000" i="1">
                                <a:latin typeface="Cambria Math" panose="02040503050406030204" pitchFamily="18" charset="0"/>
                              </a:rPr>
                            </m:ctrlPr>
                          </m:fPr>
                          <m:num>
                            <m:r>
                              <a:rPr lang="en-AU" sz="1000" i="1">
                                <a:latin typeface="Cambria Math" panose="02040503050406030204" pitchFamily="18" charset="0"/>
                              </a:rPr>
                              <m:t>0.032×</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𝑗</m:t>
                                </m:r>
                              </m:sub>
                            </m:sSub>
                            <m:r>
                              <a:rPr lang="en-AU" sz="1000" i="1">
                                <a:latin typeface="Cambria Math" panose="02040503050406030204" pitchFamily="18" charset="0"/>
                              </a:rPr>
                              <m:t>×1.03</m:t>
                            </m:r>
                          </m:num>
                          <m:den>
                            <m:r>
                              <a:rPr lang="en-AU" sz="1000" i="1">
                                <a:latin typeface="Cambria Math" panose="02040503050406030204" pitchFamily="18" charset="0"/>
                              </a:rPr>
                              <m:t>6.38</m:t>
                            </m:r>
                          </m:den>
                        </m:f>
                      </m:e>
                    </m:d>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0.212−0.008×</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𝐿</m:t>
                                    </m:r>
                                  </m:e>
                                  <m:sub>
                                    <m:r>
                                      <a:rPr lang="en-AU" sz="1000" i="1">
                                        <a:latin typeface="Cambria Math" panose="02040503050406030204" pitchFamily="18" charset="0"/>
                                      </a:rPr>
                                      <m:t>𝑗</m:t>
                                    </m:r>
                                  </m:sub>
                                </m:sSub>
                                <m:r>
                                  <a:rPr lang="en-AU" sz="1000" i="1">
                                    <a:latin typeface="Cambria Math" panose="02040503050406030204" pitchFamily="18" charset="0"/>
                                  </a:rPr>
                                  <m:t>−2</m:t>
                                </m:r>
                              </m:e>
                            </m:d>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f>
                                  <m:fPr>
                                    <m:ctrlPr>
                                      <a:rPr lang="en-AU" sz="1000" i="1">
                                        <a:latin typeface="Cambria Math" panose="02040503050406030204" pitchFamily="18" charset="0"/>
                                      </a:rPr>
                                    </m:ctrlPr>
                                  </m:fPr>
                                  <m:num>
                                    <m:r>
                                      <a:rPr lang="en-AU" sz="1000" i="1">
                                        <a:latin typeface="Cambria Math" panose="02040503050406030204" pitchFamily="18" charset="0"/>
                                      </a:rPr>
                                      <m:t>0.140−0.008×</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𝐿</m:t>
                                            </m:r>
                                          </m:e>
                                          <m:sub>
                                            <m:r>
                                              <a:rPr lang="en-AU" sz="1000" i="1">
                                                <a:latin typeface="Cambria Math" panose="02040503050406030204" pitchFamily="18" charset="0"/>
                                              </a:rPr>
                                              <m:t>𝑗</m:t>
                                            </m:r>
                                          </m:sub>
                                        </m:sSub>
                                        <m:r>
                                          <a:rPr lang="en-AU" sz="1000" i="1">
                                            <a:latin typeface="Cambria Math" panose="02040503050406030204" pitchFamily="18" charset="0"/>
                                          </a:rPr>
                                          <m:t>−2</m:t>
                                        </m:r>
                                      </m:e>
                                    </m:d>
                                  </m:num>
                                  <m:den>
                                    <m:r>
                                      <a:rPr lang="en-AU" sz="1000" i="1">
                                        <a:latin typeface="Cambria Math" panose="02040503050406030204" pitchFamily="18" charset="0"/>
                                      </a:rPr>
                                      <m:t>1+</m:t>
                                    </m:r>
                                    <m:sSup>
                                      <m:sSupPr>
                                        <m:ctrlPr>
                                          <a:rPr lang="en-AU" sz="1000" i="1">
                                            <a:latin typeface="Cambria Math" panose="02040503050406030204" pitchFamily="18" charset="0"/>
                                          </a:rPr>
                                        </m:ctrlPr>
                                      </m:sSupPr>
                                      <m:e>
                                        <m:r>
                                          <a:rPr lang="en-AU" sz="1000" i="1">
                                            <a:latin typeface="Cambria Math" panose="02040503050406030204" pitchFamily="18" charset="0"/>
                                          </a:rPr>
                                          <m:t>𝑒</m:t>
                                        </m:r>
                                      </m:e>
                                      <m:sup>
                                        <m:r>
                                          <a:rPr lang="en-AU" sz="1000" i="1">
                                            <a:latin typeface="Cambria Math" panose="02040503050406030204" pitchFamily="18" charset="0"/>
                                          </a:rPr>
                                          <m:t>−6×</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𝑍</m:t>
                                                </m:r>
                                              </m:e>
                                              <m:sub>
                                                <m:r>
                                                  <a:rPr lang="en-AU" sz="1000" i="1">
                                                    <a:latin typeface="Cambria Math" panose="02040503050406030204" pitchFamily="18" charset="0"/>
                                                  </a:rPr>
                                                  <m:t>𝑗</m:t>
                                                </m:r>
                                              </m:sub>
                                            </m:sSub>
                                            <m:r>
                                              <a:rPr lang="en-AU" sz="1000" i="1">
                                                <a:latin typeface="Cambria Math" panose="02040503050406030204" pitchFamily="18" charset="0"/>
                                              </a:rPr>
                                              <m:t>−0.4</m:t>
                                            </m:r>
                                          </m:e>
                                        </m:d>
                                      </m:sup>
                                    </m:sSup>
                                  </m:den>
                                </m:f>
                              </m:e>
                            </m:d>
                          </m:e>
                        </m:d>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𝐿𝑊</m:t>
                            </m:r>
                            <m:sSub>
                              <m:sSubPr>
                                <m:ctrlPr>
                                  <a:rPr lang="en-AU" sz="1000" i="1">
                                    <a:latin typeface="Cambria Math" panose="02040503050406030204" pitchFamily="18" charset="0"/>
                                  </a:rPr>
                                </m:ctrlPr>
                              </m:sSubPr>
                              <m:e>
                                <m:r>
                                  <a:rPr lang="en-AU" sz="1000" i="1">
                                    <a:latin typeface="Cambria Math" panose="02040503050406030204" pitchFamily="18" charset="0"/>
                                  </a:rPr>
                                  <m:t>𝐺</m:t>
                                </m:r>
                              </m:e>
                              <m:sub>
                                <m:r>
                                  <a:rPr lang="en-AU" sz="1000" i="1">
                                    <a:latin typeface="Cambria Math" panose="02040503050406030204" pitchFamily="18" charset="0"/>
                                  </a:rPr>
                                  <m:t>𝑗</m:t>
                                </m:r>
                              </m:sub>
                            </m:sSub>
                            <m:r>
                              <a:rPr lang="en-AU" sz="1000" i="1">
                                <a:latin typeface="Cambria Math" panose="02040503050406030204" pitchFamily="18" charset="0"/>
                              </a:rPr>
                              <m:t>×0.92</m:t>
                            </m:r>
                          </m:e>
                        </m:d>
                      </m:e>
                    </m:d>
                    <m:r>
                      <a:rPr lang="en-AU" sz="1000" i="1">
                        <a:latin typeface="Cambria Math" panose="02040503050406030204" pitchFamily="18" charset="0"/>
                      </a:rPr>
                      <m:t>×</m:t>
                    </m:r>
                    <m:f>
                      <m:fPr>
                        <m:ctrlPr>
                          <a:rPr lang="en-AU" sz="1000" i="1">
                            <a:latin typeface="Cambria Math" panose="02040503050406030204" pitchFamily="18" charset="0"/>
                          </a:rPr>
                        </m:ctrlPr>
                      </m:fPr>
                      <m:num>
                        <m:r>
                          <a:rPr lang="en-AU" sz="1000" i="1">
                            <a:latin typeface="Cambria Math" panose="02040503050406030204" pitchFamily="18" charset="0"/>
                          </a:rPr>
                          <m:t>1</m:t>
                        </m:r>
                      </m:num>
                      <m:den>
                        <m:r>
                          <a:rPr lang="en-AU" sz="1000" i="1">
                            <a:latin typeface="Cambria Math" panose="02040503050406030204" pitchFamily="18" charset="0"/>
                          </a:rPr>
                          <m:t>6.25</m:t>
                        </m:r>
                      </m:den>
                    </m:f>
                  </m:oMath>
                </m:oMathPara>
              </a14:m>
              <a:endParaRPr lang="en-AU" sz="1000"/>
            </a:p>
          </xdr:txBody>
        </xdr:sp>
      </mc:Choice>
      <mc:Fallback xmlns="">
        <xdr:sp macro="" textlink="">
          <xdr:nvSpPr>
            <xdr:cNvPr id="18" name="TextBox 17">
              <a:extLst>
                <a:ext uri="{FF2B5EF4-FFF2-40B4-BE49-F238E27FC236}">
                  <a16:creationId xmlns:a16="http://schemas.microsoft.com/office/drawing/2014/main" id="{4551B19B-D856-1382-65D0-2C898FCEC22A}"/>
                </a:ext>
              </a:extLst>
            </xdr:cNvPr>
            <xdr:cNvSpPr txBox="1"/>
          </xdr:nvSpPr>
          <xdr:spPr>
            <a:xfrm>
              <a:off x="2695575" y="180355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𝑁𝑅_𝑗=((0.032×𝑀𝑃_𝑗×1.03)/6.38)+{(0.212−0.008×(𝐿_𝑗−2)−[(0.140−0.008×(𝐿_𝑗−2))/(1+𝑒^(−6×(𝑍_𝑗−0.4) ) )])×(𝐿𝑊𝐺_𝑗×0.92)}×1/6.25</a:t>
              </a:r>
              <a:endParaRPr lang="en-AU" sz="1000"/>
            </a:p>
          </xdr:txBody>
        </xdr:sp>
      </mc:Fallback>
    </mc:AlternateContent>
    <xdr:clientData/>
  </xdr:oneCellAnchor>
  <xdr:oneCellAnchor>
    <xdr:from>
      <xdr:col>3</xdr:col>
      <xdr:colOff>19050</xdr:colOff>
      <xdr:row>109</xdr:row>
      <xdr:rowOff>147637</xdr:rowOff>
    </xdr:from>
    <xdr:ext cx="946413" cy="182871"/>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D25A724A-12E6-5DED-7CD9-F1182C7BC417}"/>
                </a:ext>
              </a:extLst>
            </xdr:cNvPr>
            <xdr:cNvSpPr txBox="1"/>
          </xdr:nvSpPr>
          <xdr:spPr>
            <a:xfrm>
              <a:off x="2695575" y="2727483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𝐶𝑃</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𝐶</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𝑗</m:t>
                        </m:r>
                      </m:sub>
                    </m:sSub>
                  </m:oMath>
                </m:oMathPara>
              </a14:m>
              <a:endParaRPr lang="en-AU" sz="1000"/>
            </a:p>
          </xdr:txBody>
        </xdr:sp>
      </mc:Choice>
      <mc:Fallback xmlns="">
        <xdr:sp macro="" textlink="">
          <xdr:nvSpPr>
            <xdr:cNvPr id="22" name="TextBox 21">
              <a:extLst>
                <a:ext uri="{FF2B5EF4-FFF2-40B4-BE49-F238E27FC236}">
                  <a16:creationId xmlns:a16="http://schemas.microsoft.com/office/drawing/2014/main" id="{D25A724A-12E6-5DED-7CD9-F1182C7BC417}"/>
                </a:ext>
              </a:extLst>
            </xdr:cNvPr>
            <xdr:cNvSpPr txBox="1"/>
          </xdr:nvSpPr>
          <xdr:spPr>
            <a:xfrm>
              <a:off x="2695575" y="2727483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𝐶𝑃𝐼_𝑗=𝐼_𝑗×𝐶𝑃_𝑗</a:t>
              </a:r>
              <a:endParaRPr lang="en-AU" sz="1000"/>
            </a:p>
          </xdr:txBody>
        </xdr:sp>
      </mc:Fallback>
    </mc:AlternateContent>
    <xdr:clientData/>
  </xdr:oneCellAnchor>
  <xdr:oneCellAnchor>
    <xdr:from>
      <xdr:col>3</xdr:col>
      <xdr:colOff>28575</xdr:colOff>
      <xdr:row>132</xdr:row>
      <xdr:rowOff>119062</xdr:rowOff>
    </xdr:from>
    <xdr:ext cx="2719847" cy="413768"/>
    <mc:AlternateContent xmlns:mc="http://schemas.openxmlformats.org/markup-compatibility/2006" xmlns:a14="http://schemas.microsoft.com/office/drawing/2010/main">
      <mc:Choice Requires="a14">
        <xdr:sp macro="" textlink="">
          <xdr:nvSpPr>
            <xdr:cNvPr id="24" name="TextBox 23">
              <a:extLst>
                <a:ext uri="{FF2B5EF4-FFF2-40B4-BE49-F238E27FC236}">
                  <a16:creationId xmlns:a16="http://schemas.microsoft.com/office/drawing/2014/main" id="{C070E054-0365-2149-1F86-465BAFC26EBF}"/>
                </a:ext>
              </a:extLst>
            </xdr:cNvPr>
            <xdr:cNvSpPr txBox="1"/>
          </xdr:nvSpPr>
          <xdr:spPr>
            <a:xfrm>
              <a:off x="2705100" y="3120866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sub>
                    </m:sSub>
                    <m:r>
                      <a:rPr lang="en-AU" sz="1000" i="1">
                        <a:latin typeface="Cambria Math" panose="02040503050406030204" pitchFamily="18" charset="0"/>
                      </a:rPr>
                      <m:t>=</m:t>
                    </m:r>
                    <m:d>
                      <m:dPr>
                        <m:ctrlPr>
                          <a:rPr lang="en-AU" sz="1000" i="1">
                            <a:latin typeface="Cambria Math" panose="02040503050406030204" pitchFamily="18" charset="0"/>
                          </a:rPr>
                        </m:ctrlPr>
                      </m:dPr>
                      <m:e>
                        <m:f>
                          <m:fPr>
                            <m:ctrlPr>
                              <a:rPr lang="en-AU" sz="1000" i="1">
                                <a:latin typeface="Cambria Math" panose="02040503050406030204" pitchFamily="18" charset="0"/>
                              </a:rPr>
                            </m:ctrlPr>
                          </m:fPr>
                          <m:num>
                            <m:r>
                              <a:rPr lang="en-AU" sz="1000" i="1">
                                <a:latin typeface="Cambria Math" panose="02040503050406030204" pitchFamily="18" charset="0"/>
                              </a:rPr>
                              <m:t>𝐶𝑃</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num>
                          <m:den>
                            <m:r>
                              <a:rPr lang="en-AU" sz="1000" i="1">
                                <a:latin typeface="Cambria Math" panose="02040503050406030204" pitchFamily="18" charset="0"/>
                              </a:rPr>
                              <m:t>6.25</m:t>
                            </m:r>
                          </m:den>
                        </m:f>
                      </m:e>
                    </m:d>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𝑗</m:t>
                        </m:r>
                      </m:sub>
                    </m:sSub>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f>
                          <m:fPr>
                            <m:ctrlPr>
                              <a:rPr lang="en-AU" sz="1000" i="1">
                                <a:latin typeface="Cambria Math" panose="02040503050406030204" pitchFamily="18" charset="0"/>
                              </a:rPr>
                            </m:ctrlPr>
                          </m:fPr>
                          <m:num>
                            <m:r>
                              <a:rPr lang="en-AU" sz="1000" i="1">
                                <a:latin typeface="Cambria Math" panose="02040503050406030204" pitchFamily="18" charset="0"/>
                              </a:rPr>
                              <m:t>1.1×</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−4</m:t>
                                </m:r>
                              </m:sup>
                            </m:sSup>
                            <m:r>
                              <a:rPr lang="en-AU" sz="1000" i="1">
                                <a:latin typeface="Cambria Math" panose="02040503050406030204" pitchFamily="18" charset="0"/>
                              </a:rPr>
                              <m:t>×</m:t>
                            </m:r>
                            <m:sSubSup>
                              <m:sSubSupPr>
                                <m:ctrlPr>
                                  <a:rPr lang="en-AU" sz="1000" i="1">
                                    <a:latin typeface="Cambria Math" panose="02040503050406030204" pitchFamily="18" charset="0"/>
                                  </a:rPr>
                                </m:ctrlPr>
                              </m:sSubSupPr>
                              <m:e>
                                <m:r>
                                  <a:rPr lang="en-AU" sz="1000" i="1">
                                    <a:latin typeface="Cambria Math" panose="02040503050406030204" pitchFamily="18" charset="0"/>
                                  </a:rPr>
                                  <m:t>𝑊</m:t>
                                </m:r>
                              </m:e>
                              <m:sub>
                                <m:r>
                                  <a:rPr lang="en-AU" sz="1000" i="1">
                                    <a:latin typeface="Cambria Math" panose="02040503050406030204" pitchFamily="18" charset="0"/>
                                  </a:rPr>
                                  <m:t>𝑗</m:t>
                                </m:r>
                              </m:sub>
                              <m:sup>
                                <m:r>
                                  <a:rPr lang="en-AU" sz="1000" i="1">
                                    <a:latin typeface="Cambria Math" panose="02040503050406030204" pitchFamily="18" charset="0"/>
                                  </a:rPr>
                                  <m:t>0.75</m:t>
                                </m:r>
                              </m:sup>
                            </m:sSubSup>
                          </m:num>
                          <m:den>
                            <m:r>
                              <a:rPr lang="en-AU" sz="1000" i="1">
                                <a:latin typeface="Cambria Math" panose="02040503050406030204" pitchFamily="18" charset="0"/>
                              </a:rPr>
                              <m:t>6.25</m:t>
                            </m:r>
                          </m:den>
                        </m:f>
                      </m:e>
                    </m:d>
                  </m:oMath>
                </m:oMathPara>
              </a14:m>
              <a:endParaRPr lang="en-AU" sz="1000"/>
            </a:p>
          </xdr:txBody>
        </xdr:sp>
      </mc:Choice>
      <mc:Fallback xmlns="">
        <xdr:sp macro="" textlink="">
          <xdr:nvSpPr>
            <xdr:cNvPr id="24" name="TextBox 23">
              <a:extLst>
                <a:ext uri="{FF2B5EF4-FFF2-40B4-BE49-F238E27FC236}">
                  <a16:creationId xmlns:a16="http://schemas.microsoft.com/office/drawing/2014/main" id="{C070E054-0365-2149-1F86-465BAFC26EBF}"/>
                </a:ext>
              </a:extLst>
            </xdr:cNvPr>
            <xdr:cNvSpPr txBox="1"/>
          </xdr:nvSpPr>
          <xdr:spPr>
            <a:xfrm>
              <a:off x="2705100" y="3120866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𝑁𝐸_𝑗=((𝐶𝑃𝐼_𝑗)/6.25)−𝑁𝑅_𝑗−[(1.1×10^(−4)×𝑊_𝑗^0.75)/6.25]</a:t>
              </a:r>
              <a:endParaRPr lang="en-AU" sz="1000"/>
            </a:p>
          </xdr:txBody>
        </xdr:sp>
      </mc:Fallback>
    </mc:AlternateContent>
    <xdr:clientData/>
  </xdr:oneCellAnchor>
  <xdr:oneCellAnchor>
    <xdr:from>
      <xdr:col>5</xdr:col>
      <xdr:colOff>1733550</xdr:colOff>
      <xdr:row>153</xdr:row>
      <xdr:rowOff>119062</xdr:rowOff>
    </xdr:from>
    <xdr:ext cx="3283528" cy="182871"/>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881600BC-97E9-11A9-0397-9DA995559046}"/>
                </a:ext>
              </a:extLst>
            </xdr:cNvPr>
            <xdr:cNvSpPr txBox="1"/>
          </xdr:nvSpPr>
          <xdr:spPr>
            <a:xfrm>
              <a:off x="8505825" y="361616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a:solidFill>
                    <a:srgbClr val="C44340"/>
                  </a:solidFill>
                </a:rPr>
                <a:t>Original equation</a:t>
              </a:r>
              <a:r>
                <a:rPr lang="en-AU" sz="1000"/>
                <a:t>: </a:t>
              </a:r>
              <a14:m>
                <m:oMath xmlns:m="http://schemas.openxmlformats.org/officeDocument/2006/math">
                  <m:r>
                    <a:rPr lang="en-AU" sz="1000" i="1">
                      <a:latin typeface="Cambria Math" panose="02040503050406030204" pitchFamily="18" charset="0"/>
                    </a:rPr>
                    <m:t>𝐴</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r>
                        <a:rPr lang="en-AU" sz="1000" i="1">
                          <a:latin typeface="Cambria Math" panose="02040503050406030204" pitchFamily="18" charset="0"/>
                        </a:rPr>
                        <m:t>=1,2,4</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=1,2,4</m:t>
                      </m:r>
                    </m:sub>
                  </m:sSub>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r>
                        <a:rPr lang="en-AU" sz="1000" i="1">
                          <a:latin typeface="Cambria Math" panose="02040503050406030204" pitchFamily="18" charset="0"/>
                        </a:rPr>
                        <m:t>=1,2,4</m:t>
                      </m:r>
                    </m:sub>
                  </m:sSub>
                  <m:r>
                    <a:rPr lang="en-AU" sz="1000" i="1">
                      <a:latin typeface="Cambria Math" panose="02040503050406030204" pitchFamily="18" charset="0"/>
                    </a:rPr>
                    <m:t>×365</m:t>
                  </m:r>
                </m:oMath>
              </a14:m>
              <a:endParaRPr lang="en-AU" sz="1000"/>
            </a:p>
          </xdr:txBody>
        </xdr:sp>
      </mc:Choice>
      <mc:Fallback xmlns="">
        <xdr:sp macro="" textlink="">
          <xdr:nvSpPr>
            <xdr:cNvPr id="25" name="TextBox 24">
              <a:extLst>
                <a:ext uri="{FF2B5EF4-FFF2-40B4-BE49-F238E27FC236}">
                  <a16:creationId xmlns:a16="http://schemas.microsoft.com/office/drawing/2014/main" id="{881600BC-97E9-11A9-0397-9DA995559046}"/>
                </a:ext>
              </a:extLst>
            </xdr:cNvPr>
            <xdr:cNvSpPr txBox="1"/>
          </xdr:nvSpPr>
          <xdr:spPr>
            <a:xfrm>
              <a:off x="8505825" y="361616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a:solidFill>
                    <a:srgbClr val="C44340"/>
                  </a:solidFill>
                </a:rPr>
                <a:t>Original equation</a:t>
              </a:r>
              <a:r>
                <a:rPr lang="en-AU" sz="1000"/>
                <a:t>: </a:t>
              </a:r>
              <a:r>
                <a:rPr lang="en-AU" sz="1000" i="0">
                  <a:latin typeface="Cambria Math" panose="02040503050406030204" pitchFamily="18" charset="0"/>
                </a:rPr>
                <a:t>𝐴𝐸_(𝑗=1,2,4)=𝑁_(𝑗=1,2,4)×𝑁𝐸_(𝑗=1,2,4)×365</a:t>
              </a:r>
              <a:endParaRPr lang="en-AU" sz="1000"/>
            </a:p>
          </xdr:txBody>
        </xdr:sp>
      </mc:Fallback>
    </mc:AlternateContent>
    <xdr:clientData/>
  </xdr:oneCellAnchor>
  <xdr:oneCellAnchor>
    <xdr:from>
      <xdr:col>3</xdr:col>
      <xdr:colOff>28575</xdr:colOff>
      <xdr:row>153</xdr:row>
      <xdr:rowOff>138112</xdr:rowOff>
    </xdr:from>
    <xdr:ext cx="2449453" cy="182871"/>
    <mc:AlternateContent xmlns:mc="http://schemas.openxmlformats.org/markup-compatibility/2006" xmlns:a14="http://schemas.microsoft.com/office/drawing/2010/main">
      <mc:Choice Requires="a14">
        <xdr:sp macro="" textlink="">
          <xdr:nvSpPr>
            <xdr:cNvPr id="26" name="TextBox 25">
              <a:extLst>
                <a:ext uri="{FF2B5EF4-FFF2-40B4-BE49-F238E27FC236}">
                  <a16:creationId xmlns:a16="http://schemas.microsoft.com/office/drawing/2014/main" id="{3E8CF4A6-B0EE-3ADF-4E58-4EE3ACB7BB52}"/>
                </a:ext>
              </a:extLst>
            </xdr:cNvPr>
            <xdr:cNvSpPr txBox="1"/>
          </xdr:nvSpPr>
          <xdr:spPr>
            <a:xfrm>
              <a:off x="2705100" y="361807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𝐴</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r>
                          <a:rPr lang="en-AU" sz="1000" i="1">
                            <a:latin typeface="Cambria Math" panose="02040503050406030204" pitchFamily="18" charset="0"/>
                          </a:rPr>
                          <m:t>=1,2,4</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=1,2,4</m:t>
                        </m:r>
                      </m:sub>
                    </m:sSub>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r>
                          <a:rPr lang="en-AU" sz="1000" i="1">
                            <a:latin typeface="Cambria Math" panose="02040503050406030204" pitchFamily="18" charset="0"/>
                          </a:rPr>
                          <m:t>=1,2,4</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r>
                          <a:rPr lang="en-AU" sz="1000" i="1">
                            <a:latin typeface="Cambria Math" panose="02040503050406030204" pitchFamily="18" charset="0"/>
                          </a:rPr>
                          <m:t>=1,2,4</m:t>
                        </m:r>
                      </m:sub>
                    </m:sSub>
                  </m:oMath>
                </m:oMathPara>
              </a14:m>
              <a:endParaRPr lang="en-AU" sz="1000"/>
            </a:p>
          </xdr:txBody>
        </xdr:sp>
      </mc:Choice>
      <mc:Fallback xmlns="">
        <xdr:sp macro="" textlink="">
          <xdr:nvSpPr>
            <xdr:cNvPr id="26" name="TextBox 25">
              <a:extLst>
                <a:ext uri="{FF2B5EF4-FFF2-40B4-BE49-F238E27FC236}">
                  <a16:creationId xmlns:a16="http://schemas.microsoft.com/office/drawing/2014/main" id="{3E8CF4A6-B0EE-3ADF-4E58-4EE3ACB7BB52}"/>
                </a:ext>
              </a:extLst>
            </xdr:cNvPr>
            <xdr:cNvSpPr txBox="1"/>
          </xdr:nvSpPr>
          <xdr:spPr>
            <a:xfrm>
              <a:off x="2705100" y="361807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𝐴𝐸_(𝑗=1,2,4)=𝑁_(𝑗=1,2,4)×𝑁𝐸_(𝑗=1,2,4)×𝐷_(𝑗=1,2,4)</a:t>
              </a:r>
              <a:endParaRPr lang="en-AU" sz="1000"/>
            </a:p>
          </xdr:txBody>
        </xdr:sp>
      </mc:Fallback>
    </mc:AlternateContent>
    <xdr:clientData/>
  </xdr:oneCellAnchor>
  <xdr:oneCellAnchor>
    <xdr:from>
      <xdr:col>5</xdr:col>
      <xdr:colOff>1485900</xdr:colOff>
      <xdr:row>183</xdr:row>
      <xdr:rowOff>128587</xdr:rowOff>
    </xdr:from>
    <xdr:ext cx="4867936" cy="194990"/>
    <mc:AlternateContent xmlns:mc="http://schemas.openxmlformats.org/markup-compatibility/2006" xmlns:a14="http://schemas.microsoft.com/office/drawing/2010/main">
      <mc:Choice Requires="a14">
        <xdr:sp macro="" textlink="">
          <xdr:nvSpPr>
            <xdr:cNvPr id="27" name="TextBox 26">
              <a:extLst>
                <a:ext uri="{FF2B5EF4-FFF2-40B4-BE49-F238E27FC236}">
                  <a16:creationId xmlns:a16="http://schemas.microsoft.com/office/drawing/2014/main" id="{8D1BBEBF-A436-DDDF-F2D4-F5BF51FB4DDD}"/>
                </a:ext>
              </a:extLst>
            </xdr:cNvPr>
            <xdr:cNvSpPr txBox="1"/>
          </xdr:nvSpPr>
          <xdr:spPr>
            <a:xfrm>
              <a:off x="8258175" y="4384833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a:solidFill>
                    <a:srgbClr val="C44340"/>
                  </a:solidFill>
                </a:rPr>
                <a:t>Original equation: </a:t>
              </a:r>
              <a14:m>
                <m:oMath xmlns:m="http://schemas.openxmlformats.org/officeDocument/2006/math">
                  <m:r>
                    <a:rPr lang="en-AU" sz="1000" i="1">
                      <a:latin typeface="Cambria Math" panose="02040503050406030204" pitchFamily="18" charset="0"/>
                    </a:rPr>
                    <m:t>𝐴</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×281</m:t>
                      </m:r>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r>
                        <a:rPr lang="en-AU" sz="1000" i="1">
                          <a:latin typeface="Cambria Math" panose="02040503050406030204" pitchFamily="18" charset="0"/>
                        </a:rPr>
                        <m:t>𝑁𝑃</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×84</m:t>
                      </m:r>
                    </m:e>
                  </m:d>
                </m:oMath>
              </a14:m>
              <a:endParaRPr lang="en-AU" sz="1000"/>
            </a:p>
          </xdr:txBody>
        </xdr:sp>
      </mc:Choice>
      <mc:Fallback xmlns="">
        <xdr:sp macro="" textlink="">
          <xdr:nvSpPr>
            <xdr:cNvPr id="27" name="TextBox 26">
              <a:extLst>
                <a:ext uri="{FF2B5EF4-FFF2-40B4-BE49-F238E27FC236}">
                  <a16:creationId xmlns:a16="http://schemas.microsoft.com/office/drawing/2014/main" id="{8D1BBEBF-A436-DDDF-F2D4-F5BF51FB4DDD}"/>
                </a:ext>
              </a:extLst>
            </xdr:cNvPr>
            <xdr:cNvSpPr txBox="1"/>
          </xdr:nvSpPr>
          <xdr:spPr>
            <a:xfrm>
              <a:off x="8258175" y="4384833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a:solidFill>
                    <a:srgbClr val="C44340"/>
                  </a:solidFill>
                </a:rPr>
                <a:t>Original equation: </a:t>
              </a:r>
              <a:r>
                <a:rPr lang="en-AU" sz="1000" i="0">
                  <a:latin typeface="Cambria Math" panose="02040503050406030204" pitchFamily="18" charset="0"/>
                </a:rPr>
                <a:t>𝐴𝐸_(𝑗=3,5)=(𝑁_(𝑗=3,5)×𝑁𝐸_(𝑗=3,5)×281)+(𝑁_(𝑗=3,5)×𝑁𝑃𝑊_(𝑗=3,5)×84)</a:t>
              </a:r>
              <a:endParaRPr lang="en-AU" sz="1000"/>
            </a:p>
          </xdr:txBody>
        </xdr:sp>
      </mc:Fallback>
    </mc:AlternateContent>
    <xdr:clientData/>
  </xdr:oneCellAnchor>
  <xdr:oneCellAnchor>
    <xdr:from>
      <xdr:col>3</xdr:col>
      <xdr:colOff>0</xdr:colOff>
      <xdr:row>183</xdr:row>
      <xdr:rowOff>138112</xdr:rowOff>
    </xdr:from>
    <xdr:ext cx="4361129" cy="194990"/>
    <mc:AlternateContent xmlns:mc="http://schemas.openxmlformats.org/markup-compatibility/2006" xmlns:a14="http://schemas.microsoft.com/office/drawing/2010/main">
      <mc:Choice Requires="a14">
        <xdr:sp macro="" textlink="">
          <xdr:nvSpPr>
            <xdr:cNvPr id="28" name="TextBox 27">
              <a:extLst>
                <a:ext uri="{FF2B5EF4-FFF2-40B4-BE49-F238E27FC236}">
                  <a16:creationId xmlns:a16="http://schemas.microsoft.com/office/drawing/2014/main" id="{906D419A-7447-EBE5-57D6-00449E021FDC}"/>
                </a:ext>
              </a:extLst>
            </xdr:cNvPr>
            <xdr:cNvSpPr txBox="1"/>
          </xdr:nvSpPr>
          <xdr:spPr>
            <a:xfrm>
              <a:off x="2676525" y="4385786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𝐴</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r>
                              <a:rPr lang="en-AU" sz="1000" i="1">
                                <a:latin typeface="Cambria Math" panose="02040503050406030204" pitchFamily="18" charset="0"/>
                              </a:rPr>
                              <m:t>=3,5</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r>
                          <a:rPr lang="en-AU" sz="1000" i="1">
                            <a:latin typeface="Cambria Math" panose="02040503050406030204" pitchFamily="18" charset="0"/>
                          </a:rPr>
                          <m:t>𝑁𝑃</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𝑗</m:t>
                            </m:r>
                            <m:r>
                              <a:rPr lang="en-AU" sz="1000" i="1">
                                <a:latin typeface="Cambria Math" panose="02040503050406030204" pitchFamily="18" charset="0"/>
                              </a:rPr>
                              <m:t>=3,5</m:t>
                            </m:r>
                          </m:sub>
                        </m:sSub>
                        <m:r>
                          <a:rPr lang="en-AU" sz="1000" i="1">
                            <a:latin typeface="Cambria Math" panose="02040503050406030204" pitchFamily="18" charset="0"/>
                          </a:rPr>
                          <m:t>×</m:t>
                        </m:r>
                        <m:r>
                          <a:rPr lang="en-AU" sz="1000" i="1">
                            <a:latin typeface="Cambria Math" panose="02040503050406030204" pitchFamily="18" charset="0"/>
                          </a:rPr>
                          <m:t>𝐷𝑃</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𝑗</m:t>
                            </m:r>
                            <m:r>
                              <a:rPr lang="en-AU" sz="1000" i="1">
                                <a:latin typeface="Cambria Math" panose="02040503050406030204" pitchFamily="18" charset="0"/>
                              </a:rPr>
                              <m:t>=3,5</m:t>
                            </m:r>
                          </m:sub>
                        </m:sSub>
                      </m:e>
                    </m:d>
                  </m:oMath>
                </m:oMathPara>
              </a14:m>
              <a:endParaRPr lang="en-AU" sz="1000"/>
            </a:p>
          </xdr:txBody>
        </xdr:sp>
      </mc:Choice>
      <mc:Fallback xmlns="">
        <xdr:sp macro="" textlink="">
          <xdr:nvSpPr>
            <xdr:cNvPr id="28" name="TextBox 27">
              <a:extLst>
                <a:ext uri="{FF2B5EF4-FFF2-40B4-BE49-F238E27FC236}">
                  <a16:creationId xmlns:a16="http://schemas.microsoft.com/office/drawing/2014/main" id="{906D419A-7447-EBE5-57D6-00449E021FDC}"/>
                </a:ext>
              </a:extLst>
            </xdr:cNvPr>
            <xdr:cNvSpPr txBox="1"/>
          </xdr:nvSpPr>
          <xdr:spPr>
            <a:xfrm>
              <a:off x="2676525" y="4385786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𝐴𝐸_(𝑗=3,5)=(𝑁_(𝑗=3,5)×𝑁𝐸_(𝑗=3,5)×𝐷_(𝑗=3,5) )+(𝑁_(𝑗=3,5)×𝑁𝑃𝑊_(𝑗=3,5)×𝐷𝑃𝑊_(𝑗=3,5) )</a:t>
              </a:r>
              <a:endParaRPr lang="en-AU" sz="1000"/>
            </a:p>
          </xdr:txBody>
        </xdr:sp>
      </mc:Fallback>
    </mc:AlternateContent>
    <xdr:clientData/>
  </xdr:oneCellAnchor>
  <xdr:oneCellAnchor>
    <xdr:from>
      <xdr:col>3</xdr:col>
      <xdr:colOff>27332</xdr:colOff>
      <xdr:row>219</xdr:row>
      <xdr:rowOff>118440</xdr:rowOff>
    </xdr:from>
    <xdr:ext cx="1405385" cy="182871"/>
    <mc:AlternateContent xmlns:mc="http://schemas.openxmlformats.org/markup-compatibility/2006" xmlns:a14="http://schemas.microsoft.com/office/drawing/2010/main">
      <mc:Choice Requires="a14">
        <xdr:sp macro="" textlink="">
          <xdr:nvSpPr>
            <xdr:cNvPr id="29" name="TextBox 28">
              <a:extLst>
                <a:ext uri="{FF2B5EF4-FFF2-40B4-BE49-F238E27FC236}">
                  <a16:creationId xmlns:a16="http://schemas.microsoft.com/office/drawing/2014/main" id="{62ADE2A4-EEC3-DAC5-1821-0C69D2A297BC}"/>
                </a:ext>
              </a:extLst>
            </xdr:cNvPr>
            <xdr:cNvSpPr txBox="1"/>
          </xdr:nvSpPr>
          <xdr:spPr>
            <a:xfrm>
              <a:off x="2702615" y="52928353"/>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sub>
                    </m:sSub>
                    <m:r>
                      <a:rPr lang="en-AU" sz="1000" i="1">
                        <a:latin typeface="Cambria Math" panose="02040503050406030204" pitchFamily="18" charset="0"/>
                      </a:rPr>
                      <m:t>=</m:t>
                    </m:r>
                    <m:r>
                      <a:rPr lang="en-AU" sz="1000" i="1">
                        <a:latin typeface="Cambria Math" panose="02040503050406030204" pitchFamily="18" charset="0"/>
                      </a:rPr>
                      <m:t>𝐴</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sub>
                    </m:sSub>
                  </m:oMath>
                </m:oMathPara>
              </a14:m>
              <a:endParaRPr lang="en-AU" sz="1000"/>
            </a:p>
          </xdr:txBody>
        </xdr:sp>
      </mc:Choice>
      <mc:Fallback xmlns="">
        <xdr:sp macro="" textlink="">
          <xdr:nvSpPr>
            <xdr:cNvPr id="29" name="TextBox 28">
              <a:extLst>
                <a:ext uri="{FF2B5EF4-FFF2-40B4-BE49-F238E27FC236}">
                  <a16:creationId xmlns:a16="http://schemas.microsoft.com/office/drawing/2014/main" id="{62ADE2A4-EEC3-DAC5-1821-0C69D2A297BC}"/>
                </a:ext>
              </a:extLst>
            </xdr:cNvPr>
            <xdr:cNvSpPr txBox="1"/>
          </xdr:nvSpPr>
          <xdr:spPr>
            <a:xfrm>
              <a:off x="2702615" y="52928353"/>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𝑀𝑁_𝑗𝑚=𝐴𝐸_𝑗×𝑀𝑀𝑆_𝑗𝑚</a:t>
              </a:r>
              <a:endParaRPr lang="en-AU" sz="1000"/>
            </a:p>
          </xdr:txBody>
        </xdr:sp>
      </mc:Fallback>
    </mc:AlternateContent>
    <xdr:clientData/>
  </xdr:oneCellAnchor>
  <xdr:oneCellAnchor>
    <xdr:from>
      <xdr:col>3</xdr:col>
      <xdr:colOff>10766</xdr:colOff>
      <xdr:row>256</xdr:row>
      <xdr:rowOff>126723</xdr:rowOff>
    </xdr:from>
    <xdr:ext cx="3059363" cy="332079"/>
    <mc:AlternateContent xmlns:mc="http://schemas.openxmlformats.org/markup-compatibility/2006" xmlns:a14="http://schemas.microsoft.com/office/drawing/2010/main">
      <mc:Choice Requires="a14">
        <xdr:sp macro="" textlink="">
          <xdr:nvSpPr>
            <xdr:cNvPr id="30" name="TextBox 29">
              <a:extLst>
                <a:ext uri="{FF2B5EF4-FFF2-40B4-BE49-F238E27FC236}">
                  <a16:creationId xmlns:a16="http://schemas.microsoft.com/office/drawing/2014/main" id="{9A52C0E0-63D1-F42F-F297-DEB574BE3508}"/>
                </a:ext>
              </a:extLst>
            </xdr:cNvPr>
            <xdr:cNvSpPr txBox="1"/>
          </xdr:nvSpPr>
          <xdr:spPr>
            <a:xfrm>
              <a:off x="2686049" y="62130332"/>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𝑑𝑖𝑟</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0" name="TextBox 29">
              <a:extLst>
                <a:ext uri="{FF2B5EF4-FFF2-40B4-BE49-F238E27FC236}">
                  <a16:creationId xmlns:a16="http://schemas.microsoft.com/office/drawing/2014/main" id="{9A52C0E0-63D1-F42F-F297-DEB574BE3508}"/>
                </a:ext>
              </a:extLst>
            </xdr:cNvPr>
            <xdr:cNvSpPr txBox="1"/>
          </xdr:nvSpPr>
          <xdr:spPr>
            <a:xfrm>
              <a:off x="2686049" y="62130332"/>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𝐸_(𝑁2𝑂,𝑑𝑖𝑟)=∑2_𝑗▒∑2_𝑚▒(𝑀𝑁_𝑗𝑚×𝐸𝐹_𝑚×𝐶_𝑁2𝑂×10^(−3) ) </a:t>
              </a:r>
              <a:endParaRPr lang="en-AU" sz="10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0</xdr:colOff>
      <xdr:row>7</xdr:row>
      <xdr:rowOff>119062</xdr:rowOff>
    </xdr:from>
    <xdr:ext cx="2746200"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605AF6FB-7AF1-FCCA-DC0C-55473FC6CFC2}"/>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𝐴𝑇𝑀𝑂𝑆</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𝑚</m:t>
                                    </m:r>
                                  </m:sub>
                                </m:sSub>
                              </m:e>
                            </m:d>
                          </m:e>
                        </m:nary>
                      </m:e>
                    </m:nary>
                  </m:oMath>
                </m:oMathPara>
              </a14:m>
              <a:endParaRPr lang="en-AU" sz="1000"/>
            </a:p>
          </xdr:txBody>
        </xdr:sp>
      </mc:Choice>
      <mc:Fallback xmlns="">
        <xdr:sp macro="" textlink="">
          <xdr:nvSpPr>
            <xdr:cNvPr id="4" name="TextBox 3">
              <a:extLst>
                <a:ext uri="{FF2B5EF4-FFF2-40B4-BE49-F238E27FC236}">
                  <a16:creationId xmlns:a16="http://schemas.microsoft.com/office/drawing/2014/main" id="{605AF6FB-7AF1-FCCA-DC0C-55473FC6CFC2}"/>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i="0">
                  <a:latin typeface="Cambria Math" panose="02040503050406030204" pitchFamily="18" charset="0"/>
                </a:rPr>
                <a:t>𝑀𝑁_𝐴𝑇𝑀𝑂𝑆=∑10_𝑗▒∑10_𝑚▒(𝑀𝑁_𝑗𝑚×𝐹𝑟𝑎𝑐𝐺𝐴𝑆𝑀_𝑚 ) </a:t>
              </a:r>
              <a:endParaRPr lang="en-AU" sz="1000"/>
            </a:p>
          </xdr:txBody>
        </xdr:sp>
      </mc:Fallback>
    </mc:AlternateContent>
    <xdr:clientData/>
  </xdr:oneCellAnchor>
  <xdr:oneCellAnchor>
    <xdr:from>
      <xdr:col>2</xdr:col>
      <xdr:colOff>309562</xdr:colOff>
      <xdr:row>55</xdr:row>
      <xdr:rowOff>128587</xdr:rowOff>
    </xdr:from>
    <xdr:ext cx="2962093" cy="1801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FA3CFBE6-70BE-30B0-69AE-00B861A23008}"/>
                </a:ext>
              </a:extLst>
            </xdr:cNvPr>
            <xdr:cNvSpPr txBox="1"/>
          </xdr:nvSpPr>
          <xdr:spPr>
            <a:xfrm>
              <a:off x="2671762" y="133873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𝑀𝑀𝑆</m:t>
                        </m:r>
                        <m:r>
                          <a:rPr lang="en-AU" sz="1000" i="1">
                            <a:latin typeface="Cambria Math" panose="02040503050406030204" pitchFamily="18" charset="0"/>
                          </a:rPr>
                          <m:t>,</m:t>
                        </m:r>
                        <m:r>
                          <a:rPr lang="en-AU" sz="1000" i="1">
                            <a:latin typeface="Cambria Math" panose="02040503050406030204" pitchFamily="18" charset="0"/>
                          </a:rPr>
                          <m:t>𝑎𝑑</m:t>
                        </m:r>
                      </m:sub>
                    </m:sSub>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𝐴𝑇𝑀𝑂𝑆</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5" name="TextBox 4">
              <a:extLst>
                <a:ext uri="{FF2B5EF4-FFF2-40B4-BE49-F238E27FC236}">
                  <a16:creationId xmlns:a16="http://schemas.microsoft.com/office/drawing/2014/main" id="{FA3CFBE6-70BE-30B0-69AE-00B861A23008}"/>
                </a:ext>
              </a:extLst>
            </xdr:cNvPr>
            <xdr:cNvSpPr txBox="1"/>
          </xdr:nvSpPr>
          <xdr:spPr>
            <a:xfrm>
              <a:off x="2671762" y="133873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i="0">
                  <a:latin typeface="Cambria Math" panose="02040503050406030204" pitchFamily="18" charset="0"/>
                </a:rPr>
                <a:t>𝐸_(𝑁2𝑂,𝑀𝑀𝑆,𝑎𝑑)=𝑀𝑁_𝐴𝑇𝑀𝑂𝑆×𝐸𝐹_𝑁2𝑂×𝐶_𝑁2𝑂×10^(−3)</a:t>
              </a:r>
              <a:endParaRPr lang="en-AU" sz="10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19050</xdr:colOff>
      <xdr:row>7</xdr:row>
      <xdr:rowOff>128587</xdr:rowOff>
    </xdr:from>
    <xdr:ext cx="3431965"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968A4CC-38E1-F028-2290-9DEF85E3089C}"/>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𝑀𝑁𝐿𝑒𝑎𝑐</m:t>
                    </m:r>
                    <m:sSub>
                      <m:sSubPr>
                        <m:ctrlPr>
                          <a:rPr lang="en-AU" sz="1000" i="1">
                            <a:latin typeface="Cambria Math" panose="02040503050406030204" pitchFamily="18" charset="0"/>
                          </a:rPr>
                        </m:ctrlPr>
                      </m:sSubPr>
                      <m:e>
                        <m:r>
                          <a:rPr lang="en-AU" sz="1000" i="1">
                            <a:latin typeface="Cambria Math" panose="02040503050406030204" pitchFamily="18" charset="0"/>
                          </a:rPr>
                          <m:t>ℎ</m:t>
                        </m:r>
                      </m:e>
                      <m:sub>
                        <m:r>
                          <a:rPr lang="en-AU" sz="1000" i="1">
                            <a:latin typeface="Cambria Math" panose="02040503050406030204" pitchFamily="18" charset="0"/>
                          </a:rPr>
                          <m:t>𝑗𝑚</m:t>
                        </m:r>
                        <m:r>
                          <a:rPr lang="en-AU" sz="1000" i="1">
                            <a:latin typeface="Cambria Math" panose="02040503050406030204" pitchFamily="18" charset="0"/>
                          </a:rPr>
                          <m:t>=4</m:t>
                        </m:r>
                      </m:sub>
                    </m:sSub>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=4</m:t>
                        </m:r>
                      </m:sub>
                    </m:sSub>
                    <m:r>
                      <a:rPr lang="en-AU" sz="1000" i="1">
                        <a:latin typeface="Cambria Math" panose="02040503050406030204" pitchFamily="18" charset="0"/>
                      </a:rPr>
                      <m:t>×</m:t>
                    </m:r>
                    <m:r>
                      <a:rPr lang="en-AU" sz="1000" i="1">
                        <a:latin typeface="Cambria Math" panose="02040503050406030204" pitchFamily="18" charset="0"/>
                      </a:rPr>
                      <m:t>𝐹𝑟𝑎𝑐𝑊𝐸</m:t>
                    </m:r>
                    <m:sSub>
                      <m:sSubPr>
                        <m:ctrlPr>
                          <a:rPr lang="en-AU" sz="1000" i="1">
                            <a:latin typeface="Cambria Math" panose="02040503050406030204" pitchFamily="18" charset="0"/>
                          </a:rPr>
                        </m:ctrlPr>
                      </m:sSubPr>
                      <m:e>
                        <m:r>
                          <a:rPr lang="en-AU" sz="1000" i="1">
                            <a:latin typeface="Cambria Math" panose="02040503050406030204" pitchFamily="18" charset="0"/>
                          </a:rPr>
                          <m:t>𝑇</m:t>
                        </m:r>
                      </m:e>
                      <m:sub>
                        <m:r>
                          <a:rPr lang="en-AU" sz="1000" i="1">
                            <a:latin typeface="Cambria Math" panose="02040503050406030204" pitchFamily="18" charset="0"/>
                          </a:rPr>
                          <m:t>𝑖</m:t>
                        </m:r>
                      </m:sub>
                    </m:sSub>
                    <m:r>
                      <a:rPr lang="en-AU" sz="1000" i="1">
                        <a:latin typeface="Cambria Math" panose="02040503050406030204" pitchFamily="18" charset="0"/>
                      </a:rPr>
                      <m:t>×</m:t>
                    </m:r>
                    <m:r>
                      <a:rPr lang="en-AU" sz="1000" i="1">
                        <a:latin typeface="Cambria Math" panose="02040503050406030204" pitchFamily="18" charset="0"/>
                      </a:rPr>
                      <m:t>𝐹𝑟𝑎𝑐𝐿𝐸𝐴𝐶</m:t>
                    </m:r>
                    <m:sSub>
                      <m:sSubPr>
                        <m:ctrlPr>
                          <a:rPr lang="en-AU" sz="1000" i="1">
                            <a:latin typeface="Cambria Math" panose="02040503050406030204" pitchFamily="18" charset="0"/>
                          </a:rPr>
                        </m:ctrlPr>
                      </m:sSubPr>
                      <m:e>
                        <m:r>
                          <a:rPr lang="en-AU" sz="1000" i="1">
                            <a:latin typeface="Cambria Math" panose="02040503050406030204" pitchFamily="18" charset="0"/>
                          </a:rPr>
                          <m:t>𝐻</m:t>
                        </m:r>
                      </m:e>
                      <m:sub>
                        <m:r>
                          <a:rPr lang="en-AU" sz="1000" i="1">
                            <a:latin typeface="Cambria Math" panose="02040503050406030204" pitchFamily="18" charset="0"/>
                          </a:rPr>
                          <m:t>𝑀𝑆</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A968A4CC-38E1-F028-2290-9DEF85E3089C}"/>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i="0">
                  <a:latin typeface="Cambria Math" panose="02040503050406030204" pitchFamily="18" charset="0"/>
                </a:rPr>
                <a:t>𝑀𝑁𝐿𝑒𝑎𝑐ℎ_(𝑗𝑚=4)=𝑀𝑁_(𝑗𝑚=4)×𝐹𝑟𝑎𝑐𝑊𝐸𝑇_𝑖×𝐹𝑟𝑎𝑐𝐿𝐸𝐴𝐶𝐻_𝑀𝑆</a:t>
              </a:r>
              <a:endParaRPr lang="en-AU" sz="1000"/>
            </a:p>
          </xdr:txBody>
        </xdr:sp>
      </mc:Fallback>
    </mc:AlternateContent>
    <xdr:clientData/>
  </xdr:oneCellAnchor>
  <xdr:oneCellAnchor>
    <xdr:from>
      <xdr:col>3</xdr:col>
      <xdr:colOff>14287</xdr:colOff>
      <xdr:row>36</xdr:row>
      <xdr:rowOff>128587</xdr:rowOff>
    </xdr:from>
    <xdr:ext cx="4071884"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2A0C7D8-9DAA-59BB-EAE8-CDDDC6E84314}"/>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r>
                              <a:rPr lang="en-AU" sz="1000" i="1">
                                <a:latin typeface="Cambria Math" panose="02040503050406030204" pitchFamily="18" charset="0"/>
                              </a:rPr>
                              <m:t>=1−13</m:t>
                            </m:r>
                          </m:sub>
                          <m:sup/>
                          <m:e>
                            <m:d>
                              <m:dPr>
                                <m:ctrlPr>
                                  <a:rPr lang="en-AU" sz="1000" i="1">
                                    <a:latin typeface="Cambria Math" panose="02040503050406030204" pitchFamily="18" charset="0"/>
                                  </a:rPr>
                                </m:ctrlPr>
                              </m:dPr>
                              <m:e>
                                <m:r>
                                  <a:rPr lang="en-AU" sz="1000" i="1">
                                    <a:latin typeface="Cambria Math" panose="02040503050406030204" pitchFamily="18" charset="0"/>
                                  </a:rPr>
                                  <m:t>𝑀𝑁𝐿𝑒𝑎𝑐</m:t>
                                </m:r>
                                <m:sSub>
                                  <m:sSubPr>
                                    <m:ctrlPr>
                                      <a:rPr lang="en-AU" sz="1000" i="1">
                                        <a:latin typeface="Cambria Math" panose="02040503050406030204" pitchFamily="18" charset="0"/>
                                      </a:rPr>
                                    </m:ctrlPr>
                                  </m:sSubPr>
                                  <m:e>
                                    <m:r>
                                      <a:rPr lang="en-AU" sz="1000" i="1">
                                        <a:latin typeface="Cambria Math" panose="02040503050406030204" pitchFamily="18" charset="0"/>
                                      </a:rPr>
                                      <m:t>ℎ</m:t>
                                    </m:r>
                                  </m:e>
                                  <m:sub>
                                    <m:r>
                                      <a:rPr lang="en-AU" sz="1000" i="1">
                                        <a:latin typeface="Cambria Math" panose="02040503050406030204" pitchFamily="18" charset="0"/>
                                      </a:rPr>
                                      <m:t>𝑗𝑚</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72A0C7D8-9DAA-59BB-EAE8-CDDDC6E84314}"/>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i="0">
                  <a:latin typeface="Cambria Math" panose="02040503050406030204" pitchFamily="18" charset="0"/>
                </a:rPr>
                <a:t>𝐸_(𝑁2𝑂,𝑙𝑒𝑎𝑐ℎ)=∑10_𝑗▒∑10_(𝑚=1−13)▒(𝑀𝑁𝐿𝑒𝑎𝑐ℎ_𝑗𝑚×𝐸𝐹_𝑙𝑒𝑎𝑐ℎ×𝐶_𝑁2𝑂 ) ×10^(−3)</a:t>
              </a:r>
              <a14:m xmlns:a14="http://schemas.microsoft.com/office/drawing/2010/main"/>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2</xdr:col>
      <xdr:colOff>295275</xdr:colOff>
      <xdr:row>7</xdr:row>
      <xdr:rowOff>93289</xdr:rowOff>
    </xdr:from>
    <xdr:ext cx="6020815"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A726328E-340A-1113-AB49-75A92C825931}"/>
                </a:ext>
              </a:extLst>
            </xdr:cNvPr>
            <xdr:cNvSpPr txBox="1"/>
          </xdr:nvSpPr>
          <xdr:spPr>
            <a:xfrm>
              <a:off x="2659716" y="12061171"/>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𝑠𝑐𝑜𝑝𝑒</m:t>
                        </m:r>
                        <m:r>
                          <a:rPr lang="en-AU" sz="1000" i="1">
                            <a:latin typeface="Cambria Math" panose="02040503050406030204" pitchFamily="18" charset="0"/>
                          </a:rPr>
                          <m:t>1</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=1−13</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m:t>
                                        </m:r>
                                        <m:r>
                                          <a:rPr lang="en-AU" sz="1000" i="1">
                                            <a:latin typeface="Cambria Math" panose="02040503050406030204" pitchFamily="18" charset="0"/>
                                          </a:rPr>
                                          <m:t>=1−13</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𝑚</m:t>
                                        </m:r>
                                        <m:r>
                                          <a:rPr lang="en-AU" sz="1000" i="1">
                                            <a:latin typeface="Cambria Math" panose="02040503050406030204" pitchFamily="18" charset="0"/>
                                          </a:rPr>
                                          <m:t>=1−13</m:t>
                                        </m:r>
                                      </m:sub>
                                    </m:sSub>
                                  </m:e>
                                </m:d>
                                <m:r>
                                  <a:rPr lang="en-AU" sz="1000" i="1">
                                    <a:latin typeface="Cambria Math" panose="02040503050406030204" pitchFamily="18" charset="0"/>
                                  </a:rPr>
                                  <m:t>−</m:t>
                                </m:r>
                                <m:r>
                                  <a:rPr lang="en-AU" sz="1000" i="1">
                                    <a:latin typeface="Cambria Math" panose="02040503050406030204" pitchFamily="18" charset="0"/>
                                  </a:rPr>
                                  <m:t>𝑀𝑁𝐿𝑒𝑎𝑐</m:t>
                                </m:r>
                                <m:sSub>
                                  <m:sSubPr>
                                    <m:ctrlPr>
                                      <a:rPr lang="en-AU" sz="1000" i="1">
                                        <a:latin typeface="Cambria Math" panose="02040503050406030204" pitchFamily="18" charset="0"/>
                                      </a:rPr>
                                    </m:ctrlPr>
                                  </m:sSubPr>
                                  <m:e>
                                    <m:r>
                                      <a:rPr lang="en-AU" sz="1000" i="1">
                                        <a:latin typeface="Cambria Math" panose="02040503050406030204" pitchFamily="18" charset="0"/>
                                      </a:rPr>
                                      <m:t>ℎ</m:t>
                                    </m:r>
                                  </m:e>
                                  <m:sub>
                                    <m:r>
                                      <a:rPr lang="en-AU" sz="1000" i="1">
                                        <a:latin typeface="Cambria Math" panose="02040503050406030204" pitchFamily="18" charset="0"/>
                                      </a:rPr>
                                      <m:t>𝑗𝑚</m:t>
                                    </m:r>
                                  </m:sub>
                                </m:sSub>
                              </m:e>
                            </m:d>
                          </m:e>
                        </m:nary>
                      </m:e>
                    </m:nary>
                    <m:r>
                      <a:rPr lang="en-AU" sz="1000" i="1">
                        <a:latin typeface="Cambria Math" panose="02040503050406030204" pitchFamily="18" charset="0"/>
                      </a:rPr>
                      <m:t>×</m:t>
                    </m:r>
                    <m:r>
                      <a:rPr lang="en-AU" sz="1000" i="1">
                        <a:latin typeface="Cambria Math" panose="02040503050406030204" pitchFamily="18" charset="0"/>
                      </a:rPr>
                      <m:t>𝑃𝐹</m:t>
                    </m:r>
                  </m:oMath>
                </m:oMathPara>
              </a14:m>
              <a:endParaRPr lang="en-AU" sz="1000"/>
            </a:p>
          </xdr:txBody>
        </xdr:sp>
      </mc:Choice>
      <mc:Fallback xmlns="">
        <xdr:sp macro="" textlink="">
          <xdr:nvSpPr>
            <xdr:cNvPr id="4" name="TextBox 3">
              <a:extLst>
                <a:ext uri="{FF2B5EF4-FFF2-40B4-BE49-F238E27FC236}">
                  <a16:creationId xmlns:a16="http://schemas.microsoft.com/office/drawing/2014/main" id="{A726328E-340A-1113-AB49-75A92C825931}"/>
                </a:ext>
              </a:extLst>
            </xdr:cNvPr>
            <xdr:cNvSpPr txBox="1"/>
          </xdr:nvSpPr>
          <xdr:spPr>
            <a:xfrm>
              <a:off x="2659716" y="12061171"/>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𝑀𝑁𝑆𝑜𝑖𝑙_𝑠𝑐𝑜𝑝𝑒1=∑2_𝑗▒∑2_𝑚▒(𝑀𝑁_(𝑗𝑚=1−13)×(1−𝐸𝐹_(𝑚=1−13)−𝐹𝑟𝑎𝑐𝐺𝐴𝑆𝑀_(𝑚=1−13) )−𝑀𝑁𝐿𝑒𝑎𝑐ℎ_𝑗𝑚 ) ×𝑃𝐹</a:t>
              </a:r>
              <a:endParaRPr lang="en-AU" sz="1000"/>
            </a:p>
          </xdr:txBody>
        </xdr:sp>
      </mc:Fallback>
    </mc:AlternateContent>
    <xdr:clientData/>
  </xdr:oneCellAnchor>
  <xdr:oneCellAnchor>
    <xdr:from>
      <xdr:col>3</xdr:col>
      <xdr:colOff>13445</xdr:colOff>
      <xdr:row>91</xdr:row>
      <xdr:rowOff>108696</xdr:rowOff>
    </xdr:from>
    <xdr:ext cx="6384120" cy="33207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D1D84F8D-E857-934D-8CCF-DE7C29BCD497}"/>
                </a:ext>
              </a:extLst>
            </xdr:cNvPr>
            <xdr:cNvSpPr txBox="1"/>
          </xdr:nvSpPr>
          <xdr:spPr>
            <a:xfrm>
              <a:off x="2691651" y="26868343"/>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𝑠𝑐𝑜𝑝𝑒</m:t>
                        </m:r>
                        <m:r>
                          <a:rPr lang="en-AU" sz="1000" i="1">
                            <a:latin typeface="Cambria Math" panose="02040503050406030204" pitchFamily="18" charset="0"/>
                          </a:rPr>
                          <m:t>3</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=1−13</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m:t>
                                        </m:r>
                                        <m:r>
                                          <a:rPr lang="en-AU" sz="1000" i="1">
                                            <a:latin typeface="Cambria Math" panose="02040503050406030204" pitchFamily="18" charset="0"/>
                                          </a:rPr>
                                          <m:t>=1−13</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𝑚</m:t>
                                        </m:r>
                                        <m:r>
                                          <a:rPr lang="en-AU" sz="1000" i="1">
                                            <a:latin typeface="Cambria Math" panose="02040503050406030204" pitchFamily="18" charset="0"/>
                                          </a:rPr>
                                          <m:t>=1−13</m:t>
                                        </m:r>
                                      </m:sub>
                                    </m:sSub>
                                  </m:e>
                                </m:d>
                                <m:r>
                                  <a:rPr lang="en-AU" sz="1000" i="1">
                                    <a:latin typeface="Cambria Math" panose="02040503050406030204" pitchFamily="18" charset="0"/>
                                  </a:rPr>
                                  <m:t>−</m:t>
                                </m:r>
                                <m:r>
                                  <a:rPr lang="en-AU" sz="1000" i="1">
                                    <a:latin typeface="Cambria Math" panose="02040503050406030204" pitchFamily="18" charset="0"/>
                                  </a:rPr>
                                  <m:t>𝑀𝑁𝐿𝑒𝑎𝑐</m:t>
                                </m:r>
                                <m:sSub>
                                  <m:sSubPr>
                                    <m:ctrlPr>
                                      <a:rPr lang="en-AU" sz="1000" i="1">
                                        <a:latin typeface="Cambria Math" panose="02040503050406030204" pitchFamily="18" charset="0"/>
                                      </a:rPr>
                                    </m:ctrlPr>
                                  </m:sSubPr>
                                  <m:e>
                                    <m:r>
                                      <a:rPr lang="en-AU" sz="1000" i="1">
                                        <a:latin typeface="Cambria Math" panose="02040503050406030204" pitchFamily="18" charset="0"/>
                                      </a:rPr>
                                      <m:t>ℎ</m:t>
                                    </m:r>
                                  </m:e>
                                  <m:sub>
                                    <m:r>
                                      <a:rPr lang="en-AU" sz="1000" i="1">
                                        <a:latin typeface="Cambria Math" panose="02040503050406030204" pitchFamily="18" charset="0"/>
                                      </a:rPr>
                                      <m:t>𝑗𝑚</m:t>
                                    </m:r>
                                  </m:sub>
                                </m:sSub>
                              </m:e>
                            </m:d>
                          </m:e>
                        </m:nary>
                      </m:e>
                    </m:nary>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𝑃𝐹</m:t>
                        </m:r>
                      </m:e>
                    </m:d>
                  </m:oMath>
                </m:oMathPara>
              </a14:m>
              <a:endParaRPr lang="en-AU" sz="1000"/>
            </a:p>
          </xdr:txBody>
        </xdr:sp>
      </mc:Choice>
      <mc:Fallback xmlns="">
        <xdr:sp macro="" textlink="">
          <xdr:nvSpPr>
            <xdr:cNvPr id="6" name="TextBox 5">
              <a:extLst>
                <a:ext uri="{FF2B5EF4-FFF2-40B4-BE49-F238E27FC236}">
                  <a16:creationId xmlns:a16="http://schemas.microsoft.com/office/drawing/2014/main" id="{D1D84F8D-E857-934D-8CCF-DE7C29BCD497}"/>
                </a:ext>
              </a:extLst>
            </xdr:cNvPr>
            <xdr:cNvSpPr txBox="1"/>
          </xdr:nvSpPr>
          <xdr:spPr>
            <a:xfrm>
              <a:off x="2691651" y="26868343"/>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𝑀𝑁𝑆𝑜𝑖𝑙_𝑠𝑐𝑜𝑝𝑒3=∑2_𝑗▒∑2_𝑚▒(𝑀𝑁_(𝑗𝑚=1−13)×(1−𝐸𝐹_(𝑚=1−13)−𝐹𝑟𝑎𝑐𝐺𝐴𝑆𝑀_(𝑚=1−13) )−𝑀𝑁𝐿𝑒𝑎𝑐ℎ_𝑗𝑚 ) ×(1−𝑃𝐹)</a:t>
              </a:r>
              <a:endParaRPr lang="en-AU" sz="10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0</xdr:colOff>
      <xdr:row>37</xdr:row>
      <xdr:rowOff>90487</xdr:rowOff>
    </xdr:from>
    <xdr:ext cx="3066352"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DF194B7-FEFD-04AE-8133-8DF4365FDE6D}"/>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𝑑𝑖𝑟</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=14</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𝑃𝑅𝑃</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ADF194B7-FEFD-04AE-8133-8DF4365FDE6D}"/>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i="0">
                  <a:latin typeface="Cambria Math" panose="02040503050406030204" pitchFamily="18" charset="0"/>
                </a:rPr>
                <a:t>𝐸_(𝑁2𝑂,𝑑𝑖𝑟)=∑10_𝑗▒(𝑀𝑁_(𝑗𝑚=14)×𝐸𝐹_𝑃𝑅𝑃×𝐶_𝑁2𝑂×10^(−3) ) </a:t>
              </a:r>
              <a:endParaRPr lang="en-AU" sz="1000"/>
            </a:p>
          </xdr:txBody>
        </xdr:sp>
      </mc:Fallback>
    </mc:AlternateContent>
    <xdr:clientData/>
  </xdr:oneCellAnchor>
  <xdr:oneCellAnchor>
    <xdr:from>
      <xdr:col>3</xdr:col>
      <xdr:colOff>27332</xdr:colOff>
      <xdr:row>7</xdr:row>
      <xdr:rowOff>118440</xdr:rowOff>
    </xdr:from>
    <xdr:ext cx="1405385"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CE4692A-99FC-4A4D-A2C1-8A8FA6D1A6D6}"/>
                </a:ext>
              </a:extLst>
            </xdr:cNvPr>
            <xdr:cNvSpPr txBox="1"/>
          </xdr:nvSpPr>
          <xdr:spPr>
            <a:xfrm>
              <a:off x="2703857" y="5275359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sub>
                    </m:sSub>
                    <m:r>
                      <a:rPr lang="en-AU" sz="1000" i="1">
                        <a:latin typeface="Cambria Math" panose="02040503050406030204" pitchFamily="18" charset="0"/>
                      </a:rPr>
                      <m:t>=</m:t>
                    </m:r>
                    <m:r>
                      <a:rPr lang="en-AU" sz="1000" i="1">
                        <a:latin typeface="Cambria Math" panose="02040503050406030204" pitchFamily="18" charset="0"/>
                      </a:rPr>
                      <m:t>𝐴</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sub>
                    </m:sSub>
                  </m:oMath>
                </m:oMathPara>
              </a14:m>
              <a:endParaRPr lang="en-AU" sz="1000"/>
            </a:p>
          </xdr:txBody>
        </xdr:sp>
      </mc:Choice>
      <mc:Fallback xmlns="">
        <xdr:sp macro="" textlink="">
          <xdr:nvSpPr>
            <xdr:cNvPr id="3" name="TextBox 2">
              <a:extLst>
                <a:ext uri="{FF2B5EF4-FFF2-40B4-BE49-F238E27FC236}">
                  <a16:creationId xmlns:a16="http://schemas.microsoft.com/office/drawing/2014/main" id="{FCE4692A-99FC-4A4D-A2C1-8A8FA6D1A6D6}"/>
                </a:ext>
              </a:extLst>
            </xdr:cNvPr>
            <xdr:cNvSpPr txBox="1"/>
          </xdr:nvSpPr>
          <xdr:spPr>
            <a:xfrm>
              <a:off x="2703857" y="5275359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i="0">
                  <a:latin typeface="Cambria Math" panose="02040503050406030204" pitchFamily="18" charset="0"/>
                </a:rPr>
                <a:t>𝑀𝑁_𝑗𝑚=𝐴𝐸_𝑗×𝑀𝑀𝑆_𝑗𝑚</a:t>
              </a:r>
              <a:endParaRPr lang="en-AU" sz="10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2</xdr:col>
      <xdr:colOff>304800</xdr:colOff>
      <xdr:row>7</xdr:row>
      <xdr:rowOff>109537</xdr:rowOff>
    </xdr:from>
    <xdr:ext cx="2790058"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B6391E0-FCC4-69B3-A285-38EEF2AFD673}"/>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𝑚</m:t>
                        </m:r>
                        <m:r>
                          <a:rPr lang="en-AU" sz="1000" i="1">
                            <a:latin typeface="Cambria Math" panose="02040503050406030204" pitchFamily="18" charset="0"/>
                          </a:rPr>
                          <m:t>=14</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=14</m:t>
                                </m:r>
                              </m:sub>
                            </m:sSub>
                            <m:r>
                              <a:rPr lang="en-AU" sz="1000" i="1">
                                <a:latin typeface="Cambria Math" panose="02040503050406030204" pitchFamily="18" charset="0"/>
                              </a:rPr>
                              <m:t>×</m:t>
                            </m:r>
                            <m:r>
                              <a:rPr lang="en-AU" sz="1000" i="1">
                                <a:latin typeface="Cambria Math" panose="02040503050406030204" pitchFamily="18" charset="0"/>
                              </a:rPr>
                              <m:t>𝐹𝑟𝑎𝑐𝐺𝐴𝑆𝑀𝑠𝑜𝑖𝑙</m:t>
                            </m:r>
                          </m:e>
                        </m:d>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3B6391E0-FCC4-69B3-A285-38EEF2AFD673}"/>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i="0">
                  <a:latin typeface="Cambria Math" panose="02040503050406030204" pitchFamily="18" charset="0"/>
                </a:rPr>
                <a:t>𝑀_(𝑣𝑜𝑙,𝑚=14)=∑10_𝑗▒(𝑀𝑁_(𝑗𝑚=14)×𝐹𝑟𝑎𝑐𝐺𝐴𝑆𝑀𝑠𝑜𝑖𝑙) </a:t>
              </a:r>
              <a:endParaRPr lang="en-AU" sz="1000"/>
            </a:p>
          </xdr:txBody>
        </xdr:sp>
      </mc:Fallback>
    </mc:AlternateContent>
    <xdr:clientData/>
  </xdr:oneCellAnchor>
  <xdr:oneCellAnchor>
    <xdr:from>
      <xdr:col>3</xdr:col>
      <xdr:colOff>4762</xdr:colOff>
      <xdr:row>32</xdr:row>
      <xdr:rowOff>119062</xdr:rowOff>
    </xdr:from>
    <xdr:ext cx="2723630"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94096BB-B3AC-C657-F074-4108B97A6AB3}"/>
                </a:ext>
              </a:extLst>
            </xdr:cNvPr>
            <xdr:cNvSpPr txBox="1"/>
          </xdr:nvSpPr>
          <xdr:spPr>
            <a:xfrm>
              <a:off x="2681287" y="76819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𝑎𝑑</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𝑚</m:t>
                        </m:r>
                        <m:r>
                          <a:rPr lang="en-AU" sz="1000" i="1">
                            <a:latin typeface="Cambria Math" panose="02040503050406030204" pitchFamily="18" charset="0"/>
                          </a:rPr>
                          <m:t>=14</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E94096BB-B3AC-C657-F074-4108B97A6AB3}"/>
                </a:ext>
              </a:extLst>
            </xdr:cNvPr>
            <xdr:cNvSpPr txBox="1"/>
          </xdr:nvSpPr>
          <xdr:spPr>
            <a:xfrm>
              <a:off x="2681287" y="76819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i="0">
                  <a:latin typeface="Cambria Math" panose="02040503050406030204" pitchFamily="18" charset="0"/>
                </a:rPr>
                <a:t>𝐸_(𝑁2𝑂,𝑎𝑑)=𝑀_(𝑣𝑜𝑙,𝑚=14)×𝐸𝐹_𝑁2𝑂×𝐶_𝑁2𝑂×10^(−3)</a:t>
              </a:r>
              <a:endParaRPr lang="en-AU" sz="10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3</xdr:col>
      <xdr:colOff>9525</xdr:colOff>
      <xdr:row>7</xdr:row>
      <xdr:rowOff>52387</xdr:rowOff>
    </xdr:from>
    <xdr:ext cx="3462037"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10DFE55-4154-79C9-A905-876895805C5B}"/>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𝑚</m:t>
                        </m:r>
                        <m:r>
                          <a:rPr lang="en-AU" sz="1000" i="1">
                            <a:latin typeface="Cambria Math" panose="02040503050406030204" pitchFamily="18" charset="0"/>
                          </a:rPr>
                          <m:t>=14</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=14</m:t>
                                </m:r>
                              </m:sub>
                            </m:sSub>
                            <m:r>
                              <a:rPr lang="en-AU" sz="1000" i="1">
                                <a:latin typeface="Cambria Math" panose="02040503050406030204" pitchFamily="18" charset="0"/>
                              </a:rPr>
                              <m:t>×</m:t>
                            </m:r>
                            <m:r>
                              <a:rPr lang="en-AU" sz="1000" i="1">
                                <a:latin typeface="Cambria Math" panose="02040503050406030204" pitchFamily="18" charset="0"/>
                              </a:rPr>
                              <m:t>𝐹𝑟𝑎𝑐𝑊𝑒𝑡</m:t>
                            </m:r>
                            <m:r>
                              <a:rPr lang="en-AU" sz="1000" i="1">
                                <a:latin typeface="Cambria Math" panose="02040503050406030204" pitchFamily="18" charset="0"/>
                              </a:rPr>
                              <m:t>×</m:t>
                            </m:r>
                            <m:r>
                              <a:rPr lang="en-AU" sz="1000" i="1">
                                <a:latin typeface="Cambria Math" panose="02040503050406030204" pitchFamily="18" charset="0"/>
                              </a:rPr>
                              <m:t>𝐹𝑟𝑎𝑐𝐿𝐸𝐴𝐶𝐻</m:t>
                            </m:r>
                          </m:e>
                        </m:d>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D10DFE55-4154-79C9-A905-876895805C5B}"/>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i="0">
                  <a:latin typeface="Cambria Math" panose="02040503050406030204" pitchFamily="18" charset="0"/>
                </a:rPr>
                <a:t>𝑀_(𝑙𝑒𝑎𝑐ℎ,𝑚=14)=∑10_𝑗▒(𝑀𝑁_(𝑗𝑚=14)×𝐹𝑟𝑎𝑐𝑊𝑒𝑡×𝐹𝑟𝑎𝑐𝐿𝐸𝐴𝐶𝐻</a:t>
              </a:r>
              <a14:m xmlns:a14="http://schemas.microsoft.com/office/drawing/2010/main"/>
            </a:p>
          </xdr:txBody>
        </xdr:sp>
      </mc:Fallback>
    </mc:AlternateContent>
    <xdr:clientData/>
  </xdr:oneCellAnchor>
  <xdr:oneCellAnchor>
    <xdr:from>
      <xdr:col>3</xdr:col>
      <xdr:colOff>19050</xdr:colOff>
      <xdr:row>37</xdr:row>
      <xdr:rowOff>109537</xdr:rowOff>
    </xdr:from>
    <xdr:ext cx="3045001"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C304F3D-5707-9227-DCF1-C193757E1DBE}"/>
                </a:ext>
              </a:extLst>
            </xdr:cNvPr>
            <xdr:cNvSpPr txBox="1"/>
          </xdr:nvSpPr>
          <xdr:spPr>
            <a:xfrm>
              <a:off x="2695575" y="866298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𝑚</m:t>
                        </m:r>
                        <m:r>
                          <a:rPr lang="en-AU" sz="1000" i="1">
                            <a:latin typeface="Cambria Math" panose="02040503050406030204" pitchFamily="18" charset="0"/>
                          </a:rPr>
                          <m:t>=14</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4C304F3D-5707-9227-DCF1-C193757E1DBE}"/>
                </a:ext>
              </a:extLst>
            </xdr:cNvPr>
            <xdr:cNvSpPr txBox="1"/>
          </xdr:nvSpPr>
          <xdr:spPr>
            <a:xfrm>
              <a:off x="2695575" y="866298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i="0">
                  <a:latin typeface="Cambria Math" panose="02040503050406030204" pitchFamily="18" charset="0"/>
                </a:rPr>
                <a:t>𝐸_(𝑁2𝑂,𝑙𝑒𝑎𝑐ℎ)=𝑀_(𝑙𝑒𝑎𝑐ℎ,𝑚=14)×𝐸𝐹_𝑙𝑒𝑎𝑐ℎ×𝐶_𝑁2𝑂×10^(−3)</a:t>
              </a:r>
              <a:endParaRPr lang="en-AU" sz="10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Dairy_MMS" displayName="Table_SourceData_Dairy_MMS" ref="D7:E11" totalsRowShown="0">
  <autoFilter ref="D7:E11"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79" dataCellStyle="Content normal"/>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Dairy_CropProdSystems" displayName="Table_SourceData_Dairy_CropProdSystems" ref="G7:G9" totalsRowShown="0">
  <autoFilter ref="G7:G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Dairy_IrrigationMethods" displayName="Table_SourceData_Dairy_IrrigationMethods" ref="J7:J12" totalsRowShown="0">
  <autoFilter ref="J7:J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67AC8BB-7677-48EA-BDB5-2C0BC5B0F947}"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CAC4C566-E7DF-44B3-BDB4-4B1785D5F9F0}" name="Breed">
      <calculatedColumnFormula array="1">Common_InputFunctions.Utility_DisplayArrayInTable(SourceData_Dairy.SourceData_Dairy_LiveweightCowsAndHeifers_Data(), Table_SourceData_Dairy_WjCowsHeifers[[#Headers],[Breed]], 0)</calculatedColumnFormula>
    </tableColumn>
    <tableColumn id="2" xr3:uid="{4C5541D8-40C3-436A-815B-7A3D9D154BB6}" name="Milking cows" dataDxfId="78" dataCellStyle="Content normal">
      <calculatedColumnFormula array="1">Common_InputFunctions.Utility_DisplayArrayInTable(SourceData_Dairy.SourceData_Dairy_LiveweightCowsAndHeifers_Data(), Table_SourceData_Dairy_WjCowsHeifers[[#Headers],[Breed]], 0)</calculatedColumnFormula>
    </tableColumn>
    <tableColumn id="3" xr3:uid="{A8A468F3-E260-4E60-AC14-8F50FD33B46B}" name="Heifers &gt; 1" dataDxfId="77" dataCellStyle="Content normal">
      <calculatedColumnFormula array="1">Common_InputFunctions.Utility_DisplayArrayInTable(SourceData_Dairy.SourceData_Dairy_LiveweightCowsAndHeifers_Data(), Table_SourceData_Dairy_WjCowsHeifers[[#Headers],[Breed]], 0)</calculatedColumnFormula>
    </tableColumn>
    <tableColumn id="4" xr3:uid="{2081FE2E-69DF-48BF-9561-91AC655332BC}" name="Heifers &lt; 1 (weaned)" dataDxfId="76"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F7576A8-349F-4CC0-92AE-D91A1F2F1417}"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40374F5E-9BC3-4080-A28F-8B1F65DE1774}" name="Breed">
      <calculatedColumnFormula array="1">Common_InputFunctions.Utility_DisplayArrayInTable(SourceData_Dairy.SourceData_Dairy_LiveweightBulls_Data(), Table_SourceData_Dairy_WjBulls[[#Headers],[Breed]], 0)</calculatedColumnFormula>
    </tableColumn>
    <tableColumn id="2" xr3:uid="{C20ABB8A-524B-457C-86CD-D1ADCBCD6339}" name="Bulls &gt; 1" dataDxfId="75" dataCellStyle="Content normal">
      <calculatedColumnFormula array="1">Common_InputFunctions.Utility_DisplayArrayInTable(SourceData_Dairy.SourceData_Dairy_LiveweightBulls_Data(), Table_SourceData_Dairy_WjBulls[[#Headers],[Breed]], 0)</calculatedColumnFormula>
    </tableColumn>
    <tableColumn id="3" xr3:uid="{7E843FE2-40FC-4270-88C9-9204E6D4AFBC}" name="Bulls &lt; 1 (weaned)" dataDxfId="74"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FCFB773-B7EE-42F8-AC7C-31621B260645}"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69C0AC05-6C13-494A-8124-C36C4B6D01B6}" name="Milking cows">
      <calculatedColumnFormula array="1">Common_InputFunctions.Utility_DisplayArrayInTable(SourceData_Dairy.SourceData_Dairy_LiveweightGain_Data(), Table_SourceData_Dairy_LWGj[[#Headers],[Milking cows]], 0)</calculatedColumnFormula>
    </tableColumn>
    <tableColumn id="2" xr3:uid="{6F9B3B56-C4EB-4BB7-8805-05635494D786}" name="Heifers &gt; 1" dataDxfId="73" dataCellStyle="Content normal">
      <calculatedColumnFormula array="1">Common_InputFunctions.Utility_DisplayArrayInTable(SourceData_Dairy.SourceData_Dairy_LiveweightGain_Data(), Table_SourceData_Dairy_LWGj[[#Headers],[Milking cows]], 0)</calculatedColumnFormula>
    </tableColumn>
    <tableColumn id="3" xr3:uid="{9CCB5E7F-697E-47C8-A2FC-07B0CCA18EF6}" name="Heifers &lt; 1 (weaned)" dataDxfId="72" dataCellStyle="Content normal">
      <calculatedColumnFormula array="1">Common_InputFunctions.Utility_DisplayArrayInTable(SourceData_Dairy.SourceData_Dairy_LiveweightGain_Data(), Table_SourceData_Dairy_LWGj[[#Headers],[Milking cows]], 0)</calculatedColumnFormula>
    </tableColumn>
    <tableColumn id="4" xr3:uid="{E2F3229F-1A83-4902-9C97-123E692B43D6}" name="Bulls &gt; 1" dataDxfId="71" dataCellStyle="Content normal">
      <calculatedColumnFormula array="1">Common_InputFunctions.Utility_DisplayArrayInTable(SourceData_Dairy.SourceData_Dairy_LiveweightGain_Data(), Table_SourceData_Dairy_LWGj[[#Headers],[Milking cows]], 0)</calculatedColumnFormula>
    </tableColumn>
    <tableColumn id="5" xr3:uid="{409BDD9D-D084-43BF-B34D-A29B0DFF00E7}" name="Bulls &lt; 1 (weaned)" dataDxfId="70"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96C6784-8B86-412A-92D3-E911DE28757C}" name="Table_SourceData_Dairy_WRj" displayName="Table_SourceData_Dairy_WRj" ref="D54:H55" totalsRowShown="0" headerRowDxfId="69"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3AC95D93-D298-4573-B050-1788F492B878}"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991629E4-B0F0-475C-93F7-4A12ED668A18}"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6C94EF39-6711-4487-81B0-B42EDB4594D8}"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C3DD81A6-AACD-494F-AF05-233BBF18C20E}"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094C9E2A-1500-4255-BA17-5A613FBA8EBC}"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68BB314-DB2C-4CA2-BAA9-E66557777E59}" name="Table_SourceData_Dairy_DataPreWeaned" displayName="Table_SourceData_Dairy_DataPreWeaned" ref="D62:G64" totalsRowShown="0" dataDxfId="68" dataCellStyle="Content normal">
  <autoFilter ref="D62:G64" xr:uid="{968BB314-DB2C-4CA2-BAA9-E66557777E59}">
    <filterColumn colId="0" hiddenButton="1"/>
    <filterColumn colId="1" hiddenButton="1"/>
    <filterColumn colId="2" hiddenButton="1"/>
    <filterColumn colId="3" hiddenButton="1"/>
  </autoFilter>
  <tableColumns count="4">
    <tableColumn id="1" xr3:uid="{598A8529-B449-4014-BE34-ECB667ED42D5}" name="Animal class j" dataDxfId="67" dataCellStyle="Content normal">
      <calculatedColumnFormula array="1">Common_InputFunctions.Utility_DisplayArrayInTable(SourceData_Dairy.SourceData_Dairy_PreWeanedCalves_Data(), Table_SourceData_Dairy_DataPreWeaned[[#Headers],[Animal class j]], 0)</calculatedColumnFormula>
    </tableColumn>
    <tableColumn id="2" xr3:uid="{5C0E8AAB-9E7B-4D2E-B948-D2A0CC665284}" name="CH4 production" dataDxfId="66" dataCellStyle="Content normal">
      <calculatedColumnFormula array="1">Common_InputFunctions.Utility_DisplayArrayInTable(SourceData_Dairy.SourceData_Dairy_PreWeanedCalves_Data(), Table_SourceData_Dairy_DataPreWeaned[[#Headers],[Animal class j]], 0)</calculatedColumnFormula>
    </tableColumn>
    <tableColumn id="3" xr3:uid="{945A18DE-556C-4BC4-A6F6-B0601941462E}" name="Volatile solids (VSj=3,5)" dataDxfId="65" dataCellStyle="Content normal">
      <calculatedColumnFormula array="1">Common_InputFunctions.Utility_DisplayArrayInTable(SourceData_Dairy.SourceData_Dairy_PreWeanedCalves_Data(), Table_SourceData_Dairy_DataPreWeaned[[#Headers],[Animal class j]], 0)</calculatedColumnFormula>
    </tableColumn>
    <tableColumn id="4" xr3:uid="{8FC08B28-B758-4413-861D-9585CC484979}" name="Nitrogen Excreted (NPWj=3,5)" dataDxfId="64" dataCellStyle="Content normal">
      <calculatedColumnFormula array="1">Common_InputFunctions.Utility_DisplayArrayInTable(SourceData_Dairy.SourceData_Dairy_PreWeanedCalves_Data(), Table_SourceData_Dairy_DataPreWeaned[[#Headers],[Animal class j]],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FB1D80F-8BB0-4A20-AF5A-A288BBED76EB}"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54F6170-CD83-454D-874A-2A78490F2BD1}" name="MMS m">
      <calculatedColumnFormula array="1">Common_InputFunctions.Utility_DisplayArrayInTable(SourceData_Dairy.SourceData_Dairy_MCF_Data(), Table_SourceData_Dairy_MCFjm[[#Headers],[MMS m]], 0)</calculatedColumnFormula>
    </tableColumn>
    <tableColumn id="2" xr3:uid="{B29E40EC-DE00-4962-8467-1C7A786C3DE4}" name="ACT" dataDxfId="63" dataCellStyle="Content normal">
      <calculatedColumnFormula array="1">Common_InputFunctions.Utility_DisplayArrayInTable(SourceData_Dairy.SourceData_Dairy_MCF_Data(), Table_SourceData_Dairy_MCFjm[[#Headers],[MMS m]], 0)</calculatedColumnFormula>
    </tableColumn>
    <tableColumn id="3" xr3:uid="{1ABF48E7-6948-4398-A069-F461406208B9}" name="NSW" dataDxfId="62" dataCellStyle="Content normal">
      <calculatedColumnFormula array="1">Common_InputFunctions.Utility_DisplayArrayInTable(SourceData_Dairy.SourceData_Dairy_MCF_Data(), Table_SourceData_Dairy_MCFjm[[#Headers],[MMS m]], 0)</calculatedColumnFormula>
    </tableColumn>
    <tableColumn id="4" xr3:uid="{A3DDB858-97C5-4EC8-955B-D48536431CC8}" name="NT" dataDxfId="61" dataCellStyle="Content normal">
      <calculatedColumnFormula array="1">Common_InputFunctions.Utility_DisplayArrayInTable(SourceData_Dairy.SourceData_Dairy_MCF_Data(), Table_SourceData_Dairy_MCFjm[[#Headers],[MMS m]], 0)</calculatedColumnFormula>
    </tableColumn>
    <tableColumn id="5" xr3:uid="{64B146B6-1E4C-4E4E-A22B-B3F33B7F2C8D}" name="QLD" dataDxfId="60" dataCellStyle="Content normal">
      <calculatedColumnFormula array="1">Common_InputFunctions.Utility_DisplayArrayInTable(SourceData_Dairy.SourceData_Dairy_MCF_Data(), Table_SourceData_Dairy_MCFjm[[#Headers],[MMS m]], 0)</calculatedColumnFormula>
    </tableColumn>
    <tableColumn id="6" xr3:uid="{4AC061FD-3D5D-4347-80B4-437EEDDA407C}" name="SA" dataDxfId="59" dataCellStyle="Content normal">
      <calculatedColumnFormula array="1">Common_InputFunctions.Utility_DisplayArrayInTable(SourceData_Dairy.SourceData_Dairy_MCF_Data(), Table_SourceData_Dairy_MCFjm[[#Headers],[MMS m]], 0)</calculatedColumnFormula>
    </tableColumn>
    <tableColumn id="7" xr3:uid="{58DE1EF2-ABA1-4507-A5A2-10DBB72C5360}" name="TAS" dataDxfId="58" dataCellStyle="Content normal">
      <calculatedColumnFormula array="1">Common_InputFunctions.Utility_DisplayArrayInTable(SourceData_Dairy.SourceData_Dairy_MCF_Data(), Table_SourceData_Dairy_MCFjm[[#Headers],[MMS m]], 0)</calculatedColumnFormula>
    </tableColumn>
    <tableColumn id="8" xr3:uid="{BA557B69-47EC-4B41-B9CC-12F16489EFF2}" name="VIC" dataDxfId="57" dataCellStyle="Content normal">
      <calculatedColumnFormula array="1">Common_InputFunctions.Utility_DisplayArrayInTable(SourceData_Dairy.SourceData_Dairy_MCF_Data(), Table_SourceData_Dairy_MCFjm[[#Headers],[MMS m]], 0)</calculatedColumnFormula>
    </tableColumn>
    <tableColumn id="9" xr3:uid="{1830500E-FEC6-4240-A1B1-EB7C6052507D}" name="WA" dataDxfId="56" dataCellStyle="Content normal">
      <calculatedColumnFormula array="1">Common_InputFunctions.Utility_DisplayArrayInTable(SourceData_Dairy.SourceData_Dairy_MCF_Data(), Table_SourceData_Dairy_MCFjm[[#Headers],[MMS m]], 0)</calculatedColumnFormula>
    </tableColumn>
    <tableColumn id="10" xr3:uid="{32D3BCE1-C338-4B12-B792-DFD9C2DF0EAC}" name="NIR reference" dataDxfId="55"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FA92AE0-614A-46D8-9E98-33BA2B8E3C1D}"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8ACEF380-8A1A-411E-A23A-665A769E20C7}" name="MMS m">
      <calculatedColumnFormula array="1">Common_InputFunctions.Utility_DisplayArrayInTable(SourceData_Dairy.SourceData_Dairy_NitrousOxideEFsAndFracGASM_Data(), Table_SourceData_Dairy_EFmFracGASM[[#Headers],[MMS m]], 0)</calculatedColumnFormula>
    </tableColumn>
    <tableColumn id="2" xr3:uid="{1898B440-928B-49CE-BE96-215FD9903B4D}" name="EFm" dataDxfId="54" dataCellStyle="Content normal">
      <calculatedColumnFormula array="1">Common_InputFunctions.Utility_DisplayArrayInTable(SourceData_Dairy.SourceData_Dairy_NitrousOxideEFsAndFracGASM_Data(), Table_SourceData_Dairy_EFmFracGASM[[#Headers],[MMS m]], 0)</calculatedColumnFormula>
    </tableColumn>
    <tableColumn id="3" xr3:uid="{E38469E4-0572-4872-BE43-36C7BBE75007}" name="FracGASMm" dataDxfId="53" dataCellStyle="Content normal">
      <calculatedColumnFormula array="1">Common_InputFunctions.Utility_DisplayArrayInTable(SourceData_Dairy.SourceData_Dairy_NitrousOxideEFsAndFracGASM_Data(), Table_SourceData_Dairy_EFmFracGASM[[#Headers],[MMS m]], 0)</calculatedColumnFormula>
    </tableColumn>
    <tableColumn id="4" xr3:uid="{2136786A-A3D3-4E62-B5A7-46AAC51855AD}" name="NIR reference" dataDxfId="52"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86563E6-CB80-4A05-BFA1-062176052592}"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34872B36-E9B0-443E-A8EC-EC35C2572085}"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5BF46DC3-A57C-4E83-B386-D48BB1DB64E1}" name="MPW ENTERIC" dataDxfId="51"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C28AB58-EB72-448B-B56E-C8B9764D38F9}"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B2383F7B-29D1-4559-9E34-4E2C127CFB5C}" name="Animal class j">
      <calculatedColumnFormula array="1">Common_InputFunctions.Utility_DisplayArrayInTable(SourceData_Dairy.SourceData_Dairy_IncreasedMetabolicRateMilk_Data(), Table_SourceData_Dairy_MRj[[#Headers],[Animal class j]], 0)</calculatedColumnFormula>
    </tableColumn>
    <tableColumn id="2" xr3:uid="{D1C6DB76-173B-4192-987A-A32F6D0D0E1A}" name="MRj" dataDxfId="50"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FB5F0D9-A87E-4E79-A32C-4BDDD47665B0}"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A4A196FD-DBDB-46C0-83CE-7C77F2C477B3}" name="Area">
      <calculatedColumnFormula array="1">Common_InputFunctions.Utility_DisplayArrayInTable(SourceData_Dairy.SourceData_Dairy_FractionVolatileSolidsVoidedMMS_Data(), Table_SourceData_Dairy_ProductionSystemTemplates[[#Headers],[Area]], 0)</calculatedColumnFormula>
    </tableColumn>
    <tableColumn id="2" xr3:uid="{53A25CAD-C5FE-4619-A71E-7D4EE15E4A88}" name="Pasture" dataDxfId="49"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9DFD752F-089A-45B1-A1B3-329B65BC5650}" name="Milking shed" dataDxfId="48"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37872FA9-DEFB-4D6F-848C-F92D7B048A75}" name="Feedpad" dataDxfId="47"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FB5B8DA-9F8D-4436-A441-EA112190025D}"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D85FDEBC-2FC0-45F1-BCD6-4464E2C22E94}" name="MMS m">
      <calculatedColumnFormula array="1">Common_InputFunctions.Utility_DisplayArrayInTable(SourceData_Dairy.SourceData_Dairy_EFNitrousOxidePerMMS_Data(), Table_SourceData_Dairy_EFm[[#Headers],[MMS m]], 0)</calculatedColumnFormula>
    </tableColumn>
    <tableColumn id="2" xr3:uid="{A21A17E4-5CBE-457C-83F6-E66794AB20C1}" name="EFm" dataDxfId="46" dataCellStyle="Content normal">
      <calculatedColumnFormula array="1">Common_InputFunctions.Utility_DisplayArrayInTable(SourceData_Dairy.SourceData_Dairy_EFNitrousOxidePerMMS_Data(), Table_SourceData_Dairy_EFm[[#Headers],[MMS m]], 0)</calculatedColumnFormula>
    </tableColumn>
    <tableColumn id="3" xr3:uid="{0552581B-C2BB-481C-87D1-7C1129F487A9}" name="NIR reference" dataDxfId="45"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BB1ACE7A-AFF1-4870-9774-9D68332837FF}"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C1D0CE9E-4549-48D9-9C0F-1310FC73ABC5}" name="Animal class j">
      <calculatedColumnFormula array="1">Common_InputFunctions.Utility_DisplayArrayInTable(SourceData_Dairy.SourceData_Dairy_DurationOfStay_Data(), Table_SourceData_Dairy_Duration[[#Headers],[Animal class j]], 0)</calculatedColumnFormula>
    </tableColumn>
    <tableColumn id="2" xr3:uid="{1396CED3-63B3-4B3F-8629-5350DAE232F8}" name="Duration (weaned)" dataDxfId="44" dataCellStyle="Content normal">
      <calculatedColumnFormula array="1">Common_InputFunctions.Utility_DisplayArrayInTable(SourceData_Dairy.SourceData_Dairy_DurationOfStay_Data(), Table_SourceData_Dairy_Duration[[#Headers],[Animal class j]], 0)</calculatedColumnFormula>
    </tableColumn>
    <tableColumn id="3" xr3:uid="{9A35A34C-C373-43B3-B087-AB054A306734}" name="Duration (pre-weaned)" dataDxfId="43"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006A23F-3930-4C16-9B92-37DD408BCC17}" name="Table_LivestockClasses_Dairy" displayName="Table_LivestockClasses_Dairy" ref="L7:L12" totalsRowShown="0">
  <autoFilter ref="L7:L12" xr:uid="{F006A23F-3930-4C16-9B92-37DD408BCC17}">
    <filterColumn colId="0" hiddenButton="1"/>
  </autoFilter>
  <tableColumns count="1">
    <tableColumn id="1" xr3:uid="{B95B5B59-2A4B-46CF-AD90-30078B653BC2}" name="Livestock class"/>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53B1326D-30CA-47B3-B1EC-DED46C8420CB}"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68940301-73BB-4E67-AB2A-576750CFE648}" name="State/Territory">
      <calculatedColumnFormula array="1">Common_InputFunctions.Utility_DisplayArrayInTable(Common_SourceData.Common_SourceData_AustralianStatesTerritories_Data(),Table_AustralianStates[[#Headers],[State/Territory]],0)</calculatedColumnFormula>
    </tableColumn>
    <tableColumn id="2" xr3:uid="{077233D8-4B9E-42A1-A188-E6D2EA4B6623}" name="Common Name">
      <calculatedColumnFormula array="1">Common_InputFunctions.Utility_DisplayArrayInTable(Common_SourceData.Common_SourceData_AustralianStatesTerritories_Data(),Table_AustralianStates[[#Headers],[State/Territory]],0)</calculatedColumnFormula>
    </tableColumn>
    <tableColumn id="3" xr3:uid="{0941E61A-7042-4BC6-8438-CC4265A96E6D}"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8FC0919-46DF-4FC2-96E0-D5C3A54938DE}" name="Table_WASA4Areas" displayName="Table_WASA4Areas" ref="D20:D30" totalsRowShown="0">
  <autoFilter ref="D20:D30" xr:uid="{5FA81339-C6C8-4D36-BEEA-6C4AEDD9E676}">
    <filterColumn colId="0" hiddenButton="1"/>
  </autoFilter>
  <tableColumns count="1">
    <tableColumn id="1" xr3:uid="{B2A9F4A5-C482-4490-910E-2593617867A5}"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BE0F15F7-FE7D-4580-92D9-7041C4BC7C80}" name="Table_GWPData" displayName="Table_GWPData" ref="D36:E43" totalsRowShown="0">
  <autoFilter ref="D36:E43" xr:uid="{B8E87A66-3E41-4AD3-925D-01EE21B43D7A}">
    <filterColumn colId="0" hiddenButton="1"/>
    <filterColumn colId="1" hiddenButton="1"/>
  </autoFilter>
  <tableColumns count="2">
    <tableColumn id="1" xr3:uid="{C53EDF46-CDE2-4807-8072-0C05E41A33FE}" name="Gas">
      <calculatedColumnFormula array="1">Common_InputFunctions.Utility_DisplayArrayInTable(Common_SourceData.Common_SourceData_GWP_Data(), Table_GWPData[[#Headers],[Gas]], 0)</calculatedColumnFormula>
    </tableColumn>
    <tableColumn id="2" xr3:uid="{4ED7ACE3-2800-4447-87EA-D924EDA5482D}"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45CB8C8D-756D-4DB8-9144-3D8D2A95D97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042FEA96-5497-4866-A159-979FE44FDFB7}" name="Gas">
      <calculatedColumnFormula array="1">Common_InputFunctions.Utility_DisplayArrayInTable(Common_SourceData.Common_SourceData_ConvertGasElementalToMolecular_Data(),Table_GasToMolecularConversionFactor[[#Headers],[Gas]], 0)</calculatedColumnFormula>
    </tableColumn>
    <tableColumn id="5" xr3:uid="{713EA0A8-49A5-404A-ACFF-780668706409}" name="Conversion factor">
      <calculatedColumnFormula array="1">Common_InputFunctions.Utility_DisplayArrayInTable(Common_SourceData.Common_SourceData_ConvertGasElementalToMolecular_Data(),Table_GasToMolecularConversionFactor[[#Headers],[Gas]], 0)</calculatedColumnFormula>
    </tableColumn>
    <tableColumn id="2" xr3:uid="{448F30CB-61D1-4085-A718-166A75A3183E}" name="Conversion factor 1">
      <calculatedColumnFormula array="1">Common_InputFunctions.Utility_DisplayArrayInTable(Common_SourceData.Common_SourceData_ConvertGasElementalToMolecular_Data(),Table_GasToMolecularConversionFactor[[#Headers],[Gas]], 0)</calculatedColumnFormula>
    </tableColumn>
    <tableColumn id="3" xr3:uid="{CCA76477-7B49-47EA-B5F7-538DA864B313}" name="Conversion factor 2">
      <calculatedColumnFormula array="1">Common_InputFunctions.Utility_DisplayArrayInTable(Common_SourceData.Common_SourceData_ConvertGasElementalToMolecular_Data(),Table_GasToMolecularConversionFactor[[#Headers],[Gas]], 0)</calculatedColumnFormula>
    </tableColumn>
    <tableColumn id="4" xr3:uid="{B2DC990B-D166-4A5F-91CF-1DB1DB6AAB67}"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DC13B002-90C3-484E-9782-B9D960328D9C}"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1B9B908E-1BE0-4D5E-9CAA-3C18FD51777C}"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22726A8A-604C-4418-9792-E9EEB41624FA}" name="MAT"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3" xr3:uid="{FA055059-DCD3-4AFB-AA37-47F221DA8107}" name="MAP"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4" xr3:uid="{B2EE3390-A1BB-4701-9FCD-A1DACD818881}" name="Frost days per year"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5" xr3:uid="{3F1A5CF1-982A-479D-96A8-5A9C6D7B28AC}" name="Elevation"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6" xr3:uid="{DB27E112-2642-459E-A397-CD3A231E02B7}" name="MAP:PET"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7" xr3:uid="{5EE3DAEA-6262-46D3-9CD6-753AE4FC2AD9}" name="Min temp"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8" xr3:uid="{51FACF7B-8B1B-4E14-8BA1-48ECA667061A}" name="Max temp"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9" xr3:uid="{EF98AA39-6ED1-429B-B5C1-6760EF8FB884}" name="Min rainfall"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10" xr3:uid="{817FCA0A-8706-42A8-B5E7-4CED418AE055}" name="Max rainfall"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11" xr3:uid="{06FFA228-7D1B-4AA4-8A9D-3C48BEB59253}" name="Min frost days"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15" xr3:uid="{D2EF5F67-8FA0-4936-911F-F738FDB3DCEE}" name="Max frost days"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12" xr3:uid="{9CB46819-5998-49A1-A054-7D7DA3F96FA8}" name="Min elevation"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16" xr3:uid="{E224DD33-CF91-4144-A506-C5F79F6A47EF}" name="Max elevation"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13" xr3:uid="{F0BD4E15-3DD4-49E4-9CF0-359D880DA1F6}" name="Min MAP:PET"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7" xr3:uid="{17EAC686-3C63-4997-BAB8-2741A6149C58}" name="Max MAP:PET" totalsRowDxfId="28"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7077B9CD-F280-4FBC-868F-B8BBC5B58B31}"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072669FE-214C-4095-A4D7-A28118FF26D1}"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16FDC36C-00C3-44FB-AE5B-FEB17ACE9393}" name="Wet or Dry Zone" totalsRowDxfId="27"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7CDBE6C4-AED8-4DB8-AD2A-C2074CA34434}"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93A8EA1B-3F87-4EBE-8349-7D6704974524}" name="Temperature Zone">
      <calculatedColumnFormula array="1">Common_InputFunctions.Utility_DisplayArrayInTable(Common_SourceData.Common_SourceData_TemperatureZones_Data(),Table_SourceData_TemperatureZones[[#Headers],[Temperature Zone]],0)</calculatedColumnFormula>
    </tableColumn>
    <tableColumn id="2" xr3:uid="{9B5D9E4A-4CDC-46A9-BBDE-AA93CFC1AFAE}" name="MAT">
      <calculatedColumnFormula array="1">Common_InputFunctions.Utility_DisplayArrayInTable(Common_SourceData.Common_SourceData_TemperatureZones_Data(),Table_SourceData_TemperatureZones[[#Headers],[Temperature Zone]],0)</calculatedColumnFormula>
    </tableColumn>
    <tableColumn id="3" xr3:uid="{E9BB88A3-9DEE-4007-9D23-853ADFC5809E}" name="Min MAT">
      <calculatedColumnFormula array="1">Common_InputFunctions.Utility_DisplayArrayInTable(Common_SourceData.Common_SourceData_TemperatureZones_Data(),Table_SourceData_TemperatureZones[[#Headers],[Temperature Zone]],0)</calculatedColumnFormula>
    </tableColumn>
    <tableColumn id="4" xr3:uid="{38D1D5E0-F431-46D8-8849-5F30310E0167}"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EBB7F5F7-3175-4E04-B99E-60D19AC87861}"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2D372174-B054-4DF8-A4D0-0DDDF38F3F4F}" name="Rainfall Zone">
      <calculatedColumnFormula array="1">Common_InputFunctions.Utility_DisplayArrayInTable(Common_SourceData.Common_SourceData_RainfallZones_Data(),Table_SourceData_RainfallZones[[#Headers],[Rainfall Zone]],0)</calculatedColumnFormula>
    </tableColumn>
    <tableColumn id="2" xr3:uid="{6FE92E37-1C2F-4777-87B1-15ACB106FD5E}" name="Annual rainfall">
      <calculatedColumnFormula array="1">Common_InputFunctions.Utility_DisplayArrayInTable(Common_SourceData.Common_SourceData_RainfallZones_Data(),Table_SourceData_RainfallZones[[#Headers],[Rainfall Zone]],0)</calculatedColumnFormula>
    </tableColumn>
    <tableColumn id="3" xr3:uid="{CDF87C3B-E69B-44D3-9108-C39643CF2A27}" name="Min rainfall">
      <calculatedColumnFormula array="1">Common_InputFunctions.Utility_DisplayArrayInTable(Common_SourceData.Common_SourceData_RainfallZones_Data(),Table_SourceData_RainfallZones[[#Headers],[Rainfall Zone]],0)</calculatedColumnFormula>
    </tableColumn>
    <tableColumn id="4" xr3:uid="{73DE8C76-6E1B-4328-BA12-B0F0ED95050D}"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AE3FE8CB-1BE6-4916-968D-80F0CE38C178}"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A20642F8-E0D6-4BF3-A1F3-20AA97B86EC2}" name="Leaching Zone">
      <calculatedColumnFormula array="1">Common_InputFunctions.Utility_DisplayArrayInTable(Common_SourceData.Common_SourceData_LeachingZones_Data(), Table_SourceData_LeachingZones[[#Headers],[Leaching Zone]], 0)</calculatedColumnFormula>
    </tableColumn>
    <tableColumn id="2" xr3:uid="{86A44A7E-A83F-4401-9ACB-5929E074B9AF}"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320C3AF2-C9DC-4845-B86B-76E4A7E79D5A}"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CCA2DD05-20F5-4F13-9415-D925770CEFD6}" name="Data source">
      <calculatedColumnFormula array="1">Common_InputFunctions.Utility_DisplayArrayInTable(Common_SourceData.Common_SourceData_DataScores_Scope3_Data(), Table_SourceData_DataScores_Scope3[[#Headers],[Data source]], 0)</calculatedColumnFormula>
    </tableColumn>
    <tableColumn id="2" xr3:uid="{DBCD52F9-6B16-4FBE-A5E6-D8C0F6D7240A}"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3C7B8A88-AAE1-43B5-8298-A354C6385640}" name="Table_SourceData_FracWET" displayName="Table_SourceData_FracWET" ref="D134:E136" totalsRowShown="0">
  <autoFilter ref="D134:E136" xr:uid="{308E99BE-FE1F-47A4-B2CA-97217277C4E9}">
    <filterColumn colId="0" hiddenButton="1"/>
    <filterColumn colId="1" hiddenButton="1"/>
  </autoFilter>
  <tableColumns count="2">
    <tableColumn id="1" xr3:uid="{33B2C400-68D9-4852-A165-6C288D98BFB3}" name="Is in leaching zone">
      <calculatedColumnFormula array="1">Common_InputFunctions.Utility_DisplayArrayInTable(Common_SourceData.Common_SourceData_FracWET_Data(),Table_SourceData_FracWET[[#Headers],[Is in leaching zone]],0)</calculatedColumnFormula>
    </tableColumn>
    <tableColumn id="2" xr3:uid="{4DE24096-E8BC-4D88-B971-451C4230FDC2}" name="FracWET" dataDxfId="26">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53CB4F42-1D7F-4A47-8161-33E85E0183E0}"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3D016E41-453A-416D-96CA-B680A6455A7F}" name="Production system j">
      <calculatedColumnFormula array="1">Common_InputFunctions.Utility_DisplayArrayInTable(Common_SourceData.Common_SourceData_EFN2O_Data(), Table_SourceData_Common_EFN2O[[#Headers],[Production system j]], 0)</calculatedColumnFormula>
    </tableColumn>
    <tableColumn id="2" xr3:uid="{0E07C4E6-E0E5-49FD-98D8-A194F8D15B4F}" name="EFN2O">
      <calculatedColumnFormula array="1">Common_InputFunctions.Utility_DisplayArrayInTable(Common_SourceData.Common_SourceData_EFN2O_Data(), Table_SourceData_Common_EFN2O[[#Headers],[Production system j]], 0)</calculatedColumnFormula>
    </tableColumn>
    <tableColumn id="3" xr3:uid="{3C5D23E4-5227-490C-A955-2C6E203709FE}" name="Production system only">
      <calculatedColumnFormula array="1">Common_InputFunctions.Utility_DisplayArrayInTable(Common_SourceData.Common_SourceData_EFN2O_Data(), Table_SourceData_Common_EFN2O[[#Headers],[Production system j]], 0)</calculatedColumnFormula>
    </tableColumn>
    <tableColumn id="4" xr3:uid="{EDD322A6-C16A-47F6-8F6F-A720A0E64536}" name="Irrigation method">
      <calculatedColumnFormula array="1">Common_InputFunctions.Utility_DisplayArrayInTable(Common_SourceData.Common_SourceData_EFN2O_Data(), Table_SourceData_Common_EFN2O[[#Headers],[Production system j]], 0)</calculatedColumnFormula>
    </tableColumn>
    <tableColumn id="5" xr3:uid="{24582054-336F-4BC6-B5B8-3A113CCD9E72}"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D8CAC7FB-65C0-44E6-8536-0163FDA271C4}"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D19CAD40-0422-4700-8A8F-5078E2CD6E9E}" name="Irrigation type i">
      <calculatedColumnFormula array="1">Common_InputFunctions.Utility_DisplayArrayInTable(Common_SourceData.Common_SourceData_FracWETIrrigation_Data(), Table_SourceData_FracWETIrrigation[[#Headers],[Irrigation type i]], 0)</calculatedColumnFormula>
    </tableColumn>
    <tableColumn id="2" xr3:uid="{8DA4E0B0-7FE9-4001-8C6C-C00D3FD6AB31}" name="FracWET" dataDxfId="25"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7B95320C-A575-4892-9C4A-687386393EC7}"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FF994E2A-E888-4336-95FE-752ABBCE85F3}"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CCA7DB74-73B7-4893-A31B-401DBB45EFD7}" name="EFPRP" dataDxfId="24"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7CFC15D7-1325-4624-B3E7-F9FA509CF51B}"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FD574F38-D57D-48A9-BA0A-BD6A72E06B9D}" name="Month">
      <calculatedColumnFormula array="1">Common_InputFunctions.Utility_DisplayArrayInTable(Common_SourceData.Common_SourceData_MonthsToSeasons_Data(), Table_SourceData_Common_MonthToSeason[[#Headers],[Month]], 0)</calculatedColumnFormula>
    </tableColumn>
    <tableColumn id="2" xr3:uid="{651F99D6-BF40-4FFE-8DCB-E16AD9CEC1AA}" name="Season" dataDxfId="23"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EBDE6BF-6BD5-4C03-9350-72C5DBA172E5}"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47FB77E3-EC2E-4F97-9167-E7489084AF14}"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7085C089-DF97-4DA8-ABF0-91F6354BFF6A}" name="MAT (ºC)"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51F6985B-330B-48A6-AD99-4F8215B120CC}" name="Anaerobic lagoon"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CFEBF556-93E0-45B6-880F-35205D8C36C4}" name="Digester / covered lagoons"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0C99BDE7-5FD8-42EE-843E-085FBB1644D6}" name="Liquid systems"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FC20D07C-B060-4211-A7F9-D3C8FFEF187E}" name="Daily spread"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D9A4615-6057-4735-BAE9-F1D3962D3986}" name="Composting (passive windrow)"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D20A3410-B7B8-4615-9A90-96CDF7655930}" name="Solid storage"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5DA350AC-086D-470A-971F-03CD857B6B3D}" name="Pit storage"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6AF6D2A8-9099-4FF0-908D-D28A42B65676}" name="Deep litter"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794D277E-BB26-4345-BE30-9519AEC06E83}" name="Poultry manure with bedding"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BA3B8B0B-9EAA-4DA4-B7BA-C7DC5213DF3F}" name="Poultry manure without bedding"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1290CABE-7699-49D6-91DE-4B5708FB5959}" name="Direct processing"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D728B60F-D527-436E-A969-34B4DD61FC01}" name="Direct application"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D97228C8-055E-45F6-A6AF-32C5EA2492A3}" name="Pasture range and paddock"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E1A700CB-C6A7-45C5-9280-A254B66FBA7E}" name="MAT raw"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746F62C5-AE9D-46B2-AB6B-5B695423998D}"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CE52A442-51C8-443F-93C8-CF5B34F6BEDB}"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79EBF67B-F3B8-47F7-91FC-529C28066D33}" name="EFNi &amp; EFN2Oi" dataDxfId="7"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3D4A507F-6CCF-427A-A419-48B4775C8AC3}"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1DE47831-56CD-45ED-9400-63E11413BC18}" name="Description" dataDxfId="6" dataCellStyle="Content normal"/>
    <tableColumn id="1" xr3:uid="{FA928827-4BC8-497E-B195-EDFA101822F9}" name="ID"/>
    <tableColumn id="3" xr3:uid="{EA6F302D-3FE7-499E-8F4A-9839EAB7B25D}" name="Score"/>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770B55BE-FEAD-4D22-8F15-157A1CB75B4A}"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1E97A203-6EC9-4794-95B1-4623E7FE42F8}" name="Description"/>
    <tableColumn id="2" xr3:uid="{1B1F1869-4C81-47F7-87E5-752E06DE724C}" name="ID"/>
    <tableColumn id="3" xr3:uid="{68D3583D-2375-4B50-A1CD-A5C356DDD6F6}" name="Score"/>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73AA69D3-29F7-4B1E-956B-102EF5C46F65}"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7E21B539-E400-4AB1-81D5-736D1B14085D}" name="Description"/>
    <tableColumn id="2" xr3:uid="{517B4DC0-A850-4CF9-847F-6AB14241094C}" name="ID"/>
    <tableColumn id="3" xr3:uid="{653D9115-14BF-451F-885D-DE7E44949718}" name="Score"/>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91809687-8924-4EB9-859F-2C38922FA87E}"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E3383BEC-CC8B-44C9-826D-C4506B4E31D9}" name="Description"/>
    <tableColumn id="2" xr3:uid="{83E037AC-7D3C-4FB2-A0F3-CFBF6FB510CA}" name="ID"/>
    <tableColumn id="3" xr3:uid="{7CB4660B-06E3-4D2A-888D-4C32832AA5EA}" name="Score"/>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Arial"/>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62"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6" Type="http://schemas.openxmlformats.org/officeDocument/2006/relationships/table" Target="../tables/table16.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8" Type="http://schemas.openxmlformats.org/officeDocument/2006/relationships/table" Target="../tables/table23.xml"/><Relationship Id="rId13" Type="http://schemas.openxmlformats.org/officeDocument/2006/relationships/table" Target="../tables/table28.xml"/><Relationship Id="rId18" Type="http://schemas.openxmlformats.org/officeDocument/2006/relationships/table" Target="../tables/table33.xml"/><Relationship Id="rId3" Type="http://schemas.openxmlformats.org/officeDocument/2006/relationships/table" Target="../tables/table18.xml"/><Relationship Id="rId21" Type="http://schemas.openxmlformats.org/officeDocument/2006/relationships/table" Target="../tables/table36.xml"/><Relationship Id="rId7" Type="http://schemas.openxmlformats.org/officeDocument/2006/relationships/table" Target="../tables/table22.xml"/><Relationship Id="rId12" Type="http://schemas.openxmlformats.org/officeDocument/2006/relationships/table" Target="../tables/table27.xml"/><Relationship Id="rId17" Type="http://schemas.openxmlformats.org/officeDocument/2006/relationships/table" Target="../tables/table32.xml"/><Relationship Id="rId2" Type="http://schemas.openxmlformats.org/officeDocument/2006/relationships/table" Target="../tables/table17.xml"/><Relationship Id="rId16" Type="http://schemas.openxmlformats.org/officeDocument/2006/relationships/table" Target="../tables/table31.xml"/><Relationship Id="rId20" Type="http://schemas.openxmlformats.org/officeDocument/2006/relationships/table" Target="../tables/table35.xml"/><Relationship Id="rId1" Type="http://schemas.openxmlformats.org/officeDocument/2006/relationships/printerSettings" Target="../printerSettings/printerSettings10.bin"/><Relationship Id="rId6" Type="http://schemas.openxmlformats.org/officeDocument/2006/relationships/table" Target="../tables/table21.xml"/><Relationship Id="rId11" Type="http://schemas.openxmlformats.org/officeDocument/2006/relationships/table" Target="../tables/table26.xml"/><Relationship Id="rId5" Type="http://schemas.openxmlformats.org/officeDocument/2006/relationships/table" Target="../tables/table20.xml"/><Relationship Id="rId15" Type="http://schemas.openxmlformats.org/officeDocument/2006/relationships/table" Target="../tables/table30.xml"/><Relationship Id="rId10" Type="http://schemas.openxmlformats.org/officeDocument/2006/relationships/table" Target="../tables/table25.xml"/><Relationship Id="rId19" Type="http://schemas.openxmlformats.org/officeDocument/2006/relationships/table" Target="../tables/table34.xml"/><Relationship Id="rId4" Type="http://schemas.openxmlformats.org/officeDocument/2006/relationships/table" Target="../tables/table19.xml"/><Relationship Id="rId9" Type="http://schemas.openxmlformats.org/officeDocument/2006/relationships/table" Target="../tables/table24.xml"/><Relationship Id="rId14" Type="http://schemas.openxmlformats.org/officeDocument/2006/relationships/table" Target="../tables/table29.xml"/><Relationship Id="rId22" Type="http://schemas.openxmlformats.org/officeDocument/2006/relationships/table" Target="../tables/table37.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38.xml"/><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8"/>
  <sheetViews>
    <sheetView zoomScaleNormal="100" workbookViewId="0">
      <selection activeCell="A29" sqref="A29"/>
    </sheetView>
  </sheetViews>
  <sheetFormatPr defaultRowHeight="20.100000000000001" customHeight="1" x14ac:dyDescent="0.2"/>
  <sheetData>
    <row r="1" spans="1:1" ht="30" customHeight="1" x14ac:dyDescent="0.2">
      <c r="A1" t="s">
        <v>470</v>
      </c>
    </row>
    <row r="3" spans="1:1" ht="20.100000000000001" customHeight="1" x14ac:dyDescent="0.2">
      <c r="A3" s="155" t="str">
        <f>HYPERLINK("#'Home'!A1", "Home")</f>
        <v>Home</v>
      </c>
    </row>
    <row r="6" spans="1:1" ht="20.100000000000001" customHeight="1" x14ac:dyDescent="0.2">
      <c r="A6" s="154" t="s">
        <v>1</v>
      </c>
    </row>
    <row r="7" spans="1:1" ht="20.100000000000001" customHeight="1" x14ac:dyDescent="0.2">
      <c r="A7" s="17" t="str">
        <f>HYPERLINK("#'Constants - Common'!A1", "Constants - Common")</f>
        <v>Constants - Common</v>
      </c>
    </row>
    <row r="8" spans="1:1" ht="20.100000000000001" customHeight="1" x14ac:dyDescent="0.2">
      <c r="A8"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33E255-07EB-4813-8B33-1B16E53D1ABE}">
  <sheetPr>
    <tabColor rgb="FF0C769E"/>
  </sheetPr>
  <dimension ref="A1:BL82"/>
  <sheetViews>
    <sheetView showGridLines="0" zoomScaleNormal="100" workbookViewId="0">
      <selection activeCell="A29" sqref="A29"/>
    </sheetView>
  </sheetViews>
  <sheetFormatPr defaultRowHeight="20.100000000000001" customHeight="1" x14ac:dyDescent="0.2"/>
  <cols>
    <col min="1" max="1" width="30.7109375" customWidth="1"/>
    <col min="2" max="3" width="4.7109375" customWidth="1"/>
  </cols>
  <sheetData>
    <row r="1" spans="1:64" ht="30" customHeight="1" x14ac:dyDescent="0.35">
      <c r="A1" s="67" t="e" vm="1">
        <v>#VALUE!</v>
      </c>
      <c r="C1" s="139" t="s">
        <v>420</v>
      </c>
      <c r="D1" s="140"/>
      <c r="E1" s="140"/>
      <c r="F1" s="140"/>
      <c r="G1" s="140"/>
      <c r="H1" s="140"/>
      <c r="I1" s="140"/>
      <c r="J1" s="140"/>
      <c r="K1" s="140"/>
      <c r="L1" s="140"/>
      <c r="M1" s="140"/>
      <c r="N1" s="140"/>
      <c r="O1" s="140"/>
      <c r="P1" s="140"/>
      <c r="Q1" s="140"/>
      <c r="R1" s="140"/>
      <c r="S1" s="140"/>
      <c r="T1" s="140"/>
      <c r="U1" s="140"/>
      <c r="V1" s="140"/>
      <c r="W1" s="140"/>
      <c r="X1" s="140"/>
      <c r="Y1" s="140"/>
      <c r="Z1" s="140"/>
      <c r="AA1" s="140"/>
      <c r="AB1" s="140"/>
      <c r="AC1" s="140"/>
      <c r="AD1" s="140"/>
      <c r="AE1" s="140"/>
      <c r="AF1" s="140"/>
      <c r="AG1" s="140"/>
    </row>
    <row r="2" spans="1:64" ht="20.100000000000001" customHeight="1" x14ac:dyDescent="0.2">
      <c r="C2" s="140"/>
      <c r="D2" s="140"/>
      <c r="E2" s="140"/>
      <c r="F2" s="140"/>
      <c r="G2" s="140"/>
      <c r="H2" s="140"/>
      <c r="I2" s="140"/>
      <c r="J2" s="140"/>
      <c r="K2" s="140"/>
      <c r="L2" s="140"/>
      <c r="M2" s="140"/>
      <c r="N2" s="140"/>
      <c r="O2" s="140"/>
      <c r="P2" s="140"/>
      <c r="Q2" s="140"/>
      <c r="R2" s="140"/>
      <c r="S2" s="140"/>
      <c r="T2" s="140"/>
      <c r="U2" s="140"/>
      <c r="V2" s="140"/>
      <c r="W2" s="140"/>
      <c r="X2" s="140"/>
      <c r="Y2" s="140"/>
      <c r="Z2" s="140"/>
      <c r="AA2" s="140"/>
      <c r="AB2" s="140"/>
      <c r="AC2" s="140"/>
      <c r="AD2" s="140"/>
      <c r="AE2" s="140"/>
      <c r="AF2" s="140"/>
      <c r="AG2" s="140"/>
    </row>
    <row r="3" spans="1:64" ht="20.100000000000001" customHeight="1" x14ac:dyDescent="0.2">
      <c r="A3" s="17" t="str">
        <f>HYPERLINK("#'Home'!A1", "Home")</f>
        <v>Home</v>
      </c>
      <c r="C3" s="141"/>
      <c r="D3" s="141"/>
      <c r="E3" s="141"/>
      <c r="F3" s="141"/>
      <c r="G3" s="141"/>
      <c r="H3" s="141"/>
      <c r="I3" s="141"/>
      <c r="J3" s="141"/>
      <c r="K3" s="141"/>
      <c r="L3" s="141"/>
      <c r="M3" s="141"/>
      <c r="N3" s="141"/>
      <c r="O3" s="141"/>
      <c r="P3" s="141"/>
      <c r="Q3" s="141"/>
      <c r="R3" s="141"/>
      <c r="S3" s="141"/>
      <c r="T3" s="141"/>
      <c r="U3" s="141"/>
      <c r="V3" s="141"/>
      <c r="W3" s="141"/>
      <c r="X3" s="141"/>
      <c r="Y3" s="141"/>
      <c r="Z3" s="141"/>
      <c r="AA3" s="141"/>
      <c r="AB3" s="141"/>
      <c r="AC3" s="141"/>
      <c r="AD3" s="141"/>
      <c r="AE3" s="141"/>
      <c r="AF3" s="141"/>
      <c r="AG3" s="141"/>
      <c r="AH3" s="141"/>
      <c r="AI3" s="141"/>
      <c r="AJ3" s="141"/>
      <c r="AK3" s="141"/>
      <c r="AL3" s="141"/>
      <c r="AM3" s="141"/>
      <c r="AN3" s="141"/>
      <c r="AO3" s="141"/>
      <c r="AP3" s="141"/>
      <c r="AQ3" s="141"/>
      <c r="AR3" s="141"/>
      <c r="AS3" s="141"/>
      <c r="AT3" s="141"/>
      <c r="AU3" s="141"/>
      <c r="AV3" s="141"/>
      <c r="AW3" s="141"/>
      <c r="AX3" s="141"/>
      <c r="AY3" s="141"/>
      <c r="AZ3" s="141"/>
      <c r="BA3" s="141"/>
      <c r="BB3" s="141"/>
      <c r="BC3" s="141"/>
      <c r="BD3" s="141"/>
      <c r="BE3" s="141"/>
      <c r="BF3" s="141"/>
      <c r="BG3" s="141"/>
      <c r="BH3" s="141"/>
      <c r="BI3" s="141"/>
      <c r="BJ3" s="141"/>
      <c r="BK3" s="141"/>
      <c r="BL3" s="141"/>
    </row>
    <row r="4" spans="1:64" ht="20.100000000000001" customHeight="1" x14ac:dyDescent="0.2">
      <c r="A4" s="119"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3"/>
      <c r="AI4" s="23"/>
      <c r="AJ4" s="23"/>
      <c r="AK4" s="23"/>
      <c r="AL4" s="23"/>
      <c r="AM4" s="23"/>
      <c r="AN4" s="23"/>
      <c r="AO4" s="23"/>
      <c r="AP4" s="23"/>
      <c r="AQ4" s="23"/>
      <c r="AR4" s="23"/>
      <c r="AS4" s="23"/>
      <c r="AT4" s="23"/>
      <c r="AU4" s="23"/>
      <c r="AV4" s="23"/>
      <c r="AW4" s="23"/>
      <c r="AX4" s="23"/>
      <c r="AY4" s="23"/>
      <c r="AZ4" s="23"/>
      <c r="BA4" s="23"/>
      <c r="BB4" s="23"/>
      <c r="BC4" s="23"/>
      <c r="BD4" s="23"/>
      <c r="BE4" s="23"/>
      <c r="BF4" s="23"/>
      <c r="BG4" s="23"/>
      <c r="BH4" s="23"/>
      <c r="BI4" s="23"/>
      <c r="BJ4" s="23"/>
      <c r="BK4" s="23"/>
      <c r="BL4" s="23"/>
    </row>
    <row r="5" spans="1:64" ht="20.100000000000001" customHeight="1" x14ac:dyDescent="0.2">
      <c r="A5" s="17" t="str">
        <f>HYPERLINK("#'Results'!A1", "Results")</f>
        <v>Results</v>
      </c>
      <c r="C5" s="1"/>
      <c r="D5" s="148" t="s">
        <v>430</v>
      </c>
      <c r="E5" s="148"/>
      <c r="F5" s="148"/>
      <c r="G5" s="148"/>
      <c r="H5" s="148"/>
      <c r="I5" s="111"/>
      <c r="J5" s="91"/>
      <c r="K5" s="91"/>
      <c r="L5" s="91"/>
      <c r="M5" s="91"/>
      <c r="N5" s="91"/>
      <c r="O5" s="91"/>
      <c r="P5" s="91"/>
      <c r="Q5" s="91"/>
      <c r="R5" s="91"/>
      <c r="S5" s="91"/>
      <c r="T5" s="91"/>
      <c r="U5" s="91"/>
      <c r="V5" s="87"/>
      <c r="W5" s="1"/>
      <c r="X5" s="1"/>
      <c r="Y5" s="1"/>
      <c r="Z5" s="1"/>
      <c r="AA5" s="1"/>
      <c r="AB5" s="1"/>
      <c r="AC5" s="1"/>
      <c r="AD5" s="1"/>
      <c r="AE5" s="1"/>
      <c r="AF5" s="1"/>
      <c r="AG5" s="1"/>
      <c r="AH5" s="23"/>
      <c r="AI5" s="23"/>
      <c r="AJ5" s="23"/>
      <c r="AK5" s="23"/>
      <c r="AL5" s="23"/>
      <c r="AM5" s="23"/>
      <c r="AN5" s="23"/>
      <c r="AO5" s="23"/>
      <c r="AP5" s="23"/>
      <c r="AQ5" s="23"/>
      <c r="AR5" s="23"/>
      <c r="AS5" s="23"/>
      <c r="AT5" s="23"/>
      <c r="AU5" s="23"/>
      <c r="AV5" s="23"/>
      <c r="AW5" s="23"/>
      <c r="AX5" s="23"/>
      <c r="AY5" s="23"/>
      <c r="AZ5" s="23"/>
      <c r="BA5" s="23"/>
      <c r="BB5" s="23"/>
      <c r="BC5" s="23"/>
      <c r="BD5" s="23"/>
      <c r="BE5" s="23"/>
      <c r="BF5" s="23"/>
      <c r="BG5" s="23"/>
      <c r="BH5" s="23"/>
      <c r="BI5" s="23"/>
      <c r="BJ5" s="23"/>
      <c r="BK5" s="23"/>
      <c r="BL5" s="23"/>
    </row>
    <row r="6" spans="1:64" ht="20.100000000000001" customHeight="1" x14ac:dyDescent="0.2">
      <c r="C6" s="1"/>
      <c r="D6" s="149" t="s">
        <v>419</v>
      </c>
      <c r="E6" s="147"/>
      <c r="F6" s="147"/>
      <c r="G6" s="147"/>
      <c r="H6" s="147"/>
      <c r="I6" s="93"/>
      <c r="J6" s="90"/>
      <c r="K6" s="90"/>
      <c r="L6" s="90"/>
      <c r="M6" s="90"/>
      <c r="N6" s="90"/>
      <c r="O6" s="90"/>
      <c r="P6" s="90"/>
      <c r="Q6" s="90"/>
      <c r="R6" s="90"/>
      <c r="S6" s="90"/>
      <c r="T6" s="90"/>
      <c r="U6" s="90"/>
      <c r="V6" s="88"/>
      <c r="W6" s="1"/>
      <c r="X6" s="1"/>
      <c r="Y6" s="1"/>
      <c r="Z6" s="1"/>
      <c r="AA6" s="1"/>
      <c r="AB6" s="1"/>
      <c r="AC6" s="1"/>
      <c r="AD6" s="1"/>
      <c r="AE6" s="1"/>
      <c r="AF6" s="1"/>
      <c r="AG6" s="1"/>
      <c r="AH6" s="23"/>
      <c r="AI6" s="23"/>
      <c r="AJ6" s="23"/>
      <c r="AK6" s="23"/>
      <c r="AL6" s="23"/>
      <c r="AM6" s="23"/>
      <c r="AN6" s="23"/>
      <c r="AO6" s="23"/>
      <c r="AP6" s="23"/>
      <c r="AQ6" s="23"/>
      <c r="AR6" s="23"/>
      <c r="AS6" s="23"/>
      <c r="AT6" s="23"/>
      <c r="AU6" s="23"/>
      <c r="AV6" s="23"/>
      <c r="AW6" s="23"/>
      <c r="AX6" s="23"/>
      <c r="AY6" s="23"/>
      <c r="AZ6" s="23"/>
      <c r="BA6" s="23"/>
      <c r="BB6" s="23"/>
      <c r="BC6" s="23"/>
      <c r="BD6" s="23"/>
      <c r="BE6" s="23"/>
      <c r="BF6" s="23"/>
      <c r="BG6" s="23"/>
      <c r="BH6" s="23"/>
      <c r="BI6" s="23"/>
      <c r="BJ6" s="23"/>
      <c r="BK6" s="23"/>
      <c r="BL6" s="23"/>
    </row>
    <row r="7" spans="1:64" ht="20.100000000000001" customHeight="1" x14ac:dyDescent="0.2">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3"/>
      <c r="AI7" s="23"/>
      <c r="AJ7" s="23"/>
      <c r="AK7" s="23"/>
      <c r="AL7" s="23"/>
      <c r="AM7" s="23"/>
      <c r="AN7" s="23"/>
      <c r="AO7" s="23"/>
      <c r="AP7" s="23"/>
      <c r="AQ7" s="23"/>
      <c r="AR7" s="23"/>
      <c r="AS7" s="23"/>
      <c r="AT7" s="23"/>
      <c r="AU7" s="23"/>
      <c r="AV7" s="23"/>
      <c r="AW7" s="23"/>
      <c r="AX7" s="23"/>
      <c r="AY7" s="23"/>
      <c r="AZ7" s="23"/>
      <c r="BA7" s="23"/>
      <c r="BB7" s="23"/>
      <c r="BC7" s="23"/>
      <c r="BD7" s="23"/>
      <c r="BE7" s="23"/>
      <c r="BF7" s="23"/>
      <c r="BG7" s="23"/>
      <c r="BH7" s="23"/>
      <c r="BI7" s="23"/>
      <c r="BJ7" s="23"/>
      <c r="BK7" s="23"/>
      <c r="BL7" s="23"/>
    </row>
    <row r="8" spans="1:64" ht="20.100000000000001" customHeight="1" x14ac:dyDescent="0.2">
      <c r="A8" s="19" t="s">
        <v>0</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3"/>
      <c r="AI8" s="23"/>
      <c r="AJ8" s="23"/>
      <c r="AK8" s="23"/>
      <c r="AL8" s="23"/>
      <c r="AM8" s="23"/>
      <c r="AN8" s="23"/>
      <c r="AO8" s="23"/>
      <c r="AP8" s="23"/>
      <c r="AQ8" s="23"/>
      <c r="AR8" s="23"/>
      <c r="AS8" s="23"/>
      <c r="AT8" s="23"/>
      <c r="AU8" s="23"/>
      <c r="AV8" s="23"/>
      <c r="AW8" s="23"/>
      <c r="AX8" s="23"/>
      <c r="AY8" s="23"/>
      <c r="AZ8" s="23"/>
      <c r="BA8" s="23"/>
      <c r="BB8" s="23"/>
      <c r="BC8" s="23"/>
      <c r="BD8" s="23"/>
      <c r="BE8" s="23"/>
      <c r="BF8" s="23"/>
      <c r="BG8" s="23"/>
      <c r="BH8" s="23"/>
      <c r="BI8" s="23"/>
      <c r="BJ8" s="23"/>
      <c r="BK8" s="23"/>
      <c r="BL8" s="23"/>
    </row>
    <row r="9" spans="1:64" ht="20.100000000000001" customHeight="1" x14ac:dyDescent="0.2">
      <c r="A9" s="17" t="str">
        <f>HYPERLINK("#'Input - Site'!A1", "Site")</f>
        <v>Site</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3"/>
      <c r="AI9" s="23"/>
      <c r="AJ9" s="23"/>
      <c r="AK9" s="23"/>
      <c r="AL9" s="23"/>
      <c r="AM9" s="23"/>
      <c r="AN9" s="23"/>
      <c r="AO9" s="23"/>
      <c r="AP9" s="23"/>
      <c r="AQ9" s="23"/>
      <c r="AR9" s="23"/>
      <c r="AS9" s="23"/>
      <c r="AT9" s="23"/>
      <c r="AU9" s="23"/>
      <c r="AV9" s="23"/>
      <c r="AW9" s="23"/>
      <c r="AX9" s="23"/>
      <c r="AY9" s="23"/>
      <c r="AZ9" s="23"/>
      <c r="BA9" s="23"/>
      <c r="BB9" s="23"/>
      <c r="BC9" s="23"/>
      <c r="BD9" s="23"/>
      <c r="BE9" s="23"/>
      <c r="BF9" s="23"/>
      <c r="BG9" s="23"/>
      <c r="BH9" s="23"/>
      <c r="BI9" s="23"/>
      <c r="BJ9" s="23"/>
      <c r="BK9" s="23"/>
      <c r="BL9" s="23"/>
    </row>
    <row r="10" spans="1:64" ht="20.100000000000001" customHeight="1" x14ac:dyDescent="0.2">
      <c r="A10" s="17" t="str">
        <f>HYPERLINK("#'Input - Dairy'!A1", "Dairy")</f>
        <v>Dairy</v>
      </c>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row>
    <row r="11" spans="1:64" ht="20.100000000000001" customHeight="1" x14ac:dyDescent="0.2">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3"/>
      <c r="AI11" s="23"/>
      <c r="AJ11" s="23"/>
      <c r="AK11" s="23"/>
      <c r="AL11" s="23"/>
      <c r="AM11" s="23"/>
      <c r="AN11" s="23"/>
      <c r="AO11" s="23"/>
      <c r="AP11" s="23"/>
      <c r="AQ11" s="23"/>
      <c r="AR11" s="23"/>
      <c r="AS11" s="23"/>
      <c r="AT11" s="23"/>
      <c r="AU11" s="23"/>
      <c r="AV11" s="23"/>
      <c r="AW11" s="23"/>
      <c r="AX11" s="23"/>
      <c r="AY11" s="23"/>
      <c r="AZ11" s="23"/>
      <c r="BA11" s="23"/>
      <c r="BB11" s="23"/>
      <c r="BC11" s="23"/>
      <c r="BD11" s="23"/>
      <c r="BE11" s="23"/>
      <c r="BF11" s="23"/>
      <c r="BG11" s="23"/>
      <c r="BH11" s="23"/>
      <c r="BI11" s="23"/>
      <c r="BJ11" s="23"/>
      <c r="BK11" s="23"/>
      <c r="BL11" s="23"/>
    </row>
    <row r="12" spans="1:64" ht="20.100000000000001" customHeight="1" x14ac:dyDescent="0.2">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3"/>
      <c r="AI12" s="23"/>
      <c r="AJ12" s="23"/>
      <c r="AK12" s="23"/>
      <c r="AL12" s="23"/>
      <c r="AM12" s="23"/>
      <c r="AN12" s="23"/>
      <c r="AO12" s="23"/>
      <c r="AP12" s="23"/>
      <c r="AQ12" s="23"/>
      <c r="AR12" s="23"/>
      <c r="AS12" s="23"/>
      <c r="AT12" s="23"/>
      <c r="AU12" s="23"/>
      <c r="AV12" s="23"/>
      <c r="AW12" s="23"/>
      <c r="AX12" s="23"/>
      <c r="AY12" s="23"/>
      <c r="AZ12" s="23"/>
      <c r="BA12" s="23"/>
      <c r="BB12" s="23"/>
      <c r="BC12" s="23"/>
      <c r="BD12" s="23"/>
      <c r="BE12" s="23"/>
      <c r="BF12" s="23"/>
      <c r="BG12" s="23"/>
      <c r="BH12" s="23"/>
      <c r="BI12" s="23"/>
      <c r="BJ12" s="23"/>
      <c r="BK12" s="23"/>
      <c r="BL12" s="23"/>
    </row>
    <row r="13" spans="1:64" ht="20.100000000000001" customHeight="1" x14ac:dyDescent="0.2">
      <c r="A13" s="18" t="s">
        <v>73</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3"/>
      <c r="BH13" s="23"/>
      <c r="BI13" s="23"/>
      <c r="BJ13" s="23"/>
      <c r="BK13" s="23"/>
      <c r="BL13" s="23"/>
    </row>
    <row r="14" spans="1:64" ht="20.100000000000001" customHeight="1" x14ac:dyDescent="0.2">
      <c r="A14" s="17" t="str">
        <f>HYPERLINK("#'4.3.1.1-2 Methane'!A1", "4.3.1.1-2 Methane")</f>
        <v>4.3.1.1-2 Methane</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3"/>
      <c r="AI14" s="23"/>
      <c r="AJ14" s="23"/>
      <c r="AK14" s="23"/>
      <c r="AL14" s="23"/>
      <c r="AM14" s="23"/>
      <c r="AN14" s="23"/>
      <c r="AO14" s="23"/>
      <c r="AP14" s="23"/>
      <c r="AQ14" s="23"/>
      <c r="AR14" s="23"/>
      <c r="AS14" s="23"/>
      <c r="AT14" s="23"/>
      <c r="AU14" s="23"/>
      <c r="AV14" s="23"/>
      <c r="AW14" s="23"/>
      <c r="AX14" s="23"/>
      <c r="AY14" s="23"/>
      <c r="AZ14" s="23"/>
      <c r="BA14" s="23"/>
      <c r="BB14" s="23"/>
      <c r="BC14" s="23"/>
      <c r="BD14" s="23"/>
      <c r="BE14" s="23"/>
      <c r="BF14" s="23"/>
      <c r="BG14" s="23"/>
      <c r="BH14" s="23"/>
      <c r="BI14" s="23"/>
      <c r="BJ14" s="23"/>
      <c r="BK14" s="23"/>
      <c r="BL14" s="23"/>
    </row>
    <row r="15" spans="1:64" ht="20.100000000000001" customHeight="1" x14ac:dyDescent="0.2">
      <c r="A15" s="17" t="str">
        <f>HYPERLINK("#'4.3.1.3-4 Direct N20'!A1", "4.3.1.3-4 Direct N20")</f>
        <v>4.3.1.3-4 Direct N20</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3"/>
      <c r="AI15" s="23"/>
      <c r="AJ15" s="23"/>
      <c r="AK15" s="23"/>
      <c r="AL15" s="23"/>
      <c r="AM15" s="23"/>
      <c r="AN15" s="23"/>
      <c r="AO15" s="23"/>
      <c r="AP15" s="23"/>
      <c r="AQ15" s="23"/>
      <c r="AR15" s="23"/>
      <c r="AS15" s="23"/>
      <c r="AT15" s="23"/>
      <c r="AU15" s="23"/>
      <c r="AV15" s="23"/>
      <c r="AW15" s="23"/>
      <c r="AX15" s="23"/>
      <c r="AY15" s="23"/>
      <c r="AZ15" s="23"/>
      <c r="BA15" s="23"/>
      <c r="BB15" s="23"/>
      <c r="BC15" s="23"/>
      <c r="BD15" s="23"/>
      <c r="BE15" s="23"/>
      <c r="BF15" s="23"/>
      <c r="BG15" s="23"/>
      <c r="BH15" s="23"/>
      <c r="BI15" s="23"/>
      <c r="BJ15" s="23"/>
      <c r="BK15" s="23"/>
      <c r="BL15" s="23"/>
    </row>
    <row r="16" spans="1:64" ht="20.100000000000001" customHeight="1" x14ac:dyDescent="0.2">
      <c r="A16" s="17" t="str">
        <f>HYPERLINK("#'4.3.1.5 Atmos deposition'!A1", "4.3.1.5 Atmos deposition")</f>
        <v>4.3.1.5 Atmos deposition</v>
      </c>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3"/>
      <c r="AI16" s="23"/>
      <c r="AJ16" s="23"/>
      <c r="AK16" s="23"/>
      <c r="AL16" s="23"/>
      <c r="AM16" s="23"/>
      <c r="AN16" s="23"/>
      <c r="AO16" s="23"/>
      <c r="AP16" s="23"/>
      <c r="AQ16" s="23"/>
      <c r="AR16" s="23"/>
      <c r="AS16" s="23"/>
      <c r="AT16" s="23"/>
      <c r="AU16" s="23"/>
      <c r="AV16" s="23"/>
      <c r="AW16" s="23"/>
      <c r="AX16" s="23"/>
      <c r="AY16" s="23"/>
      <c r="AZ16" s="23"/>
      <c r="BA16" s="23"/>
      <c r="BB16" s="23"/>
      <c r="BC16" s="23"/>
      <c r="BD16" s="23"/>
      <c r="BE16" s="23"/>
      <c r="BF16" s="23"/>
      <c r="BG16" s="23"/>
      <c r="BH16" s="23"/>
      <c r="BI16" s="23"/>
      <c r="BJ16" s="23"/>
      <c r="BK16" s="23"/>
      <c r="BL16" s="23"/>
    </row>
    <row r="17" spans="1:64" ht="20.100000000000001" customHeight="1" x14ac:dyDescent="0.2">
      <c r="A17" s="17" t="str">
        <f>HYPERLINK("#'4.3.1.6-7 Leaching and runoff'!A1", "4.3.1.6-7 Leaching and runoff")</f>
        <v>4.3.1.6-7 Leaching and runoff</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3"/>
      <c r="AI17" s="23"/>
      <c r="AJ17" s="23"/>
      <c r="AK17" s="23"/>
      <c r="AL17" s="23"/>
      <c r="AM17" s="23"/>
      <c r="AN17" s="23"/>
      <c r="AO17" s="23"/>
      <c r="AP17" s="23"/>
      <c r="AQ17" s="23"/>
      <c r="AR17" s="23"/>
      <c r="AS17" s="23"/>
      <c r="AT17" s="23"/>
      <c r="AU17" s="23"/>
      <c r="AV17" s="23"/>
      <c r="AW17" s="23"/>
      <c r="AX17" s="23"/>
      <c r="AY17" s="23"/>
      <c r="AZ17" s="23"/>
      <c r="BA17" s="23"/>
      <c r="BB17" s="23"/>
      <c r="BC17" s="23"/>
      <c r="BD17" s="23"/>
      <c r="BE17" s="23"/>
      <c r="BF17" s="23"/>
      <c r="BG17" s="23"/>
      <c r="BH17" s="23"/>
      <c r="BI17" s="23"/>
      <c r="BJ17" s="23"/>
      <c r="BK17" s="23"/>
      <c r="BL17" s="23"/>
    </row>
    <row r="18" spans="1:64" ht="20.100000000000001" customHeight="1" x14ac:dyDescent="0.2">
      <c r="A18" s="17" t="str">
        <f>HYPERLINK("#'4.3.1.8 Manure applied to soils'!A1", "4.3.1.8 Manure applied to soils")</f>
        <v>4.3.1.8 Manure applied to soils</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3"/>
      <c r="AI18" s="23"/>
      <c r="AJ18" s="23"/>
      <c r="AK18" s="23"/>
      <c r="AL18" s="23"/>
      <c r="AM18" s="23"/>
      <c r="AN18" s="23"/>
      <c r="AO18" s="23"/>
      <c r="AP18" s="23"/>
      <c r="AQ18" s="23"/>
      <c r="AR18" s="23"/>
      <c r="AS18" s="23"/>
      <c r="AT18" s="23"/>
      <c r="AU18" s="23"/>
      <c r="AV18" s="23"/>
      <c r="AW18" s="23"/>
      <c r="AX18" s="23"/>
      <c r="AY18" s="23"/>
      <c r="AZ18" s="23"/>
      <c r="BA18" s="23"/>
      <c r="BB18" s="23"/>
      <c r="BC18" s="23"/>
      <c r="BD18" s="23"/>
      <c r="BE18" s="23"/>
      <c r="BF18" s="23"/>
      <c r="BG18" s="23"/>
      <c r="BH18" s="23"/>
      <c r="BI18" s="23"/>
      <c r="BJ18" s="23"/>
      <c r="BK18" s="23"/>
      <c r="BL18" s="23"/>
    </row>
    <row r="19" spans="1:64" ht="20.100000000000001" customHeight="1" x14ac:dyDescent="0.2">
      <c r="A19" s="17" t="str">
        <f>HYPERLINK("#'4.3.1.9 Soil direct N2O'!A1", "4.3.1.9 Soil direct N2O")</f>
        <v>4.3.1.9 Soil direct N2O</v>
      </c>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3"/>
      <c r="AI19" s="23"/>
      <c r="AJ19" s="23"/>
      <c r="AK19" s="23"/>
      <c r="AL19" s="23"/>
      <c r="AM19" s="23"/>
      <c r="AN19" s="23"/>
      <c r="AO19" s="23"/>
      <c r="AP19" s="23"/>
      <c r="AQ19" s="23"/>
      <c r="AR19" s="23"/>
      <c r="AS19" s="23"/>
      <c r="AT19" s="23"/>
      <c r="AU19" s="23"/>
      <c r="AV19" s="23"/>
      <c r="AW19" s="23"/>
      <c r="AX19" s="23"/>
      <c r="AY19" s="23"/>
      <c r="AZ19" s="23"/>
      <c r="BA19" s="23"/>
      <c r="BB19" s="23"/>
      <c r="BC19" s="23"/>
      <c r="BD19" s="23"/>
      <c r="BE19" s="23"/>
      <c r="BF19" s="23"/>
      <c r="BG19" s="23"/>
      <c r="BH19" s="23"/>
      <c r="BI19" s="23"/>
      <c r="BJ19" s="23"/>
      <c r="BK19" s="23"/>
      <c r="BL19" s="23"/>
    </row>
    <row r="20" spans="1:64" ht="20.100000000000001" customHeight="1" x14ac:dyDescent="0.2">
      <c r="A20" s="17" t="str">
        <f>HYPERLINK("#'4.3.1.10-11 Soil Atmos Dep'!A1", "4.3.1.10-11 Soil Atmos Dep")</f>
        <v>4.3.1.10-11 Soil Atmos Dep</v>
      </c>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3"/>
      <c r="AI20" s="23"/>
      <c r="AJ20" s="23"/>
      <c r="AK20" s="23"/>
      <c r="AL20" s="23"/>
      <c r="AM20" s="23"/>
      <c r="AN20" s="23"/>
      <c r="AO20" s="23"/>
      <c r="AP20" s="23"/>
      <c r="AQ20" s="23"/>
      <c r="AR20" s="23"/>
      <c r="AS20" s="23"/>
      <c r="AT20" s="23"/>
      <c r="AU20" s="23"/>
      <c r="AV20" s="23"/>
      <c r="AW20" s="23"/>
      <c r="AX20" s="23"/>
      <c r="AY20" s="23"/>
      <c r="AZ20" s="23"/>
      <c r="BA20" s="23"/>
      <c r="BB20" s="23"/>
      <c r="BC20" s="23"/>
      <c r="BD20" s="23"/>
      <c r="BE20" s="23"/>
      <c r="BF20" s="23"/>
      <c r="BG20" s="23"/>
      <c r="BH20" s="23"/>
      <c r="BI20" s="23"/>
      <c r="BJ20" s="23"/>
      <c r="BK20" s="23"/>
      <c r="BL20" s="23"/>
    </row>
    <row r="21" spans="1:64" ht="20.100000000000001" customHeight="1" x14ac:dyDescent="0.2">
      <c r="A21" s="17" t="str">
        <f>HYPERLINK("#'4.3.1.12-13 Soil leach runoff'!A1", "4.3.1.12-13 Soil leach runoff")</f>
        <v>4.3.1.12-13 Soil leach runoff</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3"/>
      <c r="AI21" s="23"/>
      <c r="AJ21" s="23"/>
      <c r="AK21" s="23"/>
      <c r="AL21" s="23"/>
      <c r="AM21" s="23"/>
      <c r="AN21" s="23"/>
      <c r="AO21" s="23"/>
      <c r="AP21" s="23"/>
      <c r="AQ21" s="23"/>
      <c r="AR21" s="23"/>
      <c r="AS21" s="23"/>
      <c r="AT21" s="23"/>
      <c r="AU21" s="23"/>
      <c r="AV21" s="23"/>
      <c r="AW21" s="23"/>
      <c r="AX21" s="23"/>
      <c r="AY21" s="23"/>
      <c r="AZ21" s="23"/>
      <c r="BA21" s="23"/>
      <c r="BB21" s="23"/>
      <c r="BC21" s="23"/>
      <c r="BD21" s="23"/>
      <c r="BE21" s="23"/>
      <c r="BF21" s="23"/>
      <c r="BG21" s="23"/>
      <c r="BH21" s="23"/>
      <c r="BI21" s="23"/>
      <c r="BJ21" s="23"/>
      <c r="BK21" s="23"/>
      <c r="BL21" s="23"/>
    </row>
    <row r="22" spans="1:64" ht="20.100000000000001" customHeight="1" x14ac:dyDescent="0.2">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3"/>
      <c r="AI22" s="23"/>
      <c r="AJ22" s="23"/>
      <c r="AK22" s="23"/>
      <c r="AL22" s="23"/>
      <c r="AM22" s="23"/>
      <c r="AN22" s="23"/>
      <c r="AO22" s="23"/>
      <c r="AP22" s="23"/>
      <c r="AQ22" s="23"/>
      <c r="AR22" s="23"/>
      <c r="AS22" s="23"/>
      <c r="AT22" s="23"/>
      <c r="AU22" s="23"/>
      <c r="AV22" s="23"/>
      <c r="AW22" s="23"/>
      <c r="AX22" s="23"/>
      <c r="AY22" s="23"/>
      <c r="AZ22" s="23"/>
      <c r="BA22" s="23"/>
      <c r="BB22" s="23"/>
      <c r="BC22" s="23"/>
      <c r="BD22" s="23"/>
      <c r="BE22" s="23"/>
      <c r="BF22" s="23"/>
      <c r="BG22" s="23"/>
      <c r="BH22" s="23"/>
      <c r="BI22" s="23"/>
      <c r="BJ22" s="23"/>
      <c r="BK22" s="23"/>
      <c r="BL22" s="23"/>
    </row>
    <row r="23" spans="1:64" ht="20.100000000000001" customHeight="1" x14ac:dyDescent="0.2">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3"/>
      <c r="AI23" s="23"/>
      <c r="AJ23" s="23"/>
      <c r="AK23" s="23"/>
      <c r="AL23" s="23"/>
      <c r="AM23" s="23"/>
      <c r="AN23" s="23"/>
      <c r="AO23" s="23"/>
      <c r="AP23" s="23"/>
      <c r="AQ23" s="23"/>
      <c r="AR23" s="23"/>
      <c r="AS23" s="23"/>
      <c r="AT23" s="23"/>
      <c r="AU23" s="23"/>
      <c r="AV23" s="23"/>
      <c r="AW23" s="23"/>
      <c r="AX23" s="23"/>
      <c r="AY23" s="23"/>
      <c r="AZ23" s="23"/>
      <c r="BA23" s="23"/>
      <c r="BB23" s="23"/>
      <c r="BC23" s="23"/>
      <c r="BD23" s="23"/>
      <c r="BE23" s="23"/>
      <c r="BF23" s="23"/>
      <c r="BG23" s="23"/>
      <c r="BH23" s="23"/>
      <c r="BI23" s="23"/>
      <c r="BJ23" s="23"/>
      <c r="BK23" s="23"/>
      <c r="BL23" s="23"/>
    </row>
    <row r="24" spans="1:64" ht="20.100000000000001" customHeight="1" x14ac:dyDescent="0.2">
      <c r="A24" s="154" t="s">
        <v>1</v>
      </c>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3"/>
      <c r="AI24" s="23"/>
      <c r="AJ24" s="23"/>
      <c r="AK24" s="23"/>
      <c r="AL24" s="23"/>
      <c r="AM24" s="23"/>
      <c r="AN24" s="23"/>
      <c r="AO24" s="23"/>
      <c r="AP24" s="23"/>
      <c r="AQ24" s="23"/>
      <c r="AR24" s="23"/>
      <c r="AS24" s="23"/>
      <c r="AT24" s="23"/>
      <c r="AU24" s="23"/>
      <c r="AV24" s="23"/>
      <c r="AW24" s="23"/>
      <c r="AX24" s="23"/>
      <c r="AY24" s="23"/>
      <c r="AZ24" s="23"/>
      <c r="BA24" s="23"/>
      <c r="BB24" s="23"/>
      <c r="BC24" s="23"/>
      <c r="BD24" s="23"/>
      <c r="BE24" s="23"/>
      <c r="BF24" s="23"/>
      <c r="BG24" s="23"/>
      <c r="BH24" s="23"/>
      <c r="BI24" s="23"/>
      <c r="BJ24" s="23"/>
      <c r="BK24" s="23"/>
      <c r="BL24" s="23"/>
    </row>
    <row r="25" spans="1:64" ht="20.100000000000001" customHeight="1" x14ac:dyDescent="0.2">
      <c r="A25" s="17" t="str">
        <f>HYPERLINK("#'Constants - Dairy'!A1", "Constants - Dairy")</f>
        <v>Constants - Dairy</v>
      </c>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3"/>
      <c r="AI25" s="23"/>
      <c r="AJ25" s="23"/>
      <c r="AK25" s="23"/>
      <c r="AL25" s="23"/>
      <c r="AM25" s="23"/>
      <c r="AN25" s="23"/>
      <c r="AO25" s="23"/>
      <c r="AP25" s="23"/>
      <c r="AQ25" s="23"/>
      <c r="AR25" s="23"/>
      <c r="AS25" s="23"/>
      <c r="AT25" s="23"/>
      <c r="AU25" s="23"/>
      <c r="AV25" s="23"/>
      <c r="AW25" s="23"/>
      <c r="AX25" s="23"/>
      <c r="AY25" s="23"/>
      <c r="AZ25" s="23"/>
      <c r="BA25" s="23"/>
      <c r="BB25" s="23"/>
      <c r="BC25" s="23"/>
      <c r="BD25" s="23"/>
      <c r="BE25" s="23"/>
      <c r="BF25" s="23"/>
      <c r="BG25" s="23"/>
      <c r="BH25" s="23"/>
      <c r="BI25" s="23"/>
      <c r="BJ25" s="23"/>
      <c r="BK25" s="23"/>
      <c r="BL25" s="23"/>
    </row>
    <row r="26" spans="1:64" ht="20.100000000000001" customHeight="1" x14ac:dyDescent="0.2">
      <c r="A26" s="17" t="str">
        <f>HYPERLINK("#'Constants - Common'!A1", "Constants - Common")</f>
        <v>Constants - Common</v>
      </c>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3"/>
      <c r="AI26" s="23"/>
      <c r="AJ26" s="23"/>
      <c r="AK26" s="23"/>
      <c r="AL26" s="23"/>
      <c r="AM26" s="23"/>
      <c r="AN26" s="23"/>
      <c r="AO26" s="23"/>
      <c r="AP26" s="23"/>
      <c r="AQ26" s="23"/>
      <c r="AR26" s="23"/>
      <c r="AS26" s="23"/>
      <c r="AT26" s="23"/>
      <c r="AU26" s="23"/>
      <c r="AV26" s="23"/>
      <c r="AW26" s="23"/>
      <c r="AX26" s="23"/>
      <c r="AY26" s="23"/>
      <c r="AZ26" s="23"/>
      <c r="BA26" s="23"/>
      <c r="BB26" s="23"/>
      <c r="BC26" s="23"/>
      <c r="BD26" s="23"/>
      <c r="BE26" s="23"/>
      <c r="BF26" s="23"/>
      <c r="BG26" s="23"/>
      <c r="BH26" s="23"/>
      <c r="BI26" s="23"/>
      <c r="BJ26" s="23"/>
      <c r="BK26" s="23"/>
      <c r="BL26" s="23"/>
    </row>
    <row r="27" spans="1:64" ht="20.100000000000001" customHeight="1" x14ac:dyDescent="0.2">
      <c r="A27" s="17" t="str">
        <f>HYPERLINK("#'Constants - Livestock'!A1", "Constants - Livestock")</f>
        <v>Constants - Livestock</v>
      </c>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3"/>
      <c r="AI27" s="23"/>
      <c r="AJ27" s="23"/>
      <c r="AK27" s="23"/>
      <c r="AL27" s="23"/>
      <c r="AM27" s="23"/>
      <c r="AN27" s="23"/>
      <c r="AO27" s="23"/>
      <c r="AP27" s="23"/>
      <c r="AQ27" s="23"/>
      <c r="AR27" s="23"/>
      <c r="AS27" s="23"/>
      <c r="AT27" s="23"/>
      <c r="AU27" s="23"/>
      <c r="AV27" s="23"/>
      <c r="AW27" s="23"/>
      <c r="AX27" s="23"/>
      <c r="AY27" s="23"/>
      <c r="AZ27" s="23"/>
      <c r="BA27" s="23"/>
      <c r="BB27" s="23"/>
      <c r="BC27" s="23"/>
      <c r="BD27" s="23"/>
      <c r="BE27" s="23"/>
      <c r="BF27" s="23"/>
      <c r="BG27" s="23"/>
      <c r="BH27" s="23"/>
      <c r="BI27" s="23"/>
      <c r="BJ27" s="23"/>
      <c r="BK27" s="23"/>
      <c r="BL27" s="23"/>
    </row>
    <row r="28" spans="1:64" ht="20.100000000000001" customHeight="1" x14ac:dyDescent="0.2">
      <c r="A28" s="17" t="str">
        <f>HYPERLINK("#'Acknowledgements'!A1", "Acknowledgements")</f>
        <v>Acknowledgements</v>
      </c>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3"/>
      <c r="AI28" s="23"/>
      <c r="AJ28" s="23"/>
      <c r="AK28" s="23"/>
      <c r="AL28" s="23"/>
      <c r="AM28" s="23"/>
      <c r="AN28" s="23"/>
      <c r="AO28" s="23"/>
      <c r="AP28" s="23"/>
      <c r="AQ28" s="23"/>
      <c r="AR28" s="23"/>
      <c r="AS28" s="23"/>
      <c r="AT28" s="23"/>
      <c r="AU28" s="23"/>
      <c r="AV28" s="23"/>
      <c r="AW28" s="23"/>
      <c r="AX28" s="23"/>
      <c r="AY28" s="23"/>
      <c r="AZ28" s="23"/>
      <c r="BA28" s="23"/>
      <c r="BB28" s="23"/>
      <c r="BC28" s="23"/>
      <c r="BD28" s="23"/>
      <c r="BE28" s="23"/>
      <c r="BF28" s="23"/>
      <c r="BG28" s="23"/>
      <c r="BH28" s="23"/>
      <c r="BI28" s="23"/>
      <c r="BJ28" s="23"/>
      <c r="BK28" s="23"/>
      <c r="BL28" s="23"/>
    </row>
    <row r="29" spans="1:64" ht="20.100000000000001" customHeight="1" x14ac:dyDescent="0.2">
      <c r="A29" s="17" t="str">
        <f>HYPERLINK("#'Tab template'!A1", "Tab template")</f>
        <v>Tab template</v>
      </c>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3"/>
      <c r="AI29" s="23"/>
      <c r="AJ29" s="23"/>
      <c r="AK29" s="23"/>
      <c r="AL29" s="23"/>
      <c r="AM29" s="23"/>
      <c r="AN29" s="23"/>
      <c r="AO29" s="23"/>
      <c r="AP29" s="23"/>
      <c r="AQ29" s="23"/>
      <c r="AR29" s="23"/>
      <c r="AS29" s="23"/>
      <c r="AT29" s="23"/>
      <c r="AU29" s="23"/>
      <c r="AV29" s="23"/>
      <c r="AW29" s="23"/>
      <c r="AX29" s="23"/>
      <c r="AY29" s="23"/>
      <c r="AZ29" s="23"/>
      <c r="BA29" s="23"/>
      <c r="BB29" s="23"/>
      <c r="BC29" s="23"/>
      <c r="BD29" s="23"/>
      <c r="BE29" s="23"/>
      <c r="BF29" s="23"/>
      <c r="BG29" s="23"/>
      <c r="BH29" s="23"/>
      <c r="BI29" s="23"/>
      <c r="BJ29" s="23"/>
      <c r="BK29" s="23"/>
      <c r="BL29" s="23"/>
    </row>
    <row r="30" spans="1:64" ht="20.100000000000001" customHeight="1" x14ac:dyDescent="0.2">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3"/>
      <c r="AI30" s="23"/>
      <c r="AJ30" s="23"/>
      <c r="AK30" s="23"/>
      <c r="AL30" s="23"/>
      <c r="AM30" s="23"/>
      <c r="AN30" s="23"/>
      <c r="AO30" s="23"/>
      <c r="AP30" s="23"/>
      <c r="AQ30" s="23"/>
      <c r="AR30" s="23"/>
      <c r="AS30" s="23"/>
      <c r="AT30" s="23"/>
      <c r="AU30" s="23"/>
      <c r="AV30" s="23"/>
      <c r="AW30" s="23"/>
      <c r="AX30" s="23"/>
      <c r="AY30" s="23"/>
      <c r="AZ30" s="23"/>
      <c r="BA30" s="23"/>
      <c r="BB30" s="23"/>
      <c r="BC30" s="23"/>
      <c r="BD30" s="23"/>
      <c r="BE30" s="23"/>
      <c r="BF30" s="23"/>
      <c r="BG30" s="23"/>
      <c r="BH30" s="23"/>
      <c r="BI30" s="23"/>
      <c r="BJ30" s="23"/>
      <c r="BK30" s="23"/>
      <c r="BL30" s="23"/>
    </row>
    <row r="31" spans="1:64" ht="20.100000000000001" customHeight="1" x14ac:dyDescent="0.2">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3"/>
      <c r="AI31" s="23"/>
      <c r="AJ31" s="23"/>
      <c r="AK31" s="23"/>
      <c r="AL31" s="23"/>
      <c r="AM31" s="23"/>
      <c r="AN31" s="23"/>
      <c r="AO31" s="23"/>
      <c r="AP31" s="23"/>
      <c r="AQ31" s="23"/>
      <c r="AR31" s="23"/>
      <c r="AS31" s="23"/>
      <c r="AT31" s="23"/>
      <c r="AU31" s="23"/>
      <c r="AV31" s="23"/>
      <c r="AW31" s="23"/>
      <c r="AX31" s="23"/>
      <c r="AY31" s="23"/>
      <c r="AZ31" s="23"/>
      <c r="BA31" s="23"/>
      <c r="BB31" s="23"/>
      <c r="BC31" s="23"/>
      <c r="BD31" s="23"/>
      <c r="BE31" s="23"/>
      <c r="BF31" s="23"/>
      <c r="BG31" s="23"/>
      <c r="BH31" s="23"/>
      <c r="BI31" s="23"/>
      <c r="BJ31" s="23"/>
      <c r="BK31" s="23"/>
      <c r="BL31" s="23"/>
    </row>
    <row r="32" spans="1:64" ht="20.100000000000001" customHeight="1" x14ac:dyDescent="0.2">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3"/>
      <c r="AI32" s="23"/>
      <c r="AJ32" s="23"/>
      <c r="AK32" s="23"/>
      <c r="AL32" s="23"/>
      <c r="AM32" s="23"/>
      <c r="AN32" s="23"/>
      <c r="AO32" s="23"/>
      <c r="AP32" s="23"/>
      <c r="AQ32" s="23"/>
      <c r="AR32" s="23"/>
      <c r="AS32" s="23"/>
      <c r="AT32" s="23"/>
      <c r="AU32" s="23"/>
      <c r="AV32" s="23"/>
      <c r="AW32" s="23"/>
      <c r="AX32" s="23"/>
      <c r="AY32" s="23"/>
      <c r="AZ32" s="23"/>
      <c r="BA32" s="23"/>
      <c r="BB32" s="23"/>
      <c r="BC32" s="23"/>
      <c r="BD32" s="23"/>
      <c r="BE32" s="23"/>
      <c r="BF32" s="23"/>
      <c r="BG32" s="23"/>
      <c r="BH32" s="23"/>
      <c r="BI32" s="23"/>
      <c r="BJ32" s="23"/>
      <c r="BK32" s="23"/>
      <c r="BL32" s="23"/>
    </row>
    <row r="33" spans="3:64" ht="20.100000000000001" customHeight="1" x14ac:dyDescent="0.2">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3"/>
      <c r="AI33" s="23"/>
      <c r="AJ33" s="23"/>
      <c r="AK33" s="23"/>
      <c r="AL33" s="23"/>
      <c r="AM33" s="23"/>
      <c r="AN33" s="23"/>
      <c r="AO33" s="23"/>
      <c r="AP33" s="23"/>
      <c r="AQ33" s="23"/>
      <c r="AR33" s="23"/>
      <c r="AS33" s="23"/>
      <c r="AT33" s="23"/>
      <c r="AU33" s="23"/>
      <c r="AV33" s="23"/>
      <c r="AW33" s="23"/>
      <c r="AX33" s="23"/>
      <c r="AY33" s="23"/>
      <c r="AZ33" s="23"/>
      <c r="BA33" s="23"/>
      <c r="BB33" s="23"/>
      <c r="BC33" s="23"/>
      <c r="BD33" s="23"/>
      <c r="BE33" s="23"/>
      <c r="BF33" s="23"/>
      <c r="BG33" s="23"/>
      <c r="BH33" s="23"/>
      <c r="BI33" s="23"/>
      <c r="BJ33" s="23"/>
      <c r="BK33" s="23"/>
      <c r="BL33" s="23"/>
    </row>
    <row r="34" spans="3:64" ht="20.100000000000001" customHeight="1" x14ac:dyDescent="0.2">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3"/>
      <c r="AI34" s="23"/>
      <c r="AJ34" s="23"/>
      <c r="AK34" s="23"/>
      <c r="AL34" s="23"/>
      <c r="AM34" s="23"/>
      <c r="AN34" s="23"/>
      <c r="AO34" s="23"/>
      <c r="AP34" s="23"/>
      <c r="AQ34" s="23"/>
      <c r="AR34" s="23"/>
      <c r="AS34" s="23"/>
      <c r="AT34" s="23"/>
      <c r="AU34" s="23"/>
      <c r="AV34" s="23"/>
      <c r="AW34" s="23"/>
      <c r="AX34" s="23"/>
      <c r="AY34" s="23"/>
      <c r="AZ34" s="23"/>
      <c r="BA34" s="23"/>
      <c r="BB34" s="23"/>
      <c r="BC34" s="23"/>
      <c r="BD34" s="23"/>
      <c r="BE34" s="23"/>
      <c r="BF34" s="23"/>
      <c r="BG34" s="23"/>
      <c r="BH34" s="23"/>
      <c r="BI34" s="23"/>
      <c r="BJ34" s="23"/>
      <c r="BK34" s="23"/>
      <c r="BL34" s="23"/>
    </row>
    <row r="35" spans="3:64" ht="20.100000000000001" customHeight="1" x14ac:dyDescent="0.2">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3"/>
      <c r="AI35" s="23"/>
      <c r="AJ35" s="23"/>
      <c r="AK35" s="23"/>
      <c r="AL35" s="23"/>
      <c r="AM35" s="23"/>
      <c r="AN35" s="23"/>
      <c r="AO35" s="23"/>
      <c r="AP35" s="23"/>
      <c r="AQ35" s="23"/>
      <c r="AR35" s="23"/>
      <c r="AS35" s="23"/>
      <c r="AT35" s="23"/>
      <c r="AU35" s="23"/>
      <c r="AV35" s="23"/>
      <c r="AW35" s="23"/>
      <c r="AX35" s="23"/>
      <c r="AY35" s="23"/>
      <c r="AZ35" s="23"/>
      <c r="BA35" s="23"/>
      <c r="BB35" s="23"/>
      <c r="BC35" s="23"/>
      <c r="BD35" s="23"/>
      <c r="BE35" s="23"/>
      <c r="BF35" s="23"/>
      <c r="BG35" s="23"/>
      <c r="BH35" s="23"/>
      <c r="BI35" s="23"/>
      <c r="BJ35" s="23"/>
      <c r="BK35" s="23"/>
      <c r="BL35" s="23"/>
    </row>
    <row r="36" spans="3:64" ht="20.100000000000001" customHeight="1" x14ac:dyDescent="0.2">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3"/>
      <c r="AI36" s="23"/>
      <c r="AJ36" s="23"/>
      <c r="AK36" s="23"/>
      <c r="AL36" s="23"/>
      <c r="AM36" s="23"/>
      <c r="AN36" s="23"/>
      <c r="AO36" s="23"/>
      <c r="AP36" s="23"/>
      <c r="AQ36" s="23"/>
      <c r="AR36" s="23"/>
      <c r="AS36" s="23"/>
      <c r="AT36" s="23"/>
      <c r="AU36" s="23"/>
      <c r="AV36" s="23"/>
      <c r="AW36" s="23"/>
      <c r="AX36" s="23"/>
      <c r="AY36" s="23"/>
      <c r="AZ36" s="23"/>
      <c r="BA36" s="23"/>
      <c r="BB36" s="23"/>
      <c r="BC36" s="23"/>
      <c r="BD36" s="23"/>
      <c r="BE36" s="23"/>
      <c r="BF36" s="23"/>
      <c r="BG36" s="23"/>
      <c r="BH36" s="23"/>
      <c r="BI36" s="23"/>
      <c r="BJ36" s="23"/>
      <c r="BK36" s="23"/>
      <c r="BL36" s="23"/>
    </row>
    <row r="37" spans="3:64" ht="20.100000000000001" customHeight="1" x14ac:dyDescent="0.2">
      <c r="C37" s="23"/>
      <c r="D37" s="23"/>
      <c r="E37" s="23"/>
      <c r="F37" s="23"/>
      <c r="G37" s="23"/>
      <c r="H37" s="23"/>
      <c r="I37" s="23"/>
      <c r="J37" s="23"/>
      <c r="K37" s="23"/>
      <c r="L37" s="23"/>
      <c r="M37" s="23"/>
      <c r="N37" s="23"/>
      <c r="O37" s="23"/>
      <c r="P37" s="23"/>
      <c r="Q37" s="23"/>
      <c r="R37" s="23"/>
      <c r="S37" s="23"/>
      <c r="T37" s="23"/>
      <c r="U37" s="23"/>
      <c r="V37" s="23"/>
      <c r="W37" s="23"/>
      <c r="X37" s="23"/>
      <c r="Y37" s="23"/>
      <c r="Z37" s="23"/>
      <c r="AA37" s="23"/>
      <c r="AB37" s="23"/>
      <c r="AC37" s="23"/>
      <c r="AD37" s="23"/>
      <c r="AE37" s="23"/>
      <c r="AF37" s="23"/>
      <c r="AG37" s="23"/>
      <c r="AH37" s="23"/>
      <c r="AI37" s="23"/>
      <c r="AJ37" s="23"/>
      <c r="AK37" s="23"/>
      <c r="AL37" s="23"/>
      <c r="AM37" s="23"/>
      <c r="AN37" s="23"/>
      <c r="AO37" s="23"/>
      <c r="AP37" s="23"/>
      <c r="AQ37" s="23"/>
      <c r="AR37" s="23"/>
      <c r="AS37" s="23"/>
      <c r="AT37" s="23"/>
      <c r="AU37" s="23"/>
      <c r="AV37" s="23"/>
      <c r="AW37" s="23"/>
      <c r="AX37" s="23"/>
      <c r="AY37" s="23"/>
      <c r="AZ37" s="23"/>
      <c r="BA37" s="23"/>
      <c r="BB37" s="23"/>
      <c r="BC37" s="23"/>
      <c r="BD37" s="23"/>
      <c r="BE37" s="23"/>
      <c r="BF37" s="23"/>
      <c r="BG37" s="23"/>
      <c r="BH37" s="23"/>
      <c r="BI37" s="23"/>
      <c r="BJ37" s="23"/>
      <c r="BK37" s="23"/>
      <c r="BL37" s="23"/>
    </row>
    <row r="38" spans="3:64" ht="20.100000000000001" customHeight="1" x14ac:dyDescent="0.2">
      <c r="C38" s="23"/>
      <c r="D38" s="23"/>
      <c r="E38" s="23"/>
      <c r="F38" s="23"/>
      <c r="G38" s="23"/>
      <c r="H38" s="23"/>
      <c r="I38" s="23"/>
      <c r="J38" s="23"/>
      <c r="K38" s="23"/>
      <c r="L38" s="23"/>
      <c r="M38" s="23"/>
      <c r="N38" s="23"/>
      <c r="O38" s="23"/>
      <c r="P38" s="23"/>
      <c r="Q38" s="23"/>
      <c r="R38" s="23"/>
      <c r="S38" s="23"/>
      <c r="T38" s="23"/>
      <c r="U38" s="23"/>
      <c r="V38" s="23"/>
      <c r="W38" s="23"/>
      <c r="X38" s="23"/>
      <c r="Y38" s="23"/>
      <c r="Z38" s="23"/>
      <c r="AA38" s="23"/>
      <c r="AB38" s="23"/>
      <c r="AC38" s="23"/>
      <c r="AD38" s="23"/>
      <c r="AE38" s="23"/>
      <c r="AF38" s="23"/>
      <c r="AG38" s="23"/>
      <c r="AH38" s="23"/>
      <c r="AI38" s="23"/>
      <c r="AJ38" s="23"/>
      <c r="AK38" s="23"/>
      <c r="AL38" s="23"/>
      <c r="AM38" s="23"/>
      <c r="AN38" s="23"/>
      <c r="AO38" s="23"/>
      <c r="AP38" s="23"/>
      <c r="AQ38" s="23"/>
      <c r="AR38" s="23"/>
      <c r="AS38" s="23"/>
      <c r="AT38" s="23"/>
      <c r="AU38" s="23"/>
      <c r="AV38" s="23"/>
      <c r="AW38" s="23"/>
      <c r="AX38" s="23"/>
      <c r="AY38" s="23"/>
      <c r="AZ38" s="23"/>
      <c r="BA38" s="23"/>
      <c r="BB38" s="23"/>
      <c r="BC38" s="23"/>
      <c r="BD38" s="23"/>
      <c r="BE38" s="23"/>
      <c r="BF38" s="23"/>
      <c r="BG38" s="23"/>
      <c r="BH38" s="23"/>
      <c r="BI38" s="23"/>
      <c r="BJ38" s="23"/>
      <c r="BK38" s="23"/>
      <c r="BL38" s="23"/>
    </row>
    <row r="39" spans="3:64" ht="20.100000000000001" customHeight="1" x14ac:dyDescent="0.2">
      <c r="C39" s="23"/>
      <c r="D39" s="23"/>
      <c r="E39" s="23"/>
      <c r="F39" s="23"/>
      <c r="G39" s="23"/>
      <c r="H39" s="23"/>
      <c r="I39" s="23"/>
      <c r="J39" s="23"/>
      <c r="K39" s="23"/>
      <c r="L39" s="23"/>
      <c r="M39" s="23"/>
      <c r="N39" s="23"/>
      <c r="O39" s="23"/>
      <c r="P39" s="23"/>
      <c r="Q39" s="23"/>
      <c r="R39" s="23"/>
      <c r="S39" s="23"/>
      <c r="T39" s="23"/>
      <c r="U39" s="23"/>
      <c r="V39" s="23"/>
      <c r="W39" s="23"/>
      <c r="X39" s="23"/>
      <c r="Y39" s="23"/>
      <c r="Z39" s="23"/>
      <c r="AA39" s="23"/>
      <c r="AB39" s="23"/>
      <c r="AC39" s="23"/>
      <c r="AD39" s="23"/>
      <c r="AE39" s="23"/>
      <c r="AF39" s="23"/>
      <c r="AG39" s="23"/>
      <c r="AH39" s="23"/>
      <c r="AI39" s="23"/>
      <c r="AJ39" s="23"/>
      <c r="AK39" s="23"/>
      <c r="AL39" s="23"/>
      <c r="AM39" s="23"/>
      <c r="AN39" s="23"/>
      <c r="AO39" s="23"/>
      <c r="AP39" s="23"/>
      <c r="AQ39" s="23"/>
      <c r="AR39" s="23"/>
      <c r="AS39" s="23"/>
      <c r="AT39" s="23"/>
      <c r="AU39" s="23"/>
      <c r="AV39" s="23"/>
      <c r="AW39" s="23"/>
      <c r="AX39" s="23"/>
      <c r="AY39" s="23"/>
      <c r="AZ39" s="23"/>
      <c r="BA39" s="23"/>
      <c r="BB39" s="23"/>
      <c r="BC39" s="23"/>
      <c r="BD39" s="23"/>
      <c r="BE39" s="23"/>
      <c r="BF39" s="23"/>
      <c r="BG39" s="23"/>
      <c r="BH39" s="23"/>
      <c r="BI39" s="23"/>
      <c r="BJ39" s="23"/>
      <c r="BK39" s="23"/>
      <c r="BL39" s="23"/>
    </row>
    <row r="40" spans="3:64" ht="20.100000000000001" customHeight="1" x14ac:dyDescent="0.2">
      <c r="C40" s="23"/>
      <c r="D40" s="23"/>
      <c r="E40" s="23"/>
      <c r="F40" s="23"/>
      <c r="G40" s="23"/>
      <c r="H40" s="23"/>
      <c r="I40" s="23"/>
      <c r="J40" s="23"/>
      <c r="K40" s="23"/>
      <c r="L40" s="23"/>
      <c r="M40" s="23"/>
      <c r="N40" s="23"/>
      <c r="O40" s="23"/>
      <c r="P40" s="23"/>
      <c r="Q40" s="23"/>
      <c r="R40" s="23"/>
      <c r="S40" s="23"/>
      <c r="T40" s="23"/>
      <c r="U40" s="23"/>
      <c r="V40" s="23"/>
      <c r="W40" s="23"/>
      <c r="X40" s="23"/>
      <c r="Y40" s="23"/>
      <c r="Z40" s="23"/>
      <c r="AA40" s="23"/>
      <c r="AB40" s="23"/>
      <c r="AC40" s="23"/>
      <c r="AD40" s="23"/>
      <c r="AE40" s="23"/>
      <c r="AF40" s="23"/>
      <c r="AG40" s="23"/>
      <c r="AH40" s="23"/>
      <c r="AI40" s="23"/>
      <c r="AJ40" s="23"/>
      <c r="AK40" s="23"/>
      <c r="AL40" s="23"/>
      <c r="AM40" s="23"/>
      <c r="AN40" s="23"/>
      <c r="AO40" s="23"/>
      <c r="AP40" s="23"/>
      <c r="AQ40" s="23"/>
      <c r="AR40" s="23"/>
      <c r="AS40" s="23"/>
      <c r="AT40" s="23"/>
      <c r="AU40" s="23"/>
      <c r="AV40" s="23"/>
      <c r="AW40" s="23"/>
      <c r="AX40" s="23"/>
      <c r="AY40" s="23"/>
      <c r="AZ40" s="23"/>
      <c r="BA40" s="23"/>
      <c r="BB40" s="23"/>
      <c r="BC40" s="23"/>
      <c r="BD40" s="23"/>
      <c r="BE40" s="23"/>
      <c r="BF40" s="23"/>
      <c r="BG40" s="23"/>
      <c r="BH40" s="23"/>
      <c r="BI40" s="23"/>
      <c r="BJ40" s="23"/>
      <c r="BK40" s="23"/>
      <c r="BL40" s="23"/>
    </row>
    <row r="41" spans="3:64" ht="20.100000000000001" customHeight="1" x14ac:dyDescent="0.2">
      <c r="C41" s="23"/>
      <c r="D41" s="23"/>
      <c r="E41" s="23"/>
      <c r="F41" s="23"/>
      <c r="G41" s="23"/>
      <c r="H41" s="23"/>
      <c r="I41" s="23"/>
      <c r="J41" s="23"/>
      <c r="K41" s="23"/>
      <c r="L41" s="23"/>
      <c r="M41" s="23"/>
      <c r="N41" s="23"/>
      <c r="O41" s="23"/>
      <c r="P41" s="23"/>
      <c r="Q41" s="23"/>
      <c r="R41" s="23"/>
      <c r="S41" s="23"/>
      <c r="T41" s="23"/>
      <c r="U41" s="23"/>
      <c r="V41" s="23"/>
      <c r="W41" s="23"/>
      <c r="X41" s="23"/>
      <c r="Y41" s="23"/>
      <c r="Z41" s="23"/>
      <c r="AA41" s="23"/>
      <c r="AB41" s="23"/>
      <c r="AC41" s="23"/>
      <c r="AD41" s="23"/>
      <c r="AE41" s="23"/>
      <c r="AF41" s="23"/>
      <c r="AG41" s="23"/>
      <c r="AH41" s="23"/>
      <c r="AI41" s="23"/>
      <c r="AJ41" s="23"/>
      <c r="AK41" s="23"/>
      <c r="AL41" s="23"/>
      <c r="AM41" s="23"/>
      <c r="AN41" s="23"/>
      <c r="AO41" s="23"/>
      <c r="AP41" s="23"/>
      <c r="AQ41" s="23"/>
      <c r="AR41" s="23"/>
      <c r="AS41" s="23"/>
      <c r="AT41" s="23"/>
      <c r="AU41" s="23"/>
      <c r="AV41" s="23"/>
      <c r="AW41" s="23"/>
      <c r="AX41" s="23"/>
      <c r="AY41" s="23"/>
      <c r="AZ41" s="23"/>
      <c r="BA41" s="23"/>
      <c r="BB41" s="23"/>
      <c r="BC41" s="23"/>
      <c r="BD41" s="23"/>
      <c r="BE41" s="23"/>
      <c r="BF41" s="23"/>
      <c r="BG41" s="23"/>
      <c r="BH41" s="23"/>
      <c r="BI41" s="23"/>
      <c r="BJ41" s="23"/>
      <c r="BK41" s="23"/>
      <c r="BL41" s="23"/>
    </row>
    <row r="42" spans="3:64" ht="20.100000000000001" customHeight="1" x14ac:dyDescent="0.2">
      <c r="C42" s="23"/>
      <c r="D42" s="23"/>
      <c r="E42" s="23"/>
      <c r="F42" s="23"/>
      <c r="G42" s="23"/>
      <c r="H42" s="23"/>
      <c r="I42" s="23"/>
      <c r="J42" s="23"/>
      <c r="K42" s="23"/>
      <c r="L42" s="23"/>
      <c r="M42" s="23"/>
      <c r="N42" s="23"/>
      <c r="O42" s="23"/>
      <c r="P42" s="23"/>
      <c r="Q42" s="23"/>
      <c r="R42" s="23"/>
      <c r="S42" s="23"/>
      <c r="T42" s="23"/>
      <c r="U42" s="23"/>
      <c r="V42" s="23"/>
      <c r="W42" s="23"/>
      <c r="X42" s="23"/>
      <c r="Y42" s="23"/>
      <c r="Z42" s="23"/>
      <c r="AA42" s="23"/>
      <c r="AB42" s="23"/>
      <c r="AC42" s="23"/>
      <c r="AD42" s="23"/>
      <c r="AE42" s="23"/>
      <c r="AF42" s="23"/>
      <c r="AG42" s="23"/>
      <c r="AH42" s="23"/>
      <c r="AI42" s="23"/>
      <c r="AJ42" s="23"/>
      <c r="AK42" s="23"/>
      <c r="AL42" s="23"/>
      <c r="AM42" s="23"/>
      <c r="AN42" s="23"/>
      <c r="AO42" s="23"/>
      <c r="AP42" s="23"/>
      <c r="AQ42" s="23"/>
      <c r="AR42" s="23"/>
      <c r="AS42" s="23"/>
      <c r="AT42" s="23"/>
      <c r="AU42" s="23"/>
      <c r="AV42" s="23"/>
      <c r="AW42" s="23"/>
      <c r="AX42" s="23"/>
      <c r="AY42" s="23"/>
      <c r="AZ42" s="23"/>
      <c r="BA42" s="23"/>
      <c r="BB42" s="23"/>
      <c r="BC42" s="23"/>
      <c r="BD42" s="23"/>
      <c r="BE42" s="23"/>
      <c r="BF42" s="23"/>
      <c r="BG42" s="23"/>
      <c r="BH42" s="23"/>
      <c r="BI42" s="23"/>
      <c r="BJ42" s="23"/>
      <c r="BK42" s="23"/>
      <c r="BL42" s="23"/>
    </row>
    <row r="43" spans="3:64" ht="20.100000000000001" customHeight="1" x14ac:dyDescent="0.2">
      <c r="C43" s="23"/>
      <c r="D43" s="23"/>
      <c r="E43" s="23"/>
      <c r="F43" s="23"/>
      <c r="G43" s="23"/>
      <c r="H43" s="23"/>
      <c r="I43" s="23"/>
      <c r="J43" s="23"/>
      <c r="K43" s="23"/>
      <c r="L43" s="23"/>
      <c r="M43" s="23"/>
      <c r="N43" s="23"/>
      <c r="O43" s="23"/>
      <c r="P43" s="23"/>
      <c r="Q43" s="23"/>
      <c r="R43" s="23"/>
      <c r="S43" s="23"/>
      <c r="T43" s="23"/>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c r="AT43" s="23"/>
      <c r="AU43" s="23"/>
      <c r="AV43" s="23"/>
      <c r="AW43" s="23"/>
      <c r="AX43" s="23"/>
      <c r="AY43" s="23"/>
      <c r="AZ43" s="23"/>
      <c r="BA43" s="23"/>
      <c r="BB43" s="23"/>
      <c r="BC43" s="23"/>
      <c r="BD43" s="23"/>
      <c r="BE43" s="23"/>
      <c r="BF43" s="23"/>
      <c r="BG43" s="23"/>
      <c r="BH43" s="23"/>
      <c r="BI43" s="23"/>
      <c r="BJ43" s="23"/>
      <c r="BK43" s="23"/>
      <c r="BL43" s="23"/>
    </row>
    <row r="44" spans="3:64" ht="20.100000000000001" customHeight="1" x14ac:dyDescent="0.2">
      <c r="C44" s="23"/>
      <c r="D44" s="23"/>
      <c r="E44" s="23"/>
      <c r="F44" s="23"/>
      <c r="G44" s="23"/>
      <c r="H44" s="23"/>
      <c r="I44" s="23"/>
      <c r="J44" s="23"/>
      <c r="K44" s="23"/>
      <c r="L44" s="23"/>
      <c r="M44" s="23"/>
      <c r="N44" s="23"/>
      <c r="O44" s="23"/>
      <c r="P44" s="23"/>
      <c r="Q44" s="23"/>
      <c r="R44" s="23"/>
      <c r="S44" s="23"/>
      <c r="T44" s="23"/>
      <c r="U44" s="23"/>
      <c r="V44" s="23"/>
      <c r="W44" s="23"/>
      <c r="X44" s="23"/>
      <c r="Y44" s="23"/>
      <c r="Z44" s="23"/>
      <c r="AA44" s="23"/>
      <c r="AB44" s="23"/>
      <c r="AC44" s="23"/>
      <c r="AD44" s="23"/>
      <c r="AE44" s="23"/>
      <c r="AF44" s="23"/>
      <c r="AG44" s="23"/>
      <c r="AH44" s="23"/>
      <c r="AI44" s="23"/>
      <c r="AJ44" s="23"/>
      <c r="AK44" s="23"/>
      <c r="AL44" s="23"/>
      <c r="AM44" s="23"/>
      <c r="AN44" s="23"/>
      <c r="AO44" s="23"/>
      <c r="AP44" s="23"/>
      <c r="AQ44" s="23"/>
      <c r="AR44" s="23"/>
      <c r="AS44" s="23"/>
      <c r="AT44" s="23"/>
      <c r="AU44" s="23"/>
      <c r="AV44" s="23"/>
      <c r="AW44" s="23"/>
      <c r="AX44" s="23"/>
      <c r="AY44" s="23"/>
      <c r="AZ44" s="23"/>
      <c r="BA44" s="23"/>
      <c r="BB44" s="23"/>
      <c r="BC44" s="23"/>
      <c r="BD44" s="23"/>
      <c r="BE44" s="23"/>
      <c r="BF44" s="23"/>
      <c r="BG44" s="23"/>
      <c r="BH44" s="23"/>
      <c r="BI44" s="23"/>
      <c r="BJ44" s="23"/>
      <c r="BK44" s="23"/>
      <c r="BL44" s="23"/>
    </row>
    <row r="45" spans="3:64" ht="20.100000000000001" customHeight="1" x14ac:dyDescent="0.2">
      <c r="C45" s="23"/>
      <c r="D45" s="23"/>
      <c r="E45" s="23"/>
      <c r="F45" s="23"/>
      <c r="G45" s="23"/>
      <c r="H45" s="23"/>
      <c r="I45" s="23"/>
      <c r="J45" s="23"/>
      <c r="K45" s="23"/>
      <c r="L45" s="23"/>
      <c r="M45" s="23"/>
      <c r="N45" s="23"/>
      <c r="O45" s="23"/>
      <c r="P45" s="23"/>
      <c r="Q45" s="23"/>
      <c r="R45" s="23"/>
      <c r="S45" s="23"/>
      <c r="T45" s="23"/>
      <c r="U45" s="23"/>
      <c r="V45" s="23"/>
      <c r="W45" s="23"/>
      <c r="X45" s="23"/>
      <c r="Y45" s="23"/>
      <c r="Z45" s="23"/>
      <c r="AA45" s="23"/>
      <c r="AB45" s="23"/>
      <c r="AC45" s="23"/>
      <c r="AD45" s="23"/>
      <c r="AE45" s="23"/>
      <c r="AF45" s="23"/>
      <c r="AG45" s="23"/>
      <c r="AH45" s="23"/>
      <c r="AI45" s="23"/>
      <c r="AJ45" s="23"/>
      <c r="AK45" s="23"/>
      <c r="AL45" s="23"/>
      <c r="AM45" s="23"/>
      <c r="AN45" s="23"/>
      <c r="AO45" s="23"/>
      <c r="AP45" s="23"/>
      <c r="AQ45" s="23"/>
      <c r="AR45" s="23"/>
      <c r="AS45" s="23"/>
      <c r="AT45" s="23"/>
      <c r="AU45" s="23"/>
      <c r="AV45" s="23"/>
      <c r="AW45" s="23"/>
      <c r="AX45" s="23"/>
      <c r="AY45" s="23"/>
      <c r="AZ45" s="23"/>
      <c r="BA45" s="23"/>
      <c r="BB45" s="23"/>
      <c r="BC45" s="23"/>
      <c r="BD45" s="23"/>
      <c r="BE45" s="23"/>
      <c r="BF45" s="23"/>
      <c r="BG45" s="23"/>
      <c r="BH45" s="23"/>
      <c r="BI45" s="23"/>
      <c r="BJ45" s="23"/>
      <c r="BK45" s="23"/>
      <c r="BL45" s="23"/>
    </row>
    <row r="46" spans="3:64" ht="20.100000000000001" customHeight="1" x14ac:dyDescent="0.2">
      <c r="C46" s="23"/>
      <c r="D46" s="23"/>
      <c r="E46" s="23"/>
      <c r="F46" s="23"/>
      <c r="G46" s="23"/>
      <c r="H46" s="23"/>
      <c r="I46" s="23"/>
      <c r="J46" s="23"/>
      <c r="K46" s="23"/>
      <c r="L46" s="23"/>
      <c r="M46" s="23"/>
      <c r="N46" s="23"/>
      <c r="O46" s="23"/>
      <c r="P46" s="23"/>
      <c r="Q46" s="23"/>
      <c r="R46" s="23"/>
      <c r="S46" s="23"/>
      <c r="T46" s="23"/>
      <c r="U46" s="23"/>
      <c r="V46" s="23"/>
      <c r="W46" s="23"/>
      <c r="X46" s="23"/>
      <c r="Y46" s="23"/>
      <c r="Z46" s="23"/>
      <c r="AA46" s="23"/>
      <c r="AB46" s="23"/>
      <c r="AC46" s="23"/>
      <c r="AD46" s="23"/>
      <c r="AE46" s="23"/>
      <c r="AF46" s="23"/>
      <c r="AG46" s="23"/>
      <c r="AH46" s="23"/>
      <c r="AI46" s="23"/>
      <c r="AJ46" s="23"/>
      <c r="AK46" s="23"/>
      <c r="AL46" s="23"/>
      <c r="AM46" s="23"/>
      <c r="AN46" s="23"/>
      <c r="AO46" s="23"/>
      <c r="AP46" s="23"/>
      <c r="AQ46" s="23"/>
      <c r="AR46" s="23"/>
      <c r="AS46" s="23"/>
      <c r="AT46" s="23"/>
      <c r="AU46" s="23"/>
      <c r="AV46" s="23"/>
      <c r="AW46" s="23"/>
      <c r="AX46" s="23"/>
      <c r="AY46" s="23"/>
      <c r="AZ46" s="23"/>
      <c r="BA46" s="23"/>
      <c r="BB46" s="23"/>
      <c r="BC46" s="23"/>
      <c r="BD46" s="23"/>
      <c r="BE46" s="23"/>
      <c r="BF46" s="23"/>
      <c r="BG46" s="23"/>
      <c r="BH46" s="23"/>
      <c r="BI46" s="23"/>
      <c r="BJ46" s="23"/>
      <c r="BK46" s="23"/>
      <c r="BL46" s="23"/>
    </row>
    <row r="47" spans="3:64" ht="20.100000000000001" customHeight="1" x14ac:dyDescent="0.2">
      <c r="C47" s="23"/>
      <c r="D47" s="23"/>
      <c r="E47" s="23"/>
      <c r="F47" s="23"/>
      <c r="G47" s="23"/>
      <c r="H47" s="23"/>
      <c r="I47" s="23"/>
      <c r="J47" s="23"/>
      <c r="K47" s="23"/>
      <c r="L47" s="23"/>
      <c r="M47" s="23"/>
      <c r="N47" s="23"/>
      <c r="O47" s="23"/>
      <c r="P47" s="23"/>
      <c r="Q47" s="23"/>
      <c r="R47" s="23"/>
      <c r="S47" s="23"/>
      <c r="T47" s="23"/>
      <c r="U47" s="23"/>
      <c r="V47" s="23"/>
      <c r="W47" s="23"/>
      <c r="X47" s="23"/>
      <c r="Y47" s="23"/>
      <c r="Z47" s="23"/>
      <c r="AA47" s="23"/>
      <c r="AB47" s="23"/>
      <c r="AC47" s="23"/>
      <c r="AD47" s="23"/>
      <c r="AE47" s="23"/>
      <c r="AF47" s="23"/>
      <c r="AG47" s="23"/>
      <c r="AH47" s="23"/>
      <c r="AI47" s="23"/>
      <c r="AJ47" s="23"/>
      <c r="AK47" s="23"/>
      <c r="AL47" s="23"/>
      <c r="AM47" s="23"/>
      <c r="AN47" s="23"/>
      <c r="AO47" s="23"/>
      <c r="AP47" s="23"/>
      <c r="AQ47" s="23"/>
      <c r="AR47" s="23"/>
      <c r="AS47" s="23"/>
      <c r="AT47" s="23"/>
      <c r="AU47" s="23"/>
      <c r="AV47" s="23"/>
      <c r="AW47" s="23"/>
      <c r="AX47" s="23"/>
      <c r="AY47" s="23"/>
      <c r="AZ47" s="23"/>
      <c r="BA47" s="23"/>
      <c r="BB47" s="23"/>
      <c r="BC47" s="23"/>
      <c r="BD47" s="23"/>
      <c r="BE47" s="23"/>
      <c r="BF47" s="23"/>
      <c r="BG47" s="23"/>
      <c r="BH47" s="23"/>
      <c r="BI47" s="23"/>
      <c r="BJ47" s="23"/>
      <c r="BK47" s="23"/>
      <c r="BL47" s="23"/>
    </row>
    <row r="48" spans="3:64" ht="20.100000000000001" customHeight="1" x14ac:dyDescent="0.2">
      <c r="C48" s="23"/>
      <c r="D48" s="23"/>
      <c r="E48" s="23"/>
      <c r="F48" s="23"/>
      <c r="G48" s="23"/>
      <c r="H48" s="23"/>
      <c r="I48" s="23"/>
      <c r="J48" s="23"/>
      <c r="K48" s="23"/>
      <c r="L48" s="23"/>
      <c r="M48" s="23"/>
      <c r="N48" s="23"/>
      <c r="O48" s="23"/>
      <c r="P48" s="23"/>
      <c r="Q48" s="23"/>
      <c r="R48" s="23"/>
      <c r="S48" s="23"/>
      <c r="T48" s="23"/>
      <c r="U48" s="23"/>
      <c r="V48" s="23"/>
      <c r="W48" s="23"/>
      <c r="X48" s="23"/>
      <c r="Y48" s="23"/>
      <c r="Z48" s="23"/>
      <c r="AA48" s="23"/>
      <c r="AB48" s="23"/>
      <c r="AC48" s="23"/>
      <c r="AD48" s="23"/>
      <c r="AE48" s="23"/>
      <c r="AF48" s="23"/>
      <c r="AG48" s="23"/>
      <c r="AH48" s="23"/>
      <c r="AI48" s="23"/>
      <c r="AJ48" s="23"/>
      <c r="AK48" s="23"/>
      <c r="AL48" s="23"/>
      <c r="AM48" s="23"/>
      <c r="AN48" s="23"/>
      <c r="AO48" s="23"/>
      <c r="AP48" s="23"/>
      <c r="AQ48" s="23"/>
      <c r="AR48" s="23"/>
      <c r="AS48" s="23"/>
      <c r="AT48" s="23"/>
      <c r="AU48" s="23"/>
      <c r="AV48" s="23"/>
      <c r="AW48" s="23"/>
      <c r="AX48" s="23"/>
      <c r="AY48" s="23"/>
      <c r="AZ48" s="23"/>
      <c r="BA48" s="23"/>
      <c r="BB48" s="23"/>
      <c r="BC48" s="23"/>
      <c r="BD48" s="23"/>
      <c r="BE48" s="23"/>
      <c r="BF48" s="23"/>
      <c r="BG48" s="23"/>
      <c r="BH48" s="23"/>
      <c r="BI48" s="23"/>
      <c r="BJ48" s="23"/>
      <c r="BK48" s="23"/>
      <c r="BL48" s="23"/>
    </row>
    <row r="49" spans="3:64" ht="20.100000000000001" customHeight="1" x14ac:dyDescent="0.2">
      <c r="C49" s="23"/>
      <c r="D49" s="23"/>
      <c r="E49" s="23"/>
      <c r="F49" s="23"/>
      <c r="G49" s="23"/>
      <c r="H49" s="23"/>
      <c r="I49" s="23"/>
      <c r="J49" s="23"/>
      <c r="K49" s="23"/>
      <c r="L49" s="23"/>
      <c r="M49" s="23"/>
      <c r="N49" s="23"/>
      <c r="O49" s="23"/>
      <c r="P49" s="23"/>
      <c r="Q49" s="23"/>
      <c r="R49" s="23"/>
      <c r="S49" s="23"/>
      <c r="T49" s="23"/>
      <c r="U49" s="23"/>
      <c r="V49" s="23"/>
      <c r="W49" s="23"/>
      <c r="X49" s="23"/>
      <c r="Y49" s="23"/>
      <c r="Z49" s="23"/>
      <c r="AA49" s="23"/>
      <c r="AB49" s="23"/>
      <c r="AC49" s="23"/>
      <c r="AD49" s="23"/>
      <c r="AE49" s="23"/>
      <c r="AF49" s="23"/>
      <c r="AG49" s="23"/>
      <c r="AH49" s="23"/>
      <c r="AI49" s="23"/>
      <c r="AJ49" s="23"/>
      <c r="AK49" s="23"/>
      <c r="AL49" s="23"/>
      <c r="AM49" s="23"/>
      <c r="AN49" s="23"/>
      <c r="AO49" s="23"/>
      <c r="AP49" s="23"/>
      <c r="AQ49" s="23"/>
      <c r="AR49" s="23"/>
      <c r="AS49" s="23"/>
      <c r="AT49" s="23"/>
      <c r="AU49" s="23"/>
      <c r="AV49" s="23"/>
      <c r="AW49" s="23"/>
      <c r="AX49" s="23"/>
      <c r="AY49" s="23"/>
      <c r="AZ49" s="23"/>
      <c r="BA49" s="23"/>
      <c r="BB49" s="23"/>
      <c r="BC49" s="23"/>
      <c r="BD49" s="23"/>
      <c r="BE49" s="23"/>
      <c r="BF49" s="23"/>
      <c r="BG49" s="23"/>
      <c r="BH49" s="23"/>
      <c r="BI49" s="23"/>
      <c r="BJ49" s="23"/>
      <c r="BK49" s="23"/>
      <c r="BL49" s="23"/>
    </row>
    <row r="50" spans="3:64" ht="20.100000000000001" customHeight="1" x14ac:dyDescent="0.2">
      <c r="C50" s="23"/>
      <c r="D50" s="23"/>
      <c r="E50" s="23"/>
      <c r="F50" s="23"/>
      <c r="G50" s="23"/>
      <c r="H50" s="23"/>
      <c r="I50" s="23"/>
      <c r="J50" s="23"/>
      <c r="K50" s="23"/>
      <c r="L50" s="23"/>
      <c r="M50" s="23"/>
      <c r="N50" s="23"/>
      <c r="O50" s="23"/>
      <c r="P50" s="23"/>
      <c r="Q50" s="23"/>
      <c r="R50" s="23"/>
      <c r="S50" s="23"/>
      <c r="T50" s="23"/>
      <c r="U50" s="23"/>
      <c r="V50" s="23"/>
      <c r="W50" s="23"/>
      <c r="X50" s="23"/>
      <c r="Y50" s="23"/>
      <c r="Z50" s="23"/>
      <c r="AA50" s="23"/>
      <c r="AB50" s="23"/>
      <c r="AC50" s="23"/>
      <c r="AD50" s="23"/>
      <c r="AE50" s="23"/>
      <c r="AF50" s="23"/>
      <c r="AG50" s="23"/>
      <c r="AH50" s="23"/>
      <c r="AI50" s="23"/>
      <c r="AJ50" s="23"/>
      <c r="AK50" s="23"/>
      <c r="AL50" s="23"/>
      <c r="AM50" s="23"/>
      <c r="AN50" s="23"/>
      <c r="AO50" s="23"/>
      <c r="AP50" s="23"/>
      <c r="AQ50" s="23"/>
      <c r="AR50" s="23"/>
      <c r="AS50" s="23"/>
      <c r="AT50" s="23"/>
      <c r="AU50" s="23"/>
      <c r="AV50" s="23"/>
      <c r="AW50" s="23"/>
      <c r="AX50" s="23"/>
      <c r="AY50" s="23"/>
      <c r="AZ50" s="23"/>
      <c r="BA50" s="23"/>
      <c r="BB50" s="23"/>
      <c r="BC50" s="23"/>
      <c r="BD50" s="23"/>
      <c r="BE50" s="23"/>
      <c r="BF50" s="23"/>
      <c r="BG50" s="23"/>
      <c r="BH50" s="23"/>
      <c r="BI50" s="23"/>
      <c r="BJ50" s="23"/>
      <c r="BK50" s="23"/>
      <c r="BL50" s="23"/>
    </row>
    <row r="51" spans="3:64" ht="20.100000000000001" customHeight="1" x14ac:dyDescent="0.2">
      <c r="C51" s="23"/>
      <c r="D51" s="23"/>
      <c r="E51" s="23"/>
      <c r="F51" s="23"/>
      <c r="G51" s="23"/>
      <c r="H51" s="23"/>
      <c r="I51" s="23"/>
      <c r="J51" s="23"/>
      <c r="K51" s="23"/>
      <c r="L51" s="23"/>
      <c r="M51" s="23"/>
      <c r="N51" s="23"/>
      <c r="O51" s="23"/>
      <c r="P51" s="23"/>
      <c r="Q51" s="23"/>
      <c r="R51" s="23"/>
      <c r="S51" s="23"/>
      <c r="T51" s="23"/>
      <c r="U51" s="23"/>
      <c r="V51" s="23"/>
      <c r="W51" s="23"/>
      <c r="X51" s="23"/>
      <c r="Y51" s="23"/>
      <c r="Z51" s="23"/>
      <c r="AA51" s="23"/>
      <c r="AB51" s="23"/>
      <c r="AC51" s="23"/>
      <c r="AD51" s="23"/>
      <c r="AE51" s="23"/>
      <c r="AF51" s="23"/>
      <c r="AG51" s="23"/>
      <c r="AH51" s="23"/>
      <c r="AI51" s="23"/>
      <c r="AJ51" s="23"/>
      <c r="AK51" s="23"/>
      <c r="AL51" s="23"/>
      <c r="AM51" s="23"/>
      <c r="AN51" s="23"/>
      <c r="AO51" s="23"/>
      <c r="AP51" s="23"/>
      <c r="AQ51" s="23"/>
      <c r="AR51" s="23"/>
      <c r="AS51" s="23"/>
      <c r="AT51" s="23"/>
      <c r="AU51" s="23"/>
      <c r="AV51" s="23"/>
      <c r="AW51" s="23"/>
      <c r="AX51" s="23"/>
      <c r="AY51" s="23"/>
      <c r="AZ51" s="23"/>
      <c r="BA51" s="23"/>
      <c r="BB51" s="23"/>
      <c r="BC51" s="23"/>
      <c r="BD51" s="23"/>
      <c r="BE51" s="23"/>
      <c r="BF51" s="23"/>
      <c r="BG51" s="23"/>
      <c r="BH51" s="23"/>
      <c r="BI51" s="23"/>
      <c r="BJ51" s="23"/>
      <c r="BK51" s="23"/>
      <c r="BL51" s="23"/>
    </row>
    <row r="52" spans="3:64" ht="20.100000000000001" customHeight="1" x14ac:dyDescent="0.2">
      <c r="C52" s="23"/>
      <c r="D52" s="23"/>
      <c r="E52" s="23"/>
      <c r="F52" s="23"/>
      <c r="G52" s="23"/>
      <c r="H52" s="23"/>
      <c r="I52" s="23"/>
      <c r="J52" s="23"/>
      <c r="K52" s="23"/>
      <c r="L52" s="23"/>
      <c r="M52" s="23"/>
      <c r="N52" s="23"/>
      <c r="O52" s="23"/>
      <c r="P52" s="23"/>
      <c r="Q52" s="23"/>
      <c r="R52" s="23"/>
      <c r="S52" s="23"/>
      <c r="T52" s="23"/>
      <c r="U52" s="23"/>
      <c r="V52" s="23"/>
      <c r="W52" s="23"/>
      <c r="X52" s="23"/>
      <c r="Y52" s="23"/>
      <c r="Z52" s="23"/>
      <c r="AA52" s="23"/>
      <c r="AB52" s="23"/>
      <c r="AC52" s="23"/>
      <c r="AD52" s="23"/>
      <c r="AE52" s="23"/>
      <c r="AF52" s="23"/>
      <c r="AG52" s="23"/>
      <c r="AH52" s="23"/>
      <c r="AI52" s="23"/>
      <c r="AJ52" s="23"/>
      <c r="AK52" s="23"/>
      <c r="AL52" s="23"/>
      <c r="AM52" s="23"/>
      <c r="AN52" s="23"/>
      <c r="AO52" s="23"/>
      <c r="AP52" s="23"/>
      <c r="AQ52" s="23"/>
      <c r="AR52" s="23"/>
      <c r="AS52" s="23"/>
      <c r="AT52" s="23"/>
      <c r="AU52" s="23"/>
      <c r="AV52" s="23"/>
      <c r="AW52" s="23"/>
      <c r="AX52" s="23"/>
      <c r="AY52" s="23"/>
      <c r="AZ52" s="23"/>
      <c r="BA52" s="23"/>
      <c r="BB52" s="23"/>
      <c r="BC52" s="23"/>
      <c r="BD52" s="23"/>
      <c r="BE52" s="23"/>
      <c r="BF52" s="23"/>
      <c r="BG52" s="23"/>
      <c r="BH52" s="23"/>
      <c r="BI52" s="23"/>
      <c r="BJ52" s="23"/>
      <c r="BK52" s="23"/>
      <c r="BL52" s="23"/>
    </row>
    <row r="53" spans="3:64" ht="20.100000000000001" customHeight="1" x14ac:dyDescent="0.2">
      <c r="C53" s="23"/>
      <c r="D53" s="23"/>
      <c r="E53" s="23"/>
      <c r="F53" s="23"/>
      <c r="G53" s="23"/>
      <c r="H53" s="23"/>
      <c r="I53" s="23"/>
      <c r="J53" s="23"/>
      <c r="K53" s="23"/>
      <c r="L53" s="23"/>
      <c r="M53" s="23"/>
      <c r="N53" s="23"/>
      <c r="O53" s="23"/>
      <c r="P53" s="23"/>
      <c r="Q53" s="23"/>
      <c r="R53" s="23"/>
      <c r="S53" s="23"/>
      <c r="T53" s="23"/>
      <c r="U53" s="23"/>
      <c r="V53" s="23"/>
      <c r="W53" s="23"/>
      <c r="X53" s="23"/>
      <c r="Y53" s="23"/>
      <c r="Z53" s="23"/>
      <c r="AA53" s="23"/>
      <c r="AB53" s="23"/>
      <c r="AC53" s="23"/>
      <c r="AD53" s="23"/>
      <c r="AE53" s="23"/>
      <c r="AF53" s="23"/>
      <c r="AG53" s="23"/>
      <c r="AH53" s="23"/>
      <c r="AI53" s="23"/>
      <c r="AJ53" s="23"/>
      <c r="AK53" s="23"/>
      <c r="AL53" s="23"/>
      <c r="AM53" s="23"/>
      <c r="AN53" s="23"/>
      <c r="AO53" s="23"/>
      <c r="AP53" s="23"/>
      <c r="AQ53" s="23"/>
      <c r="AR53" s="23"/>
      <c r="AS53" s="23"/>
      <c r="AT53" s="23"/>
      <c r="AU53" s="23"/>
      <c r="AV53" s="23"/>
      <c r="AW53" s="23"/>
      <c r="AX53" s="23"/>
      <c r="AY53" s="23"/>
      <c r="AZ53" s="23"/>
      <c r="BA53" s="23"/>
      <c r="BB53" s="23"/>
      <c r="BC53" s="23"/>
      <c r="BD53" s="23"/>
      <c r="BE53" s="23"/>
      <c r="BF53" s="23"/>
      <c r="BG53" s="23"/>
      <c r="BH53" s="23"/>
      <c r="BI53" s="23"/>
      <c r="BJ53" s="23"/>
      <c r="BK53" s="23"/>
      <c r="BL53" s="23"/>
    </row>
    <row r="54" spans="3:64" ht="20.100000000000001" customHeight="1" x14ac:dyDescent="0.2">
      <c r="C54" s="23"/>
      <c r="D54" s="23"/>
      <c r="E54" s="23"/>
      <c r="F54" s="23"/>
      <c r="G54" s="23"/>
      <c r="H54" s="23"/>
      <c r="I54" s="23"/>
      <c r="J54" s="23"/>
      <c r="K54" s="23"/>
      <c r="L54" s="23"/>
      <c r="M54" s="23"/>
      <c r="N54" s="23"/>
      <c r="O54" s="23"/>
      <c r="P54" s="23"/>
      <c r="Q54" s="23"/>
      <c r="R54" s="23"/>
      <c r="S54" s="23"/>
      <c r="T54" s="23"/>
      <c r="U54" s="23"/>
      <c r="V54" s="23"/>
      <c r="W54" s="23"/>
      <c r="X54" s="23"/>
      <c r="Y54" s="23"/>
      <c r="Z54" s="23"/>
      <c r="AA54" s="23"/>
      <c r="AB54" s="23"/>
      <c r="AC54" s="23"/>
      <c r="AD54" s="23"/>
      <c r="AE54" s="23"/>
      <c r="AF54" s="23"/>
      <c r="AG54" s="23"/>
      <c r="AH54" s="23"/>
      <c r="AI54" s="23"/>
      <c r="AJ54" s="23"/>
      <c r="AK54" s="23"/>
      <c r="AL54" s="23"/>
      <c r="AM54" s="23"/>
      <c r="AN54" s="23"/>
      <c r="AO54" s="23"/>
      <c r="AP54" s="23"/>
      <c r="AQ54" s="23"/>
      <c r="AR54" s="23"/>
      <c r="AS54" s="23"/>
      <c r="AT54" s="23"/>
      <c r="AU54" s="23"/>
      <c r="AV54" s="23"/>
      <c r="AW54" s="23"/>
      <c r="AX54" s="23"/>
      <c r="AY54" s="23"/>
      <c r="AZ54" s="23"/>
      <c r="BA54" s="23"/>
      <c r="BB54" s="23"/>
      <c r="BC54" s="23"/>
      <c r="BD54" s="23"/>
      <c r="BE54" s="23"/>
      <c r="BF54" s="23"/>
      <c r="BG54" s="23"/>
      <c r="BH54" s="23"/>
      <c r="BI54" s="23"/>
      <c r="BJ54" s="23"/>
      <c r="BK54" s="23"/>
      <c r="BL54" s="23"/>
    </row>
    <row r="55" spans="3:64" ht="20.100000000000001" customHeight="1" x14ac:dyDescent="0.2">
      <c r="C55" s="23"/>
      <c r="D55" s="23"/>
      <c r="E55" s="23"/>
      <c r="F55" s="23"/>
      <c r="G55" s="23"/>
      <c r="H55" s="23"/>
      <c r="I55" s="23"/>
      <c r="J55" s="23"/>
      <c r="K55" s="23"/>
      <c r="L55" s="23"/>
      <c r="M55" s="23"/>
      <c r="N55" s="23"/>
      <c r="O55" s="23"/>
      <c r="P55" s="23"/>
      <c r="Q55" s="23"/>
      <c r="R55" s="23"/>
      <c r="S55" s="23"/>
      <c r="T55" s="23"/>
      <c r="U55" s="23"/>
      <c r="V55" s="23"/>
      <c r="W55" s="23"/>
      <c r="X55" s="23"/>
      <c r="Y55" s="23"/>
      <c r="Z55" s="23"/>
      <c r="AA55" s="23"/>
      <c r="AB55" s="23"/>
      <c r="AC55" s="23"/>
      <c r="AD55" s="23"/>
      <c r="AE55" s="23"/>
      <c r="AF55" s="23"/>
      <c r="AG55" s="23"/>
      <c r="AH55" s="23"/>
      <c r="AI55" s="23"/>
      <c r="AJ55" s="23"/>
      <c r="AK55" s="23"/>
      <c r="AL55" s="23"/>
      <c r="AM55" s="23"/>
      <c r="AN55" s="23"/>
      <c r="AO55" s="23"/>
      <c r="AP55" s="23"/>
      <c r="AQ55" s="23"/>
      <c r="AR55" s="23"/>
      <c r="AS55" s="23"/>
      <c r="AT55" s="23"/>
      <c r="AU55" s="23"/>
      <c r="AV55" s="23"/>
      <c r="AW55" s="23"/>
      <c r="AX55" s="23"/>
      <c r="AY55" s="23"/>
      <c r="AZ55" s="23"/>
      <c r="BA55" s="23"/>
      <c r="BB55" s="23"/>
      <c r="BC55" s="23"/>
      <c r="BD55" s="23"/>
      <c r="BE55" s="23"/>
      <c r="BF55" s="23"/>
      <c r="BG55" s="23"/>
      <c r="BH55" s="23"/>
      <c r="BI55" s="23"/>
      <c r="BJ55" s="23"/>
      <c r="BK55" s="23"/>
      <c r="BL55" s="23"/>
    </row>
    <row r="56" spans="3:64" ht="20.100000000000001" customHeight="1" x14ac:dyDescent="0.2">
      <c r="C56" s="23"/>
      <c r="D56" s="23"/>
      <c r="E56" s="23"/>
      <c r="F56" s="23"/>
      <c r="G56" s="23"/>
      <c r="H56" s="23"/>
      <c r="I56" s="23"/>
      <c r="J56" s="23"/>
      <c r="K56" s="23"/>
      <c r="L56" s="23"/>
      <c r="M56" s="23"/>
      <c r="N56" s="23"/>
      <c r="O56" s="23"/>
      <c r="P56" s="23"/>
      <c r="Q56" s="23"/>
      <c r="R56" s="23"/>
      <c r="S56" s="23"/>
      <c r="T56" s="23"/>
      <c r="U56" s="23"/>
      <c r="V56" s="23"/>
      <c r="W56" s="23"/>
      <c r="X56" s="23"/>
      <c r="Y56" s="23"/>
      <c r="Z56" s="23"/>
      <c r="AA56" s="23"/>
      <c r="AB56" s="23"/>
      <c r="AC56" s="23"/>
      <c r="AD56" s="23"/>
      <c r="AE56" s="23"/>
      <c r="AF56" s="23"/>
      <c r="AG56" s="23"/>
      <c r="AH56" s="23"/>
      <c r="AI56" s="23"/>
      <c r="AJ56" s="23"/>
      <c r="AK56" s="23"/>
      <c r="AL56" s="23"/>
      <c r="AM56" s="23"/>
      <c r="AN56" s="23"/>
      <c r="AO56" s="23"/>
      <c r="AP56" s="23"/>
      <c r="AQ56" s="23"/>
      <c r="AR56" s="23"/>
      <c r="AS56" s="23"/>
      <c r="AT56" s="23"/>
      <c r="AU56" s="23"/>
      <c r="AV56" s="23"/>
      <c r="AW56" s="23"/>
      <c r="AX56" s="23"/>
      <c r="AY56" s="23"/>
      <c r="AZ56" s="23"/>
      <c r="BA56" s="23"/>
      <c r="BB56" s="23"/>
      <c r="BC56" s="23"/>
      <c r="BD56" s="23"/>
      <c r="BE56" s="23"/>
      <c r="BF56" s="23"/>
      <c r="BG56" s="23"/>
      <c r="BH56" s="23"/>
      <c r="BI56" s="23"/>
      <c r="BJ56" s="23"/>
      <c r="BK56" s="23"/>
      <c r="BL56" s="23"/>
    </row>
    <row r="57" spans="3:64" ht="20.100000000000001" customHeight="1" x14ac:dyDescent="0.2">
      <c r="C57" s="23"/>
      <c r="D57" s="23"/>
      <c r="E57" s="23"/>
      <c r="F57" s="23"/>
      <c r="G57" s="23"/>
      <c r="H57" s="23"/>
      <c r="I57" s="23"/>
      <c r="J57" s="23"/>
      <c r="K57" s="23"/>
      <c r="L57" s="23"/>
      <c r="M57" s="23"/>
      <c r="N57" s="23"/>
      <c r="O57" s="23"/>
      <c r="P57" s="23"/>
      <c r="Q57" s="23"/>
      <c r="R57" s="23"/>
      <c r="S57" s="23"/>
      <c r="T57" s="23"/>
      <c r="U57" s="23"/>
      <c r="V57" s="23"/>
      <c r="W57" s="23"/>
      <c r="X57" s="23"/>
      <c r="Y57" s="23"/>
      <c r="Z57" s="23"/>
      <c r="AA57" s="23"/>
      <c r="AB57" s="23"/>
      <c r="AC57" s="23"/>
      <c r="AD57" s="23"/>
      <c r="AE57" s="23"/>
      <c r="AF57" s="23"/>
      <c r="AG57" s="23"/>
      <c r="AH57" s="23"/>
      <c r="AI57" s="23"/>
      <c r="AJ57" s="23"/>
      <c r="AK57" s="23"/>
      <c r="AL57" s="23"/>
      <c r="AM57" s="23"/>
      <c r="AN57" s="23"/>
      <c r="AO57" s="23"/>
      <c r="AP57" s="23"/>
      <c r="AQ57" s="23"/>
      <c r="AR57" s="23"/>
      <c r="AS57" s="23"/>
      <c r="AT57" s="23"/>
      <c r="AU57" s="23"/>
      <c r="AV57" s="23"/>
      <c r="AW57" s="23"/>
      <c r="AX57" s="23"/>
      <c r="AY57" s="23"/>
      <c r="AZ57" s="23"/>
      <c r="BA57" s="23"/>
      <c r="BB57" s="23"/>
      <c r="BC57" s="23"/>
      <c r="BD57" s="23"/>
      <c r="BE57" s="23"/>
      <c r="BF57" s="23"/>
      <c r="BG57" s="23"/>
      <c r="BH57" s="23"/>
      <c r="BI57" s="23"/>
      <c r="BJ57" s="23"/>
      <c r="BK57" s="23"/>
      <c r="BL57" s="23"/>
    </row>
    <row r="58" spans="3:64" ht="20.100000000000001" customHeight="1" x14ac:dyDescent="0.2">
      <c r="C58" s="23"/>
      <c r="D58" s="23"/>
      <c r="E58" s="23"/>
      <c r="F58" s="23"/>
      <c r="G58" s="23"/>
      <c r="H58" s="23"/>
      <c r="I58" s="23"/>
      <c r="J58" s="23"/>
      <c r="K58" s="23"/>
      <c r="L58" s="23"/>
      <c r="M58" s="23"/>
      <c r="N58" s="23"/>
      <c r="O58" s="23"/>
      <c r="P58" s="23"/>
      <c r="Q58" s="23"/>
      <c r="R58" s="23"/>
      <c r="S58" s="23"/>
      <c r="T58" s="23"/>
      <c r="U58" s="23"/>
      <c r="V58" s="23"/>
      <c r="W58" s="23"/>
      <c r="X58" s="23"/>
      <c r="Y58" s="23"/>
      <c r="Z58" s="23"/>
      <c r="AA58" s="23"/>
      <c r="AB58" s="23"/>
      <c r="AC58" s="23"/>
      <c r="AD58" s="23"/>
      <c r="AE58" s="23"/>
      <c r="AF58" s="23"/>
      <c r="AG58" s="23"/>
      <c r="AH58" s="23"/>
      <c r="AI58" s="23"/>
      <c r="AJ58" s="23"/>
      <c r="AK58" s="23"/>
      <c r="AL58" s="23"/>
      <c r="AM58" s="23"/>
      <c r="AN58" s="23"/>
      <c r="AO58" s="23"/>
      <c r="AP58" s="23"/>
      <c r="AQ58" s="23"/>
      <c r="AR58" s="23"/>
      <c r="AS58" s="23"/>
      <c r="AT58" s="23"/>
      <c r="AU58" s="23"/>
      <c r="AV58" s="23"/>
      <c r="AW58" s="23"/>
      <c r="AX58" s="23"/>
      <c r="AY58" s="23"/>
      <c r="AZ58" s="23"/>
      <c r="BA58" s="23"/>
      <c r="BB58" s="23"/>
      <c r="BC58" s="23"/>
      <c r="BD58" s="23"/>
      <c r="BE58" s="23"/>
      <c r="BF58" s="23"/>
      <c r="BG58" s="23"/>
      <c r="BH58" s="23"/>
      <c r="BI58" s="23"/>
      <c r="BJ58" s="23"/>
      <c r="BK58" s="23"/>
      <c r="BL58" s="23"/>
    </row>
    <row r="59" spans="3:64" ht="20.100000000000001" customHeight="1" x14ac:dyDescent="0.2">
      <c r="C59" s="23"/>
      <c r="D59" s="23"/>
      <c r="E59" s="23"/>
      <c r="F59" s="23"/>
      <c r="G59" s="23"/>
      <c r="H59" s="23"/>
      <c r="I59" s="23"/>
      <c r="J59" s="23"/>
      <c r="K59" s="23"/>
      <c r="L59" s="23"/>
      <c r="M59" s="23"/>
      <c r="N59" s="23"/>
      <c r="O59" s="23"/>
      <c r="P59" s="23"/>
      <c r="Q59" s="23"/>
      <c r="R59" s="23"/>
      <c r="S59" s="23"/>
      <c r="T59" s="23"/>
      <c r="U59" s="23"/>
      <c r="V59" s="23"/>
      <c r="W59" s="23"/>
      <c r="X59" s="23"/>
      <c r="Y59" s="23"/>
      <c r="Z59" s="23"/>
      <c r="AA59" s="23"/>
      <c r="AB59" s="23"/>
      <c r="AC59" s="23"/>
      <c r="AD59" s="23"/>
      <c r="AE59" s="23"/>
      <c r="AF59" s="23"/>
      <c r="AG59" s="23"/>
      <c r="AH59" s="23"/>
      <c r="AI59" s="23"/>
      <c r="AJ59" s="23"/>
      <c r="AK59" s="23"/>
      <c r="AL59" s="23"/>
      <c r="AM59" s="23"/>
      <c r="AN59" s="23"/>
      <c r="AO59" s="23"/>
      <c r="AP59" s="23"/>
      <c r="AQ59" s="23"/>
      <c r="AR59" s="23"/>
      <c r="AS59" s="23"/>
      <c r="AT59" s="23"/>
      <c r="AU59" s="23"/>
      <c r="AV59" s="23"/>
      <c r="AW59" s="23"/>
      <c r="AX59" s="23"/>
      <c r="AY59" s="23"/>
      <c r="AZ59" s="23"/>
      <c r="BA59" s="23"/>
      <c r="BB59" s="23"/>
      <c r="BC59" s="23"/>
      <c r="BD59" s="23"/>
      <c r="BE59" s="23"/>
      <c r="BF59" s="23"/>
      <c r="BG59" s="23"/>
      <c r="BH59" s="23"/>
      <c r="BI59" s="23"/>
      <c r="BJ59" s="23"/>
      <c r="BK59" s="23"/>
      <c r="BL59" s="23"/>
    </row>
    <row r="60" spans="3:64" ht="20.100000000000001" customHeight="1" x14ac:dyDescent="0.2">
      <c r="C60" s="23"/>
      <c r="D60" s="23"/>
      <c r="E60" s="23"/>
      <c r="F60" s="23"/>
      <c r="G60" s="23"/>
      <c r="H60" s="23"/>
      <c r="I60" s="23"/>
      <c r="J60" s="23"/>
      <c r="K60" s="23"/>
      <c r="L60" s="23"/>
      <c r="M60" s="23"/>
      <c r="N60" s="23"/>
      <c r="O60" s="23"/>
      <c r="P60" s="23"/>
      <c r="Q60" s="23"/>
      <c r="R60" s="23"/>
      <c r="S60" s="23"/>
      <c r="T60" s="23"/>
      <c r="U60" s="23"/>
      <c r="V60" s="23"/>
      <c r="W60" s="23"/>
      <c r="X60" s="23"/>
      <c r="Y60" s="23"/>
      <c r="Z60" s="23"/>
      <c r="AA60" s="23"/>
      <c r="AB60" s="23"/>
      <c r="AC60" s="23"/>
      <c r="AD60" s="23"/>
      <c r="AE60" s="23"/>
      <c r="AF60" s="23"/>
      <c r="AG60" s="23"/>
      <c r="AH60" s="23"/>
      <c r="AI60" s="23"/>
      <c r="AJ60" s="23"/>
      <c r="AK60" s="23"/>
      <c r="AL60" s="23"/>
      <c r="AM60" s="23"/>
      <c r="AN60" s="23"/>
      <c r="AO60" s="23"/>
      <c r="AP60" s="23"/>
      <c r="AQ60" s="23"/>
      <c r="AR60" s="23"/>
      <c r="AS60" s="23"/>
      <c r="AT60" s="23"/>
      <c r="AU60" s="23"/>
      <c r="AV60" s="23"/>
      <c r="AW60" s="23"/>
      <c r="AX60" s="23"/>
      <c r="AY60" s="23"/>
      <c r="AZ60" s="23"/>
      <c r="BA60" s="23"/>
      <c r="BB60" s="23"/>
      <c r="BC60" s="23"/>
      <c r="BD60" s="23"/>
      <c r="BE60" s="23"/>
      <c r="BF60" s="23"/>
      <c r="BG60" s="23"/>
      <c r="BH60" s="23"/>
      <c r="BI60" s="23"/>
      <c r="BJ60" s="23"/>
      <c r="BK60" s="23"/>
      <c r="BL60" s="23"/>
    </row>
    <row r="61" spans="3:64" ht="20.100000000000001" customHeight="1" x14ac:dyDescent="0.2">
      <c r="C61" s="23"/>
      <c r="D61" s="23"/>
      <c r="E61" s="23"/>
      <c r="F61" s="23"/>
      <c r="G61" s="23"/>
      <c r="H61" s="23"/>
      <c r="I61" s="23"/>
      <c r="J61" s="23"/>
      <c r="K61" s="23"/>
      <c r="L61" s="23"/>
      <c r="M61" s="23"/>
      <c r="N61" s="23"/>
      <c r="O61" s="23"/>
      <c r="P61" s="23"/>
      <c r="Q61" s="23"/>
      <c r="R61" s="23"/>
      <c r="S61" s="23"/>
      <c r="T61" s="23"/>
      <c r="U61" s="23"/>
      <c r="V61" s="23"/>
      <c r="W61" s="23"/>
      <c r="X61" s="23"/>
      <c r="Y61" s="23"/>
      <c r="Z61" s="23"/>
      <c r="AA61" s="23"/>
      <c r="AB61" s="23"/>
      <c r="AC61" s="23"/>
      <c r="AD61" s="23"/>
      <c r="AE61" s="23"/>
      <c r="AF61" s="23"/>
      <c r="AG61" s="23"/>
      <c r="AH61" s="23"/>
      <c r="AI61" s="23"/>
      <c r="AJ61" s="23"/>
      <c r="AK61" s="23"/>
      <c r="AL61" s="23"/>
      <c r="AM61" s="23"/>
      <c r="AN61" s="23"/>
      <c r="AO61" s="23"/>
      <c r="AP61" s="23"/>
      <c r="AQ61" s="23"/>
      <c r="AR61" s="23"/>
      <c r="AS61" s="23"/>
      <c r="AT61" s="23"/>
      <c r="AU61" s="23"/>
      <c r="AV61" s="23"/>
      <c r="AW61" s="23"/>
      <c r="AX61" s="23"/>
      <c r="AY61" s="23"/>
      <c r="AZ61" s="23"/>
      <c r="BA61" s="23"/>
      <c r="BB61" s="23"/>
      <c r="BC61" s="23"/>
      <c r="BD61" s="23"/>
      <c r="BE61" s="23"/>
      <c r="BF61" s="23"/>
      <c r="BG61" s="23"/>
      <c r="BH61" s="23"/>
      <c r="BI61" s="23"/>
      <c r="BJ61" s="23"/>
      <c r="BK61" s="23"/>
      <c r="BL61" s="23"/>
    </row>
    <row r="62" spans="3:64" ht="20.100000000000001" customHeight="1" x14ac:dyDescent="0.2">
      <c r="C62" s="23"/>
      <c r="D62" s="23"/>
      <c r="E62" s="23"/>
      <c r="F62" s="23"/>
      <c r="G62" s="23"/>
      <c r="H62" s="23"/>
      <c r="I62" s="23"/>
      <c r="J62" s="23"/>
      <c r="K62" s="23"/>
      <c r="L62" s="23"/>
      <c r="M62" s="23"/>
      <c r="N62" s="23"/>
      <c r="O62" s="23"/>
      <c r="P62" s="23"/>
      <c r="Q62" s="23"/>
      <c r="R62" s="23"/>
      <c r="S62" s="23"/>
      <c r="T62" s="23"/>
      <c r="U62" s="23"/>
      <c r="V62" s="23"/>
      <c r="W62" s="23"/>
      <c r="X62" s="23"/>
      <c r="Y62" s="23"/>
      <c r="Z62" s="23"/>
      <c r="AA62" s="23"/>
      <c r="AB62" s="23"/>
      <c r="AC62" s="23"/>
      <c r="AD62" s="23"/>
      <c r="AE62" s="23"/>
      <c r="AF62" s="23"/>
      <c r="AG62" s="23"/>
      <c r="AH62" s="23"/>
      <c r="AI62" s="23"/>
      <c r="AJ62" s="23"/>
      <c r="AK62" s="23"/>
      <c r="AL62" s="23"/>
      <c r="AM62" s="23"/>
      <c r="AN62" s="23"/>
      <c r="AO62" s="23"/>
      <c r="AP62" s="23"/>
      <c r="AQ62" s="23"/>
      <c r="AR62" s="23"/>
      <c r="AS62" s="23"/>
      <c r="AT62" s="23"/>
      <c r="AU62" s="23"/>
      <c r="AV62" s="23"/>
      <c r="AW62" s="23"/>
      <c r="AX62" s="23"/>
      <c r="AY62" s="23"/>
      <c r="AZ62" s="23"/>
      <c r="BA62" s="23"/>
      <c r="BB62" s="23"/>
      <c r="BC62" s="23"/>
      <c r="BD62" s="23"/>
      <c r="BE62" s="23"/>
      <c r="BF62" s="23"/>
      <c r="BG62" s="23"/>
      <c r="BH62" s="23"/>
      <c r="BI62" s="23"/>
      <c r="BJ62" s="23"/>
      <c r="BK62" s="23"/>
      <c r="BL62" s="23"/>
    </row>
    <row r="63" spans="3:64" ht="20.100000000000001" customHeight="1" x14ac:dyDescent="0.2">
      <c r="C63" s="23"/>
      <c r="D63" s="23"/>
      <c r="E63" s="23"/>
      <c r="F63" s="23"/>
      <c r="G63" s="23"/>
      <c r="H63" s="23"/>
      <c r="I63" s="23"/>
      <c r="J63" s="23"/>
      <c r="K63" s="23"/>
      <c r="L63" s="23"/>
      <c r="M63" s="23"/>
      <c r="N63" s="23"/>
      <c r="O63" s="23"/>
      <c r="P63" s="23"/>
      <c r="Q63" s="23"/>
      <c r="R63" s="23"/>
      <c r="S63" s="23"/>
      <c r="T63" s="23"/>
      <c r="U63" s="23"/>
      <c r="V63" s="23"/>
      <c r="W63" s="23"/>
      <c r="X63" s="23"/>
      <c r="Y63" s="23"/>
      <c r="Z63" s="23"/>
      <c r="AA63" s="23"/>
      <c r="AB63" s="23"/>
      <c r="AC63" s="23"/>
      <c r="AD63" s="23"/>
      <c r="AE63" s="23"/>
      <c r="AF63" s="23"/>
      <c r="AG63" s="23"/>
      <c r="AH63" s="23"/>
      <c r="AI63" s="23"/>
      <c r="AJ63" s="23"/>
      <c r="AK63" s="23"/>
      <c r="AL63" s="23"/>
      <c r="AM63" s="23"/>
      <c r="AN63" s="23"/>
      <c r="AO63" s="23"/>
      <c r="AP63" s="23"/>
      <c r="AQ63" s="23"/>
      <c r="AR63" s="23"/>
      <c r="AS63" s="23"/>
      <c r="AT63" s="23"/>
      <c r="AU63" s="23"/>
      <c r="AV63" s="23"/>
      <c r="AW63" s="23"/>
      <c r="AX63" s="23"/>
      <c r="AY63" s="23"/>
      <c r="AZ63" s="23"/>
      <c r="BA63" s="23"/>
      <c r="BB63" s="23"/>
      <c r="BC63" s="23"/>
      <c r="BD63" s="23"/>
      <c r="BE63" s="23"/>
      <c r="BF63" s="23"/>
      <c r="BG63" s="23"/>
      <c r="BH63" s="23"/>
      <c r="BI63" s="23"/>
      <c r="BJ63" s="23"/>
      <c r="BK63" s="23"/>
      <c r="BL63" s="23"/>
    </row>
    <row r="64" spans="3:64" ht="20.100000000000001" customHeight="1" x14ac:dyDescent="0.2">
      <c r="C64" s="23"/>
      <c r="D64" s="23"/>
      <c r="E64" s="23"/>
      <c r="F64" s="23"/>
      <c r="G64" s="23"/>
      <c r="H64" s="23"/>
      <c r="I64" s="23"/>
      <c r="J64" s="23"/>
      <c r="K64" s="23"/>
      <c r="L64" s="23"/>
      <c r="M64" s="23"/>
      <c r="N64" s="23"/>
      <c r="O64" s="23"/>
      <c r="P64" s="23"/>
      <c r="Q64" s="23"/>
      <c r="R64" s="23"/>
      <c r="S64" s="23"/>
      <c r="T64" s="23"/>
      <c r="U64" s="23"/>
      <c r="V64" s="23"/>
      <c r="W64" s="23"/>
      <c r="X64" s="23"/>
      <c r="Y64" s="23"/>
      <c r="Z64" s="23"/>
      <c r="AA64" s="23"/>
      <c r="AB64" s="23"/>
      <c r="AC64" s="23"/>
      <c r="AD64" s="23"/>
      <c r="AE64" s="23"/>
      <c r="AF64" s="23"/>
      <c r="AG64" s="23"/>
      <c r="AH64" s="23"/>
      <c r="AI64" s="23"/>
      <c r="AJ64" s="23"/>
      <c r="AK64" s="23"/>
      <c r="AL64" s="23"/>
      <c r="AM64" s="23"/>
      <c r="AN64" s="23"/>
      <c r="AO64" s="23"/>
      <c r="AP64" s="23"/>
      <c r="AQ64" s="23"/>
      <c r="AR64" s="23"/>
      <c r="AS64" s="23"/>
      <c r="AT64" s="23"/>
      <c r="AU64" s="23"/>
      <c r="AV64" s="23"/>
      <c r="AW64" s="23"/>
      <c r="AX64" s="23"/>
      <c r="AY64" s="23"/>
      <c r="AZ64" s="23"/>
      <c r="BA64" s="23"/>
      <c r="BB64" s="23"/>
      <c r="BC64" s="23"/>
      <c r="BD64" s="23"/>
      <c r="BE64" s="23"/>
      <c r="BF64" s="23"/>
      <c r="BG64" s="23"/>
      <c r="BH64" s="23"/>
      <c r="BI64" s="23"/>
      <c r="BJ64" s="23"/>
      <c r="BK64" s="23"/>
      <c r="BL64" s="23"/>
    </row>
    <row r="65" spans="3:64" ht="20.100000000000001" customHeight="1" x14ac:dyDescent="0.2">
      <c r="C65" s="23"/>
      <c r="D65" s="23"/>
      <c r="E65" s="23"/>
      <c r="F65" s="23"/>
      <c r="G65" s="23"/>
      <c r="H65" s="23"/>
      <c r="I65" s="23"/>
      <c r="J65" s="23"/>
      <c r="K65" s="23"/>
      <c r="L65" s="23"/>
      <c r="M65" s="23"/>
      <c r="N65" s="23"/>
      <c r="O65" s="23"/>
      <c r="P65" s="23"/>
      <c r="Q65" s="23"/>
      <c r="R65" s="23"/>
      <c r="S65" s="23"/>
      <c r="T65" s="23"/>
      <c r="U65" s="23"/>
      <c r="V65" s="23"/>
      <c r="W65" s="23"/>
      <c r="X65" s="23"/>
      <c r="Y65" s="23"/>
      <c r="Z65" s="23"/>
      <c r="AA65" s="23"/>
      <c r="AB65" s="23"/>
      <c r="AC65" s="23"/>
      <c r="AD65" s="23"/>
      <c r="AE65" s="23"/>
      <c r="AF65" s="23"/>
      <c r="AG65" s="23"/>
      <c r="AH65" s="23"/>
      <c r="AI65" s="23"/>
      <c r="AJ65" s="23"/>
      <c r="AK65" s="23"/>
      <c r="AL65" s="23"/>
      <c r="AM65" s="23"/>
      <c r="AN65" s="23"/>
      <c r="AO65" s="23"/>
      <c r="AP65" s="23"/>
      <c r="AQ65" s="23"/>
      <c r="AR65" s="23"/>
      <c r="AS65" s="23"/>
      <c r="AT65" s="23"/>
      <c r="AU65" s="23"/>
      <c r="AV65" s="23"/>
      <c r="AW65" s="23"/>
      <c r="AX65" s="23"/>
      <c r="AY65" s="23"/>
      <c r="AZ65" s="23"/>
      <c r="BA65" s="23"/>
      <c r="BB65" s="23"/>
      <c r="BC65" s="23"/>
      <c r="BD65" s="23"/>
      <c r="BE65" s="23"/>
      <c r="BF65" s="23"/>
      <c r="BG65" s="23"/>
      <c r="BH65" s="23"/>
      <c r="BI65" s="23"/>
      <c r="BJ65" s="23"/>
      <c r="BK65" s="23"/>
      <c r="BL65" s="23"/>
    </row>
    <row r="66" spans="3:64" ht="20.100000000000001" customHeight="1" x14ac:dyDescent="0.2">
      <c r="C66" s="23"/>
      <c r="D66" s="23"/>
      <c r="E66" s="23"/>
      <c r="F66" s="23"/>
      <c r="G66" s="23"/>
      <c r="H66" s="23"/>
      <c r="I66" s="23"/>
      <c r="J66" s="23"/>
      <c r="K66" s="23"/>
      <c r="L66" s="23"/>
      <c r="M66" s="23"/>
      <c r="N66" s="23"/>
      <c r="O66" s="23"/>
      <c r="P66" s="23"/>
      <c r="Q66" s="23"/>
      <c r="R66" s="23"/>
      <c r="S66" s="23"/>
      <c r="T66" s="23"/>
      <c r="U66" s="23"/>
      <c r="V66" s="23"/>
      <c r="W66" s="23"/>
      <c r="X66" s="23"/>
      <c r="Y66" s="23"/>
      <c r="Z66" s="23"/>
      <c r="AA66" s="23"/>
      <c r="AB66" s="23"/>
      <c r="AC66" s="23"/>
      <c r="AD66" s="23"/>
      <c r="AE66" s="23"/>
      <c r="AF66" s="23"/>
      <c r="AG66" s="23"/>
      <c r="AH66" s="23"/>
      <c r="AI66" s="23"/>
      <c r="AJ66" s="23"/>
      <c r="AK66" s="23"/>
      <c r="AL66" s="23"/>
      <c r="AM66" s="23"/>
      <c r="AN66" s="23"/>
      <c r="AO66" s="23"/>
      <c r="AP66" s="23"/>
      <c r="AQ66" s="23"/>
      <c r="AR66" s="23"/>
      <c r="AS66" s="23"/>
      <c r="AT66" s="23"/>
      <c r="AU66" s="23"/>
      <c r="AV66" s="23"/>
      <c r="AW66" s="23"/>
      <c r="AX66" s="23"/>
      <c r="AY66" s="23"/>
      <c r="AZ66" s="23"/>
      <c r="BA66" s="23"/>
      <c r="BB66" s="23"/>
      <c r="BC66" s="23"/>
      <c r="BD66" s="23"/>
      <c r="BE66" s="23"/>
      <c r="BF66" s="23"/>
      <c r="BG66" s="23"/>
      <c r="BH66" s="23"/>
      <c r="BI66" s="23"/>
      <c r="BJ66" s="23"/>
      <c r="BK66" s="23"/>
      <c r="BL66" s="23"/>
    </row>
    <row r="67" spans="3:64" ht="20.100000000000001" customHeight="1" x14ac:dyDescent="0.2">
      <c r="C67" s="23"/>
      <c r="D67" s="23"/>
      <c r="E67" s="23"/>
      <c r="F67" s="23"/>
      <c r="G67" s="23"/>
      <c r="H67" s="23"/>
      <c r="I67" s="23"/>
      <c r="J67" s="23"/>
      <c r="K67" s="23"/>
      <c r="L67" s="23"/>
      <c r="M67" s="23"/>
      <c r="N67" s="23"/>
      <c r="O67" s="23"/>
      <c r="P67" s="23"/>
      <c r="Q67" s="23"/>
      <c r="R67" s="23"/>
      <c r="S67" s="23"/>
      <c r="T67" s="23"/>
      <c r="U67" s="23"/>
      <c r="V67" s="23"/>
      <c r="W67" s="23"/>
      <c r="X67" s="23"/>
      <c r="Y67" s="23"/>
      <c r="Z67" s="23"/>
      <c r="AA67" s="23"/>
      <c r="AB67" s="23"/>
      <c r="AC67" s="23"/>
      <c r="AD67" s="23"/>
      <c r="AE67" s="23"/>
      <c r="AF67" s="23"/>
      <c r="AG67" s="23"/>
      <c r="AH67" s="23"/>
      <c r="AI67" s="23"/>
      <c r="AJ67" s="23"/>
      <c r="AK67" s="23"/>
      <c r="AL67" s="23"/>
      <c r="AM67" s="23"/>
      <c r="AN67" s="23"/>
      <c r="AO67" s="23"/>
      <c r="AP67" s="23"/>
      <c r="AQ67" s="23"/>
      <c r="AR67" s="23"/>
      <c r="AS67" s="23"/>
      <c r="AT67" s="23"/>
      <c r="AU67" s="23"/>
      <c r="AV67" s="23"/>
      <c r="AW67" s="23"/>
      <c r="AX67" s="23"/>
      <c r="AY67" s="23"/>
      <c r="AZ67" s="23"/>
      <c r="BA67" s="23"/>
      <c r="BB67" s="23"/>
      <c r="BC67" s="23"/>
      <c r="BD67" s="23"/>
      <c r="BE67" s="23"/>
      <c r="BF67" s="23"/>
      <c r="BG67" s="23"/>
      <c r="BH67" s="23"/>
      <c r="BI67" s="23"/>
      <c r="BJ67" s="23"/>
      <c r="BK67" s="23"/>
      <c r="BL67" s="23"/>
    </row>
    <row r="68" spans="3:64" ht="20.100000000000001" customHeight="1" x14ac:dyDescent="0.2">
      <c r="C68" s="23"/>
      <c r="D68" s="23"/>
      <c r="E68" s="23"/>
      <c r="F68" s="23"/>
      <c r="G68" s="23"/>
      <c r="H68" s="23"/>
      <c r="I68" s="23"/>
      <c r="J68" s="23"/>
      <c r="K68" s="23"/>
      <c r="L68" s="23"/>
      <c r="M68" s="23"/>
      <c r="N68" s="23"/>
      <c r="O68" s="23"/>
      <c r="P68" s="23"/>
      <c r="Q68" s="23"/>
      <c r="R68" s="23"/>
      <c r="S68" s="23"/>
      <c r="T68" s="23"/>
      <c r="U68" s="23"/>
      <c r="V68" s="23"/>
      <c r="W68" s="23"/>
      <c r="X68" s="23"/>
      <c r="Y68" s="23"/>
      <c r="Z68" s="23"/>
      <c r="AA68" s="23"/>
      <c r="AB68" s="23"/>
      <c r="AC68" s="23"/>
      <c r="AD68" s="23"/>
      <c r="AE68" s="23"/>
      <c r="AF68" s="23"/>
      <c r="AG68" s="23"/>
      <c r="AH68" s="23"/>
      <c r="AI68" s="23"/>
      <c r="AJ68" s="23"/>
      <c r="AK68" s="23"/>
      <c r="AL68" s="23"/>
      <c r="AM68" s="23"/>
      <c r="AN68" s="23"/>
      <c r="AO68" s="23"/>
      <c r="AP68" s="23"/>
      <c r="AQ68" s="23"/>
      <c r="AR68" s="23"/>
      <c r="AS68" s="23"/>
      <c r="AT68" s="23"/>
      <c r="AU68" s="23"/>
      <c r="AV68" s="23"/>
      <c r="AW68" s="23"/>
      <c r="AX68" s="23"/>
      <c r="AY68" s="23"/>
      <c r="AZ68" s="23"/>
      <c r="BA68" s="23"/>
      <c r="BB68" s="23"/>
      <c r="BC68" s="23"/>
      <c r="BD68" s="23"/>
      <c r="BE68" s="23"/>
      <c r="BF68" s="23"/>
      <c r="BG68" s="23"/>
      <c r="BH68" s="23"/>
      <c r="BI68" s="23"/>
      <c r="BJ68" s="23"/>
      <c r="BK68" s="23"/>
      <c r="BL68" s="23"/>
    </row>
    <row r="69" spans="3:64" ht="20.100000000000001" customHeight="1" x14ac:dyDescent="0.2">
      <c r="C69" s="23"/>
      <c r="D69" s="23"/>
      <c r="E69" s="23"/>
      <c r="F69" s="23"/>
      <c r="G69" s="23"/>
      <c r="H69" s="23"/>
      <c r="I69" s="23"/>
      <c r="J69" s="23"/>
      <c r="K69" s="23"/>
      <c r="L69" s="23"/>
      <c r="M69" s="23"/>
      <c r="N69" s="23"/>
      <c r="O69" s="23"/>
      <c r="P69" s="23"/>
      <c r="Q69" s="23"/>
      <c r="R69" s="23"/>
      <c r="S69" s="23"/>
      <c r="T69" s="23"/>
      <c r="U69" s="23"/>
      <c r="V69" s="23"/>
      <c r="W69" s="23"/>
      <c r="X69" s="23"/>
      <c r="Y69" s="23"/>
      <c r="Z69" s="23"/>
      <c r="AA69" s="23"/>
      <c r="AB69" s="23"/>
      <c r="AC69" s="23"/>
      <c r="AD69" s="23"/>
      <c r="AE69" s="23"/>
      <c r="AF69" s="23"/>
      <c r="AG69" s="23"/>
      <c r="AH69" s="23"/>
      <c r="AI69" s="23"/>
      <c r="AJ69" s="23"/>
      <c r="AK69" s="23"/>
      <c r="AL69" s="23"/>
      <c r="AM69" s="23"/>
      <c r="AN69" s="23"/>
      <c r="AO69" s="23"/>
      <c r="AP69" s="23"/>
      <c r="AQ69" s="23"/>
      <c r="AR69" s="23"/>
      <c r="AS69" s="23"/>
      <c r="AT69" s="23"/>
      <c r="AU69" s="23"/>
      <c r="AV69" s="23"/>
      <c r="AW69" s="23"/>
      <c r="AX69" s="23"/>
      <c r="AY69" s="23"/>
      <c r="AZ69" s="23"/>
      <c r="BA69" s="23"/>
      <c r="BB69" s="23"/>
      <c r="BC69" s="23"/>
      <c r="BD69" s="23"/>
      <c r="BE69" s="23"/>
      <c r="BF69" s="23"/>
      <c r="BG69" s="23"/>
      <c r="BH69" s="23"/>
      <c r="BI69" s="23"/>
      <c r="BJ69" s="23"/>
      <c r="BK69" s="23"/>
      <c r="BL69" s="23"/>
    </row>
    <row r="70" spans="3:64" ht="20.100000000000001" customHeight="1" x14ac:dyDescent="0.2">
      <c r="C70" s="23"/>
      <c r="D70" s="23"/>
      <c r="E70" s="23"/>
      <c r="F70" s="23"/>
      <c r="G70" s="23"/>
      <c r="H70" s="23"/>
      <c r="I70" s="23"/>
      <c r="J70" s="23"/>
      <c r="K70" s="23"/>
      <c r="L70" s="23"/>
      <c r="M70" s="23"/>
      <c r="N70" s="23"/>
      <c r="O70" s="23"/>
      <c r="P70" s="23"/>
      <c r="Q70" s="23"/>
      <c r="R70" s="23"/>
      <c r="S70" s="23"/>
      <c r="T70" s="23"/>
      <c r="U70" s="23"/>
      <c r="V70" s="23"/>
      <c r="W70" s="23"/>
      <c r="X70" s="23"/>
      <c r="Y70" s="23"/>
      <c r="Z70" s="23"/>
      <c r="AA70" s="23"/>
      <c r="AB70" s="23"/>
      <c r="AC70" s="23"/>
      <c r="AD70" s="23"/>
      <c r="AE70" s="23"/>
      <c r="AF70" s="23"/>
      <c r="AG70" s="23"/>
      <c r="AH70" s="23"/>
      <c r="AI70" s="23"/>
      <c r="AJ70" s="23"/>
      <c r="AK70" s="23"/>
      <c r="AL70" s="23"/>
      <c r="AM70" s="23"/>
      <c r="AN70" s="23"/>
      <c r="AO70" s="23"/>
      <c r="AP70" s="23"/>
      <c r="AQ70" s="23"/>
      <c r="AR70" s="23"/>
      <c r="AS70" s="23"/>
      <c r="AT70" s="23"/>
      <c r="AU70" s="23"/>
      <c r="AV70" s="23"/>
      <c r="AW70" s="23"/>
      <c r="AX70" s="23"/>
      <c r="AY70" s="23"/>
      <c r="AZ70" s="23"/>
      <c r="BA70" s="23"/>
      <c r="BB70" s="23"/>
      <c r="BC70" s="23"/>
      <c r="BD70" s="23"/>
      <c r="BE70" s="23"/>
      <c r="BF70" s="23"/>
      <c r="BG70" s="23"/>
      <c r="BH70" s="23"/>
      <c r="BI70" s="23"/>
      <c r="BJ70" s="23"/>
      <c r="BK70" s="23"/>
      <c r="BL70" s="23"/>
    </row>
    <row r="71" spans="3:64" ht="20.100000000000001" customHeight="1" x14ac:dyDescent="0.2">
      <c r="C71" s="23"/>
      <c r="D71" s="23"/>
      <c r="E71" s="23"/>
      <c r="F71" s="23"/>
      <c r="G71" s="23"/>
      <c r="H71" s="23"/>
      <c r="I71" s="23"/>
      <c r="J71" s="23"/>
      <c r="K71" s="23"/>
      <c r="L71" s="23"/>
      <c r="M71" s="23"/>
      <c r="N71" s="23"/>
      <c r="O71" s="23"/>
      <c r="P71" s="23"/>
      <c r="Q71" s="23"/>
      <c r="R71" s="23"/>
      <c r="S71" s="23"/>
      <c r="T71" s="23"/>
      <c r="U71" s="23"/>
      <c r="V71" s="23"/>
      <c r="W71" s="23"/>
      <c r="X71" s="23"/>
      <c r="Y71" s="23"/>
      <c r="Z71" s="23"/>
      <c r="AA71" s="23"/>
      <c r="AB71" s="23"/>
      <c r="AC71" s="23"/>
      <c r="AD71" s="23"/>
      <c r="AE71" s="23"/>
      <c r="AF71" s="23"/>
      <c r="AG71" s="23"/>
      <c r="AH71" s="23"/>
      <c r="AI71" s="23"/>
      <c r="AJ71" s="23"/>
      <c r="AK71" s="23"/>
      <c r="AL71" s="23"/>
      <c r="AM71" s="23"/>
      <c r="AN71" s="23"/>
      <c r="AO71" s="23"/>
      <c r="AP71" s="23"/>
      <c r="AQ71" s="23"/>
      <c r="AR71" s="23"/>
      <c r="AS71" s="23"/>
      <c r="AT71" s="23"/>
      <c r="AU71" s="23"/>
      <c r="AV71" s="23"/>
      <c r="AW71" s="23"/>
      <c r="AX71" s="23"/>
      <c r="AY71" s="23"/>
      <c r="AZ71" s="23"/>
      <c r="BA71" s="23"/>
      <c r="BB71" s="23"/>
      <c r="BC71" s="23"/>
      <c r="BD71" s="23"/>
      <c r="BE71" s="23"/>
      <c r="BF71" s="23"/>
      <c r="BG71" s="23"/>
      <c r="BH71" s="23"/>
      <c r="BI71" s="23"/>
      <c r="BJ71" s="23"/>
      <c r="BK71" s="23"/>
      <c r="BL71" s="23"/>
    </row>
    <row r="72" spans="3:64" ht="20.100000000000001" customHeight="1" x14ac:dyDescent="0.2">
      <c r="C72" s="23"/>
      <c r="D72" s="23"/>
      <c r="E72" s="23"/>
      <c r="F72" s="23"/>
      <c r="G72" s="23"/>
      <c r="H72" s="23"/>
      <c r="I72" s="23"/>
      <c r="J72" s="23"/>
      <c r="K72" s="23"/>
      <c r="L72" s="23"/>
      <c r="M72" s="23"/>
      <c r="N72" s="23"/>
      <c r="O72" s="23"/>
      <c r="P72" s="23"/>
      <c r="Q72" s="23"/>
      <c r="R72" s="23"/>
      <c r="S72" s="23"/>
      <c r="T72" s="23"/>
      <c r="U72" s="23"/>
      <c r="V72" s="23"/>
      <c r="W72" s="23"/>
      <c r="X72" s="23"/>
      <c r="Y72" s="23"/>
      <c r="Z72" s="23"/>
      <c r="AA72" s="23"/>
      <c r="AB72" s="23"/>
      <c r="AC72" s="23"/>
      <c r="AD72" s="23"/>
      <c r="AE72" s="23"/>
      <c r="AF72" s="23"/>
      <c r="AG72" s="23"/>
      <c r="AH72" s="23"/>
      <c r="AI72" s="23"/>
      <c r="AJ72" s="23"/>
      <c r="AK72" s="23"/>
      <c r="AL72" s="23"/>
      <c r="AM72" s="23"/>
      <c r="AN72" s="23"/>
      <c r="AO72" s="23"/>
      <c r="AP72" s="23"/>
      <c r="AQ72" s="23"/>
      <c r="AR72" s="23"/>
      <c r="AS72" s="23"/>
      <c r="AT72" s="23"/>
      <c r="AU72" s="23"/>
      <c r="AV72" s="23"/>
      <c r="AW72" s="23"/>
      <c r="AX72" s="23"/>
      <c r="AY72" s="23"/>
      <c r="AZ72" s="23"/>
      <c r="BA72" s="23"/>
      <c r="BB72" s="23"/>
      <c r="BC72" s="23"/>
      <c r="BD72" s="23"/>
      <c r="BE72" s="23"/>
      <c r="BF72" s="23"/>
      <c r="BG72" s="23"/>
      <c r="BH72" s="23"/>
      <c r="BI72" s="23"/>
      <c r="BJ72" s="23"/>
      <c r="BK72" s="23"/>
      <c r="BL72" s="23"/>
    </row>
    <row r="73" spans="3:64" ht="20.100000000000001" customHeight="1" x14ac:dyDescent="0.2">
      <c r="C73" s="23"/>
      <c r="D73" s="23"/>
      <c r="E73" s="23"/>
      <c r="F73" s="23"/>
      <c r="G73" s="23"/>
      <c r="H73" s="23"/>
      <c r="I73" s="23"/>
      <c r="J73" s="23"/>
      <c r="K73" s="23"/>
      <c r="L73" s="23"/>
      <c r="M73" s="23"/>
      <c r="N73" s="23"/>
      <c r="O73" s="23"/>
      <c r="P73" s="23"/>
      <c r="Q73" s="23"/>
      <c r="R73" s="23"/>
      <c r="S73" s="23"/>
      <c r="T73" s="23"/>
      <c r="U73" s="23"/>
      <c r="V73" s="23"/>
      <c r="W73" s="23"/>
      <c r="X73" s="23"/>
      <c r="Y73" s="23"/>
      <c r="Z73" s="23"/>
      <c r="AA73" s="23"/>
      <c r="AB73" s="23"/>
      <c r="AC73" s="23"/>
      <c r="AD73" s="23"/>
      <c r="AE73" s="23"/>
      <c r="AF73" s="23"/>
      <c r="AG73" s="23"/>
      <c r="AH73" s="23"/>
      <c r="AI73" s="23"/>
      <c r="AJ73" s="23"/>
      <c r="AK73" s="23"/>
      <c r="AL73" s="23"/>
      <c r="AM73" s="23"/>
      <c r="AN73" s="23"/>
      <c r="AO73" s="23"/>
      <c r="AP73" s="23"/>
      <c r="AQ73" s="23"/>
      <c r="AR73" s="23"/>
      <c r="AS73" s="23"/>
      <c r="AT73" s="23"/>
      <c r="AU73" s="23"/>
      <c r="AV73" s="23"/>
      <c r="AW73" s="23"/>
      <c r="AX73" s="23"/>
      <c r="AY73" s="23"/>
      <c r="AZ73" s="23"/>
      <c r="BA73" s="23"/>
      <c r="BB73" s="23"/>
      <c r="BC73" s="23"/>
      <c r="BD73" s="23"/>
      <c r="BE73" s="23"/>
      <c r="BF73" s="23"/>
      <c r="BG73" s="23"/>
      <c r="BH73" s="23"/>
      <c r="BI73" s="23"/>
      <c r="BJ73" s="23"/>
      <c r="BK73" s="23"/>
      <c r="BL73" s="23"/>
    </row>
    <row r="74" spans="3:64" ht="20.100000000000001" customHeight="1" x14ac:dyDescent="0.2">
      <c r="C74" s="23"/>
      <c r="D74" s="23"/>
      <c r="E74" s="23"/>
      <c r="F74" s="23"/>
      <c r="G74" s="23"/>
      <c r="H74" s="23"/>
      <c r="I74" s="23"/>
      <c r="J74" s="23"/>
      <c r="K74" s="23"/>
      <c r="L74" s="23"/>
      <c r="M74" s="23"/>
      <c r="N74" s="23"/>
      <c r="O74" s="23"/>
      <c r="P74" s="23"/>
      <c r="Q74" s="23"/>
      <c r="R74" s="23"/>
      <c r="S74" s="23"/>
      <c r="T74" s="23"/>
      <c r="U74" s="23"/>
      <c r="V74" s="23"/>
      <c r="W74" s="23"/>
      <c r="X74" s="23"/>
      <c r="Y74" s="23"/>
      <c r="Z74" s="23"/>
      <c r="AA74" s="23"/>
      <c r="AB74" s="23"/>
      <c r="AC74" s="23"/>
      <c r="AD74" s="23"/>
      <c r="AE74" s="23"/>
      <c r="AF74" s="23"/>
      <c r="AG74" s="23"/>
      <c r="AH74" s="23"/>
      <c r="AI74" s="23"/>
      <c r="AJ74" s="23"/>
      <c r="AK74" s="23"/>
      <c r="AL74" s="23"/>
      <c r="AM74" s="23"/>
      <c r="AN74" s="23"/>
      <c r="AO74" s="23"/>
      <c r="AP74" s="23"/>
      <c r="AQ74" s="23"/>
      <c r="AR74" s="23"/>
      <c r="AS74" s="23"/>
      <c r="AT74" s="23"/>
      <c r="AU74" s="23"/>
      <c r="AV74" s="23"/>
      <c r="AW74" s="23"/>
      <c r="AX74" s="23"/>
      <c r="AY74" s="23"/>
      <c r="AZ74" s="23"/>
      <c r="BA74" s="23"/>
      <c r="BB74" s="23"/>
      <c r="BC74" s="23"/>
      <c r="BD74" s="23"/>
      <c r="BE74" s="23"/>
      <c r="BF74" s="23"/>
      <c r="BG74" s="23"/>
      <c r="BH74" s="23"/>
      <c r="BI74" s="23"/>
      <c r="BJ74" s="23"/>
      <c r="BK74" s="23"/>
      <c r="BL74" s="23"/>
    </row>
    <row r="75" spans="3:64" ht="20.100000000000001" customHeight="1" x14ac:dyDescent="0.2">
      <c r="C75" s="23"/>
      <c r="D75" s="23"/>
      <c r="E75" s="23"/>
      <c r="F75" s="23"/>
      <c r="G75" s="23"/>
      <c r="H75" s="23"/>
      <c r="I75" s="23"/>
      <c r="J75" s="23"/>
      <c r="K75" s="23"/>
      <c r="L75" s="23"/>
      <c r="M75" s="23"/>
      <c r="N75" s="23"/>
      <c r="O75" s="23"/>
      <c r="P75" s="23"/>
      <c r="Q75" s="23"/>
      <c r="R75" s="23"/>
      <c r="S75" s="23"/>
      <c r="T75" s="23"/>
      <c r="U75" s="23"/>
      <c r="V75" s="23"/>
      <c r="W75" s="23"/>
      <c r="X75" s="23"/>
      <c r="Y75" s="23"/>
      <c r="Z75" s="23"/>
      <c r="AA75" s="23"/>
      <c r="AB75" s="23"/>
      <c r="AC75" s="23"/>
      <c r="AD75" s="23"/>
      <c r="AE75" s="23"/>
      <c r="AF75" s="23"/>
      <c r="AG75" s="23"/>
      <c r="AH75" s="23"/>
      <c r="AI75" s="23"/>
      <c r="AJ75" s="23"/>
      <c r="AK75" s="23"/>
      <c r="AL75" s="23"/>
      <c r="AM75" s="23"/>
      <c r="AN75" s="23"/>
      <c r="AO75" s="23"/>
      <c r="AP75" s="23"/>
      <c r="AQ75" s="23"/>
      <c r="AR75" s="23"/>
      <c r="AS75" s="23"/>
      <c r="AT75" s="23"/>
      <c r="AU75" s="23"/>
      <c r="AV75" s="23"/>
      <c r="AW75" s="23"/>
      <c r="AX75" s="23"/>
      <c r="AY75" s="23"/>
      <c r="AZ75" s="23"/>
      <c r="BA75" s="23"/>
      <c r="BB75" s="23"/>
      <c r="BC75" s="23"/>
      <c r="BD75" s="23"/>
      <c r="BE75" s="23"/>
      <c r="BF75" s="23"/>
      <c r="BG75" s="23"/>
      <c r="BH75" s="23"/>
      <c r="BI75" s="23"/>
      <c r="BJ75" s="23"/>
      <c r="BK75" s="23"/>
      <c r="BL75" s="23"/>
    </row>
    <row r="76" spans="3:64" ht="20.100000000000001" customHeight="1" x14ac:dyDescent="0.2">
      <c r="C76" s="23"/>
      <c r="D76" s="23"/>
      <c r="E76" s="23"/>
      <c r="F76" s="23"/>
      <c r="G76" s="23"/>
      <c r="H76" s="23"/>
      <c r="I76" s="23"/>
      <c r="J76" s="23"/>
      <c r="K76" s="23"/>
      <c r="L76" s="23"/>
      <c r="M76" s="23"/>
      <c r="N76" s="23"/>
      <c r="O76" s="23"/>
      <c r="P76" s="23"/>
      <c r="Q76" s="23"/>
      <c r="R76" s="23"/>
      <c r="S76" s="23"/>
      <c r="T76" s="23"/>
      <c r="U76" s="23"/>
      <c r="V76" s="23"/>
      <c r="W76" s="23"/>
      <c r="X76" s="23"/>
      <c r="Y76" s="23"/>
      <c r="Z76" s="23"/>
      <c r="AA76" s="23"/>
      <c r="AB76" s="23"/>
      <c r="AC76" s="23"/>
      <c r="AD76" s="23"/>
      <c r="AE76" s="23"/>
      <c r="AF76" s="23"/>
      <c r="AG76" s="23"/>
      <c r="AH76" s="23"/>
      <c r="AI76" s="23"/>
      <c r="AJ76" s="23"/>
      <c r="AK76" s="23"/>
      <c r="AL76" s="23"/>
      <c r="AM76" s="23"/>
      <c r="AN76" s="23"/>
      <c r="AO76" s="23"/>
      <c r="AP76" s="23"/>
      <c r="AQ76" s="23"/>
      <c r="AR76" s="23"/>
      <c r="AS76" s="23"/>
      <c r="AT76" s="23"/>
      <c r="AU76" s="23"/>
      <c r="AV76" s="23"/>
      <c r="AW76" s="23"/>
      <c r="AX76" s="23"/>
      <c r="AY76" s="23"/>
      <c r="AZ76" s="23"/>
      <c r="BA76" s="23"/>
      <c r="BB76" s="23"/>
      <c r="BC76" s="23"/>
      <c r="BD76" s="23"/>
      <c r="BE76" s="23"/>
      <c r="BF76" s="23"/>
      <c r="BG76" s="23"/>
      <c r="BH76" s="23"/>
      <c r="BI76" s="23"/>
      <c r="BJ76" s="23"/>
      <c r="BK76" s="23"/>
      <c r="BL76" s="23"/>
    </row>
    <row r="77" spans="3:64" ht="20.100000000000001" customHeight="1" x14ac:dyDescent="0.2">
      <c r="C77" s="23"/>
      <c r="D77" s="23"/>
      <c r="E77" s="23"/>
      <c r="F77" s="23"/>
      <c r="G77" s="23"/>
      <c r="H77" s="23"/>
      <c r="I77" s="23"/>
      <c r="J77" s="23"/>
      <c r="K77" s="23"/>
      <c r="L77" s="23"/>
      <c r="M77" s="23"/>
      <c r="N77" s="23"/>
      <c r="O77" s="23"/>
      <c r="P77" s="23"/>
      <c r="Q77" s="23"/>
      <c r="R77" s="23"/>
      <c r="S77" s="23"/>
      <c r="T77" s="23"/>
      <c r="U77" s="23"/>
      <c r="V77" s="23"/>
      <c r="W77" s="23"/>
      <c r="X77" s="23"/>
      <c r="Y77" s="23"/>
      <c r="Z77" s="23"/>
      <c r="AA77" s="23"/>
      <c r="AB77" s="23"/>
      <c r="AC77" s="23"/>
      <c r="AD77" s="23"/>
      <c r="AE77" s="23"/>
      <c r="AF77" s="23"/>
      <c r="AG77" s="23"/>
      <c r="AH77" s="23"/>
      <c r="AI77" s="23"/>
      <c r="AJ77" s="23"/>
      <c r="AK77" s="23"/>
      <c r="AL77" s="23"/>
      <c r="AM77" s="23"/>
      <c r="AN77" s="23"/>
      <c r="AO77" s="23"/>
      <c r="AP77" s="23"/>
      <c r="AQ77" s="23"/>
      <c r="AR77" s="23"/>
      <c r="AS77" s="23"/>
      <c r="AT77" s="23"/>
      <c r="AU77" s="23"/>
      <c r="AV77" s="23"/>
      <c r="AW77" s="23"/>
      <c r="AX77" s="23"/>
      <c r="AY77" s="23"/>
      <c r="AZ77" s="23"/>
      <c r="BA77" s="23"/>
      <c r="BB77" s="23"/>
      <c r="BC77" s="23"/>
      <c r="BD77" s="23"/>
      <c r="BE77" s="23"/>
      <c r="BF77" s="23"/>
      <c r="BG77" s="23"/>
      <c r="BH77" s="23"/>
      <c r="BI77" s="23"/>
      <c r="BJ77" s="23"/>
      <c r="BK77" s="23"/>
      <c r="BL77" s="23"/>
    </row>
    <row r="78" spans="3:64" ht="20.100000000000001" customHeight="1" x14ac:dyDescent="0.2">
      <c r="C78" s="23"/>
      <c r="D78" s="23"/>
      <c r="E78" s="23"/>
      <c r="F78" s="23"/>
      <c r="G78" s="23"/>
      <c r="H78" s="23"/>
      <c r="I78" s="23"/>
      <c r="J78" s="23"/>
      <c r="K78" s="23"/>
      <c r="L78" s="23"/>
      <c r="M78" s="23"/>
      <c r="N78" s="23"/>
      <c r="O78" s="23"/>
      <c r="P78" s="23"/>
      <c r="Q78" s="23"/>
      <c r="R78" s="23"/>
      <c r="S78" s="23"/>
      <c r="T78" s="23"/>
      <c r="U78" s="23"/>
      <c r="V78" s="23"/>
      <c r="W78" s="23"/>
      <c r="X78" s="23"/>
      <c r="Y78" s="23"/>
      <c r="Z78" s="23"/>
      <c r="AA78" s="23"/>
      <c r="AB78" s="23"/>
      <c r="AC78" s="23"/>
      <c r="AD78" s="23"/>
      <c r="AE78" s="23"/>
      <c r="AF78" s="23"/>
      <c r="AG78" s="23"/>
      <c r="AH78" s="23"/>
      <c r="AI78" s="23"/>
      <c r="AJ78" s="23"/>
      <c r="AK78" s="23"/>
      <c r="AL78" s="23"/>
      <c r="AM78" s="23"/>
      <c r="AN78" s="23"/>
      <c r="AO78" s="23"/>
      <c r="AP78" s="23"/>
      <c r="AQ78" s="23"/>
      <c r="AR78" s="23"/>
      <c r="AS78" s="23"/>
      <c r="AT78" s="23"/>
      <c r="AU78" s="23"/>
      <c r="AV78" s="23"/>
      <c r="AW78" s="23"/>
      <c r="AX78" s="23"/>
      <c r="AY78" s="23"/>
      <c r="AZ78" s="23"/>
      <c r="BA78" s="23"/>
      <c r="BB78" s="23"/>
      <c r="BC78" s="23"/>
      <c r="BD78" s="23"/>
      <c r="BE78" s="23"/>
      <c r="BF78" s="23"/>
      <c r="BG78" s="23"/>
      <c r="BH78" s="23"/>
      <c r="BI78" s="23"/>
      <c r="BJ78" s="23"/>
      <c r="BK78" s="23"/>
      <c r="BL78" s="23"/>
    </row>
    <row r="79" spans="3:64" ht="20.100000000000001" customHeight="1" x14ac:dyDescent="0.2">
      <c r="C79" s="23"/>
      <c r="D79" s="23"/>
      <c r="E79" s="23"/>
      <c r="F79" s="23"/>
      <c r="G79" s="23"/>
      <c r="H79" s="23"/>
      <c r="I79" s="23"/>
      <c r="J79" s="23"/>
      <c r="K79" s="23"/>
      <c r="L79" s="23"/>
      <c r="M79" s="23"/>
      <c r="N79" s="23"/>
      <c r="O79" s="23"/>
      <c r="P79" s="23"/>
      <c r="Q79" s="23"/>
      <c r="R79" s="23"/>
      <c r="S79" s="23"/>
      <c r="T79" s="23"/>
      <c r="U79" s="23"/>
      <c r="V79" s="23"/>
      <c r="W79" s="23"/>
      <c r="X79" s="23"/>
      <c r="Y79" s="23"/>
      <c r="Z79" s="23"/>
      <c r="AA79" s="23"/>
      <c r="AB79" s="23"/>
      <c r="AC79" s="23"/>
      <c r="AD79" s="23"/>
      <c r="AE79" s="23"/>
      <c r="AF79" s="23"/>
      <c r="AG79" s="23"/>
      <c r="AH79" s="23"/>
      <c r="AI79" s="23"/>
      <c r="AJ79" s="23"/>
      <c r="AK79" s="23"/>
      <c r="AL79" s="23"/>
      <c r="AM79" s="23"/>
      <c r="AN79" s="23"/>
      <c r="AO79" s="23"/>
      <c r="AP79" s="23"/>
      <c r="AQ79" s="23"/>
      <c r="AR79" s="23"/>
      <c r="AS79" s="23"/>
      <c r="AT79" s="23"/>
      <c r="AU79" s="23"/>
      <c r="AV79" s="23"/>
      <c r="AW79" s="23"/>
      <c r="AX79" s="23"/>
      <c r="AY79" s="23"/>
      <c r="AZ79" s="23"/>
      <c r="BA79" s="23"/>
      <c r="BB79" s="23"/>
      <c r="BC79" s="23"/>
      <c r="BD79" s="23"/>
      <c r="BE79" s="23"/>
      <c r="BF79" s="23"/>
      <c r="BG79" s="23"/>
      <c r="BH79" s="23"/>
      <c r="BI79" s="23"/>
      <c r="BJ79" s="23"/>
      <c r="BK79" s="23"/>
      <c r="BL79" s="23"/>
    </row>
    <row r="80" spans="3:64" ht="20.100000000000001" customHeight="1" x14ac:dyDescent="0.2">
      <c r="C80" s="23"/>
      <c r="D80" s="23"/>
      <c r="E80" s="23"/>
      <c r="F80" s="23"/>
      <c r="G80" s="23"/>
      <c r="H80" s="23"/>
      <c r="I80" s="23"/>
      <c r="J80" s="23"/>
      <c r="K80" s="23"/>
      <c r="L80" s="23"/>
      <c r="M80" s="23"/>
      <c r="N80" s="23"/>
      <c r="O80" s="23"/>
      <c r="P80" s="23"/>
      <c r="Q80" s="23"/>
      <c r="R80" s="23"/>
      <c r="S80" s="23"/>
      <c r="T80" s="23"/>
      <c r="U80" s="23"/>
      <c r="V80" s="23"/>
      <c r="W80" s="23"/>
      <c r="X80" s="23"/>
      <c r="Y80" s="23"/>
      <c r="Z80" s="23"/>
      <c r="AA80" s="23"/>
      <c r="AB80" s="23"/>
      <c r="AC80" s="23"/>
      <c r="AD80" s="23"/>
      <c r="AE80" s="23"/>
      <c r="AF80" s="23"/>
      <c r="AG80" s="23"/>
      <c r="AH80" s="23"/>
      <c r="AI80" s="23"/>
      <c r="AJ80" s="23"/>
      <c r="AK80" s="23"/>
      <c r="AL80" s="23"/>
      <c r="AM80" s="23"/>
      <c r="AN80" s="23"/>
      <c r="AO80" s="23"/>
      <c r="AP80" s="23"/>
      <c r="AQ80" s="23"/>
      <c r="AR80" s="23"/>
      <c r="AS80" s="23"/>
      <c r="AT80" s="23"/>
      <c r="AU80" s="23"/>
      <c r="AV80" s="23"/>
      <c r="AW80" s="23"/>
      <c r="AX80" s="23"/>
      <c r="AY80" s="23"/>
      <c r="AZ80" s="23"/>
      <c r="BA80" s="23"/>
      <c r="BB80" s="23"/>
      <c r="BC80" s="23"/>
      <c r="BD80" s="23"/>
      <c r="BE80" s="23"/>
      <c r="BF80" s="23"/>
      <c r="BG80" s="23"/>
      <c r="BH80" s="23"/>
      <c r="BI80" s="23"/>
      <c r="BJ80" s="23"/>
      <c r="BK80" s="23"/>
      <c r="BL80" s="23"/>
    </row>
    <row r="81" spans="3:64" ht="20.100000000000001" customHeight="1" x14ac:dyDescent="0.2">
      <c r="C81" s="23"/>
      <c r="D81" s="23"/>
      <c r="E81" s="23"/>
      <c r="F81" s="23"/>
      <c r="G81" s="23"/>
      <c r="H81" s="23"/>
      <c r="I81" s="23"/>
      <c r="J81" s="23"/>
      <c r="K81" s="23"/>
      <c r="L81" s="23"/>
      <c r="M81" s="23"/>
      <c r="N81" s="23"/>
      <c r="O81" s="23"/>
      <c r="P81" s="23"/>
      <c r="Q81" s="23"/>
      <c r="R81" s="23"/>
      <c r="S81" s="23"/>
      <c r="T81" s="23"/>
      <c r="U81" s="23"/>
      <c r="V81" s="23"/>
      <c r="W81" s="23"/>
      <c r="X81" s="23"/>
      <c r="Y81" s="23"/>
      <c r="Z81" s="23"/>
      <c r="AA81" s="23"/>
      <c r="AB81" s="23"/>
      <c r="AC81" s="23"/>
      <c r="AD81" s="23"/>
      <c r="AE81" s="23"/>
      <c r="AF81" s="23"/>
      <c r="AG81" s="23"/>
      <c r="AH81" s="23"/>
      <c r="AI81" s="23"/>
      <c r="AJ81" s="23"/>
      <c r="AK81" s="23"/>
      <c r="AL81" s="23"/>
      <c r="AM81" s="23"/>
      <c r="AN81" s="23"/>
      <c r="AO81" s="23"/>
      <c r="AP81" s="23"/>
      <c r="AQ81" s="23"/>
      <c r="AR81" s="23"/>
      <c r="AS81" s="23"/>
      <c r="AT81" s="23"/>
      <c r="AU81" s="23"/>
      <c r="AV81" s="23"/>
      <c r="AW81" s="23"/>
      <c r="AX81" s="23"/>
      <c r="AY81" s="23"/>
      <c r="AZ81" s="23"/>
      <c r="BA81" s="23"/>
      <c r="BB81" s="23"/>
      <c r="BC81" s="23"/>
      <c r="BD81" s="23"/>
      <c r="BE81" s="23"/>
      <c r="BF81" s="23"/>
      <c r="BG81" s="23"/>
      <c r="BH81" s="23"/>
      <c r="BI81" s="23"/>
      <c r="BJ81" s="23"/>
      <c r="BK81" s="23"/>
      <c r="BL81" s="23"/>
    </row>
    <row r="82" spans="3:64" ht="20.100000000000001" customHeight="1" x14ac:dyDescent="0.2">
      <c r="C82" s="23"/>
      <c r="D82" s="23"/>
      <c r="E82" s="23"/>
      <c r="F82" s="23"/>
      <c r="G82" s="23"/>
      <c r="H82" s="23"/>
      <c r="I82" s="23"/>
      <c r="J82" s="23"/>
      <c r="K82" s="23"/>
      <c r="L82" s="23"/>
      <c r="M82" s="23"/>
      <c r="N82" s="23"/>
      <c r="O82" s="23"/>
      <c r="P82" s="23"/>
      <c r="Q82" s="23"/>
      <c r="R82" s="23"/>
      <c r="S82" s="23"/>
      <c r="T82" s="23"/>
      <c r="U82" s="23"/>
      <c r="V82" s="23"/>
      <c r="W82" s="23"/>
      <c r="X82" s="23"/>
      <c r="Y82" s="23"/>
      <c r="Z82" s="23"/>
      <c r="AA82" s="23"/>
      <c r="AB82" s="23"/>
      <c r="AC82" s="23"/>
      <c r="AD82" s="23"/>
      <c r="AE82" s="23"/>
      <c r="AF82" s="23"/>
      <c r="AG82" s="23"/>
      <c r="AH82" s="23"/>
      <c r="AI82" s="23"/>
      <c r="AJ82" s="23"/>
      <c r="AK82" s="23"/>
      <c r="AL82" s="23"/>
      <c r="AM82" s="23"/>
      <c r="AN82" s="23"/>
      <c r="AO82" s="23"/>
      <c r="AP82" s="23"/>
      <c r="AQ82" s="23"/>
      <c r="AR82" s="23"/>
      <c r="AS82" s="23"/>
      <c r="AT82" s="23"/>
      <c r="AU82" s="23"/>
      <c r="AV82" s="23"/>
      <c r="AW82" s="23"/>
      <c r="AX82" s="23"/>
      <c r="AY82" s="23"/>
      <c r="AZ82" s="23"/>
      <c r="BA82" s="23"/>
      <c r="BB82" s="23"/>
      <c r="BC82" s="23"/>
      <c r="BD82" s="23"/>
      <c r="BE82" s="23"/>
      <c r="BF82" s="23"/>
      <c r="BG82" s="23"/>
      <c r="BH82" s="23"/>
      <c r="BI82" s="23"/>
      <c r="BJ82" s="23"/>
      <c r="BK82" s="23"/>
      <c r="BL82" s="23"/>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7"/>
  <sheetViews>
    <sheetView showGridLines="0" zoomScaleNormal="100" workbookViewId="0">
      <selection activeCell="A25" sqref="A25"/>
    </sheetView>
  </sheetViews>
  <sheetFormatPr defaultRowHeight="20.100000000000001" customHeight="1" x14ac:dyDescent="0.2"/>
  <cols>
    <col min="1" max="1" width="30.7109375" customWidth="1"/>
    <col min="2" max="3" width="2.7109375" customWidth="1"/>
    <col min="4" max="4" width="97.42578125" customWidth="1"/>
    <col min="5" max="10" width="30.7109375" customWidth="1"/>
    <col min="11" max="11" width="7.42578125" customWidth="1"/>
    <col min="12" max="26" width="28.7109375" customWidth="1"/>
  </cols>
  <sheetData>
    <row r="1" spans="1:11" ht="30" customHeight="1" x14ac:dyDescent="0.35">
      <c r="A1" s="67" t="e" vm="1">
        <v>#VALUE!</v>
      </c>
      <c r="C1" s="120" t="s">
        <v>311</v>
      </c>
    </row>
    <row r="2" spans="1:11" ht="20.100000000000001" customHeight="1" x14ac:dyDescent="0.2">
      <c r="C2" s="9"/>
    </row>
    <row r="3" spans="1:11" ht="20.100000000000001" customHeight="1" x14ac:dyDescent="0.2">
      <c r="A3" s="17" t="str">
        <f>HYPERLINK("#'Home'!A1", "Home")</f>
        <v>Home</v>
      </c>
      <c r="C3" s="23"/>
      <c r="D3" s="23"/>
      <c r="E3" s="23"/>
      <c r="F3" s="23"/>
      <c r="G3" s="23"/>
      <c r="H3" s="23"/>
      <c r="I3" s="23"/>
      <c r="J3" s="23"/>
      <c r="K3" s="23"/>
    </row>
    <row r="4" spans="1:11" ht="20.100000000000001" customHeight="1" x14ac:dyDescent="0.2">
      <c r="A4" s="17" t="str">
        <f>HYPERLINK("#'Overview'!A1", "Overview")</f>
        <v>Overview</v>
      </c>
      <c r="C4" s="23"/>
      <c r="D4" s="6" t="s">
        <v>2</v>
      </c>
      <c r="E4" s="25"/>
      <c r="F4" s="25"/>
      <c r="G4" s="25"/>
      <c r="H4" s="6"/>
      <c r="I4" s="6"/>
      <c r="J4" s="6"/>
      <c r="K4" s="26"/>
    </row>
    <row r="5" spans="1:11" ht="20.100000000000001" customHeight="1" x14ac:dyDescent="0.25">
      <c r="A5" s="119" t="str">
        <f>HYPERLINK("#'Results'!A1", "Results")</f>
        <v>Results</v>
      </c>
      <c r="C5" s="23"/>
      <c r="D5" s="27"/>
      <c r="E5" s="28"/>
      <c r="F5" s="28"/>
      <c r="G5" s="28"/>
      <c r="H5" s="25"/>
      <c r="I5" s="23"/>
      <c r="J5" s="23"/>
      <c r="K5" s="23"/>
    </row>
    <row r="6" spans="1:11" ht="20.100000000000001" customHeight="1" x14ac:dyDescent="0.2">
      <c r="C6" s="23"/>
      <c r="D6" s="118" t="s">
        <v>135</v>
      </c>
      <c r="E6" s="118" t="s">
        <v>376</v>
      </c>
      <c r="F6" s="118" t="s">
        <v>377</v>
      </c>
      <c r="G6" s="118" t="s">
        <v>152</v>
      </c>
      <c r="H6" s="118" t="s">
        <v>382</v>
      </c>
      <c r="I6" s="118" t="s">
        <v>383</v>
      </c>
      <c r="J6" s="118" t="s">
        <v>153</v>
      </c>
      <c r="K6" s="23"/>
    </row>
    <row r="7" spans="1:11" ht="20.100000000000001" customHeight="1" x14ac:dyDescent="0.2">
      <c r="C7" s="23"/>
      <c r="D7" s="1" t="s">
        <v>378</v>
      </c>
      <c r="E7" s="113">
        <f ca="1">VEERG_4_3_1_1__1_TotalAnnualMethaneFromManureManagement_Result_Method1</f>
        <v>10.314345551795777</v>
      </c>
      <c r="F7" s="113">
        <f ca="1">VEERG_4_3_1_1__1_TotalAnnualMethaneFromManureManagement_Result_Method2</f>
        <v>10.64070664267806</v>
      </c>
      <c r="G7" s="55" t="str">
        <f>'4.3.1.1-2 Methane'!$F$300</f>
        <v>t CH4</v>
      </c>
      <c r="H7" s="113">
        <f ca="1">'4.3.1.1-2 Methane'!$E$305</f>
        <v>288.80167545028172</v>
      </c>
      <c r="I7" s="113">
        <f ca="1">'4.3.1.1-2 Methane'!$P$305</f>
        <v>297.9397859949857</v>
      </c>
      <c r="J7" s="55" t="str">
        <f>'4.3.1.1-2 Methane'!$F$305</f>
        <v>t CO2e</v>
      </c>
      <c r="K7" s="23"/>
    </row>
    <row r="8" spans="1:11" ht="20.100000000000001" customHeight="1" x14ac:dyDescent="0.2">
      <c r="A8" s="19" t="s">
        <v>0</v>
      </c>
      <c r="C8" s="23"/>
      <c r="D8" s="1" t="s">
        <v>379</v>
      </c>
      <c r="E8" s="113">
        <f>VEERG_4_3_1_3__1_TotalAnnualDirectNitrousOxideEmissionsFromMMS_Result_Method1</f>
        <v>5.8975625860183567E-2</v>
      </c>
      <c r="F8" s="113">
        <f>VEERG_4_3_1_3__1_TotalAnnualDirectNitrousOxideEmissionsFromMMS_Result_Method2</f>
        <v>5.8975625860183567E-2</v>
      </c>
      <c r="G8" s="55" t="str">
        <f>'4.3.1.3-4 Direct N20'!$F$287</f>
        <v>t N2O</v>
      </c>
      <c r="H8" s="113">
        <f>'4.3.1.3-4 Direct N20'!$E$292</f>
        <v>15.628540852948646</v>
      </c>
      <c r="I8" s="113">
        <f>'4.3.1.3-4 Direct N20'!$O$292</f>
        <v>15.628540852948646</v>
      </c>
      <c r="J8" s="55" t="str">
        <f>'4.3.1.3-4 Direct N20'!$F$292</f>
        <v>t CO2e</v>
      </c>
      <c r="K8" s="23"/>
    </row>
    <row r="9" spans="1:11" ht="20.100000000000001" customHeight="1" x14ac:dyDescent="0.2">
      <c r="A9" s="17" t="str">
        <f>HYPERLINK("#'Input - Site'!A1", "Site")</f>
        <v>Site</v>
      </c>
      <c r="C9" s="23"/>
      <c r="D9" s="1" t="s">
        <v>380</v>
      </c>
      <c r="E9" s="113">
        <f>VEERG_4_3_1_5__1_AnnualAtmosphericDepositionEmissionsFromMMS_Result_Method1</f>
        <v>4.7299753181434263E-2</v>
      </c>
      <c r="F9" s="113">
        <f>VEERG_4_3_1_5__1_AnnualAtmosphericDepositionEmissionsFromMMS_Result_Method2</f>
        <v>4.7299753181434263E-2</v>
      </c>
      <c r="G9" s="55" t="str">
        <f>'4.3.1.5 Atmos deposition'!$F$68</f>
        <v>t N2O</v>
      </c>
      <c r="H9" s="113">
        <f>'4.3.1.5 Atmos deposition'!$E$73</f>
        <v>12.53443459308008</v>
      </c>
      <c r="I9" s="113">
        <f>'4.3.1.5 Atmos deposition'!$P$73</f>
        <v>12.53443459308008</v>
      </c>
      <c r="J9" s="55" t="str">
        <f>'4.3.1.5 Atmos deposition'!$F$73</f>
        <v>t CO2e</v>
      </c>
      <c r="K9" s="23"/>
    </row>
    <row r="10" spans="1:11" ht="20.100000000000001" customHeight="1" x14ac:dyDescent="0.2">
      <c r="A10" s="17" t="str">
        <f>HYPERLINK("#'Input - Dairy'!A1", "Dairy")</f>
        <v>Dairy</v>
      </c>
      <c r="C10" s="23"/>
      <c r="D10" s="1" t="s">
        <v>381</v>
      </c>
      <c r="E10" s="113">
        <f>VEERG_4_3_1_6__1_AnnualEmissionsFromLeachingAndRunoffFromMMS_Result_Method1</f>
        <v>2.5949275378480772E-3</v>
      </c>
      <c r="F10" s="113">
        <f>VEERG_4_3_1_6__1_AnnualEmissionsFromLeachingAndRunoffFromMMS_Result_Method2</f>
        <v>2.5949275378480772E-3</v>
      </c>
      <c r="G10" s="55" t="str">
        <f>'4.3.1.6-7 Leaching and runoff'!$F$52</f>
        <v>t N2O</v>
      </c>
      <c r="H10" s="113">
        <f>'4.3.1.6-7 Leaching and runoff'!$E$57</f>
        <v>0.68765579752974049</v>
      </c>
      <c r="I10" s="113">
        <f>'4.3.1.6-7 Leaching and runoff'!$P$57</f>
        <v>0.68765579752974049</v>
      </c>
      <c r="J10" s="55" t="str">
        <f>'4.3.1.6-7 Leaching and runoff'!$F$57</f>
        <v>t CO2e</v>
      </c>
      <c r="K10" s="23"/>
    </row>
    <row r="11" spans="1:11" ht="20.100000000000001" customHeight="1" x14ac:dyDescent="0.2">
      <c r="C11" s="23"/>
      <c r="D11" s="1" t="s">
        <v>348</v>
      </c>
      <c r="E11" s="113">
        <f>VEERG_4_3_1_9__1_DirectNitrousOxideEmissionsOnPasture_Result_Method1</f>
        <v>7.4716451267705888E-2</v>
      </c>
      <c r="F11" s="113">
        <f>VEERG_4_3_1_9__1_DirectNitrousOxideEmissionsOnPasture_Result_Method2</f>
        <v>7.4716451267705888E-2</v>
      </c>
      <c r="G11" s="55" t="str">
        <f>'4.3.1.9 Soil direct N2O'!$F$53</f>
        <v>t N2O</v>
      </c>
      <c r="H11" s="113">
        <f>'4.3.1.9 Soil direct N2O'!$E$58</f>
        <v>19.799859585942059</v>
      </c>
      <c r="I11" s="113">
        <f>'4.3.1.9 Soil direct N2O'!$P$58</f>
        <v>19.799859585942059</v>
      </c>
      <c r="J11" s="55" t="str">
        <f>'4.3.1.9 Soil direct N2O'!$F$58</f>
        <v>t CO2e</v>
      </c>
      <c r="K11" s="23"/>
    </row>
    <row r="12" spans="1:11" ht="20.100000000000001" customHeight="1" x14ac:dyDescent="0.2">
      <c r="C12" s="23"/>
      <c r="D12" s="1" t="s">
        <v>364</v>
      </c>
      <c r="E12" s="113">
        <f>VEERG_4_3_1_10__1_AtmosphericDepositionEmissionsFromUrineAndDungOnPasture_Result_Method1</f>
        <v>4.6286841560343794E-2</v>
      </c>
      <c r="F12" s="113">
        <f>VEERG_4_3_1_10__1_AtmosphericDepositionEmissionsFromUrineAndDungOnPasture_Result_Method2</f>
        <v>4.6286841560343794E-2</v>
      </c>
      <c r="G12" s="55" t="str">
        <f>'4.3.1.10-11 Soil Atmos Dep'!$F$45</f>
        <v>t N2O</v>
      </c>
      <c r="H12" s="113">
        <f>'4.3.1.10-11 Soil Atmos Dep'!$E$50</f>
        <v>12.266013013491106</v>
      </c>
      <c r="I12" s="113">
        <f>'4.3.1.10-11 Soil Atmos Dep'!$P$50</f>
        <v>12.266013013491106</v>
      </c>
      <c r="J12" s="55" t="str">
        <f>'4.3.1.10-11 Soil Atmos Dep'!$F$50</f>
        <v>t CO2e</v>
      </c>
      <c r="K12" s="23"/>
    </row>
    <row r="13" spans="1:11" ht="20.100000000000001" customHeight="1" x14ac:dyDescent="0.2">
      <c r="A13" s="18" t="s">
        <v>73</v>
      </c>
      <c r="C13" s="23"/>
      <c r="D13" s="1" t="s">
        <v>365</v>
      </c>
      <c r="E13" s="113">
        <f>VEERG_4_3_1_12__1_LeachingAndRunoffEmissionsFromUrineAndDungOnPasture_Result_Method1</f>
        <v>9.8625715673371778E-2</v>
      </c>
      <c r="F13" s="113">
        <f>VEERG_4_3_1_12__1_LeachingAndRunoffEmissionsFromUrineAndDungOnPasture_Result_Method2</f>
        <v>9.8625715673371778E-2</v>
      </c>
      <c r="G13" s="55" t="str">
        <f>'4.3.1.12-13 Soil leach runoff'!$F$47</f>
        <v>t N2O</v>
      </c>
      <c r="H13" s="113">
        <f>'4.3.1.12-13 Soil leach runoff'!$E$52</f>
        <v>26.135814653443521</v>
      </c>
      <c r="I13" s="113">
        <f>'4.3.1.12-13 Soil leach runoff'!$P$52</f>
        <v>26.135814653443521</v>
      </c>
      <c r="J13" s="55" t="str">
        <f>'4.3.1.12-13 Soil leach runoff'!$F$52</f>
        <v>t CO2e</v>
      </c>
      <c r="K13" s="23"/>
    </row>
    <row r="14" spans="1:11" ht="20.100000000000001" customHeight="1" x14ac:dyDescent="0.25">
      <c r="A14" s="17" t="str">
        <f>HYPERLINK("#'4.3.1.1-2 Methane'!A1", "4.3.1.1-2 Methane")</f>
        <v>4.3.1.1-2 Methane</v>
      </c>
      <c r="C14" s="23"/>
      <c r="D14" s="30" t="s">
        <v>150</v>
      </c>
      <c r="E14" s="24"/>
      <c r="F14" s="24"/>
      <c r="G14" s="30"/>
      <c r="H14" s="115">
        <f ca="1">SUM(H7:H13)</f>
        <v>375.85399394671686</v>
      </c>
      <c r="I14" s="115">
        <f ca="1">SUM(I7:I13)</f>
        <v>384.99210449142083</v>
      </c>
      <c r="J14" s="108" t="s">
        <v>346</v>
      </c>
      <c r="K14" s="23"/>
    </row>
    <row r="15" spans="1:11" ht="20.100000000000001" customHeight="1" x14ac:dyDescent="0.2">
      <c r="A15" s="17" t="str">
        <f>HYPERLINK("#'4.3.1.3-4 Direct N20'!A1", "4.3.1.3-4 Direct N20")</f>
        <v>4.3.1.3-4 Direct N20</v>
      </c>
      <c r="C15" s="23"/>
      <c r="D15" s="1"/>
      <c r="E15" s="1"/>
      <c r="F15" s="1"/>
      <c r="G15" s="25"/>
      <c r="H15" s="23"/>
      <c r="I15" s="1"/>
      <c r="J15" s="1"/>
      <c r="K15" s="23"/>
    </row>
    <row r="16" spans="1:11" ht="20.100000000000001" customHeight="1" x14ac:dyDescent="0.2">
      <c r="A16" s="17" t="str">
        <f>HYPERLINK("#'4.3.1.5 Atmos deposition'!A1", "4.3.1.5 Atmos deposition")</f>
        <v>4.3.1.5 Atmos deposition</v>
      </c>
      <c r="C16" s="23"/>
      <c r="D16" s="49" t="s">
        <v>334</v>
      </c>
      <c r="E16" s="1"/>
      <c r="F16" s="1"/>
      <c r="G16" s="1"/>
      <c r="H16" s="25"/>
      <c r="I16" s="1"/>
      <c r="J16" s="1"/>
      <c r="K16" s="23"/>
    </row>
    <row r="17" spans="1:11" ht="20.100000000000001" customHeight="1" x14ac:dyDescent="0.2">
      <c r="A17" s="17" t="str">
        <f>HYPERLINK("#'4.3.1.6-7 Leaching and runoff'!A1", "4.3.1.6-7 Leaching and runoff")</f>
        <v>4.3.1.6-7 Leaching and runoff</v>
      </c>
      <c r="C17" s="23"/>
      <c r="D17" s="109" t="s">
        <v>157</v>
      </c>
      <c r="E17" s="1"/>
      <c r="F17" s="1"/>
      <c r="G17" s="1"/>
      <c r="H17" s="1"/>
      <c r="I17" s="1"/>
      <c r="J17" s="1"/>
      <c r="K17" s="23"/>
    </row>
    <row r="18" spans="1:11" ht="20.100000000000001" customHeight="1" x14ac:dyDescent="0.2">
      <c r="A18" s="17" t="str">
        <f>HYPERLINK("#'4.3.1.8 Manure applied to soils'!A1", "4.3.1.8 Manure applied to soils")</f>
        <v>4.3.1.8 Manure applied to soils</v>
      </c>
      <c r="C18" s="23"/>
      <c r="D18" s="116" t="s">
        <v>163</v>
      </c>
      <c r="E18" s="1"/>
      <c r="F18" s="1"/>
      <c r="G18" s="1"/>
      <c r="H18" s="1"/>
      <c r="I18" s="1"/>
      <c r="J18" s="1"/>
      <c r="K18" s="23"/>
    </row>
    <row r="19" spans="1:11" ht="20.100000000000001" customHeight="1" x14ac:dyDescent="0.2">
      <c r="A19" s="17" t="str">
        <f>HYPERLINK("#'4.3.1.9 Soil direct N2O'!A1", "4.3.1.9 Soil direct N2O")</f>
        <v>4.3.1.9 Soil direct N2O</v>
      </c>
      <c r="C19" s="23"/>
      <c r="D19" s="118" t="s">
        <v>158</v>
      </c>
      <c r="E19" s="118" t="s">
        <v>464</v>
      </c>
      <c r="F19" s="118" t="s">
        <v>465</v>
      </c>
      <c r="G19" s="118" t="s">
        <v>156</v>
      </c>
      <c r="H19" s="118" t="s">
        <v>151</v>
      </c>
      <c r="I19" s="118" t="s">
        <v>162</v>
      </c>
      <c r="J19" s="1"/>
      <c r="K19" s="23"/>
    </row>
    <row r="20" spans="1:11" ht="20.100000000000001" customHeight="1" x14ac:dyDescent="0.2">
      <c r="A20" s="17" t="str">
        <f>HYPERLINK("#'4.3.1.10-11 Soil Atmos Dep'!A1", "4.3.1.10-11 Soil Atmos Dep")</f>
        <v>4.3.1.10-11 Soil Atmos Dep</v>
      </c>
      <c r="C20" s="23"/>
      <c r="D20" s="1" t="s">
        <v>389</v>
      </c>
      <c r="E20" s="117">
        <f ca="1">VEERG_4_3_1_8__1_MassOfNitrogenAppliedToSoilsScope1_Result_Method1</f>
        <v>11592.578908618651</v>
      </c>
      <c r="F20" s="117">
        <f ca="1">VEERG_4_3_1_8__1_MassOfNitrogenAppliedToSoilsScope1_Result_Method2</f>
        <v>11592.578908618651</v>
      </c>
      <c r="G20" s="55" t="s">
        <v>126</v>
      </c>
      <c r="H20" s="1" t="s">
        <v>384</v>
      </c>
      <c r="I20" s="1" t="s">
        <v>161</v>
      </c>
      <c r="J20" s="1"/>
      <c r="K20" s="23"/>
    </row>
    <row r="21" spans="1:11" ht="20.100000000000001" customHeight="1" x14ac:dyDescent="0.2">
      <c r="A21" s="17" t="str">
        <f>HYPERLINK("#'4.3.1.12-13 Soil leach runoff'!A1", "4.3.1.12-13 Soil leach runoff")</f>
        <v>4.3.1.12-13 Soil leach runoff</v>
      </c>
      <c r="C21" s="23"/>
      <c r="D21" s="1" t="s">
        <v>159</v>
      </c>
      <c r="E21" s="117">
        <f>'4.3.1.8 Manure applied to soils'!$E$148</f>
        <v>3864.1929695395502</v>
      </c>
      <c r="F21" s="117">
        <f>'4.3.1.8 Manure applied to soils'!$P$148</f>
        <v>3864.1929695395502</v>
      </c>
      <c r="G21" s="55" t="s">
        <v>126</v>
      </c>
      <c r="H21" s="1" t="s">
        <v>384</v>
      </c>
      <c r="I21" s="1" t="s">
        <v>161</v>
      </c>
      <c r="J21" s="1"/>
      <c r="K21" s="23"/>
    </row>
    <row r="22" spans="1:11" ht="20.100000000000001" customHeight="1" x14ac:dyDescent="0.2">
      <c r="C22" s="23"/>
      <c r="D22" s="1" t="s">
        <v>154</v>
      </c>
      <c r="E22" s="117">
        <f ca="1">VEERG_4_3_1_8__2_MassOfNitrogenAppliedToSoilsScope3_Result_Method1</f>
        <v>3864.1929695395502</v>
      </c>
      <c r="F22" s="117">
        <f ca="1">VEERG_4_3_1_8__2_MassOfNitrogenAppliedToSoilsScope3_Result_Method2</f>
        <v>3864.1929695395502</v>
      </c>
      <c r="G22" s="55" t="s">
        <v>126</v>
      </c>
      <c r="H22" s="1" t="s">
        <v>155</v>
      </c>
      <c r="I22" s="1" t="s">
        <v>160</v>
      </c>
      <c r="J22" s="23"/>
      <c r="K22" s="23"/>
    </row>
    <row r="23" spans="1:11" ht="20.100000000000001" customHeight="1" x14ac:dyDescent="0.2">
      <c r="C23" s="23"/>
      <c r="D23" s="1"/>
      <c r="E23" s="1"/>
      <c r="F23" s="1"/>
      <c r="G23" s="1"/>
      <c r="H23" s="1"/>
      <c r="I23" s="23"/>
      <c r="J23" s="23"/>
      <c r="K23" s="23"/>
    </row>
    <row r="24" spans="1:11" ht="20.100000000000001" customHeight="1" x14ac:dyDescent="0.2">
      <c r="A24" s="154" t="s">
        <v>1</v>
      </c>
      <c r="C24" s="23"/>
      <c r="D24" s="1"/>
      <c r="E24" s="1"/>
      <c r="F24" s="1"/>
      <c r="G24" s="1"/>
      <c r="H24" s="25"/>
      <c r="I24" s="23"/>
      <c r="J24" s="23"/>
      <c r="K24" s="23"/>
    </row>
    <row r="25" spans="1:11" ht="20.100000000000001" customHeight="1" x14ac:dyDescent="0.25">
      <c r="A25" s="17" t="str">
        <f>HYPERLINK("#'Constants - Dairy'!A1", "Constants - Dairy")</f>
        <v>Constants - Dairy</v>
      </c>
      <c r="C25" s="23"/>
      <c r="D25" s="1"/>
      <c r="E25" s="1"/>
      <c r="F25" s="1"/>
      <c r="G25" s="1"/>
      <c r="H25" s="28"/>
      <c r="I25" s="23"/>
      <c r="J25" s="23"/>
      <c r="K25" s="23"/>
    </row>
    <row r="26" spans="1:11" ht="20.100000000000001" customHeight="1" x14ac:dyDescent="0.2">
      <c r="A26" s="17" t="str">
        <f>HYPERLINK("#'Constants - Common'!A1", "Constants - Common")</f>
        <v>Constants - Common</v>
      </c>
      <c r="C26" s="23"/>
      <c r="D26" s="1"/>
      <c r="E26" s="1"/>
      <c r="F26" s="1"/>
      <c r="G26" s="1"/>
      <c r="H26" s="1"/>
      <c r="I26" s="1"/>
      <c r="J26" s="1"/>
      <c r="K26" s="23"/>
    </row>
    <row r="27" spans="1:11" ht="20.100000000000001" customHeight="1" x14ac:dyDescent="0.2">
      <c r="A27" s="17" t="str">
        <f>HYPERLINK("#'Constants - Livestock'!A1", "Constants - Livestock")</f>
        <v>Constants - Livestock</v>
      </c>
      <c r="C27" s="23"/>
      <c r="D27" s="1"/>
      <c r="E27" s="1"/>
      <c r="F27" s="1"/>
      <c r="G27" s="1"/>
      <c r="H27" s="1"/>
      <c r="I27" s="1"/>
      <c r="J27" s="23"/>
      <c r="K27" s="23"/>
    </row>
    <row r="28" spans="1:11" ht="20.100000000000001" customHeight="1" x14ac:dyDescent="0.2">
      <c r="A28" s="17" t="str">
        <f>HYPERLINK("#'Acknowledgements'!A1", "Acknowledgements")</f>
        <v>Acknowledgements</v>
      </c>
      <c r="C28" s="23"/>
      <c r="D28" s="1"/>
      <c r="E28" s="1"/>
      <c r="F28" s="1"/>
      <c r="G28" s="1"/>
      <c r="H28" s="1"/>
      <c r="I28" s="1"/>
      <c r="J28" s="23"/>
      <c r="K28" s="23"/>
    </row>
    <row r="29" spans="1:11" ht="20.100000000000001" customHeight="1" x14ac:dyDescent="0.2">
      <c r="A29" s="17" t="str">
        <f>HYPERLINK("#'Tab template'!A1", "Tab template")</f>
        <v>Tab template</v>
      </c>
      <c r="C29" s="23"/>
      <c r="D29" s="1"/>
      <c r="E29" s="1"/>
      <c r="F29" s="1"/>
      <c r="G29" s="1"/>
      <c r="H29" s="1"/>
      <c r="I29" s="1"/>
      <c r="J29" s="23"/>
      <c r="K29" s="23"/>
    </row>
    <row r="30" spans="1:11" ht="20.100000000000001" customHeight="1" x14ac:dyDescent="0.2">
      <c r="C30" s="23"/>
      <c r="D30" s="1"/>
      <c r="E30" s="1"/>
      <c r="F30" s="1"/>
      <c r="G30" s="1"/>
      <c r="H30" s="1"/>
      <c r="I30" s="1"/>
      <c r="J30" s="23"/>
      <c r="K30" s="23"/>
    </row>
    <row r="31" spans="1:11" ht="20.100000000000001" customHeight="1" x14ac:dyDescent="0.2">
      <c r="C31" s="23"/>
      <c r="D31" s="1"/>
      <c r="E31" s="1"/>
      <c r="F31" s="1"/>
      <c r="G31" s="1"/>
      <c r="H31" s="1"/>
      <c r="I31" s="1"/>
      <c r="J31" s="23"/>
      <c r="K31" s="23"/>
    </row>
    <row r="32" spans="1:11" ht="20.100000000000001" customHeight="1" x14ac:dyDescent="0.2">
      <c r="C32" s="23"/>
      <c r="D32" s="1"/>
      <c r="E32" s="1"/>
      <c r="F32" s="1"/>
      <c r="G32" s="1"/>
      <c r="H32" s="1"/>
      <c r="I32" s="1"/>
      <c r="J32" s="23"/>
      <c r="K32" s="23"/>
    </row>
    <row r="33" spans="3:11" ht="20.100000000000001" customHeight="1" x14ac:dyDescent="0.2">
      <c r="C33" s="23"/>
      <c r="D33" s="1"/>
      <c r="E33" s="1"/>
      <c r="F33" s="1"/>
      <c r="G33" s="1"/>
      <c r="H33" s="1"/>
      <c r="I33" s="1"/>
      <c r="J33" s="23"/>
      <c r="K33" s="23"/>
    </row>
    <row r="34" spans="3:11" ht="20.100000000000001" customHeight="1" x14ac:dyDescent="0.2">
      <c r="C34" s="23"/>
      <c r="D34" s="1"/>
      <c r="E34" s="1"/>
      <c r="F34" s="1"/>
      <c r="G34" s="1"/>
      <c r="H34" s="1"/>
      <c r="I34" s="23"/>
      <c r="J34" s="23"/>
      <c r="K34" s="23"/>
    </row>
    <row r="35" spans="3:11" ht="20.100000000000001" customHeight="1" x14ac:dyDescent="0.2">
      <c r="C35" s="23"/>
      <c r="D35" s="1"/>
      <c r="E35" s="1"/>
      <c r="F35" s="1"/>
      <c r="G35" s="1"/>
      <c r="H35" s="1"/>
      <c r="I35" s="23"/>
      <c r="J35" s="23"/>
      <c r="K35" s="23"/>
    </row>
    <row r="36" spans="3:11" ht="20.100000000000001" customHeight="1" x14ac:dyDescent="0.2">
      <c r="C36" s="23"/>
      <c r="D36" s="1"/>
      <c r="E36" s="1"/>
      <c r="F36" s="1"/>
      <c r="G36" s="1"/>
      <c r="H36" s="1"/>
      <c r="I36" s="23"/>
      <c r="J36" s="23"/>
      <c r="K36" s="23"/>
    </row>
    <row r="37" spans="3:11" ht="20.100000000000001" customHeight="1" x14ac:dyDescent="0.2">
      <c r="C37" s="23"/>
      <c r="D37" s="1"/>
      <c r="E37" s="1"/>
      <c r="F37" s="1"/>
      <c r="G37" s="1"/>
      <c r="H37" s="1"/>
      <c r="I37" s="23"/>
      <c r="J37" s="23"/>
      <c r="K37" s="23"/>
    </row>
    <row r="38" spans="3:11" ht="20.100000000000001" customHeight="1" x14ac:dyDescent="0.2">
      <c r="C38" s="23"/>
      <c r="D38" s="1"/>
      <c r="E38" s="1"/>
      <c r="F38" s="1"/>
      <c r="G38" s="1"/>
      <c r="H38" s="1"/>
      <c r="I38" s="112"/>
      <c r="J38" s="112"/>
      <c r="K38" s="23"/>
    </row>
    <row r="39" spans="3:11" ht="20.100000000000001" customHeight="1" x14ac:dyDescent="0.2">
      <c r="C39" s="23"/>
      <c r="D39" s="1"/>
      <c r="E39" s="1"/>
      <c r="F39" s="1"/>
      <c r="G39" s="1"/>
      <c r="H39" s="1"/>
      <c r="I39" s="112"/>
      <c r="J39" s="112"/>
      <c r="K39" s="23"/>
    </row>
    <row r="40" spans="3:11" ht="20.100000000000001" customHeight="1" x14ac:dyDescent="0.2">
      <c r="C40" s="23"/>
      <c r="D40" s="1"/>
      <c r="E40" s="1"/>
      <c r="F40" s="1"/>
      <c r="G40" s="1"/>
      <c r="H40" s="1"/>
      <c r="I40" s="112"/>
      <c r="J40" s="112"/>
      <c r="K40" s="23"/>
    </row>
    <row r="41" spans="3:11" ht="20.100000000000001" customHeight="1" x14ac:dyDescent="0.2">
      <c r="C41" s="23"/>
      <c r="D41" s="1"/>
      <c r="E41" s="1"/>
      <c r="F41" s="1"/>
      <c r="G41" s="1"/>
      <c r="H41" s="1"/>
      <c r="I41" s="112"/>
      <c r="J41" s="112"/>
      <c r="K41" s="23"/>
    </row>
    <row r="42" spans="3:11" ht="20.100000000000001" customHeight="1" x14ac:dyDescent="0.2">
      <c r="C42" s="23"/>
      <c r="D42" s="1"/>
      <c r="E42" s="1"/>
      <c r="F42" s="1"/>
      <c r="G42" s="1"/>
      <c r="H42" s="1"/>
      <c r="I42" s="112"/>
      <c r="J42" s="112"/>
      <c r="K42" s="23"/>
    </row>
    <row r="43" spans="3:11" ht="20.100000000000001" customHeight="1" x14ac:dyDescent="0.2">
      <c r="C43" s="23"/>
      <c r="D43" s="1"/>
      <c r="E43" s="1"/>
      <c r="F43" s="1"/>
      <c r="G43" s="1"/>
      <c r="H43" s="1"/>
      <c r="I43" s="112"/>
      <c r="J43" s="112"/>
      <c r="K43" s="23"/>
    </row>
    <row r="44" spans="3:11" ht="20.100000000000001" customHeight="1" x14ac:dyDescent="0.2">
      <c r="C44" s="23"/>
      <c r="D44" s="1"/>
      <c r="E44" s="1"/>
      <c r="F44" s="1"/>
      <c r="G44" s="1"/>
      <c r="H44" s="1"/>
      <c r="I44" s="112"/>
      <c r="J44" s="112"/>
      <c r="K44" s="23"/>
    </row>
    <row r="45" spans="3:11" ht="20.100000000000001" customHeight="1" x14ac:dyDescent="0.2">
      <c r="C45" s="23"/>
      <c r="D45" s="1"/>
      <c r="E45" s="1"/>
      <c r="F45" s="1"/>
      <c r="G45" s="1"/>
      <c r="H45" s="1"/>
      <c r="I45" s="112"/>
      <c r="J45" s="112"/>
      <c r="K45" s="23"/>
    </row>
    <row r="46" spans="3:11" ht="20.100000000000001" customHeight="1" x14ac:dyDescent="0.2">
      <c r="C46" s="23"/>
      <c r="D46" s="1"/>
      <c r="E46" s="1"/>
      <c r="F46" s="1"/>
      <c r="G46" s="1"/>
      <c r="H46" s="1"/>
      <c r="I46" s="112"/>
      <c r="J46" s="112"/>
      <c r="K46" s="23"/>
    </row>
    <row r="47" spans="3:11" ht="20.100000000000001" customHeight="1" x14ac:dyDescent="0.2">
      <c r="C47" s="23"/>
      <c r="D47" s="1"/>
      <c r="E47" s="1"/>
      <c r="F47" s="1"/>
      <c r="G47" s="1"/>
      <c r="H47" s="1"/>
      <c r="I47" s="112"/>
      <c r="J47" s="112"/>
      <c r="K47" s="23"/>
    </row>
    <row r="48" spans="3:11" ht="20.100000000000001" customHeight="1" x14ac:dyDescent="0.2">
      <c r="C48" s="23"/>
      <c r="D48" s="1"/>
      <c r="E48" s="1"/>
      <c r="F48" s="1"/>
      <c r="G48" s="1"/>
      <c r="H48" s="1"/>
      <c r="I48" s="112"/>
      <c r="J48" s="112"/>
      <c r="K48" s="23"/>
    </row>
    <row r="49" spans="3:11" ht="20.100000000000001" customHeight="1" x14ac:dyDescent="0.2">
      <c r="C49" s="23"/>
      <c r="D49" s="1"/>
      <c r="E49" s="1"/>
      <c r="F49" s="1"/>
      <c r="G49" s="1"/>
      <c r="H49" s="112"/>
      <c r="I49" s="112"/>
      <c r="J49" s="112"/>
      <c r="K49" s="23"/>
    </row>
    <row r="50" spans="3:11" ht="20.100000000000001" customHeight="1" x14ac:dyDescent="0.2">
      <c r="C50" s="23"/>
      <c r="D50" s="1"/>
      <c r="E50" s="1"/>
      <c r="F50" s="1"/>
      <c r="G50" s="1"/>
      <c r="H50" s="112"/>
      <c r="I50" s="112"/>
      <c r="J50" s="112"/>
      <c r="K50" s="23"/>
    </row>
    <row r="51" spans="3:11" ht="20.100000000000001" customHeight="1" x14ac:dyDescent="0.2">
      <c r="C51" s="23"/>
      <c r="D51" s="1"/>
      <c r="E51" s="1"/>
      <c r="F51" s="1"/>
      <c r="G51" s="1"/>
      <c r="H51" s="112"/>
      <c r="I51" s="112"/>
      <c r="J51" s="112"/>
      <c r="K51" s="23"/>
    </row>
    <row r="52" spans="3:11" ht="20.100000000000001" customHeight="1" x14ac:dyDescent="0.2">
      <c r="C52" s="23"/>
      <c r="D52" s="1"/>
      <c r="E52" s="1"/>
      <c r="F52" s="1"/>
      <c r="G52" s="1"/>
      <c r="H52" s="112"/>
      <c r="I52" s="112"/>
      <c r="J52" s="112"/>
      <c r="K52" s="23"/>
    </row>
    <row r="53" spans="3:11" ht="20.100000000000001" customHeight="1" x14ac:dyDescent="0.2">
      <c r="C53" s="23"/>
      <c r="D53" s="1"/>
      <c r="E53" s="1"/>
      <c r="F53" s="1"/>
      <c r="G53" s="1"/>
      <c r="H53" s="112"/>
      <c r="I53" s="112"/>
      <c r="J53" s="112"/>
      <c r="K53" s="23"/>
    </row>
    <row r="54" spans="3:11" ht="20.100000000000001" customHeight="1" x14ac:dyDescent="0.2">
      <c r="C54" s="23"/>
      <c r="D54" s="1"/>
      <c r="E54" s="1"/>
      <c r="F54" s="1"/>
      <c r="G54" s="1"/>
      <c r="H54" s="23"/>
      <c r="I54" s="23"/>
      <c r="J54" s="23"/>
      <c r="K54" s="23"/>
    </row>
    <row r="55" spans="3:11" ht="20.100000000000001" customHeight="1" x14ac:dyDescent="0.2">
      <c r="C55" s="23"/>
      <c r="D55" s="1"/>
      <c r="E55" s="1"/>
      <c r="F55" s="1"/>
      <c r="G55" s="1"/>
      <c r="H55" s="23"/>
      <c r="I55" s="23"/>
      <c r="J55" s="23"/>
      <c r="K55" s="23"/>
    </row>
    <row r="56" spans="3:11" ht="20.100000000000001" customHeight="1" x14ac:dyDescent="0.2">
      <c r="C56" s="23"/>
      <c r="D56" s="1"/>
      <c r="E56" s="1"/>
      <c r="F56" s="1"/>
      <c r="G56" s="1"/>
      <c r="H56" s="23"/>
      <c r="I56" s="23"/>
      <c r="J56" s="23"/>
      <c r="K56" s="23"/>
    </row>
    <row r="57" spans="3:11" ht="20.100000000000001" customHeight="1" x14ac:dyDescent="0.2">
      <c r="C57" s="23"/>
      <c r="D57" s="1"/>
      <c r="E57" s="1"/>
      <c r="F57" s="1"/>
      <c r="G57" s="1"/>
      <c r="H57" s="23"/>
      <c r="I57" s="23"/>
      <c r="J57" s="23"/>
      <c r="K57" s="23"/>
    </row>
    <row r="58" spans="3:11" ht="20.100000000000001" customHeight="1" x14ac:dyDescent="0.2">
      <c r="C58" s="23"/>
      <c r="D58" s="1"/>
      <c r="E58" s="31"/>
      <c r="F58" s="29"/>
      <c r="G58" s="23"/>
      <c r="H58" s="23"/>
      <c r="I58" s="23"/>
      <c r="J58" s="23"/>
      <c r="K58" s="23"/>
    </row>
    <row r="59" spans="3:11" ht="20.100000000000001" customHeight="1" x14ac:dyDescent="0.2">
      <c r="C59" s="23"/>
      <c r="D59" s="1"/>
      <c r="E59" s="1"/>
      <c r="F59" s="1"/>
      <c r="G59" s="1"/>
      <c r="H59" s="1"/>
      <c r="I59" s="1"/>
      <c r="J59" s="1"/>
      <c r="K59" s="23"/>
    </row>
    <row r="60" spans="3:11" ht="20.100000000000001" customHeight="1" x14ac:dyDescent="0.2">
      <c r="C60" s="23"/>
      <c r="D60" s="1"/>
      <c r="E60" s="1"/>
      <c r="F60" s="1"/>
      <c r="G60" s="1"/>
      <c r="H60" s="1"/>
      <c r="I60" s="1"/>
      <c r="J60" s="1"/>
      <c r="K60" s="23"/>
    </row>
    <row r="61" spans="3:11" ht="20.100000000000001" customHeight="1" x14ac:dyDescent="0.2">
      <c r="C61" s="23"/>
      <c r="D61" s="1"/>
      <c r="E61" s="1"/>
      <c r="F61" s="1"/>
      <c r="G61" s="1"/>
      <c r="H61" s="1"/>
      <c r="I61" s="1"/>
      <c r="J61" s="1"/>
      <c r="K61" s="23"/>
    </row>
    <row r="62" spans="3:11" ht="20.100000000000001" customHeight="1" x14ac:dyDescent="0.2">
      <c r="C62" s="23"/>
      <c r="D62" s="1"/>
      <c r="E62" s="1"/>
      <c r="F62" s="1"/>
      <c r="G62" s="1"/>
      <c r="H62" s="1"/>
      <c r="I62" s="1"/>
      <c r="J62" s="1"/>
      <c r="K62" s="23"/>
    </row>
    <row r="63" spans="3:11" ht="20.100000000000001" customHeight="1" x14ac:dyDescent="0.2">
      <c r="C63" s="23"/>
      <c r="D63" s="1"/>
      <c r="E63" s="1"/>
      <c r="F63" s="1"/>
      <c r="G63" s="1"/>
      <c r="H63" s="1"/>
      <c r="I63" s="1"/>
      <c r="J63" s="1"/>
      <c r="K63" s="23"/>
    </row>
    <row r="64" spans="3:11" ht="20.100000000000001" customHeight="1" x14ac:dyDescent="0.2">
      <c r="C64" s="23"/>
      <c r="D64" s="1"/>
      <c r="E64" s="1"/>
      <c r="F64" s="1"/>
      <c r="G64" s="1"/>
      <c r="H64" s="1"/>
      <c r="I64" s="1"/>
      <c r="J64" s="1"/>
      <c r="K64" s="23"/>
    </row>
    <row r="65" spans="3:11" ht="20.100000000000001" customHeight="1" x14ac:dyDescent="0.2">
      <c r="C65" s="23"/>
      <c r="D65" s="1"/>
      <c r="E65" s="1"/>
      <c r="F65" s="1"/>
      <c r="G65" s="1"/>
      <c r="H65" s="1"/>
      <c r="I65" s="1"/>
      <c r="J65" s="1"/>
      <c r="K65" s="23"/>
    </row>
    <row r="66" spans="3:11" ht="20.100000000000001" customHeight="1" x14ac:dyDescent="0.2">
      <c r="C66" s="23"/>
      <c r="D66" s="1"/>
      <c r="E66" s="1"/>
      <c r="F66" s="1"/>
      <c r="G66" s="1"/>
      <c r="H66" s="1"/>
      <c r="I66" s="1"/>
      <c r="J66" s="1"/>
      <c r="K66" s="23"/>
    </row>
    <row r="67" spans="3:11" ht="20.100000000000001" customHeight="1" x14ac:dyDescent="0.2">
      <c r="C67" s="23"/>
      <c r="D67" s="1"/>
      <c r="E67" s="1"/>
      <c r="F67" s="1"/>
      <c r="G67" s="1"/>
      <c r="H67" s="1"/>
      <c r="I67" s="1"/>
      <c r="J67" s="1"/>
      <c r="K67" s="23"/>
    </row>
    <row r="68" spans="3:11" ht="20.100000000000001" customHeight="1" x14ac:dyDescent="0.2">
      <c r="C68" s="23"/>
      <c r="D68" s="1"/>
      <c r="E68" s="1"/>
      <c r="F68" s="1"/>
      <c r="G68" s="1"/>
      <c r="H68" s="1"/>
      <c r="I68" s="1"/>
      <c r="J68" s="1"/>
      <c r="K68" s="23"/>
    </row>
    <row r="69" spans="3:11" ht="20.100000000000001" customHeight="1" x14ac:dyDescent="0.2">
      <c r="C69" s="23"/>
      <c r="D69" s="1"/>
      <c r="E69" s="1"/>
      <c r="F69" s="1"/>
      <c r="G69" s="1"/>
      <c r="H69" s="1"/>
      <c r="I69" s="1"/>
      <c r="J69" s="1"/>
      <c r="K69" s="23"/>
    </row>
    <row r="70" spans="3:11" ht="20.100000000000001" customHeight="1" x14ac:dyDescent="0.2">
      <c r="C70" s="23"/>
      <c r="D70" s="1"/>
      <c r="E70" s="1"/>
      <c r="F70" s="1"/>
      <c r="G70" s="1"/>
      <c r="H70" s="1"/>
      <c r="I70" s="1"/>
      <c r="J70" s="1"/>
      <c r="K70" s="23"/>
    </row>
    <row r="71" spans="3:11" ht="20.100000000000001" customHeight="1" x14ac:dyDescent="0.2">
      <c r="C71" s="23"/>
      <c r="D71" s="1"/>
      <c r="E71" s="1"/>
      <c r="F71" s="1"/>
      <c r="G71" s="1"/>
      <c r="H71" s="1"/>
      <c r="I71" s="1"/>
      <c r="J71" s="1"/>
      <c r="K71" s="23"/>
    </row>
    <row r="72" spans="3:11" ht="20.100000000000001" customHeight="1" x14ac:dyDescent="0.2">
      <c r="C72" s="23"/>
      <c r="D72" s="1"/>
      <c r="E72" s="1"/>
      <c r="F72" s="1"/>
      <c r="G72" s="1"/>
      <c r="H72" s="1"/>
      <c r="I72" s="1"/>
      <c r="J72" s="1"/>
      <c r="K72" s="23"/>
    </row>
    <row r="73" spans="3:11" ht="20.100000000000001" customHeight="1" x14ac:dyDescent="0.2">
      <c r="C73" s="23"/>
      <c r="D73" s="1"/>
      <c r="E73" s="1"/>
      <c r="F73" s="1"/>
      <c r="G73" s="1"/>
      <c r="H73" s="1"/>
      <c r="I73" s="1"/>
      <c r="J73" s="1"/>
      <c r="K73" s="23"/>
    </row>
    <row r="74" spans="3:11" ht="20.100000000000001" customHeight="1" x14ac:dyDescent="0.2">
      <c r="C74" s="23"/>
      <c r="D74" s="1"/>
      <c r="E74" s="1"/>
      <c r="F74" s="1"/>
      <c r="G74" s="1"/>
      <c r="H74" s="1"/>
      <c r="I74" s="1"/>
      <c r="J74" s="1"/>
      <c r="K74" s="23"/>
    </row>
    <row r="75" spans="3:11" ht="20.100000000000001" customHeight="1" x14ac:dyDescent="0.2">
      <c r="C75" s="23"/>
      <c r="D75" s="1"/>
      <c r="E75" s="1"/>
      <c r="F75" s="1"/>
      <c r="G75" s="1"/>
      <c r="H75" s="1"/>
      <c r="I75" s="1"/>
      <c r="J75" s="1"/>
      <c r="K75" s="23"/>
    </row>
    <row r="76" spans="3:11" ht="20.100000000000001" customHeight="1" x14ac:dyDescent="0.2">
      <c r="C76" s="23"/>
      <c r="D76" s="1"/>
      <c r="E76" s="1"/>
      <c r="F76" s="1"/>
      <c r="G76" s="1"/>
      <c r="H76" s="1"/>
      <c r="I76" s="1"/>
      <c r="J76" s="1"/>
      <c r="K76" s="23"/>
    </row>
    <row r="77" spans="3:11" ht="20.100000000000001" customHeight="1" x14ac:dyDescent="0.2">
      <c r="C77" s="23"/>
      <c r="D77" s="1"/>
      <c r="E77" s="1"/>
      <c r="F77" s="1"/>
      <c r="G77" s="1"/>
      <c r="H77" s="1"/>
      <c r="I77" s="1"/>
      <c r="J77" s="1"/>
      <c r="K77" s="23"/>
    </row>
    <row r="78" spans="3:11" ht="20.100000000000001" customHeight="1" x14ac:dyDescent="0.2">
      <c r="C78" s="23"/>
      <c r="D78" s="1"/>
      <c r="E78" s="1"/>
      <c r="F78" s="1"/>
      <c r="G78" s="1"/>
      <c r="H78" s="1"/>
      <c r="I78" s="1"/>
      <c r="J78" s="1"/>
      <c r="K78" s="23"/>
    </row>
    <row r="79" spans="3:11" ht="20.100000000000001" customHeight="1" x14ac:dyDescent="0.2">
      <c r="C79" s="23"/>
      <c r="D79" s="1"/>
      <c r="E79" s="1"/>
      <c r="F79" s="1"/>
      <c r="G79" s="1"/>
      <c r="H79" s="1"/>
      <c r="I79" s="1"/>
      <c r="J79" s="1"/>
      <c r="K79" s="23"/>
    </row>
    <row r="80" spans="3:11" ht="20.100000000000001" customHeight="1" x14ac:dyDescent="0.2">
      <c r="C80" s="23"/>
      <c r="D80" s="1"/>
      <c r="E80" s="1"/>
      <c r="F80" s="1"/>
      <c r="G80" s="1"/>
      <c r="H80" s="1"/>
      <c r="I80" s="1"/>
      <c r="J80" s="1"/>
      <c r="K80" s="23"/>
    </row>
    <row r="81" spans="3:11" ht="20.100000000000001" customHeight="1" x14ac:dyDescent="0.2">
      <c r="C81" s="23"/>
      <c r="D81" s="1"/>
      <c r="E81" s="1"/>
      <c r="F81" s="1"/>
      <c r="G81" s="1"/>
      <c r="H81" s="1"/>
      <c r="I81" s="1"/>
      <c r="J81" s="1"/>
      <c r="K81" s="23"/>
    </row>
    <row r="82" spans="3:11" ht="20.100000000000001" customHeight="1" x14ac:dyDescent="0.2">
      <c r="C82" s="23"/>
      <c r="D82" s="1"/>
      <c r="E82" s="1"/>
      <c r="F82" s="1"/>
      <c r="G82" s="1"/>
      <c r="H82" s="1"/>
      <c r="I82" s="1"/>
      <c r="J82" s="1"/>
      <c r="K82" s="23"/>
    </row>
    <row r="83" spans="3:11" ht="20.100000000000001" customHeight="1" x14ac:dyDescent="0.2">
      <c r="C83" s="23"/>
      <c r="D83" s="1"/>
      <c r="E83" s="1"/>
      <c r="F83" s="1"/>
      <c r="G83" s="1"/>
      <c r="H83" s="1"/>
      <c r="I83" s="1"/>
      <c r="J83" s="1"/>
      <c r="K83" s="23"/>
    </row>
    <row r="84" spans="3:11" ht="20.100000000000001" customHeight="1" x14ac:dyDescent="0.2">
      <c r="C84" s="23"/>
      <c r="D84" s="1"/>
      <c r="E84" s="1"/>
      <c r="F84" s="1"/>
      <c r="G84" s="1"/>
      <c r="H84" s="1"/>
      <c r="I84" s="1"/>
      <c r="J84" s="1"/>
      <c r="K84" s="23"/>
    </row>
    <row r="85" spans="3:11" ht="20.100000000000001" customHeight="1" x14ac:dyDescent="0.2">
      <c r="C85" s="23"/>
      <c r="D85" s="1"/>
      <c r="E85" s="1"/>
      <c r="F85" s="1"/>
      <c r="G85" s="1"/>
      <c r="H85" s="1"/>
      <c r="I85" s="1"/>
      <c r="J85" s="1"/>
      <c r="K85" s="23"/>
    </row>
    <row r="86" spans="3:11" ht="20.100000000000001" customHeight="1" x14ac:dyDescent="0.2">
      <c r="C86" s="23"/>
      <c r="D86" s="23"/>
      <c r="E86" s="23"/>
      <c r="F86" s="23"/>
      <c r="G86" s="23"/>
      <c r="H86" s="23"/>
      <c r="I86" s="23"/>
      <c r="J86" s="23"/>
      <c r="K86" s="23"/>
    </row>
    <row r="87" spans="3:11" ht="20.100000000000001" customHeight="1" x14ac:dyDescent="0.2">
      <c r="C87" s="23"/>
      <c r="D87" s="23"/>
      <c r="E87" s="23"/>
      <c r="F87" s="23"/>
      <c r="G87" s="23"/>
      <c r="H87" s="23"/>
      <c r="I87" s="23"/>
      <c r="J87" s="23"/>
      <c r="K87" s="23"/>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tabColor theme="5" tint="-0.249977111117893"/>
    <pageSetUpPr autoPageBreaks="0"/>
  </sheetPr>
  <dimension ref="A1:AA160"/>
  <sheetViews>
    <sheetView showGridLines="0" zoomScaleNormal="100" workbookViewId="0">
      <selection activeCell="A10" sqref="A10"/>
    </sheetView>
  </sheetViews>
  <sheetFormatPr defaultColWidth="9.140625" defaultRowHeight="20.100000000000001" customHeight="1" x14ac:dyDescent="0.2"/>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7" t="e" vm="1">
        <v>#VALUE!</v>
      </c>
      <c r="C1" s="12" t="s">
        <v>87</v>
      </c>
    </row>
    <row r="2" spans="1:24" s="7" customFormat="1" ht="20.100000000000001" customHeight="1" x14ac:dyDescent="0.2">
      <c r="A2"/>
      <c r="C2" s="9"/>
      <c r="D2" s="9"/>
      <c r="E2" s="9"/>
      <c r="F2" s="9"/>
      <c r="G2" s="9"/>
      <c r="H2" s="9"/>
      <c r="I2" s="9"/>
      <c r="J2" s="9"/>
    </row>
    <row r="3" spans="1:24" ht="20.100000000000001" customHeight="1" x14ac:dyDescent="0.2">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
      <c r="A4" s="17" t="str">
        <f>HYPERLINK("#'Overview'!A1", "Overview")</f>
        <v>Overview</v>
      </c>
      <c r="C4" s="69"/>
      <c r="D4" s="69"/>
      <c r="E4" s="69"/>
      <c r="F4" s="69"/>
      <c r="G4" s="69"/>
      <c r="H4" s="69"/>
      <c r="I4" s="69"/>
      <c r="J4" s="69"/>
      <c r="K4" s="69"/>
    </row>
    <row r="5" spans="1:24" ht="20.100000000000001" customHeight="1" x14ac:dyDescent="0.2">
      <c r="A5" s="17" t="str">
        <f>HYPERLINK("#'Results'!A1", "Results")</f>
        <v>Results</v>
      </c>
      <c r="D5" s="6" t="s">
        <v>12</v>
      </c>
      <c r="N5" s="42"/>
    </row>
    <row r="6" spans="1:24" ht="20.100000000000001" customHeight="1" x14ac:dyDescent="0.2">
      <c r="A6"/>
      <c r="D6" s="14"/>
      <c r="N6" s="43"/>
    </row>
    <row r="7" spans="1:24" ht="20.100000000000001" customHeight="1" x14ac:dyDescent="0.2">
      <c r="A7"/>
      <c r="D7" s="1" t="s">
        <v>4</v>
      </c>
      <c r="E7" s="34" t="s">
        <v>3</v>
      </c>
      <c r="F7" s="2"/>
    </row>
    <row r="8" spans="1:24" ht="20.100000000000001" customHeight="1" x14ac:dyDescent="0.2">
      <c r="A8" s="19" t="s">
        <v>0</v>
      </c>
      <c r="D8" s="10" t="s">
        <v>71</v>
      </c>
      <c r="E8" s="34" t="s">
        <v>72</v>
      </c>
    </row>
    <row r="9" spans="1:24" ht="20.100000000000001" customHeight="1" x14ac:dyDescent="0.2">
      <c r="A9" s="20" t="str">
        <f>HYPERLINK("#'Input - Site'!A1", "Site")</f>
        <v>Site</v>
      </c>
      <c r="N9" s="44"/>
    </row>
    <row r="10" spans="1:24" ht="20.100000000000001" customHeight="1" x14ac:dyDescent="0.2">
      <c r="A10" s="17" t="str">
        <f>HYPERLINK("#'Input - Dairy'!A1", "Dairy")</f>
        <v>Dairy</v>
      </c>
      <c r="D10" s="94" t="s">
        <v>86</v>
      </c>
      <c r="E10" s="92"/>
      <c r="F10" s="95"/>
      <c r="G10" s="89"/>
      <c r="N10" s="44"/>
    </row>
    <row r="11" spans="1:24" ht="20.100000000000001" customHeight="1" x14ac:dyDescent="0.2">
      <c r="A11"/>
      <c r="N11" s="45"/>
    </row>
    <row r="12" spans="1:24" ht="20.100000000000001" customHeight="1" x14ac:dyDescent="0.2">
      <c r="A12"/>
      <c r="D12" s="10" t="s">
        <v>92</v>
      </c>
      <c r="E12" s="65">
        <v>45292</v>
      </c>
      <c r="F12" s="2" t="s">
        <v>69</v>
      </c>
    </row>
    <row r="13" spans="1:24" ht="20.100000000000001" customHeight="1" x14ac:dyDescent="0.2">
      <c r="A13" s="18" t="s">
        <v>73</v>
      </c>
      <c r="D13" s="10" t="s">
        <v>93</v>
      </c>
      <c r="E13" s="70">
        <f>DATE(YEAR(X_Cell_Site_StartDate)+1,MONTH(X_Cell_Site_StartDate),DAY(X_Cell_Site_StartDate))-1</f>
        <v>45657</v>
      </c>
      <c r="F13" s="2" t="s">
        <v>14</v>
      </c>
      <c r="N13" s="39"/>
      <c r="O13" s="39"/>
    </row>
    <row r="14" spans="1:24" ht="20.100000000000001" customHeight="1" x14ac:dyDescent="0.2">
      <c r="A14" s="17" t="str">
        <f>HYPERLINK("#'4.3.1.1-2 Methane'!A1", "4.3.1.1-2 Methane")</f>
        <v>4.3.1.1-2 Methane</v>
      </c>
      <c r="N14" s="39"/>
      <c r="O14" s="39"/>
    </row>
    <row r="15" spans="1:24" ht="20.100000000000001" customHeight="1" x14ac:dyDescent="0.2">
      <c r="A15" s="17" t="str">
        <f>HYPERLINK("#'4.3.1.3-4 Direct N20'!A1", "4.3.1.3-4 Direct N20")</f>
        <v>4.3.1.3-4 Direct N20</v>
      </c>
      <c r="N15" s="39"/>
      <c r="O15" s="39"/>
    </row>
    <row r="16" spans="1:24" ht="20.100000000000001" customHeight="1" x14ac:dyDescent="0.2">
      <c r="A16" s="17" t="str">
        <f>HYPERLINK("#'4.3.1.5 Atmos deposition'!A1", "4.3.1.5 Atmos deposition")</f>
        <v>4.3.1.5 Atmos deposition</v>
      </c>
      <c r="D16" s="6" t="s">
        <v>11</v>
      </c>
      <c r="N16" s="39"/>
      <c r="O16" s="39"/>
    </row>
    <row r="17" spans="1:25" ht="20.100000000000001" customHeight="1" x14ac:dyDescent="0.2">
      <c r="A17" s="17" t="str">
        <f>HYPERLINK("#'4.3.1.6-7 Leaching and runoff'!A1", "4.3.1.6-7 Leaching and runoff")</f>
        <v>4.3.1.6-7 Leaching and runoff</v>
      </c>
    </row>
    <row r="18" spans="1:25" ht="20.100000000000001" customHeight="1" x14ac:dyDescent="0.2">
      <c r="A18" s="17" t="str">
        <f>HYPERLINK("#'4.3.1.8 Manure applied to soils'!A1", "4.3.1.8 Manure applied to soils")</f>
        <v>4.3.1.8 Manure applied to soils</v>
      </c>
      <c r="D18" s="96" t="s">
        <v>13</v>
      </c>
      <c r="E18" s="91"/>
      <c r="F18" s="91"/>
      <c r="G18" s="87"/>
    </row>
    <row r="19" spans="1:25" ht="20.100000000000001" customHeight="1" x14ac:dyDescent="0.2">
      <c r="A19" s="17" t="str">
        <f>HYPERLINK("#'4.3.1.9 Soil direct N2O'!A1", "4.3.1.9 Soil direct N2O")</f>
        <v>4.3.1.9 Soil direct N2O</v>
      </c>
      <c r="D19" s="93" t="s">
        <v>70</v>
      </c>
      <c r="E19" s="90"/>
      <c r="F19" s="90"/>
      <c r="G19" s="88"/>
      <c r="N19" s="42"/>
    </row>
    <row r="20" spans="1:25" ht="20.100000000000001" customHeight="1" x14ac:dyDescent="0.2">
      <c r="A20" s="17" t="str">
        <f>HYPERLINK("#'4.3.1.10-11 Soil Atmos Dep'!A1", "4.3.1.10-11 Soil Atmos Dep")</f>
        <v>4.3.1.10-11 Soil Atmos Dep</v>
      </c>
      <c r="D20" s="1"/>
      <c r="E20" s="32"/>
      <c r="F20" s="2"/>
      <c r="N20" s="43"/>
    </row>
    <row r="21" spans="1:25" ht="20.100000000000001" customHeight="1" x14ac:dyDescent="0.2">
      <c r="A21" s="17" t="str">
        <f>HYPERLINK("#'4.3.1.12-13 Soil leach runoff'!A1", "4.3.1.12-13 Soil leach runoff")</f>
        <v>4.3.1.12-13 Soil leach runoff</v>
      </c>
      <c r="D21" s="1" t="s">
        <v>5</v>
      </c>
      <c r="E21" s="41" t="s">
        <v>466</v>
      </c>
      <c r="F21" s="2" t="s">
        <v>8</v>
      </c>
    </row>
    <row r="22" spans="1:25" ht="20.100000000000001" customHeight="1" x14ac:dyDescent="0.2">
      <c r="A22"/>
      <c r="D22" s="1" t="s">
        <v>24</v>
      </c>
      <c r="E22" s="41" t="s">
        <v>33</v>
      </c>
      <c r="F22" s="2" t="s">
        <v>8</v>
      </c>
      <c r="G22" s="1"/>
    </row>
    <row r="23" spans="1:25" ht="20.100000000000001" customHeight="1" x14ac:dyDescent="0.2">
      <c r="A23"/>
      <c r="D23" s="1" t="s">
        <v>6</v>
      </c>
      <c r="E23" s="41" t="s">
        <v>91</v>
      </c>
      <c r="F23" s="2" t="s">
        <v>8</v>
      </c>
    </row>
    <row r="24" spans="1:25" ht="20.100000000000001" customHeight="1" x14ac:dyDescent="0.2">
      <c r="A24" s="154" t="s">
        <v>1</v>
      </c>
      <c r="D24" s="1" t="s">
        <v>38</v>
      </c>
      <c r="E24" s="34">
        <v>307.7</v>
      </c>
      <c r="F24" s="2" t="s">
        <v>52</v>
      </c>
    </row>
    <row r="25" spans="1:25" ht="20.100000000000001" customHeight="1" x14ac:dyDescent="0.2">
      <c r="A25" s="17" t="str">
        <f>HYPERLINK("#'Constants - Dairy'!A1", "Constants - Dairy")</f>
        <v>Constants - Dairy</v>
      </c>
      <c r="D25" s="1" t="s">
        <v>60</v>
      </c>
      <c r="E25" s="34">
        <v>18</v>
      </c>
      <c r="F25" s="2" t="s">
        <v>9</v>
      </c>
      <c r="N25" s="43"/>
    </row>
    <row r="26" spans="1:25" ht="20.100000000000001" customHeight="1" x14ac:dyDescent="0.2">
      <c r="A26" s="17" t="str">
        <f>HYPERLINK("#'Constants - Common'!A1", "Constants - Common")</f>
        <v>Constants - Common</v>
      </c>
      <c r="D26" s="1" t="s">
        <v>61</v>
      </c>
      <c r="E26" s="34">
        <v>601</v>
      </c>
      <c r="F26" s="2" t="s">
        <v>10</v>
      </c>
    </row>
    <row r="27" spans="1:25" ht="20.100000000000001" customHeight="1" x14ac:dyDescent="0.2">
      <c r="A27" s="17" t="str">
        <f>HYPERLINK("#'Constants - Livestock'!A1", "Constants - Livestock")</f>
        <v>Constants - Livestock</v>
      </c>
      <c r="D27" s="10" t="s">
        <v>62</v>
      </c>
      <c r="E27" s="34">
        <v>1326</v>
      </c>
      <c r="F27" s="2" t="s">
        <v>10</v>
      </c>
    </row>
    <row r="28" spans="1:25" ht="20.100000000000001" customHeight="1" x14ac:dyDescent="0.2">
      <c r="A28" s="17" t="str">
        <f>HYPERLINK("#'Acknowledgements'!A1", "Acknowledgements")</f>
        <v>Acknowledgements</v>
      </c>
      <c r="D28" s="1" t="s">
        <v>63</v>
      </c>
      <c r="E28" s="34">
        <v>7</v>
      </c>
      <c r="F28" s="2" t="s">
        <v>53</v>
      </c>
    </row>
    <row r="29" spans="1:25" ht="20.100000000000001" customHeight="1" x14ac:dyDescent="0.2">
      <c r="A29" s="17" t="str">
        <f>HYPERLINK("#'Tab template'!A1", "Tab template")</f>
        <v>Tab template</v>
      </c>
      <c r="D29" s="10" t="s">
        <v>59</v>
      </c>
      <c r="E29" s="53">
        <f>X_Cell_Site_TotalRainfall/X_Cell_Site_PotentialEvapotranspiration</f>
        <v>0.45324283559577677</v>
      </c>
      <c r="F29" s="2"/>
    </row>
    <row r="30" spans="1:25" ht="20.100000000000001" customHeight="1" x14ac:dyDescent="0.2">
      <c r="A30"/>
      <c r="D30" s="10" t="s">
        <v>34</v>
      </c>
      <c r="E30" s="53" t="str">
        <f>Common_InputFunctions.Utility_LookupItemFromMinMax(X_Cell_Site_TotalRainfall,Table_SourceData_RainfallZones[Min rainfall],Table_SourceData_RainfallZones[Max rainfall],Table_SourceData_RainfallZones[Rainfall Zone])</f>
        <v>High rainfall</v>
      </c>
      <c r="G30" s="33"/>
      <c r="L30" s="50"/>
      <c r="M30" s="50"/>
      <c r="N30" s="50"/>
      <c r="O30" s="50"/>
      <c r="P30" s="50"/>
      <c r="Q30" s="50"/>
      <c r="R30" s="50"/>
      <c r="S30" s="50"/>
      <c r="T30" s="50"/>
      <c r="U30" s="50"/>
      <c r="V30" s="50"/>
      <c r="W30" s="50"/>
      <c r="X30" s="50"/>
      <c r="Y30" s="50"/>
    </row>
    <row r="31" spans="1:25" ht="20.100000000000001" customHeight="1" x14ac:dyDescent="0.2">
      <c r="A31"/>
      <c r="D31" s="1" t="s">
        <v>7</v>
      </c>
      <c r="E31" s="53"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2"/>
      <c r="L31" s="48"/>
      <c r="M31" s="48"/>
      <c r="N31" s="48"/>
      <c r="O31" s="48"/>
      <c r="P31" s="48"/>
      <c r="Q31" s="48"/>
      <c r="R31" s="48"/>
      <c r="S31" s="48"/>
      <c r="T31" s="48"/>
      <c r="U31" s="48"/>
      <c r="V31" s="48"/>
      <c r="W31" s="48"/>
      <c r="X31" s="48"/>
      <c r="Y31" s="48"/>
    </row>
    <row r="32" spans="1:25" ht="20.100000000000001" customHeight="1" x14ac:dyDescent="0.2">
      <c r="A32"/>
      <c r="D32" s="1" t="s">
        <v>88</v>
      </c>
      <c r="E32" s="53" t="str">
        <f>Common_InputFunctions.Utility_LookupValueInTable(X_Cell_Site_ClimateZone,Table_SourceData_WetDryZones[Climate zone],Table_SourceData_WetDryZones[Wet or Dry Zone])</f>
        <v>Dry climate zone</v>
      </c>
      <c r="F32" s="1"/>
      <c r="G32" s="32"/>
      <c r="L32" s="48"/>
      <c r="M32" s="48"/>
      <c r="N32" s="48"/>
      <c r="O32" s="48"/>
      <c r="P32" s="48"/>
      <c r="Q32" s="48"/>
      <c r="R32" s="48"/>
      <c r="S32" s="48"/>
      <c r="T32" s="48"/>
      <c r="U32" s="48"/>
      <c r="V32" s="48"/>
      <c r="W32" s="48"/>
      <c r="X32" s="48"/>
      <c r="Y32" s="48"/>
    </row>
    <row r="33" spans="1:25" ht="20.100000000000001" customHeight="1" x14ac:dyDescent="0.2">
      <c r="A33"/>
      <c r="D33" s="1" t="s">
        <v>51</v>
      </c>
      <c r="E33" s="53" t="str">
        <f>Common_InputFunctions.Utility_LookupItemFromMinMax(X_Cell_Site_AverageTemperature,Table_SourceData_TemperatureZones[Min MAT],Table_SourceData_TemperatureZones[Max MAT],Table_SourceData_TemperatureZones[Temperature Zone])</f>
        <v>Temperate</v>
      </c>
      <c r="G33" s="71"/>
      <c r="L33" s="48"/>
      <c r="M33" s="48"/>
      <c r="N33" s="48"/>
      <c r="O33" s="48"/>
      <c r="P33" s="48"/>
      <c r="Q33" s="48"/>
      <c r="R33" s="48"/>
      <c r="S33" s="48"/>
      <c r="T33" s="48"/>
      <c r="U33" s="48"/>
      <c r="V33" s="48"/>
      <c r="W33" s="48"/>
      <c r="X33" s="48"/>
      <c r="Y33" s="48"/>
    </row>
    <row r="34" spans="1:25" ht="20.100000000000001" customHeight="1" x14ac:dyDescent="0.2">
      <c r="A34"/>
      <c r="J34" s="62"/>
      <c r="K34" s="74"/>
      <c r="L34" s="48"/>
      <c r="M34" s="48"/>
      <c r="N34" s="48"/>
      <c r="O34" s="48"/>
      <c r="P34" s="48"/>
      <c r="Q34" s="48"/>
      <c r="R34" s="48"/>
      <c r="S34" s="48"/>
      <c r="T34" s="48"/>
      <c r="U34" s="48"/>
      <c r="V34" s="48"/>
      <c r="W34" s="48"/>
      <c r="X34" s="48"/>
      <c r="Y34" s="48"/>
    </row>
    <row r="35" spans="1:25" ht="20.100000000000001" customHeight="1" x14ac:dyDescent="0.2">
      <c r="A35"/>
      <c r="J35" s="62"/>
      <c r="K35" s="74"/>
      <c r="L35" s="48"/>
      <c r="M35" s="48"/>
      <c r="N35" s="48"/>
      <c r="O35" s="48"/>
      <c r="P35" s="48"/>
      <c r="Q35" s="48"/>
      <c r="R35" s="48"/>
      <c r="S35" s="48"/>
      <c r="T35" s="48"/>
      <c r="U35" s="48"/>
      <c r="V35" s="48"/>
      <c r="W35" s="48"/>
      <c r="X35" s="48"/>
      <c r="Y35" s="48"/>
    </row>
    <row r="36" spans="1:25" ht="20.100000000000001" customHeight="1" x14ac:dyDescent="0.2">
      <c r="A36"/>
      <c r="D36" s="72"/>
      <c r="E36" s="72"/>
      <c r="F36" s="73"/>
      <c r="G36" s="62"/>
      <c r="H36" s="62"/>
      <c r="I36" s="63"/>
      <c r="J36" s="62"/>
      <c r="K36" s="74"/>
      <c r="L36" s="48"/>
      <c r="M36" s="48"/>
      <c r="N36" s="48"/>
      <c r="O36" s="48"/>
      <c r="P36" s="48"/>
      <c r="Q36" s="48"/>
      <c r="R36" s="48"/>
      <c r="S36" s="48"/>
      <c r="T36" s="48"/>
      <c r="U36" s="48"/>
      <c r="V36" s="48"/>
      <c r="W36" s="48"/>
      <c r="X36" s="48"/>
      <c r="Y36" s="48"/>
    </row>
    <row r="37" spans="1:25" ht="20.100000000000001" customHeight="1" x14ac:dyDescent="0.2">
      <c r="A37"/>
      <c r="D37" s="72"/>
      <c r="E37" s="72"/>
      <c r="F37" s="73"/>
      <c r="G37" s="62"/>
      <c r="H37" s="62"/>
      <c r="I37" s="63"/>
      <c r="J37" s="62"/>
      <c r="K37" s="74"/>
      <c r="L37" s="48"/>
      <c r="M37" s="48"/>
      <c r="N37" s="48"/>
      <c r="O37" s="48"/>
      <c r="P37" s="48"/>
      <c r="Q37" s="48"/>
      <c r="R37" s="48"/>
      <c r="S37" s="48"/>
      <c r="T37" s="48"/>
      <c r="U37" s="48"/>
      <c r="V37" s="48"/>
      <c r="W37" s="48"/>
      <c r="X37" s="48"/>
      <c r="Y37" s="48"/>
    </row>
    <row r="38" spans="1:25" ht="20.100000000000001" customHeight="1" x14ac:dyDescent="0.2">
      <c r="A38"/>
      <c r="D38" s="72"/>
      <c r="E38" s="72"/>
      <c r="F38" s="73"/>
      <c r="G38" s="62"/>
      <c r="H38" s="62"/>
      <c r="I38" s="63"/>
      <c r="J38" s="62"/>
      <c r="K38" s="74"/>
      <c r="L38" s="48"/>
      <c r="M38" s="48"/>
      <c r="N38" s="48"/>
      <c r="O38" s="48"/>
      <c r="P38" s="48"/>
      <c r="Q38" s="48"/>
      <c r="R38" s="48"/>
      <c r="S38" s="48"/>
      <c r="T38" s="48"/>
      <c r="U38" s="48"/>
      <c r="V38" s="48"/>
      <c r="W38" s="48"/>
      <c r="X38" s="48"/>
      <c r="Y38" s="48"/>
    </row>
    <row r="39" spans="1:25" ht="20.100000000000001" customHeight="1" x14ac:dyDescent="0.2">
      <c r="A39"/>
      <c r="D39" s="72"/>
      <c r="E39" s="72"/>
      <c r="F39" s="73"/>
      <c r="G39" s="62"/>
      <c r="H39" s="62"/>
      <c r="I39" s="63"/>
      <c r="J39" s="62"/>
      <c r="K39" s="74"/>
      <c r="L39" s="48"/>
      <c r="M39" s="48"/>
      <c r="N39" s="48"/>
      <c r="O39" s="48"/>
      <c r="P39" s="48"/>
      <c r="Q39" s="48"/>
      <c r="R39" s="48"/>
      <c r="S39" s="48"/>
      <c r="T39" s="48"/>
      <c r="U39" s="48"/>
      <c r="V39" s="48"/>
      <c r="W39" s="48"/>
      <c r="X39" s="48"/>
      <c r="Y39" s="48"/>
    </row>
    <row r="40" spans="1:25" ht="20.100000000000001" customHeight="1" x14ac:dyDescent="0.2">
      <c r="A40"/>
      <c r="D40" s="75"/>
      <c r="E40" s="75"/>
      <c r="F40" s="75"/>
      <c r="G40" s="76"/>
      <c r="H40" s="77"/>
      <c r="I40" s="77"/>
      <c r="J40" s="77"/>
      <c r="K40" s="77"/>
      <c r="L40" s="51"/>
      <c r="M40" s="51"/>
      <c r="N40" s="51"/>
      <c r="O40" s="51"/>
      <c r="P40" s="51"/>
      <c r="Q40" s="51"/>
      <c r="R40" s="51"/>
      <c r="S40" s="51"/>
      <c r="T40" s="51"/>
      <c r="U40" s="51"/>
      <c r="V40" s="51"/>
      <c r="W40" s="51"/>
      <c r="X40" s="51"/>
      <c r="Y40" s="51"/>
    </row>
    <row r="41" spans="1:25" ht="20.100000000000001" customHeight="1" x14ac:dyDescent="0.2">
      <c r="A41"/>
    </row>
    <row r="42" spans="1:25" ht="20.100000000000001" customHeight="1" x14ac:dyDescent="0.2">
      <c r="A42"/>
    </row>
    <row r="43" spans="1:25" ht="20.100000000000001" customHeight="1" x14ac:dyDescent="0.2">
      <c r="A43"/>
    </row>
    <row r="44" spans="1:25" ht="20.100000000000001" customHeight="1" x14ac:dyDescent="0.2">
      <c r="A44"/>
    </row>
    <row r="45" spans="1:25" ht="20.100000000000001" customHeight="1" x14ac:dyDescent="0.2">
      <c r="A45"/>
      <c r="D45" s="6"/>
    </row>
    <row r="46" spans="1:25" ht="20.100000000000001" customHeight="1" x14ac:dyDescent="0.2">
      <c r="A46"/>
      <c r="D46" s="22"/>
    </row>
    <row r="47" spans="1:25" ht="20.100000000000001" customHeight="1" x14ac:dyDescent="0.2">
      <c r="A47"/>
      <c r="D47" s="78"/>
      <c r="E47" s="78"/>
      <c r="F47" s="78"/>
      <c r="G47" s="78"/>
      <c r="H47" s="78"/>
    </row>
    <row r="48" spans="1:25" ht="20.100000000000001" customHeight="1" x14ac:dyDescent="0.2">
      <c r="A48"/>
      <c r="D48" s="35"/>
      <c r="E48" s="35"/>
      <c r="F48" s="36"/>
      <c r="G48" s="36"/>
      <c r="H48" s="35"/>
    </row>
    <row r="49" spans="1:8" ht="20.100000000000001" customHeight="1" x14ac:dyDescent="0.2">
      <c r="A49"/>
      <c r="D49" s="35"/>
      <c r="E49" s="35"/>
      <c r="F49" s="36"/>
      <c r="G49" s="36"/>
      <c r="H49" s="35"/>
    </row>
    <row r="50" spans="1:8" ht="20.100000000000001" customHeight="1" x14ac:dyDescent="0.2">
      <c r="A50"/>
      <c r="D50" s="35"/>
      <c r="E50" s="35"/>
      <c r="F50" s="36"/>
      <c r="G50" s="36"/>
      <c r="H50" s="35"/>
    </row>
    <row r="51" spans="1:8" ht="20.100000000000001" customHeight="1" x14ac:dyDescent="0.2">
      <c r="A51"/>
      <c r="D51" s="79"/>
      <c r="E51" s="80"/>
      <c r="F51" s="80"/>
      <c r="G51" s="80"/>
      <c r="H51" s="81"/>
    </row>
    <row r="52" spans="1:8" ht="20.100000000000001" customHeight="1" x14ac:dyDescent="0.2">
      <c r="A52"/>
    </row>
    <row r="53" spans="1:8" ht="20.100000000000001" customHeight="1" x14ac:dyDescent="0.2">
      <c r="A53"/>
    </row>
    <row r="54" spans="1:8" ht="20.100000000000001" customHeight="1" x14ac:dyDescent="0.2">
      <c r="A54"/>
      <c r="G54" s="82"/>
    </row>
    <row r="55" spans="1:8" ht="20.100000000000001" customHeight="1" x14ac:dyDescent="0.2">
      <c r="A55"/>
      <c r="D55" s="6"/>
    </row>
    <row r="56" spans="1:8" ht="20.100000000000001" customHeight="1" x14ac:dyDescent="0.2">
      <c r="A56"/>
    </row>
    <row r="57" spans="1:8" ht="20.100000000000001" customHeight="1" x14ac:dyDescent="0.2">
      <c r="A57"/>
      <c r="D57" s="22"/>
      <c r="F57" s="83"/>
    </row>
    <row r="58" spans="1:8" ht="20.100000000000001" customHeight="1" x14ac:dyDescent="0.2">
      <c r="A58"/>
      <c r="D58" s="1"/>
      <c r="E58" s="84"/>
    </row>
    <row r="59" spans="1:8" ht="20.100000000000001" customHeight="1" x14ac:dyDescent="0.2">
      <c r="A59"/>
      <c r="D59" s="1"/>
      <c r="E59" s="84"/>
    </row>
    <row r="60" spans="1:8" ht="20.100000000000001" customHeight="1" x14ac:dyDescent="0.2">
      <c r="A60"/>
      <c r="D60" s="1"/>
      <c r="E60" s="85"/>
    </row>
    <row r="61" spans="1:8" ht="20.100000000000001" customHeight="1" x14ac:dyDescent="0.2">
      <c r="A61"/>
      <c r="D61" s="1"/>
    </row>
    <row r="62" spans="1:8" ht="20.100000000000001" customHeight="1" x14ac:dyDescent="0.2">
      <c r="A62"/>
    </row>
    <row r="63" spans="1:8" ht="20.100000000000001" customHeight="1" x14ac:dyDescent="0.2">
      <c r="A63"/>
      <c r="D63" s="22"/>
    </row>
    <row r="64" spans="1:8" ht="20.100000000000001" customHeight="1" x14ac:dyDescent="0.2">
      <c r="A64"/>
      <c r="D64" s="1"/>
      <c r="E64" s="84"/>
    </row>
    <row r="65" spans="1:9" ht="20.100000000000001" customHeight="1" x14ac:dyDescent="0.2">
      <c r="A65"/>
      <c r="D65" s="1"/>
      <c r="E65" s="84"/>
    </row>
    <row r="66" spans="1:9" ht="20.100000000000001" customHeight="1" x14ac:dyDescent="0.2">
      <c r="A66"/>
      <c r="D66" s="1"/>
      <c r="E66" s="85"/>
    </row>
    <row r="67" spans="1:9" ht="20.100000000000001" customHeight="1" x14ac:dyDescent="0.2">
      <c r="A67"/>
    </row>
    <row r="68" spans="1:9" ht="20.100000000000001" customHeight="1" x14ac:dyDescent="0.2">
      <c r="A68"/>
    </row>
    <row r="69" spans="1:9" ht="20.100000000000001" customHeight="1" x14ac:dyDescent="0.2">
      <c r="A69"/>
      <c r="D69" s="61"/>
      <c r="E69" s="61"/>
      <c r="F69" s="61"/>
      <c r="G69" s="61"/>
      <c r="H69" s="61"/>
      <c r="I69" s="61"/>
    </row>
    <row r="70" spans="1:9" ht="20.100000000000001" customHeight="1" x14ac:dyDescent="0.2">
      <c r="A70"/>
      <c r="D70" s="61"/>
      <c r="E70" s="61"/>
      <c r="F70" s="61"/>
      <c r="G70" s="61"/>
      <c r="H70" s="61"/>
      <c r="I70" s="61"/>
    </row>
    <row r="71" spans="1:9" ht="20.100000000000001" customHeight="1" x14ac:dyDescent="0.2">
      <c r="A71"/>
      <c r="D71" s="61"/>
      <c r="E71" s="61"/>
      <c r="F71" s="61"/>
      <c r="G71" s="61"/>
      <c r="H71" s="61"/>
      <c r="I71" s="61"/>
    </row>
    <row r="72" spans="1:9" ht="20.100000000000001" customHeight="1" x14ac:dyDescent="0.2">
      <c r="A72"/>
      <c r="D72" s="61"/>
      <c r="E72" s="61"/>
      <c r="F72" s="61"/>
      <c r="G72" s="61"/>
      <c r="H72" s="61"/>
      <c r="I72" s="61"/>
    </row>
    <row r="73" spans="1:9" ht="20.100000000000001" customHeight="1" x14ac:dyDescent="0.2">
      <c r="A73"/>
    </row>
    <row r="74" spans="1:9" ht="20.100000000000001" customHeight="1" x14ac:dyDescent="0.2">
      <c r="A74"/>
    </row>
    <row r="75" spans="1:9" ht="20.100000000000001" customHeight="1" x14ac:dyDescent="0.2">
      <c r="A75"/>
    </row>
    <row r="76" spans="1:9" ht="20.100000000000001" customHeight="1" x14ac:dyDescent="0.2">
      <c r="A76"/>
    </row>
    <row r="77" spans="1:9" ht="20.100000000000001" customHeight="1" x14ac:dyDescent="0.2">
      <c r="A77"/>
    </row>
    <row r="78" spans="1:9" ht="20.100000000000001" customHeight="1" x14ac:dyDescent="0.2">
      <c r="A78"/>
      <c r="D78" s="86"/>
    </row>
    <row r="79" spans="1:9" ht="20.100000000000001" customHeight="1" x14ac:dyDescent="0.2">
      <c r="A79"/>
      <c r="D79" s="86"/>
    </row>
    <row r="80" spans="1:9" ht="20.100000000000001" customHeight="1" x14ac:dyDescent="0.2">
      <c r="A80"/>
      <c r="D80" s="86"/>
    </row>
    <row r="81" spans="1:4" ht="20.100000000000001" customHeight="1" x14ac:dyDescent="0.2">
      <c r="A81"/>
      <c r="D81" s="86"/>
    </row>
    <row r="82" spans="1:4" ht="20.100000000000001" customHeight="1" x14ac:dyDescent="0.2">
      <c r="A82"/>
      <c r="D82" s="86"/>
    </row>
    <row r="83" spans="1:4" ht="20.100000000000001" customHeight="1" x14ac:dyDescent="0.2">
      <c r="A83"/>
    </row>
    <row r="84" spans="1:4" ht="20.100000000000001" customHeight="1" x14ac:dyDescent="0.2">
      <c r="A84"/>
    </row>
    <row r="85" spans="1:4" ht="20.100000000000001" customHeight="1" x14ac:dyDescent="0.2">
      <c r="A85"/>
    </row>
    <row r="86" spans="1:4" ht="20.100000000000001" customHeight="1" x14ac:dyDescent="0.2">
      <c r="A86"/>
    </row>
    <row r="87" spans="1:4" ht="20.100000000000001" customHeight="1" x14ac:dyDescent="0.2">
      <c r="A87"/>
    </row>
    <row r="88" spans="1:4" ht="20.100000000000001" customHeight="1" x14ac:dyDescent="0.2">
      <c r="A88"/>
    </row>
    <row r="89" spans="1:4" ht="20.100000000000001" customHeight="1" x14ac:dyDescent="0.2">
      <c r="A89"/>
    </row>
    <row r="90" spans="1:4" ht="20.100000000000001" customHeight="1" x14ac:dyDescent="0.2">
      <c r="A90"/>
    </row>
    <row r="91" spans="1:4" ht="20.100000000000001" customHeight="1" x14ac:dyDescent="0.2">
      <c r="A91"/>
    </row>
    <row r="92" spans="1:4" ht="20.100000000000001" customHeight="1" x14ac:dyDescent="0.2">
      <c r="A92"/>
    </row>
    <row r="93" spans="1:4" ht="20.100000000000001" customHeight="1" x14ac:dyDescent="0.2">
      <c r="A93"/>
    </row>
    <row r="94" spans="1:4" ht="20.100000000000001" customHeight="1" x14ac:dyDescent="0.2">
      <c r="A94"/>
    </row>
    <row r="95" spans="1:4" ht="20.100000000000001" customHeight="1" x14ac:dyDescent="0.2">
      <c r="A95"/>
    </row>
    <row r="96" spans="1:4" ht="20.100000000000001" customHeight="1" x14ac:dyDescent="0.2">
      <c r="A96"/>
    </row>
    <row r="97" spans="1:1" ht="20.100000000000001" customHeight="1" x14ac:dyDescent="0.2">
      <c r="A97"/>
    </row>
    <row r="98" spans="1:1" ht="20.100000000000001" customHeight="1" x14ac:dyDescent="0.2">
      <c r="A98"/>
    </row>
    <row r="99" spans="1:1" ht="20.100000000000001" customHeight="1" x14ac:dyDescent="0.2">
      <c r="A99"/>
    </row>
    <row r="100" spans="1:1" ht="20.100000000000001" customHeight="1" x14ac:dyDescent="0.2">
      <c r="A100"/>
    </row>
    <row r="101" spans="1:1" ht="20.100000000000001" customHeight="1" x14ac:dyDescent="0.2">
      <c r="A101"/>
    </row>
    <row r="102" spans="1:1" ht="20.100000000000001" customHeight="1" x14ac:dyDescent="0.2">
      <c r="A102"/>
    </row>
    <row r="103" spans="1:1" ht="20.100000000000001" customHeight="1" x14ac:dyDescent="0.2">
      <c r="A103"/>
    </row>
    <row r="104" spans="1:1" ht="20.100000000000001" customHeight="1" x14ac:dyDescent="0.2">
      <c r="A104"/>
    </row>
    <row r="105" spans="1:1" ht="20.100000000000001" customHeight="1" x14ac:dyDescent="0.2">
      <c r="A105"/>
    </row>
    <row r="106" spans="1:1" ht="20.100000000000001" customHeight="1" x14ac:dyDescent="0.2">
      <c r="A106"/>
    </row>
    <row r="107" spans="1:1" ht="20.100000000000001" customHeight="1" x14ac:dyDescent="0.2">
      <c r="A107"/>
    </row>
    <row r="108" spans="1:1" ht="20.100000000000001" customHeight="1" x14ac:dyDescent="0.2">
      <c r="A108"/>
    </row>
    <row r="109" spans="1:1" ht="20.100000000000001" customHeight="1" x14ac:dyDescent="0.2">
      <c r="A109"/>
    </row>
    <row r="110" spans="1:1" ht="20.100000000000001" customHeight="1" x14ac:dyDescent="0.2">
      <c r="A110"/>
    </row>
    <row r="111" spans="1:1" ht="20.100000000000001" customHeight="1" x14ac:dyDescent="0.2">
      <c r="A111"/>
    </row>
    <row r="112" spans="1:1" ht="20.100000000000001" customHeight="1" x14ac:dyDescent="0.2">
      <c r="A112"/>
    </row>
    <row r="113" spans="1:1" ht="20.100000000000001" customHeight="1" x14ac:dyDescent="0.2">
      <c r="A113"/>
    </row>
    <row r="114" spans="1:1" ht="20.100000000000001" customHeight="1" x14ac:dyDescent="0.2">
      <c r="A114"/>
    </row>
    <row r="115" spans="1:1" ht="20.100000000000001" customHeight="1" x14ac:dyDescent="0.2">
      <c r="A115"/>
    </row>
    <row r="116" spans="1:1" ht="20.100000000000001" customHeight="1" x14ac:dyDescent="0.2">
      <c r="A116"/>
    </row>
    <row r="117" spans="1:1" ht="20.100000000000001" customHeight="1" x14ac:dyDescent="0.2">
      <c r="A117"/>
    </row>
    <row r="118" spans="1:1" ht="20.100000000000001" customHeight="1" x14ac:dyDescent="0.2">
      <c r="A118"/>
    </row>
    <row r="119" spans="1:1" ht="20.100000000000001" customHeight="1" x14ac:dyDescent="0.2">
      <c r="A119"/>
    </row>
    <row r="120" spans="1:1" ht="20.100000000000001" customHeight="1" x14ac:dyDescent="0.2">
      <c r="A120"/>
    </row>
    <row r="121" spans="1:1" ht="20.100000000000001" customHeight="1" x14ac:dyDescent="0.2">
      <c r="A121"/>
    </row>
    <row r="122" spans="1:1" ht="20.100000000000001" customHeight="1" x14ac:dyDescent="0.2">
      <c r="A122"/>
    </row>
    <row r="123" spans="1:1" ht="20.100000000000001" customHeight="1" x14ac:dyDescent="0.2">
      <c r="A123"/>
    </row>
    <row r="124" spans="1:1" ht="20.100000000000001" customHeight="1" x14ac:dyDescent="0.2">
      <c r="A124"/>
    </row>
    <row r="125" spans="1:1" ht="20.100000000000001" customHeight="1" x14ac:dyDescent="0.2">
      <c r="A125"/>
    </row>
    <row r="126" spans="1:1" ht="20.100000000000001" customHeight="1" x14ac:dyDescent="0.2">
      <c r="A126"/>
    </row>
    <row r="127" spans="1:1" ht="20.100000000000001" customHeight="1" x14ac:dyDescent="0.2">
      <c r="A127"/>
    </row>
    <row r="128" spans="1:1" ht="20.100000000000001" customHeight="1" x14ac:dyDescent="0.2">
      <c r="A128"/>
    </row>
    <row r="129" spans="1:1" ht="20.100000000000001" customHeight="1" x14ac:dyDescent="0.2">
      <c r="A129"/>
    </row>
    <row r="130" spans="1:1" ht="20.100000000000001" customHeight="1" x14ac:dyDescent="0.2">
      <c r="A130"/>
    </row>
    <row r="131" spans="1:1" ht="20.100000000000001" customHeight="1" x14ac:dyDescent="0.2">
      <c r="A131"/>
    </row>
    <row r="132" spans="1:1" ht="20.100000000000001" customHeight="1" x14ac:dyDescent="0.2">
      <c r="A132"/>
    </row>
    <row r="133" spans="1:1" ht="20.100000000000001" customHeight="1" x14ac:dyDescent="0.2">
      <c r="A133"/>
    </row>
    <row r="134" spans="1:1" ht="20.100000000000001" customHeight="1" x14ac:dyDescent="0.2">
      <c r="A134"/>
    </row>
    <row r="135" spans="1:1" ht="20.100000000000001" customHeight="1" x14ac:dyDescent="0.2">
      <c r="A135"/>
    </row>
    <row r="136" spans="1:1" ht="20.100000000000001" customHeight="1" x14ac:dyDescent="0.2">
      <c r="A136"/>
    </row>
    <row r="137" spans="1:1" ht="20.100000000000001" customHeight="1" x14ac:dyDescent="0.2">
      <c r="A137"/>
    </row>
    <row r="138" spans="1:1" ht="20.100000000000001" customHeight="1" x14ac:dyDescent="0.2">
      <c r="A138"/>
    </row>
    <row r="139" spans="1:1" ht="20.100000000000001" customHeight="1" x14ac:dyDescent="0.2">
      <c r="A139"/>
    </row>
    <row r="140" spans="1:1" ht="20.100000000000001" customHeight="1" x14ac:dyDescent="0.2">
      <c r="A140"/>
    </row>
    <row r="141" spans="1:1" ht="20.100000000000001" customHeight="1" x14ac:dyDescent="0.2">
      <c r="A141"/>
    </row>
    <row r="142" spans="1:1" ht="20.100000000000001" customHeight="1" x14ac:dyDescent="0.2">
      <c r="A142"/>
    </row>
    <row r="143" spans="1:1" ht="20.100000000000001" customHeight="1" x14ac:dyDescent="0.2">
      <c r="A143"/>
    </row>
    <row r="144" spans="1:1" ht="20.100000000000001" customHeight="1" x14ac:dyDescent="0.2">
      <c r="A144"/>
    </row>
    <row r="145" spans="1:1" ht="20.100000000000001" customHeight="1" x14ac:dyDescent="0.2">
      <c r="A145"/>
    </row>
    <row r="146" spans="1:1" ht="20.100000000000001" customHeight="1" x14ac:dyDescent="0.2">
      <c r="A146"/>
    </row>
    <row r="147" spans="1:1" ht="20.100000000000001" customHeight="1" x14ac:dyDescent="0.2">
      <c r="A147"/>
    </row>
    <row r="148" spans="1:1" ht="20.100000000000001" customHeight="1" x14ac:dyDescent="0.2">
      <c r="A148"/>
    </row>
    <row r="149" spans="1:1" ht="20.100000000000001" customHeight="1" x14ac:dyDescent="0.2">
      <c r="A149"/>
    </row>
    <row r="150" spans="1:1" ht="20.100000000000001" customHeight="1" x14ac:dyDescent="0.2">
      <c r="A150"/>
    </row>
    <row r="151" spans="1:1" ht="20.100000000000001" customHeight="1" x14ac:dyDescent="0.2">
      <c r="A151"/>
    </row>
    <row r="152" spans="1:1" ht="20.100000000000001" customHeight="1" x14ac:dyDescent="0.2">
      <c r="A152"/>
    </row>
    <row r="153" spans="1:1" ht="20.100000000000001" customHeight="1" x14ac:dyDescent="0.2">
      <c r="A153"/>
    </row>
    <row r="154" spans="1:1" ht="20.100000000000001" customHeight="1" x14ac:dyDescent="0.2">
      <c r="A154"/>
    </row>
    <row r="155" spans="1:1" ht="20.100000000000001" customHeight="1" x14ac:dyDescent="0.2">
      <c r="A155"/>
    </row>
    <row r="156" spans="1:1" ht="20.100000000000001" customHeight="1" x14ac:dyDescent="0.2">
      <c r="A156"/>
    </row>
    <row r="157" spans="1:1" ht="20.100000000000001" customHeight="1" x14ac:dyDescent="0.2">
      <c r="A157"/>
    </row>
    <row r="158" spans="1:1" ht="20.100000000000001" customHeight="1" x14ac:dyDescent="0.2">
      <c r="A158"/>
    </row>
    <row r="159" spans="1:1" ht="20.100000000000001" customHeight="1" x14ac:dyDescent="0.2">
      <c r="A159"/>
    </row>
    <row r="160" spans="1:1" ht="20.100000000000001" customHeight="1" x14ac:dyDescent="0.2">
      <c r="A160"/>
    </row>
  </sheetData>
  <phoneticPr fontId="23" type="noConversion"/>
  <dataValidations count="4">
    <dataValidation type="list" allowBlank="1" showInputMessage="1" showErrorMessage="1" sqref="E21" xr:uid="{50A5885C-5D2D-4BF0-A681-3069ABFDCE1D}">
      <formula1>INDIRECT("Table_AustralianStates[Common Name]")</formula1>
    </dataValidation>
    <dataValidation type="list" allowBlank="1" showInputMessage="1" showErrorMessage="1" sqref="E22" xr:uid="{82230FB2-F69C-4F26-98A3-8ABF362BCB05}">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807FD90D-3D90-477F-87CC-AECD63F163B8}">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sheetPr>
    <tabColor theme="5" tint="-0.249977111117893"/>
  </sheetPr>
  <dimension ref="A1:X178"/>
  <sheetViews>
    <sheetView showGridLines="0" topLeftCell="D72" zoomScaleNormal="100" workbookViewId="0">
      <selection activeCell="E44" sqref="E44"/>
    </sheetView>
  </sheetViews>
  <sheetFormatPr defaultRowHeight="20.100000000000001" customHeight="1" x14ac:dyDescent="0.2"/>
  <cols>
    <col min="1" max="1" width="30.7109375" customWidth="1"/>
    <col min="2" max="2" width="4.7109375" customWidth="1"/>
    <col min="3" max="3" width="4.7109375" style="1" customWidth="1"/>
    <col min="4" max="4" width="77.7109375" style="1" customWidth="1"/>
    <col min="5" max="9" width="30.7109375" style="1" customWidth="1"/>
    <col min="10" max="11" width="16.42578125" style="1" customWidth="1"/>
    <col min="12" max="14" width="30.7109375" style="1" customWidth="1"/>
    <col min="15" max="15" width="4.7109375" style="1" customWidth="1"/>
    <col min="16" max="17" width="4.7109375" style="57" customWidth="1"/>
    <col min="18" max="23" width="30.7109375" style="57" customWidth="1"/>
    <col min="24" max="24" width="4.7109375" style="57" customWidth="1"/>
  </cols>
  <sheetData>
    <row r="1" spans="1:24" s="67" customFormat="1" ht="30" customHeight="1" x14ac:dyDescent="0.35">
      <c r="A1" s="67" t="e" vm="1">
        <v>#VALUE!</v>
      </c>
      <c r="C1" s="67" t="s">
        <v>188</v>
      </c>
      <c r="P1" s="57"/>
      <c r="Q1" s="57"/>
      <c r="R1" s="57"/>
      <c r="S1" s="57"/>
      <c r="T1" s="57"/>
      <c r="U1" s="57"/>
      <c r="V1" s="57"/>
      <c r="W1" s="57"/>
      <c r="X1" s="57"/>
    </row>
    <row r="2" spans="1:24" s="9" customFormat="1" ht="20.100000000000001" customHeight="1" x14ac:dyDescent="0.2">
      <c r="A2"/>
      <c r="P2" s="57"/>
      <c r="Q2" s="57"/>
      <c r="R2" s="57"/>
      <c r="S2" s="57"/>
      <c r="T2" s="57"/>
      <c r="U2" s="57"/>
      <c r="V2" s="57"/>
      <c r="W2" s="57"/>
      <c r="X2" s="57"/>
    </row>
    <row r="3" spans="1:24" ht="20.100000000000001" customHeight="1" x14ac:dyDescent="0.2">
      <c r="A3" s="17" t="str">
        <f>HYPERLINK("#'Home'!A1", "Home")</f>
        <v>Home</v>
      </c>
      <c r="C3" s="15"/>
      <c r="D3" s="15"/>
      <c r="E3" s="15"/>
      <c r="F3" s="15"/>
      <c r="G3" s="15"/>
      <c r="H3" s="15"/>
      <c r="I3" s="15"/>
      <c r="J3" s="15"/>
      <c r="K3" s="15"/>
      <c r="L3" s="15"/>
      <c r="M3" s="15"/>
      <c r="N3" s="15"/>
      <c r="O3" s="15"/>
    </row>
    <row r="4" spans="1:24" ht="20.100000000000001" customHeight="1" x14ac:dyDescent="0.2">
      <c r="A4" s="17" t="str">
        <f>HYPERLINK("#'Overview'!A1", "Overview")</f>
        <v>Overview</v>
      </c>
    </row>
    <row r="5" spans="1:24" ht="20.100000000000001" customHeight="1" x14ac:dyDescent="0.2">
      <c r="A5" s="17" t="str">
        <f>HYPERLINK("#'Results'!A1", "Results")</f>
        <v>Results</v>
      </c>
      <c r="D5" s="6" t="s">
        <v>99</v>
      </c>
      <c r="O5" s="3"/>
      <c r="S5" s="7"/>
    </row>
    <row r="6" spans="1:24" ht="20.100000000000001" customHeight="1" x14ac:dyDescent="0.2">
      <c r="O6" s="3"/>
      <c r="S6" s="7"/>
    </row>
    <row r="7" spans="1:24" ht="20.100000000000001" customHeight="1" x14ac:dyDescent="0.2">
      <c r="D7" s="1" t="s">
        <v>166</v>
      </c>
      <c r="E7" s="41" t="s">
        <v>209</v>
      </c>
      <c r="F7" s="2" t="s">
        <v>8</v>
      </c>
      <c r="O7" s="3"/>
      <c r="S7" s="7"/>
    </row>
    <row r="8" spans="1:24" ht="20.100000000000001" customHeight="1" x14ac:dyDescent="0.2">
      <c r="A8" s="19" t="s">
        <v>0</v>
      </c>
      <c r="O8" s="3"/>
      <c r="S8" s="7"/>
    </row>
    <row r="9" spans="1:24" ht="20.100000000000001" customHeight="1" x14ac:dyDescent="0.2">
      <c r="A9" s="17" t="str">
        <f>HYPERLINK("#'Input - Site'!A1", "Site")</f>
        <v>Site</v>
      </c>
      <c r="D9" s="64"/>
      <c r="E9" s="40" t="s">
        <v>167</v>
      </c>
      <c r="F9" s="40" t="s">
        <v>184</v>
      </c>
      <c r="G9" s="40" t="s">
        <v>185</v>
      </c>
      <c r="H9" s="40" t="s">
        <v>186</v>
      </c>
      <c r="I9" s="40" t="s">
        <v>187</v>
      </c>
      <c r="S9" s="7"/>
    </row>
    <row r="10" spans="1:24" ht="20.100000000000001" customHeight="1" x14ac:dyDescent="0.2">
      <c r="A10" s="20" t="str">
        <f>HYPERLINK("#'Input - Dairy'!A1", "Dairy")</f>
        <v>Dairy</v>
      </c>
      <c r="D10" s="1" t="str">
        <f>"Average number of head between " &amp; TEXT(X_Cell_Site_StartDate, "dd mmm yy") &amp; " and " &amp; TEXT(X_Cell_Site_EndDate, "dd mmm yy")</f>
        <v>Average number of head between 01 Jan 24 and 31 Dec 24</v>
      </c>
      <c r="E10" s="102">
        <v>100</v>
      </c>
      <c r="F10" s="102">
        <v>100</v>
      </c>
      <c r="G10" s="102">
        <v>100</v>
      </c>
      <c r="H10" s="102">
        <v>100</v>
      </c>
      <c r="I10" s="102">
        <v>100</v>
      </c>
      <c r="J10" s="2" t="s">
        <v>101</v>
      </c>
      <c r="K10" s="2"/>
      <c r="L10" s="2"/>
      <c r="M10" s="2"/>
      <c r="N10" s="2"/>
      <c r="S10" s="7"/>
    </row>
    <row r="11" spans="1:24" ht="20.100000000000001" customHeight="1" x14ac:dyDescent="0.2">
      <c r="S11" s="7"/>
    </row>
    <row r="12" spans="1:24" ht="20.100000000000001" customHeight="1" x14ac:dyDescent="0.2">
      <c r="D12" s="49" t="s">
        <v>206</v>
      </c>
      <c r="S12" s="7"/>
    </row>
    <row r="13" spans="1:24" ht="20.100000000000001" customHeight="1" x14ac:dyDescent="0.2">
      <c r="A13" s="18" t="s">
        <v>73</v>
      </c>
      <c r="D13" s="64" t="s">
        <v>200</v>
      </c>
      <c r="E13" s="40" t="s">
        <v>167</v>
      </c>
      <c r="F13" s="40" t="s">
        <v>184</v>
      </c>
      <c r="G13" s="40" t="s">
        <v>185</v>
      </c>
      <c r="H13" s="40" t="s">
        <v>186</v>
      </c>
      <c r="I13" s="40" t="s">
        <v>187</v>
      </c>
      <c r="S13" s="39"/>
    </row>
    <row r="14" spans="1:24" ht="20.100000000000001" customHeight="1" x14ac:dyDescent="0.2">
      <c r="A14" s="17" t="str">
        <f>HYPERLINK("#'4.3.1.1-2 Methane'!A1", "4.3.1.1-2 Methane")</f>
        <v>4.3.1.1-2 Methane</v>
      </c>
      <c r="D14" s="1" t="s">
        <v>207</v>
      </c>
      <c r="E14" s="53">
        <f>Common_InputFunctions.Utility_LookupValueInTableNumber(X_Cell_Dairy_Breed, Table_SourceData_Dairy_WjCowsHeifers[Breed],Table_SourceData_Dairy_WjCowsHeifers[Milking cows])</f>
        <v>550</v>
      </c>
      <c r="F14" s="53">
        <f>Common_InputFunctions.Utility_LookupValueInTableNumber(X_Cell_Dairy_Breed, Table_SourceData_Dairy_WjCowsHeifers[Breed],Table_SourceData_Dairy_WjCowsHeifers[Heifers &gt; 1])</f>
        <v>380</v>
      </c>
      <c r="G14" s="53">
        <f>Common_InputFunctions.Utility_LookupValueInTableNumber(X_Cell_Dairy_Breed, Table_SourceData_Dairy_WjCowsHeifers[Breed],Table_SourceData_Dairy_WjCowsHeifers[Heifers &lt; 1 (weaned)])</f>
        <v>155</v>
      </c>
      <c r="H14" s="53" cm="1">
        <f t="array" ref="H14">Table_SourceData_Dairy_WjBulls[Bulls &gt; 1]</f>
        <v>600</v>
      </c>
      <c r="I14" s="53" cm="1">
        <f t="array" ref="I14">Table_SourceData_Dairy_WjBulls[Bulls &lt; 1 (weaned)]</f>
        <v>225</v>
      </c>
      <c r="J14" s="2" t="s">
        <v>189</v>
      </c>
      <c r="K14" s="2"/>
      <c r="L14" s="2"/>
      <c r="M14" s="2"/>
      <c r="N14" s="2"/>
      <c r="S14" s="39"/>
    </row>
    <row r="15" spans="1:24" ht="20.100000000000001" customHeight="1" x14ac:dyDescent="0.2">
      <c r="A15" s="17" t="str">
        <f>HYPERLINK("#'4.3.1.3-4 Direct N20'!A1", "4.3.1.3-4 Direct N20")</f>
        <v>4.3.1.3-4 Direct N20</v>
      </c>
      <c r="D15" s="1" t="s">
        <v>208</v>
      </c>
      <c r="E15" s="53" cm="1">
        <f t="array" ref="E15">Table_SourceData_Dairy_LWGj[Milking cows]</f>
        <v>1.6E-2</v>
      </c>
      <c r="F15" s="53" cm="1">
        <f t="array" ref="F15">Table_SourceData_Dairy_LWGj[Heifers &gt; 1]</f>
        <v>0.6</v>
      </c>
      <c r="G15" s="53" cm="1">
        <f t="array" ref="G15">Table_SourceData_Dairy_LWGj[Heifers &lt; 1 (weaned)]</f>
        <v>0.56999999999999995</v>
      </c>
      <c r="H15" s="53" cm="1">
        <f t="array" ref="H15">Table_SourceData_Dairy_LWGj[Bulls &gt; 1]</f>
        <v>0.1</v>
      </c>
      <c r="I15" s="53" cm="1">
        <f t="array" ref="I15">Table_SourceData_Dairy_LWGj[Bulls &lt; 1 (weaned)]</f>
        <v>0.8</v>
      </c>
      <c r="J15" s="2" t="s">
        <v>190</v>
      </c>
      <c r="K15" s="2"/>
      <c r="L15" s="2"/>
      <c r="M15" s="2"/>
      <c r="N15" s="2"/>
      <c r="S15" s="39"/>
    </row>
    <row r="16" spans="1:24" ht="20.100000000000001" customHeight="1" x14ac:dyDescent="0.2">
      <c r="A16" s="17" t="str">
        <f>HYPERLINK("#'4.3.1.5 Atmos deposition'!A1", "4.3.1.5 Atmos deposition")</f>
        <v>4.3.1.5 Atmos deposition</v>
      </c>
      <c r="S16" s="39"/>
    </row>
    <row r="17" spans="1:19" ht="20.100000000000001" customHeight="1" x14ac:dyDescent="0.2">
      <c r="A17" s="17" t="str">
        <f>HYPERLINK("#'4.3.1.6-7 Leaching and runoff'!A1", "4.3.1.6-7 Leaching and runoff")</f>
        <v>4.3.1.6-7 Leaching and runoff</v>
      </c>
      <c r="D17" s="64" t="s">
        <v>199</v>
      </c>
      <c r="E17" s="40" t="s">
        <v>167</v>
      </c>
      <c r="F17" s="40" t="s">
        <v>184</v>
      </c>
      <c r="G17" s="40" t="s">
        <v>185</v>
      </c>
      <c r="H17" s="40" t="s">
        <v>186</v>
      </c>
      <c r="I17" s="40" t="s">
        <v>187</v>
      </c>
      <c r="S17" s="7"/>
    </row>
    <row r="18" spans="1:19" ht="20.100000000000001" customHeight="1" x14ac:dyDescent="0.2">
      <c r="A18" s="17" t="str">
        <f>HYPERLINK("#'4.3.1.8 Manure applied to soils'!A1", "4.3.1.8 Manure applied to soils")</f>
        <v>4.3.1.8 Manure applied to soils</v>
      </c>
      <c r="D18" s="1" t="s">
        <v>207</v>
      </c>
      <c r="E18" s="66">
        <f>Common_InputFunctions.Utility_LookupValueInTableNumber(X_Cell_Dairy_Breed, Table_SourceData_Dairy_WjCowsHeifers[Breed],Table_SourceData_Dairy_WjCowsHeifers[Milking cows])</f>
        <v>550</v>
      </c>
      <c r="F18" s="66">
        <f>Common_InputFunctions.Utility_LookupValueInTableNumber(X_Cell_Dairy_Breed, Table_SourceData_Dairy_WjCowsHeifers[Breed],Table_SourceData_Dairy_WjCowsHeifers[Heifers &gt; 1])</f>
        <v>380</v>
      </c>
      <c r="G18" s="66">
        <f>Common_InputFunctions.Utility_LookupValueInTableNumber(X_Cell_Dairy_Breed, Table_SourceData_Dairy_WjCowsHeifers[Breed],Table_SourceData_Dairy_WjCowsHeifers[Heifers &lt; 1 (weaned)])</f>
        <v>155</v>
      </c>
      <c r="H18" s="66" cm="1">
        <f t="array" ref="H18">Table_SourceData_Dairy_WjBulls[Bulls &gt; 1]</f>
        <v>600</v>
      </c>
      <c r="I18" s="66" cm="1">
        <f t="array" ref="I18">Table_SourceData_Dairy_WjBulls[Bulls &lt; 1 (weaned)]</f>
        <v>225</v>
      </c>
      <c r="J18" s="2" t="s">
        <v>189</v>
      </c>
      <c r="K18" s="2"/>
      <c r="L18" s="2"/>
      <c r="M18" s="2"/>
      <c r="N18" s="2"/>
      <c r="S18" s="7"/>
    </row>
    <row r="19" spans="1:19" ht="20.100000000000001" customHeight="1" x14ac:dyDescent="0.2">
      <c r="A19" s="17" t="str">
        <f>HYPERLINK("#'4.3.1.9 Soil direct N2O'!A1", "4.3.1.9 Soil direct N2O")</f>
        <v>4.3.1.9 Soil direct N2O</v>
      </c>
      <c r="D19" s="1" t="s">
        <v>208</v>
      </c>
      <c r="E19" s="66" cm="1">
        <f t="array" ref="E19">Table_SourceData_Dairy_LWGj[Milking cows]</f>
        <v>1.6E-2</v>
      </c>
      <c r="F19" s="66" cm="1">
        <f t="array" ref="F19">Table_SourceData_Dairy_LWGj[Heifers &gt; 1]</f>
        <v>0.6</v>
      </c>
      <c r="G19" s="66" cm="1">
        <f t="array" ref="G19">Table_SourceData_Dairy_LWGj[Heifers &lt; 1 (weaned)]</f>
        <v>0.56999999999999995</v>
      </c>
      <c r="H19" s="66" cm="1">
        <f t="array" ref="H19">Table_SourceData_Dairy_LWGj[Bulls &gt; 1]</f>
        <v>0.1</v>
      </c>
      <c r="I19" s="66" cm="1">
        <f t="array" ref="I19">Table_SourceData_Dairy_LWGj[Bulls &lt; 1 (weaned)]</f>
        <v>0.8</v>
      </c>
      <c r="J19" s="2" t="s">
        <v>190</v>
      </c>
      <c r="K19" s="2"/>
      <c r="L19" s="2"/>
      <c r="M19" s="2"/>
      <c r="N19" s="2"/>
      <c r="S19" s="7"/>
    </row>
    <row r="20" spans="1:19" ht="20.100000000000001" customHeight="1" x14ac:dyDescent="0.2">
      <c r="A20" s="17" t="str">
        <f>HYPERLINK("#'4.3.1.10-11 Soil Atmos Dep'!A1", "4.3.1.10-11 Soil Atmos Dep")</f>
        <v>4.3.1.10-11 Soil Atmos Dep</v>
      </c>
      <c r="S20" s="7"/>
    </row>
    <row r="21" spans="1:19" ht="20.100000000000001" customHeight="1" x14ac:dyDescent="0.2">
      <c r="A21" s="17" t="str">
        <f>HYPERLINK("#'4.3.1.12-13 Soil leach runoff'!A1", "4.3.1.12-13 Soil leach runoff")</f>
        <v>4.3.1.12-13 Soil leach runoff</v>
      </c>
      <c r="D21" s="49" t="s">
        <v>100</v>
      </c>
      <c r="S21" s="7"/>
    </row>
    <row r="22" spans="1:19" ht="20.100000000000001" customHeight="1" x14ac:dyDescent="0.2">
      <c r="S22" s="7"/>
    </row>
    <row r="23" spans="1:19" ht="20.100000000000001" customHeight="1" x14ac:dyDescent="0.2">
      <c r="D23" s="64" t="s">
        <v>200</v>
      </c>
      <c r="E23" s="40" t="s">
        <v>167</v>
      </c>
      <c r="F23" s="40" t="s">
        <v>184</v>
      </c>
      <c r="G23" s="40" t="s">
        <v>185</v>
      </c>
      <c r="H23" s="40" t="s">
        <v>186</v>
      </c>
      <c r="I23" s="40" t="s">
        <v>187</v>
      </c>
      <c r="S23" s="7"/>
    </row>
    <row r="24" spans="1:19" ht="20.100000000000001" customHeight="1" x14ac:dyDescent="0.2">
      <c r="A24" s="154" t="s">
        <v>1</v>
      </c>
      <c r="D24" s="1" t="str">
        <f>"Average duration of stay between " &amp; TEXT(X_Cell_Site_StartDate, "dd mmm yy") &amp; " and " &amp; TEXT(X_Cell_Site_EndDate, "dd mmm yy") &amp; " weaned livestock"</f>
        <v>Average duration of stay between 01 Jan 24 and 31 Dec 24 weaned livestock</v>
      </c>
      <c r="E24" s="53" cm="1">
        <f t="array" ref="E24">Common_InputFunctions.Utility_LookupValueInTableNumber(E23,Table_SourceData_Dairy_Duration[Animal class j],Table_SourceData_Dairy_Duration[Duration (weaned)])</f>
        <v>365</v>
      </c>
      <c r="F24" s="53" cm="1">
        <f t="array" ref="F24">Common_InputFunctions.Utility_LookupValueInTableNumber(F23,Table_SourceData_Dairy_Duration[Animal class j],Table_SourceData_Dairy_Duration[Duration (weaned)])</f>
        <v>365</v>
      </c>
      <c r="G24" s="53" cm="1">
        <f t="array" ref="G24">Common_InputFunctions.Utility_LookupValueInTableNumber(G23,Table_SourceData_Dairy_Duration[Animal class j],Table_SourceData_Dairy_Duration[Duration (weaned)])</f>
        <v>281</v>
      </c>
      <c r="H24" s="53" cm="1">
        <f t="array" ref="H24">Common_InputFunctions.Utility_LookupValueInTableNumber(H23,Table_SourceData_Dairy_Duration[Animal class j],Table_SourceData_Dairy_Duration[Duration (weaned)])</f>
        <v>365</v>
      </c>
      <c r="I24" s="53" cm="1">
        <f t="array" ref="I24">Common_InputFunctions.Utility_LookupValueInTableNumber(I23,Table_SourceData_Dairy_Duration[Animal class j],Table_SourceData_Dairy_Duration[Duration (weaned)])</f>
        <v>281</v>
      </c>
      <c r="J24" s="2" t="s">
        <v>53</v>
      </c>
      <c r="K24" s="2"/>
      <c r="L24" s="2"/>
      <c r="M24" s="2"/>
      <c r="N24" s="2"/>
      <c r="S24" s="7"/>
    </row>
    <row r="25" spans="1:19" ht="20.100000000000001" customHeight="1" x14ac:dyDescent="0.2">
      <c r="A25" s="17" t="str">
        <f>HYPERLINK("#'Constants - Dairy'!A1", "Constants - Dairy")</f>
        <v>Constants - Dairy</v>
      </c>
      <c r="D25" s="1" t="str">
        <f>"Average duration of stay between " &amp; TEXT(X_Cell_Site_StartDate, "dd mmm yy") &amp; " and " &amp; TEXT(X_Cell_Site_EndDate, "dd mmm yy") &amp; " pre-weaned livestock"</f>
        <v>Average duration of stay between 01 Jan 24 and 31 Dec 24 pre-weaned livestock</v>
      </c>
      <c r="E25" s="53" cm="1">
        <f t="array" ref="E25">Common_InputFunctions.Utility_LookupValueInTableNumber(E23,Table_SourceData_Dairy_Duration[Animal class j],Table_SourceData_Dairy_Duration[Duration (pre-weaned)])</f>
        <v>0</v>
      </c>
      <c r="F25" s="53" cm="1">
        <f t="array" ref="F25">Common_InputFunctions.Utility_LookupValueInTableNumber(F23,Table_SourceData_Dairy_Duration[Animal class j],Table_SourceData_Dairy_Duration[Duration (pre-weaned)])</f>
        <v>0</v>
      </c>
      <c r="G25" s="53" cm="1">
        <f t="array" ref="G25">Common_InputFunctions.Utility_LookupValueInTableNumber(G23,Table_SourceData_Dairy_Duration[Animal class j],Table_SourceData_Dairy_Duration[Duration (pre-weaned)])</f>
        <v>84</v>
      </c>
      <c r="H25" s="53" cm="1">
        <f t="array" ref="H25">Common_InputFunctions.Utility_LookupValueInTableNumber(H23,Table_SourceData_Dairy_Duration[Animal class j],Table_SourceData_Dairy_Duration[Duration (pre-weaned)])</f>
        <v>0</v>
      </c>
      <c r="I25" s="53" cm="1">
        <f t="array" ref="I25">Common_InputFunctions.Utility_LookupValueInTableNumber(I23,Table_SourceData_Dairy_Duration[Animal class j],Table_SourceData_Dairy_Duration[Duration (pre-weaned)])</f>
        <v>84</v>
      </c>
      <c r="J25" s="2" t="s">
        <v>53</v>
      </c>
      <c r="K25" s="2"/>
      <c r="L25" s="2"/>
      <c r="M25" s="2"/>
      <c r="N25" s="2"/>
      <c r="S25" s="7"/>
    </row>
    <row r="26" spans="1:19" ht="20.100000000000001" customHeight="1" x14ac:dyDescent="0.2">
      <c r="A26" s="17" t="str">
        <f>HYPERLINK("#'Constants - Common'!A1", "Constants - Common")</f>
        <v>Constants - Common</v>
      </c>
      <c r="S26" s="7"/>
    </row>
    <row r="27" spans="1:19" ht="20.100000000000001" customHeight="1" x14ac:dyDescent="0.2">
      <c r="A27" s="17" t="str">
        <f>HYPERLINK("#'Constants - Livestock'!A1", "Constants - Livestock")</f>
        <v>Constants - Livestock</v>
      </c>
      <c r="D27" s="64" t="s">
        <v>199</v>
      </c>
      <c r="E27" s="40" t="s">
        <v>167</v>
      </c>
      <c r="F27" s="40" t="s">
        <v>184</v>
      </c>
      <c r="G27" s="40" t="s">
        <v>185</v>
      </c>
      <c r="H27" s="40" t="s">
        <v>186</v>
      </c>
      <c r="I27" s="40" t="s">
        <v>187</v>
      </c>
      <c r="S27" s="7"/>
    </row>
    <row r="28" spans="1:19" ht="20.100000000000001" customHeight="1" x14ac:dyDescent="0.2">
      <c r="A28" s="17" t="str">
        <f>HYPERLINK("#'Acknowledgements'!A1", "Acknowledgements")</f>
        <v>Acknowledgements</v>
      </c>
      <c r="D28" s="1" t="str">
        <f>"Average duration of stay between " &amp; TEXT(X_Cell_Site_StartDate, "dd mmm yy") &amp; " and " &amp; TEXT(X_Cell_Site_EndDate, "dd mmm yy") &amp; " weaned livestock"</f>
        <v>Average duration of stay between 01 Jan 24 and 31 Dec 24 weaned livestock</v>
      </c>
      <c r="E28" s="66" cm="1">
        <f t="array" ref="E28">Common_InputFunctions.Utility_LookupValueInTableNumber(E27,Table_SourceData_Dairy_Duration[Animal class j],Table_SourceData_Dairy_Duration[Duration (weaned)])</f>
        <v>365</v>
      </c>
      <c r="F28" s="66" cm="1">
        <f t="array" ref="F28">Common_InputFunctions.Utility_LookupValueInTableNumber(F27,Table_SourceData_Dairy_Duration[Animal class j],Table_SourceData_Dairy_Duration[Duration (weaned)])</f>
        <v>365</v>
      </c>
      <c r="G28" s="66" cm="1">
        <f t="array" ref="G28">Common_InputFunctions.Utility_LookupValueInTableNumber(G27,Table_SourceData_Dairy_Duration[Animal class j],Table_SourceData_Dairy_Duration[Duration (weaned)])</f>
        <v>281</v>
      </c>
      <c r="H28" s="66" cm="1">
        <f t="array" ref="H28">Common_InputFunctions.Utility_LookupValueInTableNumber(H27,Table_SourceData_Dairy_Duration[Animal class j],Table_SourceData_Dairy_Duration[Duration (weaned)])</f>
        <v>365</v>
      </c>
      <c r="I28" s="66" cm="1">
        <f t="array" ref="I28">Common_InputFunctions.Utility_LookupValueInTableNumber(I27,Table_SourceData_Dairy_Duration[Animal class j],Table_SourceData_Dairy_Duration[Duration (weaned)])</f>
        <v>281</v>
      </c>
      <c r="J28" s="2" t="s">
        <v>53</v>
      </c>
      <c r="K28" s="2"/>
      <c r="L28" s="2"/>
      <c r="M28" s="2"/>
      <c r="N28" s="2"/>
      <c r="S28" s="7"/>
    </row>
    <row r="29" spans="1:19" ht="20.100000000000001" customHeight="1" x14ac:dyDescent="0.2">
      <c r="A29" s="17" t="str">
        <f>HYPERLINK("#'Tab template'!A1", "Tab template")</f>
        <v>Tab template</v>
      </c>
      <c r="D29" s="1" t="str">
        <f>"Average duration of stay between " &amp; TEXT(X_Cell_Site_StartDate, "dd mmm yy") &amp; " and " &amp; TEXT(X_Cell_Site_EndDate, "dd mmm yy") &amp; " pre-weaned livestock"</f>
        <v>Average duration of stay between 01 Jan 24 and 31 Dec 24 pre-weaned livestock</v>
      </c>
      <c r="E29" s="53">
        <f>365-E28</f>
        <v>0</v>
      </c>
      <c r="F29" s="53">
        <f t="shared" ref="F29:I29" si="0">365-F28</f>
        <v>0</v>
      </c>
      <c r="G29" s="53">
        <f t="shared" si="0"/>
        <v>84</v>
      </c>
      <c r="H29" s="53">
        <f t="shared" si="0"/>
        <v>0</v>
      </c>
      <c r="I29" s="53">
        <f t="shared" si="0"/>
        <v>84</v>
      </c>
      <c r="J29" s="2" t="s">
        <v>53</v>
      </c>
      <c r="K29" s="2"/>
      <c r="L29" s="2"/>
      <c r="M29" s="2"/>
      <c r="N29" s="2"/>
      <c r="S29" s="7"/>
    </row>
    <row r="30" spans="1:19" ht="20.100000000000001" customHeight="1" x14ac:dyDescent="0.2">
      <c r="S30" s="7"/>
    </row>
    <row r="31" spans="1:19" ht="20.100000000000001" customHeight="1" x14ac:dyDescent="0.2">
      <c r="S31" s="7"/>
    </row>
    <row r="32" spans="1:19" ht="20.100000000000001" customHeight="1" x14ac:dyDescent="0.2">
      <c r="C32" s="46"/>
      <c r="D32" s="46"/>
      <c r="E32" s="46"/>
      <c r="F32" s="46"/>
      <c r="G32" s="46"/>
      <c r="H32" s="46"/>
      <c r="I32" s="46"/>
      <c r="J32" s="46"/>
      <c r="K32" s="46"/>
      <c r="L32" s="46"/>
      <c r="M32" s="46"/>
      <c r="N32" s="46"/>
      <c r="O32" s="46"/>
      <c r="S32" s="7"/>
    </row>
    <row r="33" spans="3:19" ht="20.100000000000001" customHeight="1" x14ac:dyDescent="0.2">
      <c r="D33" s="6" t="s">
        <v>205</v>
      </c>
      <c r="S33" s="7"/>
    </row>
    <row r="34" spans="3:19" ht="20.100000000000001" customHeight="1" x14ac:dyDescent="0.2">
      <c r="D34" s="49"/>
      <c r="S34" s="7"/>
    </row>
    <row r="35" spans="3:19" ht="20.100000000000001" customHeight="1" x14ac:dyDescent="0.2">
      <c r="D35" s="64" t="s">
        <v>200</v>
      </c>
      <c r="E35" s="40" t="s">
        <v>167</v>
      </c>
      <c r="F35" s="40" t="s">
        <v>184</v>
      </c>
      <c r="G35" s="40" t="s">
        <v>185</v>
      </c>
      <c r="H35" s="40" t="s">
        <v>186</v>
      </c>
      <c r="I35" s="40" t="s">
        <v>187</v>
      </c>
      <c r="S35" s="7"/>
    </row>
    <row r="36" spans="3:19" ht="20.100000000000001" customHeight="1" x14ac:dyDescent="0.2">
      <c r="D36" s="1" t="s">
        <v>16</v>
      </c>
      <c r="E36" s="53">
        <f>SourceData_Dairy_DryMatterDigestibility_Data</f>
        <v>0.75</v>
      </c>
      <c r="F36" s="53">
        <f>SourceData_Dairy_DryMatterDigestibility_Data</f>
        <v>0.75</v>
      </c>
      <c r="G36" s="53">
        <f>SourceData_Dairy_DryMatterDigestibility_Data</f>
        <v>0.75</v>
      </c>
      <c r="H36" s="53">
        <f>SourceData_Dairy_DryMatterDigestibility_Data</f>
        <v>0.75</v>
      </c>
      <c r="I36" s="53">
        <f>SourceData_Dairy_DryMatterDigestibility_Data</f>
        <v>0.75</v>
      </c>
      <c r="J36" s="2" t="s">
        <v>95</v>
      </c>
      <c r="K36" s="2"/>
      <c r="L36" s="2"/>
      <c r="M36" s="2"/>
      <c r="N36" s="2"/>
      <c r="S36" s="7"/>
    </row>
    <row r="37" spans="3:19" ht="20.100000000000001" customHeight="1" x14ac:dyDescent="0.2">
      <c r="D37" s="1" t="s">
        <v>106</v>
      </c>
      <c r="E37" s="53">
        <f>SourceData_Dairy_CrudeProtein_Data</f>
        <v>0.2</v>
      </c>
      <c r="F37" s="53">
        <f>SourceData_Dairy_CrudeProtein_Data</f>
        <v>0.2</v>
      </c>
      <c r="G37" s="53">
        <f>SourceData_Dairy_CrudeProtein_Data</f>
        <v>0.2</v>
      </c>
      <c r="H37" s="53">
        <f>SourceData_Dairy_CrudeProtein_Data</f>
        <v>0.2</v>
      </c>
      <c r="I37" s="53">
        <f>SourceData_Dairy_CrudeProtein_Data</f>
        <v>0.2</v>
      </c>
      <c r="J37" s="2" t="s">
        <v>95</v>
      </c>
      <c r="L37" s="2"/>
      <c r="M37" s="2"/>
      <c r="N37" s="2"/>
      <c r="S37" s="7"/>
    </row>
    <row r="38" spans="3:19" ht="20.100000000000001" customHeight="1" x14ac:dyDescent="0.2">
      <c r="M38" s="2"/>
      <c r="N38" s="2"/>
      <c r="S38" s="7"/>
    </row>
    <row r="39" spans="3:19" ht="20.100000000000001" customHeight="1" x14ac:dyDescent="0.2">
      <c r="D39" s="64" t="s">
        <v>199</v>
      </c>
      <c r="E39" s="40" t="s">
        <v>167</v>
      </c>
      <c r="F39" s="40" t="s">
        <v>184</v>
      </c>
      <c r="G39" s="40" t="s">
        <v>185</v>
      </c>
      <c r="H39" s="40" t="s">
        <v>186</v>
      </c>
      <c r="I39" s="40" t="s">
        <v>187</v>
      </c>
      <c r="S39" s="7"/>
    </row>
    <row r="40" spans="3:19" ht="20.100000000000001" customHeight="1" x14ac:dyDescent="0.2">
      <c r="D40" s="1" t="s">
        <v>16</v>
      </c>
      <c r="E40" s="66">
        <f>SourceData_Dairy_DryMatterDigestibility_Data</f>
        <v>0.75</v>
      </c>
      <c r="F40" s="66">
        <f>SourceData_Dairy_DryMatterDigestibility_Data</f>
        <v>0.75</v>
      </c>
      <c r="G40" s="66">
        <f>SourceData_Dairy_DryMatterDigestibility_Data</f>
        <v>0.75</v>
      </c>
      <c r="H40" s="66">
        <f>SourceData_Dairy_DryMatterDigestibility_Data</f>
        <v>0.75</v>
      </c>
      <c r="I40" s="66">
        <f>SourceData_Dairy_DryMatterDigestibility_Data</f>
        <v>0.75</v>
      </c>
      <c r="J40" s="2" t="s">
        <v>95</v>
      </c>
      <c r="K40" s="2"/>
      <c r="S40" s="7"/>
    </row>
    <row r="41" spans="3:19" ht="20.100000000000001" customHeight="1" x14ac:dyDescent="0.2">
      <c r="D41" s="1" t="s">
        <v>106</v>
      </c>
      <c r="E41" s="66">
        <f>SourceData_Dairy_CrudeProtein_Data</f>
        <v>0.2</v>
      </c>
      <c r="F41" s="66">
        <f>SourceData_Dairy_CrudeProtein_Data</f>
        <v>0.2</v>
      </c>
      <c r="G41" s="66">
        <f>SourceData_Dairy_CrudeProtein_Data</f>
        <v>0.2</v>
      </c>
      <c r="H41" s="66">
        <f>SourceData_Dairy_CrudeProtein_Data</f>
        <v>0.2</v>
      </c>
      <c r="I41" s="66">
        <f>SourceData_Dairy_CrudeProtein_Data</f>
        <v>0.2</v>
      </c>
      <c r="J41" s="2" t="s">
        <v>95</v>
      </c>
      <c r="L41" s="2"/>
      <c r="S41" s="7"/>
    </row>
    <row r="42" spans="3:19" ht="20.100000000000001" customHeight="1" x14ac:dyDescent="0.2">
      <c r="L42" s="2"/>
      <c r="M42" s="2"/>
      <c r="N42" s="2"/>
      <c r="S42" s="7"/>
    </row>
    <row r="43" spans="3:19" ht="20.100000000000001" customHeight="1" x14ac:dyDescent="0.2">
      <c r="S43" s="7"/>
    </row>
    <row r="44" spans="3:19" ht="20.100000000000001" customHeight="1" x14ac:dyDescent="0.2">
      <c r="C44" s="46"/>
      <c r="D44" s="46"/>
      <c r="E44" s="46"/>
      <c r="F44" s="46"/>
      <c r="G44" s="46"/>
      <c r="H44" s="46"/>
      <c r="I44" s="46"/>
      <c r="J44" s="46"/>
      <c r="K44" s="46"/>
      <c r="L44" s="46"/>
      <c r="M44" s="46"/>
      <c r="N44" s="46"/>
      <c r="O44" s="46"/>
      <c r="S44" s="7"/>
    </row>
    <row r="45" spans="3:19" ht="20.100000000000001" customHeight="1" x14ac:dyDescent="0.2">
      <c r="D45" s="6" t="s">
        <v>191</v>
      </c>
      <c r="E45" s="3"/>
      <c r="F45" s="3"/>
      <c r="G45" s="3"/>
      <c r="H45" s="3"/>
      <c r="I45" s="3"/>
      <c r="J45" s="3"/>
      <c r="K45" s="3"/>
      <c r="L45" s="3"/>
      <c r="M45" s="3"/>
      <c r="N45" s="3"/>
      <c r="S45" s="7"/>
    </row>
    <row r="46" spans="3:19" ht="20.100000000000001" customHeight="1" x14ac:dyDescent="0.2">
      <c r="G46" s="6"/>
      <c r="H46" s="6"/>
      <c r="I46" s="6"/>
      <c r="J46" s="122"/>
      <c r="K46" s="122"/>
      <c r="L46" s="122"/>
      <c r="M46" s="122"/>
      <c r="N46" s="122"/>
      <c r="S46" s="7"/>
    </row>
    <row r="47" spans="3:19" ht="20.100000000000001" customHeight="1" x14ac:dyDescent="0.2">
      <c r="D47" s="1" t="s">
        <v>432</v>
      </c>
      <c r="E47" s="41" t="s">
        <v>445</v>
      </c>
      <c r="F47" s="2" t="s">
        <v>8</v>
      </c>
      <c r="S47" s="7"/>
    </row>
    <row r="48" spans="3:19" ht="20.100000000000001" customHeight="1" x14ac:dyDescent="0.2">
      <c r="S48" s="7"/>
    </row>
    <row r="49" spans="3:19" ht="20.100000000000001" customHeight="1" x14ac:dyDescent="0.2">
      <c r="E49" s="40" t="s">
        <v>167</v>
      </c>
      <c r="S49" s="7"/>
    </row>
    <row r="50" spans="3:19" ht="20.100000000000001" customHeight="1" x14ac:dyDescent="0.2">
      <c r="D50" s="1" t="s">
        <v>192</v>
      </c>
      <c r="E50" s="66">
        <v>20</v>
      </c>
      <c r="F50" s="2" t="str">
        <f>IF(X_Cell_Dairy_MilkProductionUnit="Litres of milk", "litres/head/day", "kg milk solids/head/day")</f>
        <v>litres/head/day</v>
      </c>
      <c r="S50" s="7"/>
    </row>
    <row r="51" spans="3:19" ht="20.100000000000001" customHeight="1" x14ac:dyDescent="0.2">
      <c r="E51" s="6"/>
      <c r="F51" s="6"/>
      <c r="S51" s="7"/>
    </row>
    <row r="52" spans="3:19" ht="20.100000000000001" customHeight="1" x14ac:dyDescent="0.2">
      <c r="D52" s="54" t="s">
        <v>433</v>
      </c>
      <c r="E52" s="40" t="s">
        <v>434</v>
      </c>
      <c r="F52" s="40" t="s">
        <v>435</v>
      </c>
      <c r="S52" s="7"/>
    </row>
    <row r="53" spans="3:19" ht="20.100000000000001" customHeight="1" x14ac:dyDescent="0.2">
      <c r="D53" s="1" t="s">
        <v>436</v>
      </c>
      <c r="E53" s="136">
        <f>SourceData_Dairy_FatContentInMilk_Data/100</f>
        <v>0.04</v>
      </c>
      <c r="F53" s="150">
        <f>SourceData_Dairy_FatContentInMilk_Data/100</f>
        <v>0.04</v>
      </c>
      <c r="G53" s="2" t="s">
        <v>437</v>
      </c>
      <c r="S53" s="7"/>
    </row>
    <row r="54" spans="3:19" ht="20.100000000000001" customHeight="1" x14ac:dyDescent="0.2">
      <c r="D54" s="1" t="s">
        <v>438</v>
      </c>
      <c r="E54" s="136">
        <f>SourceData_Dairy_ProteinContentInMilk_Data/100</f>
        <v>3.3000000000000002E-2</v>
      </c>
      <c r="F54" s="150">
        <f>SourceData_Dairy_ProteinContentInMilk_Data/100</f>
        <v>3.3000000000000002E-2</v>
      </c>
      <c r="G54" s="2" t="s">
        <v>437</v>
      </c>
      <c r="S54" s="7"/>
    </row>
    <row r="55" spans="3:19" ht="20.100000000000001" customHeight="1" x14ac:dyDescent="0.2">
      <c r="S55" s="7"/>
    </row>
    <row r="56" spans="3:19" ht="20.100000000000001" customHeight="1" x14ac:dyDescent="0.2">
      <c r="S56" s="7"/>
    </row>
    <row r="57" spans="3:19" ht="20.100000000000001" customHeight="1" x14ac:dyDescent="0.2">
      <c r="C57" s="46"/>
      <c r="D57" s="46"/>
      <c r="E57" s="46"/>
      <c r="F57" s="46"/>
      <c r="G57" s="46"/>
      <c r="H57" s="46"/>
      <c r="I57" s="46"/>
      <c r="J57" s="46"/>
      <c r="K57" s="46"/>
      <c r="L57" s="46"/>
      <c r="M57" s="46"/>
      <c r="N57" s="46"/>
      <c r="O57" s="46"/>
      <c r="S57" s="7"/>
    </row>
    <row r="58" spans="3:19" ht="20.100000000000001" customHeight="1" x14ac:dyDescent="0.2">
      <c r="D58" s="6" t="s">
        <v>202</v>
      </c>
      <c r="S58" s="7"/>
    </row>
    <row r="59" spans="3:19" ht="20.100000000000001" customHeight="1" x14ac:dyDescent="0.2">
      <c r="D59" s="49" t="s">
        <v>195</v>
      </c>
      <c r="S59" s="7"/>
    </row>
    <row r="60" spans="3:19" ht="20.100000000000001" customHeight="1" x14ac:dyDescent="0.2">
      <c r="D60" s="1" t="s">
        <v>197</v>
      </c>
      <c r="E60" s="41" t="s">
        <v>204</v>
      </c>
      <c r="F60" s="2" t="s">
        <v>8</v>
      </c>
      <c r="O60" s="3"/>
      <c r="S60" s="7"/>
    </row>
    <row r="61" spans="3:19" ht="20.100000000000001" customHeight="1" x14ac:dyDescent="0.2">
      <c r="O61" s="3"/>
      <c r="S61" s="7"/>
    </row>
    <row r="62" spans="3:19" ht="20.100000000000001" customHeight="1" x14ac:dyDescent="0.2">
      <c r="D62" s="64" t="s">
        <v>200</v>
      </c>
      <c r="E62" s="40" t="s">
        <v>167</v>
      </c>
      <c r="F62" s="40" t="s">
        <v>184</v>
      </c>
      <c r="G62" s="40" t="s">
        <v>185</v>
      </c>
      <c r="H62" s="40" t="s">
        <v>186</v>
      </c>
      <c r="I62" s="40" t="s">
        <v>187</v>
      </c>
      <c r="O62" s="3"/>
      <c r="S62" s="7"/>
    </row>
    <row r="63" spans="3:19" ht="20.100000000000001" customHeight="1" x14ac:dyDescent="0.2">
      <c r="D63" s="1" t="s">
        <v>141</v>
      </c>
      <c r="E63" s="136">
        <f>Common_InputFunctions.Utility_LookupValueInTableNumber(X_Cell_Dairy_ProductionSystemTemplate, Table_SourceData_Dairy_ProductionSystemTemplates[Area],Table_SourceData_Dairy_ProductionSystemTemplates[Pasture])</f>
        <v>0.53400000000000003</v>
      </c>
      <c r="F63" s="136">
        <f>Common_InputFunctions.Utility_LookupValueInTableNumber(X_Cell_Dairy_ProductionSystemTemplate, Table_SourceData_Dairy_ProductionSystemTemplates[Area],Table_SourceData_Dairy_ProductionSystemTemplates[Pasture])</f>
        <v>0.53400000000000003</v>
      </c>
      <c r="G63" s="136">
        <f>Common_InputFunctions.Utility_LookupValueInTableNumber(X_Cell_Dairy_ProductionSystemTemplate, Table_SourceData_Dairy_ProductionSystemTemplates[Area],Table_SourceData_Dairy_ProductionSystemTemplates[Pasture])</f>
        <v>0.53400000000000003</v>
      </c>
      <c r="H63" s="136">
        <f>Common_InputFunctions.Utility_LookupValueInTableNumber(X_Cell_Dairy_ProductionSystemTemplate, Table_SourceData_Dairy_ProductionSystemTemplates[Area],Table_SourceData_Dairy_ProductionSystemTemplates[Pasture])</f>
        <v>0.53400000000000003</v>
      </c>
      <c r="I63" s="136">
        <f>Common_InputFunctions.Utility_LookupValueInTableNumber(X_Cell_Dairy_ProductionSystemTemplate, Table_SourceData_Dairy_ProductionSystemTemplates[Area],Table_SourceData_Dairy_ProductionSystemTemplates[Pasture])</f>
        <v>0.53400000000000003</v>
      </c>
      <c r="J63" s="2" t="s">
        <v>17</v>
      </c>
      <c r="K63" s="2"/>
      <c r="L63" s="2"/>
      <c r="M63" s="2"/>
      <c r="N63" s="2"/>
      <c r="O63" s="3"/>
      <c r="S63" s="7"/>
    </row>
    <row r="64" spans="3:19" ht="20.100000000000001" customHeight="1" x14ac:dyDescent="0.2">
      <c r="D64" s="1" t="s">
        <v>181</v>
      </c>
      <c r="E64" s="136">
        <f>Common_InputFunctions.Utility_LookupValueInTableNumber(X_Cell_Dairy_ProductionSystemTemplate, Table_SourceData_Dairy_ProductionSystemTemplates[Area],Table_SourceData_Dairy_ProductionSystemTemplates[Milking shed])</f>
        <v>0.11</v>
      </c>
      <c r="F64" s="136">
        <f>Common_InputFunctions.Utility_LookupValueInTableNumber(X_Cell_Dairy_ProductionSystemTemplate, Table_SourceData_Dairy_ProductionSystemTemplates[Area],Table_SourceData_Dairy_ProductionSystemTemplates[Milking shed])</f>
        <v>0.11</v>
      </c>
      <c r="G64" s="136">
        <f>Common_InputFunctions.Utility_LookupValueInTableNumber(X_Cell_Dairy_ProductionSystemTemplate, Table_SourceData_Dairy_ProductionSystemTemplates[Area],Table_SourceData_Dairy_ProductionSystemTemplates[Milking shed])</f>
        <v>0.11</v>
      </c>
      <c r="H64" s="136">
        <f>Common_InputFunctions.Utility_LookupValueInTableNumber(X_Cell_Dairy_ProductionSystemTemplate, Table_SourceData_Dairy_ProductionSystemTemplates[Area],Table_SourceData_Dairy_ProductionSystemTemplates[Milking shed])</f>
        <v>0.11</v>
      </c>
      <c r="I64" s="136">
        <f>Common_InputFunctions.Utility_LookupValueInTableNumber(X_Cell_Dairy_ProductionSystemTemplate, Table_SourceData_Dairy_ProductionSystemTemplates[Area],Table_SourceData_Dairy_ProductionSystemTemplates[Milking shed])</f>
        <v>0.11</v>
      </c>
      <c r="J64" s="2" t="s">
        <v>17</v>
      </c>
      <c r="K64" s="2"/>
      <c r="L64" s="2"/>
      <c r="M64" s="2"/>
      <c r="N64" s="2"/>
      <c r="O64" s="3"/>
      <c r="S64" s="7"/>
    </row>
    <row r="65" spans="3:19" ht="20.100000000000001" customHeight="1" x14ac:dyDescent="0.2">
      <c r="D65" s="1" t="s">
        <v>196</v>
      </c>
      <c r="E65" s="136">
        <f>Common_InputFunctions.Utility_LookupValueInTableNumber(X_Cell_Dairy_ProductionSystemTemplate, Table_SourceData_Dairy_ProductionSystemTemplates[Area],Table_SourceData_Dairy_ProductionSystemTemplates[Feedpad])</f>
        <v>0.35599999999999998</v>
      </c>
      <c r="F65" s="136">
        <f>Common_InputFunctions.Utility_LookupValueInTableNumber(X_Cell_Dairy_ProductionSystemTemplate, Table_SourceData_Dairy_ProductionSystemTemplates[Area],Table_SourceData_Dairy_ProductionSystemTemplates[Feedpad])</f>
        <v>0.35599999999999998</v>
      </c>
      <c r="G65" s="136">
        <f>Common_InputFunctions.Utility_LookupValueInTableNumber(X_Cell_Dairy_ProductionSystemTemplate, Table_SourceData_Dairy_ProductionSystemTemplates[Area],Table_SourceData_Dairy_ProductionSystemTemplates[Feedpad])</f>
        <v>0.35599999999999998</v>
      </c>
      <c r="H65" s="136">
        <f>Common_InputFunctions.Utility_LookupValueInTableNumber(X_Cell_Dairy_ProductionSystemTemplate, Table_SourceData_Dairy_ProductionSystemTemplates[Area],Table_SourceData_Dairy_ProductionSystemTemplates[Feedpad])</f>
        <v>0.35599999999999998</v>
      </c>
      <c r="I65" s="136">
        <f>Common_InputFunctions.Utility_LookupValueInTableNumber(X_Cell_Dairy_ProductionSystemTemplate, Table_SourceData_Dairy_ProductionSystemTemplates[Area],Table_SourceData_Dairy_ProductionSystemTemplates[Feedpad])</f>
        <v>0.35599999999999998</v>
      </c>
      <c r="J65" s="2" t="s">
        <v>17</v>
      </c>
      <c r="K65" s="2"/>
      <c r="L65" s="2"/>
      <c r="M65" s="2"/>
      <c r="N65" s="2"/>
      <c r="O65" s="3"/>
    </row>
    <row r="66" spans="3:19" ht="20.100000000000001" customHeight="1" x14ac:dyDescent="0.2">
      <c r="O66" s="3"/>
    </row>
    <row r="67" spans="3:19" ht="20.100000000000001" customHeight="1" x14ac:dyDescent="0.2">
      <c r="D67" s="64" t="s">
        <v>199</v>
      </c>
      <c r="E67" s="40" t="s">
        <v>167</v>
      </c>
      <c r="F67" s="40" t="s">
        <v>184</v>
      </c>
      <c r="G67" s="40" t="s">
        <v>185</v>
      </c>
      <c r="H67" s="40" t="s">
        <v>186</v>
      </c>
      <c r="I67" s="40" t="s">
        <v>187</v>
      </c>
      <c r="O67" s="3"/>
    </row>
    <row r="68" spans="3:19" ht="20.100000000000001" customHeight="1" x14ac:dyDescent="0.2">
      <c r="D68" s="1" t="s">
        <v>141</v>
      </c>
      <c r="E68" s="135">
        <f>Common_InputFunctions.Utility_LookupValueInTableNumber(X_Cell_Dairy_ProductionSystemTemplate, Table_SourceData_Dairy_ProductionSystemTemplates[Area],Table_SourceData_Dairy_ProductionSystemTemplates[Pasture])</f>
        <v>0.53400000000000003</v>
      </c>
      <c r="F68" s="135">
        <f>Common_InputFunctions.Utility_LookupValueInTableNumber(X_Cell_Dairy_ProductionSystemTemplate, Table_SourceData_Dairy_ProductionSystemTemplates[Area],Table_SourceData_Dairy_ProductionSystemTemplates[Pasture])</f>
        <v>0.53400000000000003</v>
      </c>
      <c r="G68" s="135">
        <f>Common_InputFunctions.Utility_LookupValueInTableNumber(X_Cell_Dairy_ProductionSystemTemplate, Table_SourceData_Dairy_ProductionSystemTemplates[Area],Table_SourceData_Dairy_ProductionSystemTemplates[Pasture])</f>
        <v>0.53400000000000003</v>
      </c>
      <c r="H68" s="135">
        <f>Common_InputFunctions.Utility_LookupValueInTableNumber(X_Cell_Dairy_ProductionSystemTemplate, Table_SourceData_Dairy_ProductionSystemTemplates[Area],Table_SourceData_Dairy_ProductionSystemTemplates[Pasture])</f>
        <v>0.53400000000000003</v>
      </c>
      <c r="I68" s="135">
        <f>Common_InputFunctions.Utility_LookupValueInTableNumber(X_Cell_Dairy_ProductionSystemTemplate, Table_SourceData_Dairy_ProductionSystemTemplates[Area],Table_SourceData_Dairy_ProductionSystemTemplates[Pasture])</f>
        <v>0.53400000000000003</v>
      </c>
      <c r="J68" s="2" t="s">
        <v>17</v>
      </c>
      <c r="K68" s="2"/>
      <c r="L68" s="2"/>
      <c r="M68" s="2"/>
      <c r="N68" s="2"/>
      <c r="O68" s="3"/>
    </row>
    <row r="69" spans="3:19" ht="20.100000000000001" customHeight="1" x14ac:dyDescent="0.2">
      <c r="D69" s="1" t="s">
        <v>181</v>
      </c>
      <c r="E69" s="135">
        <f>Common_InputFunctions.Utility_LookupValueInTableNumber(X_Cell_Dairy_ProductionSystemTemplate, Table_SourceData_Dairy_ProductionSystemTemplates[Area],Table_SourceData_Dairy_ProductionSystemTemplates[Milking shed])</f>
        <v>0.11</v>
      </c>
      <c r="F69" s="135">
        <f>Common_InputFunctions.Utility_LookupValueInTableNumber(X_Cell_Dairy_ProductionSystemTemplate, Table_SourceData_Dairy_ProductionSystemTemplates[Area],Table_SourceData_Dairy_ProductionSystemTemplates[Milking shed])</f>
        <v>0.11</v>
      </c>
      <c r="G69" s="135">
        <f>Common_InputFunctions.Utility_LookupValueInTableNumber(X_Cell_Dairy_ProductionSystemTemplate, Table_SourceData_Dairy_ProductionSystemTemplates[Area],Table_SourceData_Dairy_ProductionSystemTemplates[Milking shed])</f>
        <v>0.11</v>
      </c>
      <c r="H69" s="135">
        <f>Common_InputFunctions.Utility_LookupValueInTableNumber(X_Cell_Dairy_ProductionSystemTemplate, Table_SourceData_Dairy_ProductionSystemTemplates[Area],Table_SourceData_Dairy_ProductionSystemTemplates[Milking shed])</f>
        <v>0.11</v>
      </c>
      <c r="I69" s="135">
        <f>Common_InputFunctions.Utility_LookupValueInTableNumber(X_Cell_Dairy_ProductionSystemTemplate, Table_SourceData_Dairy_ProductionSystemTemplates[Area],Table_SourceData_Dairy_ProductionSystemTemplates[Milking shed])</f>
        <v>0.11</v>
      </c>
      <c r="J69" s="2" t="s">
        <v>17</v>
      </c>
      <c r="K69" s="2"/>
      <c r="L69" s="2"/>
      <c r="M69" s="2"/>
      <c r="N69" s="2"/>
      <c r="O69" s="3"/>
    </row>
    <row r="70" spans="3:19" ht="20.100000000000001" customHeight="1" x14ac:dyDescent="0.2">
      <c r="D70" s="1" t="s">
        <v>196</v>
      </c>
      <c r="E70" s="135">
        <f>Common_InputFunctions.Utility_LookupValueInTableNumber(X_Cell_Dairy_ProductionSystemTemplate, Table_SourceData_Dairy_ProductionSystemTemplates[Area],Table_SourceData_Dairy_ProductionSystemTemplates[Feedpad])</f>
        <v>0.35599999999999998</v>
      </c>
      <c r="F70" s="135">
        <f>Common_InputFunctions.Utility_LookupValueInTableNumber(X_Cell_Dairy_ProductionSystemTemplate, Table_SourceData_Dairy_ProductionSystemTemplates[Area],Table_SourceData_Dairy_ProductionSystemTemplates[Feedpad])</f>
        <v>0.35599999999999998</v>
      </c>
      <c r="G70" s="135">
        <f>Common_InputFunctions.Utility_LookupValueInTableNumber(X_Cell_Dairy_ProductionSystemTemplate, Table_SourceData_Dairy_ProductionSystemTemplates[Area],Table_SourceData_Dairy_ProductionSystemTemplates[Feedpad])</f>
        <v>0.35599999999999998</v>
      </c>
      <c r="H70" s="135">
        <f>Common_InputFunctions.Utility_LookupValueInTableNumber(X_Cell_Dairy_ProductionSystemTemplate, Table_SourceData_Dairy_ProductionSystemTemplates[Area],Table_SourceData_Dairy_ProductionSystemTemplates[Feedpad])</f>
        <v>0.35599999999999998</v>
      </c>
      <c r="I70" s="135">
        <f>Common_InputFunctions.Utility_LookupValueInTableNumber(X_Cell_Dairy_ProductionSystemTemplate, Table_SourceData_Dairy_ProductionSystemTemplates[Area],Table_SourceData_Dairy_ProductionSystemTemplates[Feedpad])</f>
        <v>0.35599999999999998</v>
      </c>
      <c r="J70" s="2" t="s">
        <v>17</v>
      </c>
      <c r="K70" s="2"/>
      <c r="L70" s="2"/>
      <c r="M70" s="2"/>
      <c r="N70" s="2"/>
      <c r="O70" s="3"/>
    </row>
    <row r="71" spans="3:19" ht="20.100000000000001" customHeight="1" x14ac:dyDescent="0.2">
      <c r="E71" s="126"/>
      <c r="O71" s="3"/>
    </row>
    <row r="73" spans="3:19" ht="20.100000000000001" customHeight="1" x14ac:dyDescent="0.2">
      <c r="C73" s="46"/>
      <c r="D73" s="46"/>
      <c r="E73" s="46"/>
      <c r="F73" s="46"/>
      <c r="G73" s="46"/>
      <c r="H73" s="46"/>
      <c r="I73" s="46"/>
      <c r="J73" s="46"/>
      <c r="K73" s="46"/>
      <c r="L73" s="46"/>
      <c r="M73" s="46"/>
      <c r="N73" s="46"/>
      <c r="O73" s="46"/>
    </row>
    <row r="74" spans="3:19" ht="20.100000000000001" customHeight="1" x14ac:dyDescent="0.2">
      <c r="D74" s="6" t="s">
        <v>98</v>
      </c>
      <c r="F74" s="123"/>
    </row>
    <row r="75" spans="3:19" ht="20.100000000000001" customHeight="1" x14ac:dyDescent="0.2">
      <c r="D75" s="49" t="str">
        <f>"From " &amp; $D$64</f>
        <v>From Milking shed</v>
      </c>
      <c r="O75" s="3"/>
    </row>
    <row r="76" spans="3:19" ht="20.100000000000001" customHeight="1" x14ac:dyDescent="0.2">
      <c r="O76" s="3"/>
    </row>
    <row r="77" spans="3:19" ht="20.100000000000001" customHeight="1" x14ac:dyDescent="0.2">
      <c r="D77" s="153" t="s">
        <v>97</v>
      </c>
      <c r="E77" s="40" t="s">
        <v>167</v>
      </c>
      <c r="F77" s="40" t="s">
        <v>184</v>
      </c>
      <c r="G77" s="40" t="s">
        <v>185</v>
      </c>
      <c r="H77" s="40" t="s">
        <v>186</v>
      </c>
      <c r="I77" s="40" t="s">
        <v>187</v>
      </c>
      <c r="J77" s="142" t="s">
        <v>422</v>
      </c>
      <c r="K77" s="142"/>
      <c r="L77" s="64" t="s">
        <v>421</v>
      </c>
      <c r="M77" s="64"/>
      <c r="N77" s="40"/>
      <c r="O77" s="3"/>
    </row>
    <row r="78" spans="3:19" ht="20.100000000000001" customHeight="1" x14ac:dyDescent="0.2">
      <c r="L78" s="117" t="s">
        <v>423</v>
      </c>
      <c r="M78" s="117" t="s">
        <v>424</v>
      </c>
      <c r="N78" s="117" t="s">
        <v>425</v>
      </c>
      <c r="O78" s="3"/>
    </row>
    <row r="79" spans="3:19" ht="20.100000000000001" customHeight="1" x14ac:dyDescent="0.2">
      <c r="D79" s="54" t="str">
        <f>'Constants - Dairy'!$D$8</f>
        <v>Anaerobic lagoon</v>
      </c>
      <c r="E79" s="47">
        <v>0.25</v>
      </c>
      <c r="F79" s="47">
        <v>0.25</v>
      </c>
      <c r="G79" s="47">
        <v>0.25</v>
      </c>
      <c r="H79" s="47">
        <v>0.25</v>
      </c>
      <c r="I79" s="47">
        <v>0.25</v>
      </c>
      <c r="J79" s="2" t="s">
        <v>17</v>
      </c>
      <c r="K79" s="2"/>
      <c r="L79" s="47">
        <v>0.25</v>
      </c>
      <c r="M79" s="47">
        <v>0.25</v>
      </c>
      <c r="N79" s="97">
        <f>1-SUM(L79:M79)</f>
        <v>0.5</v>
      </c>
      <c r="O79" s="3"/>
    </row>
    <row r="80" spans="3:19" ht="20.100000000000001" customHeight="1" x14ac:dyDescent="0.2">
      <c r="D80" s="152" t="str">
        <f>"Were solids separated from " &amp; D79 &amp; "?"</f>
        <v>Were solids separated from Anaerobic lagoon?</v>
      </c>
      <c r="E80" s="41" t="s">
        <v>201</v>
      </c>
      <c r="O80" s="3"/>
      <c r="S80" s="7"/>
    </row>
    <row r="81" spans="4:19" ht="20.100000000000001" customHeight="1" x14ac:dyDescent="0.2">
      <c r="D81" s="152" t="str">
        <f>"Percent solids separated from " &amp; D79 &amp; " (Method 1)"</f>
        <v>Percent solids separated from Anaerobic lagoon (Method 1)</v>
      </c>
      <c r="E81" s="97">
        <f>IF(X_Cell_Dairy_Stage1MMS_1_AnaerobicLagoon_SolidsSeparated="Yes", 20%, 0)</f>
        <v>0.2</v>
      </c>
      <c r="O81" s="3"/>
      <c r="S81" s="7"/>
    </row>
    <row r="82" spans="4:19" ht="20.100000000000001" customHeight="1" x14ac:dyDescent="0.2">
      <c r="D82" s="152" t="str">
        <f>"Percent solids separated from " &amp; D79 &amp; " (Method 2)"</f>
        <v>Percent solids separated from Anaerobic lagoon (Method 2)</v>
      </c>
      <c r="E82" s="47">
        <v>0.2</v>
      </c>
      <c r="O82" s="3"/>
      <c r="S82" s="7"/>
    </row>
    <row r="83" spans="4:19" ht="20.100000000000001" customHeight="1" x14ac:dyDescent="0.2">
      <c r="S83" s="7"/>
    </row>
    <row r="84" spans="4:19" ht="20.100000000000001" customHeight="1" x14ac:dyDescent="0.2">
      <c r="D84" s="54" t="str">
        <f>'Constants - Dairy'!$D$9</f>
        <v>Sump and dispersal system</v>
      </c>
      <c r="E84" s="47">
        <v>0.25</v>
      </c>
      <c r="F84" s="47">
        <v>0.25</v>
      </c>
      <c r="G84" s="47">
        <v>0.25</v>
      </c>
      <c r="H84" s="47">
        <v>0.25</v>
      </c>
      <c r="I84" s="47">
        <v>0.25</v>
      </c>
      <c r="J84" s="2" t="s">
        <v>17</v>
      </c>
      <c r="K84" s="2"/>
      <c r="L84" s="47">
        <v>0.25</v>
      </c>
      <c r="M84" s="47">
        <v>0.25</v>
      </c>
      <c r="N84" s="97">
        <f t="shared" ref="N84" si="1">1-SUM(L84:M84)</f>
        <v>0.5</v>
      </c>
      <c r="S84" s="7"/>
    </row>
    <row r="85" spans="4:19" ht="20.100000000000001" customHeight="1" x14ac:dyDescent="0.2">
      <c r="D85" s="152" t="str">
        <f>"Were solids separated from " &amp; D84 &amp; "?"</f>
        <v>Were solids separated from Sump and dispersal system?</v>
      </c>
      <c r="E85" s="41" t="s">
        <v>201</v>
      </c>
      <c r="S85" s="7"/>
    </row>
    <row r="86" spans="4:19" ht="20.100000000000001" customHeight="1" x14ac:dyDescent="0.2">
      <c r="D86" s="152" t="str">
        <f>"Percent solids separated from " &amp; D84 &amp; " (Method 1)"</f>
        <v>Percent solids separated from Sump and dispersal system (Method 1)</v>
      </c>
      <c r="E86" s="97">
        <f>IF(X_Cell_Dairy_Stage1MMS_1_SumpAndDispersal_SolidsSeparated="Yes", 20%, 0)</f>
        <v>0.2</v>
      </c>
      <c r="S86" s="7"/>
    </row>
    <row r="87" spans="4:19" ht="20.100000000000001" customHeight="1" x14ac:dyDescent="0.2">
      <c r="D87" s="152" t="str">
        <f>"Percent solids separated from " &amp; D84 &amp; " (Method 2)"</f>
        <v>Percent solids separated from Sump and dispersal system (Method 2)</v>
      </c>
      <c r="E87" s="47">
        <v>0.2</v>
      </c>
      <c r="S87" s="7"/>
    </row>
    <row r="88" spans="4:19" ht="20.100000000000001" customHeight="1" x14ac:dyDescent="0.2">
      <c r="S88" s="7"/>
    </row>
    <row r="89" spans="4:19" ht="20.100000000000001" customHeight="1" x14ac:dyDescent="0.2">
      <c r="D89" s="54" t="str">
        <f>'Constants - Dairy'!$D$10</f>
        <v>Drains to paddock</v>
      </c>
      <c r="E89" s="47">
        <v>0.25</v>
      </c>
      <c r="F89" s="47">
        <v>0.25</v>
      </c>
      <c r="G89" s="47">
        <v>0.25</v>
      </c>
      <c r="H89" s="47">
        <v>0.25</v>
      </c>
      <c r="I89" s="47">
        <v>0.25</v>
      </c>
      <c r="J89" s="2" t="s">
        <v>17</v>
      </c>
      <c r="K89" s="2"/>
      <c r="L89" s="47">
        <v>0.25</v>
      </c>
      <c r="M89" s="47">
        <v>0.25</v>
      </c>
      <c r="N89" s="97">
        <f>1-SUM(L89:M89)</f>
        <v>0.5</v>
      </c>
      <c r="S89" s="7"/>
    </row>
    <row r="90" spans="4:19" ht="20.100000000000001" customHeight="1" x14ac:dyDescent="0.2">
      <c r="D90" s="152" t="str">
        <f>"Were solids separated from " &amp; D89 &amp; "?"</f>
        <v>Were solids separated from Drains to paddock?</v>
      </c>
      <c r="E90" s="41" t="s">
        <v>201</v>
      </c>
      <c r="S90" s="7"/>
    </row>
    <row r="91" spans="4:19" ht="20.100000000000001" customHeight="1" x14ac:dyDescent="0.2">
      <c r="D91" s="152" t="str">
        <f>"Percent solids separated from " &amp; D89 &amp; " (Method 1)"</f>
        <v>Percent solids separated from Drains to paddock (Method 1)</v>
      </c>
      <c r="E91" s="97">
        <f>IF(X_Cell_Dairy_Stage1MMS_1_DrainsToPaddock_SolidsSeparated="Yes", 20%, 0)</f>
        <v>0.2</v>
      </c>
      <c r="S91" s="7"/>
    </row>
    <row r="92" spans="4:19" ht="20.100000000000001" customHeight="1" x14ac:dyDescent="0.2">
      <c r="D92" s="152" t="str">
        <f>"Percent solids separated from " &amp; D89 &amp; " (Method 2)"</f>
        <v>Percent solids separated from Drains to paddock (Method 2)</v>
      </c>
      <c r="E92" s="47">
        <v>0.2</v>
      </c>
      <c r="S92" s="7"/>
    </row>
    <row r="93" spans="4:19" ht="20.100000000000001" customHeight="1" x14ac:dyDescent="0.2">
      <c r="S93" s="7"/>
    </row>
    <row r="94" spans="4:19" ht="20.100000000000001" customHeight="1" x14ac:dyDescent="0.2">
      <c r="D94" s="54" t="str">
        <f>'Constants - Dairy'!$D$11 &amp; " (before solid separation)"</f>
        <v>Solid storage (before solid separation)</v>
      </c>
      <c r="E94" s="47">
        <v>0.25</v>
      </c>
      <c r="F94" s="47">
        <v>0.25</v>
      </c>
      <c r="G94" s="47">
        <v>0.25</v>
      </c>
      <c r="H94" s="47">
        <v>0.25</v>
      </c>
      <c r="I94" s="47">
        <v>0.25</v>
      </c>
      <c r="J94" s="2" t="s">
        <v>17</v>
      </c>
      <c r="K94" s="2"/>
      <c r="L94" s="47">
        <v>0.25</v>
      </c>
      <c r="M94" s="47">
        <v>0.25</v>
      </c>
      <c r="N94" s="97">
        <f t="shared" ref="N94" si="2">1-SUM(L94:M94)</f>
        <v>0.5</v>
      </c>
      <c r="S94" s="7"/>
    </row>
    <row r="95" spans="4:19" ht="20.100000000000001" customHeight="1" x14ac:dyDescent="0.2">
      <c r="D95" s="1" t="s">
        <v>428</v>
      </c>
      <c r="E95" s="97">
        <f>E94+(E79*X_Cell_Dairy_Stage1MMS_1_AnaerobicLagoon_AmountSeparated_Method1)+(E84*X_Cell_Dairy_Stage1MMS_1_SumpAndDispersal_AmountSeparated_Method1)+(E89*X_Cell_Dairy_Stage1MMS_1_DrainsToPaddock_AmountSeparated_Method1)</f>
        <v>0.39999999999999997</v>
      </c>
      <c r="F95" s="97">
        <f>F94+(F79*X_Cell_Dairy_Stage1MMS_1_AnaerobicLagoon_AmountSeparated_Method1)+(F84*X_Cell_Dairy_Stage1MMS_1_SumpAndDispersal_AmountSeparated_Method1)+(F89*X_Cell_Dairy_Stage1MMS_1_DrainsToPaddock_AmountSeparated_Method1)</f>
        <v>0.39999999999999997</v>
      </c>
      <c r="G95" s="97">
        <f>G94+(G79*X_Cell_Dairy_Stage1MMS_1_AnaerobicLagoon_AmountSeparated_Method1)+(G84*X_Cell_Dairy_Stage1MMS_1_SumpAndDispersal_AmountSeparated_Method1)+(G89*X_Cell_Dairy_Stage1MMS_1_DrainsToPaddock_AmountSeparated_Method1)</f>
        <v>0.39999999999999997</v>
      </c>
      <c r="H95" s="97">
        <f>H94+(H79*X_Cell_Dairy_Stage1MMS_1_AnaerobicLagoon_AmountSeparated_Method1)+(H84*X_Cell_Dairy_Stage1MMS_1_SumpAndDispersal_AmountSeparated_Method1)+(H89*X_Cell_Dairy_Stage1MMS_1_DrainsToPaddock_AmountSeparated_Method1)</f>
        <v>0.39999999999999997</v>
      </c>
      <c r="I95" s="97">
        <f>I94+(I79*X_Cell_Dairy_Stage1MMS_1_AnaerobicLagoon_AmountSeparated_Method1)+(I84*X_Cell_Dairy_Stage1MMS_1_SumpAndDispersal_AmountSeparated_Method1)+(I89*X_Cell_Dairy_Stage1MMS_1_DrainsToPaddock_AmountSeparated_Method1)</f>
        <v>0.39999999999999997</v>
      </c>
      <c r="J95" s="2" t="s">
        <v>17</v>
      </c>
      <c r="K95" s="2"/>
      <c r="L95" s="2"/>
      <c r="M95" s="2"/>
      <c r="N95" s="2"/>
      <c r="S95" s="7"/>
    </row>
    <row r="96" spans="4:19" ht="20.100000000000001" customHeight="1" x14ac:dyDescent="0.2">
      <c r="D96" s="1" t="s">
        <v>429</v>
      </c>
      <c r="E96" s="97">
        <f>E94+(E79*X_Cell_Dairy_Stage1MMS_1_AnaerobicLagoon_AmountSeparated_Method2)+(E84*X_Cell_Dairy_Stage1MMS_1_SumpAndDispersal_AmountSeparated_Method2)+(E89*X_Cell_Dairy_Stage1MMS_1_DrainsToPaddock_AmountSeparated_Method2)</f>
        <v>0.39999999999999997</v>
      </c>
      <c r="F96" s="97">
        <f>F94+(F79*X_Cell_Dairy_Stage1MMS_1_AnaerobicLagoon_AmountSeparated_Method2)+(F84*X_Cell_Dairy_Stage1MMS_1_SumpAndDispersal_AmountSeparated_Method2)+(F89*X_Cell_Dairy_Stage1MMS_1_DrainsToPaddock_AmountSeparated_Method2)</f>
        <v>0.39999999999999997</v>
      </c>
      <c r="G96" s="97">
        <f>G94+(G79*X_Cell_Dairy_Stage1MMS_1_AnaerobicLagoon_AmountSeparated_Method2)+(G84*X_Cell_Dairy_Stage1MMS_1_SumpAndDispersal_AmountSeparated_Method2)+(G89*X_Cell_Dairy_Stage1MMS_1_DrainsToPaddock_AmountSeparated_Method2)</f>
        <v>0.39999999999999997</v>
      </c>
      <c r="H96" s="97">
        <f>H94+(H79*X_Cell_Dairy_Stage1MMS_1_AnaerobicLagoon_AmountSeparated_Method2)+(H84*X_Cell_Dairy_Stage1MMS_1_SumpAndDispersal_AmountSeparated_Method2)+(H89*X_Cell_Dairy_Stage1MMS_1_DrainsToPaddock_AmountSeparated_Method2)</f>
        <v>0.39999999999999997</v>
      </c>
      <c r="I96" s="97">
        <f>I94+(I79*X_Cell_Dairy_Stage1MMS_1_AnaerobicLagoon_AmountSeparated_Method2)+(I84*X_Cell_Dairy_Stage1MMS_1_SumpAndDispersal_AmountSeparated_Method2)+(I89*X_Cell_Dairy_Stage1MMS_1_DrainsToPaddock_AmountSeparated_Method2)</f>
        <v>0.39999999999999997</v>
      </c>
      <c r="J96" s="2" t="s">
        <v>17</v>
      </c>
      <c r="K96" s="2"/>
      <c r="S96" s="7"/>
    </row>
    <row r="97" spans="4:19" ht="20.100000000000001" customHeight="1" x14ac:dyDescent="0.2">
      <c r="F97" s="2"/>
      <c r="S97" s="7"/>
    </row>
    <row r="98" spans="4:19" ht="20.100000000000001" customHeight="1" x14ac:dyDescent="0.2">
      <c r="F98" s="143"/>
      <c r="S98" s="7"/>
    </row>
    <row r="99" spans="4:19" ht="20.100000000000001" customHeight="1" x14ac:dyDescent="0.2">
      <c r="D99" s="49" t="str">
        <f>"From " &amp; $D$65</f>
        <v>From Feed pad</v>
      </c>
      <c r="S99" s="7"/>
    </row>
    <row r="100" spans="4:19" ht="20.100000000000001" customHeight="1" x14ac:dyDescent="0.2">
      <c r="S100" s="7"/>
    </row>
    <row r="101" spans="4:19" ht="20.100000000000001" customHeight="1" x14ac:dyDescent="0.2">
      <c r="D101" s="144" t="s">
        <v>97</v>
      </c>
      <c r="E101" s="40" t="s">
        <v>167</v>
      </c>
      <c r="F101" s="40" t="s">
        <v>184</v>
      </c>
      <c r="G101" s="40" t="s">
        <v>185</v>
      </c>
      <c r="H101" s="40" t="s">
        <v>186</v>
      </c>
      <c r="I101" s="40" t="s">
        <v>187</v>
      </c>
      <c r="J101" s="142" t="s">
        <v>422</v>
      </c>
      <c r="K101" s="142"/>
      <c r="L101" s="64" t="s">
        <v>421</v>
      </c>
      <c r="M101" s="64"/>
      <c r="N101" s="40"/>
      <c r="S101" s="7"/>
    </row>
    <row r="102" spans="4:19" ht="20.100000000000001" customHeight="1" x14ac:dyDescent="0.2">
      <c r="D102" s="146"/>
      <c r="L102" s="117" t="s">
        <v>423</v>
      </c>
      <c r="M102" s="117" t="s">
        <v>424</v>
      </c>
      <c r="N102" s="117" t="s">
        <v>425</v>
      </c>
      <c r="S102" s="7"/>
    </row>
    <row r="103" spans="4:19" ht="20.100000000000001" customHeight="1" x14ac:dyDescent="0.2">
      <c r="D103" s="145" t="str">
        <f>'Constants - Dairy'!$D$8</f>
        <v>Anaerobic lagoon</v>
      </c>
      <c r="E103" s="47">
        <v>0.25</v>
      </c>
      <c r="F103" s="47">
        <v>0.25</v>
      </c>
      <c r="G103" s="47">
        <v>0.25</v>
      </c>
      <c r="H103" s="47">
        <v>0.25</v>
      </c>
      <c r="I103" s="47">
        <v>0.25</v>
      </c>
      <c r="J103" s="2" t="s">
        <v>17</v>
      </c>
      <c r="K103" s="2"/>
      <c r="L103" s="47">
        <v>0.25</v>
      </c>
      <c r="M103" s="47">
        <v>0.25</v>
      </c>
      <c r="N103" s="97">
        <f>1-SUM(L103:M103)</f>
        <v>0.5</v>
      </c>
      <c r="S103" s="7"/>
    </row>
    <row r="104" spans="4:19" ht="20.100000000000001" customHeight="1" x14ac:dyDescent="0.2">
      <c r="D104" s="151" t="str">
        <f>"Were solids separated from " &amp; D103 &amp; "?"</f>
        <v>Were solids separated from Anaerobic lagoon?</v>
      </c>
      <c r="E104" s="41" t="s">
        <v>203</v>
      </c>
      <c r="S104" s="7"/>
    </row>
    <row r="105" spans="4:19" ht="20.100000000000001" customHeight="1" x14ac:dyDescent="0.2">
      <c r="D105" s="151" t="str">
        <f>"Percent solids separated from " &amp; D103 &amp; " (Method 1)"</f>
        <v>Percent solids separated from Anaerobic lagoon (Method 1)</v>
      </c>
      <c r="E105" s="97">
        <f>IF(X_Cell_Dairy_Stage1MMS_2_AnaerobicLagoon_SolidsSeparated="Yes", 20%, 0)</f>
        <v>0</v>
      </c>
      <c r="S105" s="7"/>
    </row>
    <row r="106" spans="4:19" ht="20.100000000000001" customHeight="1" x14ac:dyDescent="0.2">
      <c r="D106" s="151" t="str">
        <f>"Percent solids separated from " &amp; D103 &amp; " (Method 2)"</f>
        <v>Percent solids separated from Anaerobic lagoon (Method 2)</v>
      </c>
      <c r="E106" s="47">
        <f>IF(X_Cell_Dairy_Stage1MMS_2_AnaerobicLagoon_SolidsSeparated="Yes", 20%, 0)</f>
        <v>0</v>
      </c>
      <c r="S106" s="7"/>
    </row>
    <row r="108" spans="4:19" ht="20.100000000000001" customHeight="1" x14ac:dyDescent="0.2">
      <c r="D108" s="145" t="str">
        <f>'Constants - Dairy'!$D$9</f>
        <v>Sump and dispersal system</v>
      </c>
      <c r="E108" s="47">
        <v>0.25</v>
      </c>
      <c r="F108" s="47">
        <v>0.25</v>
      </c>
      <c r="G108" s="47">
        <v>0.25</v>
      </c>
      <c r="H108" s="47">
        <v>0.25</v>
      </c>
      <c r="I108" s="47">
        <v>0.25</v>
      </c>
      <c r="J108" s="2" t="s">
        <v>17</v>
      </c>
      <c r="K108" s="2"/>
      <c r="L108" s="47">
        <v>0.25</v>
      </c>
      <c r="M108" s="47">
        <v>0.25</v>
      </c>
      <c r="N108" s="97">
        <f t="shared" ref="N108" si="3">1-SUM(L108:M108)</f>
        <v>0.5</v>
      </c>
    </row>
    <row r="109" spans="4:19" ht="20.100000000000001" customHeight="1" x14ac:dyDescent="0.2">
      <c r="D109" s="151" t="str">
        <f>"Were solids separated from " &amp; D108 &amp; "?"</f>
        <v>Were solids separated from Sump and dispersal system?</v>
      </c>
      <c r="E109" s="41" t="s">
        <v>201</v>
      </c>
    </row>
    <row r="110" spans="4:19" ht="20.100000000000001" customHeight="1" x14ac:dyDescent="0.2">
      <c r="D110" s="151" t="str">
        <f>"Percent solids separated from " &amp; D108 &amp; " (Method 1)"</f>
        <v>Percent solids separated from Sump and dispersal system (Method 1)</v>
      </c>
      <c r="E110" s="97">
        <f>IF(X_Cell_Dairy_Stage1MMS_2_SumpAndDispersal_SolidsSeparated="Yes", 20%, 0)</f>
        <v>0.2</v>
      </c>
    </row>
    <row r="111" spans="4:19" ht="20.100000000000001" customHeight="1" x14ac:dyDescent="0.2">
      <c r="D111" s="151" t="str">
        <f>"Percent solids separated from " &amp; D108 &amp; " (Method 2)"</f>
        <v>Percent solids separated from Sump and dispersal system (Method 2)</v>
      </c>
      <c r="E111" s="47">
        <f>IF(X_Cell_Dairy_Stage1MMS_2_SumpAndDispersal_SolidsSeparated="Yes", 20%, 0)</f>
        <v>0.2</v>
      </c>
    </row>
    <row r="113" spans="4:14" ht="20.100000000000001" customHeight="1" x14ac:dyDescent="0.2">
      <c r="D113" s="145" t="str">
        <f>'Constants - Dairy'!$D$10</f>
        <v>Drains to paddock</v>
      </c>
      <c r="E113" s="47">
        <v>0.25</v>
      </c>
      <c r="F113" s="47">
        <v>0.25</v>
      </c>
      <c r="G113" s="47">
        <v>0.25</v>
      </c>
      <c r="H113" s="47">
        <v>0.25</v>
      </c>
      <c r="I113" s="47">
        <v>0.25</v>
      </c>
      <c r="J113" s="2" t="s">
        <v>17</v>
      </c>
      <c r="K113" s="2"/>
      <c r="L113" s="47">
        <v>0.25</v>
      </c>
      <c r="M113" s="47">
        <v>0.25</v>
      </c>
      <c r="N113" s="97">
        <f>1-SUM(L113:M113)</f>
        <v>0.5</v>
      </c>
    </row>
    <row r="114" spans="4:14" ht="20.100000000000001" customHeight="1" x14ac:dyDescent="0.2">
      <c r="D114" s="151" t="str">
        <f>"Were solids separated from " &amp; D113 &amp; "?"</f>
        <v>Were solids separated from Drains to paddock?</v>
      </c>
      <c r="E114" s="41" t="s">
        <v>201</v>
      </c>
    </row>
    <row r="115" spans="4:14" ht="20.100000000000001" customHeight="1" x14ac:dyDescent="0.2">
      <c r="D115" s="151" t="str">
        <f>"Percent solids separated from " &amp; D113 &amp; " (Method 1)"</f>
        <v>Percent solids separated from Drains to paddock (Method 1)</v>
      </c>
      <c r="E115" s="97">
        <f>IF(X_Cell_Dairy_Stage1MMS_2_DrainsToPaddock_SolidsSeparated="Yes", 20%, 0)</f>
        <v>0.2</v>
      </c>
    </row>
    <row r="116" spans="4:14" ht="20.100000000000001" customHeight="1" x14ac:dyDescent="0.2">
      <c r="D116" s="151" t="str">
        <f>"Percent solids separated from " &amp; D113 &amp; " (Method 2)"</f>
        <v>Percent solids separated from Drains to paddock (Method 2)</v>
      </c>
      <c r="E116" s="47">
        <f>IF(X_Cell_Dairy_Stage1MMS_2_DrainsToPaddock_SolidsSeparated="Yes", 20%, 0)</f>
        <v>0.2</v>
      </c>
    </row>
    <row r="118" spans="4:14" ht="20.100000000000001" customHeight="1" x14ac:dyDescent="0.2">
      <c r="D118" s="145" t="str">
        <f>'Constants - Dairy'!$D$11 &amp; " (before solid separation)"</f>
        <v>Solid storage (before solid separation)</v>
      </c>
      <c r="E118" s="47">
        <v>0.25</v>
      </c>
      <c r="F118" s="47">
        <v>0.25</v>
      </c>
      <c r="G118" s="47">
        <v>0.25</v>
      </c>
      <c r="H118" s="47">
        <v>0.25</v>
      </c>
      <c r="I118" s="47">
        <v>0.25</v>
      </c>
      <c r="J118" s="2" t="s">
        <v>17</v>
      </c>
      <c r="K118" s="2"/>
      <c r="L118" s="47">
        <v>0.25</v>
      </c>
      <c r="M118" s="47">
        <v>0.25</v>
      </c>
      <c r="N118" s="97">
        <f>1-SUM(L118:M118)</f>
        <v>0.5</v>
      </c>
    </row>
    <row r="119" spans="4:14" ht="20.100000000000001" customHeight="1" x14ac:dyDescent="0.2">
      <c r="D119" s="146" t="s">
        <v>428</v>
      </c>
      <c r="E119" s="97">
        <f>E118+(E103*X_Cell_Dairy_Stage1MMS_2_AnaerobicLagoon_AmountSeparated_Method1)+(E108*X_Cell_Dairy_Stage1MMS_2_SumpAndDispersal_AmountSeparated_Method1)+(E113*X_Cell_Dairy_Stage1MMS_2_DrainsToPaddock_AmountSeparated_Method1)</f>
        <v>0.35</v>
      </c>
      <c r="F119" s="97">
        <f>F118+(F103*X_Cell_Dairy_Stage1MMS_2_AnaerobicLagoon_AmountSeparated_Method1)+(F108*X_Cell_Dairy_Stage1MMS_2_SumpAndDispersal_AmountSeparated_Method1)+(F113*X_Cell_Dairy_Stage1MMS_2_DrainsToPaddock_AmountSeparated_Method1)</f>
        <v>0.35</v>
      </c>
      <c r="G119" s="97">
        <f>G118+(G103*X_Cell_Dairy_Stage1MMS_2_AnaerobicLagoon_AmountSeparated_Method1)+(G108*X_Cell_Dairy_Stage1MMS_2_SumpAndDispersal_AmountSeparated_Method1)+(G113*X_Cell_Dairy_Stage1MMS_2_DrainsToPaddock_AmountSeparated_Method1)</f>
        <v>0.35</v>
      </c>
      <c r="H119" s="97">
        <f>H118+(H103*X_Cell_Dairy_Stage1MMS_2_AnaerobicLagoon_AmountSeparated_Method1)+(H108*X_Cell_Dairy_Stage1MMS_2_SumpAndDispersal_AmountSeparated_Method1)+(H113*X_Cell_Dairy_Stage1MMS_2_DrainsToPaddock_AmountSeparated_Method1)</f>
        <v>0.35</v>
      </c>
      <c r="I119" s="97">
        <f>I118+(I103*X_Cell_Dairy_Stage1MMS_2_AnaerobicLagoon_AmountSeparated_Method1)+(I108*X_Cell_Dairy_Stage1MMS_2_SumpAndDispersal_AmountSeparated_Method1)+(I113*X_Cell_Dairy_Stage1MMS_2_DrainsToPaddock_AmountSeparated_Method1)</f>
        <v>0.35</v>
      </c>
      <c r="J119" s="2" t="s">
        <v>17</v>
      </c>
      <c r="K119" s="2"/>
      <c r="L119" s="2"/>
      <c r="M119" s="2"/>
      <c r="N119" s="2"/>
    </row>
    <row r="120" spans="4:14" ht="20.100000000000001" customHeight="1" x14ac:dyDescent="0.2">
      <c r="D120" s="146" t="s">
        <v>429</v>
      </c>
      <c r="E120" s="97">
        <f>E118+(E103*X_Cell_Dairy_Stage1MMS_2_AnaerobicLagoon_AmountSeparated_Method2)+(E108*X_Cell_Dairy_Stage1MMS_2_SumpAndDispersal_AmountSeparated_Method2)+(E113*X_Cell_Dairy_Stage1MMS_2_DrainsToPaddock_AmountSeparated_Method2)</f>
        <v>0.35</v>
      </c>
      <c r="F120" s="97">
        <f>F118+(F103*X_Cell_Dairy_Stage1MMS_2_AnaerobicLagoon_AmountSeparated_Method2)+(F108*X_Cell_Dairy_Stage1MMS_2_SumpAndDispersal_AmountSeparated_Method2)+(F113*X_Cell_Dairy_Stage1MMS_2_DrainsToPaddock_AmountSeparated_Method2)</f>
        <v>0.35</v>
      </c>
      <c r="G120" s="97">
        <f>G118+(G103*X_Cell_Dairy_Stage1MMS_2_AnaerobicLagoon_AmountSeparated_Method2)+(G108*X_Cell_Dairy_Stage1MMS_2_SumpAndDispersal_AmountSeparated_Method2)+(G113*X_Cell_Dairy_Stage1MMS_2_DrainsToPaddock_AmountSeparated_Method2)</f>
        <v>0.35</v>
      </c>
      <c r="H120" s="97">
        <f>H118+(H103*X_Cell_Dairy_Stage1MMS_2_AnaerobicLagoon_AmountSeparated_Method2)+(H108*X_Cell_Dairy_Stage1MMS_2_SumpAndDispersal_AmountSeparated_Method2)+(H113*X_Cell_Dairy_Stage1MMS_2_DrainsToPaddock_AmountSeparated_Method2)</f>
        <v>0.35</v>
      </c>
      <c r="I120" s="97">
        <f>I118+(I103*X_Cell_Dairy_Stage1MMS_2_AnaerobicLagoon_AmountSeparated_Method2)+(I108*X_Cell_Dairy_Stage1MMS_2_SumpAndDispersal_AmountSeparated_Method2)+(I113*X_Cell_Dairy_Stage1MMS_2_DrainsToPaddock_AmountSeparated_Method2)</f>
        <v>0.35</v>
      </c>
      <c r="J120" s="2" t="s">
        <v>17</v>
      </c>
      <c r="K120" s="2"/>
    </row>
    <row r="123" spans="4:14" ht="20.100000000000001" customHeight="1" x14ac:dyDescent="0.2">
      <c r="D123" s="1" t="s">
        <v>136</v>
      </c>
      <c r="E123" s="41" t="s">
        <v>141</v>
      </c>
      <c r="F123" s="2" t="s">
        <v>8</v>
      </c>
    </row>
    <row r="124" spans="4:14" ht="20.100000000000001" customHeight="1" x14ac:dyDescent="0.2">
      <c r="E124" s="41" t="s">
        <v>146</v>
      </c>
      <c r="F124" s="2" t="s">
        <v>8</v>
      </c>
      <c r="L124" s="2"/>
      <c r="M124" s="2"/>
      <c r="N124" s="2"/>
    </row>
    <row r="142" spans="13:14" ht="20.100000000000001" customHeight="1" x14ac:dyDescent="0.2">
      <c r="M142" s="2"/>
      <c r="N142" s="2"/>
    </row>
    <row r="143" spans="13:14" ht="20.100000000000001" customHeight="1" x14ac:dyDescent="0.2">
      <c r="M143" s="2"/>
      <c r="N143" s="2"/>
    </row>
    <row r="144" spans="13:14" ht="20.100000000000001" customHeight="1" x14ac:dyDescent="0.2">
      <c r="M144" s="2"/>
      <c r="N144" s="2"/>
    </row>
    <row r="147" spans="13:14" ht="20.100000000000001" customHeight="1" x14ac:dyDescent="0.2">
      <c r="M147" s="2"/>
      <c r="N147" s="2"/>
    </row>
    <row r="148" spans="13:14" ht="20.100000000000001" customHeight="1" x14ac:dyDescent="0.2">
      <c r="M148" s="2"/>
      <c r="N148" s="2"/>
    </row>
    <row r="149" spans="13:14" ht="20.100000000000001" customHeight="1" x14ac:dyDescent="0.2">
      <c r="M149" s="2"/>
      <c r="N149" s="2"/>
    </row>
    <row r="152" spans="13:14" ht="20.100000000000001" customHeight="1" x14ac:dyDescent="0.2">
      <c r="M152" s="2"/>
      <c r="N152" s="2"/>
    </row>
    <row r="153" spans="13:14" ht="20.100000000000001" customHeight="1" x14ac:dyDescent="0.2">
      <c r="M153" s="2"/>
      <c r="N153" s="2"/>
    </row>
    <row r="154" spans="13:14" ht="20.100000000000001" customHeight="1" x14ac:dyDescent="0.2">
      <c r="M154" s="2"/>
      <c r="N154" s="2"/>
    </row>
    <row r="161" spans="13:14" ht="20.100000000000001" customHeight="1" x14ac:dyDescent="0.2">
      <c r="M161" s="2"/>
      <c r="N161" s="2"/>
    </row>
    <row r="162" spans="13:14" ht="20.100000000000001" customHeight="1" x14ac:dyDescent="0.2">
      <c r="M162" s="2"/>
      <c r="N162" s="2"/>
    </row>
    <row r="163" spans="13:14" ht="20.100000000000001" customHeight="1" x14ac:dyDescent="0.2">
      <c r="M163" s="2"/>
      <c r="N163" s="2"/>
    </row>
    <row r="166" spans="13:14" ht="20.100000000000001" customHeight="1" x14ac:dyDescent="0.2">
      <c r="M166" s="2"/>
      <c r="N166" s="2"/>
    </row>
    <row r="167" spans="13:14" ht="20.100000000000001" customHeight="1" x14ac:dyDescent="0.2">
      <c r="M167" s="2"/>
      <c r="N167" s="2"/>
    </row>
    <row r="168" spans="13:14" ht="20.100000000000001" customHeight="1" x14ac:dyDescent="0.2">
      <c r="M168" s="2"/>
      <c r="N168" s="2"/>
    </row>
    <row r="171" spans="13:14" ht="20.100000000000001" customHeight="1" x14ac:dyDescent="0.2">
      <c r="M171" s="2"/>
      <c r="N171" s="2"/>
    </row>
    <row r="172" spans="13:14" ht="20.100000000000001" customHeight="1" x14ac:dyDescent="0.2">
      <c r="M172" s="2"/>
      <c r="N172" s="2"/>
    </row>
    <row r="173" spans="13:14" ht="20.100000000000001" customHeight="1" x14ac:dyDescent="0.2">
      <c r="M173" s="2"/>
      <c r="N173" s="2"/>
    </row>
    <row r="176" spans="13:14" ht="20.100000000000001" customHeight="1" x14ac:dyDescent="0.2">
      <c r="M176" s="2"/>
      <c r="N176" s="2"/>
    </row>
    <row r="177" spans="13:14" ht="20.100000000000001" customHeight="1" x14ac:dyDescent="0.2">
      <c r="M177" s="2"/>
      <c r="N177" s="2"/>
    </row>
    <row r="178" spans="13:14" ht="20.100000000000001" customHeight="1" x14ac:dyDescent="0.2">
      <c r="M178" s="2"/>
      <c r="N178" s="2"/>
    </row>
  </sheetData>
  <conditionalFormatting sqref="E10:N10 E24:N25 E28:N29 K36:L36 E36:J37 M36:N38 L37 K40 E40:J41 L41:L42 M42:N42 P43:Q43 J79:K79 J84:K84 F89 J89:K89 F94 J94:K96 L95:N95 F100 J103:K103 J108:K108 J113:K113 J118:K120 L119:N119 L124:N124">
    <cfRule type="cellIs" dxfId="5" priority="32" operator="lessThan">
      <formula>0</formula>
    </cfRule>
  </conditionalFormatting>
  <conditionalFormatting sqref="E14:N15">
    <cfRule type="cellIs" dxfId="4" priority="4" operator="lessThan">
      <formula>0</formula>
    </cfRule>
  </conditionalFormatting>
  <conditionalFormatting sqref="E18:N19">
    <cfRule type="cellIs" dxfId="3" priority="3" operator="lessThan">
      <formula>0</formula>
    </cfRule>
  </conditionalFormatting>
  <conditionalFormatting sqref="F97">
    <cfRule type="cellIs" dxfId="2" priority="22" operator="lessThan">
      <formula>0</formula>
    </cfRule>
  </conditionalFormatting>
  <conditionalFormatting sqref="J63:N65">
    <cfRule type="cellIs" dxfId="1" priority="26" operator="lessThan">
      <formula>0</formula>
    </cfRule>
  </conditionalFormatting>
  <conditionalFormatting sqref="J68:N70">
    <cfRule type="cellIs" dxfId="0" priority="25" operator="lessThan">
      <formula>0</formula>
    </cfRule>
  </conditionalFormatting>
  <dataValidations count="6">
    <dataValidation type="list" allowBlank="1" showInputMessage="1" showErrorMessage="1" sqref="E123" xr:uid="{AF94BFC8-A9BD-4286-932B-111409BF1EB6}">
      <formula1>INDIRECT("Table_SourceData_Dairy_CropProdSystems[Production system]")</formula1>
    </dataValidation>
    <dataValidation type="list" allowBlank="1" showInputMessage="1" showErrorMessage="1" sqref="E124" xr:uid="{20E9D9A1-CABD-46A5-B149-02F06B30AA0E}">
      <formula1>INDIRECT("Table_SourceData_Dairy_IrrigationMethods[Irrigation method]")</formula1>
    </dataValidation>
    <dataValidation type="list" allowBlank="1" showInputMessage="1" showErrorMessage="1" sqref="E60" xr:uid="{9FB53635-991F-44AA-A123-E8ABEF9EE0A6}">
      <formula1>INDIRECT("Table_SourceData_Dairy_ProductionSystemTemplates[Area]")</formula1>
    </dataValidation>
    <dataValidation type="list" allowBlank="1" showInputMessage="1" showErrorMessage="1" sqref="E80 E85 E90 E104 E109 E114" xr:uid="{00A4EA4C-90D3-4150-979D-4D71C7F37A31}">
      <formula1>"Yes, No"</formula1>
    </dataValidation>
    <dataValidation type="list" allowBlank="1" showInputMessage="1" showErrorMessage="1" sqref="E7" xr:uid="{4AE50AD3-14AA-4BCF-9F4A-CDB83D5683F7}">
      <formula1>INDIRECT("Table_SourceData_Dairy_WjCowsHeifers[Breed]")</formula1>
    </dataValidation>
    <dataValidation type="list" allowBlank="1" showInputMessage="1" showErrorMessage="1" sqref="E47" xr:uid="{00EB9640-5A32-4119-9EC9-65330CC2A6A9}">
      <formula1>"Litres of milk, Milk solids"</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sheetPr>
    <tabColor rgb="FF008000"/>
  </sheetPr>
  <dimension ref="A1:W305"/>
  <sheetViews>
    <sheetView showGridLines="0" topLeftCell="D279" zoomScaleNormal="100" workbookViewId="0">
      <selection activeCell="D50" sqref="D50"/>
    </sheetView>
  </sheetViews>
  <sheetFormatPr defaultRowHeight="20.100000000000001" customHeight="1" x14ac:dyDescent="0.2"/>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67" t="e" vm="1">
        <v>#VALUE!</v>
      </c>
      <c r="C1" s="8" t="s">
        <v>275</v>
      </c>
    </row>
    <row r="2" spans="1:23" s="9" customFormat="1" ht="20.100000000000001" customHeight="1" x14ac:dyDescent="0.2">
      <c r="A2"/>
    </row>
    <row r="3" spans="1:23" ht="20.100000000000001" customHeight="1" x14ac:dyDescent="0.2">
      <c r="A3" s="17" t="str">
        <f>HYPERLINK("#'Home'!A1", "Home")</f>
        <v>Home</v>
      </c>
      <c r="C3" s="4"/>
      <c r="D3" s="4" t="s">
        <v>114</v>
      </c>
      <c r="E3" s="4"/>
      <c r="F3" s="4"/>
      <c r="G3" s="4"/>
      <c r="H3" s="4"/>
      <c r="I3" s="4"/>
      <c r="J3" s="4"/>
      <c r="K3" s="4"/>
      <c r="L3" s="4"/>
      <c r="N3" s="4"/>
      <c r="O3" s="4" t="s">
        <v>115</v>
      </c>
      <c r="P3" s="4"/>
      <c r="Q3" s="4"/>
      <c r="R3" s="4"/>
      <c r="S3" s="4"/>
      <c r="T3" s="4"/>
      <c r="U3" s="4"/>
      <c r="V3" s="4"/>
      <c r="W3" s="4"/>
    </row>
    <row r="4" spans="1:23" ht="20.100000000000001" customHeight="1" x14ac:dyDescent="0.2">
      <c r="A4" s="17" t="str">
        <f>HYPERLINK("#'Overview'!A1", "Overview")</f>
        <v>Overview</v>
      </c>
    </row>
    <row r="5" spans="1:23" ht="20.100000000000001" customHeight="1" x14ac:dyDescent="0.2">
      <c r="A5" s="17" t="str">
        <f>HYPERLINK("#'Results'!A1", "Results")</f>
        <v>Results</v>
      </c>
      <c r="D5" s="6" t="str" cm="1">
        <f t="array" ref="D5">EntericMethane_Dairy_Equations.VEERG_3_3_1_1__6_MetabolisabilityOfDiet_Title()</f>
        <v>Metabolisability of diet</v>
      </c>
    </row>
    <row r="6" spans="1:23" ht="20.100000000000001" customHeight="1" x14ac:dyDescent="0.2">
      <c r="D6" s="5" t="str" cm="1">
        <f t="array" ref="D6">EntericMethane_Dairy_Equations.VEERG_3_3_1_1__6_MetabolisabilityOfDiet_Source()</f>
        <v>VEERG 2026: 3.3.1.1, Equation (6)</v>
      </c>
    </row>
    <row r="7" spans="1:23" ht="20.100000000000001" customHeight="1" x14ac:dyDescent="0.2">
      <c r="D7" s="56" t="str" cm="1">
        <f t="array" ref="D7">EntericMethane_Dairy_Equations.VEERG_3_3_1_1__6_MetabolisabilityOfDiet_Variation()</f>
        <v>VARIATION ON SOURCE: changed 0.795 to 0.00795 which is the value used in the National Inventory Report</v>
      </c>
    </row>
    <row r="8" spans="1:23" ht="20.100000000000001" customHeight="1" x14ac:dyDescent="0.2">
      <c r="A8" s="19" t="s">
        <v>0</v>
      </c>
      <c r="D8" s="13" t="s">
        <v>25</v>
      </c>
      <c r="E8" s="13" t="str" cm="1">
        <f t="array" aca="1" ref="E8" ca="1">Common_InputFunctions.Utility_DisplayFunctionName(D24)</f>
        <v>=EntericMethane_Dairy_Equations.VEERG_3_3_1_1__6_MetabolisabilityOfDietVariation</v>
      </c>
    </row>
    <row r="9" spans="1:23" ht="20.100000000000001" customHeight="1" x14ac:dyDescent="0.2">
      <c r="A9" s="17" t="str">
        <f>HYPERLINK("#'Input - Site'!A1", "Site")</f>
        <v>Site</v>
      </c>
    </row>
    <row r="10" spans="1:23" ht="20.100000000000001" customHeight="1" x14ac:dyDescent="0.2">
      <c r="A10" s="17" t="str">
        <f>HYPERLINK("#'Input - Dairy'!A1", "Dairy")</f>
        <v>Dairy</v>
      </c>
    </row>
    <row r="11" spans="1:23" ht="20.100000000000001" customHeight="1" x14ac:dyDescent="0.2">
      <c r="D11" s="54" t="s">
        <v>28</v>
      </c>
      <c r="E11" s="1" t="str" cm="1">
        <f t="array" ref="E11">EntericMethane_Dairy_Equations.VEERG_3_3_1_1__6_MetabolisabilityOfDiet_Variable()</f>
        <v>qm_j</v>
      </c>
    </row>
    <row r="12" spans="1:23" ht="20.100000000000001" customHeight="1" x14ac:dyDescent="0.2">
      <c r="D12" s="54" t="s">
        <v>18</v>
      </c>
      <c r="E12" s="55" t="str" cm="1">
        <f t="array" ref="E12">EntericMethane_Dairy_Equations.VEERG_3_3_1_1__6_MetabolisabilityOfDiet_Unit()</f>
        <v>fraction</v>
      </c>
    </row>
    <row r="13" spans="1:23" ht="20.100000000000001" customHeight="1" x14ac:dyDescent="0.2">
      <c r="A13" s="18" t="s">
        <v>73</v>
      </c>
    </row>
    <row r="14" spans="1:23" ht="20.100000000000001" customHeight="1" x14ac:dyDescent="0.2">
      <c r="A14" s="21" t="str">
        <f>HYPERLINK("#'4.3.1.1-2 Methane'!A1", "4.3.1.1-2 Methane")</f>
        <v>4.3.1.1-2 Methane</v>
      </c>
      <c r="D14" s="133" t="str" cm="1">
        <f t="array" ref="D14:E14">_xlfn.CHOOSECOLS(EntericMethane_Dairy_Equations.VEERG_3_3_1_1__6_MetabolisabilityOfDiet_Arguments(), 1,2)</f>
        <v>DMD_j</v>
      </c>
      <c r="E14" s="133" t="str">
        <v>dry matter digestibility expressed as a fraction</v>
      </c>
      <c r="F14" s="133"/>
      <c r="G14" s="133" t="str" cm="1">
        <f t="array" ref="G14:H14">_xlfn.CHOOSECOLS(EntericMethane_Dairy_Equations.VEERG_3_3_1_1__6_MetabolisabilityOfDiet_Arguments(), 3,4)</f>
        <v>fraction</v>
      </c>
      <c r="H14" s="131" t="str">
        <v>Input</v>
      </c>
      <c r="I14" s="133" t="str">
        <f>"See " &amp; D16</f>
        <v>See M1_Table_DMD_j</v>
      </c>
    </row>
    <row r="15" spans="1:23" ht="20.100000000000001" customHeight="1" x14ac:dyDescent="0.2">
      <c r="A15" s="17" t="str">
        <f>HYPERLINK("#'4.3.1.3-4 Direct N20'!A1", "4.3.1.3-4 Direct N20")</f>
        <v>4.3.1.3-4 Direct N20</v>
      </c>
    </row>
    <row r="16" spans="1:23" ht="20.100000000000001" customHeight="1" x14ac:dyDescent="0.2">
      <c r="A16" s="17" t="str">
        <f>HYPERLINK("#'4.3.1.5 Atmos deposition'!A1", "4.3.1.5 Atmos deposition")</f>
        <v>4.3.1.5 Atmos deposition</v>
      </c>
      <c r="D16" s="100" t="s">
        <v>119</v>
      </c>
      <c r="O16" s="100" t="s">
        <v>122</v>
      </c>
    </row>
    <row r="17" spans="1:23" ht="20.100000000000001" customHeight="1" x14ac:dyDescent="0.2">
      <c r="A17" s="17" t="str">
        <f>HYPERLINK("#'4.3.1.6-7 Leaching and runoff'!A1", "4.3.1.6-7 Leaching and runoff")</f>
        <v>4.3.1.6-7 Leaching and runoff</v>
      </c>
      <c r="D17" s="99" t="s">
        <v>121</v>
      </c>
      <c r="O17" s="99" t="s">
        <v>231</v>
      </c>
    </row>
    <row r="18" spans="1:23" ht="20.100000000000001" customHeight="1" x14ac:dyDescent="0.2">
      <c r="A18" s="17" t="str">
        <f>HYPERLINK("#'4.3.1.8 Manure applied to soils'!A1", "4.3.1.8 Manure applied to soils")</f>
        <v>4.3.1.8 Manure applied to soils</v>
      </c>
      <c r="D18" s="40" t="s">
        <v>167</v>
      </c>
      <c r="E18" s="40" t="s">
        <v>184</v>
      </c>
      <c r="F18" s="40" t="s">
        <v>185</v>
      </c>
      <c r="G18" s="40" t="s">
        <v>186</v>
      </c>
      <c r="H18" s="40" t="s">
        <v>187</v>
      </c>
      <c r="O18" s="40" t="s">
        <v>167</v>
      </c>
      <c r="P18" s="40" t="s">
        <v>184</v>
      </c>
      <c r="Q18" s="40" t="s">
        <v>185</v>
      </c>
      <c r="R18" s="40" t="s">
        <v>186</v>
      </c>
      <c r="S18" s="40" t="s">
        <v>187</v>
      </c>
    </row>
    <row r="19" spans="1:23" ht="20.100000000000001" customHeight="1" x14ac:dyDescent="0.2">
      <c r="A19" s="17" t="str">
        <f>HYPERLINK("#'4.3.1.9 Soil direct N2O'!A1", "4.3.1.9 Soil direct N2O")</f>
        <v>4.3.1.9 Soil direct N2O</v>
      </c>
      <c r="D19" s="53">
        <f>INDEX(X_Table_Dairy_Diet_Method1,2,2)</f>
        <v>0.75</v>
      </c>
      <c r="E19" s="53">
        <f>INDEX(X_Table_Dairy_Diet_Method1,2,3)</f>
        <v>0.75</v>
      </c>
      <c r="F19" s="53">
        <f>INDEX(X_Table_Dairy_Diet_Method1,2,4)</f>
        <v>0.75</v>
      </c>
      <c r="G19" s="53">
        <f>INDEX(X_Table_Dairy_Diet_Method1,2,5)</f>
        <v>0.75</v>
      </c>
      <c r="H19" s="53">
        <f>INDEX(X_Table_Dairy_Diet_Method1,2,6)</f>
        <v>0.75</v>
      </c>
      <c r="I19" s="2" t="s">
        <v>220</v>
      </c>
      <c r="J19" s="2"/>
      <c r="K19" s="2"/>
      <c r="O19" s="53">
        <f>INDEX(X_Table_Dairy_Diet_Method2,2,2)</f>
        <v>0.75</v>
      </c>
      <c r="P19" s="53">
        <f>INDEX(X_Table_Dairy_Diet_Method2,2,3)</f>
        <v>0.75</v>
      </c>
      <c r="Q19" s="53">
        <f>INDEX(X_Table_Dairy_Diet_Method2,2,4)</f>
        <v>0.75</v>
      </c>
      <c r="R19" s="53">
        <f>INDEX(X_Table_Dairy_Diet_Method2,2,5)</f>
        <v>0.75</v>
      </c>
      <c r="S19" s="53">
        <f>INDEX(X_Table_Dairy_Diet_Method2,2,6)</f>
        <v>0.75</v>
      </c>
      <c r="T19" s="2" t="s">
        <v>220</v>
      </c>
      <c r="U19" s="2"/>
      <c r="V19" s="2"/>
    </row>
    <row r="20" spans="1:23" ht="20.100000000000001" customHeight="1" x14ac:dyDescent="0.2">
      <c r="A20" s="17" t="str">
        <f>HYPERLINK("#'4.3.1.10-11 Soil Atmos Dep'!A1", "4.3.1.10-11 Soil Atmos Dep")</f>
        <v>4.3.1.10-11 Soil Atmos Dep</v>
      </c>
    </row>
    <row r="21" spans="1:23" ht="20.100000000000001" customHeight="1" x14ac:dyDescent="0.2">
      <c r="A21" s="17" t="str">
        <f>HYPERLINK("#'4.3.1.12-13 Soil leach runoff'!A1", "4.3.1.12-13 Soil leach runoff")</f>
        <v>4.3.1.12-13 Soil leach runoff</v>
      </c>
      <c r="D21" s="100" t="s">
        <v>221</v>
      </c>
      <c r="O21" s="100" t="s">
        <v>223</v>
      </c>
    </row>
    <row r="22" spans="1:23" ht="20.100000000000001" customHeight="1" x14ac:dyDescent="0.2">
      <c r="D22" s="99" t="s">
        <v>222</v>
      </c>
      <c r="O22" s="99" t="s">
        <v>224</v>
      </c>
    </row>
    <row r="23" spans="1:23" ht="20.100000000000001" customHeight="1" x14ac:dyDescent="0.2">
      <c r="D23" s="52" t="s">
        <v>167</v>
      </c>
      <c r="E23" s="52" t="s">
        <v>184</v>
      </c>
      <c r="F23" s="52" t="s">
        <v>185</v>
      </c>
      <c r="G23" s="52" t="s">
        <v>186</v>
      </c>
      <c r="H23" s="52" t="s">
        <v>187</v>
      </c>
      <c r="O23" s="52" t="s">
        <v>167</v>
      </c>
      <c r="P23" s="52" t="s">
        <v>184</v>
      </c>
      <c r="Q23" s="52" t="s">
        <v>185</v>
      </c>
      <c r="R23" s="52" t="s">
        <v>186</v>
      </c>
      <c r="S23" s="52" t="s">
        <v>187</v>
      </c>
    </row>
    <row r="24" spans="1:23" ht="20.100000000000001" customHeight="1" x14ac:dyDescent="0.2">
      <c r="A24" s="154" t="s">
        <v>1</v>
      </c>
      <c r="D24" s="53" cm="1">
        <f t="array" ref="D24">EntericMethane_Dairy_Equations.VEERG_3_3_1_1__6_MetabolisabilityOfDietVariation(D19)</f>
        <v>0.5948500000000001</v>
      </c>
      <c r="E24" s="53" cm="1">
        <f t="array" ref="E24">EntericMethane_Dairy_Equations.VEERG_3_3_1_1__6_MetabolisabilityOfDietVariation(E19)</f>
        <v>0.5948500000000001</v>
      </c>
      <c r="F24" s="53" cm="1">
        <f t="array" ref="F24">EntericMethane_Dairy_Equations.VEERG_3_3_1_1__6_MetabolisabilityOfDietVariation(F19)</f>
        <v>0.5948500000000001</v>
      </c>
      <c r="G24" s="53" cm="1">
        <f t="array" ref="G24">EntericMethane_Dairy_Equations.VEERG_3_3_1_1__6_MetabolisabilityOfDietVariation(G19)</f>
        <v>0.5948500000000001</v>
      </c>
      <c r="H24" s="53" cm="1">
        <f t="array" ref="H24">EntericMethane_Dairy_Equations.VEERG_3_3_1_1__6_MetabolisabilityOfDietVariation(H19)</f>
        <v>0.5948500000000001</v>
      </c>
      <c r="I24" s="2" t="str">
        <f>$E$12</f>
        <v>fraction</v>
      </c>
      <c r="J24" s="2"/>
      <c r="K24" s="2"/>
      <c r="O24" s="53" cm="1">
        <f t="array" ref="O24">EntericMethane_Dairy_Equations.VEERG_3_3_1_1__6_MetabolisabilityOfDietVariation(O19)</f>
        <v>0.5948500000000001</v>
      </c>
      <c r="P24" s="53" cm="1">
        <f t="array" ref="P24">EntericMethane_Dairy_Equations.VEERG_3_3_1_1__6_MetabolisabilityOfDietVariation(P19)</f>
        <v>0.5948500000000001</v>
      </c>
      <c r="Q24" s="53" cm="1">
        <f t="array" ref="Q24">EntericMethane_Dairy_Equations.VEERG_3_3_1_1__6_MetabolisabilityOfDietVariation(Q19)</f>
        <v>0.5948500000000001</v>
      </c>
      <c r="R24" s="53" cm="1">
        <f t="array" ref="R24">EntericMethane_Dairy_Equations.VEERG_3_3_1_1__6_MetabolisabilityOfDietVariation(R19)</f>
        <v>0.5948500000000001</v>
      </c>
      <c r="S24" s="53" cm="1">
        <f t="array" ref="S24">EntericMethane_Dairy_Equations.VEERG_3_3_1_1__6_MetabolisabilityOfDietVariation(S19)</f>
        <v>0.5948500000000001</v>
      </c>
      <c r="T24" s="2" t="str">
        <f>$E$12</f>
        <v>fraction</v>
      </c>
      <c r="U24" s="2"/>
      <c r="V24" s="2"/>
    </row>
    <row r="25" spans="1:23" ht="20.100000000000001" customHeight="1" x14ac:dyDescent="0.2">
      <c r="A25" s="17" t="str">
        <f>HYPERLINK("#'Constants - Dairy'!A1", "Constants - Dairy")</f>
        <v>Constants - Dairy</v>
      </c>
    </row>
    <row r="26" spans="1:23" ht="20.100000000000001" customHeight="1" x14ac:dyDescent="0.2">
      <c r="A26" s="17" t="str">
        <f>HYPERLINK("#'Constants - Common'!A1", "Constants - Common")</f>
        <v>Constants - Common</v>
      </c>
    </row>
    <row r="27" spans="1:23" ht="20.100000000000001" customHeight="1" x14ac:dyDescent="0.2">
      <c r="A27" s="17" t="str">
        <f>HYPERLINK("#'Constants - Livestock'!A1", "Constants - Livestock")</f>
        <v>Constants - Livestock</v>
      </c>
      <c r="C27" s="46"/>
      <c r="D27" s="46"/>
      <c r="E27" s="46"/>
      <c r="F27" s="46"/>
      <c r="G27" s="46"/>
      <c r="H27" s="46"/>
      <c r="I27" s="46"/>
      <c r="J27" s="46"/>
      <c r="K27" s="46"/>
      <c r="L27" s="46"/>
      <c r="N27" s="46"/>
      <c r="O27" s="46"/>
      <c r="P27" s="46"/>
      <c r="Q27" s="46"/>
      <c r="R27" s="46"/>
      <c r="S27" s="46"/>
      <c r="T27" s="46"/>
      <c r="U27" s="46"/>
      <c r="V27" s="46"/>
      <c r="W27" s="46"/>
    </row>
    <row r="28" spans="1:23" ht="20.100000000000001" customHeight="1" x14ac:dyDescent="0.2">
      <c r="A28" s="17" t="str">
        <f>HYPERLINK("#'Acknowledgements'!A1", "Acknowledgements")</f>
        <v>Acknowledgements</v>
      </c>
      <c r="D28" s="6" t="str" cm="1">
        <f t="array" ref="D28">EntericMethane_Dairy_Equations.VEERG_3_3_1_1__5_MilkProductionFromMilkSolids_Title()</f>
        <v>Milk production converted from milk solids</v>
      </c>
    </row>
    <row r="29" spans="1:23" ht="20.100000000000001" customHeight="1" x14ac:dyDescent="0.2">
      <c r="A29" s="17" t="str">
        <f>HYPERLINK("#'Tab template'!A1", "Tab template")</f>
        <v>Tab template</v>
      </c>
      <c r="D29" s="5" t="str" cm="1">
        <f t="array" ref="D29">EntericMethane_Dairy_Equations.VEERG_3_3_1_1__5_MilkProductionFromMilkSolids_Source()</f>
        <v>VEERG 2026: 3.3.1.1, Equation (5)</v>
      </c>
    </row>
    <row r="30" spans="1:23" ht="20.100000000000001" customHeight="1" x14ac:dyDescent="0.2">
      <c r="D30" s="56" t="str" cm="1">
        <f t="array" ref="D30">EntericMethane_Dairy_Equations.VEERG_3_3_1_1__5_MilkProductionFromMilkSolids_Variation()</f>
        <v>VARATION ON SOURCE: Added milk production unit variable to allow for use of either milk solids or litres of milk. Converted input FC and PC percent to integer.</v>
      </c>
    </row>
    <row r="31" spans="1:23" ht="20.100000000000001" customHeight="1" x14ac:dyDescent="0.2">
      <c r="D31" s="13" t="s">
        <v>25</v>
      </c>
      <c r="E31" s="13" t="str" cm="1">
        <f t="array" aca="1" ref="E31" ca="1">Common_InputFunctions.Utility_DisplayFunctionName(D50)</f>
        <v>=EntericMethane_Dairy_Equations.VEERG_3_3_1_1__5_MilkProductionFromMilkSolids</v>
      </c>
    </row>
    <row r="34" spans="4:20" ht="20.100000000000001" customHeight="1" x14ac:dyDescent="0.2">
      <c r="D34" s="54" t="s">
        <v>28</v>
      </c>
      <c r="E34" s="1" t="str" cm="1">
        <f t="array" ref="E34">EntericMethane_Dairy_Equations.VEERG_3_3_1_1__5_MilkProductionFromMilkSolids_Variable()</f>
        <v>MP_j</v>
      </c>
    </row>
    <row r="35" spans="4:20" ht="20.100000000000001" customHeight="1" x14ac:dyDescent="0.2">
      <c r="D35" s="54" t="s">
        <v>18</v>
      </c>
      <c r="E35" s="55" t="str" cm="1">
        <f t="array" ref="E35">EntericMethane_Dairy_Equations.VEERG_3_3_1_1__5_MilkProductionFromMilkSolids_Unit()</f>
        <v>L/head/day</v>
      </c>
    </row>
    <row r="37" spans="4:20" ht="20.100000000000001" customHeight="1" x14ac:dyDescent="0.2">
      <c r="D37" s="133" t="str" cm="1">
        <f t="array" ref="D37:E40">_xlfn.CHOOSECOLS(EntericMethane_Dairy_Equations.VEERG_3_3_1_1__5_MilkProductionFromMilkSolids_Arguments(),1,2)</f>
        <v>MPU</v>
      </c>
      <c r="E37" s="132" t="str">
        <v>input milk production unit</v>
      </c>
      <c r="F37" s="134"/>
      <c r="G37" s="133" t="str" cm="1">
        <f t="array" ref="G37:H40">_xlfn.CHOOSECOLS(EntericMethane_Dairy_Equations.VEERG_3_3_1_1__5_MilkProductionFromMilkSolids_Arguments(),3,4)</f>
        <v/>
      </c>
      <c r="H37" s="131" t="str">
        <v>Input</v>
      </c>
      <c r="I37" s="133" t="str">
        <f>X_Cell_Dairy_MilkProductionUnit</f>
        <v>Litres of milk</v>
      </c>
      <c r="O37" s="133" t="str" cm="1">
        <f t="array" ref="O37:P40">_xlfn.CHOOSECOLS(EntericMethane_Dairy_Equations.VEERG_3_3_1_1__5_MilkProductionFromMilkSolids_Arguments_Method2(),1,2)</f>
        <v>MPU</v>
      </c>
      <c r="P37" s="132" t="str">
        <v>milk production unit</v>
      </c>
      <c r="Q37" s="134"/>
      <c r="R37" s="133" t="str" cm="1">
        <f t="array" ref="R37:S40">_xlfn.CHOOSECOLS(EntericMethane_Dairy_Equations.VEERG_3_3_1_1__5_MilkProductionFromMilkSolids_Arguments_Method2(),3,4)</f>
        <v/>
      </c>
      <c r="S37" s="131" t="str">
        <v>Input</v>
      </c>
      <c r="T37" s="133"/>
    </row>
    <row r="38" spans="4:20" ht="20.100000000000001" customHeight="1" x14ac:dyDescent="0.2">
      <c r="D38" s="133" t="str">
        <v>MS_j</v>
      </c>
      <c r="E38" s="132" t="str">
        <v>daily production of milk solids</v>
      </c>
      <c r="F38" s="134"/>
      <c r="G38" s="133" t="str">
        <v>kg MS/head/day</v>
      </c>
      <c r="H38" s="131" t="str">
        <v>Input</v>
      </c>
      <c r="I38" s="130" t="str" cm="1">
        <f t="array" aca="1" ref="I38" ca="1">HYPERLINK(Common_InputFunctions.Utility_SourceHyperlink($D$42),$D$42)</f>
        <v>M1_Table_MS_j</v>
      </c>
      <c r="O38" s="133" t="str">
        <v>MS_j</v>
      </c>
      <c r="P38" s="132" t="str">
        <v>daily production of milk solids</v>
      </c>
      <c r="Q38" s="134"/>
      <c r="R38" s="133" t="str">
        <v>kg MS/head/day</v>
      </c>
      <c r="S38" s="131" t="str">
        <v>Input</v>
      </c>
      <c r="T38" s="130"/>
    </row>
    <row r="39" spans="4:20" ht="20.100000000000001" customHeight="1" x14ac:dyDescent="0.2">
      <c r="D39" s="133" t="str">
        <v>FC_j</v>
      </c>
      <c r="E39" s="132" t="str">
        <v>fat content in fat and protein corrected milk</v>
      </c>
      <c r="F39" s="134"/>
      <c r="G39" s="133" t="str">
        <v>per cent</v>
      </c>
      <c r="H39" s="131" t="str">
        <v>Input</v>
      </c>
      <c r="I39" s="133">
        <f>INDEX(X_Table_Dairy_MilkSolidAttributes,2,2)*100</f>
        <v>4</v>
      </c>
      <c r="O39" s="133" t="str">
        <v>FC_j</v>
      </c>
      <c r="P39" s="132" t="str">
        <v>fat content in fat and protein corrected milk</v>
      </c>
      <c r="Q39" s="134"/>
      <c r="R39" s="133" t="str">
        <v>per cent</v>
      </c>
      <c r="S39" s="131" t="str">
        <v>Input</v>
      </c>
      <c r="T39" s="133">
        <f>INDEX(X_Table_Dairy_MilkSolidAttributes,2,3)*100</f>
        <v>4</v>
      </c>
    </row>
    <row r="40" spans="4:20" ht="20.100000000000001" customHeight="1" x14ac:dyDescent="0.2">
      <c r="D40" s="133" t="str">
        <v>PC_j</v>
      </c>
      <c r="E40" s="133" t="str">
        <v>protein content in fat and protein corrected milk</v>
      </c>
      <c r="F40" s="133"/>
      <c r="G40" s="133" t="str">
        <v>per cent</v>
      </c>
      <c r="H40" s="131" t="str">
        <v>Input</v>
      </c>
      <c r="I40" s="133">
        <f>INDEX(X_Table_Dairy_MilkSolidAttributes,3,2)*100</f>
        <v>3.3000000000000003</v>
      </c>
      <c r="O40" s="133" t="str">
        <v>PC_j</v>
      </c>
      <c r="P40" s="133" t="str">
        <v>protein content in fat and protein corrected milk</v>
      </c>
      <c r="Q40" s="133"/>
      <c r="R40" s="133" t="str">
        <v>per cent</v>
      </c>
      <c r="S40" s="131" t="str">
        <v>Input</v>
      </c>
      <c r="T40" s="133">
        <f>INDEX(X_Table_Dairy_MilkSolidAttributes,3,3)*100</f>
        <v>3.3000000000000003</v>
      </c>
    </row>
    <row r="42" spans="4:20" ht="20.100000000000001" customHeight="1" x14ac:dyDescent="0.2">
      <c r="D42" s="100" t="s">
        <v>439</v>
      </c>
    </row>
    <row r="43" spans="4:20" ht="20.100000000000001" customHeight="1" x14ac:dyDescent="0.2">
      <c r="D43" s="99" t="s">
        <v>440</v>
      </c>
    </row>
    <row r="44" spans="4:20" ht="20.100000000000001" customHeight="1" x14ac:dyDescent="0.2">
      <c r="D44" s="40" t="s">
        <v>167</v>
      </c>
      <c r="E44" s="40" t="s">
        <v>184</v>
      </c>
      <c r="F44" s="40" t="s">
        <v>185</v>
      </c>
      <c r="G44" s="40" t="s">
        <v>186</v>
      </c>
      <c r="H44" s="40" t="s">
        <v>187</v>
      </c>
    </row>
    <row r="45" spans="4:20" ht="20.100000000000001" customHeight="1" x14ac:dyDescent="0.2">
      <c r="D45" s="53">
        <f>IF($I$37="Milk solids", X_Cell_Dairy_MilkProductionAmount, 0)</f>
        <v>0</v>
      </c>
      <c r="E45" s="53">
        <v>0</v>
      </c>
      <c r="F45" s="53">
        <v>0</v>
      </c>
      <c r="G45" s="53">
        <v>0</v>
      </c>
      <c r="H45" s="53">
        <v>0</v>
      </c>
      <c r="I45" s="2" t="str">
        <f>G38</f>
        <v>kg MS/head/day</v>
      </c>
    </row>
    <row r="47" spans="4:20" ht="20.100000000000001" customHeight="1" x14ac:dyDescent="0.2">
      <c r="D47" s="100" t="s">
        <v>441</v>
      </c>
      <c r="O47" s="100" t="s">
        <v>443</v>
      </c>
    </row>
    <row r="48" spans="4:20" ht="20.100000000000001" customHeight="1" x14ac:dyDescent="0.2">
      <c r="D48" s="99" t="s">
        <v>442</v>
      </c>
      <c r="O48" s="99" t="s">
        <v>444</v>
      </c>
    </row>
    <row r="49" spans="3:23" ht="20.100000000000001" customHeight="1" x14ac:dyDescent="0.2">
      <c r="D49" s="52" t="s">
        <v>167</v>
      </c>
      <c r="E49" s="52" t="s">
        <v>184</v>
      </c>
      <c r="F49" s="52" t="s">
        <v>185</v>
      </c>
      <c r="G49" s="52" t="s">
        <v>186</v>
      </c>
      <c r="H49" s="52" t="s">
        <v>187</v>
      </c>
      <c r="O49" s="52" t="s">
        <v>167</v>
      </c>
      <c r="P49" s="52" t="s">
        <v>184</v>
      </c>
      <c r="Q49" s="52" t="s">
        <v>185</v>
      </c>
      <c r="R49" s="52" t="s">
        <v>186</v>
      </c>
      <c r="S49" s="52" t="s">
        <v>187</v>
      </c>
    </row>
    <row r="50" spans="3:23" ht="20.100000000000001" customHeight="1" x14ac:dyDescent="0.2">
      <c r="D50" s="53" cm="1">
        <f t="array" ref="D50">EntericMethane_Dairy_Equations.VEERG_3_3_1_1__5_MilkProductionFromMilkSolids(D45,$I$39,$I$40)</f>
        <v>0</v>
      </c>
      <c r="E50" s="53">
        <v>0</v>
      </c>
      <c r="F50" s="53">
        <v>0</v>
      </c>
      <c r="G50" s="53">
        <v>0</v>
      </c>
      <c r="H50" s="53">
        <v>0</v>
      </c>
      <c r="I50" s="2" t="s">
        <v>227</v>
      </c>
      <c r="O50" s="53" cm="1">
        <f t="array" ref="O50">EntericMethane_Dairy_Equations.VEERG_3_3_1_1__5_MilkProductionFromMilkSolids(D45,$T$39,$T$40)</f>
        <v>0</v>
      </c>
      <c r="P50" s="53">
        <v>0</v>
      </c>
      <c r="Q50" s="53">
        <v>0</v>
      </c>
      <c r="R50" s="53">
        <v>0</v>
      </c>
      <c r="S50" s="53">
        <v>0</v>
      </c>
      <c r="T50" s="2" t="s">
        <v>227</v>
      </c>
    </row>
    <row r="53" spans="3:23" ht="20.100000000000001" customHeight="1" x14ac:dyDescent="0.2">
      <c r="C53" s="46"/>
      <c r="D53" s="46"/>
      <c r="E53" s="46"/>
      <c r="F53" s="46"/>
      <c r="G53" s="46"/>
      <c r="H53" s="46"/>
      <c r="I53" s="46"/>
      <c r="J53" s="46"/>
      <c r="K53" s="46"/>
      <c r="L53" s="46"/>
      <c r="N53" s="46"/>
      <c r="O53" s="46"/>
      <c r="P53" s="46"/>
      <c r="Q53" s="46"/>
      <c r="R53" s="46"/>
      <c r="S53" s="46"/>
      <c r="T53" s="46"/>
      <c r="U53" s="46"/>
      <c r="V53" s="46"/>
      <c r="W53" s="46"/>
    </row>
    <row r="54" spans="3:23" ht="20.100000000000001" customHeight="1" x14ac:dyDescent="0.2">
      <c r="D54" s="6" t="str" cm="1">
        <f t="array" ref="D54">EntericMethane_Dairy_Equations.VEERG_3_3_1_1__4_AdditionalIntakeForMilkProduction_Title()</f>
        <v>Additional intake required for milk production</v>
      </c>
    </row>
    <row r="55" spans="3:23" ht="20.100000000000001" customHeight="1" x14ac:dyDescent="0.2">
      <c r="D55" s="5" t="str" cm="1">
        <f t="array" ref="D55">EntericMethane_Dairy_Equations.VEERG_3_3_1_1__4_AdditionalIntakeForMilkProduction_Source()</f>
        <v>VEERG 2026: 3.3.1.1, Equation (4)</v>
      </c>
    </row>
    <row r="56" spans="3:23" ht="20.100000000000001" customHeight="1" x14ac:dyDescent="0.2">
      <c r="D56" s="13" t="s">
        <v>25</v>
      </c>
      <c r="E56" s="13" t="str" cm="1">
        <f t="array" aca="1" ref="E56" ca="1">Common_InputFunctions.Utility_DisplayFunctionName(D79)</f>
        <v>=EntericMethane_Dairy_Equations.VEERG_3_3_1_1__4_AdditionalIntakeForMilkProduction</v>
      </c>
    </row>
    <row r="58" spans="3:23" ht="20.100000000000001" customHeight="1" x14ac:dyDescent="0.2">
      <c r="D58" s="6"/>
    </row>
    <row r="59" spans="3:23" ht="20.100000000000001" customHeight="1" x14ac:dyDescent="0.2">
      <c r="D59" s="54" t="s">
        <v>28</v>
      </c>
      <c r="E59" s="1" t="str" cm="1">
        <f t="array" ref="E59">EntericMethane_Dairy_Equations.VEERG_3_3_1_1__4_AdditionalIntakeForMilkProduction_Variable()</f>
        <v>MI_j</v>
      </c>
    </row>
    <row r="60" spans="3:23" ht="20.100000000000001" customHeight="1" x14ac:dyDescent="0.2">
      <c r="D60" s="54" t="s">
        <v>18</v>
      </c>
      <c r="E60" s="55" t="str" cm="1">
        <f t="array" ref="E60">EntericMethane_Dairy_Equations.VEERG_3_3_1_1__4_AdditionalIntakeForMilkProduction_Unit()</f>
        <v>kg DM/head/day</v>
      </c>
    </row>
    <row r="62" spans="3:23" ht="20.100000000000001" customHeight="1" x14ac:dyDescent="0.2">
      <c r="D62" s="133" t="str" cm="1">
        <f t="array" ref="D62:E68">_xlfn.CHOOSECOLS(EntericMethane_Dairy_Equations.VEERG_3_3_1_1__4_AdditionalIntakeForMilkProduction_Arguments(), 1,2)</f>
        <v>MPU</v>
      </c>
      <c r="E62" s="132" t="str">
        <v>input milk production unit</v>
      </c>
      <c r="F62" s="134"/>
      <c r="G62" s="133" t="str" cm="1">
        <f t="array" ref="G62:H68">_xlfn.CHOOSECOLS(EntericMethane_Dairy_Equations.VEERG_3_3_1_1__4_AdditionalIntakeForMilkProduction_Arguments(), 3,4)</f>
        <v/>
      </c>
      <c r="H62" s="131" t="str">
        <v>Input</v>
      </c>
      <c r="I62" s="133" t="str">
        <f>X_Cell_Dairy_MilkProductionUnit</f>
        <v>Litres of milk</v>
      </c>
    </row>
    <row r="63" spans="3:23" ht="20.100000000000001" customHeight="1" x14ac:dyDescent="0.2">
      <c r="D63" s="133" t="str">
        <v>MP_j</v>
      </c>
      <c r="E63" s="132" t="str">
        <v>milk production (if input as litres of milk)</v>
      </c>
      <c r="F63" s="134"/>
      <c r="G63" s="133" t="str">
        <v>L/head/day</v>
      </c>
      <c r="H63" s="129" t="str">
        <v>Input</v>
      </c>
      <c r="I63" s="130" t="str" cm="1">
        <f t="array" aca="1" ref="I63" ca="1">HYPERLINK(Common_InputFunctions.Utility_SourceHyperlink($D$71), $D$71)</f>
        <v>Table_MP_j</v>
      </c>
    </row>
    <row r="64" spans="3:23" ht="20.100000000000001" customHeight="1" x14ac:dyDescent="0.2">
      <c r="D64" s="133" t="str">
        <v>MP_j</v>
      </c>
      <c r="E64" s="132" t="str">
        <v>milk production (if input as milk solids)</v>
      </c>
      <c r="F64" s="134"/>
      <c r="G64" s="133" t="str">
        <v>L/head/day</v>
      </c>
      <c r="H64" s="129" t="str">
        <v>Calculated from 3.3.1.1 (5)</v>
      </c>
      <c r="I64" s="130" t="str" cm="1">
        <f t="array" aca="1" ref="I64" ca="1">HYPERLINK(Common_InputFunctions.Utility_SourceHyperlink($D$47),$D$47)</f>
        <v>M1_Table_MP_j_from_solids</v>
      </c>
    </row>
    <row r="65" spans="4:22" ht="20.100000000000001" customHeight="1" x14ac:dyDescent="0.2">
      <c r="D65" s="133" t="str">
        <v>NE</v>
      </c>
      <c r="E65" s="132" t="str">
        <v>net energy</v>
      </c>
      <c r="F65" s="134"/>
      <c r="G65" s="133" t="str">
        <v>MJ net energy/kg milk</v>
      </c>
      <c r="H65" s="129" t="str">
        <v>Constant</v>
      </c>
      <c r="I65" s="133">
        <f>SourceData_Dairy_NetEnergy_Data</f>
        <v>3.0539999999999998</v>
      </c>
    </row>
    <row r="66" spans="4:22" ht="20.100000000000001" customHeight="1" x14ac:dyDescent="0.2">
      <c r="D66" s="133" t="str">
        <v>GEC</v>
      </c>
      <c r="E66" s="132" t="str">
        <v>gross energy content</v>
      </c>
      <c r="F66" s="134"/>
      <c r="G66" s="133" t="str">
        <v>MJ/kgDM</v>
      </c>
      <c r="H66" s="129" t="str">
        <v>Constant</v>
      </c>
      <c r="I66" s="133">
        <f>SourceData_Dairy_GrossEnergyContent_Data</f>
        <v>18.399999999999999</v>
      </c>
    </row>
    <row r="67" spans="4:22" ht="20.100000000000001" customHeight="1" x14ac:dyDescent="0.2">
      <c r="D67" s="133" t="str">
        <v>k</v>
      </c>
      <c r="E67" s="133" t="str">
        <v>efficiency of metabolizable energy use for milk production</v>
      </c>
      <c r="F67" s="133"/>
      <c r="G67" s="133" t="str">
        <v>fraction</v>
      </c>
      <c r="H67" s="129" t="str">
        <v>Constant</v>
      </c>
      <c r="I67" s="133">
        <f>SourceData_Dairy_EfficiencyOfUseOfMetabolizableEnergy_Data</f>
        <v>0.6</v>
      </c>
    </row>
    <row r="68" spans="4:22" ht="20.100000000000001" customHeight="1" x14ac:dyDescent="0.2">
      <c r="D68" s="133" t="str">
        <v>qm_j</v>
      </c>
      <c r="E68" s="132" t="str">
        <v>metabolisability of the diet</v>
      </c>
      <c r="F68" s="134"/>
      <c r="G68" s="133" t="str">
        <v>fraction</v>
      </c>
      <c r="H68" s="129" t="str">
        <v>Calculated from 3.3.1.1 (6)</v>
      </c>
      <c r="I68" s="130" t="str" cm="1">
        <f t="array" aca="1" ref="I68" ca="1">HYPERLINK(Common_InputFunctions.Utility_SourceHyperlink($D$21), $D$21)</f>
        <v>M1_Table_qm_j</v>
      </c>
    </row>
    <row r="71" spans="4:22" ht="20.100000000000001" customHeight="1" x14ac:dyDescent="0.2">
      <c r="D71" s="100" t="s">
        <v>230</v>
      </c>
    </row>
    <row r="72" spans="4:22" ht="20.100000000000001" customHeight="1" x14ac:dyDescent="0.2">
      <c r="D72" s="99" t="s">
        <v>191</v>
      </c>
    </row>
    <row r="73" spans="4:22" ht="20.100000000000001" customHeight="1" x14ac:dyDescent="0.2">
      <c r="D73" s="40" t="s">
        <v>167</v>
      </c>
      <c r="E73" s="40" t="s">
        <v>184</v>
      </c>
      <c r="F73" s="40" t="s">
        <v>185</v>
      </c>
      <c r="G73" s="40" t="s">
        <v>186</v>
      </c>
      <c r="H73" s="40" t="s">
        <v>187</v>
      </c>
    </row>
    <row r="74" spans="4:22" ht="20.100000000000001" customHeight="1" x14ac:dyDescent="0.2">
      <c r="D74" s="53">
        <f>IF(I62="Milk solids", 0, X_Cell_Dairy_MilkProductionAmount)</f>
        <v>20</v>
      </c>
      <c r="E74" s="53">
        <v>0</v>
      </c>
      <c r="F74" s="53">
        <v>0</v>
      </c>
      <c r="G74" s="53">
        <v>0</v>
      </c>
      <c r="H74" s="53">
        <v>0</v>
      </c>
      <c r="I74" s="2" t="s">
        <v>227</v>
      </c>
      <c r="J74" s="2"/>
      <c r="K74" s="2"/>
    </row>
    <row r="76" spans="4:22" ht="20.100000000000001" customHeight="1" x14ac:dyDescent="0.2">
      <c r="D76" s="100" t="s">
        <v>225</v>
      </c>
      <c r="O76" s="100" t="s">
        <v>228</v>
      </c>
    </row>
    <row r="77" spans="4:22" ht="20.100000000000001" customHeight="1" x14ac:dyDescent="0.2">
      <c r="D77" s="99" t="s">
        <v>226</v>
      </c>
      <c r="O77" s="99" t="s">
        <v>229</v>
      </c>
    </row>
    <row r="78" spans="4:22" ht="20.100000000000001" customHeight="1" x14ac:dyDescent="0.2">
      <c r="D78" s="52" t="s">
        <v>167</v>
      </c>
      <c r="E78" s="52" t="s">
        <v>184</v>
      </c>
      <c r="F78" s="52" t="s">
        <v>185</v>
      </c>
      <c r="G78" s="52" t="s">
        <v>186</v>
      </c>
      <c r="H78" s="52" t="s">
        <v>187</v>
      </c>
      <c r="O78" s="52" t="s">
        <v>167</v>
      </c>
      <c r="P78" s="52" t="s">
        <v>184</v>
      </c>
      <c r="Q78" s="52" t="s">
        <v>185</v>
      </c>
      <c r="R78" s="52" t="s">
        <v>186</v>
      </c>
      <c r="S78" s="52" t="s">
        <v>187</v>
      </c>
    </row>
    <row r="79" spans="4:22" ht="20.100000000000001" customHeight="1" x14ac:dyDescent="0.2">
      <c r="D79" s="53" cm="1">
        <f t="array" ref="D79">EntericMethane_Dairy_Equations.VEERG_3_3_1_1__4_AdditionalIntakeForMilkProduction(IF(I62="Milk solids", D50, D74), $I$65,$I$66,$I$67,D24)</f>
        <v>9.5798721636071917</v>
      </c>
      <c r="E79" s="53" cm="1">
        <f t="array" ref="E79">EntericMethane_Dairy_Equations.VEERG_3_3_1_1__4_AdditionalIntakeForMilkProduction(E74, $I$65,$I$66,$I$67,E24)</f>
        <v>0</v>
      </c>
      <c r="F79" s="53" cm="1">
        <f t="array" ref="F79">EntericMethane_Dairy_Equations.VEERG_3_3_1_1__4_AdditionalIntakeForMilkProduction(F74, $I$65,$I$66,$I$67,F24)</f>
        <v>0</v>
      </c>
      <c r="G79" s="53" cm="1">
        <f t="array" ref="G79">EntericMethane_Dairy_Equations.VEERG_3_3_1_1__4_AdditionalIntakeForMilkProduction(G74, $I$65,$I$66,$I$67,G24)</f>
        <v>0</v>
      </c>
      <c r="H79" s="53" cm="1">
        <f t="array" ref="H79">EntericMethane_Dairy_Equations.VEERG_3_3_1_1__4_AdditionalIntakeForMilkProduction(H74, $I$65,$I$66,$I$67,H24)</f>
        <v>0</v>
      </c>
      <c r="I79" s="2" t="str">
        <f>$E$60</f>
        <v>kg DM/head/day</v>
      </c>
      <c r="J79" s="2"/>
      <c r="K79" s="2"/>
      <c r="O79" s="53" cm="1">
        <f t="array" ref="O79">EntericMethane_Dairy_Equations.VEERG_3_3_1_1__4_AdditionalIntakeForMilkProduction(IF(I62="Milk solids", O50, D74), $I$65,$I$66,$I$67,O24)</f>
        <v>9.5798721636071917</v>
      </c>
      <c r="P79" s="53" cm="1">
        <f t="array" ref="P79">EntericMethane_Dairy_Equations.VEERG_3_3_1_1__4_AdditionalIntakeForMilkProduction(E74, $I$65,$I$66,$I$67,P24)</f>
        <v>0</v>
      </c>
      <c r="Q79" s="53" cm="1">
        <f t="array" ref="Q79">EntericMethane_Dairy_Equations.VEERG_3_3_1_1__4_AdditionalIntakeForMilkProduction(F74, $I$65,$I$66,$I$67,Q24)</f>
        <v>0</v>
      </c>
      <c r="R79" s="53" cm="1">
        <f t="array" ref="R79">EntericMethane_Dairy_Equations.VEERG_3_3_1_1__4_AdditionalIntakeForMilkProduction(G74, $I$65,$I$66,$I$67,R24)</f>
        <v>0</v>
      </c>
      <c r="S79" s="53" cm="1">
        <f t="array" ref="S79">EntericMethane_Dairy_Equations.VEERG_3_3_1_1__4_AdditionalIntakeForMilkProduction(H74, $I$65,$I$66,$I$67,S24)</f>
        <v>0</v>
      </c>
      <c r="T79" s="2" t="str">
        <f>$E$60</f>
        <v>kg DM/head/day</v>
      </c>
      <c r="U79" s="2"/>
      <c r="V79" s="2"/>
    </row>
    <row r="82" spans="3:23" ht="20.100000000000001" customHeight="1" x14ac:dyDescent="0.2">
      <c r="C82" s="46"/>
      <c r="D82" s="46"/>
      <c r="E82" s="46"/>
      <c r="F82" s="46"/>
      <c r="G82" s="46"/>
      <c r="H82" s="46"/>
      <c r="I82" s="46"/>
      <c r="J82" s="46"/>
      <c r="K82" s="46"/>
      <c r="L82" s="46"/>
      <c r="N82" s="46"/>
      <c r="O82" s="46"/>
      <c r="P82" s="46"/>
      <c r="Q82" s="46"/>
      <c r="R82" s="46"/>
      <c r="S82" s="46"/>
      <c r="T82" s="46"/>
      <c r="U82" s="46"/>
      <c r="V82" s="46"/>
      <c r="W82" s="46"/>
    </row>
    <row r="83" spans="3:23" ht="20.100000000000001" customHeight="1" x14ac:dyDescent="0.2">
      <c r="D83" s="6" t="str" cm="1">
        <f t="array" ref="D83">EntericMethane_Dairy_Equations.VEERG_3_3_1_1__3_DryMatterFeedIntake_Title()</f>
        <v>Feed intake</v>
      </c>
    </row>
    <row r="84" spans="3:23" ht="20.100000000000001" customHeight="1" x14ac:dyDescent="0.2">
      <c r="D84" s="5" t="str" cm="1">
        <f t="array" ref="D84">EntericMethane_Dairy_Equations.VEERG_3_3_1_1__3_DryMatterFeedIntake_Source()</f>
        <v>VEERG 2026: 3.3.1.1, Equation (3)</v>
      </c>
    </row>
    <row r="85" spans="3:23" ht="20.100000000000001" customHeight="1" x14ac:dyDescent="0.2">
      <c r="D85" s="13" t="s">
        <v>25</v>
      </c>
      <c r="E85" s="13" t="str" cm="1">
        <f t="array" aca="1" ref="E85" ca="1">Common_InputFunctions.Utility_DisplayFunctionName(D114)</f>
        <v>=EntericMethane_Dairy_Equations.VEERG_3_3_1_1__3_DryMatterFeedIntake</v>
      </c>
    </row>
    <row r="88" spans="3:23" ht="20.100000000000001" customHeight="1" x14ac:dyDescent="0.2">
      <c r="D88" s="54" t="s">
        <v>28</v>
      </c>
      <c r="E88" s="1" t="str" cm="1">
        <f t="array" ref="E88">EntericMethane_Dairy_Equations.VEERG_3_3_1_1__3_DryMatterFeedIntake_Variable()</f>
        <v>I_j</v>
      </c>
    </row>
    <row r="89" spans="3:23" ht="20.100000000000001" customHeight="1" x14ac:dyDescent="0.2">
      <c r="D89" s="54" t="s">
        <v>18</v>
      </c>
      <c r="E89" s="55" t="str" cm="1">
        <f t="array" ref="E89">EntericMethane_Dairy_Equations.VEERG_3_3_1_1__3_DryMatterFeedIntake_Unit()</f>
        <v>kg DM/head/day</v>
      </c>
    </row>
    <row r="91" spans="3:23" ht="20.100000000000001" customHeight="1" x14ac:dyDescent="0.2">
      <c r="D91" s="133" t="str" cm="1">
        <f t="array" ref="D91:E94">_xlfn.CHOOSECOLS(EntericMethane_Dairy_Equations.VEERG_3_3_1_1__3_DryMatterFeedIntake_Arguments(),1,2)</f>
        <v>W_j</v>
      </c>
      <c r="E91" s="132" t="str">
        <v>liveweight</v>
      </c>
      <c r="F91" s="134"/>
      <c r="G91" s="133" t="str" cm="1">
        <f t="array" ref="G91:H94">_xlfn.CHOOSECOLS(EntericMethane_Dairy_Equations.VEERG_3_3_1_1__3_DryMatterFeedIntake_Arguments(),3,4)</f>
        <v>kg</v>
      </c>
      <c r="H91" s="131" t="str">
        <v>Input</v>
      </c>
      <c r="I91" s="130" t="str" cm="1">
        <f t="array" aca="1" ref="I91" ca="1">HYPERLINK(Common_InputFunctions.Utility_SourceHyperlink($D$96), $D$96)</f>
        <v>M1_Table_W_j</v>
      </c>
    </row>
    <row r="92" spans="3:23" ht="20.100000000000001" customHeight="1" x14ac:dyDescent="0.2">
      <c r="D92" s="133" t="str">
        <v>LWG_j</v>
      </c>
      <c r="E92" s="132" t="str">
        <v>liveweight gain</v>
      </c>
      <c r="F92" s="134"/>
      <c r="G92" s="133" t="str">
        <v>kg/head/day</v>
      </c>
      <c r="H92" s="131" t="str">
        <v>Input</v>
      </c>
      <c r="I92" s="130" t="str" cm="1">
        <f t="array" aca="1" ref="I92" ca="1">HYPERLINK(Common_InputFunctions.Utility_SourceHyperlink($D$101), $D$101)</f>
        <v>M1_Table_LWG_j</v>
      </c>
    </row>
    <row r="93" spans="3:23" ht="20.100000000000001" customHeight="1" x14ac:dyDescent="0.2">
      <c r="D93" s="133" t="str">
        <v>MR_j</v>
      </c>
      <c r="E93" s="132" t="str">
        <v>increase in metabolic rate when producing milk</v>
      </c>
      <c r="F93" s="134"/>
      <c r="G93" s="133" t="str">
        <v>fraction</v>
      </c>
      <c r="H93" s="129" t="str">
        <v>Constant</v>
      </c>
      <c r="I93" s="130" t="str" cm="1">
        <f t="array" aca="1" ref="I93" ca="1">HYPERLINK(Common_InputFunctions.Utility_SourceHyperlink($D$106), $D$106)</f>
        <v>Table_MR_j</v>
      </c>
    </row>
    <row r="94" spans="3:23" ht="20.100000000000001" customHeight="1" x14ac:dyDescent="0.2">
      <c r="D94" s="133" t="str">
        <v>MI_j</v>
      </c>
      <c r="E94" s="132" t="str">
        <v>additional intake required for milk production</v>
      </c>
      <c r="F94" s="134"/>
      <c r="G94" s="133" t="str">
        <v>kg DM/head/day</v>
      </c>
      <c r="H94" s="129" t="str">
        <v>Calculated from 3.3.1.1 (4)</v>
      </c>
      <c r="I94" s="130" t="str" cm="1">
        <f t="array" aca="1" ref="I94" ca="1">HYPERLINK(Common_InputFunctions.Utility_SourceHyperlink($D$76), $D$76)</f>
        <v>M1_Table_MI_j</v>
      </c>
    </row>
    <row r="96" spans="3:23" ht="20.100000000000001" customHeight="1" x14ac:dyDescent="0.2">
      <c r="D96" s="100" t="s">
        <v>210</v>
      </c>
      <c r="O96" s="100" t="s">
        <v>212</v>
      </c>
    </row>
    <row r="97" spans="4:22" ht="20.100000000000001" customHeight="1" x14ac:dyDescent="0.2">
      <c r="D97" s="99" t="s">
        <v>211</v>
      </c>
      <c r="O97" s="99" t="s">
        <v>213</v>
      </c>
    </row>
    <row r="98" spans="4:22" ht="20.100000000000001" customHeight="1" x14ac:dyDescent="0.2">
      <c r="D98" s="40" t="s">
        <v>167</v>
      </c>
      <c r="E98" s="40" t="s">
        <v>184</v>
      </c>
      <c r="F98" s="40" t="s">
        <v>185</v>
      </c>
      <c r="G98" s="40" t="s">
        <v>186</v>
      </c>
      <c r="H98" s="40" t="s">
        <v>187</v>
      </c>
      <c r="O98" s="40" t="s">
        <v>167</v>
      </c>
      <c r="P98" s="40" t="s">
        <v>184</v>
      </c>
      <c r="Q98" s="40" t="s">
        <v>185</v>
      </c>
      <c r="R98" s="40" t="s">
        <v>186</v>
      </c>
      <c r="S98" s="40" t="s">
        <v>187</v>
      </c>
    </row>
    <row r="99" spans="4:22" ht="20.100000000000001" customHeight="1" x14ac:dyDescent="0.2">
      <c r="D99" s="53">
        <f>INDEX(X_Table_Dairy_Liveweight_Method1,2,2)</f>
        <v>550</v>
      </c>
      <c r="E99" s="53">
        <f>INDEX(X_Table_Dairy_Liveweight_Method1,2,3)</f>
        <v>380</v>
      </c>
      <c r="F99" s="53">
        <f>INDEX(X_Table_Dairy_Liveweight_Method1,2,4)</f>
        <v>155</v>
      </c>
      <c r="G99" s="53">
        <f>INDEX(X_Table_Dairy_Liveweight_Method1,2,5)</f>
        <v>600</v>
      </c>
      <c r="H99" s="53">
        <f>INDEX(X_Table_Dairy_Liveweight_Method1,2,6)</f>
        <v>225</v>
      </c>
      <c r="I99" s="2" t="s">
        <v>189</v>
      </c>
      <c r="J99" s="2"/>
      <c r="K99" s="2"/>
      <c r="O99" s="53">
        <f>INDEX(X_Table_Dairy_Liveweight_Method2,2,2)</f>
        <v>550</v>
      </c>
      <c r="P99" s="53">
        <f>INDEX(X_Table_Dairy_Liveweight_Method2,2,3)</f>
        <v>380</v>
      </c>
      <c r="Q99" s="53">
        <f>INDEX(X_Table_Dairy_Liveweight_Method2,2,4)</f>
        <v>155</v>
      </c>
      <c r="R99" s="53">
        <f>INDEX(X_Table_Dairy_Liveweight_Method2,2,5)</f>
        <v>600</v>
      </c>
      <c r="S99" s="53">
        <f>INDEX(X_Table_Dairy_Liveweight_Method2,2,6)</f>
        <v>225</v>
      </c>
      <c r="T99" s="2" t="s">
        <v>189</v>
      </c>
      <c r="U99" s="2"/>
      <c r="V99" s="2"/>
    </row>
    <row r="101" spans="4:22" ht="20.100000000000001" customHeight="1" x14ac:dyDescent="0.2">
      <c r="D101" s="100" t="s">
        <v>214</v>
      </c>
      <c r="O101" s="100" t="s">
        <v>216</v>
      </c>
    </row>
    <row r="102" spans="4:22" ht="20.100000000000001" customHeight="1" x14ac:dyDescent="0.2">
      <c r="D102" s="99" t="s">
        <v>215</v>
      </c>
      <c r="O102" s="99" t="s">
        <v>217</v>
      </c>
    </row>
    <row r="103" spans="4:22" ht="20.100000000000001" customHeight="1" x14ac:dyDescent="0.2">
      <c r="D103" s="40" t="s">
        <v>167</v>
      </c>
      <c r="E103" s="40" t="s">
        <v>184</v>
      </c>
      <c r="F103" s="40" t="s">
        <v>185</v>
      </c>
      <c r="G103" s="40" t="s">
        <v>186</v>
      </c>
      <c r="H103" s="40" t="s">
        <v>187</v>
      </c>
      <c r="O103" s="40" t="s">
        <v>167</v>
      </c>
      <c r="P103" s="40" t="s">
        <v>184</v>
      </c>
      <c r="Q103" s="40" t="s">
        <v>185</v>
      </c>
      <c r="R103" s="40" t="s">
        <v>186</v>
      </c>
      <c r="S103" s="40" t="s">
        <v>187</v>
      </c>
    </row>
    <row r="104" spans="4:22" ht="20.100000000000001" customHeight="1" x14ac:dyDescent="0.2">
      <c r="D104" s="53">
        <f>INDEX(X_Table_Dairy_Liveweight_Method1,3,2)</f>
        <v>1.6E-2</v>
      </c>
      <c r="E104" s="53">
        <f>INDEX(X_Table_Dairy_Liveweight_Method1,3,3)</f>
        <v>0.6</v>
      </c>
      <c r="F104" s="53">
        <f>INDEX(X_Table_Dairy_Liveweight_Method1,3,4)</f>
        <v>0.56999999999999995</v>
      </c>
      <c r="G104" s="53">
        <f>INDEX(X_Table_Dairy_Liveweight_Method1,3,5)</f>
        <v>0.1</v>
      </c>
      <c r="H104" s="53">
        <f>INDEX(X_Table_Dairy_Liveweight_Method1,3,6)</f>
        <v>0.8</v>
      </c>
      <c r="I104" s="2" t="s">
        <v>190</v>
      </c>
      <c r="J104" s="2"/>
      <c r="K104" s="2"/>
      <c r="O104" s="53">
        <f>INDEX(X_Table_Dairy_Liveweight_Method2,3,2)</f>
        <v>1.6E-2</v>
      </c>
      <c r="P104" s="53">
        <f>INDEX(X_Table_Dairy_Liveweight_Method2,3,3)</f>
        <v>0.6</v>
      </c>
      <c r="Q104" s="53">
        <f>INDEX(X_Table_Dairy_Liveweight_Method2,3,4)</f>
        <v>0.56999999999999995</v>
      </c>
      <c r="R104" s="53">
        <f>INDEX(X_Table_Dairy_Liveweight_Method2,3,5)</f>
        <v>0.1</v>
      </c>
      <c r="S104" s="53">
        <f>INDEX(X_Table_Dairy_Liveweight_Method2,3,6)</f>
        <v>0.8</v>
      </c>
      <c r="T104" s="2" t="s">
        <v>190</v>
      </c>
      <c r="U104" s="2"/>
      <c r="V104" s="2"/>
    </row>
    <row r="106" spans="4:22" ht="20.100000000000001" customHeight="1" x14ac:dyDescent="0.2">
      <c r="D106" s="100" t="s">
        <v>218</v>
      </c>
    </row>
    <row r="107" spans="4:22" ht="20.100000000000001" customHeight="1" x14ac:dyDescent="0.2">
      <c r="D107" s="99" t="s">
        <v>219</v>
      </c>
    </row>
    <row r="108" spans="4:22" ht="20.100000000000001" customHeight="1" x14ac:dyDescent="0.2">
      <c r="D108" s="52" t="s">
        <v>167</v>
      </c>
      <c r="E108" s="52" t="s">
        <v>184</v>
      </c>
      <c r="F108" s="52" t="s">
        <v>185</v>
      </c>
      <c r="G108" s="52" t="s">
        <v>186</v>
      </c>
      <c r="H108" s="52" t="s">
        <v>187</v>
      </c>
    </row>
    <row r="109" spans="4:22" ht="20.100000000000001" customHeight="1" x14ac:dyDescent="0.2">
      <c r="D109" s="53">
        <f>'Constants - Dairy'!$E$108</f>
        <v>1.1000000000000001</v>
      </c>
      <c r="E109" s="53">
        <f>'Constants - Dairy'!$E$109</f>
        <v>1</v>
      </c>
      <c r="F109" s="53">
        <f>'Constants - Dairy'!$E$109</f>
        <v>1</v>
      </c>
      <c r="G109" s="53">
        <f>'Constants - Dairy'!$E$109</f>
        <v>1</v>
      </c>
      <c r="H109" s="53">
        <f>'Constants - Dairy'!$E$109</f>
        <v>1</v>
      </c>
      <c r="I109" s="2" t="s">
        <v>95</v>
      </c>
      <c r="J109" s="2"/>
      <c r="K109" s="2"/>
    </row>
    <row r="111" spans="4:22" ht="20.100000000000001" customHeight="1" x14ac:dyDescent="0.2">
      <c r="D111" s="100" t="s">
        <v>107</v>
      </c>
      <c r="O111" s="100" t="s">
        <v>109</v>
      </c>
    </row>
    <row r="112" spans="4:22" ht="20.100000000000001" customHeight="1" x14ac:dyDescent="0.2">
      <c r="D112" s="99" t="s">
        <v>233</v>
      </c>
      <c r="O112" s="99" t="s">
        <v>232</v>
      </c>
    </row>
    <row r="113" spans="3:23" ht="20.100000000000001" customHeight="1" x14ac:dyDescent="0.2">
      <c r="D113" s="52" t="s">
        <v>167</v>
      </c>
      <c r="E113" s="52" t="s">
        <v>184</v>
      </c>
      <c r="F113" s="52" t="s">
        <v>185</v>
      </c>
      <c r="G113" s="52" t="s">
        <v>186</v>
      </c>
      <c r="H113" s="52" t="s">
        <v>187</v>
      </c>
      <c r="O113" s="52" t="s">
        <v>167</v>
      </c>
      <c r="P113" s="52" t="s">
        <v>184</v>
      </c>
      <c r="Q113" s="52" t="s">
        <v>185</v>
      </c>
      <c r="R113" s="52" t="s">
        <v>186</v>
      </c>
      <c r="S113" s="52" t="s">
        <v>187</v>
      </c>
    </row>
    <row r="114" spans="3:23" ht="20.100000000000001" customHeight="1" x14ac:dyDescent="0.2">
      <c r="D114" s="53" cm="1">
        <f t="array" ref="D114">EntericMethane_Dairy_Equations.VEERG_3_3_1_1__3_DryMatterFeedIntake(D99,D104,D109,D79)</f>
        <v>18.834317684367193</v>
      </c>
      <c r="E114" s="53" cm="1">
        <f t="array" ref="E114">EntericMethane_Dairy_Equations.VEERG_3_3_1_1__3_DryMatterFeedIntake(E99,E104,E109,E79)</f>
        <v>7.4188685375999972</v>
      </c>
      <c r="F114" s="53" cm="1">
        <f t="array" ref="F114">EntericMethane_Dairy_Equations.VEERG_3_3_1_1__3_DryMatterFeedIntake(F99,F104,F109,F79)</f>
        <v>4.0231734662249998</v>
      </c>
      <c r="G114" s="53" cm="1">
        <f t="array" ref="G114">EntericMethane_Dairy_Equations.VEERG_3_3_1_1__3_DryMatterFeedIntake(G99,G104,G109,G79)</f>
        <v>9.0270202499999979</v>
      </c>
      <c r="H114" s="53" cm="1">
        <f t="array" ref="H114">EntericMethane_Dairy_Equations.VEERG_3_3_1_1__3_DryMatterFeedIntake(H99,H104,H109,H79)</f>
        <v>5.4143472656250013</v>
      </c>
      <c r="I114" s="2" t="str">
        <f>$E$89</f>
        <v>kg DM/head/day</v>
      </c>
      <c r="J114" s="2"/>
      <c r="K114" s="2"/>
      <c r="O114" s="53" cm="1">
        <f t="array" ref="O114">EntericMethane_Dairy_Equations.VEERG_3_3_1_1__3_DryMatterFeedIntake(O99,O104,D109,O79)</f>
        <v>18.834317684367193</v>
      </c>
      <c r="P114" s="53" cm="1">
        <f t="array" ref="P114">EntericMethane_Dairy_Equations.VEERG_3_3_1_1__3_DryMatterFeedIntake(P99,P104,E109,P79)</f>
        <v>7.4188685375999972</v>
      </c>
      <c r="Q114" s="53" cm="1">
        <f t="array" ref="Q114">EntericMethane_Dairy_Equations.VEERG_3_3_1_1__3_DryMatterFeedIntake(Q99,Q104,F109,Q79)</f>
        <v>4.0231734662249998</v>
      </c>
      <c r="R114" s="53" cm="1">
        <f t="array" ref="R114">EntericMethane_Dairy_Equations.VEERG_3_3_1_1__3_DryMatterFeedIntake(R99,R104,G109,R79)</f>
        <v>9.0270202499999979</v>
      </c>
      <c r="S114" s="53" cm="1">
        <f t="array" ref="S114">EntericMethane_Dairy_Equations.VEERG_3_3_1_1__3_DryMatterFeedIntake(S99,S104,H109,S79)</f>
        <v>5.4143472656250013</v>
      </c>
      <c r="T114" s="2" t="str">
        <f>$E$89</f>
        <v>kg DM/head/day</v>
      </c>
      <c r="U114" s="2"/>
      <c r="V114" s="2"/>
    </row>
    <row r="117" spans="3:23" ht="20.100000000000001" customHeight="1" x14ac:dyDescent="0.2">
      <c r="C117" s="46"/>
      <c r="D117" s="46"/>
      <c r="E117" s="46"/>
      <c r="F117" s="46"/>
      <c r="G117" s="46"/>
      <c r="H117" s="46"/>
      <c r="I117" s="46"/>
      <c r="J117" s="46"/>
      <c r="K117" s="46"/>
      <c r="L117" s="46"/>
      <c r="N117" s="46"/>
      <c r="O117" s="46"/>
      <c r="P117" s="46"/>
      <c r="Q117" s="46"/>
      <c r="R117" s="46"/>
      <c r="S117" s="46"/>
      <c r="T117" s="46"/>
      <c r="U117" s="46"/>
      <c r="V117" s="46"/>
      <c r="W117" s="46"/>
    </row>
    <row r="118" spans="3:23" ht="20.100000000000001" customHeight="1" x14ac:dyDescent="0.2">
      <c r="D118" s="6" t="str" cm="1">
        <f t="array" ref="D118">MMS_Dairy_Methane_Equations.VEERG_4_3_1_1__3_VolatileSolidsForWeanedDairyCattle_Title()</f>
        <v>Volatile solids for weaned dairy cattle</v>
      </c>
    </row>
    <row r="119" spans="3:23" ht="20.100000000000001" customHeight="1" x14ac:dyDescent="0.2">
      <c r="D119" s="5" t="str" cm="1">
        <f t="array" ref="D119">MMS_Dairy_Methane_Equations.VEERG_4_3_1_1__3_VolatileSolidsForWeanedDairyCattle_Source()</f>
        <v>VEERG 2026: 4.3.1.1, Equation (3)</v>
      </c>
    </row>
    <row r="120" spans="3:23" ht="20.100000000000001" customHeight="1" x14ac:dyDescent="0.2">
      <c r="D120" s="13" t="s">
        <v>25</v>
      </c>
      <c r="E120" s="13" t="str" cm="1">
        <f t="array" aca="1" ref="E120" ca="1">Common_InputFunctions.Utility_DisplayFunctionName(D133)</f>
        <v>=MMS_Dairy_Methane_Equations.VEERG_4_3_1_1__3_VolatileSolidsForWeanedDairyCattle</v>
      </c>
    </row>
    <row r="123" spans="3:23" ht="20.100000000000001" customHeight="1" x14ac:dyDescent="0.2">
      <c r="D123" s="54" t="s">
        <v>28</v>
      </c>
      <c r="E123" s="1" t="str" cm="1">
        <f t="array" ref="E123">MMS_Dairy_Methane_Equations.VEERG_4_3_1_1__3_VolatileSolidsForWeanedDairyCattle_Variable()</f>
        <v>VS_j</v>
      </c>
    </row>
    <row r="124" spans="3:23" ht="20.100000000000001" customHeight="1" x14ac:dyDescent="0.2">
      <c r="D124" s="54" t="s">
        <v>18</v>
      </c>
      <c r="E124" s="55" t="str" cm="1">
        <f t="array" ref="E124">MMS_Dairy_Methane_Equations.VEERG_4_3_1_1__3_VolatileSolidsForWeanedDairyCattle_Unit()</f>
        <v>kg/head/day</v>
      </c>
    </row>
    <row r="126" spans="3:23" ht="20.100000000000001" customHeight="1" x14ac:dyDescent="0.2">
      <c r="D126" s="133" t="str" cm="1">
        <f t="array" ref="D126:E128">_xlfn.CHOOSECOLS(MMS_Dairy_Methane_Equations.VEERG_4_3_1_1__3_VolatileSolidsForWeanedDairyCattle_Arguments(), 1,2)</f>
        <v>I_j</v>
      </c>
      <c r="E126" s="132" t="str">
        <v>dry matter feed intake (kgDM/head/day)</v>
      </c>
      <c r="F126" s="134"/>
      <c r="G126" s="133" t="str" cm="1">
        <f t="array" ref="G126:H128">_xlfn.CHOOSECOLS(MMS_Dairy_Methane_Equations.VEERG_4_3_1_1__3_VolatileSolidsForWeanedDairyCattle_Arguments(), 3,4)</f>
        <v>kgDM/head/day</v>
      </c>
      <c r="H126" s="129" t="str">
        <v>Calculated from 3.3.1.1 (3)</v>
      </c>
      <c r="I126" s="130" t="str" cm="1">
        <f t="array" aca="1" ref="I126" ca="1">HYPERLINK(Common_InputFunctions.Utility_SourceHyperlink($D$111), $D$111)</f>
        <v>M1_Table_I_j</v>
      </c>
    </row>
    <row r="127" spans="3:23" ht="20.100000000000001" customHeight="1" x14ac:dyDescent="0.2">
      <c r="D127" s="133" t="str">
        <v>DMD_j</v>
      </c>
      <c r="E127" s="132" t="str">
        <v>dry matter digestibility</v>
      </c>
      <c r="F127" s="134"/>
      <c r="G127" s="133" t="str">
        <v>fraction</v>
      </c>
      <c r="H127" s="131" t="str">
        <v>Input</v>
      </c>
      <c r="I127" s="130" t="str" cm="1">
        <f t="array" aca="1" ref="I127" ca="1">HYPERLINK(Common_InputFunctions.Utility_SourceHyperlink($D$16), $D$16)</f>
        <v>M1_Table_DMD_j</v>
      </c>
    </row>
    <row r="128" spans="3:23" ht="20.100000000000001" customHeight="1" x14ac:dyDescent="0.2">
      <c r="D128" s="133" t="str">
        <v>A</v>
      </c>
      <c r="E128" s="132" t="str">
        <v>ash content of feed intake</v>
      </c>
      <c r="F128" s="134"/>
      <c r="G128" s="133" t="str">
        <v>fraction</v>
      </c>
      <c r="H128" s="129" t="str">
        <v>Constant</v>
      </c>
      <c r="I128" s="133">
        <f>SourceData_Dairy_AshContent_Data</f>
        <v>0.08</v>
      </c>
    </row>
    <row r="130" spans="3:23" ht="20.100000000000001" customHeight="1" x14ac:dyDescent="0.2">
      <c r="D130" s="100" t="s">
        <v>120</v>
      </c>
      <c r="O130" s="100" t="s">
        <v>123</v>
      </c>
    </row>
    <row r="131" spans="3:23" ht="20.100000000000001" customHeight="1" x14ac:dyDescent="0.2">
      <c r="D131" s="99" t="s">
        <v>234</v>
      </c>
      <c r="O131" s="99" t="s">
        <v>235</v>
      </c>
    </row>
    <row r="132" spans="3:23" ht="20.100000000000001" customHeight="1" x14ac:dyDescent="0.2">
      <c r="D132" s="52" t="s">
        <v>167</v>
      </c>
      <c r="E132" s="52" t="s">
        <v>184</v>
      </c>
      <c r="F132" s="52" t="s">
        <v>185</v>
      </c>
      <c r="G132" s="52" t="s">
        <v>186</v>
      </c>
      <c r="H132" s="52" t="s">
        <v>187</v>
      </c>
      <c r="O132" s="52" t="s">
        <v>167</v>
      </c>
      <c r="P132" s="52" t="s">
        <v>184</v>
      </c>
      <c r="Q132" s="52" t="s">
        <v>185</v>
      </c>
      <c r="R132" s="52" t="s">
        <v>186</v>
      </c>
      <c r="S132" s="52" t="s">
        <v>187</v>
      </c>
    </row>
    <row r="133" spans="3:23" ht="20.100000000000001" customHeight="1" x14ac:dyDescent="0.2">
      <c r="D133" s="53" cm="1">
        <f t="array" ref="D133">MMS_Dairy_Methane_Equations.VEERG_4_3_1_1__3_VolatileSolidsForWeanedDairyCattle(D114,D19,$I$128)</f>
        <v>5.0249959581891668</v>
      </c>
      <c r="E133" s="53" cm="1">
        <f t="array" ref="E133">MMS_Dairy_Methane_Equations.VEERG_4_3_1_1__3_VolatileSolidsForWeanedDairyCattle(E114,E19,$I$128)</f>
        <v>1.9793541258316791</v>
      </c>
      <c r="F133" s="53" cm="1">
        <f t="array" ref="F133">MMS_Dairy_Methane_Equations.VEERG_4_3_1_1__3_VolatileSolidsForWeanedDairyCattle(F114,F19,$I$128)</f>
        <v>1.07338268078883</v>
      </c>
      <c r="G133" s="53" cm="1">
        <f t="array" ref="G133">MMS_Dairy_Methane_Equations.VEERG_4_3_1_1__3_VolatileSolidsForWeanedDairyCattle(G114,G19,$I$128)</f>
        <v>2.4084090026999996</v>
      </c>
      <c r="H133" s="53" cm="1">
        <f t="array" ref="H133">MMS_Dairy_Methane_Equations.VEERG_4_3_1_1__3_VolatileSolidsForWeanedDairyCattle(H114,H19,$I$128)</f>
        <v>1.4445478504687506</v>
      </c>
      <c r="I133" s="2" t="str">
        <f>$E$124</f>
        <v>kg/head/day</v>
      </c>
      <c r="O133" s="53" cm="1">
        <f t="array" ref="O133">MMS_Dairy_Methane_Equations.VEERG_4_3_1_1__3_VolatileSolidsForWeanedDairyCattle(O114,O19,$I$128)</f>
        <v>5.0249959581891668</v>
      </c>
      <c r="P133" s="53" cm="1">
        <f t="array" ref="P133">MMS_Dairy_Methane_Equations.VEERG_4_3_1_1__3_VolatileSolidsForWeanedDairyCattle(P114,P19,$I$128)</f>
        <v>1.9793541258316791</v>
      </c>
      <c r="Q133" s="53" cm="1">
        <f t="array" ref="Q133">MMS_Dairy_Methane_Equations.VEERG_4_3_1_1__3_VolatileSolidsForWeanedDairyCattle(Q114,Q19,$I$128)</f>
        <v>1.07338268078883</v>
      </c>
      <c r="R133" s="53" cm="1">
        <f t="array" ref="R133">MMS_Dairy_Methane_Equations.VEERG_4_3_1_1__3_VolatileSolidsForWeanedDairyCattle(R114,R19,$I$128)</f>
        <v>2.4084090026999996</v>
      </c>
      <c r="S133" s="53" cm="1">
        <f t="array" ref="S133">MMS_Dairy_Methane_Equations.VEERG_4_3_1_1__3_VolatileSolidsForWeanedDairyCattle(S114,S19,$I$128)</f>
        <v>1.4445478504687506</v>
      </c>
      <c r="T133" s="2" t="str">
        <f>$E$124</f>
        <v>kg/head/day</v>
      </c>
    </row>
    <row r="136" spans="3:23" ht="20.100000000000001" customHeight="1" x14ac:dyDescent="0.2">
      <c r="C136" s="46"/>
      <c r="D136" s="46"/>
      <c r="E136" s="46"/>
      <c r="F136" s="46"/>
      <c r="G136" s="46"/>
      <c r="H136" s="46"/>
      <c r="I136" s="46"/>
      <c r="J136" s="46"/>
      <c r="K136" s="46"/>
      <c r="L136" s="46"/>
      <c r="N136" s="46"/>
      <c r="O136" s="46"/>
      <c r="P136" s="46"/>
      <c r="Q136" s="46"/>
      <c r="R136" s="46"/>
      <c r="S136" s="46"/>
      <c r="T136" s="46"/>
      <c r="U136" s="46"/>
      <c r="V136" s="46"/>
      <c r="W136" s="46"/>
    </row>
    <row r="137" spans="3:23" ht="20.100000000000001" customHeight="1" x14ac:dyDescent="0.2">
      <c r="D137" s="6" t="str" cm="1">
        <f t="array" ref="D137">MMS_Dairy_Methane_Equations.VEERG_4_3_1_1__4_FractionVolatileSolidsNotSolidStorage_Title()</f>
        <v>Fraction of volatile solids in each system other than solid storage</v>
      </c>
    </row>
    <row r="138" spans="3:23" ht="20.100000000000001" customHeight="1" x14ac:dyDescent="0.2">
      <c r="D138" s="5" t="str" cm="1">
        <f t="array" ref="D138">MMS_Dairy_Methane_Equations.VEERG_4_3_1_1__4_FractionVolatileSolidsNotSolidStorage_Source()</f>
        <v>VEERG 2026: 4.3.1.1, Equation (4)</v>
      </c>
      <c r="E138" s="13"/>
    </row>
    <row r="139" spans="3:23" ht="20.100000000000001" customHeight="1" x14ac:dyDescent="0.2">
      <c r="D139" s="13" t="s">
        <v>25</v>
      </c>
      <c r="E139" s="13" t="str" cm="1">
        <f t="array" aca="1" ref="E139" ca="1">Common_InputFunctions.Utility_DisplayFunctionName(F174)</f>
        <v>=MMS_Dairy_Methane_Equations.VEERG_4_3_1_1__4_FractionVolatileSolidsNotSolidStorage</v>
      </c>
    </row>
    <row r="140" spans="3:23" ht="20.100000000000001" customHeight="1" x14ac:dyDescent="0.2">
      <c r="D140" s="6"/>
    </row>
    <row r="142" spans="3:23" ht="20.100000000000001" customHeight="1" x14ac:dyDescent="0.2">
      <c r="D142" s="54" t="s">
        <v>28</v>
      </c>
      <c r="E142" s="1" t="str" cm="1">
        <f t="array" ref="E142">MMS_Dairy_Methane_Equations.VEERG_4_3_1_1__4_FractionVolatileSolidsNotSolidStorage_Variable()</f>
        <v>FVS_jm</v>
      </c>
    </row>
    <row r="143" spans="3:23" ht="20.100000000000001" customHeight="1" x14ac:dyDescent="0.2">
      <c r="D143" s="54" t="s">
        <v>18</v>
      </c>
      <c r="E143" s="55" t="str" cm="1">
        <f t="array" ref="E143">MMS_Dairy_Methane_Equations.VEERG_4_3_1_1__4_FractionVolatileSolidsNotSolidStorage_Unit()</f>
        <v>fraction</v>
      </c>
    </row>
    <row r="145" spans="4:22" ht="20.100000000000001" customHeight="1" x14ac:dyDescent="0.2">
      <c r="D145" s="133" t="str" cm="1">
        <f t="array" ref="D145:E146">_xlfn.CHOOSECOLS(MMS_Dairy_Methane_Equations.VEERG_4_3_1_1__4_FractionVolatileSolidsNotSolidStorage_Arguments(),1,2)</f>
        <v>MMS_jm</v>
      </c>
      <c r="E145" s="133" t="str">
        <v>fraction of manure to each primary MMS for each class prior to solid separation</v>
      </c>
      <c r="F145" s="133"/>
      <c r="G145" s="133" t="str" cm="1">
        <f t="array" ref="G145:H146">_xlfn.CHOOSECOLS(MMS_Dairy_Methane_Equations.VEERG_4_3_1_1__4_FractionVolatileSolidsNotSolidStorage_Arguments(),3,4)</f>
        <v>fraction</v>
      </c>
      <c r="H145" s="131" t="str">
        <v>Input</v>
      </c>
      <c r="I145" s="130" t="str" cm="1">
        <f t="array" aca="1" ref="I145" ca="1">HYPERLINK(Common_InputFunctions.Utility_SourceHyperlink($D$148),$D$148)</f>
        <v>M1_Table_MMS_j_m</v>
      </c>
    </row>
    <row r="146" spans="4:22" ht="20.100000000000001" customHeight="1" x14ac:dyDescent="0.2">
      <c r="D146" s="133" t="str">
        <v>SS_m</v>
      </c>
      <c r="E146" s="133" t="str">
        <v>fraction of volatile solids separated to solid storage for each MMS</v>
      </c>
      <c r="F146" s="133"/>
      <c r="G146" s="133" t="str">
        <v>fraction</v>
      </c>
      <c r="H146" s="131" t="str">
        <v>Input</v>
      </c>
      <c r="I146" s="130" t="str" cm="1">
        <f t="array" aca="1" ref="I146" ca="1">HYPERLINK(Common_InputFunctions.Utility_SourceHyperlink($D$159),$D$159)</f>
        <v>M1_Table_SS_m</v>
      </c>
    </row>
    <row r="148" spans="4:22" ht="20.100000000000001" customHeight="1" x14ac:dyDescent="0.2">
      <c r="D148" s="100" t="s">
        <v>240</v>
      </c>
      <c r="O148" s="100" t="s">
        <v>242</v>
      </c>
    </row>
    <row r="149" spans="4:22" ht="20.100000000000001" customHeight="1" x14ac:dyDescent="0.2">
      <c r="D149" s="99" t="s">
        <v>241</v>
      </c>
      <c r="O149" s="99" t="s">
        <v>243</v>
      </c>
    </row>
    <row r="150" spans="4:22" ht="20.100000000000001" customHeight="1" x14ac:dyDescent="0.2">
      <c r="D150" s="40" t="s">
        <v>142</v>
      </c>
      <c r="E150" s="40" t="s">
        <v>66</v>
      </c>
      <c r="F150" s="40" t="s">
        <v>167</v>
      </c>
      <c r="G150" s="40" t="s">
        <v>184</v>
      </c>
      <c r="H150" s="40" t="s">
        <v>185</v>
      </c>
      <c r="I150" s="40" t="s">
        <v>186</v>
      </c>
      <c r="J150" s="40" t="s">
        <v>187</v>
      </c>
      <c r="O150" s="40" t="s">
        <v>142</v>
      </c>
      <c r="P150" s="40" t="s">
        <v>66</v>
      </c>
      <c r="Q150" s="40" t="s">
        <v>167</v>
      </c>
      <c r="R150" s="40" t="s">
        <v>184</v>
      </c>
      <c r="S150" s="40" t="s">
        <v>185</v>
      </c>
      <c r="T150" s="40" t="s">
        <v>186</v>
      </c>
      <c r="U150" s="40" t="s">
        <v>187</v>
      </c>
    </row>
    <row r="151" spans="4:22" ht="20.100000000000001" customHeight="1" x14ac:dyDescent="0.2">
      <c r="D151" s="53" t="str">
        <f>INDEX(X_Table_Dairy_ProductionSystems_Method1,2,1)</f>
        <v>Pasture</v>
      </c>
      <c r="E151" s="53" t="str">
        <f>'Constants - Common Livestock'!$E$27</f>
        <v>Pasture range and paddock</v>
      </c>
      <c r="F151" s="53" cm="1">
        <f t="array" aca="1" ref="F151:J151" ca="1">OFFSET(X_Table_Dairy_ProductionSystems_Method1, 1,1,1,5)</f>
        <v>0.53400000000000003</v>
      </c>
      <c r="G151" s="53">
        <f ca="1"/>
        <v>0.53400000000000003</v>
      </c>
      <c r="H151" s="53">
        <f ca="1"/>
        <v>0.53400000000000003</v>
      </c>
      <c r="I151" s="53">
        <f ca="1"/>
        <v>0.53400000000000003</v>
      </c>
      <c r="J151" s="53">
        <f ca="1"/>
        <v>0.53400000000000003</v>
      </c>
      <c r="K151" s="2" t="str">
        <f>$G$145</f>
        <v>fraction</v>
      </c>
      <c r="O151" s="53" t="str">
        <f>INDEX(X_Table_Dairy_ProductionSystems_Method1,2,1)</f>
        <v>Pasture</v>
      </c>
      <c r="P151" s="53" t="str">
        <f>'Constants - Common Livestock'!$E$27</f>
        <v>Pasture range and paddock</v>
      </c>
      <c r="Q151" s="53" cm="1">
        <f t="array" aca="1" ref="Q151:U151" ca="1">OFFSET(X_Table_Dairy_ProductionSystems_Method2, 1,1,1,5)</f>
        <v>0.53400000000000003</v>
      </c>
      <c r="R151" s="53">
        <f ca="1"/>
        <v>0.53400000000000003</v>
      </c>
      <c r="S151" s="53">
        <f ca="1"/>
        <v>0.53400000000000003</v>
      </c>
      <c r="T151" s="53">
        <f ca="1"/>
        <v>0.53400000000000003</v>
      </c>
      <c r="U151" s="53">
        <f ca="1"/>
        <v>0.53400000000000003</v>
      </c>
    </row>
    <row r="152" spans="4:22" ht="20.100000000000001" customHeight="1" x14ac:dyDescent="0.2">
      <c r="D152" s="53" t="str">
        <f>INDEX(X_Table_Dairy_ProductionSystems_Method1,3,1)</f>
        <v>Milking shed</v>
      </c>
      <c r="E152" s="53" t="str">
        <f>INDEX(X_Table_Dairy_Stage1MMS_1_AnaerobicLagoon,2,1)</f>
        <v>Anaerobic lagoon</v>
      </c>
      <c r="F152" s="53" cm="1">
        <f t="array" aca="1" ref="F152:J152" ca="1">OFFSET(X_Table_Dairy_ProductionSystems_Method1, 2,1,1,5)*OFFSET(X_Table_Dairy_Stage1MMS_1_AnaerobicLagoon, 1,1,1,5)</f>
        <v>2.75E-2</v>
      </c>
      <c r="G152" s="53">
        <f ca="1"/>
        <v>2.75E-2</v>
      </c>
      <c r="H152" s="53">
        <f ca="1"/>
        <v>2.75E-2</v>
      </c>
      <c r="I152" s="53">
        <f ca="1"/>
        <v>2.75E-2</v>
      </c>
      <c r="J152" s="53">
        <f ca="1"/>
        <v>2.75E-2</v>
      </c>
      <c r="K152" s="2"/>
      <c r="O152" s="53" t="str">
        <f>INDEX(X_Table_Dairy_ProductionSystems_Method1,3,1)</f>
        <v>Milking shed</v>
      </c>
      <c r="P152" s="53" t="str">
        <f>INDEX(X_Table_Dairy_Stage1MMS_1_AnaerobicLagoon,2,1)</f>
        <v>Anaerobic lagoon</v>
      </c>
      <c r="Q152" s="53" cm="1">
        <f t="array" aca="1" ref="Q152:U152" ca="1">OFFSET(X_Table_Dairy_ProductionSystems_Method2, 2,1,1,5)*OFFSET(X_Table_Dairy_Stage1MMS_1_AnaerobicLagoon, 1,1,1,5)</f>
        <v>2.75E-2</v>
      </c>
      <c r="R152" s="53">
        <f ca="1"/>
        <v>2.75E-2</v>
      </c>
      <c r="S152" s="53">
        <f ca="1"/>
        <v>2.75E-2</v>
      </c>
      <c r="T152" s="53">
        <f ca="1"/>
        <v>2.75E-2</v>
      </c>
      <c r="U152" s="53">
        <f ca="1"/>
        <v>2.75E-2</v>
      </c>
      <c r="V152" s="2" t="str">
        <f>$G$145</f>
        <v>fraction</v>
      </c>
    </row>
    <row r="153" spans="4:22" ht="20.100000000000001" customHeight="1" x14ac:dyDescent="0.2">
      <c r="D153" s="53" t="str">
        <f>INDEX(X_Table_Dairy_ProductionSystems_Method1,3,1)</f>
        <v>Milking shed</v>
      </c>
      <c r="E153" s="53" t="str">
        <f>INDEX(X_Table_Dairy_Stage1MMS_1_SumpAndDispersal,2,1)</f>
        <v>Sump and dispersal system</v>
      </c>
      <c r="F153" s="53" cm="1">
        <f t="array" aca="1" ref="F153:J153" ca="1">OFFSET(X_Table_Dairy_ProductionSystems_Method1, 2,1,1,5)*OFFSET(X_Table_Dairy_Stage1MMS_1_SumpAndDispersal, 1,1,1,5)</f>
        <v>2.75E-2</v>
      </c>
      <c r="G153" s="53">
        <f ca="1"/>
        <v>2.75E-2</v>
      </c>
      <c r="H153" s="53">
        <f ca="1"/>
        <v>2.75E-2</v>
      </c>
      <c r="I153" s="53">
        <f ca="1"/>
        <v>2.75E-2</v>
      </c>
      <c r="J153" s="53">
        <f ca="1"/>
        <v>2.75E-2</v>
      </c>
      <c r="K153" s="2"/>
      <c r="O153" s="53" t="str">
        <f>INDEX(X_Table_Dairy_ProductionSystems_Method1,3,1)</f>
        <v>Milking shed</v>
      </c>
      <c r="P153" s="53" t="str">
        <f>INDEX(X_Table_Dairy_Stage1MMS_1_SumpAndDispersal,2,1)</f>
        <v>Sump and dispersal system</v>
      </c>
      <c r="Q153" s="53" cm="1">
        <f t="array" aca="1" ref="Q153:U153" ca="1">OFFSET(X_Table_Dairy_ProductionSystems_Method2, 2,1,1,5)*OFFSET(X_Table_Dairy_Stage1MMS_1_SumpAndDispersal, 1,1,1,5)</f>
        <v>2.75E-2</v>
      </c>
      <c r="R153" s="53">
        <f ca="1"/>
        <v>2.75E-2</v>
      </c>
      <c r="S153" s="53">
        <f ca="1"/>
        <v>2.75E-2</v>
      </c>
      <c r="T153" s="53">
        <f ca="1"/>
        <v>2.75E-2</v>
      </c>
      <c r="U153" s="53">
        <f ca="1"/>
        <v>2.75E-2</v>
      </c>
      <c r="V153" s="2"/>
    </row>
    <row r="154" spans="4:22" ht="20.100000000000001" customHeight="1" x14ac:dyDescent="0.2">
      <c r="D154" s="53" t="str">
        <f>INDEX(X_Table_Dairy_ProductionSystems_Method1,3,1)</f>
        <v>Milking shed</v>
      </c>
      <c r="E154" s="53" t="str">
        <f>INDEX(X_Table_Dairy_Stage1MMS_1_DrainsToPaddock,2,1)</f>
        <v>Drains to paddock</v>
      </c>
      <c r="F154" s="53" cm="1">
        <f t="array" aca="1" ref="F154:J154" ca="1">OFFSET(X_Table_Dairy_ProductionSystems_Method1, 2,1,1,5)*OFFSET(X_Table_Dairy_Stage1MMS_1_DrainsToPaddock, 1,1,1,5)</f>
        <v>2.75E-2</v>
      </c>
      <c r="G154" s="53">
        <f ca="1"/>
        <v>2.75E-2</v>
      </c>
      <c r="H154" s="53">
        <f ca="1"/>
        <v>2.75E-2</v>
      </c>
      <c r="I154" s="53">
        <f ca="1"/>
        <v>2.75E-2</v>
      </c>
      <c r="J154" s="53">
        <f ca="1"/>
        <v>2.75E-2</v>
      </c>
      <c r="K154" s="2"/>
      <c r="O154" s="53" t="str">
        <f>INDEX(X_Table_Dairy_ProductionSystems_Method1,3,1)</f>
        <v>Milking shed</v>
      </c>
      <c r="P154" s="53" t="str">
        <f>INDEX(X_Table_Dairy_Stage1MMS_1_DrainsToPaddock,2,1)</f>
        <v>Drains to paddock</v>
      </c>
      <c r="Q154" s="53" cm="1">
        <f t="array" aca="1" ref="Q154:U154" ca="1">OFFSET(X_Table_Dairy_ProductionSystems_Method2, 2,1,1,5)*OFFSET(X_Table_Dairy_Stage1MMS_1_DrainsToPaddock, 1,1,1,5)</f>
        <v>2.75E-2</v>
      </c>
      <c r="R154" s="53">
        <f ca="1"/>
        <v>2.75E-2</v>
      </c>
      <c r="S154" s="53">
        <f ca="1"/>
        <v>2.75E-2</v>
      </c>
      <c r="T154" s="53">
        <f ca="1"/>
        <v>2.75E-2</v>
      </c>
      <c r="U154" s="53">
        <f ca="1"/>
        <v>2.75E-2</v>
      </c>
      <c r="V154" s="2"/>
    </row>
    <row r="155" spans="4:22" ht="20.100000000000001" customHeight="1" x14ac:dyDescent="0.2">
      <c r="D155" s="53" t="str">
        <f>INDEX(X_Table_Dairy_ProductionSystems_Method1,4,1)</f>
        <v>Feed pad</v>
      </c>
      <c r="E155" s="53" t="str">
        <f>INDEX(X_Table_Dairy_Stage1MMS_2_AnaerobicLagoon,2,1)</f>
        <v>Anaerobic lagoon</v>
      </c>
      <c r="F155" s="53" cm="1">
        <f t="array" aca="1" ref="F155:J155" ca="1">OFFSET(X_Table_Dairy_ProductionSystems_Method1, 3,1,1,5)*OFFSET(X_Table_Dairy_Stage1MMS_1_AnaerobicLagoon, 1,1,1,5)</f>
        <v>8.8999999999999996E-2</v>
      </c>
      <c r="G155" s="53">
        <f ca="1"/>
        <v>8.8999999999999996E-2</v>
      </c>
      <c r="H155" s="53">
        <f ca="1"/>
        <v>8.8999999999999996E-2</v>
      </c>
      <c r="I155" s="53">
        <f ca="1"/>
        <v>8.8999999999999996E-2</v>
      </c>
      <c r="J155" s="53">
        <f ca="1"/>
        <v>8.8999999999999996E-2</v>
      </c>
      <c r="K155" s="2"/>
      <c r="O155" s="53" t="str">
        <f>INDEX(X_Table_Dairy_ProductionSystems_Method1,4,1)</f>
        <v>Feed pad</v>
      </c>
      <c r="P155" s="53" t="str">
        <f>INDEX(X_Table_Dairy_Stage1MMS_2_AnaerobicLagoon,2,1)</f>
        <v>Anaerobic lagoon</v>
      </c>
      <c r="Q155" s="53" cm="1">
        <f t="array" aca="1" ref="Q155:U155" ca="1">OFFSET(X_Table_Dairy_ProductionSystems_Method2, 3,1,1,5)*OFFSET(X_Table_Dairy_Stage1MMS_1_AnaerobicLagoon, 1,1,1,5)</f>
        <v>8.8999999999999996E-2</v>
      </c>
      <c r="R155" s="53">
        <f ca="1"/>
        <v>8.8999999999999996E-2</v>
      </c>
      <c r="S155" s="53">
        <f ca="1"/>
        <v>8.8999999999999996E-2</v>
      </c>
      <c r="T155" s="53">
        <f ca="1"/>
        <v>8.8999999999999996E-2</v>
      </c>
      <c r="U155" s="53">
        <f ca="1"/>
        <v>8.8999999999999996E-2</v>
      </c>
      <c r="V155" s="2"/>
    </row>
    <row r="156" spans="4:22" ht="20.100000000000001" customHeight="1" x14ac:dyDescent="0.2">
      <c r="D156" s="53" t="str">
        <f>INDEX(X_Table_Dairy_ProductionSystems_Method1,4,1)</f>
        <v>Feed pad</v>
      </c>
      <c r="E156" s="53" t="str">
        <f>INDEX(X_Table_Dairy_Stage1MMS_2_SumpAndDispersal,2,1)</f>
        <v>Sump and dispersal system</v>
      </c>
      <c r="F156" s="53" cm="1">
        <f t="array" aca="1" ref="F156:J156" ca="1">OFFSET(X_Table_Dairy_ProductionSystems_Method1, 3,1,1,5)*OFFSET(X_Table_Dairy_Stage1MMS_1_SumpAndDispersal, 1,1,1,5)</f>
        <v>8.8999999999999996E-2</v>
      </c>
      <c r="G156" s="53">
        <f ca="1"/>
        <v>8.8999999999999996E-2</v>
      </c>
      <c r="H156" s="53">
        <f ca="1"/>
        <v>8.8999999999999996E-2</v>
      </c>
      <c r="I156" s="53">
        <f ca="1"/>
        <v>8.8999999999999996E-2</v>
      </c>
      <c r="J156" s="53">
        <f ca="1"/>
        <v>8.8999999999999996E-2</v>
      </c>
      <c r="K156" s="2"/>
      <c r="O156" s="53" t="str">
        <f>INDEX(X_Table_Dairy_ProductionSystems_Method1,4,1)</f>
        <v>Feed pad</v>
      </c>
      <c r="P156" s="53" t="str">
        <f>INDEX(X_Table_Dairy_Stage1MMS_2_SumpAndDispersal,2,1)</f>
        <v>Sump and dispersal system</v>
      </c>
      <c r="Q156" s="53" cm="1">
        <f t="array" aca="1" ref="Q156:U156" ca="1">OFFSET(X_Table_Dairy_ProductionSystems_Method2, 3,1,1,5)*OFFSET(X_Table_Dairy_Stage1MMS_1_SumpAndDispersal, 1,1,1,5)</f>
        <v>8.8999999999999996E-2</v>
      </c>
      <c r="R156" s="53">
        <f ca="1"/>
        <v>8.8999999999999996E-2</v>
      </c>
      <c r="S156" s="53">
        <f ca="1"/>
        <v>8.8999999999999996E-2</v>
      </c>
      <c r="T156" s="53">
        <f ca="1"/>
        <v>8.8999999999999996E-2</v>
      </c>
      <c r="U156" s="53">
        <f ca="1"/>
        <v>8.8999999999999996E-2</v>
      </c>
      <c r="V156" s="2"/>
    </row>
    <row r="157" spans="4:22" ht="20.100000000000001" customHeight="1" x14ac:dyDescent="0.2">
      <c r="D157" s="53" t="str">
        <f>INDEX(X_Table_Dairy_ProductionSystems_Method1,4,1)</f>
        <v>Feed pad</v>
      </c>
      <c r="E157" s="53" t="str">
        <f>INDEX(X_Table_Dairy_Stage1MMS_2_DrainsToPaddock,2,1)</f>
        <v>Drains to paddock</v>
      </c>
      <c r="F157" s="53" cm="1">
        <f t="array" aca="1" ref="F157:J157" ca="1">OFFSET(X_Table_Dairy_ProductionSystems_Method1, 3,1,1,5)*OFFSET(X_Table_Dairy_Stage1MMS_1_DrainsToPaddock, 1,1,1,5)</f>
        <v>8.8999999999999996E-2</v>
      </c>
      <c r="G157" s="53">
        <f ca="1"/>
        <v>8.8999999999999996E-2</v>
      </c>
      <c r="H157" s="53">
        <f ca="1"/>
        <v>8.8999999999999996E-2</v>
      </c>
      <c r="I157" s="53">
        <f ca="1"/>
        <v>8.8999999999999996E-2</v>
      </c>
      <c r="J157" s="53">
        <f ca="1"/>
        <v>8.8999999999999996E-2</v>
      </c>
      <c r="K157" s="2"/>
      <c r="O157" s="53" t="str">
        <f>INDEX(X_Table_Dairy_ProductionSystems_Method1,4,1)</f>
        <v>Feed pad</v>
      </c>
      <c r="P157" s="53" t="str">
        <f>INDEX(X_Table_Dairy_Stage1MMS_2_DrainsToPaddock,2,1)</f>
        <v>Drains to paddock</v>
      </c>
      <c r="Q157" s="53" cm="1">
        <f t="array" aca="1" ref="Q157:U157" ca="1">OFFSET(X_Table_Dairy_ProductionSystems_Method2, 3,1,1,5)*OFFSET(X_Table_Dairy_Stage1MMS_1_DrainsToPaddock, 1,1,1,5)</f>
        <v>8.8999999999999996E-2</v>
      </c>
      <c r="R157" s="53">
        <f ca="1"/>
        <v>8.8999999999999996E-2</v>
      </c>
      <c r="S157" s="53">
        <f ca="1"/>
        <v>8.8999999999999996E-2</v>
      </c>
      <c r="T157" s="53">
        <f ca="1"/>
        <v>8.8999999999999996E-2</v>
      </c>
      <c r="U157" s="53">
        <f ca="1"/>
        <v>8.8999999999999996E-2</v>
      </c>
      <c r="V157" s="2"/>
    </row>
    <row r="159" spans="4:22" ht="20.100000000000001" customHeight="1" x14ac:dyDescent="0.2">
      <c r="D159" s="100" t="s">
        <v>238</v>
      </c>
      <c r="O159" s="100" t="s">
        <v>244</v>
      </c>
    </row>
    <row r="160" spans="4:22" ht="20.100000000000001" customHeight="1" x14ac:dyDescent="0.2">
      <c r="D160" s="99" t="s">
        <v>247</v>
      </c>
      <c r="O160" s="99" t="s">
        <v>248</v>
      </c>
    </row>
    <row r="161" spans="4:22" ht="20.100000000000001" customHeight="1" x14ac:dyDescent="0.2">
      <c r="D161" s="40" t="s">
        <v>142</v>
      </c>
      <c r="E161" s="40" t="s">
        <v>66</v>
      </c>
      <c r="F161" s="40" t="s">
        <v>239</v>
      </c>
      <c r="O161" s="40" t="s">
        <v>142</v>
      </c>
      <c r="P161" s="40" t="s">
        <v>66</v>
      </c>
      <c r="Q161" s="40" t="s">
        <v>239</v>
      </c>
    </row>
    <row r="162" spans="4:22" ht="20.100000000000001" customHeight="1" x14ac:dyDescent="0.2">
      <c r="D162" s="53" t="str">
        <f>INDEX(X_Table_Dairy_ProductionSystems_Method1,2,1)</f>
        <v>Pasture</v>
      </c>
      <c r="E162" s="53" t="str">
        <f>'Constants - Common Livestock'!$E$27</f>
        <v>Pasture range and paddock</v>
      </c>
      <c r="F162" s="53">
        <v>0</v>
      </c>
      <c r="G162" s="2" t="str">
        <f>$G$146</f>
        <v>fraction</v>
      </c>
      <c r="O162" s="53" t="str">
        <f>INDEX(X_Table_Dairy_ProductionSystems_Method1,2,1)</f>
        <v>Pasture</v>
      </c>
      <c r="P162" s="53" t="str">
        <f>'Constants - Common Livestock'!$E$27</f>
        <v>Pasture range and paddock</v>
      </c>
      <c r="Q162" s="53">
        <v>0</v>
      </c>
      <c r="R162" s="2" t="str">
        <f>$G$146</f>
        <v>fraction</v>
      </c>
    </row>
    <row r="163" spans="4:22" ht="20.100000000000001" customHeight="1" x14ac:dyDescent="0.2">
      <c r="D163" s="53" t="str">
        <f>INDEX(X_Table_Dairy_ProductionSystems_Method1,3,1)</f>
        <v>Milking shed</v>
      </c>
      <c r="E163" s="53" t="str">
        <f>INDEX(X_Table_Dairy_Stage1MMS_1_AnaerobicLagoon,2,1)</f>
        <v>Anaerobic lagoon</v>
      </c>
      <c r="F163" s="53">
        <f>X_Cell_Dairy_Stage1MMS_1_AnaerobicLagoon_AmountSeparated_Method1</f>
        <v>0.2</v>
      </c>
      <c r="O163" s="53" t="str">
        <f>INDEX(X_Table_Dairy_ProductionSystems_Method1,3,1)</f>
        <v>Milking shed</v>
      </c>
      <c r="P163" s="53" t="str">
        <f>INDEX(X_Table_Dairy_Stage1MMS_1_AnaerobicLagoon,2,1)</f>
        <v>Anaerobic lagoon</v>
      </c>
      <c r="Q163" s="53">
        <f>X_Cell_Dairy_Stage1MMS_1_AnaerobicLagoon_AmountSeparated_Method2</f>
        <v>0.2</v>
      </c>
      <c r="R163" s="2"/>
    </row>
    <row r="164" spans="4:22" ht="20.100000000000001" customHeight="1" x14ac:dyDescent="0.2">
      <c r="D164" s="53" t="str">
        <f>INDEX(X_Table_Dairy_ProductionSystems_Method1,3,1)</f>
        <v>Milking shed</v>
      </c>
      <c r="E164" s="53" t="str">
        <f>INDEX(X_Table_Dairy_Stage1MMS_1_SumpAndDispersal,2,1)</f>
        <v>Sump and dispersal system</v>
      </c>
      <c r="F164" s="53">
        <f>X_Cell_Dairy_Stage1MMS_1_SumpAndDispersal_AmountSeparated_Method1</f>
        <v>0.2</v>
      </c>
      <c r="G164" s="2"/>
      <c r="O164" s="53" t="str">
        <f>INDEX(X_Table_Dairy_ProductionSystems_Method1,3,1)</f>
        <v>Milking shed</v>
      </c>
      <c r="P164" s="53" t="str">
        <f>INDEX(X_Table_Dairy_Stage1MMS_1_SumpAndDispersal,2,1)</f>
        <v>Sump and dispersal system</v>
      </c>
      <c r="Q164" s="53">
        <f>X_Cell_Dairy_Stage1MMS_1_SumpAndDispersal_AmountSeparated_Method2</f>
        <v>0.2</v>
      </c>
      <c r="R164" s="2"/>
    </row>
    <row r="165" spans="4:22" ht="20.100000000000001" customHeight="1" x14ac:dyDescent="0.2">
      <c r="D165" s="53" t="str">
        <f>INDEX(X_Table_Dairy_ProductionSystems_Method1,3,1)</f>
        <v>Milking shed</v>
      </c>
      <c r="E165" s="53" t="str">
        <f>INDEX(X_Table_Dairy_Stage1MMS_1_DrainsToPaddock,2,1)</f>
        <v>Drains to paddock</v>
      </c>
      <c r="F165" s="53">
        <f>X_Cell_Dairy_Stage1MMS_1_DrainsToPaddock_AmountSeparated_Method1</f>
        <v>0.2</v>
      </c>
      <c r="G165" s="2"/>
      <c r="O165" s="53" t="str">
        <f>INDEX(X_Table_Dairy_ProductionSystems_Method1,3,1)</f>
        <v>Milking shed</v>
      </c>
      <c r="P165" s="53" t="str">
        <f>INDEX(X_Table_Dairy_Stage1MMS_1_DrainsToPaddock,2,1)</f>
        <v>Drains to paddock</v>
      </c>
      <c r="Q165" s="53">
        <f>X_Cell_Dairy_Stage1MMS_1_DrainsToPaddock_AmountSeparated_Method2</f>
        <v>0.2</v>
      </c>
      <c r="R165" s="2"/>
    </row>
    <row r="166" spans="4:22" ht="20.100000000000001" customHeight="1" x14ac:dyDescent="0.2">
      <c r="D166" s="53" t="str">
        <f>INDEX(X_Table_Dairy_ProductionSystems_Method1,4,1)</f>
        <v>Feed pad</v>
      </c>
      <c r="E166" s="53" t="str">
        <f>INDEX(X_Table_Dairy_Stage1MMS_2_AnaerobicLagoon,2,1)</f>
        <v>Anaerobic lagoon</v>
      </c>
      <c r="F166" s="53">
        <f>X_Cell_Dairy_Stage1MMS_2_AnaerobicLagoon_AmountSeparated_Method1</f>
        <v>0</v>
      </c>
      <c r="G166" s="2"/>
      <c r="O166" s="53" t="str">
        <f>INDEX(X_Table_Dairy_ProductionSystems_Method1,4,1)</f>
        <v>Feed pad</v>
      </c>
      <c r="P166" s="53" t="str">
        <f>INDEX(X_Table_Dairy_Stage1MMS_2_AnaerobicLagoon,2,1)</f>
        <v>Anaerobic lagoon</v>
      </c>
      <c r="Q166" s="53">
        <f>X_Cell_Dairy_Stage1MMS_2_AnaerobicLagoon_AmountSeparated_Method2</f>
        <v>0</v>
      </c>
      <c r="R166" s="2"/>
    </row>
    <row r="167" spans="4:22" ht="20.100000000000001" customHeight="1" x14ac:dyDescent="0.2">
      <c r="D167" s="53" t="str">
        <f>INDEX(X_Table_Dairy_ProductionSystems_Method1,4,1)</f>
        <v>Feed pad</v>
      </c>
      <c r="E167" s="53" t="str">
        <f>INDEX(X_Table_Dairy_Stage1MMS_2_SumpAndDispersal,2,1)</f>
        <v>Sump and dispersal system</v>
      </c>
      <c r="F167" s="53">
        <f>X_Cell_Dairy_Stage1MMS_2_SumpAndDispersal_AmountSeparated_Method1</f>
        <v>0.2</v>
      </c>
      <c r="G167" s="2"/>
      <c r="O167" s="53" t="str">
        <f>INDEX(X_Table_Dairy_ProductionSystems_Method1,4,1)</f>
        <v>Feed pad</v>
      </c>
      <c r="P167" s="53" t="str">
        <f>INDEX(X_Table_Dairy_Stage1MMS_2_SumpAndDispersal,2,1)</f>
        <v>Sump and dispersal system</v>
      </c>
      <c r="Q167" s="53">
        <f>X_Cell_Dairy_Stage1MMS_2_SumpAndDispersal_AmountSeparated_Method2</f>
        <v>0.2</v>
      </c>
      <c r="R167" s="2"/>
    </row>
    <row r="168" spans="4:22" ht="20.100000000000001" customHeight="1" x14ac:dyDescent="0.2">
      <c r="D168" s="53" t="str">
        <f>INDEX(X_Table_Dairy_ProductionSystems_Method1,4,1)</f>
        <v>Feed pad</v>
      </c>
      <c r="E168" s="53" t="str">
        <f>INDEX(X_Table_Dairy_Stage1MMS_2_DrainsToPaddock,2,1)</f>
        <v>Drains to paddock</v>
      </c>
      <c r="F168" s="53">
        <f>X_Cell_Dairy_Stage1MMS_2_DrainsToPaddock_AmountSeparated_Method1</f>
        <v>0.2</v>
      </c>
      <c r="G168" s="2"/>
      <c r="O168" s="53" t="str">
        <f>INDEX(X_Table_Dairy_ProductionSystems_Method1,4,1)</f>
        <v>Feed pad</v>
      </c>
      <c r="P168" s="53" t="str">
        <f>INDEX(X_Table_Dairy_Stage1MMS_2_DrainsToPaddock,2,1)</f>
        <v>Drains to paddock</v>
      </c>
      <c r="Q168" s="53">
        <f>X_Cell_Dairy_Stage1MMS_2_DrainsToPaddock_AmountSeparated_Method2</f>
        <v>0.2</v>
      </c>
      <c r="R168" s="2"/>
    </row>
    <row r="170" spans="4:22" ht="20.100000000000001" customHeight="1" x14ac:dyDescent="0.2">
      <c r="D170" s="100" t="s">
        <v>237</v>
      </c>
      <c r="O170" s="100" t="s">
        <v>237</v>
      </c>
    </row>
    <row r="171" spans="4:22" ht="20.100000000000001" customHeight="1" x14ac:dyDescent="0.2">
      <c r="D171" s="99" t="s">
        <v>236</v>
      </c>
      <c r="O171" s="99" t="s">
        <v>447</v>
      </c>
    </row>
    <row r="172" spans="4:22" ht="20.100000000000001" customHeight="1" x14ac:dyDescent="0.2">
      <c r="D172" s="52" t="s">
        <v>142</v>
      </c>
      <c r="E172" s="52" t="s">
        <v>66</v>
      </c>
      <c r="F172" s="52" t="s">
        <v>167</v>
      </c>
      <c r="G172" s="52" t="s">
        <v>184</v>
      </c>
      <c r="H172" s="52" t="s">
        <v>185</v>
      </c>
      <c r="I172" s="52" t="s">
        <v>186</v>
      </c>
      <c r="J172" s="52" t="s">
        <v>187</v>
      </c>
      <c r="O172" s="52" t="s">
        <v>142</v>
      </c>
      <c r="P172" s="52" t="s">
        <v>66</v>
      </c>
      <c r="Q172" s="52" t="s">
        <v>167</v>
      </c>
      <c r="R172" s="52" t="s">
        <v>184</v>
      </c>
      <c r="S172" s="52" t="s">
        <v>185</v>
      </c>
      <c r="T172" s="52" t="s">
        <v>186</v>
      </c>
      <c r="U172" s="52" t="s">
        <v>187</v>
      </c>
    </row>
    <row r="173" spans="4:22" ht="20.100000000000001" customHeight="1" x14ac:dyDescent="0.2">
      <c r="D173" s="53" t="str">
        <f>INDEX(X_Table_Dairy_ProductionSystems_Method1,2,1)</f>
        <v>Pasture</v>
      </c>
      <c r="E173" s="53" t="str">
        <f>'Constants - Common Livestock'!$E$27</f>
        <v>Pasture range and paddock</v>
      </c>
      <c r="F173" s="53" cm="1">
        <f t="array" aca="1" ref="F173" ca="1">MMS_Dairy_Methane_Equations.VEERG_4_3_1_1__4_FractionVolatileSolidsNotSolidStorage(F151,$F162)</f>
        <v>0.53400000000000003</v>
      </c>
      <c r="G173" s="53" cm="1">
        <f t="array" aca="1" ref="G173" ca="1">MMS_Dairy_Methane_Equations.VEERG_4_3_1_1__4_FractionVolatileSolidsNotSolidStorage(G151,$F162)</f>
        <v>0.53400000000000003</v>
      </c>
      <c r="H173" s="53" cm="1">
        <f t="array" aca="1" ref="H173" ca="1">MMS_Dairy_Methane_Equations.VEERG_4_3_1_1__4_FractionVolatileSolidsNotSolidStorage(H151,$F162)</f>
        <v>0.53400000000000003</v>
      </c>
      <c r="I173" s="53" cm="1">
        <f t="array" aca="1" ref="I173" ca="1">MMS_Dairy_Methane_Equations.VEERG_4_3_1_1__4_FractionVolatileSolidsNotSolidStorage(I151,$F162)</f>
        <v>0.53400000000000003</v>
      </c>
      <c r="J173" s="53" cm="1">
        <f t="array" aca="1" ref="J173" ca="1">MMS_Dairy_Methane_Equations.VEERG_4_3_1_1__4_FractionVolatileSolidsNotSolidStorage(J151,$F162)</f>
        <v>0.53400000000000003</v>
      </c>
      <c r="K173" s="2" t="str">
        <f>$E$143</f>
        <v>fraction</v>
      </c>
      <c r="O173" s="53" t="str">
        <f>INDEX(X_Table_Dairy_ProductionSystems_Method1,2,1)</f>
        <v>Pasture</v>
      </c>
      <c r="P173" s="53" t="str">
        <f>'Constants - Common Livestock'!$E$27</f>
        <v>Pasture range and paddock</v>
      </c>
      <c r="Q173" s="53" cm="1">
        <f t="array" aca="1" ref="Q173" ca="1">MMS_Dairy_Methane_Equations.VEERG_4_3_1_1__4_FractionVolatileSolidsNotSolidStorage(Q151,$Q162)</f>
        <v>0.53400000000000003</v>
      </c>
      <c r="R173" s="53" cm="1">
        <f t="array" aca="1" ref="R173" ca="1">MMS_Dairy_Methane_Equations.VEERG_4_3_1_1__4_FractionVolatileSolidsNotSolidStorage(R151,$Q162)</f>
        <v>0.53400000000000003</v>
      </c>
      <c r="S173" s="53" cm="1">
        <f t="array" aca="1" ref="S173" ca="1">MMS_Dairy_Methane_Equations.VEERG_4_3_1_1__4_FractionVolatileSolidsNotSolidStorage(S151,$Q162)</f>
        <v>0.53400000000000003</v>
      </c>
      <c r="T173" s="53" cm="1">
        <f t="array" aca="1" ref="T173" ca="1">MMS_Dairy_Methane_Equations.VEERG_4_3_1_1__4_FractionVolatileSolidsNotSolidStorage(T151,$Q162)</f>
        <v>0.53400000000000003</v>
      </c>
      <c r="U173" s="53" cm="1">
        <f t="array" aca="1" ref="U173" ca="1">MMS_Dairy_Methane_Equations.VEERG_4_3_1_1__4_FractionVolatileSolidsNotSolidStorage(U151,$Q162)</f>
        <v>0.53400000000000003</v>
      </c>
      <c r="V173" s="2" t="str">
        <f>$E$143</f>
        <v>fraction</v>
      </c>
    </row>
    <row r="174" spans="4:22" ht="20.100000000000001" customHeight="1" x14ac:dyDescent="0.2">
      <c r="D174" s="53" t="str">
        <f>INDEX(X_Table_Dairy_ProductionSystems_Method1,3,1)</f>
        <v>Milking shed</v>
      </c>
      <c r="E174" s="53" t="str">
        <f>INDEX(X_Table_Dairy_Stage1MMS_1_AnaerobicLagoon,2,1)</f>
        <v>Anaerobic lagoon</v>
      </c>
      <c r="F174" s="53" cm="1">
        <f t="array" aca="1" ref="F174" ca="1">MMS_Dairy_Methane_Equations.VEERG_4_3_1_1__4_FractionVolatileSolidsNotSolidStorage(F152,$F163)</f>
        <v>2.2000000000000002E-2</v>
      </c>
      <c r="G174" s="53" cm="1">
        <f t="array" aca="1" ref="G174" ca="1">MMS_Dairy_Methane_Equations.VEERG_4_3_1_1__4_FractionVolatileSolidsNotSolidStorage(G152,$F163)</f>
        <v>2.2000000000000002E-2</v>
      </c>
      <c r="H174" s="53" cm="1">
        <f t="array" aca="1" ref="H174" ca="1">MMS_Dairy_Methane_Equations.VEERG_4_3_1_1__4_FractionVolatileSolidsNotSolidStorage(H152,$F163)</f>
        <v>2.2000000000000002E-2</v>
      </c>
      <c r="I174" s="53" cm="1">
        <f t="array" aca="1" ref="I174" ca="1">MMS_Dairy_Methane_Equations.VEERG_4_3_1_1__4_FractionVolatileSolidsNotSolidStorage(I152,$F163)</f>
        <v>2.2000000000000002E-2</v>
      </c>
      <c r="J174" s="53" cm="1">
        <f t="array" aca="1" ref="J174" ca="1">MMS_Dairy_Methane_Equations.VEERG_4_3_1_1__4_FractionVolatileSolidsNotSolidStorage(J152,$F163)</f>
        <v>2.2000000000000002E-2</v>
      </c>
      <c r="O174" s="53" t="str">
        <f>INDEX(X_Table_Dairy_ProductionSystems_Method1,3,1)</f>
        <v>Milking shed</v>
      </c>
      <c r="P174" s="53" t="str">
        <f>INDEX(X_Table_Dairy_Stage1MMS_1_AnaerobicLagoon,2,1)</f>
        <v>Anaerobic lagoon</v>
      </c>
      <c r="Q174" s="53" cm="1">
        <f t="array" aca="1" ref="Q174" ca="1">MMS_Dairy_Methane_Equations.VEERG_4_3_1_1__4_FractionVolatileSolidsNotSolidStorage(Q152,$Q163)</f>
        <v>2.2000000000000002E-2</v>
      </c>
      <c r="R174" s="53" cm="1">
        <f t="array" aca="1" ref="R174" ca="1">MMS_Dairy_Methane_Equations.VEERG_4_3_1_1__4_FractionVolatileSolidsNotSolidStorage(R152,$Q163)</f>
        <v>2.2000000000000002E-2</v>
      </c>
      <c r="S174" s="53" cm="1">
        <f t="array" aca="1" ref="S174" ca="1">MMS_Dairy_Methane_Equations.VEERG_4_3_1_1__4_FractionVolatileSolidsNotSolidStorage(S152,$Q163)</f>
        <v>2.2000000000000002E-2</v>
      </c>
      <c r="T174" s="53" cm="1">
        <f t="array" aca="1" ref="T174" ca="1">MMS_Dairy_Methane_Equations.VEERG_4_3_1_1__4_FractionVolatileSolidsNotSolidStorage(T152,$Q163)</f>
        <v>2.2000000000000002E-2</v>
      </c>
      <c r="U174" s="53" cm="1">
        <f t="array" aca="1" ref="U174" ca="1">MMS_Dairy_Methane_Equations.VEERG_4_3_1_1__4_FractionVolatileSolidsNotSolidStorage(U152,$Q163)</f>
        <v>2.2000000000000002E-2</v>
      </c>
    </row>
    <row r="175" spans="4:22" ht="20.100000000000001" customHeight="1" x14ac:dyDescent="0.2">
      <c r="D175" s="53" t="str">
        <f>INDEX(X_Table_Dairy_ProductionSystems_Method1,3,1)</f>
        <v>Milking shed</v>
      </c>
      <c r="E175" s="53" t="str">
        <f>INDEX(X_Table_Dairy_Stage1MMS_1_SumpAndDispersal,2,1)</f>
        <v>Sump and dispersal system</v>
      </c>
      <c r="F175" s="53" cm="1">
        <f t="array" aca="1" ref="F175" ca="1">MMS_Dairy_Methane_Equations.VEERG_4_3_1_1__4_FractionVolatileSolidsNotSolidStorage(F153,$F164)</f>
        <v>2.2000000000000002E-2</v>
      </c>
      <c r="G175" s="53" cm="1">
        <f t="array" aca="1" ref="G175" ca="1">MMS_Dairy_Methane_Equations.VEERG_4_3_1_1__4_FractionVolatileSolidsNotSolidStorage(G153,$F164)</f>
        <v>2.2000000000000002E-2</v>
      </c>
      <c r="H175" s="53" cm="1">
        <f t="array" aca="1" ref="H175" ca="1">MMS_Dairy_Methane_Equations.VEERG_4_3_1_1__4_FractionVolatileSolidsNotSolidStorage(H153,$F164)</f>
        <v>2.2000000000000002E-2</v>
      </c>
      <c r="I175" s="53" cm="1">
        <f t="array" aca="1" ref="I175" ca="1">MMS_Dairy_Methane_Equations.VEERG_4_3_1_1__4_FractionVolatileSolidsNotSolidStorage(I153,$F164)</f>
        <v>2.2000000000000002E-2</v>
      </c>
      <c r="J175" s="53" cm="1">
        <f t="array" aca="1" ref="J175" ca="1">MMS_Dairy_Methane_Equations.VEERG_4_3_1_1__4_FractionVolatileSolidsNotSolidStorage(J153,$F164)</f>
        <v>2.2000000000000002E-2</v>
      </c>
      <c r="K175" s="2"/>
      <c r="O175" s="53" t="str">
        <f>INDEX(X_Table_Dairy_ProductionSystems_Method1,3,1)</f>
        <v>Milking shed</v>
      </c>
      <c r="P175" s="53" t="str">
        <f>INDEX(X_Table_Dairy_Stage1MMS_1_SumpAndDispersal,2,1)</f>
        <v>Sump and dispersal system</v>
      </c>
      <c r="Q175" s="53" cm="1">
        <f t="array" aca="1" ref="Q175" ca="1">MMS_Dairy_Methane_Equations.VEERG_4_3_1_1__4_FractionVolatileSolidsNotSolidStorage(Q153,$Q164)</f>
        <v>2.2000000000000002E-2</v>
      </c>
      <c r="R175" s="53" cm="1">
        <f t="array" aca="1" ref="R175" ca="1">MMS_Dairy_Methane_Equations.VEERG_4_3_1_1__4_FractionVolatileSolidsNotSolidStorage(R153,$Q164)</f>
        <v>2.2000000000000002E-2</v>
      </c>
      <c r="S175" s="53" cm="1">
        <f t="array" aca="1" ref="S175" ca="1">MMS_Dairy_Methane_Equations.VEERG_4_3_1_1__4_FractionVolatileSolidsNotSolidStorage(S153,$Q164)</f>
        <v>2.2000000000000002E-2</v>
      </c>
      <c r="T175" s="53" cm="1">
        <f t="array" aca="1" ref="T175" ca="1">MMS_Dairy_Methane_Equations.VEERG_4_3_1_1__4_FractionVolatileSolidsNotSolidStorage(T153,$Q164)</f>
        <v>2.2000000000000002E-2</v>
      </c>
      <c r="U175" s="53" cm="1">
        <f t="array" aca="1" ref="U175" ca="1">MMS_Dairy_Methane_Equations.VEERG_4_3_1_1__4_FractionVolatileSolidsNotSolidStorage(U153,$Q164)</f>
        <v>2.2000000000000002E-2</v>
      </c>
      <c r="V175" s="2"/>
    </row>
    <row r="176" spans="4:22" ht="20.100000000000001" customHeight="1" x14ac:dyDescent="0.2">
      <c r="D176" s="53" t="str">
        <f>INDEX(X_Table_Dairy_ProductionSystems_Method1,3,1)</f>
        <v>Milking shed</v>
      </c>
      <c r="E176" s="53" t="str">
        <f>INDEX(X_Table_Dairy_Stage1MMS_1_DrainsToPaddock,2,1)</f>
        <v>Drains to paddock</v>
      </c>
      <c r="F176" s="53" cm="1">
        <f t="array" aca="1" ref="F176" ca="1">MMS_Dairy_Methane_Equations.VEERG_4_3_1_1__4_FractionVolatileSolidsNotSolidStorage(F154,$F165)</f>
        <v>2.2000000000000002E-2</v>
      </c>
      <c r="G176" s="53" cm="1">
        <f t="array" aca="1" ref="G176" ca="1">MMS_Dairy_Methane_Equations.VEERG_4_3_1_1__4_FractionVolatileSolidsNotSolidStorage(G154,$F165)</f>
        <v>2.2000000000000002E-2</v>
      </c>
      <c r="H176" s="53" cm="1">
        <f t="array" aca="1" ref="H176" ca="1">MMS_Dairy_Methane_Equations.VEERG_4_3_1_1__4_FractionVolatileSolidsNotSolidStorage(H154,$F165)</f>
        <v>2.2000000000000002E-2</v>
      </c>
      <c r="I176" s="53" cm="1">
        <f t="array" aca="1" ref="I176" ca="1">MMS_Dairy_Methane_Equations.VEERG_4_3_1_1__4_FractionVolatileSolidsNotSolidStorage(I154,$F165)</f>
        <v>2.2000000000000002E-2</v>
      </c>
      <c r="J176" s="53" cm="1">
        <f t="array" aca="1" ref="J176" ca="1">MMS_Dairy_Methane_Equations.VEERG_4_3_1_1__4_FractionVolatileSolidsNotSolidStorage(J154,$F165)</f>
        <v>2.2000000000000002E-2</v>
      </c>
      <c r="K176" s="2"/>
      <c r="O176" s="53" t="str">
        <f>INDEX(X_Table_Dairy_ProductionSystems_Method1,3,1)</f>
        <v>Milking shed</v>
      </c>
      <c r="P176" s="53" t="str">
        <f>INDEX(X_Table_Dairy_Stage1MMS_1_DrainsToPaddock,2,1)</f>
        <v>Drains to paddock</v>
      </c>
      <c r="Q176" s="53" cm="1">
        <f t="array" aca="1" ref="Q176" ca="1">MMS_Dairy_Methane_Equations.VEERG_4_3_1_1__4_FractionVolatileSolidsNotSolidStorage(Q154,$Q165)</f>
        <v>2.2000000000000002E-2</v>
      </c>
      <c r="R176" s="53" cm="1">
        <f t="array" aca="1" ref="R176" ca="1">MMS_Dairy_Methane_Equations.VEERG_4_3_1_1__4_FractionVolatileSolidsNotSolidStorage(R154,$Q165)</f>
        <v>2.2000000000000002E-2</v>
      </c>
      <c r="S176" s="53" cm="1">
        <f t="array" aca="1" ref="S176" ca="1">MMS_Dairy_Methane_Equations.VEERG_4_3_1_1__4_FractionVolatileSolidsNotSolidStorage(S154,$Q165)</f>
        <v>2.2000000000000002E-2</v>
      </c>
      <c r="T176" s="53" cm="1">
        <f t="array" aca="1" ref="T176" ca="1">MMS_Dairy_Methane_Equations.VEERG_4_3_1_1__4_FractionVolatileSolidsNotSolidStorage(T154,$Q165)</f>
        <v>2.2000000000000002E-2</v>
      </c>
      <c r="U176" s="53" cm="1">
        <f t="array" aca="1" ref="U176" ca="1">MMS_Dairy_Methane_Equations.VEERG_4_3_1_1__4_FractionVolatileSolidsNotSolidStorage(U154,$Q165)</f>
        <v>2.2000000000000002E-2</v>
      </c>
      <c r="V176" s="2"/>
    </row>
    <row r="177" spans="1:23" ht="20.100000000000001" customHeight="1" x14ac:dyDescent="0.2">
      <c r="D177" s="53" t="str">
        <f>INDEX(X_Table_Dairy_ProductionSystems_Method1,4,1)</f>
        <v>Feed pad</v>
      </c>
      <c r="E177" s="53" t="str">
        <f>INDEX(X_Table_Dairy_Stage1MMS_2_AnaerobicLagoon,2,1)</f>
        <v>Anaerobic lagoon</v>
      </c>
      <c r="F177" s="53" cm="1">
        <f t="array" aca="1" ref="F177" ca="1">MMS_Dairy_Methane_Equations.VEERG_4_3_1_1__4_FractionVolatileSolidsNotSolidStorage(F155,$F166)</f>
        <v>8.8999999999999996E-2</v>
      </c>
      <c r="G177" s="53" cm="1">
        <f t="array" aca="1" ref="G177" ca="1">MMS_Dairy_Methane_Equations.VEERG_4_3_1_1__4_FractionVolatileSolidsNotSolidStorage(G155,$F166)</f>
        <v>8.8999999999999996E-2</v>
      </c>
      <c r="H177" s="53" cm="1">
        <f t="array" aca="1" ref="H177" ca="1">MMS_Dairy_Methane_Equations.VEERG_4_3_1_1__4_FractionVolatileSolidsNotSolidStorage(H155,$F166)</f>
        <v>8.8999999999999996E-2</v>
      </c>
      <c r="I177" s="53" cm="1">
        <f t="array" aca="1" ref="I177" ca="1">MMS_Dairy_Methane_Equations.VEERG_4_3_1_1__4_FractionVolatileSolidsNotSolidStorage(I155,$F166)</f>
        <v>8.8999999999999996E-2</v>
      </c>
      <c r="J177" s="53" cm="1">
        <f t="array" aca="1" ref="J177" ca="1">MMS_Dairy_Methane_Equations.VEERG_4_3_1_1__4_FractionVolatileSolidsNotSolidStorage(J155,$F166)</f>
        <v>8.8999999999999996E-2</v>
      </c>
      <c r="K177" s="2"/>
      <c r="O177" s="53" t="str">
        <f>INDEX(X_Table_Dairy_ProductionSystems_Method1,4,1)</f>
        <v>Feed pad</v>
      </c>
      <c r="P177" s="53" t="str">
        <f>INDEX(X_Table_Dairy_Stage1MMS_2_AnaerobicLagoon,2,1)</f>
        <v>Anaerobic lagoon</v>
      </c>
      <c r="Q177" s="53" cm="1">
        <f t="array" aca="1" ref="Q177" ca="1">MMS_Dairy_Methane_Equations.VEERG_4_3_1_1__4_FractionVolatileSolidsNotSolidStorage(Q155,$Q166)</f>
        <v>8.8999999999999996E-2</v>
      </c>
      <c r="R177" s="53" cm="1">
        <f t="array" aca="1" ref="R177" ca="1">MMS_Dairy_Methane_Equations.VEERG_4_3_1_1__4_FractionVolatileSolidsNotSolidStorage(R155,$Q166)</f>
        <v>8.8999999999999996E-2</v>
      </c>
      <c r="S177" s="53" cm="1">
        <f t="array" aca="1" ref="S177" ca="1">MMS_Dairy_Methane_Equations.VEERG_4_3_1_1__4_FractionVolatileSolidsNotSolidStorage(S155,$Q166)</f>
        <v>8.8999999999999996E-2</v>
      </c>
      <c r="T177" s="53" cm="1">
        <f t="array" aca="1" ref="T177" ca="1">MMS_Dairy_Methane_Equations.VEERG_4_3_1_1__4_FractionVolatileSolidsNotSolidStorage(T155,$Q166)</f>
        <v>8.8999999999999996E-2</v>
      </c>
      <c r="U177" s="53" cm="1">
        <f t="array" aca="1" ref="U177" ca="1">MMS_Dairy_Methane_Equations.VEERG_4_3_1_1__4_FractionVolatileSolidsNotSolidStorage(U155,$Q166)</f>
        <v>8.8999999999999996E-2</v>
      </c>
      <c r="V177" s="2"/>
    </row>
    <row r="178" spans="1:23" ht="20.100000000000001" customHeight="1" x14ac:dyDescent="0.2">
      <c r="A178" s="137" t="str">
        <f>HYPERLINK("#A1", "▲ Back to top")</f>
        <v>▲ Back to top</v>
      </c>
      <c r="D178" s="53" t="str">
        <f>INDEX(X_Table_Dairy_ProductionSystems_Method1,4,1)</f>
        <v>Feed pad</v>
      </c>
      <c r="E178" s="53" t="str">
        <f>INDEX(X_Table_Dairy_Stage1MMS_2_SumpAndDispersal,2,1)</f>
        <v>Sump and dispersal system</v>
      </c>
      <c r="F178" s="53" cm="1">
        <f t="array" aca="1" ref="F178" ca="1">MMS_Dairy_Methane_Equations.VEERG_4_3_1_1__4_FractionVolatileSolidsNotSolidStorage(F156,$F167)</f>
        <v>7.1199999999999999E-2</v>
      </c>
      <c r="G178" s="53" cm="1">
        <f t="array" aca="1" ref="G178" ca="1">MMS_Dairy_Methane_Equations.VEERG_4_3_1_1__4_FractionVolatileSolidsNotSolidStorage(G156,$F167)</f>
        <v>7.1199999999999999E-2</v>
      </c>
      <c r="H178" s="53" cm="1">
        <f t="array" aca="1" ref="H178" ca="1">MMS_Dairy_Methane_Equations.VEERG_4_3_1_1__4_FractionVolatileSolidsNotSolidStorage(H156,$F167)</f>
        <v>7.1199999999999999E-2</v>
      </c>
      <c r="I178" s="53" cm="1">
        <f t="array" aca="1" ref="I178" ca="1">MMS_Dairy_Methane_Equations.VEERG_4_3_1_1__4_FractionVolatileSolidsNotSolidStorage(I156,$F167)</f>
        <v>7.1199999999999999E-2</v>
      </c>
      <c r="J178" s="53" cm="1">
        <f t="array" aca="1" ref="J178" ca="1">MMS_Dairy_Methane_Equations.VEERG_4_3_1_1__4_FractionVolatileSolidsNotSolidStorage(J156,$F167)</f>
        <v>7.1199999999999999E-2</v>
      </c>
      <c r="K178" s="2"/>
      <c r="O178" s="53" t="str">
        <f>INDEX(X_Table_Dairy_ProductionSystems_Method1,4,1)</f>
        <v>Feed pad</v>
      </c>
      <c r="P178" s="53" t="str">
        <f>INDEX(X_Table_Dairy_Stage1MMS_2_SumpAndDispersal,2,1)</f>
        <v>Sump and dispersal system</v>
      </c>
      <c r="Q178" s="53" cm="1">
        <f t="array" aca="1" ref="Q178" ca="1">MMS_Dairy_Methane_Equations.VEERG_4_3_1_1__4_FractionVolatileSolidsNotSolidStorage(Q156,$Q167)</f>
        <v>7.1199999999999999E-2</v>
      </c>
      <c r="R178" s="53" cm="1">
        <f t="array" aca="1" ref="R178" ca="1">MMS_Dairy_Methane_Equations.VEERG_4_3_1_1__4_FractionVolatileSolidsNotSolidStorage(R156,$Q167)</f>
        <v>7.1199999999999999E-2</v>
      </c>
      <c r="S178" s="53" cm="1">
        <f t="array" aca="1" ref="S178" ca="1">MMS_Dairy_Methane_Equations.VEERG_4_3_1_1__4_FractionVolatileSolidsNotSolidStorage(S156,$Q167)</f>
        <v>7.1199999999999999E-2</v>
      </c>
      <c r="T178" s="53" cm="1">
        <f t="array" aca="1" ref="T178" ca="1">MMS_Dairy_Methane_Equations.VEERG_4_3_1_1__4_FractionVolatileSolidsNotSolidStorage(T156,$Q167)</f>
        <v>7.1199999999999999E-2</v>
      </c>
      <c r="U178" s="53" cm="1">
        <f t="array" aca="1" ref="U178" ca="1">MMS_Dairy_Methane_Equations.VEERG_4_3_1_1__4_FractionVolatileSolidsNotSolidStorage(U156,$Q167)</f>
        <v>7.1199999999999999E-2</v>
      </c>
      <c r="V178" s="2"/>
    </row>
    <row r="179" spans="1:23" ht="20.100000000000001" customHeight="1" x14ac:dyDescent="0.2">
      <c r="D179" s="53" t="str">
        <f>INDEX(X_Table_Dairy_ProductionSystems_Method1,4,1)</f>
        <v>Feed pad</v>
      </c>
      <c r="E179" s="53" t="str">
        <f>INDEX(X_Table_Dairy_Stage1MMS_2_DrainsToPaddock,2,1)</f>
        <v>Drains to paddock</v>
      </c>
      <c r="F179" s="53" cm="1">
        <f t="array" aca="1" ref="F179" ca="1">MMS_Dairy_Methane_Equations.VEERG_4_3_1_1__4_FractionVolatileSolidsNotSolidStorage(F157,$F168)</f>
        <v>7.1199999999999999E-2</v>
      </c>
      <c r="G179" s="53" cm="1">
        <f t="array" aca="1" ref="G179" ca="1">MMS_Dairy_Methane_Equations.VEERG_4_3_1_1__4_FractionVolatileSolidsNotSolidStorage(G157,$F168)</f>
        <v>7.1199999999999999E-2</v>
      </c>
      <c r="H179" s="53" cm="1">
        <f t="array" aca="1" ref="H179" ca="1">MMS_Dairy_Methane_Equations.VEERG_4_3_1_1__4_FractionVolatileSolidsNotSolidStorage(H157,$F168)</f>
        <v>7.1199999999999999E-2</v>
      </c>
      <c r="I179" s="53" cm="1">
        <f t="array" aca="1" ref="I179" ca="1">MMS_Dairy_Methane_Equations.VEERG_4_3_1_1__4_FractionVolatileSolidsNotSolidStorage(I157,$F168)</f>
        <v>7.1199999999999999E-2</v>
      </c>
      <c r="J179" s="53" cm="1">
        <f t="array" aca="1" ref="J179" ca="1">MMS_Dairy_Methane_Equations.VEERG_4_3_1_1__4_FractionVolatileSolidsNotSolidStorage(J157,$F168)</f>
        <v>7.1199999999999999E-2</v>
      </c>
      <c r="K179" s="2"/>
      <c r="O179" s="53" t="str">
        <f>INDEX(X_Table_Dairy_ProductionSystems_Method1,4,1)</f>
        <v>Feed pad</v>
      </c>
      <c r="P179" s="53" t="str">
        <f>INDEX(X_Table_Dairy_Stage1MMS_2_DrainsToPaddock,2,1)</f>
        <v>Drains to paddock</v>
      </c>
      <c r="Q179" s="53" cm="1">
        <f t="array" aca="1" ref="Q179" ca="1">MMS_Dairy_Methane_Equations.VEERG_4_3_1_1__4_FractionVolatileSolidsNotSolidStorage(Q157,$Q168)</f>
        <v>7.1199999999999999E-2</v>
      </c>
      <c r="R179" s="53" cm="1">
        <f t="array" aca="1" ref="R179" ca="1">MMS_Dairy_Methane_Equations.VEERG_4_3_1_1__4_FractionVolatileSolidsNotSolidStorage(R157,$Q168)</f>
        <v>7.1199999999999999E-2</v>
      </c>
      <c r="S179" s="53" cm="1">
        <f t="array" aca="1" ref="S179" ca="1">MMS_Dairy_Methane_Equations.VEERG_4_3_1_1__4_FractionVolatileSolidsNotSolidStorage(S157,$Q168)</f>
        <v>7.1199999999999999E-2</v>
      </c>
      <c r="T179" s="53" cm="1">
        <f t="array" aca="1" ref="T179" ca="1">MMS_Dairy_Methane_Equations.VEERG_4_3_1_1__4_FractionVolatileSolidsNotSolidStorage(T157,$Q168)</f>
        <v>7.1199999999999999E-2</v>
      </c>
      <c r="U179" s="53" cm="1">
        <f t="array" aca="1" ref="U179" ca="1">MMS_Dairy_Methane_Equations.VEERG_4_3_1_1__4_FractionVolatileSolidsNotSolidStorage(U157,$Q168)</f>
        <v>7.1199999999999999E-2</v>
      </c>
      <c r="V179" s="2"/>
    </row>
    <row r="182" spans="1:23" ht="20.100000000000001" customHeight="1" x14ac:dyDescent="0.2">
      <c r="C182" s="46"/>
      <c r="D182" s="46"/>
      <c r="E182" s="46"/>
      <c r="F182" s="46"/>
      <c r="G182" s="46"/>
      <c r="H182" s="46"/>
      <c r="I182" s="46"/>
      <c r="J182" s="46"/>
      <c r="K182" s="46"/>
      <c r="L182" s="46"/>
      <c r="N182" s="46"/>
      <c r="O182" s="46"/>
      <c r="P182" s="46"/>
      <c r="Q182" s="46"/>
      <c r="R182" s="46"/>
      <c r="S182" s="46"/>
      <c r="T182" s="46"/>
      <c r="U182" s="46"/>
      <c r="V182" s="46"/>
      <c r="W182" s="46"/>
    </row>
    <row r="183" spans="1:23" ht="20.100000000000001" customHeight="1" x14ac:dyDescent="0.2">
      <c r="D183" s="6" t="str" cm="1">
        <f t="array" ref="D183">MMS_Dairy_Methane_Equations.VEERG_4_3_1_1__5_FractionVolatileSolidsSolidStorage_Title()</f>
        <v>Fraction of volatile solids in solid storage</v>
      </c>
    </row>
    <row r="184" spans="1:23" ht="20.100000000000001" customHeight="1" x14ac:dyDescent="0.2">
      <c r="D184" s="5" t="str" cm="1">
        <f t="array" ref="D184">MMS_Dairy_Methane_Equations.VEERG_4_3_1_1__5_FractionVolatileSolidsSolidStorage_Source()</f>
        <v>VEERG 2026: 4.3.1.1, Equation (5)</v>
      </c>
    </row>
    <row r="185" spans="1:23" ht="20.100000000000001" customHeight="1" x14ac:dyDescent="0.2">
      <c r="D185" s="56" t="str" cm="1">
        <f t="array" ref="D185">MMS_Dairy_Methane_Equations.VEERG_4_3_1_1__5_FractionVolatileSolidsSolidStorage_Variation()</f>
        <v>Used separate variables for MMS and SS m 1, 7 and 9.</v>
      </c>
    </row>
    <row r="186" spans="1:23" ht="20.100000000000001" customHeight="1" x14ac:dyDescent="0.2">
      <c r="D186" s="13" t="s">
        <v>25</v>
      </c>
      <c r="E186" s="13" t="str" cm="1">
        <f t="array" aca="1" ref="E186" ca="1">Common_InputFunctions.Utility_DisplayFunctionName($F$205)</f>
        <v>=MMS_Dairy_Methane_Equations.VEERG_4_3_1_1__5_FractionVolatileSolidsSolidStorageVariation</v>
      </c>
    </row>
    <row r="188" spans="1:23" ht="20.100000000000001" customHeight="1" x14ac:dyDescent="0.2">
      <c r="D188" s="6"/>
    </row>
    <row r="189" spans="1:23" ht="20.100000000000001" customHeight="1" x14ac:dyDescent="0.2">
      <c r="D189" s="54" t="s">
        <v>28</v>
      </c>
      <c r="E189" s="1" t="str" cm="1">
        <f t="array" ref="E189">MMS_Dairy_Methane_Equations.VEERG_4_3_1_1__5_FractionVolatileSolidsSolidStorage_Variable()</f>
        <v>FVS_jm4</v>
      </c>
    </row>
    <row r="190" spans="1:23" ht="20.100000000000001" customHeight="1" x14ac:dyDescent="0.2">
      <c r="D190" s="54" t="s">
        <v>18</v>
      </c>
      <c r="E190" s="55" t="str" cm="1">
        <f t="array" ref="E190">MMS_Dairy_Methane_Equations.VEERG_4_3_1_1__5_FractionVolatileSolidsSolidStorage_Unit()</f>
        <v>fraction</v>
      </c>
    </row>
    <row r="192" spans="1:23" ht="20.100000000000001" customHeight="1" x14ac:dyDescent="0.2">
      <c r="D192" s="133" t="str" cm="1">
        <f t="array" ref="D192:E194">_xlfn.CHOOSECOLS(MMS_Dairy_Methane_Equations.VEERG_4_3_1_1__5_FractionVolatileSolidsSolidStorage_Arguments(),1,2)</f>
        <v>MMS_jm4</v>
      </c>
      <c r="E192" s="133" t="str">
        <v>fraction of volatile solids in solid storage before transfer</v>
      </c>
      <c r="F192" s="133"/>
      <c r="G192" s="133" t="str" cm="1">
        <f t="array" ref="G192:H194">_xlfn.CHOOSECOLS(MMS_Dairy_Methane_Equations.VEERG_4_3_1_1__5_FractionVolatileSolidsSolidStorage_Arguments(),3,4)</f>
        <v>fraction</v>
      </c>
      <c r="H192" s="131" t="str">
        <v>Input</v>
      </c>
      <c r="I192" s="130" t="str" cm="1">
        <f t="array" aca="1" ref="I192" ca="1">HYPERLINK(Common_InputFunctions.Utility_SourceHyperlink($D$196),$D$196)</f>
        <v>M1_Table_MMS_j_m-4</v>
      </c>
    </row>
    <row r="193" spans="4:22" ht="20.100000000000001" customHeight="1" x14ac:dyDescent="0.2">
      <c r="D193" s="133" t="str">
        <v>MMS_jm179</v>
      </c>
      <c r="E193" s="133" t="str">
        <v>fraction of volatile solids in MMS m=1,7,9 before transfer</v>
      </c>
      <c r="F193" s="133"/>
      <c r="G193" s="133" t="str">
        <v>fraction</v>
      </c>
      <c r="H193" s="131" t="str">
        <v>Input</v>
      </c>
      <c r="I193" s="130" t="str" cm="1">
        <f t="array" aca="1" ref="I193" ca="1">HYPERLINK(Common_InputFunctions.Utility_SourceHyperlink($D$148),$D$148)</f>
        <v>M1_Table_MMS_j_m</v>
      </c>
    </row>
    <row r="194" spans="4:22" ht="20.100000000000001" customHeight="1" x14ac:dyDescent="0.2">
      <c r="D194" s="133" t="str">
        <v>SS_m</v>
      </c>
      <c r="E194" s="133" t="str">
        <v>fraction of volatile solids separated to solid storage for each MMS</v>
      </c>
      <c r="F194" s="133"/>
      <c r="G194" s="133" t="str">
        <v>fraction</v>
      </c>
      <c r="H194" s="131" t="str">
        <v>Input</v>
      </c>
      <c r="I194" s="130" t="str" cm="1">
        <f t="array" aca="1" ref="I194" ca="1">HYPERLINK(Common_InputFunctions.Utility_SourceHyperlink($D$159),$D$159)</f>
        <v>M1_Table_SS_m</v>
      </c>
    </row>
    <row r="196" spans="4:22" ht="20.100000000000001" customHeight="1" x14ac:dyDescent="0.2">
      <c r="D196" s="100" t="s">
        <v>245</v>
      </c>
      <c r="O196" s="100" t="s">
        <v>251</v>
      </c>
    </row>
    <row r="197" spans="4:22" ht="20.100000000000001" customHeight="1" x14ac:dyDescent="0.2">
      <c r="D197" s="99" t="s">
        <v>246</v>
      </c>
      <c r="O197" s="99" t="s">
        <v>252</v>
      </c>
    </row>
    <row r="198" spans="4:22" ht="20.100000000000001" customHeight="1" x14ac:dyDescent="0.2">
      <c r="D198" s="40" t="s">
        <v>142</v>
      </c>
      <c r="E198" s="40" t="s">
        <v>66</v>
      </c>
      <c r="F198" s="40" t="s">
        <v>167</v>
      </c>
      <c r="G198" s="40" t="s">
        <v>184</v>
      </c>
      <c r="H198" s="40" t="s">
        <v>185</v>
      </c>
      <c r="I198" s="40" t="s">
        <v>186</v>
      </c>
      <c r="J198" s="40" t="s">
        <v>187</v>
      </c>
      <c r="O198" s="40" t="s">
        <v>142</v>
      </c>
      <c r="P198" s="40" t="s">
        <v>66</v>
      </c>
      <c r="Q198" s="40" t="s">
        <v>167</v>
      </c>
      <c r="R198" s="40" t="s">
        <v>184</v>
      </c>
      <c r="S198" s="40" t="s">
        <v>185</v>
      </c>
      <c r="T198" s="40" t="s">
        <v>186</v>
      </c>
      <c r="U198" s="40" t="s">
        <v>187</v>
      </c>
    </row>
    <row r="199" spans="4:22" ht="20.100000000000001" customHeight="1" x14ac:dyDescent="0.2">
      <c r="D199" s="53" t="str">
        <f>INDEX(X_Table_Dairy_ProductionSystems_Method1,3,1)</f>
        <v>Milking shed</v>
      </c>
      <c r="E199" s="53" t="str">
        <f>INDEX(X_Table_Dairy_Stage1MMS_1_SolidStorage,2,1)</f>
        <v>Solid storage (before solid separation)</v>
      </c>
      <c r="F199" s="53" cm="1">
        <f t="array" aca="1" ref="F199:J199" ca="1">OFFSET(X_Table_Dairy_ProductionSystems_Method1, 2,1,1,5)*OFFSET(X_Table_Dairy_Stage1MMS_1_SolidStorage, 1,1,1,5)</f>
        <v>2.75E-2</v>
      </c>
      <c r="G199" s="53">
        <f ca="1"/>
        <v>2.75E-2</v>
      </c>
      <c r="H199" s="53">
        <f ca="1"/>
        <v>2.75E-2</v>
      </c>
      <c r="I199" s="53">
        <f ca="1"/>
        <v>2.75E-2</v>
      </c>
      <c r="J199" s="53">
        <f ca="1"/>
        <v>2.75E-2</v>
      </c>
      <c r="K199" s="2" t="s">
        <v>95</v>
      </c>
      <c r="O199" s="53" t="str">
        <f>INDEX(X_Table_Dairy_ProductionSystems_Method1,3,1)</f>
        <v>Milking shed</v>
      </c>
      <c r="P199" s="53" t="str">
        <f>INDEX(X_Table_Dairy_Stage1MMS_1_SolidStorage,2,1)</f>
        <v>Solid storage (before solid separation)</v>
      </c>
      <c r="Q199" s="53" cm="1">
        <f t="array" aca="1" ref="Q199:U199" ca="1">OFFSET(X_Table_Dairy_ProductionSystems_Method2, 2,1,1,5)*OFFSET(X_Table_Dairy_Stage1MMS_1_SolidStorage, 1,1,1,5)</f>
        <v>2.75E-2</v>
      </c>
      <c r="R199" s="53">
        <f ca="1"/>
        <v>2.75E-2</v>
      </c>
      <c r="S199" s="53">
        <f ca="1"/>
        <v>2.75E-2</v>
      </c>
      <c r="T199" s="53">
        <f ca="1"/>
        <v>2.75E-2</v>
      </c>
      <c r="U199" s="53">
        <f ca="1"/>
        <v>2.75E-2</v>
      </c>
      <c r="V199" s="2" t="s">
        <v>95</v>
      </c>
    </row>
    <row r="200" spans="4:22" ht="20.100000000000001" customHeight="1" x14ac:dyDescent="0.2">
      <c r="D200" s="53" t="str">
        <f>INDEX(X_Table_Dairy_ProductionSystems_Method1,4,1)</f>
        <v>Feed pad</v>
      </c>
      <c r="E200" s="53" t="str">
        <f>INDEX(X_Table_Dairy_Stage1MMS_2_SolidStorage,2,1)</f>
        <v>Solid storage (before solid separation)</v>
      </c>
      <c r="F200" s="53" cm="1">
        <f t="array" aca="1" ref="F200:J200" ca="1">OFFSET(X_Table_Dairy_ProductionSystems_Method1, 3,1,1,5)*OFFSET(X_Table_Dairy_Stage1MMS_1_SolidStorage, 1,1,1,5)</f>
        <v>8.8999999999999996E-2</v>
      </c>
      <c r="G200" s="53">
        <f ca="1"/>
        <v>8.8999999999999996E-2</v>
      </c>
      <c r="H200" s="53">
        <f ca="1"/>
        <v>8.8999999999999996E-2</v>
      </c>
      <c r="I200" s="53">
        <f ca="1"/>
        <v>8.8999999999999996E-2</v>
      </c>
      <c r="J200" s="53">
        <f ca="1"/>
        <v>8.8999999999999996E-2</v>
      </c>
      <c r="K200" s="2" t="s">
        <v>95</v>
      </c>
      <c r="O200" s="53" t="str">
        <f>INDEX(X_Table_Dairy_ProductionSystems_Method1,4,1)</f>
        <v>Feed pad</v>
      </c>
      <c r="P200" s="53" t="str">
        <f>INDEX(X_Table_Dairy_Stage1MMS_2_SolidStorage,2,1)</f>
        <v>Solid storage (before solid separation)</v>
      </c>
      <c r="Q200" s="53" cm="1">
        <f t="array" aca="1" ref="Q200:U200" ca="1">OFFSET(X_Table_Dairy_ProductionSystems_Method2, 3,1,1,5)*OFFSET(X_Table_Dairy_Stage1MMS_1_SolidStorage, 1,1,1,5)</f>
        <v>8.8999999999999996E-2</v>
      </c>
      <c r="R200" s="53">
        <f ca="1"/>
        <v>8.8999999999999996E-2</v>
      </c>
      <c r="S200" s="53">
        <f ca="1"/>
        <v>8.8999999999999996E-2</v>
      </c>
      <c r="T200" s="53">
        <f ca="1"/>
        <v>8.8999999999999996E-2</v>
      </c>
      <c r="U200" s="53">
        <f ca="1"/>
        <v>8.8999999999999996E-2</v>
      </c>
      <c r="V200" s="2" t="s">
        <v>95</v>
      </c>
    </row>
    <row r="202" spans="4:22" ht="20.100000000000001" customHeight="1" x14ac:dyDescent="0.2">
      <c r="D202" s="100" t="s">
        <v>249</v>
      </c>
      <c r="O202" s="100" t="s">
        <v>253</v>
      </c>
    </row>
    <row r="203" spans="4:22" ht="20.100000000000001" customHeight="1" x14ac:dyDescent="0.2">
      <c r="D203" s="99" t="s">
        <v>250</v>
      </c>
      <c r="O203" s="99" t="s">
        <v>254</v>
      </c>
    </row>
    <row r="204" spans="4:22" ht="20.100000000000001" customHeight="1" x14ac:dyDescent="0.2">
      <c r="D204" s="52" t="s">
        <v>142</v>
      </c>
      <c r="E204" s="52" t="s">
        <v>66</v>
      </c>
      <c r="F204" s="52" t="s">
        <v>167</v>
      </c>
      <c r="G204" s="52" t="s">
        <v>184</v>
      </c>
      <c r="H204" s="52" t="s">
        <v>185</v>
      </c>
      <c r="I204" s="52" t="s">
        <v>186</v>
      </c>
      <c r="J204" s="52" t="s">
        <v>187</v>
      </c>
      <c r="O204" s="52" t="s">
        <v>142</v>
      </c>
      <c r="P204" s="52" t="s">
        <v>66</v>
      </c>
      <c r="Q204" s="52" t="s">
        <v>167</v>
      </c>
      <c r="R204" s="52" t="s">
        <v>184</v>
      </c>
      <c r="S204" s="52" t="s">
        <v>185</v>
      </c>
      <c r="T204" s="52" t="s">
        <v>186</v>
      </c>
      <c r="U204" s="52" t="s">
        <v>187</v>
      </c>
    </row>
    <row r="205" spans="4:22" ht="20.100000000000001" customHeight="1" x14ac:dyDescent="0.2">
      <c r="D205" s="53" t="str">
        <f>INDEX(X_Table_Dairy_ProductionSystems_Method1,3,1)</f>
        <v>Milking shed</v>
      </c>
      <c r="E205" s="53" t="s">
        <v>400</v>
      </c>
      <c r="F205" s="53" cm="1">
        <f t="array" aca="1" ref="F205" ca="1">MMS_Dairy_Methane_Equations.VEERG_4_3_1_1__5_FractionVolatileSolidsSolidStorageVariation(F199,F152,$F163,F153,$F164,F154,$F165)</f>
        <v>4.3999999999999997E-2</v>
      </c>
      <c r="G205" s="53" cm="1">
        <f t="array" aca="1" ref="G205" ca="1">MMS_Dairy_Methane_Equations.VEERG_4_3_1_1__5_FractionVolatileSolidsSolidStorageVariation(G199,G152,$F163,G153,$F164,G154,$F165)</f>
        <v>4.3999999999999997E-2</v>
      </c>
      <c r="H205" s="53" cm="1">
        <f t="array" aca="1" ref="H205" ca="1">MMS_Dairy_Methane_Equations.VEERG_4_3_1_1__5_FractionVolatileSolidsSolidStorageVariation(H199,H152,$F163,H153,$F164,H154,$F165)</f>
        <v>4.3999999999999997E-2</v>
      </c>
      <c r="I205" s="53" cm="1">
        <f t="array" aca="1" ref="I205" ca="1">MMS_Dairy_Methane_Equations.VEERG_4_3_1_1__5_FractionVolatileSolidsSolidStorageVariation(I199,I152,$F163,I153,$F164,I154,$F165)</f>
        <v>4.3999999999999997E-2</v>
      </c>
      <c r="J205" s="53" cm="1">
        <f t="array" aca="1" ref="J205" ca="1">MMS_Dairy_Methane_Equations.VEERG_4_3_1_1__5_FractionVolatileSolidsSolidStorageVariation(J199,J152,$F163,J153,$F164,J154,$F165)</f>
        <v>4.3999999999999997E-2</v>
      </c>
      <c r="K205" s="2" t="str">
        <f>$E$190</f>
        <v>fraction</v>
      </c>
      <c r="O205" s="53" t="str">
        <f>INDEX(X_Table_Dairy_ProductionSystems_Method1,3,1)</f>
        <v>Milking shed</v>
      </c>
      <c r="P205" s="53" t="s">
        <v>400</v>
      </c>
      <c r="Q205" s="53" cm="1">
        <f t="array" aca="1" ref="Q205" ca="1">MMS_Dairy_Methane_Equations.VEERG_4_3_1_1__5_FractionVolatileSolidsSolidStorageVariation(Q199,Q152,$Q163,Q153,$Q164,Q154,$Q165)</f>
        <v>4.3999999999999997E-2</v>
      </c>
      <c r="R205" s="53" cm="1">
        <f t="array" aca="1" ref="R205" ca="1">MMS_Dairy_Methane_Equations.VEERG_4_3_1_1__5_FractionVolatileSolidsSolidStorageVariation(R199,R152,$Q163,R153,$Q164,R154,$Q165)</f>
        <v>4.3999999999999997E-2</v>
      </c>
      <c r="S205" s="53" cm="1">
        <f t="array" aca="1" ref="S205" ca="1">MMS_Dairy_Methane_Equations.VEERG_4_3_1_1__5_FractionVolatileSolidsSolidStorageVariation(S199,S152,$Q163,S153,$Q164,S154,$Q165)</f>
        <v>4.3999999999999997E-2</v>
      </c>
      <c r="T205" s="53" cm="1">
        <f t="array" aca="1" ref="T205" ca="1">MMS_Dairy_Methane_Equations.VEERG_4_3_1_1__5_FractionVolatileSolidsSolidStorageVariation(T199,T152,$Q163,T153,$Q164,T154,$Q165)</f>
        <v>4.3999999999999997E-2</v>
      </c>
      <c r="U205" s="53" cm="1">
        <f t="array" aca="1" ref="U205" ca="1">MMS_Dairy_Methane_Equations.VEERG_4_3_1_1__5_FractionVolatileSolidsSolidStorageVariation(U199,U152,$Q163,U153,$Q164,U154,$Q165)</f>
        <v>4.3999999999999997E-2</v>
      </c>
      <c r="V205" s="2" t="str">
        <f>$E$190</f>
        <v>fraction</v>
      </c>
    </row>
    <row r="206" spans="4:22" ht="20.100000000000001" customHeight="1" x14ac:dyDescent="0.2">
      <c r="D206" s="53" t="str">
        <f>INDEX(X_Table_Dairy_ProductionSystems_Method1,4,1)</f>
        <v>Feed pad</v>
      </c>
      <c r="E206" s="53" t="s">
        <v>400</v>
      </c>
      <c r="F206" s="53" cm="1">
        <f t="array" aca="1" ref="F206" ca="1">MMS_Dairy_Methane_Equations.VEERG_4_3_1_1__5_FractionVolatileSolidsSolidStorageVariation(F200,F155,$F166,F156,$F167,F157,$F168)</f>
        <v>0.12459999999999999</v>
      </c>
      <c r="G206" s="53" cm="1">
        <f t="array" aca="1" ref="G206" ca="1">MMS_Dairy_Methane_Equations.VEERG_4_3_1_1__5_FractionVolatileSolidsSolidStorageVariation(G200,G155,$F166,G156,$F167,G157,$F168)</f>
        <v>0.12459999999999999</v>
      </c>
      <c r="H206" s="53" cm="1">
        <f t="array" aca="1" ref="H206" ca="1">MMS_Dairy_Methane_Equations.VEERG_4_3_1_1__5_FractionVolatileSolidsSolidStorageVariation(H200,H155,$F166,H156,$F167,H157,$F168)</f>
        <v>0.12459999999999999</v>
      </c>
      <c r="I206" s="53" cm="1">
        <f t="array" aca="1" ref="I206" ca="1">MMS_Dairy_Methane_Equations.VEERG_4_3_1_1__5_FractionVolatileSolidsSolidStorageVariation(I200,I155,$F166,I156,$F167,I157,$F168)</f>
        <v>0.12459999999999999</v>
      </c>
      <c r="J206" s="53" cm="1">
        <f t="array" aca="1" ref="J206" ca="1">MMS_Dairy_Methane_Equations.VEERG_4_3_1_1__5_FractionVolatileSolidsSolidStorageVariation(J200,J155,$F166,J156,$F167,J157,$F168)</f>
        <v>0.12459999999999999</v>
      </c>
      <c r="K206" s="2" t="str">
        <f>$E$190</f>
        <v>fraction</v>
      </c>
      <c r="O206" s="53" t="str">
        <f>INDEX(X_Table_Dairy_ProductionSystems_Method1,4,1)</f>
        <v>Feed pad</v>
      </c>
      <c r="P206" s="53" t="s">
        <v>400</v>
      </c>
      <c r="Q206" s="53" cm="1">
        <f t="array" aca="1" ref="Q206" ca="1">MMS_Dairy_Methane_Equations.VEERG_4_3_1_1__5_FractionVolatileSolidsSolidStorageVariation(Q200,Q155,$Q166,Q156,$Q167,Q157,$Q168)</f>
        <v>0.12459999999999999</v>
      </c>
      <c r="R206" s="53" cm="1">
        <f t="array" aca="1" ref="R206" ca="1">MMS_Dairy_Methane_Equations.VEERG_4_3_1_1__5_FractionVolatileSolidsSolidStorageVariation(R200,R155,$Q166,R156,$Q167,R157,$Q168)</f>
        <v>0.12459999999999999</v>
      </c>
      <c r="S206" s="53" cm="1">
        <f t="array" aca="1" ref="S206" ca="1">MMS_Dairy_Methane_Equations.VEERG_4_3_1_1__5_FractionVolatileSolidsSolidStorageVariation(S200,S155,$Q166,S156,$Q167,S157,$Q168)</f>
        <v>0.12459999999999999</v>
      </c>
      <c r="T206" s="53" cm="1">
        <f t="array" aca="1" ref="T206" ca="1">MMS_Dairy_Methane_Equations.VEERG_4_3_1_1__5_FractionVolatileSolidsSolidStorageVariation(T200,T155,$Q166,T156,$Q167,T157,$Q168)</f>
        <v>0.12459999999999999</v>
      </c>
      <c r="U206" s="53" cm="1">
        <f t="array" aca="1" ref="U206" ca="1">MMS_Dairy_Methane_Equations.VEERG_4_3_1_1__5_FractionVolatileSolidsSolidStorageVariation(U200,U155,$Q166,U156,$Q167,U157,$Q168)</f>
        <v>0.12459999999999999</v>
      </c>
      <c r="V206" s="2" t="str">
        <f>$E$190</f>
        <v>fraction</v>
      </c>
    </row>
    <row r="209" spans="1:23" ht="20.100000000000001" customHeight="1" x14ac:dyDescent="0.2">
      <c r="C209" s="46"/>
      <c r="D209" s="46"/>
      <c r="E209" s="46"/>
      <c r="F209" s="46"/>
      <c r="G209" s="46"/>
      <c r="H209" s="46"/>
      <c r="I209" s="46"/>
      <c r="J209" s="46"/>
      <c r="K209" s="46"/>
      <c r="L209" s="46"/>
      <c r="N209" s="46"/>
      <c r="O209" s="46"/>
      <c r="P209" s="46"/>
      <c r="Q209" s="46"/>
      <c r="R209" s="46"/>
      <c r="S209" s="46"/>
      <c r="T209" s="46"/>
      <c r="U209" s="46"/>
      <c r="V209" s="46"/>
      <c r="W209" s="46"/>
    </row>
    <row r="210" spans="1:23" ht="20.100000000000001" customHeight="1" x14ac:dyDescent="0.2">
      <c r="D210" s="6" t="str" cm="1">
        <f t="array" ref="D210">MMS_Dairy_Methane_Equations.VEERG_4_3_1_1__2_MethaneFromManureProduction_Title()</f>
        <v>Methane from manure production from weaned dairy cattle</v>
      </c>
    </row>
    <row r="211" spans="1:23" ht="20.100000000000001" customHeight="1" x14ac:dyDescent="0.2">
      <c r="D211" s="5" t="str" cm="1">
        <f t="array" ref="D211">MMS_Dairy_Methane_Equations.VEERG_4_3_1_1__2_MethaneFromManureProduction_Source()</f>
        <v>VEERG 2026: 4.3.1.1, Equation (2)</v>
      </c>
    </row>
    <row r="212" spans="1:23" ht="20.100000000000001" customHeight="1" x14ac:dyDescent="0.2">
      <c r="D212" s="13" t="s">
        <v>25</v>
      </c>
      <c r="E212" s="13" t="str" cm="1">
        <f t="array" aca="1" ref="E212" ca="1">Common_InputFunctions.Utility_DisplayFunctionName($F$238)</f>
        <v>=MMS_Dairy_Methane_Equations.VEERG_4_3_1_1__2_MethaneFromManureProduction</v>
      </c>
    </row>
    <row r="214" spans="1:23" ht="20.100000000000001" customHeight="1" x14ac:dyDescent="0.2">
      <c r="D214" s="6"/>
    </row>
    <row r="215" spans="1:23" ht="20.100000000000001" customHeight="1" x14ac:dyDescent="0.2">
      <c r="D215" s="54" t="s">
        <v>28</v>
      </c>
      <c r="E215" s="1" t="str" cm="1">
        <f t="array" ref="E215">MMS_Dairy_Methane_Equations.VEERG_4_3_1_1__2_MethaneFromManureProduction_Variable()</f>
        <v>M_jm</v>
      </c>
    </row>
    <row r="216" spans="1:23" ht="20.100000000000001" customHeight="1" x14ac:dyDescent="0.2">
      <c r="D216" s="54" t="s">
        <v>18</v>
      </c>
      <c r="E216" s="55" t="str" cm="1">
        <f t="array" ref="E216">MMS_Dairy_Methane_Equations.VEERG_4_3_1_1__2_MethaneFromManureProduction_Unit()</f>
        <v>kg CH4/head/day</v>
      </c>
    </row>
    <row r="217" spans="1:23" ht="20.100000000000001" customHeight="1" x14ac:dyDescent="0.2">
      <c r="A217" s="137" t="str">
        <f>HYPERLINK("#A1", "▲ Back to top")</f>
        <v>▲ Back to top</v>
      </c>
    </row>
    <row r="218" spans="1:23" ht="20.100000000000001" customHeight="1" x14ac:dyDescent="0.2">
      <c r="D218" s="133" t="str" cm="1">
        <f t="array" ref="D218:E223">_xlfn.CHOOSECOLS(MMS_Dairy_Methane_Equations.VEERG_4_3_1_1__2_MethaneFromManureProduction_Arguments(),1,2)</f>
        <v>VS_j</v>
      </c>
      <c r="E218" s="132" t="str">
        <v>daily volatile solids production per head for dairy cattle (kg/head/day)</v>
      </c>
      <c r="F218" s="134"/>
      <c r="G218" s="133" t="str" cm="1">
        <f t="array" ref="G218:H223">_xlfn.CHOOSECOLS(MMS_Dairy_Methane_Equations.VEERG_4_3_1_1__2_MethaneFromManureProduction_Arguments(),3,4)</f>
        <v>kg/head/day</v>
      </c>
      <c r="H218" s="129" t="str">
        <v>Calculated from 4.3.1.1 (3)</v>
      </c>
      <c r="I218" s="130" t="str" cm="1">
        <f t="array" aca="1" ref="I218" ca="1">HYPERLINK(Common_InputFunctions.Utility_SourceHyperlink($D$130),$D$130)</f>
        <v>M1_Table_VS_j</v>
      </c>
      <c r="J218" s="133"/>
      <c r="O218" s="133" t="str" cm="1">
        <f t="array" ref="O218:P223">_xlfn.CHOOSECOLS(MMS_Dairy_Methane_Equations.VEERG_4_3_1_1__2_MethaneFromManureProduction_Arguments_Method2(),1,2)</f>
        <v>VS_j</v>
      </c>
      <c r="P218" s="132" t="str">
        <v>daily volatile solids production per head for dairy cattle (kg/head/day)</v>
      </c>
      <c r="Q218" s="134"/>
      <c r="R218" s="133" t="str" cm="1">
        <f t="array" ref="R218:S223">_xlfn.CHOOSECOLS(MMS_Dairy_Methane_Equations.VEERG_4_3_1_1__2_MethaneFromManureProduction_Arguments_Method2(),3,4)</f>
        <v>kg/head/day</v>
      </c>
      <c r="S218" s="129" t="str">
        <v>Calculated from 4.3.1.1 (3)</v>
      </c>
      <c r="T218" s="133"/>
    </row>
    <row r="219" spans="1:23" ht="20.100000000000001" customHeight="1" x14ac:dyDescent="0.2">
      <c r="D219" s="133" t="str">
        <v>FVS_jmT1</v>
      </c>
      <c r="E219" s="132" t="str">
        <v>fraction of waste from each class in each management system</v>
      </c>
      <c r="F219" s="134"/>
      <c r="G219" s="133" t="str">
        <v>fraction</v>
      </c>
      <c r="H219" s="129" t="str">
        <v>Calculated from 4.3.1.1 (4)(5)</v>
      </c>
      <c r="I219" s="130" t="str" cm="1">
        <f t="array" aca="1" ref="I219" ca="1">HYPERLINK(Common_InputFunctions.Utility_SourceHyperlink($D$170),$D$170)</f>
        <v>M1_Table_FVS_j_m</v>
      </c>
      <c r="J219" s="130" t="str" cm="1">
        <f t="array" aca="1" ref="J219" ca="1">HYPERLINK(Common_InputFunctions.Utility_SourceHyperlink($D$202),$D$202)</f>
        <v>M1_Table_FVS_j_m-4</v>
      </c>
      <c r="O219" s="133" t="str">
        <v>FVS_jmT1</v>
      </c>
      <c r="P219" s="132" t="str">
        <v>fraction of waste from each class in each management system</v>
      </c>
      <c r="Q219" s="134"/>
      <c r="R219" s="133" t="str">
        <v>fraction</v>
      </c>
      <c r="S219" s="129" t="str">
        <v>Calculated from 4.3.1.1 (4)(5)</v>
      </c>
      <c r="T219" s="133"/>
    </row>
    <row r="220" spans="1:23" ht="20.100000000000001" customHeight="1" x14ac:dyDescent="0.2">
      <c r="D220" s="133" t="str">
        <v>MCF_im</v>
      </c>
      <c r="E220" s="132" t="str">
        <v>methane conversion factor for temperature zone and MMS</v>
      </c>
      <c r="F220" s="134"/>
      <c r="G220" s="133" t="str">
        <v>fraction</v>
      </c>
      <c r="H220" s="129" t="str">
        <v>Constant</v>
      </c>
      <c r="I220" s="130" t="str" cm="1">
        <f t="array" aca="1" ref="I220" ca="1">HYPERLINK(Common_InputFunctions.Utility_SourceHyperlink($D$225),$D$225)</f>
        <v>M1_Table_MCF_i_m</v>
      </c>
      <c r="J220" s="133"/>
      <c r="O220" s="133" t="str">
        <v>MCF_im</v>
      </c>
      <c r="P220" s="132" t="str">
        <v>methane conversion factor for temperature zone and MMS</v>
      </c>
      <c r="Q220" s="134"/>
      <c r="R220" s="133" t="str">
        <v>fraction</v>
      </c>
      <c r="S220" s="129" t="str">
        <v>Constant</v>
      </c>
      <c r="T220" s="130" t="str" cm="1">
        <f t="array" aca="1" ref="T220" ca="1">HYPERLINK(Common_InputFunctions.Utility_SourceHyperlink($O$225),$O$225)</f>
        <v>M2_Table_MCF_i_m</v>
      </c>
    </row>
    <row r="221" spans="1:23" ht="20.100000000000001" customHeight="1" x14ac:dyDescent="0.2">
      <c r="D221" s="133" t="str">
        <v>B_o</v>
      </c>
      <c r="E221" s="132" t="str">
        <v>emissions potential (m3 CH4/kgVS)</v>
      </c>
      <c r="F221" s="134"/>
      <c r="G221" s="133" t="str">
        <v>m3 CH4/kgVS</v>
      </c>
      <c r="H221" s="129" t="str">
        <v>Constant</v>
      </c>
      <c r="I221" s="133">
        <f>SourceData_Dairy_MethaneEmissionsPotential_Data</f>
        <v>0.24</v>
      </c>
      <c r="J221" s="133"/>
      <c r="O221" s="133" t="str">
        <v>B_o</v>
      </c>
      <c r="P221" s="132" t="str">
        <v>emissions potential (m3 CH4/kgVS)</v>
      </c>
      <c r="Q221" s="134"/>
      <c r="R221" s="133" t="str">
        <v>m3 CH4/kgVS</v>
      </c>
      <c r="S221" s="129" t="str">
        <v>Constant</v>
      </c>
      <c r="T221" s="133"/>
    </row>
    <row r="222" spans="1:23" ht="20.100000000000001" customHeight="1" x14ac:dyDescent="0.2">
      <c r="D222" s="133" t="str">
        <v>rho</v>
      </c>
      <c r="E222" s="132" t="str">
        <v>density of methane (kg/m3)</v>
      </c>
      <c r="F222" s="134"/>
      <c r="G222" s="133" t="str">
        <v>kg/m3</v>
      </c>
      <c r="H222" s="129" t="str">
        <v>Constant</v>
      </c>
      <c r="I222" s="133">
        <f>Common_SourceData_DensityOfMethane_Data</f>
        <v>0.6784</v>
      </c>
      <c r="J222" s="133"/>
      <c r="O222" s="133" t="str">
        <v>rho</v>
      </c>
      <c r="P222" s="132" t="str">
        <v>density of methane (kg/m3)</v>
      </c>
      <c r="Q222" s="134"/>
      <c r="R222" s="133" t="str">
        <v>kg/m3</v>
      </c>
      <c r="S222" s="129" t="str">
        <v>Constant</v>
      </c>
      <c r="T222" s="133"/>
    </row>
    <row r="223" spans="1:23" ht="20.100000000000001" customHeight="1" x14ac:dyDescent="0.2">
      <c r="D223" s="133" t="str">
        <v>i</v>
      </c>
      <c r="E223" s="132" t="str">
        <v>state</v>
      </c>
      <c r="F223" s="134"/>
      <c r="G223" s="133" t="str">
        <v>state</v>
      </c>
      <c r="H223" s="131" t="str">
        <v>Input</v>
      </c>
      <c r="I223" s="133" t="str">
        <f>Common_InputFunctions.Utility_LookupValueInTable(X_Cell_Site_State, Table_AustralianStates[Common Name],Table_AustralianStates[Abbreviation])</f>
        <v>WA</v>
      </c>
      <c r="J223" s="133"/>
      <c r="O223" s="133" t="str">
        <v>MAT</v>
      </c>
      <c r="P223" s="132" t="str">
        <v>Mean annual temperature</v>
      </c>
      <c r="Q223" s="134"/>
      <c r="R223" s="133" t="str">
        <v>°C</v>
      </c>
      <c r="S223" s="131" t="str">
        <v>Input</v>
      </c>
      <c r="T223" s="133">
        <f>X_Cell_Site_AverageTemperature</f>
        <v>18</v>
      </c>
    </row>
    <row r="225" spans="4:22" ht="20.100000000000001" customHeight="1" x14ac:dyDescent="0.2">
      <c r="D225" s="124" t="s">
        <v>255</v>
      </c>
      <c r="O225" s="124" t="s">
        <v>411</v>
      </c>
    </row>
    <row r="226" spans="4:22" ht="20.100000000000001" customHeight="1" x14ac:dyDescent="0.2">
      <c r="D226" s="125" t="s">
        <v>256</v>
      </c>
      <c r="O226" s="125" t="s">
        <v>412</v>
      </c>
    </row>
    <row r="227" spans="4:22" ht="20.100000000000001" customHeight="1" x14ac:dyDescent="0.2">
      <c r="D227" s="52" t="s">
        <v>66</v>
      </c>
      <c r="E227" s="52" t="s">
        <v>94</v>
      </c>
      <c r="O227" s="52" t="s">
        <v>66</v>
      </c>
      <c r="P227" s="52" t="s">
        <v>94</v>
      </c>
    </row>
    <row r="228" spans="4:22" ht="20.100000000000001" customHeight="1" x14ac:dyDescent="0.2">
      <c r="D228" s="58" t="str">
        <f>'Constants - Common Livestock'!$E$27</f>
        <v>Pasture range and paddock</v>
      </c>
      <c r="E228" s="53" cm="1">
        <f t="array" ref="E228">CommonLivestock_InputFunctions.Livestock_LookupMCFState(D228,Table_SourceData_Dairy_MCFjm[NIR reference],$I$223,Table_SourceData_Dairy_MCFjm[#Headers],Table_SourceData_Dairy_MCFjm[])</f>
        <v>0.01</v>
      </c>
      <c r="O228" s="58" t="str">
        <f>'Constants - Common Livestock'!$E$27</f>
        <v>Pasture range and paddock</v>
      </c>
      <c r="P228" s="53" cm="1">
        <f t="array" ref="P228">CommonLivestock_InputFunctions.Livestock_LookupMCFState(O228,Table_SourceData_Dairy_MCFjm[NIR reference],$I$223,Table_SourceData_Dairy_MCFjm[#Headers],Table_SourceData_Dairy_MCFjm[])</f>
        <v>0.01</v>
      </c>
      <c r="Q228" s="22" t="s">
        <v>413</v>
      </c>
      <c r="R228" s="22"/>
    </row>
    <row r="229" spans="4:22" ht="20.100000000000001" customHeight="1" x14ac:dyDescent="0.2">
      <c r="D229" s="58" t="str">
        <f>'Constants - Dairy'!$D$8</f>
        <v>Anaerobic lagoon</v>
      </c>
      <c r="E229" s="53" cm="1">
        <f t="array" ref="E229">CommonLivestock_InputFunctions.Livestock_LookupMCFState(D229,Table_SourceData_Dairy_MCFjm[NIR reference],$I$223,Table_SourceData_Dairy_MCFjm[#Headers],Table_SourceData_Dairy_MCFjm[])</f>
        <v>0.76</v>
      </c>
      <c r="O229" s="58" t="str">
        <f>'Constants - Dairy'!$D$8</f>
        <v>Anaerobic lagoon</v>
      </c>
      <c r="P229" s="53">
        <f>Common_InputFunctions.Common_GetMCFTemperatureZone($T$223, O229,Table_SourceData_Common_MCFTemperatureZone[MAT raw],Table_SourceData_Common_MCFTemperatureZone[#Headers],Table_SourceData_Common_MCFTemperatureZone[])</f>
        <v>0.77</v>
      </c>
    </row>
    <row r="230" spans="4:22" ht="20.100000000000001" customHeight="1" x14ac:dyDescent="0.2">
      <c r="D230" s="58" t="str">
        <f>'Constants - Dairy'!$D$9</f>
        <v>Sump and dispersal system</v>
      </c>
      <c r="E230" s="53" cm="1">
        <f t="array" ref="E230">CommonLivestock_InputFunctions.Livestock_LookupMCFState(D230,Table_SourceData_Dairy_MCFjm[NIR reference],$I$223,Table_SourceData_Dairy_MCFjm[#Headers],Table_SourceData_Dairy_MCFjm[])</f>
        <v>5.0000000000000001E-3</v>
      </c>
      <c r="O230" s="58" t="str">
        <f>'Constants - Dairy'!$D$9</f>
        <v>Sump and dispersal system</v>
      </c>
      <c r="P230" s="53">
        <f>Common_InputFunctions.Common_GetMCFTemperatureZone($T$223, "Daily spread",Table_SourceData_Common_MCFTemperatureZone[MAT raw],Table_SourceData_Common_MCFTemperatureZone[#Headers],Table_SourceData_Common_MCFTemperatureZone[])</f>
        <v>5.0000000000000001E-3</v>
      </c>
      <c r="Q230" s="22" t="s">
        <v>410</v>
      </c>
      <c r="R230" s="22"/>
    </row>
    <row r="231" spans="4:22" ht="20.100000000000001" customHeight="1" x14ac:dyDescent="0.2">
      <c r="D231" s="58" t="str">
        <f>'Constants - Dairy'!$D$10</f>
        <v>Drains to paddock</v>
      </c>
      <c r="E231" s="53" cm="1">
        <f t="array" ref="E231">CommonLivestock_InputFunctions.Livestock_LookupMCFState(D231,Table_SourceData_Dairy_MCFjm[NIR reference],$I$223,Table_SourceData_Dairy_MCFjm[#Headers],Table_SourceData_Dairy_MCFjm[])</f>
        <v>0.18</v>
      </c>
      <c r="O231" s="58" t="str">
        <f>'Constants - Dairy'!$D$10</f>
        <v>Drains to paddock</v>
      </c>
      <c r="P231" s="53">
        <f>Common_InputFunctions.Common_GetMCFTemperatureZone($T$223, "Liquid systems",Table_SourceData_Common_MCFTemperatureZone[MAT raw],Table_SourceData_Common_MCFTemperatureZone[#Headers],Table_SourceData_Common_MCFTemperatureZone[])</f>
        <v>0.22</v>
      </c>
      <c r="Q231" s="22" t="s">
        <v>409</v>
      </c>
      <c r="R231" s="22"/>
    </row>
    <row r="232" spans="4:22" ht="20.100000000000001" customHeight="1" x14ac:dyDescent="0.2">
      <c r="D232" s="58" t="str">
        <f>'Constants - Dairy'!$D$11</f>
        <v>Solid storage</v>
      </c>
      <c r="E232" s="53" cm="1">
        <f t="array" ref="E232">CommonLivestock_InputFunctions.Livestock_LookupMCFState(D232,Table_SourceData_Dairy_MCFjm[NIR reference],$I$223,Table_SourceData_Dairy_MCFjm[#Headers],Table_SourceData_Dairy_MCFjm[])</f>
        <v>0.02</v>
      </c>
      <c r="O232" s="58" t="str">
        <f>'Constants - Dairy'!$D$11</f>
        <v>Solid storage</v>
      </c>
      <c r="P232" s="53">
        <f>Common_InputFunctions.Common_GetMCFTemperatureZone($T$223, O232,Table_SourceData_Common_MCFTemperatureZone[MAT raw],Table_SourceData_Common_MCFTemperatureZone[#Headers],Table_SourceData_Common_MCFTemperatureZone[])</f>
        <v>0.02</v>
      </c>
    </row>
    <row r="234" spans="4:22" ht="20.100000000000001" customHeight="1" x14ac:dyDescent="0.2">
      <c r="D234" s="124" t="s">
        <v>257</v>
      </c>
      <c r="O234" s="124" t="s">
        <v>271</v>
      </c>
    </row>
    <row r="235" spans="4:22" ht="20.100000000000001" customHeight="1" x14ac:dyDescent="0.2">
      <c r="D235" s="125" t="s">
        <v>273</v>
      </c>
      <c r="O235" s="125" t="s">
        <v>272</v>
      </c>
    </row>
    <row r="236" spans="4:22" ht="20.100000000000001" customHeight="1" x14ac:dyDescent="0.2">
      <c r="D236" s="52" t="s">
        <v>142</v>
      </c>
      <c r="E236" s="52" t="s">
        <v>66</v>
      </c>
      <c r="F236" s="52" t="s">
        <v>167</v>
      </c>
      <c r="G236" s="52" t="s">
        <v>184</v>
      </c>
      <c r="H236" s="52" t="s">
        <v>185</v>
      </c>
      <c r="I236" s="52" t="s">
        <v>186</v>
      </c>
      <c r="J236" s="52" t="s">
        <v>187</v>
      </c>
      <c r="O236" s="52" t="s">
        <v>142</v>
      </c>
      <c r="P236" s="52" t="s">
        <v>66</v>
      </c>
      <c r="Q236" s="52" t="s">
        <v>167</v>
      </c>
      <c r="R236" s="52" t="s">
        <v>184</v>
      </c>
      <c r="S236" s="52" t="s">
        <v>185</v>
      </c>
      <c r="T236" s="52" t="s">
        <v>186</v>
      </c>
      <c r="U236" s="52" t="s">
        <v>187</v>
      </c>
    </row>
    <row r="237" spans="4:22" ht="20.100000000000001" customHeight="1" x14ac:dyDescent="0.2">
      <c r="D237" s="53" t="str">
        <f>INDEX(X_Table_Dairy_ProductionSystems_Method1,2,1)</f>
        <v>Pasture</v>
      </c>
      <c r="E237" s="53" t="str">
        <f>'Constants - Common Livestock'!$E$27</f>
        <v>Pasture range and paddock</v>
      </c>
      <c r="F237" s="53" cm="1">
        <f t="array" aca="1" ref="F237" ca="1">MMS_Dairy_Methane_Equations.VEERG_4_3_1_1__2_MethaneFromManureProduction(D$133,F173,_xlfn.XLOOKUP($E237,$D$228:$D$232,$E$228:$E$232),$I$221,$I$222)</f>
        <v>4.3689196218983364E-3</v>
      </c>
      <c r="G237" s="53" cm="1">
        <f t="array" aca="1" ref="G237" ca="1">MMS_Dairy_Methane_Equations.VEERG_4_3_1_1__2_MethaneFromManureProduction(E$133,G173,_xlfn.XLOOKUP($E237,$D$228:$D$232,$E$228:$E$232),$I$221,$I$222)</f>
        <v>1.7209245840165332E-3</v>
      </c>
      <c r="H237" s="53" cm="1">
        <f t="array" aca="1" ref="H237" ca="1">MMS_Dairy_Methane_Equations.VEERG_4_3_1_1__2_MethaneFromManureProduction(F$133,H173,_xlfn.XLOOKUP($E237,$D$228:$D$232,$E$228:$E$232),$I$221,$I$222)</f>
        <v>9.3323909012537774E-4</v>
      </c>
      <c r="I237" s="53" cm="1">
        <f t="array" aca="1" ref="I237" ca="1">MMS_Dairy_Methane_Equations.VEERG_4_3_1_1__2_MethaneFromManureProduction(G$133,I173,_xlfn.XLOOKUP($E237,$D$228:$D$232,$E$228:$E$232),$I$221,$I$222)</f>
        <v>2.0939609577804406E-3</v>
      </c>
      <c r="J237" s="53" cm="1">
        <f t="array" aca="1" ref="J237" ca="1">MMS_Dairy_Methane_Equations.VEERG_4_3_1_1__2_MethaneFromManureProduction(H$133,J173,_xlfn.XLOOKUP($E237,$D$228:$D$232,$E$228:$E$232),$I$221,$I$222)</f>
        <v>1.2559439850690533E-3</v>
      </c>
      <c r="K237" s="2" t="str">
        <f>$E$216</f>
        <v>kg CH4/head/day</v>
      </c>
      <c r="O237" s="53" t="str">
        <f>INDEX(X_Table_Dairy_ProductionSystems_Method1,2,1)</f>
        <v>Pasture</v>
      </c>
      <c r="P237" s="53" t="str">
        <f>'Constants - Common Livestock'!$E$27</f>
        <v>Pasture range and paddock</v>
      </c>
      <c r="Q237" s="53" cm="1">
        <f t="array" aca="1" ref="Q237" ca="1">MMS_Dairy_Methane_Equations.VEERG_4_3_1_1__2_MethaneFromManureProduction(O$133,Q173,_xlfn.XLOOKUP($P237,$O$228:$O$232,$P$228:$P$232),$I$221,$I$222)</f>
        <v>4.3689196218983364E-3</v>
      </c>
      <c r="R237" s="53" cm="1">
        <f t="array" aca="1" ref="R237" ca="1">MMS_Dairy_Methane_Equations.VEERG_4_3_1_1__2_MethaneFromManureProduction(P$133,R173,_xlfn.XLOOKUP($P237,$O$228:$O$232,$P$228:$P$232),$I$221,$I$222)</f>
        <v>1.7209245840165332E-3</v>
      </c>
      <c r="S237" s="53" cm="1">
        <f t="array" aca="1" ref="S237" ca="1">MMS_Dairy_Methane_Equations.VEERG_4_3_1_1__2_MethaneFromManureProduction(Q$133,S173,_xlfn.XLOOKUP($P237,$O$228:$O$232,$P$228:$P$232),$I$221,$I$222)</f>
        <v>9.3323909012537774E-4</v>
      </c>
      <c r="T237" s="53" cm="1">
        <f t="array" aca="1" ref="T237" ca="1">MMS_Dairy_Methane_Equations.VEERG_4_3_1_1__2_MethaneFromManureProduction(R$133,T173,_xlfn.XLOOKUP($P237,$O$228:$O$232,$P$228:$P$232),$I$221,$I$222)</f>
        <v>2.0939609577804406E-3</v>
      </c>
      <c r="U237" s="53" cm="1">
        <f t="array" aca="1" ref="U237" ca="1">MMS_Dairy_Methane_Equations.VEERG_4_3_1_1__2_MethaneFromManureProduction(S$133,U173,_xlfn.XLOOKUP($P237,$O$228:$O$232,$P$228:$P$232),$I$221,$I$222)</f>
        <v>1.2559439850690533E-3</v>
      </c>
      <c r="V237" s="2" t="str">
        <f>$E$216</f>
        <v>kg CH4/head/day</v>
      </c>
    </row>
    <row r="238" spans="4:22" ht="20.100000000000001" customHeight="1" x14ac:dyDescent="0.2">
      <c r="D238" s="53" t="str">
        <f>INDEX(X_Table_Dairy_ProductionSystems_Method1,3,1)</f>
        <v>Milking shed</v>
      </c>
      <c r="E238" s="53" t="str">
        <f>INDEX(X_Table_Dairy_Stage1MMS_1_AnaerobicLagoon,2,1)</f>
        <v>Anaerobic lagoon</v>
      </c>
      <c r="F238" s="53" cm="1">
        <f t="array" aca="1" ref="F238" ca="1">MMS_Dairy_Methane_Equations.VEERG_4_3_1_1__2_MethaneFromManureProduction(D$133,F174,_xlfn.XLOOKUP($E238,$D$228:$D$232,$E$228:$E$232),$I$221,$I$222)</f>
        <v>1.367946368504498E-2</v>
      </c>
      <c r="G238" s="53" cm="1">
        <f t="array" aca="1" ref="G238" ca="1">MMS_Dairy_Methane_Equations.VEERG_4_3_1_1__2_MethaneFromManureProduction(E$133,G174,_xlfn.XLOOKUP($E238,$D$228:$D$232,$E$228:$E$232),$I$221,$I$222)</f>
        <v>5.3883631169955861E-3</v>
      </c>
      <c r="H238" s="53" cm="1">
        <f t="array" aca="1" ref="H238" ca="1">MMS_Dairy_Methane_Equations.VEERG_4_3_1_1__2_MethaneFromManureProduction(F$133,H174,_xlfn.XLOOKUP($E238,$D$228:$D$232,$E$228:$E$232),$I$221,$I$222)</f>
        <v>2.922051982564853E-3</v>
      </c>
      <c r="I238" s="53" cm="1">
        <f t="array" aca="1" ref="I238" ca="1">MMS_Dairy_Methane_Equations.VEERG_4_3_1_1__2_MethaneFromManureProduction(G$133,I174,_xlfn.XLOOKUP($E238,$D$228:$D$232,$E$228:$E$232),$I$221,$I$222)</f>
        <v>6.556372137469845E-3</v>
      </c>
      <c r="J238" s="53" cm="1">
        <f t="array" aca="1" ref="J238" ca="1">MMS_Dairy_Methane_Equations.VEERG_4_3_1_1__2_MethaneFromManureProduction(H$133,J174,_xlfn.XLOOKUP($E238,$D$228:$D$232,$E$228:$E$232),$I$221,$I$222)</f>
        <v>3.9324688071825046E-3</v>
      </c>
      <c r="O238" s="53" t="str">
        <f>INDEX(X_Table_Dairy_ProductionSystems_Method1,3,1)</f>
        <v>Milking shed</v>
      </c>
      <c r="P238" s="53" t="str">
        <f>INDEX(X_Table_Dairy_Stage1MMS_1_AnaerobicLagoon,2,1)</f>
        <v>Anaerobic lagoon</v>
      </c>
      <c r="Q238" s="53" cm="1">
        <f t="array" aca="1" ref="Q238" ca="1">MMS_Dairy_Methane_Equations.VEERG_4_3_1_1__2_MethaneFromManureProduction(O$133,Q174,_xlfn.XLOOKUP($P238,$O$228:$O$232,$P$228:$P$232),$I$221,$I$222)</f>
        <v>1.3859456628269253E-2</v>
      </c>
      <c r="R238" s="53" cm="1">
        <f t="array" aca="1" ref="R238" ca="1">MMS_Dairy_Methane_Equations.VEERG_4_3_1_1__2_MethaneFromManureProduction(P$133,R174,_xlfn.XLOOKUP($P238,$O$228:$O$232,$P$228:$P$232),$I$221,$I$222)</f>
        <v>5.4592626316928971E-3</v>
      </c>
      <c r="S238" s="53" cm="1">
        <f t="array" aca="1" ref="S238" ca="1">MMS_Dairy_Methane_Equations.VEERG_4_3_1_1__2_MethaneFromManureProduction(Q$133,S174,_xlfn.XLOOKUP($P238,$O$228:$O$232,$P$228:$P$232),$I$221,$I$222)</f>
        <v>2.9605000349670215E-3</v>
      </c>
      <c r="T238" s="53" cm="1">
        <f t="array" aca="1" ref="T238" ca="1">MMS_Dairy_Methane_Equations.VEERG_4_3_1_1__2_MethaneFromManureProduction(R$133,T174,_xlfn.XLOOKUP($P238,$O$228:$O$232,$P$228:$P$232),$I$221,$I$222)</f>
        <v>6.6426401919102386E-3</v>
      </c>
      <c r="U238" s="53" cm="1">
        <f t="array" aca="1" ref="U238" ca="1">MMS_Dairy_Methane_Equations.VEERG_4_3_1_1__2_MethaneFromManureProduction(S$133,U174,_xlfn.XLOOKUP($P238,$O$228:$O$232,$P$228:$P$232),$I$221,$I$222)</f>
        <v>3.9842118178033264E-3</v>
      </c>
    </row>
    <row r="239" spans="4:22" ht="20.100000000000001" customHeight="1" x14ac:dyDescent="0.2">
      <c r="D239" s="53" t="str">
        <f>INDEX(X_Table_Dairy_ProductionSystems_Method1,3,1)</f>
        <v>Milking shed</v>
      </c>
      <c r="E239" s="53" t="str">
        <f>INDEX(X_Table_Dairy_Stage1MMS_1_SumpAndDispersal,2,1)</f>
        <v>Sump and dispersal system</v>
      </c>
      <c r="F239" s="53" cm="1">
        <f t="array" aca="1" ref="F239" ca="1">MMS_Dairy_Methane_Equations.VEERG_4_3_1_1__2_MethaneFromManureProduction(D$133,F175,_xlfn.XLOOKUP($E239,$D$228:$D$232,$E$228:$E$232),$I$221,$I$222)</f>
        <v>8.9996471612138024E-5</v>
      </c>
      <c r="G239" s="53" cm="1">
        <f t="array" aca="1" ref="G239" ca="1">MMS_Dairy_Methane_Equations.VEERG_4_3_1_1__2_MethaneFromManureProduction(E$133,G175,_xlfn.XLOOKUP($E239,$D$228:$D$232,$E$228:$E$232),$I$221,$I$222)</f>
        <v>3.5449757348655176E-5</v>
      </c>
      <c r="H239" s="53" cm="1">
        <f t="array" aca="1" ref="H239" ca="1">MMS_Dairy_Methane_Equations.VEERG_4_3_1_1__2_MethaneFromManureProduction(F$133,H175,_xlfn.XLOOKUP($E239,$D$228:$D$232,$E$228:$E$232),$I$221,$I$222)</f>
        <v>1.9224026201084556E-5</v>
      </c>
      <c r="I239" s="53" cm="1">
        <f t="array" aca="1" ref="I239" ca="1">MMS_Dairy_Methane_Equations.VEERG_4_3_1_1__2_MethaneFromManureProduction(G$133,I175,_xlfn.XLOOKUP($E239,$D$228:$D$232,$E$228:$E$232),$I$221,$I$222)</f>
        <v>4.313402722019635E-5</v>
      </c>
      <c r="J239" s="53" cm="1">
        <f t="array" aca="1" ref="J239" ca="1">MMS_Dairy_Methane_Equations.VEERG_4_3_1_1__2_MethaneFromManureProduction(H$133,J175,_xlfn.XLOOKUP($E239,$D$228:$D$232,$E$228:$E$232),$I$221,$I$222)</f>
        <v>2.587150531041121E-5</v>
      </c>
      <c r="K239" s="2"/>
      <c r="O239" s="53" t="str">
        <f>INDEX(X_Table_Dairy_ProductionSystems_Method1,3,1)</f>
        <v>Milking shed</v>
      </c>
      <c r="P239" s="53" t="str">
        <f>INDEX(X_Table_Dairy_Stage1MMS_1_SumpAndDispersal,2,1)</f>
        <v>Sump and dispersal system</v>
      </c>
      <c r="Q239" s="53" cm="1">
        <f t="array" aca="1" ref="Q239" ca="1">MMS_Dairy_Methane_Equations.VEERG_4_3_1_1__2_MethaneFromManureProduction(O$133,Q175,_xlfn.XLOOKUP($P239,$O$228:$O$232,$P$228:$P$232),$I$221,$I$222)</f>
        <v>8.9996471612138024E-5</v>
      </c>
      <c r="R239" s="53" cm="1">
        <f t="array" aca="1" ref="R239" ca="1">MMS_Dairy_Methane_Equations.VEERG_4_3_1_1__2_MethaneFromManureProduction(P$133,R175,_xlfn.XLOOKUP($P239,$O$228:$O$232,$P$228:$P$232),$I$221,$I$222)</f>
        <v>3.5449757348655176E-5</v>
      </c>
      <c r="S239" s="53" cm="1">
        <f t="array" aca="1" ref="S239" ca="1">MMS_Dairy_Methane_Equations.VEERG_4_3_1_1__2_MethaneFromManureProduction(Q$133,S175,_xlfn.XLOOKUP($P239,$O$228:$O$232,$P$228:$P$232),$I$221,$I$222)</f>
        <v>1.9224026201084556E-5</v>
      </c>
      <c r="T239" s="53" cm="1">
        <f t="array" aca="1" ref="T239" ca="1">MMS_Dairy_Methane_Equations.VEERG_4_3_1_1__2_MethaneFromManureProduction(R$133,T175,_xlfn.XLOOKUP($P239,$O$228:$O$232,$P$228:$P$232),$I$221,$I$222)</f>
        <v>4.313402722019635E-5</v>
      </c>
      <c r="U239" s="53" cm="1">
        <f t="array" aca="1" ref="U239" ca="1">MMS_Dairy_Methane_Equations.VEERG_4_3_1_1__2_MethaneFromManureProduction(S$133,U175,_xlfn.XLOOKUP($P239,$O$228:$O$232,$P$228:$P$232),$I$221,$I$222)</f>
        <v>2.587150531041121E-5</v>
      </c>
      <c r="V239" s="2"/>
    </row>
    <row r="240" spans="4:22" ht="20.100000000000001" customHeight="1" x14ac:dyDescent="0.2">
      <c r="D240" s="53" t="str">
        <f>INDEX(X_Table_Dairy_ProductionSystems_Method1,3,1)</f>
        <v>Milking shed</v>
      </c>
      <c r="E240" s="53" t="str">
        <f>INDEX(X_Table_Dairy_Stage1MMS_1_DrainsToPaddock,2,1)</f>
        <v>Drains to paddock</v>
      </c>
      <c r="F240" s="53" cm="1">
        <f t="array" aca="1" ref="F240" ca="1">MMS_Dairy_Methane_Equations.VEERG_4_3_1_1__2_MethaneFromManureProduction(D$133,F176,_xlfn.XLOOKUP($E240,$D$228:$D$232,$E$228:$E$232),$I$221,$I$222)</f>
        <v>3.2398729780369687E-3</v>
      </c>
      <c r="G240" s="53" cm="1">
        <f t="array" aca="1" ref="G240" ca="1">MMS_Dairy_Methane_Equations.VEERG_4_3_1_1__2_MethaneFromManureProduction(E$133,G176,_xlfn.XLOOKUP($E240,$D$228:$D$232,$E$228:$E$232),$I$221,$I$222)</f>
        <v>1.2761912645515865E-3</v>
      </c>
      <c r="H240" s="53" cm="1">
        <f t="array" aca="1" ref="H240" ca="1">MMS_Dairy_Methane_Equations.VEERG_4_3_1_1__2_MethaneFromManureProduction(F$133,H176,_xlfn.XLOOKUP($E240,$D$228:$D$232,$E$228:$E$232),$I$221,$I$222)</f>
        <v>6.9206494323904399E-4</v>
      </c>
      <c r="I240" s="53" cm="1">
        <f t="array" aca="1" ref="I240" ca="1">MMS_Dairy_Methane_Equations.VEERG_4_3_1_1__2_MethaneFromManureProduction(G$133,I176,_xlfn.XLOOKUP($E240,$D$228:$D$232,$E$228:$E$232),$I$221,$I$222)</f>
        <v>1.5528249799270685E-3</v>
      </c>
      <c r="J240" s="53" cm="1">
        <f t="array" aca="1" ref="J240" ca="1">MMS_Dairy_Methane_Equations.VEERG_4_3_1_1__2_MethaneFromManureProduction(H$133,J176,_xlfn.XLOOKUP($E240,$D$228:$D$232,$E$228:$E$232),$I$221,$I$222)</f>
        <v>9.3137419117480342E-4</v>
      </c>
      <c r="K240" s="2"/>
      <c r="O240" s="53" t="str">
        <f>INDEX(X_Table_Dairy_ProductionSystems_Method1,3,1)</f>
        <v>Milking shed</v>
      </c>
      <c r="P240" s="53" t="str">
        <f>INDEX(X_Table_Dairy_Stage1MMS_1_DrainsToPaddock,2,1)</f>
        <v>Drains to paddock</v>
      </c>
      <c r="Q240" s="53" cm="1">
        <f t="array" aca="1" ref="Q240" ca="1">MMS_Dairy_Methane_Equations.VEERG_4_3_1_1__2_MethaneFromManureProduction(O$133,Q176,_xlfn.XLOOKUP($P240,$O$228:$O$232,$P$228:$P$232),$I$221,$I$222)</f>
        <v>3.9598447509340724E-3</v>
      </c>
      <c r="R240" s="53" cm="1">
        <f t="array" aca="1" ref="R240" ca="1">MMS_Dairy_Methane_Equations.VEERG_4_3_1_1__2_MethaneFromManureProduction(P$133,R176,_xlfn.XLOOKUP($P240,$O$228:$O$232,$P$228:$P$232),$I$221,$I$222)</f>
        <v>1.5597893233408276E-3</v>
      </c>
      <c r="S240" s="53" cm="1">
        <f t="array" aca="1" ref="S240" ca="1">MMS_Dairy_Methane_Equations.VEERG_4_3_1_1__2_MethaneFromManureProduction(Q$133,S176,_xlfn.XLOOKUP($P240,$O$228:$O$232,$P$228:$P$232),$I$221,$I$222)</f>
        <v>8.4585715284772047E-4</v>
      </c>
      <c r="T240" s="53" cm="1">
        <f t="array" aca="1" ref="T240" ca="1">MMS_Dairy_Methane_Equations.VEERG_4_3_1_1__2_MethaneFromManureProduction(R$133,T176,_xlfn.XLOOKUP($P240,$O$228:$O$232,$P$228:$P$232),$I$221,$I$222)</f>
        <v>1.8978971976886393E-3</v>
      </c>
      <c r="U240" s="53" cm="1">
        <f t="array" aca="1" ref="U240" ca="1">MMS_Dairy_Methane_Equations.VEERG_4_3_1_1__2_MethaneFromManureProduction(S$133,U176,_xlfn.XLOOKUP($P240,$O$228:$O$232,$P$228:$P$232),$I$221,$I$222)</f>
        <v>1.1383462336580932E-3</v>
      </c>
      <c r="V240" s="2"/>
    </row>
    <row r="241" spans="3:23" ht="20.100000000000001" customHeight="1" x14ac:dyDescent="0.2">
      <c r="D241" s="53" t="str">
        <f>INDEX(X_Table_Dairy_ProductionSystems_Method1,3,1)</f>
        <v>Milking shed</v>
      </c>
      <c r="E241" s="53" t="s">
        <v>400</v>
      </c>
      <c r="F241" s="53" cm="1">
        <f t="array" aca="1" ref="F241" ca="1">MMS_Dairy_Methane_Equations.VEERG_4_3_1_1__2_MethaneFromManureProduction(D$133,F205,_xlfn.XLOOKUP($E241,$D$228:$D$232,$E$228:$E$232),$I$221,$I$222)</f>
        <v>7.1997177289710409E-4</v>
      </c>
      <c r="G241" s="53" cm="1">
        <f t="array" aca="1" ref="G241" ca="1">MMS_Dairy_Methane_Equations.VEERG_4_3_1_1__2_MethaneFromManureProduction(E$133,G205,_xlfn.XLOOKUP($E241,$D$228:$D$232,$E$228:$E$232),$I$221,$I$222)</f>
        <v>2.8359805878924141E-4</v>
      </c>
      <c r="H241" s="53" cm="1">
        <f t="array" aca="1" ref="H241" ca="1">MMS_Dairy_Methane_Equations.VEERG_4_3_1_1__2_MethaneFromManureProduction(F$133,H205,_xlfn.XLOOKUP($E241,$D$228:$D$232,$E$228:$E$232),$I$221,$I$222)</f>
        <v>1.5379220960867642E-4</v>
      </c>
      <c r="I241" s="53" cm="1">
        <f t="array" aca="1" ref="I241" ca="1">MMS_Dairy_Methane_Equations.VEERG_4_3_1_1__2_MethaneFromManureProduction(G$133,I205,_xlfn.XLOOKUP($E241,$D$228:$D$232,$E$228:$E$232),$I$221,$I$222)</f>
        <v>3.4507221776157069E-4</v>
      </c>
      <c r="J241" s="53" cm="1">
        <f t="array" aca="1" ref="J241" ca="1">MMS_Dairy_Methane_Equations.VEERG_4_3_1_1__2_MethaneFromManureProduction(H$133,J205,_xlfn.XLOOKUP($E241,$D$228:$D$232,$E$228:$E$232),$I$221,$I$222)</f>
        <v>2.0697204248328968E-4</v>
      </c>
      <c r="K241" s="2"/>
      <c r="O241" s="53" t="str">
        <f>INDEX(X_Table_Dairy_ProductionSystems_Method1,3,1)</f>
        <v>Milking shed</v>
      </c>
      <c r="P241" s="53" t="s">
        <v>400</v>
      </c>
      <c r="Q241" s="53" cm="1">
        <f t="array" aca="1" ref="Q241" ca="1">MMS_Dairy_Methane_Equations.VEERG_4_3_1_1__2_MethaneFromManureProduction(O$133,Q205,_xlfn.XLOOKUP($P241,$O$228:$O$232,$P$228:$P$232),$I$221,$I$222)</f>
        <v>7.1997177289710409E-4</v>
      </c>
      <c r="R241" s="53" cm="1">
        <f t="array" aca="1" ref="R241" ca="1">MMS_Dairy_Methane_Equations.VEERG_4_3_1_1__2_MethaneFromManureProduction(P$133,R205,_xlfn.XLOOKUP($P241,$O$228:$O$232,$P$228:$P$232),$I$221,$I$222)</f>
        <v>2.8359805878924141E-4</v>
      </c>
      <c r="S241" s="53" cm="1">
        <f t="array" aca="1" ref="S241" ca="1">MMS_Dairy_Methane_Equations.VEERG_4_3_1_1__2_MethaneFromManureProduction(Q$133,S205,_xlfn.XLOOKUP($P241,$O$228:$O$232,$P$228:$P$232),$I$221,$I$222)</f>
        <v>1.5379220960867642E-4</v>
      </c>
      <c r="T241" s="53" cm="1">
        <f t="array" aca="1" ref="T241" ca="1">MMS_Dairy_Methane_Equations.VEERG_4_3_1_1__2_MethaneFromManureProduction(R$133,T205,_xlfn.XLOOKUP($P241,$O$228:$O$232,$P$228:$P$232),$I$221,$I$222)</f>
        <v>3.4507221776157069E-4</v>
      </c>
      <c r="U241" s="53" cm="1">
        <f t="array" aca="1" ref="U241" ca="1">MMS_Dairy_Methane_Equations.VEERG_4_3_1_1__2_MethaneFromManureProduction(S$133,U205,_xlfn.XLOOKUP($P241,$O$228:$O$232,$P$228:$P$232),$I$221,$I$222)</f>
        <v>2.0697204248328968E-4</v>
      </c>
      <c r="V241" s="2"/>
    </row>
    <row r="242" spans="3:23" ht="20.100000000000001" customHeight="1" x14ac:dyDescent="0.2">
      <c r="D242" s="53" t="str">
        <f>INDEX(X_Table_Dairy_ProductionSystems_Method1,4,1)</f>
        <v>Feed pad</v>
      </c>
      <c r="E242" s="53" t="str">
        <f>INDEX(X_Table_Dairy_Stage1MMS_2_AnaerobicLagoon,2,1)</f>
        <v>Anaerobic lagoon</v>
      </c>
      <c r="F242" s="53" cm="1">
        <f t="array" aca="1" ref="F242" ca="1">MMS_Dairy_Methane_Equations.VEERG_4_3_1_1__2_MethaneFromManureProduction(D$133,F177,_xlfn.XLOOKUP($E242,$D$228:$D$232,$E$228:$E$232),$I$221,$I$222)</f>
        <v>5.5339648544045585E-2</v>
      </c>
      <c r="G242" s="53" cm="1">
        <f t="array" aca="1" ref="G242" ca="1">MMS_Dairy_Methane_Equations.VEERG_4_3_1_1__2_MethaneFromManureProduction(E$133,G177,_xlfn.XLOOKUP($E242,$D$228:$D$232,$E$228:$E$232),$I$221,$I$222)</f>
        <v>2.1798378064209416E-2</v>
      </c>
      <c r="H242" s="53" cm="1">
        <f t="array" aca="1" ref="H242" ca="1">MMS_Dairy_Methane_Equations.VEERG_4_3_1_1__2_MethaneFromManureProduction(F$133,H177,_xlfn.XLOOKUP($E242,$D$228:$D$232,$E$228:$E$232),$I$221,$I$222)</f>
        <v>1.1821028474921448E-2</v>
      </c>
      <c r="I242" s="53" cm="1">
        <f t="array" aca="1" ref="I242" ca="1">MMS_Dairy_Methane_Equations.VEERG_4_3_1_1__2_MethaneFromManureProduction(G$133,I177,_xlfn.XLOOKUP($E242,$D$228:$D$232,$E$228:$E$232),$I$221,$I$222)</f>
        <v>2.6523505465218911E-2</v>
      </c>
      <c r="J242" s="53" cm="1">
        <f t="array" aca="1" ref="J242" ca="1">MMS_Dairy_Methane_Equations.VEERG_4_3_1_1__2_MethaneFromManureProduction(H$133,J177,_xlfn.XLOOKUP($E242,$D$228:$D$232,$E$228:$E$232),$I$221,$I$222)</f>
        <v>1.5908623810874673E-2</v>
      </c>
      <c r="K242" s="2"/>
      <c r="O242" s="53" t="str">
        <f>INDEX(X_Table_Dairy_ProductionSystems_Method1,4,1)</f>
        <v>Feed pad</v>
      </c>
      <c r="P242" s="53" t="str">
        <f>INDEX(X_Table_Dairy_Stage1MMS_2_AnaerobicLagoon,2,1)</f>
        <v>Anaerobic lagoon</v>
      </c>
      <c r="Q242" s="53" cm="1">
        <f t="array" aca="1" ref="Q242" ca="1">MMS_Dairy_Methane_Equations.VEERG_4_3_1_1__2_MethaneFromManureProduction(O$133,Q177,_xlfn.XLOOKUP($P242,$O$228:$O$232,$P$228:$P$232),$I$221,$I$222)</f>
        <v>5.6067801814361974E-2</v>
      </c>
      <c r="R242" s="53" cm="1">
        <f t="array" aca="1" ref="R242" ca="1">MMS_Dairy_Methane_Equations.VEERG_4_3_1_1__2_MethaneFromManureProduction(P$133,R177,_xlfn.XLOOKUP($P242,$O$228:$O$232,$P$228:$P$232),$I$221,$I$222)</f>
        <v>2.2085198828212176E-2</v>
      </c>
      <c r="S242" s="53" cm="1">
        <f t="array" aca="1" ref="S242" ca="1">MMS_Dairy_Methane_Equations.VEERG_4_3_1_1__2_MethaneFromManureProduction(Q$133,S177,_xlfn.XLOOKUP($P242,$O$228:$O$232,$P$228:$P$232),$I$221,$I$222)</f>
        <v>1.197656832327568E-2</v>
      </c>
      <c r="T242" s="53" cm="1">
        <f t="array" aca="1" ref="T242" ca="1">MMS_Dairy_Methane_Equations.VEERG_4_3_1_1__2_MethaneFromManureProduction(R$133,T177,_xlfn.XLOOKUP($P242,$O$228:$O$232,$P$228:$P$232),$I$221,$I$222)</f>
        <v>2.687249895818232E-2</v>
      </c>
      <c r="U242" s="53" cm="1">
        <f t="array" aca="1" ref="U242" ca="1">MMS_Dairy_Methane_Equations.VEERG_4_3_1_1__2_MethaneFromManureProduction(S$133,U177,_xlfn.XLOOKUP($P242,$O$228:$O$232,$P$228:$P$232),$I$221,$I$222)</f>
        <v>1.6117947808386185E-2</v>
      </c>
      <c r="V242" s="2"/>
    </row>
    <row r="243" spans="3:23" ht="20.100000000000001" customHeight="1" x14ac:dyDescent="0.2">
      <c r="D243" s="53" t="str">
        <f>INDEX(X_Table_Dairy_ProductionSystems_Method1,4,1)</f>
        <v>Feed pad</v>
      </c>
      <c r="E243" s="53" t="str">
        <f>INDEX(X_Table_Dairy_Stage1MMS_2_SumpAndDispersal,2,1)</f>
        <v>Sump and dispersal system</v>
      </c>
      <c r="F243" s="53" cm="1">
        <f t="array" aca="1" ref="F243" ca="1">MMS_Dairy_Methane_Equations.VEERG_4_3_1_1__2_MethaneFromManureProduction(D$133,F178,_xlfn.XLOOKUP($E243,$D$228:$D$232,$E$228:$E$232),$I$221,$I$222)</f>
        <v>2.9126130812655575E-4</v>
      </c>
      <c r="G243" s="53" cm="1">
        <f t="array" aca="1" ref="G243" ca="1">MMS_Dairy_Methane_Equations.VEERG_4_3_1_1__2_MethaneFromManureProduction(E$133,G178,_xlfn.XLOOKUP($E243,$D$228:$D$232,$E$228:$E$232),$I$221,$I$222)</f>
        <v>1.1472830560110218E-4</v>
      </c>
      <c r="H243" s="53" cm="1">
        <f t="array" aca="1" ref="H243" ca="1">MMS_Dairy_Methane_Equations.VEERG_4_3_1_1__2_MethaneFromManureProduction(F$133,H178,_xlfn.XLOOKUP($E243,$D$228:$D$232,$E$228:$E$232),$I$221,$I$222)</f>
        <v>6.2215939341691832E-5</v>
      </c>
      <c r="I243" s="53" cm="1">
        <f t="array" aca="1" ref="I243" ca="1">MMS_Dairy_Methane_Equations.VEERG_4_3_1_1__2_MethaneFromManureProduction(G$133,I178,_xlfn.XLOOKUP($E243,$D$228:$D$232,$E$228:$E$232),$I$221,$I$222)</f>
        <v>1.3959739718536268E-4</v>
      </c>
      <c r="J243" s="53" cm="1">
        <f t="array" aca="1" ref="J243" ca="1">MMS_Dairy_Methane_Equations.VEERG_4_3_1_1__2_MethaneFromManureProduction(H$133,J178,_xlfn.XLOOKUP($E243,$D$228:$D$232,$E$228:$E$232),$I$221,$I$222)</f>
        <v>8.3729599004603552E-5</v>
      </c>
      <c r="K243" s="2"/>
      <c r="O243" s="53" t="str">
        <f>INDEX(X_Table_Dairy_ProductionSystems_Method1,4,1)</f>
        <v>Feed pad</v>
      </c>
      <c r="P243" s="53" t="str">
        <f>INDEX(X_Table_Dairy_Stage1MMS_2_SumpAndDispersal,2,1)</f>
        <v>Sump and dispersal system</v>
      </c>
      <c r="Q243" s="53" cm="1">
        <f t="array" aca="1" ref="Q243" ca="1">MMS_Dairy_Methane_Equations.VEERG_4_3_1_1__2_MethaneFromManureProduction(O$133,Q178,_xlfn.XLOOKUP($P243,$O$228:$O$232,$P$228:$P$232),$I$221,$I$222)</f>
        <v>2.9126130812655575E-4</v>
      </c>
      <c r="R243" s="53" cm="1">
        <f t="array" aca="1" ref="R243" ca="1">MMS_Dairy_Methane_Equations.VEERG_4_3_1_1__2_MethaneFromManureProduction(P$133,R178,_xlfn.XLOOKUP($P243,$O$228:$O$232,$P$228:$P$232),$I$221,$I$222)</f>
        <v>1.1472830560110218E-4</v>
      </c>
      <c r="S243" s="53" cm="1">
        <f t="array" aca="1" ref="S243" ca="1">MMS_Dairy_Methane_Equations.VEERG_4_3_1_1__2_MethaneFromManureProduction(Q$133,S178,_xlfn.XLOOKUP($P243,$O$228:$O$232,$P$228:$P$232),$I$221,$I$222)</f>
        <v>6.2215939341691832E-5</v>
      </c>
      <c r="T243" s="53" cm="1">
        <f t="array" aca="1" ref="T243" ca="1">MMS_Dairy_Methane_Equations.VEERG_4_3_1_1__2_MethaneFromManureProduction(R$133,T178,_xlfn.XLOOKUP($P243,$O$228:$O$232,$P$228:$P$232),$I$221,$I$222)</f>
        <v>1.3959739718536268E-4</v>
      </c>
      <c r="U243" s="53" cm="1">
        <f t="array" aca="1" ref="U243" ca="1">MMS_Dairy_Methane_Equations.VEERG_4_3_1_1__2_MethaneFromManureProduction(S$133,U178,_xlfn.XLOOKUP($P243,$O$228:$O$232,$P$228:$P$232),$I$221,$I$222)</f>
        <v>8.3729599004603552E-5</v>
      </c>
      <c r="V243" s="2"/>
    </row>
    <row r="244" spans="3:23" ht="20.100000000000001" customHeight="1" x14ac:dyDescent="0.2">
      <c r="D244" s="53" t="str">
        <f>INDEX(X_Table_Dairy_ProductionSystems_Method1,4,1)</f>
        <v>Feed pad</v>
      </c>
      <c r="E244" s="53" t="str">
        <f>INDEX(X_Table_Dairy_Stage1MMS_2_DrainsToPaddock,2,1)</f>
        <v>Drains to paddock</v>
      </c>
      <c r="F244" s="53" cm="1">
        <f t="array" aca="1" ref="F244" ca="1">MMS_Dairy_Methane_Equations.VEERG_4_3_1_1__2_MethaneFromManureProduction(D$133,F179,_xlfn.XLOOKUP($E244,$D$228:$D$232,$E$228:$E$232),$I$221,$I$222)</f>
        <v>1.0485407092556005E-2</v>
      </c>
      <c r="G244" s="53" cm="1">
        <f t="array" aca="1" ref="G244" ca="1">MMS_Dairy_Methane_Equations.VEERG_4_3_1_1__2_MethaneFromManureProduction(E$133,G179,_xlfn.XLOOKUP($E244,$D$228:$D$232,$E$228:$E$232),$I$221,$I$222)</f>
        <v>4.1302190016396789E-3</v>
      </c>
      <c r="H244" s="53" cm="1">
        <f t="array" aca="1" ref="H244" ca="1">MMS_Dairy_Methane_Equations.VEERG_4_3_1_1__2_MethaneFromManureProduction(F$133,H179,_xlfn.XLOOKUP($E244,$D$228:$D$232,$E$228:$E$232),$I$221,$I$222)</f>
        <v>2.2397738163009058E-3</v>
      </c>
      <c r="I244" s="53" cm="1">
        <f t="array" aca="1" ref="I244" ca="1">MMS_Dairy_Methane_Equations.VEERG_4_3_1_1__2_MethaneFromManureProduction(G$133,I179,_xlfn.XLOOKUP($E244,$D$228:$D$232,$E$228:$E$232),$I$221,$I$222)</f>
        <v>5.0255062986730567E-3</v>
      </c>
      <c r="J244" s="53" cm="1">
        <f t="array" aca="1" ref="J244" ca="1">MMS_Dairy_Methane_Equations.VEERG_4_3_1_1__2_MethaneFromManureProduction(H$133,J179,_xlfn.XLOOKUP($E244,$D$228:$D$232,$E$228:$E$232),$I$221,$I$222)</f>
        <v>3.0142655641657275E-3</v>
      </c>
      <c r="K244" s="2"/>
      <c r="O244" s="53" t="str">
        <f>INDEX(X_Table_Dairy_ProductionSystems_Method1,4,1)</f>
        <v>Feed pad</v>
      </c>
      <c r="P244" s="53" t="str">
        <f>INDEX(X_Table_Dairy_Stage1MMS_2_DrainsToPaddock,2,1)</f>
        <v>Drains to paddock</v>
      </c>
      <c r="Q244" s="53" cm="1">
        <f t="array" aca="1" ref="Q244" ca="1">MMS_Dairy_Methane_Equations.VEERG_4_3_1_1__2_MethaneFromManureProduction(O$133,Q179,_xlfn.XLOOKUP($P244,$O$228:$O$232,$P$228:$P$232),$I$221,$I$222)</f>
        <v>1.2815497557568452E-2</v>
      </c>
      <c r="R244" s="53" cm="1">
        <f t="array" aca="1" ref="R244" ca="1">MMS_Dairy_Methane_Equations.VEERG_4_3_1_1__2_MethaneFromManureProduction(P$133,R179,_xlfn.XLOOKUP($P244,$O$228:$O$232,$P$228:$P$232),$I$221,$I$222)</f>
        <v>5.0480454464484964E-3</v>
      </c>
      <c r="S244" s="53" cm="1">
        <f t="array" aca="1" ref="S244" ca="1">MMS_Dairy_Methane_Equations.VEERG_4_3_1_1__2_MethaneFromManureProduction(Q$133,S179,_xlfn.XLOOKUP($P244,$O$228:$O$232,$P$228:$P$232),$I$221,$I$222)</f>
        <v>2.7375013310344406E-3</v>
      </c>
      <c r="T244" s="53" cm="1">
        <f t="array" aca="1" ref="T244" ca="1">MMS_Dairy_Methane_Equations.VEERG_4_3_1_1__2_MethaneFromManureProduction(R$133,T179,_xlfn.XLOOKUP($P244,$O$228:$O$232,$P$228:$P$232),$I$221,$I$222)</f>
        <v>6.1422854761559592E-3</v>
      </c>
      <c r="U244" s="53" cm="1">
        <f t="array" aca="1" ref="U244" ca="1">MMS_Dairy_Methane_Equations.VEERG_4_3_1_1__2_MethaneFromManureProduction(S$133,U179,_xlfn.XLOOKUP($P244,$O$228:$O$232,$P$228:$P$232),$I$221,$I$222)</f>
        <v>3.684102356202556E-3</v>
      </c>
      <c r="V244" s="2"/>
    </row>
    <row r="245" spans="3:23" ht="20.100000000000001" customHeight="1" x14ac:dyDescent="0.2">
      <c r="D245" s="53" t="str">
        <f>INDEX(X_Table_Dairy_ProductionSystems_Method1,4,1)</f>
        <v>Feed pad</v>
      </c>
      <c r="E245" s="53" t="s">
        <v>400</v>
      </c>
      <c r="F245" s="53" cm="1">
        <f t="array" aca="1" ref="F245" ca="1">MMS_Dairy_Methane_Equations.VEERG_4_3_1_1__2_MethaneFromManureProduction(D$133,F206,_xlfn.XLOOKUP($E245,$D$228:$D$232,$E$228:$E$232),$I$221,$I$222)</f>
        <v>2.0388291568858899E-3</v>
      </c>
      <c r="G245" s="53" cm="1">
        <f t="array" aca="1" ref="G245" ca="1">MMS_Dairy_Methane_Equations.VEERG_4_3_1_1__2_MethaneFromManureProduction(E$133,G206,_xlfn.XLOOKUP($E245,$D$228:$D$232,$E$228:$E$232),$I$221,$I$222)</f>
        <v>8.0309813920771526E-4</v>
      </c>
      <c r="H245" s="53" cm="1">
        <f t="array" aca="1" ref="H245" ca="1">MMS_Dairy_Methane_Equations.VEERG_4_3_1_1__2_MethaneFromManureProduction(F$133,H206,_xlfn.XLOOKUP($E245,$D$228:$D$232,$E$228:$E$232),$I$221,$I$222)</f>
        <v>4.3551157539184287E-4</v>
      </c>
      <c r="I245" s="53" cm="1">
        <f t="array" aca="1" ref="I245" ca="1">MMS_Dairy_Methane_Equations.VEERG_4_3_1_1__2_MethaneFromManureProduction(G$133,I206,_xlfn.XLOOKUP($E245,$D$228:$D$232,$E$228:$E$232),$I$221,$I$222)</f>
        <v>9.7718178029753897E-4</v>
      </c>
      <c r="J245" s="53" cm="1">
        <f t="array" aca="1" ref="J245" ca="1">MMS_Dairy_Methane_Equations.VEERG_4_3_1_1__2_MethaneFromManureProduction(H$133,J206,_xlfn.XLOOKUP($E245,$D$228:$D$232,$E$228:$E$232),$I$221,$I$222)</f>
        <v>5.8610719303222485E-4</v>
      </c>
      <c r="K245" s="2"/>
      <c r="O245" s="53" t="str">
        <f>INDEX(X_Table_Dairy_ProductionSystems_Method1,4,1)</f>
        <v>Feed pad</v>
      </c>
      <c r="P245" s="53" t="s">
        <v>400</v>
      </c>
      <c r="Q245" s="53" cm="1">
        <f t="array" aca="1" ref="Q245" ca="1">MMS_Dairy_Methane_Equations.VEERG_4_3_1_1__2_MethaneFromManureProduction(O$133,Q206,_xlfn.XLOOKUP($P245,$O$228:$O$232,$P$228:$P$232),$I$221,$I$222)</f>
        <v>2.0388291568858899E-3</v>
      </c>
      <c r="R245" s="53" cm="1">
        <f t="array" aca="1" ref="R245" ca="1">MMS_Dairy_Methane_Equations.VEERG_4_3_1_1__2_MethaneFromManureProduction(P$133,R206,_xlfn.XLOOKUP($P245,$O$228:$O$232,$P$228:$P$232),$I$221,$I$222)</f>
        <v>8.0309813920771526E-4</v>
      </c>
      <c r="S245" s="53" cm="1">
        <f t="array" aca="1" ref="S245" ca="1">MMS_Dairy_Methane_Equations.VEERG_4_3_1_1__2_MethaneFromManureProduction(Q$133,S206,_xlfn.XLOOKUP($P245,$O$228:$O$232,$P$228:$P$232),$I$221,$I$222)</f>
        <v>4.3551157539184287E-4</v>
      </c>
      <c r="T245" s="53" cm="1">
        <f t="array" aca="1" ref="T245" ca="1">MMS_Dairy_Methane_Equations.VEERG_4_3_1_1__2_MethaneFromManureProduction(R$133,T206,_xlfn.XLOOKUP($P245,$O$228:$O$232,$P$228:$P$232),$I$221,$I$222)</f>
        <v>9.7718178029753897E-4</v>
      </c>
      <c r="U245" s="53" cm="1">
        <f t="array" aca="1" ref="U245" ca="1">MMS_Dairy_Methane_Equations.VEERG_4_3_1_1__2_MethaneFromManureProduction(S$133,U206,_xlfn.XLOOKUP($P245,$O$228:$O$232,$P$228:$P$232),$I$221,$I$222)</f>
        <v>5.8610719303222485E-4</v>
      </c>
      <c r="V245" s="2"/>
    </row>
    <row r="248" spans="3:23" ht="20.100000000000001" customHeight="1" x14ac:dyDescent="0.2">
      <c r="C248" s="46"/>
      <c r="D248" s="46"/>
      <c r="E248" s="46"/>
      <c r="F248" s="46"/>
      <c r="G248" s="46"/>
      <c r="H248" s="46"/>
      <c r="I248" s="46"/>
      <c r="J248" s="46"/>
      <c r="K248" s="46"/>
      <c r="L248" s="46"/>
      <c r="N248" s="46"/>
      <c r="O248" s="46"/>
      <c r="P248" s="46"/>
      <c r="Q248" s="46"/>
      <c r="R248" s="46"/>
      <c r="S248" s="46"/>
      <c r="T248" s="46"/>
      <c r="U248" s="46"/>
      <c r="V248" s="46"/>
      <c r="W248" s="46"/>
    </row>
    <row r="249" spans="3:23" ht="20.100000000000001" customHeight="1" x14ac:dyDescent="0.2">
      <c r="D249" s="6" t="str" cm="1">
        <f t="array" ref="D249">MMS_Dairy_Methane_Equations.VEERG_4_3_1_1__1_TotalAnnualMethaneFromManureManagement_Title()</f>
        <v>Total annual methane production from manure management</v>
      </c>
    </row>
    <row r="250" spans="3:23" ht="20.100000000000001" customHeight="1" x14ac:dyDescent="0.2">
      <c r="D250" s="5" t="str" cm="1">
        <f t="array" ref="D250">MMS_Dairy_Methane_Equations.VEERG_4_3_1_1__1_TotalAnnualMethaneFromManureManagement_Source()</f>
        <v>VEERG 2026: 4.3.1.1, Equation (1)</v>
      </c>
    </row>
    <row r="251" spans="3:23" ht="20.100000000000001" customHeight="1" x14ac:dyDescent="0.2">
      <c r="D251" s="56" t="str" cm="1">
        <f t="array" ref="D251">MMS_Dairy_Methane_Equations.VEERG_4_3_1_1__1_TotalAnnualMethaneFromManureManagement_Variation()</f>
        <v>VARIATION: Used separate variable for duration of stay on farm for pre-weaned heifer and bull calves.</v>
      </c>
    </row>
    <row r="252" spans="3:23" ht="20.100000000000001" customHeight="1" x14ac:dyDescent="0.2">
      <c r="D252" s="13" t="s">
        <v>25</v>
      </c>
      <c r="E252" s="13" t="str" cm="1">
        <f t="array" aca="1" ref="E252" ca="1">Common_InputFunctions.Utility_DisplayFunctionName($F$291)</f>
        <v>=MMS_Dairy_Methane_Equations.VEERG_4_3_1_1__1_TotalAnnualMethaneFromManureManagementVariation</v>
      </c>
    </row>
    <row r="253" spans="3:23" ht="20.100000000000001" customHeight="1" x14ac:dyDescent="0.2">
      <c r="D253" s="6"/>
    </row>
    <row r="254" spans="3:23" ht="20.100000000000001" customHeight="1" x14ac:dyDescent="0.2">
      <c r="D254" s="6"/>
    </row>
    <row r="255" spans="3:23" ht="20.100000000000001" customHeight="1" x14ac:dyDescent="0.2">
      <c r="D255" s="54" t="s">
        <v>28</v>
      </c>
      <c r="E255" s="1" t="str" cm="1">
        <f t="array" ref="E255">MMS_Dairy_Methane_Equations.VEERG_4_3_1_1__1_TotalAnnualMethaneFromManureManagement_Variable()</f>
        <v>E_CH4</v>
      </c>
    </row>
    <row r="256" spans="3:23" ht="20.100000000000001" customHeight="1" x14ac:dyDescent="0.2">
      <c r="D256" s="54" t="s">
        <v>18</v>
      </c>
      <c r="E256" s="55" t="str" cm="1">
        <f t="array" ref="E256">MMS_Dairy_Methane_Equations.VEERG_4_3_1_1__1_TotalAnnualMethaneFromManureManagement_Unit()</f>
        <v>t CH4</v>
      </c>
    </row>
    <row r="258" spans="4:15" ht="20.100000000000001" customHeight="1" x14ac:dyDescent="0.2">
      <c r="D258" s="133" t="str" cm="1">
        <f t="array" ref="D258:E265">_xlfn.CHOOSECOLS(MMS_Dairy_Methane_Equations.VEERG_4_3_1_1__1_TotalAnnualMethaneFromManureManagement_Arguments(),1,2)</f>
        <v>N_j124</v>
      </c>
      <c r="E258" s="132" t="str">
        <v>number of dairy cattle in classes j=1,2,4</v>
      </c>
      <c r="F258" s="138"/>
      <c r="G258" s="134"/>
      <c r="H258" s="133" t="str" cm="1">
        <f t="array" ref="H258:I265">_xlfn.CHOOSECOLS(MMS_Dairy_Methane_Equations.VEERG_4_3_1_1__1_TotalAnnualMethaneFromManureManagement_Arguments(),3,4)</f>
        <v>head</v>
      </c>
      <c r="I258" s="131" t="str">
        <v>Input</v>
      </c>
      <c r="J258" s="130" t="str" cm="1">
        <f t="array" aca="1" ref="J258" ca="1">HYPERLINK(Common_InputFunctions.Utility_SourceHyperlink($D$267),$D$267)</f>
        <v>Table_N_j</v>
      </c>
    </row>
    <row r="259" spans="4:15" ht="20.100000000000001" customHeight="1" x14ac:dyDescent="0.2">
      <c r="D259" s="133" t="str">
        <v>M_j124m</v>
      </c>
      <c r="E259" s="132" t="str">
        <v>methane production from manure of weaned dairy cattle in classes j=1,2,4 in MMS m</v>
      </c>
      <c r="F259" s="138"/>
      <c r="G259" s="134"/>
      <c r="H259" s="133" t="str">
        <v>kg CH4/head/day</v>
      </c>
      <c r="I259" s="129" t="str">
        <v>Calculated from 4.3.1.1 (2)</v>
      </c>
      <c r="J259" s="130" t="str" cm="1">
        <f t="array" aca="1" ref="J259" ca="1">HYPERLINK(Common_InputFunctions.Utility_SourceHyperlink($D$234),$D$234)</f>
        <v>M1_M_j_m</v>
      </c>
    </row>
    <row r="260" spans="4:15" ht="20.100000000000001" customHeight="1" x14ac:dyDescent="0.2">
      <c r="D260" s="133" t="str">
        <v>D_j124</v>
      </c>
      <c r="E260" s="132" t="str">
        <v>duration of stay on farm for classes j=1,2,4</v>
      </c>
      <c r="F260" s="138"/>
      <c r="G260" s="134"/>
      <c r="H260" s="133" t="str">
        <v>days</v>
      </c>
      <c r="I260" s="131" t="str">
        <v>Input</v>
      </c>
      <c r="J260" s="130" t="str" cm="1">
        <f t="array" aca="1" ref="J260" ca="1">HYPERLINK(Common_InputFunctions.Utility_SourceHyperlink($D$272),$D$272)</f>
        <v>M1_Table_D_j</v>
      </c>
    </row>
    <row r="261" spans="4:15" ht="20.100000000000001" customHeight="1" x14ac:dyDescent="0.2">
      <c r="D261" s="133" t="str">
        <v>N_j35</v>
      </c>
      <c r="E261" s="132" t="str">
        <v>number of dairy cattle in classes j=3,5</v>
      </c>
      <c r="F261" s="138"/>
      <c r="G261" s="134"/>
      <c r="H261" s="133" t="str">
        <v>head</v>
      </c>
      <c r="I261" s="131" t="str">
        <v>Input</v>
      </c>
      <c r="J261" s="130" t="str" cm="1">
        <f t="array" aca="1" ref="J261" ca="1">HYPERLINK(Common_InputFunctions.Utility_SourceHyperlink($D$267),$D$267)</f>
        <v>Table_N_j</v>
      </c>
    </row>
    <row r="262" spans="4:15" ht="20.100000000000001" customHeight="1" x14ac:dyDescent="0.2">
      <c r="D262" s="133" t="str">
        <v>M_j35m</v>
      </c>
      <c r="E262" s="132" t="str">
        <v>methane production from manure of weaned dairy cattle in classes j=3,5 in MMS m</v>
      </c>
      <c r="F262" s="138"/>
      <c r="G262" s="134"/>
      <c r="H262" s="133" t="str">
        <v>kg CH4/head/day</v>
      </c>
      <c r="I262" s="129" t="str">
        <v>Calculated from 4.3.1.1 (2)</v>
      </c>
      <c r="J262" s="130" t="str" cm="1">
        <f t="array" aca="1" ref="J262" ca="1">HYPERLINK(Common_InputFunctions.Utility_SourceHyperlink($D$234),$D$234)</f>
        <v>M1_M_j_m</v>
      </c>
    </row>
    <row r="263" spans="4:15" ht="20.100000000000001" customHeight="1" x14ac:dyDescent="0.2">
      <c r="D263" s="133" t="str">
        <v>D_j35</v>
      </c>
      <c r="E263" s="132" t="str">
        <v>duration of stay on farm for classes j=3,5</v>
      </c>
      <c r="F263" s="138"/>
      <c r="G263" s="134"/>
      <c r="H263" s="133" t="str">
        <v>days</v>
      </c>
      <c r="I263" s="131" t="str">
        <v>Input</v>
      </c>
      <c r="J263" s="130" t="str" cm="1">
        <f t="array" aca="1" ref="J263" ca="1">HYPERLINK(Common_InputFunctions.Utility_SourceHyperlink($D$272),$D$272)</f>
        <v>M1_Table_D_j</v>
      </c>
    </row>
    <row r="264" spans="4:15" ht="20.100000000000001" customHeight="1" x14ac:dyDescent="0.2">
      <c r="D264" s="133" t="str">
        <v>MPW_manure_j35</v>
      </c>
      <c r="E264" s="132" t="str">
        <v>methane production from manure of pre-weaned heifer and bull calves</v>
      </c>
      <c r="F264" s="138"/>
      <c r="G264" s="134"/>
      <c r="H264" s="133" t="str">
        <v>kg CH4/head/day</v>
      </c>
      <c r="I264" s="129" t="str">
        <v>Constant</v>
      </c>
      <c r="J264" s="130" t="str" cm="1">
        <f t="array" aca="1" ref="J264" ca="1">HYPERLINK(Common_InputFunctions.Utility_SourceHyperlink($D$277),$D$277)</f>
        <v>Table_MPW_manure_j-3-5</v>
      </c>
    </row>
    <row r="265" spans="4:15" ht="20.100000000000001" customHeight="1" x14ac:dyDescent="0.2">
      <c r="D265" s="133" t="str">
        <v>DPW_j35</v>
      </c>
      <c r="E265" s="132" t="str">
        <v>duration of stay on farm for pre-weaned heifer and bull calves</v>
      </c>
      <c r="F265" s="138"/>
      <c r="G265" s="134"/>
      <c r="H265" s="133" t="str">
        <v>days</v>
      </c>
      <c r="I265" s="131" t="str">
        <v>Input</v>
      </c>
      <c r="J265" s="130" t="str" cm="1">
        <f t="array" aca="1" ref="J265" ca="1">HYPERLINK(Common_InputFunctions.Utility_SourceHyperlink($D$282),$D$282)</f>
        <v>M1_Table_DPW_j</v>
      </c>
    </row>
    <row r="267" spans="4:15" ht="20.100000000000001" customHeight="1" x14ac:dyDescent="0.2">
      <c r="D267" s="100" t="s">
        <v>102</v>
      </c>
    </row>
    <row r="268" spans="4:15" ht="20.100000000000001" customHeight="1" x14ac:dyDescent="0.2">
      <c r="D268" s="99" t="s">
        <v>258</v>
      </c>
    </row>
    <row r="269" spans="4:15" ht="20.100000000000001" customHeight="1" x14ac:dyDescent="0.2">
      <c r="D269" s="40" t="s">
        <v>167</v>
      </c>
      <c r="E269" s="40" t="s">
        <v>184</v>
      </c>
      <c r="F269" s="40" t="s">
        <v>185</v>
      </c>
      <c r="G269" s="40" t="s">
        <v>186</v>
      </c>
      <c r="H269" s="40" t="s">
        <v>187</v>
      </c>
    </row>
    <row r="270" spans="4:15" ht="20.100000000000001" customHeight="1" x14ac:dyDescent="0.2">
      <c r="D270" s="103">
        <f>INDEX(X_Table_Dairy_HerdMovement,2,2)</f>
        <v>100</v>
      </c>
      <c r="E270" s="103">
        <f>INDEX(X_Table_Dairy_HerdMovement,2,3)</f>
        <v>100</v>
      </c>
      <c r="F270" s="103">
        <f>INDEX(X_Table_Dairy_HerdMovement,2,4)</f>
        <v>100</v>
      </c>
      <c r="G270" s="103">
        <f>INDEX(X_Table_Dairy_HerdMovement,2,5)</f>
        <v>100</v>
      </c>
      <c r="H270" s="103">
        <f>INDEX(X_Table_Dairy_HerdMovement,2,6)</f>
        <v>100</v>
      </c>
      <c r="I270" s="2" t="s">
        <v>103</v>
      </c>
    </row>
    <row r="272" spans="4:15" ht="20.100000000000001" customHeight="1" x14ac:dyDescent="0.2">
      <c r="D272" s="100" t="s">
        <v>259</v>
      </c>
      <c r="O272" s="100" t="s">
        <v>269</v>
      </c>
    </row>
    <row r="273" spans="1:20" ht="20.100000000000001" customHeight="1" x14ac:dyDescent="0.2">
      <c r="D273" s="99" t="s">
        <v>267</v>
      </c>
      <c r="O273" s="99" t="s">
        <v>270</v>
      </c>
    </row>
    <row r="274" spans="1:20" ht="20.100000000000001" customHeight="1" x14ac:dyDescent="0.2">
      <c r="D274" s="40" t="s">
        <v>167</v>
      </c>
      <c r="E274" s="40" t="s">
        <v>184</v>
      </c>
      <c r="F274" s="40" t="s">
        <v>185</v>
      </c>
      <c r="G274" s="40" t="s">
        <v>186</v>
      </c>
      <c r="H274" s="40" t="s">
        <v>187</v>
      </c>
      <c r="O274" s="40" t="s">
        <v>167</v>
      </c>
      <c r="P274" s="40" t="s">
        <v>184</v>
      </c>
      <c r="Q274" s="40" t="s">
        <v>185</v>
      </c>
      <c r="R274" s="40" t="s">
        <v>186</v>
      </c>
      <c r="S274" s="40" t="s">
        <v>187</v>
      </c>
    </row>
    <row r="275" spans="1:20" ht="20.100000000000001" customHeight="1" x14ac:dyDescent="0.2">
      <c r="A275" s="137" t="str">
        <f>HYPERLINK("#A1", "▲ Back to top")</f>
        <v>▲ Back to top</v>
      </c>
      <c r="D275" s="53">
        <f>INDEX(X_Table_Dairy_DurationOfStay_Method1,2,2)</f>
        <v>365</v>
      </c>
      <c r="E275" s="53">
        <f>INDEX(X_Table_Dairy_DurationOfStay_Method1,2,3)</f>
        <v>365</v>
      </c>
      <c r="F275" s="53">
        <f>INDEX(X_Table_Dairy_DurationOfStay_Method1,2,4)</f>
        <v>281</v>
      </c>
      <c r="G275" s="53">
        <f>INDEX(X_Table_Dairy_DurationOfStay_Method1,2,5)</f>
        <v>365</v>
      </c>
      <c r="H275" s="53">
        <f>INDEX(X_Table_Dairy_DurationOfStay_Method1,2,6)</f>
        <v>281</v>
      </c>
      <c r="I275" s="2" t="s">
        <v>53</v>
      </c>
      <c r="O275" s="53">
        <f>INDEX(X_Table_Dairy_DurationOfStay_Method2,2,2)</f>
        <v>365</v>
      </c>
      <c r="P275" s="53">
        <f>INDEX(X_Table_Dairy_DurationOfStay_Method2,2,3)</f>
        <v>365</v>
      </c>
      <c r="Q275" s="53">
        <f>INDEX(X_Table_Dairy_DurationOfStay_Method2,2,4)</f>
        <v>281</v>
      </c>
      <c r="R275" s="53">
        <f>INDEX(X_Table_Dairy_DurationOfStay_Method2,2,5)</f>
        <v>365</v>
      </c>
      <c r="S275" s="53">
        <f>INDEX(X_Table_Dairy_DurationOfStay_Method2,2,6)</f>
        <v>281</v>
      </c>
      <c r="T275" s="2" t="s">
        <v>53</v>
      </c>
    </row>
    <row r="277" spans="1:20" ht="20.100000000000001" customHeight="1" x14ac:dyDescent="0.2">
      <c r="D277" s="100" t="s">
        <v>261</v>
      </c>
    </row>
    <row r="278" spans="1:20" ht="20.100000000000001" customHeight="1" x14ac:dyDescent="0.2">
      <c r="D278" s="99" t="s">
        <v>262</v>
      </c>
    </row>
    <row r="279" spans="1:20" ht="20.100000000000001" customHeight="1" x14ac:dyDescent="0.2">
      <c r="D279" s="52" t="s">
        <v>167</v>
      </c>
      <c r="E279" s="52" t="s">
        <v>184</v>
      </c>
      <c r="F279" s="52" t="s">
        <v>185</v>
      </c>
      <c r="G279" s="52" t="s">
        <v>186</v>
      </c>
      <c r="H279" s="52" t="s">
        <v>187</v>
      </c>
    </row>
    <row r="280" spans="1:20" ht="20.100000000000001" customHeight="1" x14ac:dyDescent="0.2">
      <c r="D280" s="53">
        <v>0</v>
      </c>
      <c r="E280" s="53">
        <v>0</v>
      </c>
      <c r="F280" s="53">
        <f>'Constants - Dairy'!$E$63</f>
        <v>1.7600000000000001E-2</v>
      </c>
      <c r="G280" s="53">
        <v>0</v>
      </c>
      <c r="H280" s="53">
        <f>'Constants - Dairy'!$E$64</f>
        <v>2.0400000000000001E-2</v>
      </c>
      <c r="I280" s="2" t="s">
        <v>264</v>
      </c>
    </row>
    <row r="282" spans="1:20" ht="20.100000000000001" customHeight="1" x14ac:dyDescent="0.2">
      <c r="D282" s="100" t="s">
        <v>260</v>
      </c>
      <c r="O282" s="100" t="s">
        <v>260</v>
      </c>
    </row>
    <row r="283" spans="1:20" ht="20.100000000000001" customHeight="1" x14ac:dyDescent="0.2">
      <c r="D283" s="99" t="s">
        <v>268</v>
      </c>
      <c r="O283" s="99" t="s">
        <v>268</v>
      </c>
    </row>
    <row r="284" spans="1:20" ht="20.100000000000001" customHeight="1" x14ac:dyDescent="0.2">
      <c r="D284" s="52" t="s">
        <v>167</v>
      </c>
      <c r="E284" s="52" t="s">
        <v>184</v>
      </c>
      <c r="F284" s="52" t="s">
        <v>185</v>
      </c>
      <c r="G284" s="52" t="s">
        <v>186</v>
      </c>
      <c r="H284" s="52" t="s">
        <v>187</v>
      </c>
      <c r="O284" s="40" t="s">
        <v>167</v>
      </c>
      <c r="P284" s="40" t="s">
        <v>184</v>
      </c>
      <c r="Q284" s="40" t="s">
        <v>185</v>
      </c>
      <c r="R284" s="40" t="s">
        <v>186</v>
      </c>
      <c r="S284" s="40" t="s">
        <v>187</v>
      </c>
    </row>
    <row r="285" spans="1:20" ht="20.100000000000001" customHeight="1" x14ac:dyDescent="0.2">
      <c r="D285" s="53">
        <f>INDEX(X_Table_Dairy_DurationOfStay_Method1,3,2)</f>
        <v>0</v>
      </c>
      <c r="E285" s="53">
        <f>INDEX(X_Table_Dairy_DurationOfStay_Method1,3,3)</f>
        <v>0</v>
      </c>
      <c r="F285" s="53">
        <f>INDEX(X_Table_Dairy_DurationOfStay_Method1,3,4)</f>
        <v>84</v>
      </c>
      <c r="G285" s="53">
        <f>INDEX(X_Table_Dairy_DurationOfStay_Method1,3,5)</f>
        <v>0</v>
      </c>
      <c r="H285" s="53">
        <f>INDEX(X_Table_Dairy_DurationOfStay_Method1,3,6)</f>
        <v>84</v>
      </c>
      <c r="I285" s="2" t="s">
        <v>53</v>
      </c>
      <c r="O285" s="53">
        <f>INDEX(X_Table_Dairy_DurationOfStay_Method2,3,2)</f>
        <v>0</v>
      </c>
      <c r="P285" s="53">
        <f>INDEX(X_Table_Dairy_DurationOfStay_Method2,3,3)</f>
        <v>0</v>
      </c>
      <c r="Q285" s="53">
        <f>INDEX(X_Table_Dairy_DurationOfStay_Method2,3,4)</f>
        <v>84</v>
      </c>
      <c r="R285" s="53">
        <f>INDEX(X_Table_Dairy_DurationOfStay_Method2,3,5)</f>
        <v>0</v>
      </c>
      <c r="S285" s="53">
        <f>INDEX(X_Table_Dairy_DurationOfStay_Method2,3,6)</f>
        <v>84</v>
      </c>
      <c r="T285" s="2" t="s">
        <v>53</v>
      </c>
    </row>
    <row r="287" spans="1:20" ht="20.100000000000001" customHeight="1" x14ac:dyDescent="0.2">
      <c r="D287" s="100" t="s">
        <v>263</v>
      </c>
      <c r="O287" s="100" t="s">
        <v>263</v>
      </c>
    </row>
    <row r="288" spans="1:20" ht="20.100000000000001" customHeight="1" x14ac:dyDescent="0.2">
      <c r="D288" s="99" t="s">
        <v>274</v>
      </c>
      <c r="O288" s="99" t="s">
        <v>446</v>
      </c>
    </row>
    <row r="289" spans="4:21" ht="20.100000000000001" customHeight="1" x14ac:dyDescent="0.2">
      <c r="D289" s="52" t="s">
        <v>142</v>
      </c>
      <c r="E289" s="52" t="s">
        <v>66</v>
      </c>
      <c r="F289" s="52" t="s">
        <v>167</v>
      </c>
      <c r="G289" s="52" t="s">
        <v>184</v>
      </c>
      <c r="H289" s="52" t="s">
        <v>185</v>
      </c>
      <c r="I289" s="52" t="s">
        <v>186</v>
      </c>
      <c r="J289" s="52" t="s">
        <v>187</v>
      </c>
      <c r="O289" s="52" t="s">
        <v>142</v>
      </c>
      <c r="P289" s="52" t="s">
        <v>66</v>
      </c>
      <c r="Q289" s="52" t="s">
        <v>167</v>
      </c>
      <c r="R289" s="52" t="s">
        <v>184</v>
      </c>
      <c r="S289" s="52" t="s">
        <v>185</v>
      </c>
      <c r="T289" s="52" t="s">
        <v>186</v>
      </c>
      <c r="U289" s="52" t="s">
        <v>187</v>
      </c>
    </row>
    <row r="290" spans="4:21" ht="20.100000000000001" customHeight="1" x14ac:dyDescent="0.2">
      <c r="D290" s="53" t="str">
        <f>INDEX(X_Table_Dairy_ProductionSystems_Method1,2,1)</f>
        <v>Pasture</v>
      </c>
      <c r="E290" s="53" t="str">
        <f>'Constants - Common Livestock'!$E$27</f>
        <v>Pasture range and paddock</v>
      </c>
      <c r="F290" s="53" cm="1">
        <f t="array" aca="1" ref="F290" ca="1">MMS_Dairy_Methane_Equations.VEERG_4_3_1_1__1_TotalAnnualMethaneFromManureManagementVariation(D$270,F237,D$275,0,0,0,0,0)</f>
        <v>0.15946556619928928</v>
      </c>
      <c r="G290" s="53" cm="1">
        <f t="array" aca="1" ref="G290" ca="1">MMS_Dairy_Methane_Equations.VEERG_4_3_1_1__1_TotalAnnualMethaneFromManureManagementVariation(E$270,G237,E$275,0,0,0,0,0)</f>
        <v>6.2813747316603469E-2</v>
      </c>
      <c r="H290" s="53" cm="1">
        <f t="array" aca="1" ref="H290" ca="1">MMS_Dairy_Methane_Equations.VEERG_4_3_1_1__1_TotalAnnualMethaneFromManureManagementVariation(0,0,0,F$270,H237,F$275,F$280,F$285)</f>
        <v>0.17406401843252312</v>
      </c>
      <c r="I290" s="53" cm="1">
        <f t="array" aca="1" ref="I290" ca="1">MMS_Dairy_Methane_Equations.VEERG_4_3_1_1__1_TotalAnnualMethaneFromManureManagementVariation(G$270,I237,G$275,0,0,0,0,0)</f>
        <v>7.6429574958986099E-2</v>
      </c>
      <c r="J290" s="53" cm="1">
        <f t="array" aca="1" ref="J290" ca="1">MMS_Dairy_Methane_Equations.VEERG_4_3_1_1__1_TotalAnnualMethaneFromManureManagementVariation(0,0,0,H$270,J237,H$275,H$280,H$285)</f>
        <v>0.20665202598044041</v>
      </c>
      <c r="O290" s="53" t="str">
        <f>INDEX(X_Table_Dairy_ProductionSystems_Method1,2,1)</f>
        <v>Pasture</v>
      </c>
      <c r="P290" s="53" t="str">
        <f>'Constants - Common Livestock'!$E$27</f>
        <v>Pasture range and paddock</v>
      </c>
      <c r="Q290" s="53" cm="1">
        <f t="array" aca="1" ref="Q290" ca="1">MMS_Dairy_Methane_Equations.VEERG_4_3_1_1__1_TotalAnnualMethaneFromManureManagementVariation(D$270,Q237,O$275,0,0,0,0,0)</f>
        <v>0.15946556619928928</v>
      </c>
      <c r="R290" s="53" cm="1">
        <f t="array" aca="1" ref="R290" ca="1">MMS_Dairy_Methane_Equations.VEERG_4_3_1_1__1_TotalAnnualMethaneFromManureManagementVariation(E$270,R237,P$275,0,0,0,0,0)</f>
        <v>6.2813747316603469E-2</v>
      </c>
      <c r="S290" s="53" cm="1">
        <f t="array" aca="1" ref="S290" ca="1">MMS_Dairy_Methane_Equations.VEERG_4_3_1_1__1_TotalAnnualMethaneFromManureManagementVariation(0,0,0,F$270,S237,Q$275,F$280,Q$285)</f>
        <v>0.17406401843252312</v>
      </c>
      <c r="T290" s="53" cm="1">
        <f t="array" aca="1" ref="T290" ca="1">MMS_Dairy_Methane_Equations.VEERG_4_3_1_1__1_TotalAnnualMethaneFromManureManagementVariation(G$270,T237,R$275,0,0,0,0,0)</f>
        <v>7.6429574958986099E-2</v>
      </c>
      <c r="U290" s="53" cm="1">
        <f t="array" aca="1" ref="U290" ca="1">MMS_Dairy_Methane_Equations.VEERG_4_3_1_1__1_TotalAnnualMethaneFromManureManagementVariation(0,0,0,H$270,U237,S$275,H$280,S$285)</f>
        <v>0.20665202598044041</v>
      </c>
    </row>
    <row r="291" spans="4:21" ht="20.100000000000001" customHeight="1" x14ac:dyDescent="0.2">
      <c r="D291" s="53" t="str">
        <f>INDEX(X_Table_Dairy_ProductionSystems_Method1,3,1)</f>
        <v>Milking shed</v>
      </c>
      <c r="E291" s="53" t="str">
        <f>INDEX(X_Table_Dairy_Stage1MMS_1_AnaerobicLagoon,2,1)</f>
        <v>Anaerobic lagoon</v>
      </c>
      <c r="F291" s="53" cm="1">
        <f t="array" aca="1" ref="F291" ca="1">MMS_Dairy_Methane_Equations.VEERG_4_3_1_1__1_TotalAnnualMethaneFromManureManagementVariation(D$270,F238,D$275,0,0,0,0,0)</f>
        <v>0.49930042450414175</v>
      </c>
      <c r="G291" s="53" cm="1">
        <f t="array" aca="1" ref="G291" ca="1">MMS_Dairy_Methane_Equations.VEERG_4_3_1_1__1_TotalAnnualMethaneFromManureManagementVariation(E$270,G238,E$275,0,0,0,0,0)</f>
        <v>0.1966752537703389</v>
      </c>
      <c r="H291" s="53" cm="1">
        <f t="array" aca="1" ref="H291" ca="1">MMS_Dairy_Methane_Equations.VEERG_4_3_1_1__1_TotalAnnualMethaneFromManureManagementVariation(0,0,0,F$270,H238,F$275,F$280,F$285)</f>
        <v>0.22994966071007236</v>
      </c>
      <c r="I291" s="53" cm="1">
        <f t="array" aca="1" ref="I291" ca="1">MMS_Dairy_Methane_Equations.VEERG_4_3_1_1__1_TotalAnnualMethaneFromManureManagementVariation(G$270,I238,G$275,0,0,0,0,0)</f>
        <v>0.23930758301764934</v>
      </c>
      <c r="J291" s="53" cm="1">
        <f t="array" aca="1" ref="J291" ca="1">MMS_Dairy_Methane_Equations.VEERG_4_3_1_1__1_TotalAnnualMethaneFromManureManagementVariation(0,0,0,H$270,J238,H$275,H$280,H$285)</f>
        <v>0.28186237348182841</v>
      </c>
      <c r="O291" s="53" t="str">
        <f>INDEX(X_Table_Dairy_ProductionSystems_Method1,3,1)</f>
        <v>Milking shed</v>
      </c>
      <c r="P291" s="53" t="str">
        <f>INDEX(X_Table_Dairy_Stage1MMS_1_AnaerobicLagoon,2,1)</f>
        <v>Anaerobic lagoon</v>
      </c>
      <c r="Q291" s="53" cm="1">
        <f t="array" aca="1" ref="Q291" ca="1">MMS_Dairy_Methane_Equations.VEERG_4_3_1_1__1_TotalAnnualMethaneFromManureManagementVariation(D$270,Q238,O$275,0,0,0,0,0)</f>
        <v>0.50587016693182774</v>
      </c>
      <c r="R291" s="53" cm="1">
        <f t="array" aca="1" ref="R291" ca="1">MMS_Dairy_Methane_Equations.VEERG_4_3_1_1__1_TotalAnnualMethaneFromManureManagementVariation(E$270,R238,P$275,0,0,0,0,0)</f>
        <v>0.19926308605679074</v>
      </c>
      <c r="S291" s="53" cm="1">
        <f t="array" aca="1" ref="S291" ca="1">MMS_Dairy_Methane_Equations.VEERG_4_3_1_1__1_TotalAnnualMethaneFromManureManagementVariation(0,0,0,F$270,S238,Q$275,F$280,Q$285)</f>
        <v>0.23103005098257332</v>
      </c>
      <c r="T291" s="53" cm="1">
        <f t="array" aca="1" ref="T291" ca="1">MMS_Dairy_Methane_Equations.VEERG_4_3_1_1__1_TotalAnnualMethaneFromManureManagementVariation(G$270,T238,R$275,0,0,0,0,0)</f>
        <v>0.24245636700472373</v>
      </c>
      <c r="U291" s="53" cm="1">
        <f t="array" aca="1" ref="U291" ca="1">MMS_Dairy_Methane_Equations.VEERG_4_3_1_1__1_TotalAnnualMethaneFromManureManagementVariation(0,0,0,H$270,U238,S$275,H$280,S$285)</f>
        <v>0.2833163520802735</v>
      </c>
    </row>
    <row r="292" spans="4:21" ht="20.100000000000001" customHeight="1" x14ac:dyDescent="0.2">
      <c r="D292" s="53" t="str">
        <f>INDEX(X_Table_Dairy_ProductionSystems_Method1,3,1)</f>
        <v>Milking shed</v>
      </c>
      <c r="E292" s="53" t="str">
        <f>INDEX(X_Table_Dairy_Stage1MMS_1_SumpAndDispersal,2,1)</f>
        <v>Sump and dispersal system</v>
      </c>
      <c r="F292" s="53" cm="1">
        <f t="array" aca="1" ref="F292" ca="1">MMS_Dairy_Methane_Equations.VEERG_4_3_1_1__1_TotalAnnualMethaneFromManureManagementVariation(D$270,F239,D$275,0,0,0,0,0)</f>
        <v>3.2848712138430379E-3</v>
      </c>
      <c r="G292" s="53" cm="1">
        <f t="array" aca="1" ref="G292" ca="1">MMS_Dairy_Methane_Equations.VEERG_4_3_1_1__1_TotalAnnualMethaneFromManureManagementVariation(E$270,G239,E$275,0,0,0,0,0)</f>
        <v>1.293916143225914E-3</v>
      </c>
      <c r="H292" s="53" cm="1">
        <f t="array" aca="1" ref="H292" ca="1">MMS_Dairy_Methane_Equations.VEERG_4_3_1_1__1_TotalAnnualMethaneFromManureManagementVariation(0,0,0,F$270,H239,F$275,F$280,F$285)</f>
        <v>0.14838019513625048</v>
      </c>
      <c r="I292" s="53" cm="1">
        <f t="array" aca="1" ref="I292" ca="1">MMS_Dairy_Methane_Equations.VEERG_4_3_1_1__1_TotalAnnualMethaneFromManureManagementVariation(G$270,I239,G$275,0,0,0,0,0)</f>
        <v>1.5743919935371669E-3</v>
      </c>
      <c r="J292" s="53" cm="1">
        <f t="array" aca="1" ref="J292" ca="1">MMS_Dairy_Methane_Equations.VEERG_4_3_1_1__1_TotalAnnualMethaneFromManureManagementVariation(0,0,0,H$270,J239,H$275,H$280,H$285)</f>
        <v>0.17208698929922259</v>
      </c>
      <c r="O292" s="53" t="str">
        <f>INDEX(X_Table_Dairy_ProductionSystems_Method1,3,1)</f>
        <v>Milking shed</v>
      </c>
      <c r="P292" s="53" t="str">
        <f>INDEX(X_Table_Dairy_Stage1MMS_1_SumpAndDispersal,2,1)</f>
        <v>Sump and dispersal system</v>
      </c>
      <c r="Q292" s="53" cm="1">
        <f t="array" aca="1" ref="Q292" ca="1">MMS_Dairy_Methane_Equations.VEERG_4_3_1_1__1_TotalAnnualMethaneFromManureManagementVariation(D$270,Q239,O$275,0,0,0,0,0)</f>
        <v>3.2848712138430379E-3</v>
      </c>
      <c r="R292" s="53" cm="1">
        <f t="array" aca="1" ref="R292" ca="1">MMS_Dairy_Methane_Equations.VEERG_4_3_1_1__1_TotalAnnualMethaneFromManureManagementVariation(E$270,R239,P$275,0,0,0,0,0)</f>
        <v>1.293916143225914E-3</v>
      </c>
      <c r="S292" s="53" cm="1">
        <f t="array" aca="1" ref="S292" ca="1">MMS_Dairy_Methane_Equations.VEERG_4_3_1_1__1_TotalAnnualMethaneFromManureManagementVariation(0,0,0,F$270,S239,Q$275,F$280,Q$285)</f>
        <v>0.14838019513625048</v>
      </c>
      <c r="T292" s="53" cm="1">
        <f t="array" aca="1" ref="T292" ca="1">MMS_Dairy_Methane_Equations.VEERG_4_3_1_1__1_TotalAnnualMethaneFromManureManagementVariation(G$270,T239,R$275,0,0,0,0,0)</f>
        <v>1.5743919935371669E-3</v>
      </c>
      <c r="U292" s="53" cm="1">
        <f t="array" aca="1" ref="U292" ca="1">MMS_Dairy_Methane_Equations.VEERG_4_3_1_1__1_TotalAnnualMethaneFromManureManagementVariation(0,0,0,H$270,U239,S$275,H$280,S$285)</f>
        <v>0.17208698929922259</v>
      </c>
    </row>
    <row r="293" spans="4:21" ht="20.100000000000001" customHeight="1" x14ac:dyDescent="0.2">
      <c r="D293" s="53" t="str">
        <f>INDEX(X_Table_Dairy_ProductionSystems_Method1,3,1)</f>
        <v>Milking shed</v>
      </c>
      <c r="E293" s="53" t="str">
        <f>INDEX(X_Table_Dairy_Stage1MMS_1_DrainsToPaddock,2,1)</f>
        <v>Drains to paddock</v>
      </c>
      <c r="F293" s="53" cm="1">
        <f t="array" aca="1" ref="F293" ca="1">MMS_Dairy_Methane_Equations.VEERG_4_3_1_1__1_TotalAnnualMethaneFromManureManagementVariation(D$270,F240,D$275,0,0,0,0,0)</f>
        <v>0.11825536369834934</v>
      </c>
      <c r="G293" s="53" cm="1">
        <f t="array" aca="1" ref="G293" ca="1">MMS_Dairy_Methane_Equations.VEERG_4_3_1_1__1_TotalAnnualMethaneFromManureManagementVariation(E$270,G240,E$275,0,0,0,0,0)</f>
        <v>4.6580981156132899E-2</v>
      </c>
      <c r="H293" s="53" cm="1">
        <f t="array" aca="1" ref="H293" ca="1">MMS_Dairy_Methane_Equations.VEERG_4_3_1_1__1_TotalAnnualMethaneFromManureManagementVariation(0,0,0,F$270,H240,F$275,F$280,F$285)</f>
        <v>0.16728702490501715</v>
      </c>
      <c r="I293" s="53" cm="1">
        <f t="array" aca="1" ref="I293" ca="1">MMS_Dairy_Methane_Equations.VEERG_4_3_1_1__1_TotalAnnualMethaneFromManureManagementVariation(G$270,I240,G$275,0,0,0,0,0)</f>
        <v>5.6678111767338002E-2</v>
      </c>
      <c r="J293" s="53" cm="1">
        <f t="array" aca="1" ref="J293" ca="1">MMS_Dairy_Methane_Equations.VEERG_4_3_1_1__1_TotalAnnualMethaneFromManureManagementVariation(0,0,0,H$270,J240,H$275,H$280,H$285)</f>
        <v>0.197531614772012</v>
      </c>
      <c r="O293" s="53" t="str">
        <f>INDEX(X_Table_Dairy_ProductionSystems_Method1,3,1)</f>
        <v>Milking shed</v>
      </c>
      <c r="P293" s="53" t="str">
        <f>INDEX(X_Table_Dairy_Stage1MMS_1_DrainsToPaddock,2,1)</f>
        <v>Drains to paddock</v>
      </c>
      <c r="Q293" s="53" cm="1">
        <f t="array" aca="1" ref="Q293" ca="1">MMS_Dairy_Methane_Equations.VEERG_4_3_1_1__1_TotalAnnualMethaneFromManureManagementVariation(D$270,Q240,O$275,0,0,0,0,0)</f>
        <v>0.14453433340909366</v>
      </c>
      <c r="R293" s="53" cm="1">
        <f t="array" aca="1" ref="R293" ca="1">MMS_Dairy_Methane_Equations.VEERG_4_3_1_1__1_TotalAnnualMethaneFromManureManagementVariation(E$270,R240,P$275,0,0,0,0,0)</f>
        <v>5.6932310301940216E-2</v>
      </c>
      <c r="S293" s="53" cm="1">
        <f t="array" aca="1" ref="S293" ca="1">MMS_Dairy_Methane_Equations.VEERG_4_3_1_1__1_TotalAnnualMethaneFromManureManagementVariation(0,0,0,F$270,S240,Q$275,F$280,Q$285)</f>
        <v>0.17160858599502096</v>
      </c>
      <c r="T293" s="53" cm="1">
        <f t="array" aca="1" ref="T293" ca="1">MMS_Dairy_Methane_Equations.VEERG_4_3_1_1__1_TotalAnnualMethaneFromManureManagementVariation(G$270,T240,R$275,0,0,0,0,0)</f>
        <v>6.9273247715635339E-2</v>
      </c>
      <c r="U293" s="53" cm="1">
        <f t="array" aca="1" ref="U293" ca="1">MMS_Dairy_Methane_Equations.VEERG_4_3_1_1__1_TotalAnnualMethaneFromManureManagementVariation(0,0,0,H$270,U240,S$275,H$280,S$285)</f>
        <v>0.20334752916579243</v>
      </c>
    </row>
    <row r="294" spans="4:21" ht="20.100000000000001" customHeight="1" x14ac:dyDescent="0.2">
      <c r="D294" s="53" t="str">
        <f>INDEX(X_Table_Dairy_ProductionSystems_Method1,3,1)</f>
        <v>Milking shed</v>
      </c>
      <c r="E294" s="53" t="s">
        <v>400</v>
      </c>
      <c r="F294" s="53" cm="1">
        <f t="array" aca="1" ref="F294" ca="1">MMS_Dairy_Methane_Equations.VEERG_4_3_1_1__1_TotalAnnualMethaneFromManureManagementVariation(D$270,F241,D$275,0,0,0,0,0)</f>
        <v>2.6278969710744299E-2</v>
      </c>
      <c r="G294" s="53" cm="1">
        <f t="array" aca="1" ref="G294" ca="1">MMS_Dairy_Methane_Equations.VEERG_4_3_1_1__1_TotalAnnualMethaneFromManureManagementVariation(E$270,G241,E$275,0,0,0,0,0)</f>
        <v>1.0351329145807312E-2</v>
      </c>
      <c r="H294" s="53" cm="1">
        <f t="array" aca="1" ref="H294" ca="1">MMS_Dairy_Methane_Equations.VEERG_4_3_1_1__1_TotalAnnualMethaneFromManureManagementVariation(0,0,0,F$270,H241,F$275,F$280,F$285)</f>
        <v>0.15216156109000381</v>
      </c>
      <c r="I294" s="53" cm="1">
        <f t="array" aca="1" ref="I294" ca="1">MMS_Dairy_Methane_Equations.VEERG_4_3_1_1__1_TotalAnnualMethaneFromManureManagementVariation(G$270,I241,G$275,0,0,0,0,0)</f>
        <v>1.259513594829733E-2</v>
      </c>
      <c r="J294" s="53" cm="1">
        <f t="array" aca="1" ref="J294" ca="1">MMS_Dairy_Methane_Equations.VEERG_4_3_1_1__1_TotalAnnualMethaneFromManureManagementVariation(0,0,0,H$270,J241,H$275,H$280,H$285)</f>
        <v>0.17717591439378047</v>
      </c>
      <c r="O294" s="53" t="str">
        <f>INDEX(X_Table_Dairy_ProductionSystems_Method1,3,1)</f>
        <v>Milking shed</v>
      </c>
      <c r="P294" s="53" t="s">
        <v>400</v>
      </c>
      <c r="Q294" s="53" cm="1">
        <f t="array" aca="1" ref="Q294" ca="1">MMS_Dairy_Methane_Equations.VEERG_4_3_1_1__1_TotalAnnualMethaneFromManureManagementVariation(D$270,Q241,O$275,0,0,0,0,0)</f>
        <v>2.6278969710744299E-2</v>
      </c>
      <c r="R294" s="53" cm="1">
        <f t="array" aca="1" ref="R294" ca="1">MMS_Dairy_Methane_Equations.VEERG_4_3_1_1__1_TotalAnnualMethaneFromManureManagementVariation(E$270,R241,P$275,0,0,0,0,0)</f>
        <v>1.0351329145807312E-2</v>
      </c>
      <c r="S294" s="53" cm="1">
        <f t="array" aca="1" ref="S294" ca="1">MMS_Dairy_Methane_Equations.VEERG_4_3_1_1__1_TotalAnnualMethaneFromManureManagementVariation(0,0,0,F$270,S241,Q$275,F$280,Q$285)</f>
        <v>0.15216156109000381</v>
      </c>
      <c r="T294" s="53" cm="1">
        <f t="array" aca="1" ref="T294" ca="1">MMS_Dairy_Methane_Equations.VEERG_4_3_1_1__1_TotalAnnualMethaneFromManureManagementVariation(G$270,T241,R$275,0,0,0,0,0)</f>
        <v>1.259513594829733E-2</v>
      </c>
      <c r="U294" s="53" cm="1">
        <f t="array" aca="1" ref="U294" ca="1">MMS_Dairy_Methane_Equations.VEERG_4_3_1_1__1_TotalAnnualMethaneFromManureManagementVariation(0,0,0,H$270,U241,S$275,H$280,S$285)</f>
        <v>0.17717591439378047</v>
      </c>
    </row>
    <row r="295" spans="4:21" ht="20.100000000000001" customHeight="1" x14ac:dyDescent="0.2">
      <c r="D295" s="53" t="str">
        <f>INDEX(X_Table_Dairy_ProductionSystems_Method1,4,1)</f>
        <v>Feed pad</v>
      </c>
      <c r="E295" s="53" t="str">
        <f>INDEX(X_Table_Dairy_Stage1MMS_2_AnaerobicLagoon,2,1)</f>
        <v>Anaerobic lagoon</v>
      </c>
      <c r="F295" s="53" cm="1">
        <f t="array" aca="1" ref="F295" ca="1">MMS_Dairy_Methane_Equations.VEERG_4_3_1_1__1_TotalAnnualMethaneFromManureManagementVariation(D$270,F242,D$275,0,0,0,0,0)</f>
        <v>2.0198971718576639</v>
      </c>
      <c r="G295" s="53" cm="1">
        <f t="array" aca="1" ref="G295" ca="1">MMS_Dairy_Methane_Equations.VEERG_4_3_1_1__1_TotalAnnualMethaneFromManureManagementVariation(E$270,G242,E$275,0,0,0,0,0)</f>
        <v>0.79564079934364373</v>
      </c>
      <c r="H295" s="53" cm="1">
        <f t="array" aca="1" ref="H295" ca="1">MMS_Dairy_Methane_Equations.VEERG_4_3_1_1__1_TotalAnnualMethaneFromManureManagementVariation(0,0,0,F$270,H242,F$275,F$280,F$285)</f>
        <v>0.48001090014529268</v>
      </c>
      <c r="I295" s="53" cm="1">
        <f t="array" aca="1" ref="I295" ca="1">MMS_Dairy_Methane_Equations.VEERG_4_3_1_1__1_TotalAnnualMethaneFromManureManagementVariation(G$270,I242,G$275,0,0,0,0,0)</f>
        <v>0.96810794948049028</v>
      </c>
      <c r="J295" s="53" cm="1">
        <f t="array" aca="1" ref="J295" ca="1">MMS_Dairy_Methane_Equations.VEERG_4_3_1_1__1_TotalAnnualMethaneFromManureManagementVariation(0,0,0,H$270,J242,H$275,H$280,H$285)</f>
        <v>0.6183923290855784</v>
      </c>
      <c r="O295" s="53" t="str">
        <f>INDEX(X_Table_Dairy_ProductionSystems_Method1,4,1)</f>
        <v>Feed pad</v>
      </c>
      <c r="P295" s="53" t="str">
        <f>INDEX(X_Table_Dairy_Stage1MMS_2_AnaerobicLagoon,2,1)</f>
        <v>Anaerobic lagoon</v>
      </c>
      <c r="Q295" s="53" cm="1">
        <f t="array" aca="1" ref="Q295" ca="1">MMS_Dairy_Methane_Equations.VEERG_4_3_1_1__1_TotalAnnualMethaneFromManureManagementVariation(D$270,Q242,O$275,0,0,0,0,0)</f>
        <v>2.046474766224212</v>
      </c>
      <c r="R295" s="53" cm="1">
        <f t="array" aca="1" ref="R295" ca="1">MMS_Dairy_Methane_Equations.VEERG_4_3_1_1__1_TotalAnnualMethaneFromManureManagementVariation(E$270,R242,P$275,0,0,0,0,0)</f>
        <v>0.80610975722974443</v>
      </c>
      <c r="S295" s="53" cm="1">
        <f t="array" aca="1" ref="S295" ca="1">MMS_Dairy_Methane_Equations.VEERG_4_3_1_1__1_TotalAnnualMethaneFromManureManagementVariation(0,0,0,F$270,S242,Q$275,F$280,Q$285)</f>
        <v>0.48438156988404663</v>
      </c>
      <c r="T295" s="53" cm="1">
        <f t="array" aca="1" ref="T295" ca="1">MMS_Dairy_Methane_Equations.VEERG_4_3_1_1__1_TotalAnnualMethaneFromManureManagementVariation(G$270,T242,R$275,0,0,0,0,0)</f>
        <v>0.98084621197365474</v>
      </c>
      <c r="U295" s="53" cm="1">
        <f t="array" aca="1" ref="U295" ca="1">MMS_Dairy_Methane_Equations.VEERG_4_3_1_1__1_TotalAnnualMethaneFromManureManagementVariation(0,0,0,H$270,U242,S$275,H$280,S$285)</f>
        <v>0.62427433341565175</v>
      </c>
    </row>
    <row r="296" spans="4:21" ht="20.100000000000001" customHeight="1" x14ac:dyDescent="0.2">
      <c r="D296" s="53" t="str">
        <f>INDEX(X_Table_Dairy_ProductionSystems_Method1,4,1)</f>
        <v>Feed pad</v>
      </c>
      <c r="E296" s="53" t="str">
        <f>INDEX(X_Table_Dairy_Stage1MMS_2_SumpAndDispersal,2,1)</f>
        <v>Sump and dispersal system</v>
      </c>
      <c r="F296" s="53" cm="1">
        <f t="array" aca="1" ref="F296" ca="1">MMS_Dairy_Methane_Equations.VEERG_4_3_1_1__1_TotalAnnualMethaneFromManureManagementVariation(D$270,F243,D$275,0,0,0,0,0)</f>
        <v>1.0631037746619285E-2</v>
      </c>
      <c r="G296" s="53" cm="1">
        <f t="array" aca="1" ref="G296" ca="1">MMS_Dairy_Methane_Equations.VEERG_4_3_1_1__1_TotalAnnualMethaneFromManureManagementVariation(E$270,G243,E$275,0,0,0,0,0)</f>
        <v>4.1875831544402296E-3</v>
      </c>
      <c r="H296" s="53" cm="1">
        <f t="array" aca="1" ref="H296" ca="1">MMS_Dairy_Methane_Equations.VEERG_4_3_1_1__1_TotalAnnualMethaneFromManureManagementVariation(0,0,0,F$270,H243,F$275,F$280,F$285)</f>
        <v>0.14958826789550153</v>
      </c>
      <c r="I296" s="53" cm="1">
        <f t="array" aca="1" ref="I296" ca="1">MMS_Dairy_Methane_Equations.VEERG_4_3_1_1__1_TotalAnnualMethaneFromManureManagementVariation(G$270,I243,G$275,0,0,0,0,0)</f>
        <v>5.095304997265738E-3</v>
      </c>
      <c r="J296" s="53" cm="1">
        <f t="array" aca="1" ref="J296" ca="1">MMS_Dairy_Methane_Equations.VEERG_4_3_1_1__1_TotalAnnualMethaneFromManureManagementVariation(0,0,0,H$270,J243,H$275,H$280,H$285)</f>
        <v>0.17371280173202935</v>
      </c>
      <c r="O296" s="53" t="str">
        <f>INDEX(X_Table_Dairy_ProductionSystems_Method1,4,1)</f>
        <v>Feed pad</v>
      </c>
      <c r="P296" s="53" t="str">
        <f>INDEX(X_Table_Dairy_Stage1MMS_2_SumpAndDispersal,2,1)</f>
        <v>Sump and dispersal system</v>
      </c>
      <c r="Q296" s="53" cm="1">
        <f t="array" aca="1" ref="Q296" ca="1">MMS_Dairy_Methane_Equations.VEERG_4_3_1_1__1_TotalAnnualMethaneFromManureManagementVariation(D$270,Q243,O$275,0,0,0,0,0)</f>
        <v>1.0631037746619285E-2</v>
      </c>
      <c r="R296" s="53" cm="1">
        <f t="array" aca="1" ref="R296" ca="1">MMS_Dairy_Methane_Equations.VEERG_4_3_1_1__1_TotalAnnualMethaneFromManureManagementVariation(E$270,R243,P$275,0,0,0,0,0)</f>
        <v>4.1875831544402296E-3</v>
      </c>
      <c r="S296" s="53" cm="1">
        <f t="array" aca="1" ref="S296" ca="1">MMS_Dairy_Methane_Equations.VEERG_4_3_1_1__1_TotalAnnualMethaneFromManureManagementVariation(0,0,0,F$270,S243,Q$275,F$280,Q$285)</f>
        <v>0.14958826789550153</v>
      </c>
      <c r="T296" s="53" cm="1">
        <f t="array" aca="1" ref="T296" ca="1">MMS_Dairy_Methane_Equations.VEERG_4_3_1_1__1_TotalAnnualMethaneFromManureManagementVariation(G$270,T243,R$275,0,0,0,0,0)</f>
        <v>5.095304997265738E-3</v>
      </c>
      <c r="U296" s="53" cm="1">
        <f t="array" aca="1" ref="U296" ca="1">MMS_Dairy_Methane_Equations.VEERG_4_3_1_1__1_TotalAnnualMethaneFromManureManagementVariation(0,0,0,H$270,U243,S$275,H$280,S$285)</f>
        <v>0.17371280173202935</v>
      </c>
    </row>
    <row r="297" spans="4:21" ht="20.100000000000001" customHeight="1" x14ac:dyDescent="0.2">
      <c r="D297" s="53" t="str">
        <f>INDEX(X_Table_Dairy_ProductionSystems_Method1,4,1)</f>
        <v>Feed pad</v>
      </c>
      <c r="E297" s="53" t="str">
        <f>INDEX(X_Table_Dairy_Stage1MMS_2_DrainsToPaddock,2,1)</f>
        <v>Drains to paddock</v>
      </c>
      <c r="F297" s="53" cm="1">
        <f t="array" aca="1" ref="F297" ca="1">MMS_Dairy_Methane_Equations.VEERG_4_3_1_1__1_TotalAnnualMethaneFromManureManagementVariation(D$270,F244,D$275,0,0,0,0,0)</f>
        <v>0.38271735887829422</v>
      </c>
      <c r="G297" s="53" cm="1">
        <f t="array" aca="1" ref="G297" ca="1">MMS_Dairy_Methane_Equations.VEERG_4_3_1_1__1_TotalAnnualMethaneFromManureManagementVariation(E$270,G244,E$275,0,0,0,0,0)</f>
        <v>0.15075299355984828</v>
      </c>
      <c r="H297" s="53" cm="1">
        <f t="array" aca="1" ref="H297" ca="1">MMS_Dairy_Methane_Equations.VEERG_4_3_1_1__1_TotalAnnualMethaneFromManureManagementVariation(0,0,0,F$270,H244,F$275,F$280,F$285)</f>
        <v>0.21077764423805545</v>
      </c>
      <c r="I297" s="53" cm="1">
        <f t="array" aca="1" ref="I297" ca="1">MMS_Dairy_Methane_Equations.VEERG_4_3_1_1__1_TotalAnnualMethaneFromManureManagementVariation(G$270,I244,G$275,0,0,0,0,0)</f>
        <v>0.18343097990156659</v>
      </c>
      <c r="J297" s="53" cm="1">
        <f t="array" aca="1" ref="J297" ca="1">MMS_Dairy_Methane_Equations.VEERG_4_3_1_1__1_TotalAnnualMethaneFromManureManagementVariation(0,0,0,H$270,J244,H$275,H$280,H$285)</f>
        <v>0.25606086235305697</v>
      </c>
      <c r="O297" s="53" t="str">
        <f>INDEX(X_Table_Dairy_ProductionSystems_Method1,4,1)</f>
        <v>Feed pad</v>
      </c>
      <c r="P297" s="53" t="str">
        <f>INDEX(X_Table_Dairy_Stage1MMS_2_DrainsToPaddock,2,1)</f>
        <v>Drains to paddock</v>
      </c>
      <c r="Q297" s="53" cm="1">
        <f t="array" aca="1" ref="Q297" ca="1">MMS_Dairy_Methane_Equations.VEERG_4_3_1_1__1_TotalAnnualMethaneFromManureManagementVariation(D$270,Q244,O$275,0,0,0,0,0)</f>
        <v>0.46776566085124849</v>
      </c>
      <c r="R297" s="53" cm="1">
        <f t="array" aca="1" ref="R297" ca="1">MMS_Dairy_Methane_Equations.VEERG_4_3_1_1__1_TotalAnnualMethaneFromManureManagementVariation(E$270,R244,P$275,0,0,0,0,0)</f>
        <v>0.18425365879537009</v>
      </c>
      <c r="S297" s="53" cm="1">
        <f t="array" aca="1" ref="S297" ca="1">MMS_Dairy_Methane_Equations.VEERG_4_3_1_1__1_TotalAnnualMethaneFromManureManagementVariation(0,0,0,F$270,S244,Q$275,F$280,Q$285)</f>
        <v>0.22476378740206779</v>
      </c>
      <c r="T297" s="53" cm="1">
        <f t="array" aca="1" ref="T297" ca="1">MMS_Dairy_Methane_Equations.VEERG_4_3_1_1__1_TotalAnnualMethaneFromManureManagementVariation(G$270,T244,R$275,0,0,0,0,0)</f>
        <v>0.22419341987969252</v>
      </c>
      <c r="U297" s="53" cm="1">
        <f t="array" aca="1" ref="U297" ca="1">MMS_Dairy_Methane_Equations.VEERG_4_3_1_1__1_TotalAnnualMethaneFromManureManagementVariation(0,0,0,H$270,U244,S$275,H$280,S$285)</f>
        <v>0.27488327620929182</v>
      </c>
    </row>
    <row r="298" spans="4:21" ht="20.100000000000001" customHeight="1" x14ac:dyDescent="0.2">
      <c r="D298" s="53" t="str">
        <f>INDEX(X_Table_Dairy_ProductionSystems_Method1,4,1)</f>
        <v>Feed pad</v>
      </c>
      <c r="E298" s="53" t="s">
        <v>400</v>
      </c>
      <c r="F298" s="53" cm="1">
        <f t="array" aca="1" ref="F298" ca="1">MMS_Dairy_Methane_Equations.VEERG_4_3_1_1__1_TotalAnnualMethaneFromManureManagementVariation(D$270,F245,D$275,0,0,0,0,0)</f>
        <v>7.4417264226334975E-2</v>
      </c>
      <c r="G298" s="53" cm="1">
        <f t="array" aca="1" ref="G298" ca="1">MMS_Dairy_Methane_Equations.VEERG_4_3_1_1__1_TotalAnnualMethaneFromManureManagementVariation(E$270,G245,E$275,0,0,0,0,0)</f>
        <v>2.9313082081081607E-2</v>
      </c>
      <c r="H298" s="53" cm="1">
        <f t="array" aca="1" ref="H298" ca="1">MMS_Dairy_Methane_Equations.VEERG_4_3_1_1__1_TotalAnnualMethaneFromManureManagementVariation(0,0,0,F$270,H245,F$275,F$280,F$285)</f>
        <v>0.16007787526851078</v>
      </c>
      <c r="I298" s="53" cm="1">
        <f t="array" aca="1" ref="I298" ca="1">MMS_Dairy_Methane_Equations.VEERG_4_3_1_1__1_TotalAnnualMethaneFromManureManagementVariation(G$270,I245,G$275,0,0,0,0,0)</f>
        <v>3.5667134980860167E-2</v>
      </c>
      <c r="J298" s="53" cm="1">
        <f t="array" aca="1" ref="J298" ca="1">MMS_Dairy_Methane_Equations.VEERG_4_3_1_1__1_TotalAnnualMethaneFromManureManagementVariation(0,0,0,H$270,J245,H$275,H$280,H$285)</f>
        <v>0.18782961212420554</v>
      </c>
      <c r="O298" s="53" t="str">
        <f>INDEX(X_Table_Dairy_ProductionSystems_Method1,4,1)</f>
        <v>Feed pad</v>
      </c>
      <c r="P298" s="53" t="s">
        <v>400</v>
      </c>
      <c r="Q298" s="53" cm="1">
        <f t="array" aca="1" ref="Q298" ca="1">MMS_Dairy_Methane_Equations.VEERG_4_3_1_1__1_TotalAnnualMethaneFromManureManagementVariation(D$270,Q245,O$275,0,0,0,0,0)</f>
        <v>7.4417264226334975E-2</v>
      </c>
      <c r="R298" s="53" cm="1">
        <f t="array" aca="1" ref="R298" ca="1">MMS_Dairy_Methane_Equations.VEERG_4_3_1_1__1_TotalAnnualMethaneFromManureManagementVariation(E$270,R245,P$275,0,0,0,0,0)</f>
        <v>2.9313082081081607E-2</v>
      </c>
      <c r="S298" s="53" cm="1">
        <f t="array" aca="1" ref="S298" ca="1">MMS_Dairy_Methane_Equations.VEERG_4_3_1_1__1_TotalAnnualMethaneFromManureManagementVariation(0,0,0,F$270,S245,Q$275,F$280,Q$285)</f>
        <v>0.16007787526851078</v>
      </c>
      <c r="T298" s="53" cm="1">
        <f t="array" aca="1" ref="T298" ca="1">MMS_Dairy_Methane_Equations.VEERG_4_3_1_1__1_TotalAnnualMethaneFromManureManagementVariation(G$270,T245,R$275,0,0,0,0,0)</f>
        <v>3.5667134980860167E-2</v>
      </c>
      <c r="U298" s="53" cm="1">
        <f t="array" aca="1" ref="U298" ca="1">MMS_Dairy_Methane_Equations.VEERG_4_3_1_1__1_TotalAnnualMethaneFromManureManagementVariation(0,0,0,H$270,U245,S$275,H$280,S$285)</f>
        <v>0.18782961212420554</v>
      </c>
    </row>
    <row r="300" spans="4:21" ht="20.100000000000001" customHeight="1" x14ac:dyDescent="0.2">
      <c r="D300" s="104" t="s">
        <v>124</v>
      </c>
      <c r="E300" s="105">
        <f ca="1">SUM(F290:J298)</f>
        <v>10.314345551795777</v>
      </c>
      <c r="F300" s="106" t="str">
        <f>$E$256</f>
        <v>t CH4</v>
      </c>
      <c r="O300" s="104" t="s">
        <v>415</v>
      </c>
      <c r="P300" s="105">
        <f ca="1">SUM(Q290:U298)</f>
        <v>10.64070664267806</v>
      </c>
      <c r="Q300" s="106" t="str">
        <f>$E$256</f>
        <v>t CH4</v>
      </c>
    </row>
    <row r="302" spans="4:21" ht="20.100000000000001" customHeight="1" x14ac:dyDescent="0.2">
      <c r="D302" s="58" t="str" cm="1">
        <f t="array" ref="D302:E303">Common_Equations.Common_ConvertCH4ToCO2e_Arguments()</f>
        <v>ECH4</v>
      </c>
      <c r="E302" s="59" t="str">
        <v>Methane emissions (t CH4)</v>
      </c>
      <c r="F302" s="107"/>
      <c r="G302" s="53">
        <f ca="1">VEERG_4_3_1_1__1_TotalAnnualMethaneFromManureManagement_Result_Method1</f>
        <v>10.314345551795777</v>
      </c>
      <c r="H302" s="2"/>
      <c r="O302" s="58" t="str" cm="1">
        <f t="array" ref="O302:P303">Common_Equations.Common_ConvertCH4ToCO2e_Arguments()</f>
        <v>ECH4</v>
      </c>
      <c r="P302" s="59" t="str">
        <v>Methane emissions (t CH4)</v>
      </c>
      <c r="Q302" s="107"/>
      <c r="R302" s="53">
        <f ca="1">VEERG_4_3_1_1__1_TotalAnnualMethaneFromManureManagement_Result_Method2</f>
        <v>10.64070664267806</v>
      </c>
      <c r="S302" s="2" t="s">
        <v>266</v>
      </c>
    </row>
    <row r="303" spans="4:21" ht="20.100000000000001" customHeight="1" x14ac:dyDescent="0.2">
      <c r="D303" s="58" t="str">
        <v>GWPCH4</v>
      </c>
      <c r="E303" s="59" t="str">
        <v>Global warming potential for methane (t CO2-e / t CH4)</v>
      </c>
      <c r="F303" s="107"/>
      <c r="G303" s="53">
        <f>Common_InputFunctions.Utility_LookupValueInTableNumber("CH4",Table_GWPData[Gas],Table_GWPData[CO2-e factor])</f>
        <v>28</v>
      </c>
      <c r="O303" s="58" t="str">
        <v>GWPCH4</v>
      </c>
      <c r="P303" s="59" t="str">
        <v>Global warming potential for methane (t CO2-e / t CH4)</v>
      </c>
      <c r="Q303" s="107"/>
      <c r="R303" s="53">
        <f>Common_InputFunctions.Utility_LookupValueInTableNumber("CH4",Table_GWPData[Gas],Table_GWPData[CO2-e factor])</f>
        <v>28</v>
      </c>
    </row>
    <row r="305" spans="4:17" ht="20.100000000000001" customHeight="1" x14ac:dyDescent="0.2">
      <c r="D305" s="46" t="s">
        <v>125</v>
      </c>
      <c r="E305" s="46" cm="1">
        <f t="array" aca="1" ref="E305" ca="1">Common_Equations.Common_ConvertCH4ToCO2e(G302,G303)</f>
        <v>288.80167545028172</v>
      </c>
      <c r="F305" s="108" t="str" cm="1">
        <f t="array" ref="F305">Common_Equations.Common_ConvertN2OToCO2e_Unit()</f>
        <v>t CO2e</v>
      </c>
      <c r="O305" s="46" t="s">
        <v>414</v>
      </c>
      <c r="P305" s="46" cm="1">
        <f t="array" aca="1" ref="P305" ca="1">Common_Equations.Common_ConvertCH4ToCO2e(R302,R303)</f>
        <v>297.9397859949857</v>
      </c>
      <c r="Q305" s="108" t="str" cm="1">
        <f t="array" ref="Q305">Common_Equations.Common_ConvertN2OToCO2e_Unit()</f>
        <v>t CO2e</v>
      </c>
    </row>
  </sheetData>
  <dataValidations count="1">
    <dataValidation operator="equal" allowBlank="1" showInputMessage="1" showErrorMessage="1" sqref="F164:F168 P152 D187:F187 P90:R90 P294 E152 E163:F163 Q164:Q168 P163:Q163 P245 P241 F175:J179 P174:U174 Q175:U179 Q173:U173 E199 P205:U206 E174:J174 P199 P298 E241 E238 E294 E291 E245 P238 E298 P291 I146 E146:F146 F173:J173 Q162 E205:J206"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sheetPr>
    <tabColor rgb="FF008000"/>
  </sheetPr>
  <dimension ref="A1:U292"/>
  <sheetViews>
    <sheetView showGridLines="0" topLeftCell="A270" zoomScaleNormal="100" workbookViewId="0">
      <selection activeCell="O287" sqref="O287"/>
    </sheetView>
  </sheetViews>
  <sheetFormatPr defaultRowHeight="20.100000000000001" customHeight="1" x14ac:dyDescent="0.2"/>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7" t="e" vm="1">
        <v>#VALUE!</v>
      </c>
      <c r="C1" s="8" t="s">
        <v>276</v>
      </c>
    </row>
    <row r="2" spans="1:21" s="9" customFormat="1" ht="20.100000000000001" customHeight="1" x14ac:dyDescent="0.2">
      <c r="A2"/>
    </row>
    <row r="3" spans="1:21" ht="20.100000000000001" customHeight="1" x14ac:dyDescent="0.2">
      <c r="A3" s="17" t="str">
        <f>HYPERLINK("#'Home'!A1", "Home")</f>
        <v>Home</v>
      </c>
      <c r="C3" s="4"/>
      <c r="D3" s="4" t="s">
        <v>114</v>
      </c>
      <c r="E3" s="4"/>
      <c r="F3" s="4"/>
      <c r="G3" s="4"/>
      <c r="H3" s="4"/>
      <c r="I3" s="4"/>
      <c r="J3" s="4"/>
      <c r="K3" s="4"/>
      <c r="M3" s="4"/>
      <c r="N3" s="4" t="s">
        <v>115</v>
      </c>
      <c r="O3" s="4"/>
      <c r="P3" s="4"/>
      <c r="Q3" s="4"/>
      <c r="R3" s="4"/>
      <c r="S3" s="4"/>
      <c r="T3" s="4"/>
      <c r="U3" s="4"/>
    </row>
    <row r="4" spans="1:21" ht="20.100000000000001" customHeight="1" x14ac:dyDescent="0.2">
      <c r="A4" s="17" t="str">
        <f>HYPERLINK("#'Overview'!A1", "Overview")</f>
        <v>Overview</v>
      </c>
    </row>
    <row r="5" spans="1:21" ht="20.100000000000001" customHeight="1" x14ac:dyDescent="0.2">
      <c r="A5" s="17" t="str">
        <f>HYPERLINK("#'Results'!A1", "Results")</f>
        <v>Results</v>
      </c>
      <c r="D5" s="6" t="str" cm="1">
        <f t="array" ref="D5">MMS_Dairy_N2ODirect_Equations.VEERG_4_3_1_3__8_RelativeSize_Title()</f>
        <v>Relative size</v>
      </c>
    </row>
    <row r="6" spans="1:21" ht="20.100000000000001" customHeight="1" x14ac:dyDescent="0.2">
      <c r="D6" s="5" t="str" cm="1">
        <f t="array" ref="D6">MMS_Dairy_N2ODirect_Equations.VEERG_4_3_1_3__8_RelativeSize_Source()</f>
        <v>VEERG 2026: 4.3.1.3, Equation (8)</v>
      </c>
    </row>
    <row r="7" spans="1:21" ht="20.100000000000001" customHeight="1" x14ac:dyDescent="0.2">
      <c r="D7" s="13" t="s">
        <v>25</v>
      </c>
      <c r="E7" s="13" t="str" cm="1">
        <f t="array" aca="1" ref="E7" ca="1">Common_InputFunctions.Utility_DisplayFunctionName(D29)</f>
        <v>=MMS_Dairy_N2ODirect_Equations.VEERG_4_3_1_3__8_RelativeSize</v>
      </c>
    </row>
    <row r="8" spans="1:21" ht="20.100000000000001" customHeight="1" x14ac:dyDescent="0.2">
      <c r="A8" s="19" t="s">
        <v>0</v>
      </c>
    </row>
    <row r="9" spans="1:21" ht="20.100000000000001" customHeight="1" x14ac:dyDescent="0.2">
      <c r="A9" s="17" t="str">
        <f>HYPERLINK("#'Input - Site'!A1", "Site")</f>
        <v>Site</v>
      </c>
    </row>
    <row r="10" spans="1:21" ht="20.100000000000001" customHeight="1" x14ac:dyDescent="0.2">
      <c r="A10" s="17" t="str">
        <f>HYPERLINK("#'Input - Dairy'!A1", "Dairy")</f>
        <v>Dairy</v>
      </c>
      <c r="D10" s="54" t="s">
        <v>28</v>
      </c>
      <c r="E10" s="1" t="str" cm="1">
        <f t="array" ref="E10">MMS_Dairy_N2ODirect_Equations.VEERG_4_3_1_3__8_RelativeSize_Variable()</f>
        <v>Z_j</v>
      </c>
    </row>
    <row r="11" spans="1:21" ht="20.100000000000001" customHeight="1" x14ac:dyDescent="0.2">
      <c r="D11" s="54" t="s">
        <v>18</v>
      </c>
      <c r="E11" s="55" t="str" cm="1">
        <f t="array" ref="E11">MMS_Dairy_N2ODirect_Equations.VEERG_4_3_1_3__8_RelativeSize_Unit()</f>
        <v>ratio</v>
      </c>
    </row>
    <row r="13" spans="1:21" ht="20.100000000000001" customHeight="1" x14ac:dyDescent="0.2">
      <c r="A13" s="18" t="s">
        <v>73</v>
      </c>
      <c r="D13" s="133" t="str" cm="1">
        <f t="array" ref="D13:E14">_xlfn.CHOOSECOLS(MMS_Dairy_N2ODirect_Equations.VEERG_4_3_1_3__8_RelativeSize_Arguments(),1,2)</f>
        <v>W_j</v>
      </c>
      <c r="E13" s="133" t="str">
        <v>liveweight</v>
      </c>
      <c r="F13" s="133" t="str" cm="1">
        <f t="array" ref="F13:G14">_xlfn.CHOOSECOLS(MMS_Dairy_N2ODirect_Equations.VEERG_4_3_1_3__8_RelativeSize_Arguments(),3,4)</f>
        <v>kg/head</v>
      </c>
      <c r="G13" s="131" t="str">
        <v>Input</v>
      </c>
      <c r="H13" s="130" t="str" cm="1">
        <f t="array" aca="1" ref="H13" ca="1">HYPERLINK(Common_InputFunctions.Utility_SourceHyperlink($D$16),$D$16)</f>
        <v>M1_Table_W_j</v>
      </c>
    </row>
    <row r="14" spans="1:21" ht="20.100000000000001" customHeight="1" x14ac:dyDescent="0.2">
      <c r="A14" s="17" t="str">
        <f>HYPERLINK("#'4.3.1.1-2 Methane'!A1", "4.3.1.1-2 Methane")</f>
        <v>4.3.1.1-2 Methane</v>
      </c>
      <c r="D14" s="133" t="str">
        <v>WR_j</v>
      </c>
      <c r="E14" s="133" t="str">
        <v>reference weight</v>
      </c>
      <c r="F14" s="133" t="str">
        <v>kg/head</v>
      </c>
      <c r="G14" s="129" t="str">
        <v>Constant</v>
      </c>
      <c r="H14" s="130" t="str" cm="1">
        <f t="array" aca="1" ref="H14" ca="1">HYPERLINK(Common_InputFunctions.Utility_SourceHyperlink($D$21),$D$21)</f>
        <v>Table_WR_j</v>
      </c>
    </row>
    <row r="15" spans="1:21" ht="20.100000000000001" customHeight="1" x14ac:dyDescent="0.2">
      <c r="A15" s="21" t="str">
        <f>HYPERLINK("#'4.3.1.3-4 Direct N20'!A1", "4.3.1.3-4 Direct N20")</f>
        <v>4.3.1.3-4 Direct N20</v>
      </c>
    </row>
    <row r="16" spans="1:21" ht="20.100000000000001" customHeight="1" x14ac:dyDescent="0.2">
      <c r="A16" s="17" t="str">
        <f>HYPERLINK("#'4.3.1.5 Atmos deposition'!A1", "4.3.1.5 Atmos deposition")</f>
        <v>4.3.1.5 Atmos deposition</v>
      </c>
      <c r="D16" s="100" t="s">
        <v>210</v>
      </c>
      <c r="N16" s="100" t="s">
        <v>212</v>
      </c>
    </row>
    <row r="17" spans="1:21" ht="20.100000000000001" customHeight="1" x14ac:dyDescent="0.2">
      <c r="A17" s="17" t="str">
        <f>HYPERLINK("#'4.3.1.6-7 Leaching and runoff'!A1", "4.3.1.6-7 Leaching and runoff")</f>
        <v>4.3.1.6-7 Leaching and runoff</v>
      </c>
      <c r="D17" s="99" t="s">
        <v>211</v>
      </c>
      <c r="N17" s="99" t="s">
        <v>213</v>
      </c>
    </row>
    <row r="18" spans="1:21" ht="20.100000000000001" customHeight="1" x14ac:dyDescent="0.2">
      <c r="A18" s="17" t="str">
        <f>HYPERLINK("#'4.3.1.8 Manure applied to soils'!A1", "4.3.1.8 Manure applied to soils")</f>
        <v>4.3.1.8 Manure applied to soils</v>
      </c>
      <c r="D18" s="40" t="s">
        <v>167</v>
      </c>
      <c r="E18" s="40" t="s">
        <v>184</v>
      </c>
      <c r="F18" s="40" t="s">
        <v>185</v>
      </c>
      <c r="G18" s="40" t="s">
        <v>186</v>
      </c>
      <c r="H18" s="40" t="s">
        <v>187</v>
      </c>
      <c r="N18" s="40" t="s">
        <v>167</v>
      </c>
      <c r="O18" s="40" t="s">
        <v>184</v>
      </c>
      <c r="P18" s="40" t="s">
        <v>185</v>
      </c>
      <c r="Q18" s="40" t="s">
        <v>186</v>
      </c>
      <c r="R18" s="40" t="s">
        <v>187</v>
      </c>
    </row>
    <row r="19" spans="1:21" ht="20.100000000000001" customHeight="1" x14ac:dyDescent="0.2">
      <c r="A19" s="17" t="str">
        <f>HYPERLINK("#'4.3.1.9 Soil direct N2O'!A1", "4.3.1.9 Soil direct N2O")</f>
        <v>4.3.1.9 Soil direct N2O</v>
      </c>
      <c r="D19" s="53">
        <f>INDEX(X_Table_Dairy_Liveweight_Method1,2,2)</f>
        <v>550</v>
      </c>
      <c r="E19" s="53">
        <f>INDEX(X_Table_Dairy_Liveweight_Method1,2,3)</f>
        <v>380</v>
      </c>
      <c r="F19" s="53">
        <f>INDEX(X_Table_Dairy_Liveweight_Method1,2,4)</f>
        <v>155</v>
      </c>
      <c r="G19" s="53">
        <f>INDEX(X_Table_Dairy_Liveweight_Method1,2,5)</f>
        <v>600</v>
      </c>
      <c r="H19" s="53">
        <f>INDEX(X_Table_Dairy_Liveweight_Method1,2,6)</f>
        <v>225</v>
      </c>
      <c r="I19" s="2" t="s">
        <v>189</v>
      </c>
      <c r="N19" s="53">
        <f>INDEX(X_Table_Dairy_Liveweight_Method2,2,2)</f>
        <v>550</v>
      </c>
      <c r="O19" s="53">
        <f>INDEX(X_Table_Dairy_Liveweight_Method2,2,3)</f>
        <v>380</v>
      </c>
      <c r="P19" s="53">
        <f>INDEX(X_Table_Dairy_Liveweight_Method2,2,4)</f>
        <v>155</v>
      </c>
      <c r="Q19" s="53">
        <f>INDEX(X_Table_Dairy_Liveweight_Method2,2,5)</f>
        <v>600</v>
      </c>
      <c r="R19" s="53">
        <f>INDEX(X_Table_Dairy_Liveweight_Method2,2,6)</f>
        <v>225</v>
      </c>
      <c r="S19" s="2" t="s">
        <v>189</v>
      </c>
    </row>
    <row r="20" spans="1:21" ht="20.100000000000001" customHeight="1" x14ac:dyDescent="0.2">
      <c r="A20" s="17" t="str">
        <f>HYPERLINK("#'4.3.1.10-11 Soil Atmos Dep'!A1", "4.3.1.10-11 Soil Atmos Dep")</f>
        <v>4.3.1.10-11 Soil Atmos Dep</v>
      </c>
    </row>
    <row r="21" spans="1:21" ht="20.100000000000001" customHeight="1" x14ac:dyDescent="0.2">
      <c r="A21" s="17" t="str">
        <f>HYPERLINK("#'4.3.1.12-13 Soil leach runoff'!A1", "4.3.1.12-13 Soil leach runoff")</f>
        <v>4.3.1.12-13 Soil leach runoff</v>
      </c>
      <c r="D21" s="100" t="s">
        <v>277</v>
      </c>
    </row>
    <row r="22" spans="1:21" ht="20.100000000000001" customHeight="1" x14ac:dyDescent="0.2">
      <c r="D22" s="99" t="s">
        <v>278</v>
      </c>
    </row>
    <row r="23" spans="1:21" ht="20.100000000000001" customHeight="1" x14ac:dyDescent="0.2">
      <c r="D23" s="52" t="s">
        <v>167</v>
      </c>
      <c r="E23" s="52" t="s">
        <v>184</v>
      </c>
      <c r="F23" s="52" t="s">
        <v>185</v>
      </c>
      <c r="G23" s="52" t="s">
        <v>186</v>
      </c>
      <c r="H23" s="52" t="s">
        <v>187</v>
      </c>
    </row>
    <row r="24" spans="1:21" ht="20.100000000000001" customHeight="1" x14ac:dyDescent="0.2">
      <c r="A24" s="154" t="s">
        <v>1</v>
      </c>
      <c r="D24" s="53" cm="1">
        <f t="array" ref="D24">Table_SourceData_Dairy_WRj[Milking cows]</f>
        <v>590</v>
      </c>
      <c r="E24" s="53" cm="1">
        <f t="array" ref="E24">Table_SourceData_Dairy_WRj[Heifers &gt; 1]</f>
        <v>590</v>
      </c>
      <c r="F24" s="53" cm="1">
        <f t="array" ref="F24">Table_SourceData_Dairy_WRj[Heifers &lt; 1 (weaned)]</f>
        <v>590</v>
      </c>
      <c r="G24" s="53" cm="1">
        <f t="array" ref="G24">Table_SourceData_Dairy_WRj[Bulls &gt; 1]</f>
        <v>770</v>
      </c>
      <c r="H24" s="53" cm="1">
        <f t="array" ref="H24">Table_SourceData_Dairy_WRj[Bulls &lt; 1 (weaned)]</f>
        <v>770</v>
      </c>
      <c r="I24" s="2" t="s">
        <v>189</v>
      </c>
    </row>
    <row r="25" spans="1:21" ht="20.100000000000001" customHeight="1" x14ac:dyDescent="0.2">
      <c r="A25" s="17" t="str">
        <f>HYPERLINK("#'Constants - Dairy'!A1", "Constants - Dairy")</f>
        <v>Constants - Dairy</v>
      </c>
    </row>
    <row r="26" spans="1:21" ht="20.100000000000001" customHeight="1" x14ac:dyDescent="0.2">
      <c r="A26" s="17" t="str">
        <f>HYPERLINK("#'Constants - Common'!A1", "Constants - Common")</f>
        <v>Constants - Common</v>
      </c>
      <c r="D26" s="100" t="s">
        <v>279</v>
      </c>
      <c r="N26" s="100" t="s">
        <v>279</v>
      </c>
    </row>
    <row r="27" spans="1:21" ht="20.100000000000001" customHeight="1" x14ac:dyDescent="0.2">
      <c r="A27" s="17" t="str">
        <f>HYPERLINK("#'Constants - Livestock'!A1", "Constants - Livestock")</f>
        <v>Constants - Livestock</v>
      </c>
      <c r="D27" s="99" t="s">
        <v>280</v>
      </c>
      <c r="N27" s="99" t="s">
        <v>458</v>
      </c>
    </row>
    <row r="28" spans="1:21" ht="20.100000000000001" customHeight="1" x14ac:dyDescent="0.2">
      <c r="A28" s="17" t="str">
        <f>HYPERLINK("#'Acknowledgements'!A1", "Acknowledgements")</f>
        <v>Acknowledgements</v>
      </c>
      <c r="D28" s="52" t="s">
        <v>167</v>
      </c>
      <c r="E28" s="52" t="s">
        <v>184</v>
      </c>
      <c r="F28" s="52" t="s">
        <v>185</v>
      </c>
      <c r="G28" s="52" t="s">
        <v>186</v>
      </c>
      <c r="H28" s="52" t="s">
        <v>187</v>
      </c>
      <c r="N28" s="52" t="s">
        <v>167</v>
      </c>
      <c r="O28" s="52" t="s">
        <v>184</v>
      </c>
      <c r="P28" s="52" t="s">
        <v>185</v>
      </c>
      <c r="Q28" s="52" t="s">
        <v>186</v>
      </c>
      <c r="R28" s="52" t="s">
        <v>187</v>
      </c>
    </row>
    <row r="29" spans="1:21" ht="20.100000000000001" customHeight="1" x14ac:dyDescent="0.2">
      <c r="A29" s="17" t="str">
        <f>HYPERLINK("#'Tab template'!A1", "Tab template")</f>
        <v>Tab template</v>
      </c>
      <c r="D29" s="53" cm="1">
        <f t="array" ref="D29">MMS_Dairy_N2ODirect_Equations.VEERG_4_3_1_3__8_RelativeSize(D19,D24)</f>
        <v>0.93220338983050843</v>
      </c>
      <c r="E29" s="53" cm="1">
        <f t="array" ref="E29">MMS_Dairy_N2ODirect_Equations.VEERG_4_3_1_3__8_RelativeSize(E19,E24)</f>
        <v>0.64406779661016944</v>
      </c>
      <c r="F29" s="53" cm="1">
        <f t="array" ref="F29">MMS_Dairy_N2ODirect_Equations.VEERG_4_3_1_3__8_RelativeSize(F19,F24)</f>
        <v>0.26271186440677968</v>
      </c>
      <c r="G29" s="53" cm="1">
        <f t="array" ref="G29">MMS_Dairy_N2ODirect_Equations.VEERG_4_3_1_3__8_RelativeSize(G19,G24)</f>
        <v>0.77922077922077926</v>
      </c>
      <c r="H29" s="53" cm="1">
        <f t="array" ref="H29">MMS_Dairy_N2ODirect_Equations.VEERG_4_3_1_3__8_RelativeSize(H19,H24)</f>
        <v>0.29220779220779219</v>
      </c>
      <c r="I29" s="2" t="str">
        <f>$E$11</f>
        <v>ratio</v>
      </c>
      <c r="N29" s="53" cm="1">
        <f t="array" ref="N29">MMS_Dairy_N2ODirect_Equations.VEERG_4_3_1_3__8_RelativeSize(N19,D24)</f>
        <v>0.93220338983050843</v>
      </c>
      <c r="O29" s="53" cm="1">
        <f t="array" ref="O29">MMS_Dairy_N2ODirect_Equations.VEERG_4_3_1_3__8_RelativeSize(O19,E24)</f>
        <v>0.64406779661016944</v>
      </c>
      <c r="P29" s="53" cm="1">
        <f t="array" ref="P29">MMS_Dairy_N2ODirect_Equations.VEERG_4_3_1_3__8_RelativeSize(P19,F24)</f>
        <v>0.26271186440677968</v>
      </c>
      <c r="Q29" s="53" cm="1">
        <f t="array" ref="Q29">MMS_Dairy_N2ODirect_Equations.VEERG_4_3_1_3__8_RelativeSize(Q19,G24)</f>
        <v>0.77922077922077926</v>
      </c>
      <c r="R29" s="53" cm="1">
        <f t="array" ref="R29">MMS_Dairy_N2ODirect_Equations.VEERG_4_3_1_3__8_RelativeSize(R19,H24)</f>
        <v>0.29220779220779219</v>
      </c>
      <c r="S29" s="2" t="str">
        <f>$E$11</f>
        <v>ratio</v>
      </c>
    </row>
    <row r="32" spans="1:21" ht="20.100000000000001" customHeight="1" x14ac:dyDescent="0.2">
      <c r="C32" s="46"/>
      <c r="D32" s="46"/>
      <c r="E32" s="46"/>
      <c r="F32" s="46"/>
      <c r="G32" s="46"/>
      <c r="H32" s="46"/>
      <c r="I32" s="46"/>
      <c r="J32" s="46"/>
      <c r="K32" s="46"/>
      <c r="M32" s="46"/>
      <c r="N32" s="46"/>
      <c r="O32" s="46"/>
      <c r="P32" s="46"/>
      <c r="Q32" s="46"/>
      <c r="R32" s="46"/>
      <c r="S32" s="46"/>
      <c r="T32" s="46"/>
      <c r="U32" s="46"/>
    </row>
    <row r="33" spans="4:14" ht="20.100000000000001" customHeight="1" x14ac:dyDescent="0.2">
      <c r="D33" s="6" t="str" cm="1">
        <f t="array" ref="D33">MMS_Dairy_N2ODirect_Equations.VEERG_4_3_1_3__7_IntakeRelativeToMaintenance_Title()</f>
        <v>Intake relative to maintenance</v>
      </c>
    </row>
    <row r="34" spans="4:14" ht="20.100000000000001" customHeight="1" x14ac:dyDescent="0.2">
      <c r="D34" s="5" t="str" cm="1">
        <f t="array" ref="D34">MMS_Dairy_N2ODirect_Equations.VEERG_4_3_1_3__7_IntakeRelativeToMaintenance_Source()</f>
        <v>VEERG 2026: 4.3.1.3, Equation (7)</v>
      </c>
    </row>
    <row r="35" spans="4:14" ht="20.100000000000001" customHeight="1" x14ac:dyDescent="0.2">
      <c r="D35" s="13" t="s">
        <v>25</v>
      </c>
      <c r="E35" s="13" t="str" cm="1">
        <f t="array" aca="1" ref="E35" ca="1">Common_InputFunctions.Utility_DisplayFunctionName(D65)</f>
        <v>=MMS_Dairy_N2ODirect_Equations.VEERG_4_3_1_3__7_IntakeRelativeToMaintenance</v>
      </c>
    </row>
    <row r="37" spans="4:14" ht="20.100000000000001" customHeight="1" x14ac:dyDescent="0.2">
      <c r="D37" s="6"/>
      <c r="F37" s="6"/>
    </row>
    <row r="39" spans="4:14" ht="20.100000000000001" customHeight="1" x14ac:dyDescent="0.2">
      <c r="D39" s="54" t="s">
        <v>28</v>
      </c>
      <c r="E39" s="1" t="str" cm="1">
        <f t="array" ref="E39">MMS_Dairy_N2ODirect_Equations.VEERG_4_3_1_3__7_IntakeRelativeToMaintenance_Variable()</f>
        <v>L_j</v>
      </c>
    </row>
    <row r="40" spans="4:14" ht="20.100000000000001" customHeight="1" x14ac:dyDescent="0.2">
      <c r="D40" s="54" t="s">
        <v>18</v>
      </c>
      <c r="E40" s="55" t="str" cm="1">
        <f t="array" ref="E40">MMS_Dairy_N2ODirect_Equations.VEERG_4_3_1_3__7_IntakeRelativeToMaintenance_Unit()</f>
        <v>ratio</v>
      </c>
    </row>
    <row r="42" spans="4:14" ht="20.100000000000001" customHeight="1" x14ac:dyDescent="0.2">
      <c r="D42" s="133" t="str" cm="1">
        <f t="array" ref="D42:E45">_xlfn.CHOOSECOLS(MMS_Dairy_N2ODirect_Equations.VEERG_4_3_1_3__7_IntakeRelativeToMaintenance_Arguments(),1,2)</f>
        <v>I_j</v>
      </c>
      <c r="E42" s="132" t="str">
        <v>dry matter intake</v>
      </c>
      <c r="F42" s="134"/>
      <c r="G42" s="133" t="str" cm="1">
        <f t="array" ref="G42:H45">_xlfn.CHOOSECOLS(MMS_Dairy_N2ODirect_Equations.VEERG_4_3_1_3__7_IntakeRelativeToMaintenance_Arguments(),3,4)</f>
        <v>kgDM/head/day</v>
      </c>
      <c r="H42" s="129" t="str">
        <v>Calculated from 3.3.1.1 (3)</v>
      </c>
      <c r="I42" s="130" t="str" cm="1">
        <f t="array" aca="1" ref="I42" ca="1">HYPERLINK(Common_InputFunctions.Utility_SourceHyperlink($D$47),$D$47)</f>
        <v>M1_Table_I_j</v>
      </c>
    </row>
    <row r="43" spans="4:14" ht="20.100000000000001" customHeight="1" x14ac:dyDescent="0.2">
      <c r="D43" s="133" t="str">
        <v>W_j</v>
      </c>
      <c r="E43" s="132" t="str">
        <v>liveweight</v>
      </c>
      <c r="F43" s="134"/>
      <c r="G43" s="133" t="str">
        <v>kg/head</v>
      </c>
      <c r="H43" s="131" t="str">
        <v>Input</v>
      </c>
      <c r="I43" s="130" t="str" cm="1">
        <f t="array" aca="1" ref="I43" ca="1">HYPERLINK(Common_InputFunctions.Utility_SourceHyperlink($D$16),$D$16)</f>
        <v>M1_Table_W_j</v>
      </c>
    </row>
    <row r="44" spans="4:14" ht="20.100000000000001" customHeight="1" x14ac:dyDescent="0.2">
      <c r="D44" s="133" t="str">
        <v>MR_j</v>
      </c>
      <c r="E44" s="132" t="str">
        <v>increase in metabolic rate when producing milk</v>
      </c>
      <c r="F44" s="134"/>
      <c r="G44" s="133" t="str">
        <v/>
      </c>
      <c r="H44" s="129" t="str">
        <v>Constant</v>
      </c>
      <c r="I44" s="130" t="str" cm="1">
        <f t="array" aca="1" ref="I44" ca="1">HYPERLINK(Common_InputFunctions.Utility_SourceHyperlink($D$52),$D$52)</f>
        <v>Table_MR_j</v>
      </c>
    </row>
    <row r="45" spans="4:14" ht="20.100000000000001" customHeight="1" x14ac:dyDescent="0.2">
      <c r="D45" s="133" t="str">
        <v>MI_j</v>
      </c>
      <c r="E45" s="132" t="str">
        <v>additional intake required for milk production</v>
      </c>
      <c r="F45" s="134"/>
      <c r="G45" s="133" t="str">
        <v>kgDM/head/day</v>
      </c>
      <c r="H45" s="129" t="str">
        <v>Calculated from 3.3.1.1 (4)</v>
      </c>
      <c r="I45" s="130" t="str" cm="1">
        <f t="array" aca="1" ref="I45" ca="1">HYPERLINK(Common_InputFunctions.Utility_SourceHyperlink($D$57),$D$57)</f>
        <v>M1_Table_MI_j</v>
      </c>
    </row>
    <row r="47" spans="4:14" ht="20.100000000000001" customHeight="1" x14ac:dyDescent="0.2">
      <c r="D47" s="100" t="s">
        <v>107</v>
      </c>
      <c r="N47" s="100" t="s">
        <v>109</v>
      </c>
    </row>
    <row r="48" spans="4:14" ht="20.100000000000001" customHeight="1" x14ac:dyDescent="0.2">
      <c r="D48" s="99" t="s">
        <v>233</v>
      </c>
      <c r="N48" s="99" t="s">
        <v>232</v>
      </c>
    </row>
    <row r="49" spans="4:19" ht="20.100000000000001" customHeight="1" x14ac:dyDescent="0.2">
      <c r="D49" s="52" t="s">
        <v>167</v>
      </c>
      <c r="E49" s="52" t="s">
        <v>184</v>
      </c>
      <c r="F49" s="52" t="s">
        <v>185</v>
      </c>
      <c r="G49" s="52" t="s">
        <v>186</v>
      </c>
      <c r="H49" s="52" t="s">
        <v>187</v>
      </c>
      <c r="N49" s="52" t="s">
        <v>167</v>
      </c>
      <c r="O49" s="52" t="s">
        <v>184</v>
      </c>
      <c r="P49" s="52" t="s">
        <v>185</v>
      </c>
      <c r="Q49" s="52" t="s">
        <v>186</v>
      </c>
      <c r="R49" s="52" t="s">
        <v>187</v>
      </c>
    </row>
    <row r="50" spans="4:19" ht="20.100000000000001" customHeight="1" x14ac:dyDescent="0.2">
      <c r="D50" s="53">
        <f>INDEX(M1_Table_I_j,2,1)</f>
        <v>18.834317684367193</v>
      </c>
      <c r="E50" s="53">
        <f>INDEX(M1_Table_I_j,2,2)</f>
        <v>7.4188685375999972</v>
      </c>
      <c r="F50" s="53">
        <f>INDEX(M1_Table_I_j,2,3)</f>
        <v>4.0231734662249998</v>
      </c>
      <c r="G50" s="53">
        <f>INDEX(M1_Table_I_j,2,4)</f>
        <v>9.0270202499999979</v>
      </c>
      <c r="H50" s="53">
        <f>INDEX(M1_Table_I_j,2,5)</f>
        <v>5.4143472656250013</v>
      </c>
      <c r="I50" s="2" t="str">
        <f>G42</f>
        <v>kgDM/head/day</v>
      </c>
      <c r="N50" s="53">
        <f>INDEX(M2_Table_I_j,2,1)</f>
        <v>18.834317684367193</v>
      </c>
      <c r="O50" s="53">
        <f>INDEX(M2_Table_I_j,2,2)</f>
        <v>7.4188685375999972</v>
      </c>
      <c r="P50" s="53">
        <f>INDEX(M2_Table_I_j,2,3)</f>
        <v>4.0231734662249998</v>
      </c>
      <c r="Q50" s="53">
        <f>INDEX(M2_Table_I_j,2,4)</f>
        <v>9.0270202499999979</v>
      </c>
      <c r="R50" s="53">
        <f>INDEX(M2_Table_I_j,2,5)</f>
        <v>5.4143472656250013</v>
      </c>
      <c r="S50" s="2" t="str">
        <f>'4.3.1.1-2 Methane'!T114</f>
        <v>kg DM/head/day</v>
      </c>
    </row>
    <row r="52" spans="4:19" ht="20.100000000000001" customHeight="1" x14ac:dyDescent="0.2">
      <c r="D52" s="100" t="s">
        <v>218</v>
      </c>
    </row>
    <row r="53" spans="4:19" ht="20.100000000000001" customHeight="1" x14ac:dyDescent="0.2">
      <c r="D53" s="99" t="s">
        <v>219</v>
      </c>
    </row>
    <row r="54" spans="4:19" ht="20.100000000000001" customHeight="1" x14ac:dyDescent="0.2">
      <c r="D54" s="52" t="s">
        <v>167</v>
      </c>
      <c r="E54" s="52" t="s">
        <v>184</v>
      </c>
      <c r="F54" s="52" t="s">
        <v>185</v>
      </c>
      <c r="G54" s="52" t="s">
        <v>186</v>
      </c>
      <c r="H54" s="52" t="s">
        <v>187</v>
      </c>
    </row>
    <row r="55" spans="4:19" ht="20.100000000000001" customHeight="1" x14ac:dyDescent="0.2">
      <c r="D55" s="53">
        <f>'Constants - Dairy'!$E$108</f>
        <v>1.1000000000000001</v>
      </c>
      <c r="E55" s="53">
        <f>'Constants - Dairy'!$E$109</f>
        <v>1</v>
      </c>
      <c r="F55" s="53">
        <f>'Constants - Dairy'!$E$109</f>
        <v>1</v>
      </c>
      <c r="G55" s="53">
        <f>'Constants - Dairy'!$E$109</f>
        <v>1</v>
      </c>
      <c r="H55" s="53">
        <f>'Constants - Dairy'!$E$109</f>
        <v>1</v>
      </c>
      <c r="I55" s="2" t="str">
        <f>G44</f>
        <v/>
      </c>
    </row>
    <row r="57" spans="4:19" ht="20.100000000000001" customHeight="1" x14ac:dyDescent="0.2">
      <c r="D57" s="100" t="s">
        <v>225</v>
      </c>
    </row>
    <row r="58" spans="4:19" ht="20.100000000000001" customHeight="1" x14ac:dyDescent="0.2">
      <c r="D58" s="99" t="s">
        <v>226</v>
      </c>
    </row>
    <row r="59" spans="4:19" ht="20.100000000000001" customHeight="1" x14ac:dyDescent="0.2">
      <c r="D59" s="52" t="s">
        <v>167</v>
      </c>
      <c r="E59" s="52" t="s">
        <v>184</v>
      </c>
      <c r="F59" s="52" t="s">
        <v>185</v>
      </c>
      <c r="G59" s="52" t="s">
        <v>186</v>
      </c>
      <c r="H59" s="52" t="s">
        <v>187</v>
      </c>
    </row>
    <row r="60" spans="4:19" ht="20.100000000000001" customHeight="1" x14ac:dyDescent="0.2">
      <c r="D60" s="53">
        <f>INDEX(M1_Table_MI_j,2,1)</f>
        <v>9.5798721636071917</v>
      </c>
      <c r="E60" s="53">
        <f>INDEX(M1_Table_MI_j,2,2)</f>
        <v>0</v>
      </c>
      <c r="F60" s="53">
        <f>INDEX(M1_Table_MI_j,2,3)</f>
        <v>0</v>
      </c>
      <c r="G60" s="53">
        <f>INDEX(M1_Table_MI_j,2,4)</f>
        <v>0</v>
      </c>
      <c r="H60" s="53">
        <f>INDEX(M1_Table_MI_j,2,5)</f>
        <v>0</v>
      </c>
      <c r="I60" s="2" t="str">
        <f>'4.3.1.1-2 Methane'!I79</f>
        <v>kg DM/head/day</v>
      </c>
    </row>
    <row r="62" spans="4:19" ht="20.100000000000001" customHeight="1" x14ac:dyDescent="0.2">
      <c r="D62" s="100" t="s">
        <v>281</v>
      </c>
      <c r="N62" s="100" t="s">
        <v>283</v>
      </c>
    </row>
    <row r="63" spans="4:19" ht="20.100000000000001" customHeight="1" x14ac:dyDescent="0.2">
      <c r="D63" s="99" t="s">
        <v>282</v>
      </c>
      <c r="N63" s="99" t="s">
        <v>284</v>
      </c>
    </row>
    <row r="64" spans="4:19" ht="20.100000000000001" customHeight="1" x14ac:dyDescent="0.2">
      <c r="D64" s="52" t="s">
        <v>167</v>
      </c>
      <c r="E64" s="52" t="s">
        <v>184</v>
      </c>
      <c r="F64" s="52" t="s">
        <v>185</v>
      </c>
      <c r="G64" s="52" t="s">
        <v>186</v>
      </c>
      <c r="H64" s="52" t="s">
        <v>187</v>
      </c>
      <c r="N64" s="52" t="s">
        <v>167</v>
      </c>
      <c r="O64" s="52" t="s">
        <v>184</v>
      </c>
      <c r="P64" s="52" t="s">
        <v>185</v>
      </c>
      <c r="Q64" s="52" t="s">
        <v>186</v>
      </c>
      <c r="R64" s="52" t="s">
        <v>187</v>
      </c>
    </row>
    <row r="65" spans="3:21" ht="20.100000000000001" customHeight="1" x14ac:dyDescent="0.2">
      <c r="D65" s="53" cm="1">
        <f t="array" ref="D65">MMS_Dairy_N2ODirect_Equations.VEERG_4_3_1_3__7_IntakeRelativeToMaintenance(D50,D19,D55,D60)</f>
        <v>1.0017090166233036</v>
      </c>
      <c r="E65" s="53" cm="1">
        <f t="array" ref="E65">MMS_Dairy_N2ODirect_Equations.VEERG_4_3_1_3__7_IntakeRelativeToMaintenance(E50,E19,E55,E60)</f>
        <v>1.1546862260954116</v>
      </c>
      <c r="F65" s="53" cm="1">
        <f t="array" ref="F65">MMS_Dairy_N2ODirect_Equations.VEERG_4_3_1_3__7_IntakeRelativeToMaintenance(F50,F19,F55,F60)</f>
        <v>1.206300296845944</v>
      </c>
      <c r="G65" s="53" cm="1">
        <f t="array" ref="G65">MMS_Dairy_N2ODirect_Equations.VEERG_4_3_1_3__7_IntakeRelativeToMaintenance(G50,G19,G55,G60)</f>
        <v>1.0213029780639273</v>
      </c>
      <c r="H65" s="53" cm="1">
        <f t="array" ref="H65">MMS_Dairy_N2ODirect_Equations.VEERG_4_3_1_3__7_IntakeRelativeToMaintenance(H50,H19,H55,H60)</f>
        <v>1.2576570545672616</v>
      </c>
      <c r="I65" s="2" t="str">
        <f>$E$40</f>
        <v>ratio</v>
      </c>
      <c r="N65" s="53" cm="1">
        <f t="array" ref="N65">MMS_Dairy_N2ODirect_Equations.VEERG_4_3_1_3__7_IntakeRelativeToMaintenance(N50,N19,D55,D60)</f>
        <v>1.0017090166233036</v>
      </c>
      <c r="O65" s="53" cm="1">
        <f t="array" ref="O65">MMS_Dairy_N2ODirect_Equations.VEERG_4_3_1_3__7_IntakeRelativeToMaintenance(O50,O19,E55,E60)</f>
        <v>1.1546862260954116</v>
      </c>
      <c r="P65" s="53" cm="1">
        <f t="array" ref="P65">MMS_Dairy_N2ODirect_Equations.VEERG_4_3_1_3__7_IntakeRelativeToMaintenance(P50,P19,F55,F60)</f>
        <v>1.206300296845944</v>
      </c>
      <c r="Q65" s="53" cm="1">
        <f t="array" ref="Q65">MMS_Dairy_N2ODirect_Equations.VEERG_4_3_1_3__7_IntakeRelativeToMaintenance(Q50,Q19,G55,G60)</f>
        <v>1.0213029780639273</v>
      </c>
      <c r="R65" s="53" cm="1">
        <f t="array" ref="R65">MMS_Dairy_N2ODirect_Equations.VEERG_4_3_1_3__7_IntakeRelativeToMaintenance(R50,R19,H55,H60)</f>
        <v>1.2576570545672616</v>
      </c>
      <c r="S65" s="2" t="str">
        <f>$E$40</f>
        <v>ratio</v>
      </c>
    </row>
    <row r="68" spans="3:21" ht="20.100000000000001" customHeight="1" x14ac:dyDescent="0.2">
      <c r="C68" s="46"/>
      <c r="D68" s="46"/>
      <c r="E68" s="46"/>
      <c r="F68" s="46"/>
      <c r="G68" s="46"/>
      <c r="H68" s="46"/>
      <c r="I68" s="46"/>
      <c r="J68" s="46"/>
      <c r="K68" s="46"/>
      <c r="M68" s="46"/>
      <c r="N68" s="46"/>
      <c r="O68" s="46"/>
      <c r="P68" s="46"/>
      <c r="Q68" s="46"/>
      <c r="R68" s="46"/>
      <c r="S68" s="46"/>
      <c r="T68" s="46"/>
      <c r="U68" s="46"/>
    </row>
    <row r="69" spans="3:21" ht="20.100000000000001" customHeight="1" x14ac:dyDescent="0.2">
      <c r="D69" s="6" t="str" cm="1">
        <f t="array" ref="D69">MMS_Dairy_N2ODirect_Equations.VEERG_4_3_1_3__6_NitrogenRetainedByBody_Title()</f>
        <v>Amount of nitrogen retained by the body</v>
      </c>
    </row>
    <row r="70" spans="3:21" ht="20.100000000000001" customHeight="1" x14ac:dyDescent="0.2">
      <c r="D70" s="5" t="str" cm="1">
        <f t="array" ref="D70">MMS_Dairy_N2ODirect_Equations.VEERG_4_3_1_3__6_NitrogenRetainedByBody_Source()</f>
        <v>VEERG 2026: 4.3.1.3, Equation (6)</v>
      </c>
    </row>
    <row r="71" spans="3:21" ht="20.100000000000001" customHeight="1" x14ac:dyDescent="0.2">
      <c r="D71" s="56" t="str" cm="1">
        <f t="array" ref="D71">MMS_Dairy_N2ODirect_Equations.VEERG_4_3_1_3__6_NitrogenRetainedByBody_Variation()</f>
        <v>VARIATION ON SOURCE: Added check for milk production input unit and choose corresponding MP_j value accordingly.</v>
      </c>
    </row>
    <row r="72" spans="3:21" ht="20.100000000000001" customHeight="1" x14ac:dyDescent="0.2">
      <c r="D72" s="13" t="s">
        <v>25</v>
      </c>
      <c r="E72" s="13" t="str" cm="1">
        <f t="array" aca="1" ref="E72" ca="1">Common_InputFunctions.Utility_DisplayFunctionName(D103)</f>
        <v>=MMS_Dairy_N2ODirect_Equations.VEERG_4_3_1_3__6_NitrogenRetainedByBody</v>
      </c>
    </row>
    <row r="75" spans="3:21" ht="20.100000000000001" customHeight="1" x14ac:dyDescent="0.2">
      <c r="D75" s="54" t="s">
        <v>28</v>
      </c>
      <c r="E75" s="1" t="str" cm="1">
        <f t="array" ref="E75">MMS_Dairy_N2ODirect_Equations.VEERG_4_3_1_3__6_NitrogenRetainedByBody_Variable()</f>
        <v>NR_j</v>
      </c>
    </row>
    <row r="76" spans="3:21" ht="20.100000000000001" customHeight="1" x14ac:dyDescent="0.2">
      <c r="D76" s="54" t="s">
        <v>18</v>
      </c>
      <c r="E76" s="55" t="str" cm="1">
        <f t="array" ref="E76">MMS_Dairy_N2ODirect_Equations.VEERG_4_3_1_3__6_NitrogenRetainedByBody_Unit()</f>
        <v>kg N/head/day</v>
      </c>
    </row>
    <row r="78" spans="3:21" ht="20.100000000000001" customHeight="1" x14ac:dyDescent="0.2">
      <c r="D78" s="133" t="str" cm="1">
        <f t="array" ref="D78:E83">_xlfn.CHOOSECOLS(MMS_Dairy_N2ODirect_Equations.VEERG_4_3_1_3__6_NitrogenRetainedByBody_Arguments(),1,2)</f>
        <v>MPU</v>
      </c>
      <c r="E78" s="132" t="str">
        <v>input milk production unit</v>
      </c>
      <c r="F78" s="134"/>
      <c r="G78" s="133" t="str" cm="1">
        <f t="array" ref="G78:H83">_xlfn.CHOOSECOLS(MMS_Dairy_N2ODirect_Equations.VEERG_4_3_1_3__6_NitrogenRetainedByBody_Arguments(),3,4)</f>
        <v/>
      </c>
      <c r="H78" s="131" t="str">
        <v>Input</v>
      </c>
      <c r="I78" s="133" t="str">
        <f>X_Cell_Dairy_MilkProductionUnit</f>
        <v>Litres of milk</v>
      </c>
    </row>
    <row r="79" spans="3:21" ht="20.100000000000001" customHeight="1" x14ac:dyDescent="0.2">
      <c r="D79" s="133" t="str">
        <v>MP_j</v>
      </c>
      <c r="E79" s="132" t="str">
        <v>milk production (if input as litres of milk)</v>
      </c>
      <c r="F79" s="134"/>
      <c r="G79" s="133" t="str">
        <v>L/head/day</v>
      </c>
      <c r="H79" s="131" t="str">
        <v>Input</v>
      </c>
      <c r="I79" s="130" t="str" cm="1">
        <f t="array" aca="1" ref="I79" ca="1">HYPERLINK(Common_InputFunctions.Utility_SourceHyperlink($D$90),$D$90)</f>
        <v>Table_MP_j</v>
      </c>
    </row>
    <row r="80" spans="3:21" ht="20.100000000000001" customHeight="1" x14ac:dyDescent="0.2">
      <c r="D80" s="133" t="str">
        <v>MP_j</v>
      </c>
      <c r="E80" s="132" t="str">
        <v>milk production (if input as milk solids)</v>
      </c>
      <c r="F80" s="134"/>
      <c r="G80" s="133" t="str">
        <v>L/head/day</v>
      </c>
      <c r="H80" s="129" t="str">
        <v>Calculated from 3.3.1.1 (5)</v>
      </c>
      <c r="I80" s="130" t="str" cm="1">
        <f t="array" aca="1" ref="I80" ca="1">HYPERLINK(Common_InputFunctions.Utility_SourceHyperlink($D$85),$D$85)</f>
        <v>M1_Table_MP_j_from_solids</v>
      </c>
    </row>
    <row r="81" spans="4:19" ht="20.100000000000001" customHeight="1" x14ac:dyDescent="0.2">
      <c r="D81" s="133" t="str">
        <v>L_j</v>
      </c>
      <c r="E81" s="132" t="str">
        <v>intake relative to maintenance</v>
      </c>
      <c r="F81" s="134"/>
      <c r="G81" s="133" t="str">
        <v/>
      </c>
      <c r="H81" s="129" t="str">
        <v>Calculated from 4.3.1.3 (7)</v>
      </c>
      <c r="I81" s="130" t="str" cm="1">
        <f t="array" aca="1" ref="I81" ca="1">HYPERLINK(Common_InputFunctions.Utility_SourceHyperlink($D$62),$D$62)</f>
        <v>M1_Table_L_j</v>
      </c>
    </row>
    <row r="82" spans="4:19" ht="20.100000000000001" customHeight="1" x14ac:dyDescent="0.2">
      <c r="D82" s="133" t="str">
        <v>Z_j</v>
      </c>
      <c r="E82" s="132" t="str">
        <v>relative size</v>
      </c>
      <c r="F82" s="134"/>
      <c r="G82" s="133" t="str">
        <v/>
      </c>
      <c r="H82" s="129" t="str">
        <v>Calculated from 4.3.1.3 (8)</v>
      </c>
      <c r="I82" s="130" t="str" cm="1">
        <f t="array" aca="1" ref="I82" ca="1">HYPERLINK(Common_InputFunctions.Utility_SourceHyperlink($D$26),$D$26)</f>
        <v>M1_Table_Z_j</v>
      </c>
    </row>
    <row r="83" spans="4:19" ht="20.100000000000001" customHeight="1" x14ac:dyDescent="0.2">
      <c r="D83" s="133" t="str">
        <v>LWG_j</v>
      </c>
      <c r="E83" s="132" t="str">
        <v>liveweight gain</v>
      </c>
      <c r="F83" s="134"/>
      <c r="G83" s="133" t="str">
        <v>kg/head/day</v>
      </c>
      <c r="H83" s="131" t="str">
        <v>Input</v>
      </c>
      <c r="I83" s="130" t="str" cm="1">
        <f t="array" aca="1" ref="I83" ca="1">HYPERLINK(Common_InputFunctions.Utility_SourceHyperlink($D$95),$D$95)</f>
        <v>M1_Table_LWG_j</v>
      </c>
    </row>
    <row r="85" spans="4:19" ht="20.100000000000001" customHeight="1" x14ac:dyDescent="0.2">
      <c r="D85" s="100" t="s">
        <v>441</v>
      </c>
      <c r="N85" s="100" t="s">
        <v>443</v>
      </c>
    </row>
    <row r="86" spans="4:19" ht="20.100000000000001" customHeight="1" x14ac:dyDescent="0.2">
      <c r="D86" s="99" t="s">
        <v>442</v>
      </c>
      <c r="N86" s="99" t="s">
        <v>444</v>
      </c>
    </row>
    <row r="87" spans="4:19" ht="20.100000000000001" customHeight="1" x14ac:dyDescent="0.2">
      <c r="D87" s="52" t="s">
        <v>167</v>
      </c>
      <c r="E87" s="52" t="s">
        <v>184</v>
      </c>
      <c r="F87" s="52" t="s">
        <v>185</v>
      </c>
      <c r="G87" s="52" t="s">
        <v>186</v>
      </c>
      <c r="H87" s="52" t="s">
        <v>187</v>
      </c>
      <c r="N87" s="52" t="s">
        <v>167</v>
      </c>
      <c r="O87" s="52" t="s">
        <v>184</v>
      </c>
      <c r="P87" s="52" t="s">
        <v>185</v>
      </c>
      <c r="Q87" s="52" t="s">
        <v>186</v>
      </c>
      <c r="R87" s="52" t="s">
        <v>187</v>
      </c>
    </row>
    <row r="88" spans="4:19" ht="20.100000000000001" customHeight="1" x14ac:dyDescent="0.2">
      <c r="D88" s="53">
        <f>INDEX(M1_Table_MP_j_from_solids,2,1)</f>
        <v>0</v>
      </c>
      <c r="E88" s="53">
        <v>0</v>
      </c>
      <c r="F88" s="53">
        <v>0</v>
      </c>
      <c r="G88" s="53">
        <v>0</v>
      </c>
      <c r="H88" s="53">
        <v>0</v>
      </c>
      <c r="I88" s="2" t="str">
        <f>$G$80</f>
        <v>L/head/day</v>
      </c>
      <c r="N88" s="53">
        <f>INDEX(M2_Table_MP_j_from_solids,2,1)</f>
        <v>0</v>
      </c>
      <c r="O88" s="53">
        <v>0</v>
      </c>
      <c r="P88" s="53">
        <v>0</v>
      </c>
      <c r="Q88" s="53">
        <v>0</v>
      </c>
      <c r="R88" s="53">
        <v>0</v>
      </c>
      <c r="S88" s="2" t="str">
        <f>$G$80</f>
        <v>L/head/day</v>
      </c>
    </row>
    <row r="90" spans="4:19" ht="20.100000000000001" customHeight="1" x14ac:dyDescent="0.2">
      <c r="D90" s="100" t="s">
        <v>230</v>
      </c>
    </row>
    <row r="91" spans="4:19" ht="20.100000000000001" customHeight="1" x14ac:dyDescent="0.2">
      <c r="D91" s="99" t="s">
        <v>191</v>
      </c>
    </row>
    <row r="92" spans="4:19" ht="20.100000000000001" customHeight="1" x14ac:dyDescent="0.2">
      <c r="D92" s="40" t="s">
        <v>167</v>
      </c>
      <c r="E92" s="40" t="s">
        <v>184</v>
      </c>
      <c r="F92" s="40" t="s">
        <v>185</v>
      </c>
      <c r="G92" s="40" t="s">
        <v>186</v>
      </c>
      <c r="H92" s="40" t="s">
        <v>187</v>
      </c>
    </row>
    <row r="93" spans="4:19" ht="20.100000000000001" customHeight="1" x14ac:dyDescent="0.2">
      <c r="D93" s="53">
        <f>INDEX(Table_MP_j_Consumer_1,2,1)</f>
        <v>20</v>
      </c>
      <c r="E93" s="53">
        <v>0</v>
      </c>
      <c r="F93" s="53">
        <v>0</v>
      </c>
      <c r="G93" s="53">
        <v>0</v>
      </c>
      <c r="H93" s="53">
        <v>0</v>
      </c>
      <c r="I93" s="2" t="str">
        <f>$G$79</f>
        <v>L/head/day</v>
      </c>
    </row>
    <row r="95" spans="4:19" ht="20.100000000000001" customHeight="1" x14ac:dyDescent="0.2">
      <c r="D95" s="100" t="s">
        <v>214</v>
      </c>
      <c r="N95" s="100" t="s">
        <v>216</v>
      </c>
    </row>
    <row r="96" spans="4:19" ht="20.100000000000001" customHeight="1" x14ac:dyDescent="0.2">
      <c r="D96" s="99" t="s">
        <v>215</v>
      </c>
      <c r="N96" s="99" t="s">
        <v>217</v>
      </c>
    </row>
    <row r="97" spans="3:21" ht="20.100000000000001" customHeight="1" x14ac:dyDescent="0.2">
      <c r="D97" s="40" t="s">
        <v>167</v>
      </c>
      <c r="E97" s="40" t="s">
        <v>184</v>
      </c>
      <c r="F97" s="40" t="s">
        <v>185</v>
      </c>
      <c r="G97" s="40" t="s">
        <v>186</v>
      </c>
      <c r="H97" s="40" t="s">
        <v>187</v>
      </c>
      <c r="N97" s="40" t="s">
        <v>167</v>
      </c>
      <c r="O97" s="40" t="s">
        <v>184</v>
      </c>
      <c r="P97" s="40" t="s">
        <v>185</v>
      </c>
      <c r="Q97" s="40" t="s">
        <v>186</v>
      </c>
      <c r="R97" s="40" t="s">
        <v>187</v>
      </c>
    </row>
    <row r="98" spans="3:21" ht="20.100000000000001" customHeight="1" x14ac:dyDescent="0.2">
      <c r="D98" s="53">
        <f>INDEX(X_Table_Dairy_Liveweight_Method1,3,2)</f>
        <v>1.6E-2</v>
      </c>
      <c r="E98" s="53">
        <f>INDEX(X_Table_Dairy_Liveweight_Method1,3,3)</f>
        <v>0.6</v>
      </c>
      <c r="F98" s="53">
        <f>INDEX(X_Table_Dairy_Liveweight_Method1,3,4)</f>
        <v>0.56999999999999995</v>
      </c>
      <c r="G98" s="53">
        <f>INDEX(X_Table_Dairy_Liveweight_Method1,3,5)</f>
        <v>0.1</v>
      </c>
      <c r="H98" s="53">
        <f>INDEX(X_Table_Dairy_Liveweight_Method1,3,6)</f>
        <v>0.8</v>
      </c>
      <c r="I98" s="2" t="str">
        <f>$G$83</f>
        <v>kg/head/day</v>
      </c>
      <c r="N98" s="53">
        <f>INDEX(X_Table_Dairy_Liveweight_Method2,3,2)</f>
        <v>1.6E-2</v>
      </c>
      <c r="O98" s="53">
        <f>INDEX(X_Table_Dairy_Liveweight_Method2,3,3)</f>
        <v>0.6</v>
      </c>
      <c r="P98" s="53">
        <f>INDEX(X_Table_Dairy_Liveweight_Method2,3,4)</f>
        <v>0.56999999999999995</v>
      </c>
      <c r="Q98" s="53">
        <f>INDEX(X_Table_Dairy_Liveweight_Method2,3,5)</f>
        <v>0.1</v>
      </c>
      <c r="R98" s="53">
        <f>INDEX(X_Table_Dairy_Liveweight_Method2,3,6)</f>
        <v>0.8</v>
      </c>
      <c r="S98" s="2" t="str">
        <f>$G$83</f>
        <v>kg/head/day</v>
      </c>
    </row>
    <row r="100" spans="3:21" ht="20.100000000000001" customHeight="1" x14ac:dyDescent="0.2">
      <c r="D100" s="100" t="s">
        <v>110</v>
      </c>
      <c r="N100" s="100" t="s">
        <v>111</v>
      </c>
    </row>
    <row r="101" spans="3:21" ht="20.100000000000001" customHeight="1" x14ac:dyDescent="0.2">
      <c r="D101" s="99" t="s">
        <v>285</v>
      </c>
      <c r="N101" s="99" t="s">
        <v>286</v>
      </c>
    </row>
    <row r="102" spans="3:21" ht="20.100000000000001" customHeight="1" x14ac:dyDescent="0.2">
      <c r="D102" s="52" t="s">
        <v>167</v>
      </c>
      <c r="E102" s="52" t="s">
        <v>184</v>
      </c>
      <c r="F102" s="52" t="s">
        <v>185</v>
      </c>
      <c r="G102" s="52" t="s">
        <v>186</v>
      </c>
      <c r="H102" s="52" t="s">
        <v>187</v>
      </c>
      <c r="N102" s="52" t="s">
        <v>167</v>
      </c>
      <c r="O102" s="52" t="s">
        <v>184</v>
      </c>
      <c r="P102" s="52" t="s">
        <v>185</v>
      </c>
      <c r="Q102" s="52" t="s">
        <v>186</v>
      </c>
      <c r="R102" s="52" t="s">
        <v>187</v>
      </c>
    </row>
    <row r="103" spans="3:21" ht="20.100000000000001" customHeight="1" x14ac:dyDescent="0.2">
      <c r="D103" s="53" cm="1">
        <f t="array" ref="D103">MMS_Dairy_N2ODirect_Equations.VEERG_4_3_1_3__6_NitrogenRetainedByBody(IF($I$78="Milk solids", D88, D93),D65,D29,D98)</f>
        <v>0.10350619833262559</v>
      </c>
      <c r="E103" s="53" cm="1">
        <f t="array" ref="E103">MMS_Dairy_N2ODirect_Equations.VEERG_4_3_1_3__6_NitrogenRetainedByBody(IF($I$78="Milk solids", E88, E93),E65,E29,E98)</f>
        <v>8.7932411900846184E-3</v>
      </c>
      <c r="F103" s="53" cm="1">
        <f t="array" ref="F103">MMS_Dairy_N2ODirect_Equations.VEERG_4_3_1_3__6_NitrogenRetainedByBody(IF($I$78="Milk solids", F88, F93),F65,F29,F98)</f>
        <v>1.4575548166167214E-2</v>
      </c>
      <c r="G103" s="53" cm="1">
        <f t="array" ref="G103">MMS_Dairy_N2ODirect_Equations.VEERG_4_3_1_3__6_NitrogenRetainedByBody(IF($I$78="Milk solids", G88, G93),G65,G29,G98)</f>
        <v>1.2626203146474683E-3</v>
      </c>
      <c r="H103" s="53" cm="1">
        <f t="array" ref="H103">MMS_Dairy_N2ODirect_Equations.VEERG_4_3_1_3__6_NitrogenRetainedByBody(IF($I$78="Milk solids", H88, H93),H65,H29,H98)</f>
        <v>1.9757354894894087E-2</v>
      </c>
      <c r="I103" s="2" t="str">
        <f>$E$76</f>
        <v>kg N/head/day</v>
      </c>
      <c r="N103" s="53" cm="1">
        <f t="array" ref="N103">MMS_Dairy_N2ODirect_Equations.VEERG_4_3_1_3__6_NitrogenRetainedByBody(IF($I$78="Milk solids",N88,D93),N65,N29,N98)</f>
        <v>0.10350619833262559</v>
      </c>
      <c r="O103" s="53" cm="1">
        <f t="array" ref="O103">MMS_Dairy_N2ODirect_Equations.VEERG_4_3_1_3__6_NitrogenRetainedByBody(IF($I$78="Milk solids",O88,E93),O65,O29,O98)</f>
        <v>8.7932411900846184E-3</v>
      </c>
      <c r="P103" s="53" cm="1">
        <f t="array" ref="P103">MMS_Dairy_N2ODirect_Equations.VEERG_4_3_1_3__6_NitrogenRetainedByBody(IF($I$78="Milk solids",P88,F93),P65,P29,P98)</f>
        <v>1.4575548166167214E-2</v>
      </c>
      <c r="Q103" s="53" cm="1">
        <f t="array" ref="Q103">MMS_Dairy_N2ODirect_Equations.VEERG_4_3_1_3__6_NitrogenRetainedByBody(IF($I$78="Milk solids",Q88,G93),Q65,Q29,Q98)</f>
        <v>1.2626203146474683E-3</v>
      </c>
      <c r="R103" s="53" cm="1">
        <f t="array" ref="R103">MMS_Dairy_N2ODirect_Equations.VEERG_4_3_1_3__6_NitrogenRetainedByBody(IF($I$78="Milk solids",R88,H93),R65,R29,R98)</f>
        <v>1.9757354894894087E-2</v>
      </c>
      <c r="S103" s="2" t="str">
        <f>$E$76</f>
        <v>kg N/head/day</v>
      </c>
    </row>
    <row r="106" spans="3:21" ht="20.100000000000001" customHeight="1" x14ac:dyDescent="0.2">
      <c r="C106" s="46"/>
      <c r="D106" s="46"/>
      <c r="E106" s="46"/>
      <c r="F106" s="46"/>
      <c r="G106" s="46"/>
      <c r="H106" s="46"/>
      <c r="I106" s="46"/>
      <c r="J106" s="46"/>
      <c r="K106" s="46"/>
      <c r="M106" s="46"/>
      <c r="N106" s="46"/>
      <c r="O106" s="46"/>
      <c r="P106" s="46"/>
      <c r="Q106" s="46"/>
      <c r="R106" s="46"/>
      <c r="S106" s="46"/>
      <c r="T106" s="46"/>
      <c r="U106" s="46"/>
    </row>
    <row r="107" spans="3:21" ht="20.100000000000001" customHeight="1" x14ac:dyDescent="0.2">
      <c r="D107" s="6" t="str" cm="1">
        <f t="array" ref="D107">MMS_Dairy_N2ODirect_Equations.VEERG_4_3_1_3__5_CrudeProteinIntakeOfDairyCattle_Title()</f>
        <v>Crude protein intake of dairy cattle</v>
      </c>
    </row>
    <row r="108" spans="3:21" ht="20.100000000000001" customHeight="1" x14ac:dyDescent="0.2">
      <c r="D108" s="5" t="str" cm="1">
        <f t="array" ref="D108">MMS_Dairy_N2ODirect_Equations.VEERG_4_3_1_3__5_CrudeProteinIntakeOfDairyCattle_Source()</f>
        <v>VEERG 2026: 4.3.1.3, Equation (5)</v>
      </c>
    </row>
    <row r="109" spans="3:21" ht="20.100000000000001" customHeight="1" x14ac:dyDescent="0.2">
      <c r="D109" s="13" t="s">
        <v>25</v>
      </c>
      <c r="E109" s="13" t="str" cm="1">
        <f t="array" aca="1" ref="E109" ca="1">Common_InputFunctions.Utility_DisplayFunctionName(D126)</f>
        <v>=MMS_Dairy_N2ODirect_Equations.VEERG_4_3_1_3__5_CrudeProteinIntakeOfDairyCattle</v>
      </c>
    </row>
    <row r="111" spans="3:21" ht="20.100000000000001" customHeight="1" x14ac:dyDescent="0.2">
      <c r="D111" s="6"/>
    </row>
    <row r="112" spans="3:21" ht="20.100000000000001" customHeight="1" x14ac:dyDescent="0.2">
      <c r="D112" s="54" t="s">
        <v>28</v>
      </c>
      <c r="E112" s="1" t="str" cm="1">
        <f t="array" ref="E112">MMS_Dairy_N2ODirect_Equations.VEERG_4_3_1_3__5_CrudeProteinIntakeOfDairyCattle_Variable()</f>
        <v>CPI_j</v>
      </c>
    </row>
    <row r="113" spans="4:19" ht="20.100000000000001" customHeight="1" x14ac:dyDescent="0.2">
      <c r="D113" s="54" t="s">
        <v>18</v>
      </c>
      <c r="E113" s="55" t="str" cm="1">
        <f t="array" ref="E113">MMS_Dairy_N2ODirect_Equations.VEERG_4_3_1_3__5_CrudeProteinIntakeOfDairyCattle_Unit()</f>
        <v>kg/head/day</v>
      </c>
    </row>
    <row r="115" spans="4:19" ht="20.100000000000001" customHeight="1" x14ac:dyDescent="0.2">
      <c r="D115" s="133" t="str" cm="1">
        <f t="array" ref="D115:G116">MMS_Dairy_N2ODirect_Equations.VEERG_4_3_1_3__5_CrudeProteinIntakeOfDairyCattle_Arguments()</f>
        <v>I_j</v>
      </c>
      <c r="E115" s="133" t="str">
        <v>dry matter intake</v>
      </c>
      <c r="F115" s="133" t="str">
        <v>kgDM/head/day</v>
      </c>
      <c r="G115" s="129" t="str">
        <v>Calculated from 3.3.1.1 (3)</v>
      </c>
      <c r="H115" s="130" t="str" cm="1">
        <f t="array" aca="1" ref="H115" ca="1">HYPERLINK(Common_InputFunctions.Utility_SourceHyperlink($D$47),$D$47)</f>
        <v>M1_Table_I_j</v>
      </c>
    </row>
    <row r="116" spans="4:19" ht="20.100000000000001" customHeight="1" x14ac:dyDescent="0.2">
      <c r="D116" s="133" t="str">
        <v>CP_j</v>
      </c>
      <c r="E116" s="133" t="str">
        <v>crude protein content of feed intake</v>
      </c>
      <c r="F116" s="133" t="str">
        <v>fraction</v>
      </c>
      <c r="G116" s="131" t="str">
        <v>Input</v>
      </c>
      <c r="H116" s="130" t="str" cm="1">
        <f t="array" aca="1" ref="H116" ca="1">HYPERLINK(Common_InputFunctions.Utility_SourceHyperlink($D$118),$D$118)</f>
        <v>M1_Table_CP_j</v>
      </c>
    </row>
    <row r="118" spans="4:19" ht="20.100000000000001" customHeight="1" x14ac:dyDescent="0.2">
      <c r="D118" s="100" t="s">
        <v>108</v>
      </c>
      <c r="N118" s="100" t="s">
        <v>454</v>
      </c>
    </row>
    <row r="119" spans="4:19" ht="20.100000000000001" customHeight="1" x14ac:dyDescent="0.2">
      <c r="D119" s="99" t="s">
        <v>287</v>
      </c>
      <c r="N119" s="99" t="s">
        <v>455</v>
      </c>
    </row>
    <row r="120" spans="4:19" ht="20.100000000000001" customHeight="1" x14ac:dyDescent="0.2">
      <c r="D120" s="40" t="s">
        <v>167</v>
      </c>
      <c r="E120" s="40" t="s">
        <v>184</v>
      </c>
      <c r="F120" s="40" t="s">
        <v>185</v>
      </c>
      <c r="G120" s="40" t="s">
        <v>186</v>
      </c>
      <c r="H120" s="40" t="s">
        <v>187</v>
      </c>
      <c r="N120" s="40" t="s">
        <v>167</v>
      </c>
      <c r="O120" s="40" t="s">
        <v>184</v>
      </c>
      <c r="P120" s="40" t="s">
        <v>185</v>
      </c>
      <c r="Q120" s="40" t="s">
        <v>186</v>
      </c>
      <c r="R120" s="40" t="s">
        <v>187</v>
      </c>
    </row>
    <row r="121" spans="4:19" ht="20.100000000000001" customHeight="1" x14ac:dyDescent="0.2">
      <c r="D121" s="53">
        <f>INDEX(X_Table_Dairy_Diet_Method1,3,2)</f>
        <v>0.2</v>
      </c>
      <c r="E121" s="53">
        <f>INDEX(X_Table_Dairy_Diet_Method1,3,3)</f>
        <v>0.2</v>
      </c>
      <c r="F121" s="53">
        <f>INDEX(X_Table_Dairy_Diet_Method1,3,4)</f>
        <v>0.2</v>
      </c>
      <c r="G121" s="53">
        <f>INDEX(X_Table_Dairy_Diet_Method1,3,5)</f>
        <v>0.2</v>
      </c>
      <c r="H121" s="53">
        <f>INDEX(X_Table_Dairy_Diet_Method1,3,6)</f>
        <v>0.2</v>
      </c>
      <c r="I121" s="2" t="str">
        <f>$F$116</f>
        <v>fraction</v>
      </c>
      <c r="N121" s="53">
        <f>INDEX(X_Table_Dairy_Diet_Method2,3,2)</f>
        <v>0.2</v>
      </c>
      <c r="O121" s="53">
        <f>INDEX(X_Table_Dairy_Diet_Method2,3,3)</f>
        <v>0.2</v>
      </c>
      <c r="P121" s="53">
        <f>INDEX(X_Table_Dairy_Diet_Method2,3,4)</f>
        <v>0.2</v>
      </c>
      <c r="Q121" s="53">
        <f>INDEX(X_Table_Dairy_Diet_Method2,3,5)</f>
        <v>0.2</v>
      </c>
      <c r="R121" s="53">
        <f>INDEX(X_Table_Dairy_Diet_Method2,3,6)</f>
        <v>0.2</v>
      </c>
      <c r="S121" s="2" t="str">
        <f>$F$116</f>
        <v>fraction</v>
      </c>
    </row>
    <row r="123" spans="4:19" ht="20.100000000000001" customHeight="1" x14ac:dyDescent="0.2">
      <c r="D123" s="100" t="s">
        <v>288</v>
      </c>
      <c r="N123" s="100" t="s">
        <v>456</v>
      </c>
    </row>
    <row r="124" spans="4:19" ht="20.100000000000001" customHeight="1" x14ac:dyDescent="0.2">
      <c r="D124" s="99" t="s">
        <v>289</v>
      </c>
      <c r="N124" s="99" t="s">
        <v>457</v>
      </c>
    </row>
    <row r="125" spans="4:19" ht="20.100000000000001" customHeight="1" x14ac:dyDescent="0.2">
      <c r="D125" s="52" t="s">
        <v>167</v>
      </c>
      <c r="E125" s="52" t="s">
        <v>184</v>
      </c>
      <c r="F125" s="52" t="s">
        <v>185</v>
      </c>
      <c r="G125" s="52" t="s">
        <v>186</v>
      </c>
      <c r="H125" s="52" t="s">
        <v>187</v>
      </c>
      <c r="N125" s="52" t="s">
        <v>167</v>
      </c>
      <c r="O125" s="52" t="s">
        <v>184</v>
      </c>
      <c r="P125" s="52" t="s">
        <v>185</v>
      </c>
      <c r="Q125" s="52" t="s">
        <v>186</v>
      </c>
      <c r="R125" s="52" t="s">
        <v>187</v>
      </c>
    </row>
    <row r="126" spans="4:19" ht="20.100000000000001" customHeight="1" x14ac:dyDescent="0.2">
      <c r="D126" s="53" cm="1">
        <f t="array" ref="D126">MMS_Dairy_N2ODirect_Equations.VEERG_4_3_1_3__5_CrudeProteinIntakeOfDairyCattle(D50,D121)</f>
        <v>3.7668635368734389</v>
      </c>
      <c r="E126" s="53" cm="1">
        <f t="array" ref="E126">MMS_Dairy_N2ODirect_Equations.VEERG_4_3_1_3__5_CrudeProteinIntakeOfDairyCattle(E50,E121)</f>
        <v>1.4837737075199995</v>
      </c>
      <c r="F126" s="53" cm="1">
        <f t="array" ref="F126">MMS_Dairy_N2ODirect_Equations.VEERG_4_3_1_3__5_CrudeProteinIntakeOfDairyCattle(F50,F121)</f>
        <v>0.80463469324500003</v>
      </c>
      <c r="G126" s="53" cm="1">
        <f t="array" ref="G126">MMS_Dairy_N2ODirect_Equations.VEERG_4_3_1_3__5_CrudeProteinIntakeOfDairyCattle(G50,G121)</f>
        <v>1.8054040499999997</v>
      </c>
      <c r="H126" s="53" cm="1">
        <f t="array" ref="H126">MMS_Dairy_N2ODirect_Equations.VEERG_4_3_1_3__5_CrudeProteinIntakeOfDairyCattle(H50,H121)</f>
        <v>1.0828694531250003</v>
      </c>
      <c r="I126" s="2" t="str">
        <f>$E$113</f>
        <v>kg/head/day</v>
      </c>
      <c r="N126" s="53" cm="1">
        <f t="array" ref="N126">MMS_Dairy_N2ODirect_Equations.VEERG_4_3_1_3__5_CrudeProteinIntakeOfDairyCattle(N50,N121)</f>
        <v>3.7668635368734389</v>
      </c>
      <c r="O126" s="53" cm="1">
        <f t="array" ref="O126">MMS_Dairy_N2ODirect_Equations.VEERG_4_3_1_3__5_CrudeProteinIntakeOfDairyCattle(O50,O121)</f>
        <v>1.4837737075199995</v>
      </c>
      <c r="P126" s="53" cm="1">
        <f t="array" ref="P126">MMS_Dairy_N2ODirect_Equations.VEERG_4_3_1_3__5_CrudeProteinIntakeOfDairyCattle(P50,P121)</f>
        <v>0.80463469324500003</v>
      </c>
      <c r="Q126" s="53" cm="1">
        <f t="array" ref="Q126">MMS_Dairy_N2ODirect_Equations.VEERG_4_3_1_3__5_CrudeProteinIntakeOfDairyCattle(Q50,Q121)</f>
        <v>1.8054040499999997</v>
      </c>
      <c r="R126" s="53" cm="1">
        <f t="array" ref="R126">MMS_Dairy_N2ODirect_Equations.VEERG_4_3_1_3__5_CrudeProteinIntakeOfDairyCattle(R50,R121)</f>
        <v>1.0828694531250003</v>
      </c>
      <c r="S126" s="2" t="str">
        <f>$E$113</f>
        <v>kg/head/day</v>
      </c>
    </row>
    <row r="129" spans="3:21" ht="20.100000000000001" customHeight="1" x14ac:dyDescent="0.2">
      <c r="C129" s="46"/>
      <c r="D129" s="46"/>
      <c r="E129" s="46"/>
      <c r="F129" s="46"/>
      <c r="G129" s="46"/>
      <c r="H129" s="46"/>
      <c r="I129" s="46"/>
      <c r="J129" s="46"/>
      <c r="K129" s="46"/>
      <c r="M129" s="46"/>
      <c r="N129" s="46"/>
      <c r="O129" s="46"/>
      <c r="P129" s="46"/>
      <c r="Q129" s="46"/>
      <c r="R129" s="46"/>
      <c r="S129" s="46"/>
      <c r="T129" s="46"/>
      <c r="U129" s="46"/>
    </row>
    <row r="130" spans="3:21" ht="20.100000000000001" customHeight="1" x14ac:dyDescent="0.2">
      <c r="D130" s="6" t="str" cm="1">
        <f t="array" ref="D130">MMS_Dairy_N2ODirect_Equations.VEERG_4_3_1_3__4_NitrogenExcretedByDairyCattleGreaterThanOneYear_Title()</f>
        <v>Nitrogen excreted by dairy cattle greater than one year old</v>
      </c>
    </row>
    <row r="131" spans="3:21" ht="20.100000000000001" customHeight="1" x14ac:dyDescent="0.2">
      <c r="D131" s="5" t="str" cm="1">
        <f t="array" ref="D131">MMS_Dairy_N2ODirect_Equations.VEERG_4_3_1_3__4_NitrogenExcretedByDairyCattleGreaterThanOneYear_Source()</f>
        <v>VEERG 2026: 4.3.1.3, Equation (4)</v>
      </c>
    </row>
    <row r="132" spans="3:21" ht="20.100000000000001" customHeight="1" x14ac:dyDescent="0.2">
      <c r="D132" s="13" t="s">
        <v>25</v>
      </c>
      <c r="E132" s="13" t="str" cm="1">
        <f t="array" aca="1" ref="E132" ca="1">Common_InputFunctions.Utility_DisplayFunctionName(D146)</f>
        <v>=MMS_Dairy_N2ODirect_Equations.VEERG_4_3_1_3__4_NitrogenExcretedByDairyCattleGreaterThanOneYear</v>
      </c>
    </row>
    <row r="134" spans="3:21" ht="20.100000000000001" customHeight="1" x14ac:dyDescent="0.2">
      <c r="D134" s="6"/>
    </row>
    <row r="136" spans="3:21" ht="20.100000000000001" customHeight="1" x14ac:dyDescent="0.2">
      <c r="D136" s="54" t="s">
        <v>28</v>
      </c>
      <c r="E136" s="1" t="str" cm="1">
        <f t="array" ref="E136">MMS_Dairy_N2ODirect_Equations.VEERG_4_3_1_3__4_NitrogenExcretedByDairyCattleGreaterThanOneYear_Variable()</f>
        <v>NE_j</v>
      </c>
    </row>
    <row r="137" spans="3:21" ht="20.100000000000001" customHeight="1" x14ac:dyDescent="0.2">
      <c r="D137" s="54" t="s">
        <v>18</v>
      </c>
      <c r="E137" s="55" t="str" cm="1">
        <f t="array" ref="E137">MMS_Dairy_N2ODirect_Equations.VEERG_4_3_1_3__4_NitrogenExcretedByDairyCattleGreaterThanOneYear_Unit()</f>
        <v>kg N/head/day</v>
      </c>
    </row>
    <row r="139" spans="3:21" ht="20.100000000000001" customHeight="1" x14ac:dyDescent="0.2">
      <c r="D139" s="133" t="str" cm="1">
        <f t="array" ref="D139:E141">_xlfn.CHOOSECOLS(MMS_Dairy_N2ODirect_Equations.VEERG_4_3_1_3__4_NitrogenExcretedByDairyCattleGreaterThanOneYear_Arguments(),1,2)</f>
        <v>CPI_j</v>
      </c>
      <c r="E139" s="132" t="str">
        <v>crude protein intake (kg/head/day)</v>
      </c>
      <c r="F139" s="134"/>
      <c r="G139" s="133" t="str" cm="1">
        <f t="array" ref="G139:H141">_xlfn.CHOOSECOLS(MMS_Dairy_N2ODirect_Equations.VEERG_4_3_1_3__4_NitrogenExcretedByDairyCattleGreaterThanOneYear_Arguments(),3,4)</f>
        <v>kg/head/day</v>
      </c>
      <c r="H139" s="129" t="str">
        <v>Calculated from 4.3.1.3 (5)</v>
      </c>
      <c r="I139" s="130" t="str" cm="1">
        <f t="array" aca="1" ref="I139" ca="1">HYPERLINK(Common_InputFunctions.Utility_SourceHyperlink($D$123),$D$123)</f>
        <v>M1_Table_CPI_j</v>
      </c>
    </row>
    <row r="140" spans="3:21" ht="20.100000000000001" customHeight="1" x14ac:dyDescent="0.2">
      <c r="D140" s="133" t="str">
        <v>NR_j</v>
      </c>
      <c r="E140" s="132" t="str">
        <v>amount of nitrogen retained by the body</v>
      </c>
      <c r="F140" s="134"/>
      <c r="G140" s="133" t="str">
        <v>kg N/head/day</v>
      </c>
      <c r="H140" s="129" t="str">
        <v>Calculated from 4.3.1.3 (6)</v>
      </c>
      <c r="I140" s="130" t="str" cm="1">
        <f t="array" aca="1" ref="I140" ca="1">HYPERLINK(Common_InputFunctions.Utility_SourceHyperlink($D$100),$D$100)</f>
        <v>M1_Table_NR_j</v>
      </c>
    </row>
    <row r="141" spans="3:21" ht="20.100000000000001" customHeight="1" x14ac:dyDescent="0.2">
      <c r="D141" s="133" t="str">
        <v>W_j</v>
      </c>
      <c r="E141" s="132" t="str">
        <v>liveweight (kg)</v>
      </c>
      <c r="F141" s="134"/>
      <c r="G141" s="133" t="str">
        <v>kg</v>
      </c>
      <c r="H141" s="131" t="str">
        <v>Input</v>
      </c>
      <c r="I141" s="130" t="str" cm="1">
        <f t="array" aca="1" ref="I141" ca="1">HYPERLINK(Common_InputFunctions.Utility_SourceHyperlink($D$16),$D$16)</f>
        <v>M1_Table_W_j</v>
      </c>
    </row>
    <row r="143" spans="3:21" ht="20.100000000000001" customHeight="1" x14ac:dyDescent="0.2">
      <c r="D143" s="100" t="s">
        <v>112</v>
      </c>
      <c r="N143" s="100" t="s">
        <v>113</v>
      </c>
    </row>
    <row r="144" spans="3:21" ht="20.100000000000001" customHeight="1" x14ac:dyDescent="0.2">
      <c r="D144" s="99" t="s">
        <v>290</v>
      </c>
      <c r="N144" s="99" t="s">
        <v>291</v>
      </c>
    </row>
    <row r="145" spans="3:21" ht="20.100000000000001" customHeight="1" x14ac:dyDescent="0.2">
      <c r="D145" s="52" t="s">
        <v>167</v>
      </c>
      <c r="E145" s="52" t="s">
        <v>184</v>
      </c>
      <c r="F145" s="52" t="s">
        <v>185</v>
      </c>
      <c r="G145" s="52" t="s">
        <v>186</v>
      </c>
      <c r="H145" s="52" t="s">
        <v>187</v>
      </c>
      <c r="N145" s="52" t="s">
        <v>167</v>
      </c>
      <c r="O145" s="52" t="s">
        <v>184</v>
      </c>
      <c r="P145" s="52" t="s">
        <v>185</v>
      </c>
      <c r="Q145" s="52" t="s">
        <v>186</v>
      </c>
      <c r="R145" s="52" t="s">
        <v>187</v>
      </c>
    </row>
    <row r="146" spans="3:21" ht="20.100000000000001" customHeight="1" x14ac:dyDescent="0.2">
      <c r="D146" s="53" cm="1">
        <f t="array" ref="D146">MMS_Dairy_N2ODirect_Equations.VEERG_4_3_1_3__4_NitrogenExcretedByDairyCattleGreaterThanOneYear(D126,D103,D19)</f>
        <v>0.49719309694578667</v>
      </c>
      <c r="E146" s="53" cm="1">
        <f t="array" ref="E146">MMS_Dairy_N2ODirect_Equations.VEERG_4_3_1_3__4_NitrogenExcretedByDairyCattleGreaterThanOneYear(E126,E103,E19)</f>
        <v>0.22709576921272823</v>
      </c>
      <c r="F146" s="53" cm="1">
        <f t="array" ref="F146">MMS_Dairy_N2ODirect_Equations.VEERG_4_3_1_3__4_NitrogenExcretedByDairyCattleGreaterThanOneYear(F126,F103,F19)</f>
        <v>0.1133928568810149</v>
      </c>
      <c r="G146" s="53" cm="1">
        <f t="array" ref="G146">MMS_Dairy_N2ODirect_Equations.VEERG_4_3_1_3__4_NitrogenExcretedByDairyCattleGreaterThanOneYear(G126,G103,G19)</f>
        <v>0.28546836331241399</v>
      </c>
      <c r="H146" s="53" cm="1">
        <f t="array" ref="H146">MMS_Dairy_N2ODirect_Equations.VEERG_4_3_1_3__4_NitrogenExcretedByDairyCattleGreaterThanOneYear(H126,H103,H19)</f>
        <v>0.15247929000170721</v>
      </c>
      <c r="I146" s="2" t="str">
        <f>$E$137</f>
        <v>kg N/head/day</v>
      </c>
      <c r="N146" s="53" cm="1">
        <f t="array" ref="N146">MMS_Dairy_N2ODirect_Equations.VEERG_4_3_1_3__4_NitrogenExcretedByDairyCattleGreaterThanOneYear(N126,N103,N19)</f>
        <v>0.49719309694578667</v>
      </c>
      <c r="O146" s="53" cm="1">
        <f t="array" ref="O146">MMS_Dairy_N2ODirect_Equations.VEERG_4_3_1_3__4_NitrogenExcretedByDairyCattleGreaterThanOneYear(O126,O103,O19)</f>
        <v>0.22709576921272823</v>
      </c>
      <c r="P146" s="53" cm="1">
        <f t="array" ref="P146">MMS_Dairy_N2ODirect_Equations.VEERG_4_3_1_3__4_NitrogenExcretedByDairyCattleGreaterThanOneYear(P126,P103,P19)</f>
        <v>0.1133928568810149</v>
      </c>
      <c r="Q146" s="53" cm="1">
        <f t="array" ref="Q146">MMS_Dairy_N2ODirect_Equations.VEERG_4_3_1_3__4_NitrogenExcretedByDairyCattleGreaterThanOneYear(Q126,Q103,Q19)</f>
        <v>0.28546836331241399</v>
      </c>
      <c r="R146" s="53" cm="1">
        <f t="array" ref="R146">MMS_Dairy_N2ODirect_Equations.VEERG_4_3_1_3__4_NitrogenExcretedByDairyCattleGreaterThanOneYear(R126,R103,R19)</f>
        <v>0.15247929000170721</v>
      </c>
      <c r="S146" s="2" t="str">
        <f>$E$137</f>
        <v>kg N/head/day</v>
      </c>
    </row>
    <row r="149" spans="3:21" ht="20.100000000000001" customHeight="1" x14ac:dyDescent="0.2">
      <c r="C149" s="46"/>
      <c r="D149" s="46"/>
      <c r="E149" s="46"/>
      <c r="F149" s="46"/>
      <c r="G149" s="46"/>
      <c r="H149" s="46"/>
      <c r="I149" s="46"/>
      <c r="J149" s="46"/>
      <c r="K149" s="46"/>
      <c r="M149" s="46"/>
      <c r="N149" s="46"/>
      <c r="O149" s="46"/>
      <c r="P149" s="46"/>
      <c r="Q149" s="46"/>
      <c r="R149" s="46"/>
      <c r="S149" s="46"/>
      <c r="T149" s="46"/>
      <c r="U149" s="46"/>
    </row>
    <row r="150" spans="3:21" ht="20.100000000000001" customHeight="1" x14ac:dyDescent="0.2">
      <c r="D150" s="6" t="str" cm="1">
        <f t="array" ref="D150">MMS_Dairy_N2ODirect_Equations.VEERG_4_3_1_3__3a_TotalAnnualNitrogenExcretedGreaterThanOneYear_Title()</f>
        <v>Total annual nitrogen excreted by dairy cattle greater than one year old</v>
      </c>
    </row>
    <row r="151" spans="3:21" ht="20.100000000000001" customHeight="1" x14ac:dyDescent="0.2">
      <c r="D151" s="5" t="str" cm="1">
        <f t="array" ref="D151">MMS_Dairy_N2ODirect_Equations.VEERG_4_3_1_3__3a_TotalAnnualNitrogenExcretedGreaterThanOneYear_Source()</f>
        <v>VEERG 2026: 4.3.1.3, Equation (3a)</v>
      </c>
    </row>
    <row r="152" spans="3:21" ht="20.100000000000001" customHeight="1" x14ac:dyDescent="0.2">
      <c r="D152" s="56" t="str" cm="1">
        <f t="array" ref="D152">MMS_Dairy_N2ODirect_Equations.VEERG_4_3_1_3__3a_TotalAnnualNitrogenExcretedGreaterThanOneYear_Variation()</f>
        <v>VARIATION: Used Duration variables instead of hard-coded 365 value.</v>
      </c>
    </row>
    <row r="153" spans="3:21" ht="20.100000000000001" customHeight="1" x14ac:dyDescent="0.2">
      <c r="D153" s="13" t="s">
        <v>25</v>
      </c>
      <c r="E153" s="13" t="str" cm="1">
        <f t="array" aca="1" ref="E153" ca="1">Common_InputFunctions.Utility_DisplayFunctionName(D176)</f>
        <v>=MMS_Dairy_N2ODirect_Equations.VEERG_4_3_1_3__3a_TotalAnnualNitrogenExcretedGreaterThanOneYearVariation</v>
      </c>
    </row>
    <row r="155" spans="3:21" ht="20.100000000000001" customHeight="1" x14ac:dyDescent="0.2">
      <c r="D155" s="6"/>
    </row>
    <row r="156" spans="3:21" ht="20.100000000000001" customHeight="1" x14ac:dyDescent="0.2">
      <c r="D156" s="54" t="s">
        <v>28</v>
      </c>
      <c r="E156" s="1" t="str" cm="1">
        <f t="array" ref="E156">MMS_Dairy_N2ODirect_Equations.VEERG_4_3_1_3__3a_TotalAnnualNitrogenExcretedGreaterThanOneYear_Variable()</f>
        <v>AE_j124</v>
      </c>
    </row>
    <row r="157" spans="3:21" ht="20.100000000000001" customHeight="1" x14ac:dyDescent="0.2">
      <c r="D157" s="54" t="s">
        <v>18</v>
      </c>
      <c r="E157" s="55" t="str" cm="1">
        <f t="array" ref="E157">MMS_Dairy_N2ODirect_Equations.VEERG_4_3_1_3__3a_TotalAnnualNitrogenExcretedGreaterThanOneYear_Unit()</f>
        <v>kg N</v>
      </c>
    </row>
    <row r="159" spans="3:21" ht="20.100000000000001" customHeight="1" x14ac:dyDescent="0.2">
      <c r="D159" s="133" t="str" cm="1">
        <f t="array" ref="D159:E161">_xlfn.CHOOSECOLS(MMS_Dairy_N2ODirect_Equations.VEERG_4_3_1_3__3a_TotalAnnualNitrogenExcretedGreaterThanOneYear_Arguments(),1,2)</f>
        <v>N_j124</v>
      </c>
      <c r="E159" s="132" t="str">
        <v>number of dairy cattle in classes j=1,2,4</v>
      </c>
      <c r="F159" s="134"/>
      <c r="G159" s="133" t="str" cm="1">
        <f t="array" ref="G159:H161">_xlfn.CHOOSECOLS(MMS_Dairy_N2ODirect_Equations.VEERG_4_3_1_3__3a_TotalAnnualNitrogenExcretedGreaterThanOneYear_Arguments(),3,4)</f>
        <v>head</v>
      </c>
      <c r="H159" s="131" t="str">
        <v>Input</v>
      </c>
      <c r="I159" s="130" t="str" cm="1">
        <f t="array" aca="1" ref="I159" ca="1">HYPERLINK(Common_InputFunctions.Utility_SourceHyperlink($D$163),$D$163)</f>
        <v>Table_N_j</v>
      </c>
    </row>
    <row r="160" spans="3:21" ht="20.100000000000001" customHeight="1" x14ac:dyDescent="0.2">
      <c r="D160" s="133" t="str">
        <v>NE_j124</v>
      </c>
      <c r="E160" s="132" t="str">
        <v>nitrogen excreted by dairy cattle greater than one year old (kg N/head/day)</v>
      </c>
      <c r="F160" s="134"/>
      <c r="G160" s="133" t="str">
        <v>kg N/head/day</v>
      </c>
      <c r="H160" s="129" t="str">
        <v>Calculated from 4.3.1.3 (4)</v>
      </c>
      <c r="I160" s="130" t="str" cm="1">
        <f t="array" aca="1" ref="I160" ca="1">HYPERLINK(Common_InputFunctions.Utility_SourceHyperlink($D$143),$D$143)</f>
        <v>M1_Table_NE_j</v>
      </c>
    </row>
    <row r="161" spans="1:19" ht="20.100000000000001" customHeight="1" x14ac:dyDescent="0.2">
      <c r="D161" s="133" t="str">
        <v>D_j124</v>
      </c>
      <c r="E161" s="132" t="str">
        <v>duration of stay on farm for classes j=1,2,4 (days)</v>
      </c>
      <c r="F161" s="134"/>
      <c r="G161" s="133" t="str">
        <v>days</v>
      </c>
      <c r="H161" s="131" t="str">
        <v>Input</v>
      </c>
      <c r="I161" s="130" t="str" cm="1">
        <f t="array" aca="1" ref="I161" ca="1">HYPERLINK(Common_InputFunctions.Utility_SourceHyperlink($D$168),$D$168)</f>
        <v>M1_Table_D_j-1-2-4</v>
      </c>
    </row>
    <row r="163" spans="1:19" ht="20.100000000000001" customHeight="1" x14ac:dyDescent="0.2">
      <c r="D163" s="100" t="s">
        <v>102</v>
      </c>
    </row>
    <row r="164" spans="1:19" ht="20.100000000000001" customHeight="1" x14ac:dyDescent="0.2">
      <c r="D164" s="99" t="s">
        <v>258</v>
      </c>
    </row>
    <row r="165" spans="1:19" ht="20.100000000000001" customHeight="1" x14ac:dyDescent="0.2">
      <c r="D165" s="40" t="s">
        <v>167</v>
      </c>
      <c r="E165" s="40" t="s">
        <v>184</v>
      </c>
      <c r="F165" s="40" t="s">
        <v>185</v>
      </c>
      <c r="G165" s="40" t="s">
        <v>186</v>
      </c>
      <c r="H165" s="40" t="s">
        <v>187</v>
      </c>
    </row>
    <row r="166" spans="1:19" ht="20.100000000000001" customHeight="1" x14ac:dyDescent="0.2">
      <c r="D166" s="103">
        <f>INDEX(X_Table_Dairy_HerdMovement,2,2)</f>
        <v>100</v>
      </c>
      <c r="E166" s="103">
        <f>INDEX(X_Table_Dairy_HerdMovement,2,3)</f>
        <v>100</v>
      </c>
      <c r="F166" s="103">
        <f>INDEX(X_Table_Dairy_HerdMovement,2,4)</f>
        <v>100</v>
      </c>
      <c r="G166" s="103">
        <f>INDEX(X_Table_Dairy_HerdMovement,2,5)</f>
        <v>100</v>
      </c>
      <c r="H166" s="103">
        <f>INDEX(X_Table_Dairy_HerdMovement,2,6)</f>
        <v>100</v>
      </c>
      <c r="I166" s="2" t="str">
        <f>G159</f>
        <v>head</v>
      </c>
    </row>
    <row r="168" spans="1:19" ht="20.100000000000001" customHeight="1" x14ac:dyDescent="0.2">
      <c r="D168" s="100" t="s">
        <v>265</v>
      </c>
      <c r="N168" s="100" t="s">
        <v>453</v>
      </c>
    </row>
    <row r="169" spans="1:19" ht="20.100000000000001" customHeight="1" x14ac:dyDescent="0.2">
      <c r="D169" s="99" t="s">
        <v>293</v>
      </c>
      <c r="N169" s="99" t="s">
        <v>294</v>
      </c>
    </row>
    <row r="170" spans="1:19" ht="20.100000000000001" customHeight="1" x14ac:dyDescent="0.2">
      <c r="D170" s="40" t="s">
        <v>167</v>
      </c>
      <c r="E170" s="40" t="s">
        <v>184</v>
      </c>
      <c r="F170" s="40" t="s">
        <v>185</v>
      </c>
      <c r="G170" s="40" t="s">
        <v>186</v>
      </c>
      <c r="H170" s="40" t="s">
        <v>187</v>
      </c>
      <c r="N170" s="40" t="s">
        <v>167</v>
      </c>
      <c r="O170" s="40" t="s">
        <v>184</v>
      </c>
      <c r="P170" s="40" t="s">
        <v>185</v>
      </c>
      <c r="Q170" s="40" t="s">
        <v>186</v>
      </c>
      <c r="R170" s="40" t="s">
        <v>187</v>
      </c>
    </row>
    <row r="171" spans="1:19" ht="20.100000000000001" customHeight="1" x14ac:dyDescent="0.2">
      <c r="A171" s="137" t="str">
        <f>HYPERLINK("#A1", "▲ Back to top")</f>
        <v>▲ Back to top</v>
      </c>
      <c r="D171" s="53">
        <f>INDEX(X_Table_Dairy_DurationOfStay_Method1,2,2)</f>
        <v>365</v>
      </c>
      <c r="E171" s="53">
        <f>INDEX(X_Table_Dairy_DurationOfStay_Method1,2,3)</f>
        <v>365</v>
      </c>
      <c r="F171" s="53">
        <v>0</v>
      </c>
      <c r="G171" s="53">
        <f>INDEX(X_Table_Dairy_DurationOfStay_Method1,2,5)</f>
        <v>365</v>
      </c>
      <c r="H171" s="53">
        <v>0</v>
      </c>
      <c r="I171" s="2" t="str">
        <f>G161</f>
        <v>days</v>
      </c>
      <c r="N171" s="53">
        <f>INDEX(X_Table_Dairy_DurationOfStay_Method2,2,2)</f>
        <v>365</v>
      </c>
      <c r="O171" s="53">
        <f>INDEX(X_Table_Dairy_DurationOfStay_Method2,2,3)</f>
        <v>365</v>
      </c>
      <c r="P171" s="53">
        <v>0</v>
      </c>
      <c r="Q171" s="53">
        <f>INDEX(X_Table_Dairy_DurationOfStay_Method2,2,5)</f>
        <v>365</v>
      </c>
      <c r="R171" s="53">
        <v>0</v>
      </c>
      <c r="S171" s="2" t="s">
        <v>53</v>
      </c>
    </row>
    <row r="173" spans="1:19" ht="20.100000000000001" customHeight="1" x14ac:dyDescent="0.2">
      <c r="D173" s="100" t="s">
        <v>292</v>
      </c>
      <c r="N173" s="100" t="s">
        <v>451</v>
      </c>
    </row>
    <row r="174" spans="1:19" ht="20.100000000000001" customHeight="1" x14ac:dyDescent="0.2">
      <c r="D174" s="99" t="s">
        <v>300</v>
      </c>
      <c r="N174" s="99" t="s">
        <v>452</v>
      </c>
    </row>
    <row r="175" spans="1:19" ht="20.100000000000001" customHeight="1" x14ac:dyDescent="0.2">
      <c r="D175" s="52" t="s">
        <v>167</v>
      </c>
      <c r="E175" s="52" t="s">
        <v>184</v>
      </c>
      <c r="F175" s="52" t="s">
        <v>185</v>
      </c>
      <c r="G175" s="52" t="s">
        <v>186</v>
      </c>
      <c r="H175" s="52" t="s">
        <v>187</v>
      </c>
      <c r="N175" s="52" t="s">
        <v>167</v>
      </c>
      <c r="O175" s="52" t="s">
        <v>184</v>
      </c>
      <c r="P175" s="52" t="s">
        <v>185</v>
      </c>
      <c r="Q175" s="52" t="s">
        <v>186</v>
      </c>
      <c r="R175" s="52" t="s">
        <v>187</v>
      </c>
    </row>
    <row r="176" spans="1:19" ht="20.100000000000001" customHeight="1" x14ac:dyDescent="0.2">
      <c r="D176" s="53" cm="1">
        <f t="array" ref="D176">MMS_Dairy_N2ODirect_Equations.VEERG_4_3_1_3__3a_TotalAnnualNitrogenExcretedGreaterThanOneYearVariation(D166,D146,D171)</f>
        <v>18147.548038521214</v>
      </c>
      <c r="E176" s="53" cm="1">
        <f t="array" ref="E176">MMS_Dairy_N2ODirect_Equations.VEERG_4_3_1_3__3a_TotalAnnualNitrogenExcretedGreaterThanOneYearVariation(E166,E146,E171)</f>
        <v>8288.9955762645804</v>
      </c>
      <c r="F176" s="53" cm="1">
        <f t="array" ref="F176">MMS_Dairy_N2ODirect_Equations.VEERG_4_3_1_3__3a_TotalAnnualNitrogenExcretedGreaterThanOneYearVariation(F166,F146,F171)</f>
        <v>0</v>
      </c>
      <c r="G176" s="53" cm="1">
        <f t="array" ref="G176">MMS_Dairy_N2ODirect_Equations.VEERG_4_3_1_3__3a_TotalAnnualNitrogenExcretedGreaterThanOneYearVariation(G166,G146,G171)</f>
        <v>10419.59526090311</v>
      </c>
      <c r="H176" s="53" cm="1">
        <f t="array" ref="H176">MMS_Dairy_N2ODirect_Equations.VEERG_4_3_1_3__3a_TotalAnnualNitrogenExcretedGreaterThanOneYearVariation(H166,H146,H171)</f>
        <v>0</v>
      </c>
      <c r="I176" s="2" t="str">
        <f>$E$157</f>
        <v>kg N</v>
      </c>
      <c r="N176" s="53" cm="1">
        <f t="array" ref="N176">MMS_Dairy_N2ODirect_Equations.VEERG_4_3_1_3__3a_TotalAnnualNitrogenExcretedGreaterThanOneYearVariation(D166,N146,N171)</f>
        <v>18147.548038521214</v>
      </c>
      <c r="O176" s="53" cm="1">
        <f t="array" ref="O176">MMS_Dairy_N2ODirect_Equations.VEERG_4_3_1_3__3a_TotalAnnualNitrogenExcretedGreaterThanOneYearVariation(E166,O146,O171)</f>
        <v>8288.9955762645804</v>
      </c>
      <c r="P176" s="53" cm="1">
        <f t="array" ref="P176">MMS_Dairy_N2ODirect_Equations.VEERG_4_3_1_3__3a_TotalAnnualNitrogenExcretedGreaterThanOneYearVariation(F166,P146,P171)</f>
        <v>0</v>
      </c>
      <c r="Q176" s="53" cm="1">
        <f t="array" ref="Q176">MMS_Dairy_N2ODirect_Equations.VEERG_4_3_1_3__3a_TotalAnnualNitrogenExcretedGreaterThanOneYearVariation(G166,Q146,Q171)</f>
        <v>10419.59526090311</v>
      </c>
      <c r="R176" s="53" cm="1">
        <f t="array" ref="R176">MMS_Dairy_N2ODirect_Equations.VEERG_4_3_1_3__3a_TotalAnnualNitrogenExcretedGreaterThanOneYearVariation(H166,R146,R171)</f>
        <v>0</v>
      </c>
      <c r="S176" s="2" t="str">
        <f>$E$157</f>
        <v>kg N</v>
      </c>
    </row>
    <row r="179" spans="3:21" ht="20.100000000000001" customHeight="1" x14ac:dyDescent="0.2">
      <c r="C179" s="46"/>
      <c r="D179" s="46"/>
      <c r="E179" s="46"/>
      <c r="F179" s="46"/>
      <c r="G179" s="46"/>
      <c r="H179" s="46"/>
      <c r="I179" s="46"/>
      <c r="J179" s="46"/>
      <c r="K179" s="46"/>
      <c r="M179" s="46"/>
      <c r="N179" s="46"/>
      <c r="O179" s="46"/>
      <c r="P179" s="46"/>
      <c r="Q179" s="46"/>
      <c r="R179" s="46"/>
      <c r="S179" s="46"/>
      <c r="T179" s="46"/>
      <c r="U179" s="46"/>
    </row>
    <row r="180" spans="3:21" ht="20.100000000000001" customHeight="1" x14ac:dyDescent="0.2">
      <c r="D180" s="6" t="str" cm="1">
        <f t="array" ref="D180">MMS_Dairy_N2ODirect_Equations.VEERG_4_3_1_3__3b_TotalAnnualNitrogenExcretedLessThanOneYear_Title()</f>
        <v>Total annual nitrogen excreted by dairy cattle less than one year old</v>
      </c>
    </row>
    <row r="181" spans="3:21" ht="20.100000000000001" customHeight="1" x14ac:dyDescent="0.2">
      <c r="D181" s="5" t="str" cm="1">
        <f t="array" ref="D181">MMS_Dairy_N2ODirect_Equations.VEERG_4_3_1_3__3b_TotalAnnualNitrogenExcretedLessThanOneYear_Source()</f>
        <v>VEERG 2026: 4.3.1.3, Equation (3b)</v>
      </c>
    </row>
    <row r="182" spans="3:21" ht="20.100000000000001" customHeight="1" x14ac:dyDescent="0.2">
      <c r="D182" s="56" t="str" cm="1">
        <f t="array" ref="D182">MMS_Dairy_N2ODirect_Equations.VEERG_4_3_1_3__3b_TotalAnnualNitrogenExcretedLessThanOneYear_Variation()</f>
        <v>VARIATION: Used Duration variables instead of hard-coded 281 and 84 values.</v>
      </c>
    </row>
    <row r="183" spans="3:21" ht="20.100000000000001" customHeight="1" x14ac:dyDescent="0.2">
      <c r="D183" s="13" t="s">
        <v>25</v>
      </c>
      <c r="E183" s="13" t="str" cm="1">
        <f t="array" aca="1" ref="E183" ca="1">Common_InputFunctions.Utility_DisplayFunctionName(D213)</f>
        <v>=MMS_Dairy_N2ODirect_Equations.VEERG_4_3_1_3__3b_TotalAnnualNitrogenExcretedLessThanOneYearVariation</v>
      </c>
    </row>
    <row r="184" spans="3:21" ht="20.100000000000001" customHeight="1" x14ac:dyDescent="0.2">
      <c r="D184" s="6"/>
    </row>
    <row r="185" spans="3:21" ht="20.100000000000001" customHeight="1" x14ac:dyDescent="0.2">
      <c r="D185" s="6"/>
    </row>
    <row r="186" spans="3:21" ht="20.100000000000001" customHeight="1" x14ac:dyDescent="0.2">
      <c r="D186" s="54" t="s">
        <v>28</v>
      </c>
      <c r="E186" s="1" t="str" cm="1">
        <f t="array" ref="E186">MMS_Dairy_N2ODirect_Equations.VEERG_4_3_1_3__3b_TotalAnnualNitrogenExcretedLessThanOneYear_Variable()</f>
        <v>AE_j35</v>
      </c>
    </row>
    <row r="187" spans="3:21" ht="20.100000000000001" customHeight="1" x14ac:dyDescent="0.2">
      <c r="D187" s="54" t="s">
        <v>18</v>
      </c>
      <c r="E187" s="55" t="str" cm="1">
        <f t="array" ref="E187">MMS_Dairy_N2ODirect_Equations.VEERG_4_3_1_3__3b_TotalAnnualNitrogenExcretedLessThanOneYear_Unit()</f>
        <v>kg N</v>
      </c>
    </row>
    <row r="189" spans="3:21" ht="20.100000000000001" customHeight="1" x14ac:dyDescent="0.2">
      <c r="D189" s="133" t="str" cm="1">
        <f t="array" ref="D189:E193">_xlfn.CHOOSECOLS(MMS_Dairy_N2ODirect_Equations.VEERG_4_3_1_3__3b_TotalAnnualNitrogenExcretedLessThanOneYear_Arguments(),1,2)</f>
        <v>N_j35</v>
      </c>
      <c r="E189" s="132" t="str">
        <v>number of dairy cattle in classes j=3,5</v>
      </c>
      <c r="F189" s="134"/>
      <c r="G189" s="133" t="str" cm="1">
        <f t="array" ref="G189:H193">_xlfn.CHOOSECOLS(MMS_Dairy_N2ODirect_Equations.VEERG_4_3_1_3__3b_TotalAnnualNitrogenExcretedLessThanOneYear_Arguments(),3,4)</f>
        <v>head</v>
      </c>
      <c r="H189" s="131" t="str">
        <v>Input</v>
      </c>
      <c r="I189" s="130" t="str" cm="1">
        <f t="array" aca="1" ref="I189" ca="1">HYPERLINK(Common_InputFunctions.Utility_SourceHyperlink($D$163),$D$163)</f>
        <v>Table_N_j</v>
      </c>
    </row>
    <row r="190" spans="3:21" ht="20.100000000000001" customHeight="1" x14ac:dyDescent="0.2">
      <c r="D190" s="133" t="str">
        <v>NE_j35</v>
      </c>
      <c r="E190" s="132" t="str">
        <v>nitrogen excreted by weaned dairy cattle less than one year old (kg N/head/day)</v>
      </c>
      <c r="F190" s="134"/>
      <c r="G190" s="133" t="str">
        <v>kg N/head/day</v>
      </c>
      <c r="H190" s="129" t="str">
        <v>Calculated from 4.3.1.3 (4)</v>
      </c>
      <c r="I190" s="130" t="str" cm="1">
        <f t="array" aca="1" ref="I190" ca="1">HYPERLINK(Common_InputFunctions.Utility_SourceHyperlink($D$143),$D$143)</f>
        <v>M1_Table_NE_j</v>
      </c>
    </row>
    <row r="191" spans="3:21" ht="20.100000000000001" customHeight="1" x14ac:dyDescent="0.2">
      <c r="D191" s="133" t="str">
        <v>NPW_j35</v>
      </c>
      <c r="E191" s="132" t="str">
        <v>nitrogen excreted by pre-weaned calves (kg N/head/day)</v>
      </c>
      <c r="F191" s="134"/>
      <c r="G191" s="133" t="str">
        <v>kg N/head/day</v>
      </c>
      <c r="H191" s="129" t="str">
        <v>Constant</v>
      </c>
      <c r="I191" s="130" t="str" cm="1">
        <f t="array" aca="1" ref="I191" ca="1">HYPERLINK(Common_InputFunctions.Utility_SourceHyperlink($D$195),$D$195)</f>
        <v>Table_NPW_j-3-5</v>
      </c>
    </row>
    <row r="192" spans="3:21" ht="20.100000000000001" customHeight="1" x14ac:dyDescent="0.2">
      <c r="D192" s="133" t="str">
        <v>D_j35</v>
      </c>
      <c r="E192" s="132" t="str">
        <v>duration of stay on farm for weaned dairy cattle less than one year old (days)</v>
      </c>
      <c r="F192" s="134"/>
      <c r="G192" s="133" t="str">
        <v>days</v>
      </c>
      <c r="H192" s="131" t="str">
        <v>Input</v>
      </c>
      <c r="I192" s="130" t="str" cm="1">
        <f t="array" aca="1" ref="I192" ca="1">HYPERLINK(Common_InputFunctions.Utility_SourceHyperlink($D$200),$D$200)</f>
        <v>M1_Table_D_j-3-5</v>
      </c>
    </row>
    <row r="193" spans="1:19" ht="20.100000000000001" customHeight="1" x14ac:dyDescent="0.2">
      <c r="D193" s="133" t="str">
        <v>DPW_j35</v>
      </c>
      <c r="E193" s="132" t="str">
        <v>duration of stay on farm for pre-weaned calves (days)</v>
      </c>
      <c r="F193" s="134"/>
      <c r="G193" s="133" t="str">
        <v>days</v>
      </c>
      <c r="H193" s="131" t="str">
        <v>Input</v>
      </c>
      <c r="I193" s="130" t="str" cm="1">
        <f t="array" aca="1" ref="I193" ca="1">HYPERLINK(Common_InputFunctions.Utility_SourceHyperlink($D$205),$D$205)</f>
        <v>M1_Table_DPW_j</v>
      </c>
    </row>
    <row r="195" spans="1:19" ht="20.100000000000001" customHeight="1" x14ac:dyDescent="0.2">
      <c r="D195" s="100" t="s">
        <v>297</v>
      </c>
    </row>
    <row r="196" spans="1:19" ht="20.100000000000001" customHeight="1" x14ac:dyDescent="0.2">
      <c r="D196" s="99" t="s">
        <v>298</v>
      </c>
    </row>
    <row r="197" spans="1:19" ht="20.100000000000001" customHeight="1" x14ac:dyDescent="0.2">
      <c r="D197" s="52" t="s">
        <v>167</v>
      </c>
      <c r="E197" s="52" t="s">
        <v>184</v>
      </c>
      <c r="F197" s="52" t="s">
        <v>185</v>
      </c>
      <c r="G197" s="52" t="s">
        <v>186</v>
      </c>
      <c r="H197" s="52" t="s">
        <v>187</v>
      </c>
    </row>
    <row r="198" spans="1:19" ht="20.100000000000001" customHeight="1" x14ac:dyDescent="0.2">
      <c r="D198" s="53">
        <v>0</v>
      </c>
      <c r="E198" s="53">
        <v>0</v>
      </c>
      <c r="F198" s="53">
        <f>'Constants - Dairy'!$G$63</f>
        <v>1.37E-2</v>
      </c>
      <c r="G198" s="53">
        <v>0</v>
      </c>
      <c r="H198" s="53">
        <f>'Constants - Dairy'!$G$64</f>
        <v>9.1999999999999998E-3</v>
      </c>
      <c r="I198" s="2" t="str">
        <f>G191</f>
        <v>kg N/head/day</v>
      </c>
    </row>
    <row r="200" spans="1:19" ht="20.100000000000001" customHeight="1" x14ac:dyDescent="0.2">
      <c r="D200" s="100" t="s">
        <v>295</v>
      </c>
      <c r="N200" s="100" t="s">
        <v>295</v>
      </c>
    </row>
    <row r="201" spans="1:19" ht="20.100000000000001" customHeight="1" x14ac:dyDescent="0.2">
      <c r="D201" s="99" t="s">
        <v>296</v>
      </c>
      <c r="N201" s="99" t="s">
        <v>448</v>
      </c>
    </row>
    <row r="202" spans="1:19" ht="20.100000000000001" customHeight="1" x14ac:dyDescent="0.2">
      <c r="D202" s="40" t="s">
        <v>167</v>
      </c>
      <c r="E202" s="40" t="s">
        <v>184</v>
      </c>
      <c r="F202" s="40" t="s">
        <v>185</v>
      </c>
      <c r="G202" s="40" t="s">
        <v>186</v>
      </c>
      <c r="H202" s="40" t="s">
        <v>187</v>
      </c>
      <c r="N202" s="40" t="s">
        <v>167</v>
      </c>
      <c r="O202" s="40" t="s">
        <v>184</v>
      </c>
      <c r="P202" s="40" t="s">
        <v>185</v>
      </c>
      <c r="Q202" s="40" t="s">
        <v>186</v>
      </c>
      <c r="R202" s="40" t="s">
        <v>187</v>
      </c>
    </row>
    <row r="203" spans="1:19" ht="20.100000000000001" customHeight="1" x14ac:dyDescent="0.2">
      <c r="D203" s="53">
        <v>0</v>
      </c>
      <c r="E203" s="53">
        <v>0</v>
      </c>
      <c r="F203" s="53">
        <f>INDEX(X_Table_Dairy_DurationOfStay_Method1,2,4)</f>
        <v>281</v>
      </c>
      <c r="G203" s="53">
        <v>0</v>
      </c>
      <c r="H203" s="53">
        <f>INDEX(X_Table_Dairy_DurationOfStay_Method1,2,6)</f>
        <v>281</v>
      </c>
      <c r="I203" s="2" t="str">
        <f>$G$192</f>
        <v>days</v>
      </c>
      <c r="N203" s="53">
        <v>0</v>
      </c>
      <c r="O203" s="53">
        <v>0</v>
      </c>
      <c r="P203" s="53">
        <f>INDEX(X_Table_Dairy_DurationOfStay_Method2,2,4)</f>
        <v>281</v>
      </c>
      <c r="Q203" s="53">
        <v>0</v>
      </c>
      <c r="R203" s="53">
        <f>INDEX(X_Table_Dairy_DurationOfStay_Method2,2,6)</f>
        <v>281</v>
      </c>
      <c r="S203" s="2" t="str">
        <f>$G$192</f>
        <v>days</v>
      </c>
    </row>
    <row r="205" spans="1:19" ht="20.100000000000001" customHeight="1" x14ac:dyDescent="0.2">
      <c r="D205" s="100" t="s">
        <v>260</v>
      </c>
      <c r="N205" s="100" t="s">
        <v>260</v>
      </c>
    </row>
    <row r="206" spans="1:19" ht="20.100000000000001" customHeight="1" x14ac:dyDescent="0.2">
      <c r="D206" s="99" t="s">
        <v>268</v>
      </c>
      <c r="N206" s="99" t="s">
        <v>449</v>
      </c>
    </row>
    <row r="207" spans="1:19" ht="20.100000000000001" customHeight="1" x14ac:dyDescent="0.2">
      <c r="D207" s="40" t="s">
        <v>167</v>
      </c>
      <c r="E207" s="40" t="s">
        <v>184</v>
      </c>
      <c r="F207" s="40" t="s">
        <v>185</v>
      </c>
      <c r="G207" s="40" t="s">
        <v>186</v>
      </c>
      <c r="H207" s="40" t="s">
        <v>187</v>
      </c>
      <c r="N207" s="40" t="s">
        <v>167</v>
      </c>
      <c r="O207" s="40" t="s">
        <v>184</v>
      </c>
      <c r="P207" s="40" t="s">
        <v>185</v>
      </c>
      <c r="Q207" s="40" t="s">
        <v>186</v>
      </c>
      <c r="R207" s="40" t="s">
        <v>187</v>
      </c>
    </row>
    <row r="208" spans="1:19" ht="20.100000000000001" customHeight="1" x14ac:dyDescent="0.2">
      <c r="A208" s="137" t="str">
        <f>HYPERLINK("#A1", "▲ Back to top")</f>
        <v>▲ Back to top</v>
      </c>
      <c r="D208" s="53">
        <f>INDEX(X_Table_Dairy_DurationOfStay_Method1,3,2)</f>
        <v>0</v>
      </c>
      <c r="E208" s="53">
        <f>INDEX(X_Table_Dairy_DurationOfStay_Method1,3,3)</f>
        <v>0</v>
      </c>
      <c r="F208" s="53">
        <f>INDEX(X_Table_Dairy_DurationOfStay_Method1,3,4)</f>
        <v>84</v>
      </c>
      <c r="G208" s="53">
        <f>INDEX(X_Table_Dairy_DurationOfStay_Method1,3,5)</f>
        <v>0</v>
      </c>
      <c r="H208" s="53">
        <f>INDEX(X_Table_Dairy_DurationOfStay_Method1,3,6)</f>
        <v>84</v>
      </c>
      <c r="I208" s="2" t="str">
        <f>$G$193</f>
        <v>days</v>
      </c>
      <c r="N208" s="53">
        <f>INDEX(X_Table_Dairy_DurationOfStay_Method1,3,2)</f>
        <v>0</v>
      </c>
      <c r="O208" s="53">
        <f>INDEX(X_Table_Dairy_DurationOfStay_Method1,3,3)</f>
        <v>0</v>
      </c>
      <c r="P208" s="53">
        <f>INDEX(X_Table_Dairy_DurationOfStay_Method2,3,4)</f>
        <v>84</v>
      </c>
      <c r="Q208" s="53">
        <f>INDEX(X_Table_Dairy_DurationOfStay_Method1,3,5)</f>
        <v>0</v>
      </c>
      <c r="R208" s="53">
        <f>INDEX(X_Table_Dairy_DurationOfStay_Method2,3,6)</f>
        <v>84</v>
      </c>
      <c r="S208" s="2" t="str">
        <f>$G$193</f>
        <v>days</v>
      </c>
    </row>
    <row r="210" spans="3:21" ht="20.100000000000001" customHeight="1" x14ac:dyDescent="0.2">
      <c r="D210" s="100" t="s">
        <v>116</v>
      </c>
      <c r="N210" s="100" t="s">
        <v>116</v>
      </c>
    </row>
    <row r="211" spans="3:21" ht="20.100000000000001" customHeight="1" x14ac:dyDescent="0.2">
      <c r="D211" s="99" t="s">
        <v>299</v>
      </c>
      <c r="N211" s="99" t="s">
        <v>450</v>
      </c>
    </row>
    <row r="212" spans="3:21" ht="20.100000000000001" customHeight="1" x14ac:dyDescent="0.2">
      <c r="D212" s="52" t="s">
        <v>167</v>
      </c>
      <c r="E212" s="52" t="s">
        <v>184</v>
      </c>
      <c r="F212" s="52" t="s">
        <v>185</v>
      </c>
      <c r="G212" s="52" t="s">
        <v>186</v>
      </c>
      <c r="H212" s="52" t="s">
        <v>187</v>
      </c>
      <c r="N212" s="52" t="s">
        <v>167</v>
      </c>
      <c r="O212" s="52" t="s">
        <v>184</v>
      </c>
      <c r="P212" s="52" t="s">
        <v>185</v>
      </c>
      <c r="Q212" s="52" t="s">
        <v>186</v>
      </c>
      <c r="R212" s="52" t="s">
        <v>187</v>
      </c>
    </row>
    <row r="213" spans="3:21" ht="20.100000000000001" customHeight="1" x14ac:dyDescent="0.2">
      <c r="D213" s="53" cm="1">
        <f t="array" ref="D213">MMS_Dairy_N2ODirect_Equations.VEERG_4_3_1_3__3b_TotalAnnualNitrogenExcretedLessThanOneYearVariation(D166,D146,D198,D203,D208)</f>
        <v>0</v>
      </c>
      <c r="E213" s="53" cm="1">
        <f t="array" ref="E213">MMS_Dairy_N2ODirect_Equations.VEERG_4_3_1_3__3b_TotalAnnualNitrogenExcretedLessThanOneYearVariation(E166,E146,E198,E203,E208)</f>
        <v>0</v>
      </c>
      <c r="F213" s="53" cm="1">
        <f t="array" ref="F213">MMS_Dairy_N2ODirect_Equations.VEERG_4_3_1_3__3b_TotalAnnualNitrogenExcretedLessThanOneYearVariation(F166,F146,F198,F203,F208)</f>
        <v>3301.419278356519</v>
      </c>
      <c r="G213" s="53" cm="1">
        <f t="array" ref="G213">MMS_Dairy_N2ODirect_Equations.VEERG_4_3_1_3__3b_TotalAnnualNitrogenExcretedLessThanOneYearVariation(G166,G146,G198,G203,G208)</f>
        <v>0</v>
      </c>
      <c r="H213" s="53" cm="1">
        <f t="array" ref="H213">MMS_Dairy_N2ODirect_Equations.VEERG_4_3_1_3__3b_TotalAnnualNitrogenExcretedLessThanOneYearVariation(H166,H146,H198,H203,H208)</f>
        <v>4361.9480490479727</v>
      </c>
      <c r="I213" s="2" t="str">
        <f>$E$187</f>
        <v>kg N</v>
      </c>
      <c r="N213" s="53" cm="1">
        <f t="array" ref="N213">MMS_Dairy_N2ODirect_Equations.VEERG_4_3_1_3__3b_TotalAnnualNitrogenExcretedLessThanOneYearVariation(D166,N146,D198,N203,N208)</f>
        <v>0</v>
      </c>
      <c r="O213" s="53" cm="1">
        <f t="array" ref="O213">MMS_Dairy_N2ODirect_Equations.VEERG_4_3_1_3__3b_TotalAnnualNitrogenExcretedLessThanOneYearVariation(E166,O146,E198,O203,O208)</f>
        <v>0</v>
      </c>
      <c r="P213" s="53" cm="1">
        <f t="array" ref="P213">MMS_Dairy_N2ODirect_Equations.VEERG_4_3_1_3__3b_TotalAnnualNitrogenExcretedLessThanOneYearVariation(F166,P146,F198,P203,P208)</f>
        <v>3301.419278356519</v>
      </c>
      <c r="Q213" s="53" cm="1">
        <f t="array" ref="Q213">MMS_Dairy_N2ODirect_Equations.VEERG_4_3_1_3__3b_TotalAnnualNitrogenExcretedLessThanOneYearVariation(G166,Q146,G198,Q203,Q208)</f>
        <v>0</v>
      </c>
      <c r="R213" s="53" cm="1">
        <f t="array" ref="R213">MMS_Dairy_N2ODirect_Equations.VEERG_4_3_1_3__3b_TotalAnnualNitrogenExcretedLessThanOneYearVariation(H166,R146,H198,R203,R208)</f>
        <v>4361.9480490479727</v>
      </c>
      <c r="S213" s="2" t="str">
        <f>$E$187</f>
        <v>kg N</v>
      </c>
    </row>
    <row r="216" spans="3:21" ht="20.100000000000001" customHeight="1" x14ac:dyDescent="0.2">
      <c r="C216" s="46"/>
      <c r="D216" s="46"/>
      <c r="E216" s="46"/>
      <c r="F216" s="46"/>
      <c r="G216" s="46"/>
      <c r="H216" s="46"/>
      <c r="I216" s="46"/>
      <c r="J216" s="46"/>
      <c r="K216" s="46"/>
      <c r="M216" s="46"/>
      <c r="N216" s="46"/>
      <c r="O216" s="46"/>
      <c r="P216" s="46"/>
      <c r="Q216" s="46"/>
      <c r="R216" s="46"/>
      <c r="S216" s="46"/>
      <c r="T216" s="46"/>
      <c r="U216" s="46"/>
    </row>
    <row r="217" spans="3:21" ht="20.100000000000001" customHeight="1" x14ac:dyDescent="0.2">
      <c r="D217" s="6" t="str" cm="1">
        <f t="array" ref="D217">MMS_Dairy_N2ODirect_Equations.VEERG_4_3_1_3__2_TotalNitrogenInEachMMS_Title()</f>
        <v>Total nitrogen in each MMS</v>
      </c>
    </row>
    <row r="218" spans="3:21" ht="20.100000000000001" customHeight="1" x14ac:dyDescent="0.2">
      <c r="D218" s="5" t="str" cm="1">
        <f t="array" ref="D218">MMS_Dairy_N2ODirect_Equations.VEERG_4_3_1_3__2_TotalNitrogenInEachMMS_Source()</f>
        <v>VEERG 2026: 4.3.1.3, Equation (2)</v>
      </c>
    </row>
    <row r="219" spans="3:21" ht="20.100000000000001" customHeight="1" x14ac:dyDescent="0.2">
      <c r="D219" s="13" t="s">
        <v>25</v>
      </c>
      <c r="E219" s="13" t="str" cm="1">
        <f t="array" aca="1" ref="E219" ca="1">Common_InputFunctions.Utility_DisplayFunctionName(F243)</f>
        <v>=MMS_Dairy_N2ODirect_Equations.VEERG_4_3_1_3__2_TotalNitrogenInEachMMS</v>
      </c>
    </row>
    <row r="221" spans="3:21" ht="20.100000000000001" customHeight="1" x14ac:dyDescent="0.2">
      <c r="D221" s="6"/>
    </row>
    <row r="222" spans="3:21" ht="20.100000000000001" customHeight="1" x14ac:dyDescent="0.2">
      <c r="D222" s="54" t="s">
        <v>28</v>
      </c>
      <c r="E222" s="1" t="str" cm="1">
        <f t="array" ref="E222">MMS_Dairy_N2ODirect_Equations.VEERG_4_3_1_3__2_TotalNitrogenInEachMMS_Variable()</f>
        <v>MN_jm</v>
      </c>
    </row>
    <row r="223" spans="3:21" ht="20.100000000000001" customHeight="1" x14ac:dyDescent="0.2">
      <c r="D223" s="54" t="s">
        <v>18</v>
      </c>
      <c r="E223" s="55" t="str" cm="1">
        <f t="array" ref="E223">MMS_Dairy_N2ODirect_Equations.VEERG_4_3_1_3__2_TotalNitrogenInEachMMS_Unit()</f>
        <v>kg N</v>
      </c>
    </row>
    <row r="225" spans="4:20" ht="20.100000000000001" customHeight="1" x14ac:dyDescent="0.2">
      <c r="D225" s="133" t="str" cm="1">
        <f t="array" ref="D225:E226">_xlfn.CHOOSECOLS(MMS_Dairy_N2ODirect_Equations.VEERG_4_3_1_3__2_TotalNitrogenInEachMMS_Arguments(),1,2)</f>
        <v>AE_j</v>
      </c>
      <c r="E225" s="133" t="str">
        <v>total nitrogen excreted by each dairy class</v>
      </c>
      <c r="F225" s="133"/>
      <c r="G225" s="133" t="str" cm="1">
        <f t="array" ref="G225:H226">_xlfn.CHOOSECOLS(MMS_Dairy_N2ODirect_Equations.VEERG_4_3_1_3__2_TotalNitrogenInEachMMS_Arguments(),3,4)</f>
        <v>kg N</v>
      </c>
      <c r="H225" s="129" t="str">
        <v>Calculated from 4.3.1.3 (3a) and (3b)</v>
      </c>
      <c r="I225" s="130" t="str" cm="1">
        <f t="array" aca="1" ref="I225" ca="1">HYPERLINK(Common_InputFunctions.Utility_SourceHyperlink($D$173),$D$173)</f>
        <v>M1_Table_AE_j-1-2-4</v>
      </c>
      <c r="J225" s="130" t="str" cm="1">
        <f t="array" aca="1" ref="J225" ca="1">HYPERLINK(Common_InputFunctions.Utility_SourceHyperlink($D$210),$D$210)</f>
        <v>M1_Table_AE_j</v>
      </c>
    </row>
    <row r="226" spans="4:20" ht="20.100000000000001" customHeight="1" x14ac:dyDescent="0.2">
      <c r="D226" s="133" t="str">
        <v>MMS_jm</v>
      </c>
      <c r="E226" s="133" t="str">
        <v>manure management system fraction for class j and system m</v>
      </c>
      <c r="F226" s="133"/>
      <c r="G226" s="133" t="str">
        <v>fraction</v>
      </c>
      <c r="H226" s="131" t="str">
        <v>Input</v>
      </c>
      <c r="I226" s="130" t="str" cm="1">
        <f t="array" aca="1" ref="I226" ca="1">HYPERLINK(Common_InputFunctions.Utility_SourceHyperlink($D$228),$D$228)</f>
        <v>M1_Table_MMS_j_m</v>
      </c>
      <c r="J226" s="130" t="str" cm="1">
        <f t="array" aca="1" ref="J226" ca="1">HYPERLINK(Common_InputFunctions.Utility_SourceHyperlink($D$228),$D$228)</f>
        <v>M1_Table_MMS_j_m</v>
      </c>
    </row>
    <row r="228" spans="4:20" ht="20.100000000000001" customHeight="1" x14ac:dyDescent="0.2">
      <c r="D228" s="100" t="s">
        <v>240</v>
      </c>
      <c r="N228" s="100" t="s">
        <v>242</v>
      </c>
    </row>
    <row r="229" spans="4:20" ht="20.100000000000001" customHeight="1" x14ac:dyDescent="0.2">
      <c r="D229" s="99" t="s">
        <v>301</v>
      </c>
      <c r="N229" s="99" t="s">
        <v>302</v>
      </c>
    </row>
    <row r="230" spans="4:20" ht="20.100000000000001" customHeight="1" x14ac:dyDescent="0.2">
      <c r="D230" s="40" t="s">
        <v>142</v>
      </c>
      <c r="E230" s="40" t="s">
        <v>66</v>
      </c>
      <c r="F230" s="40" t="s">
        <v>167</v>
      </c>
      <c r="G230" s="40" t="s">
        <v>184</v>
      </c>
      <c r="H230" s="40" t="s">
        <v>185</v>
      </c>
      <c r="I230" s="40" t="s">
        <v>186</v>
      </c>
      <c r="J230" s="40" t="s">
        <v>187</v>
      </c>
      <c r="N230" s="40" t="s">
        <v>142</v>
      </c>
      <c r="O230" s="40" t="s">
        <v>66</v>
      </c>
      <c r="P230" s="40" t="s">
        <v>167</v>
      </c>
      <c r="Q230" s="40" t="s">
        <v>184</v>
      </c>
      <c r="R230" s="40" t="s">
        <v>185</v>
      </c>
      <c r="S230" s="40" t="s">
        <v>186</v>
      </c>
      <c r="T230" s="40" t="s">
        <v>187</v>
      </c>
    </row>
    <row r="231" spans="4:20" ht="20.100000000000001" customHeight="1" x14ac:dyDescent="0.2">
      <c r="D231" s="53" t="str">
        <f>INDEX(X_Table_Dairy_ProductionSystems_Method1,3,1)</f>
        <v>Milking shed</v>
      </c>
      <c r="E231" s="53" t="str">
        <f>INDEX(X_Table_Dairy_Stage1MMS_1_AnaerobicLagoon,2,1)</f>
        <v>Anaerobic lagoon</v>
      </c>
      <c r="F231" s="53" cm="1">
        <f t="array" ref="F231">InputFunctions_Dairy.CalculateFractionInMMSAfterSolidSeparation(INDEX(X_Table_Dairy_ProductionSystems_Method1, 3, 2),INDEX(X_Table_Dairy_Stage1MMS_1_AnaerobicLagoon,2,2),X_Cell_Dairy_Stage1MMS_1_AnaerobicLagoon_AmountSeparated_Method1)</f>
        <v>2.2000000000000002E-2</v>
      </c>
      <c r="G231" s="53" cm="1">
        <f t="array" ref="G231">InputFunctions_Dairy.CalculateFractionInMMSAfterSolidSeparation(INDEX(X_Table_Dairy_ProductionSystems_Method1, 3, 3),INDEX(X_Table_Dairy_Stage1MMS_1_AnaerobicLagoon,2,3),X_Cell_Dairy_Stage1MMS_1_AnaerobicLagoon_AmountSeparated_Method1)</f>
        <v>2.2000000000000002E-2</v>
      </c>
      <c r="H231" s="53" cm="1">
        <f t="array" ref="H231">InputFunctions_Dairy.CalculateFractionInMMSAfterSolidSeparation(INDEX(X_Table_Dairy_ProductionSystems_Method1, 3, 4),INDEX(X_Table_Dairy_Stage1MMS_1_AnaerobicLagoon,2,4),X_Cell_Dairy_Stage1MMS_1_AnaerobicLagoon_AmountSeparated_Method1)</f>
        <v>2.2000000000000002E-2</v>
      </c>
      <c r="I231" s="53" cm="1">
        <f t="array" ref="I231">InputFunctions_Dairy.CalculateFractionInMMSAfterSolidSeparation(INDEX(X_Table_Dairy_ProductionSystems_Method1, 3, 5),INDEX(X_Table_Dairy_Stage1MMS_1_AnaerobicLagoon,2,5),X_Cell_Dairy_Stage1MMS_1_AnaerobicLagoon_AmountSeparated_Method1)</f>
        <v>2.2000000000000002E-2</v>
      </c>
      <c r="J231" s="53" cm="1">
        <f t="array" ref="J231">InputFunctions_Dairy.CalculateFractionInMMSAfterSolidSeparation(INDEX(X_Table_Dairy_ProductionSystems_Method1, 3, 6),INDEX(X_Table_Dairy_Stage1MMS_1_AnaerobicLagoon,2,6),X_Cell_Dairy_Stage1MMS_1_AnaerobicLagoon_AmountSeparated_Method1)</f>
        <v>2.2000000000000002E-2</v>
      </c>
      <c r="N231" s="53" t="str">
        <f>INDEX(X_Table_Dairy_ProductionSystems_Method1,3,1)</f>
        <v>Milking shed</v>
      </c>
      <c r="O231" s="53" t="str">
        <f>INDEX(X_Table_Dairy_Stage1MMS_1_AnaerobicLagoon,2,1)</f>
        <v>Anaerobic lagoon</v>
      </c>
      <c r="P231" s="53" cm="1">
        <f t="array" ref="P231">InputFunctions_Dairy.CalculateFractionInMMSAfterSolidSeparation(INDEX(X_Table_Dairy_ProductionSystems_Method2, 3, 2),INDEX(X_Table_Dairy_Stage1MMS_1_AnaerobicLagoon,2,2),X_Cell_Dairy_Stage1MMS_1_AnaerobicLagoon_AmountSeparated_Method2)</f>
        <v>2.2000000000000002E-2</v>
      </c>
      <c r="Q231" s="53" cm="1">
        <f t="array" ref="Q231">InputFunctions_Dairy.CalculateFractionInMMSAfterSolidSeparation(INDEX(X_Table_Dairy_ProductionSystems_Method2, 3, 3),INDEX(X_Table_Dairy_Stage1MMS_1_AnaerobicLagoon,2,3),X_Cell_Dairy_Stage1MMS_1_AnaerobicLagoon_AmountSeparated_Method2)</f>
        <v>2.2000000000000002E-2</v>
      </c>
      <c r="R231" s="53" cm="1">
        <f t="array" ref="R231">InputFunctions_Dairy.CalculateFractionInMMSAfterSolidSeparation(INDEX(X_Table_Dairy_ProductionSystems_Method2, 3, 4),INDEX(X_Table_Dairy_Stage1MMS_1_AnaerobicLagoon,2,4),X_Cell_Dairy_Stage1MMS_1_AnaerobicLagoon_AmountSeparated_Method2)</f>
        <v>2.2000000000000002E-2</v>
      </c>
      <c r="S231" s="53" cm="1">
        <f t="array" ref="S231">InputFunctions_Dairy.CalculateFractionInMMSAfterSolidSeparation(INDEX(X_Table_Dairy_ProductionSystems_Method2, 3, 5),INDEX(X_Table_Dairy_Stage1MMS_1_AnaerobicLagoon,2,5),X_Cell_Dairy_Stage1MMS_1_AnaerobicLagoon_AmountSeparated_Method2)</f>
        <v>2.2000000000000002E-2</v>
      </c>
      <c r="T231" s="53" cm="1">
        <f t="array" ref="T231">InputFunctions_Dairy.CalculateFractionInMMSAfterSolidSeparation(INDEX(X_Table_Dairy_ProductionSystems_Method2, 3, 6),INDEX(X_Table_Dairy_Stage1MMS_1_AnaerobicLagoon,2,6),X_Cell_Dairy_Stage1MMS_1_AnaerobicLagoon_AmountSeparated_Method2)</f>
        <v>2.2000000000000002E-2</v>
      </c>
    </row>
    <row r="232" spans="4:20" ht="20.100000000000001" customHeight="1" x14ac:dyDescent="0.2">
      <c r="D232" s="53" t="str">
        <f>INDEX(X_Table_Dairy_ProductionSystems_Method1,3,1)</f>
        <v>Milking shed</v>
      </c>
      <c r="E232" s="53" t="str">
        <f>INDEX(X_Table_Dairy_Stage1MMS_1_SumpAndDispersal,2,1)</f>
        <v>Sump and dispersal system</v>
      </c>
      <c r="F232" s="53" cm="1">
        <f t="array" ref="F232">InputFunctions_Dairy.CalculateFractionInMMSAfterSolidSeparation(INDEX(X_Table_Dairy_ProductionSystems_Method1, 3, 2),INDEX(X_Table_Dairy_Stage1MMS_1_SumpAndDispersal,2,2),X_Cell_Dairy_Stage1MMS_1_AnaerobicLagoon_AmountSeparated_Method1)</f>
        <v>2.2000000000000002E-2</v>
      </c>
      <c r="G232" s="53" cm="1">
        <f t="array" ref="G232">InputFunctions_Dairy.CalculateFractionInMMSAfterSolidSeparation(INDEX(X_Table_Dairy_ProductionSystems_Method1, 3, 3),INDEX(X_Table_Dairy_Stage1MMS_1_SumpAndDispersal,2,3),X_Cell_Dairy_Stage1MMS_1_AnaerobicLagoon_AmountSeparated_Method1)</f>
        <v>2.2000000000000002E-2</v>
      </c>
      <c r="H232" s="53" cm="1">
        <f t="array" ref="H232">InputFunctions_Dairy.CalculateFractionInMMSAfterSolidSeparation(INDEX(X_Table_Dairy_ProductionSystems_Method1, 3, 4),INDEX(X_Table_Dairy_Stage1MMS_1_SumpAndDispersal,2,4),X_Cell_Dairy_Stage1MMS_1_AnaerobicLagoon_AmountSeparated_Method1)</f>
        <v>2.2000000000000002E-2</v>
      </c>
      <c r="I232" s="53" cm="1">
        <f t="array" ref="I232">InputFunctions_Dairy.CalculateFractionInMMSAfterSolidSeparation(INDEX(X_Table_Dairy_ProductionSystems_Method1, 3, 5),INDEX(X_Table_Dairy_Stage1MMS_1_SumpAndDispersal,2,5),X_Cell_Dairy_Stage1MMS_1_AnaerobicLagoon_AmountSeparated_Method1)</f>
        <v>2.2000000000000002E-2</v>
      </c>
      <c r="J232" s="53" cm="1">
        <f t="array" ref="J232">InputFunctions_Dairy.CalculateFractionInMMSAfterSolidSeparation(INDEX(X_Table_Dairy_ProductionSystems_Method1, 3, 6),INDEX(X_Table_Dairy_Stage1MMS_1_SumpAndDispersal,2,6),X_Cell_Dairy_Stage1MMS_1_AnaerobicLagoon_AmountSeparated_Method1)</f>
        <v>2.2000000000000002E-2</v>
      </c>
      <c r="N232" s="53" t="str">
        <f>INDEX(X_Table_Dairy_ProductionSystems_Method1,3,1)</f>
        <v>Milking shed</v>
      </c>
      <c r="O232" s="53" t="str">
        <f>INDEX(X_Table_Dairy_Stage1MMS_1_SumpAndDispersal,2,1)</f>
        <v>Sump and dispersal system</v>
      </c>
      <c r="P232" s="53" cm="1">
        <f t="array" ref="P232">InputFunctions_Dairy.CalculateFractionInMMSAfterSolidSeparation(INDEX(X_Table_Dairy_ProductionSystems_Method2, 3, 2),INDEX(X_Table_Dairy_Stage1MMS_1_SumpAndDispersal,2,2),X_Cell_Dairy_Stage1MMS_1_AnaerobicLagoon_AmountSeparated_Method2)</f>
        <v>2.2000000000000002E-2</v>
      </c>
      <c r="Q232" s="53" cm="1">
        <f t="array" ref="Q232">InputFunctions_Dairy.CalculateFractionInMMSAfterSolidSeparation(INDEX(X_Table_Dairy_ProductionSystems_Method2, 3, 3),INDEX(X_Table_Dairy_Stage1MMS_1_SumpAndDispersal,2,3),X_Cell_Dairy_Stage1MMS_1_AnaerobicLagoon_AmountSeparated_Method2)</f>
        <v>2.2000000000000002E-2</v>
      </c>
      <c r="R232" s="53" cm="1">
        <f t="array" ref="R232">InputFunctions_Dairy.CalculateFractionInMMSAfterSolidSeparation(INDEX(X_Table_Dairy_ProductionSystems_Method2, 3, 4),INDEX(X_Table_Dairy_Stage1MMS_1_SumpAndDispersal,2,4),X_Cell_Dairy_Stage1MMS_1_AnaerobicLagoon_AmountSeparated_Method2)</f>
        <v>2.2000000000000002E-2</v>
      </c>
      <c r="S232" s="53" cm="1">
        <f t="array" ref="S232">InputFunctions_Dairy.CalculateFractionInMMSAfterSolidSeparation(INDEX(X_Table_Dairy_ProductionSystems_Method2, 3, 5),INDEX(X_Table_Dairy_Stage1MMS_1_SumpAndDispersal,2,5),X_Cell_Dairy_Stage1MMS_1_AnaerobicLagoon_AmountSeparated_Method2)</f>
        <v>2.2000000000000002E-2</v>
      </c>
      <c r="T232" s="53" cm="1">
        <f t="array" ref="T232">InputFunctions_Dairy.CalculateFractionInMMSAfterSolidSeparation(INDEX(X_Table_Dairy_ProductionSystems_Method2, 3, 6),INDEX(X_Table_Dairy_Stage1MMS_1_SumpAndDispersal,2,6),X_Cell_Dairy_Stage1MMS_1_AnaerobicLagoon_AmountSeparated_Method2)</f>
        <v>2.2000000000000002E-2</v>
      </c>
    </row>
    <row r="233" spans="4:20" ht="20.100000000000001" customHeight="1" x14ac:dyDescent="0.2">
      <c r="D233" s="53" t="str">
        <f>INDEX(X_Table_Dairy_ProductionSystems_Method1,3,1)</f>
        <v>Milking shed</v>
      </c>
      <c r="E233" s="53" t="str">
        <f>INDEX(X_Table_Dairy_Stage1MMS_1_DrainsToPaddock,2,1)</f>
        <v>Drains to paddock</v>
      </c>
      <c r="F233" s="53" cm="1">
        <f t="array" ref="F233">InputFunctions_Dairy.CalculateFractionInMMSAfterSolidSeparation(INDEX(X_Table_Dairy_ProductionSystems_Method1, 3, 2),INDEX(X_Table_Dairy_Stage1MMS_1_DrainsToPaddock,2,2),X_Cell_Dairy_Stage1MMS_1_AnaerobicLagoon_AmountSeparated_Method1)</f>
        <v>2.2000000000000002E-2</v>
      </c>
      <c r="G233" s="53" cm="1">
        <f t="array" ref="G233">InputFunctions_Dairy.CalculateFractionInMMSAfterSolidSeparation(INDEX(X_Table_Dairy_ProductionSystems_Method1, 3, 3),INDEX(X_Table_Dairy_Stage1MMS_1_DrainsToPaddock,2,3),X_Cell_Dairy_Stage1MMS_1_AnaerobicLagoon_AmountSeparated_Method1)</f>
        <v>2.2000000000000002E-2</v>
      </c>
      <c r="H233" s="53" cm="1">
        <f t="array" ref="H233">InputFunctions_Dairy.CalculateFractionInMMSAfterSolidSeparation(INDEX(X_Table_Dairy_ProductionSystems_Method1, 3, 4),INDEX(X_Table_Dairy_Stage1MMS_1_DrainsToPaddock,2,4),X_Cell_Dairy_Stage1MMS_1_AnaerobicLagoon_AmountSeparated_Method1)</f>
        <v>2.2000000000000002E-2</v>
      </c>
      <c r="I233" s="53" cm="1">
        <f t="array" ref="I233">InputFunctions_Dairy.CalculateFractionInMMSAfterSolidSeparation(INDEX(X_Table_Dairy_ProductionSystems_Method1, 3, 5),INDEX(X_Table_Dairy_Stage1MMS_1_DrainsToPaddock,2,5),X_Cell_Dairy_Stage1MMS_1_AnaerobicLagoon_AmountSeparated_Method1)</f>
        <v>2.2000000000000002E-2</v>
      </c>
      <c r="J233" s="53" cm="1">
        <f t="array" ref="J233">InputFunctions_Dairy.CalculateFractionInMMSAfterSolidSeparation(INDEX(X_Table_Dairy_ProductionSystems_Method1, 3, 6),INDEX(X_Table_Dairy_Stage1MMS_1_DrainsToPaddock,2,6),X_Cell_Dairy_Stage1MMS_1_AnaerobicLagoon_AmountSeparated_Method1)</f>
        <v>2.2000000000000002E-2</v>
      </c>
      <c r="N233" s="53" t="str">
        <f>INDEX(X_Table_Dairy_ProductionSystems_Method1,3,1)</f>
        <v>Milking shed</v>
      </c>
      <c r="O233" s="53" t="str">
        <f>INDEX(X_Table_Dairy_Stage1MMS_1_DrainsToPaddock,2,1)</f>
        <v>Drains to paddock</v>
      </c>
      <c r="P233" s="53" cm="1">
        <f t="array" ref="P233">InputFunctions_Dairy.CalculateFractionInMMSAfterSolidSeparation(INDEX(X_Table_Dairy_ProductionSystems_Method2, 3, 2),INDEX(X_Table_Dairy_Stage1MMS_1_DrainsToPaddock,2,2),X_Cell_Dairy_Stage1MMS_1_AnaerobicLagoon_AmountSeparated_Method2)</f>
        <v>2.2000000000000002E-2</v>
      </c>
      <c r="Q233" s="53" cm="1">
        <f t="array" ref="Q233">InputFunctions_Dairy.CalculateFractionInMMSAfterSolidSeparation(INDEX(X_Table_Dairy_ProductionSystems_Method2, 3, 3),INDEX(X_Table_Dairy_Stage1MMS_1_DrainsToPaddock,2,3),X_Cell_Dairy_Stage1MMS_1_AnaerobicLagoon_AmountSeparated_Method2)</f>
        <v>2.2000000000000002E-2</v>
      </c>
      <c r="R233" s="53" cm="1">
        <f t="array" ref="R233">InputFunctions_Dairy.CalculateFractionInMMSAfterSolidSeparation(INDEX(X_Table_Dairy_ProductionSystems_Method2, 3, 4),INDEX(X_Table_Dairy_Stage1MMS_1_DrainsToPaddock,2,4),X_Cell_Dairy_Stage1MMS_1_AnaerobicLagoon_AmountSeparated_Method2)</f>
        <v>2.2000000000000002E-2</v>
      </c>
      <c r="S233" s="53" cm="1">
        <f t="array" ref="S233">InputFunctions_Dairy.CalculateFractionInMMSAfterSolidSeparation(INDEX(X_Table_Dairy_ProductionSystems_Method2, 3, 5),INDEX(X_Table_Dairy_Stage1MMS_1_DrainsToPaddock,2,5),X_Cell_Dairy_Stage1MMS_1_AnaerobicLagoon_AmountSeparated_Method2)</f>
        <v>2.2000000000000002E-2</v>
      </c>
      <c r="T233" s="53" cm="1">
        <f t="array" ref="T233">InputFunctions_Dairy.CalculateFractionInMMSAfterSolidSeparation(INDEX(X_Table_Dairy_ProductionSystems_Method2, 3, 6),INDEX(X_Table_Dairy_Stage1MMS_1_DrainsToPaddock,2,6),X_Cell_Dairy_Stage1MMS_1_AnaerobicLagoon_AmountSeparated_Method2)</f>
        <v>2.2000000000000002E-2</v>
      </c>
    </row>
    <row r="234" spans="4:20" ht="20.100000000000001" customHeight="1" x14ac:dyDescent="0.2">
      <c r="D234" s="53" t="str">
        <f>INDEX(X_Table_Dairy_ProductionSystems_Method1,3,1)</f>
        <v>Milking shed</v>
      </c>
      <c r="E234" s="53" t="s">
        <v>400</v>
      </c>
      <c r="F234" s="53" cm="1">
        <f t="array" ref="F234">InputFunctions_Dairy.CalculateFractionInSolidStorage(
INDEX(X_Table_Dairy_ProductionSystems_Method1, 3, 2),
INDEX(X_Table_Dairy_Stage1MMS_1_SolidStorage,2,2),
INDEX(X_Table_Dairy_Stage1MMS_1_AnaerobicLagoon,2,2),
X_Cell_Dairy_Stage1MMS_1_AnaerobicLagoon_AmountSeparated_Method1,
INDEX(X_Table_Dairy_Stage1MMS_1_SumpAndDispersal,2,2),
X_Cell_Dairy_Stage1MMS_1_SumpAndDispersal_AmountSeparated_Method1,
INDEX(X_Table_Dairy_Stage1MMS_1_DrainsToPaddock,2,2),
X_Cell_Dairy_Stage1MMS_1_DrainsToPaddock_AmountSeparated_Method1)</f>
        <v>4.3999999999999997E-2</v>
      </c>
      <c r="G234" s="53" cm="1">
        <f t="array" ref="G234">InputFunctions_Dairy.CalculateFractionInSolidStorage(
INDEX(X_Table_Dairy_ProductionSystems_Method1, 3, 3),
INDEX(X_Table_Dairy_Stage1MMS_1_SolidStorage,2,3),
INDEX(X_Table_Dairy_Stage1MMS_1_AnaerobicLagoon,2,3),
X_Cell_Dairy_Stage1MMS_1_AnaerobicLagoon_AmountSeparated_Method1,
INDEX(X_Table_Dairy_Stage1MMS_1_SumpAndDispersal,2,3),
X_Cell_Dairy_Stage1MMS_1_SumpAndDispersal_AmountSeparated_Method1,
INDEX(X_Table_Dairy_Stage1MMS_1_DrainsToPaddock,2,3),
X_Cell_Dairy_Stage1MMS_1_DrainsToPaddock_AmountSeparated_Method1)</f>
        <v>4.3999999999999997E-2</v>
      </c>
      <c r="H234" s="53" cm="1">
        <f t="array" ref="H234">InputFunctions_Dairy.CalculateFractionInSolidStorage(
INDEX(X_Table_Dairy_ProductionSystems_Method1, 3, 4),
INDEX(X_Table_Dairy_Stage1MMS_1_SolidStorage,2,4),
INDEX(X_Table_Dairy_Stage1MMS_1_AnaerobicLagoon,2,4),
X_Cell_Dairy_Stage1MMS_1_AnaerobicLagoon_AmountSeparated_Method1,
INDEX(X_Table_Dairy_Stage1MMS_1_SumpAndDispersal,2,4),
X_Cell_Dairy_Stage1MMS_1_SumpAndDispersal_AmountSeparated_Method1,
INDEX(X_Table_Dairy_Stage1MMS_1_DrainsToPaddock,2,4),
X_Cell_Dairy_Stage1MMS_1_DrainsToPaddock_AmountSeparated_Method1)</f>
        <v>4.3999999999999997E-2</v>
      </c>
      <c r="I234" s="53" cm="1">
        <f t="array" ref="I234">InputFunctions_Dairy.CalculateFractionInSolidStorage(
INDEX(X_Table_Dairy_ProductionSystems_Method1, 3, 5),
INDEX(X_Table_Dairy_Stage1MMS_1_SolidStorage,2,5),
INDEX(X_Table_Dairy_Stage1MMS_1_AnaerobicLagoon,2,5),
X_Cell_Dairy_Stage1MMS_1_AnaerobicLagoon_AmountSeparated_Method1,
INDEX(X_Table_Dairy_Stage1MMS_1_SumpAndDispersal,2,5),
X_Cell_Dairy_Stage1MMS_1_SumpAndDispersal_AmountSeparated_Method1,
INDEX(X_Table_Dairy_Stage1MMS_1_DrainsToPaddock,2,5),
X_Cell_Dairy_Stage1MMS_1_DrainsToPaddock_AmountSeparated_Method1)</f>
        <v>4.3999999999999997E-2</v>
      </c>
      <c r="J234" s="53" cm="1">
        <f t="array" ref="J234">InputFunctions_Dairy.CalculateFractionInSolidStorage(
INDEX(X_Table_Dairy_ProductionSystems_Method1, 3, 6),
INDEX(X_Table_Dairy_Stage1MMS_1_SolidStorage,2,6),
INDEX(X_Table_Dairy_Stage1MMS_1_AnaerobicLagoon,2,6),
X_Cell_Dairy_Stage1MMS_1_AnaerobicLagoon_AmountSeparated_Method1,
INDEX(X_Table_Dairy_Stage1MMS_1_SumpAndDispersal,2,6),
X_Cell_Dairy_Stage1MMS_1_SumpAndDispersal_AmountSeparated_Method1,
INDEX(X_Table_Dairy_Stage1MMS_1_DrainsToPaddock,2,6),
X_Cell_Dairy_Stage1MMS_1_DrainsToPaddock_AmountSeparated_Method1)</f>
        <v>4.3999999999999997E-2</v>
      </c>
      <c r="N234" s="53" t="str">
        <f>INDEX(X_Table_Dairy_ProductionSystems_Method1,3,1)</f>
        <v>Milking shed</v>
      </c>
      <c r="O234" s="53" t="s">
        <v>400</v>
      </c>
      <c r="P234" s="53" cm="1">
        <f t="array" ref="P234">InputFunctions_Dairy.CalculateFractionInSolidStorage(
INDEX(X_Table_Dairy_ProductionSystems_Method2, 3, 2),
INDEX(X_Table_Dairy_Stage1MMS_1_SolidStorage,2,2),
INDEX(X_Table_Dairy_Stage1MMS_1_AnaerobicLagoon,2,2),
X_Cell_Dairy_Stage1MMS_1_AnaerobicLagoon_AmountSeparated_Method2,
INDEX(X_Table_Dairy_Stage1MMS_1_SumpAndDispersal,2,2),
X_Cell_Dairy_Stage1MMS_1_SumpAndDispersal_AmountSeparated_Method2,
INDEX(X_Table_Dairy_Stage1MMS_1_DrainsToPaddock,2,2),
X_Cell_Dairy_Stage1MMS_1_DrainsToPaddock_AmountSeparated_Method2)</f>
        <v>4.3999999999999997E-2</v>
      </c>
      <c r="Q234" s="53" cm="1">
        <f t="array" ref="Q234">InputFunctions_Dairy.CalculateFractionInSolidStorage(
INDEX(X_Table_Dairy_ProductionSystems_Method2, 3, 3),
INDEX(X_Table_Dairy_Stage1MMS_1_SolidStorage,2,3),
INDEX(X_Table_Dairy_Stage1MMS_1_AnaerobicLagoon,2,3),
X_Cell_Dairy_Stage1MMS_1_AnaerobicLagoon_AmountSeparated_Method2,
INDEX(X_Table_Dairy_Stage1MMS_1_SumpAndDispersal,2,3),
X_Cell_Dairy_Stage1MMS_1_SumpAndDispersal_AmountSeparated_Method2,
INDEX(X_Table_Dairy_Stage1MMS_1_DrainsToPaddock,2,3),
X_Cell_Dairy_Stage1MMS_1_DrainsToPaddock_AmountSeparated_Method2)</f>
        <v>4.3999999999999997E-2</v>
      </c>
      <c r="R234" s="53" cm="1">
        <f t="array" ref="R234">InputFunctions_Dairy.CalculateFractionInSolidStorage(
INDEX(X_Table_Dairy_ProductionSystems_Method2, 3, 4),
INDEX(X_Table_Dairy_Stage1MMS_1_SolidStorage,2,4),
INDEX(X_Table_Dairy_Stage1MMS_1_AnaerobicLagoon,2,4),
X_Cell_Dairy_Stage1MMS_1_AnaerobicLagoon_AmountSeparated_Method2,
INDEX(X_Table_Dairy_Stage1MMS_1_SumpAndDispersal,2,4),
X_Cell_Dairy_Stage1MMS_1_SumpAndDispersal_AmountSeparated_Method2,
INDEX(X_Table_Dairy_Stage1MMS_1_DrainsToPaddock,2,4),
X_Cell_Dairy_Stage1MMS_1_DrainsToPaddock_AmountSeparated_Method2)</f>
        <v>4.3999999999999997E-2</v>
      </c>
      <c r="S234" s="53" cm="1">
        <f t="array" ref="S234">InputFunctions_Dairy.CalculateFractionInSolidStorage(
INDEX(X_Table_Dairy_ProductionSystems_Method2, 3, 5),
INDEX(X_Table_Dairy_Stage1MMS_1_SolidStorage,2,5),
INDEX(X_Table_Dairy_Stage1MMS_1_AnaerobicLagoon,2,5),
X_Cell_Dairy_Stage1MMS_1_AnaerobicLagoon_AmountSeparated_Method2,
INDEX(X_Table_Dairy_Stage1MMS_1_SumpAndDispersal,2,5),
X_Cell_Dairy_Stage1MMS_1_SumpAndDispersal_AmountSeparated_Method2,
INDEX(X_Table_Dairy_Stage1MMS_1_DrainsToPaddock,2,5),
X_Cell_Dairy_Stage1MMS_1_DrainsToPaddock_AmountSeparated_Method2)</f>
        <v>4.3999999999999997E-2</v>
      </c>
      <c r="T234" s="53" cm="1">
        <f t="array" ref="T234">InputFunctions_Dairy.CalculateFractionInSolidStorage(
INDEX(X_Table_Dairy_ProductionSystems_Method2, 3, 6),
INDEX(X_Table_Dairy_Stage1MMS_1_SolidStorage,2,6),
INDEX(X_Table_Dairy_Stage1MMS_1_AnaerobicLagoon,2,6),
X_Cell_Dairy_Stage1MMS_1_AnaerobicLagoon_AmountSeparated_Method2,
INDEX(X_Table_Dairy_Stage1MMS_1_SumpAndDispersal,2,6),
X_Cell_Dairy_Stage1MMS_1_SumpAndDispersal_AmountSeparated_Method2,
INDEX(X_Table_Dairy_Stage1MMS_1_DrainsToPaddock,2,6),
X_Cell_Dairy_Stage1MMS_1_DrainsToPaddock_AmountSeparated_Method2)</f>
        <v>4.3999999999999997E-2</v>
      </c>
    </row>
    <row r="235" spans="4:20" ht="20.100000000000001" customHeight="1" x14ac:dyDescent="0.2">
      <c r="D235" s="53" t="str">
        <f>INDEX(X_Table_Dairy_ProductionSystems_Method1,4,1)</f>
        <v>Feed pad</v>
      </c>
      <c r="E235" s="53" t="str">
        <f>INDEX(X_Table_Dairy_Stage1MMS_2_AnaerobicLagoon,2,1)</f>
        <v>Anaerobic lagoon</v>
      </c>
      <c r="F235" s="53" cm="1">
        <f t="array" ref="F235">InputFunctions_Dairy.CalculateFractionInMMSAfterSolidSeparation(INDEX(X_Table_Dairy_ProductionSystems_Method1, 4, 2),INDEX(X_Table_Dairy_Stage1MMS_2_AnaerobicLagoon,2,2),X_Cell_Dairy_Stage1MMS_2_AnaerobicLagoon_AmountSeparated_Method1)</f>
        <v>8.8999999999999996E-2</v>
      </c>
      <c r="G235" s="53" cm="1">
        <f t="array" ref="G235">InputFunctions_Dairy.CalculateFractionInMMSAfterSolidSeparation(INDEX(X_Table_Dairy_ProductionSystems_Method1, 4, 3),INDEX(X_Table_Dairy_Stage1MMS_2_AnaerobicLagoon,2,3),X_Cell_Dairy_Stage1MMS_2_AnaerobicLagoon_AmountSeparated_Method1)</f>
        <v>8.8999999999999996E-2</v>
      </c>
      <c r="H235" s="53" cm="1">
        <f t="array" ref="H235">InputFunctions_Dairy.CalculateFractionInMMSAfterSolidSeparation(INDEX(X_Table_Dairy_ProductionSystems_Method1, 4, 4),INDEX(X_Table_Dairy_Stage1MMS_2_AnaerobicLagoon,2,4),X_Cell_Dairy_Stage1MMS_2_AnaerobicLagoon_AmountSeparated_Method1)</f>
        <v>8.8999999999999996E-2</v>
      </c>
      <c r="I235" s="53" cm="1">
        <f t="array" ref="I235">InputFunctions_Dairy.CalculateFractionInMMSAfterSolidSeparation(INDEX(X_Table_Dairy_ProductionSystems_Method1, 4, 5),INDEX(X_Table_Dairy_Stage1MMS_2_AnaerobicLagoon,2,5),X_Cell_Dairy_Stage1MMS_2_AnaerobicLagoon_AmountSeparated_Method1)</f>
        <v>8.8999999999999996E-2</v>
      </c>
      <c r="J235" s="53" cm="1">
        <f t="array" ref="J235">InputFunctions_Dairy.CalculateFractionInMMSAfterSolidSeparation(INDEX(X_Table_Dairy_ProductionSystems_Method1, 4, 6),INDEX(X_Table_Dairy_Stage1MMS_2_AnaerobicLagoon,2,6),X_Cell_Dairy_Stage1MMS_2_AnaerobicLagoon_AmountSeparated_Method1)</f>
        <v>8.8999999999999996E-2</v>
      </c>
      <c r="N235" s="53" t="str">
        <f>INDEX(X_Table_Dairy_ProductionSystems_Method1,4,1)</f>
        <v>Feed pad</v>
      </c>
      <c r="O235" s="53" t="str">
        <f>INDEX(X_Table_Dairy_Stage1MMS_2_AnaerobicLagoon,2,1)</f>
        <v>Anaerobic lagoon</v>
      </c>
      <c r="P235" s="53" cm="1">
        <f t="array" ref="P235">InputFunctions_Dairy.CalculateFractionInMMSAfterSolidSeparation(INDEX(X_Table_Dairy_ProductionSystems_Method2, 4, 2),INDEX(X_Table_Dairy_Stage1MMS_2_AnaerobicLagoon,2,2),X_Cell_Dairy_Stage1MMS_2_AnaerobicLagoon_AmountSeparated_Method2)</f>
        <v>8.8999999999999996E-2</v>
      </c>
      <c r="Q235" s="53" cm="1">
        <f t="array" ref="Q235">InputFunctions_Dairy.CalculateFractionInMMSAfterSolidSeparation(INDEX(X_Table_Dairy_ProductionSystems_Method2, 4, 3),INDEX(X_Table_Dairy_Stage1MMS_2_AnaerobicLagoon,2,3),X_Cell_Dairy_Stage1MMS_2_AnaerobicLagoon_AmountSeparated_Method2)</f>
        <v>8.8999999999999996E-2</v>
      </c>
      <c r="R235" s="53" cm="1">
        <f t="array" ref="R235">InputFunctions_Dairy.CalculateFractionInMMSAfterSolidSeparation(INDEX(X_Table_Dairy_ProductionSystems_Method2, 4, 4),INDEX(X_Table_Dairy_Stage1MMS_2_AnaerobicLagoon,2,4),X_Cell_Dairy_Stage1MMS_2_AnaerobicLagoon_AmountSeparated_Method2)</f>
        <v>8.8999999999999996E-2</v>
      </c>
      <c r="S235" s="53" cm="1">
        <f t="array" ref="S235">InputFunctions_Dairy.CalculateFractionInMMSAfterSolidSeparation(INDEX(X_Table_Dairy_ProductionSystems_Method2, 4, 5),INDEX(X_Table_Dairy_Stage1MMS_2_AnaerobicLagoon,2,5),X_Cell_Dairy_Stage1MMS_2_AnaerobicLagoon_AmountSeparated_Method2)</f>
        <v>8.8999999999999996E-2</v>
      </c>
      <c r="T235" s="53" cm="1">
        <f t="array" ref="T235">InputFunctions_Dairy.CalculateFractionInMMSAfterSolidSeparation(INDEX(X_Table_Dairy_ProductionSystems_Method2, 4, 6),INDEX(X_Table_Dairy_Stage1MMS_2_AnaerobicLagoon,2,6),X_Cell_Dairy_Stage1MMS_2_AnaerobicLagoon_AmountSeparated_Method2)</f>
        <v>8.8999999999999996E-2</v>
      </c>
    </row>
    <row r="236" spans="4:20" ht="20.100000000000001" customHeight="1" x14ac:dyDescent="0.2">
      <c r="D236" s="53" t="str">
        <f>INDEX(X_Table_Dairy_ProductionSystems_Method1,4,1)</f>
        <v>Feed pad</v>
      </c>
      <c r="E236" s="53" t="str">
        <f>INDEX(X_Table_Dairy_Stage1MMS_2_SumpAndDispersal,2,1)</f>
        <v>Sump and dispersal system</v>
      </c>
      <c r="F236" s="53" cm="1">
        <f t="array" ref="F236">InputFunctions_Dairy.CalculateFractionInMMSAfterSolidSeparation(INDEX(X_Table_Dairy_ProductionSystems_Method1, 4, 2),INDEX(X_Table_Dairy_Stage1MMS_2_SumpAndDispersal,2,2),X_Cell_Dairy_Stage1MMS_2_SumpAndDispersal_AmountSeparated_Method1)</f>
        <v>7.1199999999999999E-2</v>
      </c>
      <c r="G236" s="53" cm="1">
        <f t="array" ref="G236">InputFunctions_Dairy.CalculateFractionInMMSAfterSolidSeparation(INDEX(X_Table_Dairy_ProductionSystems_Method1, 4, 3),INDEX(X_Table_Dairy_Stage1MMS_2_SumpAndDispersal,2,3),X_Cell_Dairy_Stage1MMS_2_SumpAndDispersal_AmountSeparated_Method1)</f>
        <v>7.1199999999999999E-2</v>
      </c>
      <c r="H236" s="53" cm="1">
        <f t="array" ref="H236">InputFunctions_Dairy.CalculateFractionInMMSAfterSolidSeparation(INDEX(X_Table_Dairy_ProductionSystems_Method1, 4, 4),INDEX(X_Table_Dairy_Stage1MMS_2_SumpAndDispersal,2,4),X_Cell_Dairy_Stage1MMS_2_SumpAndDispersal_AmountSeparated_Method1)</f>
        <v>7.1199999999999999E-2</v>
      </c>
      <c r="I236" s="53" cm="1">
        <f t="array" ref="I236">InputFunctions_Dairy.CalculateFractionInMMSAfterSolidSeparation(INDEX(X_Table_Dairy_ProductionSystems_Method1, 4, 5),INDEX(X_Table_Dairy_Stage1MMS_2_SumpAndDispersal,2,5),X_Cell_Dairy_Stage1MMS_2_SumpAndDispersal_AmountSeparated_Method1)</f>
        <v>7.1199999999999999E-2</v>
      </c>
      <c r="J236" s="53" cm="1">
        <f t="array" ref="J236">InputFunctions_Dairy.CalculateFractionInMMSAfterSolidSeparation(INDEX(X_Table_Dairy_ProductionSystems_Method1, 4, 6),INDEX(X_Table_Dairy_Stage1MMS_2_SumpAndDispersal,2,6),X_Cell_Dairy_Stage1MMS_2_SumpAndDispersal_AmountSeparated_Method1)</f>
        <v>7.1199999999999999E-2</v>
      </c>
      <c r="N236" s="53" t="str">
        <f>INDEX(X_Table_Dairy_ProductionSystems_Method1,4,1)</f>
        <v>Feed pad</v>
      </c>
      <c r="O236" s="53" t="str">
        <f>INDEX(X_Table_Dairy_Stage1MMS_2_SumpAndDispersal,2,1)</f>
        <v>Sump and dispersal system</v>
      </c>
      <c r="P236" s="53" cm="1">
        <f t="array" ref="P236">InputFunctions_Dairy.CalculateFractionInMMSAfterSolidSeparation(INDEX(X_Table_Dairy_ProductionSystems_Method2, 4, 2),INDEX(X_Table_Dairy_Stage1MMS_2_SumpAndDispersal,2,2),X_Cell_Dairy_Stage1MMS_2_SumpAndDispersal_AmountSeparated_Method2)</f>
        <v>7.1199999999999999E-2</v>
      </c>
      <c r="Q236" s="53" cm="1">
        <f t="array" ref="Q236">InputFunctions_Dairy.CalculateFractionInMMSAfterSolidSeparation(INDEX(X_Table_Dairy_ProductionSystems_Method2, 4, 3),INDEX(X_Table_Dairy_Stage1MMS_2_SumpAndDispersal,2,3),X_Cell_Dairy_Stage1MMS_2_SumpAndDispersal_AmountSeparated_Method2)</f>
        <v>7.1199999999999999E-2</v>
      </c>
      <c r="R236" s="53" cm="1">
        <f t="array" ref="R236">InputFunctions_Dairy.CalculateFractionInMMSAfterSolidSeparation(INDEX(X_Table_Dairy_ProductionSystems_Method2, 4, 4),INDEX(X_Table_Dairy_Stage1MMS_2_SumpAndDispersal,2,4),X_Cell_Dairy_Stage1MMS_2_SumpAndDispersal_AmountSeparated_Method2)</f>
        <v>7.1199999999999999E-2</v>
      </c>
      <c r="S236" s="53" cm="1">
        <f t="array" ref="S236">InputFunctions_Dairy.CalculateFractionInMMSAfterSolidSeparation(INDEX(X_Table_Dairy_ProductionSystems_Method2, 4, 5),INDEX(X_Table_Dairy_Stage1MMS_2_SumpAndDispersal,2,5),X_Cell_Dairy_Stage1MMS_2_SumpAndDispersal_AmountSeparated_Method2)</f>
        <v>7.1199999999999999E-2</v>
      </c>
      <c r="T236" s="53" cm="1">
        <f t="array" ref="T236">InputFunctions_Dairy.CalculateFractionInMMSAfterSolidSeparation(INDEX(X_Table_Dairy_ProductionSystems_Method2, 4, 6),INDEX(X_Table_Dairy_Stage1MMS_2_SumpAndDispersal,2,6),X_Cell_Dairy_Stage1MMS_2_SumpAndDispersal_AmountSeparated_Method2)</f>
        <v>7.1199999999999999E-2</v>
      </c>
    </row>
    <row r="237" spans="4:20" ht="20.100000000000001" customHeight="1" x14ac:dyDescent="0.2">
      <c r="D237" s="53" t="str">
        <f>INDEX(X_Table_Dairy_ProductionSystems_Method1,4,1)</f>
        <v>Feed pad</v>
      </c>
      <c r="E237" s="53" t="str">
        <f>INDEX(X_Table_Dairy_Stage1MMS_2_DrainsToPaddock,2,1)</f>
        <v>Drains to paddock</v>
      </c>
      <c r="F237" s="53" cm="1">
        <f t="array" ref="F237">InputFunctions_Dairy.CalculateFractionInMMSAfterSolidSeparation(INDEX(X_Table_Dairy_ProductionSystems_Method1, 4, 2),INDEX(X_Table_Dairy_Stage1MMS_2_DrainsToPaddock,2,2),X_Cell_Dairy_Stage1MMS_2_DrainsToPaddock_AmountSeparated_Method1)</f>
        <v>7.1199999999999999E-2</v>
      </c>
      <c r="G237" s="53" cm="1">
        <f t="array" ref="G237">InputFunctions_Dairy.CalculateFractionInMMSAfterSolidSeparation(INDEX(X_Table_Dairy_ProductionSystems_Method1, 4, 3),INDEX(X_Table_Dairy_Stage1MMS_2_DrainsToPaddock,2,3),X_Cell_Dairy_Stage1MMS_2_DrainsToPaddock_AmountSeparated_Method1)</f>
        <v>7.1199999999999999E-2</v>
      </c>
      <c r="H237" s="53" cm="1">
        <f t="array" ref="H237">InputFunctions_Dairy.CalculateFractionInMMSAfterSolidSeparation(INDEX(X_Table_Dairy_ProductionSystems_Method1, 4, 4),INDEX(X_Table_Dairy_Stage1MMS_2_DrainsToPaddock,2,4),X_Cell_Dairy_Stage1MMS_2_DrainsToPaddock_AmountSeparated_Method1)</f>
        <v>7.1199999999999999E-2</v>
      </c>
      <c r="I237" s="53" cm="1">
        <f t="array" ref="I237">InputFunctions_Dairy.CalculateFractionInMMSAfterSolidSeparation(INDEX(X_Table_Dairy_ProductionSystems_Method1, 4, 5),INDEX(X_Table_Dairy_Stage1MMS_2_DrainsToPaddock,2,5),X_Cell_Dairy_Stage1MMS_2_DrainsToPaddock_AmountSeparated_Method1)</f>
        <v>7.1199999999999999E-2</v>
      </c>
      <c r="J237" s="53" cm="1">
        <f t="array" ref="J237">InputFunctions_Dairy.CalculateFractionInMMSAfterSolidSeparation(INDEX(X_Table_Dairy_ProductionSystems_Method1, 4, 6),INDEX(X_Table_Dairy_Stage1MMS_2_DrainsToPaddock,2,6),X_Cell_Dairy_Stage1MMS_2_DrainsToPaddock_AmountSeparated_Method1)</f>
        <v>7.1199999999999999E-2</v>
      </c>
      <c r="N237" s="53" t="str">
        <f>INDEX(X_Table_Dairy_ProductionSystems_Method1,4,1)</f>
        <v>Feed pad</v>
      </c>
      <c r="O237" s="53" t="str">
        <f>INDEX(X_Table_Dairy_Stage1MMS_2_DrainsToPaddock,2,1)</f>
        <v>Drains to paddock</v>
      </c>
      <c r="P237" s="53" cm="1">
        <f t="array" ref="P237">InputFunctions_Dairy.CalculateFractionInMMSAfterSolidSeparation(INDEX(X_Table_Dairy_ProductionSystems_Method2, 4, 2),INDEX(X_Table_Dairy_Stage1MMS_2_DrainsToPaddock,2,2),X_Cell_Dairy_Stage1MMS_2_DrainsToPaddock_AmountSeparated_Method2)</f>
        <v>7.1199999999999999E-2</v>
      </c>
      <c r="Q237" s="53" cm="1">
        <f t="array" ref="Q237">InputFunctions_Dairy.CalculateFractionInMMSAfterSolidSeparation(INDEX(X_Table_Dairy_ProductionSystems_Method2, 4, 3),INDEX(X_Table_Dairy_Stage1MMS_2_DrainsToPaddock,2,3),X_Cell_Dairy_Stage1MMS_2_DrainsToPaddock_AmountSeparated_Method2)</f>
        <v>7.1199999999999999E-2</v>
      </c>
      <c r="R237" s="53" cm="1">
        <f t="array" ref="R237">InputFunctions_Dairy.CalculateFractionInMMSAfterSolidSeparation(INDEX(X_Table_Dairy_ProductionSystems_Method2, 4, 4),INDEX(X_Table_Dairy_Stage1MMS_2_DrainsToPaddock,2,4),X_Cell_Dairy_Stage1MMS_2_DrainsToPaddock_AmountSeparated_Method2)</f>
        <v>7.1199999999999999E-2</v>
      </c>
      <c r="S237" s="53" cm="1">
        <f t="array" ref="S237">InputFunctions_Dairy.CalculateFractionInMMSAfterSolidSeparation(INDEX(X_Table_Dairy_ProductionSystems_Method2, 4, 5),INDEX(X_Table_Dairy_Stage1MMS_2_DrainsToPaddock,2,5),X_Cell_Dairy_Stage1MMS_2_DrainsToPaddock_AmountSeparated_Method2)</f>
        <v>7.1199999999999999E-2</v>
      </c>
      <c r="T237" s="53" cm="1">
        <f t="array" ref="T237">InputFunctions_Dairy.CalculateFractionInMMSAfterSolidSeparation(INDEX(X_Table_Dairy_ProductionSystems_Method2, 4, 6),INDEX(X_Table_Dairy_Stage1MMS_2_DrainsToPaddock,2,6),X_Cell_Dairy_Stage1MMS_2_DrainsToPaddock_AmountSeparated_Method2)</f>
        <v>7.1199999999999999E-2</v>
      </c>
    </row>
    <row r="238" spans="4:20" ht="20.100000000000001" customHeight="1" x14ac:dyDescent="0.2">
      <c r="D238" s="53" t="str">
        <f>INDEX(X_Table_Dairy_ProductionSystems_Method1,4,1)</f>
        <v>Feed pad</v>
      </c>
      <c r="E238" s="53" t="s">
        <v>400</v>
      </c>
      <c r="F238" s="53" cm="1">
        <f t="array" ref="F238">InputFunctions_Dairy.CalculateFractionInSolidStorage(
INDEX(X_Table_Dairy_ProductionSystems_Method1, 4, 2),
INDEX(X_Table_Dairy_Stage1MMS_2_SolidStorage,2,2),
INDEX(X_Table_Dairy_Stage1MMS_2_AnaerobicLagoon,2,2),
X_Cell_Dairy_Stage1MMS_2_AnaerobicLagoon_AmountSeparated_Method1,
INDEX(X_Table_Dairy_Stage1MMS_2_SumpAndDispersal,2,2),
X_Cell_Dairy_Stage1MMS_2_SumpAndDispersal_AmountSeparated_Method1,
INDEX(X_Table_Dairy_Stage1MMS_2_DrainsToPaddock,2,2),
X_Cell_Dairy_Stage1MMS_2_DrainsToPaddock_AmountSeparated_Method1)</f>
        <v>0.12459999999999999</v>
      </c>
      <c r="G238" s="53" cm="1">
        <f t="array" ref="G238">InputFunctions_Dairy.CalculateFractionInSolidStorage(
INDEX(X_Table_Dairy_ProductionSystems_Method1, 4, 3),
INDEX(X_Table_Dairy_Stage1MMS_2_SolidStorage,2,3),
INDEX(X_Table_Dairy_Stage1MMS_2_AnaerobicLagoon,2,3),
X_Cell_Dairy_Stage1MMS_2_AnaerobicLagoon_AmountSeparated_Method1,
INDEX(X_Table_Dairy_Stage1MMS_2_SumpAndDispersal,2,3),
X_Cell_Dairy_Stage1MMS_2_SumpAndDispersal_AmountSeparated_Method1,
INDEX(X_Table_Dairy_Stage1MMS_2_DrainsToPaddock,2,3),
X_Cell_Dairy_Stage1MMS_2_DrainsToPaddock_AmountSeparated_Method1)</f>
        <v>0.12459999999999999</v>
      </c>
      <c r="H238" s="53" cm="1">
        <f t="array" ref="H238">InputFunctions_Dairy.CalculateFractionInSolidStorage(
INDEX(X_Table_Dairy_ProductionSystems_Method1, 4, 4),
INDEX(X_Table_Dairy_Stage1MMS_2_SolidStorage,2,4),
INDEX(X_Table_Dairy_Stage1MMS_2_AnaerobicLagoon,2,4),
X_Cell_Dairy_Stage1MMS_2_AnaerobicLagoon_AmountSeparated_Method1,
INDEX(X_Table_Dairy_Stage1MMS_2_SumpAndDispersal,2,4),
X_Cell_Dairy_Stage1MMS_2_SumpAndDispersal_AmountSeparated_Method1,
INDEX(X_Table_Dairy_Stage1MMS_2_DrainsToPaddock,2,4),
X_Cell_Dairy_Stage1MMS_2_DrainsToPaddock_AmountSeparated_Method1)</f>
        <v>0.12459999999999999</v>
      </c>
      <c r="I238" s="53" cm="1">
        <f t="array" ref="I238">InputFunctions_Dairy.CalculateFractionInSolidStorage(
INDEX(X_Table_Dairy_ProductionSystems_Method1, 4, 5),
INDEX(X_Table_Dairy_Stage1MMS_2_SolidStorage,2,5),
INDEX(X_Table_Dairy_Stage1MMS_2_AnaerobicLagoon,2,5),
X_Cell_Dairy_Stage1MMS_2_AnaerobicLagoon_AmountSeparated_Method1,
INDEX(X_Table_Dairy_Stage1MMS_2_SumpAndDispersal,2,5),
X_Cell_Dairy_Stage1MMS_2_SumpAndDispersal_AmountSeparated_Method1,
INDEX(X_Table_Dairy_Stage1MMS_2_DrainsToPaddock,2,5),
X_Cell_Dairy_Stage1MMS_2_DrainsToPaddock_AmountSeparated_Method1)</f>
        <v>0.12459999999999999</v>
      </c>
      <c r="J238" s="53" cm="1">
        <f t="array" ref="J238">InputFunctions_Dairy.CalculateFractionInSolidStorage(
INDEX(X_Table_Dairy_ProductionSystems_Method1, 4, 6),
INDEX(X_Table_Dairy_Stage1MMS_2_SolidStorage,2,6),
INDEX(X_Table_Dairy_Stage1MMS_2_AnaerobicLagoon,2,6),
X_Cell_Dairy_Stage1MMS_2_AnaerobicLagoon_AmountSeparated_Method1,
INDEX(X_Table_Dairy_Stage1MMS_2_SumpAndDispersal,2,6),
X_Cell_Dairy_Stage1MMS_2_SumpAndDispersal_AmountSeparated_Method1,
INDEX(X_Table_Dairy_Stage1MMS_2_DrainsToPaddock,2,6),
X_Cell_Dairy_Stage1MMS_2_DrainsToPaddock_AmountSeparated_Method1)</f>
        <v>0.12459999999999999</v>
      </c>
      <c r="N238" s="53" t="str">
        <f>INDEX(X_Table_Dairy_ProductionSystems_Method1,4,1)</f>
        <v>Feed pad</v>
      </c>
      <c r="O238" s="53" t="str">
        <f>INDEX(X_Table_Dairy_Stage1MMS_2_SolidStorage,2,1)</f>
        <v>Solid storage (before solid separation)</v>
      </c>
      <c r="P238" s="53" cm="1">
        <f t="array" ref="P238">InputFunctions_Dairy.CalculateFractionInSolidStorage(
INDEX(X_Table_Dairy_ProductionSystems_Method2, 4, 2),
INDEX(X_Table_Dairy_Stage1MMS_2_SolidStorage,2,2),
INDEX(X_Table_Dairy_Stage1MMS_2_AnaerobicLagoon,2,2),
X_Cell_Dairy_Stage1MMS_2_AnaerobicLagoon_AmountSeparated_Method2,
INDEX(X_Table_Dairy_Stage1MMS_2_SumpAndDispersal,2,2),
X_Cell_Dairy_Stage1MMS_2_SumpAndDispersal_AmountSeparated_Method2,
INDEX(X_Table_Dairy_Stage1MMS_2_DrainsToPaddock,2,2),
X_Cell_Dairy_Stage1MMS_2_DrainsToPaddock_AmountSeparated_Method2)</f>
        <v>0.12459999999999999</v>
      </c>
      <c r="Q238" s="53" cm="1">
        <f t="array" ref="Q238">InputFunctions_Dairy.CalculateFractionInSolidStorage(
INDEX(X_Table_Dairy_ProductionSystems_Method2, 4, 3),
INDEX(X_Table_Dairy_Stage1MMS_2_SolidStorage,2,3),
INDEX(X_Table_Dairy_Stage1MMS_2_AnaerobicLagoon,2,3),
X_Cell_Dairy_Stage1MMS_2_AnaerobicLagoon_AmountSeparated_Method2,
INDEX(X_Table_Dairy_Stage1MMS_2_SumpAndDispersal,2,3),
X_Cell_Dairy_Stage1MMS_2_SumpAndDispersal_AmountSeparated_Method2,
INDEX(X_Table_Dairy_Stage1MMS_2_DrainsToPaddock,2,3),
X_Cell_Dairy_Stage1MMS_2_DrainsToPaddock_AmountSeparated_Method2)</f>
        <v>0.12459999999999999</v>
      </c>
      <c r="R238" s="53" cm="1">
        <f t="array" ref="R238">InputFunctions_Dairy.CalculateFractionInSolidStorage(
INDEX(X_Table_Dairy_ProductionSystems_Method2, 4, 4),
INDEX(X_Table_Dairy_Stage1MMS_2_SolidStorage,2,4),
INDEX(X_Table_Dairy_Stage1MMS_2_AnaerobicLagoon,2,4),
X_Cell_Dairy_Stage1MMS_2_AnaerobicLagoon_AmountSeparated_Method2,
INDEX(X_Table_Dairy_Stage1MMS_2_SumpAndDispersal,2,4),
X_Cell_Dairy_Stage1MMS_2_SumpAndDispersal_AmountSeparated_Method2,
INDEX(X_Table_Dairy_Stage1MMS_2_DrainsToPaddock,2,4),
X_Cell_Dairy_Stage1MMS_2_DrainsToPaddock_AmountSeparated_Method2)</f>
        <v>0.12459999999999999</v>
      </c>
      <c r="S238" s="53" cm="1">
        <f t="array" ref="S238">InputFunctions_Dairy.CalculateFractionInSolidStorage(
INDEX(X_Table_Dairy_ProductionSystems_Method2, 4, 5),
INDEX(X_Table_Dairy_Stage1MMS_2_SolidStorage,2,5),
INDEX(X_Table_Dairy_Stage1MMS_2_AnaerobicLagoon,2,5),
X_Cell_Dairy_Stage1MMS_2_AnaerobicLagoon_AmountSeparated_Method2,
INDEX(X_Table_Dairy_Stage1MMS_2_SumpAndDispersal,2,5),
X_Cell_Dairy_Stage1MMS_2_SumpAndDispersal_AmountSeparated_Method2,
INDEX(X_Table_Dairy_Stage1MMS_2_DrainsToPaddock,2,5),
X_Cell_Dairy_Stage1MMS_2_DrainsToPaddock_AmountSeparated_Method2)</f>
        <v>0.12459999999999999</v>
      </c>
      <c r="T238" s="53" cm="1">
        <f t="array" ref="T238">InputFunctions_Dairy.CalculateFractionInSolidStorage(
INDEX(X_Table_Dairy_ProductionSystems_Method2, 4, 6),
INDEX(X_Table_Dairy_Stage1MMS_2_SolidStorage,2,6),
INDEX(X_Table_Dairy_Stage1MMS_2_AnaerobicLagoon,2,6),
X_Cell_Dairy_Stage1MMS_2_AnaerobicLagoon_AmountSeparated_Method2,
INDEX(X_Table_Dairy_Stage1MMS_2_SumpAndDispersal,2,6),
X_Cell_Dairy_Stage1MMS_2_SumpAndDispersal_AmountSeparated_Method2,
INDEX(X_Table_Dairy_Stage1MMS_2_DrainsToPaddock,2,6),
X_Cell_Dairy_Stage1MMS_2_DrainsToPaddock_AmountSeparated_Method2)</f>
        <v>0.12459999999999999</v>
      </c>
    </row>
    <row r="239" spans="4:20" ht="20.100000000000001" customHeight="1" x14ac:dyDescent="0.2">
      <c r="Q239" s="127"/>
    </row>
    <row r="240" spans="4:20" ht="20.100000000000001" customHeight="1" x14ac:dyDescent="0.2">
      <c r="D240" s="100" t="s">
        <v>303</v>
      </c>
      <c r="N240" s="100" t="s">
        <v>306</v>
      </c>
    </row>
    <row r="241" spans="1:21" ht="20.100000000000001" customHeight="1" x14ac:dyDescent="0.2">
      <c r="D241" s="99" t="s">
        <v>304</v>
      </c>
      <c r="N241" s="99" t="s">
        <v>305</v>
      </c>
    </row>
    <row r="242" spans="1:21" ht="20.100000000000001" customHeight="1" x14ac:dyDescent="0.2">
      <c r="D242" s="52" t="s">
        <v>142</v>
      </c>
      <c r="E242" s="52" t="s">
        <v>66</v>
      </c>
      <c r="F242" s="52" t="s">
        <v>167</v>
      </c>
      <c r="G242" s="52" t="s">
        <v>184</v>
      </c>
      <c r="H242" s="52" t="s">
        <v>185</v>
      </c>
      <c r="I242" s="52" t="s">
        <v>186</v>
      </c>
      <c r="J242" s="52" t="s">
        <v>187</v>
      </c>
      <c r="N242" s="52" t="s">
        <v>142</v>
      </c>
      <c r="O242" s="52" t="s">
        <v>66</v>
      </c>
      <c r="P242" s="52" t="s">
        <v>167</v>
      </c>
      <c r="Q242" s="52" t="s">
        <v>184</v>
      </c>
      <c r="R242" s="52" t="s">
        <v>185</v>
      </c>
      <c r="S242" s="52" t="s">
        <v>186</v>
      </c>
      <c r="T242" s="52" t="s">
        <v>187</v>
      </c>
    </row>
    <row r="243" spans="1:21" ht="20.100000000000001" customHeight="1" x14ac:dyDescent="0.2">
      <c r="D243" s="53" t="str">
        <f>INDEX(X_Table_Dairy_ProductionSystems_Method1,3,1)</f>
        <v>Milking shed</v>
      </c>
      <c r="E243" s="53" t="str">
        <f>INDEX(X_Table_Dairy_Stage1MMS_1_AnaerobicLagoon,2,1)</f>
        <v>Anaerobic lagoon</v>
      </c>
      <c r="F243" s="53" cm="1">
        <f t="array" ref="F243">MMS_Dairy_N2ODirect_Equations.VEERG_4_3_1_3__2_TotalNitrogenInEachMMS(D$176+D$213,F231)</f>
        <v>399.24605684746678</v>
      </c>
      <c r="G243" s="53" cm="1">
        <f t="array" ref="G243">MMS_Dairy_N2ODirect_Equations.VEERG_4_3_1_3__2_TotalNitrogenInEachMMS(E$176+E$213,G231)</f>
        <v>182.35790267782079</v>
      </c>
      <c r="H243" s="53" cm="1">
        <f t="array" ref="H243">MMS_Dairy_N2ODirect_Equations.VEERG_4_3_1_3__2_TotalNitrogenInEachMMS(F$176+F$213,H231)</f>
        <v>72.631224123843424</v>
      </c>
      <c r="I243" s="53" cm="1">
        <f t="array" ref="I243">MMS_Dairy_N2ODirect_Equations.VEERG_4_3_1_3__2_TotalNitrogenInEachMMS(G$176+G$213,I231)</f>
        <v>229.23109573986844</v>
      </c>
      <c r="J243" s="53" cm="1">
        <f t="array" ref="J243">MMS_Dairy_N2ODirect_Equations.VEERG_4_3_1_3__2_TotalNitrogenInEachMMS(H$176+H$213,J231)</f>
        <v>95.962857079055411</v>
      </c>
      <c r="N243" s="53" t="str">
        <f>INDEX(X_Table_Dairy_ProductionSystems_Method1,3,1)</f>
        <v>Milking shed</v>
      </c>
      <c r="O243" s="53" t="str">
        <f>INDEX(X_Table_Dairy_Stage1MMS_1_AnaerobicLagoon,2,1)</f>
        <v>Anaerobic lagoon</v>
      </c>
      <c r="P243" s="53" cm="1">
        <f t="array" ref="P243">MMS_Dairy_N2ODirect_Equations.VEERG_4_3_1_3__2_TotalNitrogenInEachMMS(N$176+N$213,P231)</f>
        <v>399.24605684746678</v>
      </c>
      <c r="Q243" s="53" cm="1">
        <f t="array" ref="Q243">MMS_Dairy_N2ODirect_Equations.VEERG_4_3_1_3__2_TotalNitrogenInEachMMS(O$176+O$213,Q231)</f>
        <v>182.35790267782079</v>
      </c>
      <c r="R243" s="53" cm="1">
        <f t="array" ref="R243">MMS_Dairy_N2ODirect_Equations.VEERG_4_3_1_3__2_TotalNitrogenInEachMMS(P$176+P$213,R231)</f>
        <v>72.631224123843424</v>
      </c>
      <c r="S243" s="53" cm="1">
        <f t="array" ref="S243">MMS_Dairy_N2ODirect_Equations.VEERG_4_3_1_3__2_TotalNitrogenInEachMMS(Q$176+Q$213,S231)</f>
        <v>229.23109573986844</v>
      </c>
      <c r="T243" s="53" cm="1">
        <f t="array" ref="T243">MMS_Dairy_N2ODirect_Equations.VEERG_4_3_1_3__2_TotalNitrogenInEachMMS(R$176+R$213,T231)</f>
        <v>95.962857079055411</v>
      </c>
    </row>
    <row r="244" spans="1:21" ht="20.100000000000001" customHeight="1" x14ac:dyDescent="0.2">
      <c r="D244" s="53" t="str">
        <f>INDEX(X_Table_Dairy_ProductionSystems_Method1,3,1)</f>
        <v>Milking shed</v>
      </c>
      <c r="E244" s="53" t="str">
        <f>INDEX(X_Table_Dairy_Stage1MMS_1_SumpAndDispersal,2,1)</f>
        <v>Sump and dispersal system</v>
      </c>
      <c r="F244" s="53" cm="1">
        <f t="array" ref="F244">MMS_Dairy_N2ODirect_Equations.VEERG_4_3_1_3__2_TotalNitrogenInEachMMS(D$176+D$213,F232)</f>
        <v>399.24605684746678</v>
      </c>
      <c r="G244" s="53" cm="1">
        <f t="array" ref="G244">MMS_Dairy_N2ODirect_Equations.VEERG_4_3_1_3__2_TotalNitrogenInEachMMS(E$176+E$213,G232)</f>
        <v>182.35790267782079</v>
      </c>
      <c r="H244" s="53" cm="1">
        <f t="array" ref="H244">MMS_Dairy_N2ODirect_Equations.VEERG_4_3_1_3__2_TotalNitrogenInEachMMS(F$176+F$213,H232)</f>
        <v>72.631224123843424</v>
      </c>
      <c r="I244" s="53" cm="1">
        <f t="array" ref="I244">MMS_Dairy_N2ODirect_Equations.VEERG_4_3_1_3__2_TotalNitrogenInEachMMS(G$176+G$213,I232)</f>
        <v>229.23109573986844</v>
      </c>
      <c r="J244" s="53" cm="1">
        <f t="array" ref="J244">MMS_Dairy_N2ODirect_Equations.VEERG_4_3_1_3__2_TotalNitrogenInEachMMS(H$176+H$213,J232)</f>
        <v>95.962857079055411</v>
      </c>
      <c r="N244" s="53" t="str">
        <f>INDEX(X_Table_Dairy_ProductionSystems_Method1,3,1)</f>
        <v>Milking shed</v>
      </c>
      <c r="O244" s="53" t="str">
        <f>INDEX(X_Table_Dairy_Stage1MMS_1_SumpAndDispersal,2,1)</f>
        <v>Sump and dispersal system</v>
      </c>
      <c r="P244" s="53" cm="1">
        <f t="array" ref="P244">MMS_Dairy_N2ODirect_Equations.VEERG_4_3_1_3__2_TotalNitrogenInEachMMS(N$176+N$213,P232)</f>
        <v>399.24605684746678</v>
      </c>
      <c r="Q244" s="53" cm="1">
        <f t="array" ref="Q244">MMS_Dairy_N2ODirect_Equations.VEERG_4_3_1_3__2_TotalNitrogenInEachMMS(O$176+O$213,Q232)</f>
        <v>182.35790267782079</v>
      </c>
      <c r="R244" s="53" cm="1">
        <f t="array" ref="R244">MMS_Dairy_N2ODirect_Equations.VEERG_4_3_1_3__2_TotalNitrogenInEachMMS(P$176+P$213,R232)</f>
        <v>72.631224123843424</v>
      </c>
      <c r="S244" s="53" cm="1">
        <f t="array" ref="S244">MMS_Dairy_N2ODirect_Equations.VEERG_4_3_1_3__2_TotalNitrogenInEachMMS(Q$176+Q$213,S232)</f>
        <v>229.23109573986844</v>
      </c>
      <c r="T244" s="53" cm="1">
        <f t="array" ref="T244">MMS_Dairy_N2ODirect_Equations.VEERG_4_3_1_3__2_TotalNitrogenInEachMMS(R$176+R$213,T232)</f>
        <v>95.962857079055411</v>
      </c>
    </row>
    <row r="245" spans="1:21" ht="20.100000000000001" customHeight="1" x14ac:dyDescent="0.2">
      <c r="A245" s="137" t="str">
        <f>HYPERLINK("#A1", "▲ Back to top")</f>
        <v>▲ Back to top</v>
      </c>
      <c r="D245" s="53" t="str">
        <f>INDEX(X_Table_Dairy_ProductionSystems_Method1,3,1)</f>
        <v>Milking shed</v>
      </c>
      <c r="E245" s="53" t="str">
        <f>INDEX(X_Table_Dairy_Stage1MMS_1_DrainsToPaddock,2,1)</f>
        <v>Drains to paddock</v>
      </c>
      <c r="F245" s="53" cm="1">
        <f t="array" ref="F245">MMS_Dairy_N2ODirect_Equations.VEERG_4_3_1_3__2_TotalNitrogenInEachMMS(D$176+D$213,F233)</f>
        <v>399.24605684746678</v>
      </c>
      <c r="G245" s="53" cm="1">
        <f t="array" ref="G245">MMS_Dairy_N2ODirect_Equations.VEERG_4_3_1_3__2_TotalNitrogenInEachMMS(E$176+E$213,G233)</f>
        <v>182.35790267782079</v>
      </c>
      <c r="H245" s="53" cm="1">
        <f t="array" ref="H245">MMS_Dairy_N2ODirect_Equations.VEERG_4_3_1_3__2_TotalNitrogenInEachMMS(F$176+F$213,H233)</f>
        <v>72.631224123843424</v>
      </c>
      <c r="I245" s="53" cm="1">
        <f t="array" ref="I245">MMS_Dairy_N2ODirect_Equations.VEERG_4_3_1_3__2_TotalNitrogenInEachMMS(G$176+G$213,I233)</f>
        <v>229.23109573986844</v>
      </c>
      <c r="J245" s="53" cm="1">
        <f t="array" ref="J245">MMS_Dairy_N2ODirect_Equations.VEERG_4_3_1_3__2_TotalNitrogenInEachMMS(H$176+H$213,J233)</f>
        <v>95.962857079055411</v>
      </c>
      <c r="N245" s="53" t="str">
        <f>INDEX(X_Table_Dairy_ProductionSystems_Method1,3,1)</f>
        <v>Milking shed</v>
      </c>
      <c r="O245" s="53" t="str">
        <f>INDEX(X_Table_Dairy_Stage1MMS_1_DrainsToPaddock,2,1)</f>
        <v>Drains to paddock</v>
      </c>
      <c r="P245" s="53" cm="1">
        <f t="array" ref="P245">MMS_Dairy_N2ODirect_Equations.VEERG_4_3_1_3__2_TotalNitrogenInEachMMS(N$176+N$213,P233)</f>
        <v>399.24605684746678</v>
      </c>
      <c r="Q245" s="53" cm="1">
        <f t="array" ref="Q245">MMS_Dairy_N2ODirect_Equations.VEERG_4_3_1_3__2_TotalNitrogenInEachMMS(O$176+O$213,Q233)</f>
        <v>182.35790267782079</v>
      </c>
      <c r="R245" s="53" cm="1">
        <f t="array" ref="R245">MMS_Dairy_N2ODirect_Equations.VEERG_4_3_1_3__2_TotalNitrogenInEachMMS(P$176+P$213,R233)</f>
        <v>72.631224123843424</v>
      </c>
      <c r="S245" s="53" cm="1">
        <f t="array" ref="S245">MMS_Dairy_N2ODirect_Equations.VEERG_4_3_1_3__2_TotalNitrogenInEachMMS(Q$176+Q$213,S233)</f>
        <v>229.23109573986844</v>
      </c>
      <c r="T245" s="53" cm="1">
        <f t="array" ref="T245">MMS_Dairy_N2ODirect_Equations.VEERG_4_3_1_3__2_TotalNitrogenInEachMMS(R$176+R$213,T233)</f>
        <v>95.962857079055411</v>
      </c>
    </row>
    <row r="246" spans="1:21" ht="20.100000000000001" customHeight="1" x14ac:dyDescent="0.2">
      <c r="D246" s="53" t="str">
        <f>INDEX(X_Table_Dairy_ProductionSystems_Method1,3,1)</f>
        <v>Milking shed</v>
      </c>
      <c r="E246" s="53" t="s">
        <v>400</v>
      </c>
      <c r="F246" s="53" cm="1">
        <f t="array" ref="F246">MMS_Dairy_N2ODirect_Equations.VEERG_4_3_1_3__2_TotalNitrogenInEachMMS(D$176+D$213,F234)</f>
        <v>798.49211369493332</v>
      </c>
      <c r="G246" s="53" cm="1">
        <f t="array" ref="G246">MMS_Dairy_N2ODirect_Equations.VEERG_4_3_1_3__2_TotalNitrogenInEachMMS(E$176+E$213,G234)</f>
        <v>364.71580535564152</v>
      </c>
      <c r="H246" s="53" cm="1">
        <f t="array" ref="H246">MMS_Dairy_N2ODirect_Equations.VEERG_4_3_1_3__2_TotalNitrogenInEachMMS(F$176+F$213,H234)</f>
        <v>145.26244824768682</v>
      </c>
      <c r="I246" s="53" cm="1">
        <f t="array" ref="I246">MMS_Dairy_N2ODirect_Equations.VEERG_4_3_1_3__2_TotalNitrogenInEachMMS(G$176+G$213,I234)</f>
        <v>458.46219147973682</v>
      </c>
      <c r="J246" s="53" cm="1">
        <f t="array" ref="J246">MMS_Dairy_N2ODirect_Equations.VEERG_4_3_1_3__2_TotalNitrogenInEachMMS(H$176+H$213,J234)</f>
        <v>191.92571415811079</v>
      </c>
      <c r="N246" s="53" t="str">
        <f>INDEX(X_Table_Dairy_ProductionSystems_Method1,3,1)</f>
        <v>Milking shed</v>
      </c>
      <c r="O246" s="53" t="s">
        <v>400</v>
      </c>
      <c r="P246" s="53" cm="1">
        <f t="array" ref="P246">MMS_Dairy_N2ODirect_Equations.VEERG_4_3_1_3__2_TotalNitrogenInEachMMS(N$176+N$213,P234)</f>
        <v>798.49211369493332</v>
      </c>
      <c r="Q246" s="53" cm="1">
        <f t="array" ref="Q246">MMS_Dairy_N2ODirect_Equations.VEERG_4_3_1_3__2_TotalNitrogenInEachMMS(O$176+O$213,Q234)</f>
        <v>364.71580535564152</v>
      </c>
      <c r="R246" s="53" cm="1">
        <f t="array" ref="R246">MMS_Dairy_N2ODirect_Equations.VEERG_4_3_1_3__2_TotalNitrogenInEachMMS(P$176+P$213,R234)</f>
        <v>145.26244824768682</v>
      </c>
      <c r="S246" s="53" cm="1">
        <f t="array" ref="S246">MMS_Dairy_N2ODirect_Equations.VEERG_4_3_1_3__2_TotalNitrogenInEachMMS(Q$176+Q$213,S234)</f>
        <v>458.46219147973682</v>
      </c>
      <c r="T246" s="53" cm="1">
        <f t="array" ref="T246">MMS_Dairy_N2ODirect_Equations.VEERG_4_3_1_3__2_TotalNitrogenInEachMMS(R$176+R$213,T234)</f>
        <v>191.92571415811079</v>
      </c>
    </row>
    <row r="247" spans="1:21" ht="20.100000000000001" customHeight="1" x14ac:dyDescent="0.2">
      <c r="D247" s="53" t="str">
        <f>INDEX(X_Table_Dairy_ProductionSystems_Method1,4,1)</f>
        <v>Feed pad</v>
      </c>
      <c r="E247" s="53" t="str">
        <f>INDEX(X_Table_Dairy_Stage1MMS_2_AnaerobicLagoon,2,1)</f>
        <v>Anaerobic lagoon</v>
      </c>
      <c r="F247" s="53" cm="1">
        <f t="array" ref="F247">MMS_Dairy_N2ODirect_Equations.VEERG_4_3_1_3__2_TotalNitrogenInEachMMS(D$176+D$213,F235)</f>
        <v>1615.131775428388</v>
      </c>
      <c r="G247" s="53" cm="1">
        <f t="array" ref="G247">MMS_Dairy_N2ODirect_Equations.VEERG_4_3_1_3__2_TotalNitrogenInEachMMS(E$176+E$213,G235)</f>
        <v>737.72060628754764</v>
      </c>
      <c r="H247" s="53" cm="1">
        <f t="array" ref="H247">MMS_Dairy_N2ODirect_Equations.VEERG_4_3_1_3__2_TotalNitrogenInEachMMS(F$176+F$213,H235)</f>
        <v>293.82631577373019</v>
      </c>
      <c r="I247" s="53" cm="1">
        <f t="array" ref="I247">MMS_Dairy_N2ODirect_Equations.VEERG_4_3_1_3__2_TotalNitrogenInEachMMS(G$176+G$213,I235)</f>
        <v>927.34397822037681</v>
      </c>
      <c r="J247" s="53" cm="1">
        <f t="array" ref="J247">MMS_Dairy_N2ODirect_Equations.VEERG_4_3_1_3__2_TotalNitrogenInEachMMS(H$176+H$213,J235)</f>
        <v>388.21337636526954</v>
      </c>
      <c r="N247" s="53" t="str">
        <f>INDEX(X_Table_Dairy_ProductionSystems_Method1,4,1)</f>
        <v>Feed pad</v>
      </c>
      <c r="O247" s="53" t="str">
        <f>INDEX(X_Table_Dairy_Stage1MMS_2_AnaerobicLagoon,2,1)</f>
        <v>Anaerobic lagoon</v>
      </c>
      <c r="P247" s="53" cm="1">
        <f t="array" ref="P247">MMS_Dairy_N2ODirect_Equations.VEERG_4_3_1_3__2_TotalNitrogenInEachMMS(N$176+N$213,P235)</f>
        <v>1615.131775428388</v>
      </c>
      <c r="Q247" s="53" cm="1">
        <f t="array" ref="Q247">MMS_Dairy_N2ODirect_Equations.VEERG_4_3_1_3__2_TotalNitrogenInEachMMS(O$176+O$213,Q235)</f>
        <v>737.72060628754764</v>
      </c>
      <c r="R247" s="53" cm="1">
        <f t="array" ref="R247">MMS_Dairy_N2ODirect_Equations.VEERG_4_3_1_3__2_TotalNitrogenInEachMMS(P$176+P$213,R235)</f>
        <v>293.82631577373019</v>
      </c>
      <c r="S247" s="53" cm="1">
        <f t="array" ref="S247">MMS_Dairy_N2ODirect_Equations.VEERG_4_3_1_3__2_TotalNitrogenInEachMMS(Q$176+Q$213,S235)</f>
        <v>927.34397822037681</v>
      </c>
      <c r="T247" s="53" cm="1">
        <f t="array" ref="T247">MMS_Dairy_N2ODirect_Equations.VEERG_4_3_1_3__2_TotalNitrogenInEachMMS(R$176+R$213,T235)</f>
        <v>388.21337636526954</v>
      </c>
    </row>
    <row r="248" spans="1:21" ht="20.100000000000001" customHeight="1" x14ac:dyDescent="0.2">
      <c r="D248" s="53" t="str">
        <f>INDEX(X_Table_Dairy_ProductionSystems_Method1,4,1)</f>
        <v>Feed pad</v>
      </c>
      <c r="E248" s="53" t="str">
        <f>INDEX(X_Table_Dairy_Stage1MMS_2_SumpAndDispersal,2,1)</f>
        <v>Sump and dispersal system</v>
      </c>
      <c r="F248" s="53" cm="1">
        <f t="array" ref="F248">MMS_Dairy_N2ODirect_Equations.VEERG_4_3_1_3__2_TotalNitrogenInEachMMS(D$176+D$213,F236)</f>
        <v>1292.1054203427104</v>
      </c>
      <c r="G248" s="53" cm="1">
        <f t="array" ref="G248">MMS_Dairy_N2ODirect_Equations.VEERG_4_3_1_3__2_TotalNitrogenInEachMMS(E$176+E$213,G236)</f>
        <v>590.17648503003818</v>
      </c>
      <c r="H248" s="53" cm="1">
        <f t="array" ref="H248">MMS_Dairy_N2ODirect_Equations.VEERG_4_3_1_3__2_TotalNitrogenInEachMMS(F$176+F$213,H236)</f>
        <v>235.06105261898415</v>
      </c>
      <c r="I248" s="53" cm="1">
        <f t="array" ref="I248">MMS_Dairy_N2ODirect_Equations.VEERG_4_3_1_3__2_TotalNitrogenInEachMMS(G$176+G$213,I236)</f>
        <v>741.87518257630143</v>
      </c>
      <c r="J248" s="53" cm="1">
        <f t="array" ref="J248">MMS_Dairy_N2ODirect_Equations.VEERG_4_3_1_3__2_TotalNitrogenInEachMMS(H$176+H$213,J236)</f>
        <v>310.57070109221564</v>
      </c>
      <c r="N248" s="53" t="str">
        <f>INDEX(X_Table_Dairy_ProductionSystems_Method1,4,1)</f>
        <v>Feed pad</v>
      </c>
      <c r="O248" s="53" t="str">
        <f>INDEX(X_Table_Dairy_Stage1MMS_2_SumpAndDispersal,2,1)</f>
        <v>Sump and dispersal system</v>
      </c>
      <c r="P248" s="53" cm="1">
        <f t="array" ref="P248">MMS_Dairy_N2ODirect_Equations.VEERG_4_3_1_3__2_TotalNitrogenInEachMMS(N$176+N$213,P236)</f>
        <v>1292.1054203427104</v>
      </c>
      <c r="Q248" s="53" cm="1">
        <f t="array" ref="Q248">MMS_Dairy_N2ODirect_Equations.VEERG_4_3_1_3__2_TotalNitrogenInEachMMS(O$176+O$213,Q236)</f>
        <v>590.17648503003818</v>
      </c>
      <c r="R248" s="53" cm="1">
        <f t="array" ref="R248">MMS_Dairy_N2ODirect_Equations.VEERG_4_3_1_3__2_TotalNitrogenInEachMMS(P$176+P$213,R236)</f>
        <v>235.06105261898415</v>
      </c>
      <c r="S248" s="53" cm="1">
        <f t="array" ref="S248">MMS_Dairy_N2ODirect_Equations.VEERG_4_3_1_3__2_TotalNitrogenInEachMMS(Q$176+Q$213,S236)</f>
        <v>741.87518257630143</v>
      </c>
      <c r="T248" s="53" cm="1">
        <f t="array" ref="T248">MMS_Dairy_N2ODirect_Equations.VEERG_4_3_1_3__2_TotalNitrogenInEachMMS(R$176+R$213,T236)</f>
        <v>310.57070109221564</v>
      </c>
    </row>
    <row r="249" spans="1:21" ht="20.100000000000001" customHeight="1" x14ac:dyDescent="0.2">
      <c r="D249" s="53" t="str">
        <f>INDEX(X_Table_Dairy_ProductionSystems_Method1,4,1)</f>
        <v>Feed pad</v>
      </c>
      <c r="E249" s="53" t="str">
        <f>INDEX(X_Table_Dairy_Stage1MMS_2_DrainsToPaddock,2,1)</f>
        <v>Drains to paddock</v>
      </c>
      <c r="F249" s="53" cm="1">
        <f t="array" ref="F249">MMS_Dairy_N2ODirect_Equations.VEERG_4_3_1_3__2_TotalNitrogenInEachMMS(D$176+D$213,F237)</f>
        <v>1292.1054203427104</v>
      </c>
      <c r="G249" s="53" cm="1">
        <f t="array" ref="G249">MMS_Dairy_N2ODirect_Equations.VEERG_4_3_1_3__2_TotalNitrogenInEachMMS(E$176+E$213,G237)</f>
        <v>590.17648503003818</v>
      </c>
      <c r="H249" s="53" cm="1">
        <f t="array" ref="H249">MMS_Dairy_N2ODirect_Equations.VEERG_4_3_1_3__2_TotalNitrogenInEachMMS(F$176+F$213,H237)</f>
        <v>235.06105261898415</v>
      </c>
      <c r="I249" s="53" cm="1">
        <f t="array" ref="I249">MMS_Dairy_N2ODirect_Equations.VEERG_4_3_1_3__2_TotalNitrogenInEachMMS(G$176+G$213,I237)</f>
        <v>741.87518257630143</v>
      </c>
      <c r="J249" s="53" cm="1">
        <f t="array" ref="J249">MMS_Dairy_N2ODirect_Equations.VEERG_4_3_1_3__2_TotalNitrogenInEachMMS(H$176+H$213,J237)</f>
        <v>310.57070109221564</v>
      </c>
      <c r="N249" s="53" t="str">
        <f>INDEX(X_Table_Dairy_ProductionSystems_Method1,4,1)</f>
        <v>Feed pad</v>
      </c>
      <c r="O249" s="53" t="str">
        <f>INDEX(X_Table_Dairy_Stage1MMS_2_DrainsToPaddock,2,1)</f>
        <v>Drains to paddock</v>
      </c>
      <c r="P249" s="53" cm="1">
        <f t="array" ref="P249">MMS_Dairy_N2ODirect_Equations.VEERG_4_3_1_3__2_TotalNitrogenInEachMMS(N$176+N$213,P237)</f>
        <v>1292.1054203427104</v>
      </c>
      <c r="Q249" s="53" cm="1">
        <f t="array" ref="Q249">MMS_Dairy_N2ODirect_Equations.VEERG_4_3_1_3__2_TotalNitrogenInEachMMS(O$176+O$213,Q237)</f>
        <v>590.17648503003818</v>
      </c>
      <c r="R249" s="53" cm="1">
        <f t="array" ref="R249">MMS_Dairy_N2ODirect_Equations.VEERG_4_3_1_3__2_TotalNitrogenInEachMMS(P$176+P$213,R237)</f>
        <v>235.06105261898415</v>
      </c>
      <c r="S249" s="53" cm="1">
        <f t="array" ref="S249">MMS_Dairy_N2ODirect_Equations.VEERG_4_3_1_3__2_TotalNitrogenInEachMMS(Q$176+Q$213,S237)</f>
        <v>741.87518257630143</v>
      </c>
      <c r="T249" s="53" cm="1">
        <f t="array" ref="T249">MMS_Dairy_N2ODirect_Equations.VEERG_4_3_1_3__2_TotalNitrogenInEachMMS(R$176+R$213,T237)</f>
        <v>310.57070109221564</v>
      </c>
    </row>
    <row r="250" spans="1:21" ht="20.100000000000001" customHeight="1" x14ac:dyDescent="0.2">
      <c r="D250" s="53" t="str">
        <f>INDEX(X_Table_Dairy_ProductionSystems_Method1,4,1)</f>
        <v>Feed pad</v>
      </c>
      <c r="E250" s="53" t="s">
        <v>400</v>
      </c>
      <c r="F250" s="53" cm="1">
        <f t="array" ref="F250">MMS_Dairy_N2ODirect_Equations.VEERG_4_3_1_3__2_TotalNitrogenInEachMMS(D$176+D$213,F238)</f>
        <v>2261.1844855997429</v>
      </c>
      <c r="G250" s="53" cm="1">
        <f t="array" ref="G250">MMS_Dairy_N2ODirect_Equations.VEERG_4_3_1_3__2_TotalNitrogenInEachMMS(E$176+E$213,G238)</f>
        <v>1032.8088488025667</v>
      </c>
      <c r="H250" s="53" cm="1">
        <f t="array" ref="H250">MMS_Dairy_N2ODirect_Equations.VEERG_4_3_1_3__2_TotalNitrogenInEachMMS(F$176+F$213,H238)</f>
        <v>411.35684208322226</v>
      </c>
      <c r="I250" s="53" cm="1">
        <f t="array" ref="I250">MMS_Dairy_N2ODirect_Equations.VEERG_4_3_1_3__2_TotalNitrogenInEachMMS(G$176+G$213,I238)</f>
        <v>1298.2815695085274</v>
      </c>
      <c r="J250" s="53" cm="1">
        <f t="array" ref="J250">MMS_Dairy_N2ODirect_Equations.VEERG_4_3_1_3__2_TotalNitrogenInEachMMS(H$176+H$213,J238)</f>
        <v>543.49872691137739</v>
      </c>
      <c r="N250" s="53" t="str">
        <f>INDEX(X_Table_Dairy_ProductionSystems_Method1,4,1)</f>
        <v>Feed pad</v>
      </c>
      <c r="O250" s="53" t="s">
        <v>400</v>
      </c>
      <c r="P250" s="53" cm="1">
        <f t="array" ref="P250">MMS_Dairy_N2ODirect_Equations.VEERG_4_3_1_3__2_TotalNitrogenInEachMMS(N$176+N$213,P238)</f>
        <v>2261.1844855997429</v>
      </c>
      <c r="Q250" s="53" cm="1">
        <f t="array" ref="Q250">MMS_Dairy_N2ODirect_Equations.VEERG_4_3_1_3__2_TotalNitrogenInEachMMS(O$176+O$213,Q238)</f>
        <v>1032.8088488025667</v>
      </c>
      <c r="R250" s="53" cm="1">
        <f t="array" ref="R250">MMS_Dairy_N2ODirect_Equations.VEERG_4_3_1_3__2_TotalNitrogenInEachMMS(P$176+P$213,R238)</f>
        <v>411.35684208322226</v>
      </c>
      <c r="S250" s="53" cm="1">
        <f t="array" ref="S250">MMS_Dairy_N2ODirect_Equations.VEERG_4_3_1_3__2_TotalNitrogenInEachMMS(Q$176+Q$213,S238)</f>
        <v>1298.2815695085274</v>
      </c>
      <c r="T250" s="53" cm="1">
        <f t="array" ref="T250">MMS_Dairy_N2ODirect_Equations.VEERG_4_3_1_3__2_TotalNitrogenInEachMMS(R$176+R$213,T238)</f>
        <v>543.49872691137739</v>
      </c>
    </row>
    <row r="253" spans="1:21" ht="20.100000000000001" customHeight="1" x14ac:dyDescent="0.2">
      <c r="C253" s="46"/>
      <c r="D253" s="46"/>
      <c r="E253" s="46"/>
      <c r="F253" s="46"/>
      <c r="G253" s="46"/>
      <c r="H253" s="46"/>
      <c r="I253" s="46"/>
      <c r="J253" s="46"/>
      <c r="K253" s="46"/>
      <c r="M253" s="46"/>
      <c r="N253" s="46"/>
      <c r="O253" s="46"/>
      <c r="P253" s="46"/>
      <c r="Q253" s="46"/>
      <c r="R253" s="46"/>
      <c r="S253" s="46"/>
      <c r="T253" s="46"/>
      <c r="U253" s="46"/>
    </row>
    <row r="254" spans="1:21" ht="20.100000000000001" customHeight="1" x14ac:dyDescent="0.2">
      <c r="D254" s="6" t="str" cm="1">
        <f t="array" ref="D254">MMS_Dairy_N2ODirect_Equations.VEERG_4_3_1_3__1_TotalAnnualDirectNitrousOxideEmissionsFromMMS_Title()</f>
        <v>Total annual direct nitrous oxide emissions from manure management systems</v>
      </c>
    </row>
    <row r="255" spans="1:21" ht="20.100000000000001" customHeight="1" x14ac:dyDescent="0.2">
      <c r="D255" s="5" t="str" cm="1">
        <f t="array" ref="D255">MMS_Dairy_N2ODirect_Equations.VEERG_4_3_1_3__1_TotalAnnualDirectNitrousOxideEmissionsFromMMS_Source()</f>
        <v>VEERG 2026: 4.3.1.3, Equation (1)</v>
      </c>
    </row>
    <row r="256" spans="1:21" ht="20.100000000000001" customHeight="1" x14ac:dyDescent="0.2">
      <c r="D256" s="13" t="s">
        <v>25</v>
      </c>
      <c r="E256" s="13" t="str" cm="1">
        <f t="array" aca="1" ref="E256" ca="1">Common_InputFunctions.Utility_DisplayFunctionName(F280)</f>
        <v>=MMS_Dairy_N2ODirect_Equations.VEERG_4_3_1_3__1_TotalAnnualDirectNitrousOxideEmissionsFromMMS</v>
      </c>
    </row>
    <row r="258" spans="4:9" ht="20.100000000000001" customHeight="1" x14ac:dyDescent="0.2">
      <c r="D258" s="6"/>
    </row>
    <row r="259" spans="4:9" ht="20.100000000000001" customHeight="1" x14ac:dyDescent="0.2">
      <c r="D259" s="54" t="s">
        <v>28</v>
      </c>
      <c r="E259" s="1" t="str" cm="1">
        <f t="array" ref="E259">MMS_Dairy_N2ODirect_Equations.VEERG_4_3_1_3__1_TotalAnnualDirectNitrousOxideEmissionsFromMMS_Variable()</f>
        <v>E_N2Odir</v>
      </c>
    </row>
    <row r="260" spans="4:9" ht="20.100000000000001" customHeight="1" x14ac:dyDescent="0.2">
      <c r="D260" s="54" t="s">
        <v>18</v>
      </c>
      <c r="E260" s="55" t="str" cm="1">
        <f t="array" ref="E260">MMS_Dairy_N2ODirect_Equations.VEERG_4_3_1_3__1_TotalAnnualDirectNitrousOxideEmissionsFromMMS_Unit()</f>
        <v>t N2O</v>
      </c>
    </row>
    <row r="262" spans="4:9" ht="20.100000000000001" customHeight="1" x14ac:dyDescent="0.2">
      <c r="D262" s="133" t="str" cm="1">
        <f t="array" ref="D262:E264">_xlfn.CHOOSECOLS(MMS_Dairy_N2ODirect_Equations.VEERG_4_3_1_3__1_TotalAnnualDirectNitrousOxideEmissionsFromMMS_Arguments(),1,2)</f>
        <v>MN_jm</v>
      </c>
      <c r="E262" s="133" t="str">
        <v>total nitrogen in each MMS for dairy cattle classes</v>
      </c>
      <c r="F262" s="133"/>
      <c r="G262" s="133" t="str" cm="1">
        <f t="array" ref="G262:H264">_xlfn.CHOOSECOLS(MMS_Dairy_N2ODirect_Equations.VEERG_4_3_1_3__1_TotalAnnualDirectNitrousOxideEmissionsFromMMS_Arguments(),3,4)</f>
        <v>kg N</v>
      </c>
      <c r="H262" s="129" t="str">
        <v>Calculated from 4.3.1.3 (2)</v>
      </c>
      <c r="I262" s="130" t="str" cm="1">
        <f t="array" aca="1" ref="I262" ca="1">HYPERLINK(Common_InputFunctions.Utility_SourceHyperlink($D$240),$D$240)</f>
        <v>M1_Table_MN_j_m</v>
      </c>
    </row>
    <row r="263" spans="4:9" ht="20.100000000000001" customHeight="1" x14ac:dyDescent="0.2">
      <c r="D263" s="133" t="str">
        <v>EF_m</v>
      </c>
      <c r="E263" s="133" t="str">
        <v>nitrous oxide emission factor for each MMS (kg N2O-N/kg N deposited)</v>
      </c>
      <c r="F263" s="133"/>
      <c r="G263" s="133" t="str">
        <v>kg N2O-N/kg N</v>
      </c>
      <c r="H263" s="129" t="str">
        <v>Constant</v>
      </c>
      <c r="I263" s="130" t="str" cm="1">
        <f t="array" aca="1" ref="I263" ca="1">HYPERLINK(Common_InputFunctions.Utility_SourceHyperlink($D$266),$D$266)</f>
        <v>Table_EF_m</v>
      </c>
    </row>
    <row r="264" spans="4:9" ht="20.100000000000001" customHeight="1" x14ac:dyDescent="0.2">
      <c r="D264" s="133" t="str">
        <v>C_N2O</v>
      </c>
      <c r="E264" s="133" t="str">
        <v>factor to convert elemental mass of N2O to molecular mass</v>
      </c>
      <c r="F264" s="133"/>
      <c r="G264" s="133" t="str">
        <v>fraction</v>
      </c>
      <c r="H264" s="129" t="str">
        <v>Constant</v>
      </c>
      <c r="I264" s="133">
        <f>Common_InputFunctions.Utility_LookupValueInTableNumber("N2O",Table_GasToMolecularConversionFactor[Gas],Table_GasToMolecularConversionFactor[Conversion factor combined])</f>
        <v>1.5714285714285714</v>
      </c>
    </row>
    <row r="266" spans="4:9" ht="20.100000000000001" customHeight="1" x14ac:dyDescent="0.2">
      <c r="D266" s="100" t="s">
        <v>307</v>
      </c>
    </row>
    <row r="267" spans="4:9" ht="20.100000000000001" customHeight="1" x14ac:dyDescent="0.2">
      <c r="D267" s="99" t="s">
        <v>308</v>
      </c>
    </row>
    <row r="268" spans="4:9" ht="20.100000000000001" customHeight="1" x14ac:dyDescent="0.2">
      <c r="D268" s="52" t="s">
        <v>66</v>
      </c>
      <c r="E268" s="52" t="s">
        <v>309</v>
      </c>
    </row>
    <row r="269" spans="4:9" ht="20.100000000000001" customHeight="1" x14ac:dyDescent="0.2">
      <c r="D269" s="53" t="str" cm="1">
        <f t="array" ref="D269:D273">Table_SourceData_Dairy_EFmFracGASM[NIR reference]</f>
        <v>Pasture range and paddock</v>
      </c>
      <c r="E269" s="53" cm="1">
        <f t="array" ref="E269:E273">Table_SourceData_Dairy_EFmFracGASM[EFm]</f>
        <v>0</v>
      </c>
    </row>
    <row r="270" spans="4:9" ht="20.100000000000001" customHeight="1" x14ac:dyDescent="0.2">
      <c r="D270" s="53" t="str">
        <v>Anaerobic lagoon</v>
      </c>
      <c r="E270" s="53">
        <v>0</v>
      </c>
    </row>
    <row r="271" spans="4:9" ht="20.100000000000001" customHeight="1" x14ac:dyDescent="0.2">
      <c r="D271" s="53" t="str">
        <v>Sump and dispersal system</v>
      </c>
      <c r="E271" s="53">
        <v>0</v>
      </c>
    </row>
    <row r="272" spans="4:9" ht="20.100000000000001" customHeight="1" x14ac:dyDescent="0.2">
      <c r="D272" s="53" t="str">
        <v>Drains to paddock</v>
      </c>
      <c r="E272" s="53">
        <v>0</v>
      </c>
    </row>
    <row r="273" spans="1:20" ht="20.100000000000001" customHeight="1" x14ac:dyDescent="0.2">
      <c r="D273" s="53" t="str">
        <v>Solid storage</v>
      </c>
      <c r="E273" s="53">
        <v>5.0000000000000001E-3</v>
      </c>
    </row>
    <row r="275" spans="1:20" ht="20.100000000000001" customHeight="1" x14ac:dyDescent="0.2">
      <c r="D275" s="100" t="s">
        <v>118</v>
      </c>
      <c r="N275" s="100" t="s">
        <v>358</v>
      </c>
    </row>
    <row r="276" spans="1:20" ht="20.100000000000001" customHeight="1" x14ac:dyDescent="0.2">
      <c r="D276" s="99" t="s">
        <v>310</v>
      </c>
      <c r="N276" s="99" t="s">
        <v>459</v>
      </c>
    </row>
    <row r="277" spans="1:20" ht="20.100000000000001" customHeight="1" x14ac:dyDescent="0.2">
      <c r="D277" s="52" t="s">
        <v>142</v>
      </c>
      <c r="E277" s="52" t="s">
        <v>66</v>
      </c>
      <c r="F277" s="52" t="s">
        <v>167</v>
      </c>
      <c r="G277" s="52" t="s">
        <v>184</v>
      </c>
      <c r="H277" s="52" t="s">
        <v>185</v>
      </c>
      <c r="I277" s="52" t="s">
        <v>186</v>
      </c>
      <c r="J277" s="52" t="s">
        <v>187</v>
      </c>
      <c r="N277" s="52" t="s">
        <v>142</v>
      </c>
      <c r="O277" s="52" t="s">
        <v>66</v>
      </c>
      <c r="P277" s="52" t="s">
        <v>167</v>
      </c>
      <c r="Q277" s="52" t="s">
        <v>184</v>
      </c>
      <c r="R277" s="52" t="s">
        <v>185</v>
      </c>
      <c r="S277" s="52" t="s">
        <v>186</v>
      </c>
      <c r="T277" s="52" t="s">
        <v>187</v>
      </c>
    </row>
    <row r="278" spans="1:20" ht="20.100000000000001" customHeight="1" x14ac:dyDescent="0.2">
      <c r="D278" s="53" t="str">
        <f>INDEX(X_Table_Dairy_ProductionSystems_Method1,3,1)</f>
        <v>Milking shed</v>
      </c>
      <c r="E278" s="53" t="str">
        <f>INDEX(X_Table_Dairy_Stage1MMS_1_AnaerobicLagoon,2,1)</f>
        <v>Anaerobic lagoon</v>
      </c>
      <c r="F278" s="53" cm="1">
        <f t="array" ref="F278">MMS_Dairy_N2ODirect_Equations.VEERG_4_3_1_3__1_TotalAnnualDirectNitrousOxideEmissionsFromMMS(F243,$E270,$I$264)</f>
        <v>0</v>
      </c>
      <c r="G278" s="53" cm="1">
        <f t="array" ref="G278">MMS_Dairy_N2ODirect_Equations.VEERG_4_3_1_3__1_TotalAnnualDirectNitrousOxideEmissionsFromMMS(G243,$E270,$I$264)</f>
        <v>0</v>
      </c>
      <c r="H278" s="53" cm="1">
        <f t="array" ref="H278">MMS_Dairy_N2ODirect_Equations.VEERG_4_3_1_3__1_TotalAnnualDirectNitrousOxideEmissionsFromMMS(H243,$E270,$I$264)</f>
        <v>0</v>
      </c>
      <c r="I278" s="53" cm="1">
        <f t="array" ref="I278">MMS_Dairy_N2ODirect_Equations.VEERG_4_3_1_3__1_TotalAnnualDirectNitrousOxideEmissionsFromMMS(I243,$E270,$I$264)</f>
        <v>0</v>
      </c>
      <c r="J278" s="53" cm="1">
        <f t="array" ref="J278">MMS_Dairy_N2ODirect_Equations.VEERG_4_3_1_3__1_TotalAnnualDirectNitrousOxideEmissionsFromMMS(J243,$E270,$I$264)</f>
        <v>0</v>
      </c>
      <c r="N278" s="53" t="str">
        <f>INDEX(X_Table_Dairy_ProductionSystems_Method1,3,1)</f>
        <v>Milking shed</v>
      </c>
      <c r="O278" s="53" t="str">
        <f>INDEX(X_Table_Dairy_Stage1MMS_1_AnaerobicLagoon,2,1)</f>
        <v>Anaerobic lagoon</v>
      </c>
      <c r="P278" s="53" cm="1">
        <f t="array" ref="P278">MMS_Dairy_N2ODirect_Equations.VEERG_4_3_1_3__1_TotalAnnualDirectNitrousOxideEmissionsFromMMS(P243,$E270,$I$264)</f>
        <v>0</v>
      </c>
      <c r="Q278" s="53" cm="1">
        <f t="array" ref="Q278">MMS_Dairy_N2ODirect_Equations.VEERG_4_3_1_3__1_TotalAnnualDirectNitrousOxideEmissionsFromMMS(Q243,$E270,$I$264)</f>
        <v>0</v>
      </c>
      <c r="R278" s="53" cm="1">
        <f t="array" ref="R278">MMS_Dairy_N2ODirect_Equations.VEERG_4_3_1_3__1_TotalAnnualDirectNitrousOxideEmissionsFromMMS(R243,$E270,$I$264)</f>
        <v>0</v>
      </c>
      <c r="S278" s="53" cm="1">
        <f t="array" ref="S278">MMS_Dairy_N2ODirect_Equations.VEERG_4_3_1_3__1_TotalAnnualDirectNitrousOxideEmissionsFromMMS(S243,$E270,$I$264)</f>
        <v>0</v>
      </c>
      <c r="T278" s="53" cm="1">
        <f t="array" ref="T278">MMS_Dairy_N2ODirect_Equations.VEERG_4_3_1_3__1_TotalAnnualDirectNitrousOxideEmissionsFromMMS(T243,$E270,$I$264)</f>
        <v>0</v>
      </c>
    </row>
    <row r="279" spans="1:20" ht="20.100000000000001" customHeight="1" x14ac:dyDescent="0.2">
      <c r="D279" s="53" t="str">
        <f>INDEX(X_Table_Dairy_ProductionSystems_Method1,3,1)</f>
        <v>Milking shed</v>
      </c>
      <c r="E279" s="53" t="str">
        <f>INDEX(X_Table_Dairy_Stage1MMS_1_SumpAndDispersal,2,1)</f>
        <v>Sump and dispersal system</v>
      </c>
      <c r="F279" s="53" cm="1">
        <f t="array" ref="F279">MMS_Dairy_N2ODirect_Equations.VEERG_4_3_1_3__1_TotalAnnualDirectNitrousOxideEmissionsFromMMS(F244,$E271,$I$264)</f>
        <v>0</v>
      </c>
      <c r="G279" s="53" cm="1">
        <f t="array" ref="G279">MMS_Dairy_N2ODirect_Equations.VEERG_4_3_1_3__1_TotalAnnualDirectNitrousOxideEmissionsFromMMS(G244,$E271,$I$264)</f>
        <v>0</v>
      </c>
      <c r="H279" s="53" cm="1">
        <f t="array" ref="H279">MMS_Dairy_N2ODirect_Equations.VEERG_4_3_1_3__1_TotalAnnualDirectNitrousOxideEmissionsFromMMS(H244,$E271,$I$264)</f>
        <v>0</v>
      </c>
      <c r="I279" s="53" cm="1">
        <f t="array" ref="I279">MMS_Dairy_N2ODirect_Equations.VEERG_4_3_1_3__1_TotalAnnualDirectNitrousOxideEmissionsFromMMS(I244,$E271,$I$264)</f>
        <v>0</v>
      </c>
      <c r="J279" s="53" cm="1">
        <f t="array" ref="J279">MMS_Dairy_N2ODirect_Equations.VEERG_4_3_1_3__1_TotalAnnualDirectNitrousOxideEmissionsFromMMS(J244,$E271,$I$264)</f>
        <v>0</v>
      </c>
      <c r="N279" s="53" t="str">
        <f>INDEX(X_Table_Dairy_ProductionSystems_Method1,3,1)</f>
        <v>Milking shed</v>
      </c>
      <c r="O279" s="53" t="str">
        <f>INDEX(X_Table_Dairy_Stage1MMS_1_SumpAndDispersal,2,1)</f>
        <v>Sump and dispersal system</v>
      </c>
      <c r="P279" s="53" cm="1">
        <f t="array" ref="P279">MMS_Dairy_N2ODirect_Equations.VEERG_4_3_1_3__1_TotalAnnualDirectNitrousOxideEmissionsFromMMS(P244,$E271,$I$264)</f>
        <v>0</v>
      </c>
      <c r="Q279" s="53" cm="1">
        <f t="array" ref="Q279">MMS_Dairy_N2ODirect_Equations.VEERG_4_3_1_3__1_TotalAnnualDirectNitrousOxideEmissionsFromMMS(Q244,$E271,$I$264)</f>
        <v>0</v>
      </c>
      <c r="R279" s="53" cm="1">
        <f t="array" ref="R279">MMS_Dairy_N2ODirect_Equations.VEERG_4_3_1_3__1_TotalAnnualDirectNitrousOxideEmissionsFromMMS(R244,$E271,$I$264)</f>
        <v>0</v>
      </c>
      <c r="S279" s="53" cm="1">
        <f t="array" ref="S279">MMS_Dairy_N2ODirect_Equations.VEERG_4_3_1_3__1_TotalAnnualDirectNitrousOxideEmissionsFromMMS(S244,$E271,$I$264)</f>
        <v>0</v>
      </c>
      <c r="T279" s="53" cm="1">
        <f t="array" ref="T279">MMS_Dairy_N2ODirect_Equations.VEERG_4_3_1_3__1_TotalAnnualDirectNitrousOxideEmissionsFromMMS(T244,$E271,$I$264)</f>
        <v>0</v>
      </c>
    </row>
    <row r="280" spans="1:20" ht="20.100000000000001" customHeight="1" x14ac:dyDescent="0.2">
      <c r="D280" s="53" t="str">
        <f>INDEX(X_Table_Dairy_ProductionSystems_Method1,3,1)</f>
        <v>Milking shed</v>
      </c>
      <c r="E280" s="53" t="str">
        <f>INDEX(X_Table_Dairy_Stage1MMS_1_DrainsToPaddock,2,1)</f>
        <v>Drains to paddock</v>
      </c>
      <c r="F280" s="53" cm="1">
        <f t="array" ref="F280">MMS_Dairy_N2ODirect_Equations.VEERG_4_3_1_3__1_TotalAnnualDirectNitrousOxideEmissionsFromMMS(F245,$E272,$I$264)</f>
        <v>0</v>
      </c>
      <c r="G280" s="53" cm="1">
        <f t="array" ref="G280">MMS_Dairy_N2ODirect_Equations.VEERG_4_3_1_3__1_TotalAnnualDirectNitrousOxideEmissionsFromMMS(G245,$E272,$I$264)</f>
        <v>0</v>
      </c>
      <c r="H280" s="53" cm="1">
        <f t="array" ref="H280">MMS_Dairy_N2ODirect_Equations.VEERG_4_3_1_3__1_TotalAnnualDirectNitrousOxideEmissionsFromMMS(H245,$E272,$I$264)</f>
        <v>0</v>
      </c>
      <c r="I280" s="53" cm="1">
        <f t="array" ref="I280">MMS_Dairy_N2ODirect_Equations.VEERG_4_3_1_3__1_TotalAnnualDirectNitrousOxideEmissionsFromMMS(I245,$E272,$I$264)</f>
        <v>0</v>
      </c>
      <c r="J280" s="53" cm="1">
        <f t="array" ref="J280">MMS_Dairy_N2ODirect_Equations.VEERG_4_3_1_3__1_TotalAnnualDirectNitrousOxideEmissionsFromMMS(J245,$E272,$I$264)</f>
        <v>0</v>
      </c>
      <c r="N280" s="53" t="str">
        <f>INDEX(X_Table_Dairy_ProductionSystems_Method1,3,1)</f>
        <v>Milking shed</v>
      </c>
      <c r="O280" s="53" t="str">
        <f>INDEX(X_Table_Dairy_Stage1MMS_1_DrainsToPaddock,2,1)</f>
        <v>Drains to paddock</v>
      </c>
      <c r="P280" s="53" cm="1">
        <f t="array" ref="P280">MMS_Dairy_N2ODirect_Equations.VEERG_4_3_1_3__1_TotalAnnualDirectNitrousOxideEmissionsFromMMS(P245,$E272,$I$264)</f>
        <v>0</v>
      </c>
      <c r="Q280" s="53" cm="1">
        <f t="array" ref="Q280">MMS_Dairy_N2ODirect_Equations.VEERG_4_3_1_3__1_TotalAnnualDirectNitrousOxideEmissionsFromMMS(Q245,$E272,$I$264)</f>
        <v>0</v>
      </c>
      <c r="R280" s="53" cm="1">
        <f t="array" ref="R280">MMS_Dairy_N2ODirect_Equations.VEERG_4_3_1_3__1_TotalAnnualDirectNitrousOxideEmissionsFromMMS(R245,$E272,$I$264)</f>
        <v>0</v>
      </c>
      <c r="S280" s="53" cm="1">
        <f t="array" ref="S280">MMS_Dairy_N2ODirect_Equations.VEERG_4_3_1_3__1_TotalAnnualDirectNitrousOxideEmissionsFromMMS(S245,$E272,$I$264)</f>
        <v>0</v>
      </c>
      <c r="T280" s="53" cm="1">
        <f t="array" ref="T280">MMS_Dairy_N2ODirect_Equations.VEERG_4_3_1_3__1_TotalAnnualDirectNitrousOxideEmissionsFromMMS(T245,$E272,$I$264)</f>
        <v>0</v>
      </c>
    </row>
    <row r="281" spans="1:20" ht="20.100000000000001" customHeight="1" x14ac:dyDescent="0.2">
      <c r="D281" s="53" t="str">
        <f>INDEX(X_Table_Dairy_ProductionSystems_Method1,3,1)</f>
        <v>Milking shed</v>
      </c>
      <c r="E281" s="53" t="s">
        <v>400</v>
      </c>
      <c r="F281" s="53" cm="1">
        <f t="array" ref="F281">MMS_Dairy_N2ODirect_Equations.VEERG_4_3_1_3__1_TotalAnnualDirectNitrousOxideEmissionsFromMMS(F246,$E273,$I$264)</f>
        <v>6.2738666076030481E-3</v>
      </c>
      <c r="G281" s="53" cm="1">
        <f t="array" ref="G281">MMS_Dairy_N2ODirect_Equations.VEERG_4_3_1_3__1_TotalAnnualDirectNitrousOxideEmissionsFromMMS(G246,$E273,$I$264)</f>
        <v>2.8656241849371834E-3</v>
      </c>
      <c r="H281" s="53" cm="1">
        <f t="array" ref="H281">MMS_Dairy_N2ODirect_Equations.VEERG_4_3_1_3__1_TotalAnnualDirectNitrousOxideEmissionsFromMMS(H246,$E273,$I$264)</f>
        <v>1.1413478076603965E-3</v>
      </c>
      <c r="I281" s="53" cm="1">
        <f t="array" ref="I281">MMS_Dairy_N2ODirect_Equations.VEERG_4_3_1_3__1_TotalAnnualDirectNitrousOxideEmissionsFromMMS(I246,$E273,$I$264)</f>
        <v>3.6022029330550747E-3</v>
      </c>
      <c r="J281" s="53" cm="1">
        <f t="array" ref="J281">MMS_Dairy_N2ODirect_Equations.VEERG_4_3_1_3__1_TotalAnnualDirectNitrousOxideEmissionsFromMMS(J246,$E273,$I$264)</f>
        <v>1.5079877540994421E-3</v>
      </c>
      <c r="N281" s="53" t="str">
        <f>INDEX(X_Table_Dairy_ProductionSystems_Method1,3,1)</f>
        <v>Milking shed</v>
      </c>
      <c r="O281" s="53" t="s">
        <v>400</v>
      </c>
      <c r="P281" s="53" cm="1">
        <f t="array" ref="P281">MMS_Dairy_N2ODirect_Equations.VEERG_4_3_1_3__1_TotalAnnualDirectNitrousOxideEmissionsFromMMS(P246,$E273,$I$264)</f>
        <v>6.2738666076030481E-3</v>
      </c>
      <c r="Q281" s="53" cm="1">
        <f t="array" ref="Q281">MMS_Dairy_N2ODirect_Equations.VEERG_4_3_1_3__1_TotalAnnualDirectNitrousOxideEmissionsFromMMS(Q246,$E273,$I$264)</f>
        <v>2.8656241849371834E-3</v>
      </c>
      <c r="R281" s="53" cm="1">
        <f t="array" ref="R281">MMS_Dairy_N2ODirect_Equations.VEERG_4_3_1_3__1_TotalAnnualDirectNitrousOxideEmissionsFromMMS(R246,$E273,$I$264)</f>
        <v>1.1413478076603965E-3</v>
      </c>
      <c r="S281" s="53" cm="1">
        <f t="array" ref="S281">MMS_Dairy_N2ODirect_Equations.VEERG_4_3_1_3__1_TotalAnnualDirectNitrousOxideEmissionsFromMMS(S246,$E273,$I$264)</f>
        <v>3.6022029330550747E-3</v>
      </c>
      <c r="T281" s="53" cm="1">
        <f t="array" ref="T281">MMS_Dairy_N2ODirect_Equations.VEERG_4_3_1_3__1_TotalAnnualDirectNitrousOxideEmissionsFromMMS(T246,$E273,$I$264)</f>
        <v>1.5079877540994421E-3</v>
      </c>
    </row>
    <row r="282" spans="1:20" ht="20.100000000000001" customHeight="1" x14ac:dyDescent="0.2">
      <c r="D282" s="53" t="str">
        <f>INDEX(X_Table_Dairy_ProductionSystems_Method1,4,1)</f>
        <v>Feed pad</v>
      </c>
      <c r="E282" s="53" t="str">
        <f>INDEX(X_Table_Dairy_Stage1MMS_2_AnaerobicLagoon,2,1)</f>
        <v>Anaerobic lagoon</v>
      </c>
      <c r="F282" s="53" cm="1">
        <f t="array" ref="F282">MMS_Dairy_N2ODirect_Equations.VEERG_4_3_1_3__1_TotalAnnualDirectNitrousOxideEmissionsFromMMS(F247,$E270,$I$264)</f>
        <v>0</v>
      </c>
      <c r="G282" s="53" cm="1">
        <f t="array" ref="G282">MMS_Dairy_N2ODirect_Equations.VEERG_4_3_1_3__1_TotalAnnualDirectNitrousOxideEmissionsFromMMS(G247,$E270,$I$264)</f>
        <v>0</v>
      </c>
      <c r="H282" s="53" cm="1">
        <f t="array" ref="H282">MMS_Dairy_N2ODirect_Equations.VEERG_4_3_1_3__1_TotalAnnualDirectNitrousOxideEmissionsFromMMS(H247,$E270,$I$264)</f>
        <v>0</v>
      </c>
      <c r="I282" s="53" cm="1">
        <f t="array" ref="I282">MMS_Dairy_N2ODirect_Equations.VEERG_4_3_1_3__1_TotalAnnualDirectNitrousOxideEmissionsFromMMS(I247,$E270,$I$264)</f>
        <v>0</v>
      </c>
      <c r="J282" s="53" cm="1">
        <f t="array" ref="J282">MMS_Dairy_N2ODirect_Equations.VEERG_4_3_1_3__1_TotalAnnualDirectNitrousOxideEmissionsFromMMS(J247,$E270,$I$264)</f>
        <v>0</v>
      </c>
      <c r="N282" s="53" t="str">
        <f>INDEX(X_Table_Dairy_ProductionSystems_Method1,4,1)</f>
        <v>Feed pad</v>
      </c>
      <c r="O282" s="53" t="str">
        <f>INDEX(X_Table_Dairy_Stage1MMS_2_AnaerobicLagoon,2,1)</f>
        <v>Anaerobic lagoon</v>
      </c>
      <c r="P282" s="53" cm="1">
        <f t="array" ref="P282">MMS_Dairy_N2ODirect_Equations.VEERG_4_3_1_3__1_TotalAnnualDirectNitrousOxideEmissionsFromMMS(P247,$E270,$I$264)</f>
        <v>0</v>
      </c>
      <c r="Q282" s="53" cm="1">
        <f t="array" ref="Q282">MMS_Dairy_N2ODirect_Equations.VEERG_4_3_1_3__1_TotalAnnualDirectNitrousOxideEmissionsFromMMS(Q247,$E270,$I$264)</f>
        <v>0</v>
      </c>
      <c r="R282" s="53" cm="1">
        <f t="array" ref="R282">MMS_Dairy_N2ODirect_Equations.VEERG_4_3_1_3__1_TotalAnnualDirectNitrousOxideEmissionsFromMMS(R247,$E270,$I$264)</f>
        <v>0</v>
      </c>
      <c r="S282" s="53" cm="1">
        <f t="array" ref="S282">MMS_Dairy_N2ODirect_Equations.VEERG_4_3_1_3__1_TotalAnnualDirectNitrousOxideEmissionsFromMMS(S247,$E270,$I$264)</f>
        <v>0</v>
      </c>
      <c r="T282" s="53" cm="1">
        <f t="array" ref="T282">MMS_Dairy_N2ODirect_Equations.VEERG_4_3_1_3__1_TotalAnnualDirectNitrousOxideEmissionsFromMMS(T247,$E270,$I$264)</f>
        <v>0</v>
      </c>
    </row>
    <row r="283" spans="1:20" ht="20.100000000000001" customHeight="1" x14ac:dyDescent="0.2">
      <c r="D283" s="53" t="str">
        <f>INDEX(X_Table_Dairy_ProductionSystems_Method1,4,1)</f>
        <v>Feed pad</v>
      </c>
      <c r="E283" s="53" t="str">
        <f>INDEX(X_Table_Dairy_Stage1MMS_2_SumpAndDispersal,2,1)</f>
        <v>Sump and dispersal system</v>
      </c>
      <c r="F283" s="53" cm="1">
        <f t="array" ref="F283">MMS_Dairy_N2ODirect_Equations.VEERG_4_3_1_3__1_TotalAnnualDirectNitrousOxideEmissionsFromMMS(F248,$E271,$I$264)</f>
        <v>0</v>
      </c>
      <c r="G283" s="53" cm="1">
        <f t="array" ref="G283">MMS_Dairy_N2ODirect_Equations.VEERG_4_3_1_3__1_TotalAnnualDirectNitrousOxideEmissionsFromMMS(G248,$E271,$I$264)</f>
        <v>0</v>
      </c>
      <c r="H283" s="53" cm="1">
        <f t="array" ref="H283">MMS_Dairy_N2ODirect_Equations.VEERG_4_3_1_3__1_TotalAnnualDirectNitrousOxideEmissionsFromMMS(H248,$E271,$I$264)</f>
        <v>0</v>
      </c>
      <c r="I283" s="53" cm="1">
        <f t="array" ref="I283">MMS_Dairy_N2ODirect_Equations.VEERG_4_3_1_3__1_TotalAnnualDirectNitrousOxideEmissionsFromMMS(I248,$E271,$I$264)</f>
        <v>0</v>
      </c>
      <c r="J283" s="53" cm="1">
        <f t="array" ref="J283">MMS_Dairy_N2ODirect_Equations.VEERG_4_3_1_3__1_TotalAnnualDirectNitrousOxideEmissionsFromMMS(J248,$E271,$I$264)</f>
        <v>0</v>
      </c>
      <c r="N283" s="53" t="str">
        <f>INDEX(X_Table_Dairy_ProductionSystems_Method1,4,1)</f>
        <v>Feed pad</v>
      </c>
      <c r="O283" s="53" t="str">
        <f>INDEX(X_Table_Dairy_Stage1MMS_2_SumpAndDispersal,2,1)</f>
        <v>Sump and dispersal system</v>
      </c>
      <c r="P283" s="53" cm="1">
        <f t="array" ref="P283">MMS_Dairy_N2ODirect_Equations.VEERG_4_3_1_3__1_TotalAnnualDirectNitrousOxideEmissionsFromMMS(P248,$E271,$I$264)</f>
        <v>0</v>
      </c>
      <c r="Q283" s="53" cm="1">
        <f t="array" ref="Q283">MMS_Dairy_N2ODirect_Equations.VEERG_4_3_1_3__1_TotalAnnualDirectNitrousOxideEmissionsFromMMS(Q248,$E271,$I$264)</f>
        <v>0</v>
      </c>
      <c r="R283" s="53" cm="1">
        <f t="array" ref="R283">MMS_Dairy_N2ODirect_Equations.VEERG_4_3_1_3__1_TotalAnnualDirectNitrousOxideEmissionsFromMMS(R248,$E271,$I$264)</f>
        <v>0</v>
      </c>
      <c r="S283" s="53" cm="1">
        <f t="array" ref="S283">MMS_Dairy_N2ODirect_Equations.VEERG_4_3_1_3__1_TotalAnnualDirectNitrousOxideEmissionsFromMMS(S248,$E271,$I$264)</f>
        <v>0</v>
      </c>
      <c r="T283" s="53" cm="1">
        <f t="array" ref="T283">MMS_Dairy_N2ODirect_Equations.VEERG_4_3_1_3__1_TotalAnnualDirectNitrousOxideEmissionsFromMMS(T248,$E271,$I$264)</f>
        <v>0</v>
      </c>
    </row>
    <row r="284" spans="1:20" ht="20.100000000000001" customHeight="1" x14ac:dyDescent="0.2">
      <c r="D284" s="53" t="str">
        <f>INDEX(X_Table_Dairy_ProductionSystems_Method1,4,1)</f>
        <v>Feed pad</v>
      </c>
      <c r="E284" s="53" t="str">
        <f>INDEX(X_Table_Dairy_Stage1MMS_2_DrainsToPaddock,2,1)</f>
        <v>Drains to paddock</v>
      </c>
      <c r="F284" s="53" cm="1">
        <f t="array" ref="F284">MMS_Dairy_N2ODirect_Equations.VEERG_4_3_1_3__1_TotalAnnualDirectNitrousOxideEmissionsFromMMS(F249,$E272,$I$264)</f>
        <v>0</v>
      </c>
      <c r="G284" s="53" cm="1">
        <f t="array" ref="G284">MMS_Dairy_N2ODirect_Equations.VEERG_4_3_1_3__1_TotalAnnualDirectNitrousOxideEmissionsFromMMS(G249,$E272,$I$264)</f>
        <v>0</v>
      </c>
      <c r="H284" s="53" cm="1">
        <f t="array" ref="H284">MMS_Dairy_N2ODirect_Equations.VEERG_4_3_1_3__1_TotalAnnualDirectNitrousOxideEmissionsFromMMS(H249,$E272,$I$264)</f>
        <v>0</v>
      </c>
      <c r="I284" s="53" cm="1">
        <f t="array" ref="I284">MMS_Dairy_N2ODirect_Equations.VEERG_4_3_1_3__1_TotalAnnualDirectNitrousOxideEmissionsFromMMS(I249,$E272,$I$264)</f>
        <v>0</v>
      </c>
      <c r="J284" s="53" cm="1">
        <f t="array" ref="J284">MMS_Dairy_N2ODirect_Equations.VEERG_4_3_1_3__1_TotalAnnualDirectNitrousOxideEmissionsFromMMS(J249,$E272,$I$264)</f>
        <v>0</v>
      </c>
      <c r="N284" s="53" t="str">
        <f>INDEX(X_Table_Dairy_ProductionSystems_Method1,4,1)</f>
        <v>Feed pad</v>
      </c>
      <c r="O284" s="53" t="str">
        <f>INDEX(X_Table_Dairy_Stage1MMS_2_DrainsToPaddock,2,1)</f>
        <v>Drains to paddock</v>
      </c>
      <c r="P284" s="53" cm="1">
        <f t="array" ref="P284">MMS_Dairy_N2ODirect_Equations.VEERG_4_3_1_3__1_TotalAnnualDirectNitrousOxideEmissionsFromMMS(P249,$E272,$I$264)</f>
        <v>0</v>
      </c>
      <c r="Q284" s="53" cm="1">
        <f t="array" ref="Q284">MMS_Dairy_N2ODirect_Equations.VEERG_4_3_1_3__1_TotalAnnualDirectNitrousOxideEmissionsFromMMS(Q249,$E272,$I$264)</f>
        <v>0</v>
      </c>
      <c r="R284" s="53" cm="1">
        <f t="array" ref="R284">MMS_Dairy_N2ODirect_Equations.VEERG_4_3_1_3__1_TotalAnnualDirectNitrousOxideEmissionsFromMMS(R249,$E272,$I$264)</f>
        <v>0</v>
      </c>
      <c r="S284" s="53" cm="1">
        <f t="array" ref="S284">MMS_Dairy_N2ODirect_Equations.VEERG_4_3_1_3__1_TotalAnnualDirectNitrousOxideEmissionsFromMMS(S249,$E272,$I$264)</f>
        <v>0</v>
      </c>
      <c r="T284" s="53" cm="1">
        <f t="array" ref="T284">MMS_Dairy_N2ODirect_Equations.VEERG_4_3_1_3__1_TotalAnnualDirectNitrousOxideEmissionsFromMMS(T249,$E272,$I$264)</f>
        <v>0</v>
      </c>
    </row>
    <row r="285" spans="1:20" ht="20.100000000000001" customHeight="1" x14ac:dyDescent="0.2">
      <c r="A285" s="137" t="str">
        <f>HYPERLINK("#A1", "▲ Back to top")</f>
        <v>▲ Back to top</v>
      </c>
      <c r="D285" s="53" t="str">
        <f>INDEX(X_Table_Dairy_ProductionSystems_Method1,4,1)</f>
        <v>Feed pad</v>
      </c>
      <c r="E285" s="53" t="s">
        <v>400</v>
      </c>
      <c r="F285" s="53" cm="1">
        <f t="array" ref="F285">MMS_Dairy_N2ODirect_Equations.VEERG_4_3_1_3__1_TotalAnnualDirectNitrousOxideEmissionsFromMMS(F250,$E273,$I$264)</f>
        <v>1.7766449529712264E-2</v>
      </c>
      <c r="G285" s="53" cm="1">
        <f t="array" ref="G285">MMS_Dairy_N2ODirect_Equations.VEERG_4_3_1_3__1_TotalAnnualDirectNitrousOxideEmissionsFromMMS(G250,$E273,$I$264)</f>
        <v>8.1149266691630251E-3</v>
      </c>
      <c r="H285" s="53" cm="1">
        <f t="array" ref="H285">MMS_Dairy_N2ODirect_Equations.VEERG_4_3_1_3__1_TotalAnnualDirectNitrousOxideEmissionsFromMMS(H250,$E273,$I$264)</f>
        <v>3.2320894735110321E-3</v>
      </c>
      <c r="I285" s="53" cm="1">
        <f t="array" ref="I285">MMS_Dairy_N2ODirect_Equations.VEERG_4_3_1_3__1_TotalAnnualDirectNitrousOxideEmissionsFromMMS(I250,$E273,$I$264)</f>
        <v>1.0200783760424144E-2</v>
      </c>
      <c r="J285" s="53" cm="1">
        <f t="array" ref="J285">MMS_Dairy_N2ODirect_Equations.VEERG_4_3_1_3__1_TotalAnnualDirectNitrousOxideEmissionsFromMMS(J250,$E273,$I$264)</f>
        <v>4.2703471400179658E-3</v>
      </c>
      <c r="N285" s="53" t="str">
        <f>INDEX(X_Table_Dairy_ProductionSystems_Method1,4,1)</f>
        <v>Feed pad</v>
      </c>
      <c r="O285" s="53" t="s">
        <v>400</v>
      </c>
      <c r="P285" s="53" cm="1">
        <f t="array" ref="P285">MMS_Dairy_N2ODirect_Equations.VEERG_4_3_1_3__1_TotalAnnualDirectNitrousOxideEmissionsFromMMS(P250,$E273,$I$264)</f>
        <v>1.7766449529712264E-2</v>
      </c>
      <c r="Q285" s="53" cm="1">
        <f t="array" ref="Q285">MMS_Dairy_N2ODirect_Equations.VEERG_4_3_1_3__1_TotalAnnualDirectNitrousOxideEmissionsFromMMS(Q250,$E273,$I$264)</f>
        <v>8.1149266691630251E-3</v>
      </c>
      <c r="R285" s="53" cm="1">
        <f t="array" ref="R285">MMS_Dairy_N2ODirect_Equations.VEERG_4_3_1_3__1_TotalAnnualDirectNitrousOxideEmissionsFromMMS(R250,$E273,$I$264)</f>
        <v>3.2320894735110321E-3</v>
      </c>
      <c r="S285" s="53" cm="1">
        <f t="array" ref="S285">MMS_Dairy_N2ODirect_Equations.VEERG_4_3_1_3__1_TotalAnnualDirectNitrousOxideEmissionsFromMMS(S250,$E273,$I$264)</f>
        <v>1.0200783760424144E-2</v>
      </c>
      <c r="T285" s="53" cm="1">
        <f t="array" ref="T285">MMS_Dairy_N2ODirect_Equations.VEERG_4_3_1_3__1_TotalAnnualDirectNitrousOxideEmissionsFromMMS(T250,$E273,$I$264)</f>
        <v>4.2703471400179658E-3</v>
      </c>
    </row>
    <row r="287" spans="1:20" ht="20.100000000000001" customHeight="1" x14ac:dyDescent="0.2">
      <c r="D287" s="104" t="s">
        <v>117</v>
      </c>
      <c r="E287" s="105">
        <f>SUM(F278:J285)</f>
        <v>5.8975625860183567E-2</v>
      </c>
      <c r="F287" s="106" t="str">
        <f>$E$260</f>
        <v>t N2O</v>
      </c>
      <c r="N287" s="104" t="s">
        <v>117</v>
      </c>
      <c r="O287" s="105">
        <f>SUM(P278:T285)</f>
        <v>5.8975625860183567E-2</v>
      </c>
      <c r="P287" s="106" t="str">
        <f>$E$260</f>
        <v>t N2O</v>
      </c>
    </row>
    <row r="289" spans="4:17" ht="20.100000000000001" customHeight="1" x14ac:dyDescent="0.2">
      <c r="D289" s="58" t="str" cm="1">
        <f t="array" ref="D289:E290">Common_Equations.Common_ConvertN2OToCO2e_Arguments()</f>
        <v>EN2O</v>
      </c>
      <c r="E289" s="59" t="str">
        <v>Nitrous oxide emissions (t N2O)</v>
      </c>
      <c r="F289" s="107"/>
      <c r="G289" s="53">
        <f>VEERG_4_3_1_3__1_TotalAnnualDirectNitrousOxideEmissionsFromMMS_Result_Method1</f>
        <v>5.8975625860183567E-2</v>
      </c>
      <c r="N289" s="58" t="str" cm="1">
        <f t="array" ref="N289:O290">Common_Equations.Common_ConvertN2OToCO2e_Arguments()</f>
        <v>EN2O</v>
      </c>
      <c r="O289" s="59" t="str">
        <v>Nitrous oxide emissions (t N2O)</v>
      </c>
      <c r="P289" s="107"/>
      <c r="Q289" s="53">
        <f>VEERG_4_3_1_3__1_TotalAnnualDirectNitrousOxideEmissionsFromMMS_Result_Method2</f>
        <v>5.8975625860183567E-2</v>
      </c>
    </row>
    <row r="290" spans="4:17" ht="20.100000000000001" customHeight="1" x14ac:dyDescent="0.2">
      <c r="D290" s="58" t="str">
        <v>GWPN2O</v>
      </c>
      <c r="E290" s="59" t="str">
        <v>Global warming potential for nitrous oxide (t CO2-e / t N2O)</v>
      </c>
      <c r="F290" s="107"/>
      <c r="G290" s="53">
        <f>Common_InputFunctions.Utility_LookupValueInTableNumber("N2O",Table_GWPData[Gas],Table_GWPData[CO2-e factor])</f>
        <v>265</v>
      </c>
      <c r="N290" s="58" t="str">
        <v>GWPN2O</v>
      </c>
      <c r="O290" s="59" t="str">
        <v>Global warming potential for nitrous oxide (t CO2-e / t N2O)</v>
      </c>
      <c r="P290" s="107"/>
      <c r="Q290" s="53">
        <f>Common_InputFunctions.Utility_LookupValueInTableNumber("N2O",Table_GWPData[Gas],Table_GWPData[CO2-e factor])</f>
        <v>265</v>
      </c>
    </row>
    <row r="292" spans="4:17" ht="20.100000000000001" customHeight="1" x14ac:dyDescent="0.2">
      <c r="D292" s="46" t="s">
        <v>104</v>
      </c>
      <c r="E292" s="46" cm="1">
        <f t="array" ref="E292">Common_Equations.Common_ConvertN2OToCO2e(G289,G290)</f>
        <v>15.628540852948646</v>
      </c>
      <c r="F292" s="108" t="str" cm="1">
        <f t="array" ref="F292">Common_Equations.Common_ConvertN2OToCO2e_Unit()</f>
        <v>t CO2e</v>
      </c>
      <c r="N292" s="46" t="s">
        <v>104</v>
      </c>
      <c r="O292" s="46" cm="1">
        <f t="array" ref="O292">Common_Equations.Common_ConvertN2OToCO2e(Q289,Q290)</f>
        <v>15.628540852948646</v>
      </c>
      <c r="P292" s="108" t="str" cm="1">
        <f t="array" ref="P292">Common_Equations.Common_ConvertN2OToCO2e_Unit()</f>
        <v>t CO2e</v>
      </c>
    </row>
  </sheetData>
  <dataValidations disablePrompts="1" count="1">
    <dataValidation operator="equal" allowBlank="1" showInputMessage="1" showErrorMessage="1" sqref="O113:T113 O285 N90:P90 D79:E79 E108:J108 E73:F73 F113:J113 O278 E231 E250 O231 E238 E243 O234 O243 E272 E269 O250 E278 E285 E234 E246 O246 E281 O281" xr:uid="{CE18DC45-74F3-46B3-972B-5F44E5579A05}"/>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AB313-50E2-4B94-9781-2A2897CB38F7}">
  <sheetPr>
    <tabColor rgb="FF008000"/>
  </sheetPr>
  <dimension ref="A1:W73"/>
  <sheetViews>
    <sheetView showGridLines="0" topLeftCell="A50" zoomScaleNormal="100" workbookViewId="0">
      <selection activeCell="P68" sqref="P68"/>
    </sheetView>
  </sheetViews>
  <sheetFormatPr defaultRowHeight="20.100000000000001" customHeight="1" x14ac:dyDescent="0.2"/>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67" t="e" vm="1">
        <v>#VALUE!</v>
      </c>
      <c r="C1" s="8" t="s">
        <v>312</v>
      </c>
    </row>
    <row r="2" spans="1:23" s="9" customFormat="1" ht="20.100000000000001" customHeight="1" x14ac:dyDescent="0.2">
      <c r="A2"/>
    </row>
    <row r="3" spans="1:23" ht="20.100000000000001" customHeight="1" x14ac:dyDescent="0.2">
      <c r="A3" s="17" t="str">
        <f>HYPERLINK("#'Home'!A1", "Home")</f>
        <v>Home</v>
      </c>
      <c r="C3" s="4"/>
      <c r="D3" s="4" t="s">
        <v>114</v>
      </c>
      <c r="E3" s="4"/>
      <c r="F3" s="4"/>
      <c r="G3" s="4"/>
      <c r="H3" s="4"/>
      <c r="I3" s="4"/>
      <c r="J3" s="4"/>
      <c r="K3" s="4"/>
      <c r="L3" s="4"/>
      <c r="N3" s="4"/>
      <c r="O3" s="4" t="s">
        <v>115</v>
      </c>
      <c r="P3" s="4"/>
      <c r="Q3" s="4"/>
      <c r="R3" s="4"/>
      <c r="S3" s="4"/>
      <c r="T3" s="4"/>
      <c r="U3" s="4"/>
      <c r="V3" s="4"/>
      <c r="W3" s="4"/>
    </row>
    <row r="4" spans="1:23" ht="20.100000000000001" customHeight="1" x14ac:dyDescent="0.2">
      <c r="A4" s="17" t="str">
        <f>HYPERLINK("#'Overview'!A1", "Overview")</f>
        <v>Overview</v>
      </c>
    </row>
    <row r="5" spans="1:23" ht="20.100000000000001" customHeight="1" x14ac:dyDescent="0.2">
      <c r="A5" s="17" t="str">
        <f>HYPERLINK("#'Results'!A1", "Results")</f>
        <v>Results</v>
      </c>
      <c r="D5" s="6" t="str" cm="1">
        <f t="array" ref="D5">MMS_Dairy_AtmosphericDeposition_Equations.VEERG_4_3_1_5__2_TotalNitrogenVolatilisedFromMMS_Title()</f>
        <v>Total nitrogen volatilised from MMS</v>
      </c>
    </row>
    <row r="6" spans="1:23" ht="20.100000000000001" customHeight="1" x14ac:dyDescent="0.2">
      <c r="D6" s="5" t="str" cm="1">
        <f t="array" ref="D6">MMS_Dairy_AtmosphericDeposition_Equations.VEERG_4_3_1_5__2_TotalNitrogenVolatilisedFromMMS_Source()</f>
        <v>VEERG 2026: 4.3.1.5, Equation (2)</v>
      </c>
    </row>
    <row r="7" spans="1:23" ht="20.100000000000001" customHeight="1" x14ac:dyDescent="0.2">
      <c r="D7" s="13" t="s">
        <v>25</v>
      </c>
      <c r="E7" s="13" t="str" cm="1">
        <f t="array" aca="1" ref="E7" ca="1">Common_InputFunctions.Utility_DisplayFunctionName(F40)</f>
        <v>=MMS_Dairy_AtmosphericDeposition_Equations.VEERG_4_3_1_5__2_TotalNitrogenVolatilisedFromMMS</v>
      </c>
    </row>
    <row r="8" spans="1:23" ht="20.100000000000001" customHeight="1" x14ac:dyDescent="0.2">
      <c r="A8" s="19" t="s">
        <v>0</v>
      </c>
    </row>
    <row r="9" spans="1:23" ht="20.100000000000001" customHeight="1" x14ac:dyDescent="0.2">
      <c r="A9" s="17" t="str">
        <f>HYPERLINK("#'Input - Site'!A1", "Site")</f>
        <v>Site</v>
      </c>
    </row>
    <row r="10" spans="1:23" ht="20.100000000000001" customHeight="1" x14ac:dyDescent="0.2">
      <c r="A10" s="17" t="str">
        <f>HYPERLINK("#'Input - Dairy'!A1", "Dairy")</f>
        <v>Dairy</v>
      </c>
      <c r="D10" s="54" t="s">
        <v>28</v>
      </c>
      <c r="E10" s="1" t="str" cm="1">
        <f t="array" ref="E10">MMS_Dairy_AtmosphericDeposition_Equations.VEERG_4_3_1_5__2_TotalNitrogenVolatilisedFromMMS_Variable()</f>
        <v>MN_ATMOS</v>
      </c>
    </row>
    <row r="11" spans="1:23" ht="20.100000000000001" customHeight="1" x14ac:dyDescent="0.2">
      <c r="D11" s="54" t="s">
        <v>18</v>
      </c>
      <c r="E11" s="55" t="str" cm="1">
        <f t="array" ref="E11">MMS_Dairy_AtmosphericDeposition_Equations.VEERG_4_3_1_5__2_TotalNitrogenVolatilisedFromMMS_Unit()</f>
        <v>kg N</v>
      </c>
    </row>
    <row r="13" spans="1:23" ht="20.100000000000001" customHeight="1" x14ac:dyDescent="0.2">
      <c r="A13" s="18" t="s">
        <v>73</v>
      </c>
      <c r="D13" s="133" t="str" cm="1">
        <f t="array" ref="D13:E14">_xlfn.CHOOSECOLS(MMS_Dairy_AtmosphericDeposition_Equations.VEERG_4_3_1_5__2_TotalNitrogenVolatilisedFromMMS_Arguments(),1,2)</f>
        <v>MN_jm</v>
      </c>
      <c r="E13" s="132" t="str">
        <v>total nitrogen in each MMS for dairy cattle classes</v>
      </c>
      <c r="F13" s="134"/>
      <c r="G13" s="133" t="str" cm="1">
        <f t="array" ref="G13:H14">_xlfn.CHOOSECOLS(MMS_Dairy_AtmosphericDeposition_Equations.VEERG_4_3_1_5__2_TotalNitrogenVolatilisedFromMMS_Arguments(),3,4)</f>
        <v>kg N</v>
      </c>
      <c r="H13" s="129" t="str">
        <v>Calculated from 4.3.1.3 (2)</v>
      </c>
      <c r="I13" s="130" t="str" cm="1">
        <f t="array" aca="1" ref="I13" ca="1">HYPERLINK(Common_InputFunctions.Utility_SourceHyperlink(D$16),D$16)</f>
        <v>M1_Table_MN_j_m</v>
      </c>
    </row>
    <row r="14" spans="1:23" ht="20.100000000000001" customHeight="1" x14ac:dyDescent="0.2">
      <c r="A14" s="17" t="str">
        <f>HYPERLINK("#'4.3.1.1-2 Methane'!A1", "4.3.1.1-2 Methane")</f>
        <v>4.3.1.1-2 Methane</v>
      </c>
      <c r="D14" s="133" t="str">
        <v>FracGASM_m</v>
      </c>
      <c r="E14" s="132" t="str">
        <v>fraction of N volatilised from MMS</v>
      </c>
      <c r="F14" s="134"/>
      <c r="G14" s="133" t="str">
        <v>fraction</v>
      </c>
      <c r="H14" s="129" t="str">
        <v>Constant</v>
      </c>
      <c r="I14" s="130" t="str" cm="1">
        <f t="array" aca="1" ref="I14" ca="1">HYPERLINK(Common_InputFunctions.Utility_SourceHyperlink($D$28),$D$28)</f>
        <v>Table_FracGASM_m</v>
      </c>
    </row>
    <row r="15" spans="1:23" ht="20.100000000000001" customHeight="1" x14ac:dyDescent="0.2">
      <c r="A15" s="17" t="str">
        <f>HYPERLINK("#'4.3.1.3-4 Direct N20'!A1", "4.3.1.3-4 Direct N20")</f>
        <v>4.3.1.3-4 Direct N20</v>
      </c>
    </row>
    <row r="16" spans="1:23" ht="20.100000000000001" customHeight="1" x14ac:dyDescent="0.2">
      <c r="A16" s="21" t="str">
        <f>HYPERLINK("#'4.3.1.5 Atmos deposition'!A1", "4.3.1.5 Atmos deposition")</f>
        <v>4.3.1.5 Atmos deposition</v>
      </c>
      <c r="D16" s="100" t="s">
        <v>303</v>
      </c>
      <c r="O16" s="100" t="s">
        <v>306</v>
      </c>
    </row>
    <row r="17" spans="1:22" ht="20.100000000000001" customHeight="1" x14ac:dyDescent="0.2">
      <c r="A17" s="17" t="str">
        <f>HYPERLINK("#'4.3.1.6-7 Leaching and runoff'!A1", "4.3.1.6-7 Leaching and runoff")</f>
        <v>4.3.1.6-7 Leaching and runoff</v>
      </c>
      <c r="D17" s="99" t="s">
        <v>304</v>
      </c>
      <c r="O17" s="99" t="s">
        <v>305</v>
      </c>
    </row>
    <row r="18" spans="1:22" ht="20.100000000000001" customHeight="1" x14ac:dyDescent="0.2">
      <c r="A18" s="17" t="str">
        <f>HYPERLINK("#'4.3.1.8 Manure applied to soils'!A1", "4.3.1.8 Manure applied to soils")</f>
        <v>4.3.1.8 Manure applied to soils</v>
      </c>
      <c r="D18" s="52" t="s">
        <v>142</v>
      </c>
      <c r="E18" s="52" t="s">
        <v>66</v>
      </c>
      <c r="F18" s="52" t="s">
        <v>167</v>
      </c>
      <c r="G18" s="52" t="s">
        <v>184</v>
      </c>
      <c r="H18" s="52" t="s">
        <v>185</v>
      </c>
      <c r="I18" s="52" t="s">
        <v>186</v>
      </c>
      <c r="J18" s="52" t="s">
        <v>187</v>
      </c>
      <c r="O18" s="52" t="s">
        <v>142</v>
      </c>
      <c r="P18" s="52" t="s">
        <v>66</v>
      </c>
      <c r="Q18" s="52" t="s">
        <v>167</v>
      </c>
      <c r="R18" s="52" t="s">
        <v>184</v>
      </c>
      <c r="S18" s="52" t="s">
        <v>185</v>
      </c>
      <c r="T18" s="52" t="s">
        <v>186</v>
      </c>
      <c r="U18" s="52" t="s">
        <v>187</v>
      </c>
    </row>
    <row r="19" spans="1:22" ht="20.100000000000001" customHeight="1" x14ac:dyDescent="0.2">
      <c r="A19" s="17" t="str">
        <f>HYPERLINK("#'4.3.1.9 Soil direct N2O'!A1", "4.3.1.9 Soil direct N2O")</f>
        <v>4.3.1.9 Soil direct N2O</v>
      </c>
      <c r="D19" s="53" t="str">
        <f>INDEX(X_Table_Dairy_ProductionSystems_Method1,3,1)</f>
        <v>Milking shed</v>
      </c>
      <c r="E19" s="53" t="str">
        <f>INDEX(X_Table_Dairy_Stage1MMS_1_AnaerobicLagoon,2,1)</f>
        <v>Anaerobic lagoon</v>
      </c>
      <c r="F19" s="53">
        <f>INDEX(M1_Table_MN_j_m,2,3)</f>
        <v>399.24605684746678</v>
      </c>
      <c r="G19" s="53">
        <f>INDEX(M1_Table_MN_j_m,2,4)</f>
        <v>182.35790267782079</v>
      </c>
      <c r="H19" s="53">
        <f>INDEX(M1_Table_MN_j_m,2,5)</f>
        <v>72.631224123843424</v>
      </c>
      <c r="I19" s="53">
        <f>INDEX(M1_Table_MN_j_m,2,6)</f>
        <v>229.23109573986844</v>
      </c>
      <c r="J19" s="53">
        <f>INDEX(M1_Table_MN_j_m,2,7)</f>
        <v>95.962857079055411</v>
      </c>
      <c r="K19" s="2" t="str">
        <f>$G$13</f>
        <v>kg N</v>
      </c>
      <c r="O19" s="53" t="str">
        <f>INDEX(X_Table_Dairy_ProductionSystems_Method1,3,1)</f>
        <v>Milking shed</v>
      </c>
      <c r="P19" s="53" t="str">
        <f>INDEX(X_Table_Dairy_Stage1MMS_1_AnaerobicLagoon,2,1)</f>
        <v>Anaerobic lagoon</v>
      </c>
      <c r="Q19" s="53">
        <f>INDEX(M2_Table_MN_j_m,2,3)</f>
        <v>399.24605684746678</v>
      </c>
      <c r="R19" s="53">
        <f>INDEX(M2_Table_MN_j_m,2,4)</f>
        <v>182.35790267782079</v>
      </c>
      <c r="S19" s="53">
        <f>INDEX(M2_Table_MN_j_m,2,5)</f>
        <v>72.631224123843424</v>
      </c>
      <c r="T19" s="53">
        <f>INDEX(M2_Table_MN_j_m,2,6)</f>
        <v>229.23109573986844</v>
      </c>
      <c r="U19" s="53">
        <f>INDEX(M2_Table_MN_j_m,2,7)</f>
        <v>95.962857079055411</v>
      </c>
      <c r="V19" s="2" t="str">
        <f>$G$13</f>
        <v>kg N</v>
      </c>
    </row>
    <row r="20" spans="1:22" ht="20.100000000000001" customHeight="1" x14ac:dyDescent="0.2">
      <c r="A20" s="17" t="str">
        <f>HYPERLINK("#'4.3.1.10-11 Soil Atmos Dep'!A1", "4.3.1.10-11 Soil Atmos Dep")</f>
        <v>4.3.1.10-11 Soil Atmos Dep</v>
      </c>
      <c r="D20" s="53" t="str">
        <f>INDEX(X_Table_Dairy_ProductionSystems_Method1,3,1)</f>
        <v>Milking shed</v>
      </c>
      <c r="E20" s="53" t="str">
        <f>INDEX(X_Table_Dairy_Stage1MMS_1_SumpAndDispersal,2,1)</f>
        <v>Sump and dispersal system</v>
      </c>
      <c r="F20" s="53">
        <f>INDEX(M1_Table_MN_j_m,3,3)</f>
        <v>399.24605684746678</v>
      </c>
      <c r="G20" s="53">
        <f>INDEX(M1_Table_MN_j_m,3,4)</f>
        <v>182.35790267782079</v>
      </c>
      <c r="H20" s="53">
        <f>INDEX(M1_Table_MN_j_m,3,5)</f>
        <v>72.631224123843424</v>
      </c>
      <c r="I20" s="53">
        <f>INDEX(M1_Table_MN_j_m,3,6)</f>
        <v>229.23109573986844</v>
      </c>
      <c r="J20" s="53">
        <f>INDEX(M1_Table_MN_j_m,3,7)</f>
        <v>95.962857079055411</v>
      </c>
      <c r="K20" s="2"/>
      <c r="O20" s="53" t="str">
        <f>INDEX(X_Table_Dairy_ProductionSystems_Method1,3,1)</f>
        <v>Milking shed</v>
      </c>
      <c r="P20" s="53" t="str">
        <f>INDEX(X_Table_Dairy_Stage1MMS_1_SumpAndDispersal,2,1)</f>
        <v>Sump and dispersal system</v>
      </c>
      <c r="Q20" s="53">
        <f>INDEX(M2_Table_MN_j_m,3,3)</f>
        <v>399.24605684746678</v>
      </c>
      <c r="R20" s="53">
        <f>INDEX(M2_Table_MN_j_m,3,4)</f>
        <v>182.35790267782079</v>
      </c>
      <c r="S20" s="53">
        <f>INDEX(M2_Table_MN_j_m,3,5)</f>
        <v>72.631224123843424</v>
      </c>
      <c r="T20" s="53">
        <f>INDEX(M2_Table_MN_j_m,3,6)</f>
        <v>229.23109573986844</v>
      </c>
      <c r="U20" s="53">
        <f>INDEX(M2_Table_MN_j_m,3,7)</f>
        <v>95.962857079055411</v>
      </c>
      <c r="V20" s="2"/>
    </row>
    <row r="21" spans="1:22" ht="20.100000000000001" customHeight="1" x14ac:dyDescent="0.2">
      <c r="A21" s="17" t="str">
        <f>HYPERLINK("#'4.3.1.12-13 Soil leach runoff'!A1", "4.3.1.12-13 Soil leach runoff")</f>
        <v>4.3.1.12-13 Soil leach runoff</v>
      </c>
      <c r="D21" s="53" t="str">
        <f>INDEX(X_Table_Dairy_ProductionSystems_Method1,3,1)</f>
        <v>Milking shed</v>
      </c>
      <c r="E21" s="53" t="str">
        <f>INDEX(X_Table_Dairy_Stage1MMS_1_DrainsToPaddock,2,1)</f>
        <v>Drains to paddock</v>
      </c>
      <c r="F21" s="53">
        <f>INDEX(M1_Table_MN_j_m,4,3)</f>
        <v>399.24605684746678</v>
      </c>
      <c r="G21" s="53">
        <f>INDEX(M1_Table_MN_j_m,4,4)</f>
        <v>182.35790267782079</v>
      </c>
      <c r="H21" s="53">
        <f>INDEX(M1_Table_MN_j_m,4,5)</f>
        <v>72.631224123843424</v>
      </c>
      <c r="I21" s="53">
        <f>INDEX(M1_Table_MN_j_m,4,6)</f>
        <v>229.23109573986844</v>
      </c>
      <c r="J21" s="53">
        <f>INDEX(M1_Table_MN_j_m,4,7)</f>
        <v>95.962857079055411</v>
      </c>
      <c r="K21" s="2"/>
      <c r="O21" s="53" t="str">
        <f>INDEX(X_Table_Dairy_ProductionSystems_Method1,3,1)</f>
        <v>Milking shed</v>
      </c>
      <c r="P21" s="53" t="str">
        <f>INDEX(X_Table_Dairy_Stage1MMS_1_DrainsToPaddock,2,1)</f>
        <v>Drains to paddock</v>
      </c>
      <c r="Q21" s="53">
        <f>INDEX(M2_Table_MN_j_m,4,3)</f>
        <v>399.24605684746678</v>
      </c>
      <c r="R21" s="53">
        <f>INDEX(M2_Table_MN_j_m,4,4)</f>
        <v>182.35790267782079</v>
      </c>
      <c r="S21" s="53">
        <f>INDEX(M2_Table_MN_j_m,4,5)</f>
        <v>72.631224123843424</v>
      </c>
      <c r="T21" s="53">
        <f>INDEX(M2_Table_MN_j_m,4,6)</f>
        <v>229.23109573986844</v>
      </c>
      <c r="U21" s="53">
        <f>INDEX(M2_Table_MN_j_m,4,7)</f>
        <v>95.962857079055411</v>
      </c>
      <c r="V21" s="2"/>
    </row>
    <row r="22" spans="1:22" ht="20.100000000000001" customHeight="1" x14ac:dyDescent="0.2">
      <c r="D22" s="53" t="str">
        <f>INDEX(X_Table_Dairy_ProductionSystems_Method1,3,1)</f>
        <v>Milking shed</v>
      </c>
      <c r="E22" s="53" t="s">
        <v>400</v>
      </c>
      <c r="F22" s="53">
        <f>INDEX(M1_Table_MN_j_m,5,3)</f>
        <v>798.49211369493332</v>
      </c>
      <c r="G22" s="53">
        <f>INDEX(M1_Table_MN_j_m,5,4)</f>
        <v>364.71580535564152</v>
      </c>
      <c r="H22" s="53">
        <f>INDEX(M1_Table_MN_j_m,5,5)</f>
        <v>145.26244824768682</v>
      </c>
      <c r="I22" s="53">
        <f>INDEX(M1_Table_MN_j_m,5,6)</f>
        <v>458.46219147973682</v>
      </c>
      <c r="J22" s="53">
        <f>INDEX(M1_Table_MN_j_m,5,7)</f>
        <v>191.92571415811079</v>
      </c>
      <c r="K22" s="2"/>
      <c r="O22" s="53" t="str">
        <f>INDEX(X_Table_Dairy_ProductionSystems_Method1,3,1)</f>
        <v>Milking shed</v>
      </c>
      <c r="P22" s="53" t="s">
        <v>400</v>
      </c>
      <c r="Q22" s="53">
        <f>INDEX(M2_Table_MN_j_m,5,3)</f>
        <v>798.49211369493332</v>
      </c>
      <c r="R22" s="53">
        <f>INDEX(M2_Table_MN_j_m,5,4)</f>
        <v>364.71580535564152</v>
      </c>
      <c r="S22" s="53">
        <f>INDEX(M2_Table_MN_j_m,5,5)</f>
        <v>145.26244824768682</v>
      </c>
      <c r="T22" s="53">
        <f>INDEX(M2_Table_MN_j_m,5,6)</f>
        <v>458.46219147973682</v>
      </c>
      <c r="U22" s="53">
        <f>INDEX(M2_Table_MN_j_m,5,7)</f>
        <v>191.92571415811079</v>
      </c>
      <c r="V22" s="2"/>
    </row>
    <row r="23" spans="1:22" ht="20.100000000000001" customHeight="1" x14ac:dyDescent="0.2">
      <c r="D23" s="53" t="str">
        <f>INDEX(X_Table_Dairy_ProductionSystems_Method1,4,1)</f>
        <v>Feed pad</v>
      </c>
      <c r="E23" s="53" t="str">
        <f>INDEX(X_Table_Dairy_Stage1MMS_2_AnaerobicLagoon,2,1)</f>
        <v>Anaerobic lagoon</v>
      </c>
      <c r="F23" s="53">
        <f>INDEX(M1_Table_MN_j_m,6,3)</f>
        <v>1615.131775428388</v>
      </c>
      <c r="G23" s="53">
        <f>INDEX(M1_Table_MN_j_m,6,4)</f>
        <v>737.72060628754764</v>
      </c>
      <c r="H23" s="53">
        <f>INDEX(M1_Table_MN_j_m,6,5)</f>
        <v>293.82631577373019</v>
      </c>
      <c r="I23" s="53">
        <f>INDEX(M1_Table_MN_j_m,6,6)</f>
        <v>927.34397822037681</v>
      </c>
      <c r="J23" s="53">
        <f>INDEX(M1_Table_MN_j_m,6,7)</f>
        <v>388.21337636526954</v>
      </c>
      <c r="K23" s="2"/>
      <c r="O23" s="53" t="str">
        <f>INDEX(X_Table_Dairy_ProductionSystems_Method1,4,1)</f>
        <v>Feed pad</v>
      </c>
      <c r="P23" s="53" t="str">
        <f>INDEX(X_Table_Dairy_Stage1MMS_2_AnaerobicLagoon,2,1)</f>
        <v>Anaerobic lagoon</v>
      </c>
      <c r="Q23" s="53">
        <f>INDEX(M2_Table_MN_j_m,6,3)</f>
        <v>1615.131775428388</v>
      </c>
      <c r="R23" s="53">
        <f>INDEX(M2_Table_MN_j_m,6,4)</f>
        <v>737.72060628754764</v>
      </c>
      <c r="S23" s="53">
        <f>INDEX(M2_Table_MN_j_m,6,5)</f>
        <v>293.82631577373019</v>
      </c>
      <c r="T23" s="53">
        <f>INDEX(M2_Table_MN_j_m,6,6)</f>
        <v>927.34397822037681</v>
      </c>
      <c r="U23" s="53">
        <f>INDEX(M2_Table_MN_j_m,6,7)</f>
        <v>388.21337636526954</v>
      </c>
      <c r="V23" s="2"/>
    </row>
    <row r="24" spans="1:22" ht="20.100000000000001" customHeight="1" x14ac:dyDescent="0.2">
      <c r="A24" s="154" t="s">
        <v>1</v>
      </c>
      <c r="D24" s="53" t="str">
        <f>INDEX(X_Table_Dairy_ProductionSystems_Method1,4,1)</f>
        <v>Feed pad</v>
      </c>
      <c r="E24" s="53" t="str">
        <f>INDEX(X_Table_Dairy_Stage1MMS_2_SumpAndDispersal,2,1)</f>
        <v>Sump and dispersal system</v>
      </c>
      <c r="F24" s="53">
        <f>INDEX(M1_Table_MN_j_m,7,3)</f>
        <v>1292.1054203427104</v>
      </c>
      <c r="G24" s="53">
        <f>INDEX(M1_Table_MN_j_m,7,4)</f>
        <v>590.17648503003818</v>
      </c>
      <c r="H24" s="53">
        <f>INDEX(M1_Table_MN_j_m,7,5)</f>
        <v>235.06105261898415</v>
      </c>
      <c r="I24" s="53">
        <f>INDEX(M1_Table_MN_j_m,7,6)</f>
        <v>741.87518257630143</v>
      </c>
      <c r="J24" s="53">
        <f>INDEX(M1_Table_MN_j_m,7,7)</f>
        <v>310.57070109221564</v>
      </c>
      <c r="K24" s="2"/>
      <c r="O24" s="53" t="str">
        <f>INDEX(X_Table_Dairy_ProductionSystems_Method1,4,1)</f>
        <v>Feed pad</v>
      </c>
      <c r="P24" s="53" t="str">
        <f>INDEX(X_Table_Dairy_Stage1MMS_2_SumpAndDispersal,2,1)</f>
        <v>Sump and dispersal system</v>
      </c>
      <c r="Q24" s="53">
        <f>INDEX(M2_Table_MN_j_m,7,3)</f>
        <v>1292.1054203427104</v>
      </c>
      <c r="R24" s="53">
        <f>INDEX(M2_Table_MN_j_m,7,4)</f>
        <v>590.17648503003818</v>
      </c>
      <c r="S24" s="53">
        <f>INDEX(M2_Table_MN_j_m,7,5)</f>
        <v>235.06105261898415</v>
      </c>
      <c r="T24" s="53">
        <f>INDEX(M2_Table_MN_j_m,7,6)</f>
        <v>741.87518257630143</v>
      </c>
      <c r="U24" s="53">
        <f>INDEX(M2_Table_MN_j_m,7,7)</f>
        <v>310.57070109221564</v>
      </c>
      <c r="V24" s="2"/>
    </row>
    <row r="25" spans="1:22" ht="20.100000000000001" customHeight="1" x14ac:dyDescent="0.2">
      <c r="A25" s="17" t="str">
        <f>HYPERLINK("#'Constants - Dairy'!A1", "Constants - Dairy")</f>
        <v>Constants - Dairy</v>
      </c>
      <c r="D25" s="53" t="str">
        <f>INDEX(X_Table_Dairy_ProductionSystems_Method1,4,1)</f>
        <v>Feed pad</v>
      </c>
      <c r="E25" s="53" t="str">
        <f>INDEX(X_Table_Dairy_Stage1MMS_2_DrainsToPaddock,2,1)</f>
        <v>Drains to paddock</v>
      </c>
      <c r="F25" s="53">
        <f>INDEX(M1_Table_MN_j_m,8,3)</f>
        <v>1292.1054203427104</v>
      </c>
      <c r="G25" s="53">
        <f>INDEX(M1_Table_MN_j_m,8,4)</f>
        <v>590.17648503003818</v>
      </c>
      <c r="H25" s="53">
        <f>INDEX(M1_Table_MN_j_m,8,5)</f>
        <v>235.06105261898415</v>
      </c>
      <c r="I25" s="53">
        <f>INDEX(M1_Table_MN_j_m,8,6)</f>
        <v>741.87518257630143</v>
      </c>
      <c r="J25" s="53">
        <f>INDEX(M1_Table_MN_j_m,8,7)</f>
        <v>310.57070109221564</v>
      </c>
      <c r="K25" s="2"/>
      <c r="O25" s="53" t="str">
        <f>INDEX(X_Table_Dairy_ProductionSystems_Method1,4,1)</f>
        <v>Feed pad</v>
      </c>
      <c r="P25" s="53" t="str">
        <f>INDEX(X_Table_Dairy_Stage1MMS_2_DrainsToPaddock,2,1)</f>
        <v>Drains to paddock</v>
      </c>
      <c r="Q25" s="53">
        <f>INDEX(M2_Table_MN_j_m,8,3)</f>
        <v>1292.1054203427104</v>
      </c>
      <c r="R25" s="53">
        <f>INDEX(M2_Table_MN_j_m,8,4)</f>
        <v>590.17648503003818</v>
      </c>
      <c r="S25" s="53">
        <f>INDEX(M2_Table_MN_j_m,8,5)</f>
        <v>235.06105261898415</v>
      </c>
      <c r="T25" s="53">
        <f>INDEX(M2_Table_MN_j_m,8,6)</f>
        <v>741.87518257630143</v>
      </c>
      <c r="U25" s="53">
        <f>INDEX(M2_Table_MN_j_m,8,7)</f>
        <v>310.57070109221564</v>
      </c>
      <c r="V25" s="2"/>
    </row>
    <row r="26" spans="1:22" ht="20.100000000000001" customHeight="1" x14ac:dyDescent="0.2">
      <c r="A26" s="17" t="str">
        <f>HYPERLINK("#'Constants - Common'!A1", "Constants - Common")</f>
        <v>Constants - Common</v>
      </c>
      <c r="D26" s="53" t="str">
        <f>INDEX(X_Table_Dairy_ProductionSystems_Method1,4,1)</f>
        <v>Feed pad</v>
      </c>
      <c r="E26" s="53" t="s">
        <v>400</v>
      </c>
      <c r="F26" s="53">
        <f>INDEX(M1_Table_MN_j_m,9,3)</f>
        <v>2261.1844855997429</v>
      </c>
      <c r="G26" s="53">
        <f>INDEX(M1_Table_MN_j_m,9,4)</f>
        <v>1032.8088488025667</v>
      </c>
      <c r="H26" s="53">
        <f>INDEX(M1_Table_MN_j_m,9,5)</f>
        <v>411.35684208322226</v>
      </c>
      <c r="I26" s="53">
        <f>INDEX(M1_Table_MN_j_m,9,6)</f>
        <v>1298.2815695085274</v>
      </c>
      <c r="J26" s="53">
        <f>INDEX(M1_Table_MN_j_m,9,7)</f>
        <v>543.49872691137739</v>
      </c>
      <c r="K26" s="2"/>
      <c r="O26" s="53" t="str">
        <f>INDEX(X_Table_Dairy_ProductionSystems_Method1,4,1)</f>
        <v>Feed pad</v>
      </c>
      <c r="P26" s="53" t="s">
        <v>400</v>
      </c>
      <c r="Q26" s="53">
        <f>INDEX(M2_Table_MN_j_m,9,3)</f>
        <v>2261.1844855997429</v>
      </c>
      <c r="R26" s="53">
        <f>INDEX(M2_Table_MN_j_m,9,4)</f>
        <v>1032.8088488025667</v>
      </c>
      <c r="S26" s="53">
        <f>INDEX(M2_Table_MN_j_m,9,5)</f>
        <v>411.35684208322226</v>
      </c>
      <c r="T26" s="53">
        <f>INDEX(M2_Table_MN_j_m,9,6)</f>
        <v>1298.2815695085274</v>
      </c>
      <c r="U26" s="53">
        <f>INDEX(M2_Table_MN_j_m,9,7)</f>
        <v>543.49872691137739</v>
      </c>
      <c r="V26" s="2"/>
    </row>
    <row r="27" spans="1:22" ht="20.100000000000001" customHeight="1" x14ac:dyDescent="0.2">
      <c r="A27" s="17" t="str">
        <f>HYPERLINK("#'Constants - Livestock'!A1", "Constants - Livestock")</f>
        <v>Constants - Livestock</v>
      </c>
    </row>
    <row r="28" spans="1:22" ht="20.100000000000001" customHeight="1" x14ac:dyDescent="0.2">
      <c r="A28" s="17" t="str">
        <f>HYPERLINK("#'Acknowledgements'!A1", "Acknowledgements")</f>
        <v>Acknowledgements</v>
      </c>
      <c r="D28" s="100" t="s">
        <v>313</v>
      </c>
    </row>
    <row r="29" spans="1:22" ht="20.100000000000001" customHeight="1" x14ac:dyDescent="0.2">
      <c r="A29" s="17" t="str">
        <f>HYPERLINK("#'Tab template'!A1", "Tab template")</f>
        <v>Tab template</v>
      </c>
      <c r="D29" s="99" t="s">
        <v>315</v>
      </c>
    </row>
    <row r="30" spans="1:22" ht="20.100000000000001" customHeight="1" x14ac:dyDescent="0.2">
      <c r="D30" s="52" t="s">
        <v>66</v>
      </c>
      <c r="E30" s="52" t="s">
        <v>314</v>
      </c>
    </row>
    <row r="31" spans="1:22" ht="20.100000000000001" customHeight="1" x14ac:dyDescent="0.2">
      <c r="D31" s="53" t="str" cm="1">
        <f t="array" ref="D31:D35">Table_SourceData_Dairy_EFmFracGASM[NIR reference]</f>
        <v>Pasture range and paddock</v>
      </c>
      <c r="E31" s="53" cm="1">
        <f t="array" ref="E31:E35">Table_SourceData_Dairy_EFmFracGASM[FracGASMm]</f>
        <v>0</v>
      </c>
      <c r="F31" s="2" t="str">
        <f>G14</f>
        <v>fraction</v>
      </c>
    </row>
    <row r="32" spans="1:22" ht="20.100000000000001" customHeight="1" x14ac:dyDescent="0.2">
      <c r="D32" s="53" t="str">
        <v>Anaerobic lagoon</v>
      </c>
      <c r="E32" s="53">
        <v>0.35</v>
      </c>
      <c r="F32" s="2"/>
    </row>
    <row r="33" spans="4:22" ht="20.100000000000001" customHeight="1" x14ac:dyDescent="0.2">
      <c r="D33" s="53" t="str">
        <v>Sump and dispersal system</v>
      </c>
      <c r="E33" s="53">
        <v>7.0000000000000007E-2</v>
      </c>
      <c r="F33" s="2"/>
    </row>
    <row r="34" spans="4:22" ht="20.100000000000001" customHeight="1" x14ac:dyDescent="0.2">
      <c r="D34" s="53" t="str">
        <v>Drains to paddock</v>
      </c>
      <c r="E34" s="53">
        <v>0.2</v>
      </c>
      <c r="F34" s="2"/>
    </row>
    <row r="35" spans="4:22" ht="20.100000000000001" customHeight="1" x14ac:dyDescent="0.2">
      <c r="D35" s="53" t="str">
        <v>Solid storage</v>
      </c>
      <c r="E35" s="53">
        <v>0.3</v>
      </c>
      <c r="F35" s="2"/>
    </row>
    <row r="37" spans="4:22" ht="20.100000000000001" customHeight="1" x14ac:dyDescent="0.2">
      <c r="D37" s="100" t="s">
        <v>316</v>
      </c>
      <c r="O37" s="100" t="s">
        <v>318</v>
      </c>
    </row>
    <row r="38" spans="4:22" ht="20.100000000000001" customHeight="1" x14ac:dyDescent="0.2">
      <c r="D38" s="99" t="s">
        <v>317</v>
      </c>
      <c r="O38" s="99" t="s">
        <v>319</v>
      </c>
    </row>
    <row r="39" spans="4:22" ht="20.100000000000001" customHeight="1" x14ac:dyDescent="0.2">
      <c r="D39" s="52" t="s">
        <v>142</v>
      </c>
      <c r="E39" s="52" t="s">
        <v>66</v>
      </c>
      <c r="F39" s="52" t="s">
        <v>167</v>
      </c>
      <c r="G39" s="52" t="s">
        <v>184</v>
      </c>
      <c r="H39" s="52" t="s">
        <v>185</v>
      </c>
      <c r="I39" s="52" t="s">
        <v>186</v>
      </c>
      <c r="J39" s="52" t="s">
        <v>187</v>
      </c>
      <c r="O39" s="52" t="s">
        <v>142</v>
      </c>
      <c r="P39" s="52" t="s">
        <v>66</v>
      </c>
      <c r="Q39" s="52" t="s">
        <v>167</v>
      </c>
      <c r="R39" s="52" t="s">
        <v>184</v>
      </c>
      <c r="S39" s="52" t="s">
        <v>185</v>
      </c>
      <c r="T39" s="52" t="s">
        <v>186</v>
      </c>
      <c r="U39" s="52" t="s">
        <v>187</v>
      </c>
    </row>
    <row r="40" spans="4:22" ht="20.100000000000001" customHeight="1" x14ac:dyDescent="0.2">
      <c r="D40" s="53" t="str">
        <f>INDEX(X_Table_Dairy_ProductionSystems_Method1,3,1)</f>
        <v>Milking shed</v>
      </c>
      <c r="E40" s="53" t="str">
        <f>INDEX(X_Table_Dairy_Stage1MMS_1_AnaerobicLagoon,2,1)</f>
        <v>Anaerobic lagoon</v>
      </c>
      <c r="F40" s="53" cm="1">
        <f t="array" ref="F40">MMS_Dairy_AtmosphericDeposition_Equations.VEERG_4_3_1_5__2_TotalNitrogenVolatilisedFromMMS(F19,$E32)</f>
        <v>139.73611989661336</v>
      </c>
      <c r="G40" s="53" cm="1">
        <f t="array" ref="G40">MMS_Dairy_AtmosphericDeposition_Equations.VEERG_4_3_1_5__2_TotalNitrogenVolatilisedFromMMS(G19,$E32)</f>
        <v>63.825265937237269</v>
      </c>
      <c r="H40" s="53" cm="1">
        <f t="array" ref="H40">MMS_Dairy_AtmosphericDeposition_Equations.VEERG_4_3_1_5__2_TotalNitrogenVolatilisedFromMMS(H19,$E32)</f>
        <v>25.420928443345197</v>
      </c>
      <c r="I40" s="53" cm="1">
        <f t="array" ref="I40">MMS_Dairy_AtmosphericDeposition_Equations.VEERG_4_3_1_5__2_TotalNitrogenVolatilisedFromMMS(I19,$E32)</f>
        <v>80.230883508953951</v>
      </c>
      <c r="J40" s="53" cm="1">
        <f t="array" ref="J40">MMS_Dairy_AtmosphericDeposition_Equations.VEERG_4_3_1_5__2_TotalNitrogenVolatilisedFromMMS(J19,$E32)</f>
        <v>33.586999977669393</v>
      </c>
      <c r="K40" s="2" t="str">
        <f>$E$11</f>
        <v>kg N</v>
      </c>
      <c r="O40" s="53" t="str">
        <f>INDEX(X_Table_Dairy_ProductionSystems_Method1,3,1)</f>
        <v>Milking shed</v>
      </c>
      <c r="P40" s="53" t="str">
        <f>INDEX(X_Table_Dairy_Stage1MMS_1_AnaerobicLagoon,2,1)</f>
        <v>Anaerobic lagoon</v>
      </c>
      <c r="Q40" s="53" cm="1">
        <f t="array" ref="Q40">MMS_Dairy_AtmosphericDeposition_Equations.VEERG_4_3_1_5__2_TotalNitrogenVolatilisedFromMMS(Q19,$E32)</f>
        <v>139.73611989661336</v>
      </c>
      <c r="R40" s="53" cm="1">
        <f t="array" ref="R40">MMS_Dairy_AtmosphericDeposition_Equations.VEERG_4_3_1_5__2_TotalNitrogenVolatilisedFromMMS(R19,$E32)</f>
        <v>63.825265937237269</v>
      </c>
      <c r="S40" s="53" cm="1">
        <f t="array" ref="S40">MMS_Dairy_AtmosphericDeposition_Equations.VEERG_4_3_1_5__2_TotalNitrogenVolatilisedFromMMS(S19,$E32)</f>
        <v>25.420928443345197</v>
      </c>
      <c r="T40" s="53" cm="1">
        <f t="array" ref="T40">MMS_Dairy_AtmosphericDeposition_Equations.VEERG_4_3_1_5__2_TotalNitrogenVolatilisedFromMMS(T19,$E32)</f>
        <v>80.230883508953951</v>
      </c>
      <c r="U40" s="53" cm="1">
        <f t="array" ref="U40">MMS_Dairy_AtmosphericDeposition_Equations.VEERG_4_3_1_5__2_TotalNitrogenVolatilisedFromMMS(U19,$E32)</f>
        <v>33.586999977669393</v>
      </c>
      <c r="V40" s="2" t="str">
        <f>$E$11</f>
        <v>kg N</v>
      </c>
    </row>
    <row r="41" spans="4:22" ht="20.100000000000001" customHeight="1" x14ac:dyDescent="0.2">
      <c r="D41" s="53" t="str">
        <f>INDEX(X_Table_Dairy_ProductionSystems_Method1,3,1)</f>
        <v>Milking shed</v>
      </c>
      <c r="E41" s="53" t="str">
        <f>INDEX(X_Table_Dairy_Stage1MMS_1_SumpAndDispersal,2,1)</f>
        <v>Sump and dispersal system</v>
      </c>
      <c r="F41" s="53" cm="1">
        <f t="array" ref="F41">MMS_Dairy_AtmosphericDeposition_Equations.VEERG_4_3_1_5__2_TotalNitrogenVolatilisedFromMMS(F20,$E33)</f>
        <v>27.947223979322676</v>
      </c>
      <c r="G41" s="53" cm="1">
        <f t="array" ref="G41">MMS_Dairy_AtmosphericDeposition_Equations.VEERG_4_3_1_5__2_TotalNitrogenVolatilisedFromMMS(G20,$E33)</f>
        <v>12.765053187447457</v>
      </c>
      <c r="H41" s="53" cm="1">
        <f t="array" ref="H41">MMS_Dairy_AtmosphericDeposition_Equations.VEERG_4_3_1_5__2_TotalNitrogenVolatilisedFromMMS(H20,$E33)</f>
        <v>5.0841856886690397</v>
      </c>
      <c r="I41" s="53" cm="1">
        <f t="array" ref="I41">MMS_Dairy_AtmosphericDeposition_Equations.VEERG_4_3_1_5__2_TotalNitrogenVolatilisedFromMMS(I20,$E33)</f>
        <v>16.046176701790792</v>
      </c>
      <c r="J41" s="53" cm="1">
        <f t="array" ref="J41">MMS_Dairy_AtmosphericDeposition_Equations.VEERG_4_3_1_5__2_TotalNitrogenVolatilisedFromMMS(J20,$E33)</f>
        <v>6.7173999955338797</v>
      </c>
      <c r="K41" s="2"/>
      <c r="O41" s="53" t="str">
        <f>INDEX(X_Table_Dairy_ProductionSystems_Method1,3,1)</f>
        <v>Milking shed</v>
      </c>
      <c r="P41" s="53" t="str">
        <f>INDEX(X_Table_Dairy_Stage1MMS_1_SumpAndDispersal,2,1)</f>
        <v>Sump and dispersal system</v>
      </c>
      <c r="Q41" s="53" cm="1">
        <f t="array" ref="Q41">MMS_Dairy_AtmosphericDeposition_Equations.VEERG_4_3_1_5__2_TotalNitrogenVolatilisedFromMMS(Q20,$E33)</f>
        <v>27.947223979322676</v>
      </c>
      <c r="R41" s="53" cm="1">
        <f t="array" ref="R41">MMS_Dairy_AtmosphericDeposition_Equations.VEERG_4_3_1_5__2_TotalNitrogenVolatilisedFromMMS(R20,$E33)</f>
        <v>12.765053187447457</v>
      </c>
      <c r="S41" s="53" cm="1">
        <f t="array" ref="S41">MMS_Dairy_AtmosphericDeposition_Equations.VEERG_4_3_1_5__2_TotalNitrogenVolatilisedFromMMS(S20,$E33)</f>
        <v>5.0841856886690397</v>
      </c>
      <c r="T41" s="53" cm="1">
        <f t="array" ref="T41">MMS_Dairy_AtmosphericDeposition_Equations.VEERG_4_3_1_5__2_TotalNitrogenVolatilisedFromMMS(T20,$E33)</f>
        <v>16.046176701790792</v>
      </c>
      <c r="U41" s="53" cm="1">
        <f t="array" ref="U41">MMS_Dairy_AtmosphericDeposition_Equations.VEERG_4_3_1_5__2_TotalNitrogenVolatilisedFromMMS(U20,$E33)</f>
        <v>6.7173999955338797</v>
      </c>
      <c r="V41" s="2"/>
    </row>
    <row r="42" spans="4:22" ht="20.100000000000001" customHeight="1" x14ac:dyDescent="0.2">
      <c r="D42" s="53" t="str">
        <f>INDEX(X_Table_Dairy_ProductionSystems_Method1,3,1)</f>
        <v>Milking shed</v>
      </c>
      <c r="E42" s="53" t="str">
        <f>INDEX(X_Table_Dairy_Stage1MMS_1_DrainsToPaddock,2,1)</f>
        <v>Drains to paddock</v>
      </c>
      <c r="F42" s="53" cm="1">
        <f t="array" ref="F42">MMS_Dairy_AtmosphericDeposition_Equations.VEERG_4_3_1_5__2_TotalNitrogenVolatilisedFromMMS(F21,$E34)</f>
        <v>79.849211369493361</v>
      </c>
      <c r="G42" s="53" cm="1">
        <f t="array" ref="G42">MMS_Dairy_AtmosphericDeposition_Equations.VEERG_4_3_1_5__2_TotalNitrogenVolatilisedFromMMS(G21,$E34)</f>
        <v>36.471580535564158</v>
      </c>
      <c r="H42" s="53" cm="1">
        <f t="array" ref="H42">MMS_Dairy_AtmosphericDeposition_Equations.VEERG_4_3_1_5__2_TotalNitrogenVolatilisedFromMMS(H21,$E34)</f>
        <v>14.526244824768686</v>
      </c>
      <c r="I42" s="53" cm="1">
        <f t="array" ref="I42">MMS_Dairy_AtmosphericDeposition_Equations.VEERG_4_3_1_5__2_TotalNitrogenVolatilisedFromMMS(I21,$E34)</f>
        <v>45.846219147973692</v>
      </c>
      <c r="J42" s="53" cm="1">
        <f t="array" ref="J42">MMS_Dairy_AtmosphericDeposition_Equations.VEERG_4_3_1_5__2_TotalNitrogenVolatilisedFromMMS(J21,$E34)</f>
        <v>19.192571415811084</v>
      </c>
      <c r="K42" s="2"/>
      <c r="O42" s="53" t="str">
        <f>INDEX(X_Table_Dairy_ProductionSystems_Method1,3,1)</f>
        <v>Milking shed</v>
      </c>
      <c r="P42" s="53" t="str">
        <f>INDEX(X_Table_Dairy_Stage1MMS_1_DrainsToPaddock,2,1)</f>
        <v>Drains to paddock</v>
      </c>
      <c r="Q42" s="53" cm="1">
        <f t="array" ref="Q42">MMS_Dairy_AtmosphericDeposition_Equations.VEERG_4_3_1_5__2_TotalNitrogenVolatilisedFromMMS(Q21,$E34)</f>
        <v>79.849211369493361</v>
      </c>
      <c r="R42" s="53" cm="1">
        <f t="array" ref="R42">MMS_Dairy_AtmosphericDeposition_Equations.VEERG_4_3_1_5__2_TotalNitrogenVolatilisedFromMMS(R21,$E34)</f>
        <v>36.471580535564158</v>
      </c>
      <c r="S42" s="53" cm="1">
        <f t="array" ref="S42">MMS_Dairy_AtmosphericDeposition_Equations.VEERG_4_3_1_5__2_TotalNitrogenVolatilisedFromMMS(S21,$E34)</f>
        <v>14.526244824768686</v>
      </c>
      <c r="T42" s="53" cm="1">
        <f t="array" ref="T42">MMS_Dairy_AtmosphericDeposition_Equations.VEERG_4_3_1_5__2_TotalNitrogenVolatilisedFromMMS(T21,$E34)</f>
        <v>45.846219147973692</v>
      </c>
      <c r="U42" s="53" cm="1">
        <f t="array" ref="U42">MMS_Dairy_AtmosphericDeposition_Equations.VEERG_4_3_1_5__2_TotalNitrogenVolatilisedFromMMS(U21,$E34)</f>
        <v>19.192571415811084</v>
      </c>
      <c r="V42" s="2"/>
    </row>
    <row r="43" spans="4:22" ht="20.100000000000001" customHeight="1" x14ac:dyDescent="0.2">
      <c r="D43" s="53" t="str">
        <f>INDEX(X_Table_Dairy_ProductionSystems_Method1,3,1)</f>
        <v>Milking shed</v>
      </c>
      <c r="E43" s="53" t="s">
        <v>400</v>
      </c>
      <c r="F43" s="53" cm="1">
        <f t="array" ref="F43">MMS_Dairy_AtmosphericDeposition_Equations.VEERG_4_3_1_5__2_TotalNitrogenVolatilisedFromMMS(F22,$E35)</f>
        <v>239.54763410848</v>
      </c>
      <c r="G43" s="53" cm="1">
        <f t="array" ref="G43">MMS_Dairy_AtmosphericDeposition_Equations.VEERG_4_3_1_5__2_TotalNitrogenVolatilisedFromMMS(G22,$E35)</f>
        <v>109.41474160669246</v>
      </c>
      <c r="H43" s="53" cm="1">
        <f t="array" ref="H43">MMS_Dairy_AtmosphericDeposition_Equations.VEERG_4_3_1_5__2_TotalNitrogenVolatilisedFromMMS(H22,$E35)</f>
        <v>43.578734474306046</v>
      </c>
      <c r="I43" s="53" cm="1">
        <f t="array" ref="I43">MMS_Dairy_AtmosphericDeposition_Equations.VEERG_4_3_1_5__2_TotalNitrogenVolatilisedFromMMS(I22,$E35)</f>
        <v>137.53865744392104</v>
      </c>
      <c r="J43" s="53" cm="1">
        <f t="array" ref="J43">MMS_Dairy_AtmosphericDeposition_Equations.VEERG_4_3_1_5__2_TotalNitrogenVolatilisedFromMMS(J22,$E35)</f>
        <v>57.577714247433235</v>
      </c>
      <c r="K43" s="2"/>
      <c r="O43" s="53" t="str">
        <f>INDEX(X_Table_Dairy_ProductionSystems_Method1,3,1)</f>
        <v>Milking shed</v>
      </c>
      <c r="P43" s="53" t="s">
        <v>400</v>
      </c>
      <c r="Q43" s="53" cm="1">
        <f t="array" ref="Q43">MMS_Dairy_AtmosphericDeposition_Equations.VEERG_4_3_1_5__2_TotalNitrogenVolatilisedFromMMS(Q22,$E35)</f>
        <v>239.54763410848</v>
      </c>
      <c r="R43" s="53" cm="1">
        <f t="array" ref="R43">MMS_Dairy_AtmosphericDeposition_Equations.VEERG_4_3_1_5__2_TotalNitrogenVolatilisedFromMMS(R22,$E35)</f>
        <v>109.41474160669246</v>
      </c>
      <c r="S43" s="53" cm="1">
        <f t="array" ref="S43">MMS_Dairy_AtmosphericDeposition_Equations.VEERG_4_3_1_5__2_TotalNitrogenVolatilisedFromMMS(S22,$E35)</f>
        <v>43.578734474306046</v>
      </c>
      <c r="T43" s="53" cm="1">
        <f t="array" ref="T43">MMS_Dairy_AtmosphericDeposition_Equations.VEERG_4_3_1_5__2_TotalNitrogenVolatilisedFromMMS(T22,$E35)</f>
        <v>137.53865744392104</v>
      </c>
      <c r="U43" s="53" cm="1">
        <f t="array" ref="U43">MMS_Dairy_AtmosphericDeposition_Equations.VEERG_4_3_1_5__2_TotalNitrogenVolatilisedFromMMS(U22,$E35)</f>
        <v>57.577714247433235</v>
      </c>
      <c r="V43" s="2"/>
    </row>
    <row r="44" spans="4:22" ht="20.100000000000001" customHeight="1" x14ac:dyDescent="0.2">
      <c r="D44" s="53" t="str">
        <f>INDEX(X_Table_Dairy_ProductionSystems_Method1,4,1)</f>
        <v>Feed pad</v>
      </c>
      <c r="E44" s="53" t="str">
        <f>INDEX(X_Table_Dairy_Stage1MMS_2_AnaerobicLagoon,2,1)</f>
        <v>Anaerobic lagoon</v>
      </c>
      <c r="F44" s="53" cm="1">
        <f t="array" ref="F44">MMS_Dairy_AtmosphericDeposition_Equations.VEERG_4_3_1_5__2_TotalNitrogenVolatilisedFromMMS(F23, $E32)</f>
        <v>565.29612139993571</v>
      </c>
      <c r="G44" s="53" cm="1">
        <f t="array" ref="G44">MMS_Dairy_AtmosphericDeposition_Equations.VEERG_4_3_1_5__2_TotalNitrogenVolatilisedFromMMS(G23, $E32)</f>
        <v>258.20221220064167</v>
      </c>
      <c r="H44" s="53" cm="1">
        <f t="array" ref="H44">MMS_Dairy_AtmosphericDeposition_Equations.VEERG_4_3_1_5__2_TotalNitrogenVolatilisedFromMMS(H23, $E32)</f>
        <v>102.83921052080557</v>
      </c>
      <c r="I44" s="53" cm="1">
        <f t="array" ref="I44">MMS_Dairy_AtmosphericDeposition_Equations.VEERG_4_3_1_5__2_TotalNitrogenVolatilisedFromMMS(I23, $E32)</f>
        <v>324.57039237713184</v>
      </c>
      <c r="J44" s="53" cm="1">
        <f t="array" ref="J44">MMS_Dairy_AtmosphericDeposition_Equations.VEERG_4_3_1_5__2_TotalNitrogenVolatilisedFromMMS(J23, $E32)</f>
        <v>135.87468172784432</v>
      </c>
      <c r="K44" s="2"/>
      <c r="O44" s="53" t="str">
        <f>INDEX(X_Table_Dairy_ProductionSystems_Method1,4,1)</f>
        <v>Feed pad</v>
      </c>
      <c r="P44" s="53" t="str">
        <f>INDEX(X_Table_Dairy_Stage1MMS_2_AnaerobicLagoon,2,1)</f>
        <v>Anaerobic lagoon</v>
      </c>
      <c r="Q44" s="53" cm="1">
        <f t="array" ref="Q44">MMS_Dairy_AtmosphericDeposition_Equations.VEERG_4_3_1_5__2_TotalNitrogenVolatilisedFromMMS(Q23, $E32)</f>
        <v>565.29612139993571</v>
      </c>
      <c r="R44" s="53" cm="1">
        <f t="array" ref="R44">MMS_Dairy_AtmosphericDeposition_Equations.VEERG_4_3_1_5__2_TotalNitrogenVolatilisedFromMMS(R23, $E32)</f>
        <v>258.20221220064167</v>
      </c>
      <c r="S44" s="53" cm="1">
        <f t="array" ref="S44">MMS_Dairy_AtmosphericDeposition_Equations.VEERG_4_3_1_5__2_TotalNitrogenVolatilisedFromMMS(S23, $E32)</f>
        <v>102.83921052080557</v>
      </c>
      <c r="T44" s="53" cm="1">
        <f t="array" ref="T44">MMS_Dairy_AtmosphericDeposition_Equations.VEERG_4_3_1_5__2_TotalNitrogenVolatilisedFromMMS(T23, $E32)</f>
        <v>324.57039237713184</v>
      </c>
      <c r="U44" s="53" cm="1">
        <f t="array" ref="U44">MMS_Dairy_AtmosphericDeposition_Equations.VEERG_4_3_1_5__2_TotalNitrogenVolatilisedFromMMS(U23, $E32)</f>
        <v>135.87468172784432</v>
      </c>
      <c r="V44" s="2"/>
    </row>
    <row r="45" spans="4:22" ht="20.100000000000001" customHeight="1" x14ac:dyDescent="0.2">
      <c r="D45" s="53" t="str">
        <f>INDEX(X_Table_Dairy_ProductionSystems_Method1,4,1)</f>
        <v>Feed pad</v>
      </c>
      <c r="E45" s="53" t="str">
        <f>INDEX(X_Table_Dairy_Stage1MMS_2_SumpAndDispersal,2,1)</f>
        <v>Sump and dispersal system</v>
      </c>
      <c r="F45" s="53" cm="1">
        <f t="array" ref="F45">MMS_Dairy_AtmosphericDeposition_Equations.VEERG_4_3_1_5__2_TotalNitrogenVolatilisedFromMMS(F24, $E33)</f>
        <v>90.447379423989744</v>
      </c>
      <c r="G45" s="53" cm="1">
        <f t="array" ref="G45">MMS_Dairy_AtmosphericDeposition_Equations.VEERG_4_3_1_5__2_TotalNitrogenVolatilisedFromMMS(G24, $E33)</f>
        <v>41.312353952102676</v>
      </c>
      <c r="H45" s="53" cm="1">
        <f t="array" ref="H45">MMS_Dairy_AtmosphericDeposition_Equations.VEERG_4_3_1_5__2_TotalNitrogenVolatilisedFromMMS(H24, $E33)</f>
        <v>16.454273683328893</v>
      </c>
      <c r="I45" s="53" cm="1">
        <f t="array" ref="I45">MMS_Dairy_AtmosphericDeposition_Equations.VEERG_4_3_1_5__2_TotalNitrogenVolatilisedFromMMS(I24, $E33)</f>
        <v>51.931262780341108</v>
      </c>
      <c r="J45" s="53" cm="1">
        <f t="array" ref="J45">MMS_Dairy_AtmosphericDeposition_Equations.VEERG_4_3_1_5__2_TotalNitrogenVolatilisedFromMMS(J24, $E33)</f>
        <v>21.739949076455098</v>
      </c>
      <c r="K45" s="2"/>
      <c r="O45" s="53" t="str">
        <f>INDEX(X_Table_Dairy_ProductionSystems_Method1,4,1)</f>
        <v>Feed pad</v>
      </c>
      <c r="P45" s="53" t="str">
        <f>INDEX(X_Table_Dairy_Stage1MMS_2_SumpAndDispersal,2,1)</f>
        <v>Sump and dispersal system</v>
      </c>
      <c r="Q45" s="53" cm="1">
        <f t="array" ref="Q45">MMS_Dairy_AtmosphericDeposition_Equations.VEERG_4_3_1_5__2_TotalNitrogenVolatilisedFromMMS(Q24, $E33)</f>
        <v>90.447379423989744</v>
      </c>
      <c r="R45" s="53" cm="1">
        <f t="array" ref="R45">MMS_Dairy_AtmosphericDeposition_Equations.VEERG_4_3_1_5__2_TotalNitrogenVolatilisedFromMMS(R24, $E33)</f>
        <v>41.312353952102676</v>
      </c>
      <c r="S45" s="53" cm="1">
        <f t="array" ref="S45">MMS_Dairy_AtmosphericDeposition_Equations.VEERG_4_3_1_5__2_TotalNitrogenVolatilisedFromMMS(S24, $E33)</f>
        <v>16.454273683328893</v>
      </c>
      <c r="T45" s="53" cm="1">
        <f t="array" ref="T45">MMS_Dairy_AtmosphericDeposition_Equations.VEERG_4_3_1_5__2_TotalNitrogenVolatilisedFromMMS(T24, $E33)</f>
        <v>51.931262780341108</v>
      </c>
      <c r="U45" s="53" cm="1">
        <f t="array" ref="U45">MMS_Dairy_AtmosphericDeposition_Equations.VEERG_4_3_1_5__2_TotalNitrogenVolatilisedFromMMS(U24, $E33)</f>
        <v>21.739949076455098</v>
      </c>
      <c r="V45" s="2"/>
    </row>
    <row r="46" spans="4:22" ht="20.100000000000001" customHeight="1" x14ac:dyDescent="0.2">
      <c r="D46" s="53" t="str">
        <f>INDEX(X_Table_Dairy_ProductionSystems_Method1,4,1)</f>
        <v>Feed pad</v>
      </c>
      <c r="E46" s="53" t="str">
        <f>INDEX(X_Table_Dairy_Stage1MMS_2_DrainsToPaddock,2,1)</f>
        <v>Drains to paddock</v>
      </c>
      <c r="F46" s="53" cm="1">
        <f t="array" ref="F46">MMS_Dairy_AtmosphericDeposition_Equations.VEERG_4_3_1_5__2_TotalNitrogenVolatilisedFromMMS(F25, $E34)</f>
        <v>258.42108406854209</v>
      </c>
      <c r="G46" s="53" cm="1">
        <f t="array" ref="G46">MMS_Dairy_AtmosphericDeposition_Equations.VEERG_4_3_1_5__2_TotalNitrogenVolatilisedFromMMS(G25, $E34)</f>
        <v>118.03529700600764</v>
      </c>
      <c r="H46" s="53" cm="1">
        <f t="array" ref="H46">MMS_Dairy_AtmosphericDeposition_Equations.VEERG_4_3_1_5__2_TotalNitrogenVolatilisedFromMMS(H25, $E34)</f>
        <v>47.012210523796831</v>
      </c>
      <c r="I46" s="53" cm="1">
        <f t="array" ref="I46">MMS_Dairy_AtmosphericDeposition_Equations.VEERG_4_3_1_5__2_TotalNitrogenVolatilisedFromMMS(I25, $E34)</f>
        <v>148.37503651526029</v>
      </c>
      <c r="J46" s="53" cm="1">
        <f t="array" ref="J46">MMS_Dairy_AtmosphericDeposition_Equations.VEERG_4_3_1_5__2_TotalNitrogenVolatilisedFromMMS(J25, $E34)</f>
        <v>62.114140218443133</v>
      </c>
      <c r="K46" s="2"/>
      <c r="O46" s="53" t="str">
        <f>INDEX(X_Table_Dairy_ProductionSystems_Method1,4,1)</f>
        <v>Feed pad</v>
      </c>
      <c r="P46" s="53" t="str">
        <f>INDEX(X_Table_Dairy_Stage1MMS_2_DrainsToPaddock,2,1)</f>
        <v>Drains to paddock</v>
      </c>
      <c r="Q46" s="53" cm="1">
        <f t="array" ref="Q46">MMS_Dairy_AtmosphericDeposition_Equations.VEERG_4_3_1_5__2_TotalNitrogenVolatilisedFromMMS(Q25, $E34)</f>
        <v>258.42108406854209</v>
      </c>
      <c r="R46" s="53" cm="1">
        <f t="array" ref="R46">MMS_Dairy_AtmosphericDeposition_Equations.VEERG_4_3_1_5__2_TotalNitrogenVolatilisedFromMMS(R25, $E34)</f>
        <v>118.03529700600764</v>
      </c>
      <c r="S46" s="53" cm="1">
        <f t="array" ref="S46">MMS_Dairy_AtmosphericDeposition_Equations.VEERG_4_3_1_5__2_TotalNitrogenVolatilisedFromMMS(S25, $E34)</f>
        <v>47.012210523796831</v>
      </c>
      <c r="T46" s="53" cm="1">
        <f t="array" ref="T46">MMS_Dairy_AtmosphericDeposition_Equations.VEERG_4_3_1_5__2_TotalNitrogenVolatilisedFromMMS(T25, $E34)</f>
        <v>148.37503651526029</v>
      </c>
      <c r="U46" s="53" cm="1">
        <f t="array" ref="U46">MMS_Dairy_AtmosphericDeposition_Equations.VEERG_4_3_1_5__2_TotalNitrogenVolatilisedFromMMS(U25, $E34)</f>
        <v>62.114140218443133</v>
      </c>
      <c r="V46" s="2"/>
    </row>
    <row r="47" spans="4:22" ht="20.100000000000001" customHeight="1" x14ac:dyDescent="0.2">
      <c r="D47" s="53" t="str">
        <f>INDEX(X_Table_Dairy_ProductionSystems_Method1,4,1)</f>
        <v>Feed pad</v>
      </c>
      <c r="E47" s="53" t="s">
        <v>400</v>
      </c>
      <c r="F47" s="53" cm="1">
        <f t="array" ref="F47">MMS_Dairy_AtmosphericDeposition_Equations.VEERG_4_3_1_5__2_TotalNitrogenVolatilisedFromMMS(F26, $E35)</f>
        <v>678.35534567992283</v>
      </c>
      <c r="G47" s="53" cm="1">
        <f t="array" ref="G47">MMS_Dairy_AtmosphericDeposition_Equations.VEERG_4_3_1_5__2_TotalNitrogenVolatilisedFromMMS(G26, $E35)</f>
        <v>309.84265464076998</v>
      </c>
      <c r="H47" s="53" cm="1">
        <f t="array" ref="H47">MMS_Dairy_AtmosphericDeposition_Equations.VEERG_4_3_1_5__2_TotalNitrogenVolatilisedFromMMS(H26, $E35)</f>
        <v>123.40705262496667</v>
      </c>
      <c r="I47" s="53" cm="1">
        <f t="array" ref="I47">MMS_Dairy_AtmosphericDeposition_Equations.VEERG_4_3_1_5__2_TotalNitrogenVolatilisedFromMMS(I26, $E35)</f>
        <v>389.48447085255822</v>
      </c>
      <c r="J47" s="53" cm="1">
        <f t="array" ref="J47">MMS_Dairy_AtmosphericDeposition_Equations.VEERG_4_3_1_5__2_TotalNitrogenVolatilisedFromMMS(J26, $E35)</f>
        <v>163.0496180734132</v>
      </c>
      <c r="K47" s="2"/>
      <c r="O47" s="53" t="str">
        <f>INDEX(X_Table_Dairy_ProductionSystems_Method1,4,1)</f>
        <v>Feed pad</v>
      </c>
      <c r="P47" s="53" t="s">
        <v>400</v>
      </c>
      <c r="Q47" s="53" cm="1">
        <f t="array" ref="Q47">MMS_Dairy_AtmosphericDeposition_Equations.VEERG_4_3_1_5__2_TotalNitrogenVolatilisedFromMMS(Q26, $E35)</f>
        <v>678.35534567992283</v>
      </c>
      <c r="R47" s="53" cm="1">
        <f t="array" ref="R47">MMS_Dairy_AtmosphericDeposition_Equations.VEERG_4_3_1_5__2_TotalNitrogenVolatilisedFromMMS(R26, $E35)</f>
        <v>309.84265464076998</v>
      </c>
      <c r="S47" s="53" cm="1">
        <f t="array" ref="S47">MMS_Dairy_AtmosphericDeposition_Equations.VEERG_4_3_1_5__2_TotalNitrogenVolatilisedFromMMS(S26, $E35)</f>
        <v>123.40705262496667</v>
      </c>
      <c r="T47" s="53" cm="1">
        <f t="array" ref="T47">MMS_Dairy_AtmosphericDeposition_Equations.VEERG_4_3_1_5__2_TotalNitrogenVolatilisedFromMMS(T26, $E35)</f>
        <v>389.48447085255822</v>
      </c>
      <c r="U47" s="53" cm="1">
        <f t="array" ref="U47">MMS_Dairy_AtmosphericDeposition_Equations.VEERG_4_3_1_5__2_TotalNitrogenVolatilisedFromMMS(U26, $E35)</f>
        <v>163.0496180734132</v>
      </c>
      <c r="V47" s="2"/>
    </row>
    <row r="49" spans="3:23" ht="20.100000000000001" customHeight="1" x14ac:dyDescent="0.2">
      <c r="D49" s="114" t="s">
        <v>375</v>
      </c>
      <c r="E49" s="46">
        <f>SUM(F40:J47)</f>
        <v>5101.668293837286</v>
      </c>
      <c r="F49" s="108" t="str">
        <f>$E$11</f>
        <v>kg N</v>
      </c>
      <c r="O49" s="114" t="s">
        <v>375</v>
      </c>
      <c r="P49" s="46">
        <f>SUM(Q40:U47)</f>
        <v>5101.668293837286</v>
      </c>
      <c r="Q49" s="108" t="str">
        <f>$E$11</f>
        <v>kg N</v>
      </c>
    </row>
    <row r="52" spans="3:23" ht="20.100000000000001" customHeight="1" x14ac:dyDescent="0.2">
      <c r="C52" s="46"/>
      <c r="D52" s="46"/>
      <c r="E52" s="46"/>
      <c r="F52" s="46"/>
      <c r="G52" s="46"/>
      <c r="H52" s="46"/>
      <c r="I52" s="46"/>
      <c r="J52" s="46"/>
      <c r="K52" s="46"/>
      <c r="L52" s="46"/>
      <c r="N52" s="46"/>
      <c r="O52" s="46"/>
      <c r="P52" s="46"/>
      <c r="Q52" s="46"/>
      <c r="R52" s="46"/>
      <c r="S52" s="46"/>
      <c r="T52" s="46"/>
      <c r="U52" s="46"/>
      <c r="V52" s="46"/>
      <c r="W52" s="46"/>
    </row>
    <row r="53" spans="3:23" ht="20.100000000000001" customHeight="1" x14ac:dyDescent="0.2">
      <c r="D53" s="6" t="str" cm="1">
        <f t="array" ref="D53">MMS_Dairy_AtmosphericDeposition_Equations.VEERG_4_3_1_5__1_AnnualAtmosphericDepositionEmissionsFromMMS_Title()</f>
        <v>Annual atmospheric deposition emissions from MMS</v>
      </c>
    </row>
    <row r="54" spans="3:23" ht="20.100000000000001" customHeight="1" x14ac:dyDescent="0.2">
      <c r="D54" s="5" t="str" cm="1">
        <f t="array" ref="D54">MMS_Dairy_AtmosphericDeposition_Equations.VEERG_4_3_1_5__1_AnnualAtmosphericDepositionEmissionsFromMMS_Source()</f>
        <v>VEERG 2026: 4.3.1.5, Equation (1)</v>
      </c>
    </row>
    <row r="55" spans="3:23" ht="20.100000000000001" customHeight="1" x14ac:dyDescent="0.2">
      <c r="D55" s="13" t="s">
        <v>25</v>
      </c>
      <c r="E55" s="13" t="str">
        <f ca="1">Common_InputFunctions.Utility_DisplayFunctionName(VEERG_4_3_1_5__1_AnnualAtmosphericDepositionEmissionsFromMMS_Result_Method1)</f>
        <v>=MMS_Dairy_AtmosphericDeposition_Equations.VEERG_4_3_1_5__1_AnnualAtmosphericDepositionEmissionsFromMMS</v>
      </c>
    </row>
    <row r="57" spans="3:23" ht="20.100000000000001" customHeight="1" x14ac:dyDescent="0.2">
      <c r="D57" s="6"/>
      <c r="H57" s="1" t="s">
        <v>416</v>
      </c>
    </row>
    <row r="58" spans="3:23" ht="20.100000000000001" customHeight="1" x14ac:dyDescent="0.2">
      <c r="D58" s="54" t="s">
        <v>28</v>
      </c>
      <c r="E58" s="1" t="str" cm="1">
        <f t="array" ref="E58">MMS_Dairy_AtmosphericDeposition_Equations.VEERG_4_3_1_5__1_AnnualAtmosphericDepositionEmissionsFromMMS_Variable()</f>
        <v>E_N2OMMSad</v>
      </c>
    </row>
    <row r="59" spans="3:23" ht="20.100000000000001" customHeight="1" x14ac:dyDescent="0.2">
      <c r="D59" s="54" t="s">
        <v>18</v>
      </c>
      <c r="E59" s="55" t="str" cm="1">
        <f t="array" ref="E59">MMS_Dairy_AtmosphericDeposition_Equations.VEERG_4_3_1_5__1_AnnualAtmosphericDepositionEmissionsFromMMS_Unit()</f>
        <v>t N2O</v>
      </c>
    </row>
    <row r="61" spans="3:23" ht="20.100000000000001" customHeight="1" x14ac:dyDescent="0.2">
      <c r="D61" s="133" t="str" cm="1">
        <f t="array" ref="D61:E66">_xlfn.CHOOSECOLS(MMS_Dairy_AtmosphericDeposition_Equations.VEERG_4_3_1_5__1_AnnualAtmosphericDepositionEmissionsFromMMS_Arguments(),1,2)</f>
        <v>MN_ATMOS</v>
      </c>
      <c r="E61" s="132" t="str">
        <v>mass of N volatilised from MMS</v>
      </c>
      <c r="F61" s="134"/>
      <c r="G61" s="133" t="str" cm="1">
        <f t="array" ref="G61:H66">_xlfn.CHOOSECOLS(MMS_Dairy_AtmosphericDeposition_Equations.VEERG_4_3_1_5__1_AnnualAtmosphericDepositionEmissionsFromMMS_Arguments(),3,4)</f>
        <v>kg N</v>
      </c>
      <c r="H61" s="129" t="str">
        <v>Calculated from 4.3.1.5 (2)</v>
      </c>
      <c r="I61" s="133">
        <f>$E$49</f>
        <v>5101.668293837286</v>
      </c>
      <c r="O61" s="58" t="str">
        <f>D61</f>
        <v>MN_ATMOS</v>
      </c>
      <c r="P61" s="59" t="str">
        <f>E61</f>
        <v>mass of N volatilised from MMS</v>
      </c>
      <c r="Q61" s="60"/>
      <c r="R61" s="58">
        <f>$P$49</f>
        <v>5101.668293837286</v>
      </c>
    </row>
    <row r="62" spans="3:23" ht="20.100000000000001" customHeight="1" x14ac:dyDescent="0.2">
      <c r="D62" s="133" t="str">
        <v>EF_N2O</v>
      </c>
      <c r="E62" s="132" t="str">
        <v>nitrous oxide emission factor for atmospheric deposition</v>
      </c>
      <c r="F62" s="134"/>
      <c r="G62" s="133" t="str">
        <v>kg N2O-N/kg N</v>
      </c>
      <c r="H62" s="129" t="str">
        <v>Constant</v>
      </c>
      <c r="I62" s="133">
        <f>Common_InputFunctions.Utility_LookupN2OEFFromProdIrrigationRainfall(I64,I65,I66,Table_SourceData_Common_EFN2O[Production system only],Table_SourceData_Common_EFN2O[Irrigation method],Table_SourceData_Common_EFN2O[Rainfall zone],Table_SourceData_Common_EFN2O[EFN2O])</f>
        <v>5.8999999999999999E-3</v>
      </c>
      <c r="O62" s="58"/>
      <c r="P62" s="59"/>
      <c r="Q62" s="60"/>
      <c r="R62" s="58"/>
    </row>
    <row r="63" spans="3:23" ht="20.100000000000001" customHeight="1" x14ac:dyDescent="0.2">
      <c r="D63" s="133" t="str">
        <v>C_N2O</v>
      </c>
      <c r="E63" s="132" t="str">
        <v>factor to convert elemental mass of N2O to molecular mass</v>
      </c>
      <c r="F63" s="134"/>
      <c r="G63" s="133" t="str">
        <v/>
      </c>
      <c r="H63" s="129" t="str">
        <v>Constant</v>
      </c>
      <c r="I63" s="133">
        <f>Common_InputFunctions.Utility_LookupValueInTableNumber("N2O",Table_GasToMolecularConversionFactor[Gas],Table_GasToMolecularConversionFactor[Conversion factor combined])</f>
        <v>1.5714285714285714</v>
      </c>
      <c r="O63" s="58"/>
      <c r="P63" s="59"/>
      <c r="Q63" s="60"/>
      <c r="R63" s="58"/>
    </row>
    <row r="64" spans="3:23" ht="20.100000000000001" customHeight="1" x14ac:dyDescent="0.2">
      <c r="D64" s="133" t="str">
        <v>j</v>
      </c>
      <c r="E64" s="132" t="str">
        <v>production system</v>
      </c>
      <c r="F64" s="134"/>
      <c r="G64" s="133" t="str">
        <v/>
      </c>
      <c r="H64" s="131" t="str">
        <v>Input</v>
      </c>
      <c r="I64" s="133" t="str">
        <f>X_Cell_Dairy_ManureAppliedProductionSystem</f>
        <v>Pasture</v>
      </c>
      <c r="O64" s="58"/>
      <c r="P64" s="59"/>
      <c r="Q64" s="60"/>
      <c r="R64" s="58"/>
    </row>
    <row r="65" spans="4:18" ht="20.100000000000001" customHeight="1" x14ac:dyDescent="0.2">
      <c r="D65" s="133" t="str">
        <v>ir</v>
      </c>
      <c r="E65" s="132" t="str">
        <v>irrigation method</v>
      </c>
      <c r="F65" s="134"/>
      <c r="G65" s="133" t="str">
        <v/>
      </c>
      <c r="H65" s="131" t="str">
        <v>Input</v>
      </c>
      <c r="I65" s="133" t="str">
        <f>X_Cell_Dairy_ManureAppliedIrrigationMethod</f>
        <v>Sprinkler irrigation</v>
      </c>
      <c r="O65" s="58"/>
      <c r="P65" s="59"/>
      <c r="Q65" s="60"/>
      <c r="R65" s="58"/>
    </row>
    <row r="66" spans="4:18" ht="20.100000000000001" customHeight="1" x14ac:dyDescent="0.2">
      <c r="D66" s="133" t="str">
        <v>r</v>
      </c>
      <c r="E66" s="132" t="str">
        <v>rainfall region</v>
      </c>
      <c r="F66" s="134"/>
      <c r="G66" s="133" t="str">
        <v/>
      </c>
      <c r="H66" s="131" t="str">
        <v>Input</v>
      </c>
      <c r="I66" s="133" t="str">
        <f>X_Cell_Site_RainfallZone</f>
        <v>High rainfall</v>
      </c>
      <c r="O66" s="58"/>
      <c r="P66" s="59"/>
      <c r="Q66" s="60"/>
      <c r="R66" s="58"/>
    </row>
    <row r="68" spans="4:18" ht="20.100000000000001" customHeight="1" x14ac:dyDescent="0.2">
      <c r="D68" s="104" t="s">
        <v>320</v>
      </c>
      <c r="E68" s="105" cm="1">
        <f t="array" ref="E68">MMS_Dairy_AtmosphericDeposition_Equations.VEERG_4_3_1_5__1_AnnualAtmosphericDepositionEmissionsFromMMS($I$61,$I$62,$I$63)</f>
        <v>4.7299753181434263E-2</v>
      </c>
      <c r="F68" s="106" t="str">
        <f>$E$59</f>
        <v>t N2O</v>
      </c>
      <c r="O68" s="104" t="s">
        <v>320</v>
      </c>
      <c r="P68" s="105" cm="1">
        <f t="array" ref="P68">MMS_Dairy_AtmosphericDeposition_Equations.VEERG_4_3_1_5__1_AnnualAtmosphericDepositionEmissionsFromMMS($R$61,$I$62,$I$63)</f>
        <v>4.7299753181434263E-2</v>
      </c>
      <c r="Q68" s="106" t="str">
        <f>$E$59</f>
        <v>t N2O</v>
      </c>
    </row>
    <row r="70" spans="4:18" ht="20.100000000000001" customHeight="1" x14ac:dyDescent="0.2">
      <c r="D70" s="58" t="str" cm="1">
        <f t="array" ref="D70:E71">Common_Equations.Common_ConvertN2OToCO2e_Arguments()</f>
        <v>EN2O</v>
      </c>
      <c r="E70" s="59" t="str">
        <v>Nitrous oxide emissions (t N2O)</v>
      </c>
      <c r="F70" s="107"/>
      <c r="G70" s="53">
        <f>VEERG_4_3_1_5__1_AnnualAtmosphericDepositionEmissionsFromMMS_Result_Method1</f>
        <v>4.7299753181434263E-2</v>
      </c>
      <c r="O70" s="58" t="str" cm="1">
        <f t="array" ref="O70:P71">Common_Equations.Common_ConvertN2OToCO2e_Arguments()</f>
        <v>EN2O</v>
      </c>
      <c r="P70" s="59" t="str">
        <v>Nitrous oxide emissions (t N2O)</v>
      </c>
      <c r="Q70" s="107"/>
      <c r="R70" s="53">
        <f>VEERG_4_3_1_5__1_AnnualAtmosphericDepositionEmissionsFromMMS_Result_Method2</f>
        <v>4.7299753181434263E-2</v>
      </c>
    </row>
    <row r="71" spans="4:18" ht="20.100000000000001" customHeight="1" x14ac:dyDescent="0.2">
      <c r="D71" s="58" t="str">
        <v>GWPN2O</v>
      </c>
      <c r="E71" s="59" t="str">
        <v>Global warming potential for nitrous oxide (t CO2-e / t N2O)</v>
      </c>
      <c r="F71" s="107"/>
      <c r="G71" s="53">
        <f>Common_InputFunctions.Utility_LookupValueInTableNumber("N2O",Table_GWPData[Gas],Table_GWPData[CO2-e factor])</f>
        <v>265</v>
      </c>
      <c r="O71" s="58" t="str">
        <v>GWPN2O</v>
      </c>
      <c r="P71" s="59" t="str">
        <v>Global warming potential for nitrous oxide (t CO2-e / t N2O)</v>
      </c>
      <c r="Q71" s="107"/>
      <c r="R71" s="53">
        <f>Common_InputFunctions.Utility_LookupValueInTableNumber("N2O",Table_GWPData[Gas],Table_GWPData[CO2-e factor])</f>
        <v>265</v>
      </c>
    </row>
    <row r="73" spans="4:18" ht="20.100000000000001" customHeight="1" x14ac:dyDescent="0.2">
      <c r="D73" s="46" t="s">
        <v>104</v>
      </c>
      <c r="E73" s="46" cm="1">
        <f t="array" ref="E73">Common_Equations.Common_ConvertN2OToCO2e(G70,G71)</f>
        <v>12.53443459308008</v>
      </c>
      <c r="F73" s="108" t="str" cm="1">
        <f t="array" ref="F73">Common_Equations.Common_ConvertN2OToCO2e_Unit()</f>
        <v>t CO2e</v>
      </c>
      <c r="O73" s="46" t="s">
        <v>104</v>
      </c>
      <c r="P73" s="46" cm="1">
        <f t="array" ref="P73">Common_Equations.Common_ConvertN2OToCO2e(R70,R71)</f>
        <v>12.53443459308008</v>
      </c>
      <c r="Q73" s="108" t="str" cm="1">
        <f t="array" ref="Q73">Common_Equations.Common_ConvertN2OToCO2e_Unit()</f>
        <v>t CO2e</v>
      </c>
    </row>
  </sheetData>
  <dataValidations count="1">
    <dataValidation operator="equal" allowBlank="1" showInputMessage="1" showErrorMessage="1" sqref="E34 E31 E22 E19 E26 P19 P26 E40 E47 P40 E74 P74 P22 E43 P43 P47" xr:uid="{7FA3C31B-BFCF-4AA3-9A1C-D3DF345CD246}"/>
  </dataValidations>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FF1F9-358B-4D16-8622-0A1620082E5C}">
  <sheetPr>
    <tabColor rgb="FF008000"/>
  </sheetPr>
  <dimension ref="A1:W57"/>
  <sheetViews>
    <sheetView showGridLines="0" topLeftCell="A31" zoomScaleNormal="100" workbookViewId="0">
      <selection activeCell="P52" sqref="P52"/>
    </sheetView>
  </sheetViews>
  <sheetFormatPr defaultRowHeight="20.100000000000001" customHeight="1" x14ac:dyDescent="0.2"/>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67" t="e" vm="1">
        <v>#VALUE!</v>
      </c>
      <c r="C1" s="8" t="s">
        <v>347</v>
      </c>
    </row>
    <row r="2" spans="1:23" s="9" customFormat="1" ht="20.100000000000001" customHeight="1" x14ac:dyDescent="0.2">
      <c r="A2"/>
    </row>
    <row r="3" spans="1:23" ht="20.100000000000001" customHeight="1" x14ac:dyDescent="0.2">
      <c r="A3" s="17" t="str">
        <f>HYPERLINK("#'Home'!A1", "Home")</f>
        <v>Home</v>
      </c>
      <c r="C3" s="4"/>
      <c r="D3" s="4" t="s">
        <v>114</v>
      </c>
      <c r="E3" s="4"/>
      <c r="F3" s="4"/>
      <c r="G3" s="4"/>
      <c r="H3" s="4"/>
      <c r="I3" s="4"/>
      <c r="J3" s="4"/>
      <c r="K3" s="4"/>
      <c r="L3" s="4"/>
      <c r="N3" s="4"/>
      <c r="O3" s="4" t="s">
        <v>115</v>
      </c>
      <c r="P3" s="4"/>
      <c r="Q3" s="4"/>
      <c r="R3" s="4"/>
      <c r="S3" s="4"/>
      <c r="T3" s="4"/>
      <c r="U3" s="4"/>
      <c r="V3" s="4"/>
      <c r="W3" s="4"/>
    </row>
    <row r="4" spans="1:23" ht="20.100000000000001" customHeight="1" x14ac:dyDescent="0.2">
      <c r="A4" s="17" t="str">
        <f>HYPERLINK("#'Overview'!A1", "Overview")</f>
        <v>Overview</v>
      </c>
    </row>
    <row r="5" spans="1:23" ht="20.100000000000001" customHeight="1" x14ac:dyDescent="0.2">
      <c r="A5" s="17" t="str">
        <f>HYPERLINK("#'Results'!A1", "Results")</f>
        <v>Results</v>
      </c>
      <c r="D5" s="6" t="str" cm="1">
        <f t="array" ref="D5">MMS_Dairy_LeachingAndRunoff_Equations.VEERG_4_3_1_6__2_MassOfNitrogenLostToLeachingAndRunoffFromSolidStorage_Title()</f>
        <v>Mass of nitrogen lost to leaching and runoff from solid storage systems</v>
      </c>
    </row>
    <row r="6" spans="1:23" ht="20.100000000000001" customHeight="1" x14ac:dyDescent="0.2">
      <c r="D6" s="5" t="str" cm="1">
        <f t="array" ref="D6">MMS_Dairy_LeachingAndRunoff_Equations.VEERG_4_3_1_6__2_MassOfNitrogenLostToLeachingAndRunoffFromSolidStorage_Source()</f>
        <v>VEERG 2026: 4.3.1.6, Equation (2)</v>
      </c>
    </row>
    <row r="7" spans="1:23" ht="20.100000000000001" customHeight="1" x14ac:dyDescent="0.2">
      <c r="D7" s="13" t="s">
        <v>25</v>
      </c>
      <c r="E7" s="13" t="str" cm="1">
        <f t="array" aca="1" ref="E7" ca="1">Common_InputFunctions.Utility_DisplayFunctionName($F$29)</f>
        <v>=MMS_Dairy_LeachingAndRunoff_Equations.VEERG_4_3_1_6__2_MassOfNitrogenLostToLeachingAndRunoffFromSolidStorage</v>
      </c>
    </row>
    <row r="8" spans="1:23" ht="20.100000000000001" customHeight="1" x14ac:dyDescent="0.2">
      <c r="A8" s="19" t="s">
        <v>0</v>
      </c>
    </row>
    <row r="9" spans="1:23" ht="20.100000000000001" customHeight="1" x14ac:dyDescent="0.2">
      <c r="A9" s="17" t="str">
        <f>HYPERLINK("#'Input - Site'!A1", "Site")</f>
        <v>Site</v>
      </c>
    </row>
    <row r="10" spans="1:23" ht="20.100000000000001" customHeight="1" x14ac:dyDescent="0.2">
      <c r="A10" s="17" t="str">
        <f>HYPERLINK("#'Input - Dairy'!A1", "Dairy")</f>
        <v>Dairy</v>
      </c>
      <c r="D10" s="54" t="s">
        <v>28</v>
      </c>
      <c r="E10" s="1" t="str" cm="1">
        <f t="array" ref="E10">MMS_Dairy_LeachingAndRunoff_Equations.VEERG_4_3_1_6__2_MassOfNitrogenLostToLeachingAndRunoffFromSolidStorage_Variable()</f>
        <v>MNLeach_jm4</v>
      </c>
    </row>
    <row r="11" spans="1:23" ht="20.100000000000001" customHeight="1" x14ac:dyDescent="0.2">
      <c r="D11" s="54" t="s">
        <v>18</v>
      </c>
      <c r="E11" s="55" t="str" cm="1">
        <f t="array" ref="E11">MMS_Dairy_LeachingAndRunoff_Equations.VEERG_4_3_1_6__2_MassOfNitrogenLostToLeachingAndRunoffFromSolidStorage_Unit()</f>
        <v>kg N</v>
      </c>
    </row>
    <row r="13" spans="1:23" ht="20.100000000000001" customHeight="1" x14ac:dyDescent="0.2">
      <c r="A13" s="18" t="s">
        <v>73</v>
      </c>
      <c r="D13" s="133" t="str" cm="1">
        <f t="array" ref="D13:E18">_xlfn.CHOOSECOLS(MMS_Dairy_LeachingAndRunoff_Equations.VEERG_4_3_1_6__2_MassOfNitrogenLostToLeachingAndRunoffFromSolidStorage_Arguments(),1,2)</f>
        <v>MN_jm4</v>
      </c>
      <c r="E13" s="132" t="str">
        <v>total nitrogen in solid storage system m=4 (kg N)</v>
      </c>
      <c r="F13" s="138"/>
      <c r="G13" s="134"/>
      <c r="H13" s="133" t="str" cm="1">
        <f t="array" ref="H13:I18">_xlfn.CHOOSECOLS(MMS_Dairy_LeachingAndRunoff_Equations.VEERG_4_3_1_6__2_MassOfNitrogenLostToLeachingAndRunoffFromSolidStorage_Arguments(),3,4)</f>
        <v>kg N</v>
      </c>
      <c r="I13" s="129" t="str">
        <v>Calculated from 4.3.1.3 (2)</v>
      </c>
      <c r="J13" s="130" t="str" cm="1">
        <f t="array" aca="1" ref="J13" ca="1">HYPERLINK(Common_InputFunctions.Utility_SourceHyperlink($D$20),$D$20)</f>
        <v>M1_Table_MN_j_m-4</v>
      </c>
    </row>
    <row r="14" spans="1:23" ht="20.100000000000001" customHeight="1" x14ac:dyDescent="0.2">
      <c r="A14" s="17" t="str">
        <f>HYPERLINK("#'4.3.1.1-2 Methane'!A1", "4.3.1.1-2 Methane")</f>
        <v>4.3.1.1-2 Methane</v>
      </c>
      <c r="D14" s="133" t="str">
        <v>FracWET_i</v>
      </c>
      <c r="E14" s="132" t="str">
        <v>fraction of N that is available for leaching and runoff from the leaching zone z and irrigation type ir</v>
      </c>
      <c r="F14" s="138"/>
      <c r="G14" s="134"/>
      <c r="H14" s="133" t="str">
        <v>fraction</v>
      </c>
      <c r="I14" s="129" t="str">
        <v>Constant</v>
      </c>
      <c r="J14" s="133">
        <f>Common_InputFunctions.CommonCropping_GetFracWET(J16,J18,Table_SourceData_FracWET[Is in leaching zone],Table_SourceData_FracWET[FracWET],Table_SourceData_FracWETIrrigation[Irrigation type i],Table_SourceData_FracWETIrrigation[FracWET])</f>
        <v>1</v>
      </c>
    </row>
    <row r="15" spans="1:23" ht="20.100000000000001" customHeight="1" x14ac:dyDescent="0.2">
      <c r="A15" s="17" t="str">
        <f>HYPERLINK("#'4.3.1.3-4 Direct N20'!A1", "4.3.1.3-4 Direct N20")</f>
        <v>4.3.1.3-4 Direct N20</v>
      </c>
      <c r="D15" s="133" t="str">
        <v>FracLEACH_MS</v>
      </c>
      <c r="E15" s="132" t="str">
        <v>fraction of N that is lost through leaching and runoff</v>
      </c>
      <c r="F15" s="138"/>
      <c r="G15" s="134"/>
      <c r="H15" s="133" t="str">
        <v>fraction</v>
      </c>
      <c r="I15" s="129" t="str">
        <v>Constant</v>
      </c>
      <c r="J15" s="133">
        <f>SourceData_Dairy_FractionOfNitrogenLostThroughLeachingAndRunoffSolidStorage_Data</f>
        <v>0.02</v>
      </c>
    </row>
    <row r="16" spans="1:23" ht="20.100000000000001" customHeight="1" x14ac:dyDescent="0.2">
      <c r="A16" s="17" t="str">
        <f>HYPERLINK("#'4.3.1.5 Atmos deposition'!A1", "4.3.1.5 Atmos deposition")</f>
        <v>4.3.1.5 Atmos deposition</v>
      </c>
      <c r="D16" s="133" t="str">
        <v>z</v>
      </c>
      <c r="E16" s="132" t="str">
        <v>location in leaching zone</v>
      </c>
      <c r="F16" s="138"/>
      <c r="G16" s="134"/>
      <c r="H16" s="133" t="str">
        <v/>
      </c>
      <c r="I16" s="131" t="str">
        <v>Input</v>
      </c>
      <c r="J16" s="133" t="str">
        <f>X_Cell_Site_LeachingZone</f>
        <v>NO - Not in leaching zone</v>
      </c>
    </row>
    <row r="17" spans="1:22" ht="20.100000000000001" customHeight="1" x14ac:dyDescent="0.2">
      <c r="A17" s="21" t="str">
        <f>HYPERLINK("#'4.3.1.6-7 Leaching and runoff'!A1", "4.3.1.6-7 Leaching and runoff")</f>
        <v>4.3.1.6-7 Leaching and runoff</v>
      </c>
      <c r="D17" s="133" t="str">
        <v>j</v>
      </c>
      <c r="E17" s="132" t="str">
        <v>production system</v>
      </c>
      <c r="F17" s="138"/>
      <c r="G17" s="134"/>
      <c r="H17" s="133" t="str">
        <v/>
      </c>
      <c r="I17" s="131" t="str">
        <v>Input</v>
      </c>
      <c r="J17" s="133" t="str">
        <f>X_Cell_Dairy_ManureAppliedProductionSystem</f>
        <v>Pasture</v>
      </c>
    </row>
    <row r="18" spans="1:22" ht="20.100000000000001" customHeight="1" x14ac:dyDescent="0.2">
      <c r="A18" s="17" t="str">
        <f>HYPERLINK("#'4.3.1.8 Manure applied to soils'!A1", "4.3.1.8 Manure applied to soils")</f>
        <v>4.3.1.8 Manure applied to soils</v>
      </c>
      <c r="D18" s="133" t="str">
        <v>ir</v>
      </c>
      <c r="E18" s="132" t="str">
        <v>irrigation method</v>
      </c>
      <c r="F18" s="138"/>
      <c r="G18" s="134"/>
      <c r="H18" s="133" t="str">
        <v/>
      </c>
      <c r="I18" s="131" t="str">
        <v>Input</v>
      </c>
      <c r="J18" s="133" t="str">
        <f>X_Cell_Dairy_ManureAppliedIrrigationMethod</f>
        <v>Sprinkler irrigation</v>
      </c>
    </row>
    <row r="19" spans="1:22" ht="20.100000000000001" customHeight="1" x14ac:dyDescent="0.2">
      <c r="A19" s="17" t="str">
        <f>HYPERLINK("#'4.3.1.9 Soil direct N2O'!A1", "4.3.1.9 Soil direct N2O")</f>
        <v>4.3.1.9 Soil direct N2O</v>
      </c>
    </row>
    <row r="20" spans="1:22" ht="20.100000000000001" customHeight="1" x14ac:dyDescent="0.2">
      <c r="A20" s="17" t="str">
        <f>HYPERLINK("#'4.3.1.10-11 Soil Atmos Dep'!A1", "4.3.1.10-11 Soil Atmos Dep")</f>
        <v>4.3.1.10-11 Soil Atmos Dep</v>
      </c>
      <c r="D20" s="100" t="s">
        <v>322</v>
      </c>
      <c r="O20" s="100" t="s">
        <v>324</v>
      </c>
    </row>
    <row r="21" spans="1:22" ht="20.100000000000001" customHeight="1" x14ac:dyDescent="0.2">
      <c r="A21" s="17" t="str">
        <f>HYPERLINK("#'4.3.1.12-13 Soil leach runoff'!A1", "4.3.1.12-13 Soil leach runoff")</f>
        <v>4.3.1.12-13 Soil leach runoff</v>
      </c>
      <c r="D21" s="99" t="s">
        <v>323</v>
      </c>
      <c r="O21" s="99" t="s">
        <v>325</v>
      </c>
    </row>
    <row r="22" spans="1:22" ht="20.100000000000001" customHeight="1" x14ac:dyDescent="0.2">
      <c r="D22" s="52" t="s">
        <v>142</v>
      </c>
      <c r="E22" s="52" t="s">
        <v>66</v>
      </c>
      <c r="F22" s="52" t="s">
        <v>167</v>
      </c>
      <c r="G22" s="52" t="s">
        <v>184</v>
      </c>
      <c r="H22" s="52" t="s">
        <v>185</v>
      </c>
      <c r="I22" s="52" t="s">
        <v>186</v>
      </c>
      <c r="J22" s="52" t="s">
        <v>187</v>
      </c>
      <c r="O22" s="52" t="s">
        <v>142</v>
      </c>
      <c r="P22" s="52" t="s">
        <v>66</v>
      </c>
      <c r="Q22" s="52" t="s">
        <v>167</v>
      </c>
      <c r="R22" s="52" t="s">
        <v>184</v>
      </c>
      <c r="S22" s="52" t="s">
        <v>185</v>
      </c>
      <c r="T22" s="52" t="s">
        <v>186</v>
      </c>
      <c r="U22" s="52" t="s">
        <v>187</v>
      </c>
    </row>
    <row r="23" spans="1:22" ht="20.100000000000001" customHeight="1" x14ac:dyDescent="0.2">
      <c r="D23" s="53" t="str">
        <f>INDEX(X_Table_Dairy_ProductionSystems_Method1,3,1)</f>
        <v>Milking shed</v>
      </c>
      <c r="E23" s="53" t="s">
        <v>400</v>
      </c>
      <c r="F23" s="53">
        <f>INDEX(M1_Table_MN_j_m,5,3)</f>
        <v>798.49211369493332</v>
      </c>
      <c r="G23" s="53">
        <f>INDEX(M1_Table_MN_j_m,5,4)</f>
        <v>364.71580535564152</v>
      </c>
      <c r="H23" s="53">
        <f>INDEX(M1_Table_MN_j_m,5,5)</f>
        <v>145.26244824768682</v>
      </c>
      <c r="I23" s="53">
        <f>INDEX(M1_Table_MN_j_m,5,6)</f>
        <v>458.46219147973682</v>
      </c>
      <c r="J23" s="53">
        <f>INDEX(M1_Table_MN_j_m,5,7)</f>
        <v>191.92571415811079</v>
      </c>
      <c r="K23" s="2" t="str">
        <f>$H$13</f>
        <v>kg N</v>
      </c>
      <c r="O23" s="53" t="str">
        <f>INDEX(X_Table_Dairy_ProductionSystems_Method1,3,1)</f>
        <v>Milking shed</v>
      </c>
      <c r="P23" s="53" t="s">
        <v>400</v>
      </c>
      <c r="Q23" s="53">
        <f>INDEX(M2_Table_MN_j_m,5,3)</f>
        <v>798.49211369493332</v>
      </c>
      <c r="R23" s="53">
        <f>INDEX(M2_Table_MN_j_m,5,4)</f>
        <v>364.71580535564152</v>
      </c>
      <c r="S23" s="53">
        <f>INDEX(M2_Table_MN_j_m,5,5)</f>
        <v>145.26244824768682</v>
      </c>
      <c r="T23" s="53">
        <f>INDEX(M2_Table_MN_j_m,5,6)</f>
        <v>458.46219147973682</v>
      </c>
      <c r="U23" s="53">
        <f>INDEX(M2_Table_MN_j_m,5,7)</f>
        <v>191.92571415811079</v>
      </c>
      <c r="V23" s="2" t="str">
        <f>$H$13</f>
        <v>kg N</v>
      </c>
    </row>
    <row r="24" spans="1:22" ht="20.100000000000001" customHeight="1" x14ac:dyDescent="0.2">
      <c r="A24" s="154" t="s">
        <v>1</v>
      </c>
      <c r="D24" s="53" t="str">
        <f>INDEX(X_Table_Dairy_ProductionSystems_Method1,4,1)</f>
        <v>Feed pad</v>
      </c>
      <c r="E24" s="53" t="s">
        <v>400</v>
      </c>
      <c r="F24" s="53">
        <f>INDEX(M1_Table_MN_j_m,9,3)</f>
        <v>2261.1844855997429</v>
      </c>
      <c r="G24" s="53">
        <f>INDEX(M1_Table_MN_j_m,9,4)</f>
        <v>1032.8088488025667</v>
      </c>
      <c r="H24" s="53">
        <f>INDEX(M1_Table_MN_j_m,9,5)</f>
        <v>411.35684208322226</v>
      </c>
      <c r="I24" s="53">
        <f>INDEX(M1_Table_MN_j_m,9,6)</f>
        <v>1298.2815695085274</v>
      </c>
      <c r="J24" s="53">
        <f>INDEX(M1_Table_MN_j_m,9,7)</f>
        <v>543.49872691137739</v>
      </c>
      <c r="K24" s="2"/>
      <c r="O24" s="53" t="str">
        <f>INDEX(X_Table_Dairy_ProductionSystems_Method1,4,1)</f>
        <v>Feed pad</v>
      </c>
      <c r="P24" s="53" t="s">
        <v>400</v>
      </c>
      <c r="Q24" s="53">
        <f>INDEX(M2_Table_MN_j_m,9,3)</f>
        <v>2261.1844855997429</v>
      </c>
      <c r="R24" s="53">
        <f>INDEX(M2_Table_MN_j_m,9,4)</f>
        <v>1032.8088488025667</v>
      </c>
      <c r="S24" s="53">
        <f>INDEX(M2_Table_MN_j_m,9,5)</f>
        <v>411.35684208322226</v>
      </c>
      <c r="T24" s="53">
        <f>INDEX(M2_Table_MN_j_m,9,6)</f>
        <v>1298.2815695085274</v>
      </c>
      <c r="U24" s="53">
        <f>INDEX(M2_Table_MN_j_m,9,7)</f>
        <v>543.49872691137739</v>
      </c>
      <c r="V24" s="2"/>
    </row>
    <row r="25" spans="1:22" ht="20.100000000000001" customHeight="1" x14ac:dyDescent="0.2">
      <c r="A25" s="17" t="str">
        <f>HYPERLINK("#'Constants - Dairy'!A1", "Constants - Dairy")</f>
        <v>Constants - Dairy</v>
      </c>
    </row>
    <row r="26" spans="1:22" ht="20.100000000000001" customHeight="1" x14ac:dyDescent="0.2">
      <c r="A26" s="17" t="str">
        <f>HYPERLINK("#'Constants - Common'!A1", "Constants - Common")</f>
        <v>Constants - Common</v>
      </c>
      <c r="D26" s="100" t="s">
        <v>327</v>
      </c>
      <c r="O26" s="100" t="s">
        <v>328</v>
      </c>
    </row>
    <row r="27" spans="1:22" ht="20.100000000000001" customHeight="1" x14ac:dyDescent="0.2">
      <c r="A27" s="17" t="str">
        <f>HYPERLINK("#'Constants - Livestock'!A1", "Constants - Livestock")</f>
        <v>Constants - Livestock</v>
      </c>
      <c r="D27" s="99" t="s">
        <v>326</v>
      </c>
      <c r="O27" s="99" t="s">
        <v>329</v>
      </c>
    </row>
    <row r="28" spans="1:22" ht="20.100000000000001" customHeight="1" x14ac:dyDescent="0.2">
      <c r="A28" s="17" t="str">
        <f>HYPERLINK("#'Acknowledgements'!A1", "Acknowledgements")</f>
        <v>Acknowledgements</v>
      </c>
      <c r="D28" s="52" t="s">
        <v>142</v>
      </c>
      <c r="E28" s="52" t="s">
        <v>66</v>
      </c>
      <c r="F28" s="52" t="s">
        <v>167</v>
      </c>
      <c r="G28" s="52" t="s">
        <v>184</v>
      </c>
      <c r="H28" s="52" t="s">
        <v>185</v>
      </c>
      <c r="I28" s="52" t="s">
        <v>186</v>
      </c>
      <c r="J28" s="52" t="s">
        <v>187</v>
      </c>
      <c r="O28" s="52" t="s">
        <v>142</v>
      </c>
      <c r="P28" s="52" t="s">
        <v>66</v>
      </c>
      <c r="Q28" s="52" t="s">
        <v>167</v>
      </c>
      <c r="R28" s="52" t="s">
        <v>184</v>
      </c>
      <c r="S28" s="52" t="s">
        <v>185</v>
      </c>
      <c r="T28" s="52" t="s">
        <v>186</v>
      </c>
      <c r="U28" s="52" t="s">
        <v>187</v>
      </c>
    </row>
    <row r="29" spans="1:22" ht="20.100000000000001" customHeight="1" x14ac:dyDescent="0.2">
      <c r="A29" s="17" t="str">
        <f>HYPERLINK("#'Tab template'!A1", "Tab template")</f>
        <v>Tab template</v>
      </c>
      <c r="D29" s="53" t="str">
        <f>INDEX(X_Table_Dairy_ProductionSystems_Method1,3,1)</f>
        <v>Milking shed</v>
      </c>
      <c r="E29" s="53" t="s">
        <v>400</v>
      </c>
      <c r="F29" s="53" cm="1">
        <f t="array" ref="F29">MMS_Dairy_LeachingAndRunoff_Equations.VEERG_4_3_1_6__2_MassOfNitrogenLostToLeachingAndRunoffFromSolidStorage(F23,$J$14,$J$15)</f>
        <v>15.969842273898667</v>
      </c>
      <c r="G29" s="53" cm="1">
        <f t="array" ref="G29">MMS_Dairy_LeachingAndRunoff_Equations.VEERG_4_3_1_6__2_MassOfNitrogenLostToLeachingAndRunoffFromSolidStorage(G23,$J$14,$J$15)</f>
        <v>7.2943161071128308</v>
      </c>
      <c r="H29" s="53" cm="1">
        <f t="array" ref="H29">MMS_Dairy_LeachingAndRunoff_Equations.VEERG_4_3_1_6__2_MassOfNitrogenLostToLeachingAndRunoffFromSolidStorage(H23,$J$14,$J$15)</f>
        <v>2.9052489649537363</v>
      </c>
      <c r="I29" s="53" cm="1">
        <f t="array" ref="I29">MMS_Dairy_LeachingAndRunoff_Equations.VEERG_4_3_1_6__2_MassOfNitrogenLostToLeachingAndRunoffFromSolidStorage(I23,$J$14,$J$15)</f>
        <v>9.1692438295947358</v>
      </c>
      <c r="J29" s="53" cm="1">
        <f t="array" ref="J29">MMS_Dairy_LeachingAndRunoff_Equations.VEERG_4_3_1_6__2_MassOfNitrogenLostToLeachingAndRunoffFromSolidStorage(J23,$J$14,$J$15)</f>
        <v>3.8385142831622159</v>
      </c>
      <c r="K29" s="2" t="str">
        <f>$E$11</f>
        <v>kg N</v>
      </c>
      <c r="O29" s="53" t="str">
        <f>INDEX(X_Table_Dairy_ProductionSystems_Method1,3,1)</f>
        <v>Milking shed</v>
      </c>
      <c r="P29" s="53" t="s">
        <v>400</v>
      </c>
      <c r="Q29" s="53" cm="1">
        <f t="array" ref="Q29">MMS_Dairy_LeachingAndRunoff_Equations.VEERG_4_3_1_6__2_MassOfNitrogenLostToLeachingAndRunoffFromSolidStorage(Q23,$J$14,$J$15)</f>
        <v>15.969842273898667</v>
      </c>
      <c r="R29" s="53" cm="1">
        <f t="array" ref="R29">MMS_Dairy_LeachingAndRunoff_Equations.VEERG_4_3_1_6__2_MassOfNitrogenLostToLeachingAndRunoffFromSolidStorage(R23,$J$14,$J$15)</f>
        <v>7.2943161071128308</v>
      </c>
      <c r="S29" s="53" cm="1">
        <f t="array" ref="S29">MMS_Dairy_LeachingAndRunoff_Equations.VEERG_4_3_1_6__2_MassOfNitrogenLostToLeachingAndRunoffFromSolidStorage(S23,$J$14,$J$15)</f>
        <v>2.9052489649537363</v>
      </c>
      <c r="T29" s="53" cm="1">
        <f t="array" ref="T29">MMS_Dairy_LeachingAndRunoff_Equations.VEERG_4_3_1_6__2_MassOfNitrogenLostToLeachingAndRunoffFromSolidStorage(T23,$J$14,$J$15)</f>
        <v>9.1692438295947358</v>
      </c>
      <c r="U29" s="53" cm="1">
        <f t="array" ref="U29">MMS_Dairy_LeachingAndRunoff_Equations.VEERG_4_3_1_6__2_MassOfNitrogenLostToLeachingAndRunoffFromSolidStorage(U23,$J$14,$J$15)</f>
        <v>3.8385142831622159</v>
      </c>
      <c r="V29" s="2" t="str">
        <f>$E$11</f>
        <v>kg N</v>
      </c>
    </row>
    <row r="30" spans="1:22" ht="20.100000000000001" customHeight="1" x14ac:dyDescent="0.2">
      <c r="D30" s="53" t="str">
        <f>INDEX(X_Table_Dairy_ProductionSystems_Method1,4,1)</f>
        <v>Feed pad</v>
      </c>
      <c r="E30" s="53" t="s">
        <v>400</v>
      </c>
      <c r="F30" s="53" cm="1">
        <f t="array" ref="F30">MMS_Dairy_LeachingAndRunoff_Equations.VEERG_4_3_1_6__2_MassOfNitrogenLostToLeachingAndRunoffFromSolidStorage(F24,$J$14,$J$15)</f>
        <v>45.223689711994858</v>
      </c>
      <c r="G30" s="53" cm="1">
        <f t="array" ref="G30">MMS_Dairy_LeachingAndRunoff_Equations.VEERG_4_3_1_6__2_MassOfNitrogenLostToLeachingAndRunoffFromSolidStorage(G24,$J$14,$J$15)</f>
        <v>20.656176976051334</v>
      </c>
      <c r="H30" s="53" cm="1">
        <f t="array" ref="H30">MMS_Dairy_LeachingAndRunoff_Equations.VEERG_4_3_1_6__2_MassOfNitrogenLostToLeachingAndRunoffFromSolidStorage(H24,$J$14,$J$15)</f>
        <v>8.2271368416644446</v>
      </c>
      <c r="I30" s="53" cm="1">
        <f t="array" ref="I30">MMS_Dairy_LeachingAndRunoff_Equations.VEERG_4_3_1_6__2_MassOfNitrogenLostToLeachingAndRunoffFromSolidStorage(I24,$J$14,$J$15)</f>
        <v>25.965631390170547</v>
      </c>
      <c r="J30" s="53" cm="1">
        <f t="array" ref="J30">MMS_Dairy_LeachingAndRunoff_Equations.VEERG_4_3_1_6__2_MassOfNitrogenLostToLeachingAndRunoffFromSolidStorage(J24,$J$14,$J$15)</f>
        <v>10.869974538227549</v>
      </c>
      <c r="K30" s="2"/>
      <c r="O30" s="53" t="str">
        <f>INDEX(X_Table_Dairy_ProductionSystems_Method1,4,1)</f>
        <v>Feed pad</v>
      </c>
      <c r="P30" s="53" t="s">
        <v>400</v>
      </c>
      <c r="Q30" s="53" cm="1">
        <f t="array" ref="Q30">MMS_Dairy_LeachingAndRunoff_Equations.VEERG_4_3_1_6__2_MassOfNitrogenLostToLeachingAndRunoffFromSolidStorage(Q24,$J$14,$J$15)</f>
        <v>45.223689711994858</v>
      </c>
      <c r="R30" s="53" cm="1">
        <f t="array" ref="R30">MMS_Dairy_LeachingAndRunoff_Equations.VEERG_4_3_1_6__2_MassOfNitrogenLostToLeachingAndRunoffFromSolidStorage(R24,$J$14,$J$15)</f>
        <v>20.656176976051334</v>
      </c>
      <c r="S30" s="53" cm="1">
        <f t="array" ref="S30">MMS_Dairy_LeachingAndRunoff_Equations.VEERG_4_3_1_6__2_MassOfNitrogenLostToLeachingAndRunoffFromSolidStorage(S24,$J$14,$J$15)</f>
        <v>8.2271368416644446</v>
      </c>
      <c r="T30" s="53" cm="1">
        <f t="array" ref="T30">MMS_Dairy_LeachingAndRunoff_Equations.VEERG_4_3_1_6__2_MassOfNitrogenLostToLeachingAndRunoffFromSolidStorage(T24,$J$14,$J$15)</f>
        <v>25.965631390170547</v>
      </c>
      <c r="U30" s="53" cm="1">
        <f t="array" ref="U30">MMS_Dairy_LeachingAndRunoff_Equations.VEERG_4_3_1_6__2_MassOfNitrogenLostToLeachingAndRunoffFromSolidStorage(U24,$J$14,$J$15)</f>
        <v>10.869974538227549</v>
      </c>
      <c r="V30" s="2"/>
    </row>
    <row r="33" spans="3:23" ht="20.100000000000001" customHeight="1" x14ac:dyDescent="0.2">
      <c r="C33" s="46"/>
      <c r="D33" s="46"/>
      <c r="E33" s="46"/>
      <c r="F33" s="46"/>
      <c r="G33" s="46"/>
      <c r="H33" s="46"/>
      <c r="I33" s="46"/>
      <c r="J33" s="46"/>
      <c r="K33" s="46"/>
      <c r="L33" s="46"/>
      <c r="N33" s="46"/>
      <c r="O33" s="46"/>
      <c r="P33" s="46"/>
      <c r="Q33" s="46"/>
      <c r="R33" s="46"/>
      <c r="S33" s="46"/>
      <c r="T33" s="46"/>
      <c r="U33" s="46"/>
      <c r="V33" s="46"/>
      <c r="W33" s="46"/>
    </row>
    <row r="34" spans="3:23" ht="20.100000000000001" customHeight="1" x14ac:dyDescent="0.2">
      <c r="D34" s="6" t="str" cm="1">
        <f t="array" ref="D34">MMS_Dairy_LeachingAndRunoff_Equations.VEERG_4_3_1_6__1_AnnualEmissionsFromLeachingAndRunoffFromMMS_Title()</f>
        <v>Annual emissions from leaching and runoff from each MMS</v>
      </c>
    </row>
    <row r="35" spans="3:23" ht="20.100000000000001" customHeight="1" x14ac:dyDescent="0.2">
      <c r="D35" s="5" t="str" cm="1">
        <f t="array" ref="D35">MMS_Dairy_LeachingAndRunoff_Equations.VEERG_4_3_1_6__1_AnnualEmissionsFromLeachingAndRunoffFromMMS_Source()</f>
        <v>VEERG 2026: 4.3.1.6, Equation (1)</v>
      </c>
    </row>
    <row r="36" spans="3:23" ht="20.100000000000001" customHeight="1" x14ac:dyDescent="0.2">
      <c r="D36" s="13" t="s">
        <v>25</v>
      </c>
      <c r="E36" s="13" t="str" cm="1">
        <f t="array" aca="1" ref="E36" ca="1">Common_InputFunctions.Utility_DisplayFunctionName(J49)</f>
        <v>=MMS_Dairy_LeachingAndRunoff_Equations.VEERG_4_3_1_6__1_AnnualEmissionsFromLeachingAndRunoffFromMMS</v>
      </c>
    </row>
    <row r="38" spans="3:23" ht="20.100000000000001" customHeight="1" x14ac:dyDescent="0.2">
      <c r="D38" s="6"/>
    </row>
    <row r="39" spans="3:23" ht="20.100000000000001" customHeight="1" x14ac:dyDescent="0.2">
      <c r="D39" s="54" t="s">
        <v>28</v>
      </c>
      <c r="E39" s="1" t="str" cm="1">
        <f t="array" ref="E39">MMS_Dairy_LeachingAndRunoff_Equations.VEERG_4_3_1_6__1_AnnualEmissionsFromLeachingAndRunoffFromMMS_Variable()</f>
        <v>E_N2Oleach</v>
      </c>
    </row>
    <row r="40" spans="3:23" ht="20.100000000000001" customHeight="1" x14ac:dyDescent="0.2">
      <c r="D40" s="54" t="s">
        <v>18</v>
      </c>
      <c r="E40" s="55" t="str" cm="1">
        <f t="array" ref="E40">MMS_Dairy_LeachingAndRunoff_Equations.VEERG_4_3_1_6__1_AnnualEmissionsFromLeachingAndRunoffFromMMS_Unit()</f>
        <v>t N2O</v>
      </c>
    </row>
    <row r="42" spans="3:23" ht="20.100000000000001" customHeight="1" x14ac:dyDescent="0.2">
      <c r="D42" s="133" t="str" cm="1">
        <f t="array" ref="D42:E44">_xlfn.CHOOSECOLS(MMS_Dairy_LeachingAndRunoff_Equations.VEERG_4_3_1_6__1_AnnualEmissionsFromLeachingAndRunoffFromMMS_Arguments(),1,2)</f>
        <v>MNLeach_jm</v>
      </c>
      <c r="E42" s="132" t="str">
        <v>mass of N lost through leaching and runoff</v>
      </c>
      <c r="F42" s="134"/>
      <c r="G42" s="133" t="str" cm="1">
        <f t="array" ref="G42:H44">_xlfn.CHOOSECOLS(MMS_Dairy_LeachingAndRunoff_Equations.VEERG_4_3_1_6__1_AnnualEmissionsFromLeachingAndRunoffFromMMS_Arguments(),3,4)</f>
        <v>kg N</v>
      </c>
      <c r="H42" s="129" t="str">
        <v>Calculated from 4.3.1.6 (2)</v>
      </c>
      <c r="I42" s="130" t="str" cm="1">
        <f t="array" aca="1" ref="I42" ca="1">HYPERLINK(Common_InputFunctions.Utility_SourceHyperlink($D$26),$D$26)</f>
        <v>M1_Table_MN_leach_j_m-4</v>
      </c>
    </row>
    <row r="43" spans="3:23" ht="20.100000000000001" customHeight="1" x14ac:dyDescent="0.2">
      <c r="D43" s="133" t="str">
        <v>EF_leach</v>
      </c>
      <c r="E43" s="132" t="str">
        <v>nitrous oxide emission factor for leaching and runoff</v>
      </c>
      <c r="F43" s="134"/>
      <c r="G43" s="133" t="str">
        <v>kg N2O-N/kg N</v>
      </c>
      <c r="H43" s="129" t="str">
        <v>Constant</v>
      </c>
      <c r="I43" s="133">
        <f>SourceData_Dairy_EmissionFactorForLeachingAndRunoff_Data</f>
        <v>1.0999999999999999E-2</v>
      </c>
    </row>
    <row r="44" spans="3:23" ht="20.100000000000001" customHeight="1" x14ac:dyDescent="0.2">
      <c r="D44" s="133" t="str">
        <v>C_N2O</v>
      </c>
      <c r="E44" s="132" t="str">
        <v>factor to convert elemental mass of N2O to molecular mass</v>
      </c>
      <c r="F44" s="134"/>
      <c r="G44" s="133" t="str">
        <v/>
      </c>
      <c r="H44" s="129" t="str">
        <v>Constant</v>
      </c>
      <c r="I44" s="133">
        <f>Common_InputFunctions.Utility_LookupValueInTableNumber("N2O",Table_GasToMolecularConversionFactor[Gas],Table_GasToMolecularConversionFactor[Conversion factor combined])</f>
        <v>1.5714285714285714</v>
      </c>
    </row>
    <row r="46" spans="3:23" ht="20.100000000000001" customHeight="1" x14ac:dyDescent="0.2">
      <c r="D46" s="100" t="s">
        <v>330</v>
      </c>
      <c r="O46" s="100" t="s">
        <v>332</v>
      </c>
    </row>
    <row r="47" spans="3:23" ht="20.100000000000001" customHeight="1" x14ac:dyDescent="0.2">
      <c r="D47" s="99" t="s">
        <v>331</v>
      </c>
      <c r="O47" s="99" t="s">
        <v>333</v>
      </c>
    </row>
    <row r="48" spans="3:23" ht="20.100000000000001" customHeight="1" x14ac:dyDescent="0.2">
      <c r="D48" s="52" t="s">
        <v>142</v>
      </c>
      <c r="E48" s="52" t="s">
        <v>66</v>
      </c>
      <c r="F48" s="52" t="s">
        <v>167</v>
      </c>
      <c r="G48" s="52" t="s">
        <v>184</v>
      </c>
      <c r="H48" s="52" t="s">
        <v>185</v>
      </c>
      <c r="I48" s="52" t="s">
        <v>186</v>
      </c>
      <c r="J48" s="52" t="s">
        <v>187</v>
      </c>
      <c r="O48" s="52" t="s">
        <v>142</v>
      </c>
      <c r="P48" s="52" t="s">
        <v>66</v>
      </c>
      <c r="Q48" s="52" t="s">
        <v>167</v>
      </c>
      <c r="R48" s="52" t="s">
        <v>184</v>
      </c>
      <c r="S48" s="52" t="s">
        <v>185</v>
      </c>
      <c r="T48" s="52" t="s">
        <v>186</v>
      </c>
      <c r="U48" s="52" t="s">
        <v>187</v>
      </c>
    </row>
    <row r="49" spans="4:22" ht="20.100000000000001" customHeight="1" x14ac:dyDescent="0.2">
      <c r="D49" s="53" t="str">
        <f>INDEX(X_Table_Dairy_ProductionSystems_Method1,3,1)</f>
        <v>Milking shed</v>
      </c>
      <c r="E49" s="53" t="s">
        <v>400</v>
      </c>
      <c r="F49" s="53" cm="1">
        <f t="array" ref="F49">MMS_Dairy_LeachingAndRunoff_Equations.VEERG_4_3_1_6__1_AnnualEmissionsFromLeachingAndRunoffFromMMS(F29,$I$43,$I$44)</f>
        <v>2.7605013073453405E-4</v>
      </c>
      <c r="G49" s="53" cm="1">
        <f t="array" ref="G49">MMS_Dairy_LeachingAndRunoff_Equations.VEERG_4_3_1_6__1_AnnualEmissionsFromLeachingAndRunoffFromMMS(G29,$I$43,$I$44)</f>
        <v>1.2608746413723606E-4</v>
      </c>
      <c r="H49" s="53" cm="1">
        <f t="array" ref="H49">MMS_Dairy_LeachingAndRunoff_Equations.VEERG_4_3_1_6__1_AnnualEmissionsFromLeachingAndRunoffFromMMS(H29,$I$43,$I$44)</f>
        <v>5.0219303537057436E-5</v>
      </c>
      <c r="I49" s="53" cm="1">
        <f t="array" ref="I49">MMS_Dairy_LeachingAndRunoff_Equations.VEERG_4_3_1_6__1_AnnualEmissionsFromLeachingAndRunoffFromMMS(I29,$I$43,$I$44)</f>
        <v>1.5849692905442329E-4</v>
      </c>
      <c r="J49" s="53" cm="1">
        <f t="array" ref="J49">MMS_Dairy_LeachingAndRunoff_Equations.VEERG_4_3_1_6__1_AnnualEmissionsFromLeachingAndRunoffFromMMS(J29,$I$43,$I$44)</f>
        <v>6.6351461180375439E-5</v>
      </c>
      <c r="K49" s="2" t="str">
        <f>$E$40</f>
        <v>t N2O</v>
      </c>
      <c r="O49" s="53" t="str">
        <f>INDEX(X_Table_Dairy_ProductionSystems_Method1,3,1)</f>
        <v>Milking shed</v>
      </c>
      <c r="P49" s="53" t="s">
        <v>400</v>
      </c>
      <c r="Q49" s="53" cm="1">
        <f t="array" ref="Q49">MMS_Dairy_LeachingAndRunoff_Equations.VEERG_4_3_1_6__1_AnnualEmissionsFromLeachingAndRunoffFromMMS(Q29,$I$43,$I$44)</f>
        <v>2.7605013073453405E-4</v>
      </c>
      <c r="R49" s="53" cm="1">
        <f t="array" ref="R49">MMS_Dairy_LeachingAndRunoff_Equations.VEERG_4_3_1_6__1_AnnualEmissionsFromLeachingAndRunoffFromMMS(R29,$I$43,$I$44)</f>
        <v>1.2608746413723606E-4</v>
      </c>
      <c r="S49" s="53" cm="1">
        <f t="array" ref="S49">MMS_Dairy_LeachingAndRunoff_Equations.VEERG_4_3_1_6__1_AnnualEmissionsFromLeachingAndRunoffFromMMS(S29,$I$43,$I$44)</f>
        <v>5.0219303537057436E-5</v>
      </c>
      <c r="T49" s="53" cm="1">
        <f t="array" ref="T49">MMS_Dairy_LeachingAndRunoff_Equations.VEERG_4_3_1_6__1_AnnualEmissionsFromLeachingAndRunoffFromMMS(T29,$I$43,$I$44)</f>
        <v>1.5849692905442329E-4</v>
      </c>
      <c r="U49" s="53" cm="1">
        <f t="array" ref="U49">MMS_Dairy_LeachingAndRunoff_Equations.VEERG_4_3_1_6__1_AnnualEmissionsFromLeachingAndRunoffFromMMS(U29,$I$43,$I$44)</f>
        <v>6.6351461180375439E-5</v>
      </c>
      <c r="V49" s="2" t="str">
        <f>$E$40</f>
        <v>t N2O</v>
      </c>
    </row>
    <row r="50" spans="4:22" ht="20.100000000000001" customHeight="1" x14ac:dyDescent="0.2">
      <c r="D50" s="53" t="str">
        <f>INDEX(X_Table_Dairy_ProductionSystems_Method1,4,1)</f>
        <v>Feed pad</v>
      </c>
      <c r="E50" s="53" t="s">
        <v>400</v>
      </c>
      <c r="F50" s="53" cm="1">
        <f t="array" ref="F50">MMS_Dairy_LeachingAndRunoff_Equations.VEERG_4_3_1_6__1_AnnualEmissionsFromLeachingAndRunoffFromMMS(F30,$I$43,$I$44)</f>
        <v>7.8172377930733959E-4</v>
      </c>
      <c r="G50" s="53" cm="1">
        <f t="array" ref="G50">MMS_Dairy_LeachingAndRunoff_Equations.VEERG_4_3_1_6__1_AnnualEmissionsFromLeachingAndRunoffFromMMS(G30,$I$43,$I$44)</f>
        <v>3.5705677344317308E-4</v>
      </c>
      <c r="H50" s="53" cm="1">
        <f t="array" ref="H50">MMS_Dairy_LeachingAndRunoff_Equations.VEERG_4_3_1_6__1_AnnualEmissionsFromLeachingAndRunoffFromMMS(H30,$I$43,$I$44)</f>
        <v>1.4221193683448539E-4</v>
      </c>
      <c r="I50" s="53" cm="1">
        <f t="array" ref="I50">MMS_Dairy_LeachingAndRunoff_Equations.VEERG_4_3_1_6__1_AnnualEmissionsFromLeachingAndRunoffFromMMS(I30,$I$43,$I$44)</f>
        <v>4.4883448545866232E-4</v>
      </c>
      <c r="J50" s="53" cm="1">
        <f t="array" ref="J50">MMS_Dairy_LeachingAndRunoff_Equations.VEERG_4_3_1_6__1_AnnualEmissionsFromLeachingAndRunoffFromMMS(J30,$I$43,$I$44)</f>
        <v>1.8789527416079047E-4</v>
      </c>
      <c r="K50" s="2"/>
      <c r="O50" s="53" t="str">
        <f>INDEX(X_Table_Dairy_ProductionSystems_Method1,4,1)</f>
        <v>Feed pad</v>
      </c>
      <c r="P50" s="53" t="s">
        <v>400</v>
      </c>
      <c r="Q50" s="53" cm="1">
        <f t="array" ref="Q50">MMS_Dairy_LeachingAndRunoff_Equations.VEERG_4_3_1_6__1_AnnualEmissionsFromLeachingAndRunoffFromMMS(Q30,$I$43,$I$44)</f>
        <v>7.8172377930733959E-4</v>
      </c>
      <c r="R50" s="53" cm="1">
        <f t="array" ref="R50">MMS_Dairy_LeachingAndRunoff_Equations.VEERG_4_3_1_6__1_AnnualEmissionsFromLeachingAndRunoffFromMMS(R30,$I$43,$I$44)</f>
        <v>3.5705677344317308E-4</v>
      </c>
      <c r="S50" s="53" cm="1">
        <f t="array" ref="S50">MMS_Dairy_LeachingAndRunoff_Equations.VEERG_4_3_1_6__1_AnnualEmissionsFromLeachingAndRunoffFromMMS(S30,$I$43,$I$44)</f>
        <v>1.4221193683448539E-4</v>
      </c>
      <c r="T50" s="53" cm="1">
        <f t="array" ref="T50">MMS_Dairy_LeachingAndRunoff_Equations.VEERG_4_3_1_6__1_AnnualEmissionsFromLeachingAndRunoffFromMMS(T30,$I$43,$I$44)</f>
        <v>4.4883448545866232E-4</v>
      </c>
      <c r="U50" s="53" cm="1">
        <f t="array" ref="U50">MMS_Dairy_LeachingAndRunoff_Equations.VEERG_4_3_1_6__1_AnnualEmissionsFromLeachingAndRunoffFromMMS(U30,$I$43,$I$44)</f>
        <v>1.8789527416079047E-4</v>
      </c>
      <c r="V50" s="2"/>
    </row>
    <row r="52" spans="4:22" ht="20.100000000000001" customHeight="1" x14ac:dyDescent="0.2">
      <c r="D52" s="104" t="s">
        <v>320</v>
      </c>
      <c r="E52" s="105">
        <f>SUM(F49:J50)</f>
        <v>2.5949275378480772E-3</v>
      </c>
      <c r="F52" s="106" t="str">
        <f>$E$40</f>
        <v>t N2O</v>
      </c>
      <c r="O52" s="104" t="s">
        <v>320</v>
      </c>
      <c r="P52" s="105">
        <f>SUM(Q49:U50)</f>
        <v>2.5949275378480772E-3</v>
      </c>
      <c r="Q52" s="106" t="str">
        <f>$E$40</f>
        <v>t N2O</v>
      </c>
    </row>
    <row r="54" spans="4:22" ht="20.100000000000001" customHeight="1" x14ac:dyDescent="0.2">
      <c r="D54" s="58" t="str" cm="1">
        <f t="array" ref="D54:E55">Common_Equations.Common_ConvertN2OToCO2e_Arguments()</f>
        <v>EN2O</v>
      </c>
      <c r="E54" s="59" t="str">
        <v>Nitrous oxide emissions (t N2O)</v>
      </c>
      <c r="F54" s="107"/>
      <c r="G54" s="53">
        <f>VEERG_4_3_1_6__1_AnnualEmissionsFromLeachingAndRunoffFromMMS_Result_Method1</f>
        <v>2.5949275378480772E-3</v>
      </c>
      <c r="O54" s="58" t="str" cm="1">
        <f t="array" ref="O54:P55">Common_Equations.Common_ConvertN2OToCO2e_Arguments()</f>
        <v>EN2O</v>
      </c>
      <c r="P54" s="59" t="str">
        <v>Nitrous oxide emissions (t N2O)</v>
      </c>
      <c r="Q54" s="107"/>
      <c r="R54" s="53">
        <f>VEERG_4_3_1_6__1_AnnualEmissionsFromLeachingAndRunoffFromMMS_Result_Method2</f>
        <v>2.5949275378480772E-3</v>
      </c>
    </row>
    <row r="55" spans="4:22" ht="20.100000000000001" customHeight="1" x14ac:dyDescent="0.2">
      <c r="D55" s="58" t="str">
        <v>GWPN2O</v>
      </c>
      <c r="E55" s="59" t="str">
        <v>Global warming potential for nitrous oxide (t CO2-e / t N2O)</v>
      </c>
      <c r="F55" s="107"/>
      <c r="G55" s="53">
        <f>Common_InputFunctions.Utility_LookupValueInTableNumber("N2O",Table_GWPData[Gas],Table_GWPData[CO2-e factor])</f>
        <v>265</v>
      </c>
      <c r="O55" s="58" t="str">
        <v>GWPN2O</v>
      </c>
      <c r="P55" s="59" t="str">
        <v>Global warming potential for nitrous oxide (t CO2-e / t N2O)</v>
      </c>
      <c r="Q55" s="107"/>
      <c r="R55" s="53">
        <f>Common_InputFunctions.Utility_LookupValueInTableNumber("N2O",Table_GWPData[Gas],Table_GWPData[CO2-e factor])</f>
        <v>265</v>
      </c>
    </row>
    <row r="57" spans="4:22" ht="20.100000000000001" customHeight="1" x14ac:dyDescent="0.2">
      <c r="D57" s="46" t="s">
        <v>104</v>
      </c>
      <c r="E57" s="46" cm="1">
        <f t="array" ref="E57">Common_Equations.Common_ConvertN2OToCO2e(G54,G55)</f>
        <v>0.68765579752974049</v>
      </c>
      <c r="F57" s="108" t="str" cm="1">
        <f t="array" ref="F57">Common_Equations.Common_ConvertN2OToCO2e_Unit()</f>
        <v>t CO2e</v>
      </c>
      <c r="O57" s="46" t="s">
        <v>104</v>
      </c>
      <c r="P57" s="46" cm="1">
        <f t="array" ref="P57">Common_Equations.Common_ConvertN2OToCO2e(R54,R55)</f>
        <v>0.68765579752974049</v>
      </c>
      <c r="Q57" s="108" t="str" cm="1">
        <f t="array" ref="Q57">Common_Equations.Common_ConvertN2OToCO2e_Unit()</f>
        <v>t CO2e</v>
      </c>
    </row>
  </sheetData>
  <dataValidations disablePrompts="1" count="1">
    <dataValidation operator="equal" allowBlank="1" showInputMessage="1" showErrorMessage="1" sqref="E23:E24 P29:P30 E29:E30 P23:P24 P49:P50 E49:E50" xr:uid="{41AE1C4A-D10F-453D-9EBD-FABAB69A8FB2}"/>
  </dataValidations>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329EE4-6811-4EE3-BAA2-11924CEC7522}">
  <sheetPr>
    <tabColor rgb="FF008000"/>
  </sheetPr>
  <dimension ref="A1:W148"/>
  <sheetViews>
    <sheetView showGridLines="0" topLeftCell="B98" zoomScaleNormal="100" workbookViewId="0">
      <selection activeCell="P115" sqref="P115"/>
    </sheetView>
  </sheetViews>
  <sheetFormatPr defaultRowHeight="20.100000000000001" customHeight="1" x14ac:dyDescent="0.2"/>
  <cols>
    <col min="1" max="1" width="30.7109375" customWidth="1"/>
    <col min="2" max="2" width="4.7109375" customWidth="1"/>
    <col min="3" max="3" width="4.7109375" style="1" customWidth="1"/>
    <col min="4" max="11" width="30.7109375" style="1" customWidth="1"/>
    <col min="12" max="12" width="4.7109375" style="1" customWidth="1"/>
    <col min="13" max="13" width="4.7109375" style="128" customWidth="1"/>
    <col min="14" max="14" width="4.7109375" style="1" customWidth="1"/>
    <col min="15" max="22" width="30.7109375" style="1" customWidth="1"/>
    <col min="23" max="23" width="4.7109375" style="1" customWidth="1"/>
  </cols>
  <sheetData>
    <row r="1" spans="1:23" s="8" customFormat="1" ht="30" customHeight="1" x14ac:dyDescent="0.35">
      <c r="A1" s="67" t="e" vm="1">
        <v>#VALUE!</v>
      </c>
      <c r="C1" s="8" t="s">
        <v>334</v>
      </c>
      <c r="M1" s="128"/>
    </row>
    <row r="2" spans="1:23" s="9" customFormat="1" ht="20.100000000000001" customHeight="1" x14ac:dyDescent="0.2">
      <c r="A2"/>
      <c r="M2" s="128"/>
    </row>
    <row r="3" spans="1:23" ht="20.100000000000001" customHeight="1" x14ac:dyDescent="0.2">
      <c r="A3" s="17" t="str">
        <f>HYPERLINK("#'Home'!A1", "Home")</f>
        <v>Home</v>
      </c>
      <c r="C3" s="4"/>
      <c r="D3" s="4" t="s">
        <v>114</v>
      </c>
      <c r="E3" s="4"/>
      <c r="F3" s="4"/>
      <c r="G3" s="4"/>
      <c r="H3" s="4"/>
      <c r="I3" s="4"/>
      <c r="J3" s="4"/>
      <c r="K3" s="4"/>
      <c r="L3" s="4"/>
      <c r="N3" s="4"/>
      <c r="O3" s="4" t="s">
        <v>115</v>
      </c>
      <c r="P3" s="4"/>
      <c r="Q3" s="4"/>
      <c r="R3" s="4"/>
      <c r="S3" s="4"/>
      <c r="T3" s="4"/>
      <c r="U3" s="4"/>
      <c r="V3" s="4"/>
      <c r="W3" s="4"/>
    </row>
    <row r="4" spans="1:23" ht="20.100000000000001" customHeight="1" x14ac:dyDescent="0.2">
      <c r="A4" s="17" t="str">
        <f>HYPERLINK("#'Overview'!A1", "Overview")</f>
        <v>Overview</v>
      </c>
    </row>
    <row r="5" spans="1:23" ht="20.100000000000001" customHeight="1" x14ac:dyDescent="0.2">
      <c r="A5" s="17" t="str">
        <f>HYPERLINK("#'Results'!A1", "Results")</f>
        <v>Results</v>
      </c>
      <c r="D5" s="6" t="str" cm="1">
        <f t="array" ref="D5">MMS_Dairy_ManureAppliedToSoils_Equations.VEERG_4_3_1_8__1_MassOfNitrogenAppliedToSoilsScope1_Title()</f>
        <v>Mass of nitrogen from manure applied to soils for scope 1 emissions</v>
      </c>
    </row>
    <row r="6" spans="1:23" ht="20.100000000000001" customHeight="1" x14ac:dyDescent="0.2">
      <c r="D6" s="5" t="str" cm="1">
        <f t="array" ref="D6">MMS_Dairy_ManureAppliedToSoils_Equations.VEERG_4_3_1_8__1_MassOfNitrogenAppliedToSoilsScope1_Source()</f>
        <v>VEERG 2026: 4.3.1.8, Equation (1)</v>
      </c>
    </row>
    <row r="7" spans="1:23" ht="20.100000000000001" customHeight="1" x14ac:dyDescent="0.2">
      <c r="D7" s="13" t="s">
        <v>25</v>
      </c>
      <c r="E7" s="13" t="str" cm="1">
        <f t="array" aca="1" ref="E7" ca="1">Common_InputFunctions.Utility_DisplayFunctionName($F$76)</f>
        <v>=MMS_Dairy_ManureAppliedToSoils_Equations.VEERG_4_3_1_8__1_MassOfNitrogenAppliedToSoilsScope1</v>
      </c>
    </row>
    <row r="8" spans="1:23" ht="20.100000000000001" customHeight="1" x14ac:dyDescent="0.2">
      <c r="A8" s="19" t="s">
        <v>0</v>
      </c>
    </row>
    <row r="9" spans="1:23" ht="20.100000000000001" customHeight="1" x14ac:dyDescent="0.2">
      <c r="A9" s="17" t="str">
        <f>HYPERLINK("#'Input - Site'!A1", "Site")</f>
        <v>Site</v>
      </c>
    </row>
    <row r="10" spans="1:23" ht="20.100000000000001" customHeight="1" x14ac:dyDescent="0.2">
      <c r="A10" s="17" t="str">
        <f>HYPERLINK("#'Input - Dairy'!A1", "Dairy")</f>
        <v>Dairy</v>
      </c>
      <c r="D10" s="54" t="s">
        <v>28</v>
      </c>
      <c r="E10" s="1" t="str" cm="1">
        <f t="array" ref="E10">MMS_Dairy_ManureAppliedToSoils_Equations.VEERG_4_3_1_8__1_MassOfNitrogenAppliedToSoilsScope1_Variable()</f>
        <v>MNSoil_scope1</v>
      </c>
    </row>
    <row r="11" spans="1:23" ht="20.100000000000001" customHeight="1" x14ac:dyDescent="0.2">
      <c r="D11" s="54" t="s">
        <v>18</v>
      </c>
      <c r="E11" s="55" t="str" cm="1">
        <f t="array" ref="E11">MMS_Dairy_ManureAppliedToSoils_Equations.VEERG_4_3_1_8__1_MassOfNitrogenAppliedToSoilsScope1_Unit()</f>
        <v>kg N</v>
      </c>
    </row>
    <row r="13" spans="1:23" ht="20.100000000000001" customHeight="1" x14ac:dyDescent="0.2">
      <c r="A13" s="18" t="s">
        <v>73</v>
      </c>
      <c r="D13" s="133" t="str" cm="1">
        <f t="array" ref="D13:E17">_xlfn.CHOOSECOLS(MMS_Dairy_ManureAppliedToSoils_Equations.VEERG_4_3_1_8__1_MassOfNitrogenAppliedToSoilsScope1_Arguments(),1,2)</f>
        <v>MN_jm</v>
      </c>
      <c r="E13" s="132" t="str">
        <v>total nitrogen in each MMS for dairy cattle classes</v>
      </c>
      <c r="F13" s="134"/>
      <c r="G13" s="133" t="str" cm="1">
        <f t="array" ref="G13:H17">_xlfn.CHOOSECOLS(MMS_Dairy_ManureAppliedToSoils_Equations.VEERG_4_3_1_8__1_MassOfNitrogenAppliedToSoilsScope1_Arguments(),3,4)</f>
        <v>kg N</v>
      </c>
      <c r="H13" s="129" t="str">
        <v>Calculated from 4.3.1.3 (2)</v>
      </c>
      <c r="I13" s="130" t="str" cm="1">
        <f t="array" aca="1" ref="I13" ca="1">HYPERLINK(Common_InputFunctions.Utility_SourceHyperlink($D$37),$D$37)</f>
        <v>M1_Table_MN_j_m</v>
      </c>
    </row>
    <row r="14" spans="1:23" ht="20.100000000000001" customHeight="1" x14ac:dyDescent="0.2">
      <c r="A14" s="17" t="str">
        <f>HYPERLINK("#'4.3.1.1-2 Methane'!A1", "4.3.1.1-2 Methane")</f>
        <v>4.3.1.1-2 Methane</v>
      </c>
      <c r="D14" s="133" t="str">
        <v>EF_m</v>
      </c>
      <c r="E14" s="132" t="str">
        <v>emission factor for nitrous oxide emissions per MMS</v>
      </c>
      <c r="F14" s="134"/>
      <c r="G14" s="133" t="str">
        <v>kg N2O-N/kg N</v>
      </c>
      <c r="H14" s="129" t="str">
        <v>Constant</v>
      </c>
      <c r="I14" s="130" t="str" cm="1">
        <f t="array" aca="1" ref="I14" ca="1">HYPERLINK(Common_InputFunctions.Utility_SourceHyperlink($D$19),$D$19)</f>
        <v>Table_EF_m</v>
      </c>
    </row>
    <row r="15" spans="1:23" ht="20.100000000000001" customHeight="1" x14ac:dyDescent="0.2">
      <c r="A15" s="17" t="str">
        <f>HYPERLINK("#'4.3.1.3-4 Direct N20'!A1", "4.3.1.3-4 Direct N20")</f>
        <v>4.3.1.3-4 Direct N20</v>
      </c>
      <c r="D15" s="133" t="str">
        <v>FracGASM_m</v>
      </c>
      <c r="E15" s="132" t="str">
        <v>fraction of N volatilised from MMS</v>
      </c>
      <c r="F15" s="134"/>
      <c r="G15" s="133" t="str">
        <v>fraction</v>
      </c>
      <c r="H15" s="129" t="str">
        <v>Constant</v>
      </c>
      <c r="I15" s="130" t="str" cm="1">
        <f t="array" aca="1" ref="I15" ca="1">HYPERLINK(Common_InputFunctions.Utility_SourceHyperlink($D$28),$D$28)</f>
        <v>Table_FracGASM_m</v>
      </c>
    </row>
    <row r="16" spans="1:23" ht="20.100000000000001" customHeight="1" x14ac:dyDescent="0.2">
      <c r="A16" s="17" t="str">
        <f>HYPERLINK("#'4.3.1.5 Atmos deposition'!A1", "4.3.1.5 Atmos deposition")</f>
        <v>4.3.1.5 Atmos deposition</v>
      </c>
      <c r="D16" s="133" t="str">
        <v>MNLeach_jm</v>
      </c>
      <c r="E16" s="132" t="str">
        <v>mass of N lost through leaching and runoff from each MMS</v>
      </c>
      <c r="F16" s="134"/>
      <c r="G16" s="133" t="str">
        <v>kg N</v>
      </c>
      <c r="H16" s="129" t="str">
        <v>Calculated from 4.3.1.6 (2)</v>
      </c>
      <c r="I16" s="130" t="str" cm="1">
        <f t="array" aca="1" ref="I16" ca="1">HYPERLINK(Common_InputFunctions.Utility_SourceHyperlink($D$49),$D$49)</f>
        <v>M1_Table_MN_leach_j_m</v>
      </c>
    </row>
    <row r="17" spans="1:9" ht="20.100000000000001" customHeight="1" x14ac:dyDescent="0.2">
      <c r="A17" s="17" t="str">
        <f>HYPERLINK("#'4.3.1.6-7 Leaching and runoff'!A1", "4.3.1.6-7 Leaching and runoff")</f>
        <v>4.3.1.6-7 Leaching and runoff</v>
      </c>
      <c r="D17" s="133" t="str">
        <v>PF_scope</v>
      </c>
      <c r="E17" s="132" t="str">
        <v>fraction of manure applied to soil within farm boundary</v>
      </c>
      <c r="F17" s="134"/>
      <c r="G17" s="133" t="str">
        <v>fraction</v>
      </c>
      <c r="H17" s="131" t="str">
        <v>Input</v>
      </c>
      <c r="I17" s="130" t="str" cm="1">
        <f t="array" aca="1" ref="I17" ca="1">HYPERLINK(Common_InputFunctions.Utility_SourceHyperlink($D$61),$D$61)</f>
        <v>Table_PF_scope</v>
      </c>
    </row>
    <row r="18" spans="1:9" ht="20.100000000000001" customHeight="1" x14ac:dyDescent="0.2">
      <c r="A18" s="21" t="str">
        <f>HYPERLINK("#'4.3.1.8 Manure applied to soils'!A1", "4.3.1.8 Manure applied to soils")</f>
        <v>4.3.1.8 Manure applied to soils</v>
      </c>
    </row>
    <row r="19" spans="1:9" ht="20.100000000000001" customHeight="1" x14ac:dyDescent="0.2">
      <c r="A19" s="17" t="str">
        <f>HYPERLINK("#'4.3.1.9 Soil direct N2O'!A1", "4.3.1.9 Soil direct N2O")</f>
        <v>4.3.1.9 Soil direct N2O</v>
      </c>
      <c r="D19" s="100" t="s">
        <v>307</v>
      </c>
    </row>
    <row r="20" spans="1:9" ht="20.100000000000001" customHeight="1" x14ac:dyDescent="0.2">
      <c r="A20" s="17" t="str">
        <f>HYPERLINK("#'4.3.1.10-11 Soil Atmos Dep'!A1", "4.3.1.10-11 Soil Atmos Dep")</f>
        <v>4.3.1.10-11 Soil Atmos Dep</v>
      </c>
      <c r="D20" s="99" t="s">
        <v>308</v>
      </c>
    </row>
    <row r="21" spans="1:9" ht="20.100000000000001" customHeight="1" x14ac:dyDescent="0.2">
      <c r="A21" s="17" t="str">
        <f>HYPERLINK("#'4.3.1.12-13 Soil leach runoff'!A1", "4.3.1.12-13 Soil leach runoff")</f>
        <v>4.3.1.12-13 Soil leach runoff</v>
      </c>
      <c r="D21" s="52" t="s">
        <v>66</v>
      </c>
      <c r="E21" s="52" t="s">
        <v>309</v>
      </c>
    </row>
    <row r="22" spans="1:9" ht="20.100000000000001" customHeight="1" x14ac:dyDescent="0.2">
      <c r="D22" s="53" t="str" cm="1">
        <f t="array" ref="D22:D26">Table_SourceData_Dairy_EFmFracGASM[NIR reference]</f>
        <v>Pasture range and paddock</v>
      </c>
      <c r="E22" s="53" cm="1">
        <f t="array" ref="E22:E26">Table_SourceData_Dairy_EFmFracGASM[EFm]</f>
        <v>0</v>
      </c>
    </row>
    <row r="23" spans="1:9" ht="20.100000000000001" customHeight="1" x14ac:dyDescent="0.2">
      <c r="D23" s="53" t="str">
        <v>Anaerobic lagoon</v>
      </c>
      <c r="E23" s="53">
        <v>0</v>
      </c>
    </row>
    <row r="24" spans="1:9" ht="20.100000000000001" customHeight="1" x14ac:dyDescent="0.2">
      <c r="A24" s="154" t="s">
        <v>1</v>
      </c>
      <c r="D24" s="53" t="str">
        <v>Sump and dispersal system</v>
      </c>
      <c r="E24" s="53">
        <v>0</v>
      </c>
    </row>
    <row r="25" spans="1:9" ht="20.100000000000001" customHeight="1" x14ac:dyDescent="0.2">
      <c r="A25" s="17" t="str">
        <f>HYPERLINK("#'Constants - Dairy'!A1", "Constants - Dairy")</f>
        <v>Constants - Dairy</v>
      </c>
      <c r="D25" s="53" t="str">
        <v>Drains to paddock</v>
      </c>
      <c r="E25" s="53">
        <v>0</v>
      </c>
    </row>
    <row r="26" spans="1:9" ht="20.100000000000001" customHeight="1" x14ac:dyDescent="0.2">
      <c r="A26" s="17" t="str">
        <f>HYPERLINK("#'Constants - Common'!A1", "Constants - Common")</f>
        <v>Constants - Common</v>
      </c>
      <c r="D26" s="53" t="str">
        <v>Solid storage</v>
      </c>
      <c r="E26" s="53">
        <v>5.0000000000000001E-3</v>
      </c>
    </row>
    <row r="27" spans="1:9" ht="20.100000000000001" customHeight="1" x14ac:dyDescent="0.2">
      <c r="A27" s="17" t="str">
        <f>HYPERLINK("#'Constants - Livestock'!A1", "Constants - Livestock")</f>
        <v>Constants - Livestock</v>
      </c>
    </row>
    <row r="28" spans="1:9" ht="20.100000000000001" customHeight="1" x14ac:dyDescent="0.2">
      <c r="A28" s="17" t="str">
        <f>HYPERLINK("#'Acknowledgements'!A1", "Acknowledgements")</f>
        <v>Acknowledgements</v>
      </c>
      <c r="D28" s="100" t="s">
        <v>313</v>
      </c>
    </row>
    <row r="29" spans="1:9" ht="20.100000000000001" customHeight="1" x14ac:dyDescent="0.2">
      <c r="A29" s="17" t="str">
        <f>HYPERLINK("#'Tab template'!A1", "Tab template")</f>
        <v>Tab template</v>
      </c>
      <c r="D29" s="99" t="s">
        <v>315</v>
      </c>
    </row>
    <row r="30" spans="1:9" ht="20.100000000000001" customHeight="1" x14ac:dyDescent="0.2">
      <c r="D30" s="52" t="s">
        <v>66</v>
      </c>
      <c r="E30" s="52" t="s">
        <v>314</v>
      </c>
    </row>
    <row r="31" spans="1:9" ht="20.100000000000001" customHeight="1" x14ac:dyDescent="0.2">
      <c r="D31" s="53" t="str" cm="1">
        <f t="array" ref="D31:D35">Table_SourceData_Dairy_EFmFracGASM[NIR reference]</f>
        <v>Pasture range and paddock</v>
      </c>
      <c r="E31" s="53" cm="1">
        <f t="array" ref="E31:E35">Table_SourceData_Dairy_EFmFracGASM[FracGASMm]</f>
        <v>0</v>
      </c>
      <c r="F31" s="2" t="str">
        <f>'Constants - Dairy'!$D$84</f>
        <v>kg N2O-N/kg N excreted</v>
      </c>
    </row>
    <row r="32" spans="1:9" ht="20.100000000000001" customHeight="1" x14ac:dyDescent="0.2">
      <c r="D32" s="53" t="str">
        <v>Anaerobic lagoon</v>
      </c>
      <c r="E32" s="53">
        <v>0.35</v>
      </c>
      <c r="F32" s="2" t="str">
        <f>'Constants - Dairy'!$D$84</f>
        <v>kg N2O-N/kg N excreted</v>
      </c>
    </row>
    <row r="33" spans="4:22" ht="20.100000000000001" customHeight="1" x14ac:dyDescent="0.2">
      <c r="D33" s="53" t="str">
        <v>Sump and dispersal system</v>
      </c>
      <c r="E33" s="53">
        <v>7.0000000000000007E-2</v>
      </c>
      <c r="F33" s="2" t="str">
        <f>'Constants - Dairy'!$D$84</f>
        <v>kg N2O-N/kg N excreted</v>
      </c>
    </row>
    <row r="34" spans="4:22" ht="20.100000000000001" customHeight="1" x14ac:dyDescent="0.2">
      <c r="D34" s="53" t="str">
        <v>Drains to paddock</v>
      </c>
      <c r="E34" s="53">
        <v>0.2</v>
      </c>
      <c r="F34" s="2" t="str">
        <f>'Constants - Dairy'!$D$84</f>
        <v>kg N2O-N/kg N excreted</v>
      </c>
    </row>
    <row r="35" spans="4:22" ht="20.100000000000001" customHeight="1" x14ac:dyDescent="0.2">
      <c r="D35" s="53" t="str">
        <v>Solid storage</v>
      </c>
      <c r="E35" s="53">
        <v>0.3</v>
      </c>
      <c r="F35" s="2" t="str">
        <f>'Constants - Dairy'!$D$84</f>
        <v>kg N2O-N/kg N excreted</v>
      </c>
    </row>
    <row r="37" spans="4:22" ht="20.100000000000001" customHeight="1" x14ac:dyDescent="0.2">
      <c r="D37" s="100" t="s">
        <v>303</v>
      </c>
      <c r="M37"/>
      <c r="O37" s="100" t="s">
        <v>306</v>
      </c>
    </row>
    <row r="38" spans="4:22" ht="20.100000000000001" customHeight="1" x14ac:dyDescent="0.2">
      <c r="D38" s="99" t="s">
        <v>304</v>
      </c>
      <c r="M38"/>
      <c r="O38" s="99" t="s">
        <v>305</v>
      </c>
    </row>
    <row r="39" spans="4:22" ht="20.100000000000001" customHeight="1" x14ac:dyDescent="0.2">
      <c r="D39" s="52" t="s">
        <v>142</v>
      </c>
      <c r="E39" s="52" t="s">
        <v>66</v>
      </c>
      <c r="F39" s="52" t="s">
        <v>167</v>
      </c>
      <c r="G39" s="52" t="s">
        <v>184</v>
      </c>
      <c r="H39" s="52" t="s">
        <v>185</v>
      </c>
      <c r="I39" s="52" t="s">
        <v>186</v>
      </c>
      <c r="J39" s="52" t="s">
        <v>187</v>
      </c>
      <c r="M39"/>
      <c r="O39" s="52" t="s">
        <v>142</v>
      </c>
      <c r="P39" s="52" t="s">
        <v>66</v>
      </c>
      <c r="Q39" s="52" t="s">
        <v>167</v>
      </c>
      <c r="R39" s="52" t="s">
        <v>184</v>
      </c>
      <c r="S39" s="52" t="s">
        <v>185</v>
      </c>
      <c r="T39" s="52" t="s">
        <v>186</v>
      </c>
      <c r="U39" s="52" t="s">
        <v>187</v>
      </c>
    </row>
    <row r="40" spans="4:22" ht="20.100000000000001" customHeight="1" x14ac:dyDescent="0.2">
      <c r="D40" s="53" t="str">
        <f>INDEX(X_Table_Dairy_ProductionSystems_Method1,3,1)</f>
        <v>Milking shed</v>
      </c>
      <c r="E40" s="53" t="str">
        <f>INDEX(X_Table_Dairy_Stage1MMS_1_AnaerobicLagoon,2,1)</f>
        <v>Anaerobic lagoon</v>
      </c>
      <c r="F40" s="53">
        <f>INDEX(M1_Table_MN_j_m,2,3)</f>
        <v>399.24605684746678</v>
      </c>
      <c r="G40" s="53">
        <f>INDEX(M1_Table_MN_j_m,2,4)</f>
        <v>182.35790267782079</v>
      </c>
      <c r="H40" s="53">
        <f>INDEX(M1_Table_MN_j_m,2,5)</f>
        <v>72.631224123843424</v>
      </c>
      <c r="I40" s="53">
        <f>INDEX(M1_Table_MN_j_m,2,6)</f>
        <v>229.23109573986844</v>
      </c>
      <c r="J40" s="53">
        <f>INDEX(M1_Table_MN_j_m,2,7)</f>
        <v>95.962857079055411</v>
      </c>
      <c r="K40" s="2" t="str">
        <f>$G$13</f>
        <v>kg N</v>
      </c>
      <c r="M40"/>
      <c r="O40" s="53" t="str">
        <f>INDEX(X_Table_Dairy_ProductionSystems_Method1,3,1)</f>
        <v>Milking shed</v>
      </c>
      <c r="P40" s="53" t="str">
        <f>INDEX(X_Table_Dairy_Stage1MMS_1_AnaerobicLagoon,2,1)</f>
        <v>Anaerobic lagoon</v>
      </c>
      <c r="Q40" s="53">
        <f>INDEX(M2_Table_MN_j_m,2,3)</f>
        <v>399.24605684746678</v>
      </c>
      <c r="R40" s="53">
        <f>INDEX(M2_Table_MN_j_m,2,4)</f>
        <v>182.35790267782079</v>
      </c>
      <c r="S40" s="53">
        <f>INDEX(M2_Table_MN_j_m,2,5)</f>
        <v>72.631224123843424</v>
      </c>
      <c r="T40" s="53">
        <f>INDEX(M2_Table_MN_j_m,2,6)</f>
        <v>229.23109573986844</v>
      </c>
      <c r="U40" s="53">
        <f>INDEX(M2_Table_MN_j_m,2,7)</f>
        <v>95.962857079055411</v>
      </c>
      <c r="V40" s="2" t="str">
        <f>$G$13</f>
        <v>kg N</v>
      </c>
    </row>
    <row r="41" spans="4:22" ht="20.100000000000001" customHeight="1" x14ac:dyDescent="0.2">
      <c r="D41" s="53" t="str">
        <f>INDEX(X_Table_Dairy_ProductionSystems_Method1,3,1)</f>
        <v>Milking shed</v>
      </c>
      <c r="E41" s="53" t="str">
        <f>INDEX(X_Table_Dairy_Stage1MMS_1_SumpAndDispersal,2,1)</f>
        <v>Sump and dispersal system</v>
      </c>
      <c r="F41" s="53">
        <f>INDEX(M1_Table_MN_j_m,3,3)</f>
        <v>399.24605684746678</v>
      </c>
      <c r="G41" s="53">
        <f>INDEX(M1_Table_MN_j_m,3,4)</f>
        <v>182.35790267782079</v>
      </c>
      <c r="H41" s="53">
        <f>INDEX(M1_Table_MN_j_m,3,5)</f>
        <v>72.631224123843424</v>
      </c>
      <c r="I41" s="53">
        <f>INDEX(M1_Table_MN_j_m,3,6)</f>
        <v>229.23109573986844</v>
      </c>
      <c r="J41" s="53">
        <f>INDEX(M1_Table_MN_j_m,3,7)</f>
        <v>95.962857079055411</v>
      </c>
      <c r="K41" s="2"/>
      <c r="M41"/>
      <c r="O41" s="53" t="str">
        <f>INDEX(X_Table_Dairy_ProductionSystems_Method1,3,1)</f>
        <v>Milking shed</v>
      </c>
      <c r="P41" s="53" t="str">
        <f>INDEX(X_Table_Dairy_Stage1MMS_1_SumpAndDispersal,2,1)</f>
        <v>Sump and dispersal system</v>
      </c>
      <c r="Q41" s="53">
        <f>INDEX(M2_Table_MN_j_m,3,3)</f>
        <v>399.24605684746678</v>
      </c>
      <c r="R41" s="53">
        <f>INDEX(M2_Table_MN_j_m,3,4)</f>
        <v>182.35790267782079</v>
      </c>
      <c r="S41" s="53">
        <f>INDEX(M2_Table_MN_j_m,3,5)</f>
        <v>72.631224123843424</v>
      </c>
      <c r="T41" s="53">
        <f>INDEX(M2_Table_MN_j_m,3,6)</f>
        <v>229.23109573986844</v>
      </c>
      <c r="U41" s="53">
        <f>INDEX(M2_Table_MN_j_m,3,7)</f>
        <v>95.962857079055411</v>
      </c>
      <c r="V41" s="2"/>
    </row>
    <row r="42" spans="4:22" ht="20.100000000000001" customHeight="1" x14ac:dyDescent="0.2">
      <c r="D42" s="53" t="str">
        <f>INDEX(X_Table_Dairy_ProductionSystems_Method1,3,1)</f>
        <v>Milking shed</v>
      </c>
      <c r="E42" s="53" t="str">
        <f>INDEX(X_Table_Dairy_Stage1MMS_1_DrainsToPaddock,2,1)</f>
        <v>Drains to paddock</v>
      </c>
      <c r="F42" s="53">
        <f>INDEX(M1_Table_MN_j_m,4,3)</f>
        <v>399.24605684746678</v>
      </c>
      <c r="G42" s="53">
        <f>INDEX(M1_Table_MN_j_m,4,4)</f>
        <v>182.35790267782079</v>
      </c>
      <c r="H42" s="53">
        <f>INDEX(M1_Table_MN_j_m,4,5)</f>
        <v>72.631224123843424</v>
      </c>
      <c r="I42" s="53">
        <f>INDEX(M1_Table_MN_j_m,4,6)</f>
        <v>229.23109573986844</v>
      </c>
      <c r="J42" s="53">
        <f>INDEX(M1_Table_MN_j_m,4,7)</f>
        <v>95.962857079055411</v>
      </c>
      <c r="K42" s="2"/>
      <c r="M42"/>
      <c r="O42" s="53" t="str">
        <f>INDEX(X_Table_Dairy_ProductionSystems_Method1,3,1)</f>
        <v>Milking shed</v>
      </c>
      <c r="P42" s="53" t="str">
        <f>INDEX(X_Table_Dairy_Stage1MMS_1_DrainsToPaddock,2,1)</f>
        <v>Drains to paddock</v>
      </c>
      <c r="Q42" s="53">
        <f>INDEX(M2_Table_MN_j_m,4,3)</f>
        <v>399.24605684746678</v>
      </c>
      <c r="R42" s="53">
        <f>INDEX(M2_Table_MN_j_m,4,4)</f>
        <v>182.35790267782079</v>
      </c>
      <c r="S42" s="53">
        <f>INDEX(M2_Table_MN_j_m,4,5)</f>
        <v>72.631224123843424</v>
      </c>
      <c r="T42" s="53">
        <f>INDEX(M2_Table_MN_j_m,4,6)</f>
        <v>229.23109573986844</v>
      </c>
      <c r="U42" s="53">
        <f>INDEX(M2_Table_MN_j_m,4,7)</f>
        <v>95.962857079055411</v>
      </c>
      <c r="V42" s="2"/>
    </row>
    <row r="43" spans="4:22" ht="20.100000000000001" customHeight="1" x14ac:dyDescent="0.2">
      <c r="D43" s="53" t="str">
        <f>INDEX(X_Table_Dairy_ProductionSystems_Method1,3,1)</f>
        <v>Milking shed</v>
      </c>
      <c r="E43" s="53" t="s">
        <v>400</v>
      </c>
      <c r="F43" s="53">
        <f>INDEX(M1_Table_MN_j_m,5,3)</f>
        <v>798.49211369493332</v>
      </c>
      <c r="G43" s="53">
        <f>INDEX(M1_Table_MN_j_m,5,4)</f>
        <v>364.71580535564152</v>
      </c>
      <c r="H43" s="53">
        <f>INDEX(M1_Table_MN_j_m,5,5)</f>
        <v>145.26244824768682</v>
      </c>
      <c r="I43" s="53">
        <f>INDEX(M1_Table_MN_j_m,5,6)</f>
        <v>458.46219147973682</v>
      </c>
      <c r="J43" s="53">
        <f>INDEX(M1_Table_MN_j_m,5,7)</f>
        <v>191.92571415811079</v>
      </c>
      <c r="K43" s="2"/>
      <c r="M43"/>
      <c r="O43" s="53" t="str">
        <f>INDEX(X_Table_Dairy_ProductionSystems_Method1,3,1)</f>
        <v>Milking shed</v>
      </c>
      <c r="P43" s="53" t="s">
        <v>400</v>
      </c>
      <c r="Q43" s="53">
        <f>INDEX(M2_Table_MN_j_m,5,3)</f>
        <v>798.49211369493332</v>
      </c>
      <c r="R43" s="53">
        <f>INDEX(M2_Table_MN_j_m,5,4)</f>
        <v>364.71580535564152</v>
      </c>
      <c r="S43" s="53">
        <f>INDEX(M2_Table_MN_j_m,5,5)</f>
        <v>145.26244824768682</v>
      </c>
      <c r="T43" s="53">
        <f>INDEX(M2_Table_MN_j_m,5,6)</f>
        <v>458.46219147973682</v>
      </c>
      <c r="U43" s="53">
        <f>INDEX(M2_Table_MN_j_m,5,7)</f>
        <v>191.92571415811079</v>
      </c>
      <c r="V43" s="2"/>
    </row>
    <row r="44" spans="4:22" ht="20.100000000000001" customHeight="1" x14ac:dyDescent="0.2">
      <c r="D44" s="53" t="str">
        <f>INDEX(X_Table_Dairy_ProductionSystems_Method1,4,1)</f>
        <v>Feed pad</v>
      </c>
      <c r="E44" s="53" t="str">
        <f>INDEX(X_Table_Dairy_Stage1MMS_2_AnaerobicLagoon,2,1)</f>
        <v>Anaerobic lagoon</v>
      </c>
      <c r="F44" s="53">
        <f>INDEX(M1_Table_MN_j_m,6,3)</f>
        <v>1615.131775428388</v>
      </c>
      <c r="G44" s="53">
        <f>INDEX(M1_Table_MN_j_m,6,4)</f>
        <v>737.72060628754764</v>
      </c>
      <c r="H44" s="53">
        <f>INDEX(M1_Table_MN_j_m,6,5)</f>
        <v>293.82631577373019</v>
      </c>
      <c r="I44" s="53">
        <f>INDEX(M1_Table_MN_j_m,6,6)</f>
        <v>927.34397822037681</v>
      </c>
      <c r="J44" s="53">
        <f>INDEX(M1_Table_MN_j_m,6,7)</f>
        <v>388.21337636526954</v>
      </c>
      <c r="K44" s="2"/>
      <c r="M44"/>
      <c r="O44" s="53" t="str">
        <f>INDEX(X_Table_Dairy_ProductionSystems_Method1,4,1)</f>
        <v>Feed pad</v>
      </c>
      <c r="P44" s="53" t="str">
        <f>INDEX(X_Table_Dairy_Stage1MMS_2_AnaerobicLagoon,2,1)</f>
        <v>Anaerobic lagoon</v>
      </c>
      <c r="Q44" s="53">
        <f>INDEX(M2_Table_MN_j_m,6,3)</f>
        <v>1615.131775428388</v>
      </c>
      <c r="R44" s="53">
        <f>INDEX(M2_Table_MN_j_m,6,4)</f>
        <v>737.72060628754764</v>
      </c>
      <c r="S44" s="53">
        <f>INDEX(M2_Table_MN_j_m,6,5)</f>
        <v>293.82631577373019</v>
      </c>
      <c r="T44" s="53">
        <f>INDEX(M2_Table_MN_j_m,6,6)</f>
        <v>927.34397822037681</v>
      </c>
      <c r="U44" s="53">
        <f>INDEX(M2_Table_MN_j_m,6,7)</f>
        <v>388.21337636526954</v>
      </c>
      <c r="V44" s="2"/>
    </row>
    <row r="45" spans="4:22" ht="20.100000000000001" customHeight="1" x14ac:dyDescent="0.2">
      <c r="D45" s="53" t="str">
        <f>INDEX(X_Table_Dairy_ProductionSystems_Method1,4,1)</f>
        <v>Feed pad</v>
      </c>
      <c r="E45" s="53" t="str">
        <f>INDEX(X_Table_Dairy_Stage1MMS_2_SumpAndDispersal,2,1)</f>
        <v>Sump and dispersal system</v>
      </c>
      <c r="F45" s="53">
        <f>INDEX(M1_Table_MN_j_m,7,3)</f>
        <v>1292.1054203427104</v>
      </c>
      <c r="G45" s="53">
        <f>INDEX(M1_Table_MN_j_m,7,4)</f>
        <v>590.17648503003818</v>
      </c>
      <c r="H45" s="53">
        <f>INDEX(M1_Table_MN_j_m,7,5)</f>
        <v>235.06105261898415</v>
      </c>
      <c r="I45" s="53">
        <f>INDEX(M1_Table_MN_j_m,7,6)</f>
        <v>741.87518257630143</v>
      </c>
      <c r="J45" s="53">
        <f>INDEX(M1_Table_MN_j_m,7,7)</f>
        <v>310.57070109221564</v>
      </c>
      <c r="K45" s="2"/>
      <c r="M45"/>
      <c r="O45" s="53" t="str">
        <f>INDEX(X_Table_Dairy_ProductionSystems_Method1,4,1)</f>
        <v>Feed pad</v>
      </c>
      <c r="P45" s="53" t="str">
        <f>INDEX(X_Table_Dairy_Stage1MMS_2_SumpAndDispersal,2,1)</f>
        <v>Sump and dispersal system</v>
      </c>
      <c r="Q45" s="53">
        <f>INDEX(M2_Table_MN_j_m,7,3)</f>
        <v>1292.1054203427104</v>
      </c>
      <c r="R45" s="53">
        <f>INDEX(M2_Table_MN_j_m,7,4)</f>
        <v>590.17648503003818</v>
      </c>
      <c r="S45" s="53">
        <f>INDEX(M2_Table_MN_j_m,7,5)</f>
        <v>235.06105261898415</v>
      </c>
      <c r="T45" s="53">
        <f>INDEX(M2_Table_MN_j_m,7,6)</f>
        <v>741.87518257630143</v>
      </c>
      <c r="U45" s="53">
        <f>INDEX(M2_Table_MN_j_m,7,7)</f>
        <v>310.57070109221564</v>
      </c>
      <c r="V45" s="2"/>
    </row>
    <row r="46" spans="4:22" ht="20.100000000000001" customHeight="1" x14ac:dyDescent="0.2">
      <c r="D46" s="53" t="str">
        <f>INDEX(X_Table_Dairy_ProductionSystems_Method1,4,1)</f>
        <v>Feed pad</v>
      </c>
      <c r="E46" s="53" t="str">
        <f>INDEX(X_Table_Dairy_Stage1MMS_2_DrainsToPaddock,2,1)</f>
        <v>Drains to paddock</v>
      </c>
      <c r="F46" s="53">
        <f>INDEX(M1_Table_MN_j_m,8,3)</f>
        <v>1292.1054203427104</v>
      </c>
      <c r="G46" s="53">
        <f>INDEX(M1_Table_MN_j_m,8,4)</f>
        <v>590.17648503003818</v>
      </c>
      <c r="H46" s="53">
        <f>INDEX(M1_Table_MN_j_m,8,5)</f>
        <v>235.06105261898415</v>
      </c>
      <c r="I46" s="53">
        <f>INDEX(M1_Table_MN_j_m,8,6)</f>
        <v>741.87518257630143</v>
      </c>
      <c r="J46" s="53">
        <f>INDEX(M1_Table_MN_j_m,8,7)</f>
        <v>310.57070109221564</v>
      </c>
      <c r="K46" s="2"/>
      <c r="M46"/>
      <c r="O46" s="53" t="str">
        <f>INDEX(X_Table_Dairy_ProductionSystems_Method1,4,1)</f>
        <v>Feed pad</v>
      </c>
      <c r="P46" s="53" t="str">
        <f>INDEX(X_Table_Dairy_Stage1MMS_2_DrainsToPaddock,2,1)</f>
        <v>Drains to paddock</v>
      </c>
      <c r="Q46" s="53">
        <f>INDEX(M2_Table_MN_j_m,8,3)</f>
        <v>1292.1054203427104</v>
      </c>
      <c r="R46" s="53">
        <f>INDEX(M2_Table_MN_j_m,8,4)</f>
        <v>590.17648503003818</v>
      </c>
      <c r="S46" s="53">
        <f>INDEX(M2_Table_MN_j_m,8,5)</f>
        <v>235.06105261898415</v>
      </c>
      <c r="T46" s="53">
        <f>INDEX(M2_Table_MN_j_m,8,6)</f>
        <v>741.87518257630143</v>
      </c>
      <c r="U46" s="53">
        <f>INDEX(M2_Table_MN_j_m,8,7)</f>
        <v>310.57070109221564</v>
      </c>
      <c r="V46" s="2"/>
    </row>
    <row r="47" spans="4:22" ht="20.100000000000001" customHeight="1" x14ac:dyDescent="0.2">
      <c r="D47" s="53" t="str">
        <f>INDEX(X_Table_Dairy_ProductionSystems_Method1,4,1)</f>
        <v>Feed pad</v>
      </c>
      <c r="E47" s="53" t="s">
        <v>400</v>
      </c>
      <c r="F47" s="53">
        <f>INDEX(M1_Table_MN_j_m,9,3)</f>
        <v>2261.1844855997429</v>
      </c>
      <c r="G47" s="53">
        <f>INDEX(M1_Table_MN_j_m,9,4)</f>
        <v>1032.8088488025667</v>
      </c>
      <c r="H47" s="53">
        <f>INDEX(M1_Table_MN_j_m,9,5)</f>
        <v>411.35684208322226</v>
      </c>
      <c r="I47" s="53">
        <f>INDEX(M1_Table_MN_j_m,9,6)</f>
        <v>1298.2815695085274</v>
      </c>
      <c r="J47" s="53">
        <f>INDEX(M1_Table_MN_j_m,9,7)</f>
        <v>543.49872691137739</v>
      </c>
      <c r="K47" s="2"/>
      <c r="M47"/>
      <c r="O47" s="53" t="str">
        <f>INDEX(X_Table_Dairy_ProductionSystems_Method1,4,1)</f>
        <v>Feed pad</v>
      </c>
      <c r="P47" s="53" t="s">
        <v>400</v>
      </c>
      <c r="Q47" s="53">
        <f>INDEX(M2_Table_MN_j_m,9,3)</f>
        <v>2261.1844855997429</v>
      </c>
      <c r="R47" s="53">
        <f>INDEX(M2_Table_MN_j_m,9,4)</f>
        <v>1032.8088488025667</v>
      </c>
      <c r="S47" s="53">
        <f>INDEX(M2_Table_MN_j_m,9,5)</f>
        <v>411.35684208322226</v>
      </c>
      <c r="T47" s="53">
        <f>INDEX(M2_Table_MN_j_m,9,6)</f>
        <v>1298.2815695085274</v>
      </c>
      <c r="U47" s="53">
        <f>INDEX(M2_Table_MN_j_m,9,7)</f>
        <v>543.49872691137739</v>
      </c>
      <c r="V47" s="2"/>
    </row>
    <row r="49" spans="4:22" ht="20.100000000000001" customHeight="1" x14ac:dyDescent="0.2">
      <c r="D49" s="100" t="s">
        <v>392</v>
      </c>
      <c r="O49" s="100" t="s">
        <v>390</v>
      </c>
    </row>
    <row r="50" spans="4:22" ht="20.100000000000001" customHeight="1" x14ac:dyDescent="0.2">
      <c r="D50" s="99" t="s">
        <v>393</v>
      </c>
      <c r="O50" s="99" t="s">
        <v>391</v>
      </c>
    </row>
    <row r="51" spans="4:22" ht="20.100000000000001" customHeight="1" x14ac:dyDescent="0.2">
      <c r="D51" s="52" t="s">
        <v>142</v>
      </c>
      <c r="E51" s="52" t="s">
        <v>66</v>
      </c>
      <c r="F51" s="52" t="s">
        <v>167</v>
      </c>
      <c r="G51" s="52" t="s">
        <v>184</v>
      </c>
      <c r="H51" s="52" t="s">
        <v>185</v>
      </c>
      <c r="I51" s="52" t="s">
        <v>186</v>
      </c>
      <c r="J51" s="52" t="s">
        <v>187</v>
      </c>
      <c r="O51" s="52" t="s">
        <v>142</v>
      </c>
      <c r="P51" s="52" t="s">
        <v>66</v>
      </c>
      <c r="Q51" s="52" t="s">
        <v>167</v>
      </c>
      <c r="R51" s="52" t="s">
        <v>184</v>
      </c>
      <c r="S51" s="52" t="s">
        <v>185</v>
      </c>
      <c r="T51" s="52" t="s">
        <v>186</v>
      </c>
      <c r="U51" s="52" t="s">
        <v>187</v>
      </c>
    </row>
    <row r="52" spans="4:22" ht="20.100000000000001" customHeight="1" x14ac:dyDescent="0.2">
      <c r="D52" s="53" t="str">
        <f>INDEX(X_Table_Dairy_ProductionSystems_Method1,3,1)</f>
        <v>Milking shed</v>
      </c>
      <c r="E52" s="53" t="str">
        <f>INDEX(X_Table_Dairy_Stage1MMS_1_AnaerobicLagoon,2,1)</f>
        <v>Anaerobic lagoon</v>
      </c>
      <c r="F52" s="53">
        <v>0</v>
      </c>
      <c r="G52" s="53">
        <v>0</v>
      </c>
      <c r="H52" s="53">
        <v>0</v>
      </c>
      <c r="I52" s="53">
        <v>0</v>
      </c>
      <c r="J52" s="53">
        <v>0</v>
      </c>
      <c r="K52" s="2" t="str">
        <f>$G$16</f>
        <v>kg N</v>
      </c>
      <c r="O52" s="53" t="str">
        <f>INDEX(X_Table_Dairy_ProductionSystems_Method1,3,1)</f>
        <v>Milking shed</v>
      </c>
      <c r="P52" s="53" t="str">
        <f>INDEX(X_Table_Dairy_Stage1MMS_1_AnaerobicLagoon,2,1)</f>
        <v>Anaerobic lagoon</v>
      </c>
      <c r="Q52" s="53">
        <v>0</v>
      </c>
      <c r="R52" s="53">
        <v>0</v>
      </c>
      <c r="S52" s="53">
        <v>0</v>
      </c>
      <c r="T52" s="53">
        <v>0</v>
      </c>
      <c r="U52" s="53">
        <v>0</v>
      </c>
      <c r="V52" s="2" t="str">
        <f>$G$16</f>
        <v>kg N</v>
      </c>
    </row>
    <row r="53" spans="4:22" ht="20.100000000000001" customHeight="1" x14ac:dyDescent="0.2">
      <c r="D53" s="53" t="str">
        <f>INDEX(X_Table_Dairy_ProductionSystems_Method1,3,1)</f>
        <v>Milking shed</v>
      </c>
      <c r="E53" s="53" t="str">
        <f>INDEX(X_Table_Dairy_Stage1MMS_1_SumpAndDispersal,2,1)</f>
        <v>Sump and dispersal system</v>
      </c>
      <c r="F53" s="53">
        <v>0</v>
      </c>
      <c r="G53" s="53">
        <v>0</v>
      </c>
      <c r="H53" s="53">
        <v>0</v>
      </c>
      <c r="I53" s="53">
        <v>0</v>
      </c>
      <c r="J53" s="53">
        <v>0</v>
      </c>
      <c r="K53" s="2"/>
      <c r="O53" s="53" t="str">
        <f>INDEX(X_Table_Dairy_ProductionSystems_Method1,3,1)</f>
        <v>Milking shed</v>
      </c>
      <c r="P53" s="53" t="str">
        <f>INDEX(X_Table_Dairy_Stage1MMS_1_SumpAndDispersal,2,1)</f>
        <v>Sump and dispersal system</v>
      </c>
      <c r="Q53" s="53">
        <v>0</v>
      </c>
      <c r="R53" s="53">
        <v>0</v>
      </c>
      <c r="S53" s="53">
        <v>0</v>
      </c>
      <c r="T53" s="53">
        <v>0</v>
      </c>
      <c r="U53" s="53">
        <v>0</v>
      </c>
      <c r="V53" s="2"/>
    </row>
    <row r="54" spans="4:22" ht="20.100000000000001" customHeight="1" x14ac:dyDescent="0.2">
      <c r="D54" s="53" t="str">
        <f>INDEX(X_Table_Dairy_ProductionSystems_Method1,3,1)</f>
        <v>Milking shed</v>
      </c>
      <c r="E54" s="53" t="str">
        <f>INDEX(X_Table_Dairy_Stage1MMS_1_DrainsToPaddock,2,1)</f>
        <v>Drains to paddock</v>
      </c>
      <c r="F54" s="53">
        <v>0</v>
      </c>
      <c r="G54" s="53">
        <v>0</v>
      </c>
      <c r="H54" s="53">
        <v>0</v>
      </c>
      <c r="I54" s="53">
        <v>0</v>
      </c>
      <c r="J54" s="53">
        <v>0</v>
      </c>
      <c r="K54" s="2"/>
      <c r="O54" s="53" t="str">
        <f>INDEX(X_Table_Dairy_ProductionSystems_Method1,3,1)</f>
        <v>Milking shed</v>
      </c>
      <c r="P54" s="53" t="str">
        <f>INDEX(X_Table_Dairy_Stage1MMS_1_DrainsToPaddock,2,1)</f>
        <v>Drains to paddock</v>
      </c>
      <c r="Q54" s="53">
        <v>0</v>
      </c>
      <c r="R54" s="53">
        <v>0</v>
      </c>
      <c r="S54" s="53">
        <v>0</v>
      </c>
      <c r="T54" s="53">
        <v>0</v>
      </c>
      <c r="U54" s="53">
        <v>0</v>
      </c>
      <c r="V54" s="2"/>
    </row>
    <row r="55" spans="4:22" ht="20.100000000000001" customHeight="1" x14ac:dyDescent="0.2">
      <c r="D55" s="53" t="str">
        <f>INDEX(X_Table_Dairy_ProductionSystems_Method1,3,1)</f>
        <v>Milking shed</v>
      </c>
      <c r="E55" s="53" t="s">
        <v>400</v>
      </c>
      <c r="F55" s="53">
        <f>INDEX(M1_Table_MN_leach_j_m4,2,3)</f>
        <v>15.969842273898667</v>
      </c>
      <c r="G55" s="53">
        <f>INDEX(M1_Table_MN_leach_j_m4,2,4)</f>
        <v>7.2943161071128308</v>
      </c>
      <c r="H55" s="53">
        <f>INDEX(M1_Table_MN_leach_j_m4,2,5)</f>
        <v>2.9052489649537363</v>
      </c>
      <c r="I55" s="53">
        <f>INDEX(M1_Table_MN_leach_j_m4,2,6)</f>
        <v>9.1692438295947358</v>
      </c>
      <c r="J55" s="53">
        <f>INDEX(M1_Table_MN_leach_j_m4,2,7)</f>
        <v>3.8385142831622159</v>
      </c>
      <c r="K55" s="2"/>
      <c r="O55" s="53" t="str">
        <f>INDEX(X_Table_Dairy_ProductionSystems_Method1,3,1)</f>
        <v>Milking shed</v>
      </c>
      <c r="P55" s="53" t="s">
        <v>400</v>
      </c>
      <c r="Q55" s="53">
        <f>INDEX(M2_Table_MN_leach_j_m4,2,3)</f>
        <v>15.969842273898667</v>
      </c>
      <c r="R55" s="53">
        <f>INDEX(M2_Table_MN_leach_j_m4,2,4)</f>
        <v>7.2943161071128308</v>
      </c>
      <c r="S55" s="53">
        <f>INDEX(M2_Table_MN_leach_j_m4,2,5)</f>
        <v>2.9052489649537363</v>
      </c>
      <c r="T55" s="53">
        <f>INDEX(M2_Table_MN_leach_j_m4,2,6)</f>
        <v>9.1692438295947358</v>
      </c>
      <c r="U55" s="53">
        <f>INDEX(M2_Table_MN_leach_j_m4,2,7)</f>
        <v>3.8385142831622159</v>
      </c>
      <c r="V55" s="2"/>
    </row>
    <row r="56" spans="4:22" ht="20.100000000000001" customHeight="1" x14ac:dyDescent="0.2">
      <c r="D56" s="53" t="str">
        <f>INDEX(X_Table_Dairy_ProductionSystems_Method1,4,1)</f>
        <v>Feed pad</v>
      </c>
      <c r="E56" s="53" t="str">
        <f>INDEX(X_Table_Dairy_Stage1MMS_2_AnaerobicLagoon,2,1)</f>
        <v>Anaerobic lagoon</v>
      </c>
      <c r="F56" s="53">
        <v>0</v>
      </c>
      <c r="G56" s="53">
        <v>0</v>
      </c>
      <c r="H56" s="53">
        <v>0</v>
      </c>
      <c r="I56" s="53">
        <v>0</v>
      </c>
      <c r="J56" s="53">
        <v>0</v>
      </c>
      <c r="K56" s="2"/>
      <c r="O56" s="53" t="str">
        <f>INDEX(X_Table_Dairy_ProductionSystems_Method1,4,1)</f>
        <v>Feed pad</v>
      </c>
      <c r="P56" s="53" t="str">
        <f>INDEX(X_Table_Dairy_Stage1MMS_2_AnaerobicLagoon,2,1)</f>
        <v>Anaerobic lagoon</v>
      </c>
      <c r="Q56" s="53">
        <v>0</v>
      </c>
      <c r="R56" s="53">
        <v>0</v>
      </c>
      <c r="S56" s="53">
        <v>0</v>
      </c>
      <c r="T56" s="53">
        <v>0</v>
      </c>
      <c r="U56" s="53">
        <v>0</v>
      </c>
      <c r="V56" s="2"/>
    </row>
    <row r="57" spans="4:22" ht="20.100000000000001" customHeight="1" x14ac:dyDescent="0.2">
      <c r="D57" s="53" t="str">
        <f>INDEX(X_Table_Dairy_ProductionSystems_Method1,4,1)</f>
        <v>Feed pad</v>
      </c>
      <c r="E57" s="53" t="str">
        <f>INDEX(X_Table_Dairy_Stage1MMS_2_SumpAndDispersal,2,1)</f>
        <v>Sump and dispersal system</v>
      </c>
      <c r="F57" s="53">
        <v>0</v>
      </c>
      <c r="G57" s="53">
        <v>0</v>
      </c>
      <c r="H57" s="53">
        <v>0</v>
      </c>
      <c r="I57" s="53">
        <v>0</v>
      </c>
      <c r="J57" s="53">
        <v>0</v>
      </c>
      <c r="K57" s="2"/>
      <c r="O57" s="53" t="str">
        <f>INDEX(X_Table_Dairy_ProductionSystems_Method1,4,1)</f>
        <v>Feed pad</v>
      </c>
      <c r="P57" s="53" t="str">
        <f>INDEX(X_Table_Dairy_Stage1MMS_2_SumpAndDispersal,2,1)</f>
        <v>Sump and dispersal system</v>
      </c>
      <c r="Q57" s="53">
        <v>0</v>
      </c>
      <c r="R57" s="53">
        <v>0</v>
      </c>
      <c r="S57" s="53">
        <v>0</v>
      </c>
      <c r="T57" s="53">
        <v>0</v>
      </c>
      <c r="U57" s="53">
        <v>0</v>
      </c>
      <c r="V57" s="2"/>
    </row>
    <row r="58" spans="4:22" ht="20.100000000000001" customHeight="1" x14ac:dyDescent="0.2">
      <c r="D58" s="53" t="str">
        <f>INDEX(X_Table_Dairy_ProductionSystems_Method1,4,1)</f>
        <v>Feed pad</v>
      </c>
      <c r="E58" s="53" t="str">
        <f>INDEX(X_Table_Dairy_Stage1MMS_2_DrainsToPaddock,2,1)</f>
        <v>Drains to paddock</v>
      </c>
      <c r="F58" s="53">
        <v>0</v>
      </c>
      <c r="G58" s="53">
        <v>0</v>
      </c>
      <c r="H58" s="53">
        <v>0</v>
      </c>
      <c r="I58" s="53">
        <v>0</v>
      </c>
      <c r="J58" s="53">
        <v>0</v>
      </c>
      <c r="K58" s="2"/>
      <c r="O58" s="53" t="str">
        <f>INDEX(X_Table_Dairy_ProductionSystems_Method1,4,1)</f>
        <v>Feed pad</v>
      </c>
      <c r="P58" s="53" t="str">
        <f>INDEX(X_Table_Dairy_Stage1MMS_2_DrainsToPaddock,2,1)</f>
        <v>Drains to paddock</v>
      </c>
      <c r="Q58" s="53">
        <v>0</v>
      </c>
      <c r="R58" s="53">
        <v>0</v>
      </c>
      <c r="S58" s="53">
        <v>0</v>
      </c>
      <c r="T58" s="53">
        <v>0</v>
      </c>
      <c r="U58" s="53">
        <v>0</v>
      </c>
      <c r="V58" s="2"/>
    </row>
    <row r="59" spans="4:22" ht="20.100000000000001" customHeight="1" x14ac:dyDescent="0.2">
      <c r="D59" s="53" t="str">
        <f>INDEX(X_Table_Dairy_ProductionSystems_Method1,4,1)</f>
        <v>Feed pad</v>
      </c>
      <c r="E59" s="53" t="s">
        <v>400</v>
      </c>
      <c r="F59" s="53">
        <f>INDEX(M1_Table_MN_leach_j_m4,3,3)</f>
        <v>45.223689711994858</v>
      </c>
      <c r="G59" s="53">
        <f>INDEX(M1_Table_MN_leach_j_m4,3,4)</f>
        <v>20.656176976051334</v>
      </c>
      <c r="H59" s="53">
        <f>INDEX(M1_Table_MN_leach_j_m4,3,5)</f>
        <v>8.2271368416644446</v>
      </c>
      <c r="I59" s="53">
        <f>INDEX(M1_Table_MN_leach_j_m4,3,6)</f>
        <v>25.965631390170547</v>
      </c>
      <c r="J59" s="53">
        <f>INDEX(M1_Table_MN_leach_j_m4,3,7)</f>
        <v>10.869974538227549</v>
      </c>
      <c r="K59" s="2"/>
      <c r="O59" s="53" t="str">
        <f>INDEX(X_Table_Dairy_ProductionSystems_Method1,4,1)</f>
        <v>Feed pad</v>
      </c>
      <c r="P59" s="53" t="s">
        <v>400</v>
      </c>
      <c r="Q59" s="53">
        <f>INDEX(M2_Table_MN_leach_j_m4,3,3)</f>
        <v>45.223689711994858</v>
      </c>
      <c r="R59" s="53">
        <f>INDEX(M2_Table_MN_leach_j_m4,3,4)</f>
        <v>20.656176976051334</v>
      </c>
      <c r="S59" s="53">
        <f>INDEX(M2_Table_MN_leach_j_m4,3,5)</f>
        <v>8.2271368416644446</v>
      </c>
      <c r="T59" s="53">
        <f>INDEX(M2_Table_MN_leach_j_m4,3,6)</f>
        <v>25.965631390170547</v>
      </c>
      <c r="U59" s="53">
        <f>INDEX(M2_Table_MN_leach_j_m4,3,7)</f>
        <v>10.869974538227549</v>
      </c>
      <c r="V59" s="2"/>
    </row>
    <row r="61" spans="4:22" ht="20.100000000000001" customHeight="1" x14ac:dyDescent="0.2">
      <c r="D61" s="100" t="s">
        <v>335</v>
      </c>
    </row>
    <row r="62" spans="4:22" ht="20.100000000000001" customHeight="1" x14ac:dyDescent="0.2">
      <c r="D62" s="99" t="s">
        <v>336</v>
      </c>
    </row>
    <row r="63" spans="4:22" ht="20.100000000000001" customHeight="1" x14ac:dyDescent="0.2">
      <c r="D63" s="40" t="s">
        <v>142</v>
      </c>
      <c r="E63" s="40" t="s">
        <v>66</v>
      </c>
      <c r="F63" s="40" t="s">
        <v>426</v>
      </c>
    </row>
    <row r="64" spans="4:22" ht="20.100000000000001" customHeight="1" x14ac:dyDescent="0.2">
      <c r="D64" s="53" t="str">
        <f>INDEX(X_Table_Dairy_ProductionSystems_Method1,3,1)</f>
        <v>Milking shed</v>
      </c>
      <c r="E64" s="53" t="str">
        <f>INDEX(X_Table_Dairy_Stage1MMS_1_AnaerobicLagoon,2,1)</f>
        <v>Anaerobic lagoon</v>
      </c>
      <c r="F64" s="53">
        <f ca="1">SUM(OFFSET(X_Table_Dairy_Stage1MMS_1_AnaerobicLagoon_Destinations,1,2,1,2))</f>
        <v>0.75</v>
      </c>
      <c r="G64" s="2" t="str">
        <f>$G$17</f>
        <v>fraction</v>
      </c>
    </row>
    <row r="65" spans="4:22" ht="20.100000000000001" customHeight="1" x14ac:dyDescent="0.2">
      <c r="D65" s="53" t="str">
        <f>INDEX(X_Table_Dairy_ProductionSystems_Method1,3,1)</f>
        <v>Milking shed</v>
      </c>
      <c r="E65" s="53" t="str">
        <f>INDEX(X_Table_Dairy_Stage1MMS_1_SumpAndDispersal,2,1)</f>
        <v>Sump and dispersal system</v>
      </c>
      <c r="F65" s="53">
        <f ca="1">SUM(OFFSET(X_Table_Dairy_Stage1MMS_1_SumpAndDispersal_Destinations,1,2,1,2))</f>
        <v>0.75</v>
      </c>
      <c r="G65" s="2"/>
    </row>
    <row r="66" spans="4:22" ht="20.100000000000001" customHeight="1" x14ac:dyDescent="0.2">
      <c r="D66" s="53" t="str">
        <f>INDEX(X_Table_Dairy_ProductionSystems_Method1,3,1)</f>
        <v>Milking shed</v>
      </c>
      <c r="E66" s="53" t="str">
        <f>INDEX(X_Table_Dairy_Stage1MMS_1_DrainsToPaddock,2,1)</f>
        <v>Drains to paddock</v>
      </c>
      <c r="F66" s="53">
        <f ca="1">SUM(OFFSET(X_Table_Dairy_Stage1MMS_1_DrainsToPaddock_Destinations,1,2,1,2))</f>
        <v>0.75</v>
      </c>
      <c r="G66" s="2"/>
    </row>
    <row r="67" spans="4:22" ht="20.100000000000001" customHeight="1" x14ac:dyDescent="0.2">
      <c r="D67" s="53" t="str">
        <f>INDEX(X_Table_Dairy_ProductionSystems_Method1,3,1)</f>
        <v>Milking shed</v>
      </c>
      <c r="E67" s="53" t="str">
        <f>INDEX(X_Table_Dairy_Stage1MMS_1_SolidStorage,2,1)</f>
        <v>Solid storage (before solid separation)</v>
      </c>
      <c r="F67" s="53">
        <f ca="1">SUM(OFFSET(X_Table_Dairy_Stage1MMS_1_SolidStorage_Destinations,1,2,1,2))</f>
        <v>0.75</v>
      </c>
      <c r="G67" s="2"/>
    </row>
    <row r="68" spans="4:22" ht="20.100000000000001" customHeight="1" x14ac:dyDescent="0.2">
      <c r="D68" s="53" t="str">
        <f>INDEX(X_Table_Dairy_ProductionSystems_Method1,4,1)</f>
        <v>Feed pad</v>
      </c>
      <c r="E68" s="53" t="str">
        <f>INDEX(X_Table_Dairy_Stage1MMS_2_AnaerobicLagoon,2,1)</f>
        <v>Anaerobic lagoon</v>
      </c>
      <c r="F68" s="53">
        <f ca="1">SUM(OFFSET(X_Table_Dairy_Stage1MMS_2_AnaerobicLagoon_Destinations,1,2,1,2))</f>
        <v>0.75</v>
      </c>
      <c r="G68" s="2"/>
    </row>
    <row r="69" spans="4:22" ht="20.100000000000001" customHeight="1" x14ac:dyDescent="0.2">
      <c r="D69" s="53" t="str">
        <f>INDEX(X_Table_Dairy_ProductionSystems_Method1,4,1)</f>
        <v>Feed pad</v>
      </c>
      <c r="E69" s="53" t="str">
        <f>INDEX(X_Table_Dairy_Stage1MMS_2_SumpAndDispersal,2,1)</f>
        <v>Sump and dispersal system</v>
      </c>
      <c r="F69" s="53">
        <f ca="1">SUM(OFFSET(X_Table_Dairy_Stage1MMS_2_SumpAndDispersal_Destinations,1,2,1,2))</f>
        <v>0.75</v>
      </c>
      <c r="G69" s="2"/>
    </row>
    <row r="70" spans="4:22" ht="20.100000000000001" customHeight="1" x14ac:dyDescent="0.2">
      <c r="D70" s="53" t="str">
        <f>INDEX(X_Table_Dairy_ProductionSystems_Method1,4,1)</f>
        <v>Feed pad</v>
      </c>
      <c r="E70" s="53" t="str">
        <f>INDEX(X_Table_Dairy_Stage1MMS_2_DrainsToPaddock,2,1)</f>
        <v>Drains to paddock</v>
      </c>
      <c r="F70" s="53">
        <f ca="1">SUM(OFFSET(X_Table_Dairy_Stage1MMS_2_DrainsToPaddock_Destinations,1,2,1,2))</f>
        <v>0.75</v>
      </c>
      <c r="G70" s="2"/>
    </row>
    <row r="71" spans="4:22" ht="20.100000000000001" customHeight="1" x14ac:dyDescent="0.2">
      <c r="D71" s="53" t="str">
        <f>INDEX(X_Table_Dairy_ProductionSystems_Method1,4,1)</f>
        <v>Feed pad</v>
      </c>
      <c r="E71" s="53" t="str">
        <f>INDEX(X_Table_Dairy_Stage1MMS_2_SolidStorage,2,1)</f>
        <v>Solid storage (before solid separation)</v>
      </c>
      <c r="F71" s="53">
        <f ca="1">SUM(OFFSET(X_Table_Dairy_Stage1MMS_2_SolidStorage_Destinations,1,2,1,2))</f>
        <v>0.75</v>
      </c>
      <c r="G71" s="2"/>
    </row>
    <row r="73" spans="4:22" ht="20.100000000000001" customHeight="1" x14ac:dyDescent="0.2">
      <c r="D73" s="100" t="s">
        <v>337</v>
      </c>
      <c r="O73" s="100" t="s">
        <v>341</v>
      </c>
    </row>
    <row r="74" spans="4:22" ht="20.100000000000001" customHeight="1" x14ac:dyDescent="0.2">
      <c r="D74" s="99" t="s">
        <v>340</v>
      </c>
      <c r="O74" s="99" t="s">
        <v>342</v>
      </c>
    </row>
    <row r="75" spans="4:22" ht="20.100000000000001" customHeight="1" x14ac:dyDescent="0.2">
      <c r="D75" s="52" t="s">
        <v>142</v>
      </c>
      <c r="E75" s="52" t="s">
        <v>66</v>
      </c>
      <c r="F75" s="52" t="s">
        <v>167</v>
      </c>
      <c r="G75" s="52" t="s">
        <v>184</v>
      </c>
      <c r="H75" s="52" t="s">
        <v>185</v>
      </c>
      <c r="I75" s="52" t="s">
        <v>186</v>
      </c>
      <c r="J75" s="52" t="s">
        <v>187</v>
      </c>
      <c r="O75" s="52" t="s">
        <v>142</v>
      </c>
      <c r="P75" s="52" t="s">
        <v>66</v>
      </c>
      <c r="Q75" s="52" t="s">
        <v>167</v>
      </c>
      <c r="R75" s="52" t="s">
        <v>184</v>
      </c>
      <c r="S75" s="52" t="s">
        <v>185</v>
      </c>
      <c r="T75" s="52" t="s">
        <v>186</v>
      </c>
      <c r="U75" s="52" t="s">
        <v>187</v>
      </c>
    </row>
    <row r="76" spans="4:22" ht="20.100000000000001" customHeight="1" x14ac:dyDescent="0.2">
      <c r="D76" s="53" t="str">
        <f>INDEX(X_Table_Dairy_ProductionSystems_Method1,3,1)</f>
        <v>Milking shed</v>
      </c>
      <c r="E76" s="53" t="str">
        <f>INDEX(X_Table_Dairy_Stage1MMS_1_AnaerobicLagoon,2,1)</f>
        <v>Anaerobic lagoon</v>
      </c>
      <c r="F76" s="53" cm="1">
        <f t="array" aca="1" ref="F76" ca="1">MMS_Dairy_ManureAppliedToSoils_Equations.VEERG_4_3_1_8__1_MassOfNitrogenAppliedToSoilsScope1(F40,_xlfn.XLOOKUP($E76,$D$22:$D$26,$E$22:$E$26),_xlfn.XLOOKUP($E76, $D$31:$D$35,$E$31:$E$35),F52,$F64)</f>
        <v>194.63245271314003</v>
      </c>
      <c r="G76" s="53" cm="1">
        <f t="array" aca="1" ref="G76" ca="1">MMS_Dairy_ManureAppliedToSoils_Equations.VEERG_4_3_1_8__1_MassOfNitrogenAppliedToSoilsScope1(G40,_xlfn.XLOOKUP($E76,$D$22:$D$26,$E$22:$E$26),_xlfn.XLOOKUP($E76, $D$31:$D$35,$E$31:$E$35),G52,$F64)</f>
        <v>88.899477555437642</v>
      </c>
      <c r="H76" s="53" cm="1">
        <f t="array" aca="1" ref="H76" ca="1">MMS_Dairy_ManureAppliedToSoils_Equations.VEERG_4_3_1_8__1_MassOfNitrogenAppliedToSoilsScope1(H40,_xlfn.XLOOKUP($E76,$D$22:$D$26,$E$22:$E$26),_xlfn.XLOOKUP($E76, $D$31:$D$35,$E$31:$E$35),H52,$F64)</f>
        <v>35.407721760373668</v>
      </c>
      <c r="I76" s="53" cm="1">
        <f t="array" aca="1" ref="I76" ca="1">MMS_Dairy_ManureAppliedToSoils_Equations.VEERG_4_3_1_8__1_MassOfNitrogenAppliedToSoilsScope1(I40,_xlfn.XLOOKUP($E76,$D$22:$D$26,$E$22:$E$26),_xlfn.XLOOKUP($E76, $D$31:$D$35,$E$31:$E$35),I52,$F64)</f>
        <v>111.75015917318586</v>
      </c>
      <c r="J76" s="53" cm="1">
        <f t="array" aca="1" ref="J76" ca="1">MMS_Dairy_ManureAppliedToSoils_Equations.VEERG_4_3_1_8__1_MassOfNitrogenAppliedToSoilsScope1(J40,_xlfn.XLOOKUP($E76,$D$22:$D$26,$E$22:$E$26),_xlfn.XLOOKUP($E76, $D$31:$D$35,$E$31:$E$35),J52,$F64)</f>
        <v>46.78189282603951</v>
      </c>
      <c r="K76" s="2" t="str">
        <f t="shared" ref="K76" si="0">$E$11</f>
        <v>kg N</v>
      </c>
      <c r="O76" s="53" t="str">
        <f>INDEX(X_Table_Dairy_ProductionSystems_Method1,3,1)</f>
        <v>Milking shed</v>
      </c>
      <c r="P76" s="53" t="str">
        <f>INDEX(X_Table_Dairy_Stage1MMS_1_AnaerobicLagoon,2,1)</f>
        <v>Anaerobic lagoon</v>
      </c>
      <c r="Q76" s="53" cm="1">
        <f t="array" aca="1" ref="Q76" ca="1">MMS_Dairy_ManureAppliedToSoils_Equations.VEERG_4_3_1_8__1_MassOfNitrogenAppliedToSoilsScope1(Q40,_xlfn.XLOOKUP($P76,$D$22:$D$26,$E$22:$E$26),_xlfn.XLOOKUP($P76, $D$31:$D$35,$E$31:$E$35),Q52,$F64)</f>
        <v>194.63245271314003</v>
      </c>
      <c r="R76" s="53" cm="1">
        <f t="array" aca="1" ref="R76" ca="1">MMS_Dairy_ManureAppliedToSoils_Equations.VEERG_4_3_1_8__1_MassOfNitrogenAppliedToSoilsScope1(R40,_xlfn.XLOOKUP($P76,$D$22:$D$26,$E$22:$E$26),_xlfn.XLOOKUP($P76, $D$31:$D$35,$E$31:$E$35),R52,$F64)</f>
        <v>88.899477555437642</v>
      </c>
      <c r="S76" s="53" cm="1">
        <f t="array" aca="1" ref="S76" ca="1">MMS_Dairy_ManureAppliedToSoils_Equations.VEERG_4_3_1_8__1_MassOfNitrogenAppliedToSoilsScope1(S40,_xlfn.XLOOKUP($P76,$D$22:$D$26,$E$22:$E$26),_xlfn.XLOOKUP($P76, $D$31:$D$35,$E$31:$E$35),S52,$F64)</f>
        <v>35.407721760373668</v>
      </c>
      <c r="T76" s="53" cm="1">
        <f t="array" aca="1" ref="T76" ca="1">MMS_Dairy_ManureAppliedToSoils_Equations.VEERG_4_3_1_8__1_MassOfNitrogenAppliedToSoilsScope1(T40,_xlfn.XLOOKUP($P76,$D$22:$D$26,$E$22:$E$26),_xlfn.XLOOKUP($P76, $D$31:$D$35,$E$31:$E$35),T52,$F64)</f>
        <v>111.75015917318586</v>
      </c>
      <c r="U76" s="53" cm="1">
        <f t="array" aca="1" ref="U76" ca="1">MMS_Dairy_ManureAppliedToSoils_Equations.VEERG_4_3_1_8__1_MassOfNitrogenAppliedToSoilsScope1(U40,_xlfn.XLOOKUP($P76,$D$22:$D$26,$E$22:$E$26),_xlfn.XLOOKUP($P76, $D$31:$D$35,$E$31:$E$35),U52,$F64)</f>
        <v>46.78189282603951</v>
      </c>
      <c r="V76" s="2" t="str">
        <f t="shared" ref="V76" si="1">$E$11</f>
        <v>kg N</v>
      </c>
    </row>
    <row r="77" spans="4:22" ht="20.100000000000001" customHeight="1" x14ac:dyDescent="0.2">
      <c r="D77" s="53" t="str">
        <f>INDEX(X_Table_Dairy_ProductionSystems_Method1,3,1)</f>
        <v>Milking shed</v>
      </c>
      <c r="E77" s="53" t="str">
        <f>INDEX(X_Table_Dairy_Stage1MMS_1_SumpAndDispersal,2,1)</f>
        <v>Sump and dispersal system</v>
      </c>
      <c r="F77" s="53" cm="1">
        <f t="array" aca="1" ref="F77" ca="1">MMS_Dairy_ManureAppliedToSoils_Equations.VEERG_4_3_1_8__1_MassOfNitrogenAppliedToSoilsScope1(F41,_xlfn.XLOOKUP($E77,$D$22:$D$26,$E$22:$E$26),_xlfn.XLOOKUP($E77, $D$31:$D$35,$E$31:$E$35),F53,$F65)</f>
        <v>278.47412465110807</v>
      </c>
      <c r="G77" s="53" cm="1">
        <f t="array" aca="1" ref="G77" ca="1">MMS_Dairy_ManureAppliedToSoils_Equations.VEERG_4_3_1_8__1_MassOfNitrogenAppliedToSoilsScope1(G41,_xlfn.XLOOKUP($E77,$D$22:$D$26,$E$22:$E$26),_xlfn.XLOOKUP($E77, $D$31:$D$35,$E$31:$E$35),G53,$F65)</f>
        <v>127.19463711777999</v>
      </c>
      <c r="H77" s="53" cm="1">
        <f t="array" aca="1" ref="H77" ca="1">MMS_Dairy_ManureAppliedToSoils_Equations.VEERG_4_3_1_8__1_MassOfNitrogenAppliedToSoilsScope1(H41,_xlfn.XLOOKUP($E77,$D$22:$D$26,$E$22:$E$26),_xlfn.XLOOKUP($E77, $D$31:$D$35,$E$31:$E$35),H53,$F65)</f>
        <v>50.660278826380789</v>
      </c>
      <c r="I77" s="53" cm="1">
        <f t="array" aca="1" ref="I77" ca="1">MMS_Dairy_ManureAppliedToSoils_Equations.VEERG_4_3_1_8__1_MassOfNitrogenAppliedToSoilsScope1(I41,_xlfn.XLOOKUP($E77,$D$22:$D$26,$E$22:$E$26),_xlfn.XLOOKUP($E77, $D$31:$D$35,$E$31:$E$35),I53,$F65)</f>
        <v>159.88868927855822</v>
      </c>
      <c r="J77" s="53" cm="1">
        <f t="array" aca="1" ref="J77" ca="1">MMS_Dairy_ManureAppliedToSoils_Equations.VEERG_4_3_1_8__1_MassOfNitrogenAppliedToSoilsScope1(J41,_xlfn.XLOOKUP($E77,$D$22:$D$26,$E$22:$E$26),_xlfn.XLOOKUP($E77, $D$31:$D$35,$E$31:$E$35),J53,$F65)</f>
        <v>66.934092812641154</v>
      </c>
      <c r="K77" s="2"/>
      <c r="O77" s="53" t="str">
        <f>INDEX(X_Table_Dairy_ProductionSystems_Method1,3,1)</f>
        <v>Milking shed</v>
      </c>
      <c r="P77" s="53" t="str">
        <f>INDEX(X_Table_Dairy_Stage1MMS_1_SumpAndDispersal,2,1)</f>
        <v>Sump and dispersal system</v>
      </c>
      <c r="Q77" s="53" cm="1">
        <f t="array" aca="1" ref="Q77" ca="1">MMS_Dairy_ManureAppliedToSoils_Equations.VEERG_4_3_1_8__1_MassOfNitrogenAppliedToSoilsScope1(Q41,_xlfn.XLOOKUP($P77,$D$22:$D$26,$E$22:$E$26),_xlfn.XLOOKUP($P77, $D$31:$D$35,$E$31:$E$35),Q53,$F65)</f>
        <v>278.47412465110807</v>
      </c>
      <c r="R77" s="53" cm="1">
        <f t="array" aca="1" ref="R77" ca="1">MMS_Dairy_ManureAppliedToSoils_Equations.VEERG_4_3_1_8__1_MassOfNitrogenAppliedToSoilsScope1(R41,_xlfn.XLOOKUP($P77,$D$22:$D$26,$E$22:$E$26),_xlfn.XLOOKUP($P77, $D$31:$D$35,$E$31:$E$35),R53,$F65)</f>
        <v>127.19463711777999</v>
      </c>
      <c r="S77" s="53" cm="1">
        <f t="array" aca="1" ref="S77" ca="1">MMS_Dairy_ManureAppliedToSoils_Equations.VEERG_4_3_1_8__1_MassOfNitrogenAppliedToSoilsScope1(S41,_xlfn.XLOOKUP($P77,$D$22:$D$26,$E$22:$E$26),_xlfn.XLOOKUP($P77, $D$31:$D$35,$E$31:$E$35),S53,$F65)</f>
        <v>50.660278826380789</v>
      </c>
      <c r="T77" s="53" cm="1">
        <f t="array" aca="1" ref="T77" ca="1">MMS_Dairy_ManureAppliedToSoils_Equations.VEERG_4_3_1_8__1_MassOfNitrogenAppliedToSoilsScope1(T41,_xlfn.XLOOKUP($P77,$D$22:$D$26,$E$22:$E$26),_xlfn.XLOOKUP($P77, $D$31:$D$35,$E$31:$E$35),T53,$F65)</f>
        <v>159.88868927855822</v>
      </c>
      <c r="U77" s="53" cm="1">
        <f t="array" aca="1" ref="U77" ca="1">MMS_Dairy_ManureAppliedToSoils_Equations.VEERG_4_3_1_8__1_MassOfNitrogenAppliedToSoilsScope1(U41,_xlfn.XLOOKUP($P77,$D$22:$D$26,$E$22:$E$26),_xlfn.XLOOKUP($P77, $D$31:$D$35,$E$31:$E$35),U53,$F65)</f>
        <v>66.934092812641154</v>
      </c>
      <c r="V77" s="2"/>
    </row>
    <row r="78" spans="4:22" ht="20.100000000000001" customHeight="1" x14ac:dyDescent="0.2">
      <c r="D78" s="53" t="str">
        <f>INDEX(X_Table_Dairy_ProductionSystems_Method1,3,1)</f>
        <v>Milking shed</v>
      </c>
      <c r="E78" s="53" t="str">
        <f>INDEX(X_Table_Dairy_Stage1MMS_1_DrainsToPaddock,2,1)</f>
        <v>Drains to paddock</v>
      </c>
      <c r="F78" s="53" cm="1">
        <f t="array" aca="1" ref="F78" ca="1">MMS_Dairy_ManureAppliedToSoils_Equations.VEERG_4_3_1_8__1_MassOfNitrogenAppliedToSoilsScope1(F42,_xlfn.XLOOKUP($E78,$D$22:$D$26,$E$22:$E$26),_xlfn.XLOOKUP($E78, $D$31:$D$35,$E$31:$E$35),F54,$F66)</f>
        <v>239.54763410848008</v>
      </c>
      <c r="G78" s="53" cm="1">
        <f t="array" aca="1" ref="G78" ca="1">MMS_Dairy_ManureAppliedToSoils_Equations.VEERG_4_3_1_8__1_MassOfNitrogenAppliedToSoilsScope1(G42,_xlfn.XLOOKUP($E78,$D$22:$D$26,$E$22:$E$26),_xlfn.XLOOKUP($E78, $D$31:$D$35,$E$31:$E$35),G54,$F66)</f>
        <v>109.41474160669247</v>
      </c>
      <c r="H78" s="53" cm="1">
        <f t="array" aca="1" ref="H78" ca="1">MMS_Dairy_ManureAppliedToSoils_Equations.VEERG_4_3_1_8__1_MassOfNitrogenAppliedToSoilsScope1(H42,_xlfn.XLOOKUP($E78,$D$22:$D$26,$E$22:$E$26),_xlfn.XLOOKUP($E78, $D$31:$D$35,$E$31:$E$35),H54,$F66)</f>
        <v>43.57873447430606</v>
      </c>
      <c r="I78" s="53" cm="1">
        <f t="array" aca="1" ref="I78" ca="1">MMS_Dairy_ManureAppliedToSoils_Equations.VEERG_4_3_1_8__1_MassOfNitrogenAppliedToSoilsScope1(I42,_xlfn.XLOOKUP($E78,$D$22:$D$26,$E$22:$E$26),_xlfn.XLOOKUP($E78, $D$31:$D$35,$E$31:$E$35),I54,$F66)</f>
        <v>137.53865744392107</v>
      </c>
      <c r="J78" s="53" cm="1">
        <f t="array" aca="1" ref="J78" ca="1">MMS_Dairy_ManureAppliedToSoils_Equations.VEERG_4_3_1_8__1_MassOfNitrogenAppliedToSoilsScope1(J42,_xlfn.XLOOKUP($E78,$D$22:$D$26,$E$22:$E$26),_xlfn.XLOOKUP($E78, $D$31:$D$35,$E$31:$E$35),J54,$F66)</f>
        <v>57.577714247433249</v>
      </c>
      <c r="K78" s="2"/>
      <c r="O78" s="53" t="str">
        <f>INDEX(X_Table_Dairy_ProductionSystems_Method1,3,1)</f>
        <v>Milking shed</v>
      </c>
      <c r="P78" s="53" t="str">
        <f>INDEX(X_Table_Dairy_Stage1MMS_1_DrainsToPaddock,2,1)</f>
        <v>Drains to paddock</v>
      </c>
      <c r="Q78" s="53" cm="1">
        <f t="array" aca="1" ref="Q78" ca="1">MMS_Dairy_ManureAppliedToSoils_Equations.VEERG_4_3_1_8__1_MassOfNitrogenAppliedToSoilsScope1(Q42,_xlfn.XLOOKUP($P78,$D$22:$D$26,$E$22:$E$26),_xlfn.XLOOKUP($P78, $D$31:$D$35,$E$31:$E$35),Q54,$F66)</f>
        <v>239.54763410848008</v>
      </c>
      <c r="R78" s="53" cm="1">
        <f t="array" aca="1" ref="R78" ca="1">MMS_Dairy_ManureAppliedToSoils_Equations.VEERG_4_3_1_8__1_MassOfNitrogenAppliedToSoilsScope1(R42,_xlfn.XLOOKUP($P78,$D$22:$D$26,$E$22:$E$26),_xlfn.XLOOKUP($P78, $D$31:$D$35,$E$31:$E$35),R54,$F66)</f>
        <v>109.41474160669247</v>
      </c>
      <c r="S78" s="53" cm="1">
        <f t="array" aca="1" ref="S78" ca="1">MMS_Dairy_ManureAppliedToSoils_Equations.VEERG_4_3_1_8__1_MassOfNitrogenAppliedToSoilsScope1(S42,_xlfn.XLOOKUP($P78,$D$22:$D$26,$E$22:$E$26),_xlfn.XLOOKUP($P78, $D$31:$D$35,$E$31:$E$35),S54,$F66)</f>
        <v>43.57873447430606</v>
      </c>
      <c r="T78" s="53" cm="1">
        <f t="array" aca="1" ref="T78" ca="1">MMS_Dairy_ManureAppliedToSoils_Equations.VEERG_4_3_1_8__1_MassOfNitrogenAppliedToSoilsScope1(T42,_xlfn.XLOOKUP($P78,$D$22:$D$26,$E$22:$E$26),_xlfn.XLOOKUP($P78, $D$31:$D$35,$E$31:$E$35),T54,$F66)</f>
        <v>137.53865744392107</v>
      </c>
      <c r="U78" s="53" cm="1">
        <f t="array" aca="1" ref="U78" ca="1">MMS_Dairy_ManureAppliedToSoils_Equations.VEERG_4_3_1_8__1_MassOfNitrogenAppliedToSoilsScope1(U42,_xlfn.XLOOKUP($P78,$D$22:$D$26,$E$22:$E$26),_xlfn.XLOOKUP($P78, $D$31:$D$35,$E$31:$E$35),U54,$F66)</f>
        <v>57.577714247433249</v>
      </c>
      <c r="V78" s="2"/>
    </row>
    <row r="79" spans="4:22" ht="20.100000000000001" customHeight="1" x14ac:dyDescent="0.2">
      <c r="D79" s="53" t="str">
        <f>INDEX(X_Table_Dairy_ProductionSystems_Method1,3,1)</f>
        <v>Milking shed</v>
      </c>
      <c r="E79" s="53" t="s">
        <v>400</v>
      </c>
      <c r="F79" s="53" cm="1">
        <f t="array" aca="1" ref="F79" ca="1">MMS_Dairy_ManureAppliedToSoils_Equations.VEERG_4_3_1_8__1_MassOfNitrogenAppliedToSoilsScope1(F43,_xlfn.XLOOKUP($E79,$D$22:$D$26,$E$22:$E$26),_xlfn.XLOOKUP($E79, $D$31:$D$35,$E$31:$E$35),F55,$F67)</f>
        <v>404.23663255806008</v>
      </c>
      <c r="G79" s="53" cm="1">
        <f t="array" aca="1" ref="G79" ca="1">MMS_Dairy_ManureAppliedToSoils_Equations.VEERG_4_3_1_8__1_MassOfNitrogenAppliedToSoilsScope1(G43,_xlfn.XLOOKUP($E79,$D$22:$D$26,$E$22:$E$26),_xlfn.XLOOKUP($E79, $D$31:$D$35,$E$31:$E$35),G55,$F67)</f>
        <v>184.63737646129354</v>
      </c>
      <c r="H79" s="53" cm="1">
        <f t="array" aca="1" ref="H79" ca="1">MMS_Dairy_ManureAppliedToSoils_Equations.VEERG_4_3_1_8__1_MassOfNitrogenAppliedToSoilsScope1(H43,_xlfn.XLOOKUP($E79,$D$22:$D$26,$E$22:$E$26),_xlfn.XLOOKUP($E79, $D$31:$D$35,$E$31:$E$35),H55,$F67)</f>
        <v>73.539114425391446</v>
      </c>
      <c r="I79" s="53" cm="1">
        <f t="array" aca="1" ref="I79" ca="1">MMS_Dairy_ManureAppliedToSoils_Equations.VEERG_4_3_1_8__1_MassOfNitrogenAppliedToSoilsScope1(I43,_xlfn.XLOOKUP($E79,$D$22:$D$26,$E$22:$E$26),_xlfn.XLOOKUP($E79, $D$31:$D$35,$E$31:$E$35),I55,$F67)</f>
        <v>232.09648443661678</v>
      </c>
      <c r="J79" s="53" cm="1">
        <f t="array" aca="1" ref="J79" ca="1">MMS_Dairy_ManureAppliedToSoils_Equations.VEERG_4_3_1_8__1_MassOfNitrogenAppliedToSoilsScope1(J43,_xlfn.XLOOKUP($E79,$D$22:$D$26,$E$22:$E$26),_xlfn.XLOOKUP($E79, $D$31:$D$35,$E$31:$E$35),J55,$F67)</f>
        <v>97.162392792543585</v>
      </c>
      <c r="K79" s="2"/>
      <c r="O79" s="53" t="str">
        <f>INDEX(X_Table_Dairy_ProductionSystems_Method1,3,1)</f>
        <v>Milking shed</v>
      </c>
      <c r="P79" s="53" t="s">
        <v>400</v>
      </c>
      <c r="Q79" s="53" cm="1">
        <f t="array" aca="1" ref="Q79" ca="1">MMS_Dairy_ManureAppliedToSoils_Equations.VEERG_4_3_1_8__1_MassOfNitrogenAppliedToSoilsScope1(Q43,_xlfn.XLOOKUP($P79,$D$22:$D$26,$E$22:$E$26),_xlfn.XLOOKUP($P79, $D$31:$D$35,$E$31:$E$35),Q55,$F67)</f>
        <v>404.23663255806008</v>
      </c>
      <c r="R79" s="53" cm="1">
        <f t="array" aca="1" ref="R79" ca="1">MMS_Dairy_ManureAppliedToSoils_Equations.VEERG_4_3_1_8__1_MassOfNitrogenAppliedToSoilsScope1(R43,_xlfn.XLOOKUP($P79,$D$22:$D$26,$E$22:$E$26),_xlfn.XLOOKUP($P79, $D$31:$D$35,$E$31:$E$35),R55,$F67)</f>
        <v>184.63737646129354</v>
      </c>
      <c r="S79" s="53" cm="1">
        <f t="array" aca="1" ref="S79" ca="1">MMS_Dairy_ManureAppliedToSoils_Equations.VEERG_4_3_1_8__1_MassOfNitrogenAppliedToSoilsScope1(S43,_xlfn.XLOOKUP($P79,$D$22:$D$26,$E$22:$E$26),_xlfn.XLOOKUP($P79, $D$31:$D$35,$E$31:$E$35),S55,$F67)</f>
        <v>73.539114425391446</v>
      </c>
      <c r="T79" s="53" cm="1">
        <f t="array" aca="1" ref="T79" ca="1">MMS_Dairy_ManureAppliedToSoils_Equations.VEERG_4_3_1_8__1_MassOfNitrogenAppliedToSoilsScope1(T43,_xlfn.XLOOKUP($P79,$D$22:$D$26,$E$22:$E$26),_xlfn.XLOOKUP($P79, $D$31:$D$35,$E$31:$E$35),T55,$F67)</f>
        <v>232.09648443661678</v>
      </c>
      <c r="U79" s="53" cm="1">
        <f t="array" aca="1" ref="U79" ca="1">MMS_Dairy_ManureAppliedToSoils_Equations.VEERG_4_3_1_8__1_MassOfNitrogenAppliedToSoilsScope1(U43,_xlfn.XLOOKUP($P79,$D$22:$D$26,$E$22:$E$26),_xlfn.XLOOKUP($P79, $D$31:$D$35,$E$31:$E$35),U55,$F67)</f>
        <v>97.162392792543585</v>
      </c>
      <c r="V79" s="2"/>
    </row>
    <row r="80" spans="4:22" ht="20.100000000000001" customHeight="1" x14ac:dyDescent="0.2">
      <c r="D80" s="53" t="str">
        <f>INDEX(X_Table_Dairy_ProductionSystems_Method1,4,1)</f>
        <v>Feed pad</v>
      </c>
      <c r="E80" s="53" t="str">
        <f>INDEX(X_Table_Dairy_Stage1MMS_2_AnaerobicLagoon,2,1)</f>
        <v>Anaerobic lagoon</v>
      </c>
      <c r="F80" s="53" cm="1">
        <f t="array" aca="1" ref="F80" ca="1">MMS_Dairy_ManureAppliedToSoils_Equations.VEERG_4_3_1_8__1_MassOfNitrogenAppliedToSoilsScope1(F44,_xlfn.XLOOKUP($E80,$D$22:$D$26,$E$22:$E$26),_xlfn.XLOOKUP($E80, $D$31:$D$35,$E$31:$E$35),F56,$F68)</f>
        <v>787.37674052133912</v>
      </c>
      <c r="G80" s="53" cm="1">
        <f t="array" aca="1" ref="G80" ca="1">MMS_Dairy_ManureAppliedToSoils_Equations.VEERG_4_3_1_8__1_MassOfNitrogenAppliedToSoilsScope1(G44,_xlfn.XLOOKUP($E80,$D$22:$D$26,$E$22:$E$26),_xlfn.XLOOKUP($E80, $D$31:$D$35,$E$31:$E$35),G56,$F68)</f>
        <v>359.63879556517946</v>
      </c>
      <c r="H80" s="53" cm="1">
        <f t="array" aca="1" ref="H80" ca="1">MMS_Dairy_ManureAppliedToSoils_Equations.VEERG_4_3_1_8__1_MassOfNitrogenAppliedToSoilsScope1(H44,_xlfn.XLOOKUP($E80,$D$22:$D$26,$E$22:$E$26),_xlfn.XLOOKUP($E80, $D$31:$D$35,$E$31:$E$35),H56,$F68)</f>
        <v>143.24032893969348</v>
      </c>
      <c r="I80" s="53" cm="1">
        <f t="array" aca="1" ref="I80" ca="1">MMS_Dairy_ManureAppliedToSoils_Equations.VEERG_4_3_1_8__1_MassOfNitrogenAppliedToSoilsScope1(I44,_xlfn.XLOOKUP($E80,$D$22:$D$26,$E$22:$E$26),_xlfn.XLOOKUP($E80, $D$31:$D$35,$E$31:$E$35),I56,$F68)</f>
        <v>452.08018938243373</v>
      </c>
      <c r="J80" s="53" cm="1">
        <f t="array" aca="1" ref="J80" ca="1">MMS_Dairy_ManureAppliedToSoils_Equations.VEERG_4_3_1_8__1_MassOfNitrogenAppliedToSoilsScope1(J44,_xlfn.XLOOKUP($E80,$D$22:$D$26,$E$22:$E$26),_xlfn.XLOOKUP($E80, $D$31:$D$35,$E$31:$E$35),J56,$F68)</f>
        <v>189.25402097806892</v>
      </c>
      <c r="K80" s="2"/>
      <c r="O80" s="53" t="str">
        <f>INDEX(X_Table_Dairy_ProductionSystems_Method1,4,1)</f>
        <v>Feed pad</v>
      </c>
      <c r="P80" s="53" t="str">
        <f>INDEX(X_Table_Dairy_Stage1MMS_2_AnaerobicLagoon,2,1)</f>
        <v>Anaerobic lagoon</v>
      </c>
      <c r="Q80" s="53" cm="1">
        <f t="array" aca="1" ref="Q80" ca="1">MMS_Dairy_ManureAppliedToSoils_Equations.VEERG_4_3_1_8__1_MassOfNitrogenAppliedToSoilsScope1(Q44,_xlfn.XLOOKUP($P80,$D$22:$D$26,$E$22:$E$26),_xlfn.XLOOKUP($P80, $D$31:$D$35,$E$31:$E$35),Q56,$F68)</f>
        <v>787.37674052133912</v>
      </c>
      <c r="R80" s="53" cm="1">
        <f t="array" aca="1" ref="R80" ca="1">MMS_Dairy_ManureAppliedToSoils_Equations.VEERG_4_3_1_8__1_MassOfNitrogenAppliedToSoilsScope1(R44,_xlfn.XLOOKUP($P80,$D$22:$D$26,$E$22:$E$26),_xlfn.XLOOKUP($P80, $D$31:$D$35,$E$31:$E$35),R56,$F68)</f>
        <v>359.63879556517946</v>
      </c>
      <c r="S80" s="53" cm="1">
        <f t="array" aca="1" ref="S80" ca="1">MMS_Dairy_ManureAppliedToSoils_Equations.VEERG_4_3_1_8__1_MassOfNitrogenAppliedToSoilsScope1(S44,_xlfn.XLOOKUP($P80,$D$22:$D$26,$E$22:$E$26),_xlfn.XLOOKUP($P80, $D$31:$D$35,$E$31:$E$35),S56,$F68)</f>
        <v>143.24032893969348</v>
      </c>
      <c r="T80" s="53" cm="1">
        <f t="array" aca="1" ref="T80" ca="1">MMS_Dairy_ManureAppliedToSoils_Equations.VEERG_4_3_1_8__1_MassOfNitrogenAppliedToSoilsScope1(T44,_xlfn.XLOOKUP($P80,$D$22:$D$26,$E$22:$E$26),_xlfn.XLOOKUP($P80, $D$31:$D$35,$E$31:$E$35),T56,$F68)</f>
        <v>452.08018938243373</v>
      </c>
      <c r="U80" s="53" cm="1">
        <f t="array" aca="1" ref="U80" ca="1">MMS_Dairy_ManureAppliedToSoils_Equations.VEERG_4_3_1_8__1_MassOfNitrogenAppliedToSoilsScope1(U44,_xlfn.XLOOKUP($P80,$D$22:$D$26,$E$22:$E$26),_xlfn.XLOOKUP($P80, $D$31:$D$35,$E$31:$E$35),U56,$F68)</f>
        <v>189.25402097806892</v>
      </c>
      <c r="V80" s="2"/>
    </row>
    <row r="81" spans="3:23" ht="20.100000000000001" customHeight="1" x14ac:dyDescent="0.2">
      <c r="D81" s="53" t="str">
        <f>INDEX(X_Table_Dairy_ProductionSystems_Method1,4,1)</f>
        <v>Feed pad</v>
      </c>
      <c r="E81" s="53" t="str">
        <f>INDEX(X_Table_Dairy_Stage1MMS_2_SumpAndDispersal,2,1)</f>
        <v>Sump and dispersal system</v>
      </c>
      <c r="F81" s="53" cm="1">
        <f t="array" aca="1" ref="F81" ca="1">MMS_Dairy_ManureAppliedToSoils_Equations.VEERG_4_3_1_8__1_MassOfNitrogenAppliedToSoilsScope1(F45,_xlfn.XLOOKUP($E81,$D$22:$D$26,$E$22:$E$26),_xlfn.XLOOKUP($E81, $D$31:$D$35,$E$31:$E$35),F57,$F69)</f>
        <v>901.24353068904043</v>
      </c>
      <c r="G81" s="53" cm="1">
        <f t="array" aca="1" ref="G81" ca="1">MMS_Dairy_ManureAppliedToSoils_Equations.VEERG_4_3_1_8__1_MassOfNitrogenAppliedToSoilsScope1(G45,_xlfn.XLOOKUP($E81,$D$22:$D$26,$E$22:$E$26),_xlfn.XLOOKUP($E81, $D$31:$D$35,$E$31:$E$35),G57,$F69)</f>
        <v>411.64809830845161</v>
      </c>
      <c r="H81" s="53" cm="1">
        <f t="array" aca="1" ref="H81" ca="1">MMS_Dairy_ManureAppliedToSoils_Equations.VEERG_4_3_1_8__1_MassOfNitrogenAppliedToSoilsScope1(H45,_xlfn.XLOOKUP($E81,$D$22:$D$26,$E$22:$E$26),_xlfn.XLOOKUP($E81, $D$31:$D$35,$E$31:$E$35),H57,$F69)</f>
        <v>163.95508420174144</v>
      </c>
      <c r="I81" s="53" cm="1">
        <f t="array" aca="1" ref="I81" ca="1">MMS_Dairy_ManureAppliedToSoils_Equations.VEERG_4_3_1_8__1_MassOfNitrogenAppliedToSoilsScope1(I45,_xlfn.XLOOKUP($E81,$D$22:$D$26,$E$22:$E$26),_xlfn.XLOOKUP($E81, $D$31:$D$35,$E$31:$E$35),I57,$F69)</f>
        <v>517.45793984697025</v>
      </c>
      <c r="J81" s="53" cm="1">
        <f t="array" aca="1" ref="J81" ca="1">MMS_Dairy_ManureAppliedToSoils_Equations.VEERG_4_3_1_8__1_MassOfNitrogenAppliedToSoilsScope1(J45,_xlfn.XLOOKUP($E81,$D$22:$D$26,$E$22:$E$26),_xlfn.XLOOKUP($E81, $D$31:$D$35,$E$31:$E$35),J57,$F69)</f>
        <v>216.62306401182042</v>
      </c>
      <c r="K81" s="2"/>
      <c r="O81" s="53" t="str">
        <f>INDEX(X_Table_Dairy_ProductionSystems_Method1,4,1)</f>
        <v>Feed pad</v>
      </c>
      <c r="P81" s="53" t="str">
        <f>INDEX(X_Table_Dairy_Stage1MMS_2_SumpAndDispersal,2,1)</f>
        <v>Sump and dispersal system</v>
      </c>
      <c r="Q81" s="53" cm="1">
        <f t="array" aca="1" ref="Q81" ca="1">MMS_Dairy_ManureAppliedToSoils_Equations.VEERG_4_3_1_8__1_MassOfNitrogenAppliedToSoilsScope1(Q45,_xlfn.XLOOKUP($P81,$D$22:$D$26,$E$22:$E$26),_xlfn.XLOOKUP($P81, $D$31:$D$35,$E$31:$E$35),Q57,$F69)</f>
        <v>901.24353068904043</v>
      </c>
      <c r="R81" s="53" cm="1">
        <f t="array" aca="1" ref="R81" ca="1">MMS_Dairy_ManureAppliedToSoils_Equations.VEERG_4_3_1_8__1_MassOfNitrogenAppliedToSoilsScope1(R45,_xlfn.XLOOKUP($P81,$D$22:$D$26,$E$22:$E$26),_xlfn.XLOOKUP($P81, $D$31:$D$35,$E$31:$E$35),R57,$F69)</f>
        <v>411.64809830845161</v>
      </c>
      <c r="S81" s="53" cm="1">
        <f t="array" aca="1" ref="S81" ca="1">MMS_Dairy_ManureAppliedToSoils_Equations.VEERG_4_3_1_8__1_MassOfNitrogenAppliedToSoilsScope1(S45,_xlfn.XLOOKUP($P81,$D$22:$D$26,$E$22:$E$26),_xlfn.XLOOKUP($P81, $D$31:$D$35,$E$31:$E$35),S57,$F69)</f>
        <v>163.95508420174144</v>
      </c>
      <c r="T81" s="53" cm="1">
        <f t="array" aca="1" ref="T81" ca="1">MMS_Dairy_ManureAppliedToSoils_Equations.VEERG_4_3_1_8__1_MassOfNitrogenAppliedToSoilsScope1(T45,_xlfn.XLOOKUP($P81,$D$22:$D$26,$E$22:$E$26),_xlfn.XLOOKUP($P81, $D$31:$D$35,$E$31:$E$35),T57,$F69)</f>
        <v>517.45793984697025</v>
      </c>
      <c r="U81" s="53" cm="1">
        <f t="array" aca="1" ref="U81" ca="1">MMS_Dairy_ManureAppliedToSoils_Equations.VEERG_4_3_1_8__1_MassOfNitrogenAppliedToSoilsScope1(U45,_xlfn.XLOOKUP($P81,$D$22:$D$26,$E$22:$E$26),_xlfn.XLOOKUP($P81, $D$31:$D$35,$E$31:$E$35),U57,$F69)</f>
        <v>216.62306401182042</v>
      </c>
      <c r="V81" s="2"/>
    </row>
    <row r="82" spans="3:23" ht="20.100000000000001" customHeight="1" x14ac:dyDescent="0.2">
      <c r="D82" s="53" t="str">
        <f>INDEX(X_Table_Dairy_ProductionSystems_Method1,4,1)</f>
        <v>Feed pad</v>
      </c>
      <c r="E82" s="53" t="str">
        <f>INDEX(X_Table_Dairy_Stage1MMS_2_DrainsToPaddock,2,1)</f>
        <v>Drains to paddock</v>
      </c>
      <c r="F82" s="53" cm="1">
        <f t="array" aca="1" ref="F82" ca="1">MMS_Dairy_ManureAppliedToSoils_Equations.VEERG_4_3_1_8__1_MassOfNitrogenAppliedToSoilsScope1(F46,_xlfn.XLOOKUP($E82,$D$22:$D$26,$E$22:$E$26),_xlfn.XLOOKUP($E82, $D$31:$D$35,$E$31:$E$35),F58,$F70)</f>
        <v>775.26325220562626</v>
      </c>
      <c r="G82" s="53" cm="1">
        <f t="array" aca="1" ref="G82" ca="1">MMS_Dairy_ManureAppliedToSoils_Equations.VEERG_4_3_1_8__1_MassOfNitrogenAppliedToSoilsScope1(G46,_xlfn.XLOOKUP($E82,$D$22:$D$26,$E$22:$E$26),_xlfn.XLOOKUP($E82, $D$31:$D$35,$E$31:$E$35),G58,$F70)</f>
        <v>354.10589101802293</v>
      </c>
      <c r="H82" s="53" cm="1">
        <f t="array" aca="1" ref="H82" ca="1">MMS_Dairy_ManureAppliedToSoils_Equations.VEERG_4_3_1_8__1_MassOfNitrogenAppliedToSoilsScope1(H46,_xlfn.XLOOKUP($E82,$D$22:$D$26,$E$22:$E$26),_xlfn.XLOOKUP($E82, $D$31:$D$35,$E$31:$E$35),H58,$F70)</f>
        <v>141.0366315713905</v>
      </c>
      <c r="I82" s="53" cm="1">
        <f t="array" aca="1" ref="I82" ca="1">MMS_Dairy_ManureAppliedToSoils_Equations.VEERG_4_3_1_8__1_MassOfNitrogenAppliedToSoilsScope1(I46,_xlfn.XLOOKUP($E82,$D$22:$D$26,$E$22:$E$26),_xlfn.XLOOKUP($E82, $D$31:$D$35,$E$31:$E$35),I58,$F70)</f>
        <v>445.1251095457809</v>
      </c>
      <c r="J82" s="53" cm="1">
        <f t="array" aca="1" ref="J82" ca="1">MMS_Dairy_ManureAppliedToSoils_Equations.VEERG_4_3_1_8__1_MassOfNitrogenAppliedToSoilsScope1(J46,_xlfn.XLOOKUP($E82,$D$22:$D$26,$E$22:$E$26),_xlfn.XLOOKUP($E82, $D$31:$D$35,$E$31:$E$35),J58,$F70)</f>
        <v>186.34242065532939</v>
      </c>
      <c r="K82" s="2"/>
      <c r="O82" s="53" t="str">
        <f>INDEX(X_Table_Dairy_ProductionSystems_Method1,4,1)</f>
        <v>Feed pad</v>
      </c>
      <c r="P82" s="53" t="str">
        <f>INDEX(X_Table_Dairy_Stage1MMS_2_DrainsToPaddock,2,1)</f>
        <v>Drains to paddock</v>
      </c>
      <c r="Q82" s="53" cm="1">
        <f t="array" aca="1" ref="Q82" ca="1">MMS_Dairy_ManureAppliedToSoils_Equations.VEERG_4_3_1_8__1_MassOfNitrogenAppliedToSoilsScope1(Q46,_xlfn.XLOOKUP($P82,$D$22:$D$26,$E$22:$E$26),_xlfn.XLOOKUP($P82, $D$31:$D$35,$E$31:$E$35),Q58,$F70)</f>
        <v>775.26325220562626</v>
      </c>
      <c r="R82" s="53" cm="1">
        <f t="array" aca="1" ref="R82" ca="1">MMS_Dairy_ManureAppliedToSoils_Equations.VEERG_4_3_1_8__1_MassOfNitrogenAppliedToSoilsScope1(R46,_xlfn.XLOOKUP($P82,$D$22:$D$26,$E$22:$E$26),_xlfn.XLOOKUP($P82, $D$31:$D$35,$E$31:$E$35),R58,$F70)</f>
        <v>354.10589101802293</v>
      </c>
      <c r="S82" s="53" cm="1">
        <f t="array" aca="1" ref="S82" ca="1">MMS_Dairy_ManureAppliedToSoils_Equations.VEERG_4_3_1_8__1_MassOfNitrogenAppliedToSoilsScope1(S46,_xlfn.XLOOKUP($P82,$D$22:$D$26,$E$22:$E$26),_xlfn.XLOOKUP($P82, $D$31:$D$35,$E$31:$E$35),S58,$F70)</f>
        <v>141.0366315713905</v>
      </c>
      <c r="T82" s="53" cm="1">
        <f t="array" aca="1" ref="T82" ca="1">MMS_Dairy_ManureAppliedToSoils_Equations.VEERG_4_3_1_8__1_MassOfNitrogenAppliedToSoilsScope1(T46,_xlfn.XLOOKUP($P82,$D$22:$D$26,$E$22:$E$26),_xlfn.XLOOKUP($P82, $D$31:$D$35,$E$31:$E$35),T58,$F70)</f>
        <v>445.1251095457809</v>
      </c>
      <c r="U82" s="53" cm="1">
        <f t="array" aca="1" ref="U82" ca="1">MMS_Dairy_ManureAppliedToSoils_Equations.VEERG_4_3_1_8__1_MassOfNitrogenAppliedToSoilsScope1(U46,_xlfn.XLOOKUP($P82,$D$22:$D$26,$E$22:$E$26),_xlfn.XLOOKUP($P82, $D$31:$D$35,$E$31:$E$35),U58,$F70)</f>
        <v>186.34242065532939</v>
      </c>
      <c r="V82" s="2"/>
    </row>
    <row r="83" spans="3:23" ht="20.100000000000001" customHeight="1" x14ac:dyDescent="0.2">
      <c r="D83" s="53" t="str">
        <f>INDEX(X_Table_Dairy_ProductionSystems_Method1,4,1)</f>
        <v>Feed pad</v>
      </c>
      <c r="E83" s="53" t="s">
        <v>400</v>
      </c>
      <c r="F83" s="53" cm="1">
        <f t="array" aca="1" ref="F83" ca="1">MMS_Dairy_ManureAppliedToSoils_Equations.VEERG_4_3_1_8__1_MassOfNitrogenAppliedToSoilsScope1(F47,_xlfn.XLOOKUP($E83,$D$22:$D$26,$E$22:$E$26),_xlfn.XLOOKUP($E83, $D$31:$D$35,$E$31:$E$35),F59,$F71)</f>
        <v>1144.72464583487</v>
      </c>
      <c r="G83" s="53" cm="1">
        <f t="array" aca="1" ref="G83" ca="1">MMS_Dairy_ManureAppliedToSoils_Equations.VEERG_4_3_1_8__1_MassOfNitrogenAppliedToSoilsScope1(G47,_xlfn.XLOOKUP($E83,$D$22:$D$26,$E$22:$E$26),_xlfn.XLOOKUP($E83, $D$31:$D$35,$E$31:$E$35),G59,$F71)</f>
        <v>522.85947970629945</v>
      </c>
      <c r="H83" s="53" cm="1">
        <f t="array" aca="1" ref="H83" ca="1">MMS_Dairy_ManureAppliedToSoils_Equations.VEERG_4_3_1_8__1_MassOfNitrogenAppliedToSoilsScope1(H47,_xlfn.XLOOKUP($E83,$D$22:$D$26,$E$22:$E$26),_xlfn.XLOOKUP($E83, $D$31:$D$35,$E$31:$E$35),H59,$F71)</f>
        <v>208.24940130463128</v>
      </c>
      <c r="I83" s="53" cm="1">
        <f t="array" aca="1" ref="I83" ca="1">MMS_Dairy_ManureAppliedToSoils_Equations.VEERG_4_3_1_8__1_MassOfNitrogenAppliedToSoilsScope1(I47,_xlfn.XLOOKUP($E83,$D$22:$D$26,$E$22:$E$26),_xlfn.XLOOKUP($E83, $D$31:$D$35,$E$31:$E$35),I59,$F71)</f>
        <v>657.25504456369208</v>
      </c>
      <c r="J83" s="53" cm="1">
        <f t="array" aca="1" ref="J83" ca="1">MMS_Dairy_ManureAppliedToSoils_Equations.VEERG_4_3_1_8__1_MassOfNitrogenAppliedToSoilsScope1(J47,_xlfn.XLOOKUP($E83,$D$22:$D$26,$E$22:$E$26),_xlfn.XLOOKUP($E83, $D$31:$D$35,$E$31:$E$35),J59,$F71)</f>
        <v>275.14623049888485</v>
      </c>
      <c r="K83" s="2"/>
      <c r="O83" s="53" t="str">
        <f>INDEX(X_Table_Dairy_ProductionSystems_Method1,4,1)</f>
        <v>Feed pad</v>
      </c>
      <c r="P83" s="53" t="s">
        <v>400</v>
      </c>
      <c r="Q83" s="53" cm="1">
        <f t="array" aca="1" ref="Q83" ca="1">MMS_Dairy_ManureAppliedToSoils_Equations.VEERG_4_3_1_8__1_MassOfNitrogenAppliedToSoilsScope1(Q47,_xlfn.XLOOKUP($P83,$D$22:$D$26,$E$22:$E$26),_xlfn.XLOOKUP($P83, $D$31:$D$35,$E$31:$E$35),Q59,$F71)</f>
        <v>1144.72464583487</v>
      </c>
      <c r="R83" s="53" cm="1">
        <f t="array" aca="1" ref="R83" ca="1">MMS_Dairy_ManureAppliedToSoils_Equations.VEERG_4_3_1_8__1_MassOfNitrogenAppliedToSoilsScope1(R47,_xlfn.XLOOKUP($P83,$D$22:$D$26,$E$22:$E$26),_xlfn.XLOOKUP($P83, $D$31:$D$35,$E$31:$E$35),R59,$F71)</f>
        <v>522.85947970629945</v>
      </c>
      <c r="S83" s="53" cm="1">
        <f t="array" aca="1" ref="S83" ca="1">MMS_Dairy_ManureAppliedToSoils_Equations.VEERG_4_3_1_8__1_MassOfNitrogenAppliedToSoilsScope1(S47,_xlfn.XLOOKUP($P83,$D$22:$D$26,$E$22:$E$26),_xlfn.XLOOKUP($P83, $D$31:$D$35,$E$31:$E$35),S59,$F71)</f>
        <v>208.24940130463128</v>
      </c>
      <c r="T83" s="53" cm="1">
        <f t="array" aca="1" ref="T83" ca="1">MMS_Dairy_ManureAppliedToSoils_Equations.VEERG_4_3_1_8__1_MassOfNitrogenAppliedToSoilsScope1(T47,_xlfn.XLOOKUP($P83,$D$22:$D$26,$E$22:$E$26),_xlfn.XLOOKUP($P83, $D$31:$D$35,$E$31:$E$35),T59,$F71)</f>
        <v>657.25504456369208</v>
      </c>
      <c r="U83" s="53" cm="1">
        <f t="array" aca="1" ref="U83" ca="1">MMS_Dairy_ManureAppliedToSoils_Equations.VEERG_4_3_1_8__1_MassOfNitrogenAppliedToSoilsScope1(U47,_xlfn.XLOOKUP($P83,$D$22:$D$26,$E$22:$E$26),_xlfn.XLOOKUP($P83, $D$31:$D$35,$E$31:$E$35),U59,$F71)</f>
        <v>275.14623049888485</v>
      </c>
      <c r="V83" s="2"/>
    </row>
    <row r="85" spans="3:23" ht="20.100000000000001" customHeight="1" x14ac:dyDescent="0.2">
      <c r="D85" s="104" t="s">
        <v>127</v>
      </c>
      <c r="E85" s="105">
        <f ca="1">SUM(F76:J83)</f>
        <v>11592.578908618651</v>
      </c>
      <c r="F85" s="106" t="str">
        <f>$E$11</f>
        <v>kg N</v>
      </c>
      <c r="O85" s="104" t="s">
        <v>127</v>
      </c>
      <c r="P85" s="105">
        <f ca="1">SUM(Q76:U83)</f>
        <v>11592.578908618651</v>
      </c>
      <c r="Q85" s="106" t="str">
        <f>$E$11</f>
        <v>kg N</v>
      </c>
    </row>
    <row r="88" spans="3:23" ht="20.100000000000001" customHeight="1" x14ac:dyDescent="0.2">
      <c r="C88" s="46"/>
      <c r="D88" s="46"/>
      <c r="E88" s="46"/>
      <c r="F88" s="46"/>
      <c r="G88" s="46"/>
      <c r="H88" s="46"/>
      <c r="I88" s="46"/>
      <c r="J88" s="46"/>
      <c r="K88" s="46"/>
      <c r="L88" s="46"/>
      <c r="N88" s="46"/>
      <c r="O88" s="46"/>
      <c r="P88" s="46"/>
      <c r="Q88" s="46"/>
      <c r="R88" s="46"/>
      <c r="S88" s="46"/>
      <c r="T88" s="46"/>
      <c r="U88" s="46"/>
      <c r="V88" s="46"/>
      <c r="W88" s="46"/>
    </row>
    <row r="89" spans="3:23" ht="20.100000000000001" customHeight="1" x14ac:dyDescent="0.2">
      <c r="D89" s="6" t="str" cm="1">
        <f t="array" ref="D89">MMS_Dairy_ManureAppliedToSoils_Equations.VEERG_4_3_1_8__2_MassOfNitrogenAppliedToSoilsScope3_Title()</f>
        <v>Mass of nitrogen from manure applied to soils for scope 3 emissions</v>
      </c>
    </row>
    <row r="90" spans="3:23" ht="20.100000000000001" customHeight="1" x14ac:dyDescent="0.2">
      <c r="D90" s="5" t="str" cm="1">
        <f t="array" ref="D90">MMS_Dairy_ManureAppliedToSoils_Equations.VEERG_4_3_1_8__2_MassOfNitrogenAppliedToSoilsScope3_Source()</f>
        <v>VEERG 2026: 4.3.1.8, Equation (2)</v>
      </c>
    </row>
    <row r="91" spans="3:23" ht="20.100000000000001" customHeight="1" x14ac:dyDescent="0.2">
      <c r="D91" s="13" t="s">
        <v>25</v>
      </c>
      <c r="E91" s="13" t="str" cm="1">
        <f t="array" aca="1" ref="E91" ca="1">Common_InputFunctions.Utility_DisplayFunctionName($F$106)</f>
        <v>=MMS_Dairy_ManureAppliedToSoils_Equations.VEERG_4_3_1_8__2_MassOfNitrogenAppliedToSoilsScope3</v>
      </c>
    </row>
    <row r="94" spans="3:23" ht="20.100000000000001" customHeight="1" x14ac:dyDescent="0.2">
      <c r="D94" s="54" t="s">
        <v>28</v>
      </c>
      <c r="E94" s="1" t="str" cm="1">
        <f t="array" ref="E94">MMS_Dairy_ManureAppliedToSoils_Equations.VEERG_4_3_1_8__2_MassOfNitrogenAppliedToSoilsScope3_Variable()</f>
        <v>MNSoil_scope3</v>
      </c>
    </row>
    <row r="95" spans="3:23" ht="20.100000000000001" customHeight="1" x14ac:dyDescent="0.2">
      <c r="D95" s="54" t="s">
        <v>18</v>
      </c>
      <c r="E95" s="55" t="str" cm="1">
        <f t="array" ref="E95">MMS_Dairy_ManureAppliedToSoils_Equations.VEERG_4_3_1_8__2_MassOfNitrogenAppliedToSoilsScope3_Unit()</f>
        <v>kg N</v>
      </c>
    </row>
    <row r="97" spans="4:22" ht="20.100000000000001" customHeight="1" x14ac:dyDescent="0.2">
      <c r="D97" s="133" t="str" cm="1">
        <f t="array" ref="D97:E101">_xlfn.CHOOSECOLS(MMS_Dairy_ManureAppliedToSoils_Equations.VEERG_4_3_1_8__2_MassOfNitrogenAppliedToSoilsScope3_Arguments(),1,2)</f>
        <v>MN_jm</v>
      </c>
      <c r="E97" s="132" t="str">
        <v>total nitrogen in each MMS for dairy cattle classes</v>
      </c>
      <c r="F97" s="134"/>
      <c r="G97" s="133" t="str" cm="1">
        <f t="array" ref="G97:H101">_xlfn.CHOOSECOLS(MMS_Dairy_ManureAppliedToSoils_Equations.VEERG_4_3_1_8__2_MassOfNitrogenAppliedToSoilsScope3_Arguments(),3,4)</f>
        <v>kg N</v>
      </c>
      <c r="H97" s="129" t="str">
        <v>Calculated from 4.3.1.3 (2)</v>
      </c>
      <c r="I97" s="130" t="str" cm="1">
        <f t="array" aca="1" ref="I97" ca="1">HYPERLINK(Common_InputFunctions.Utility_SourceHyperlink($D$37),$D$37)</f>
        <v>M1_Table_MN_j_m</v>
      </c>
    </row>
    <row r="98" spans="4:22" ht="20.100000000000001" customHeight="1" x14ac:dyDescent="0.2">
      <c r="D98" s="133" t="str">
        <v>EF_m</v>
      </c>
      <c r="E98" s="132" t="str">
        <v>emission factor for nitrous oxide emissions per MMS</v>
      </c>
      <c r="F98" s="134"/>
      <c r="G98" s="133" t="str">
        <v>kg N2O-N/kg N</v>
      </c>
      <c r="H98" s="129" t="str">
        <v>Constant</v>
      </c>
      <c r="I98" s="130" t="str" cm="1">
        <f t="array" aca="1" ref="I98" ca="1">HYPERLINK(Common_InputFunctions.Utility_SourceHyperlink($D$19),$D$19)</f>
        <v>Table_EF_m</v>
      </c>
    </row>
    <row r="99" spans="4:22" ht="20.100000000000001" customHeight="1" x14ac:dyDescent="0.2">
      <c r="D99" s="133" t="str">
        <v>FracGASM_m</v>
      </c>
      <c r="E99" s="132" t="str">
        <v>fraction of N volatilised from MMS</v>
      </c>
      <c r="F99" s="134"/>
      <c r="G99" s="133" t="str">
        <v>fraction</v>
      </c>
      <c r="H99" s="129" t="str">
        <v>Constant</v>
      </c>
      <c r="I99" s="130" t="str" cm="1">
        <f t="array" aca="1" ref="I99" ca="1">HYPERLINK(Common_InputFunctions.Utility_SourceHyperlink($D$28),$D$28)</f>
        <v>Table_FracGASM_m</v>
      </c>
    </row>
    <row r="100" spans="4:22" ht="20.100000000000001" customHeight="1" x14ac:dyDescent="0.2">
      <c r="D100" s="133" t="str">
        <v>MNLeach_jm</v>
      </c>
      <c r="E100" s="132" t="str">
        <v>mass of N lost through leaching and runoff from each MMS</v>
      </c>
      <c r="F100" s="134"/>
      <c r="G100" s="133" t="str">
        <v>kg N</v>
      </c>
      <c r="H100" s="129" t="str">
        <v>Calculated from 4.3.1.6 (2)</v>
      </c>
      <c r="I100" s="130" t="str" cm="1">
        <f t="array" aca="1" ref="I100" ca="1">HYPERLINK(Common_InputFunctions.Utility_SourceHyperlink($D$49),$D$49)</f>
        <v>M1_Table_MN_leach_j_m</v>
      </c>
    </row>
    <row r="101" spans="4:22" ht="20.100000000000001" customHeight="1" x14ac:dyDescent="0.2">
      <c r="D101" s="133" t="str">
        <v>PF</v>
      </c>
      <c r="E101" s="132" t="str">
        <v>fraction of manure applied to soil within farm boundary</v>
      </c>
      <c r="F101" s="134"/>
      <c r="G101" s="133" t="str">
        <v>fraction</v>
      </c>
      <c r="H101" s="131" t="str">
        <v>Input</v>
      </c>
      <c r="I101" s="130" t="str" cm="1">
        <f t="array" aca="1" ref="I101" ca="1">HYPERLINK(Common_InputFunctions.Utility_SourceHyperlink($D$61),$D$61)</f>
        <v>Table_PF_scope</v>
      </c>
    </row>
    <row r="103" spans="4:22" ht="20.100000000000001" customHeight="1" x14ac:dyDescent="0.2">
      <c r="D103" s="100" t="s">
        <v>338</v>
      </c>
      <c r="O103" s="100" t="s">
        <v>344</v>
      </c>
    </row>
    <row r="104" spans="4:22" ht="20.100000000000001" customHeight="1" x14ac:dyDescent="0.2">
      <c r="D104" s="99" t="s">
        <v>339</v>
      </c>
      <c r="O104" s="99" t="s">
        <v>345</v>
      </c>
    </row>
    <row r="105" spans="4:22" ht="20.100000000000001" customHeight="1" x14ac:dyDescent="0.2">
      <c r="D105" s="52" t="s">
        <v>142</v>
      </c>
      <c r="E105" s="52" t="s">
        <v>66</v>
      </c>
      <c r="F105" s="52" t="s">
        <v>167</v>
      </c>
      <c r="G105" s="52" t="s">
        <v>184</v>
      </c>
      <c r="H105" s="52" t="s">
        <v>185</v>
      </c>
      <c r="I105" s="52" t="s">
        <v>186</v>
      </c>
      <c r="J105" s="52" t="s">
        <v>187</v>
      </c>
      <c r="O105" s="52" t="s">
        <v>142</v>
      </c>
      <c r="P105" s="52" t="s">
        <v>66</v>
      </c>
      <c r="Q105" s="52" t="s">
        <v>167</v>
      </c>
      <c r="R105" s="52" t="s">
        <v>184</v>
      </c>
      <c r="S105" s="52" t="s">
        <v>185</v>
      </c>
      <c r="T105" s="52" t="s">
        <v>186</v>
      </c>
      <c r="U105" s="52" t="s">
        <v>187</v>
      </c>
    </row>
    <row r="106" spans="4:22" ht="20.100000000000001" customHeight="1" x14ac:dyDescent="0.2">
      <c r="D106" s="53" t="str">
        <f>INDEX(X_Table_Dairy_ProductionSystems_Method1,3,1)</f>
        <v>Milking shed</v>
      </c>
      <c r="E106" s="53" t="str">
        <f>INDEX(X_Table_Dairy_Stage1MMS_1_AnaerobicLagoon,2,1)</f>
        <v>Anaerobic lagoon</v>
      </c>
      <c r="F106" s="53" cm="1">
        <f t="array" aca="1" ref="F106" ca="1">MMS_Dairy_ManureAppliedToSoils_Equations.VEERG_4_3_1_8__2_MassOfNitrogenAppliedToSoilsScope3(F40, _xlfn.XLOOKUP($E106, $D$22:$D$26,$E$22:$E$26), _xlfn.XLOOKUP($E106,$D$31:$D$35,$E$31:$E$35),F52, $F64)</f>
        <v>64.877484237713347</v>
      </c>
      <c r="G106" s="53" cm="1">
        <f t="array" aca="1" ref="G106" ca="1">MMS_Dairy_ManureAppliedToSoils_Equations.VEERG_4_3_1_8__2_MassOfNitrogenAppliedToSoilsScope3(G40, _xlfn.XLOOKUP($E106, $D$22:$D$26,$E$22:$E$26), _xlfn.XLOOKUP($E106,$D$31:$D$35,$E$31:$E$35),G52, $F64)</f>
        <v>29.633159185145878</v>
      </c>
      <c r="H106" s="53" cm="1">
        <f t="array" aca="1" ref="H106" ca="1">MMS_Dairy_ManureAppliedToSoils_Equations.VEERG_4_3_1_8__2_MassOfNitrogenAppliedToSoilsScope3(H40, _xlfn.XLOOKUP($E106, $D$22:$D$26,$E$22:$E$26), _xlfn.XLOOKUP($E106,$D$31:$D$35,$E$31:$E$35),H52, $F64)</f>
        <v>11.802573920124557</v>
      </c>
      <c r="I106" s="53" cm="1">
        <f t="array" aca="1" ref="I106" ca="1">MMS_Dairy_ManureAppliedToSoils_Equations.VEERG_4_3_1_8__2_MassOfNitrogenAppliedToSoilsScope3(I40, _xlfn.XLOOKUP($E106, $D$22:$D$26,$E$22:$E$26), _xlfn.XLOOKUP($E106,$D$31:$D$35,$E$31:$E$35),I52, $F64)</f>
        <v>37.250053057728621</v>
      </c>
      <c r="J106" s="53" cm="1">
        <f t="array" aca="1" ref="J106" ca="1">MMS_Dairy_ManureAppliedToSoils_Equations.VEERG_4_3_1_8__2_MassOfNitrogenAppliedToSoilsScope3(J40, _xlfn.XLOOKUP($E106, $D$22:$D$26,$E$22:$E$26), _xlfn.XLOOKUP($E106,$D$31:$D$35,$E$31:$E$35),J52, $F64)</f>
        <v>15.593964275346504</v>
      </c>
      <c r="K106" s="2" t="str">
        <f t="shared" ref="K106" si="2">$E$95</f>
        <v>kg N</v>
      </c>
      <c r="O106" s="53" t="str">
        <f>INDEX(X_Table_Dairy_ProductionSystems_Method1,3,1)</f>
        <v>Milking shed</v>
      </c>
      <c r="P106" s="53" t="str">
        <f>INDEX(X_Table_Dairy_Stage1MMS_1_AnaerobicLagoon,2,1)</f>
        <v>Anaerobic lagoon</v>
      </c>
      <c r="Q106" s="53" cm="1">
        <f t="array" aca="1" ref="Q106" ca="1">MMS_Dairy_ManureAppliedToSoils_Equations.VEERG_4_3_1_8__2_MassOfNitrogenAppliedToSoilsScope3(Q40, _xlfn.XLOOKUP($P106, $D$22:$D$26,$E$22:$E$26), _xlfn.XLOOKUP($P106,$D$31:$D$35,$E$31:$E$35),Q52, $F64)</f>
        <v>64.877484237713347</v>
      </c>
      <c r="R106" s="53" cm="1">
        <f t="array" aca="1" ref="R106" ca="1">MMS_Dairy_ManureAppliedToSoils_Equations.VEERG_4_3_1_8__2_MassOfNitrogenAppliedToSoilsScope3(R40, _xlfn.XLOOKUP($P106, $D$22:$D$26,$E$22:$E$26), _xlfn.XLOOKUP($P106,$D$31:$D$35,$E$31:$E$35),R52, $F64)</f>
        <v>29.633159185145878</v>
      </c>
      <c r="S106" s="53" cm="1">
        <f t="array" aca="1" ref="S106" ca="1">MMS_Dairy_ManureAppliedToSoils_Equations.VEERG_4_3_1_8__2_MassOfNitrogenAppliedToSoilsScope3(S40, _xlfn.XLOOKUP($P106, $D$22:$D$26,$E$22:$E$26), _xlfn.XLOOKUP($P106,$D$31:$D$35,$E$31:$E$35),S52, $F64)</f>
        <v>11.802573920124557</v>
      </c>
      <c r="T106" s="53" cm="1">
        <f t="array" aca="1" ref="T106" ca="1">MMS_Dairy_ManureAppliedToSoils_Equations.VEERG_4_3_1_8__2_MassOfNitrogenAppliedToSoilsScope3(T40, _xlfn.XLOOKUP($P106, $D$22:$D$26,$E$22:$E$26), _xlfn.XLOOKUP($P106,$D$31:$D$35,$E$31:$E$35),T52, $F64)</f>
        <v>37.250053057728621</v>
      </c>
      <c r="U106" s="53" cm="1">
        <f t="array" aca="1" ref="U106" ca="1">MMS_Dairy_ManureAppliedToSoils_Equations.VEERG_4_3_1_8__2_MassOfNitrogenAppliedToSoilsScope3(U40, _xlfn.XLOOKUP($P106, $D$22:$D$26,$E$22:$E$26), _xlfn.XLOOKUP($P106,$D$31:$D$35,$E$31:$E$35),U52, $F64)</f>
        <v>15.593964275346504</v>
      </c>
      <c r="V106" s="2" t="str">
        <f t="shared" ref="V106" si="3">$E$95</f>
        <v>kg N</v>
      </c>
    </row>
    <row r="107" spans="4:22" ht="20.100000000000001" customHeight="1" x14ac:dyDescent="0.2">
      <c r="D107" s="53" t="str">
        <f>INDEX(X_Table_Dairy_ProductionSystems_Method1,3,1)</f>
        <v>Milking shed</v>
      </c>
      <c r="E107" s="53" t="str">
        <f>INDEX(X_Table_Dairy_Stage1MMS_1_SumpAndDispersal,2,1)</f>
        <v>Sump and dispersal system</v>
      </c>
      <c r="F107" s="53" cm="1">
        <f t="array" aca="1" ref="F107" ca="1">MMS_Dairy_ManureAppliedToSoils_Equations.VEERG_4_3_1_8__2_MassOfNitrogenAppliedToSoilsScope3(F41, _xlfn.XLOOKUP($E107, $D$22:$D$26,$E$22:$E$26), _xlfn.XLOOKUP($E107,$D$31:$D$35,$E$31:$E$35),F53, $F65)</f>
        <v>92.824708217036019</v>
      </c>
      <c r="G107" s="53" cm="1">
        <f t="array" aca="1" ref="G107" ca="1">MMS_Dairy_ManureAppliedToSoils_Equations.VEERG_4_3_1_8__2_MassOfNitrogenAppliedToSoilsScope3(G41, _xlfn.XLOOKUP($E107, $D$22:$D$26,$E$22:$E$26), _xlfn.XLOOKUP($E107,$D$31:$D$35,$E$31:$E$35),G53, $F65)</f>
        <v>42.398212372593328</v>
      </c>
      <c r="H107" s="53" cm="1">
        <f t="array" aca="1" ref="H107" ca="1">MMS_Dairy_ManureAppliedToSoils_Equations.VEERG_4_3_1_8__2_MassOfNitrogenAppliedToSoilsScope3(H41, _xlfn.XLOOKUP($E107, $D$22:$D$26,$E$22:$E$26), _xlfn.XLOOKUP($E107,$D$31:$D$35,$E$31:$E$35),H53, $F65)</f>
        <v>16.886759608793596</v>
      </c>
      <c r="I107" s="53" cm="1">
        <f t="array" aca="1" ref="I107" ca="1">MMS_Dairy_ManureAppliedToSoils_Equations.VEERG_4_3_1_8__2_MassOfNitrogenAppliedToSoilsScope3(I41, _xlfn.XLOOKUP($E107, $D$22:$D$26,$E$22:$E$26), _xlfn.XLOOKUP($E107,$D$31:$D$35,$E$31:$E$35),I53, $F65)</f>
        <v>53.296229759519406</v>
      </c>
      <c r="J107" s="53" cm="1">
        <f t="array" aca="1" ref="J107" ca="1">MMS_Dairy_ManureAppliedToSoils_Equations.VEERG_4_3_1_8__2_MassOfNitrogenAppliedToSoilsScope3(J41, _xlfn.XLOOKUP($E107, $D$22:$D$26,$E$22:$E$26), _xlfn.XLOOKUP($E107,$D$31:$D$35,$E$31:$E$35),J53, $F65)</f>
        <v>22.311364270880382</v>
      </c>
      <c r="K107" s="2"/>
      <c r="O107" s="53" t="str">
        <f>INDEX(X_Table_Dairy_ProductionSystems_Method1,3,1)</f>
        <v>Milking shed</v>
      </c>
      <c r="P107" s="53" t="str">
        <f>INDEX(X_Table_Dairy_Stage1MMS_1_SumpAndDispersal,2,1)</f>
        <v>Sump and dispersal system</v>
      </c>
      <c r="Q107" s="53" cm="1">
        <f t="array" aca="1" ref="Q107" ca="1">MMS_Dairy_ManureAppliedToSoils_Equations.VEERG_4_3_1_8__2_MassOfNitrogenAppliedToSoilsScope3(Q41, _xlfn.XLOOKUP($P107, $D$22:$D$26,$E$22:$E$26), _xlfn.XLOOKUP($P107,$D$31:$D$35,$E$31:$E$35),Q53, $F65)</f>
        <v>92.824708217036019</v>
      </c>
      <c r="R107" s="53" cm="1">
        <f t="array" aca="1" ref="R107" ca="1">MMS_Dairy_ManureAppliedToSoils_Equations.VEERG_4_3_1_8__2_MassOfNitrogenAppliedToSoilsScope3(R41, _xlfn.XLOOKUP($P107, $D$22:$D$26,$E$22:$E$26), _xlfn.XLOOKUP($P107,$D$31:$D$35,$E$31:$E$35),R53, $F65)</f>
        <v>42.398212372593328</v>
      </c>
      <c r="S107" s="53" cm="1">
        <f t="array" aca="1" ref="S107" ca="1">MMS_Dairy_ManureAppliedToSoils_Equations.VEERG_4_3_1_8__2_MassOfNitrogenAppliedToSoilsScope3(S41, _xlfn.XLOOKUP($P107, $D$22:$D$26,$E$22:$E$26), _xlfn.XLOOKUP($P107,$D$31:$D$35,$E$31:$E$35),S53, $F65)</f>
        <v>16.886759608793596</v>
      </c>
      <c r="T107" s="53" cm="1">
        <f t="array" aca="1" ref="T107" ca="1">MMS_Dairy_ManureAppliedToSoils_Equations.VEERG_4_3_1_8__2_MassOfNitrogenAppliedToSoilsScope3(T41, _xlfn.XLOOKUP($P107, $D$22:$D$26,$E$22:$E$26), _xlfn.XLOOKUP($P107,$D$31:$D$35,$E$31:$E$35),T53, $F65)</f>
        <v>53.296229759519406</v>
      </c>
      <c r="U107" s="53" cm="1">
        <f t="array" aca="1" ref="U107" ca="1">MMS_Dairy_ManureAppliedToSoils_Equations.VEERG_4_3_1_8__2_MassOfNitrogenAppliedToSoilsScope3(U41, _xlfn.XLOOKUP($P107, $D$22:$D$26,$E$22:$E$26), _xlfn.XLOOKUP($P107,$D$31:$D$35,$E$31:$E$35),U53, $F65)</f>
        <v>22.311364270880382</v>
      </c>
      <c r="V107" s="2"/>
    </row>
    <row r="108" spans="4:22" ht="20.100000000000001" customHeight="1" x14ac:dyDescent="0.2">
      <c r="D108" s="53" t="str">
        <f>INDEX(X_Table_Dairy_ProductionSystems_Method1,3,1)</f>
        <v>Milking shed</v>
      </c>
      <c r="E108" s="53" t="str">
        <f>INDEX(X_Table_Dairy_Stage1MMS_1_DrainsToPaddock,2,1)</f>
        <v>Drains to paddock</v>
      </c>
      <c r="F108" s="53" cm="1">
        <f t="array" aca="1" ref="F108" ca="1">MMS_Dairy_ManureAppliedToSoils_Equations.VEERG_4_3_1_8__2_MassOfNitrogenAppliedToSoilsScope3(F42, _xlfn.XLOOKUP($E108, $D$22:$D$26,$E$22:$E$26), _xlfn.XLOOKUP($E108,$D$31:$D$35,$E$31:$E$35),F54, $F66)</f>
        <v>79.849211369493361</v>
      </c>
      <c r="G108" s="53" cm="1">
        <f t="array" aca="1" ref="G108" ca="1">MMS_Dairy_ManureAppliedToSoils_Equations.VEERG_4_3_1_8__2_MassOfNitrogenAppliedToSoilsScope3(G42, _xlfn.XLOOKUP($E108, $D$22:$D$26,$E$22:$E$26), _xlfn.XLOOKUP($E108,$D$31:$D$35,$E$31:$E$35),G54, $F66)</f>
        <v>36.471580535564158</v>
      </c>
      <c r="H108" s="53" cm="1">
        <f t="array" aca="1" ref="H108" ca="1">MMS_Dairy_ManureAppliedToSoils_Equations.VEERG_4_3_1_8__2_MassOfNitrogenAppliedToSoilsScope3(H42, _xlfn.XLOOKUP($E108, $D$22:$D$26,$E$22:$E$26), _xlfn.XLOOKUP($E108,$D$31:$D$35,$E$31:$E$35),H54, $F66)</f>
        <v>14.526244824768686</v>
      </c>
      <c r="I108" s="53" cm="1">
        <f t="array" aca="1" ref="I108" ca="1">MMS_Dairy_ManureAppliedToSoils_Equations.VEERG_4_3_1_8__2_MassOfNitrogenAppliedToSoilsScope3(I42, _xlfn.XLOOKUP($E108, $D$22:$D$26,$E$22:$E$26), _xlfn.XLOOKUP($E108,$D$31:$D$35,$E$31:$E$35),I54, $F66)</f>
        <v>45.846219147973692</v>
      </c>
      <c r="J108" s="53" cm="1">
        <f t="array" aca="1" ref="J108" ca="1">MMS_Dairy_ManureAppliedToSoils_Equations.VEERG_4_3_1_8__2_MassOfNitrogenAppliedToSoilsScope3(J42, _xlfn.XLOOKUP($E108, $D$22:$D$26,$E$22:$E$26), _xlfn.XLOOKUP($E108,$D$31:$D$35,$E$31:$E$35),J54, $F66)</f>
        <v>19.192571415811084</v>
      </c>
      <c r="K108" s="2"/>
      <c r="O108" s="53" t="str">
        <f>INDEX(X_Table_Dairy_ProductionSystems_Method1,3,1)</f>
        <v>Milking shed</v>
      </c>
      <c r="P108" s="53" t="str">
        <f>INDEX(X_Table_Dairy_Stage1MMS_1_DrainsToPaddock,2,1)</f>
        <v>Drains to paddock</v>
      </c>
      <c r="Q108" s="53" cm="1">
        <f t="array" aca="1" ref="Q108" ca="1">MMS_Dairy_ManureAppliedToSoils_Equations.VEERG_4_3_1_8__2_MassOfNitrogenAppliedToSoilsScope3(Q42, _xlfn.XLOOKUP($P108, $D$22:$D$26,$E$22:$E$26), _xlfn.XLOOKUP($P108,$D$31:$D$35,$E$31:$E$35),Q54, $F66)</f>
        <v>79.849211369493361</v>
      </c>
      <c r="R108" s="53" cm="1">
        <f t="array" aca="1" ref="R108" ca="1">MMS_Dairy_ManureAppliedToSoils_Equations.VEERG_4_3_1_8__2_MassOfNitrogenAppliedToSoilsScope3(R42, _xlfn.XLOOKUP($P108, $D$22:$D$26,$E$22:$E$26), _xlfn.XLOOKUP($P108,$D$31:$D$35,$E$31:$E$35),R54, $F66)</f>
        <v>36.471580535564158</v>
      </c>
      <c r="S108" s="53" cm="1">
        <f t="array" aca="1" ref="S108" ca="1">MMS_Dairy_ManureAppliedToSoils_Equations.VEERG_4_3_1_8__2_MassOfNitrogenAppliedToSoilsScope3(S42, _xlfn.XLOOKUP($P108, $D$22:$D$26,$E$22:$E$26), _xlfn.XLOOKUP($P108,$D$31:$D$35,$E$31:$E$35),S54, $F66)</f>
        <v>14.526244824768686</v>
      </c>
      <c r="T108" s="53" cm="1">
        <f t="array" aca="1" ref="T108" ca="1">MMS_Dairy_ManureAppliedToSoils_Equations.VEERG_4_3_1_8__2_MassOfNitrogenAppliedToSoilsScope3(T42, _xlfn.XLOOKUP($P108, $D$22:$D$26,$E$22:$E$26), _xlfn.XLOOKUP($P108,$D$31:$D$35,$E$31:$E$35),T54, $F66)</f>
        <v>45.846219147973692</v>
      </c>
      <c r="U108" s="53" cm="1">
        <f t="array" aca="1" ref="U108" ca="1">MMS_Dairy_ManureAppliedToSoils_Equations.VEERG_4_3_1_8__2_MassOfNitrogenAppliedToSoilsScope3(U42, _xlfn.XLOOKUP($P108, $D$22:$D$26,$E$22:$E$26), _xlfn.XLOOKUP($P108,$D$31:$D$35,$E$31:$E$35),U54, $F66)</f>
        <v>19.192571415811084</v>
      </c>
      <c r="V108" s="2"/>
    </row>
    <row r="109" spans="4:22" ht="20.100000000000001" customHeight="1" x14ac:dyDescent="0.2">
      <c r="D109" s="53" t="str">
        <f>INDEX(X_Table_Dairy_ProductionSystems_Method1,3,1)</f>
        <v>Milking shed</v>
      </c>
      <c r="E109" s="53" t="s">
        <v>400</v>
      </c>
      <c r="F109" s="53" cm="1">
        <f t="array" aca="1" ref="F109" ca="1">MMS_Dairy_ManureAppliedToSoils_Equations.VEERG_4_3_1_8__2_MassOfNitrogenAppliedToSoilsScope3(F43, _xlfn.XLOOKUP($E109, $D$22:$D$26,$E$22:$E$26), _xlfn.XLOOKUP($E109,$D$31:$D$35,$E$31:$E$35),F55, $F67)</f>
        <v>134.74554418602003</v>
      </c>
      <c r="G109" s="53" cm="1">
        <f t="array" aca="1" ref="G109" ca="1">MMS_Dairy_ManureAppliedToSoils_Equations.VEERG_4_3_1_8__2_MassOfNitrogenAppliedToSoilsScope3(G43, _xlfn.XLOOKUP($E109, $D$22:$D$26,$E$22:$E$26), _xlfn.XLOOKUP($E109,$D$31:$D$35,$E$31:$E$35),G55, $F67)</f>
        <v>61.545792153764516</v>
      </c>
      <c r="H109" s="53" cm="1">
        <f t="array" aca="1" ref="H109" ca="1">MMS_Dairy_ManureAppliedToSoils_Equations.VEERG_4_3_1_8__2_MassOfNitrogenAppliedToSoilsScope3(H43, _xlfn.XLOOKUP($E109, $D$22:$D$26,$E$22:$E$26), _xlfn.XLOOKUP($E109,$D$31:$D$35,$E$31:$E$35),H55, $F67)</f>
        <v>24.51303814179715</v>
      </c>
      <c r="I109" s="53" cm="1">
        <f t="array" aca="1" ref="I109" ca="1">MMS_Dairy_ManureAppliedToSoils_Equations.VEERG_4_3_1_8__2_MassOfNitrogenAppliedToSoilsScope3(I43, _xlfn.XLOOKUP($E109, $D$22:$D$26,$E$22:$E$26), _xlfn.XLOOKUP($E109,$D$31:$D$35,$E$31:$E$35),I55, $F67)</f>
        <v>77.365494812205597</v>
      </c>
      <c r="J109" s="53" cm="1">
        <f t="array" aca="1" ref="J109" ca="1">MMS_Dairy_ManureAppliedToSoils_Equations.VEERG_4_3_1_8__2_MassOfNitrogenAppliedToSoilsScope3(J43, _xlfn.XLOOKUP($E109, $D$22:$D$26,$E$22:$E$26), _xlfn.XLOOKUP($E109,$D$31:$D$35,$E$31:$E$35),J55, $F67)</f>
        <v>32.387464264181197</v>
      </c>
      <c r="K109" s="2"/>
      <c r="O109" s="53" t="str">
        <f>INDEX(X_Table_Dairy_ProductionSystems_Method1,3,1)</f>
        <v>Milking shed</v>
      </c>
      <c r="P109" s="53" t="s">
        <v>400</v>
      </c>
      <c r="Q109" s="53" cm="1">
        <f t="array" aca="1" ref="Q109" ca="1">MMS_Dairy_ManureAppliedToSoils_Equations.VEERG_4_3_1_8__2_MassOfNitrogenAppliedToSoilsScope3(Q43, _xlfn.XLOOKUP($P109, $D$22:$D$26,$E$22:$E$26), _xlfn.XLOOKUP($P109,$D$31:$D$35,$E$31:$E$35),Q55, $F67)</f>
        <v>134.74554418602003</v>
      </c>
      <c r="R109" s="53" cm="1">
        <f t="array" aca="1" ref="R109" ca="1">MMS_Dairy_ManureAppliedToSoils_Equations.VEERG_4_3_1_8__2_MassOfNitrogenAppliedToSoilsScope3(R43, _xlfn.XLOOKUP($P109, $D$22:$D$26,$E$22:$E$26), _xlfn.XLOOKUP($P109,$D$31:$D$35,$E$31:$E$35),R55, $F67)</f>
        <v>61.545792153764516</v>
      </c>
      <c r="S109" s="53" cm="1">
        <f t="array" aca="1" ref="S109" ca="1">MMS_Dairy_ManureAppliedToSoils_Equations.VEERG_4_3_1_8__2_MassOfNitrogenAppliedToSoilsScope3(S43, _xlfn.XLOOKUP($P109, $D$22:$D$26,$E$22:$E$26), _xlfn.XLOOKUP($P109,$D$31:$D$35,$E$31:$E$35),S55, $F67)</f>
        <v>24.51303814179715</v>
      </c>
      <c r="T109" s="53" cm="1">
        <f t="array" aca="1" ref="T109" ca="1">MMS_Dairy_ManureAppliedToSoils_Equations.VEERG_4_3_1_8__2_MassOfNitrogenAppliedToSoilsScope3(T43, _xlfn.XLOOKUP($P109, $D$22:$D$26,$E$22:$E$26), _xlfn.XLOOKUP($P109,$D$31:$D$35,$E$31:$E$35),T55, $F67)</f>
        <v>77.365494812205597</v>
      </c>
      <c r="U109" s="53" cm="1">
        <f t="array" aca="1" ref="U109" ca="1">MMS_Dairy_ManureAppliedToSoils_Equations.VEERG_4_3_1_8__2_MassOfNitrogenAppliedToSoilsScope3(U43, _xlfn.XLOOKUP($P109, $D$22:$D$26,$E$22:$E$26), _xlfn.XLOOKUP($P109,$D$31:$D$35,$E$31:$E$35),U55, $F67)</f>
        <v>32.387464264181197</v>
      </c>
      <c r="V109" s="2"/>
    </row>
    <row r="110" spans="4:22" ht="20.100000000000001" customHeight="1" x14ac:dyDescent="0.2">
      <c r="D110" s="53" t="str">
        <f>INDEX(X_Table_Dairy_ProductionSystems_Method1,4,1)</f>
        <v>Feed pad</v>
      </c>
      <c r="E110" s="53" t="str">
        <f>INDEX(X_Table_Dairy_Stage1MMS_2_AnaerobicLagoon,2,1)</f>
        <v>Anaerobic lagoon</v>
      </c>
      <c r="F110" s="53" cm="1">
        <f t="array" aca="1" ref="F110" ca="1">MMS_Dairy_ManureAppliedToSoils_Equations.VEERG_4_3_1_8__2_MassOfNitrogenAppliedToSoilsScope3(F44, _xlfn.XLOOKUP($E110, $D$22:$D$26,$E$22:$E$26), _xlfn.XLOOKUP($E110,$D$31:$D$35,$E$31:$E$35),F56, $F68)</f>
        <v>262.45891350711304</v>
      </c>
      <c r="G110" s="53" cm="1">
        <f t="array" aca="1" ref="G110" ca="1">MMS_Dairy_ManureAppliedToSoils_Equations.VEERG_4_3_1_8__2_MassOfNitrogenAppliedToSoilsScope3(G44, _xlfn.XLOOKUP($E110, $D$22:$D$26,$E$22:$E$26), _xlfn.XLOOKUP($E110,$D$31:$D$35,$E$31:$E$35),G56, $F68)</f>
        <v>119.87959852172649</v>
      </c>
      <c r="H110" s="53" cm="1">
        <f t="array" aca="1" ref="H110" ca="1">MMS_Dairy_ManureAppliedToSoils_Equations.VEERG_4_3_1_8__2_MassOfNitrogenAppliedToSoilsScope3(H44, _xlfn.XLOOKUP($E110, $D$22:$D$26,$E$22:$E$26), _xlfn.XLOOKUP($E110,$D$31:$D$35,$E$31:$E$35),H56, $F68)</f>
        <v>47.746776313231159</v>
      </c>
      <c r="I110" s="53" cm="1">
        <f t="array" aca="1" ref="I110" ca="1">MMS_Dairy_ManureAppliedToSoils_Equations.VEERG_4_3_1_8__2_MassOfNitrogenAppliedToSoilsScope3(I44, _xlfn.XLOOKUP($E110, $D$22:$D$26,$E$22:$E$26), _xlfn.XLOOKUP($E110,$D$31:$D$35,$E$31:$E$35),I56, $F68)</f>
        <v>150.69339646081124</v>
      </c>
      <c r="J110" s="53" cm="1">
        <f t="array" aca="1" ref="J110" ca="1">MMS_Dairy_ManureAppliedToSoils_Equations.VEERG_4_3_1_8__2_MassOfNitrogenAppliedToSoilsScope3(J44, _xlfn.XLOOKUP($E110, $D$22:$D$26,$E$22:$E$26), _xlfn.XLOOKUP($E110,$D$31:$D$35,$E$31:$E$35),J56, $F68)</f>
        <v>63.084673659356305</v>
      </c>
      <c r="K110" s="2"/>
      <c r="O110" s="53" t="str">
        <f>INDEX(X_Table_Dairy_ProductionSystems_Method1,4,1)</f>
        <v>Feed pad</v>
      </c>
      <c r="P110" s="53" t="str">
        <f>INDEX(X_Table_Dairy_Stage1MMS_2_AnaerobicLagoon,2,1)</f>
        <v>Anaerobic lagoon</v>
      </c>
      <c r="Q110" s="53" cm="1">
        <f t="array" aca="1" ref="Q110" ca="1">MMS_Dairy_ManureAppliedToSoils_Equations.VEERG_4_3_1_8__2_MassOfNitrogenAppliedToSoilsScope3(Q44, _xlfn.XLOOKUP($P110, $D$22:$D$26,$E$22:$E$26), _xlfn.XLOOKUP($P110,$D$31:$D$35,$E$31:$E$35),Q56, $F68)</f>
        <v>262.45891350711304</v>
      </c>
      <c r="R110" s="53" cm="1">
        <f t="array" aca="1" ref="R110" ca="1">MMS_Dairy_ManureAppliedToSoils_Equations.VEERG_4_3_1_8__2_MassOfNitrogenAppliedToSoilsScope3(R44, _xlfn.XLOOKUP($P110, $D$22:$D$26,$E$22:$E$26), _xlfn.XLOOKUP($P110,$D$31:$D$35,$E$31:$E$35),R56, $F68)</f>
        <v>119.87959852172649</v>
      </c>
      <c r="S110" s="53" cm="1">
        <f t="array" aca="1" ref="S110" ca="1">MMS_Dairy_ManureAppliedToSoils_Equations.VEERG_4_3_1_8__2_MassOfNitrogenAppliedToSoilsScope3(S44, _xlfn.XLOOKUP($P110, $D$22:$D$26,$E$22:$E$26), _xlfn.XLOOKUP($P110,$D$31:$D$35,$E$31:$E$35),S56, $F68)</f>
        <v>47.746776313231159</v>
      </c>
      <c r="T110" s="53" cm="1">
        <f t="array" aca="1" ref="T110" ca="1">MMS_Dairy_ManureAppliedToSoils_Equations.VEERG_4_3_1_8__2_MassOfNitrogenAppliedToSoilsScope3(T44, _xlfn.XLOOKUP($P110, $D$22:$D$26,$E$22:$E$26), _xlfn.XLOOKUP($P110,$D$31:$D$35,$E$31:$E$35),T56, $F68)</f>
        <v>150.69339646081124</v>
      </c>
      <c r="U110" s="53" cm="1">
        <f t="array" aca="1" ref="U110" ca="1">MMS_Dairy_ManureAppliedToSoils_Equations.VEERG_4_3_1_8__2_MassOfNitrogenAppliedToSoilsScope3(U44, _xlfn.XLOOKUP($P110, $D$22:$D$26,$E$22:$E$26), _xlfn.XLOOKUP($P110,$D$31:$D$35,$E$31:$E$35),U56, $F68)</f>
        <v>63.084673659356305</v>
      </c>
      <c r="V110" s="2"/>
    </row>
    <row r="111" spans="4:22" ht="20.100000000000001" customHeight="1" x14ac:dyDescent="0.2">
      <c r="D111" s="53" t="str">
        <f>INDEX(X_Table_Dairy_ProductionSystems_Method1,4,1)</f>
        <v>Feed pad</v>
      </c>
      <c r="E111" s="53" t="str">
        <f>INDEX(X_Table_Dairy_Stage1MMS_2_SumpAndDispersal,2,1)</f>
        <v>Sump and dispersal system</v>
      </c>
      <c r="F111" s="53" cm="1">
        <f t="array" aca="1" ref="F111" ca="1">MMS_Dairy_ManureAppliedToSoils_Equations.VEERG_4_3_1_8__2_MassOfNitrogenAppliedToSoilsScope3(F45, _xlfn.XLOOKUP($E111, $D$22:$D$26,$E$22:$E$26), _xlfn.XLOOKUP($E111,$D$31:$D$35,$E$31:$E$35),F57, $F69)</f>
        <v>300.41451022968016</v>
      </c>
      <c r="G111" s="53" cm="1">
        <f t="array" aca="1" ref="G111" ca="1">MMS_Dairy_ManureAppliedToSoils_Equations.VEERG_4_3_1_8__2_MassOfNitrogenAppliedToSoilsScope3(G45, _xlfn.XLOOKUP($E111, $D$22:$D$26,$E$22:$E$26), _xlfn.XLOOKUP($E111,$D$31:$D$35,$E$31:$E$35),G57, $F69)</f>
        <v>137.21603276948386</v>
      </c>
      <c r="H111" s="53" cm="1">
        <f t="array" aca="1" ref="H111" ca="1">MMS_Dairy_ManureAppliedToSoils_Equations.VEERG_4_3_1_8__2_MassOfNitrogenAppliedToSoilsScope3(H45, _xlfn.XLOOKUP($E111, $D$22:$D$26,$E$22:$E$26), _xlfn.XLOOKUP($E111,$D$31:$D$35,$E$31:$E$35),H57, $F69)</f>
        <v>54.651694733913814</v>
      </c>
      <c r="I111" s="53" cm="1">
        <f t="array" aca="1" ref="I111" ca="1">MMS_Dairy_ManureAppliedToSoils_Equations.VEERG_4_3_1_8__2_MassOfNitrogenAppliedToSoilsScope3(I45, _xlfn.XLOOKUP($E111, $D$22:$D$26,$E$22:$E$26), _xlfn.XLOOKUP($E111,$D$31:$D$35,$E$31:$E$35),I57, $F69)</f>
        <v>172.48597994899006</v>
      </c>
      <c r="J111" s="53" cm="1">
        <f t="array" aca="1" ref="J111" ca="1">MMS_Dairy_ManureAppliedToSoils_Equations.VEERG_4_3_1_8__2_MassOfNitrogenAppliedToSoilsScope3(J45, _xlfn.XLOOKUP($E111, $D$22:$D$26,$E$22:$E$26), _xlfn.XLOOKUP($E111,$D$31:$D$35,$E$31:$E$35),J57, $F69)</f>
        <v>72.207688003940135</v>
      </c>
      <c r="K111" s="2"/>
      <c r="O111" s="53" t="str">
        <f>INDEX(X_Table_Dairy_ProductionSystems_Method1,4,1)</f>
        <v>Feed pad</v>
      </c>
      <c r="P111" s="53" t="str">
        <f>INDEX(X_Table_Dairy_Stage1MMS_2_SumpAndDispersal,2,1)</f>
        <v>Sump and dispersal system</v>
      </c>
      <c r="Q111" s="53" cm="1">
        <f t="array" aca="1" ref="Q111" ca="1">MMS_Dairy_ManureAppliedToSoils_Equations.VEERG_4_3_1_8__2_MassOfNitrogenAppliedToSoilsScope3(Q45, _xlfn.XLOOKUP($P111, $D$22:$D$26,$E$22:$E$26), _xlfn.XLOOKUP($P111,$D$31:$D$35,$E$31:$E$35),Q57, $F69)</f>
        <v>300.41451022968016</v>
      </c>
      <c r="R111" s="53" cm="1">
        <f t="array" aca="1" ref="R111" ca="1">MMS_Dairy_ManureAppliedToSoils_Equations.VEERG_4_3_1_8__2_MassOfNitrogenAppliedToSoilsScope3(R45, _xlfn.XLOOKUP($P111, $D$22:$D$26,$E$22:$E$26), _xlfn.XLOOKUP($P111,$D$31:$D$35,$E$31:$E$35),R57, $F69)</f>
        <v>137.21603276948386</v>
      </c>
      <c r="S111" s="53" cm="1">
        <f t="array" aca="1" ref="S111" ca="1">MMS_Dairy_ManureAppliedToSoils_Equations.VEERG_4_3_1_8__2_MassOfNitrogenAppliedToSoilsScope3(S45, _xlfn.XLOOKUP($P111, $D$22:$D$26,$E$22:$E$26), _xlfn.XLOOKUP($P111,$D$31:$D$35,$E$31:$E$35),S57, $F69)</f>
        <v>54.651694733913814</v>
      </c>
      <c r="T111" s="53" cm="1">
        <f t="array" aca="1" ref="T111" ca="1">MMS_Dairy_ManureAppliedToSoils_Equations.VEERG_4_3_1_8__2_MassOfNitrogenAppliedToSoilsScope3(T45, _xlfn.XLOOKUP($P111, $D$22:$D$26,$E$22:$E$26), _xlfn.XLOOKUP($P111,$D$31:$D$35,$E$31:$E$35),T57, $F69)</f>
        <v>172.48597994899006</v>
      </c>
      <c r="U111" s="53" cm="1">
        <f t="array" aca="1" ref="U111" ca="1">MMS_Dairy_ManureAppliedToSoils_Equations.VEERG_4_3_1_8__2_MassOfNitrogenAppliedToSoilsScope3(U45, _xlfn.XLOOKUP($P111, $D$22:$D$26,$E$22:$E$26), _xlfn.XLOOKUP($P111,$D$31:$D$35,$E$31:$E$35),U57, $F69)</f>
        <v>72.207688003940135</v>
      </c>
      <c r="V111" s="2"/>
    </row>
    <row r="112" spans="4:22" ht="20.100000000000001" customHeight="1" x14ac:dyDescent="0.2">
      <c r="D112" s="53" t="str">
        <f>INDEX(X_Table_Dairy_ProductionSystems_Method1,4,1)</f>
        <v>Feed pad</v>
      </c>
      <c r="E112" s="53" t="str">
        <f>INDEX(X_Table_Dairy_Stage1MMS_2_DrainsToPaddock,2,1)</f>
        <v>Drains to paddock</v>
      </c>
      <c r="F112" s="53" cm="1">
        <f t="array" aca="1" ref="F112" ca="1">MMS_Dairy_ManureAppliedToSoils_Equations.VEERG_4_3_1_8__2_MassOfNitrogenAppliedToSoilsScope3(F46, _xlfn.XLOOKUP($E112, $D$22:$D$26,$E$22:$E$26), _xlfn.XLOOKUP($E112,$D$31:$D$35,$E$31:$E$35),F58, $F70)</f>
        <v>258.42108406854209</v>
      </c>
      <c r="G112" s="53" cm="1">
        <f t="array" aca="1" ref="G112" ca="1">MMS_Dairy_ManureAppliedToSoils_Equations.VEERG_4_3_1_8__2_MassOfNitrogenAppliedToSoilsScope3(G46, _xlfn.XLOOKUP($E112, $D$22:$D$26,$E$22:$E$26), _xlfn.XLOOKUP($E112,$D$31:$D$35,$E$31:$E$35),G58, $F70)</f>
        <v>118.03529700600764</v>
      </c>
      <c r="H112" s="53" cm="1">
        <f t="array" aca="1" ref="H112" ca="1">MMS_Dairy_ManureAppliedToSoils_Equations.VEERG_4_3_1_8__2_MassOfNitrogenAppliedToSoilsScope3(H46, _xlfn.XLOOKUP($E112, $D$22:$D$26,$E$22:$E$26), _xlfn.XLOOKUP($E112,$D$31:$D$35,$E$31:$E$35),H58, $F70)</f>
        <v>47.012210523796831</v>
      </c>
      <c r="I112" s="53" cm="1">
        <f t="array" aca="1" ref="I112" ca="1">MMS_Dairy_ManureAppliedToSoils_Equations.VEERG_4_3_1_8__2_MassOfNitrogenAppliedToSoilsScope3(I46, _xlfn.XLOOKUP($E112, $D$22:$D$26,$E$22:$E$26), _xlfn.XLOOKUP($E112,$D$31:$D$35,$E$31:$E$35),I58, $F70)</f>
        <v>148.37503651526029</v>
      </c>
      <c r="J112" s="53" cm="1">
        <f t="array" aca="1" ref="J112" ca="1">MMS_Dairy_ManureAppliedToSoils_Equations.VEERG_4_3_1_8__2_MassOfNitrogenAppliedToSoilsScope3(J46, _xlfn.XLOOKUP($E112, $D$22:$D$26,$E$22:$E$26), _xlfn.XLOOKUP($E112,$D$31:$D$35,$E$31:$E$35),J58, $F70)</f>
        <v>62.114140218443133</v>
      </c>
      <c r="K112" s="2"/>
      <c r="O112" s="53" t="str">
        <f>INDEX(X_Table_Dairy_ProductionSystems_Method1,4,1)</f>
        <v>Feed pad</v>
      </c>
      <c r="P112" s="53" t="str">
        <f>INDEX(X_Table_Dairy_Stage1MMS_2_DrainsToPaddock,2,1)</f>
        <v>Drains to paddock</v>
      </c>
      <c r="Q112" s="53" cm="1">
        <f t="array" aca="1" ref="Q112" ca="1">MMS_Dairy_ManureAppliedToSoils_Equations.VEERG_4_3_1_8__2_MassOfNitrogenAppliedToSoilsScope3(Q46, _xlfn.XLOOKUP($P112, $D$22:$D$26,$E$22:$E$26), _xlfn.XLOOKUP($P112,$D$31:$D$35,$E$31:$E$35),Q58, $F70)</f>
        <v>258.42108406854209</v>
      </c>
      <c r="R112" s="53" cm="1">
        <f t="array" aca="1" ref="R112" ca="1">MMS_Dairy_ManureAppliedToSoils_Equations.VEERG_4_3_1_8__2_MassOfNitrogenAppliedToSoilsScope3(R46, _xlfn.XLOOKUP($P112, $D$22:$D$26,$E$22:$E$26), _xlfn.XLOOKUP($P112,$D$31:$D$35,$E$31:$E$35),R58, $F70)</f>
        <v>118.03529700600764</v>
      </c>
      <c r="S112" s="53" cm="1">
        <f t="array" aca="1" ref="S112" ca="1">MMS_Dairy_ManureAppliedToSoils_Equations.VEERG_4_3_1_8__2_MassOfNitrogenAppliedToSoilsScope3(S46, _xlfn.XLOOKUP($P112, $D$22:$D$26,$E$22:$E$26), _xlfn.XLOOKUP($P112,$D$31:$D$35,$E$31:$E$35),S58, $F70)</f>
        <v>47.012210523796831</v>
      </c>
      <c r="T112" s="53" cm="1">
        <f t="array" aca="1" ref="T112" ca="1">MMS_Dairy_ManureAppliedToSoils_Equations.VEERG_4_3_1_8__2_MassOfNitrogenAppliedToSoilsScope3(T46, _xlfn.XLOOKUP($P112, $D$22:$D$26,$E$22:$E$26), _xlfn.XLOOKUP($P112,$D$31:$D$35,$E$31:$E$35),T58, $F70)</f>
        <v>148.37503651526029</v>
      </c>
      <c r="U112" s="53" cm="1">
        <f t="array" aca="1" ref="U112" ca="1">MMS_Dairy_ManureAppliedToSoils_Equations.VEERG_4_3_1_8__2_MassOfNitrogenAppliedToSoilsScope3(U46, _xlfn.XLOOKUP($P112, $D$22:$D$26,$E$22:$E$26), _xlfn.XLOOKUP($P112,$D$31:$D$35,$E$31:$E$35),U58, $F70)</f>
        <v>62.114140218443133</v>
      </c>
      <c r="V112" s="2"/>
    </row>
    <row r="113" spans="3:23" ht="20.100000000000001" customHeight="1" x14ac:dyDescent="0.2">
      <c r="D113" s="53" t="str">
        <f>INDEX(X_Table_Dairy_ProductionSystems_Method1,4,1)</f>
        <v>Feed pad</v>
      </c>
      <c r="E113" s="53" t="s">
        <v>400</v>
      </c>
      <c r="F113" s="53" cm="1">
        <f t="array" aca="1" ref="F113" ca="1">MMS_Dairy_ManureAppliedToSoils_Equations.VEERG_4_3_1_8__2_MassOfNitrogenAppliedToSoilsScope3(F47, _xlfn.XLOOKUP($E113, $D$22:$D$26,$E$22:$E$26), _xlfn.XLOOKUP($E113,$D$31:$D$35,$E$31:$E$35),F59, $F71)</f>
        <v>381.57488194495664</v>
      </c>
      <c r="G113" s="53" cm="1">
        <f t="array" aca="1" ref="G113" ca="1">MMS_Dairy_ManureAppliedToSoils_Equations.VEERG_4_3_1_8__2_MassOfNitrogenAppliedToSoilsScope3(G47, _xlfn.XLOOKUP($E113, $D$22:$D$26,$E$22:$E$26), _xlfn.XLOOKUP($E113,$D$31:$D$35,$E$31:$E$35),G59, $F71)</f>
        <v>174.28649323543314</v>
      </c>
      <c r="H113" s="53" cm="1">
        <f t="array" aca="1" ref="H113" ca="1">MMS_Dairy_ManureAppliedToSoils_Equations.VEERG_4_3_1_8__2_MassOfNitrogenAppliedToSoilsScope3(H47, _xlfn.XLOOKUP($E113, $D$22:$D$26,$E$22:$E$26), _xlfn.XLOOKUP($E113,$D$31:$D$35,$E$31:$E$35),H59, $F71)</f>
        <v>69.416467101543759</v>
      </c>
      <c r="I113" s="53" cm="1">
        <f t="array" aca="1" ref="I113" ca="1">MMS_Dairy_ManureAppliedToSoils_Equations.VEERG_4_3_1_8__2_MassOfNitrogenAppliedToSoilsScope3(I47, _xlfn.XLOOKUP($E113, $D$22:$D$26,$E$22:$E$26), _xlfn.XLOOKUP($E113,$D$31:$D$35,$E$31:$E$35),I59, $F71)</f>
        <v>219.08501485456401</v>
      </c>
      <c r="J113" s="53" cm="1">
        <f t="array" aca="1" ref="J113" ca="1">MMS_Dairy_ManureAppliedToSoils_Equations.VEERG_4_3_1_8__2_MassOfNitrogenAppliedToSoilsScope3(J47, _xlfn.XLOOKUP($E113, $D$22:$D$26,$E$22:$E$26), _xlfn.XLOOKUP($E113,$D$31:$D$35,$E$31:$E$35),J59, $F71)</f>
        <v>91.715410166294944</v>
      </c>
      <c r="K113" s="2"/>
      <c r="O113" s="53" t="str">
        <f>INDEX(X_Table_Dairy_ProductionSystems_Method1,4,1)</f>
        <v>Feed pad</v>
      </c>
      <c r="P113" s="53" t="s">
        <v>400</v>
      </c>
      <c r="Q113" s="53" cm="1">
        <f t="array" aca="1" ref="Q113" ca="1">MMS_Dairy_ManureAppliedToSoils_Equations.VEERG_4_3_1_8__2_MassOfNitrogenAppliedToSoilsScope3(Q47, _xlfn.XLOOKUP($P113, $D$22:$D$26,$E$22:$E$26), _xlfn.XLOOKUP($P113,$D$31:$D$35,$E$31:$E$35),Q59, $F71)</f>
        <v>381.57488194495664</v>
      </c>
      <c r="R113" s="53" cm="1">
        <f t="array" aca="1" ref="R113" ca="1">MMS_Dairy_ManureAppliedToSoils_Equations.VEERG_4_3_1_8__2_MassOfNitrogenAppliedToSoilsScope3(R47, _xlfn.XLOOKUP($P113, $D$22:$D$26,$E$22:$E$26), _xlfn.XLOOKUP($P113,$D$31:$D$35,$E$31:$E$35),R59, $F71)</f>
        <v>174.28649323543314</v>
      </c>
      <c r="S113" s="53" cm="1">
        <f t="array" aca="1" ref="S113" ca="1">MMS_Dairy_ManureAppliedToSoils_Equations.VEERG_4_3_1_8__2_MassOfNitrogenAppliedToSoilsScope3(S47, _xlfn.XLOOKUP($P113, $D$22:$D$26,$E$22:$E$26), _xlfn.XLOOKUP($P113,$D$31:$D$35,$E$31:$E$35),S59, $F71)</f>
        <v>69.416467101543759</v>
      </c>
      <c r="T113" s="53" cm="1">
        <f t="array" aca="1" ref="T113" ca="1">MMS_Dairy_ManureAppliedToSoils_Equations.VEERG_4_3_1_8__2_MassOfNitrogenAppliedToSoilsScope3(T47, _xlfn.XLOOKUP($P113, $D$22:$D$26,$E$22:$E$26), _xlfn.XLOOKUP($P113,$D$31:$D$35,$E$31:$E$35),T59, $F71)</f>
        <v>219.08501485456401</v>
      </c>
      <c r="U113" s="53" cm="1">
        <f t="array" aca="1" ref="U113" ca="1">MMS_Dairy_ManureAppliedToSoils_Equations.VEERG_4_3_1_8__2_MassOfNitrogenAppliedToSoilsScope3(U47, _xlfn.XLOOKUP($P113, $D$22:$D$26,$E$22:$E$26), _xlfn.XLOOKUP($P113,$D$31:$D$35,$E$31:$E$35),U59, $F71)</f>
        <v>91.715410166294944</v>
      </c>
      <c r="V113" s="2"/>
    </row>
    <row r="115" spans="3:23" ht="20.100000000000001" customHeight="1" x14ac:dyDescent="0.2">
      <c r="D115" s="104" t="s">
        <v>343</v>
      </c>
      <c r="E115" s="105">
        <f ca="1">SUM(F106:J113)</f>
        <v>3864.1929695395502</v>
      </c>
      <c r="F115" s="106" t="str">
        <f>$E$11</f>
        <v>kg N</v>
      </c>
      <c r="O115" s="104" t="s">
        <v>343</v>
      </c>
      <c r="P115" s="105">
        <f ca="1">SUM(Q106:U113)</f>
        <v>3864.1929695395502</v>
      </c>
      <c r="Q115" s="106" t="str">
        <f>$E$11</f>
        <v>kg N</v>
      </c>
    </row>
    <row r="118" spans="3:23" ht="20.100000000000001" customHeight="1" x14ac:dyDescent="0.2">
      <c r="C118" s="46"/>
      <c r="D118" s="46"/>
      <c r="E118" s="46"/>
      <c r="F118" s="46"/>
      <c r="G118" s="46"/>
      <c r="H118" s="46"/>
      <c r="I118" s="46"/>
      <c r="J118" s="46"/>
      <c r="K118" s="46"/>
      <c r="L118" s="46"/>
      <c r="N118" s="46"/>
      <c r="O118" s="46"/>
      <c r="P118" s="46"/>
      <c r="Q118" s="46"/>
      <c r="R118" s="46"/>
      <c r="S118" s="46"/>
      <c r="T118" s="46"/>
      <c r="U118" s="46"/>
      <c r="V118" s="46"/>
      <c r="W118" s="46"/>
    </row>
    <row r="119" spans="3:23" ht="20.100000000000001" customHeight="1" x14ac:dyDescent="0.2">
      <c r="D119" s="111" t="str">
        <f>"Below are applications of " &amp; D6 &amp; " that are applied to the following contexts:"</f>
        <v>Below are applications of VEERG 2026: 4.3.1.8, Equation (1) that are applied to the following contexts:</v>
      </c>
      <c r="E119" s="91"/>
      <c r="F119" s="91"/>
      <c r="G119" s="91"/>
      <c r="H119" s="87"/>
    </row>
    <row r="120" spans="3:23" ht="20.100000000000001" customHeight="1" x14ac:dyDescent="0.2">
      <c r="D120" s="93" t="s">
        <v>388</v>
      </c>
      <c r="E120" s="90"/>
      <c r="F120" s="90"/>
      <c r="G120" s="90"/>
      <c r="H120" s="88"/>
    </row>
    <row r="122" spans="3:23" ht="20.100000000000001" customHeight="1" x14ac:dyDescent="0.2">
      <c r="D122" s="6" t="s">
        <v>387</v>
      </c>
    </row>
    <row r="124" spans="3:23" ht="20.100000000000001" customHeight="1" x14ac:dyDescent="0.2">
      <c r="D124" s="100" t="s">
        <v>128</v>
      </c>
    </row>
    <row r="125" spans="3:23" ht="20.100000000000001" customHeight="1" x14ac:dyDescent="0.2">
      <c r="D125" s="99" t="s">
        <v>129</v>
      </c>
    </row>
    <row r="126" spans="3:23" ht="20.100000000000001" customHeight="1" x14ac:dyDescent="0.2">
      <c r="D126" s="40" t="s">
        <v>142</v>
      </c>
      <c r="E126" s="40" t="s">
        <v>66</v>
      </c>
      <c r="F126" s="40" t="s">
        <v>427</v>
      </c>
    </row>
    <row r="127" spans="3:23" ht="20.100000000000001" customHeight="1" x14ac:dyDescent="0.2">
      <c r="D127" s="53" t="str">
        <f>INDEX(X_Table_Dairy_ProductionSystems_Method1,3,1)</f>
        <v>Milking shed</v>
      </c>
      <c r="E127" s="53" t="str">
        <f>INDEX(X_Table_Dairy_Stage1MMS_1_AnaerobicLagoon,2,1)</f>
        <v>Anaerobic lagoon</v>
      </c>
      <c r="F127" s="53">
        <f>INDEX(X_Table_Dairy_Stage1MMS_1_AnaerobicLagoon_Destinations,2,3)</f>
        <v>0.25</v>
      </c>
      <c r="G127" s="2" t="str">
        <f>G101</f>
        <v>fraction</v>
      </c>
    </row>
    <row r="128" spans="3:23" ht="20.100000000000001" customHeight="1" x14ac:dyDescent="0.2">
      <c r="D128" s="53" t="str">
        <f>INDEX(X_Table_Dairy_ProductionSystems_Method1,3,1)</f>
        <v>Milking shed</v>
      </c>
      <c r="E128" s="53" t="str">
        <f>INDEX(X_Table_Dairy_Stage1MMS_1_SumpAndDispersal,2,1)</f>
        <v>Sump and dispersal system</v>
      </c>
      <c r="F128" s="53">
        <f>INDEX(X_Table_Dairy_Stage1MMS_1_SumpAndDispersal_Destinations,2,3)</f>
        <v>0.25</v>
      </c>
      <c r="G128" s="2"/>
    </row>
    <row r="129" spans="4:22" ht="20.100000000000001" customHeight="1" x14ac:dyDescent="0.2">
      <c r="D129" s="53" t="str">
        <f>INDEX(X_Table_Dairy_ProductionSystems_Method1,3,1)</f>
        <v>Milking shed</v>
      </c>
      <c r="E129" s="53" t="str">
        <f>INDEX(X_Table_Dairy_Stage1MMS_1_DrainsToPaddock,2,1)</f>
        <v>Drains to paddock</v>
      </c>
      <c r="F129" s="53">
        <f>INDEX(X_Table_Dairy_Stage1MMS_1_DrainsToPaddock_Destinations,2,3)</f>
        <v>0.25</v>
      </c>
      <c r="G129" s="2"/>
    </row>
    <row r="130" spans="4:22" ht="20.100000000000001" customHeight="1" x14ac:dyDescent="0.2">
      <c r="D130" s="53" t="str">
        <f>INDEX(X_Table_Dairy_ProductionSystems_Method1,3,1)</f>
        <v>Milking shed</v>
      </c>
      <c r="E130" s="53" t="s">
        <v>400</v>
      </c>
      <c r="F130" s="53">
        <f>INDEX(X_Table_Dairy_Stage1MMS_1_SolidStorage_Destinations,2,3)</f>
        <v>0.25</v>
      </c>
      <c r="G130" s="2"/>
    </row>
    <row r="131" spans="4:22" ht="20.100000000000001" customHeight="1" x14ac:dyDescent="0.2">
      <c r="D131" s="53" t="str">
        <f>INDEX(X_Table_Dairy_ProductionSystems_Method1,4,1)</f>
        <v>Feed pad</v>
      </c>
      <c r="E131" s="53" t="str">
        <f>INDEX(X_Table_Dairy_Stage1MMS_2_AnaerobicLagoon,2,1)</f>
        <v>Anaerobic lagoon</v>
      </c>
      <c r="F131" s="53">
        <f>INDEX(X_Table_Dairy_Stage1MMS_2_AnaerobicLagoon_Destinations,2,3)</f>
        <v>0.25</v>
      </c>
      <c r="G131" s="2"/>
    </row>
    <row r="132" spans="4:22" ht="20.100000000000001" customHeight="1" x14ac:dyDescent="0.2">
      <c r="D132" s="53" t="str">
        <f>INDEX(X_Table_Dairy_ProductionSystems_Method1,4,1)</f>
        <v>Feed pad</v>
      </c>
      <c r="E132" s="53" t="str">
        <f>INDEX(X_Table_Dairy_Stage1MMS_2_SumpAndDispersal,2,1)</f>
        <v>Sump and dispersal system</v>
      </c>
      <c r="F132" s="53">
        <f>INDEX(X_Table_Dairy_Stage1MMS_2_SumpAndDispersal_Destinations,2,3)</f>
        <v>0.25</v>
      </c>
      <c r="G132" s="2"/>
    </row>
    <row r="133" spans="4:22" ht="20.100000000000001" customHeight="1" x14ac:dyDescent="0.2">
      <c r="D133" s="53" t="str">
        <f>INDEX(X_Table_Dairy_ProductionSystems_Method1,4,1)</f>
        <v>Feed pad</v>
      </c>
      <c r="E133" s="53" t="str">
        <f>INDEX(X_Table_Dairy_Stage1MMS_2_DrainsToPaddock,2,1)</f>
        <v>Drains to paddock</v>
      </c>
      <c r="F133" s="53">
        <f>INDEX(X_Table_Dairy_Stage1MMS_2_DrainsToPaddock_Destinations,2,3)</f>
        <v>0.25</v>
      </c>
      <c r="G133" s="2"/>
    </row>
    <row r="134" spans="4:22" ht="20.100000000000001" customHeight="1" x14ac:dyDescent="0.2">
      <c r="D134" s="53" t="str">
        <f>INDEX(X_Table_Dairy_ProductionSystems_Method1,4,1)</f>
        <v>Feed pad</v>
      </c>
      <c r="E134" s="53" t="s">
        <v>400</v>
      </c>
      <c r="F134" s="53">
        <f>INDEX(X_Table_Dairy_Stage1MMS_2_SolidStorage_Destinations,2,3)</f>
        <v>0.25</v>
      </c>
      <c r="G134" s="2"/>
    </row>
    <row r="136" spans="4:22" ht="20.100000000000001" customHeight="1" x14ac:dyDescent="0.2">
      <c r="D136" s="100" t="s">
        <v>130</v>
      </c>
      <c r="O136" s="100" t="s">
        <v>131</v>
      </c>
    </row>
    <row r="137" spans="4:22" ht="20.100000000000001" customHeight="1" x14ac:dyDescent="0.2">
      <c r="D137" s="99" t="s">
        <v>133</v>
      </c>
      <c r="O137" s="99" t="s">
        <v>132</v>
      </c>
    </row>
    <row r="138" spans="4:22" ht="20.100000000000001" customHeight="1" x14ac:dyDescent="0.2">
      <c r="D138" s="52" t="s">
        <v>142</v>
      </c>
      <c r="E138" s="52" t="s">
        <v>66</v>
      </c>
      <c r="F138" s="52" t="s">
        <v>167</v>
      </c>
      <c r="G138" s="52" t="s">
        <v>184</v>
      </c>
      <c r="H138" s="52" t="s">
        <v>185</v>
      </c>
      <c r="I138" s="52" t="s">
        <v>186</v>
      </c>
      <c r="J138" s="52" t="s">
        <v>187</v>
      </c>
      <c r="O138" s="52" t="s">
        <v>142</v>
      </c>
      <c r="P138" s="52" t="s">
        <v>66</v>
      </c>
      <c r="Q138" s="52" t="s">
        <v>167</v>
      </c>
      <c r="R138" s="52" t="s">
        <v>184</v>
      </c>
      <c r="S138" s="52" t="s">
        <v>185</v>
      </c>
      <c r="T138" s="52" t="s">
        <v>186</v>
      </c>
      <c r="U138" s="52" t="s">
        <v>187</v>
      </c>
    </row>
    <row r="139" spans="4:22" ht="20.100000000000001" customHeight="1" x14ac:dyDescent="0.2">
      <c r="D139" s="53" t="str">
        <f>INDEX(X_Table_Dairy_ProductionSystems_Method1,3,1)</f>
        <v>Milking shed</v>
      </c>
      <c r="E139" s="53" t="str">
        <f>INDEX(X_Table_Dairy_Stage1MMS_1_AnaerobicLagoon,2,1)</f>
        <v>Anaerobic lagoon</v>
      </c>
      <c r="F139" s="53" cm="1">
        <f t="array" ref="F139">MMS_Dairy_ManureAppliedToSoils_Equations.VEERG_4_3_1_8__1_MassOfNitrogenAppliedToSoilsScope1(F40,_xlfn.XLOOKUP($E139,$D$22:$D$26,$E$22:$E$26),_xlfn.XLOOKUP($E139,$D$31:$D$35,$E$31:$E$35),F52,$F127)</f>
        <v>64.877484237713347</v>
      </c>
      <c r="G139" s="53" cm="1">
        <f t="array" ref="G139">MMS_Dairy_ManureAppliedToSoils_Equations.VEERG_4_3_1_8__1_MassOfNitrogenAppliedToSoilsScope1(G40,_xlfn.XLOOKUP($E139,$D$22:$D$26,$E$22:$E$26),_xlfn.XLOOKUP($E139,$D$31:$D$35,$E$31:$E$35),G52,$F127)</f>
        <v>29.633159185145878</v>
      </c>
      <c r="H139" s="53" cm="1">
        <f t="array" ref="H139">MMS_Dairy_ManureAppliedToSoils_Equations.VEERG_4_3_1_8__1_MassOfNitrogenAppliedToSoilsScope1(H40,_xlfn.XLOOKUP($E139,$D$22:$D$26,$E$22:$E$26),_xlfn.XLOOKUP($E139,$D$31:$D$35,$E$31:$E$35),H52,$F127)</f>
        <v>11.802573920124557</v>
      </c>
      <c r="I139" s="53" cm="1">
        <f t="array" ref="I139">MMS_Dairy_ManureAppliedToSoils_Equations.VEERG_4_3_1_8__1_MassOfNitrogenAppliedToSoilsScope1(I40,_xlfn.XLOOKUP($E139,$D$22:$D$26,$E$22:$E$26),_xlfn.XLOOKUP($E139,$D$31:$D$35,$E$31:$E$35),I52,$F127)</f>
        <v>37.250053057728621</v>
      </c>
      <c r="J139" s="53" cm="1">
        <f t="array" ref="J139">MMS_Dairy_ManureAppliedToSoils_Equations.VEERG_4_3_1_8__1_MassOfNitrogenAppliedToSoilsScope1(J40,_xlfn.XLOOKUP($E139,$D$22:$D$26,$E$22:$E$26),_xlfn.XLOOKUP($E139,$D$31:$D$35,$E$31:$E$35),J52,$F127)</f>
        <v>15.593964275346504</v>
      </c>
      <c r="K139" s="2" t="str">
        <f t="shared" ref="K139:K146" si="4">$E$95</f>
        <v>kg N</v>
      </c>
      <c r="O139" s="53" t="str">
        <f>INDEX(X_Table_Dairy_ProductionSystems_Method1,3,1)</f>
        <v>Milking shed</v>
      </c>
      <c r="P139" s="53" t="str">
        <f>INDEX(X_Table_Dairy_Stage1MMS_1_AnaerobicLagoon,2,1)</f>
        <v>Anaerobic lagoon</v>
      </c>
      <c r="Q139" s="53" cm="1">
        <f t="array" ref="Q139">MMS_Dairy_ManureAppliedToSoils_Equations.VEERG_4_3_1_8__1_MassOfNitrogenAppliedToSoilsScope1(Q40,_xlfn.XLOOKUP($P139,$D$22:$D$26,$E$22:$E$26),_xlfn.XLOOKUP($P139,$D$31:$D$35,$E$31:$E$35),Q52,$F127)</f>
        <v>64.877484237713347</v>
      </c>
      <c r="R139" s="53" cm="1">
        <f t="array" ref="R139">MMS_Dairy_ManureAppliedToSoils_Equations.VEERG_4_3_1_8__1_MassOfNitrogenAppliedToSoilsScope1(R40,_xlfn.XLOOKUP($P139,$D$22:$D$26,$E$22:$E$26),_xlfn.XLOOKUP($P139,$D$31:$D$35,$E$31:$E$35),R52,$F127)</f>
        <v>29.633159185145878</v>
      </c>
      <c r="S139" s="53" cm="1">
        <f t="array" ref="S139">MMS_Dairy_ManureAppliedToSoils_Equations.VEERG_4_3_1_8__1_MassOfNitrogenAppliedToSoilsScope1(S40,_xlfn.XLOOKUP($P139,$D$22:$D$26,$E$22:$E$26),_xlfn.XLOOKUP($P139,$D$31:$D$35,$E$31:$E$35),S52,$F127)</f>
        <v>11.802573920124557</v>
      </c>
      <c r="T139" s="53" cm="1">
        <f t="array" ref="T139">MMS_Dairy_ManureAppliedToSoils_Equations.VEERG_4_3_1_8__1_MassOfNitrogenAppliedToSoilsScope1(T40,_xlfn.XLOOKUP($P139,$D$22:$D$26,$E$22:$E$26),_xlfn.XLOOKUP($P139,$D$31:$D$35,$E$31:$E$35),T52,$F127)</f>
        <v>37.250053057728621</v>
      </c>
      <c r="U139" s="53" cm="1">
        <f t="array" ref="U139">MMS_Dairy_ManureAppliedToSoils_Equations.VEERG_4_3_1_8__1_MassOfNitrogenAppliedToSoilsScope1(U40,_xlfn.XLOOKUP($P139,$D$22:$D$26,$E$22:$E$26),_xlfn.XLOOKUP($P139,$D$31:$D$35,$E$31:$E$35),U52,$F127)</f>
        <v>15.593964275346504</v>
      </c>
      <c r="V139" s="2" t="str">
        <f t="shared" ref="V139" si="5">$E$95</f>
        <v>kg N</v>
      </c>
    </row>
    <row r="140" spans="4:22" ht="20.100000000000001" customHeight="1" x14ac:dyDescent="0.2">
      <c r="D140" s="53" t="str">
        <f>INDEX(X_Table_Dairy_ProductionSystems_Method1,3,1)</f>
        <v>Milking shed</v>
      </c>
      <c r="E140" s="53" t="str">
        <f>INDEX(X_Table_Dairy_Stage1MMS_1_SumpAndDispersal,2,1)</f>
        <v>Sump and dispersal system</v>
      </c>
      <c r="F140" s="53" cm="1">
        <f t="array" ref="F140">MMS_Dairy_ManureAppliedToSoils_Equations.VEERG_4_3_1_8__1_MassOfNitrogenAppliedToSoilsScope1(F41,_xlfn.XLOOKUP($E140,$D$22:$D$26,$E$22:$E$26),_xlfn.XLOOKUP($E140,$D$31:$D$35,$E$31:$E$35),F53,$F128)</f>
        <v>92.824708217036019</v>
      </c>
      <c r="G140" s="53" cm="1">
        <f t="array" ref="G140">MMS_Dairy_ManureAppliedToSoils_Equations.VEERG_4_3_1_8__1_MassOfNitrogenAppliedToSoilsScope1(G41,_xlfn.XLOOKUP($E140,$D$22:$D$26,$E$22:$E$26),_xlfn.XLOOKUP($E140,$D$31:$D$35,$E$31:$E$35),G53,$F128)</f>
        <v>42.398212372593328</v>
      </c>
      <c r="H140" s="53" cm="1">
        <f t="array" ref="H140">MMS_Dairy_ManureAppliedToSoils_Equations.VEERG_4_3_1_8__1_MassOfNitrogenAppliedToSoilsScope1(H41,_xlfn.XLOOKUP($E140,$D$22:$D$26,$E$22:$E$26),_xlfn.XLOOKUP($E140,$D$31:$D$35,$E$31:$E$35),H53,$F128)</f>
        <v>16.886759608793596</v>
      </c>
      <c r="I140" s="53" cm="1">
        <f t="array" ref="I140">MMS_Dairy_ManureAppliedToSoils_Equations.VEERG_4_3_1_8__1_MassOfNitrogenAppliedToSoilsScope1(I41,_xlfn.XLOOKUP($E140,$D$22:$D$26,$E$22:$E$26),_xlfn.XLOOKUP($E140,$D$31:$D$35,$E$31:$E$35),I53,$F128)</f>
        <v>53.296229759519406</v>
      </c>
      <c r="J140" s="53" cm="1">
        <f t="array" ref="J140">MMS_Dairy_ManureAppliedToSoils_Equations.VEERG_4_3_1_8__1_MassOfNitrogenAppliedToSoilsScope1(J41,_xlfn.XLOOKUP($E140,$D$22:$D$26,$E$22:$E$26),_xlfn.XLOOKUP($E140,$D$31:$D$35,$E$31:$E$35),J53,$F128)</f>
        <v>22.311364270880382</v>
      </c>
      <c r="K140" s="2" t="str">
        <f t="shared" si="4"/>
        <v>kg N</v>
      </c>
      <c r="O140" s="53" t="str">
        <f>INDEX(X_Table_Dairy_ProductionSystems_Method1,3,1)</f>
        <v>Milking shed</v>
      </c>
      <c r="P140" s="53" t="str">
        <f>INDEX(X_Table_Dairy_Stage1MMS_1_SumpAndDispersal,2,1)</f>
        <v>Sump and dispersal system</v>
      </c>
      <c r="Q140" s="53" cm="1">
        <f t="array" ref="Q140">MMS_Dairy_ManureAppliedToSoils_Equations.VEERG_4_3_1_8__1_MassOfNitrogenAppliedToSoilsScope1(Q41,_xlfn.XLOOKUP($P140,$D$22:$D$26,$E$22:$E$26),_xlfn.XLOOKUP($P140,$D$31:$D$35,$E$31:$E$35),Q53,$F128)</f>
        <v>92.824708217036019</v>
      </c>
      <c r="R140" s="53" cm="1">
        <f t="array" ref="R140">MMS_Dairy_ManureAppliedToSoils_Equations.VEERG_4_3_1_8__1_MassOfNitrogenAppliedToSoilsScope1(R41,_xlfn.XLOOKUP($P140,$D$22:$D$26,$E$22:$E$26),_xlfn.XLOOKUP($P140,$D$31:$D$35,$E$31:$E$35),R53,$F128)</f>
        <v>42.398212372593328</v>
      </c>
      <c r="S140" s="53" cm="1">
        <f t="array" ref="S140">MMS_Dairy_ManureAppliedToSoils_Equations.VEERG_4_3_1_8__1_MassOfNitrogenAppliedToSoilsScope1(S41,_xlfn.XLOOKUP($P140,$D$22:$D$26,$E$22:$E$26),_xlfn.XLOOKUP($P140,$D$31:$D$35,$E$31:$E$35),S53,$F128)</f>
        <v>16.886759608793596</v>
      </c>
      <c r="T140" s="53" cm="1">
        <f t="array" ref="T140">MMS_Dairy_ManureAppliedToSoils_Equations.VEERG_4_3_1_8__1_MassOfNitrogenAppliedToSoilsScope1(T41,_xlfn.XLOOKUP($P140,$D$22:$D$26,$E$22:$E$26),_xlfn.XLOOKUP($P140,$D$31:$D$35,$E$31:$E$35),T53,$F128)</f>
        <v>53.296229759519406</v>
      </c>
      <c r="U140" s="53" cm="1">
        <f t="array" ref="U140">MMS_Dairy_ManureAppliedToSoils_Equations.VEERG_4_3_1_8__1_MassOfNitrogenAppliedToSoilsScope1(U41,_xlfn.XLOOKUP($P140,$D$22:$D$26,$E$22:$E$26),_xlfn.XLOOKUP($P140,$D$31:$D$35,$E$31:$E$35),U53,$F128)</f>
        <v>22.311364270880382</v>
      </c>
      <c r="V140" s="2"/>
    </row>
    <row r="141" spans="4:22" ht="20.100000000000001" customHeight="1" x14ac:dyDescent="0.2">
      <c r="D141" s="53" t="str">
        <f>INDEX(X_Table_Dairy_ProductionSystems_Method1,3,1)</f>
        <v>Milking shed</v>
      </c>
      <c r="E141" s="53" t="str">
        <f>INDEX(X_Table_Dairy_Stage1MMS_1_DrainsToPaddock,2,1)</f>
        <v>Drains to paddock</v>
      </c>
      <c r="F141" s="53" cm="1">
        <f t="array" ref="F141">MMS_Dairy_ManureAppliedToSoils_Equations.VEERG_4_3_1_8__1_MassOfNitrogenAppliedToSoilsScope1(F42,_xlfn.XLOOKUP($E141,$D$22:$D$26,$E$22:$E$26),_xlfn.XLOOKUP($E141,$D$31:$D$35,$E$31:$E$35),F54,$F129)</f>
        <v>79.849211369493361</v>
      </c>
      <c r="G141" s="53" cm="1">
        <f t="array" ref="G141">MMS_Dairy_ManureAppliedToSoils_Equations.VEERG_4_3_1_8__1_MassOfNitrogenAppliedToSoilsScope1(G42,_xlfn.XLOOKUP($E141,$D$22:$D$26,$E$22:$E$26),_xlfn.XLOOKUP($E141,$D$31:$D$35,$E$31:$E$35),G54,$F129)</f>
        <v>36.471580535564158</v>
      </c>
      <c r="H141" s="53" cm="1">
        <f t="array" ref="H141">MMS_Dairy_ManureAppliedToSoils_Equations.VEERG_4_3_1_8__1_MassOfNitrogenAppliedToSoilsScope1(H42,_xlfn.XLOOKUP($E141,$D$22:$D$26,$E$22:$E$26),_xlfn.XLOOKUP($E141,$D$31:$D$35,$E$31:$E$35),H54,$F129)</f>
        <v>14.526244824768686</v>
      </c>
      <c r="I141" s="53" cm="1">
        <f t="array" ref="I141">MMS_Dairy_ManureAppliedToSoils_Equations.VEERG_4_3_1_8__1_MassOfNitrogenAppliedToSoilsScope1(I42,_xlfn.XLOOKUP($E141,$D$22:$D$26,$E$22:$E$26),_xlfn.XLOOKUP($E141,$D$31:$D$35,$E$31:$E$35),I54,$F129)</f>
        <v>45.846219147973692</v>
      </c>
      <c r="J141" s="53" cm="1">
        <f t="array" ref="J141">MMS_Dairy_ManureAppliedToSoils_Equations.VEERG_4_3_1_8__1_MassOfNitrogenAppliedToSoilsScope1(J42,_xlfn.XLOOKUP($E141,$D$22:$D$26,$E$22:$E$26),_xlfn.XLOOKUP($E141,$D$31:$D$35,$E$31:$E$35),J54,$F129)</f>
        <v>19.192571415811084</v>
      </c>
      <c r="K141" s="2" t="str">
        <f t="shared" si="4"/>
        <v>kg N</v>
      </c>
      <c r="O141" s="53" t="str">
        <f>INDEX(X_Table_Dairy_ProductionSystems_Method1,3,1)</f>
        <v>Milking shed</v>
      </c>
      <c r="P141" s="53" t="str">
        <f>INDEX(X_Table_Dairy_Stage1MMS_1_DrainsToPaddock,2,1)</f>
        <v>Drains to paddock</v>
      </c>
      <c r="Q141" s="53" cm="1">
        <f t="array" ref="Q141">MMS_Dairy_ManureAppliedToSoils_Equations.VEERG_4_3_1_8__1_MassOfNitrogenAppliedToSoilsScope1(Q42,_xlfn.XLOOKUP($P141,$D$22:$D$26,$E$22:$E$26),_xlfn.XLOOKUP($P141,$D$31:$D$35,$E$31:$E$35),Q54,$F129)</f>
        <v>79.849211369493361</v>
      </c>
      <c r="R141" s="53" cm="1">
        <f t="array" ref="R141">MMS_Dairy_ManureAppliedToSoils_Equations.VEERG_4_3_1_8__1_MassOfNitrogenAppliedToSoilsScope1(R42,_xlfn.XLOOKUP($P141,$D$22:$D$26,$E$22:$E$26),_xlfn.XLOOKUP($P141,$D$31:$D$35,$E$31:$E$35),R54,$F129)</f>
        <v>36.471580535564158</v>
      </c>
      <c r="S141" s="53" cm="1">
        <f t="array" ref="S141">MMS_Dairy_ManureAppliedToSoils_Equations.VEERG_4_3_1_8__1_MassOfNitrogenAppliedToSoilsScope1(S42,_xlfn.XLOOKUP($P141,$D$22:$D$26,$E$22:$E$26),_xlfn.XLOOKUP($P141,$D$31:$D$35,$E$31:$E$35),S54,$F129)</f>
        <v>14.526244824768686</v>
      </c>
      <c r="T141" s="53" cm="1">
        <f t="array" ref="T141">MMS_Dairy_ManureAppliedToSoils_Equations.VEERG_4_3_1_8__1_MassOfNitrogenAppliedToSoilsScope1(T42,_xlfn.XLOOKUP($P141,$D$22:$D$26,$E$22:$E$26),_xlfn.XLOOKUP($P141,$D$31:$D$35,$E$31:$E$35),T54,$F129)</f>
        <v>45.846219147973692</v>
      </c>
      <c r="U141" s="53" cm="1">
        <f t="array" ref="U141">MMS_Dairy_ManureAppliedToSoils_Equations.VEERG_4_3_1_8__1_MassOfNitrogenAppliedToSoilsScope1(U42,_xlfn.XLOOKUP($P141,$D$22:$D$26,$E$22:$E$26),_xlfn.XLOOKUP($P141,$D$31:$D$35,$E$31:$E$35),U54,$F129)</f>
        <v>19.192571415811084</v>
      </c>
      <c r="V141" s="2"/>
    </row>
    <row r="142" spans="4:22" ht="20.100000000000001" customHeight="1" x14ac:dyDescent="0.2">
      <c r="D142" s="53" t="str">
        <f>INDEX(X_Table_Dairy_ProductionSystems_Method1,3,1)</f>
        <v>Milking shed</v>
      </c>
      <c r="E142" s="53" t="s">
        <v>400</v>
      </c>
      <c r="F142" s="53" cm="1">
        <f t="array" ref="F142">MMS_Dairy_ManureAppliedToSoils_Equations.VEERG_4_3_1_8__1_MassOfNitrogenAppliedToSoilsScope1(F43,_xlfn.XLOOKUP($E142,$D$22:$D$26,$E$22:$E$26),_xlfn.XLOOKUP($E142,$D$31:$D$35,$E$31:$E$35),F55,$F130)</f>
        <v>134.74554418602003</v>
      </c>
      <c r="G142" s="53" cm="1">
        <f t="array" ref="G142">MMS_Dairy_ManureAppliedToSoils_Equations.VEERG_4_3_1_8__1_MassOfNitrogenAppliedToSoilsScope1(G43,_xlfn.XLOOKUP($E142,$D$22:$D$26,$E$22:$E$26),_xlfn.XLOOKUP($E142,$D$31:$D$35,$E$31:$E$35),G55,$F130)</f>
        <v>61.545792153764516</v>
      </c>
      <c r="H142" s="53" cm="1">
        <f t="array" ref="H142">MMS_Dairy_ManureAppliedToSoils_Equations.VEERG_4_3_1_8__1_MassOfNitrogenAppliedToSoilsScope1(H43,_xlfn.XLOOKUP($E142,$D$22:$D$26,$E$22:$E$26),_xlfn.XLOOKUP($E142,$D$31:$D$35,$E$31:$E$35),H55,$F130)</f>
        <v>24.51303814179715</v>
      </c>
      <c r="I142" s="53" cm="1">
        <f t="array" ref="I142">MMS_Dairy_ManureAppliedToSoils_Equations.VEERG_4_3_1_8__1_MassOfNitrogenAppliedToSoilsScope1(I43,_xlfn.XLOOKUP($E142,$D$22:$D$26,$E$22:$E$26),_xlfn.XLOOKUP($E142,$D$31:$D$35,$E$31:$E$35),I55,$F130)</f>
        <v>77.365494812205597</v>
      </c>
      <c r="J142" s="53" cm="1">
        <f t="array" ref="J142">MMS_Dairy_ManureAppliedToSoils_Equations.VEERG_4_3_1_8__1_MassOfNitrogenAppliedToSoilsScope1(J43,_xlfn.XLOOKUP($E142,$D$22:$D$26,$E$22:$E$26),_xlfn.XLOOKUP($E142,$D$31:$D$35,$E$31:$E$35),J55,$F130)</f>
        <v>32.387464264181197</v>
      </c>
      <c r="K142" s="2" t="str">
        <f t="shared" si="4"/>
        <v>kg N</v>
      </c>
      <c r="O142" s="53" t="str">
        <f>INDEX(X_Table_Dairy_ProductionSystems_Method1,3,1)</f>
        <v>Milking shed</v>
      </c>
      <c r="P142" s="53" t="s">
        <v>400</v>
      </c>
      <c r="Q142" s="53" cm="1">
        <f t="array" ref="Q142">MMS_Dairy_ManureAppliedToSoils_Equations.VEERG_4_3_1_8__1_MassOfNitrogenAppliedToSoilsScope1(Q43,_xlfn.XLOOKUP($P142,$D$22:$D$26,$E$22:$E$26),_xlfn.XLOOKUP($P142,$D$31:$D$35,$E$31:$E$35),Q55,$F130)</f>
        <v>134.74554418602003</v>
      </c>
      <c r="R142" s="53" cm="1">
        <f t="array" ref="R142">MMS_Dairy_ManureAppliedToSoils_Equations.VEERG_4_3_1_8__1_MassOfNitrogenAppliedToSoilsScope1(R43,_xlfn.XLOOKUP($P142,$D$22:$D$26,$E$22:$E$26),_xlfn.XLOOKUP($P142,$D$31:$D$35,$E$31:$E$35),R55,$F130)</f>
        <v>61.545792153764516</v>
      </c>
      <c r="S142" s="53" cm="1">
        <f t="array" ref="S142">MMS_Dairy_ManureAppliedToSoils_Equations.VEERG_4_3_1_8__1_MassOfNitrogenAppliedToSoilsScope1(S43,_xlfn.XLOOKUP($P142,$D$22:$D$26,$E$22:$E$26),_xlfn.XLOOKUP($P142,$D$31:$D$35,$E$31:$E$35),S55,$F130)</f>
        <v>24.51303814179715</v>
      </c>
      <c r="T142" s="53" cm="1">
        <f t="array" ref="T142">MMS_Dairy_ManureAppliedToSoils_Equations.VEERG_4_3_1_8__1_MassOfNitrogenAppliedToSoilsScope1(T43,_xlfn.XLOOKUP($P142,$D$22:$D$26,$E$22:$E$26),_xlfn.XLOOKUP($P142,$D$31:$D$35,$E$31:$E$35),T55,$F130)</f>
        <v>77.365494812205597</v>
      </c>
      <c r="U142" s="53" cm="1">
        <f t="array" ref="U142">MMS_Dairy_ManureAppliedToSoils_Equations.VEERG_4_3_1_8__1_MassOfNitrogenAppliedToSoilsScope1(U43,_xlfn.XLOOKUP($P142,$D$22:$D$26,$E$22:$E$26),_xlfn.XLOOKUP($P142,$D$31:$D$35,$E$31:$E$35),U55,$F130)</f>
        <v>32.387464264181197</v>
      </c>
      <c r="V142" s="2"/>
    </row>
    <row r="143" spans="4:22" ht="20.100000000000001" customHeight="1" x14ac:dyDescent="0.2">
      <c r="D143" s="53" t="str">
        <f>INDEX(X_Table_Dairy_ProductionSystems_Method1,4,1)</f>
        <v>Feed pad</v>
      </c>
      <c r="E143" s="53" t="str">
        <f>INDEX(X_Table_Dairy_Stage1MMS_2_AnaerobicLagoon,2,1)</f>
        <v>Anaerobic lagoon</v>
      </c>
      <c r="F143" s="53" cm="1">
        <f t="array" ref="F143">MMS_Dairy_ManureAppliedToSoils_Equations.VEERG_4_3_1_8__1_MassOfNitrogenAppliedToSoilsScope1(F44,_xlfn.XLOOKUP($E143,$D$22:$D$26,$E$22:$E$26),_xlfn.XLOOKUP($E143,$D$31:$D$35,$E$31:$E$35),F56,$F131)</f>
        <v>262.45891350711304</v>
      </c>
      <c r="G143" s="53" cm="1">
        <f t="array" ref="G143">MMS_Dairy_ManureAppliedToSoils_Equations.VEERG_4_3_1_8__1_MassOfNitrogenAppliedToSoilsScope1(G44,_xlfn.XLOOKUP($E143,$D$22:$D$26,$E$22:$E$26),_xlfn.XLOOKUP($E143,$D$31:$D$35,$E$31:$E$35),G56,$F131)</f>
        <v>119.87959852172649</v>
      </c>
      <c r="H143" s="53" cm="1">
        <f t="array" ref="H143">MMS_Dairy_ManureAppliedToSoils_Equations.VEERG_4_3_1_8__1_MassOfNitrogenAppliedToSoilsScope1(H44,_xlfn.XLOOKUP($E143,$D$22:$D$26,$E$22:$E$26),_xlfn.XLOOKUP($E143,$D$31:$D$35,$E$31:$E$35),H56,$F131)</f>
        <v>47.746776313231159</v>
      </c>
      <c r="I143" s="53" cm="1">
        <f t="array" ref="I143">MMS_Dairy_ManureAppliedToSoils_Equations.VEERG_4_3_1_8__1_MassOfNitrogenAppliedToSoilsScope1(I44,_xlfn.XLOOKUP($E143,$D$22:$D$26,$E$22:$E$26),_xlfn.XLOOKUP($E143,$D$31:$D$35,$E$31:$E$35),I56,$F131)</f>
        <v>150.69339646081124</v>
      </c>
      <c r="J143" s="53" cm="1">
        <f t="array" ref="J143">MMS_Dairy_ManureAppliedToSoils_Equations.VEERG_4_3_1_8__1_MassOfNitrogenAppliedToSoilsScope1(J44,_xlfn.XLOOKUP($E143,$D$22:$D$26,$E$22:$E$26),_xlfn.XLOOKUP($E143,$D$31:$D$35,$E$31:$E$35),J56,$F131)</f>
        <v>63.084673659356305</v>
      </c>
      <c r="K143" s="2" t="str">
        <f t="shared" si="4"/>
        <v>kg N</v>
      </c>
      <c r="O143" s="53" t="str">
        <f>INDEX(X_Table_Dairy_ProductionSystems_Method1,4,1)</f>
        <v>Feed pad</v>
      </c>
      <c r="P143" s="53" t="str">
        <f>INDEX(X_Table_Dairy_Stage1MMS_2_AnaerobicLagoon,2,1)</f>
        <v>Anaerobic lagoon</v>
      </c>
      <c r="Q143" s="53" cm="1">
        <f t="array" ref="Q143">MMS_Dairy_ManureAppliedToSoils_Equations.VEERG_4_3_1_8__1_MassOfNitrogenAppliedToSoilsScope1(Q44,_xlfn.XLOOKUP($P143,$D$22:$D$26,$E$22:$E$26),_xlfn.XLOOKUP($P143,$D$31:$D$35,$E$31:$E$35),Q56,$F131)</f>
        <v>262.45891350711304</v>
      </c>
      <c r="R143" s="53" cm="1">
        <f t="array" ref="R143">MMS_Dairy_ManureAppliedToSoils_Equations.VEERG_4_3_1_8__1_MassOfNitrogenAppliedToSoilsScope1(R44,_xlfn.XLOOKUP($P143,$D$22:$D$26,$E$22:$E$26),_xlfn.XLOOKUP($P143,$D$31:$D$35,$E$31:$E$35),R56,$F131)</f>
        <v>119.87959852172649</v>
      </c>
      <c r="S143" s="53" cm="1">
        <f t="array" ref="S143">MMS_Dairy_ManureAppliedToSoils_Equations.VEERG_4_3_1_8__1_MassOfNitrogenAppliedToSoilsScope1(S44,_xlfn.XLOOKUP($P143,$D$22:$D$26,$E$22:$E$26),_xlfn.XLOOKUP($P143,$D$31:$D$35,$E$31:$E$35),S56,$F131)</f>
        <v>47.746776313231159</v>
      </c>
      <c r="T143" s="53" cm="1">
        <f t="array" ref="T143">MMS_Dairy_ManureAppliedToSoils_Equations.VEERG_4_3_1_8__1_MassOfNitrogenAppliedToSoilsScope1(T44,_xlfn.XLOOKUP($P143,$D$22:$D$26,$E$22:$E$26),_xlfn.XLOOKUP($P143,$D$31:$D$35,$E$31:$E$35),T56,$F131)</f>
        <v>150.69339646081124</v>
      </c>
      <c r="U143" s="53" cm="1">
        <f t="array" ref="U143">MMS_Dairy_ManureAppliedToSoils_Equations.VEERG_4_3_1_8__1_MassOfNitrogenAppliedToSoilsScope1(U44,_xlfn.XLOOKUP($P143,$D$22:$D$26,$E$22:$E$26),_xlfn.XLOOKUP($P143,$D$31:$D$35,$E$31:$E$35),U56,$F131)</f>
        <v>63.084673659356305</v>
      </c>
      <c r="V143" s="2"/>
    </row>
    <row r="144" spans="4:22" ht="20.100000000000001" customHeight="1" x14ac:dyDescent="0.2">
      <c r="D144" s="53" t="str">
        <f>INDEX(X_Table_Dairy_ProductionSystems_Method1,4,1)</f>
        <v>Feed pad</v>
      </c>
      <c r="E144" s="53" t="str">
        <f>INDEX(X_Table_Dairy_Stage1MMS_2_SumpAndDispersal,2,1)</f>
        <v>Sump and dispersal system</v>
      </c>
      <c r="F144" s="53" cm="1">
        <f t="array" ref="F144">MMS_Dairy_ManureAppliedToSoils_Equations.VEERG_4_3_1_8__1_MassOfNitrogenAppliedToSoilsScope1(F45,_xlfn.XLOOKUP($E144,$D$22:$D$26,$E$22:$E$26),_xlfn.XLOOKUP($E144,$D$31:$D$35,$E$31:$E$35),F57,$F132)</f>
        <v>300.41451022968016</v>
      </c>
      <c r="G144" s="53" cm="1">
        <f t="array" ref="G144">MMS_Dairy_ManureAppliedToSoils_Equations.VEERG_4_3_1_8__1_MassOfNitrogenAppliedToSoilsScope1(G45,_xlfn.XLOOKUP($E144,$D$22:$D$26,$E$22:$E$26),_xlfn.XLOOKUP($E144,$D$31:$D$35,$E$31:$E$35),G57,$F132)</f>
        <v>137.21603276948386</v>
      </c>
      <c r="H144" s="53" cm="1">
        <f t="array" ref="H144">MMS_Dairy_ManureAppliedToSoils_Equations.VEERG_4_3_1_8__1_MassOfNitrogenAppliedToSoilsScope1(H45,_xlfn.XLOOKUP($E144,$D$22:$D$26,$E$22:$E$26),_xlfn.XLOOKUP($E144,$D$31:$D$35,$E$31:$E$35),H57,$F132)</f>
        <v>54.651694733913814</v>
      </c>
      <c r="I144" s="53" cm="1">
        <f t="array" ref="I144">MMS_Dairy_ManureAppliedToSoils_Equations.VEERG_4_3_1_8__1_MassOfNitrogenAppliedToSoilsScope1(I45,_xlfn.XLOOKUP($E144,$D$22:$D$26,$E$22:$E$26),_xlfn.XLOOKUP($E144,$D$31:$D$35,$E$31:$E$35),I57,$F132)</f>
        <v>172.48597994899006</v>
      </c>
      <c r="J144" s="53" cm="1">
        <f t="array" ref="J144">MMS_Dairy_ManureAppliedToSoils_Equations.VEERG_4_3_1_8__1_MassOfNitrogenAppliedToSoilsScope1(J45,_xlfn.XLOOKUP($E144,$D$22:$D$26,$E$22:$E$26),_xlfn.XLOOKUP($E144,$D$31:$D$35,$E$31:$E$35),J57,$F132)</f>
        <v>72.207688003940135</v>
      </c>
      <c r="K144" s="2" t="str">
        <f t="shared" si="4"/>
        <v>kg N</v>
      </c>
      <c r="O144" s="53" t="str">
        <f>INDEX(X_Table_Dairy_ProductionSystems_Method1,4,1)</f>
        <v>Feed pad</v>
      </c>
      <c r="P144" s="53" t="str">
        <f>INDEX(X_Table_Dairy_Stage1MMS_2_SumpAndDispersal,2,1)</f>
        <v>Sump and dispersal system</v>
      </c>
      <c r="Q144" s="53" cm="1">
        <f t="array" ref="Q144">MMS_Dairy_ManureAppliedToSoils_Equations.VEERG_4_3_1_8__1_MassOfNitrogenAppliedToSoilsScope1(Q45,_xlfn.XLOOKUP($P144,$D$22:$D$26,$E$22:$E$26),_xlfn.XLOOKUP($P144,$D$31:$D$35,$E$31:$E$35),Q57,$F132)</f>
        <v>300.41451022968016</v>
      </c>
      <c r="R144" s="53" cm="1">
        <f t="array" ref="R144">MMS_Dairy_ManureAppliedToSoils_Equations.VEERG_4_3_1_8__1_MassOfNitrogenAppliedToSoilsScope1(R45,_xlfn.XLOOKUP($P144,$D$22:$D$26,$E$22:$E$26),_xlfn.XLOOKUP($P144,$D$31:$D$35,$E$31:$E$35),R57,$F132)</f>
        <v>137.21603276948386</v>
      </c>
      <c r="S144" s="53" cm="1">
        <f t="array" ref="S144">MMS_Dairy_ManureAppliedToSoils_Equations.VEERG_4_3_1_8__1_MassOfNitrogenAppliedToSoilsScope1(S45,_xlfn.XLOOKUP($P144,$D$22:$D$26,$E$22:$E$26),_xlfn.XLOOKUP($P144,$D$31:$D$35,$E$31:$E$35),S57,$F132)</f>
        <v>54.651694733913814</v>
      </c>
      <c r="T144" s="53" cm="1">
        <f t="array" ref="T144">MMS_Dairy_ManureAppliedToSoils_Equations.VEERG_4_3_1_8__1_MassOfNitrogenAppliedToSoilsScope1(T45,_xlfn.XLOOKUP($P144,$D$22:$D$26,$E$22:$E$26),_xlfn.XLOOKUP($P144,$D$31:$D$35,$E$31:$E$35),T57,$F132)</f>
        <v>172.48597994899006</v>
      </c>
      <c r="U144" s="53" cm="1">
        <f t="array" ref="U144">MMS_Dairy_ManureAppliedToSoils_Equations.VEERG_4_3_1_8__1_MassOfNitrogenAppliedToSoilsScope1(U45,_xlfn.XLOOKUP($P144,$D$22:$D$26,$E$22:$E$26),_xlfn.XLOOKUP($P144,$D$31:$D$35,$E$31:$E$35),U57,$F132)</f>
        <v>72.207688003940135</v>
      </c>
      <c r="V144" s="2"/>
    </row>
    <row r="145" spans="4:22" ht="20.100000000000001" customHeight="1" x14ac:dyDescent="0.2">
      <c r="D145" s="53" t="str">
        <f>INDEX(X_Table_Dairy_ProductionSystems_Method1,4,1)</f>
        <v>Feed pad</v>
      </c>
      <c r="E145" s="53" t="str">
        <f>INDEX(X_Table_Dairy_Stage1MMS_2_DrainsToPaddock,2,1)</f>
        <v>Drains to paddock</v>
      </c>
      <c r="F145" s="53" cm="1">
        <f t="array" ref="F145">MMS_Dairy_ManureAppliedToSoils_Equations.VEERG_4_3_1_8__1_MassOfNitrogenAppliedToSoilsScope1(F46,_xlfn.XLOOKUP($E145,$D$22:$D$26,$E$22:$E$26),_xlfn.XLOOKUP($E145,$D$31:$D$35,$E$31:$E$35),F58,$F133)</f>
        <v>258.42108406854209</v>
      </c>
      <c r="G145" s="53" cm="1">
        <f t="array" ref="G145">MMS_Dairy_ManureAppliedToSoils_Equations.VEERG_4_3_1_8__1_MassOfNitrogenAppliedToSoilsScope1(G46,_xlfn.XLOOKUP($E145,$D$22:$D$26,$E$22:$E$26),_xlfn.XLOOKUP($E145,$D$31:$D$35,$E$31:$E$35),G58,$F133)</f>
        <v>118.03529700600764</v>
      </c>
      <c r="H145" s="53" cm="1">
        <f t="array" ref="H145">MMS_Dairy_ManureAppliedToSoils_Equations.VEERG_4_3_1_8__1_MassOfNitrogenAppliedToSoilsScope1(H46,_xlfn.XLOOKUP($E145,$D$22:$D$26,$E$22:$E$26),_xlfn.XLOOKUP($E145,$D$31:$D$35,$E$31:$E$35),H58,$F133)</f>
        <v>47.012210523796831</v>
      </c>
      <c r="I145" s="53" cm="1">
        <f t="array" ref="I145">MMS_Dairy_ManureAppliedToSoils_Equations.VEERG_4_3_1_8__1_MassOfNitrogenAppliedToSoilsScope1(I46,_xlfn.XLOOKUP($E145,$D$22:$D$26,$E$22:$E$26),_xlfn.XLOOKUP($E145,$D$31:$D$35,$E$31:$E$35),I58,$F133)</f>
        <v>148.37503651526029</v>
      </c>
      <c r="J145" s="53" cm="1">
        <f t="array" ref="J145">MMS_Dairy_ManureAppliedToSoils_Equations.VEERG_4_3_1_8__1_MassOfNitrogenAppliedToSoilsScope1(J46,_xlfn.XLOOKUP($E145,$D$22:$D$26,$E$22:$E$26),_xlfn.XLOOKUP($E145,$D$31:$D$35,$E$31:$E$35),J58,$F133)</f>
        <v>62.114140218443133</v>
      </c>
      <c r="K145" s="2" t="str">
        <f t="shared" si="4"/>
        <v>kg N</v>
      </c>
      <c r="O145" s="53" t="str">
        <f>INDEX(X_Table_Dairy_ProductionSystems_Method1,4,1)</f>
        <v>Feed pad</v>
      </c>
      <c r="P145" s="53" t="str">
        <f>INDEX(X_Table_Dairy_Stage1MMS_2_DrainsToPaddock,2,1)</f>
        <v>Drains to paddock</v>
      </c>
      <c r="Q145" s="53" cm="1">
        <f t="array" ref="Q145">MMS_Dairy_ManureAppliedToSoils_Equations.VEERG_4_3_1_8__1_MassOfNitrogenAppliedToSoilsScope1(Q46,_xlfn.XLOOKUP($P145,$D$22:$D$26,$E$22:$E$26),_xlfn.XLOOKUP($P145,$D$31:$D$35,$E$31:$E$35),Q58,$F133)</f>
        <v>258.42108406854209</v>
      </c>
      <c r="R145" s="53" cm="1">
        <f t="array" ref="R145">MMS_Dairy_ManureAppliedToSoils_Equations.VEERG_4_3_1_8__1_MassOfNitrogenAppliedToSoilsScope1(R46,_xlfn.XLOOKUP($P145,$D$22:$D$26,$E$22:$E$26),_xlfn.XLOOKUP($P145,$D$31:$D$35,$E$31:$E$35),R58,$F133)</f>
        <v>118.03529700600764</v>
      </c>
      <c r="S145" s="53" cm="1">
        <f t="array" ref="S145">MMS_Dairy_ManureAppliedToSoils_Equations.VEERG_4_3_1_8__1_MassOfNitrogenAppliedToSoilsScope1(S46,_xlfn.XLOOKUP($P145,$D$22:$D$26,$E$22:$E$26),_xlfn.XLOOKUP($P145,$D$31:$D$35,$E$31:$E$35),S58,$F133)</f>
        <v>47.012210523796831</v>
      </c>
      <c r="T145" s="53" cm="1">
        <f t="array" ref="T145">MMS_Dairy_ManureAppliedToSoils_Equations.VEERG_4_3_1_8__1_MassOfNitrogenAppliedToSoilsScope1(T46,_xlfn.XLOOKUP($P145,$D$22:$D$26,$E$22:$E$26),_xlfn.XLOOKUP($P145,$D$31:$D$35,$E$31:$E$35),T58,$F133)</f>
        <v>148.37503651526029</v>
      </c>
      <c r="U145" s="53" cm="1">
        <f t="array" ref="U145">MMS_Dairy_ManureAppliedToSoils_Equations.VEERG_4_3_1_8__1_MassOfNitrogenAppliedToSoilsScope1(U46,_xlfn.XLOOKUP($P145,$D$22:$D$26,$E$22:$E$26),_xlfn.XLOOKUP($P145,$D$31:$D$35,$E$31:$E$35),U58,$F133)</f>
        <v>62.114140218443133</v>
      </c>
      <c r="V145" s="2"/>
    </row>
    <row r="146" spans="4:22" ht="20.100000000000001" customHeight="1" x14ac:dyDescent="0.2">
      <c r="D146" s="53" t="str">
        <f>INDEX(X_Table_Dairy_ProductionSystems_Method1,4,1)</f>
        <v>Feed pad</v>
      </c>
      <c r="E146" s="53" t="s">
        <v>400</v>
      </c>
      <c r="F146" s="53" cm="1">
        <f t="array" ref="F146">MMS_Dairy_ManureAppliedToSoils_Equations.VEERG_4_3_1_8__1_MassOfNitrogenAppliedToSoilsScope1(F47,_xlfn.XLOOKUP($E146,$D$22:$D$26,$E$22:$E$26),_xlfn.XLOOKUP($E146,$D$31:$D$35,$E$31:$E$35),F59,$F134)</f>
        <v>381.57488194495664</v>
      </c>
      <c r="G146" s="53" cm="1">
        <f t="array" ref="G146">MMS_Dairy_ManureAppliedToSoils_Equations.VEERG_4_3_1_8__1_MassOfNitrogenAppliedToSoilsScope1(G47,_xlfn.XLOOKUP($E146,$D$22:$D$26,$E$22:$E$26),_xlfn.XLOOKUP($E146,$D$31:$D$35,$E$31:$E$35),G59,$F134)</f>
        <v>174.28649323543314</v>
      </c>
      <c r="H146" s="53" cm="1">
        <f t="array" ref="H146">MMS_Dairy_ManureAppliedToSoils_Equations.VEERG_4_3_1_8__1_MassOfNitrogenAppliedToSoilsScope1(H47,_xlfn.XLOOKUP($E146,$D$22:$D$26,$E$22:$E$26),_xlfn.XLOOKUP($E146,$D$31:$D$35,$E$31:$E$35),H59,$F134)</f>
        <v>69.416467101543759</v>
      </c>
      <c r="I146" s="53" cm="1">
        <f t="array" ref="I146">MMS_Dairy_ManureAppliedToSoils_Equations.VEERG_4_3_1_8__1_MassOfNitrogenAppliedToSoilsScope1(I47,_xlfn.XLOOKUP($E146,$D$22:$D$26,$E$22:$E$26),_xlfn.XLOOKUP($E146,$D$31:$D$35,$E$31:$E$35),I59,$F134)</f>
        <v>219.08501485456401</v>
      </c>
      <c r="J146" s="53" cm="1">
        <f t="array" ref="J146">MMS_Dairy_ManureAppliedToSoils_Equations.VEERG_4_3_1_8__1_MassOfNitrogenAppliedToSoilsScope1(J47,_xlfn.XLOOKUP($E146,$D$22:$D$26,$E$22:$E$26),_xlfn.XLOOKUP($E146,$D$31:$D$35,$E$31:$E$35),J59,$F134)</f>
        <v>91.715410166294944</v>
      </c>
      <c r="K146" s="2" t="str">
        <f t="shared" si="4"/>
        <v>kg N</v>
      </c>
      <c r="O146" s="53" t="str">
        <f>INDEX(X_Table_Dairy_ProductionSystems_Method1,4,1)</f>
        <v>Feed pad</v>
      </c>
      <c r="P146" s="53" t="s">
        <v>400</v>
      </c>
      <c r="Q146" s="53" cm="1">
        <f t="array" ref="Q146">MMS_Dairy_ManureAppliedToSoils_Equations.VEERG_4_3_1_8__1_MassOfNitrogenAppliedToSoilsScope1(Q47,_xlfn.XLOOKUP($P146,$D$22:$D$26,$E$22:$E$26),_xlfn.XLOOKUP($P146,$D$31:$D$35,$E$31:$E$35),Q59,$F134)</f>
        <v>381.57488194495664</v>
      </c>
      <c r="R146" s="53" cm="1">
        <f t="array" ref="R146">MMS_Dairy_ManureAppliedToSoils_Equations.VEERG_4_3_1_8__1_MassOfNitrogenAppliedToSoilsScope1(R47,_xlfn.XLOOKUP($P146,$D$22:$D$26,$E$22:$E$26),_xlfn.XLOOKUP($P146,$D$31:$D$35,$E$31:$E$35),R59,$F134)</f>
        <v>174.28649323543314</v>
      </c>
      <c r="S146" s="53" cm="1">
        <f t="array" ref="S146">MMS_Dairy_ManureAppliedToSoils_Equations.VEERG_4_3_1_8__1_MassOfNitrogenAppliedToSoilsScope1(S47,_xlfn.XLOOKUP($P146,$D$22:$D$26,$E$22:$E$26),_xlfn.XLOOKUP($P146,$D$31:$D$35,$E$31:$E$35),S59,$F134)</f>
        <v>69.416467101543759</v>
      </c>
      <c r="T146" s="53" cm="1">
        <f t="array" ref="T146">MMS_Dairy_ManureAppliedToSoils_Equations.VEERG_4_3_1_8__1_MassOfNitrogenAppliedToSoilsScope1(T47,_xlfn.XLOOKUP($P146,$D$22:$D$26,$E$22:$E$26),_xlfn.XLOOKUP($P146,$D$31:$D$35,$E$31:$E$35),T59,$F134)</f>
        <v>219.08501485456401</v>
      </c>
      <c r="U146" s="53" cm="1">
        <f t="array" ref="U146">MMS_Dairy_ManureAppliedToSoils_Equations.VEERG_4_3_1_8__1_MassOfNitrogenAppliedToSoilsScope1(U47,_xlfn.XLOOKUP($P146,$D$22:$D$26,$E$22:$E$26),_xlfn.XLOOKUP($P146,$D$31:$D$35,$E$31:$E$35),U59,$F134)</f>
        <v>91.715410166294944</v>
      </c>
      <c r="V146" s="2"/>
    </row>
    <row r="148" spans="4:22" ht="20.100000000000001" customHeight="1" x14ac:dyDescent="0.2">
      <c r="D148" s="104" t="s">
        <v>134</v>
      </c>
      <c r="E148" s="105">
        <f>SUM(F139:J146)</f>
        <v>3864.1929695395502</v>
      </c>
      <c r="F148" s="106" t="str">
        <f>$E$95</f>
        <v>kg N</v>
      </c>
      <c r="O148" s="104" t="s">
        <v>134</v>
      </c>
      <c r="P148" s="105">
        <f>SUM(Q139:U146)</f>
        <v>3864.1929695395502</v>
      </c>
      <c r="Q148" s="106" t="str">
        <f>$E$95</f>
        <v>kg N</v>
      </c>
    </row>
  </sheetData>
  <dataValidations count="1">
    <dataValidation operator="equal" allowBlank="1" showInputMessage="1" showErrorMessage="1" sqref="E25 E22 E34 E31 P76 P59 E64 E67 E76 P83 E106 E83 P106 E113 E175 E178 E187 E190 P187 P190 E127 P113 E139 E134 P139 E146 P47 E52 P52 E59 P40 E40 E47 E43 P43 E55 P55 P79 E79 E109 P109 E130 E142 P142 P146" xr:uid="{3CE1B7AD-39BD-4423-96DF-3D6853CFDB0B}"/>
  </dataValidations>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D4E5F-2570-481F-B379-68CEB1558D7A}">
  <sheetPr>
    <tabColor rgb="FF008000"/>
  </sheetPr>
  <dimension ref="A1:W58"/>
  <sheetViews>
    <sheetView showGridLines="0" topLeftCell="B39" zoomScaleNormal="100" workbookViewId="0">
      <selection activeCell="P53" sqref="P53"/>
    </sheetView>
  </sheetViews>
  <sheetFormatPr defaultRowHeight="20.100000000000001" customHeight="1" x14ac:dyDescent="0.2"/>
  <cols>
    <col min="1" max="1" width="30.7109375" customWidth="1"/>
    <col min="2" max="2" width="4.7109375" customWidth="1"/>
    <col min="3" max="3" width="4.7109375" style="1" customWidth="1"/>
    <col min="4" max="11" width="30.7109375" style="1" customWidth="1"/>
    <col min="12" max="12" width="4.7109375" style="1" customWidth="1"/>
    <col min="13" max="13" width="4.7109375" style="57" customWidth="1"/>
    <col min="14" max="14" width="4.7109375" style="1" customWidth="1"/>
    <col min="15" max="22" width="30.7109375" style="1" customWidth="1"/>
    <col min="23" max="23" width="4.7109375" style="1" customWidth="1"/>
  </cols>
  <sheetData>
    <row r="1" spans="1:23" s="8" customFormat="1" ht="30" customHeight="1" x14ac:dyDescent="0.35">
      <c r="A1" s="67" t="e" vm="1">
        <v>#VALUE!</v>
      </c>
      <c r="C1" s="8" t="s">
        <v>348</v>
      </c>
      <c r="M1" s="57"/>
    </row>
    <row r="2" spans="1:23" s="9" customFormat="1" ht="20.100000000000001" customHeight="1" x14ac:dyDescent="0.2">
      <c r="A2"/>
      <c r="M2" s="57"/>
    </row>
    <row r="3" spans="1:23" ht="20.100000000000001" customHeight="1" x14ac:dyDescent="0.2">
      <c r="A3" s="17" t="str">
        <f>HYPERLINK("#'Home'!A1", "Home")</f>
        <v>Home</v>
      </c>
      <c r="C3" s="4"/>
      <c r="D3" s="4"/>
      <c r="E3" s="4"/>
      <c r="F3" s="4"/>
      <c r="G3" s="4"/>
      <c r="H3" s="4"/>
      <c r="I3" s="4"/>
      <c r="J3" s="4"/>
      <c r="K3" s="4"/>
      <c r="L3" s="4"/>
      <c r="N3" s="4"/>
      <c r="O3" s="4"/>
      <c r="P3" s="4"/>
      <c r="Q3" s="4"/>
      <c r="R3" s="4"/>
      <c r="S3" s="4"/>
      <c r="T3" s="4"/>
      <c r="U3" s="4"/>
      <c r="V3" s="4"/>
      <c r="W3" s="4"/>
    </row>
    <row r="4" spans="1:23" ht="20.100000000000001" customHeight="1" x14ac:dyDescent="0.2">
      <c r="A4" s="17" t="str">
        <f>HYPERLINK("#'Overview'!A1", "Overview")</f>
        <v>Overview</v>
      </c>
    </row>
    <row r="5" spans="1:23" ht="20.100000000000001" customHeight="1" x14ac:dyDescent="0.2">
      <c r="A5" s="17" t="str">
        <f>HYPERLINK("#'Results'!A1", "Results")</f>
        <v>Results</v>
      </c>
      <c r="D5" s="6" t="str" cm="1">
        <f t="array" ref="D5">MMS_Dairy_N2ODirect_Equations.VEERG_4_3_1_3__2_TotalNitrogenInEachMMS_Title()</f>
        <v>Total nitrogen in each MMS</v>
      </c>
    </row>
    <row r="6" spans="1:23" ht="20.100000000000001" customHeight="1" x14ac:dyDescent="0.2">
      <c r="D6" s="5" t="str" cm="1">
        <f t="array" ref="D6">MMS_Dairy_N2ODirect_Equations.VEERG_4_3_1_3__2_TotalNitrogenInEachMMS_Source()</f>
        <v>VEERG 2026: 4.3.1.3, Equation (2)</v>
      </c>
    </row>
    <row r="7" spans="1:23" ht="20.100000000000001" customHeight="1" x14ac:dyDescent="0.2">
      <c r="D7" s="13" t="s">
        <v>25</v>
      </c>
      <c r="E7" s="13" t="str" cm="1">
        <f t="array" aca="1" ref="E7" ca="1">Common_InputFunctions.Utility_DisplayFunctionName(F31)</f>
        <v>=MMS_Dairy_N2ODirect_Equations.VEERG_4_3_1_3__2_TotalNitrogenInEachMMS</v>
      </c>
    </row>
    <row r="8" spans="1:23" ht="20.100000000000001" customHeight="1" x14ac:dyDescent="0.2">
      <c r="A8" s="19" t="s">
        <v>0</v>
      </c>
    </row>
    <row r="9" spans="1:23" ht="20.100000000000001" customHeight="1" x14ac:dyDescent="0.2">
      <c r="A9" s="17" t="str">
        <f>HYPERLINK("#'Input - Site'!A1", "Site")</f>
        <v>Site</v>
      </c>
      <c r="D9" s="6"/>
    </row>
    <row r="10" spans="1:23" ht="20.100000000000001" customHeight="1" x14ac:dyDescent="0.2">
      <c r="A10" s="17" t="str">
        <f>HYPERLINK("#'Input - Dairy'!A1", "Dairy")</f>
        <v>Dairy</v>
      </c>
      <c r="D10" s="54" t="s">
        <v>28</v>
      </c>
      <c r="E10" s="1" t="str" cm="1">
        <f t="array" ref="E10">MMS_Dairy_N2ODirect_Equations.VEERG_4_3_1_3__2_TotalNitrogenInEachMMS_Variable()</f>
        <v>MN_jm</v>
      </c>
    </row>
    <row r="11" spans="1:23" ht="20.100000000000001" customHeight="1" x14ac:dyDescent="0.2">
      <c r="D11" s="54" t="s">
        <v>18</v>
      </c>
      <c r="E11" s="55" t="str" cm="1">
        <f t="array" ref="E11">MMS_Dairy_N2ODirect_Equations.VEERG_4_3_1_3__2_TotalNitrogenInEachMMS_Unit()</f>
        <v>kg N</v>
      </c>
    </row>
    <row r="13" spans="1:23" ht="20.100000000000001" customHeight="1" x14ac:dyDescent="0.2">
      <c r="A13" s="18" t="s">
        <v>73</v>
      </c>
      <c r="D13" s="133" t="str" cm="1">
        <f t="array" ref="D13:E14">_xlfn.CHOOSECOLS(MMS_Dairy_N2ODirect_Equations.VEERG_4_3_1_3__2_TotalNitrogenInEachMMS_Arguments(),1,2)</f>
        <v>AE_j</v>
      </c>
      <c r="E13" s="132" t="str">
        <v>total nitrogen excreted by each dairy class</v>
      </c>
      <c r="F13" s="134"/>
      <c r="G13" s="133" t="str" cm="1">
        <f t="array" ref="G13:H14">_xlfn.CHOOSECOLS(MMS_Dairy_N2ODirect_Equations.VEERG_4_3_1_3__2_TotalNitrogenInEachMMS_Arguments(),3,4)</f>
        <v>kg N</v>
      </c>
      <c r="H13" s="129" t="str">
        <v>Calculated from 4.3.1.3 (3a) and (3b)</v>
      </c>
      <c r="I13" s="130" t="str" cm="1">
        <f t="array" aca="1" ref="I13" ca="1">HYPERLINK(Common_InputFunctions.Utility_SourceHyperlink($D$16),$D$16)</f>
        <v>M1_Table_AE_j</v>
      </c>
    </row>
    <row r="14" spans="1:23" ht="20.100000000000001" customHeight="1" x14ac:dyDescent="0.2">
      <c r="A14" s="17" t="str">
        <f>HYPERLINK("#'4.3.1.1-2 Methane'!A1", "4.3.1.1-2 Methane")</f>
        <v>4.3.1.1-2 Methane</v>
      </c>
      <c r="D14" s="133" t="str">
        <v>MMS_jm</v>
      </c>
      <c r="E14" s="132" t="str">
        <v>manure management system fraction for class j and system m</v>
      </c>
      <c r="F14" s="134"/>
      <c r="G14" s="133" t="str">
        <v>fraction</v>
      </c>
      <c r="H14" s="131" t="str">
        <v>Input</v>
      </c>
      <c r="I14" s="130" t="str" cm="1">
        <f t="array" aca="1" ref="I14" ca="1">HYPERLINK(Common_InputFunctions.Utility_SourceHyperlink($D$22),$D$22)</f>
        <v>M1_Table_MMS_j_m-14</v>
      </c>
    </row>
    <row r="15" spans="1:23" ht="20.100000000000001" customHeight="1" x14ac:dyDescent="0.2">
      <c r="A15" s="17" t="str">
        <f>HYPERLINK("#'4.3.1.3-4 Direct N20'!A1", "4.3.1.3-4 Direct N20")</f>
        <v>4.3.1.3-4 Direct N20</v>
      </c>
    </row>
    <row r="16" spans="1:23" ht="20.100000000000001" customHeight="1" x14ac:dyDescent="0.2">
      <c r="A16" s="17" t="str">
        <f>HYPERLINK("#'4.3.1.5 Atmos deposition'!A1", "4.3.1.5 Atmos deposition")</f>
        <v>4.3.1.5 Atmos deposition</v>
      </c>
      <c r="D16" s="100" t="s">
        <v>116</v>
      </c>
      <c r="O16" s="100" t="s">
        <v>461</v>
      </c>
    </row>
    <row r="17" spans="1:22" ht="20.100000000000001" customHeight="1" x14ac:dyDescent="0.2">
      <c r="A17" s="17" t="str">
        <f>HYPERLINK("#'4.3.1.6-7 Leaching and runoff'!A1", "4.3.1.6-7 Leaching and runoff")</f>
        <v>4.3.1.6-7 Leaching and runoff</v>
      </c>
      <c r="D17" s="99" t="s">
        <v>351</v>
      </c>
      <c r="O17" s="99" t="s">
        <v>460</v>
      </c>
    </row>
    <row r="18" spans="1:22" ht="20.100000000000001" customHeight="1" x14ac:dyDescent="0.2">
      <c r="A18" s="17" t="str">
        <f>HYPERLINK("#'4.3.1.8 Manure applied to soils'!A1", "4.3.1.8 Manure applied to soils")</f>
        <v>4.3.1.8 Manure applied to soils</v>
      </c>
      <c r="D18" s="52" t="s">
        <v>167</v>
      </c>
      <c r="E18" s="52" t="s">
        <v>184</v>
      </c>
      <c r="F18" s="52" t="s">
        <v>185</v>
      </c>
      <c r="G18" s="52" t="s">
        <v>186</v>
      </c>
      <c r="H18" s="52" t="s">
        <v>187</v>
      </c>
      <c r="O18" s="52" t="s">
        <v>167</v>
      </c>
      <c r="P18" s="52" t="s">
        <v>184</v>
      </c>
      <c r="Q18" s="52" t="s">
        <v>185</v>
      </c>
      <c r="R18" s="52" t="s">
        <v>186</v>
      </c>
      <c r="S18" s="52" t="s">
        <v>187</v>
      </c>
    </row>
    <row r="19" spans="1:22" ht="20.100000000000001" customHeight="1" x14ac:dyDescent="0.2">
      <c r="A19" s="21" t="str">
        <f>HYPERLINK("#'4.3.1.9 Soil direct N2O'!A1", "4.3.1.9 Soil direct N2O")</f>
        <v>4.3.1.9 Soil direct N2O</v>
      </c>
      <c r="D19" s="53">
        <f>INDEX(M1_Table_AE_j124,2,1)</f>
        <v>18147.548038521214</v>
      </c>
      <c r="E19" s="53">
        <f>INDEX(M1_Table_AE_j124,2,2)</f>
        <v>8288.9955762645804</v>
      </c>
      <c r="F19" s="53">
        <f>INDEX(M1_Table_AE_j_Consumer_1,2,3)</f>
        <v>3301.419278356519</v>
      </c>
      <c r="G19" s="53">
        <f>INDEX(M1_Table_AE_j124,2,4)</f>
        <v>10419.59526090311</v>
      </c>
      <c r="H19" s="53">
        <f>INDEX(M1_Table_AE_j_Consumer_1,2,5)</f>
        <v>4361.9480490479727</v>
      </c>
      <c r="I19" s="2" t="str">
        <f>$G$13</f>
        <v>kg N</v>
      </c>
      <c r="O19" s="53">
        <f>INDEX(M2_Table_AE_j124,2,1)</f>
        <v>18147.548038521214</v>
      </c>
      <c r="P19" s="53">
        <f>INDEX(M2_Table_AE_j124,2,2)</f>
        <v>8288.9955762645804</v>
      </c>
      <c r="Q19" s="53">
        <f>INDEX(M1_Table_AE_j,2,3)</f>
        <v>3301.419278356519</v>
      </c>
      <c r="R19" s="53">
        <f>INDEX(M2_Table_AE_j124,2,4)</f>
        <v>10419.59526090311</v>
      </c>
      <c r="S19" s="53">
        <f>INDEX(M1_Table_AE_j,2,5)</f>
        <v>4361.9480490479727</v>
      </c>
      <c r="T19" s="2" t="str">
        <f>$G$13</f>
        <v>kg N</v>
      </c>
    </row>
    <row r="20" spans="1:22" ht="20.100000000000001" customHeight="1" x14ac:dyDescent="0.2">
      <c r="A20" s="17" t="str">
        <f>HYPERLINK("#'4.3.1.10-11 Soil Atmos Dep'!A1", "4.3.1.10-11 Soil Atmos Dep")</f>
        <v>4.3.1.10-11 Soil Atmos Dep</v>
      </c>
    </row>
    <row r="21" spans="1:22" ht="20.100000000000001" customHeight="1" x14ac:dyDescent="0.2">
      <c r="A21" s="17" t="str">
        <f>HYPERLINK("#'4.3.1.12-13 Soil leach runoff'!A1", "4.3.1.12-13 Soil leach runoff")</f>
        <v>4.3.1.12-13 Soil leach runoff</v>
      </c>
    </row>
    <row r="22" spans="1:22" ht="20.100000000000001" customHeight="1" x14ac:dyDescent="0.2">
      <c r="D22" s="100" t="s">
        <v>349</v>
      </c>
      <c r="O22" s="100" t="s">
        <v>417</v>
      </c>
    </row>
    <row r="23" spans="1:22" ht="20.100000000000001" customHeight="1" x14ac:dyDescent="0.2">
      <c r="D23" s="99" t="s">
        <v>350</v>
      </c>
      <c r="O23" s="99" t="s">
        <v>418</v>
      </c>
    </row>
    <row r="24" spans="1:22" ht="20.100000000000001" customHeight="1" x14ac:dyDescent="0.2">
      <c r="A24" s="154" t="s">
        <v>1</v>
      </c>
      <c r="D24" s="40" t="s">
        <v>142</v>
      </c>
      <c r="E24" s="40" t="s">
        <v>66</v>
      </c>
      <c r="F24" s="40" t="s">
        <v>167</v>
      </c>
      <c r="G24" s="40" t="s">
        <v>184</v>
      </c>
      <c r="H24" s="40" t="s">
        <v>185</v>
      </c>
      <c r="I24" s="40" t="s">
        <v>186</v>
      </c>
      <c r="J24" s="40" t="s">
        <v>187</v>
      </c>
      <c r="O24" s="40" t="s">
        <v>142</v>
      </c>
      <c r="P24" s="40" t="s">
        <v>66</v>
      </c>
      <c r="Q24" s="40" t="s">
        <v>167</v>
      </c>
      <c r="R24" s="40" t="s">
        <v>184</v>
      </c>
      <c r="S24" s="40" t="s">
        <v>185</v>
      </c>
      <c r="T24" s="40" t="s">
        <v>186</v>
      </c>
      <c r="U24" s="40" t="s">
        <v>187</v>
      </c>
    </row>
    <row r="25" spans="1:22" ht="20.100000000000001" customHeight="1" x14ac:dyDescent="0.2">
      <c r="A25" s="17" t="str">
        <f>HYPERLINK("#'Constants - Dairy'!A1", "Constants - Dairy")</f>
        <v>Constants - Dairy</v>
      </c>
      <c r="D25" s="53" t="str">
        <f>INDEX(X_Table_Dairy_ProductionSystems_Method1,2,1)</f>
        <v>Pasture</v>
      </c>
      <c r="E25" s="53" t="str">
        <f>'Constants - Common Livestock'!$E$27</f>
        <v>Pasture range and paddock</v>
      </c>
      <c r="F25" s="53">
        <f>INDEX(X_Table_Dairy_ProductionSystems_Method1,2,2)</f>
        <v>0.53400000000000003</v>
      </c>
      <c r="G25" s="53">
        <f>INDEX(X_Table_Dairy_ProductionSystems_Method1,2,3)</f>
        <v>0.53400000000000003</v>
      </c>
      <c r="H25" s="53">
        <f>INDEX(X_Table_Dairy_ProductionSystems_Method1,2,4)</f>
        <v>0.53400000000000003</v>
      </c>
      <c r="I25" s="53">
        <f>INDEX(X_Table_Dairy_ProductionSystems_Method1,2,5)</f>
        <v>0.53400000000000003</v>
      </c>
      <c r="J25" s="53">
        <f>INDEX(X_Table_Dairy_ProductionSystems_Method1,2,6)</f>
        <v>0.53400000000000003</v>
      </c>
      <c r="K25" s="2" t="str">
        <f>$G$14</f>
        <v>fraction</v>
      </c>
      <c r="O25" s="53" t="str">
        <f>INDEX(X_Table_Dairy_ProductionSystems_Method1,2,1)</f>
        <v>Pasture</v>
      </c>
      <c r="P25" s="53" t="str">
        <f>'Constants - Common Livestock'!$E$27</f>
        <v>Pasture range and paddock</v>
      </c>
      <c r="Q25" s="53">
        <f>INDEX(X_Table_Dairy_ProductionSystems_Method2,2,2)</f>
        <v>0.53400000000000003</v>
      </c>
      <c r="R25" s="53">
        <f>INDEX(X_Table_Dairy_ProductionSystems_Method2,2,3)</f>
        <v>0.53400000000000003</v>
      </c>
      <c r="S25" s="53">
        <f>INDEX(X_Table_Dairy_ProductionSystems_Method2,2,4)</f>
        <v>0.53400000000000003</v>
      </c>
      <c r="T25" s="53">
        <f>INDEX(X_Table_Dairy_ProductionSystems_Method2,2,5)</f>
        <v>0.53400000000000003</v>
      </c>
      <c r="U25" s="53">
        <f>INDEX(X_Table_Dairy_ProductionSystems_Method2,2,6)</f>
        <v>0.53400000000000003</v>
      </c>
      <c r="V25" s="2" t="str">
        <f>$G$14</f>
        <v>fraction</v>
      </c>
    </row>
    <row r="26" spans="1:22" ht="20.100000000000001" customHeight="1" x14ac:dyDescent="0.2">
      <c r="A26" s="17" t="str">
        <f>HYPERLINK("#'Constants - Common'!A1", "Constants - Common")</f>
        <v>Constants - Common</v>
      </c>
    </row>
    <row r="27" spans="1:22" ht="20.100000000000001" customHeight="1" x14ac:dyDescent="0.2">
      <c r="A27" s="17" t="str">
        <f>HYPERLINK("#'Constants - Livestock'!A1", "Constants - Livestock")</f>
        <v>Constants - Livestock</v>
      </c>
      <c r="Q27" s="127"/>
    </row>
    <row r="28" spans="1:22" ht="20.100000000000001" customHeight="1" x14ac:dyDescent="0.2">
      <c r="A28" s="17" t="str">
        <f>HYPERLINK("#'Acknowledgements'!A1", "Acknowledgements")</f>
        <v>Acknowledgements</v>
      </c>
      <c r="D28" s="100" t="s">
        <v>352</v>
      </c>
      <c r="O28" s="100" t="s">
        <v>354</v>
      </c>
    </row>
    <row r="29" spans="1:22" ht="20.100000000000001" customHeight="1" x14ac:dyDescent="0.2">
      <c r="A29" s="17" t="str">
        <f>HYPERLINK("#'Tab template'!A1", "Tab template")</f>
        <v>Tab template</v>
      </c>
      <c r="D29" s="99" t="s">
        <v>353</v>
      </c>
      <c r="O29" s="99" t="s">
        <v>355</v>
      </c>
    </row>
    <row r="30" spans="1:22" ht="20.100000000000001" customHeight="1" x14ac:dyDescent="0.2">
      <c r="D30" s="52" t="s">
        <v>142</v>
      </c>
      <c r="E30" s="52" t="s">
        <v>66</v>
      </c>
      <c r="F30" s="52" t="s">
        <v>167</v>
      </c>
      <c r="G30" s="52" t="s">
        <v>184</v>
      </c>
      <c r="H30" s="52" t="s">
        <v>185</v>
      </c>
      <c r="I30" s="52" t="s">
        <v>186</v>
      </c>
      <c r="J30" s="52" t="s">
        <v>187</v>
      </c>
      <c r="O30" s="52" t="s">
        <v>142</v>
      </c>
      <c r="P30" s="52" t="s">
        <v>66</v>
      </c>
      <c r="Q30" s="52" t="s">
        <v>167</v>
      </c>
      <c r="R30" s="52" t="s">
        <v>184</v>
      </c>
      <c r="S30" s="52" t="s">
        <v>185</v>
      </c>
      <c r="T30" s="52" t="s">
        <v>186</v>
      </c>
      <c r="U30" s="52" t="s">
        <v>187</v>
      </c>
    </row>
    <row r="31" spans="1:22" ht="20.100000000000001" customHeight="1" x14ac:dyDescent="0.2">
      <c r="D31" s="53" t="str">
        <f>INDEX(X_Table_Dairy_ProductionSystems_Method1,2,1)</f>
        <v>Pasture</v>
      </c>
      <c r="E31" s="53" t="str">
        <f>'Constants - Common Livestock'!$E$27</f>
        <v>Pasture range and paddock</v>
      </c>
      <c r="F31" s="53" cm="1">
        <f t="array" ref="F31">MMS_Dairy_N2ODirect_Equations.VEERG_4_3_1_3__2_TotalNitrogenInEachMMS(D19,F25)</f>
        <v>9690.7906525703293</v>
      </c>
      <c r="G31" s="53" cm="1">
        <f t="array" ref="G31">MMS_Dairy_N2ODirect_Equations.VEERG_4_3_1_3__2_TotalNitrogenInEachMMS(E19,G25)</f>
        <v>4426.3236377252861</v>
      </c>
      <c r="H31" s="53" cm="1">
        <f t="array" ref="H31">MMS_Dairy_N2ODirect_Equations.VEERG_4_3_1_3__2_TotalNitrogenInEachMMS(F19,H25)</f>
        <v>1762.9578946423812</v>
      </c>
      <c r="I31" s="53" cm="1">
        <f t="array" ref="I31">MMS_Dairy_N2ODirect_Equations.VEERG_4_3_1_3__2_TotalNitrogenInEachMMS(G19,I25)</f>
        <v>5564.0638693222609</v>
      </c>
      <c r="J31" s="53" cm="1">
        <f t="array" ref="J31">MMS_Dairy_N2ODirect_Equations.VEERG_4_3_1_3__2_TotalNitrogenInEachMMS(H19,J25)</f>
        <v>2329.2802581916176</v>
      </c>
      <c r="K31" s="2" t="str">
        <f>$E$11</f>
        <v>kg N</v>
      </c>
      <c r="O31" s="53" t="str">
        <f>INDEX(X_Table_Dairy_ProductionSystems_Method1,2,1)</f>
        <v>Pasture</v>
      </c>
      <c r="P31" s="53" t="str">
        <f>'Constants - Common Livestock'!$E$27</f>
        <v>Pasture range and paddock</v>
      </c>
      <c r="Q31" s="53" cm="1">
        <f t="array" ref="Q31">MMS_Dairy_N2ODirect_Equations.VEERG_4_3_1_3__2_TotalNitrogenInEachMMS(O19,Q25)</f>
        <v>9690.7906525703293</v>
      </c>
      <c r="R31" s="53" cm="1">
        <f t="array" ref="R31">MMS_Dairy_N2ODirect_Equations.VEERG_4_3_1_3__2_TotalNitrogenInEachMMS(P19,R25)</f>
        <v>4426.3236377252861</v>
      </c>
      <c r="S31" s="53" cm="1">
        <f t="array" ref="S31">MMS_Dairy_N2ODirect_Equations.VEERG_4_3_1_3__2_TotalNitrogenInEachMMS(Q19,S25)</f>
        <v>1762.9578946423812</v>
      </c>
      <c r="T31" s="53" cm="1">
        <f t="array" ref="T31">MMS_Dairy_N2ODirect_Equations.VEERG_4_3_1_3__2_TotalNitrogenInEachMMS(R19,T25)</f>
        <v>5564.0638693222609</v>
      </c>
      <c r="U31" s="53" cm="1">
        <f t="array" ref="U31">MMS_Dairy_N2ODirect_Equations.VEERG_4_3_1_3__2_TotalNitrogenInEachMMS(S19,U25)</f>
        <v>2329.2802581916176</v>
      </c>
      <c r="V31" s="2" t="str">
        <f>$E$11</f>
        <v>kg N</v>
      </c>
    </row>
    <row r="34" spans="3:23" ht="20.100000000000001" customHeight="1" x14ac:dyDescent="0.2">
      <c r="C34" s="46"/>
      <c r="D34" s="46"/>
      <c r="E34" s="46"/>
      <c r="F34" s="46"/>
      <c r="G34" s="46"/>
      <c r="H34" s="46"/>
      <c r="I34" s="46"/>
      <c r="J34" s="46"/>
      <c r="K34" s="46"/>
      <c r="L34" s="46"/>
      <c r="N34" s="46"/>
      <c r="O34" s="46"/>
      <c r="P34" s="46"/>
      <c r="Q34" s="46"/>
      <c r="R34" s="46"/>
      <c r="S34" s="46"/>
      <c r="T34" s="46"/>
      <c r="U34" s="46"/>
      <c r="V34" s="46"/>
      <c r="W34" s="46"/>
    </row>
    <row r="35" spans="3:23" ht="20.100000000000001" customHeight="1" x14ac:dyDescent="0.2">
      <c r="D35" s="6" t="str" cm="1">
        <f t="array" ref="D35">MMS_Dairy_Soil_N2ODirect_Equations.VEERG_4_3_1_9__1_DirectNitrousOxideEmissionsOnPasture_Title()</f>
        <v>Direct nitrous oxide emissions on pasture</v>
      </c>
    </row>
    <row r="36" spans="3:23" ht="20.100000000000001" customHeight="1" x14ac:dyDescent="0.2">
      <c r="D36" s="5" t="str" cm="1">
        <f t="array" ref="D36">MMS_Dairy_Soil_N2ODirect_Equations.VEERG_4_3_1_9__1_DirectNitrousOxideEmissionsOnPasture_Source()</f>
        <v>VEERG 2026: 4.3.1.9, Equation (1)</v>
      </c>
    </row>
    <row r="37" spans="3:23" ht="20.100000000000001" customHeight="1" x14ac:dyDescent="0.2">
      <c r="D37" s="13" t="s">
        <v>105</v>
      </c>
      <c r="E37" s="13" t="str" cm="1">
        <f t="array" aca="1" ref="E37" ca="1">Common_InputFunctions.Utility_DisplayFunctionName($F$51)</f>
        <v>=MMS_Dairy_Soil_N2ODirect_Equations.VEERG_4_3_1_9__1_DirectNitrousOxideEmissionsOnPasture</v>
      </c>
    </row>
    <row r="40" spans="3:23" ht="20.100000000000001" customHeight="1" x14ac:dyDescent="0.2">
      <c r="D40" s="54" t="s">
        <v>28</v>
      </c>
      <c r="E40" s="1" t="str" cm="1">
        <f t="array" ref="E40">MMS_Dairy_Soil_N2ODirect_Equations.VEERG_4_3_1_9__1_DirectNitrousOxideEmissionsOnPasture_Variable()</f>
        <v>E_N2Odir</v>
      </c>
    </row>
    <row r="41" spans="3:23" ht="20.100000000000001" customHeight="1" x14ac:dyDescent="0.2">
      <c r="D41" s="54" t="s">
        <v>18</v>
      </c>
      <c r="E41" s="55" t="str" cm="1">
        <f t="array" ref="E41">MMS_Dairy_Soil_N2ODirect_Equations.VEERG_4_3_1_9__1_DirectNitrousOxideEmissionsOnPasture_Unit()</f>
        <v>t N2O</v>
      </c>
    </row>
    <row r="43" spans="3:23" ht="20.100000000000001" customHeight="1" x14ac:dyDescent="0.2">
      <c r="D43" s="133" t="str" cm="1">
        <f t="array" ref="D43:E46">_xlfn.CHOOSECOLS(MMS_Dairy_Soil_N2ODirect_Equations.VEERG_4_3_1_9__1_DirectNitrousOxideEmissionsOnPasture_Arguments(),1,2)</f>
        <v>MN_jm14</v>
      </c>
      <c r="E43" s="132" t="str">
        <v>mass of nitrogen excreted on pasture, range, and paddock for each dairy cattle class</v>
      </c>
      <c r="F43" s="138"/>
      <c r="G43" s="134"/>
      <c r="H43" s="133" t="str" cm="1">
        <f t="array" ref="H43:I46">_xlfn.CHOOSECOLS(MMS_Dairy_Soil_N2ODirect_Equations.VEERG_4_3_1_9__1_DirectNitrousOxideEmissionsOnPasture_Arguments(),3,4)</f>
        <v>kg N</v>
      </c>
      <c r="I43" s="129" t="str">
        <v>Calculated from 4.3.1.3 (2)</v>
      </c>
      <c r="J43" s="130" t="str" cm="1">
        <f t="array" aca="1" ref="J43" ca="1">HYPERLINK(Common_InputFunctions.Utility_SourceHyperlink($D$28),$D$28)</f>
        <v>M1_Table_MN_j_m-14</v>
      </c>
    </row>
    <row r="44" spans="3:23" ht="20.100000000000001" customHeight="1" x14ac:dyDescent="0.2">
      <c r="D44" s="133" t="str">
        <v>EF_PRP</v>
      </c>
      <c r="E44" s="132" t="str">
        <v>emission factor for nitrous oxide emissions for urine and dung deposited on PRP</v>
      </c>
      <c r="F44" s="138"/>
      <c r="G44" s="134"/>
      <c r="H44" s="133" t="str">
        <v>kg N2O-N/kg N deposited</v>
      </c>
      <c r="I44" s="129" t="str">
        <v>Constant</v>
      </c>
      <c r="J44" s="133">
        <f>Common_InputFunctions.Utility_LookupValueInTable(J46, Table_SourceData_EFPastureRangeAndPaddock[Climate zone],Table_SourceData_EFPastureRangeAndPaddock[EFPRP])</f>
        <v>2E-3</v>
      </c>
    </row>
    <row r="45" spans="3:23" ht="20.100000000000001" customHeight="1" x14ac:dyDescent="0.2">
      <c r="D45" s="133" t="str">
        <v>C_N2O</v>
      </c>
      <c r="E45" s="132" t="str">
        <v>factor to convert elemental mass of N2O to molecular mass</v>
      </c>
      <c r="F45" s="138"/>
      <c r="G45" s="134"/>
      <c r="H45" s="133" t="str">
        <v/>
      </c>
      <c r="I45" s="129" t="str">
        <v>Constant</v>
      </c>
      <c r="J45" s="133">
        <f>Common_InputFunctions.Utility_LookupValueInTableNumber("N2O",Table_GasToMolecularConversionFactor[Gas],Table_GasToMolecularConversionFactor[Conversion factor combined])</f>
        <v>1.5714285714285714</v>
      </c>
    </row>
    <row r="46" spans="3:23" ht="20.100000000000001" customHeight="1" x14ac:dyDescent="0.2">
      <c r="D46" s="133" t="str">
        <v>z</v>
      </c>
      <c r="E46" s="132" t="str">
        <v>Wet or dry climate zone</v>
      </c>
      <c r="F46" s="138"/>
      <c r="G46" s="134"/>
      <c r="H46" s="133" t="str">
        <v/>
      </c>
      <c r="I46" s="131" t="str">
        <v>Input</v>
      </c>
      <c r="J46" s="133" t="str">
        <f>X_Cell_Site_WetOrDryClimateZone</f>
        <v>Dry climate zone</v>
      </c>
    </row>
    <row r="48" spans="3:23" ht="20.100000000000001" customHeight="1" x14ac:dyDescent="0.2">
      <c r="D48" s="100" t="s">
        <v>118</v>
      </c>
      <c r="O48" s="100" t="s">
        <v>358</v>
      </c>
    </row>
    <row r="49" spans="4:22" ht="20.100000000000001" customHeight="1" x14ac:dyDescent="0.2">
      <c r="D49" s="99" t="s">
        <v>357</v>
      </c>
      <c r="O49" s="99" t="s">
        <v>359</v>
      </c>
    </row>
    <row r="50" spans="4:22" ht="20.100000000000001" customHeight="1" x14ac:dyDescent="0.2">
      <c r="D50" s="52" t="s">
        <v>142</v>
      </c>
      <c r="E50" s="52" t="s">
        <v>66</v>
      </c>
      <c r="F50" s="52" t="s">
        <v>167</v>
      </c>
      <c r="G50" s="52" t="s">
        <v>184</v>
      </c>
      <c r="H50" s="52" t="s">
        <v>185</v>
      </c>
      <c r="I50" s="52" t="s">
        <v>186</v>
      </c>
      <c r="J50" s="52" t="s">
        <v>187</v>
      </c>
      <c r="O50" s="52" t="s">
        <v>142</v>
      </c>
      <c r="P50" s="52" t="s">
        <v>66</v>
      </c>
      <c r="Q50" s="52" t="s">
        <v>167</v>
      </c>
      <c r="R50" s="52" t="s">
        <v>184</v>
      </c>
      <c r="S50" s="52" t="s">
        <v>185</v>
      </c>
      <c r="T50" s="52" t="s">
        <v>186</v>
      </c>
      <c r="U50" s="52" t="s">
        <v>187</v>
      </c>
    </row>
    <row r="51" spans="4:22" ht="20.100000000000001" customHeight="1" x14ac:dyDescent="0.2">
      <c r="D51" s="53" t="str">
        <f>INDEX(X_Table_Dairy_ProductionSystems_Method1,2,1)</f>
        <v>Pasture</v>
      </c>
      <c r="E51" s="53" t="str">
        <f>'Constants - Common Livestock'!$E$27</f>
        <v>Pasture range and paddock</v>
      </c>
      <c r="F51" s="53" cm="1">
        <f t="array" ref="F51">MMS_Dairy_Soil_N2ODirect_Equations.VEERG_4_3_1_9__1_DirectNitrousOxideEmissionsOnPasture(F31,$J$44,$J$45)</f>
        <v>3.0456770622363894E-2</v>
      </c>
      <c r="G51" s="53" cm="1">
        <f t="array" ref="G51">MMS_Dairy_Soil_N2ODirect_Equations.VEERG_4_3_1_9__1_DirectNitrousOxideEmissionsOnPasture(G31,$J$44,$J$45)</f>
        <v>1.3911302861422326E-2</v>
      </c>
      <c r="H51" s="53" cm="1">
        <f t="array" ref="H51">MMS_Dairy_Soil_N2ODirect_Equations.VEERG_4_3_1_9__1_DirectNitrousOxideEmissionsOnPasture(H31,$J$44,$J$45)</f>
        <v>5.5407248117331984E-3</v>
      </c>
      <c r="I51" s="53" cm="1">
        <f t="array" ref="I51">MMS_Dairy_Soil_N2ODirect_Equations.VEERG_4_3_1_9__1_DirectNitrousOxideEmissionsOnPasture(I31,$J$44,$J$45)</f>
        <v>1.7487057875012819E-2</v>
      </c>
      <c r="J51" s="53" cm="1">
        <f t="array" ref="J51">MMS_Dairy_Soil_N2ODirect_Equations.VEERG_4_3_1_9__1_DirectNitrousOxideEmissionsOnPasture(J31,$J$44,$J$45)</f>
        <v>7.3205950971736563E-3</v>
      </c>
      <c r="K51" s="2" t="str">
        <f>$E$41</f>
        <v>t N2O</v>
      </c>
      <c r="O51" s="53" t="str">
        <f>INDEX(X_Table_Dairy_ProductionSystems_Method1,2,1)</f>
        <v>Pasture</v>
      </c>
      <c r="P51" s="53" t="str">
        <f>'Constants - Common Livestock'!$E$27</f>
        <v>Pasture range and paddock</v>
      </c>
      <c r="Q51" s="53" cm="1">
        <f t="array" ref="Q51">MMS_Dairy_Soil_N2ODirect_Equations.VEERG_4_3_1_9__1_DirectNitrousOxideEmissionsOnPasture(Q31,$J$44,$J$45)</f>
        <v>3.0456770622363894E-2</v>
      </c>
      <c r="R51" s="53" cm="1">
        <f t="array" ref="R51">MMS_Dairy_Soil_N2ODirect_Equations.VEERG_4_3_1_9__1_DirectNitrousOxideEmissionsOnPasture(R31,$J$44,$J$45)</f>
        <v>1.3911302861422326E-2</v>
      </c>
      <c r="S51" s="53" cm="1">
        <f t="array" ref="S51">MMS_Dairy_Soil_N2ODirect_Equations.VEERG_4_3_1_9__1_DirectNitrousOxideEmissionsOnPasture(S31,$J$44,$J$45)</f>
        <v>5.5407248117331984E-3</v>
      </c>
      <c r="T51" s="53" cm="1">
        <f t="array" ref="T51">MMS_Dairy_Soil_N2ODirect_Equations.VEERG_4_3_1_9__1_DirectNitrousOxideEmissionsOnPasture(T31,$J$44,$J$45)</f>
        <v>1.7487057875012819E-2</v>
      </c>
      <c r="U51" s="53" cm="1">
        <f t="array" ref="U51">MMS_Dairy_Soil_N2ODirect_Equations.VEERG_4_3_1_9__1_DirectNitrousOxideEmissionsOnPasture(U31,$J$44,$J$45)</f>
        <v>7.3205950971736563E-3</v>
      </c>
      <c r="V51" s="2" t="str">
        <f>$E$41</f>
        <v>t N2O</v>
      </c>
    </row>
    <row r="53" spans="4:22" ht="20.100000000000001" customHeight="1" x14ac:dyDescent="0.2">
      <c r="D53" s="104" t="s">
        <v>117</v>
      </c>
      <c r="E53" s="105">
        <f>SUM(F51:J51)</f>
        <v>7.4716451267705888E-2</v>
      </c>
      <c r="F53" s="106" t="str">
        <f>$E$41</f>
        <v>t N2O</v>
      </c>
      <c r="O53" s="104" t="s">
        <v>117</v>
      </c>
      <c r="P53" s="105">
        <f>SUM(Q51:U51)</f>
        <v>7.4716451267705888E-2</v>
      </c>
      <c r="Q53" s="106" t="str">
        <f>$E$41</f>
        <v>t N2O</v>
      </c>
    </row>
    <row r="55" spans="4:22" ht="20.100000000000001" customHeight="1" x14ac:dyDescent="0.2">
      <c r="D55" s="58" t="str" cm="1">
        <f t="array" ref="D55:E56">Common_Equations.Common_ConvertN2OToCO2e_Arguments()</f>
        <v>EN2O</v>
      </c>
      <c r="E55" s="59" t="str">
        <v>Nitrous oxide emissions (t N2O)</v>
      </c>
      <c r="F55" s="107"/>
      <c r="G55" s="53">
        <f>VEERG_4_3_1_9__1_DirectNitrousOxideEmissionsOnPasture_Result_Method1</f>
        <v>7.4716451267705888E-2</v>
      </c>
      <c r="O55" s="58" t="str" cm="1">
        <f t="array" ref="O55:P56">Common_Equations.Common_ConvertN2OToCO2e_Arguments()</f>
        <v>EN2O</v>
      </c>
      <c r="P55" s="59" t="str">
        <v>Nitrous oxide emissions (t N2O)</v>
      </c>
      <c r="Q55" s="107"/>
      <c r="R55" s="53">
        <f>VEERG_4_3_1_9__1_DirectNitrousOxideEmissionsOnPasture_Result_Method2</f>
        <v>7.4716451267705888E-2</v>
      </c>
    </row>
    <row r="56" spans="4:22" ht="20.100000000000001" customHeight="1" x14ac:dyDescent="0.2">
      <c r="D56" s="58" t="str">
        <v>GWPN2O</v>
      </c>
      <c r="E56" s="59" t="str">
        <v>Global warming potential for nitrous oxide (t CO2-e / t N2O)</v>
      </c>
      <c r="F56" s="107"/>
      <c r="G56" s="53">
        <f>Common_InputFunctions.Utility_LookupValueInTableNumber("N2O",Table_GWPData[Gas],Table_GWPData[CO2-e factor])</f>
        <v>265</v>
      </c>
      <c r="O56" s="58" t="str">
        <v>GWPN2O</v>
      </c>
      <c r="P56" s="59" t="str">
        <v>Global warming potential for nitrous oxide (t CO2-e / t N2O)</v>
      </c>
      <c r="Q56" s="107"/>
      <c r="R56" s="53">
        <f>Common_InputFunctions.Utility_LookupValueInTableNumber("N2O",Table_GWPData[Gas],Table_GWPData[CO2-e factor])</f>
        <v>265</v>
      </c>
    </row>
    <row r="58" spans="4:22" ht="20.100000000000001" customHeight="1" x14ac:dyDescent="0.2">
      <c r="D58" s="46" t="s">
        <v>104</v>
      </c>
      <c r="E58" s="46" cm="1">
        <f t="array" ref="E58">Common_Equations.Common_ConvertN2OToCO2e(G55,G56)</f>
        <v>19.799859585942059</v>
      </c>
      <c r="F58" s="108" t="str" cm="1">
        <f t="array" ref="F58">Common_Equations.Common_ConvertN2OToCO2e_Unit()</f>
        <v>t CO2e</v>
      </c>
      <c r="O58" s="46" t="s">
        <v>104</v>
      </c>
      <c r="P58" s="46" cm="1">
        <f t="array" ref="P58">Common_Equations.Common_ConvertN2OToCO2e(R55,R56)</f>
        <v>19.799859585942059</v>
      </c>
      <c r="Q58" s="108" t="str" cm="1">
        <f t="array" ref="Q58">Common_Equations.Common_ConvertN2OToCO2e_Unit()</f>
        <v>t CO2e</v>
      </c>
    </row>
  </sheetData>
  <dataValidations disablePrompts="1" count="1">
    <dataValidation operator="equal" allowBlank="1" showInputMessage="1" showErrorMessage="1" sqref="E25 E31 E34 P25 O34 P31 E51 P51" xr:uid="{C586A3D4-D021-4BB9-B9FF-F435DD98EA39}"/>
  </dataValidations>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sheetPr>
    <tabColor rgb="FF008000"/>
  </sheetPr>
  <dimension ref="A1:W50"/>
  <sheetViews>
    <sheetView showGridLines="0" topLeftCell="A37" zoomScaleNormal="100" workbookViewId="0">
      <selection activeCell="P45" sqref="P45"/>
    </sheetView>
  </sheetViews>
  <sheetFormatPr defaultRowHeight="20.100000000000001" customHeight="1" x14ac:dyDescent="0.2"/>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67" t="e" vm="1">
        <v>#VALUE!</v>
      </c>
      <c r="C1" s="8" t="s">
        <v>367</v>
      </c>
    </row>
    <row r="2" spans="1:23" s="9" customFormat="1" ht="20.100000000000001" customHeight="1" x14ac:dyDescent="0.2">
      <c r="A2"/>
    </row>
    <row r="3" spans="1:23" ht="20.100000000000001" customHeight="1" x14ac:dyDescent="0.2">
      <c r="A3" s="17" t="str">
        <f>HYPERLINK("#'Home'!A1", "Home")</f>
        <v>Home</v>
      </c>
      <c r="C3" s="4"/>
      <c r="D3" s="4"/>
      <c r="E3" s="4"/>
      <c r="F3" s="4"/>
      <c r="G3" s="4"/>
      <c r="H3" s="4"/>
      <c r="I3" s="4"/>
      <c r="J3" s="4"/>
      <c r="K3" s="4"/>
      <c r="L3" s="4"/>
      <c r="N3" s="4"/>
      <c r="O3" s="4"/>
      <c r="P3" s="4"/>
      <c r="Q3" s="4"/>
      <c r="R3" s="4"/>
      <c r="S3" s="4"/>
      <c r="T3" s="4"/>
      <c r="U3" s="4"/>
      <c r="V3" s="4"/>
      <c r="W3" s="4"/>
    </row>
    <row r="4" spans="1:23" ht="20.100000000000001" customHeight="1" x14ac:dyDescent="0.2">
      <c r="A4" s="17" t="str">
        <f>HYPERLINK("#'Overview'!A1", "Overview")</f>
        <v>Overview</v>
      </c>
    </row>
    <row r="5" spans="1:23" ht="20.100000000000001" customHeight="1" x14ac:dyDescent="0.2">
      <c r="A5" s="17" t="str">
        <f>HYPERLINK("#'Results'!A1", "Results")</f>
        <v>Results</v>
      </c>
      <c r="D5" s="6" t="str" cm="1">
        <f t="array" ref="D5">MMS_Dairy_Soil_AtmosphericDeposition_Equations.VEERG_4_3_1_10__2_MassOfNitrogenVolatilisedOnPasture_Title()</f>
        <v>Mass of nitrogen volatilised from urine and faeces deposited on pasture</v>
      </c>
    </row>
    <row r="6" spans="1:23" ht="20.100000000000001" customHeight="1" x14ac:dyDescent="0.2">
      <c r="D6" s="5" t="str" cm="1">
        <f t="array" ref="D6">MMS_Dairy_Soil_AtmosphericDeposition_Equations.VEERG_4_3_1_10__2_MassOfNitrogenVolatilisedOnPasture_Source()</f>
        <v>VEERG 2026: 4.3.1.10, Equation (2)</v>
      </c>
    </row>
    <row r="7" spans="1:23" ht="20.100000000000001" customHeight="1" x14ac:dyDescent="0.2">
      <c r="D7" s="13" t="s">
        <v>25</v>
      </c>
      <c r="E7" s="13" t="str" cm="1">
        <f t="array" aca="1" ref="E7" ca="1">Common_InputFunctions.Utility_DisplayFunctionName(F24)</f>
        <v>=MMS_Dairy_Soil_AtmosphericDeposition_Equations.VEERG_4_3_1_10__2_MassOfNitrogenVolatilisedOnPasture</v>
      </c>
    </row>
    <row r="8" spans="1:23" ht="20.100000000000001" customHeight="1" x14ac:dyDescent="0.2">
      <c r="A8" s="19" t="s">
        <v>0</v>
      </c>
    </row>
    <row r="9" spans="1:23" ht="20.100000000000001" customHeight="1" x14ac:dyDescent="0.2">
      <c r="A9" s="17" t="str">
        <f>HYPERLINK("#'Input - Site'!A1", "Site")</f>
        <v>Site</v>
      </c>
    </row>
    <row r="10" spans="1:23" ht="20.100000000000001" customHeight="1" x14ac:dyDescent="0.2">
      <c r="A10" s="17" t="str">
        <f>HYPERLINK("#'Input - Dairy'!A1", "Dairy")</f>
        <v>Dairy</v>
      </c>
      <c r="D10" s="54" t="s">
        <v>28</v>
      </c>
      <c r="E10" s="1" t="str" cm="1">
        <f t="array" ref="E10">MMS_Dairy_Soil_AtmosphericDeposition_Equations.VEERG_4_3_1_10__2_MassOfNitrogenVolatilisedOnPasture_Variable()</f>
        <v>M_vol_m14</v>
      </c>
    </row>
    <row r="11" spans="1:23" ht="20.100000000000001" customHeight="1" x14ac:dyDescent="0.2">
      <c r="D11" s="54" t="s">
        <v>18</v>
      </c>
      <c r="E11" s="55" t="str" cm="1">
        <f t="array" ref="E11">MMS_Dairy_Soil_AtmosphericDeposition_Equations.VEERG_4_3_1_10__2_MassOfNitrogenVolatilisedOnPasture_Unit()</f>
        <v>kg N</v>
      </c>
    </row>
    <row r="13" spans="1:23" ht="20.100000000000001" customHeight="1" x14ac:dyDescent="0.2">
      <c r="A13" s="18" t="s">
        <v>73</v>
      </c>
      <c r="D13" s="133" t="str" cm="1">
        <f t="array" ref="D13:E14">_xlfn.CHOOSECOLS(MMS_Dairy_Soil_AtmosphericDeposition_Equations.VEERG_4_3_1_10__2_MassOfNitrogenVolatilisedOnPasture_Arguments(),1,2)</f>
        <v>MN_jm14</v>
      </c>
      <c r="E13" s="133" t="str">
        <v>mass of nitrogen excreted on pasture, range and paddock for each dairy class</v>
      </c>
      <c r="F13" s="133"/>
      <c r="G13" s="133" t="str" cm="1">
        <f t="array" ref="G13:H14">_xlfn.CHOOSECOLS(MMS_Dairy_Soil_AtmosphericDeposition_Equations.VEERG_4_3_1_10__2_MassOfNitrogenVolatilisedOnPasture_Arguments(),3,4)</f>
        <v>kg N</v>
      </c>
      <c r="H13" s="129" t="str">
        <v>Calculated from 4.3.1.3 (2)</v>
      </c>
      <c r="I13" s="130" t="str" cm="1">
        <f t="array" aca="1" ref="I13" ca="1">HYPERLINK(Common_InputFunctions.Utility_SourceHyperlink($D$16),$D$16)</f>
        <v>M1_Table_MN_j_m-14</v>
      </c>
    </row>
    <row r="14" spans="1:23" ht="20.100000000000001" customHeight="1" x14ac:dyDescent="0.2">
      <c r="A14" s="17" t="str">
        <f>HYPERLINK("#'4.3.1.1-2 Methane'!A1", "4.3.1.1-2 Methane")</f>
        <v>4.3.1.1-2 Methane</v>
      </c>
      <c r="D14" s="133" t="str">
        <v>FracGASMsoil</v>
      </c>
      <c r="E14" s="133" t="str">
        <v>fraction of nitrogen volatilised from urine and faeces deposited on pasture</v>
      </c>
      <c r="F14" s="133"/>
      <c r="G14" s="133" t="str">
        <v>(kg NH3-N + NOx-N)/kg N)</v>
      </c>
      <c r="H14" s="129" t="str">
        <v>Constant</v>
      </c>
      <c r="I14" s="133">
        <f>SourceData_Dairy_FracGASMSoil_Data</f>
        <v>0.21</v>
      </c>
    </row>
    <row r="15" spans="1:23" ht="20.100000000000001" customHeight="1" x14ac:dyDescent="0.2">
      <c r="A15" s="17" t="str">
        <f>HYPERLINK("#'4.3.1.3-4 Direct N20'!A1", "4.3.1.3-4 Direct N20")</f>
        <v>4.3.1.3-4 Direct N20</v>
      </c>
    </row>
    <row r="16" spans="1:23" ht="20.100000000000001" customHeight="1" x14ac:dyDescent="0.2">
      <c r="A16" s="17" t="str">
        <f>HYPERLINK("#'4.3.1.5 Atmos deposition'!A1", "4.3.1.5 Atmos deposition")</f>
        <v>4.3.1.5 Atmos deposition</v>
      </c>
      <c r="D16" s="100" t="s">
        <v>352</v>
      </c>
      <c r="M16" s="57"/>
      <c r="O16" s="100" t="s">
        <v>354</v>
      </c>
    </row>
    <row r="17" spans="1:23" ht="20.100000000000001" customHeight="1" x14ac:dyDescent="0.2">
      <c r="A17" s="17" t="str">
        <f>HYPERLINK("#'4.3.1.6-7 Leaching and runoff'!A1", "4.3.1.6-7 Leaching and runoff")</f>
        <v>4.3.1.6-7 Leaching and runoff</v>
      </c>
      <c r="D17" s="99" t="s">
        <v>353</v>
      </c>
      <c r="M17" s="57"/>
      <c r="O17" s="99" t="s">
        <v>355</v>
      </c>
    </row>
    <row r="18" spans="1:23" ht="20.100000000000001" customHeight="1" x14ac:dyDescent="0.2">
      <c r="A18" s="17" t="str">
        <f>HYPERLINK("#'4.3.1.8 Manure applied to soils'!A1", "4.3.1.8 Manure applied to soils")</f>
        <v>4.3.1.8 Manure applied to soils</v>
      </c>
      <c r="D18" s="52" t="s">
        <v>142</v>
      </c>
      <c r="E18" s="52" t="s">
        <v>66</v>
      </c>
      <c r="F18" s="52" t="s">
        <v>167</v>
      </c>
      <c r="G18" s="52" t="s">
        <v>184</v>
      </c>
      <c r="H18" s="52" t="s">
        <v>185</v>
      </c>
      <c r="I18" s="52" t="s">
        <v>186</v>
      </c>
      <c r="J18" s="52" t="s">
        <v>187</v>
      </c>
      <c r="M18" s="57"/>
      <c r="O18" s="52" t="s">
        <v>142</v>
      </c>
      <c r="P18" s="52" t="s">
        <v>66</v>
      </c>
      <c r="Q18" s="52" t="s">
        <v>167</v>
      </c>
      <c r="R18" s="52" t="s">
        <v>184</v>
      </c>
      <c r="S18" s="52" t="s">
        <v>185</v>
      </c>
      <c r="T18" s="52" t="s">
        <v>186</v>
      </c>
      <c r="U18" s="52" t="s">
        <v>187</v>
      </c>
    </row>
    <row r="19" spans="1:23" ht="20.100000000000001" customHeight="1" x14ac:dyDescent="0.2">
      <c r="A19" s="17" t="str">
        <f>HYPERLINK("#'4.3.1.9 Soil direct N2O'!A1", "4.3.1.9 Soil direct N2O")</f>
        <v>4.3.1.9 Soil direct N2O</v>
      </c>
      <c r="D19" s="53" t="str">
        <f>INDEX(X_Table_Dairy_ProductionSystems_Method1,2,1)</f>
        <v>Pasture</v>
      </c>
      <c r="E19" s="53" t="str">
        <f>'Constants - Common Livestock'!$E$27</f>
        <v>Pasture range and paddock</v>
      </c>
      <c r="F19" s="53">
        <f>INDEX(M1_Table_MN_j_m14,2,3)</f>
        <v>9690.7906525703293</v>
      </c>
      <c r="G19" s="53">
        <f>INDEX(M1_Table_MN_j_m14,2,4)</f>
        <v>4426.3236377252861</v>
      </c>
      <c r="H19" s="53">
        <f>INDEX(M1_Table_MN_j_m14,2,5)</f>
        <v>1762.9578946423812</v>
      </c>
      <c r="I19" s="53">
        <f>INDEX(M1_Table_MN_j_m14,2,6)</f>
        <v>5564.0638693222609</v>
      </c>
      <c r="J19" s="53">
        <f>INDEX(M1_Table_MN_j_m14,2,7)</f>
        <v>2329.2802581916176</v>
      </c>
      <c r="K19" s="2" t="str">
        <f>$E$11</f>
        <v>kg N</v>
      </c>
      <c r="M19" s="57"/>
      <c r="O19" s="53" t="str">
        <f>INDEX(X_Table_Dairy_ProductionSystems_Method1,2,1)</f>
        <v>Pasture</v>
      </c>
      <c r="P19" s="53" t="str">
        <f>'Constants - Common Livestock'!$E$27</f>
        <v>Pasture range and paddock</v>
      </c>
      <c r="Q19" s="53">
        <f>INDEX(M2_Table_MN_j_m14,2,3)</f>
        <v>9690.7906525703293</v>
      </c>
      <c r="R19" s="53">
        <f>INDEX(M2_Table_MN_j_m14,2,4)</f>
        <v>4426.3236377252861</v>
      </c>
      <c r="S19" s="53">
        <f>INDEX(M2_Table_MN_j_m14,2,5)</f>
        <v>1762.9578946423812</v>
      </c>
      <c r="T19" s="53">
        <f>INDEX(M2_Table_MN_j_m14,2,6)</f>
        <v>5564.0638693222609</v>
      </c>
      <c r="U19" s="53">
        <f>INDEX(M2_Table_MN_j_m14,2,7)</f>
        <v>2329.2802581916176</v>
      </c>
      <c r="V19" s="2" t="str">
        <f>$E$11</f>
        <v>kg N</v>
      </c>
    </row>
    <row r="20" spans="1:23" ht="20.100000000000001" customHeight="1" x14ac:dyDescent="0.2">
      <c r="A20" s="21" t="str">
        <f>HYPERLINK("#'4.3.1.10-11 Soil Atmos Dep'!A1", "4.3.1.10-11 Soil Atmos Dep")</f>
        <v>4.3.1.10-11 Soil Atmos Dep</v>
      </c>
    </row>
    <row r="21" spans="1:23" ht="20.100000000000001" customHeight="1" x14ac:dyDescent="0.2">
      <c r="A21" s="17" t="str">
        <f>HYPERLINK("#'4.3.1.12-13 Soil leach runoff'!A1", "4.3.1.12-13 Soil leach runoff")</f>
        <v>4.3.1.12-13 Soil leach runoff</v>
      </c>
      <c r="D21" s="100" t="s">
        <v>360</v>
      </c>
      <c r="O21" s="100" t="s">
        <v>362</v>
      </c>
    </row>
    <row r="22" spans="1:23" ht="20.100000000000001" customHeight="1" x14ac:dyDescent="0.2">
      <c r="D22" s="99" t="s">
        <v>361</v>
      </c>
      <c r="O22" s="99" t="s">
        <v>363</v>
      </c>
    </row>
    <row r="23" spans="1:23" ht="20.100000000000001" customHeight="1" x14ac:dyDescent="0.2">
      <c r="D23" s="52" t="s">
        <v>142</v>
      </c>
      <c r="E23" s="52" t="s">
        <v>66</v>
      </c>
      <c r="F23" s="52" t="s">
        <v>167</v>
      </c>
      <c r="G23" s="52" t="s">
        <v>184</v>
      </c>
      <c r="H23" s="52" t="s">
        <v>185</v>
      </c>
      <c r="I23" s="52" t="s">
        <v>186</v>
      </c>
      <c r="J23" s="52" t="s">
        <v>187</v>
      </c>
      <c r="O23" s="52" t="s">
        <v>142</v>
      </c>
      <c r="P23" s="52" t="s">
        <v>66</v>
      </c>
      <c r="Q23" s="52" t="s">
        <v>167</v>
      </c>
      <c r="R23" s="52" t="s">
        <v>184</v>
      </c>
      <c r="S23" s="52" t="s">
        <v>185</v>
      </c>
      <c r="T23" s="52" t="s">
        <v>186</v>
      </c>
      <c r="U23" s="52" t="s">
        <v>187</v>
      </c>
    </row>
    <row r="24" spans="1:23" ht="20.100000000000001" customHeight="1" x14ac:dyDescent="0.2">
      <c r="A24" s="154" t="s">
        <v>1</v>
      </c>
      <c r="D24" s="53" t="str">
        <f>INDEX(X_Table_Dairy_ProductionSystems_Method1,2,1)</f>
        <v>Pasture</v>
      </c>
      <c r="E24" s="53" t="str">
        <f>'Constants - Common Livestock'!$E$27</f>
        <v>Pasture range and paddock</v>
      </c>
      <c r="F24" s="53" cm="1">
        <f t="array" ref="F24">MMS_Dairy_Soil_AtmosphericDeposition_Equations.VEERG_4_3_1_10__2_MassOfNitrogenVolatilisedOnPasture(F19,$I$14)</f>
        <v>2035.0660370397691</v>
      </c>
      <c r="G24" s="53" cm="1">
        <f t="array" ref="G24">MMS_Dairy_Soil_AtmosphericDeposition_Equations.VEERG_4_3_1_10__2_MassOfNitrogenVolatilisedOnPasture(G19,$I$14)</f>
        <v>929.52796392231005</v>
      </c>
      <c r="H24" s="53" cm="1">
        <f t="array" ref="H24">MMS_Dairy_Soil_AtmosphericDeposition_Equations.VEERG_4_3_1_10__2_MassOfNitrogenVolatilisedOnPasture(H19,$I$14)</f>
        <v>370.22115787490003</v>
      </c>
      <c r="I24" s="53" cm="1">
        <f t="array" ref="I24">MMS_Dairy_Soil_AtmosphericDeposition_Equations.VEERG_4_3_1_10__2_MassOfNitrogenVolatilisedOnPasture(I19,$I$14)</f>
        <v>1168.4534125576747</v>
      </c>
      <c r="J24" s="53" cm="1">
        <f t="array" ref="J24">MMS_Dairy_Soil_AtmosphericDeposition_Equations.VEERG_4_3_1_10__2_MassOfNitrogenVolatilisedOnPasture(J19,$I$14)</f>
        <v>489.14885422023968</v>
      </c>
      <c r="K24" s="2" t="str">
        <f>$E$11</f>
        <v>kg N</v>
      </c>
      <c r="O24" s="53" t="str">
        <f>INDEX(X_Table_Dairy_ProductionSystems_Method1,2,1)</f>
        <v>Pasture</v>
      </c>
      <c r="P24" s="53" t="str">
        <f>'Constants - Common Livestock'!$E$27</f>
        <v>Pasture range and paddock</v>
      </c>
      <c r="Q24" s="53" cm="1">
        <f t="array" ref="Q24">MMS_Dairy_Soil_AtmosphericDeposition_Equations.VEERG_4_3_1_10__2_MassOfNitrogenVolatilisedOnPasture(Q19,$I$14)</f>
        <v>2035.0660370397691</v>
      </c>
      <c r="R24" s="53" cm="1">
        <f t="array" ref="R24">MMS_Dairy_Soil_AtmosphericDeposition_Equations.VEERG_4_3_1_10__2_MassOfNitrogenVolatilisedOnPasture(R19,$I$14)</f>
        <v>929.52796392231005</v>
      </c>
      <c r="S24" s="53" cm="1">
        <f t="array" ref="S24">MMS_Dairy_Soil_AtmosphericDeposition_Equations.VEERG_4_3_1_10__2_MassOfNitrogenVolatilisedOnPasture(S19,$I$14)</f>
        <v>370.22115787490003</v>
      </c>
      <c r="T24" s="53" cm="1">
        <f t="array" ref="T24">MMS_Dairy_Soil_AtmosphericDeposition_Equations.VEERG_4_3_1_10__2_MassOfNitrogenVolatilisedOnPasture(T19,$I$14)</f>
        <v>1168.4534125576747</v>
      </c>
      <c r="U24" s="53" cm="1">
        <f t="array" ref="U24">MMS_Dairy_Soil_AtmosphericDeposition_Equations.VEERG_4_3_1_10__2_MassOfNitrogenVolatilisedOnPasture(U19,$I$14)</f>
        <v>489.14885422023968</v>
      </c>
      <c r="V24" s="2" t="str">
        <f>$E$11</f>
        <v>kg N</v>
      </c>
    </row>
    <row r="25" spans="1:23" ht="20.100000000000001" customHeight="1" x14ac:dyDescent="0.2">
      <c r="A25" s="17" t="str">
        <f>HYPERLINK("#'Constants - Dairy'!A1", "Constants - Dairy")</f>
        <v>Constants - Dairy</v>
      </c>
    </row>
    <row r="26" spans="1:23" ht="20.100000000000001" customHeight="1" x14ac:dyDescent="0.2">
      <c r="A26" s="17" t="str">
        <f>HYPERLINK("#'Constants - Common'!A1", "Constants - Common")</f>
        <v>Constants - Common</v>
      </c>
      <c r="D26" s="114" t="s">
        <v>374</v>
      </c>
      <c r="E26" s="46">
        <f>SUM(F24:J24)</f>
        <v>4992.4174256148935</v>
      </c>
      <c r="F26" s="108" t="str">
        <f>$E$11</f>
        <v>kg N</v>
      </c>
      <c r="O26" s="114" t="s">
        <v>374</v>
      </c>
      <c r="P26" s="46">
        <f>SUM(Q24:U24)</f>
        <v>4992.4174256148935</v>
      </c>
      <c r="Q26" s="108" t="str">
        <f>$E$11</f>
        <v>kg N</v>
      </c>
    </row>
    <row r="27" spans="1:23" ht="20.100000000000001" customHeight="1" x14ac:dyDescent="0.2">
      <c r="A27" s="17" t="str">
        <f>HYPERLINK("#'Constants - Livestock'!A1", "Constants - Livestock")</f>
        <v>Constants - Livestock</v>
      </c>
    </row>
    <row r="28" spans="1:23" ht="20.100000000000001" customHeight="1" x14ac:dyDescent="0.2">
      <c r="A28" s="17" t="str">
        <f>HYPERLINK("#'Acknowledgements'!A1", "Acknowledgements")</f>
        <v>Acknowledgements</v>
      </c>
    </row>
    <row r="29" spans="1:23" ht="20.100000000000001" customHeight="1" x14ac:dyDescent="0.2">
      <c r="A29" s="17" t="str">
        <f>HYPERLINK("#'Tab template'!A1", "Tab template")</f>
        <v>Tab template</v>
      </c>
      <c r="C29" s="46"/>
      <c r="D29" s="46"/>
      <c r="E29" s="46"/>
      <c r="F29" s="46"/>
      <c r="G29" s="46"/>
      <c r="H29" s="46"/>
      <c r="I29" s="46"/>
      <c r="J29" s="46"/>
      <c r="K29" s="46"/>
      <c r="L29" s="46"/>
      <c r="N29" s="46"/>
      <c r="O29" s="46"/>
      <c r="P29" s="46"/>
      <c r="Q29" s="46"/>
      <c r="R29" s="46"/>
      <c r="S29" s="46"/>
      <c r="T29" s="46"/>
      <c r="U29" s="46"/>
      <c r="V29" s="46"/>
      <c r="W29" s="46"/>
    </row>
    <row r="30" spans="1:23" ht="20.100000000000001" customHeight="1" x14ac:dyDescent="0.2">
      <c r="D30" s="6" t="str" cm="1">
        <f t="array" ref="D30">MMS_Dairy_Soil_AtmosphericDeposition_Equations.VEERG_4_3_1_10__1_AtmosphericDepositionEmissionsFromUrineAndDungOnPasture_Title()</f>
        <v>Atmospheric deposition emissions from urine and dung deposited on pasture</v>
      </c>
    </row>
    <row r="31" spans="1:23" ht="20.100000000000001" customHeight="1" x14ac:dyDescent="0.2">
      <c r="D31" s="5" t="str" cm="1">
        <f t="array" ref="D31">MMS_Dairy_Soil_AtmosphericDeposition_Equations.VEERG_4_3_1_10__1_AtmosphericDepositionEmissionsFromUrineAndDungOnPasture_Source()</f>
        <v>VEERG 2026: 4.3.1.10, Equation (1)</v>
      </c>
    </row>
    <row r="32" spans="1:23" ht="20.100000000000001" customHeight="1" x14ac:dyDescent="0.2">
      <c r="D32" s="13" t="s">
        <v>25</v>
      </c>
      <c r="E32" s="13" t="str">
        <f ca="1">Common_InputFunctions.Utility_DisplayFunctionName(VEERG_4_3_1_10__1_AtmosphericDepositionEmissionsFromUrineAndDungOnPasture_Result_Method1)</f>
        <v>=MMS_Dairy_Soil_AtmosphericDeposition_Equations.VEERG_4_3_1_10__1_AtmosphericDepositionEmissionsFromUrineAndDungOnPasture</v>
      </c>
    </row>
    <row r="35" spans="4:19" ht="20.100000000000001" customHeight="1" x14ac:dyDescent="0.2">
      <c r="D35" s="54" t="s">
        <v>28</v>
      </c>
      <c r="E35" s="1" t="str" cm="1">
        <f t="array" ref="E35">MMS_Dairy_Soil_AtmosphericDeposition_Equations.VEERG_4_3_1_10__1_AtmosphericDepositionEmissionsFromUrineAndDungOnPasture_Variable()</f>
        <v>E_N2Oad</v>
      </c>
    </row>
    <row r="36" spans="4:19" ht="20.100000000000001" customHeight="1" x14ac:dyDescent="0.2">
      <c r="D36" s="54" t="s">
        <v>18</v>
      </c>
      <c r="E36" s="55" t="str" cm="1">
        <f t="array" ref="E36">MMS_Dairy_Soil_AtmosphericDeposition_Equations.VEERG_4_3_1_10__1_AtmosphericDepositionEmissionsFromUrineAndDungOnPasture_Unit()</f>
        <v>t N2O</v>
      </c>
    </row>
    <row r="38" spans="4:19" ht="20.100000000000001" customHeight="1" x14ac:dyDescent="0.2">
      <c r="D38" s="133" t="str" cm="1">
        <f t="array" ref="D38:E43">_xlfn.CHOOSECOLS(MMS_Dairy_Soil_AtmosphericDeposition_Equations.VEERG_4_3_1_10__1_AtmosphericDepositionEmissionsFromUrineAndDungOnPasture_Arguments(),1,2)</f>
        <v>M_vol_m14</v>
      </c>
      <c r="E38" s="132" t="str">
        <v>mass of nitrogen volatilised from urine and faeces deposited on pasture</v>
      </c>
      <c r="F38" s="134"/>
      <c r="G38" s="133" t="str" cm="1">
        <f t="array" ref="G38:H43">_xlfn.CHOOSECOLS(MMS_Dairy_Soil_AtmosphericDeposition_Equations.VEERG_4_3_1_10__1_AtmosphericDepositionEmissionsFromUrineAndDungOnPasture_Arguments(),3,4)</f>
        <v>kg N</v>
      </c>
      <c r="H38" s="129" t="str">
        <v>Calculated from 4.3.1.10 (2)</v>
      </c>
      <c r="I38" s="133">
        <f>$E$26</f>
        <v>4992.4174256148935</v>
      </c>
      <c r="O38" s="58" t="str">
        <f>D38</f>
        <v>M_vol_m14</v>
      </c>
      <c r="P38" s="58" t="str">
        <f>E38</f>
        <v>mass of nitrogen volatilised from urine and faeces deposited on pasture</v>
      </c>
      <c r="Q38" s="59"/>
      <c r="R38" s="60"/>
      <c r="S38" s="58">
        <f>$P$26</f>
        <v>4992.4174256148935</v>
      </c>
    </row>
    <row r="39" spans="4:19" ht="20.100000000000001" customHeight="1" x14ac:dyDescent="0.2">
      <c r="D39" s="133" t="str">
        <v>EF_N2O</v>
      </c>
      <c r="E39" s="132" t="str">
        <v>nitrous oxide emission factor for atmospheric deposition</v>
      </c>
      <c r="F39" s="134"/>
      <c r="G39" s="133" t="str">
        <v>kg N2O-N/kg N</v>
      </c>
      <c r="H39" s="129" t="str">
        <v>Constant</v>
      </c>
      <c r="I39" s="133">
        <f>Common_InputFunctions.Utility_LookupN2OEFFromProdIrrigationRainfall(I41,I42,I43,Table_SourceData_Common_EFN2O[Production system only],Table_SourceData_Common_EFN2O[Irrigation method],Table_SourceData_Common_EFN2O[Rainfall zone],Table_SourceData_Common_EFN2O[EFN2O])</f>
        <v>5.8999999999999999E-3</v>
      </c>
      <c r="O39" s="58"/>
      <c r="P39" s="59"/>
      <c r="Q39" s="101"/>
      <c r="R39" s="60"/>
      <c r="S39" s="58"/>
    </row>
    <row r="40" spans="4:19" ht="20.100000000000001" customHeight="1" x14ac:dyDescent="0.2">
      <c r="D40" s="133" t="str">
        <v>C_N2O</v>
      </c>
      <c r="E40" s="132" t="str">
        <v>factor to convert elemental mass of N2O to molecular mass</v>
      </c>
      <c r="F40" s="134"/>
      <c r="G40" s="133" t="str">
        <v/>
      </c>
      <c r="H40" s="129" t="str">
        <v>Constant</v>
      </c>
      <c r="I40" s="133">
        <f>Common_InputFunctions.Utility_LookupValueInTableNumber("N2O",Table_GasToMolecularConversionFactor[Gas],Table_GasToMolecularConversionFactor[Conversion factor combined])</f>
        <v>1.5714285714285714</v>
      </c>
      <c r="O40" s="58"/>
      <c r="P40" s="59"/>
      <c r="Q40" s="101"/>
      <c r="R40" s="60"/>
      <c r="S40" s="58"/>
    </row>
    <row r="41" spans="4:19" ht="20.100000000000001" customHeight="1" x14ac:dyDescent="0.2">
      <c r="D41" s="133" t="str">
        <v>j</v>
      </c>
      <c r="E41" s="132" t="str">
        <v>production system</v>
      </c>
      <c r="F41" s="134"/>
      <c r="G41" s="133" t="str">
        <v/>
      </c>
      <c r="H41" s="131" t="str">
        <v>Input</v>
      </c>
      <c r="I41" s="133" t="str">
        <f>X_Cell_Dairy_ManureAppliedProductionSystem</f>
        <v>Pasture</v>
      </c>
      <c r="O41" s="58"/>
      <c r="P41" s="59"/>
      <c r="Q41" s="101"/>
      <c r="R41" s="60"/>
      <c r="S41" s="58"/>
    </row>
    <row r="42" spans="4:19" ht="20.100000000000001" customHeight="1" x14ac:dyDescent="0.2">
      <c r="D42" s="133" t="str">
        <v>ir</v>
      </c>
      <c r="E42" s="132" t="str">
        <v>irrigation method</v>
      </c>
      <c r="F42" s="134"/>
      <c r="G42" s="133" t="str">
        <v/>
      </c>
      <c r="H42" s="131" t="str">
        <v>Input</v>
      </c>
      <c r="I42" s="133" t="str">
        <f>X_Cell_Dairy_ManureAppliedIrrigationMethod</f>
        <v>Sprinkler irrigation</v>
      </c>
      <c r="O42" s="58"/>
      <c r="P42" s="59"/>
      <c r="Q42" s="101"/>
      <c r="R42" s="60"/>
      <c r="S42" s="58"/>
    </row>
    <row r="43" spans="4:19" ht="20.100000000000001" customHeight="1" x14ac:dyDescent="0.2">
      <c r="D43" s="133" t="str">
        <v>r</v>
      </c>
      <c r="E43" s="132" t="str">
        <v>rainfall region</v>
      </c>
      <c r="F43" s="134"/>
      <c r="G43" s="133" t="str">
        <v/>
      </c>
      <c r="H43" s="131" t="str">
        <v>Input</v>
      </c>
      <c r="I43" s="133" t="str">
        <f>X_Cell_Site_RainfallZone</f>
        <v>High rainfall</v>
      </c>
      <c r="O43" s="58"/>
      <c r="P43" s="59"/>
      <c r="Q43" s="101"/>
      <c r="R43" s="60"/>
      <c r="S43" s="58"/>
    </row>
    <row r="45" spans="4:19" ht="20.100000000000001" customHeight="1" x14ac:dyDescent="0.2">
      <c r="D45" s="104" t="s">
        <v>149</v>
      </c>
      <c r="E45" s="105" cm="1">
        <f t="array" ref="E45">MMS_Dairy_Soil_AtmosphericDeposition_Equations.VEERG_4_3_1_10__1_AtmosphericDepositionEmissionsFromUrineAndDungOnPasture($I$38,$I$39,$I$40)</f>
        <v>4.6286841560343794E-2</v>
      </c>
      <c r="F45" s="106" t="str">
        <f>$E$36</f>
        <v>t N2O</v>
      </c>
      <c r="O45" s="104" t="s">
        <v>149</v>
      </c>
      <c r="P45" s="105" cm="1">
        <f t="array" ref="P45">MMS_Dairy_Soil_AtmosphericDeposition_Equations.VEERG_4_3_1_10__1_AtmosphericDepositionEmissionsFromUrineAndDungOnPasture($S$38,$I$39,$I$40)</f>
        <v>4.6286841560343794E-2</v>
      </c>
      <c r="Q45" s="106" t="str">
        <f>$E$36</f>
        <v>t N2O</v>
      </c>
    </row>
    <row r="47" spans="4:19" ht="20.100000000000001" customHeight="1" x14ac:dyDescent="0.2">
      <c r="D47" s="58" t="str" cm="1">
        <f t="array" ref="D47:E48">Common_Equations.Common_ConvertN2OToCO2e_Arguments()</f>
        <v>EN2O</v>
      </c>
      <c r="E47" s="59" t="str">
        <v>Nitrous oxide emissions (t N2O)</v>
      </c>
      <c r="F47" s="107"/>
      <c r="G47" s="53">
        <f>VEERG_4_3_1_10__1_AtmosphericDepositionEmissionsFromUrineAndDungOnPasture_Result_Method1</f>
        <v>4.6286841560343794E-2</v>
      </c>
      <c r="O47" s="58" t="str" cm="1">
        <f t="array" ref="O47:P48">Common_Equations.Common_ConvertN2OToCO2e_Arguments()</f>
        <v>EN2O</v>
      </c>
      <c r="P47" s="59" t="str">
        <v>Nitrous oxide emissions (t N2O)</v>
      </c>
      <c r="Q47" s="107"/>
      <c r="R47" s="53">
        <f>VEERG_4_3_1_10__1_AtmosphericDepositionEmissionsFromUrineAndDungOnPasture_Result_Method2</f>
        <v>4.6286841560343794E-2</v>
      </c>
    </row>
    <row r="48" spans="4:19" ht="20.100000000000001" customHeight="1" x14ac:dyDescent="0.2">
      <c r="D48" s="58" t="str">
        <v>GWPN2O</v>
      </c>
      <c r="E48" s="59" t="str">
        <v>Global warming potential for nitrous oxide (t CO2-e / t N2O)</v>
      </c>
      <c r="F48" s="107"/>
      <c r="G48" s="53">
        <f>Common_InputFunctions.Utility_LookupValueInTableNumber("N2O",Table_GWPData[Gas],Table_GWPData[CO2-e factor])</f>
        <v>265</v>
      </c>
      <c r="O48" s="58" t="str">
        <v>GWPN2O</v>
      </c>
      <c r="P48" s="59" t="str">
        <v>Global warming potential for nitrous oxide (t CO2-e / t N2O)</v>
      </c>
      <c r="Q48" s="107"/>
      <c r="R48" s="53">
        <f>Common_InputFunctions.Utility_LookupValueInTableNumber("N2O",Table_GWPData[Gas],Table_GWPData[CO2-e factor])</f>
        <v>265</v>
      </c>
    </row>
    <row r="50" spans="4:17" ht="20.100000000000001" customHeight="1" x14ac:dyDescent="0.2">
      <c r="D50" s="46" t="s">
        <v>104</v>
      </c>
      <c r="E50" s="46" cm="1">
        <f t="array" ref="E50">Common_Equations.Common_ConvertN2OToCO2e(G47,G48)</f>
        <v>12.266013013491106</v>
      </c>
      <c r="F50" s="108" t="str" cm="1">
        <f t="array" ref="F50">Common_Equations.Common_ConvertN2OToCO2e_Unit()</f>
        <v>t CO2e</v>
      </c>
      <c r="O50" s="46" t="s">
        <v>104</v>
      </c>
      <c r="P50" s="46" cm="1">
        <f t="array" ref="P50">Common_Equations.Common_ConvertN2OToCO2e(R47,R48)</f>
        <v>12.266013013491106</v>
      </c>
      <c r="Q50" s="108" t="str" cm="1">
        <f t="array" ref="Q50">Common_Equations.Common_ConvertN2OToCO2e_Unit()</f>
        <v>t CO2e</v>
      </c>
    </row>
  </sheetData>
  <dataValidations disablePrompts="1" count="1">
    <dataValidation operator="equal" allowBlank="1" showInputMessage="1" showErrorMessage="1" sqref="E19 P19 E24 P24" xr:uid="{27894986-D8F7-4ECC-BDC3-495A6C274A89}"/>
  </dataValidations>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sheetPr>
    <tabColor rgb="FF008000"/>
  </sheetPr>
  <dimension ref="A1:W52"/>
  <sheetViews>
    <sheetView showGridLines="0" tabSelected="1" topLeftCell="A33" zoomScaleNormal="100" workbookViewId="0">
      <selection activeCell="P47" sqref="P47"/>
    </sheetView>
  </sheetViews>
  <sheetFormatPr defaultRowHeight="20.100000000000001" customHeight="1" x14ac:dyDescent="0.2"/>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67" t="e" vm="1">
        <v>#VALUE!</v>
      </c>
      <c r="C1" s="8" t="s">
        <v>366</v>
      </c>
    </row>
    <row r="2" spans="1:23" s="9" customFormat="1" ht="20.100000000000001" customHeight="1" x14ac:dyDescent="0.2">
      <c r="A2"/>
    </row>
    <row r="3" spans="1:23" ht="20.100000000000001" customHeight="1" x14ac:dyDescent="0.2">
      <c r="A3" s="17" t="str">
        <f>HYPERLINK("#'Home'!A1", "Home")</f>
        <v>Home</v>
      </c>
      <c r="C3" s="4"/>
      <c r="D3" s="4"/>
      <c r="E3" s="4"/>
      <c r="F3" s="4"/>
      <c r="G3" s="4"/>
      <c r="H3" s="4"/>
      <c r="I3" s="4"/>
      <c r="J3" s="4"/>
      <c r="K3" s="4"/>
      <c r="L3" s="4"/>
      <c r="N3" s="4"/>
      <c r="O3" s="4"/>
      <c r="P3" s="4"/>
      <c r="Q3" s="4"/>
      <c r="R3" s="4"/>
      <c r="S3" s="4"/>
      <c r="T3" s="4"/>
      <c r="U3" s="4"/>
      <c r="V3" s="4"/>
      <c r="W3" s="4"/>
    </row>
    <row r="4" spans="1:23" ht="20.100000000000001" customHeight="1" x14ac:dyDescent="0.2">
      <c r="A4" s="17" t="str">
        <f>HYPERLINK("#'Overview'!A1", "Overview")</f>
        <v>Overview</v>
      </c>
    </row>
    <row r="5" spans="1:23" ht="20.100000000000001" customHeight="1" x14ac:dyDescent="0.2">
      <c r="A5" s="17" t="str">
        <f>HYPERLINK("#'Results'!A1", "Results")</f>
        <v>Results</v>
      </c>
      <c r="D5" s="6" t="str" cm="1">
        <f t="array" ref="D5">MMS_Dairy_Soil_LeachingAndRunoff.VEERG_4_3_1_12__2_MassOfNitrogenLostToLeachingAndRunoffOnPasture_Title()</f>
        <v>Mass of nitrogen lost to leaching and runoff from urine and faeces on pasture</v>
      </c>
    </row>
    <row r="6" spans="1:23" ht="20.100000000000001" customHeight="1" x14ac:dyDescent="0.2">
      <c r="D6" s="5" t="str" cm="1">
        <f t="array" ref="D6">MMS_Dairy_Soil_LeachingAndRunoff.VEERG_4_3_1_12__2_MassOfNitrogenLostToLeachingAndRunoffOnPasture_Source()</f>
        <v>VEERG 2026: 4.3.1.12, Equation (2)</v>
      </c>
    </row>
    <row r="7" spans="1:23" ht="20.100000000000001" customHeight="1" x14ac:dyDescent="0.2">
      <c r="D7" s="13" t="s">
        <v>25</v>
      </c>
      <c r="E7" s="13" t="str" cm="1">
        <f t="array" aca="1" ref="E7" ca="1">Common_InputFunctions.Utility_DisplayFunctionName($F$28)</f>
        <v>=MMS_Dairy_Soil_LeachingAndRunoff.VEERG_4_3_1_12__2_MassOfNitrogenLostToLeachingAndRunoffOnPasture</v>
      </c>
    </row>
    <row r="8" spans="1:23" ht="20.100000000000001" customHeight="1" x14ac:dyDescent="0.2">
      <c r="A8" s="19" t="s">
        <v>0</v>
      </c>
      <c r="E8" s="1" t="s">
        <v>15</v>
      </c>
    </row>
    <row r="9" spans="1:23" ht="20.100000000000001" customHeight="1" x14ac:dyDescent="0.2">
      <c r="A9" s="17" t="str">
        <f>HYPERLINK("#'Input - Site'!A1", "Site")</f>
        <v>Site</v>
      </c>
    </row>
    <row r="10" spans="1:23" ht="20.100000000000001" customHeight="1" x14ac:dyDescent="0.2">
      <c r="A10" s="17" t="str">
        <f>HYPERLINK("#'Input - Dairy'!A1", "Dairy")</f>
        <v>Dairy</v>
      </c>
      <c r="D10" s="54" t="s">
        <v>28</v>
      </c>
      <c r="E10" s="1" t="str" cm="1">
        <f t="array" ref="E10">MMS_Dairy_Soil_LeachingAndRunoff.VEERG_4_3_1_12__2_MassOfNitrogenLostToLeachingAndRunoffOnPasture_Variable()</f>
        <v>M_leach_m14</v>
      </c>
    </row>
    <row r="11" spans="1:23" ht="20.100000000000001" customHeight="1" x14ac:dyDescent="0.2">
      <c r="D11" s="54" t="s">
        <v>18</v>
      </c>
      <c r="E11" s="55" t="str" cm="1">
        <f t="array" ref="E11">MMS_Dairy_Soil_LeachingAndRunoff.VEERG_4_3_1_12__2_MassOfNitrogenLostToLeachingAndRunoffOnPasture_Unit()</f>
        <v>kg N</v>
      </c>
    </row>
    <row r="13" spans="1:23" ht="20.100000000000001" customHeight="1" x14ac:dyDescent="0.2">
      <c r="A13" s="18" t="s">
        <v>73</v>
      </c>
      <c r="D13" s="133" t="str" cm="1">
        <f t="array" ref="D13:E18">_xlfn.CHOOSECOLS(MMS_Dairy_Soil_LeachingAndRunoff.VEERG_4_3_1_12__2_MassOfNitrogenLostToLeachingAndRunoffOnPasture_Arguments(),1,2)</f>
        <v>MN_jm14</v>
      </c>
      <c r="E13" s="132" t="str">
        <v>mass of nitrogen excreted on pasture, range and paddock for each dairy class</v>
      </c>
      <c r="F13" s="134"/>
      <c r="G13" s="133" t="str" cm="1">
        <f t="array" ref="G13:H18">_xlfn.CHOOSECOLS(MMS_Dairy_Soil_LeachingAndRunoff.VEERG_4_3_1_12__2_MassOfNitrogenLostToLeachingAndRunoffOnPasture_Arguments(),3,4)</f>
        <v>kg N</v>
      </c>
      <c r="H13" s="129" t="str">
        <v>Calculated from 4.3.1.3 (2)</v>
      </c>
      <c r="I13" s="130" t="str" cm="1">
        <f t="array" aca="1" ref="I13" ca="1">HYPERLINK(Common_InputFunctions.Utility_SourceHyperlink($D$20),$D$20)</f>
        <v>M1_Table_MN_j_m-14</v>
      </c>
    </row>
    <row r="14" spans="1:23" ht="20.100000000000001" customHeight="1" x14ac:dyDescent="0.2">
      <c r="A14" s="17" t="str">
        <f>HYPERLINK("#'4.3.1.1-2 Methane'!A1", "4.3.1.1-2 Methane")</f>
        <v>4.3.1.1-2 Methane</v>
      </c>
      <c r="D14" s="133" t="str">
        <v>FracWet</v>
      </c>
      <c r="E14" s="132" t="str">
        <v>fraction of N available for leaching and runoff</v>
      </c>
      <c r="F14" s="134"/>
      <c r="G14" s="133" t="str">
        <v/>
      </c>
      <c r="H14" s="129" t="str">
        <v>Constant</v>
      </c>
      <c r="I14" s="133">
        <f>Common_InputFunctions.CommonCropping_GetFracWET(I16,I18,Table_SourceData_FracWET[Is in leaching zone],Table_SourceData_FracWET[FracWET],Table_SourceData_FracWETIrrigation[Irrigation type i],Table_SourceData_FracWETIrrigation[FracWET])</f>
        <v>1</v>
      </c>
    </row>
    <row r="15" spans="1:23" ht="20.100000000000001" customHeight="1" x14ac:dyDescent="0.2">
      <c r="A15" s="17" t="str">
        <f>HYPERLINK("#'4.3.1.3-4 Direct N20'!A1", "4.3.1.3-4 Direct N20")</f>
        <v>4.3.1.3-4 Direct N20</v>
      </c>
      <c r="D15" s="133" t="str">
        <v>FracLEACH</v>
      </c>
      <c r="E15" s="132" t="str">
        <v>fraction of N lost through leaching and runoff</v>
      </c>
      <c r="F15" s="134"/>
      <c r="G15" s="133" t="str">
        <v/>
      </c>
      <c r="H15" s="129" t="str">
        <v>Constant</v>
      </c>
      <c r="I15" s="133">
        <f>SourceData_Dairy_FractionOfNitrogenLostThroughLeachingAndRunoff_Data</f>
        <v>0.24</v>
      </c>
    </row>
    <row r="16" spans="1:23" ht="20.100000000000001" customHeight="1" x14ac:dyDescent="0.2">
      <c r="A16" s="17" t="str">
        <f>HYPERLINK("#'4.3.1.5 Atmos deposition'!A1", "4.3.1.5 Atmos deposition")</f>
        <v>4.3.1.5 Atmos deposition</v>
      </c>
      <c r="D16" s="133" t="str">
        <v>z</v>
      </c>
      <c r="E16" s="132" t="str">
        <v>location in leaching zone</v>
      </c>
      <c r="F16" s="134"/>
      <c r="G16" s="133" t="str">
        <v/>
      </c>
      <c r="H16" s="131" t="str">
        <v>Input</v>
      </c>
      <c r="I16" s="133" t="str">
        <f>X_Cell_Site_LeachingZone</f>
        <v>NO - Not in leaching zone</v>
      </c>
    </row>
    <row r="17" spans="1:22" ht="20.100000000000001" customHeight="1" x14ac:dyDescent="0.2">
      <c r="A17" s="17" t="str">
        <f>HYPERLINK("#'4.3.1.6-7 Leaching and runoff'!A1", "4.3.1.6-7 Leaching and runoff")</f>
        <v>4.3.1.6-7 Leaching and runoff</v>
      </c>
      <c r="D17" s="133" t="str">
        <v>j</v>
      </c>
      <c r="E17" s="132" t="str">
        <v>production system</v>
      </c>
      <c r="F17" s="134"/>
      <c r="G17" s="133" t="str">
        <v/>
      </c>
      <c r="H17" s="131" t="str">
        <v>Input</v>
      </c>
      <c r="I17" s="133" t="str">
        <f>X_Cell_Dairy_ManureAppliedProductionSystem</f>
        <v>Pasture</v>
      </c>
    </row>
    <row r="18" spans="1:22" ht="20.100000000000001" customHeight="1" x14ac:dyDescent="0.2">
      <c r="A18" s="17" t="str">
        <f>HYPERLINK("#'4.3.1.8 Manure applied to soils'!A1", "4.3.1.8 Manure applied to soils")</f>
        <v>4.3.1.8 Manure applied to soils</v>
      </c>
      <c r="D18" s="133" t="str">
        <v>ir</v>
      </c>
      <c r="E18" s="132" t="str">
        <v>irrigation method</v>
      </c>
      <c r="F18" s="134"/>
      <c r="G18" s="133" t="str">
        <v/>
      </c>
      <c r="H18" s="131" t="str">
        <v>Input</v>
      </c>
      <c r="I18" s="133" t="str">
        <f>X_Cell_Dairy_ManureAppliedIrrigationMethod</f>
        <v>Sprinkler irrigation</v>
      </c>
    </row>
    <row r="19" spans="1:22" ht="20.100000000000001" customHeight="1" x14ac:dyDescent="0.2">
      <c r="A19" s="17" t="str">
        <f>HYPERLINK("#'4.3.1.9 Soil direct N2O'!A1", "4.3.1.9 Soil direct N2O")</f>
        <v>4.3.1.9 Soil direct N2O</v>
      </c>
    </row>
    <row r="20" spans="1:22" ht="20.100000000000001" customHeight="1" x14ac:dyDescent="0.2">
      <c r="A20" s="17" t="str">
        <f>HYPERLINK("#'4.3.1.10-11 Soil Atmos Dep'!A1", "4.3.1.10-11 Soil Atmos Dep")</f>
        <v>4.3.1.10-11 Soil Atmos Dep</v>
      </c>
      <c r="D20" s="100" t="s">
        <v>352</v>
      </c>
      <c r="M20" s="57"/>
      <c r="O20" s="100" t="s">
        <v>354</v>
      </c>
    </row>
    <row r="21" spans="1:22" ht="20.100000000000001" customHeight="1" x14ac:dyDescent="0.2">
      <c r="A21" s="21" t="str">
        <f>HYPERLINK("#'4.3.1.12-13 Soil leach runoff'!A1", "4.3.1.12-13 Soil leach runoff")</f>
        <v>4.3.1.12-13 Soil leach runoff</v>
      </c>
      <c r="D21" s="99" t="s">
        <v>353</v>
      </c>
      <c r="M21" s="57"/>
      <c r="O21" s="99" t="s">
        <v>355</v>
      </c>
    </row>
    <row r="22" spans="1:22" ht="20.100000000000001" customHeight="1" x14ac:dyDescent="0.2">
      <c r="D22" s="52" t="s">
        <v>142</v>
      </c>
      <c r="E22" s="52" t="s">
        <v>66</v>
      </c>
      <c r="F22" s="52" t="s">
        <v>167</v>
      </c>
      <c r="G22" s="52" t="s">
        <v>184</v>
      </c>
      <c r="H22" s="52" t="s">
        <v>185</v>
      </c>
      <c r="I22" s="52" t="s">
        <v>186</v>
      </c>
      <c r="J22" s="52" t="s">
        <v>187</v>
      </c>
      <c r="M22" s="57"/>
      <c r="O22" s="52" t="s">
        <v>142</v>
      </c>
      <c r="P22" s="52" t="s">
        <v>66</v>
      </c>
      <c r="Q22" s="52" t="s">
        <v>167</v>
      </c>
      <c r="R22" s="52" t="s">
        <v>184</v>
      </c>
      <c r="S22" s="52" t="s">
        <v>185</v>
      </c>
      <c r="T22" s="52" t="s">
        <v>186</v>
      </c>
      <c r="U22" s="52" t="s">
        <v>187</v>
      </c>
    </row>
    <row r="23" spans="1:22" ht="20.100000000000001" customHeight="1" x14ac:dyDescent="0.2">
      <c r="D23" s="53" t="str">
        <f>INDEX(X_Table_Dairy_ProductionSystems_Method1,2,1)</f>
        <v>Pasture</v>
      </c>
      <c r="E23" s="53" t="str">
        <f>'Constants - Common Livestock'!$E$27</f>
        <v>Pasture range and paddock</v>
      </c>
      <c r="F23" s="53">
        <f>INDEX(M1_Table_MN_j_m14,2,3)</f>
        <v>9690.7906525703293</v>
      </c>
      <c r="G23" s="53">
        <f>INDEX(M1_Table_MN_j_m14,2,4)</f>
        <v>4426.3236377252861</v>
      </c>
      <c r="H23" s="53">
        <f>INDEX(M1_Table_MN_j_m14,2,5)</f>
        <v>1762.9578946423812</v>
      </c>
      <c r="I23" s="53">
        <f>INDEX(M1_Table_MN_j_m14,2,6)</f>
        <v>5564.0638693222609</v>
      </c>
      <c r="J23" s="53">
        <f>INDEX(M1_Table_MN_j_m14,2,7)</f>
        <v>2329.2802581916176</v>
      </c>
      <c r="K23" s="2" t="str">
        <f>$E$11</f>
        <v>kg N</v>
      </c>
      <c r="M23" s="57"/>
      <c r="O23" s="53" t="str">
        <f>INDEX(X_Table_Dairy_ProductionSystems_Method1,2,1)</f>
        <v>Pasture</v>
      </c>
      <c r="P23" s="53" t="str">
        <f>'Constants - Common Livestock'!$E$27</f>
        <v>Pasture range and paddock</v>
      </c>
      <c r="Q23" s="53">
        <f>INDEX(M2_Table_MN_j_m14,2,3)</f>
        <v>9690.7906525703293</v>
      </c>
      <c r="R23" s="53">
        <f>INDEX(M2_Table_MN_j_m14,2,4)</f>
        <v>4426.3236377252861</v>
      </c>
      <c r="S23" s="53">
        <f>INDEX(M2_Table_MN_j_m14,2,5)</f>
        <v>1762.9578946423812</v>
      </c>
      <c r="T23" s="53">
        <f>INDEX(M2_Table_MN_j_m14,2,6)</f>
        <v>5564.0638693222609</v>
      </c>
      <c r="U23" s="53">
        <f>INDEX(M2_Table_MN_j_m14,2,7)</f>
        <v>2329.2802581916176</v>
      </c>
      <c r="V23" s="2" t="str">
        <f>$E$11</f>
        <v>kg N</v>
      </c>
    </row>
    <row r="24" spans="1:22" ht="20.100000000000001" customHeight="1" x14ac:dyDescent="0.2">
      <c r="A24" s="154" t="s">
        <v>1</v>
      </c>
    </row>
    <row r="25" spans="1:22" ht="20.100000000000001" customHeight="1" x14ac:dyDescent="0.2">
      <c r="A25" s="17" t="str">
        <f>HYPERLINK("#'Constants - Dairy'!A1", "Constants - Dairy")</f>
        <v>Constants - Dairy</v>
      </c>
      <c r="D25" s="100" t="s">
        <v>368</v>
      </c>
      <c r="O25" s="100" t="s">
        <v>370</v>
      </c>
    </row>
    <row r="26" spans="1:22" ht="20.100000000000001" customHeight="1" x14ac:dyDescent="0.2">
      <c r="A26" s="17" t="str">
        <f>HYPERLINK("#'Constants - Common'!A1", "Constants - Common")</f>
        <v>Constants - Common</v>
      </c>
      <c r="D26" s="99" t="s">
        <v>369</v>
      </c>
      <c r="O26" s="99" t="s">
        <v>371</v>
      </c>
    </row>
    <row r="27" spans="1:22" ht="20.100000000000001" customHeight="1" x14ac:dyDescent="0.2">
      <c r="A27" s="17" t="str">
        <f>HYPERLINK("#'Constants - Livestock'!A1", "Constants - Livestock")</f>
        <v>Constants - Livestock</v>
      </c>
      <c r="D27" s="52" t="s">
        <v>142</v>
      </c>
      <c r="E27" s="52" t="s">
        <v>66</v>
      </c>
      <c r="F27" s="52" t="s">
        <v>167</v>
      </c>
      <c r="G27" s="52" t="s">
        <v>184</v>
      </c>
      <c r="H27" s="52" t="s">
        <v>185</v>
      </c>
      <c r="I27" s="52" t="s">
        <v>186</v>
      </c>
      <c r="J27" s="52" t="s">
        <v>187</v>
      </c>
      <c r="O27" s="52" t="s">
        <v>142</v>
      </c>
      <c r="P27" s="52" t="s">
        <v>66</v>
      </c>
      <c r="Q27" s="52" t="s">
        <v>167</v>
      </c>
      <c r="R27" s="52" t="s">
        <v>184</v>
      </c>
      <c r="S27" s="52" t="s">
        <v>185</v>
      </c>
      <c r="T27" s="52" t="s">
        <v>186</v>
      </c>
      <c r="U27" s="52" t="s">
        <v>187</v>
      </c>
    </row>
    <row r="28" spans="1:22" ht="20.100000000000001" customHeight="1" x14ac:dyDescent="0.2">
      <c r="A28" s="17" t="str">
        <f>HYPERLINK("#'Acknowledgements'!A1", "Acknowledgements")</f>
        <v>Acknowledgements</v>
      </c>
      <c r="D28" s="53" t="str">
        <f>INDEX(X_Table_Dairy_ProductionSystems_Method1,2,1)</f>
        <v>Pasture</v>
      </c>
      <c r="E28" s="53" t="str">
        <f>'Constants - Common Livestock'!$E$27</f>
        <v>Pasture range and paddock</v>
      </c>
      <c r="F28" s="53" cm="1">
        <f t="array" ref="F28">MMS_Dairy_Soil_LeachingAndRunoff.VEERG_4_3_1_12__2_MassOfNitrogenLostToLeachingAndRunoffOnPasture(F23,$I$14,$I$15)</f>
        <v>2325.789756616879</v>
      </c>
      <c r="G28" s="53" cm="1">
        <f t="array" ref="G28">MMS_Dairy_Soil_LeachingAndRunoff.VEERG_4_3_1_12__2_MassOfNitrogenLostToLeachingAndRunoffOnPasture(G23,$I$14,$I$15)</f>
        <v>1062.3176730540686</v>
      </c>
      <c r="H28" s="53" cm="1">
        <f t="array" ref="H28">MMS_Dairy_Soil_LeachingAndRunoff.VEERG_4_3_1_12__2_MassOfNitrogenLostToLeachingAndRunoffOnPasture(H23,$I$14,$I$15)</f>
        <v>423.1098947141715</v>
      </c>
      <c r="I28" s="53" cm="1">
        <f t="array" ref="I28">MMS_Dairy_Soil_LeachingAndRunoff.VEERG_4_3_1_12__2_MassOfNitrogenLostToLeachingAndRunoffOnPasture(I23,$I$14,$I$15)</f>
        <v>1335.3753286373426</v>
      </c>
      <c r="J28" s="53" cm="1">
        <f t="array" ref="J28">MMS_Dairy_Soil_LeachingAndRunoff.VEERG_4_3_1_12__2_MassOfNitrogenLostToLeachingAndRunoffOnPasture(J23,$I$14,$I$15)</f>
        <v>559.02726196598815</v>
      </c>
      <c r="K28" s="2" t="str">
        <f>$E$11</f>
        <v>kg N</v>
      </c>
      <c r="O28" s="53" t="str">
        <f>INDEX(X_Table_Dairy_ProductionSystems_Method1,2,1)</f>
        <v>Pasture</v>
      </c>
      <c r="P28" s="53" t="str">
        <f>'Constants - Common Livestock'!$E$27</f>
        <v>Pasture range and paddock</v>
      </c>
      <c r="Q28" s="53" cm="1">
        <f t="array" ref="Q28">MMS_Dairy_Soil_LeachingAndRunoff.VEERG_4_3_1_12__2_MassOfNitrogenLostToLeachingAndRunoffOnPasture(Q23,$I$14,$I$15)</f>
        <v>2325.789756616879</v>
      </c>
      <c r="R28" s="53" cm="1">
        <f t="array" ref="R28">MMS_Dairy_Soil_LeachingAndRunoff.VEERG_4_3_1_12__2_MassOfNitrogenLostToLeachingAndRunoffOnPasture(R23,$I$14,$I$15)</f>
        <v>1062.3176730540686</v>
      </c>
      <c r="S28" s="53" cm="1">
        <f t="array" ref="S28">MMS_Dairy_Soil_LeachingAndRunoff.VEERG_4_3_1_12__2_MassOfNitrogenLostToLeachingAndRunoffOnPasture(S23,$I$14,$I$15)</f>
        <v>423.1098947141715</v>
      </c>
      <c r="T28" s="53" cm="1">
        <f t="array" ref="T28">MMS_Dairy_Soil_LeachingAndRunoff.VEERG_4_3_1_12__2_MassOfNitrogenLostToLeachingAndRunoffOnPasture(T23,$I$14,$I$15)</f>
        <v>1335.3753286373426</v>
      </c>
      <c r="U28" s="53" cm="1">
        <f t="array" ref="U28">MMS_Dairy_Soil_LeachingAndRunoff.VEERG_4_3_1_12__2_MassOfNitrogenLostToLeachingAndRunoffOnPasture(U23,$I$14,$I$15)</f>
        <v>559.02726196598815</v>
      </c>
      <c r="V28" s="2" t="str">
        <f>$E$11</f>
        <v>kg N</v>
      </c>
    </row>
    <row r="29" spans="1:22" ht="20.100000000000001" customHeight="1" x14ac:dyDescent="0.2">
      <c r="A29" s="17" t="str">
        <f>HYPERLINK("#'Tab template'!A1", "Tab template")</f>
        <v>Tab template</v>
      </c>
    </row>
    <row r="30" spans="1:22" ht="20.100000000000001" customHeight="1" x14ac:dyDescent="0.2">
      <c r="D30" s="114" t="s">
        <v>373</v>
      </c>
      <c r="E30" s="46">
        <f>SUM(F28:J28)</f>
        <v>5705.6199149884496</v>
      </c>
      <c r="F30" s="108" t="str">
        <f>$E$11</f>
        <v>kg N</v>
      </c>
      <c r="O30" s="114" t="s">
        <v>373</v>
      </c>
      <c r="P30" s="46">
        <f>SUM(Q28:U28)</f>
        <v>5705.6199149884496</v>
      </c>
      <c r="Q30" s="108" t="str">
        <f>$E$11</f>
        <v>kg N</v>
      </c>
    </row>
    <row r="34" spans="3:23" ht="20.100000000000001" customHeight="1" x14ac:dyDescent="0.2">
      <c r="C34" s="46"/>
      <c r="D34" s="46"/>
      <c r="E34" s="46"/>
      <c r="F34" s="46"/>
      <c r="G34" s="46"/>
      <c r="H34" s="46"/>
      <c r="I34" s="46"/>
      <c r="J34" s="46"/>
      <c r="K34" s="46"/>
      <c r="L34" s="46"/>
      <c r="N34" s="46"/>
      <c r="O34" s="46"/>
      <c r="P34" s="46"/>
      <c r="Q34" s="46"/>
      <c r="R34" s="46"/>
      <c r="S34" s="46"/>
      <c r="T34" s="46"/>
      <c r="U34" s="46"/>
      <c r="V34" s="46"/>
      <c r="W34" s="46"/>
    </row>
    <row r="35" spans="3:23" ht="20.100000000000001" customHeight="1" x14ac:dyDescent="0.2">
      <c r="D35" s="6" t="str" cm="1">
        <f t="array" ref="D35">MMS_Dairy_Soil_LeachingAndRunoff.VEERG_4_3_1_12__1_LeachingAndRunoffEmissionsFromUrineAndDungOnPasture_Title()</f>
        <v>Leaching and runoff emissions from urine and dung deposited on pasture</v>
      </c>
    </row>
    <row r="36" spans="3:23" ht="20.100000000000001" customHeight="1" x14ac:dyDescent="0.2">
      <c r="D36" s="5" t="str" cm="1">
        <f t="array" ref="D36">MMS_Dairy_Soil_LeachingAndRunoff.VEERG_4_3_1_12__1_LeachingAndRunoffEmissionsFromUrineAndDungOnPasture_Source()</f>
        <v>VEERG 2026: 4.3.1.12, Equation (1)</v>
      </c>
    </row>
    <row r="37" spans="3:23" ht="20.100000000000001" customHeight="1" x14ac:dyDescent="0.2">
      <c r="D37" s="13" t="s">
        <v>25</v>
      </c>
      <c r="E37" s="13" t="str">
        <f ca="1">Common_InputFunctions.Utility_DisplayFunctionName(VEERG_4_3_1_12__1_LeachingAndRunoffEmissionsFromUrineAndDungOnPasture_Result_Method1)</f>
        <v>=MMS_Dairy_Soil_LeachingAndRunoff.VEERG_4_3_1_12__1_LeachingAndRunoffEmissionsFromUrineAndDungOnPasture</v>
      </c>
    </row>
    <row r="40" spans="3:23" ht="20.100000000000001" customHeight="1" x14ac:dyDescent="0.2">
      <c r="D40" s="54" t="s">
        <v>28</v>
      </c>
      <c r="E40" s="1" t="str" cm="1">
        <f t="array" ref="E40">MMS_Dairy_Soil_LeachingAndRunoff.VEERG_4_3_1_12__1_LeachingAndRunoffEmissionsFromUrineAndDungOnPasture_Variable()</f>
        <v>E_N2Oleach</v>
      </c>
    </row>
    <row r="41" spans="3:23" ht="20.100000000000001" customHeight="1" x14ac:dyDescent="0.2">
      <c r="D41" s="54" t="s">
        <v>18</v>
      </c>
      <c r="E41" s="55" t="str" cm="1">
        <f t="array" ref="E41">MMS_Dairy_Soil_LeachingAndRunoff.VEERG_4_3_1_12__1_LeachingAndRunoffEmissionsFromUrineAndDungOnPasture_Unit()</f>
        <v>t N2O</v>
      </c>
    </row>
    <row r="43" spans="3:23" ht="20.100000000000001" customHeight="1" x14ac:dyDescent="0.2">
      <c r="D43" s="133" t="str" cm="1">
        <f t="array" ref="D43:E45">_xlfn.CHOOSECOLS(MMS_Dairy_Soil_LeachingAndRunoff.VEERG_4_3_1_12__1_LeachingAndRunoffEmissionsFromUrineAndDungOnPasture_Arguments(),1,2)</f>
        <v>M_leach_m14</v>
      </c>
      <c r="E43" s="133" t="str">
        <v>mass of nitrogen lost to leaching and runoff from urine and faeces deposited on pasture</v>
      </c>
      <c r="F43" s="132"/>
      <c r="G43" s="134"/>
      <c r="H43" s="133" t="str" cm="1">
        <f t="array" ref="H43:I45">_xlfn.CHOOSECOLS(MMS_Dairy_Soil_LeachingAndRunoff.VEERG_4_3_1_12__1_LeachingAndRunoffEmissionsFromUrineAndDungOnPasture_Arguments(),3,4)</f>
        <v>kg N</v>
      </c>
      <c r="I43" s="129" t="str">
        <v>Calculated from 4.3.1.12 (2)</v>
      </c>
      <c r="J43" s="133">
        <f>$E$30</f>
        <v>5705.6199149884496</v>
      </c>
      <c r="O43" s="133" t="str" cm="1">
        <f t="array" ref="O43:P45">_xlfn.CHOOSECOLS(MMS_Dairy_Soil_LeachingAndRunoff.VEERG_4_3_1_12__1_LeachingAndRunoffEmissionsFromUrineAndDungOnPasture_Arguments(),1,2)</f>
        <v>M_leach_m14</v>
      </c>
      <c r="P43" s="133" t="str">
        <v>mass of nitrogen lost to leaching and runoff from urine and faeces deposited on pasture</v>
      </c>
      <c r="Q43" s="132"/>
      <c r="R43" s="134"/>
      <c r="S43" s="133" t="str" cm="1">
        <f t="array" ref="S43:T45">_xlfn.CHOOSECOLS(MMS_Dairy_Soil_LeachingAndRunoff.VEERG_4_3_1_12__1_LeachingAndRunoffEmissionsFromUrineAndDungOnPasture_Arguments(),3,4)</f>
        <v>kg N</v>
      </c>
      <c r="T43" s="129" t="str">
        <v>Calculated from 4.3.1.12 (2)</v>
      </c>
      <c r="U43" s="58">
        <f>$P$30</f>
        <v>5705.6199149884496</v>
      </c>
    </row>
    <row r="44" spans="3:23" ht="20.100000000000001" customHeight="1" x14ac:dyDescent="0.2">
      <c r="D44" s="133" t="str">
        <v>EF_leach</v>
      </c>
      <c r="E44" s="133" t="str">
        <v>nitrous oxide emission factor for leaching and runoff</v>
      </c>
      <c r="F44" s="132"/>
      <c r="G44" s="134"/>
      <c r="H44" s="133" t="str">
        <v>kg N2O-N/kg N</v>
      </c>
      <c r="I44" s="129" t="str">
        <v>Constant</v>
      </c>
      <c r="J44" s="133">
        <f>SourceData_Dairy_EmissionFactorForLeachingAndRunoff_Data</f>
        <v>1.0999999999999999E-2</v>
      </c>
      <c r="O44" s="133" t="str">
        <v>EF_leach</v>
      </c>
      <c r="P44" s="133" t="str">
        <v>nitrous oxide emission factor for leaching and runoff</v>
      </c>
      <c r="Q44" s="132"/>
      <c r="R44" s="134"/>
      <c r="S44" s="133" t="str">
        <v>kg N2O-N/kg N</v>
      </c>
      <c r="T44" s="129" t="str">
        <v>Constant</v>
      </c>
      <c r="U44" s="58"/>
    </row>
    <row r="45" spans="3:23" ht="20.100000000000001" customHeight="1" x14ac:dyDescent="0.2">
      <c r="D45" s="133" t="str">
        <v>C_N2O</v>
      </c>
      <c r="E45" s="133" t="str">
        <v>factor to convert elemental mass of N2O to molecular mass</v>
      </c>
      <c r="F45" s="132"/>
      <c r="G45" s="134"/>
      <c r="H45" s="133" t="str">
        <v/>
      </c>
      <c r="I45" s="129" t="str">
        <v>Constant</v>
      </c>
      <c r="J45" s="133">
        <f>Common_InputFunctions.Utility_LookupValueInTableNumber("N2O",Table_GasToMolecularConversionFactor[Gas],Table_GasToMolecularConversionFactor[Conversion factor combined])</f>
        <v>1.5714285714285714</v>
      </c>
      <c r="O45" s="133" t="str">
        <v>C_N2O</v>
      </c>
      <c r="P45" s="133" t="str">
        <v>factor to convert elemental mass of N2O to molecular mass</v>
      </c>
      <c r="Q45" s="132"/>
      <c r="R45" s="134"/>
      <c r="S45" s="133" t="str">
        <v/>
      </c>
      <c r="T45" s="129" t="str">
        <v>Constant</v>
      </c>
      <c r="U45" s="58"/>
    </row>
    <row r="47" spans="3:23" ht="20.100000000000001" customHeight="1" x14ac:dyDescent="0.2">
      <c r="D47" s="104" t="s">
        <v>372</v>
      </c>
      <c r="E47" s="105" cm="1">
        <f t="array" ref="E47">MMS_Dairy_Soil_LeachingAndRunoff.VEERG_4_3_1_12__1_LeachingAndRunoffEmissionsFromUrineAndDungOnPasture($J$43,$J$44,$J$45)</f>
        <v>9.8625715673371778E-2</v>
      </c>
      <c r="F47" s="106" t="str">
        <f>$E$41</f>
        <v>t N2O</v>
      </c>
      <c r="O47" s="104" t="s">
        <v>372</v>
      </c>
      <c r="P47" s="105" cm="1">
        <f t="array" ref="P47">MMS_Dairy_Soil_LeachingAndRunoff.VEERG_4_3_1_12__1_LeachingAndRunoffEmissionsFromUrineAndDungOnPasture($U$43,$J$44,$J$45)</f>
        <v>9.8625715673371778E-2</v>
      </c>
      <c r="Q47" s="106" t="str">
        <f>$E$41</f>
        <v>t N2O</v>
      </c>
    </row>
    <row r="49" spans="4:18" ht="20.100000000000001" customHeight="1" x14ac:dyDescent="0.2">
      <c r="D49" s="58" t="str" cm="1">
        <f t="array" ref="D49:E50">Common_Equations.Common_ConvertN2OToCO2e_Arguments()</f>
        <v>EN2O</v>
      </c>
      <c r="E49" s="59" t="str">
        <v>Nitrous oxide emissions (t N2O)</v>
      </c>
      <c r="F49" s="107"/>
      <c r="G49" s="53">
        <f>VEERG_4_3_1_12__1_LeachingAndRunoffEmissionsFromUrineAndDungOnPasture_Result_Method1</f>
        <v>9.8625715673371778E-2</v>
      </c>
      <c r="O49" s="58" t="str" cm="1">
        <f t="array" ref="O49:P50">Common_Equations.Common_ConvertN2OToCO2e_Arguments()</f>
        <v>EN2O</v>
      </c>
      <c r="P49" s="59" t="str">
        <v>Nitrous oxide emissions (t N2O)</v>
      </c>
      <c r="Q49" s="107"/>
      <c r="R49" s="53">
        <f>VEERG_4_3_1_12__1_LeachingAndRunoffEmissionsFromUrineAndDungOnPasture_Result_Method2</f>
        <v>9.8625715673371778E-2</v>
      </c>
    </row>
    <row r="50" spans="4:18" ht="20.100000000000001" customHeight="1" x14ac:dyDescent="0.2">
      <c r="D50" s="58" t="str">
        <v>GWPN2O</v>
      </c>
      <c r="E50" s="59" t="str">
        <v>Global warming potential for nitrous oxide (t CO2-e / t N2O)</v>
      </c>
      <c r="F50" s="107"/>
      <c r="G50" s="53">
        <f>Common_InputFunctions.Utility_LookupValueInTableNumber("N2O",Table_GWPData[Gas],Table_GWPData[CO2-e factor])</f>
        <v>265</v>
      </c>
      <c r="O50" s="58" t="str">
        <v>GWPN2O</v>
      </c>
      <c r="P50" s="59" t="str">
        <v>Global warming potential for nitrous oxide (t CO2-e / t N2O)</v>
      </c>
      <c r="Q50" s="107"/>
      <c r="R50" s="53">
        <f>Common_InputFunctions.Utility_LookupValueInTableNumber("N2O",Table_GWPData[Gas],Table_GWPData[CO2-e factor])</f>
        <v>265</v>
      </c>
    </row>
    <row r="52" spans="4:18" ht="20.100000000000001" customHeight="1" x14ac:dyDescent="0.2">
      <c r="D52" s="46" t="s">
        <v>104</v>
      </c>
      <c r="E52" s="46" cm="1">
        <f t="array" ref="E52">Common_Equations.Common_ConvertN2OToCO2e(G49,G50)</f>
        <v>26.135814653443521</v>
      </c>
      <c r="F52" s="108" t="str" cm="1">
        <f t="array" ref="F52">Common_Equations.Common_ConvertN2OToCO2e_Unit()</f>
        <v>t CO2e</v>
      </c>
      <c r="O52" s="46" t="s">
        <v>104</v>
      </c>
      <c r="P52" s="46" cm="1">
        <f t="array" ref="P52">Common_Equations.Common_ConvertN2OToCO2e(R49,R50)</f>
        <v>26.135814653443521</v>
      </c>
      <c r="Q52" s="108" t="str" cm="1">
        <f t="array" ref="Q52">Common_Equations.Common_ConvertN2OToCO2e_Unit()</f>
        <v>t CO2e</v>
      </c>
    </row>
  </sheetData>
  <dataValidations disablePrompts="1" count="1">
    <dataValidation operator="equal" allowBlank="1" showInputMessage="1" showErrorMessage="1" sqref="E23 P23 E28 P28" xr:uid="{FFC3CBA3-2876-48FD-90FB-22BFDC268162}"/>
  </dataValidations>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sheetPr>
    <tabColor theme="2" tint="-0.499984740745262"/>
  </sheetPr>
  <dimension ref="A1:V288"/>
  <sheetViews>
    <sheetView showGridLines="0" topLeftCell="H1" zoomScaleNormal="100" workbookViewId="0">
      <selection activeCell="L5" sqref="L5:L12"/>
    </sheetView>
  </sheetViews>
  <sheetFormatPr defaultRowHeight="20.100000000000001" customHeight="1" x14ac:dyDescent="0.2"/>
  <cols>
    <col min="1" max="1" width="30.7109375" customWidth="1"/>
    <col min="2" max="2" width="4.7109375" customWidth="1"/>
    <col min="3" max="3" width="4.7109375" style="1" customWidth="1"/>
    <col min="4" max="6" width="30.710937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67" t="e" vm="1">
        <v>#VALUE!</v>
      </c>
      <c r="C1" s="8" t="s">
        <v>431</v>
      </c>
    </row>
    <row r="2" spans="1:21" s="9" customFormat="1" ht="20.100000000000001" customHeight="1" x14ac:dyDescent="0.2">
      <c r="A2"/>
    </row>
    <row r="3" spans="1:21" ht="20.100000000000001" customHeight="1" x14ac:dyDescent="0.2">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
      <c r="A4" s="17" t="str">
        <f>HYPERLINK("#'Overview'!A1", "Overview")</f>
        <v>Overview</v>
      </c>
      <c r="M4" s="23"/>
    </row>
    <row r="5" spans="1:21" ht="20.100000000000001" customHeight="1" x14ac:dyDescent="0.2">
      <c r="A5" s="17" t="str">
        <f>HYPERLINK("#'Results'!A1", "Results")</f>
        <v>Results</v>
      </c>
      <c r="D5" s="6" t="s">
        <v>164</v>
      </c>
      <c r="G5" s="6" t="s">
        <v>165</v>
      </c>
      <c r="J5" s="6" t="s">
        <v>143</v>
      </c>
      <c r="L5" s="6" t="s">
        <v>467</v>
      </c>
      <c r="M5" s="1"/>
    </row>
    <row r="6" spans="1:21" ht="20.100000000000001" customHeight="1" x14ac:dyDescent="0.2">
      <c r="L6" s="1" t="s">
        <v>469</v>
      </c>
      <c r="M6" s="1"/>
    </row>
    <row r="7" spans="1:21" ht="20.100000000000001" customHeight="1" x14ac:dyDescent="0.2">
      <c r="D7" s="98" t="s">
        <v>66</v>
      </c>
      <c r="E7" s="38" t="s">
        <v>77</v>
      </c>
      <c r="G7" s="38" t="s">
        <v>142</v>
      </c>
      <c r="J7" s="38" t="s">
        <v>140</v>
      </c>
      <c r="L7" s="38" t="s">
        <v>468</v>
      </c>
      <c r="M7" s="1"/>
    </row>
    <row r="8" spans="1:21" ht="20.100000000000001" customHeight="1" x14ac:dyDescent="0.2">
      <c r="A8" s="19" t="s">
        <v>0</v>
      </c>
      <c r="D8" s="38" t="str">
        <f>'Constants - Common Livestock'!$E$10</f>
        <v>Anaerobic lagoon</v>
      </c>
      <c r="E8" s="38" t="str">
        <f>'Constants - Common Livestock'!$F$10</f>
        <v>Anaerobic lagoon (m=1)</v>
      </c>
      <c r="G8" s="38" t="str">
        <f>'Constants - Common'!$F$187</f>
        <v>Pasture</v>
      </c>
      <c r="J8" s="38" t="s">
        <v>144</v>
      </c>
      <c r="L8" s="38" t="s">
        <v>167</v>
      </c>
      <c r="M8" s="1"/>
    </row>
    <row r="9" spans="1:21" ht="20.100000000000001" customHeight="1" x14ac:dyDescent="0.2">
      <c r="A9" s="17" t="str">
        <f>HYPERLINK("#'Input - Site'!A1", "Site")</f>
        <v>Site</v>
      </c>
      <c r="D9" s="38" t="str">
        <f>'Constants - Common Livestock'!$E$13</f>
        <v>Sump and dispersal system</v>
      </c>
      <c r="E9" s="38" t="str">
        <f>'Constants - Common Livestock'!$F$13</f>
        <v>Sump and dispersal system (m=3a)</v>
      </c>
      <c r="G9" s="1" t="str">
        <f>'Constants - Common'!$F$188</f>
        <v>Crop</v>
      </c>
      <c r="J9" s="38" t="s">
        <v>145</v>
      </c>
      <c r="L9" s="38" t="s">
        <v>184</v>
      </c>
      <c r="M9" s="1"/>
    </row>
    <row r="10" spans="1:21" ht="20.100000000000001" customHeight="1" x14ac:dyDescent="0.2">
      <c r="A10" s="17" t="str">
        <f>HYPERLINK("#'Input - Dairy'!A1", "Dairy")</f>
        <v>Dairy</v>
      </c>
      <c r="D10" s="38" t="str">
        <f>'Constants - Common Livestock'!$E$14</f>
        <v>Drains to paddock</v>
      </c>
      <c r="E10" s="38" t="str">
        <f>'Constants - Common Livestock'!$F$14</f>
        <v>Drains to paddock (m=3b)</v>
      </c>
      <c r="J10" s="1" t="s">
        <v>146</v>
      </c>
      <c r="L10" s="38" t="s">
        <v>185</v>
      </c>
      <c r="M10" s="1"/>
    </row>
    <row r="11" spans="1:21" ht="20.100000000000001" customHeight="1" x14ac:dyDescent="0.2">
      <c r="D11" s="38" t="str">
        <f>'Constants - Common Livestock'!$E$15</f>
        <v>Solid storage</v>
      </c>
      <c r="E11" s="38" t="str">
        <f>'Constants - Common Livestock'!$F$15</f>
        <v>Solid storage (m=4)</v>
      </c>
      <c r="J11" s="1" t="s">
        <v>147</v>
      </c>
      <c r="L11" s="38" t="s">
        <v>186</v>
      </c>
      <c r="M11" s="1"/>
    </row>
    <row r="12" spans="1:21" ht="20.100000000000001" customHeight="1" x14ac:dyDescent="0.2">
      <c r="J12" s="1" t="s">
        <v>148</v>
      </c>
      <c r="L12" s="38" t="s">
        <v>187</v>
      </c>
      <c r="M12" s="1"/>
    </row>
    <row r="13" spans="1:21" ht="20.100000000000001" customHeight="1" x14ac:dyDescent="0.2">
      <c r="A13" s="18" t="s">
        <v>73</v>
      </c>
      <c r="M13" s="1"/>
    </row>
    <row r="14" spans="1:21" ht="20.100000000000001" customHeight="1" x14ac:dyDescent="0.2">
      <c r="A14" s="17" t="str">
        <f>HYPERLINK("#'4.3.1.1-2 Methane'!A1", "4.3.1.1-2 Methane")</f>
        <v>4.3.1.1-2 Methane</v>
      </c>
      <c r="M14" s="1"/>
    </row>
    <row r="15" spans="1:21" ht="20.100000000000001" customHeight="1" x14ac:dyDescent="0.2">
      <c r="A15" s="17" t="str">
        <f>HYPERLINK("#'4.3.1.3-4 Direct N20'!A1", "4.3.1.3-4 Direct N20")</f>
        <v>4.3.1.3-4 Direct N20</v>
      </c>
      <c r="M15" s="1"/>
    </row>
    <row r="16" spans="1:21" ht="20.100000000000001" customHeight="1" x14ac:dyDescent="0.2">
      <c r="A16" s="17" t="str">
        <f>HYPERLINK("#'4.3.1.5 Atmos deposition'!A1", "4.3.1.5 Atmos deposition")</f>
        <v>4.3.1.5 Atmos deposition</v>
      </c>
      <c r="D16" s="6" t="str" cm="1">
        <f t="array" ref="D16">SourceData_Dairy.SourceData_Dairy_LiveweightCowsAndHeifers_Title()</f>
        <v>Table A.1.3.1: Dairy cattle - Liveweight (kg) - Cows and Heifers (Wj)</v>
      </c>
      <c r="M16" s="1"/>
    </row>
    <row r="17" spans="1:13" ht="20.100000000000001" customHeight="1" x14ac:dyDescent="0.2">
      <c r="A17" s="17" t="str">
        <f>HYPERLINK("#'4.3.1.6-7 Leaching and runoff'!A1", "4.3.1.6-7 Leaching and runoff")</f>
        <v>4.3.1.6-7 Leaching and runoff</v>
      </c>
      <c r="D17" s="5" t="str" cm="1">
        <f t="array" ref="D17">SourceData_Dairy.SourceData_Dairy_LiveweightCowsAndHeifers_Source()</f>
        <v>VEERG 2026: Table A.1.3.1</v>
      </c>
      <c r="M17" s="1"/>
    </row>
    <row r="18" spans="1:13" ht="20.100000000000001" customHeight="1" x14ac:dyDescent="0.2">
      <c r="A18" s="17" t="str">
        <f>HYPERLINK("#'4.3.1.8 Manure applied to soils'!A1", "4.3.1.8 Manure applied to soils")</f>
        <v>4.3.1.8 Manure applied to soils</v>
      </c>
      <c r="D18" s="1" t="str" cm="1">
        <f t="array" ref="D18">SourceData_Dairy.SourceData_Dairy_LiveweightCowsAndHeifers_Variable()</f>
        <v>Wj</v>
      </c>
      <c r="M18" s="1"/>
    </row>
    <row r="19" spans="1:13" ht="20.100000000000001" customHeight="1" x14ac:dyDescent="0.2">
      <c r="A19" s="17" t="str">
        <f>HYPERLINK("#'4.3.1.9 Soil direct N2O'!A1", "4.3.1.9 Soil direct N2O")</f>
        <v>4.3.1.9 Soil direct N2O</v>
      </c>
      <c r="D19" s="55" t="str" cm="1">
        <f t="array" ref="D19">SourceData_Dairy.SourceData_Dairy_LiveweightCowsAndHeifers_Unit()</f>
        <v>kg</v>
      </c>
      <c r="M19" s="1"/>
    </row>
    <row r="20" spans="1:13" ht="20.100000000000001" customHeight="1" x14ac:dyDescent="0.2">
      <c r="A20" s="17" t="str">
        <f>HYPERLINK("#'4.3.1.10-11 Soil Atmos Dep'!A1", "4.3.1.10-11 Soil Atmos Dep")</f>
        <v>4.3.1.10-11 Soil Atmos Dep</v>
      </c>
      <c r="D20" s="56" t="str" cm="1">
        <f t="array" ref="D20">SourceData_Dairy.SourceData_Dairy_LiveweightCowsAndHeifers_Variation()</f>
        <v>VARIATION OF SOURCE: Excluded 'Reference', as the value is consistently 'Dairy Australia [1]' and is not used in calculation.</v>
      </c>
      <c r="M20" s="1"/>
    </row>
    <row r="21" spans="1:13" ht="20.100000000000001" customHeight="1" x14ac:dyDescent="0.2">
      <c r="A21" s="17" t="str">
        <f>HYPERLINK("#'4.3.1.12-13 Soil leach runoff'!A1", "4.3.1.12-13 Soil leach runoff")</f>
        <v>4.3.1.12-13 Soil leach runoff</v>
      </c>
      <c r="D21" s="38" t="s">
        <v>166</v>
      </c>
      <c r="E21" s="38" t="s">
        <v>167</v>
      </c>
      <c r="F21" s="38" t="s">
        <v>168</v>
      </c>
      <c r="G21" s="38" t="s">
        <v>169</v>
      </c>
      <c r="M21" s="1"/>
    </row>
    <row r="22" spans="1:13" ht="20.100000000000001" customHeight="1" x14ac:dyDescent="0.2">
      <c r="D22" s="38" t="str" cm="1">
        <f t="array" ref="D22">Common_InputFunctions.Utility_DisplayArrayInTable(SourceData_Dairy.SourceData_Dairy_LiveweightCowsAndHeifers_Data(), Table_SourceData_Dairy_WjCowsHeifers[[#Headers],[Breed]], 0)</f>
        <v>Medium Friesian</v>
      </c>
      <c r="E22" s="38" cm="1">
        <f t="array" ref="E22">Common_InputFunctions.Utility_DisplayArrayInTable(SourceData_Dairy.SourceData_Dairy_LiveweightCowsAndHeifers_Data(), Table_SourceData_Dairy_WjCowsHeifers[[#Headers],[Breed]], 0)</f>
        <v>550</v>
      </c>
      <c r="F22" s="38" cm="1">
        <f t="array" ref="F22">Common_InputFunctions.Utility_DisplayArrayInTable(SourceData_Dairy.SourceData_Dairy_LiveweightCowsAndHeifers_Data(), Table_SourceData_Dairy_WjCowsHeifers[[#Headers],[Breed]], 0)</f>
        <v>380</v>
      </c>
      <c r="G22" s="38" cm="1">
        <f t="array" ref="G22">Common_InputFunctions.Utility_DisplayArrayInTable(SourceData_Dairy.SourceData_Dairy_LiveweightCowsAndHeifers_Data(), Table_SourceData_Dairy_WjCowsHeifers[[#Headers],[Breed]], 0)</f>
        <v>155</v>
      </c>
      <c r="M22" s="1"/>
    </row>
    <row r="23" spans="1:13" ht="20.100000000000001" customHeight="1" x14ac:dyDescent="0.2">
      <c r="D23" s="38" t="str" cm="1">
        <f t="array" ref="D23">Common_InputFunctions.Utility_DisplayArrayInTable(SourceData_Dairy.SourceData_Dairy_LiveweightCowsAndHeifers_Data(), Table_SourceData_Dairy_WjCowsHeifers[[#Headers],[Breed]], 0)</f>
        <v>Large Friesian</v>
      </c>
      <c r="E23" s="38" cm="1">
        <f t="array" ref="E23">Common_InputFunctions.Utility_DisplayArrayInTable(SourceData_Dairy.SourceData_Dairy_LiveweightCowsAndHeifers_Data(), Table_SourceData_Dairy_WjCowsHeifers[[#Headers],[Breed]], 0)</f>
        <v>600</v>
      </c>
      <c r="F23" s="38" cm="1">
        <f t="array" ref="F23">Common_InputFunctions.Utility_DisplayArrayInTable(SourceData_Dairy.SourceData_Dairy_LiveweightCowsAndHeifers_Data(), Table_SourceData_Dairy_WjCowsHeifers[[#Headers],[Breed]], 0)</f>
        <v>415</v>
      </c>
      <c r="G23" s="38" cm="1">
        <f t="array" ref="G23">Common_InputFunctions.Utility_DisplayArrayInTable(SourceData_Dairy.SourceData_Dairy_LiveweightCowsAndHeifers_Data(), Table_SourceData_Dairy_WjCowsHeifers[[#Headers],[Breed]], 0)</f>
        <v>170</v>
      </c>
      <c r="M23" s="1"/>
    </row>
    <row r="24" spans="1:13" ht="20.100000000000001" customHeight="1" x14ac:dyDescent="0.2">
      <c r="A24" s="154" t="s">
        <v>1</v>
      </c>
      <c r="D24" s="38" t="str" cm="1">
        <f t="array" ref="D24">Common_InputFunctions.Utility_DisplayArrayInTable(SourceData_Dairy.SourceData_Dairy_LiveweightCowsAndHeifers_Data(), Table_SourceData_Dairy_WjCowsHeifers[[#Headers],[Breed]], 0)</f>
        <v>Holstein-Friesian</v>
      </c>
      <c r="E24" s="38" cm="1">
        <f t="array" ref="E24">Common_InputFunctions.Utility_DisplayArrayInTable(SourceData_Dairy.SourceData_Dairy_LiveweightCowsAndHeifers_Data(), Table_SourceData_Dairy_WjCowsHeifers[[#Headers],[Breed]], 0)</f>
        <v>650</v>
      </c>
      <c r="F24" s="38" cm="1">
        <f t="array" ref="F24">Common_InputFunctions.Utility_DisplayArrayInTable(SourceData_Dairy.SourceData_Dairy_LiveweightCowsAndHeifers_Data(), Table_SourceData_Dairy_WjCowsHeifers[[#Headers],[Breed]], 0)</f>
        <v>450</v>
      </c>
      <c r="G24" s="38" cm="1">
        <f t="array" ref="G24">Common_InputFunctions.Utility_DisplayArrayInTable(SourceData_Dairy.SourceData_Dairy_LiveweightCowsAndHeifers_Data(), Table_SourceData_Dairy_WjCowsHeifers[[#Headers],[Breed]], 0)</f>
        <v>185</v>
      </c>
      <c r="M24" s="1"/>
    </row>
    <row r="25" spans="1:13" ht="20.100000000000001" customHeight="1" x14ac:dyDescent="0.2">
      <c r="A25" s="68" t="str">
        <f>HYPERLINK("#'Constants - Dairy'!A1", "Constants - Dairy")</f>
        <v>Constants - Dairy</v>
      </c>
      <c r="D25" s="38" t="str" cm="1">
        <f t="array" ref="D25">Common_InputFunctions.Utility_DisplayArrayInTable(SourceData_Dairy.SourceData_Dairy_LiveweightCowsAndHeifers_Data(), Table_SourceData_Dairy_WjCowsHeifers[[#Headers],[Breed]], 0)</f>
        <v>Friesian crossbred</v>
      </c>
      <c r="E25" s="38" cm="1">
        <f t="array" ref="E25">Common_InputFunctions.Utility_DisplayArrayInTable(SourceData_Dairy.SourceData_Dairy_LiveweightCowsAndHeifers_Data(), Table_SourceData_Dairy_WjCowsHeifers[[#Headers],[Breed]], 0)</f>
        <v>500</v>
      </c>
      <c r="F25" s="38" cm="1">
        <f t="array" ref="F25">Common_InputFunctions.Utility_DisplayArrayInTable(SourceData_Dairy.SourceData_Dairy_LiveweightCowsAndHeifers_Data(), Table_SourceData_Dairy_WjCowsHeifers[[#Headers],[Breed]], 0)</f>
        <v>350</v>
      </c>
      <c r="G25" s="38" cm="1">
        <f t="array" ref="G25">Common_InputFunctions.Utility_DisplayArrayInTable(SourceData_Dairy.SourceData_Dairy_LiveweightCowsAndHeifers_Data(), Table_SourceData_Dairy_WjCowsHeifers[[#Headers],[Breed]], 0)</f>
        <v>145</v>
      </c>
      <c r="M25" s="1"/>
    </row>
    <row r="26" spans="1:13" ht="20.100000000000001" customHeight="1" x14ac:dyDescent="0.2">
      <c r="A26" s="17" t="str">
        <f>HYPERLINK("#'Constants - Common'!A1", "Constants - Common")</f>
        <v>Constants - Common</v>
      </c>
      <c r="D26" s="38" t="str" cm="1">
        <f t="array" ref="D26">Common_InputFunctions.Utility_DisplayArrayInTable(SourceData_Dairy.SourceData_Dairy_LiveweightCowsAndHeifers_Data(), Table_SourceData_Dairy_WjCowsHeifers[[#Headers],[Breed]], 0)</f>
        <v>Jersey</v>
      </c>
      <c r="E26" s="38" cm="1">
        <f t="array" ref="E26">Common_InputFunctions.Utility_DisplayArrayInTable(SourceData_Dairy.SourceData_Dairy_LiveweightCowsAndHeifers_Data(), Table_SourceData_Dairy_WjCowsHeifers[[#Headers],[Breed]], 0)</f>
        <v>400</v>
      </c>
      <c r="F26" s="38" cm="1">
        <f t="array" ref="F26">Common_InputFunctions.Utility_DisplayArrayInTable(SourceData_Dairy.SourceData_Dairy_LiveweightCowsAndHeifers_Data(), Table_SourceData_Dairy_WjCowsHeifers[[#Headers],[Breed]], 0)</f>
        <v>275</v>
      </c>
      <c r="G26" s="38" cm="1">
        <f t="array" ref="G26">Common_InputFunctions.Utility_DisplayArrayInTable(SourceData_Dairy.SourceData_Dairy_LiveweightCowsAndHeifers_Data(), Table_SourceData_Dairy_WjCowsHeifers[[#Headers],[Breed]], 0)</f>
        <v>115</v>
      </c>
      <c r="M26" s="1"/>
    </row>
    <row r="27" spans="1:13" ht="20.100000000000001" customHeight="1" x14ac:dyDescent="0.2">
      <c r="A27" s="17" t="str">
        <f>HYPERLINK("#'Constants - Livestock'!A1", "Constants - Livestock")</f>
        <v>Constants - Livestock</v>
      </c>
      <c r="D27" s="38" t="str" cm="1">
        <f t="array" ref="D27">Common_InputFunctions.Utility_DisplayArrayInTable(SourceData_Dairy.SourceData_Dairy_LiveweightCowsAndHeifers_Data(), Table_SourceData_Dairy_WjCowsHeifers[[#Headers],[Breed]], 0)</f>
        <v>Jersey crossbred</v>
      </c>
      <c r="E27" s="38" cm="1">
        <f t="array" ref="E27">Common_InputFunctions.Utility_DisplayArrayInTable(SourceData_Dairy.SourceData_Dairy_LiveweightCowsAndHeifers_Data(), Table_SourceData_Dairy_WjCowsHeifers[[#Headers],[Breed]], 0)</f>
        <v>450</v>
      </c>
      <c r="F27" s="38" cm="1">
        <f t="array" ref="F27">Common_InputFunctions.Utility_DisplayArrayInTable(SourceData_Dairy.SourceData_Dairy_LiveweightCowsAndHeifers_Data(), Table_SourceData_Dairy_WjCowsHeifers[[#Headers],[Breed]], 0)</f>
        <v>315</v>
      </c>
      <c r="G27" s="38" cm="1">
        <f t="array" ref="G27">Common_InputFunctions.Utility_DisplayArrayInTable(SourceData_Dairy.SourceData_Dairy_LiveweightCowsAndHeifers_Data(), Table_SourceData_Dairy_WjCowsHeifers[[#Headers],[Breed]], 0)</f>
        <v>130</v>
      </c>
      <c r="M27" s="1"/>
    </row>
    <row r="28" spans="1:13" ht="20.100000000000001" customHeight="1" x14ac:dyDescent="0.2">
      <c r="A28" s="17" t="str">
        <f>HYPERLINK("#'Acknowledgements'!A1", "Acknowledgements")</f>
        <v>Acknowledgements</v>
      </c>
      <c r="D28" s="38" t="str" cm="1">
        <f t="array" ref="D28">Common_InputFunctions.Utility_DisplayArrayInTable(SourceData_Dairy.SourceData_Dairy_LiveweightCowsAndHeifers_Data(), Table_SourceData_Dairy_WjCowsHeifers[[#Headers],[Breed]], 0)</f>
        <v>Ayrshire</v>
      </c>
      <c r="E28" s="38" cm="1">
        <f t="array" ref="E28">Common_InputFunctions.Utility_DisplayArrayInTable(SourceData_Dairy.SourceData_Dairy_LiveweightCowsAndHeifers_Data(), Table_SourceData_Dairy_WjCowsHeifers[[#Headers],[Breed]], 0)</f>
        <v>540</v>
      </c>
      <c r="F28" s="38" cm="1">
        <f t="array" ref="F28">Common_InputFunctions.Utility_DisplayArrayInTable(SourceData_Dairy.SourceData_Dairy_LiveweightCowsAndHeifers_Data(), Table_SourceData_Dairy_WjCowsHeifers[[#Headers],[Breed]], 0)</f>
        <v>375</v>
      </c>
      <c r="G28" s="38" cm="1">
        <f t="array" ref="G28">Common_InputFunctions.Utility_DisplayArrayInTable(SourceData_Dairy.SourceData_Dairy_LiveweightCowsAndHeifers_Data(), Table_SourceData_Dairy_WjCowsHeifers[[#Headers],[Breed]], 0)</f>
        <v>150</v>
      </c>
      <c r="M28" s="1"/>
    </row>
    <row r="29" spans="1:13" ht="20.100000000000001" customHeight="1" x14ac:dyDescent="0.2">
      <c r="A29" s="17" t="str">
        <f>HYPERLINK("#'Tab template'!A1", "Tab template")</f>
        <v>Tab template</v>
      </c>
      <c r="D29" s="38" t="str" cm="1">
        <f t="array" ref="D29">Common_InputFunctions.Utility_DisplayArrayInTable(SourceData_Dairy.SourceData_Dairy_LiveweightCowsAndHeifers_Data(), Table_SourceData_Dairy_WjCowsHeifers[[#Headers],[Breed]], 0)</f>
        <v>Guernsey</v>
      </c>
      <c r="E29" s="38" cm="1">
        <f t="array" ref="E29">Common_InputFunctions.Utility_DisplayArrayInTable(SourceData_Dairy.SourceData_Dairy_LiveweightCowsAndHeifers_Data(), Table_SourceData_Dairy_WjCowsHeifers[[#Headers],[Breed]], 0)</f>
        <v>480</v>
      </c>
      <c r="F29" s="38" cm="1">
        <f t="array" ref="F29">Common_InputFunctions.Utility_DisplayArrayInTable(SourceData_Dairy.SourceData_Dairy_LiveweightCowsAndHeifers_Data(), Table_SourceData_Dairy_WjCowsHeifers[[#Headers],[Breed]], 0)</f>
        <v>335</v>
      </c>
      <c r="G29" s="38" cm="1">
        <f t="array" ref="G29">Common_InputFunctions.Utility_DisplayArrayInTable(SourceData_Dairy.SourceData_Dairy_LiveweightCowsAndHeifers_Data(), Table_SourceData_Dairy_WjCowsHeifers[[#Headers],[Breed]], 0)</f>
        <v>140</v>
      </c>
      <c r="M29" s="1"/>
    </row>
    <row r="30" spans="1:13" ht="20.100000000000001" customHeight="1" x14ac:dyDescent="0.2">
      <c r="D30" s="38" t="str" cm="1">
        <f t="array" ref="D30">Common_InputFunctions.Utility_DisplayArrayInTable(SourceData_Dairy.SourceData_Dairy_LiveweightCowsAndHeifers_Data(), Table_SourceData_Dairy_WjCowsHeifers[[#Headers],[Breed]], 0)</f>
        <v>Brown Swiss</v>
      </c>
      <c r="E30" s="38" cm="1">
        <f t="array" ref="E30">Common_InputFunctions.Utility_DisplayArrayInTable(SourceData_Dairy.SourceData_Dairy_LiveweightCowsAndHeifers_Data(), Table_SourceData_Dairy_WjCowsHeifers[[#Headers],[Breed]], 0)</f>
        <v>600</v>
      </c>
      <c r="F30" s="38" cm="1">
        <f t="array" ref="F30">Common_InputFunctions.Utility_DisplayArrayInTable(SourceData_Dairy.SourceData_Dairy_LiveweightCowsAndHeifers_Data(), Table_SourceData_Dairy_WjCowsHeifers[[#Headers],[Breed]], 0)</f>
        <v>415</v>
      </c>
      <c r="G30" s="38" cm="1">
        <f t="array" ref="G30">Common_InputFunctions.Utility_DisplayArrayInTable(SourceData_Dairy.SourceData_Dairy_LiveweightCowsAndHeifers_Data(), Table_SourceData_Dairy_WjCowsHeifers[[#Headers],[Breed]], 0)</f>
        <v>170</v>
      </c>
      <c r="M30" s="1"/>
    </row>
    <row r="31" spans="1:13" ht="20.100000000000001" customHeight="1" x14ac:dyDescent="0.2">
      <c r="D31" s="38" t="str" cm="1">
        <f t="array" ref="D31">Common_InputFunctions.Utility_DisplayArrayInTable(SourceData_Dairy.SourceData_Dairy_LiveweightCowsAndHeifers_Data(), Table_SourceData_Dairy_WjCowsHeifers[[#Headers],[Breed]], 0)</f>
        <v>Illawarra/Aussie Red</v>
      </c>
      <c r="E31" s="38" cm="1">
        <f t="array" ref="E31">Common_InputFunctions.Utility_DisplayArrayInTable(SourceData_Dairy.SourceData_Dairy_LiveweightCowsAndHeifers_Data(), Table_SourceData_Dairy_WjCowsHeifers[[#Headers],[Breed]], 0)</f>
        <v>550</v>
      </c>
      <c r="F31" s="38" cm="1">
        <f t="array" ref="F31">Common_InputFunctions.Utility_DisplayArrayInTable(SourceData_Dairy.SourceData_Dairy_LiveweightCowsAndHeifers_Data(), Table_SourceData_Dairy_WjCowsHeifers[[#Headers],[Breed]], 0)</f>
        <v>375</v>
      </c>
      <c r="G31" s="38" cm="1">
        <f t="array" ref="G31">Common_InputFunctions.Utility_DisplayArrayInTable(SourceData_Dairy.SourceData_Dairy_LiveweightCowsAndHeifers_Data(), Table_SourceData_Dairy_WjCowsHeifers[[#Headers],[Breed]], 0)</f>
        <v>150</v>
      </c>
      <c r="M31" s="1"/>
    </row>
    <row r="32" spans="1:13" ht="20.100000000000001" customHeight="1" x14ac:dyDescent="0.2">
      <c r="M32" s="1"/>
    </row>
    <row r="33" spans="4:13" ht="20.100000000000001" customHeight="1" x14ac:dyDescent="0.2">
      <c r="M33" s="1"/>
    </row>
    <row r="34" spans="4:13" ht="20.100000000000001" customHeight="1" x14ac:dyDescent="0.2">
      <c r="D34" s="6" t="str" cm="1">
        <f t="array" ref="D34">SourceData_Dairy.SourceData_Dairy_LiveweightBulls_Title()</f>
        <v>Table A.1.3.2: Dairy cattle - Liveweight (kg) - Bulls (Wj)</v>
      </c>
      <c r="M34" s="1"/>
    </row>
    <row r="35" spans="4:13" ht="20.100000000000001" customHeight="1" x14ac:dyDescent="0.2">
      <c r="D35" s="5" t="str" cm="1">
        <f t="array" ref="D35">SourceData_Dairy.SourceData_Dairy_LiveweightBulls_Source()</f>
        <v>VEERG 2026: Table A.1.3.2</v>
      </c>
      <c r="M35" s="1"/>
    </row>
    <row r="36" spans="4:13" ht="20.100000000000001" customHeight="1" x14ac:dyDescent="0.2">
      <c r="D36" s="1" t="str" cm="1">
        <f t="array" ref="D36">SourceData_Dairy.SourceData_Dairy_LiveweightBulls_Variable()</f>
        <v>Wj</v>
      </c>
      <c r="M36" s="1"/>
    </row>
    <row r="37" spans="4:13" ht="20.100000000000001" customHeight="1" x14ac:dyDescent="0.2">
      <c r="D37" s="55" t="str" cm="1">
        <f t="array" ref="D37">SourceData_Dairy.SourceData_Dairy_LiveweightBulls_Unit()</f>
        <v>kg</v>
      </c>
      <c r="M37" s="1"/>
    </row>
    <row r="38" spans="4:13" ht="20.100000000000001" customHeight="1" x14ac:dyDescent="0.2">
      <c r="D38" s="38" t="s">
        <v>166</v>
      </c>
      <c r="E38" s="38" t="s">
        <v>171</v>
      </c>
      <c r="F38" s="38" t="s">
        <v>170</v>
      </c>
      <c r="M38" s="1"/>
    </row>
    <row r="39" spans="4:13" ht="20.100000000000001" customHeight="1" x14ac:dyDescent="0.2">
      <c r="D39" s="38" t="str" cm="1">
        <f t="array" ref="D39">Common_InputFunctions.Utility_DisplayArrayInTable(SourceData_Dairy.SourceData_Dairy_LiveweightBulls_Data(), Table_SourceData_Dairy_WjBulls[[#Headers],[Breed]], 0)</f>
        <v>All breeds</v>
      </c>
      <c r="E39" s="38" cm="1">
        <f t="array" ref="E39">Common_InputFunctions.Utility_DisplayArrayInTable(SourceData_Dairy.SourceData_Dairy_LiveweightBulls_Data(), Table_SourceData_Dairy_WjBulls[[#Headers],[Breed]], 0)</f>
        <v>600</v>
      </c>
      <c r="F39" s="38" cm="1">
        <f t="array" ref="F39">Common_InputFunctions.Utility_DisplayArrayInTable(SourceData_Dairy.SourceData_Dairy_LiveweightBulls_Data(), Table_SourceData_Dairy_WjBulls[[#Headers],[Breed]], 0)</f>
        <v>225</v>
      </c>
      <c r="M39" s="1"/>
    </row>
    <row r="40" spans="4:13" ht="20.100000000000001" customHeight="1" x14ac:dyDescent="0.2">
      <c r="M40" s="1"/>
    </row>
    <row r="41" spans="4:13" ht="20.100000000000001" customHeight="1" x14ac:dyDescent="0.2">
      <c r="M41" s="1"/>
    </row>
    <row r="42" spans="4:13" ht="20.100000000000001" customHeight="1" x14ac:dyDescent="0.2">
      <c r="D42" s="6" t="str" cm="1">
        <f t="array" ref="D42">SourceData_Dairy.SourceData_Dairy_LiveweightGain_Title()</f>
        <v>Table A.1.3.3: Dairy cattle - Liveweight gain (kg) (LWGj)</v>
      </c>
      <c r="M42" s="1"/>
    </row>
    <row r="43" spans="4:13" ht="20.100000000000001" customHeight="1" x14ac:dyDescent="0.2">
      <c r="D43" s="5" t="str" cm="1">
        <f t="array" ref="D43">SourceData_Dairy.SourceData_Dairy_LiveweightGain_Source()</f>
        <v>VEERG 2026: Table A.1.3.3</v>
      </c>
      <c r="M43" s="1"/>
    </row>
    <row r="44" spans="4:13" ht="20.100000000000001" customHeight="1" x14ac:dyDescent="0.2">
      <c r="D44" s="1" t="str" cm="1">
        <f t="array" ref="D44">SourceData_Dairy.SourceData_Dairy_LiveweightGain_Variable()</f>
        <v>LWGj</v>
      </c>
      <c r="M44" s="1"/>
    </row>
    <row r="45" spans="4:13" ht="20.100000000000001" customHeight="1" x14ac:dyDescent="0.2">
      <c r="D45" s="55" t="str" cm="1">
        <f t="array" ref="D45">SourceData_Dairy.SourceData_Dairy_LiveweightGain_Unit()</f>
        <v>kg</v>
      </c>
      <c r="M45" s="1"/>
    </row>
    <row r="46" spans="4:13" ht="20.100000000000001" customHeight="1" x14ac:dyDescent="0.2">
      <c r="D46" s="38" t="s">
        <v>167</v>
      </c>
      <c r="E46" s="38" t="s">
        <v>168</v>
      </c>
      <c r="F46" s="38" t="s">
        <v>169</v>
      </c>
      <c r="G46" s="38" t="s">
        <v>171</v>
      </c>
      <c r="H46" s="38" t="s">
        <v>170</v>
      </c>
      <c r="M46" s="1"/>
    </row>
    <row r="47" spans="4:13" ht="20.100000000000001" customHeight="1" x14ac:dyDescent="0.2">
      <c r="D47" s="38" cm="1">
        <f t="array" ref="D47">Common_InputFunctions.Utility_DisplayArrayInTable(SourceData_Dairy.SourceData_Dairy_LiveweightGain_Data(), Table_SourceData_Dairy_LWGj[[#Headers],[Milking cows]], 0)</f>
        <v>1.6E-2</v>
      </c>
      <c r="E47" s="38" cm="1">
        <f t="array" ref="E47">Common_InputFunctions.Utility_DisplayArrayInTable(SourceData_Dairy.SourceData_Dairy_LiveweightGain_Data(), Table_SourceData_Dairy_LWGj[[#Headers],[Milking cows]], 0)</f>
        <v>0.6</v>
      </c>
      <c r="F47" s="38" cm="1">
        <f t="array" ref="F47">Common_InputFunctions.Utility_DisplayArrayInTable(SourceData_Dairy.SourceData_Dairy_LiveweightGain_Data(), Table_SourceData_Dairy_LWGj[[#Headers],[Milking cows]], 0)</f>
        <v>0.56999999999999995</v>
      </c>
      <c r="G47" s="38" cm="1">
        <f t="array" ref="G47">Common_InputFunctions.Utility_DisplayArrayInTable(SourceData_Dairy.SourceData_Dairy_LiveweightGain_Data(), Table_SourceData_Dairy_LWGj[[#Headers],[Milking cows]], 0)</f>
        <v>0.1</v>
      </c>
      <c r="H47" s="38" cm="1">
        <f t="array" ref="H47">Common_InputFunctions.Utility_DisplayArrayInTable(SourceData_Dairy.SourceData_Dairy_LiveweightGain_Data(), Table_SourceData_Dairy_LWGj[[#Headers],[Milking cows]], 0)</f>
        <v>0.8</v>
      </c>
      <c r="M47" s="1"/>
    </row>
    <row r="48" spans="4:13" ht="20.100000000000001" customHeight="1" x14ac:dyDescent="0.2">
      <c r="M48" s="1"/>
    </row>
    <row r="49" spans="4:13" ht="20.100000000000001" customHeight="1" x14ac:dyDescent="0.2">
      <c r="M49" s="1"/>
    </row>
    <row r="50" spans="4:13" ht="20.100000000000001" customHeight="1" x14ac:dyDescent="0.2">
      <c r="D50" s="6" t="str" cm="1">
        <f t="array" ref="D50">SourceData_Dairy.SourceData_Dairy_ReferenceWeights_Title()</f>
        <v>Table A.1.3.4: Dairy cattle - Reference weights (kg) (WRj)</v>
      </c>
      <c r="M50" s="1"/>
    </row>
    <row r="51" spans="4:13" ht="20.100000000000001" customHeight="1" x14ac:dyDescent="0.2">
      <c r="D51" s="5" t="str" cm="1">
        <f t="array" ref="D51">SourceData_Dairy.SourceData_Dairy_ReferenceWeights_Source()</f>
        <v>VEERG 2026: Table A.1.3.4</v>
      </c>
      <c r="M51" s="1"/>
    </row>
    <row r="52" spans="4:13" ht="20.100000000000001" customHeight="1" x14ac:dyDescent="0.2">
      <c r="D52" s="1" t="str" cm="1">
        <f t="array" ref="D52">SourceData_Dairy.SourceData_Dairy_ReferenceWeights_Variable()</f>
        <v>WRj</v>
      </c>
      <c r="M52" s="1"/>
    </row>
    <row r="53" spans="4:13" ht="20.100000000000001" customHeight="1" x14ac:dyDescent="0.2">
      <c r="D53" s="55" t="str" cm="1">
        <f t="array" ref="D53">SourceData_Dairy.SourceData_Dairy_ReferenceWeights_Unit()</f>
        <v>kg</v>
      </c>
      <c r="M53" s="1"/>
    </row>
    <row r="54" spans="4:13" ht="20.100000000000001" customHeight="1" x14ac:dyDescent="0.2">
      <c r="D54" s="121" t="s">
        <v>167</v>
      </c>
      <c r="E54" s="121" t="s">
        <v>168</v>
      </c>
      <c r="F54" s="121" t="s">
        <v>169</v>
      </c>
      <c r="G54" s="121" t="s">
        <v>171</v>
      </c>
      <c r="H54" s="121" t="s">
        <v>170</v>
      </c>
      <c r="M54" s="1"/>
    </row>
    <row r="55" spans="4:13" ht="20.100000000000001" customHeight="1" x14ac:dyDescent="0.2">
      <c r="D55" s="1" cm="1">
        <f t="array" ref="D55">Common_InputFunctions.Utility_DisplayArrayInTable(SourceData_Dairy.SourceData_Dairy_ReferenceWeights_Data(), Table_SourceData_Dairy_WRj[[#Headers],[Milking cows]], 0)</f>
        <v>590</v>
      </c>
      <c r="E55" s="1" cm="1">
        <f t="array" ref="E55">Common_InputFunctions.Utility_DisplayArrayInTable(SourceData_Dairy.SourceData_Dairy_ReferenceWeights_Data(), Table_SourceData_Dairy_WRj[[#Headers],[Milking cows]], 0)</f>
        <v>590</v>
      </c>
      <c r="F55" s="1" cm="1">
        <f t="array" ref="F55">Common_InputFunctions.Utility_DisplayArrayInTable(SourceData_Dairy.SourceData_Dairy_ReferenceWeights_Data(), Table_SourceData_Dairy_WRj[[#Headers],[Milking cows]], 0)</f>
        <v>590</v>
      </c>
      <c r="G55" s="1" cm="1">
        <f t="array" ref="G55">Common_InputFunctions.Utility_DisplayArrayInTable(SourceData_Dairy.SourceData_Dairy_ReferenceWeights_Data(), Table_SourceData_Dairy_WRj[[#Headers],[Milking cows]], 0)</f>
        <v>770</v>
      </c>
      <c r="H55" s="1" cm="1">
        <f t="array" ref="H55">Common_InputFunctions.Utility_DisplayArrayInTable(SourceData_Dairy.SourceData_Dairy_ReferenceWeights_Data(), Table_SourceData_Dairy_WRj[[#Headers],[Milking cows]], 0)</f>
        <v>770</v>
      </c>
      <c r="M55" s="1"/>
    </row>
    <row r="56" spans="4:13" ht="20.100000000000001" customHeight="1" x14ac:dyDescent="0.2">
      <c r="M56" s="1"/>
    </row>
    <row r="57" spans="4:13" ht="20.100000000000001" customHeight="1" x14ac:dyDescent="0.2">
      <c r="M57" s="1"/>
    </row>
    <row r="58" spans="4:13" ht="20.100000000000001" customHeight="1" x14ac:dyDescent="0.2">
      <c r="D58" s="6" t="str" cm="1">
        <f t="array" ref="D58">SourceData_Dairy.SourceData_Dairy_PreWeanedCalves_Title()</f>
        <v>Table A.1.3.5: Dairy cattle - Data for pre - weaned calves</v>
      </c>
      <c r="M58" s="1"/>
    </row>
    <row r="59" spans="4:13" ht="20.100000000000001" customHeight="1" x14ac:dyDescent="0.2">
      <c r="D59" s="5" t="str" cm="1">
        <f t="array" ref="D59">SourceData_Dairy.SourceData_Dairy_PreWeanedCalves_Source()</f>
        <v>VEERG 2026: Table A.1.3.5</v>
      </c>
      <c r="M59" s="1"/>
    </row>
    <row r="60" spans="4:13" ht="20.100000000000001" customHeight="1" x14ac:dyDescent="0.2">
      <c r="D60" s="1" t="str" cm="1">
        <f t="array" ref="D60">SourceData_Dairy.SourceData_Dairy_PreWeanedCalves_Variable()</f>
        <v>VSj=3,5; NPWj=3,5</v>
      </c>
      <c r="M60" s="1"/>
    </row>
    <row r="61" spans="4:13" ht="20.100000000000001" customHeight="1" x14ac:dyDescent="0.2">
      <c r="D61" s="55" t="str" cm="1">
        <f t="array" ref="D61">SourceData_Dairy.SourceData_Dairy_PreWeanedCalves_Unit()</f>
        <v>kg/day</v>
      </c>
      <c r="M61" s="1"/>
    </row>
    <row r="62" spans="4:13" ht="20.100000000000001" customHeight="1" x14ac:dyDescent="0.2">
      <c r="D62" s="38" t="s">
        <v>172</v>
      </c>
      <c r="E62" s="38" t="s">
        <v>173</v>
      </c>
      <c r="F62" s="38" t="s">
        <v>174</v>
      </c>
      <c r="G62" s="38" t="s">
        <v>175</v>
      </c>
      <c r="M62" s="1"/>
    </row>
    <row r="63" spans="4:13" ht="20.100000000000001" customHeight="1" x14ac:dyDescent="0.2">
      <c r="D63" s="38" t="str" cm="1">
        <f t="array" ref="D63">Common_InputFunctions.Utility_DisplayArrayInTable(SourceData_Dairy.SourceData_Dairy_PreWeanedCalves_Data(), Table_SourceData_Dairy_DataPreWeaned[[#Headers],[Animal class j]], -1)</f>
        <v>Heifers&lt;1</v>
      </c>
      <c r="E63" s="38" cm="1">
        <f t="array" ref="E63">Common_InputFunctions.Utility_DisplayArrayInTable(SourceData_Dairy.SourceData_Dairy_PreWeanedCalves_Data(), Table_SourceData_Dairy_DataPreWeaned[[#Headers],[Animal class j]], -1)</f>
        <v>1.7600000000000001E-2</v>
      </c>
      <c r="F63" s="38" cm="1">
        <f t="array" ref="F63">Common_InputFunctions.Utility_DisplayArrayInTable(SourceData_Dairy.SourceData_Dairy_PreWeanedCalves_Data(), Table_SourceData_Dairy_DataPreWeaned[[#Headers],[Animal class j]], -1)</f>
        <v>0.26850000000000002</v>
      </c>
      <c r="G63" s="38" cm="1">
        <f t="array" ref="G63">Common_InputFunctions.Utility_DisplayArrayInTable(SourceData_Dairy.SourceData_Dairy_PreWeanedCalves_Data(), Table_SourceData_Dairy_DataPreWeaned[[#Headers],[Animal class j]], -1)</f>
        <v>1.37E-2</v>
      </c>
      <c r="M63" s="1"/>
    </row>
    <row r="64" spans="4:13" ht="20.100000000000001" customHeight="1" x14ac:dyDescent="0.2">
      <c r="D64" s="38" t="str" cm="1">
        <f t="array" ref="D64">Common_InputFunctions.Utility_DisplayArrayInTable(SourceData_Dairy.SourceData_Dairy_PreWeanedCalves_Data(), Table_SourceData_Dairy_DataPreWeaned[[#Headers],[Animal class j]], -1)</f>
        <v>Bulls&lt;1</v>
      </c>
      <c r="E64" s="38" cm="1">
        <f t="array" ref="E64">Common_InputFunctions.Utility_DisplayArrayInTable(SourceData_Dairy.SourceData_Dairy_PreWeanedCalves_Data(), Table_SourceData_Dairy_DataPreWeaned[[#Headers],[Animal class j]], -1)</f>
        <v>2.0400000000000001E-2</v>
      </c>
      <c r="F64" s="38" cm="1">
        <f t="array" ref="F64">Common_InputFunctions.Utility_DisplayArrayInTable(SourceData_Dairy.SourceData_Dairy_PreWeanedCalves_Data(), Table_SourceData_Dairy_DataPreWeaned[[#Headers],[Animal class j]], -1)</f>
        <v>0.30030000000000001</v>
      </c>
      <c r="G64" s="38" cm="1">
        <f t="array" ref="G64">Common_InputFunctions.Utility_DisplayArrayInTable(SourceData_Dairy.SourceData_Dairy_PreWeanedCalves_Data(), Table_SourceData_Dairy_DataPreWeaned[[#Headers],[Animal class j]], -1)</f>
        <v>9.1999999999999998E-3</v>
      </c>
      <c r="M64" s="1"/>
    </row>
    <row r="65" spans="4:22" ht="20.100000000000001" customHeight="1" x14ac:dyDescent="0.2">
      <c r="M65" s="1"/>
    </row>
    <row r="66" spans="4:22" ht="20.100000000000001" customHeight="1" x14ac:dyDescent="0.2">
      <c r="M66" s="1"/>
    </row>
    <row r="67" spans="4:22" ht="20.100000000000001" customHeight="1" x14ac:dyDescent="0.2">
      <c r="D67" s="6" t="str" cm="1">
        <f t="array" ref="D67">SourceData_Dairy.SourceData_Dairy_MCF_Title()</f>
        <v>Table A.1.3.6: Dairy cattle - Dairy cattle - MCFs (fraction) (MCFjm)</v>
      </c>
      <c r="M67" s="1"/>
    </row>
    <row r="68" spans="4:22" ht="20.100000000000001" customHeight="1" x14ac:dyDescent="0.2">
      <c r="D68" s="5" t="str" cm="1">
        <f t="array" ref="D68">SourceData_Dairy.SourceData_Dairy_MCF_Source()</f>
        <v>VEERG 2026: Table A.1.3.6</v>
      </c>
      <c r="M68" s="1"/>
    </row>
    <row r="69" spans="4:22" ht="20.100000000000001" customHeight="1" x14ac:dyDescent="0.2">
      <c r="D69" s="1" t="str" cm="1">
        <f t="array" ref="D69">SourceData_Dairy.SourceData_Dairy_MCF_Variable()</f>
        <v>MCFjm</v>
      </c>
      <c r="M69" s="1"/>
    </row>
    <row r="70" spans="4:22" ht="20.100000000000001" customHeight="1" x14ac:dyDescent="0.2">
      <c r="D70" s="55" t="str" cm="1">
        <f t="array" ref="D70">SourceData_Dairy.SourceData_Dairy_MCF_Unit()</f>
        <v>fraction</v>
      </c>
      <c r="M70" s="1"/>
    </row>
    <row r="71" spans="4:22" ht="20.100000000000001" customHeight="1" x14ac:dyDescent="0.2">
      <c r="D71" s="56" t="str" cm="1">
        <f t="array" ref="D71">SourceData_Dairy.SourceData_Dairy_MCF_Variation()</f>
        <v>VARIATION OF SOURCE: Added 'NIR reference' column to aid lookup</v>
      </c>
      <c r="M71" s="1"/>
      <c r="V71" s="1"/>
    </row>
    <row r="72" spans="4:22" ht="20.100000000000001" customHeight="1" x14ac:dyDescent="0.2">
      <c r="D72" s="38" t="s">
        <v>96</v>
      </c>
      <c r="E72" s="38" t="s">
        <v>78</v>
      </c>
      <c r="F72" s="38" t="s">
        <v>79</v>
      </c>
      <c r="G72" s="38" t="s">
        <v>80</v>
      </c>
      <c r="H72" s="38" t="s">
        <v>81</v>
      </c>
      <c r="I72" s="38" t="s">
        <v>82</v>
      </c>
      <c r="J72" s="38" t="s">
        <v>83</v>
      </c>
      <c r="K72" s="38" t="s">
        <v>84</v>
      </c>
      <c r="L72" s="38" t="s">
        <v>85</v>
      </c>
      <c r="M72" s="38" t="s">
        <v>183</v>
      </c>
      <c r="V72" s="1"/>
    </row>
    <row r="73" spans="4:22" ht="20.100000000000001" customHeight="1" x14ac:dyDescent="0.2">
      <c r="D73" s="38" t="str" cm="1">
        <f t="array" ref="D73">Common_InputFunctions.Utility_DisplayArrayInTable(SourceData_Dairy.SourceData_Dairy_MCF_Data(), Table_SourceData_Dairy_MCFjm[[#Headers],[MMS m]], 0)</f>
        <v>Pasture</v>
      </c>
      <c r="E73" s="38" cm="1">
        <f t="array" ref="E73">Common_InputFunctions.Utility_DisplayArrayInTable(SourceData_Dairy.SourceData_Dairy_MCF_Data(), Table_SourceData_Dairy_MCFjm[[#Headers],[MMS m]], 0)</f>
        <v>0.01</v>
      </c>
      <c r="F73" s="38" cm="1">
        <f t="array" ref="F73">Common_InputFunctions.Utility_DisplayArrayInTable(SourceData_Dairy.SourceData_Dairy_MCF_Data(), Table_SourceData_Dairy_MCFjm[[#Headers],[MMS m]], 0)</f>
        <v>0.01</v>
      </c>
      <c r="G73" s="38" cm="1">
        <f t="array" ref="G73">Common_InputFunctions.Utility_DisplayArrayInTable(SourceData_Dairy.SourceData_Dairy_MCF_Data(), Table_SourceData_Dairy_MCFjm[[#Headers],[MMS m]], 0)</f>
        <v>0.02</v>
      </c>
      <c r="H73" s="38" cm="1">
        <f t="array" ref="H73">Common_InputFunctions.Utility_DisplayArrayInTable(SourceData_Dairy.SourceData_Dairy_MCF_Data(), Table_SourceData_Dairy_MCFjm[[#Headers],[MMS m]], 0)</f>
        <v>0.01</v>
      </c>
      <c r="I73" s="38" cm="1">
        <f t="array" ref="I73">Common_InputFunctions.Utility_DisplayArrayInTable(SourceData_Dairy.SourceData_Dairy_MCF_Data(), Table_SourceData_Dairy_MCFjm[[#Headers],[MMS m]], 0)</f>
        <v>0.01</v>
      </c>
      <c r="J73" s="38" cm="1">
        <f t="array" ref="J73">Common_InputFunctions.Utility_DisplayArrayInTable(SourceData_Dairy.SourceData_Dairy_MCF_Data(), Table_SourceData_Dairy_MCFjm[[#Headers],[MMS m]], 0)</f>
        <v>0.01</v>
      </c>
      <c r="K73" s="38" cm="1">
        <f t="array" ref="K73">Common_InputFunctions.Utility_DisplayArrayInTable(SourceData_Dairy.SourceData_Dairy_MCF_Data(), Table_SourceData_Dairy_MCFjm[[#Headers],[MMS m]], 0)</f>
        <v>0.01</v>
      </c>
      <c r="L73" s="38" cm="1">
        <f t="array" ref="L73">Common_InputFunctions.Utility_DisplayArrayInTable(SourceData_Dairy.SourceData_Dairy_MCF_Data(), Table_SourceData_Dairy_MCFjm[[#Headers],[MMS m]], 0)</f>
        <v>0.01</v>
      </c>
      <c r="M73" s="38" t="str" cm="1">
        <f t="array" ref="M73">Common_InputFunctions.Utility_DisplayArrayInTable(SourceData_Dairy.SourceData_Dairy_MCF_Data(), Table_SourceData_Dairy_MCFjm[[#Headers],[MMS m]], 0)</f>
        <v>Pasture range and paddock</v>
      </c>
      <c r="V73" s="1"/>
    </row>
    <row r="74" spans="4:22" ht="20.100000000000001" customHeight="1" x14ac:dyDescent="0.2">
      <c r="D74" s="1" t="str" cm="1">
        <f t="array" ref="D74">Common_InputFunctions.Utility_DisplayArrayInTable(SourceData_Dairy.SourceData_Dairy_MCF_Data(), Table_SourceData_Dairy_MCFjm[[#Headers],[MMS m]], 0)</f>
        <v>Anaerobic lagoon</v>
      </c>
      <c r="E74" s="38" cm="1">
        <f t="array" ref="E74">Common_InputFunctions.Utility_DisplayArrayInTable(SourceData_Dairy.SourceData_Dairy_MCF_Data(), Table_SourceData_Dairy_MCFjm[[#Headers],[MMS m]], 0)</f>
        <v>0.72</v>
      </c>
      <c r="F74" s="38" cm="1">
        <f t="array" ref="F74">Common_InputFunctions.Utility_DisplayArrayInTable(SourceData_Dairy.SourceData_Dairy_MCF_Data(), Table_SourceData_Dairy_MCFjm[[#Headers],[MMS m]], 0)</f>
        <v>0.76</v>
      </c>
      <c r="G74" s="38" cm="1">
        <f t="array" ref="G74">Common_InputFunctions.Utility_DisplayArrayInTable(SourceData_Dairy.SourceData_Dairy_MCF_Data(), Table_SourceData_Dairy_MCFjm[[#Headers],[MMS m]], 0)</f>
        <v>0.8</v>
      </c>
      <c r="H74" s="38" cm="1">
        <f t="array" ref="H74">Common_InputFunctions.Utility_DisplayArrayInTable(SourceData_Dairy.SourceData_Dairy_MCF_Data(), Table_SourceData_Dairy_MCFjm[[#Headers],[MMS m]], 0)</f>
        <v>0.78</v>
      </c>
      <c r="I74" s="38" cm="1">
        <f t="array" ref="I74">Common_InputFunctions.Utility_DisplayArrayInTable(SourceData_Dairy.SourceData_Dairy_MCF_Data(), Table_SourceData_Dairy_MCFjm[[#Headers],[MMS m]], 0)</f>
        <v>0.74</v>
      </c>
      <c r="J74" s="38" cm="1">
        <f t="array" ref="J74">Common_InputFunctions.Utility_DisplayArrayInTable(SourceData_Dairy.SourceData_Dairy_MCF_Data(), Table_SourceData_Dairy_MCFjm[[#Headers],[MMS m]], 0)</f>
        <v>0.69</v>
      </c>
      <c r="K74" s="38" cm="1">
        <f t="array" ref="K74">Common_InputFunctions.Utility_DisplayArrayInTable(SourceData_Dairy.SourceData_Dairy_MCF_Data(), Table_SourceData_Dairy_MCFjm[[#Headers],[MMS m]], 0)</f>
        <v>0.73</v>
      </c>
      <c r="L74" s="38" cm="1">
        <f t="array" ref="L74">Common_InputFunctions.Utility_DisplayArrayInTable(SourceData_Dairy.SourceData_Dairy_MCF_Data(), Table_SourceData_Dairy_MCFjm[[#Headers],[MMS m]], 0)</f>
        <v>0.76</v>
      </c>
      <c r="M74" s="38" t="str" cm="1">
        <f t="array" ref="M74">Common_InputFunctions.Utility_DisplayArrayInTable(SourceData_Dairy.SourceData_Dairy_MCF_Data(), Table_SourceData_Dairy_MCFjm[[#Headers],[MMS m]], 0)</f>
        <v>Anaerobic lagoon</v>
      </c>
      <c r="V74" s="1"/>
    </row>
    <row r="75" spans="4:22" ht="20.100000000000001" customHeight="1" x14ac:dyDescent="0.2">
      <c r="D75" s="1" t="str" cm="1">
        <f t="array" ref="D75">Common_InputFunctions.Utility_DisplayArrayInTable(SourceData_Dairy.SourceData_Dairy_MCF_Data(), Table_SourceData_Dairy_MCFjm[[#Headers],[MMS m]], 0)</f>
        <v>Daily spread - Sump and dispersal systems</v>
      </c>
      <c r="E75" s="38" cm="1">
        <f t="array" ref="E75">Common_InputFunctions.Utility_DisplayArrayInTable(SourceData_Dairy.SourceData_Dairy_MCF_Data(), Table_SourceData_Dairy_MCFjm[[#Headers],[MMS m]], 0)</f>
        <v>5.0000000000000001E-3</v>
      </c>
      <c r="F75" s="38" cm="1">
        <f t="array" ref="F75">Common_InputFunctions.Utility_DisplayArrayInTable(SourceData_Dairy.SourceData_Dairy_MCF_Data(), Table_SourceData_Dairy_MCFjm[[#Headers],[MMS m]], 0)</f>
        <v>5.0000000000000001E-3</v>
      </c>
      <c r="G75" s="38" cm="1">
        <f t="array" ref="G75">Common_InputFunctions.Utility_DisplayArrayInTable(SourceData_Dairy.SourceData_Dairy_MCF_Data(), Table_SourceData_Dairy_MCFjm[[#Headers],[MMS m]], 0)</f>
        <v>0.01</v>
      </c>
      <c r="H75" s="38" cm="1">
        <f t="array" ref="H75">Common_InputFunctions.Utility_DisplayArrayInTable(SourceData_Dairy.SourceData_Dairy_MCF_Data(), Table_SourceData_Dairy_MCFjm[[#Headers],[MMS m]], 0)</f>
        <v>5.0000000000000001E-3</v>
      </c>
      <c r="I75" s="38" cm="1">
        <f t="array" ref="I75">Common_InputFunctions.Utility_DisplayArrayInTable(SourceData_Dairy.SourceData_Dairy_MCF_Data(), Table_SourceData_Dairy_MCFjm[[#Headers],[MMS m]], 0)</f>
        <v>5.0000000000000001E-3</v>
      </c>
      <c r="J75" s="38" cm="1">
        <f t="array" ref="J75">Common_InputFunctions.Utility_DisplayArrayInTable(SourceData_Dairy.SourceData_Dairy_MCF_Data(), Table_SourceData_Dairy_MCFjm[[#Headers],[MMS m]], 0)</f>
        <v>1E-3</v>
      </c>
      <c r="K75" s="38" cm="1">
        <f t="array" ref="K75">Common_InputFunctions.Utility_DisplayArrayInTable(SourceData_Dairy.SourceData_Dairy_MCF_Data(), Table_SourceData_Dairy_MCFjm[[#Headers],[MMS m]], 0)</f>
        <v>5.0000000000000001E-3</v>
      </c>
      <c r="L75" s="38" cm="1">
        <f t="array" ref="L75">Common_InputFunctions.Utility_DisplayArrayInTable(SourceData_Dairy.SourceData_Dairy_MCF_Data(), Table_SourceData_Dairy_MCFjm[[#Headers],[MMS m]], 0)</f>
        <v>5.0000000000000001E-3</v>
      </c>
      <c r="M75" s="38" t="str" cm="1">
        <f t="array" ref="M75">Common_InputFunctions.Utility_DisplayArrayInTable(SourceData_Dairy.SourceData_Dairy_MCF_Data(), Table_SourceData_Dairy_MCFjm[[#Headers],[MMS m]], 0)</f>
        <v>Sump and dispersal system</v>
      </c>
      <c r="V75" s="1"/>
    </row>
    <row r="76" spans="4:22" ht="20.100000000000001" customHeight="1" x14ac:dyDescent="0.2">
      <c r="D76" s="1" t="str" cm="1">
        <f t="array" ref="D76">Common_InputFunctions.Utility_DisplayArrayInTable(SourceData_Dairy.SourceData_Dairy_MCF_Data(), Table_SourceData_Dairy_MCFjm[[#Headers],[MMS m]], 0)</f>
        <v>Daily spread - Drains to paddocks (a)</v>
      </c>
      <c r="E76" s="38" cm="1">
        <f t="array" ref="E76">Common_InputFunctions.Utility_DisplayArrayInTable(SourceData_Dairy.SourceData_Dairy_MCF_Data(), Table_SourceData_Dairy_MCFjm[[#Headers],[MMS m]], 0)</f>
        <v>0.15</v>
      </c>
      <c r="F76" s="38" cm="1">
        <f t="array" ref="F76">Common_InputFunctions.Utility_DisplayArrayInTable(SourceData_Dairy.SourceData_Dairy_MCF_Data(), Table_SourceData_Dairy_MCFjm[[#Headers],[MMS m]], 0)</f>
        <v>0.18</v>
      </c>
      <c r="G76" s="38" cm="1">
        <f t="array" ref="G76">Common_InputFunctions.Utility_DisplayArrayInTable(SourceData_Dairy.SourceData_Dairy_MCF_Data(), Table_SourceData_Dairy_MCFjm[[#Headers],[MMS m]], 0)</f>
        <v>0.5</v>
      </c>
      <c r="H76" s="38" cm="1">
        <f t="array" ref="H76">Common_InputFunctions.Utility_DisplayArrayInTable(SourceData_Dairy.SourceData_Dairy_MCF_Data(), Table_SourceData_Dairy_MCFjm[[#Headers],[MMS m]], 0)</f>
        <v>0.24</v>
      </c>
      <c r="I76" s="38" cm="1">
        <f t="array" ref="I76">Common_InputFunctions.Utility_DisplayArrayInTable(SourceData_Dairy.SourceData_Dairy_MCF_Data(), Table_SourceData_Dairy_MCFjm[[#Headers],[MMS m]], 0)</f>
        <v>0.17</v>
      </c>
      <c r="J76" s="38" cm="1">
        <f t="array" ref="J76">Common_InputFunctions.Utility_DisplayArrayInTable(SourceData_Dairy.SourceData_Dairy_MCF_Data(), Table_SourceData_Dairy_MCFjm[[#Headers],[MMS m]], 0)</f>
        <v>0.13</v>
      </c>
      <c r="K76" s="38" cm="1">
        <f t="array" ref="K76">Common_InputFunctions.Utility_DisplayArrayInTable(SourceData_Dairy.SourceData_Dairy_MCF_Data(), Table_SourceData_Dairy_MCFjm[[#Headers],[MMS m]], 0)</f>
        <v>0.17</v>
      </c>
      <c r="L76" s="38" cm="1">
        <f t="array" ref="L76">Common_InputFunctions.Utility_DisplayArrayInTable(SourceData_Dairy.SourceData_Dairy_MCF_Data(), Table_SourceData_Dairy_MCFjm[[#Headers],[MMS m]], 0)</f>
        <v>0.18</v>
      </c>
      <c r="M76" s="38" t="str" cm="1">
        <f t="array" ref="M76">Common_InputFunctions.Utility_DisplayArrayInTable(SourceData_Dairy.SourceData_Dairy_MCF_Data(), Table_SourceData_Dairy_MCFjm[[#Headers],[MMS m]], 0)</f>
        <v>Drains to paddock</v>
      </c>
      <c r="V76" s="1"/>
    </row>
    <row r="77" spans="4:22" ht="20.100000000000001" customHeight="1" x14ac:dyDescent="0.2">
      <c r="D77" s="1" t="str" cm="1">
        <f t="array" ref="D77">Common_InputFunctions.Utility_DisplayArrayInTable(SourceData_Dairy.SourceData_Dairy_MCF_Data(), Table_SourceData_Dairy_MCFjm[[#Headers],[MMS m]], 0)</f>
        <v>Solid Storage</v>
      </c>
      <c r="E77" s="38" cm="1">
        <f t="array" ref="E77">Common_InputFunctions.Utility_DisplayArrayInTable(SourceData_Dairy.SourceData_Dairy_MCF_Data(), Table_SourceData_Dairy_MCFjm[[#Headers],[MMS m]], 0)</f>
        <v>0.02</v>
      </c>
      <c r="F77" s="38" cm="1">
        <f t="array" ref="F77">Common_InputFunctions.Utility_DisplayArrayInTable(SourceData_Dairy.SourceData_Dairy_MCF_Data(), Table_SourceData_Dairy_MCFjm[[#Headers],[MMS m]], 0)</f>
        <v>0.02</v>
      </c>
      <c r="G77" s="38" cm="1">
        <f t="array" ref="G77">Common_InputFunctions.Utility_DisplayArrayInTable(SourceData_Dairy.SourceData_Dairy_MCF_Data(), Table_SourceData_Dairy_MCFjm[[#Headers],[MMS m]], 0)</f>
        <v>0.02</v>
      </c>
      <c r="H77" s="38" cm="1">
        <f t="array" ref="H77">Common_InputFunctions.Utility_DisplayArrayInTable(SourceData_Dairy.SourceData_Dairy_MCF_Data(), Table_SourceData_Dairy_MCFjm[[#Headers],[MMS m]], 0)</f>
        <v>0.02</v>
      </c>
      <c r="I77" s="38" cm="1">
        <f t="array" ref="I77">Common_InputFunctions.Utility_DisplayArrayInTable(SourceData_Dairy.SourceData_Dairy_MCF_Data(), Table_SourceData_Dairy_MCFjm[[#Headers],[MMS m]], 0)</f>
        <v>0.02</v>
      </c>
      <c r="J77" s="38" cm="1">
        <f t="array" ref="J77">Common_InputFunctions.Utility_DisplayArrayInTable(SourceData_Dairy.SourceData_Dairy_MCF_Data(), Table_SourceData_Dairy_MCFjm[[#Headers],[MMS m]], 0)</f>
        <v>0.02</v>
      </c>
      <c r="K77" s="38" cm="1">
        <f t="array" ref="K77">Common_InputFunctions.Utility_DisplayArrayInTable(SourceData_Dairy.SourceData_Dairy_MCF_Data(), Table_SourceData_Dairy_MCFjm[[#Headers],[MMS m]], 0)</f>
        <v>0.02</v>
      </c>
      <c r="L77" s="38" cm="1">
        <f t="array" ref="L77">Common_InputFunctions.Utility_DisplayArrayInTable(SourceData_Dairy.SourceData_Dairy_MCF_Data(), Table_SourceData_Dairy_MCFjm[[#Headers],[MMS m]], 0)</f>
        <v>0.02</v>
      </c>
      <c r="M77" s="38" t="str" cm="1">
        <f t="array" ref="M77">Common_InputFunctions.Utility_DisplayArrayInTable(SourceData_Dairy.SourceData_Dairy_MCF_Data(), Table_SourceData_Dairy_MCFjm[[#Headers],[MMS m]], 0)</f>
        <v>Solid storage</v>
      </c>
      <c r="V77" s="1"/>
    </row>
    <row r="78" spans="4:22" ht="20.100000000000001" customHeight="1" x14ac:dyDescent="0.2">
      <c r="D78" s="1" t="str" cm="1">
        <f t="array" ref="D78">Common_InputFunctions.Utility_DisplayArrayInTable(SourceData_Dairy.SourceData_Dairy_MCF_Data(), Table_SourceData_Dairy_MCFjm[[#Headers],[MMS m]], 0)</f>
        <v>Direct Application to soil</v>
      </c>
      <c r="E78" s="38" cm="1">
        <f t="array" ref="E78">Common_InputFunctions.Utility_DisplayArrayInTable(SourceData_Dairy.SourceData_Dairy_MCF_Data(), Table_SourceData_Dairy_MCFjm[[#Headers],[MMS m]], 0)</f>
        <v>0</v>
      </c>
      <c r="F78" s="38" cm="1">
        <f t="array" ref="F78">Common_InputFunctions.Utility_DisplayArrayInTable(SourceData_Dairy.SourceData_Dairy_MCF_Data(), Table_SourceData_Dairy_MCFjm[[#Headers],[MMS m]], 0)</f>
        <v>0</v>
      </c>
      <c r="G78" s="38" cm="1">
        <f t="array" ref="G78">Common_InputFunctions.Utility_DisplayArrayInTable(SourceData_Dairy.SourceData_Dairy_MCF_Data(), Table_SourceData_Dairy_MCFjm[[#Headers],[MMS m]], 0)</f>
        <v>0</v>
      </c>
      <c r="H78" s="38" cm="1">
        <f t="array" ref="H78">Common_InputFunctions.Utility_DisplayArrayInTable(SourceData_Dairy.SourceData_Dairy_MCF_Data(), Table_SourceData_Dairy_MCFjm[[#Headers],[MMS m]], 0)</f>
        <v>0</v>
      </c>
      <c r="I78" s="38" cm="1">
        <f t="array" ref="I78">Common_InputFunctions.Utility_DisplayArrayInTable(SourceData_Dairy.SourceData_Dairy_MCF_Data(), Table_SourceData_Dairy_MCFjm[[#Headers],[MMS m]], 0)</f>
        <v>0</v>
      </c>
      <c r="J78" s="38" cm="1">
        <f t="array" ref="J78">Common_InputFunctions.Utility_DisplayArrayInTable(SourceData_Dairy.SourceData_Dairy_MCF_Data(), Table_SourceData_Dairy_MCFjm[[#Headers],[MMS m]], 0)</f>
        <v>0</v>
      </c>
      <c r="K78" s="38" cm="1">
        <f t="array" ref="K78">Common_InputFunctions.Utility_DisplayArrayInTable(SourceData_Dairy.SourceData_Dairy_MCF_Data(), Table_SourceData_Dairy_MCFjm[[#Headers],[MMS m]], 0)</f>
        <v>0</v>
      </c>
      <c r="L78" s="38" cm="1">
        <f t="array" ref="L78">Common_InputFunctions.Utility_DisplayArrayInTable(SourceData_Dairy.SourceData_Dairy_MCF_Data(), Table_SourceData_Dairy_MCFjm[[#Headers],[MMS m]], 0)</f>
        <v>0</v>
      </c>
      <c r="M78" s="38" t="str" cm="1">
        <f t="array" ref="M78">Common_InputFunctions.Utility_DisplayArrayInTable(SourceData_Dairy.SourceData_Dairy_MCF_Data(), Table_SourceData_Dairy_MCFjm[[#Headers],[MMS m]], 0)</f>
        <v>Direct application</v>
      </c>
    </row>
    <row r="79" spans="4:22" ht="20.100000000000001" customHeight="1" x14ac:dyDescent="0.2">
      <c r="M79" s="1"/>
    </row>
    <row r="80" spans="4:22" ht="20.100000000000001" customHeight="1" x14ac:dyDescent="0.2">
      <c r="M80" s="1"/>
    </row>
    <row r="81" spans="4:22" ht="20.100000000000001" customHeight="1" x14ac:dyDescent="0.2">
      <c r="D81" s="6" t="str" cm="1">
        <f t="array" ref="D81">SourceData_Dairy.SourceData_Dairy_NitrousOxideEFsAndFracGASM_Title()</f>
        <v>Table A.1.3.7: Dairy cattle - Nitrous oxide EFs and fraction of N volatilised by MMS</v>
      </c>
      <c r="M81" s="1"/>
    </row>
    <row r="82" spans="4:22" ht="20.100000000000001" customHeight="1" x14ac:dyDescent="0.2">
      <c r="D82" s="5" t="str" cm="1">
        <f t="array" ref="D82">SourceData_Dairy.SourceData_Dairy_NitrousOxideEFsAndFracGASM_Source()</f>
        <v>VEERG 2026: Table A.1.3.7</v>
      </c>
      <c r="M82" s="1"/>
    </row>
    <row r="83" spans="4:22" ht="20.100000000000001" customHeight="1" x14ac:dyDescent="0.2">
      <c r="D83" s="1" t="str" cm="1">
        <f t="array" ref="D83">SourceData_Dairy.SourceData_Dairy_NitrousOxideEFsAndFracGASM_Variable()</f>
        <v>EFm; FracGASMm</v>
      </c>
      <c r="M83" s="1"/>
    </row>
    <row r="84" spans="4:22" ht="20.100000000000001" customHeight="1" x14ac:dyDescent="0.2">
      <c r="D84" s="55" t="str" cm="1">
        <f t="array" ref="D84">SourceData_Dairy.SourceData_Dairy_NitrousOxideEFsAndFracGASM_Unit()</f>
        <v>kg N2O-N/kg N excreted</v>
      </c>
      <c r="M84" s="1"/>
    </row>
    <row r="85" spans="4:22" ht="20.100000000000001" customHeight="1" x14ac:dyDescent="0.2">
      <c r="D85" s="56" t="str" cm="1">
        <f t="array" ref="D85">SourceData_Dairy.SourceData_Dairy_NitrousOxideEFsAndFracGASM_Variation()</f>
        <v>VARIATION OF SOURCE: Added 'NIR reference' column to aid lookup</v>
      </c>
      <c r="M85" s="1"/>
      <c r="V85" s="1"/>
    </row>
    <row r="86" spans="4:22" ht="20.100000000000001" customHeight="1" x14ac:dyDescent="0.2">
      <c r="D86" s="38" t="s">
        <v>96</v>
      </c>
      <c r="E86" s="38" t="s">
        <v>176</v>
      </c>
      <c r="F86" s="38" t="s">
        <v>177</v>
      </c>
      <c r="G86" s="38" t="s">
        <v>183</v>
      </c>
      <c r="M86" s="1"/>
      <c r="V86" s="1"/>
    </row>
    <row r="87" spans="4:22" ht="20.100000000000001" customHeight="1" x14ac:dyDescent="0.2">
      <c r="D87" s="38" t="str" cm="1">
        <f t="array" ref="D87">Common_InputFunctions.Utility_DisplayArrayInTable(SourceData_Dairy.SourceData_Dairy_NitrousOxideEFsAndFracGASM_Data(), Table_SourceData_Dairy_EFmFracGASM[[#Headers],[MMS m]], 0)</f>
        <v>M=14 Pasture</v>
      </c>
      <c r="E87" s="38" cm="1">
        <f t="array" ref="E87">Common_InputFunctions.Utility_DisplayArrayInTable(SourceData_Dairy.SourceData_Dairy_NitrousOxideEFsAndFracGASM_Data(), Table_SourceData_Dairy_EFmFracGASM[[#Headers],[MMS m]], 0)</f>
        <v>0</v>
      </c>
      <c r="F87" s="38" cm="1">
        <f t="array" ref="F87">Common_InputFunctions.Utility_DisplayArrayInTable(SourceData_Dairy.SourceData_Dairy_NitrousOxideEFsAndFracGASM_Data(), Table_SourceData_Dairy_EFmFracGASM[[#Headers],[MMS m]], 0)</f>
        <v>0</v>
      </c>
      <c r="G87" s="38" t="str" cm="1">
        <f t="array" ref="G87">Common_InputFunctions.Utility_DisplayArrayInTable(SourceData_Dairy.SourceData_Dairy_NitrousOxideEFsAndFracGASM_Data(), Table_SourceData_Dairy_EFmFracGASM[[#Headers],[MMS m]], 0)</f>
        <v>Pasture range and paddock</v>
      </c>
      <c r="M87" s="1"/>
      <c r="V87" s="1"/>
    </row>
    <row r="88" spans="4:22" ht="20.100000000000001" customHeight="1" x14ac:dyDescent="0.2">
      <c r="D88" s="1" t="str" cm="1">
        <f t="array" ref="D88">Common_InputFunctions.Utility_DisplayArrayInTable(SourceData_Dairy.SourceData_Dairy_NitrousOxideEFsAndFracGASM_Data(), Table_SourceData_Dairy_EFmFracGASM[[#Headers],[MMS m]], 0)</f>
        <v>M=1 Anaerobic lagoon</v>
      </c>
      <c r="E88" s="38" cm="1">
        <f t="array" ref="E88">Common_InputFunctions.Utility_DisplayArrayInTable(SourceData_Dairy.SourceData_Dairy_NitrousOxideEFsAndFracGASM_Data(), Table_SourceData_Dairy_EFmFracGASM[[#Headers],[MMS m]], 0)</f>
        <v>0</v>
      </c>
      <c r="F88" s="38" cm="1">
        <f t="array" ref="F88">Common_InputFunctions.Utility_DisplayArrayInTable(SourceData_Dairy.SourceData_Dairy_NitrousOxideEFsAndFracGASM_Data(), Table_SourceData_Dairy_EFmFracGASM[[#Headers],[MMS m]], 0)</f>
        <v>0.35</v>
      </c>
      <c r="G88" s="38" t="str" cm="1">
        <f t="array" ref="G88">Common_InputFunctions.Utility_DisplayArrayInTable(SourceData_Dairy.SourceData_Dairy_NitrousOxideEFsAndFracGASM_Data(), Table_SourceData_Dairy_EFmFracGASM[[#Headers],[MMS m]], 0)</f>
        <v>Anaerobic lagoon</v>
      </c>
      <c r="M88" s="1"/>
      <c r="V88" s="1"/>
    </row>
    <row r="89" spans="4:22" ht="20.100000000000001" customHeight="1" x14ac:dyDescent="0.2">
      <c r="D89" s="1" t="str" cm="1">
        <f t="array" ref="D89">Common_InputFunctions.Utility_DisplayArrayInTable(SourceData_Dairy.SourceData_Dairy_NitrousOxideEFsAndFracGASM_Data(), Table_SourceData_Dairy_EFmFracGASM[[#Headers],[MMS m]], 0)</f>
        <v>M=2 Daily Spread - Sump and Dispersal</v>
      </c>
      <c r="E89" s="38" cm="1">
        <f t="array" ref="E89">Common_InputFunctions.Utility_DisplayArrayInTable(SourceData_Dairy.SourceData_Dairy_NitrousOxideEFsAndFracGASM_Data(), Table_SourceData_Dairy_EFmFracGASM[[#Headers],[MMS m]], 0)</f>
        <v>0</v>
      </c>
      <c r="F89" s="38" cm="1">
        <f t="array" ref="F89">Common_InputFunctions.Utility_DisplayArrayInTable(SourceData_Dairy.SourceData_Dairy_NitrousOxideEFsAndFracGASM_Data(), Table_SourceData_Dairy_EFmFracGASM[[#Headers],[MMS m]], 0)</f>
        <v>7.0000000000000007E-2</v>
      </c>
      <c r="G89" s="38" t="str" cm="1">
        <f t="array" ref="G89">Common_InputFunctions.Utility_DisplayArrayInTable(SourceData_Dairy.SourceData_Dairy_NitrousOxideEFsAndFracGASM_Data(), Table_SourceData_Dairy_EFmFracGASM[[#Headers],[MMS m]], 0)</f>
        <v>Sump and dispersal system</v>
      </c>
      <c r="M89" s="1"/>
      <c r="V89" s="1"/>
    </row>
    <row r="90" spans="4:22" ht="20.100000000000001" customHeight="1" x14ac:dyDescent="0.2">
      <c r="D90" s="1" t="str" cm="1">
        <f t="array" ref="D90">Common_InputFunctions.Utility_DisplayArrayInTable(SourceData_Dairy.SourceData_Dairy_NitrousOxideEFsAndFracGASM_Data(), Table_SourceData_Dairy_EFmFracGASM[[#Headers],[MMS m]], 0)</f>
        <v>M=3 Daily Spread - Drains to Paddock</v>
      </c>
      <c r="E90" s="38" cm="1">
        <f t="array" ref="E90">Common_InputFunctions.Utility_DisplayArrayInTable(SourceData_Dairy.SourceData_Dairy_NitrousOxideEFsAndFracGASM_Data(), Table_SourceData_Dairy_EFmFracGASM[[#Headers],[MMS m]], 0)</f>
        <v>0</v>
      </c>
      <c r="F90" s="38" cm="1">
        <f t="array" ref="F90">Common_InputFunctions.Utility_DisplayArrayInTable(SourceData_Dairy.SourceData_Dairy_NitrousOxideEFsAndFracGASM_Data(), Table_SourceData_Dairy_EFmFracGASM[[#Headers],[MMS m]], 0)</f>
        <v>0.2</v>
      </c>
      <c r="G90" s="38" t="str" cm="1">
        <f t="array" ref="G90">Common_InputFunctions.Utility_DisplayArrayInTable(SourceData_Dairy.SourceData_Dairy_NitrousOxideEFsAndFracGASM_Data(), Table_SourceData_Dairy_EFmFracGASM[[#Headers],[MMS m]], 0)</f>
        <v>Drains to paddock</v>
      </c>
      <c r="M90" s="1"/>
      <c r="V90" s="1"/>
    </row>
    <row r="91" spans="4:22" ht="20.100000000000001" customHeight="1" x14ac:dyDescent="0.2">
      <c r="D91" s="1" t="str" cm="1">
        <f t="array" ref="D91">Common_InputFunctions.Utility_DisplayArrayInTable(SourceData_Dairy.SourceData_Dairy_NitrousOxideEFsAndFracGASM_Data(), Table_SourceData_Dairy_EFmFracGASM[[#Headers],[MMS m]], 0)</f>
        <v>M=3 Solid Storage</v>
      </c>
      <c r="E91" s="38" cm="1">
        <f t="array" ref="E91">Common_InputFunctions.Utility_DisplayArrayInTable(SourceData_Dairy.SourceData_Dairy_NitrousOxideEFsAndFracGASM_Data(), Table_SourceData_Dairy_EFmFracGASM[[#Headers],[MMS m]], 0)</f>
        <v>5.0000000000000001E-3</v>
      </c>
      <c r="F91" s="38" cm="1">
        <f t="array" ref="F91">Common_InputFunctions.Utility_DisplayArrayInTable(SourceData_Dairy.SourceData_Dairy_NitrousOxideEFsAndFracGASM_Data(), Table_SourceData_Dairy_EFmFracGASM[[#Headers],[MMS m]], 0)</f>
        <v>0.3</v>
      </c>
      <c r="G91" s="38" t="str" cm="1">
        <f t="array" ref="G91">Common_InputFunctions.Utility_DisplayArrayInTable(SourceData_Dairy.SourceData_Dairy_NitrousOxideEFsAndFracGASM_Data(), Table_SourceData_Dairy_EFmFracGASM[[#Headers],[MMS m]], 0)</f>
        <v>Solid storage</v>
      </c>
      <c r="M91" s="1"/>
    </row>
    <row r="92" spans="4:22" ht="20.100000000000001" customHeight="1" x14ac:dyDescent="0.2">
      <c r="M92" s="1"/>
    </row>
    <row r="93" spans="4:22" ht="20.100000000000001" customHeight="1" x14ac:dyDescent="0.2">
      <c r="M93" s="1"/>
    </row>
    <row r="94" spans="4:22" ht="20.100000000000001" customHeight="1" x14ac:dyDescent="0.2">
      <c r="D94" s="6" t="str" cm="1">
        <f t="array" ref="D94">SourceData_Dairy.SourceData_Dairy_MethaneProductionPreWeanedCalves_Title()</f>
        <v>Table A.1.3.8: Dairy cattle - Methane production for pre-weaned heifer and bull calves (kg CH4/head/day) (MPWENTERIC,j=3,5)</v>
      </c>
      <c r="M94" s="1"/>
    </row>
    <row r="95" spans="4:22" ht="20.100000000000001" customHeight="1" x14ac:dyDescent="0.2">
      <c r="D95" s="5" t="str" cm="1">
        <f t="array" ref="D95">SourceData_Dairy.SourceData_Dairy_MethaneProductionPreWeanedCalves_Source()</f>
        <v>VEERG 2026: Table A.1.3.8</v>
      </c>
      <c r="M95" s="1"/>
    </row>
    <row r="96" spans="4:22" ht="20.100000000000001" customHeight="1" x14ac:dyDescent="0.2">
      <c r="D96" s="1" t="str" cm="1">
        <f t="array" ref="D96">SourceData_Dairy.SourceData_Dairy_MethaneProductionPreWeanedCalves_Variable()</f>
        <v>MPWENTERIC,j=3,5</v>
      </c>
      <c r="M96" s="1"/>
    </row>
    <row r="97" spans="4:13" ht="20.100000000000001" customHeight="1" x14ac:dyDescent="0.2">
      <c r="D97" s="55" t="str" cm="1">
        <f t="array" ref="D97">SourceData_Dairy.SourceData_Dairy_MethaneProductionPreWeanedCalves_Unit()</f>
        <v>kg CH4/head/day</v>
      </c>
      <c r="M97" s="1"/>
    </row>
    <row r="98" spans="4:13" ht="20.100000000000001" customHeight="1" x14ac:dyDescent="0.2">
      <c r="D98" s="38" t="s">
        <v>172</v>
      </c>
      <c r="E98" s="38" t="s">
        <v>178</v>
      </c>
      <c r="M98" s="1"/>
    </row>
    <row r="99" spans="4:13" ht="20.100000000000001" customHeight="1" x14ac:dyDescent="0.2">
      <c r="D99" s="38" t="str" cm="1">
        <f t="array" ref="D99">Common_InputFunctions.Utility_DisplayArrayInTable(SourceData_Dairy.SourceData_Dairy_MethaneProductionPreWeanedCalves_Data(), Table_SourceData_Dairy_MPWENTERIC[[#Headers],[Animal class j]], 0)</f>
        <v>Heifers &lt; 1 year</v>
      </c>
      <c r="E99" s="38" cm="1">
        <f t="array" ref="E99">Common_InputFunctions.Utility_DisplayArrayInTable(SourceData_Dairy.SourceData_Dairy_MethaneProductionPreWeanedCalves_Data(), Table_SourceData_Dairy_MPWENTERIC[[#Headers],[Animal class j]], 0)</f>
        <v>1.7600000000000001E-2</v>
      </c>
      <c r="M99" s="1"/>
    </row>
    <row r="100" spans="4:13" ht="20.100000000000001" customHeight="1" x14ac:dyDescent="0.2">
      <c r="D100" s="1" t="str" cm="1">
        <f t="array" ref="D100">Common_InputFunctions.Utility_DisplayArrayInTable(SourceData_Dairy.SourceData_Dairy_MethaneProductionPreWeanedCalves_Data(), Table_SourceData_Dairy_MPWENTERIC[[#Headers],[Animal class j]], 0)</f>
        <v>Bulls &lt; 1 year</v>
      </c>
      <c r="E100" s="38" cm="1">
        <f t="array" ref="E100">Common_InputFunctions.Utility_DisplayArrayInTable(SourceData_Dairy.SourceData_Dairy_MethaneProductionPreWeanedCalves_Data(), Table_SourceData_Dairy_MPWENTERIC[[#Headers],[Animal class j]], 0)</f>
        <v>2.0400000000000001E-2</v>
      </c>
      <c r="M100" s="1"/>
    </row>
    <row r="101" spans="4:13" ht="20.100000000000001" customHeight="1" x14ac:dyDescent="0.2">
      <c r="M101" s="1"/>
    </row>
    <row r="102" spans="4:13" ht="20.100000000000001" customHeight="1" x14ac:dyDescent="0.2">
      <c r="M102" s="1"/>
    </row>
    <row r="103" spans="4:13" ht="20.100000000000001" customHeight="1" x14ac:dyDescent="0.2">
      <c r="D103" s="6" t="str" cm="1">
        <f t="array" ref="D103">SourceData_Dairy.SourceData_Dairy_IncreasedMetabolicRateMilk_Title()</f>
        <v>Table A.1.3.9: Dairy cattle - Increased metabolic rate when producing milk (MRj)</v>
      </c>
      <c r="M103" s="1"/>
    </row>
    <row r="104" spans="4:13" ht="20.100000000000001" customHeight="1" x14ac:dyDescent="0.2">
      <c r="D104" s="5" t="str" cm="1">
        <f t="array" ref="D104">SourceData_Dairy.SourceData_Dairy_IncreasedMetabolicRateMilk_Source()</f>
        <v>VEERG 2026: Table A.1.3.9</v>
      </c>
      <c r="M104" s="1"/>
    </row>
    <row r="105" spans="4:13" ht="20.100000000000001" customHeight="1" x14ac:dyDescent="0.2">
      <c r="D105" s="1" t="str" cm="1">
        <f t="array" ref="D105">SourceData_Dairy.SourceData_Dairy_IncreasedMetabolicRateMilk_Variable()</f>
        <v>MRj</v>
      </c>
      <c r="M105" s="1"/>
    </row>
    <row r="106" spans="4:13" ht="20.100000000000001" customHeight="1" x14ac:dyDescent="0.2">
      <c r="D106" s="55" t="str" cm="1">
        <f t="array" ref="D106">SourceData_Dairy.SourceData_Dairy_IncreasedMetabolicRateMilk_Unit()</f>
        <v/>
      </c>
      <c r="M106" s="1"/>
    </row>
    <row r="107" spans="4:13" ht="20.100000000000001" customHeight="1" x14ac:dyDescent="0.2">
      <c r="D107" s="38" t="s">
        <v>172</v>
      </c>
      <c r="E107" s="38" t="s">
        <v>179</v>
      </c>
      <c r="M107" s="1"/>
    </row>
    <row r="108" spans="4:13" ht="20.100000000000001" customHeight="1" x14ac:dyDescent="0.2">
      <c r="D108" s="38" t="str" cm="1">
        <f t="array" ref="D108">Common_InputFunctions.Utility_DisplayArrayInTable(SourceData_Dairy.SourceData_Dairy_IncreasedMetabolicRateMilk_Data(), Table_SourceData_Dairy_MRj[[#Headers],[Animal class j]], 0)</f>
        <v>Milking cows, and house cows</v>
      </c>
      <c r="E108" s="38" cm="1">
        <f t="array" ref="E108">Common_InputFunctions.Utility_DisplayArrayInTable(SourceData_Dairy.SourceData_Dairy_IncreasedMetabolicRateMilk_Data(), Table_SourceData_Dairy_MRj[[#Headers],[Animal class j]], 0)</f>
        <v>1.1000000000000001</v>
      </c>
      <c r="M108" s="1"/>
    </row>
    <row r="109" spans="4:13" ht="20.100000000000001" customHeight="1" x14ac:dyDescent="0.2">
      <c r="D109" s="1" t="str" cm="1">
        <f t="array" ref="D109">Common_InputFunctions.Utility_DisplayArrayInTable(SourceData_Dairy.SourceData_Dairy_IncreasedMetabolicRateMilk_Data(), Table_SourceData_Dairy_MRj[[#Headers],[Animal class j]], 0)</f>
        <v>All other cattle classes</v>
      </c>
      <c r="E109" s="38" cm="1">
        <f t="array" ref="E109">Common_InputFunctions.Utility_DisplayArrayInTable(SourceData_Dairy.SourceData_Dairy_IncreasedMetabolicRateMilk_Data(), Table_SourceData_Dairy_MRj[[#Headers],[Animal class j]], 0)</f>
        <v>1</v>
      </c>
      <c r="M109" s="1"/>
    </row>
    <row r="110" spans="4:13" ht="20.100000000000001" customHeight="1" x14ac:dyDescent="0.2">
      <c r="M110" s="1"/>
    </row>
    <row r="111" spans="4:13" ht="20.100000000000001" customHeight="1" x14ac:dyDescent="0.2">
      <c r="M111" s="1"/>
    </row>
    <row r="112" spans="4:13" ht="20.100000000000001" customHeight="1" x14ac:dyDescent="0.2">
      <c r="D112" s="6" t="str" cm="1">
        <f t="array" ref="D112">SourceData_Dairy.SourceData_Dairy_FractionVolatileSolidsVoidedMMS_Title()</f>
        <v>Table A.1.3.10: Dairy cattle - Fraction of volatile solids voided to each manure management system (fraction) (MMSjm)</v>
      </c>
      <c r="M112" s="1"/>
    </row>
    <row r="113" spans="4:22" ht="20.100000000000001" customHeight="1" x14ac:dyDescent="0.2">
      <c r="D113" s="5" t="str" cm="1">
        <f t="array" ref="D113">SourceData_Dairy.SourceData_Dairy_FractionVolatileSolidsVoidedMMS_Source()</f>
        <v>VEERG 2026: Table A.1.3.10</v>
      </c>
      <c r="M113" s="1"/>
    </row>
    <row r="114" spans="4:22" ht="20.100000000000001" customHeight="1" x14ac:dyDescent="0.2">
      <c r="D114" s="1" t="str" cm="1">
        <f t="array" ref="D114">SourceData_Dairy.SourceData_Dairy_FractionVolatileSolidsVoidedMMS_Variable()</f>
        <v>MMSjm</v>
      </c>
      <c r="M114" s="1"/>
    </row>
    <row r="115" spans="4:22" ht="20.100000000000001" customHeight="1" x14ac:dyDescent="0.2">
      <c r="D115" s="55" t="str" cm="1">
        <f t="array" ref="D115">SourceData_Dairy.SourceData_Dairy_FractionVolatileSolidsVoidedMMS_Unit()</f>
        <v>fraction</v>
      </c>
      <c r="M115" s="1"/>
      <c r="V115" s="1"/>
    </row>
    <row r="116" spans="4:22" ht="20.100000000000001" customHeight="1" x14ac:dyDescent="0.2">
      <c r="D116" s="38" t="s">
        <v>180</v>
      </c>
      <c r="E116" s="38" t="s">
        <v>141</v>
      </c>
      <c r="F116" s="38" t="s">
        <v>181</v>
      </c>
      <c r="G116" s="38" t="s">
        <v>182</v>
      </c>
      <c r="M116" s="1"/>
      <c r="V116" s="1"/>
    </row>
    <row r="117" spans="4:22" ht="20.100000000000001" customHeight="1" x14ac:dyDescent="0.2">
      <c r="D117" s="38" t="str" cm="1">
        <f t="array" ref="D117">Common_InputFunctions.Utility_DisplayArrayInTable(SourceData_Dairy.SourceData_Dairy_FractionVolatileSolidsVoidedMMS_Data(), Table_SourceData_Dairy_ProductionSystemTemplates[[#Headers],[Area]], 0)</f>
        <v>System 1: Grazed Only</v>
      </c>
      <c r="E117" s="38" cm="1">
        <f t="array" ref="E117">Common_InputFunctions.Utility_DisplayArrayInTable(SourceData_Dairy.SourceData_Dairy_FractionVolatileSolidsVoidedMMS_Data(), Table_SourceData_Dairy_ProductionSystemTemplates[[#Headers],[Area]], 0)</f>
        <v>0.89</v>
      </c>
      <c r="F117" s="38" cm="1">
        <f t="array" ref="F117">Common_InputFunctions.Utility_DisplayArrayInTable(SourceData_Dairy.SourceData_Dairy_FractionVolatileSolidsVoidedMMS_Data(), Table_SourceData_Dairy_ProductionSystemTemplates[[#Headers],[Area]], 0)</f>
        <v>0.11</v>
      </c>
      <c r="G117" s="38" cm="1">
        <f t="array" ref="G117">Common_InputFunctions.Utility_DisplayArrayInTable(SourceData_Dairy.SourceData_Dairy_FractionVolatileSolidsVoidedMMS_Data(), Table_SourceData_Dairy_ProductionSystemTemplates[[#Headers],[Area]], 0)</f>
        <v>0</v>
      </c>
      <c r="M117" s="1"/>
      <c r="V117" s="1"/>
    </row>
    <row r="118" spans="4:22" ht="20.100000000000001" customHeight="1" x14ac:dyDescent="0.2">
      <c r="D118" s="1" t="str" cm="1">
        <f t="array" ref="D118">Common_InputFunctions.Utility_DisplayArrayInTable(SourceData_Dairy.SourceData_Dairy_FractionVolatileSolidsVoidedMMS_Data(), Table_SourceData_Dairy_ProductionSystemTemplates[[#Headers],[Area]], 0)</f>
        <v>System 2: On feedpad for &lt;10 hr/day for &lt;3 months/year</v>
      </c>
      <c r="E118" s="38" cm="1">
        <f t="array" ref="E118">Common_InputFunctions.Utility_DisplayArrayInTable(SourceData_Dairy.SourceData_Dairy_FractionVolatileSolidsVoidedMMS_Data(), Table_SourceData_Dairy_ProductionSystemTemplates[[#Headers],[Area]], 0)</f>
        <v>0.79</v>
      </c>
      <c r="F118" s="38" cm="1">
        <f t="array" ref="F118">Common_InputFunctions.Utility_DisplayArrayInTable(SourceData_Dairy.SourceData_Dairy_FractionVolatileSolidsVoidedMMS_Data(), Table_SourceData_Dairy_ProductionSystemTemplates[[#Headers],[Area]], 0)</f>
        <v>0.11</v>
      </c>
      <c r="G118" s="38" cm="1">
        <f t="array" ref="G118">Common_InputFunctions.Utility_DisplayArrayInTable(SourceData_Dairy.SourceData_Dairy_FractionVolatileSolidsVoidedMMS_Data(), Table_SourceData_Dairy_ProductionSystemTemplates[[#Headers],[Area]], 0)</f>
        <v>0.1</v>
      </c>
      <c r="M118" s="1"/>
    </row>
    <row r="119" spans="4:22" ht="20.100000000000001" customHeight="1" x14ac:dyDescent="0.2">
      <c r="D119" s="1" t="str" cm="1">
        <f t="array" ref="D119">Common_InputFunctions.Utility_DisplayArrayInTable(SourceData_Dairy.SourceData_Dairy_FractionVolatileSolidsVoidedMMS_Data(), Table_SourceData_Dairy_ProductionSystemTemplates[[#Headers],[Area]], 0)</f>
        <v>System 3: Pasture-grazed 3-9 months/year</v>
      </c>
      <c r="E119" s="38" cm="1">
        <f t="array" ref="E119">Common_InputFunctions.Utility_DisplayArrayInTable(SourceData_Dairy.SourceData_Dairy_FractionVolatileSolidsVoidedMMS_Data(), Table_SourceData_Dairy_ProductionSystemTemplates[[#Headers],[Area]], 0)</f>
        <v>0.53400000000000003</v>
      </c>
      <c r="F119" s="38" cm="1">
        <f t="array" ref="F119">Common_InputFunctions.Utility_DisplayArrayInTable(SourceData_Dairy.SourceData_Dairy_FractionVolatileSolidsVoidedMMS_Data(), Table_SourceData_Dairy_ProductionSystemTemplates[[#Headers],[Area]], 0)</f>
        <v>0.11</v>
      </c>
      <c r="G119" s="38" cm="1">
        <f t="array" ref="G119">Common_InputFunctions.Utility_DisplayArrayInTable(SourceData_Dairy.SourceData_Dairy_FractionVolatileSolidsVoidedMMS_Data(), Table_SourceData_Dairy_ProductionSystemTemplates[[#Headers],[Area]], 0)</f>
        <v>0.35599999999999998</v>
      </c>
      <c r="M119" s="1"/>
    </row>
    <row r="120" spans="4:22" ht="20.100000000000001" customHeight="1" x14ac:dyDescent="0.2">
      <c r="D120" s="1" t="str" cm="1">
        <f t="array" ref="D120">Common_InputFunctions.Utility_DisplayArrayInTable(SourceData_Dairy.SourceData_Dairy_FractionVolatileSolidsVoidedMMS_Data(), Table_SourceData_Dairy_ProductionSystemTemplates[[#Headers],[Area]], 0)</f>
        <v>System 4: Zero grazing</v>
      </c>
      <c r="E120" s="38" cm="1">
        <f t="array" ref="E120">Common_InputFunctions.Utility_DisplayArrayInTable(SourceData_Dairy.SourceData_Dairy_FractionVolatileSolidsVoidedMMS_Data(), Table_SourceData_Dairy_ProductionSystemTemplates[[#Headers],[Area]], 0)</f>
        <v>0</v>
      </c>
      <c r="F120" s="38" cm="1">
        <f t="array" ref="F120">Common_InputFunctions.Utility_DisplayArrayInTable(SourceData_Dairy.SourceData_Dairy_FractionVolatileSolidsVoidedMMS_Data(), Table_SourceData_Dairy_ProductionSystemTemplates[[#Headers],[Area]], 0)</f>
        <v>0.11</v>
      </c>
      <c r="G120" s="38" cm="1">
        <f t="array" ref="G120">Common_InputFunctions.Utility_DisplayArrayInTable(SourceData_Dairy.SourceData_Dairy_FractionVolatileSolidsVoidedMMS_Data(), Table_SourceData_Dairy_ProductionSystemTemplates[[#Headers],[Area]], 0)</f>
        <v>0.89</v>
      </c>
      <c r="M120" s="1"/>
    </row>
    <row r="121" spans="4:22" ht="20.100000000000001" customHeight="1" x14ac:dyDescent="0.2">
      <c r="M121" s="1"/>
    </row>
    <row r="122" spans="4:22" ht="20.100000000000001" customHeight="1" x14ac:dyDescent="0.2">
      <c r="M122" s="1"/>
    </row>
    <row r="123" spans="4:22" ht="20.100000000000001" customHeight="1" x14ac:dyDescent="0.2">
      <c r="D123" s="6" t="str" cm="1">
        <f t="array" ref="D123">SourceData_Dairy.SourceData_Dairy_EFNitrousOxidePerMMS_Title()</f>
        <v>Table A.1.3.11: Dairy cattle - EF for nitrous oxide per MMS (kg N2O-N/kg N) (EFm)</v>
      </c>
      <c r="M123" s="1"/>
    </row>
    <row r="124" spans="4:22" ht="20.100000000000001" customHeight="1" x14ac:dyDescent="0.2">
      <c r="D124" s="5" t="str" cm="1">
        <f t="array" ref="D124">SourceData_Dairy.SourceData_Dairy_EFNitrousOxidePerMMS_Source()</f>
        <v>VEERG 2026: Table A.1.3.11</v>
      </c>
      <c r="M124" s="1"/>
    </row>
    <row r="125" spans="4:22" ht="20.100000000000001" customHeight="1" x14ac:dyDescent="0.2">
      <c r="D125" s="1" t="str" cm="1">
        <f t="array" ref="D125">SourceData_Dairy.SourceData_Dairy_EFNitrousOxidePerMMS_Variable()</f>
        <v>EFm</v>
      </c>
      <c r="M125" s="1"/>
      <c r="V125" s="1"/>
    </row>
    <row r="126" spans="4:22" ht="20.100000000000001" customHeight="1" x14ac:dyDescent="0.2">
      <c r="D126" s="55" t="str" cm="1">
        <f t="array" ref="D126">SourceData_Dairy.SourceData_Dairy_EFNitrousOxidePerMMS_Unit()</f>
        <v>kg N2O-N/kg N</v>
      </c>
      <c r="M126" s="1"/>
      <c r="V126" s="1"/>
    </row>
    <row r="127" spans="4:22" ht="20.100000000000001" customHeight="1" x14ac:dyDescent="0.2">
      <c r="D127" s="56" t="str" cm="1">
        <f t="array" ref="D127">SourceData_Dairy.SourceData_Dairy_EFNitrousOxidePerMMS_Variation()</f>
        <v>VARIATION OF SOURCE: Added 'NIR reference' column to aid lookup</v>
      </c>
      <c r="M127" s="1"/>
      <c r="V127" s="1"/>
    </row>
    <row r="128" spans="4:22" ht="20.100000000000001" customHeight="1" x14ac:dyDescent="0.2">
      <c r="D128" s="38" t="s">
        <v>96</v>
      </c>
      <c r="E128" s="38" t="s">
        <v>176</v>
      </c>
      <c r="F128" s="38" t="s">
        <v>183</v>
      </c>
      <c r="G128" s="110" t="s">
        <v>198</v>
      </c>
      <c r="M128" s="1"/>
      <c r="N128" s="23"/>
      <c r="V128" s="1"/>
    </row>
    <row r="129" spans="4:22" ht="20.100000000000001" customHeight="1" x14ac:dyDescent="0.2">
      <c r="D129" s="38" t="str" cm="1">
        <f t="array" ref="D129">Common_InputFunctions.Utility_DisplayArrayInTable(SourceData_Dairy.SourceData_Dairy_EFNitrousOxidePerMMS_Data(), Table_SourceData_Dairy_EFm[[#Headers],[MMS m]], 0)</f>
        <v>m=14 Pasture</v>
      </c>
      <c r="E129" s="38" cm="1">
        <f t="array" ref="E129">Common_InputFunctions.Utility_DisplayArrayInTable(SourceData_Dairy.SourceData_Dairy_EFNitrousOxidePerMMS_Data(), Table_SourceData_Dairy_EFm[[#Headers],[MMS m]], 0)</f>
        <v>0</v>
      </c>
      <c r="F129" s="38" t="str" cm="1">
        <f t="array" ref="F129">Common_InputFunctions.Utility_DisplayArrayInTable(SourceData_Dairy.SourceData_Dairy_EFNitrousOxidePerMMS_Data(), Table_SourceData_Dairy_EFm[[#Headers],[MMS m]], 0)</f>
        <v>Pasture range and paddock</v>
      </c>
      <c r="M129" s="1"/>
      <c r="N129" s="23"/>
      <c r="V129" s="1"/>
    </row>
    <row r="130" spans="4:22" ht="20.100000000000001" customHeight="1" x14ac:dyDescent="0.2">
      <c r="D130" s="1" t="str" cm="1">
        <f t="array" ref="D130">Common_InputFunctions.Utility_DisplayArrayInTable(SourceData_Dairy.SourceData_Dairy_EFNitrousOxidePerMMS_Data(), Table_SourceData_Dairy_EFm[[#Headers],[MMS m]], 0)</f>
        <v>m=1 Anerobic Lagoon</v>
      </c>
      <c r="E130" s="38" cm="1">
        <f t="array" ref="E130">Common_InputFunctions.Utility_DisplayArrayInTable(SourceData_Dairy.SourceData_Dairy_EFNitrousOxidePerMMS_Data(), Table_SourceData_Dairy_EFm[[#Headers],[MMS m]], 0)</f>
        <v>0</v>
      </c>
      <c r="F130" s="38" t="str" cm="1">
        <f t="array" ref="F130">Common_InputFunctions.Utility_DisplayArrayInTable(SourceData_Dairy.SourceData_Dairy_EFNitrousOxidePerMMS_Data(), Table_SourceData_Dairy_EFm[[#Headers],[MMS m]], 0)</f>
        <v>Anaerobic lagoon</v>
      </c>
      <c r="M130" s="1"/>
      <c r="N130" s="23"/>
      <c r="V130" s="1"/>
    </row>
    <row r="131" spans="4:22" ht="20.100000000000001" customHeight="1" x14ac:dyDescent="0.2">
      <c r="D131" s="1" t="str" cm="1">
        <f t="array" ref="D131">Common_InputFunctions.Utility_DisplayArrayInTable(SourceData_Dairy.SourceData_Dairy_EFNitrousOxidePerMMS_Data(), Table_SourceData_Dairy_EFm[[#Headers],[MMS m]], 0)</f>
        <v>m=2 Daily Spread: Sump and dispersal</v>
      </c>
      <c r="E131" s="38" cm="1">
        <f t="array" ref="E131">Common_InputFunctions.Utility_DisplayArrayInTable(SourceData_Dairy.SourceData_Dairy_EFNitrousOxidePerMMS_Data(), Table_SourceData_Dairy_EFm[[#Headers],[MMS m]], 0)</f>
        <v>0</v>
      </c>
      <c r="F131" s="38" t="str" cm="1">
        <f t="array" ref="F131">Common_InputFunctions.Utility_DisplayArrayInTable(SourceData_Dairy.SourceData_Dairy_EFNitrousOxidePerMMS_Data(), Table_SourceData_Dairy_EFm[[#Headers],[MMS m]], 0)</f>
        <v>Sump and dispersal system</v>
      </c>
      <c r="M131" s="1"/>
      <c r="N131" s="23"/>
    </row>
    <row r="132" spans="4:22" ht="20.100000000000001" customHeight="1" x14ac:dyDescent="0.2">
      <c r="D132" s="1" t="str" cm="1">
        <f t="array" ref="D132">Common_InputFunctions.Utility_DisplayArrayInTable(SourceData_Dairy.SourceData_Dairy_EFNitrousOxidePerMMS_Data(), Table_SourceData_Dairy_EFm[[#Headers],[MMS m]], 0)</f>
        <v>m=3 Daily Spread: Drains to paddocks</v>
      </c>
      <c r="E132" s="38" cm="1">
        <f t="array" ref="E132">Common_InputFunctions.Utility_DisplayArrayInTable(SourceData_Dairy.SourceData_Dairy_EFNitrousOxidePerMMS_Data(), Table_SourceData_Dairy_EFm[[#Headers],[MMS m]], 0)</f>
        <v>0</v>
      </c>
      <c r="F132" s="38" t="str" cm="1">
        <f t="array" ref="F132">Common_InputFunctions.Utility_DisplayArrayInTable(SourceData_Dairy.SourceData_Dairy_EFNitrousOxidePerMMS_Data(), Table_SourceData_Dairy_EFm[[#Headers],[MMS m]], 0)</f>
        <v>Drains to paddock</v>
      </c>
      <c r="M132" s="23"/>
    </row>
    <row r="133" spans="4:22" ht="20.100000000000001" customHeight="1" x14ac:dyDescent="0.2">
      <c r="D133" s="1" t="str" cm="1">
        <f t="array" ref="D133">Common_InputFunctions.Utility_DisplayArrayInTable(SourceData_Dairy.SourceData_Dairy_EFNitrousOxidePerMMS_Data(), Table_SourceData_Dairy_EFm[[#Headers],[MMS m]], 0)</f>
        <v>m=4 Solid Storage</v>
      </c>
      <c r="E133" s="38" cm="1">
        <f t="array" ref="E133">Common_InputFunctions.Utility_DisplayArrayInTable(SourceData_Dairy.SourceData_Dairy_EFNitrousOxidePerMMS_Data(), Table_SourceData_Dairy_EFm[[#Headers],[MMS m]], 0)</f>
        <v>5.0000000000000001E-3</v>
      </c>
      <c r="F133" s="38" t="str" cm="1">
        <f t="array" ref="F133">Common_InputFunctions.Utility_DisplayArrayInTable(SourceData_Dairy.SourceData_Dairy_EFNitrousOxidePerMMS_Data(), Table_SourceData_Dairy_EFm[[#Headers],[MMS m]], 0)</f>
        <v>Solid storage</v>
      </c>
      <c r="M133" s="23"/>
    </row>
    <row r="134" spans="4:22" ht="20.100000000000001" customHeight="1" x14ac:dyDescent="0.2">
      <c r="M134" s="23"/>
    </row>
    <row r="135" spans="4:22" ht="20.100000000000001" customHeight="1" x14ac:dyDescent="0.2">
      <c r="M135" s="23"/>
    </row>
    <row r="136" spans="4:22" ht="20.100000000000001" customHeight="1" x14ac:dyDescent="0.2">
      <c r="D136" s="6" t="str" cm="1">
        <f t="array" ref="D136">SourceData_Dairy.SourceData_Dairy_DurationOfStay_Title()</f>
        <v>Duration of stay for each dairy cattle input class</v>
      </c>
      <c r="M136" s="23"/>
    </row>
    <row r="137" spans="4:22" ht="20.100000000000001" customHeight="1" x14ac:dyDescent="0.2">
      <c r="D137" s="5" t="str" cm="1">
        <f t="array" ref="D137">SourceData_Dairy.SourceData_Dairy_DurationOfStay_Source()</f>
        <v>VEERG 2026: 4.3.2.2	DATA (METHOD 1 AND 2 OPTIONS)</v>
      </c>
      <c r="M137" s="23"/>
    </row>
    <row r="138" spans="4:22" ht="20.100000000000001" customHeight="1" x14ac:dyDescent="0.2">
      <c r="D138" s="1" t="str" cm="1">
        <f t="array" ref="D138">SourceData_Dairy.SourceData_Dairy_DurationOfStay_Variable()</f>
        <v>D</v>
      </c>
      <c r="M138" s="23"/>
    </row>
    <row r="139" spans="4:22" ht="20.100000000000001" customHeight="1" x14ac:dyDescent="0.2">
      <c r="D139" s="55" t="str" cm="1">
        <f t="array" ref="D139">SourceData_Dairy.SourceData_Dairy_DurationOfStay_Unit()</f>
        <v>days</v>
      </c>
      <c r="M139" s="23"/>
    </row>
    <row r="140" spans="4:22" ht="20.100000000000001" customHeight="1" x14ac:dyDescent="0.2">
      <c r="D140" s="56" t="str" cm="1">
        <f t="array" ref="D140">SourceData_Dairy.SourceData_Dairy_DurationOfStay_Variation()</f>
        <v>VARIATION OF SOURCE: Converted free text in document to table, matching livestock class names.</v>
      </c>
      <c r="M140" s="23"/>
    </row>
    <row r="141" spans="4:22" ht="20.100000000000001" customHeight="1" x14ac:dyDescent="0.2">
      <c r="D141" s="38" t="s">
        <v>172</v>
      </c>
      <c r="E141" s="38" t="s">
        <v>193</v>
      </c>
      <c r="F141" s="38" t="s">
        <v>194</v>
      </c>
      <c r="M141" s="23"/>
    </row>
    <row r="142" spans="4:22" ht="20.100000000000001" customHeight="1" x14ac:dyDescent="0.2">
      <c r="D142" s="38" t="str" cm="1">
        <f t="array" ref="D142">Common_InputFunctions.Utility_DisplayArrayInTable(SourceData_Dairy.SourceData_Dairy_DurationOfStay_Data(), Table_SourceData_Dairy_Duration[[#Headers],[Animal class j]], 0)</f>
        <v>Milking cows</v>
      </c>
      <c r="E142" s="38" cm="1">
        <f t="array" ref="E142">Common_InputFunctions.Utility_DisplayArrayInTable(SourceData_Dairy.SourceData_Dairy_DurationOfStay_Data(), Table_SourceData_Dairy_Duration[[#Headers],[Animal class j]], 0)</f>
        <v>365</v>
      </c>
      <c r="F142" s="38" cm="1">
        <f t="array" ref="F142">Common_InputFunctions.Utility_DisplayArrayInTable(SourceData_Dairy.SourceData_Dairy_DurationOfStay_Data(), Table_SourceData_Dairy_Duration[[#Headers],[Animal class j]], 0)</f>
        <v>0</v>
      </c>
      <c r="M142" s="23"/>
    </row>
    <row r="143" spans="4:22" ht="20.100000000000001" customHeight="1" x14ac:dyDescent="0.2">
      <c r="D143" s="1" t="str" cm="1">
        <f t="array" ref="D143">Common_InputFunctions.Utility_DisplayArrayInTable(SourceData_Dairy.SourceData_Dairy_DurationOfStay_Data(), Table_SourceData_Dairy_Duration[[#Headers],[Animal class j]], 0)</f>
        <v>Heifers &gt; 1 year</v>
      </c>
      <c r="E143" s="38" cm="1">
        <f t="array" ref="E143">Common_InputFunctions.Utility_DisplayArrayInTable(SourceData_Dairy.SourceData_Dairy_DurationOfStay_Data(), Table_SourceData_Dairy_Duration[[#Headers],[Animal class j]], 0)</f>
        <v>365</v>
      </c>
      <c r="F143" s="38" cm="1">
        <f t="array" ref="F143">Common_InputFunctions.Utility_DisplayArrayInTable(SourceData_Dairy.SourceData_Dairy_DurationOfStay_Data(), Table_SourceData_Dairy_Duration[[#Headers],[Animal class j]], 0)</f>
        <v>0</v>
      </c>
      <c r="M143" s="23"/>
    </row>
    <row r="144" spans="4:22" ht="20.100000000000001" customHeight="1" x14ac:dyDescent="0.2">
      <c r="D144" s="1" t="str" cm="1">
        <f t="array" ref="D144">Common_InputFunctions.Utility_DisplayArrayInTable(SourceData_Dairy.SourceData_Dairy_DurationOfStay_Data(), Table_SourceData_Dairy_Duration[[#Headers],[Animal class j]], 0)</f>
        <v>Heifers &lt; 1 year</v>
      </c>
      <c r="E144" s="38" cm="1">
        <f t="array" ref="E144">Common_InputFunctions.Utility_DisplayArrayInTable(SourceData_Dairy.SourceData_Dairy_DurationOfStay_Data(), Table_SourceData_Dairy_Duration[[#Headers],[Animal class j]], 0)</f>
        <v>281</v>
      </c>
      <c r="F144" s="38" cm="1">
        <f t="array" ref="F144">Common_InputFunctions.Utility_DisplayArrayInTable(SourceData_Dairy.SourceData_Dairy_DurationOfStay_Data(), Table_SourceData_Dairy_Duration[[#Headers],[Animal class j]], 0)</f>
        <v>84</v>
      </c>
      <c r="M144" s="23"/>
    </row>
    <row r="145" spans="4:13" ht="20.100000000000001" customHeight="1" x14ac:dyDescent="0.2">
      <c r="D145" s="1" t="str" cm="1">
        <f t="array" ref="D145">Common_InputFunctions.Utility_DisplayArrayInTable(SourceData_Dairy.SourceData_Dairy_DurationOfStay_Data(), Table_SourceData_Dairy_Duration[[#Headers],[Animal class j]], 0)</f>
        <v>Bulls &gt; 1 year</v>
      </c>
      <c r="E145" s="38" cm="1">
        <f t="array" ref="E145">Common_InputFunctions.Utility_DisplayArrayInTable(SourceData_Dairy.SourceData_Dairy_DurationOfStay_Data(), Table_SourceData_Dairy_Duration[[#Headers],[Animal class j]], 0)</f>
        <v>365</v>
      </c>
      <c r="F145" s="38" cm="1">
        <f t="array" ref="F145">Common_InputFunctions.Utility_DisplayArrayInTable(SourceData_Dairy.SourceData_Dairy_DurationOfStay_Data(), Table_SourceData_Dairy_Duration[[#Headers],[Animal class j]], 0)</f>
        <v>0</v>
      </c>
      <c r="M145" s="23"/>
    </row>
    <row r="146" spans="4:13" ht="20.100000000000001" customHeight="1" x14ac:dyDescent="0.2">
      <c r="D146" s="1" t="str" cm="1">
        <f t="array" ref="D146">Common_InputFunctions.Utility_DisplayArrayInTable(SourceData_Dairy.SourceData_Dairy_DurationOfStay_Data(), Table_SourceData_Dairy_Duration[[#Headers],[Animal class j]], 0)</f>
        <v>Bulls &lt; 1 year</v>
      </c>
      <c r="E146" s="38" cm="1">
        <f t="array" ref="E146">Common_InputFunctions.Utility_DisplayArrayInTable(SourceData_Dairy.SourceData_Dairy_DurationOfStay_Data(), Table_SourceData_Dairy_Duration[[#Headers],[Animal class j]], 0)</f>
        <v>281</v>
      </c>
      <c r="F146" s="38" cm="1">
        <f t="array" ref="F146">Common_InputFunctions.Utility_DisplayArrayInTable(SourceData_Dairy.SourceData_Dairy_DurationOfStay_Data(), Table_SourceData_Dairy_Duration[[#Headers],[Animal class j]], 0)</f>
        <v>84</v>
      </c>
      <c r="M146" s="23"/>
    </row>
    <row r="147" spans="4:13" ht="20.100000000000001" customHeight="1" x14ac:dyDescent="0.2">
      <c r="M147" s="23"/>
    </row>
    <row r="148" spans="4:13" ht="20.100000000000001" customHeight="1" x14ac:dyDescent="0.2">
      <c r="M148" s="23"/>
    </row>
    <row r="149" spans="4:13" ht="20.100000000000001" customHeight="1" x14ac:dyDescent="0.2">
      <c r="D149" s="6" t="str" cm="1">
        <f t="array" ref="D149">SourceData_Dairy.SourceData_Dairy_CrudeProtein_Title()</f>
        <v>Crude protein content of feed intake</v>
      </c>
      <c r="M149" s="23"/>
    </row>
    <row r="150" spans="4:13" ht="20.100000000000001" customHeight="1" x14ac:dyDescent="0.2">
      <c r="D150" s="5" t="str" cm="1">
        <f t="array" ref="D150">SourceData_Dairy.SourceData_Dairy_CrudeProtein_Source()</f>
        <v>VEERG 2026: 4.3.2.2	DATA (METHOD 1 AND 2 OPTIONS)</v>
      </c>
      <c r="M150" s="23"/>
    </row>
    <row r="151" spans="4:13" ht="20.100000000000001" customHeight="1" x14ac:dyDescent="0.2">
      <c r="D151" s="1" t="str" cm="1">
        <f t="array" ref="D151">SourceData_Dairy.SourceData_Dairy_CrudeProtein_Variable()</f>
        <v>CP</v>
      </c>
      <c r="M151" s="23"/>
    </row>
    <row r="152" spans="4:13" ht="20.100000000000001" customHeight="1" x14ac:dyDescent="0.2">
      <c r="D152" s="55" t="str" cm="1">
        <f t="array" ref="D152">SourceData_Dairy.SourceData_Dairy_CrudeProtein_Unit()</f>
        <v>fraction</v>
      </c>
      <c r="M152" s="23"/>
    </row>
    <row r="153" spans="4:13" ht="20.100000000000001" customHeight="1" x14ac:dyDescent="0.2">
      <c r="D153" s="54" cm="1">
        <f t="array" ref="D153">SourceData_Dairy.SourceData_Dairy_CrudeProtein_Data()</f>
        <v>0.2</v>
      </c>
      <c r="M153" s="23"/>
    </row>
    <row r="154" spans="4:13" ht="20.100000000000001" customHeight="1" x14ac:dyDescent="0.2">
      <c r="M154" s="23"/>
    </row>
    <row r="155" spans="4:13" ht="20.100000000000001" customHeight="1" x14ac:dyDescent="0.2">
      <c r="M155" s="23"/>
    </row>
    <row r="156" spans="4:13" ht="20.100000000000001" customHeight="1" x14ac:dyDescent="0.2">
      <c r="D156" s="6" t="str" cm="1">
        <f t="array" ref="D156">SourceData_Dairy.SourceData_Dairy_DryMatterDigestibility_Title()</f>
        <v>Dry matter digestibility</v>
      </c>
      <c r="M156" s="23"/>
    </row>
    <row r="157" spans="4:13" ht="20.100000000000001" customHeight="1" x14ac:dyDescent="0.2">
      <c r="D157" s="5" t="str" cm="1">
        <f t="array" ref="D157">SourceData_Dairy.SourceData_Dairy_DryMatterDigestibility_Source()</f>
        <v>VEERG 2026: 3.3.2.2	DATA (METHOD 1 AND 2 OPTIONS)</v>
      </c>
      <c r="M157" s="23"/>
    </row>
    <row r="158" spans="4:13" ht="20.100000000000001" customHeight="1" x14ac:dyDescent="0.2">
      <c r="D158" s="1" t="str" cm="1">
        <f t="array" ref="D158">SourceData_Dairy.SourceData_Dairy_DryMatterDigestibility_Variable()</f>
        <v>DMD</v>
      </c>
      <c r="M158" s="23"/>
    </row>
    <row r="159" spans="4:13" ht="20.100000000000001" customHeight="1" x14ac:dyDescent="0.2">
      <c r="D159" s="55" t="str" cm="1">
        <f t="array" ref="D159">SourceData_Dairy.SourceData_Dairy_DryMatterDigestibility_Unit()</f>
        <v>fraction</v>
      </c>
      <c r="M159" s="23"/>
    </row>
    <row r="160" spans="4:13" ht="20.100000000000001" customHeight="1" x14ac:dyDescent="0.2">
      <c r="D160" s="54" cm="1">
        <f t="array" ref="D160">SourceData_Dairy.SourceData_Dairy_DryMatterDigestibility_Data()</f>
        <v>0.75</v>
      </c>
      <c r="M160" s="23"/>
    </row>
    <row r="161" spans="1:13" ht="20.100000000000001" customHeight="1" x14ac:dyDescent="0.2">
      <c r="M161" s="23"/>
    </row>
    <row r="162" spans="1:13" ht="20.100000000000001" customHeight="1" x14ac:dyDescent="0.2">
      <c r="M162" s="23"/>
    </row>
    <row r="163" spans="1:13" ht="20.100000000000001" customHeight="1" x14ac:dyDescent="0.2">
      <c r="D163" s="6" t="str" cm="1">
        <f t="array" ref="D163">SourceData_Dairy.SourceData_Dairy_NetEnergy_Title()</f>
        <v>Net energy required for milk production</v>
      </c>
      <c r="M163" s="23"/>
    </row>
    <row r="164" spans="1:13" ht="20.100000000000001" customHeight="1" x14ac:dyDescent="0.2">
      <c r="D164" s="5" t="str" cm="1">
        <f t="array" ref="D164">SourceData_Dairy.SourceData_Dairy_NetEnergy_Source()</f>
        <v>VEERG 2026: 3.3.2.3 CONSTANTS</v>
      </c>
      <c r="M164" s="23"/>
    </row>
    <row r="165" spans="1:13" ht="20.100000000000001" customHeight="1" x14ac:dyDescent="0.2">
      <c r="D165" s="1" t="str" cm="1">
        <f t="array" ref="D165">SourceData_Dairy.SourceData_Dairy_NetEnergy_Variable()</f>
        <v>NE</v>
      </c>
      <c r="M165" s="23"/>
    </row>
    <row r="166" spans="1:13" ht="20.100000000000001" customHeight="1" x14ac:dyDescent="0.2">
      <c r="D166" s="55" t="str" cm="1">
        <f t="array" ref="D166">SourceData_Dairy.SourceData_Dairy_NetEnergy_Unit()</f>
        <v>MJ net energy / kg milk</v>
      </c>
      <c r="M166" s="23"/>
    </row>
    <row r="167" spans="1:13" ht="20.100000000000001" customHeight="1" x14ac:dyDescent="0.2">
      <c r="D167" s="54" cm="1">
        <f t="array" ref="D167">SourceData_Dairy.SourceData_Dairy_NetEnergy_Data()</f>
        <v>3.0539999999999998</v>
      </c>
      <c r="M167" s="23"/>
    </row>
    <row r="168" spans="1:13" ht="20.100000000000001" customHeight="1" x14ac:dyDescent="0.2">
      <c r="M168" s="23"/>
    </row>
    <row r="169" spans="1:13" ht="20.100000000000001" customHeight="1" x14ac:dyDescent="0.2">
      <c r="M169" s="23"/>
    </row>
    <row r="170" spans="1:13" ht="20.100000000000001" customHeight="1" x14ac:dyDescent="0.2">
      <c r="D170" s="6" t="str" cm="1">
        <f t="array" ref="D170">SourceData_Dairy.SourceData_Dairy_GrossEnergyContent_Title()</f>
        <v>Gross energy content of feed dry matter</v>
      </c>
      <c r="M170" s="23"/>
    </row>
    <row r="171" spans="1:13" ht="20.100000000000001" customHeight="1" x14ac:dyDescent="0.2">
      <c r="D171" s="5" t="str" cm="1">
        <f t="array" ref="D171">SourceData_Dairy.SourceData_Dairy_GrossEnergyContent_Source()</f>
        <v>VEERG 2026: 3.3.2.3 CONSTANTS</v>
      </c>
      <c r="M171" s="23"/>
    </row>
    <row r="172" spans="1:13" ht="20.100000000000001" customHeight="1" x14ac:dyDescent="0.2">
      <c r="D172" s="1" t="str" cm="1">
        <f t="array" ref="D172">SourceData_Dairy.SourceData_Dairy_GrossEnergyContent_Variable()</f>
        <v>GEC</v>
      </c>
      <c r="M172" s="23"/>
    </row>
    <row r="173" spans="1:13" ht="20.100000000000001" customHeight="1" x14ac:dyDescent="0.2">
      <c r="D173" s="55" t="str" cm="1">
        <f t="array" ref="D173">SourceData_Dairy.SourceData_Dairy_GrossEnergyContent_Unit()</f>
        <v>MJ / kgDM</v>
      </c>
      <c r="M173" s="23"/>
    </row>
    <row r="174" spans="1:13" ht="20.100000000000001" customHeight="1" x14ac:dyDescent="0.2">
      <c r="A174" s="137" t="str">
        <f>HYPERLINK("#A1", "▲ Back to top")</f>
        <v>▲ Back to top</v>
      </c>
      <c r="D174" s="54" cm="1">
        <f t="array" ref="D174">SourceData_Dairy.SourceData_Dairy_GrossEnergyContent_Data()</f>
        <v>18.399999999999999</v>
      </c>
      <c r="M174" s="23"/>
    </row>
    <row r="175" spans="1:13" ht="20.100000000000001" customHeight="1" x14ac:dyDescent="0.2">
      <c r="M175" s="23"/>
    </row>
    <row r="176" spans="1:13" ht="20.100000000000001" customHeight="1" x14ac:dyDescent="0.2">
      <c r="M176" s="23"/>
    </row>
    <row r="177" spans="4:13" ht="20.100000000000001" customHeight="1" x14ac:dyDescent="0.2">
      <c r="D177" s="6" t="str" cm="1">
        <f t="array" ref="D177">SourceData_Dairy.SourceData_Dairy_EfficiencyOfUseOfMetabolizableEnergy_Title()</f>
        <v>Efficiency of use of metabolizable energy for milk production</v>
      </c>
      <c r="M177" s="23"/>
    </row>
    <row r="178" spans="4:13" ht="20.100000000000001" customHeight="1" x14ac:dyDescent="0.2">
      <c r="D178" s="5" t="str" cm="1">
        <f t="array" ref="D178">SourceData_Dairy.SourceData_Dairy_EfficiencyOfUseOfMetabolizableEnergy_Source()</f>
        <v>VEERG 2026: 3.3.2.3 CONSTANTS</v>
      </c>
      <c r="M178" s="23"/>
    </row>
    <row r="179" spans="4:13" ht="20.100000000000001" customHeight="1" x14ac:dyDescent="0.2">
      <c r="D179" s="1" t="str" cm="1">
        <f t="array" ref="D179">SourceData_Dairy.SourceData_Dairy_EfficiencyOfUseOfMetabolizableEnergy_Variable()</f>
        <v>k</v>
      </c>
      <c r="M179" s="23"/>
    </row>
    <row r="180" spans="4:13" ht="20.100000000000001" customHeight="1" x14ac:dyDescent="0.2">
      <c r="D180" s="55" t="str" cm="1">
        <f t="array" ref="D180">SourceData_Dairy.SourceData_Dairy_EfficiencyOfUseOfMetabolizableEnergy_Unit()</f>
        <v>fraction</v>
      </c>
      <c r="M180" s="23"/>
    </row>
    <row r="181" spans="4:13" ht="20.100000000000001" customHeight="1" x14ac:dyDescent="0.2">
      <c r="D181" s="54" cm="1">
        <f t="array" ref="D181">SourceData_Dairy.SourceData_Dairy_EfficiencyOfUseOfMetabolizableEnergy_Data()</f>
        <v>0.6</v>
      </c>
      <c r="M181" s="23"/>
    </row>
    <row r="182" spans="4:13" ht="20.100000000000001" customHeight="1" x14ac:dyDescent="0.2">
      <c r="M182" s="23"/>
    </row>
    <row r="183" spans="4:13" ht="20.100000000000001" customHeight="1" x14ac:dyDescent="0.2">
      <c r="M183" s="23"/>
    </row>
    <row r="184" spans="4:13" ht="20.100000000000001" customHeight="1" x14ac:dyDescent="0.2">
      <c r="D184" s="6" t="str" cm="1">
        <f t="array" ref="D184">SourceData_Dairy.SourceData_Dairy_AshContent_Title()</f>
        <v>Ash content of manure</v>
      </c>
      <c r="M184" s="23"/>
    </row>
    <row r="185" spans="4:13" ht="20.100000000000001" customHeight="1" x14ac:dyDescent="0.2">
      <c r="D185" s="5" t="str" cm="1">
        <f t="array" ref="D185">SourceData_Dairy.SourceData_Dairy_AshContent_Source()</f>
        <v>VEERG 2026: 4.3.2.3 CONSTANTS</v>
      </c>
      <c r="M185" s="23"/>
    </row>
    <row r="186" spans="4:13" ht="20.100000000000001" customHeight="1" x14ac:dyDescent="0.2">
      <c r="D186" s="1" t="str" cm="1">
        <f t="array" ref="D186">SourceData_Dairy.SourceData_Dairy_AshContent_Variable()</f>
        <v>A</v>
      </c>
      <c r="M186" s="23"/>
    </row>
    <row r="187" spans="4:13" ht="20.100000000000001" customHeight="1" x14ac:dyDescent="0.2">
      <c r="D187" s="55" t="str" cm="1">
        <f t="array" ref="D187">SourceData_Dairy.SourceData_Dairy_AshContent_Unit()</f>
        <v>fraction</v>
      </c>
      <c r="M187" s="23"/>
    </row>
    <row r="188" spans="4:13" ht="20.100000000000001" customHeight="1" x14ac:dyDescent="0.2">
      <c r="D188" s="54" cm="1">
        <f t="array" ref="D188">SourceData_Dairy.SourceData_Dairy_AshContent_Data()</f>
        <v>0.08</v>
      </c>
      <c r="M188" s="23"/>
    </row>
    <row r="189" spans="4:13" ht="20.100000000000001" customHeight="1" x14ac:dyDescent="0.2">
      <c r="M189" s="23"/>
    </row>
    <row r="190" spans="4:13" ht="20.100000000000001" customHeight="1" x14ac:dyDescent="0.2">
      <c r="M190" s="23"/>
    </row>
    <row r="191" spans="4:13" ht="20.100000000000001" customHeight="1" x14ac:dyDescent="0.2">
      <c r="D191" s="6" t="str" cm="1">
        <f t="array" ref="D191">SourceData_Dairy.SourceData_Dairy_MethaneEmissionsPotential_Title()</f>
        <v>Methane emissions potential</v>
      </c>
      <c r="M191" s="23"/>
    </row>
    <row r="192" spans="4:13" ht="20.100000000000001" customHeight="1" x14ac:dyDescent="0.2">
      <c r="D192" s="5" t="str" cm="1">
        <f t="array" ref="D192">SourceData_Dairy.SourceData_Dairy_MethaneEmissionsPotential_Source()</f>
        <v>VEERG 2026: 4.3.2.3 CONSTANTS</v>
      </c>
      <c r="M192" s="23"/>
    </row>
    <row r="193" spans="4:13" ht="20.100000000000001" customHeight="1" x14ac:dyDescent="0.2">
      <c r="D193" s="1" t="str" cm="1">
        <f t="array" ref="D193">SourceData_Dairy.SourceData_Dairy_MethaneEmissionsPotential_Variable()</f>
        <v>B_o</v>
      </c>
      <c r="M193" s="23"/>
    </row>
    <row r="194" spans="4:13" ht="20.100000000000001" customHeight="1" x14ac:dyDescent="0.2">
      <c r="D194" s="55" t="str" cm="1">
        <f t="array" ref="D194">SourceData_Dairy.SourceData_Dairy_MethaneEmissionsPotential_Unit()</f>
        <v>m3 CH4/kgVS</v>
      </c>
      <c r="M194" s="23"/>
    </row>
    <row r="195" spans="4:13" ht="20.100000000000001" customHeight="1" x14ac:dyDescent="0.2">
      <c r="D195" s="54" cm="1">
        <f t="array" ref="D195">SourceData_Dairy.SourceData_Dairy_MethaneEmissionsPotential_Data()</f>
        <v>0.24</v>
      </c>
      <c r="M195" s="23"/>
    </row>
    <row r="196" spans="4:13" ht="20.100000000000001" customHeight="1" x14ac:dyDescent="0.2">
      <c r="M196" s="23"/>
    </row>
    <row r="197" spans="4:13" ht="20.100000000000001" customHeight="1" x14ac:dyDescent="0.2">
      <c r="M197" s="23"/>
    </row>
    <row r="198" spans="4:13" ht="20.100000000000001" customHeight="1" x14ac:dyDescent="0.2">
      <c r="D198" s="6" t="str" cm="1">
        <f t="array" ref="D198">SourceData_Dairy.SourceData_Dairy_EmissionFactorForLeachingAndRunoff_Title()</f>
        <v>Emission factor for leaching and runoff</v>
      </c>
      <c r="M198" s="23"/>
    </row>
    <row r="199" spans="4:13" ht="20.100000000000001" customHeight="1" x14ac:dyDescent="0.2">
      <c r="D199" s="5" t="str" cm="1">
        <f t="array" ref="D199">SourceData_Dairy.SourceData_Dairy_EmissionFactorForLeachingAndRunoff_Source()</f>
        <v>VEERG 2026: 4.3.2.3 CONSTANTS</v>
      </c>
      <c r="M199" s="23"/>
    </row>
    <row r="200" spans="4:13" ht="20.100000000000001" customHeight="1" x14ac:dyDescent="0.2">
      <c r="D200" s="1" t="str" cm="1">
        <f t="array" ref="D200">SourceData_Dairy.SourceData_Dairy_EmissionFactorForLeachingAndRunoff_Variable()</f>
        <v>EF_leach</v>
      </c>
      <c r="M200" s="23"/>
    </row>
    <row r="201" spans="4:13" ht="20.100000000000001" customHeight="1" x14ac:dyDescent="0.2">
      <c r="D201" s="55" t="str" cm="1">
        <f t="array" ref="D201">SourceData_Dairy.SourceData_Dairy_EmissionFactorForLeachingAndRunoff_Unit()</f>
        <v>kg N2O-N/kg N</v>
      </c>
      <c r="M201" s="23"/>
    </row>
    <row r="202" spans="4:13" ht="20.100000000000001" customHeight="1" x14ac:dyDescent="0.2">
      <c r="D202" s="54" cm="1">
        <f t="array" ref="D202">SourceData_Dairy.SourceData_Dairy_EmissionFactorForLeachingAndRunoff_Data()</f>
        <v>1.0999999999999999E-2</v>
      </c>
      <c r="M202" s="23"/>
    </row>
    <row r="203" spans="4:13" ht="20.100000000000001" customHeight="1" x14ac:dyDescent="0.2">
      <c r="M203" s="23"/>
    </row>
    <row r="204" spans="4:13" ht="20.100000000000001" customHeight="1" x14ac:dyDescent="0.2">
      <c r="M204" s="23"/>
    </row>
    <row r="205" spans="4:13" ht="20.100000000000001" customHeight="1" x14ac:dyDescent="0.2">
      <c r="D205" s="6" t="str" cm="1">
        <f t="array" ref="D205">SourceData_Dairy.SourceData_Dairy_FractionOfNitrogenLostThroughLeachingAndRunoff_Title()</f>
        <v>Default fraction of N that is lost through leaching and runoff when manure is excreted to pasture, range and paddock (m=14).</v>
      </c>
      <c r="M205" s="23"/>
    </row>
    <row r="206" spans="4:13" ht="20.100000000000001" customHeight="1" x14ac:dyDescent="0.2">
      <c r="D206" s="5" t="str" cm="1">
        <f t="array" ref="D206">SourceData_Dairy.SourceData_Dairy_FractionOfNitrogenLostThroughLeachingAndRunoff_Source()</f>
        <v>VEERG 2026: 4.3.2.3 CONSTANTS</v>
      </c>
      <c r="M206" s="23"/>
    </row>
    <row r="207" spans="4:13" ht="20.100000000000001" customHeight="1" x14ac:dyDescent="0.2">
      <c r="D207" s="1" t="str" cm="1">
        <f t="array" ref="D207">SourceData_Dairy.SourceData_Dairy_FractionOfNitrogenLostThroughLeachingAndRunoff_Variable()</f>
        <v>Frac_LEACH_MS</v>
      </c>
      <c r="M207" s="23"/>
    </row>
    <row r="208" spans="4:13" ht="20.100000000000001" customHeight="1" x14ac:dyDescent="0.2">
      <c r="D208" s="55" t="str" cm="1">
        <f t="array" ref="D208">SourceData_Dairy.SourceData_Dairy_FractionOfNitrogenLostThroughLeachingAndRunoff_Unit()</f>
        <v>Fraction</v>
      </c>
      <c r="M208" s="23"/>
    </row>
    <row r="209" spans="1:13" ht="20.100000000000001" customHeight="1" x14ac:dyDescent="0.2">
      <c r="D209" s="54" cm="1">
        <f t="array" ref="D209">SourceData_Dairy.SourceData_Dairy_FractionOfNitrogenLostThroughLeachingAndRunoff_Data()</f>
        <v>0.24</v>
      </c>
      <c r="M209" s="23"/>
    </row>
    <row r="210" spans="1:13" ht="20.100000000000001" customHeight="1" x14ac:dyDescent="0.2">
      <c r="M210" s="23"/>
    </row>
    <row r="211" spans="1:13" ht="20.100000000000001" customHeight="1" x14ac:dyDescent="0.2">
      <c r="D211" s="6" t="str" cm="1">
        <f t="array" ref="D211">SourceData_Dairy.SourceData_Dairy_FractionOfNitrogenLostThroughLeachingAndRunoffSolidStorage_Title()</f>
        <v>Fraction of nitrogen lost through leaching and runoff for solid storage MMS only</v>
      </c>
      <c r="M211" s="23"/>
    </row>
    <row r="212" spans="1:13" ht="20.100000000000001" customHeight="1" x14ac:dyDescent="0.2">
      <c r="D212" s="5" t="str" cm="1">
        <f t="array" ref="D212">SourceData_Dairy.SourceData_Dairy_FractionOfNitrogenLostThroughLeachingAndRunoffSolidStorage_Source()</f>
        <v>VEERG 2026: 4.3.2.3 CONSTANTS</v>
      </c>
      <c r="M212" s="23"/>
    </row>
    <row r="213" spans="1:13" ht="20.100000000000001" customHeight="1" x14ac:dyDescent="0.2">
      <c r="D213" s="1" t="str" cm="1">
        <f t="array" ref="D213">SourceData_Dairy.SourceData_Dairy_FractionOfNitrogenLostThroughLeachingAndRunoffSolidStorage_Variable()</f>
        <v>Frac_LEACH_MS</v>
      </c>
      <c r="M213" s="23"/>
    </row>
    <row r="214" spans="1:13" ht="20.100000000000001" customHeight="1" x14ac:dyDescent="0.2">
      <c r="D214" s="55" t="str" cm="1">
        <f t="array" ref="D214">SourceData_Dairy.SourceData_Dairy_FractionOfNitrogenLostThroughLeachingAndRunoffSolidStorage_Unit()</f>
        <v>Fraction</v>
      </c>
      <c r="M214" s="23"/>
    </row>
    <row r="215" spans="1:13" ht="20.100000000000001" customHeight="1" x14ac:dyDescent="0.2">
      <c r="A215" s="137" t="str">
        <f>HYPERLINK("#A1", "▲ Back to top")</f>
        <v>▲ Back to top</v>
      </c>
      <c r="D215" s="54" cm="1">
        <f t="array" ref="D215">SourceData_Dairy.SourceData_Dairy_FractionOfNitrogenLostThroughLeachingAndRunoffSolidStorage_Data()</f>
        <v>0.02</v>
      </c>
      <c r="M215" s="23"/>
    </row>
    <row r="216" spans="1:13" ht="20.100000000000001" customHeight="1" x14ac:dyDescent="0.2">
      <c r="M216" s="23"/>
    </row>
    <row r="217" spans="1:13" ht="20.100000000000001" customHeight="1" x14ac:dyDescent="0.2">
      <c r="D217" s="6" t="str" cm="1">
        <f t="array" ref="D217">SourceData_Dairy.SourceData_Dairy_FracGASMSoil_Title()</f>
        <v>Fraction of nitrogen volatilized from urine and faeces deposited on pasture</v>
      </c>
      <c r="M217" s="23"/>
    </row>
    <row r="218" spans="1:13" ht="20.100000000000001" customHeight="1" x14ac:dyDescent="0.2">
      <c r="D218" s="5" t="str" cm="1">
        <f t="array" ref="D218">SourceData_Dairy.SourceData_Dairy_FracGASMSoil_Source()</f>
        <v>VEERG 2026: 4.3.2.3 CONSTANTS</v>
      </c>
      <c r="M218" s="23"/>
    </row>
    <row r="219" spans="1:13" ht="20.100000000000001" customHeight="1" x14ac:dyDescent="0.2">
      <c r="D219" s="1" t="str" cm="1">
        <f t="array" ref="D219">SourceData_Dairy.SourceData_Dairy_FracGASMSoil_Variable()</f>
        <v>FracGASMsoil</v>
      </c>
      <c r="M219" s="23"/>
    </row>
    <row r="220" spans="1:13" ht="20.100000000000001" customHeight="1" x14ac:dyDescent="0.2">
      <c r="D220" s="55" t="str" cm="1">
        <f t="array" ref="D220">SourceData_Dairy.SourceData_Dairy_FracGASMSoil_Unit()</f>
        <v>(kg NH3-N + NOx-N)/kg N</v>
      </c>
      <c r="M220" s="23"/>
    </row>
    <row r="221" spans="1:13" ht="20.100000000000001" customHeight="1" x14ac:dyDescent="0.2">
      <c r="D221" s="54" cm="1">
        <f t="array" ref="D221">SourceData_Dairy.SourceData_Dairy_FracGASMSoil_Data()</f>
        <v>0.21</v>
      </c>
      <c r="M221" s="23"/>
    </row>
    <row r="222" spans="1:13" ht="20.100000000000001" customHeight="1" x14ac:dyDescent="0.2">
      <c r="M222" s="23"/>
    </row>
    <row r="223" spans="1:13" ht="20.100000000000001" customHeight="1" x14ac:dyDescent="0.2">
      <c r="D223" s="6" t="str" cm="1">
        <f t="array" ref="D223">SourceData_Dairy.SourceData_Dairy_FatContentInMilk_Title()</f>
        <v>Fat content in fat and protein corrected milk</v>
      </c>
      <c r="M223" s="23"/>
    </row>
    <row r="224" spans="1:13" ht="20.100000000000001" customHeight="1" x14ac:dyDescent="0.2">
      <c r="D224" s="5" t="str" cm="1">
        <f t="array" ref="D224">SourceData_Dairy.SourceData_Dairy_FatContentInMilk_Source()</f>
        <v>VEERG 2026: 3.3.2.2 DATA (METHOD 1 AND 2 OPTIONS)</v>
      </c>
      <c r="M224" s="23"/>
    </row>
    <row r="225" spans="4:13" ht="20.100000000000001" customHeight="1" x14ac:dyDescent="0.2">
      <c r="D225" s="1" t="str" cm="1">
        <f t="array" ref="D225">SourceData_Dairy.SourceData_Dairy_FatContentInMilk_Variable()</f>
        <v>FC_j</v>
      </c>
      <c r="M225" s="23"/>
    </row>
    <row r="226" spans="4:13" ht="20.100000000000001" customHeight="1" x14ac:dyDescent="0.2">
      <c r="D226" s="55" t="str" cm="1">
        <f t="array" ref="D226">SourceData_Dairy.SourceData_Dairy_FatContentInMilk_Unit()</f>
        <v>percent</v>
      </c>
      <c r="M226" s="23"/>
    </row>
    <row r="227" spans="4:13" ht="20.100000000000001" customHeight="1" x14ac:dyDescent="0.2">
      <c r="D227" s="54" cm="1">
        <f t="array" ref="D227">SourceData_Dairy.SourceData_Dairy_FatContentInMilk_Data()</f>
        <v>4</v>
      </c>
      <c r="M227" s="23"/>
    </row>
    <row r="228" spans="4:13" ht="20.100000000000001" customHeight="1" x14ac:dyDescent="0.2">
      <c r="M228" s="23"/>
    </row>
    <row r="229" spans="4:13" ht="20.100000000000001" customHeight="1" x14ac:dyDescent="0.2">
      <c r="D229" s="6" t="str" cm="1">
        <f t="array" ref="D229">SourceData_Dairy.SourceData_Dairy_ProteinContentInMilk_Title()</f>
        <v>Protein content in fat and protein corrected milk</v>
      </c>
      <c r="M229" s="23"/>
    </row>
    <row r="230" spans="4:13" ht="20.100000000000001" customHeight="1" x14ac:dyDescent="0.2">
      <c r="D230" s="5" t="str" cm="1">
        <f t="array" ref="D230">SourceData_Dairy.SourceData_Dairy_ProteinContentInMilk_Source()</f>
        <v>VEERG 2026: 3.3.2.2 DATA (METHOD 1 AND 2 OPTIONS)</v>
      </c>
      <c r="M230" s="23"/>
    </row>
    <row r="231" spans="4:13" ht="20.100000000000001" customHeight="1" x14ac:dyDescent="0.2">
      <c r="D231" s="1" t="str" cm="1">
        <f t="array" ref="D231">SourceData_Dairy.SourceData_Dairy_ProteinContentInMilk_Variable()</f>
        <v>PC_j</v>
      </c>
      <c r="M231" s="23"/>
    </row>
    <row r="232" spans="4:13" ht="20.100000000000001" customHeight="1" x14ac:dyDescent="0.2">
      <c r="D232" s="55" t="str" cm="1">
        <f t="array" ref="D232">SourceData_Dairy.SourceData_Dairy_ProteinContentInMilk_Unit()</f>
        <v>percent</v>
      </c>
      <c r="M232" s="23"/>
    </row>
    <row r="233" spans="4:13" ht="20.100000000000001" customHeight="1" x14ac:dyDescent="0.2">
      <c r="D233" s="54" cm="1">
        <f t="array" ref="D233">SourceData_Dairy.SourceData_Dairy_ProteinContentInMilk_Data()</f>
        <v>3.3</v>
      </c>
      <c r="M233" s="23"/>
    </row>
    <row r="234" spans="4:13" ht="20.100000000000001" customHeight="1" x14ac:dyDescent="0.2">
      <c r="M234" s="23"/>
    </row>
    <row r="235" spans="4:13" ht="20.100000000000001" customHeight="1" x14ac:dyDescent="0.2">
      <c r="M235" s="23"/>
    </row>
    <row r="236" spans="4:13" ht="20.100000000000001" customHeight="1" x14ac:dyDescent="0.2">
      <c r="M236" s="23"/>
    </row>
    <row r="237" spans="4:13" ht="20.100000000000001" customHeight="1" x14ac:dyDescent="0.2">
      <c r="M237" s="23"/>
    </row>
    <row r="238" spans="4:13" ht="20.100000000000001" customHeight="1" x14ac:dyDescent="0.2">
      <c r="M238" s="23"/>
    </row>
    <row r="239" spans="4:13" ht="20.100000000000001" customHeight="1" x14ac:dyDescent="0.2">
      <c r="M239" s="23"/>
    </row>
    <row r="240" spans="4:13" ht="20.100000000000001" customHeight="1" x14ac:dyDescent="0.2">
      <c r="M240" s="23"/>
    </row>
    <row r="241" spans="13:13" ht="20.100000000000001" customHeight="1" x14ac:dyDescent="0.2">
      <c r="M241" s="23"/>
    </row>
    <row r="242" spans="13:13" ht="20.100000000000001" customHeight="1" x14ac:dyDescent="0.2">
      <c r="M242" s="23"/>
    </row>
    <row r="243" spans="13:13" ht="20.100000000000001" customHeight="1" x14ac:dyDescent="0.2">
      <c r="M243" s="23"/>
    </row>
    <row r="244" spans="13:13" ht="20.100000000000001" customHeight="1" x14ac:dyDescent="0.2">
      <c r="M244" s="23"/>
    </row>
    <row r="245" spans="13:13" ht="20.100000000000001" customHeight="1" x14ac:dyDescent="0.2">
      <c r="M245" s="23"/>
    </row>
    <row r="246" spans="13:13" ht="20.100000000000001" customHeight="1" x14ac:dyDescent="0.2">
      <c r="M246" s="23"/>
    </row>
    <row r="247" spans="13:13" ht="20.100000000000001" customHeight="1" x14ac:dyDescent="0.2">
      <c r="M247" s="23"/>
    </row>
    <row r="248" spans="13:13" ht="20.100000000000001" customHeight="1" x14ac:dyDescent="0.2">
      <c r="M248" s="23"/>
    </row>
    <row r="249" spans="13:13" ht="20.100000000000001" customHeight="1" x14ac:dyDescent="0.2">
      <c r="M249" s="23"/>
    </row>
    <row r="250" spans="13:13" ht="20.100000000000001" customHeight="1" x14ac:dyDescent="0.2">
      <c r="M250" s="23"/>
    </row>
    <row r="251" spans="13:13" ht="20.100000000000001" customHeight="1" x14ac:dyDescent="0.2">
      <c r="M251" s="23"/>
    </row>
    <row r="252" spans="13:13" ht="20.100000000000001" customHeight="1" x14ac:dyDescent="0.2">
      <c r="M252" s="23"/>
    </row>
    <row r="253" spans="13:13" ht="20.100000000000001" customHeight="1" x14ac:dyDescent="0.2">
      <c r="M253" s="23"/>
    </row>
    <row r="254" spans="13:13" ht="20.100000000000001" customHeight="1" x14ac:dyDescent="0.2">
      <c r="M254" s="23"/>
    </row>
    <row r="255" spans="13:13" ht="20.100000000000001" customHeight="1" x14ac:dyDescent="0.2">
      <c r="M255" s="23"/>
    </row>
    <row r="256" spans="13:13" ht="20.100000000000001" customHeight="1" x14ac:dyDescent="0.2">
      <c r="M256" s="23"/>
    </row>
    <row r="257" spans="13:13" ht="20.100000000000001" customHeight="1" x14ac:dyDescent="0.2">
      <c r="M257" s="23"/>
    </row>
    <row r="258" spans="13:13" ht="20.100000000000001" customHeight="1" x14ac:dyDescent="0.2">
      <c r="M258" s="23"/>
    </row>
    <row r="259" spans="13:13" ht="20.100000000000001" customHeight="1" x14ac:dyDescent="0.2">
      <c r="M259" s="23"/>
    </row>
    <row r="260" spans="13:13" ht="20.100000000000001" customHeight="1" x14ac:dyDescent="0.2">
      <c r="M260" s="23"/>
    </row>
    <row r="261" spans="13:13" ht="20.100000000000001" customHeight="1" x14ac:dyDescent="0.2">
      <c r="M261" s="23"/>
    </row>
    <row r="262" spans="13:13" ht="20.100000000000001" customHeight="1" x14ac:dyDescent="0.2">
      <c r="M262" s="23"/>
    </row>
    <row r="263" spans="13:13" ht="20.100000000000001" customHeight="1" x14ac:dyDescent="0.2">
      <c r="M263" s="23"/>
    </row>
    <row r="264" spans="13:13" ht="20.100000000000001" customHeight="1" x14ac:dyDescent="0.2">
      <c r="M264" s="23"/>
    </row>
    <row r="265" spans="13:13" ht="20.100000000000001" customHeight="1" x14ac:dyDescent="0.2">
      <c r="M265" s="23"/>
    </row>
    <row r="266" spans="13:13" ht="20.100000000000001" customHeight="1" x14ac:dyDescent="0.2">
      <c r="M266" s="23"/>
    </row>
    <row r="267" spans="13:13" ht="20.100000000000001" customHeight="1" x14ac:dyDescent="0.2">
      <c r="M267" s="23"/>
    </row>
    <row r="268" spans="13:13" ht="20.100000000000001" customHeight="1" x14ac:dyDescent="0.2">
      <c r="M268" s="23"/>
    </row>
    <row r="269" spans="13:13" ht="20.100000000000001" customHeight="1" x14ac:dyDescent="0.2">
      <c r="M269" s="23"/>
    </row>
    <row r="270" spans="13:13" ht="20.100000000000001" customHeight="1" x14ac:dyDescent="0.2">
      <c r="M270" s="23"/>
    </row>
    <row r="271" spans="13:13" ht="20.100000000000001" customHeight="1" x14ac:dyDescent="0.2">
      <c r="M271" s="23"/>
    </row>
    <row r="272" spans="13:13" ht="20.100000000000001" customHeight="1" x14ac:dyDescent="0.2">
      <c r="M272" s="23"/>
    </row>
    <row r="273" spans="13:13" ht="20.100000000000001" customHeight="1" x14ac:dyDescent="0.2">
      <c r="M273" s="23"/>
    </row>
    <row r="274" spans="13:13" ht="20.100000000000001" customHeight="1" x14ac:dyDescent="0.2">
      <c r="M274" s="23"/>
    </row>
    <row r="275" spans="13:13" ht="20.100000000000001" customHeight="1" x14ac:dyDescent="0.2">
      <c r="M275" s="23"/>
    </row>
    <row r="276" spans="13:13" ht="20.100000000000001" customHeight="1" x14ac:dyDescent="0.2">
      <c r="M276" s="23"/>
    </row>
    <row r="277" spans="13:13" ht="20.100000000000001" customHeight="1" x14ac:dyDescent="0.2">
      <c r="M277" s="23"/>
    </row>
    <row r="278" spans="13:13" ht="20.100000000000001" customHeight="1" x14ac:dyDescent="0.2">
      <c r="M278" s="23"/>
    </row>
    <row r="279" spans="13:13" ht="20.100000000000001" customHeight="1" x14ac:dyDescent="0.2">
      <c r="M279" s="23"/>
    </row>
    <row r="280" spans="13:13" ht="20.100000000000001" customHeight="1" x14ac:dyDescent="0.2">
      <c r="M280" s="23"/>
    </row>
    <row r="281" spans="13:13" ht="20.100000000000001" customHeight="1" x14ac:dyDescent="0.2">
      <c r="M281" s="23"/>
    </row>
    <row r="282" spans="13:13" ht="20.100000000000001" customHeight="1" x14ac:dyDescent="0.2">
      <c r="M282" s="23"/>
    </row>
    <row r="283" spans="13:13" ht="20.100000000000001" customHeight="1" x14ac:dyDescent="0.2">
      <c r="M283" s="23"/>
    </row>
    <row r="284" spans="13:13" ht="20.100000000000001" customHeight="1" x14ac:dyDescent="0.2">
      <c r="M284" s="23"/>
    </row>
    <row r="285" spans="13:13" ht="20.100000000000001" customHeight="1" x14ac:dyDescent="0.2">
      <c r="M285" s="23"/>
    </row>
    <row r="286" spans="13:13" ht="20.100000000000001" customHeight="1" x14ac:dyDescent="0.2">
      <c r="M286" s="23"/>
    </row>
    <row r="287" spans="13:13" ht="20.100000000000001" customHeight="1" x14ac:dyDescent="0.2">
      <c r="M287" s="23"/>
    </row>
    <row r="288" spans="13:13" ht="20.100000000000001" customHeight="1" x14ac:dyDescent="0.2">
      <c r="M288" s="23"/>
    </row>
  </sheetData>
  <pageMargins left="0.7" right="0.7" top="0.75" bottom="0.75" header="0.3" footer="0.3"/>
  <tableParts count="16">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C94F4E-AD00-4D4C-A7E4-E8C5637B75F9}">
  <sheetPr>
    <tabColor theme="2" tint="-0.499984740745262"/>
  </sheetPr>
  <dimension ref="A1:BY297"/>
  <sheetViews>
    <sheetView showGridLines="0" topLeftCell="A239" zoomScaleNormal="100" workbookViewId="0">
      <selection activeCell="I279" sqref="I279"/>
    </sheetView>
  </sheetViews>
  <sheetFormatPr defaultColWidth="9.140625" defaultRowHeight="20.100000000000001" customHeight="1" x14ac:dyDescent="0.2"/>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74</v>
      </c>
    </row>
    <row r="2" spans="1:65" s="9" customFormat="1" ht="20.100000000000001" customHeight="1" x14ac:dyDescent="0.2">
      <c r="A2"/>
    </row>
    <row r="3" spans="1:65" ht="20.100000000000001" customHeight="1" x14ac:dyDescent="0.2">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
      <c r="A4"/>
      <c r="BM4" s="3"/>
    </row>
    <row r="5" spans="1:65" ht="20.100000000000001" customHeight="1" x14ac:dyDescent="0.2">
      <c r="A5"/>
      <c r="D5" s="6" t="str" cm="1">
        <f t="array" ref="D5">Common_SourceData.Common_SourceData_AustralianStatesTerritories_Title()</f>
        <v>Australian states and territories</v>
      </c>
      <c r="BM5" s="3"/>
    </row>
    <row r="6" spans="1:65" ht="20.100000000000001" customHeight="1" x14ac:dyDescent="0.2">
      <c r="A6" s="154" t="s">
        <v>1</v>
      </c>
      <c r="D6" s="38" t="s">
        <v>20</v>
      </c>
      <c r="E6" s="38" t="s">
        <v>21</v>
      </c>
      <c r="F6" s="38" t="s">
        <v>22</v>
      </c>
    </row>
    <row r="7" spans="1:65" ht="20.100000000000001" customHeight="1" x14ac:dyDescent="0.2">
      <c r="A7" s="68" t="str">
        <f>HYPERLINK("#'Constants - Common'!A1", "Constants - Common")</f>
        <v>Constants - Common</v>
      </c>
      <c r="D7" s="38" t="str" cm="1">
        <f t="array" ref="D7">Common_InputFunctions.Utility_DisplayArrayInTable(Common_SourceData.Common_SourceData_AustralianStatesTerritories_Data(),Table_AustralianStates[[#Headers],[State/Territory]],0)</f>
        <v>New South Wales</v>
      </c>
      <c r="E7" s="38" t="str" cm="1">
        <f t="array" ref="E7">Common_InputFunctions.Utility_DisplayArrayInTable(Common_SourceData.Common_SourceData_AustralianStatesTerritories_Data(),Table_AustralianStates[[#Headers],[State/Territory]],0)</f>
        <v>New South Wales</v>
      </c>
      <c r="F7" s="38" t="str" cm="1">
        <f t="array" ref="F7">Common_InputFunctions.Utility_DisplayArrayInTable(Common_SourceData.Common_SourceData_AustralianStatesTerritories_Data(),Table_AustralianStates[[#Headers],[State/Territory]],0)</f>
        <v>NSW</v>
      </c>
    </row>
    <row r="8" spans="1:65" ht="20.100000000000001" customHeight="1" x14ac:dyDescent="0.2">
      <c r="A8" s="17" t="str">
        <f>HYPERLINK("#'Acknowledgements'!A1", "Acknowledgements")</f>
        <v>Acknowledgements</v>
      </c>
      <c r="D8" s="38" t="str" cm="1">
        <f t="array" ref="D8">Common_InputFunctions.Utility_DisplayArrayInTable(Common_SourceData.Common_SourceData_AustralianStatesTerritories_Data(),Table_AustralianStates[[#Headers],[State/Territory]],0)</f>
        <v>Australian Capital Territory</v>
      </c>
      <c r="E8" s="38" t="str" cm="1">
        <f t="array" ref="E8">Common_InputFunctions.Utility_DisplayArrayInTable(Common_SourceData.Common_SourceData_AustralianStatesTerritories_Data(),Table_AustralianStates[[#Headers],[State/Territory]],0)</f>
        <v>ACT</v>
      </c>
      <c r="F8" s="38" t="str" cm="1">
        <f t="array" ref="F8">Common_InputFunctions.Utility_DisplayArrayInTable(Common_SourceData.Common_SourceData_AustralianStatesTerritories_Data(),Table_AustralianStates[[#Headers],[State/Territory]],0)</f>
        <v>ACT</v>
      </c>
    </row>
    <row r="9" spans="1:65" ht="20.100000000000001" customHeight="1" x14ac:dyDescent="0.2">
      <c r="A9"/>
      <c r="D9" s="38" t="str" cm="1">
        <f t="array" ref="D9">Common_InputFunctions.Utility_DisplayArrayInTable(Common_SourceData.Common_SourceData_AustralianStatesTerritories_Data(),Table_AustralianStates[[#Headers],[State/Territory]],0)</f>
        <v>Victoria</v>
      </c>
      <c r="E9" s="38" t="str" cm="1">
        <f t="array" ref="E9">Common_InputFunctions.Utility_DisplayArrayInTable(Common_SourceData.Common_SourceData_AustralianStatesTerritories_Data(),Table_AustralianStates[[#Headers],[State/Territory]],0)</f>
        <v>Victoria</v>
      </c>
      <c r="F9" s="38" t="str" cm="1">
        <f t="array" ref="F9">Common_InputFunctions.Utility_DisplayArrayInTable(Common_SourceData.Common_SourceData_AustralianStatesTerritories_Data(),Table_AustralianStates[[#Headers],[State/Territory]],0)</f>
        <v>VIC</v>
      </c>
    </row>
    <row r="10" spans="1:65" ht="20.100000000000001" customHeight="1" x14ac:dyDescent="0.2">
      <c r="A10"/>
      <c r="D10" s="38" t="str" cm="1">
        <f t="array" ref="D10">Common_InputFunctions.Utility_DisplayArrayInTable(Common_SourceData.Common_SourceData_AustralianStatesTerritories_Data(),Table_AustralianStates[[#Headers],[State/Territory]],0)</f>
        <v>Queensland</v>
      </c>
      <c r="E10" s="38" t="str" cm="1">
        <f t="array" ref="E10">Common_InputFunctions.Utility_DisplayArrayInTable(Common_SourceData.Common_SourceData_AustralianStatesTerritories_Data(),Table_AustralianStates[[#Headers],[State/Territory]],0)</f>
        <v>Queensland</v>
      </c>
      <c r="F10" s="38" t="str" cm="1">
        <f t="array" ref="F10">Common_InputFunctions.Utility_DisplayArrayInTable(Common_SourceData.Common_SourceData_AustralianStatesTerritories_Data(),Table_AustralianStates[[#Headers],[State/Territory]],0)</f>
        <v>QLD</v>
      </c>
    </row>
    <row r="11" spans="1:65" ht="20.100000000000001" customHeight="1" x14ac:dyDescent="0.2">
      <c r="A11"/>
      <c r="D11" s="38" t="str" cm="1">
        <f t="array" ref="D11">Common_InputFunctions.Utility_DisplayArrayInTable(Common_SourceData.Common_SourceData_AustralianStatesTerritories_Data(),Table_AustralianStates[[#Headers],[State/Territory]],0)</f>
        <v>South Australia</v>
      </c>
      <c r="E11" s="38" t="str" cm="1">
        <f t="array" ref="E11">Common_InputFunctions.Utility_DisplayArrayInTable(Common_SourceData.Common_SourceData_AustralianStatesTerritories_Data(),Table_AustralianStates[[#Headers],[State/Territory]],0)</f>
        <v>South Australia</v>
      </c>
      <c r="F11" s="38" t="str" cm="1">
        <f t="array" ref="F11">Common_InputFunctions.Utility_DisplayArrayInTable(Common_SourceData.Common_SourceData_AustralianStatesTerritories_Data(),Table_AustralianStates[[#Headers],[State/Territory]],0)</f>
        <v>SA</v>
      </c>
      <c r="BM11" s="3"/>
    </row>
    <row r="12" spans="1:65" ht="20.100000000000001" customHeight="1" x14ac:dyDescent="0.2">
      <c r="A12"/>
      <c r="D12" s="38" t="str" cm="1">
        <f t="array" ref="D12">Common_InputFunctions.Utility_DisplayArrayInTable(Common_SourceData.Common_SourceData_AustralianStatesTerritories_Data(),Table_AustralianStates[[#Headers],[State/Territory]],0)</f>
        <v>Western Australia</v>
      </c>
      <c r="E12" s="38" t="str" cm="1">
        <f t="array" ref="E12">Common_InputFunctions.Utility_DisplayArrayInTable(Common_SourceData.Common_SourceData_AustralianStatesTerritories_Data(),Table_AustralianStates[[#Headers],[State/Territory]],0)</f>
        <v>Western Australia</v>
      </c>
      <c r="F12" s="38" t="str" cm="1">
        <f t="array" ref="F12">Common_InputFunctions.Utility_DisplayArrayInTable(Common_SourceData.Common_SourceData_AustralianStatesTerritories_Data(),Table_AustralianStates[[#Headers],[State/Territory]],0)</f>
        <v>WA</v>
      </c>
      <c r="BM12" s="3"/>
    </row>
    <row r="13" spans="1:65" ht="20.100000000000001" customHeight="1" x14ac:dyDescent="0.2">
      <c r="A13"/>
      <c r="D13" s="38" t="str" cm="1">
        <f t="array" ref="D13">Common_InputFunctions.Utility_DisplayArrayInTable(Common_SourceData.Common_SourceData_AustralianStatesTerritories_Data(),Table_AustralianStates[[#Headers],[State/Territory]],0)</f>
        <v>Tasmania</v>
      </c>
      <c r="E13" s="38" t="str" cm="1">
        <f t="array" ref="E13">Common_InputFunctions.Utility_DisplayArrayInTable(Common_SourceData.Common_SourceData_AustralianStatesTerritories_Data(),Table_AustralianStates[[#Headers],[State/Territory]],0)</f>
        <v>Tasmania</v>
      </c>
      <c r="F13" s="38" t="str" cm="1">
        <f t="array" ref="F13">Common_InputFunctions.Utility_DisplayArrayInTable(Common_SourceData.Common_SourceData_AustralianStatesTerritories_Data(),Table_AustralianStates[[#Headers],[State/Territory]],0)</f>
        <v>TAS</v>
      </c>
    </row>
    <row r="14" spans="1:65" ht="20.100000000000001" customHeight="1" x14ac:dyDescent="0.2">
      <c r="A14"/>
      <c r="D14" s="38" t="str" cm="1">
        <f t="array" ref="D14">Common_InputFunctions.Utility_DisplayArrayInTable(Common_SourceData.Common_SourceData_AustralianStatesTerritories_Data(),Table_AustralianStates[[#Headers],[State/Territory]],0)</f>
        <v>Northern Territory</v>
      </c>
      <c r="E14" s="38" t="str" cm="1">
        <f t="array" ref="E14">Common_InputFunctions.Utility_DisplayArrayInTable(Common_SourceData.Common_SourceData_AustralianStatesTerritories_Data(),Table_AustralianStates[[#Headers],[State/Territory]],0)</f>
        <v>Northern Territory</v>
      </c>
      <c r="F14" s="38" t="str" cm="1">
        <f t="array" ref="F14">Common_InputFunctions.Utility_DisplayArrayInTable(Common_SourceData.Common_SourceData_AustralianStatesTerritories_Data(),Table_AustralianStates[[#Headers],[State/Territory]],0)</f>
        <v>NT</v>
      </c>
    </row>
    <row r="15" spans="1:65" ht="20.100000000000001" customHeight="1" x14ac:dyDescent="0.2">
      <c r="A15"/>
    </row>
    <row r="16" spans="1:65" ht="20.100000000000001" customHeight="1" x14ac:dyDescent="0.2">
      <c r="A16"/>
    </row>
    <row r="17" spans="1:4" ht="20.100000000000001" customHeight="1" x14ac:dyDescent="0.2">
      <c r="A17"/>
    </row>
    <row r="18" spans="1:4" ht="20.100000000000001" customHeight="1" x14ac:dyDescent="0.2">
      <c r="A18"/>
      <c r="D18" s="6" t="str" cm="1">
        <f t="array" ref="D18">Common_SourceData.Common_SourceData_WASA4Areas_Title()</f>
        <v>ABS Statistcal Areas Level 4 - Western Australia</v>
      </c>
    </row>
    <row r="19" spans="1:4" ht="20.100000000000001" customHeight="1" x14ac:dyDescent="0.2">
      <c r="A19"/>
      <c r="D19" s="5" t="str" cm="1">
        <f t="array" ref="D19">Common_SourceData.Common_SourceData_WASA4Areas_Source()</f>
        <v>Australian Bureau of Statistics (ABS) - Statistical Areas Level 2 - 2021 - Shapefile</v>
      </c>
    </row>
    <row r="20" spans="1:4" ht="20.100000000000001" customHeight="1" x14ac:dyDescent="0.2">
      <c r="A20"/>
      <c r="D20" s="38" t="s">
        <v>23</v>
      </c>
    </row>
    <row r="21" spans="1:4" ht="20.100000000000001" customHeight="1" x14ac:dyDescent="0.2">
      <c r="A21"/>
      <c r="D21" s="38" t="str" cm="1">
        <f t="array" ref="D21">Common_InputFunctions.Utility_DisplayArrayInTable(Common_SourceData.Common_SourceData_WASA4Areas_Data(), Table_WASA4Areas[[#Headers],[SA 4 Name]], 0)</f>
        <v>Bunbury</v>
      </c>
    </row>
    <row r="22" spans="1:4" ht="20.100000000000001" customHeight="1" x14ac:dyDescent="0.2">
      <c r="A22"/>
      <c r="D22" s="38" t="str" cm="1">
        <f t="array" ref="D22">Common_InputFunctions.Utility_DisplayArrayInTable(Common_SourceData.Common_SourceData_WASA4Areas_Data(), Table_WASA4Areas[[#Headers],[SA 4 Name]], 0)</f>
        <v>Mandurah</v>
      </c>
    </row>
    <row r="23" spans="1:4" ht="20.100000000000001" customHeight="1" x14ac:dyDescent="0.2">
      <c r="A23"/>
      <c r="D23" s="38" t="str" cm="1">
        <f t="array" ref="D23">Common_InputFunctions.Utility_DisplayArrayInTable(Common_SourceData.Common_SourceData_WASA4Areas_Data(), Table_WASA4Areas[[#Headers],[SA 4 Name]], 0)</f>
        <v>Perth - Inner</v>
      </c>
    </row>
    <row r="24" spans="1:4" ht="20.100000000000001" customHeight="1" x14ac:dyDescent="0.2">
      <c r="A24"/>
      <c r="D24" s="38" t="str" cm="1">
        <f t="array" ref="D24">Common_InputFunctions.Utility_DisplayArrayInTable(Common_SourceData.Common_SourceData_WASA4Areas_Data(), Table_WASA4Areas[[#Headers],[SA 4 Name]], 0)</f>
        <v>Perth - North East</v>
      </c>
    </row>
    <row r="25" spans="1:4" ht="20.100000000000001" customHeight="1" x14ac:dyDescent="0.2">
      <c r="A25"/>
      <c r="D25" s="38" t="str" cm="1">
        <f t="array" ref="D25">Common_InputFunctions.Utility_DisplayArrayInTable(Common_SourceData.Common_SourceData_WASA4Areas_Data(), Table_WASA4Areas[[#Headers],[SA 4 Name]], 0)</f>
        <v>Perth - North West</v>
      </c>
    </row>
    <row r="26" spans="1:4" ht="20.100000000000001" customHeight="1" x14ac:dyDescent="0.2">
      <c r="A26"/>
      <c r="D26" s="38" t="str" cm="1">
        <f t="array" ref="D26">Common_InputFunctions.Utility_DisplayArrayInTable(Common_SourceData.Common_SourceData_WASA4Areas_Data(), Table_WASA4Areas[[#Headers],[SA 4 Name]], 0)</f>
        <v>Perth - South East</v>
      </c>
    </row>
    <row r="27" spans="1:4" ht="20.100000000000001" customHeight="1" x14ac:dyDescent="0.2">
      <c r="A27"/>
      <c r="D27" s="38" t="str" cm="1">
        <f t="array" ref="D27">Common_InputFunctions.Utility_DisplayArrayInTable(Common_SourceData.Common_SourceData_WASA4Areas_Data(), Table_WASA4Areas[[#Headers],[SA 4 Name]], 0)</f>
        <v>Perth - South West</v>
      </c>
    </row>
    <row r="28" spans="1:4" ht="20.100000000000001" customHeight="1" x14ac:dyDescent="0.2">
      <c r="A28"/>
      <c r="D28" s="38" t="str" cm="1">
        <f t="array" ref="D28">Common_InputFunctions.Utility_DisplayArrayInTable(Common_SourceData.Common_SourceData_WASA4Areas_Data(), Table_WASA4Areas[[#Headers],[SA 4 Name]], 0)</f>
        <v>Western Australia - Wheat Belt</v>
      </c>
    </row>
    <row r="29" spans="1:4" ht="20.100000000000001" customHeight="1" x14ac:dyDescent="0.2">
      <c r="A29"/>
      <c r="D29" s="38" t="str" cm="1">
        <f t="array" ref="D29">Common_InputFunctions.Utility_DisplayArrayInTable(Common_SourceData.Common_SourceData_WASA4Areas_Data(), Table_WASA4Areas[[#Headers],[SA 4 Name]], 0)</f>
        <v>Western Australia - Outback (North)</v>
      </c>
    </row>
    <row r="30" spans="1:4" ht="20.100000000000001" customHeight="1" x14ac:dyDescent="0.2">
      <c r="A30"/>
      <c r="D30" s="38" t="str" cm="1">
        <f t="array" ref="D30">Common_InputFunctions.Utility_DisplayArrayInTable(Common_SourceData.Common_SourceData_WASA4Areas_Data(), Table_WASA4Areas[[#Headers],[SA 4 Name]], 0)</f>
        <v>Western Australia - Outback (South)</v>
      </c>
    </row>
    <row r="31" spans="1:4" ht="20.100000000000001" customHeight="1" x14ac:dyDescent="0.2">
      <c r="A31"/>
    </row>
    <row r="32" spans="1:4" ht="20.100000000000001" customHeight="1" x14ac:dyDescent="0.2">
      <c r="A32"/>
    </row>
    <row r="33" spans="1:8" ht="20.100000000000001" customHeight="1" x14ac:dyDescent="0.2">
      <c r="A33"/>
    </row>
    <row r="34" spans="1:8" ht="20.100000000000001" customHeight="1" x14ac:dyDescent="0.2">
      <c r="A34"/>
      <c r="D34" s="6" t="str" cm="1">
        <f t="array" ref="D34">Common_SourceData.Common_SourceData_GWP_Title()</f>
        <v>Global warming potential for greenhouse gases</v>
      </c>
    </row>
    <row r="35" spans="1:8" ht="20.100000000000001" customHeight="1" x14ac:dyDescent="0.2">
      <c r="A35"/>
      <c r="D35" s="5" t="str" cm="1">
        <f t="array" ref="D35">Common_SourceData.Common_SourceData_GWP_Source()</f>
        <v>XXXXXXX</v>
      </c>
    </row>
    <row r="36" spans="1:8" ht="20.100000000000001" customHeight="1" x14ac:dyDescent="0.2">
      <c r="A36"/>
      <c r="D36" s="38" t="s">
        <v>26</v>
      </c>
      <c r="E36" s="38" t="s">
        <v>27</v>
      </c>
    </row>
    <row r="37" spans="1:8" ht="20.100000000000001" customHeight="1" x14ac:dyDescent="0.2">
      <c r="A37"/>
      <c r="D37" s="38" t="str" cm="1">
        <f t="array" ref="D37">Common_InputFunctions.Utility_DisplayArrayInTable(Common_SourceData.Common_SourceData_GWP_Data(), Table_GWPData[[#Headers],[Gas]], 0)</f>
        <v>CO2</v>
      </c>
      <c r="E37" s="38" cm="1">
        <f t="array" ref="E37">Common_InputFunctions.Utility_DisplayArrayInTable(Common_SourceData.Common_SourceData_GWP_Data(), Table_GWPData[[#Headers],[Gas]], 0)</f>
        <v>1</v>
      </c>
    </row>
    <row r="38" spans="1:8" ht="20.100000000000001" customHeight="1" x14ac:dyDescent="0.2">
      <c r="A38"/>
      <c r="D38" s="38" t="str" cm="1">
        <f t="array" ref="D38">Common_InputFunctions.Utility_DisplayArrayInTable(Common_SourceData.Common_SourceData_GWP_Data(), Table_GWPData[[#Headers],[Gas]], 0)</f>
        <v>CH4</v>
      </c>
      <c r="E38" s="38" cm="1">
        <f t="array" ref="E38">Common_InputFunctions.Utility_DisplayArrayInTable(Common_SourceData.Common_SourceData_GWP_Data(), Table_GWPData[[#Headers],[Gas]], 0)</f>
        <v>28</v>
      </c>
    </row>
    <row r="39" spans="1:8" ht="20.100000000000001" customHeight="1" x14ac:dyDescent="0.2">
      <c r="A39"/>
      <c r="D39" s="38" t="str" cm="1">
        <f t="array" ref="D39">Common_InputFunctions.Utility_DisplayArrayInTable(Common_SourceData.Common_SourceData_GWP_Data(), Table_GWPData[[#Headers],[Gas]], 0)</f>
        <v>N2O</v>
      </c>
      <c r="E39" s="38" cm="1">
        <f t="array" ref="E39">Common_InputFunctions.Utility_DisplayArrayInTable(Common_SourceData.Common_SourceData_GWP_Data(), Table_GWPData[[#Headers],[Gas]], 0)</f>
        <v>265</v>
      </c>
    </row>
    <row r="40" spans="1:8" ht="20.100000000000001" customHeight="1" x14ac:dyDescent="0.2">
      <c r="A40"/>
      <c r="D40" s="38" t="str" cm="1">
        <f t="array" ref="D40">Common_InputFunctions.Utility_DisplayArrayInTable(Common_SourceData.Common_SourceData_GWP_Data(), Table_GWPData[[#Headers],[Gas]], 0)</f>
        <v>CF4</v>
      </c>
      <c r="E40" s="38" cm="1">
        <f t="array" ref="E40">Common_InputFunctions.Utility_DisplayArrayInTable(Common_SourceData.Common_SourceData_GWP_Data(), Table_GWPData[[#Headers],[Gas]], 0)</f>
        <v>6630</v>
      </c>
    </row>
    <row r="41" spans="1:8" ht="20.100000000000001" customHeight="1" x14ac:dyDescent="0.2">
      <c r="A41"/>
      <c r="D41" s="38" t="str" cm="1">
        <f t="array" ref="D41">Common_InputFunctions.Utility_DisplayArrayInTable(Common_SourceData.Common_SourceData_GWP_Data(), Table_GWPData[[#Headers],[Gas]], 0)</f>
        <v>C2F6</v>
      </c>
      <c r="E41" s="38" cm="1">
        <f t="array" ref="E41">Common_InputFunctions.Utility_DisplayArrayInTable(Common_SourceData.Common_SourceData_GWP_Data(), Table_GWPData[[#Headers],[Gas]], 0)</f>
        <v>12200</v>
      </c>
    </row>
    <row r="42" spans="1:8" ht="20.100000000000001" customHeight="1" x14ac:dyDescent="0.2">
      <c r="A42"/>
      <c r="D42" s="38" t="str" cm="1">
        <f t="array" ref="D42">Common_InputFunctions.Utility_DisplayArrayInTable(Common_SourceData.Common_SourceData_GWP_Data(), Table_GWPData[[#Headers],[Gas]], 0)</f>
        <v>SF6</v>
      </c>
      <c r="E42" s="38" cm="1">
        <f t="array" ref="E42">Common_InputFunctions.Utility_DisplayArrayInTable(Common_SourceData.Common_SourceData_GWP_Data(), Table_GWPData[[#Headers],[Gas]], 0)</f>
        <v>22800</v>
      </c>
    </row>
    <row r="43" spans="1:8" ht="20.100000000000001" customHeight="1" x14ac:dyDescent="0.2">
      <c r="A43"/>
      <c r="D43" s="38" t="str" cm="1">
        <f t="array" ref="D43">Common_InputFunctions.Utility_DisplayArrayInTable(Common_SourceData.Common_SourceData_GWP_Data(), Table_GWPData[[#Headers],[Gas]], 0)</f>
        <v>NF3</v>
      </c>
      <c r="E43" s="38" cm="1">
        <f t="array" ref="E43">Common_InputFunctions.Utility_DisplayArrayInTable(Common_SourceData.Common_SourceData_GWP_Data(), Table_GWPData[[#Headers],[Gas]], 0)</f>
        <v>17200</v>
      </c>
    </row>
    <row r="44" spans="1:8" ht="20.100000000000001" customHeight="1" x14ac:dyDescent="0.2">
      <c r="A44"/>
    </row>
    <row r="45" spans="1:8" ht="20.100000000000001" customHeight="1" x14ac:dyDescent="0.2">
      <c r="A45"/>
      <c r="D45" s="6" t="str" cm="1">
        <f t="array" ref="D45">Common_SourceData.Common_SourceData_ConvertGasElementalToMolecular_Title()</f>
        <v>Factor to convert elemental mass of gas to molecular mass</v>
      </c>
    </row>
    <row r="46" spans="1:8" ht="20.100000000000001" customHeight="1" x14ac:dyDescent="0.2">
      <c r="A46"/>
      <c r="D46" s="5" t="str" cm="1">
        <f t="array" ref="D46">Common_SourceData.Common_SourceData_ConvertGasElementalToMolecular_Source()</f>
        <v>XXXXXXX</v>
      </c>
    </row>
    <row r="47" spans="1:8" ht="20.100000000000001" customHeight="1" x14ac:dyDescent="0.2">
      <c r="A47"/>
      <c r="D47" s="38" t="s">
        <v>26</v>
      </c>
      <c r="E47" s="38" t="s">
        <v>29</v>
      </c>
      <c r="F47" s="38" t="s">
        <v>30</v>
      </c>
      <c r="G47" s="38" t="s">
        <v>31</v>
      </c>
      <c r="H47" s="38" t="s">
        <v>32</v>
      </c>
    </row>
    <row r="48" spans="1:8" ht="20.100000000000001" customHeight="1" x14ac:dyDescent="0.2">
      <c r="A48"/>
      <c r="D48" s="38" t="str" cm="1">
        <f t="array" ref="D48">Common_InputFunctions.Utility_DisplayArrayInTable(Common_SourceData.Common_SourceData_ConvertGasElementalToMolecular_Data(),Table_GasToMolecularConversionFactor[[#Headers],[Gas]], 0)</f>
        <v>CO2</v>
      </c>
      <c r="E48" s="38" t="str" cm="1">
        <f t="array" ref="E48">Common_InputFunctions.Utility_DisplayArrayInTable(Common_SourceData.Common_SourceData_ConvertGasElementalToMolecular_Data(),Table_GasToMolecularConversionFactor[[#Headers],[Gas]], 0)</f>
        <v>44/12</v>
      </c>
      <c r="F48" s="38" cm="1">
        <f t="array" ref="F48">Common_InputFunctions.Utility_DisplayArrayInTable(Common_SourceData.Common_SourceData_ConvertGasElementalToMolecular_Data(),Table_GasToMolecularConversionFactor[[#Headers],[Gas]], 0)</f>
        <v>44</v>
      </c>
      <c r="G48" s="38" cm="1">
        <f t="array" ref="G48">Common_InputFunctions.Utility_DisplayArrayInTable(Common_SourceData.Common_SourceData_ConvertGasElementalToMolecular_Data(),Table_GasToMolecularConversionFactor[[#Headers],[Gas]], 0)</f>
        <v>12</v>
      </c>
      <c r="H48" s="38">
        <f>Table_GasToMolecularConversionFactor[[#This Row],[Conversion factor 1]]/Table_GasToMolecularConversionFactor[[#This Row],[Conversion factor 2]]</f>
        <v>3.6666666666666665</v>
      </c>
    </row>
    <row r="49" spans="1:8" ht="20.100000000000001" customHeight="1" x14ac:dyDescent="0.2">
      <c r="A49"/>
      <c r="D49" s="38" t="str" cm="1">
        <f t="array" ref="D49">Common_InputFunctions.Utility_DisplayArrayInTable(Common_SourceData.Common_SourceData_ConvertGasElementalToMolecular_Data(),Table_GasToMolecularConversionFactor[[#Headers],[Gas]], 0)</f>
        <v>CH4</v>
      </c>
      <c r="E49" s="38" t="str" cm="1">
        <f t="array" ref="E49">Common_InputFunctions.Utility_DisplayArrayInTable(Common_SourceData.Common_SourceData_ConvertGasElementalToMolecular_Data(),Table_GasToMolecularConversionFactor[[#Headers],[Gas]], 0)</f>
        <v>16/12</v>
      </c>
      <c r="F49" s="38" cm="1">
        <f t="array" ref="F49">Common_InputFunctions.Utility_DisplayArrayInTable(Common_SourceData.Common_SourceData_ConvertGasElementalToMolecular_Data(),Table_GasToMolecularConversionFactor[[#Headers],[Gas]], 0)</f>
        <v>16</v>
      </c>
      <c r="G49" s="38" cm="1">
        <f t="array" ref="G49">Common_InputFunctions.Utility_DisplayArrayInTable(Common_SourceData.Common_SourceData_ConvertGasElementalToMolecular_Data(),Table_GasToMolecularConversionFactor[[#Headers],[Gas]], 0)</f>
        <v>12</v>
      </c>
      <c r="H49" s="38">
        <f>Table_GasToMolecularConversionFactor[[#This Row],[Conversion factor 1]]/Table_GasToMolecularConversionFactor[[#This Row],[Conversion factor 2]]</f>
        <v>1.3333333333333333</v>
      </c>
    </row>
    <row r="50" spans="1:8" ht="20.100000000000001" customHeight="1" x14ac:dyDescent="0.2">
      <c r="A50"/>
      <c r="D50" s="38" t="str" cm="1">
        <f t="array" ref="D50">Common_InputFunctions.Utility_DisplayArrayInTable(Common_SourceData.Common_SourceData_ConvertGasElementalToMolecular_Data(),Table_GasToMolecularConversionFactor[[#Headers],[Gas]], 0)</f>
        <v>N2O</v>
      </c>
      <c r="E50" s="38" t="str" cm="1">
        <f t="array" ref="E50">Common_InputFunctions.Utility_DisplayArrayInTable(Common_SourceData.Common_SourceData_ConvertGasElementalToMolecular_Data(),Table_GasToMolecularConversionFactor[[#Headers],[Gas]], 0)</f>
        <v>44/28</v>
      </c>
      <c r="F50" s="38" cm="1">
        <f t="array" ref="F50">Common_InputFunctions.Utility_DisplayArrayInTable(Common_SourceData.Common_SourceData_ConvertGasElementalToMolecular_Data(),Table_GasToMolecularConversionFactor[[#Headers],[Gas]], 0)</f>
        <v>44</v>
      </c>
      <c r="G50" s="38" cm="1">
        <f t="array" ref="G50">Common_InputFunctions.Utility_DisplayArrayInTable(Common_SourceData.Common_SourceData_ConvertGasElementalToMolecular_Data(),Table_GasToMolecularConversionFactor[[#Headers],[Gas]], 0)</f>
        <v>28</v>
      </c>
      <c r="H50" s="38">
        <f>Table_GasToMolecularConversionFactor[[#This Row],[Conversion factor 1]]/Table_GasToMolecularConversionFactor[[#This Row],[Conversion factor 2]]</f>
        <v>1.5714285714285714</v>
      </c>
    </row>
    <row r="51" spans="1:8" ht="20.100000000000001" customHeight="1" x14ac:dyDescent="0.2">
      <c r="A51"/>
      <c r="D51" s="38" t="str" cm="1">
        <f t="array" ref="D51">Common_InputFunctions.Utility_DisplayArrayInTable(Common_SourceData.Common_SourceData_ConvertGasElementalToMolecular_Data(),Table_GasToMolecularConversionFactor[[#Headers],[Gas]], 0)</f>
        <v>Nox</v>
      </c>
      <c r="E51" s="38" t="str" cm="1">
        <f t="array" ref="E51">Common_InputFunctions.Utility_DisplayArrayInTable(Common_SourceData.Common_SourceData_ConvertGasElementalToMolecular_Data(),Table_GasToMolecularConversionFactor[[#Headers],[Gas]], 0)</f>
        <v>46/14</v>
      </c>
      <c r="F51" s="38" cm="1">
        <f t="array" ref="F51">Common_InputFunctions.Utility_DisplayArrayInTable(Common_SourceData.Common_SourceData_ConvertGasElementalToMolecular_Data(),Table_GasToMolecularConversionFactor[[#Headers],[Gas]], 0)</f>
        <v>46</v>
      </c>
      <c r="G51" s="38" cm="1">
        <f t="array" ref="G51">Common_InputFunctions.Utility_DisplayArrayInTable(Common_SourceData.Common_SourceData_ConvertGasElementalToMolecular_Data(),Table_GasToMolecularConversionFactor[[#Headers],[Gas]], 0)</f>
        <v>14</v>
      </c>
      <c r="H51" s="38">
        <f>Table_GasToMolecularConversionFactor[[#This Row],[Conversion factor 1]]/Table_GasToMolecularConversionFactor[[#This Row],[Conversion factor 2]]</f>
        <v>3.2857142857142856</v>
      </c>
    </row>
    <row r="52" spans="1:8" ht="20.100000000000001" customHeight="1" x14ac:dyDescent="0.2">
      <c r="A52"/>
      <c r="D52" s="38" t="str" cm="1">
        <f t="array" ref="D52">Common_InputFunctions.Utility_DisplayArrayInTable(Common_SourceData.Common_SourceData_ConvertGasElementalToMolecular_Data(),Table_GasToMolecularConversionFactor[[#Headers],[Gas]], 0)</f>
        <v>CO</v>
      </c>
      <c r="E52" s="38" t="str" cm="1">
        <f t="array" ref="E52">Common_InputFunctions.Utility_DisplayArrayInTable(Common_SourceData.Common_SourceData_ConvertGasElementalToMolecular_Data(),Table_GasToMolecularConversionFactor[[#Headers],[Gas]], 0)</f>
        <v>28/12</v>
      </c>
      <c r="F52" s="38" cm="1">
        <f t="array" ref="F52">Common_InputFunctions.Utility_DisplayArrayInTable(Common_SourceData.Common_SourceData_ConvertGasElementalToMolecular_Data(),Table_GasToMolecularConversionFactor[[#Headers],[Gas]], 0)</f>
        <v>28</v>
      </c>
      <c r="G52" s="38" cm="1">
        <f t="array" ref="G52">Common_InputFunctions.Utility_DisplayArrayInTable(Common_SourceData.Common_SourceData_ConvertGasElementalToMolecular_Data(),Table_GasToMolecularConversionFactor[[#Headers],[Gas]], 0)</f>
        <v>12</v>
      </c>
      <c r="H52" s="38">
        <f>Table_GasToMolecularConversionFactor[[#This Row],[Conversion factor 1]]/Table_GasToMolecularConversionFactor[[#This Row],[Conversion factor 2]]</f>
        <v>2.3333333333333335</v>
      </c>
    </row>
    <row r="53" spans="1:8" ht="20.100000000000001" customHeight="1" x14ac:dyDescent="0.2">
      <c r="A53"/>
      <c r="D53" s="38" t="str" cm="1">
        <f t="array" ref="D53">Common_InputFunctions.Utility_DisplayArrayInTable(Common_SourceData.Common_SourceData_ConvertGasElementalToMolecular_Data(),Table_GasToMolecularConversionFactor[[#Headers],[Gas]], 0)</f>
        <v>CO2 Lime</v>
      </c>
      <c r="E53" s="38" t="str" cm="1">
        <f t="array" ref="E53">Common_InputFunctions.Utility_DisplayArrayInTable(Common_SourceData.Common_SourceData_ConvertGasElementalToMolecular_Data(),Table_GasToMolecularConversionFactor[[#Headers],[Gas]], 0)</f>
        <v>44/12</v>
      </c>
      <c r="F53" s="38" cm="1">
        <f t="array" ref="F53">Common_InputFunctions.Utility_DisplayArrayInTable(Common_SourceData.Common_SourceData_ConvertGasElementalToMolecular_Data(),Table_GasToMolecularConversionFactor[[#Headers],[Gas]], 0)</f>
        <v>44</v>
      </c>
      <c r="G53" s="38" cm="1">
        <f t="array" ref="G53">Common_InputFunctions.Utility_DisplayArrayInTable(Common_SourceData.Common_SourceData_ConvertGasElementalToMolecular_Data(),Table_GasToMolecularConversionFactor[[#Headers],[Gas]], 0)</f>
        <v>12</v>
      </c>
      <c r="H53" s="38">
        <f>Table_GasToMolecularConversionFactor[[#This Row],[Conversion factor 1]]/Table_GasToMolecularConversionFactor[[#This Row],[Conversion factor 2]]</f>
        <v>3.6666666666666665</v>
      </c>
    </row>
    <row r="54" spans="1:8" ht="20.100000000000001" customHeight="1" x14ac:dyDescent="0.2">
      <c r="A54"/>
      <c r="D54" s="38" t="str" cm="1">
        <f t="array" ref="D54">Common_InputFunctions.Utility_DisplayArrayInTable(Common_SourceData.Common_SourceData_ConvertGasElementalToMolecular_Data(),Table_GasToMolecularConversionFactor[[#Headers],[Gas]], 0)</f>
        <v>NMVOC</v>
      </c>
      <c r="E54" s="38" t="str" cm="1">
        <f t="array" ref="E54">Common_InputFunctions.Utility_DisplayArrayInTable(Common_SourceData.Common_SourceData_ConvertGasElementalToMolecular_Data(),Table_GasToMolecularConversionFactor[[#Headers],[Gas]], 0)</f>
        <v>14/12</v>
      </c>
      <c r="F54" s="38" cm="1">
        <f t="array" ref="F54">Common_InputFunctions.Utility_DisplayArrayInTable(Common_SourceData.Common_SourceData_ConvertGasElementalToMolecular_Data(),Table_GasToMolecularConversionFactor[[#Headers],[Gas]], 0)</f>
        <v>14</v>
      </c>
      <c r="G54" s="38" cm="1">
        <f t="array" ref="G54">Common_InputFunctions.Utility_DisplayArrayInTable(Common_SourceData.Common_SourceData_ConvertGasElementalToMolecular_Data(),Table_GasToMolecularConversionFactor[[#Headers],[Gas]], 0)</f>
        <v>12</v>
      </c>
      <c r="H54" s="38">
        <f>Table_GasToMolecularConversionFactor[[#This Row],[Conversion factor 1]]/Table_GasToMolecularConversionFactor[[#This Row],[Conversion factor 2]]</f>
        <v>1.1666666666666667</v>
      </c>
    </row>
    <row r="55" spans="1:8" ht="20.100000000000001" customHeight="1" x14ac:dyDescent="0.2">
      <c r="A55"/>
    </row>
    <row r="56" spans="1:8" ht="20.100000000000001" customHeight="1" x14ac:dyDescent="0.2">
      <c r="A56"/>
    </row>
    <row r="57" spans="1:8" ht="20.100000000000001" customHeight="1" x14ac:dyDescent="0.2">
      <c r="A57"/>
      <c r="D57" s="6" t="str" cm="1">
        <f t="array" ref="D57">Common_SourceData.Common_SourceData_WetAndDryZones_Title()</f>
        <v>VEERG Australian wet and dry zones</v>
      </c>
    </row>
    <row r="58" spans="1:8" ht="20.100000000000001" customHeight="1" x14ac:dyDescent="0.2">
      <c r="A58"/>
      <c r="D58" s="5" t="str" cm="1">
        <f t="array" ref="D58">Common_SourceData.Common_SourceData_WetAndDryZones_Source()</f>
        <v>VEERG 2026: Table 1.2: Translating climate zones to wet and dry zones</v>
      </c>
    </row>
    <row r="59" spans="1:8" ht="20.100000000000001" customHeight="1" x14ac:dyDescent="0.2">
      <c r="A59"/>
      <c r="D59" s="56" t="str" cm="1">
        <f t="array" ref="D59:D61">"⚠️" &amp; Common_SourceData.Common_SourceData_WetAndDryZones_Variation()</f>
        <v>⚠️VARIATION OF SOURCE DATA:</v>
      </c>
    </row>
    <row r="60" spans="1:8" ht="20.100000000000001" customHeight="1" x14ac:dyDescent="0.2">
      <c r="A60"/>
      <c r="D60" s="56" t="str">
        <v>⚠️Added warm / cool temperate moist / dry - low frost and high temp classes to accommodate climate scenarios excluded by VEERG criteria.</v>
      </c>
    </row>
    <row r="61" spans="1:8" ht="20.100000000000001" customHeight="1" x14ac:dyDescent="0.2">
      <c r="A61"/>
      <c r="D61" s="56" t="str">
        <v>⚠️Fixed typo - Changed 'Fry' to 'Dry'.</v>
      </c>
    </row>
    <row r="62" spans="1:8" ht="20.100000000000001" customHeight="1" x14ac:dyDescent="0.2">
      <c r="A62"/>
    </row>
    <row r="63" spans="1:8" ht="20.100000000000001" customHeight="1" x14ac:dyDescent="0.2">
      <c r="A63"/>
      <c r="D63" s="38" t="s">
        <v>7</v>
      </c>
      <c r="E63" s="38" t="s">
        <v>47</v>
      </c>
    </row>
    <row r="64" spans="1:8" ht="20.100000000000001" customHeight="1" x14ac:dyDescent="0.2">
      <c r="A64"/>
      <c r="D64" s="38" t="str" cm="1">
        <f t="array" ref="D64">Common_InputFunctions.Utility_DisplayArrayInTable(Common_SourceData.Common_SourceData_WetAndDryZones_Data(), Table_SourceData_WetDryZones[[#Headers],[Climate zone]], 0)</f>
        <v>Tropical montane</v>
      </c>
      <c r="E64" s="38" t="str" cm="1">
        <f t="array" ref="E64">Common_InputFunctions.Utility_DisplayArrayInTable(Common_SourceData.Common_SourceData_WetAndDryZones_Data(), Table_SourceData_WetDryZones[[#Headers],[Climate zone]], 0)</f>
        <v>Wet climate zone</v>
      </c>
    </row>
    <row r="65" spans="1:5" ht="20.100000000000001" customHeight="1" x14ac:dyDescent="0.2">
      <c r="A65"/>
      <c r="D65" s="38" t="str" cm="1">
        <f t="array" ref="D65">Common_InputFunctions.Utility_DisplayArrayInTable(Common_SourceData.Common_SourceData_WetAndDryZones_Data(), Table_SourceData_WetDryZones[[#Headers],[Climate zone]], 0)</f>
        <v>Tropical wet</v>
      </c>
      <c r="E65" s="38" t="str" cm="1">
        <f t="array" ref="E65">Common_InputFunctions.Utility_DisplayArrayInTable(Common_SourceData.Common_SourceData_WetAndDryZones_Data(), Table_SourceData_WetDryZones[[#Headers],[Climate zone]], 0)</f>
        <v>Wet climate zone</v>
      </c>
    </row>
    <row r="66" spans="1:5" ht="20.100000000000001" customHeight="1" x14ac:dyDescent="0.2">
      <c r="A66"/>
      <c r="D66" s="38" t="str" cm="1">
        <f t="array" ref="D66">Common_InputFunctions.Utility_DisplayArrayInTable(Common_SourceData.Common_SourceData_WetAndDryZones_Data(), Table_SourceData_WetDryZones[[#Headers],[Climate zone]], 0)</f>
        <v>Tropical moist</v>
      </c>
      <c r="E66" s="38" t="str" cm="1">
        <f t="array" ref="E66">Common_InputFunctions.Utility_DisplayArrayInTable(Common_SourceData.Common_SourceData_WetAndDryZones_Data(), Table_SourceData_WetDryZones[[#Headers],[Climate zone]], 0)</f>
        <v>Wet climate zone</v>
      </c>
    </row>
    <row r="67" spans="1:5" ht="20.100000000000001" customHeight="1" x14ac:dyDescent="0.2">
      <c r="A67"/>
      <c r="D67" s="38" t="str" cm="1">
        <f t="array" ref="D67">Common_InputFunctions.Utility_DisplayArrayInTable(Common_SourceData.Common_SourceData_WetAndDryZones_Data(), Table_SourceData_WetDryZones[[#Headers],[Climate zone]], 0)</f>
        <v>Tropical dry</v>
      </c>
      <c r="E67" s="38" t="str" cm="1">
        <f t="array" ref="E67">Common_InputFunctions.Utility_DisplayArrayInTable(Common_SourceData.Common_SourceData_WetAndDryZones_Data(), Table_SourceData_WetDryZones[[#Headers],[Climate zone]], 0)</f>
        <v>Dry climate zone</v>
      </c>
    </row>
    <row r="68" spans="1:5" ht="20.100000000000001" customHeight="1" x14ac:dyDescent="0.2">
      <c r="A68"/>
      <c r="D68" s="38" t="str" cm="1">
        <f t="array" ref="D68">Common_InputFunctions.Utility_DisplayArrayInTable(Common_SourceData.Common_SourceData_WetAndDryZones_Data(), Table_SourceData_WetDryZones[[#Headers],[Climate zone]], 0)</f>
        <v>Warm temperate moist</v>
      </c>
      <c r="E68" s="38" t="str" cm="1">
        <f t="array" ref="E68">Common_InputFunctions.Utility_DisplayArrayInTable(Common_SourceData.Common_SourceData_WetAndDryZones_Data(), Table_SourceData_WetDryZones[[#Headers],[Climate zone]], 0)</f>
        <v>Wet climate zone</v>
      </c>
    </row>
    <row r="69" spans="1:5" ht="20.100000000000001" customHeight="1" x14ac:dyDescent="0.2">
      <c r="A69"/>
      <c r="D69" s="38" t="str" cm="1">
        <f t="array" ref="D69">Common_InputFunctions.Utility_DisplayArrayInTable(Common_SourceData.Common_SourceData_WetAndDryZones_Data(), Table_SourceData_WetDryZones[[#Headers],[Climate zone]], 0)</f>
        <v>Warm temperate dry</v>
      </c>
      <c r="E69" s="38" t="str" cm="1">
        <f t="array" ref="E69">Common_InputFunctions.Utility_DisplayArrayInTable(Common_SourceData.Common_SourceData_WetAndDryZones_Data(), Table_SourceData_WetDryZones[[#Headers],[Climate zone]], 0)</f>
        <v>Dry climate zone</v>
      </c>
    </row>
    <row r="70" spans="1:5" ht="20.100000000000001" customHeight="1" x14ac:dyDescent="0.2">
      <c r="A70"/>
      <c r="D70" s="38" t="str" cm="1">
        <f t="array" ref="D70">Common_InputFunctions.Utility_DisplayArrayInTable(Common_SourceData.Common_SourceData_WetAndDryZones_Data(), Table_SourceData_WetDryZones[[#Headers],[Climate zone]], 0)</f>
        <v>Cool temperate moist</v>
      </c>
      <c r="E70" s="38" t="str" cm="1">
        <f t="array" ref="E70">Common_InputFunctions.Utility_DisplayArrayInTable(Common_SourceData.Common_SourceData_WetAndDryZones_Data(), Table_SourceData_WetDryZones[[#Headers],[Climate zone]], 0)</f>
        <v>Wet climate zone</v>
      </c>
    </row>
    <row r="71" spans="1:5" ht="20.100000000000001" customHeight="1" x14ac:dyDescent="0.2">
      <c r="A71"/>
      <c r="D71" s="38" t="str" cm="1">
        <f t="array" ref="D71">Common_InputFunctions.Utility_DisplayArrayInTable(Common_SourceData.Common_SourceData_WetAndDryZones_Data(), Table_SourceData_WetDryZones[[#Headers],[Climate zone]], 0)</f>
        <v>Cool temperate dry</v>
      </c>
      <c r="E71" s="38" t="str" cm="1">
        <f t="array" ref="E71">Common_InputFunctions.Utility_DisplayArrayInTable(Common_SourceData.Common_SourceData_WetAndDryZones_Data(), Table_SourceData_WetDryZones[[#Headers],[Climate zone]], 0)</f>
        <v>Dry climate zone</v>
      </c>
    </row>
    <row r="72" spans="1:5" ht="20.100000000000001" customHeight="1" x14ac:dyDescent="0.2">
      <c r="A72"/>
      <c r="D72" s="38" t="str" cm="1">
        <f t="array" ref="D72">Common_InputFunctions.Utility_DisplayArrayInTable(Common_SourceData.Common_SourceData_WetAndDryZones_Data(), Table_SourceData_WetDryZones[[#Headers],[Climate zone]], 0)</f>
        <v>Warm temperate moist - low frost</v>
      </c>
      <c r="E72" s="38" t="str" cm="1">
        <f t="array" ref="E72">Common_InputFunctions.Utility_DisplayArrayInTable(Common_SourceData.Common_SourceData_WetAndDryZones_Data(), Table_SourceData_WetDryZones[[#Headers],[Climate zone]], 0)</f>
        <v>Wet climate zone</v>
      </c>
    </row>
    <row r="73" spans="1:5" ht="20.100000000000001" customHeight="1" x14ac:dyDescent="0.2">
      <c r="A73"/>
      <c r="D73" s="38" t="str" cm="1">
        <f t="array" ref="D73">Common_InputFunctions.Utility_DisplayArrayInTable(Common_SourceData.Common_SourceData_WetAndDryZones_Data(), Table_SourceData_WetDryZones[[#Headers],[Climate zone]], 0)</f>
        <v>Warm temperate dry - low frost</v>
      </c>
      <c r="E73" s="38" t="str" cm="1">
        <f t="array" ref="E73">Common_InputFunctions.Utility_DisplayArrayInTable(Common_SourceData.Common_SourceData_WetAndDryZones_Data(), Table_SourceData_WetDryZones[[#Headers],[Climate zone]], 0)</f>
        <v>Dry climate zone</v>
      </c>
    </row>
    <row r="74" spans="1:5" ht="20.100000000000001" customHeight="1" x14ac:dyDescent="0.2">
      <c r="A74"/>
      <c r="D74" s="38" t="str" cm="1">
        <f t="array" ref="D74">Common_InputFunctions.Utility_DisplayArrayInTable(Common_SourceData.Common_SourceData_WetAndDryZones_Data(), Table_SourceData_WetDryZones[[#Headers],[Climate zone]], 0)</f>
        <v>Warm temperate moist - high temp</v>
      </c>
      <c r="E74" s="38" t="str" cm="1">
        <f t="array" ref="E74">Common_InputFunctions.Utility_DisplayArrayInTable(Common_SourceData.Common_SourceData_WetAndDryZones_Data(), Table_SourceData_WetDryZones[[#Headers],[Climate zone]], 0)</f>
        <v>Wet climate zone</v>
      </c>
    </row>
    <row r="75" spans="1:5" ht="20.100000000000001" customHeight="1" x14ac:dyDescent="0.2">
      <c r="A75"/>
      <c r="D75" s="38" t="str" cm="1">
        <f t="array" ref="D75">Common_InputFunctions.Utility_DisplayArrayInTable(Common_SourceData.Common_SourceData_WetAndDryZones_Data(), Table_SourceData_WetDryZones[[#Headers],[Climate zone]], 0)</f>
        <v>Warm temperate dry - high temp</v>
      </c>
      <c r="E75" s="38" t="str" cm="1">
        <f t="array" ref="E75">Common_InputFunctions.Utility_DisplayArrayInTable(Common_SourceData.Common_SourceData_WetAndDryZones_Data(), Table_SourceData_WetDryZones[[#Headers],[Climate zone]], 0)</f>
        <v>Dry climate zone</v>
      </c>
    </row>
    <row r="76" spans="1:5" ht="20.100000000000001" customHeight="1" x14ac:dyDescent="0.2">
      <c r="A76"/>
      <c r="D76" s="38" t="str" cm="1">
        <f t="array" ref="D76">Common_InputFunctions.Utility_DisplayArrayInTable(Common_SourceData.Common_SourceData_WetAndDryZones_Data(), Table_SourceData_WetDryZones[[#Headers],[Climate zone]], 0)</f>
        <v>Cool temperate moist - low frost</v>
      </c>
      <c r="E76" s="38" t="str" cm="1">
        <f t="array" ref="E76">Common_InputFunctions.Utility_DisplayArrayInTable(Common_SourceData.Common_SourceData_WetAndDryZones_Data(), Table_SourceData_WetDryZones[[#Headers],[Climate zone]], 0)</f>
        <v>Wet climate zone</v>
      </c>
    </row>
    <row r="77" spans="1:5" ht="20.100000000000001" customHeight="1" x14ac:dyDescent="0.2">
      <c r="A77"/>
      <c r="D77" s="38" t="str" cm="1">
        <f t="array" ref="D77">Common_InputFunctions.Utility_DisplayArrayInTable(Common_SourceData.Common_SourceData_WetAndDryZones_Data(), Table_SourceData_WetDryZones[[#Headers],[Climate zone]], 0)</f>
        <v>Cool temperate dry - low frost</v>
      </c>
      <c r="E77" s="38" t="str" cm="1">
        <f t="array" ref="E77">Common_InputFunctions.Utility_DisplayArrayInTable(Common_SourceData.Common_SourceData_WetAndDryZones_Data(), Table_SourceData_WetDryZones[[#Headers],[Climate zone]], 0)</f>
        <v>Dry climate zone</v>
      </c>
    </row>
    <row r="78" spans="1:5" ht="20.100000000000001" customHeight="1" x14ac:dyDescent="0.2">
      <c r="A78"/>
    </row>
    <row r="79" spans="1:5" ht="20.100000000000001" customHeight="1" x14ac:dyDescent="0.2">
      <c r="A79"/>
    </row>
    <row r="80" spans="1:5" ht="20.100000000000001" customHeight="1" x14ac:dyDescent="0.2">
      <c r="A80"/>
    </row>
    <row r="81" spans="1:20" ht="20.100000000000001" customHeight="1" x14ac:dyDescent="0.2">
      <c r="A81"/>
      <c r="D81" s="6" t="str" cm="1">
        <f t="array" ref="D81">Common_SourceData.Common_SourceData_ClimateZones_Title()</f>
        <v>VEERG Australian climate zones</v>
      </c>
    </row>
    <row r="82" spans="1:20" ht="20.100000000000001" customHeight="1" x14ac:dyDescent="0.2">
      <c r="A82"/>
      <c r="D82" s="5" t="str" cm="1">
        <f t="array" ref="D82">Common_SourceData.Common_SourceData_ClimateZones_Source()</f>
        <v>VEERG 2026: Table 1.3: Climate and Rainfall zone classifications and definitions</v>
      </c>
    </row>
    <row r="83" spans="1:20" ht="20.100000000000001" customHeight="1" x14ac:dyDescent="0.2">
      <c r="A83"/>
      <c r="D83" s="56" t="str" cm="1">
        <f t="array" ref="D83:D87">"⚠️" &amp; Common_SourceData.Common_SourceData_ClimateZones_Variation()</f>
        <v>⚠️VARIATION OF SOURCE DATA:</v>
      </c>
    </row>
    <row r="84" spans="1:20" ht="20.100000000000001" customHeight="1" x14ac:dyDescent="0.2">
      <c r="A84"/>
      <c r="D84" s="56" t="str">
        <v>⚠️Added warm / cool temperate moist / dry - low frost and high temp classes to accommodate climate scenarios excluded by VEERG criteria.</v>
      </c>
    </row>
    <row r="85" spans="1:20" ht="20.100000000000001" customHeight="1" x14ac:dyDescent="0.2">
      <c r="A85"/>
      <c r="D85" s="56" t="str">
        <v>⚠️Fixed typo in MAT value for warm temperate dry - changed 10 to 11.</v>
      </c>
    </row>
    <row r="86" spans="1:20" ht="20.100000000000001" customHeight="1" x14ac:dyDescent="0.2">
      <c r="A86"/>
      <c r="D86" s="56" t="str">
        <v>⚠️Added min and max columns for MAT, MAP, frost days per year, elevation, MAP:PET to calculate zones from real climate data.</v>
      </c>
    </row>
    <row r="87" spans="1:20" ht="20.100000000000001" customHeight="1" x14ac:dyDescent="0.2">
      <c r="A87"/>
      <c r="D87" s="56" t="str">
        <v>⚠️GAF accepts rainfall as a proxy for precipitation.</v>
      </c>
    </row>
    <row r="88" spans="1:20" ht="20.100000000000001" customHeight="1" x14ac:dyDescent="0.2">
      <c r="A88"/>
    </row>
    <row r="89" spans="1:20" ht="20.100000000000001" customHeight="1" x14ac:dyDescent="0.2">
      <c r="A89"/>
      <c r="D89" s="38" t="s">
        <v>7</v>
      </c>
      <c r="E89" s="38" t="s">
        <v>35</v>
      </c>
      <c r="F89" s="38" t="s">
        <v>36</v>
      </c>
      <c r="G89" s="38" t="s">
        <v>37</v>
      </c>
      <c r="H89" s="38" t="s">
        <v>38</v>
      </c>
      <c r="I89" s="38" t="s">
        <v>39</v>
      </c>
      <c r="J89" s="38" t="s">
        <v>40</v>
      </c>
      <c r="K89" s="38" t="s">
        <v>41</v>
      </c>
      <c r="L89" s="38" t="s">
        <v>42</v>
      </c>
      <c r="M89" s="38" t="s">
        <v>43</v>
      </c>
      <c r="N89" s="38" t="s">
        <v>44</v>
      </c>
      <c r="O89" s="38" t="s">
        <v>48</v>
      </c>
      <c r="P89" s="38" t="s">
        <v>45</v>
      </c>
      <c r="Q89" s="38" t="s">
        <v>49</v>
      </c>
      <c r="R89" s="38" t="s">
        <v>46</v>
      </c>
      <c r="S89" s="38" t="s">
        <v>50</v>
      </c>
      <c r="T89" s="38"/>
    </row>
    <row r="90" spans="1:20" ht="20.100000000000001" customHeight="1" x14ac:dyDescent="0.2">
      <c r="A90"/>
      <c r="D90" s="38" t="str" cm="1">
        <f t="array" ref="D90">Common_InputFunctions.Utility_DisplayArrayInTable(Common_SourceData.Common_SourceData_ClimateZones_Data(), Table_SourceData_ClimateZones[[#Headers],[Climate zone]], 0)</f>
        <v>Tropical montane</v>
      </c>
      <c r="E90" s="38" t="str" cm="1">
        <f t="array" ref="E90">Common_InputFunctions.Utility_DisplayArrayInTable(Common_SourceData.Common_SourceData_ClimateZones_Data(), Table_SourceData_ClimateZones[[#Headers],[Climate zone]], 0)</f>
        <v>&gt; 18 C</v>
      </c>
      <c r="F90" s="38" t="str" cm="1">
        <f t="array" ref="F90">Common_InputFunctions.Utility_DisplayArrayInTable(Common_SourceData.Common_SourceData_ClimateZones_Data(), Table_SourceData_ClimateZones[[#Headers],[Climate zone]], 0)</f>
        <v>Any</v>
      </c>
      <c r="G90" s="38" t="str" cm="1">
        <f t="array" ref="G90">Common_InputFunctions.Utility_DisplayArrayInTable(Common_SourceData.Common_SourceData_ClimateZones_Data(), Table_SourceData_ClimateZones[[#Headers],[Climate zone]], 0)</f>
        <v>≤ 7</v>
      </c>
      <c r="H90" s="38" t="str" cm="1">
        <f t="array" ref="H90">Common_InputFunctions.Utility_DisplayArrayInTable(Common_SourceData.Common_SourceData_ClimateZones_Data(), Table_SourceData_ClimateZones[[#Headers],[Climate zone]], 0)</f>
        <v>&gt; 1000 m</v>
      </c>
      <c r="I90" s="38" t="str" cm="1">
        <f t="array" ref="I90">Common_InputFunctions.Utility_DisplayArrayInTable(Common_SourceData.Common_SourceData_ClimateZones_Data(), Table_SourceData_ClimateZones[[#Headers],[Climate zone]], 0)</f>
        <v>Any</v>
      </c>
      <c r="J90" s="38" cm="1">
        <f t="array" ref="J90">Common_InputFunctions.Utility_DisplayArrayInTable(Common_SourceData.Common_SourceData_ClimateZones_Data(), Table_SourceData_ClimateZones[[#Headers],[Climate zone]], 0)</f>
        <v>18.001000000000001</v>
      </c>
      <c r="K90" s="38" cm="1">
        <f t="array" ref="K90">Common_InputFunctions.Utility_DisplayArrayInTable(Common_SourceData.Common_SourceData_ClimateZones_Data(), Table_SourceData_ClimateZones[[#Headers],[Climate zone]], 0)</f>
        <v>999999</v>
      </c>
      <c r="L90" s="38" cm="1">
        <f t="array" ref="L90">Common_InputFunctions.Utility_DisplayArrayInTable(Common_SourceData.Common_SourceData_ClimateZones_Data(), Table_SourceData_ClimateZones[[#Headers],[Climate zone]], 0)</f>
        <v>-999999</v>
      </c>
      <c r="M90" s="38" cm="1">
        <f t="array" ref="M90">Common_InputFunctions.Utility_DisplayArrayInTable(Common_SourceData.Common_SourceData_ClimateZones_Data(), Table_SourceData_ClimateZones[[#Headers],[Climate zone]], 0)</f>
        <v>999999</v>
      </c>
      <c r="N90" s="38" cm="1">
        <f t="array" ref="N90">Common_InputFunctions.Utility_DisplayArrayInTable(Common_SourceData.Common_SourceData_ClimateZones_Data(), Table_SourceData_ClimateZones[[#Headers],[Climate zone]], 0)</f>
        <v>-999999</v>
      </c>
      <c r="O90" s="38" cm="1">
        <f t="array" ref="O90">Common_InputFunctions.Utility_DisplayArrayInTable(Common_SourceData.Common_SourceData_ClimateZones_Data(), Table_SourceData_ClimateZones[[#Headers],[Climate zone]], 0)</f>
        <v>7</v>
      </c>
      <c r="P90" s="38" cm="1">
        <f t="array" ref="P90">Common_InputFunctions.Utility_DisplayArrayInTable(Common_SourceData.Common_SourceData_ClimateZones_Data(), Table_SourceData_ClimateZones[[#Headers],[Climate zone]], 0)</f>
        <v>1000</v>
      </c>
      <c r="Q90" s="38" cm="1">
        <f t="array" ref="Q90">Common_InputFunctions.Utility_DisplayArrayInTable(Common_SourceData.Common_SourceData_ClimateZones_Data(), Table_SourceData_ClimateZones[[#Headers],[Climate zone]], 0)</f>
        <v>999999</v>
      </c>
      <c r="R90" s="38" cm="1">
        <f t="array" ref="R90">Common_InputFunctions.Utility_DisplayArrayInTable(Common_SourceData.Common_SourceData_ClimateZones_Data(), Table_SourceData_ClimateZones[[#Headers],[Climate zone]], 0)</f>
        <v>-999999</v>
      </c>
      <c r="S90" s="38" cm="1">
        <f t="array" ref="S90">Common_InputFunctions.Utility_DisplayArrayInTable(Common_SourceData.Common_SourceData_ClimateZones_Data(), Table_SourceData_ClimateZones[[#Headers],[Climate zone]], 0)</f>
        <v>999999</v>
      </c>
      <c r="T90" s="38"/>
    </row>
    <row r="91" spans="1:20" ht="20.100000000000001" customHeight="1" x14ac:dyDescent="0.2">
      <c r="A91"/>
      <c r="D91" s="38" t="str" cm="1">
        <f t="array" ref="D91">Common_InputFunctions.Utility_DisplayArrayInTable(Common_SourceData.Common_SourceData_ClimateZones_Data(), Table_SourceData_ClimateZones[[#Headers],[Climate zone]], 0)</f>
        <v>Tropical wet</v>
      </c>
      <c r="E91" s="38" t="str" cm="1">
        <f t="array" ref="E91">Common_InputFunctions.Utility_DisplayArrayInTable(Common_SourceData.Common_SourceData_ClimateZones_Data(), Table_SourceData_ClimateZones[[#Headers],[Climate zone]], 0)</f>
        <v>&gt; 18 C</v>
      </c>
      <c r="F91" s="38" t="str" cm="1">
        <f t="array" ref="F91">Common_InputFunctions.Utility_DisplayArrayInTable(Common_SourceData.Common_SourceData_ClimateZones_Data(), Table_SourceData_ClimateZones[[#Headers],[Climate zone]], 0)</f>
        <v>&gt; 2000 mm</v>
      </c>
      <c r="G91" s="38" t="str" cm="1">
        <f t="array" ref="G91">Common_InputFunctions.Utility_DisplayArrayInTable(Common_SourceData.Common_SourceData_ClimateZones_Data(), Table_SourceData_ClimateZones[[#Headers],[Climate zone]], 0)</f>
        <v>≤ 7</v>
      </c>
      <c r="H91" s="38" t="str" cm="1">
        <f t="array" ref="H91">Common_InputFunctions.Utility_DisplayArrayInTable(Common_SourceData.Common_SourceData_ClimateZones_Data(), Table_SourceData_ClimateZones[[#Headers],[Climate zone]], 0)</f>
        <v>≤ 1000 m</v>
      </c>
      <c r="I91" s="38" t="str" cm="1">
        <f t="array" ref="I91">Common_InputFunctions.Utility_DisplayArrayInTable(Common_SourceData.Common_SourceData_ClimateZones_Data(), Table_SourceData_ClimateZones[[#Headers],[Climate zone]], 0)</f>
        <v>Any</v>
      </c>
      <c r="J91" s="38" cm="1">
        <f t="array" ref="J91">Common_InputFunctions.Utility_DisplayArrayInTable(Common_SourceData.Common_SourceData_ClimateZones_Data(), Table_SourceData_ClimateZones[[#Headers],[Climate zone]], 0)</f>
        <v>18.001000000000001</v>
      </c>
      <c r="K91" s="38" cm="1">
        <f t="array" ref="K91">Common_InputFunctions.Utility_DisplayArrayInTable(Common_SourceData.Common_SourceData_ClimateZones_Data(), Table_SourceData_ClimateZones[[#Headers],[Climate zone]], 0)</f>
        <v>999999</v>
      </c>
      <c r="L91" s="38" cm="1">
        <f t="array" ref="L91">Common_InputFunctions.Utility_DisplayArrayInTable(Common_SourceData.Common_SourceData_ClimateZones_Data(), Table_SourceData_ClimateZones[[#Headers],[Climate zone]], 0)</f>
        <v>2000.001</v>
      </c>
      <c r="M91" s="38" cm="1">
        <f t="array" ref="M91">Common_InputFunctions.Utility_DisplayArrayInTable(Common_SourceData.Common_SourceData_ClimateZones_Data(), Table_SourceData_ClimateZones[[#Headers],[Climate zone]], 0)</f>
        <v>999999</v>
      </c>
      <c r="N91" s="38" cm="1">
        <f t="array" ref="N91">Common_InputFunctions.Utility_DisplayArrayInTable(Common_SourceData.Common_SourceData_ClimateZones_Data(), Table_SourceData_ClimateZones[[#Headers],[Climate zone]], 0)</f>
        <v>-999999</v>
      </c>
      <c r="O91" s="38" cm="1">
        <f t="array" ref="O91">Common_InputFunctions.Utility_DisplayArrayInTable(Common_SourceData.Common_SourceData_ClimateZones_Data(), Table_SourceData_ClimateZones[[#Headers],[Climate zone]], 0)</f>
        <v>7</v>
      </c>
      <c r="P91" s="38" cm="1">
        <f t="array" ref="P91">Common_InputFunctions.Utility_DisplayArrayInTable(Common_SourceData.Common_SourceData_ClimateZones_Data(), Table_SourceData_ClimateZones[[#Headers],[Climate zone]], 0)</f>
        <v>-999999</v>
      </c>
      <c r="Q91" s="38" cm="1">
        <f t="array" ref="Q91">Common_InputFunctions.Utility_DisplayArrayInTable(Common_SourceData.Common_SourceData_ClimateZones_Data(), Table_SourceData_ClimateZones[[#Headers],[Climate zone]], 0)</f>
        <v>999.99900000000002</v>
      </c>
      <c r="R91" s="38" cm="1">
        <f t="array" ref="R91">Common_InputFunctions.Utility_DisplayArrayInTable(Common_SourceData.Common_SourceData_ClimateZones_Data(), Table_SourceData_ClimateZones[[#Headers],[Climate zone]], 0)</f>
        <v>-999999</v>
      </c>
      <c r="S91" s="38" cm="1">
        <f t="array" ref="S91">Common_InputFunctions.Utility_DisplayArrayInTable(Common_SourceData.Common_SourceData_ClimateZones_Data(), Table_SourceData_ClimateZones[[#Headers],[Climate zone]], 0)</f>
        <v>999999</v>
      </c>
      <c r="T91" s="38"/>
    </row>
    <row r="92" spans="1:20" ht="20.100000000000001" customHeight="1" x14ac:dyDescent="0.2">
      <c r="A92"/>
      <c r="D92" s="38" t="str" cm="1">
        <f t="array" ref="D92">Common_InputFunctions.Utility_DisplayArrayInTable(Common_SourceData.Common_SourceData_ClimateZones_Data(), Table_SourceData_ClimateZones[[#Headers],[Climate zone]], 0)</f>
        <v>Tropical moist</v>
      </c>
      <c r="E92" s="38" t="str" cm="1">
        <f t="array" ref="E92">Common_InputFunctions.Utility_DisplayArrayInTable(Common_SourceData.Common_SourceData_ClimateZones_Data(), Table_SourceData_ClimateZones[[#Headers],[Climate zone]], 0)</f>
        <v>&gt; 18 C</v>
      </c>
      <c r="F92" s="38" t="str" cm="1">
        <f t="array" ref="F92">Common_InputFunctions.Utility_DisplayArrayInTable(Common_SourceData.Common_SourceData_ClimateZones_Data(), Table_SourceData_ClimateZones[[#Headers],[Climate zone]], 0)</f>
        <v>&gt; 1000 mm - ≤ 2000 mm</v>
      </c>
      <c r="G92" s="38" t="str" cm="1">
        <f t="array" ref="G92">Common_InputFunctions.Utility_DisplayArrayInTable(Common_SourceData.Common_SourceData_ClimateZones_Data(), Table_SourceData_ClimateZones[[#Headers],[Climate zone]], 0)</f>
        <v>≤ 7</v>
      </c>
      <c r="H92" s="38" t="str" cm="1">
        <f t="array" ref="H92">Common_InputFunctions.Utility_DisplayArrayInTable(Common_SourceData.Common_SourceData_ClimateZones_Data(), Table_SourceData_ClimateZones[[#Headers],[Climate zone]], 0)</f>
        <v>≤ 1000 m</v>
      </c>
      <c r="I92" s="38" t="str" cm="1">
        <f t="array" ref="I92">Common_InputFunctions.Utility_DisplayArrayInTable(Common_SourceData.Common_SourceData_ClimateZones_Data(), Table_SourceData_ClimateZones[[#Headers],[Climate zone]], 0)</f>
        <v>Any</v>
      </c>
      <c r="J92" s="38" cm="1">
        <f t="array" ref="J92">Common_InputFunctions.Utility_DisplayArrayInTable(Common_SourceData.Common_SourceData_ClimateZones_Data(), Table_SourceData_ClimateZones[[#Headers],[Climate zone]], 0)</f>
        <v>18.001000000000001</v>
      </c>
      <c r="K92" s="38" cm="1">
        <f t="array" ref="K92">Common_InputFunctions.Utility_DisplayArrayInTable(Common_SourceData.Common_SourceData_ClimateZones_Data(), Table_SourceData_ClimateZones[[#Headers],[Climate zone]], 0)</f>
        <v>999999</v>
      </c>
      <c r="L92" s="38" cm="1">
        <f t="array" ref="L92">Common_InputFunctions.Utility_DisplayArrayInTable(Common_SourceData.Common_SourceData_ClimateZones_Data(), Table_SourceData_ClimateZones[[#Headers],[Climate zone]], 0)</f>
        <v>1000.001</v>
      </c>
      <c r="M92" s="38" cm="1">
        <f t="array" ref="M92">Common_InputFunctions.Utility_DisplayArrayInTable(Common_SourceData.Common_SourceData_ClimateZones_Data(), Table_SourceData_ClimateZones[[#Headers],[Climate zone]], 0)</f>
        <v>2000</v>
      </c>
      <c r="N92" s="38" cm="1">
        <f t="array" ref="N92">Common_InputFunctions.Utility_DisplayArrayInTable(Common_SourceData.Common_SourceData_ClimateZones_Data(), Table_SourceData_ClimateZones[[#Headers],[Climate zone]], 0)</f>
        <v>-999999</v>
      </c>
      <c r="O92" s="38" cm="1">
        <f t="array" ref="O92">Common_InputFunctions.Utility_DisplayArrayInTable(Common_SourceData.Common_SourceData_ClimateZones_Data(), Table_SourceData_ClimateZones[[#Headers],[Climate zone]], 0)</f>
        <v>7</v>
      </c>
      <c r="P92" s="38" cm="1">
        <f t="array" ref="P92">Common_InputFunctions.Utility_DisplayArrayInTable(Common_SourceData.Common_SourceData_ClimateZones_Data(), Table_SourceData_ClimateZones[[#Headers],[Climate zone]], 0)</f>
        <v>-999999</v>
      </c>
      <c r="Q92" s="38" cm="1">
        <f t="array" ref="Q92">Common_InputFunctions.Utility_DisplayArrayInTable(Common_SourceData.Common_SourceData_ClimateZones_Data(), Table_SourceData_ClimateZones[[#Headers],[Climate zone]], 0)</f>
        <v>999.99900000000002</v>
      </c>
      <c r="R92" s="38" cm="1">
        <f t="array" ref="R92">Common_InputFunctions.Utility_DisplayArrayInTable(Common_SourceData.Common_SourceData_ClimateZones_Data(), Table_SourceData_ClimateZones[[#Headers],[Climate zone]], 0)</f>
        <v>-999999</v>
      </c>
      <c r="S92" s="38" cm="1">
        <f t="array" ref="S92">Common_InputFunctions.Utility_DisplayArrayInTable(Common_SourceData.Common_SourceData_ClimateZones_Data(), Table_SourceData_ClimateZones[[#Headers],[Climate zone]], 0)</f>
        <v>999999</v>
      </c>
      <c r="T92" s="38"/>
    </row>
    <row r="93" spans="1:20" ht="20.100000000000001" customHeight="1" x14ac:dyDescent="0.2">
      <c r="A93"/>
      <c r="D93" s="38" t="str" cm="1">
        <f t="array" ref="D93">Common_InputFunctions.Utility_DisplayArrayInTable(Common_SourceData.Common_SourceData_ClimateZones_Data(), Table_SourceData_ClimateZones[[#Headers],[Climate zone]], 0)</f>
        <v>Tropical dry</v>
      </c>
      <c r="E93" s="38" t="str" cm="1">
        <f t="array" ref="E93">Common_InputFunctions.Utility_DisplayArrayInTable(Common_SourceData.Common_SourceData_ClimateZones_Data(), Table_SourceData_ClimateZones[[#Headers],[Climate zone]], 0)</f>
        <v>&gt; 18 C</v>
      </c>
      <c r="F93" s="38" t="str" cm="1">
        <f t="array" ref="F93">Common_InputFunctions.Utility_DisplayArrayInTable(Common_SourceData.Common_SourceData_ClimateZones_Data(), Table_SourceData_ClimateZones[[#Headers],[Climate zone]], 0)</f>
        <v>≤ 1000 mm</v>
      </c>
      <c r="G93" s="38" t="str" cm="1">
        <f t="array" ref="G93">Common_InputFunctions.Utility_DisplayArrayInTable(Common_SourceData.Common_SourceData_ClimateZones_Data(), Table_SourceData_ClimateZones[[#Headers],[Climate zone]], 0)</f>
        <v>≤ 7</v>
      </c>
      <c r="H93" s="38" t="str" cm="1">
        <f t="array" ref="H93">Common_InputFunctions.Utility_DisplayArrayInTable(Common_SourceData.Common_SourceData_ClimateZones_Data(), Table_SourceData_ClimateZones[[#Headers],[Climate zone]], 0)</f>
        <v>≤ 1000 m</v>
      </c>
      <c r="I93" s="38" t="str" cm="1">
        <f t="array" ref="I93">Common_InputFunctions.Utility_DisplayArrayInTable(Common_SourceData.Common_SourceData_ClimateZones_Data(), Table_SourceData_ClimateZones[[#Headers],[Climate zone]], 0)</f>
        <v>Any</v>
      </c>
      <c r="J93" s="38" cm="1">
        <f t="array" ref="J93">Common_InputFunctions.Utility_DisplayArrayInTable(Common_SourceData.Common_SourceData_ClimateZones_Data(), Table_SourceData_ClimateZones[[#Headers],[Climate zone]], 0)</f>
        <v>18.001000000000001</v>
      </c>
      <c r="K93" s="38" cm="1">
        <f t="array" ref="K93">Common_InputFunctions.Utility_DisplayArrayInTable(Common_SourceData.Common_SourceData_ClimateZones_Data(), Table_SourceData_ClimateZones[[#Headers],[Climate zone]], 0)</f>
        <v>999999</v>
      </c>
      <c r="L93" s="38" cm="1">
        <f t="array" ref="L93">Common_InputFunctions.Utility_DisplayArrayInTable(Common_SourceData.Common_SourceData_ClimateZones_Data(), Table_SourceData_ClimateZones[[#Headers],[Climate zone]], 0)</f>
        <v>-999999</v>
      </c>
      <c r="M93" s="38" cm="1">
        <f t="array" ref="M93">Common_InputFunctions.Utility_DisplayArrayInTable(Common_SourceData.Common_SourceData_ClimateZones_Data(), Table_SourceData_ClimateZones[[#Headers],[Climate zone]], 0)</f>
        <v>1000</v>
      </c>
      <c r="N93" s="38" cm="1">
        <f t="array" ref="N93">Common_InputFunctions.Utility_DisplayArrayInTable(Common_SourceData.Common_SourceData_ClimateZones_Data(), Table_SourceData_ClimateZones[[#Headers],[Climate zone]], 0)</f>
        <v>-999999</v>
      </c>
      <c r="O93" s="38" cm="1">
        <f t="array" ref="O93">Common_InputFunctions.Utility_DisplayArrayInTable(Common_SourceData.Common_SourceData_ClimateZones_Data(), Table_SourceData_ClimateZones[[#Headers],[Climate zone]], 0)</f>
        <v>7</v>
      </c>
      <c r="P93" s="38" cm="1">
        <f t="array" ref="P93">Common_InputFunctions.Utility_DisplayArrayInTable(Common_SourceData.Common_SourceData_ClimateZones_Data(), Table_SourceData_ClimateZones[[#Headers],[Climate zone]], 0)</f>
        <v>-999999</v>
      </c>
      <c r="Q93" s="38" cm="1">
        <f t="array" ref="Q93">Common_InputFunctions.Utility_DisplayArrayInTable(Common_SourceData.Common_SourceData_ClimateZones_Data(), Table_SourceData_ClimateZones[[#Headers],[Climate zone]], 0)</f>
        <v>999.99900000000002</v>
      </c>
      <c r="R93" s="38" cm="1">
        <f t="array" ref="R93">Common_InputFunctions.Utility_DisplayArrayInTable(Common_SourceData.Common_SourceData_ClimateZones_Data(), Table_SourceData_ClimateZones[[#Headers],[Climate zone]], 0)</f>
        <v>-999999</v>
      </c>
      <c r="S93" s="38" cm="1">
        <f t="array" ref="S93">Common_InputFunctions.Utility_DisplayArrayInTable(Common_SourceData.Common_SourceData_ClimateZones_Data(), Table_SourceData_ClimateZones[[#Headers],[Climate zone]], 0)</f>
        <v>999999</v>
      </c>
      <c r="T93" s="38"/>
    </row>
    <row r="94" spans="1:20" ht="20.100000000000001" customHeight="1" x14ac:dyDescent="0.2">
      <c r="A94"/>
      <c r="D94" s="38" t="str" cm="1">
        <f t="array" ref="D94">Common_InputFunctions.Utility_DisplayArrayInTable(Common_SourceData.Common_SourceData_ClimateZones_Data(), Table_SourceData_ClimateZones[[#Headers],[Climate zone]], 0)</f>
        <v>Warm temperate moist</v>
      </c>
      <c r="E94" s="38" t="str" cm="1">
        <f t="array" ref="E94">Common_InputFunctions.Utility_DisplayArrayInTable(Common_SourceData.Common_SourceData_ClimateZones_Data(), Table_SourceData_ClimateZones[[#Headers],[Climate zone]], 0)</f>
        <v>&gt; 10 C</v>
      </c>
      <c r="F94" s="38" t="str" cm="1">
        <f t="array" ref="F94">Common_InputFunctions.Utility_DisplayArrayInTable(Common_SourceData.Common_SourceData_ClimateZones_Data(), Table_SourceData_ClimateZones[[#Headers],[Climate zone]], 0)</f>
        <v>Any</v>
      </c>
      <c r="G94" s="38" t="str" cm="1">
        <f t="array" ref="G94">Common_InputFunctions.Utility_DisplayArrayInTable(Common_SourceData.Common_SourceData_ClimateZones_Data(), Table_SourceData_ClimateZones[[#Headers],[Climate zone]], 0)</f>
        <v>Any</v>
      </c>
      <c r="H94" s="38" t="str" cm="1">
        <f t="array" ref="H94">Common_InputFunctions.Utility_DisplayArrayInTable(Common_SourceData.Common_SourceData_ClimateZones_Data(), Table_SourceData_ClimateZones[[#Headers],[Climate zone]], 0)</f>
        <v>Any</v>
      </c>
      <c r="I94" s="38" t="str" cm="1">
        <f t="array" ref="I94">Common_InputFunctions.Utility_DisplayArrayInTable(Common_SourceData.Common_SourceData_ClimateZones_Data(), Table_SourceData_ClimateZones[[#Headers],[Climate zone]], 0)</f>
        <v>&gt; 1</v>
      </c>
      <c r="J94" s="38" cm="1">
        <f t="array" ref="J94">Common_InputFunctions.Utility_DisplayArrayInTable(Common_SourceData.Common_SourceData_ClimateZones_Data(), Table_SourceData_ClimateZones[[#Headers],[Climate zone]], 0)</f>
        <v>10.000999999999999</v>
      </c>
      <c r="K94" s="38" cm="1">
        <f t="array" ref="K94">Common_InputFunctions.Utility_DisplayArrayInTable(Common_SourceData.Common_SourceData_ClimateZones_Data(), Table_SourceData_ClimateZones[[#Headers],[Climate zone]], 0)</f>
        <v>999999</v>
      </c>
      <c r="L94" s="38" cm="1">
        <f t="array" ref="L94">Common_InputFunctions.Utility_DisplayArrayInTable(Common_SourceData.Common_SourceData_ClimateZones_Data(), Table_SourceData_ClimateZones[[#Headers],[Climate zone]], 0)</f>
        <v>-999999</v>
      </c>
      <c r="M94" s="38" cm="1">
        <f t="array" ref="M94">Common_InputFunctions.Utility_DisplayArrayInTable(Common_SourceData.Common_SourceData_ClimateZones_Data(), Table_SourceData_ClimateZones[[#Headers],[Climate zone]], 0)</f>
        <v>999999</v>
      </c>
      <c r="N94" s="38" cm="1">
        <f t="array" ref="N94">Common_InputFunctions.Utility_DisplayArrayInTable(Common_SourceData.Common_SourceData_ClimateZones_Data(), Table_SourceData_ClimateZones[[#Headers],[Climate zone]], 0)</f>
        <v>-999999</v>
      </c>
      <c r="O94" s="38" cm="1">
        <f t="array" ref="O94">Common_InputFunctions.Utility_DisplayArrayInTable(Common_SourceData.Common_SourceData_ClimateZones_Data(), Table_SourceData_ClimateZones[[#Headers],[Climate zone]], 0)</f>
        <v>999999</v>
      </c>
      <c r="P94" s="38" cm="1">
        <f t="array" ref="P94">Common_InputFunctions.Utility_DisplayArrayInTable(Common_SourceData.Common_SourceData_ClimateZones_Data(), Table_SourceData_ClimateZones[[#Headers],[Climate zone]], 0)</f>
        <v>-999999</v>
      </c>
      <c r="Q94" s="38" cm="1">
        <f t="array" ref="Q94">Common_InputFunctions.Utility_DisplayArrayInTable(Common_SourceData.Common_SourceData_ClimateZones_Data(), Table_SourceData_ClimateZones[[#Headers],[Climate zone]], 0)</f>
        <v>999999</v>
      </c>
      <c r="R94" s="38" cm="1">
        <f t="array" ref="R94">Common_InputFunctions.Utility_DisplayArrayInTable(Common_SourceData.Common_SourceData_ClimateZones_Data(), Table_SourceData_ClimateZones[[#Headers],[Climate zone]], 0)</f>
        <v>1.0009999999999999</v>
      </c>
      <c r="S94" s="38" cm="1">
        <f t="array" ref="S94">Common_InputFunctions.Utility_DisplayArrayInTable(Common_SourceData.Common_SourceData_ClimateZones_Data(), Table_SourceData_ClimateZones[[#Headers],[Climate zone]], 0)</f>
        <v>999999</v>
      </c>
      <c r="T94" s="38"/>
    </row>
    <row r="95" spans="1:20" ht="20.100000000000001" customHeight="1" x14ac:dyDescent="0.2">
      <c r="A95"/>
      <c r="D95" s="38" t="str" cm="1">
        <f t="array" ref="D95">Common_InputFunctions.Utility_DisplayArrayInTable(Common_SourceData.Common_SourceData_ClimateZones_Data(), Table_SourceData_ClimateZones[[#Headers],[Climate zone]], 0)</f>
        <v>Warm temperate dry</v>
      </c>
      <c r="E95" s="38" t="str" cm="1">
        <f t="array" ref="E95">Common_InputFunctions.Utility_DisplayArrayInTable(Common_SourceData.Common_SourceData_ClimateZones_Data(), Table_SourceData_ClimateZones[[#Headers],[Climate zone]], 0)</f>
        <v>&gt; 10 C</v>
      </c>
      <c r="F95" s="38" t="str" cm="1">
        <f t="array" ref="F95">Common_InputFunctions.Utility_DisplayArrayInTable(Common_SourceData.Common_SourceData_ClimateZones_Data(), Table_SourceData_ClimateZones[[#Headers],[Climate zone]], 0)</f>
        <v>Any</v>
      </c>
      <c r="G95" s="38" t="str" cm="1">
        <f t="array" ref="G95">Common_InputFunctions.Utility_DisplayArrayInTable(Common_SourceData.Common_SourceData_ClimateZones_Data(), Table_SourceData_ClimateZones[[#Headers],[Climate zone]], 0)</f>
        <v>Any</v>
      </c>
      <c r="H95" s="38" t="str" cm="1">
        <f t="array" ref="H95">Common_InputFunctions.Utility_DisplayArrayInTable(Common_SourceData.Common_SourceData_ClimateZones_Data(), Table_SourceData_ClimateZones[[#Headers],[Climate zone]], 0)</f>
        <v>Any</v>
      </c>
      <c r="I95" s="38" t="str" cm="1">
        <f t="array" ref="I95">Common_InputFunctions.Utility_DisplayArrayInTable(Common_SourceData.Common_SourceData_ClimateZones_Data(), Table_SourceData_ClimateZones[[#Headers],[Climate zone]], 0)</f>
        <v>≤ 1</v>
      </c>
      <c r="J95" s="38" cm="1">
        <f t="array" ref="J95">Common_InputFunctions.Utility_DisplayArrayInTable(Common_SourceData.Common_SourceData_ClimateZones_Data(), Table_SourceData_ClimateZones[[#Headers],[Climate zone]], 0)</f>
        <v>10.000999999999999</v>
      </c>
      <c r="K95" s="38" cm="1">
        <f t="array" ref="K95">Common_InputFunctions.Utility_DisplayArrayInTable(Common_SourceData.Common_SourceData_ClimateZones_Data(), Table_SourceData_ClimateZones[[#Headers],[Climate zone]], 0)</f>
        <v>999999</v>
      </c>
      <c r="L95" s="38" cm="1">
        <f t="array" ref="L95">Common_InputFunctions.Utility_DisplayArrayInTable(Common_SourceData.Common_SourceData_ClimateZones_Data(), Table_SourceData_ClimateZones[[#Headers],[Climate zone]], 0)</f>
        <v>-999999</v>
      </c>
      <c r="M95" s="38" cm="1">
        <f t="array" ref="M95">Common_InputFunctions.Utility_DisplayArrayInTable(Common_SourceData.Common_SourceData_ClimateZones_Data(), Table_SourceData_ClimateZones[[#Headers],[Climate zone]], 0)</f>
        <v>999999</v>
      </c>
      <c r="N95" s="38" cm="1">
        <f t="array" ref="N95">Common_InputFunctions.Utility_DisplayArrayInTable(Common_SourceData.Common_SourceData_ClimateZones_Data(), Table_SourceData_ClimateZones[[#Headers],[Climate zone]], 0)</f>
        <v>-999999</v>
      </c>
      <c r="O95" s="38" cm="1">
        <f t="array" ref="O95">Common_InputFunctions.Utility_DisplayArrayInTable(Common_SourceData.Common_SourceData_ClimateZones_Data(), Table_SourceData_ClimateZones[[#Headers],[Climate zone]], 0)</f>
        <v>999999</v>
      </c>
      <c r="P95" s="38" cm="1">
        <f t="array" ref="P95">Common_InputFunctions.Utility_DisplayArrayInTable(Common_SourceData.Common_SourceData_ClimateZones_Data(), Table_SourceData_ClimateZones[[#Headers],[Climate zone]], 0)</f>
        <v>-999999</v>
      </c>
      <c r="Q95" s="38" cm="1">
        <f t="array" ref="Q95">Common_InputFunctions.Utility_DisplayArrayInTable(Common_SourceData.Common_SourceData_ClimateZones_Data(), Table_SourceData_ClimateZones[[#Headers],[Climate zone]], 0)</f>
        <v>999999</v>
      </c>
      <c r="R95" s="38" cm="1">
        <f t="array" ref="R95">Common_InputFunctions.Utility_DisplayArrayInTable(Common_SourceData.Common_SourceData_ClimateZones_Data(), Table_SourceData_ClimateZones[[#Headers],[Climate zone]], 0)</f>
        <v>-999999</v>
      </c>
      <c r="S95" s="38" cm="1">
        <f t="array" ref="S95">Common_InputFunctions.Utility_DisplayArrayInTable(Common_SourceData.Common_SourceData_ClimateZones_Data(), Table_SourceData_ClimateZones[[#Headers],[Climate zone]], 0)</f>
        <v>1</v>
      </c>
      <c r="T95" s="38"/>
    </row>
    <row r="96" spans="1:20" ht="20.100000000000001" customHeight="1" x14ac:dyDescent="0.2">
      <c r="A96"/>
      <c r="D96" s="38" t="str" cm="1">
        <f t="array" ref="D96">Common_InputFunctions.Utility_DisplayArrayInTable(Common_SourceData.Common_SourceData_ClimateZones_Data(), Table_SourceData_ClimateZones[[#Headers],[Climate zone]], 0)</f>
        <v>Cool temperate moist</v>
      </c>
      <c r="E96" s="38" t="str" cm="1">
        <f t="array" ref="E96">Common_InputFunctions.Utility_DisplayArrayInTable(Common_SourceData.Common_SourceData_ClimateZones_Data(), Table_SourceData_ClimateZones[[#Headers],[Climate zone]], 0)</f>
        <v>&gt; 0 C - ≤ 10 C</v>
      </c>
      <c r="F96" s="38" t="str" cm="1">
        <f t="array" ref="F96">Common_InputFunctions.Utility_DisplayArrayInTable(Common_SourceData.Common_SourceData_ClimateZones_Data(), Table_SourceData_ClimateZones[[#Headers],[Climate zone]], 0)</f>
        <v>Any</v>
      </c>
      <c r="G96" s="38" t="str" cm="1">
        <f t="array" ref="G96">Common_InputFunctions.Utility_DisplayArrayInTable(Common_SourceData.Common_SourceData_ClimateZones_Data(), Table_SourceData_ClimateZones[[#Headers],[Climate zone]], 0)</f>
        <v>Any</v>
      </c>
      <c r="H96" s="38" t="str" cm="1">
        <f t="array" ref="H96">Common_InputFunctions.Utility_DisplayArrayInTable(Common_SourceData.Common_SourceData_ClimateZones_Data(), Table_SourceData_ClimateZones[[#Headers],[Climate zone]], 0)</f>
        <v>Any</v>
      </c>
      <c r="I96" s="38" t="str" cm="1">
        <f t="array" ref="I96">Common_InputFunctions.Utility_DisplayArrayInTable(Common_SourceData.Common_SourceData_ClimateZones_Data(), Table_SourceData_ClimateZones[[#Headers],[Climate zone]], 0)</f>
        <v>&gt; 1</v>
      </c>
      <c r="J96" s="38" cm="1">
        <f t="array" ref="J96">Common_InputFunctions.Utility_DisplayArrayInTable(Common_SourceData.Common_SourceData_ClimateZones_Data(), Table_SourceData_ClimateZones[[#Headers],[Climate zone]], 0)</f>
        <v>-999999</v>
      </c>
      <c r="K96" s="38" cm="1">
        <f t="array" ref="K96">Common_InputFunctions.Utility_DisplayArrayInTable(Common_SourceData.Common_SourceData_ClimateZones_Data(), Table_SourceData_ClimateZones[[#Headers],[Climate zone]], 0)</f>
        <v>10</v>
      </c>
      <c r="L96" s="38" cm="1">
        <f t="array" ref="L96">Common_InputFunctions.Utility_DisplayArrayInTable(Common_SourceData.Common_SourceData_ClimateZones_Data(), Table_SourceData_ClimateZones[[#Headers],[Climate zone]], 0)</f>
        <v>-999999</v>
      </c>
      <c r="M96" s="38" cm="1">
        <f t="array" ref="M96">Common_InputFunctions.Utility_DisplayArrayInTable(Common_SourceData.Common_SourceData_ClimateZones_Data(), Table_SourceData_ClimateZones[[#Headers],[Climate zone]], 0)</f>
        <v>999999</v>
      </c>
      <c r="N96" s="38" cm="1">
        <f t="array" ref="N96">Common_InputFunctions.Utility_DisplayArrayInTable(Common_SourceData.Common_SourceData_ClimateZones_Data(), Table_SourceData_ClimateZones[[#Headers],[Climate zone]], 0)</f>
        <v>-999999</v>
      </c>
      <c r="O96" s="38" cm="1">
        <f t="array" ref="O96">Common_InputFunctions.Utility_DisplayArrayInTable(Common_SourceData.Common_SourceData_ClimateZones_Data(), Table_SourceData_ClimateZones[[#Headers],[Climate zone]], 0)</f>
        <v>999999</v>
      </c>
      <c r="P96" s="38" cm="1">
        <f t="array" ref="P96">Common_InputFunctions.Utility_DisplayArrayInTable(Common_SourceData.Common_SourceData_ClimateZones_Data(), Table_SourceData_ClimateZones[[#Headers],[Climate zone]], 0)</f>
        <v>-999999</v>
      </c>
      <c r="Q96" s="38" cm="1">
        <f t="array" ref="Q96">Common_InputFunctions.Utility_DisplayArrayInTable(Common_SourceData.Common_SourceData_ClimateZones_Data(), Table_SourceData_ClimateZones[[#Headers],[Climate zone]], 0)</f>
        <v>999999</v>
      </c>
      <c r="R96" s="38" cm="1">
        <f t="array" ref="R96">Common_InputFunctions.Utility_DisplayArrayInTable(Common_SourceData.Common_SourceData_ClimateZones_Data(), Table_SourceData_ClimateZones[[#Headers],[Climate zone]], 0)</f>
        <v>1.0009999999999999</v>
      </c>
      <c r="S96" s="38" cm="1">
        <f t="array" ref="S96">Common_InputFunctions.Utility_DisplayArrayInTable(Common_SourceData.Common_SourceData_ClimateZones_Data(), Table_SourceData_ClimateZones[[#Headers],[Climate zone]], 0)</f>
        <v>999999</v>
      </c>
      <c r="T96" s="38"/>
    </row>
    <row r="97" spans="1:20" ht="20.100000000000001" customHeight="1" x14ac:dyDescent="0.2">
      <c r="A97"/>
      <c r="D97" s="38" t="str" cm="1">
        <f t="array" ref="D97">Common_InputFunctions.Utility_DisplayArrayInTable(Common_SourceData.Common_SourceData_ClimateZones_Data(), Table_SourceData_ClimateZones[[#Headers],[Climate zone]], 0)</f>
        <v>Cool temperate dry</v>
      </c>
      <c r="E97" s="38" t="str" cm="1">
        <f t="array" ref="E97">Common_InputFunctions.Utility_DisplayArrayInTable(Common_SourceData.Common_SourceData_ClimateZones_Data(), Table_SourceData_ClimateZones[[#Headers],[Climate zone]], 0)</f>
        <v>&gt; 0 C - ≤ 10 C</v>
      </c>
      <c r="F97" s="38" t="str" cm="1">
        <f t="array" ref="F97">Common_InputFunctions.Utility_DisplayArrayInTable(Common_SourceData.Common_SourceData_ClimateZones_Data(), Table_SourceData_ClimateZones[[#Headers],[Climate zone]], 0)</f>
        <v>Any</v>
      </c>
      <c r="G97" s="38" t="str" cm="1">
        <f t="array" ref="G97">Common_InputFunctions.Utility_DisplayArrayInTable(Common_SourceData.Common_SourceData_ClimateZones_Data(), Table_SourceData_ClimateZones[[#Headers],[Climate zone]], 0)</f>
        <v>Any</v>
      </c>
      <c r="H97" s="38" t="str" cm="1">
        <f t="array" ref="H97">Common_InputFunctions.Utility_DisplayArrayInTable(Common_SourceData.Common_SourceData_ClimateZones_Data(), Table_SourceData_ClimateZones[[#Headers],[Climate zone]], 0)</f>
        <v>Any</v>
      </c>
      <c r="I97" s="38" t="str" cm="1">
        <f t="array" ref="I97">Common_InputFunctions.Utility_DisplayArrayInTable(Common_SourceData.Common_SourceData_ClimateZones_Data(), Table_SourceData_ClimateZones[[#Headers],[Climate zone]], 0)</f>
        <v>≤ 1</v>
      </c>
      <c r="J97" s="38" cm="1">
        <f t="array" ref="J97">Common_InputFunctions.Utility_DisplayArrayInTable(Common_SourceData.Common_SourceData_ClimateZones_Data(), Table_SourceData_ClimateZones[[#Headers],[Climate zone]], 0)</f>
        <v>-999999</v>
      </c>
      <c r="K97" s="38" cm="1">
        <f t="array" ref="K97">Common_InputFunctions.Utility_DisplayArrayInTable(Common_SourceData.Common_SourceData_ClimateZones_Data(), Table_SourceData_ClimateZones[[#Headers],[Climate zone]], 0)</f>
        <v>10</v>
      </c>
      <c r="L97" s="38" cm="1">
        <f t="array" ref="L97">Common_InputFunctions.Utility_DisplayArrayInTable(Common_SourceData.Common_SourceData_ClimateZones_Data(), Table_SourceData_ClimateZones[[#Headers],[Climate zone]], 0)</f>
        <v>-999999</v>
      </c>
      <c r="M97" s="38" cm="1">
        <f t="array" ref="M97">Common_InputFunctions.Utility_DisplayArrayInTable(Common_SourceData.Common_SourceData_ClimateZones_Data(), Table_SourceData_ClimateZones[[#Headers],[Climate zone]], 0)</f>
        <v>999999</v>
      </c>
      <c r="N97" s="38" cm="1">
        <f t="array" ref="N97">Common_InputFunctions.Utility_DisplayArrayInTable(Common_SourceData.Common_SourceData_ClimateZones_Data(), Table_SourceData_ClimateZones[[#Headers],[Climate zone]], 0)</f>
        <v>-999999</v>
      </c>
      <c r="O97" s="38" cm="1">
        <f t="array" ref="O97">Common_InputFunctions.Utility_DisplayArrayInTable(Common_SourceData.Common_SourceData_ClimateZones_Data(), Table_SourceData_ClimateZones[[#Headers],[Climate zone]], 0)</f>
        <v>999999</v>
      </c>
      <c r="P97" s="38" cm="1">
        <f t="array" ref="P97">Common_InputFunctions.Utility_DisplayArrayInTable(Common_SourceData.Common_SourceData_ClimateZones_Data(), Table_SourceData_ClimateZones[[#Headers],[Climate zone]], 0)</f>
        <v>-999999</v>
      </c>
      <c r="Q97" s="38" cm="1">
        <f t="array" ref="Q97">Common_InputFunctions.Utility_DisplayArrayInTable(Common_SourceData.Common_SourceData_ClimateZones_Data(), Table_SourceData_ClimateZones[[#Headers],[Climate zone]], 0)</f>
        <v>999999</v>
      </c>
      <c r="R97" s="38" cm="1">
        <f t="array" ref="R97">Common_InputFunctions.Utility_DisplayArrayInTable(Common_SourceData.Common_SourceData_ClimateZones_Data(), Table_SourceData_ClimateZones[[#Headers],[Climate zone]], 0)</f>
        <v>-999999</v>
      </c>
      <c r="S97" s="38" cm="1">
        <f t="array" ref="S97">Common_InputFunctions.Utility_DisplayArrayInTable(Common_SourceData.Common_SourceData_ClimateZones_Data(), Table_SourceData_ClimateZones[[#Headers],[Climate zone]], 0)</f>
        <v>1</v>
      </c>
      <c r="T97" s="38"/>
    </row>
    <row r="98" spans="1:20" ht="20.100000000000001" customHeight="1" x14ac:dyDescent="0.2">
      <c r="A98"/>
    </row>
    <row r="99" spans="1:20" ht="20.100000000000001" customHeight="1" x14ac:dyDescent="0.2">
      <c r="A99"/>
      <c r="D99" s="55" t="str" cm="1">
        <f t="array" ref="D99:D102">Common_SourceData.Common_SourceData_ClimateZones_Appendices()</f>
        <v>Note:</v>
      </c>
    </row>
    <row r="100" spans="1:20" ht="20.100000000000001" customHeight="1" x14ac:dyDescent="0.2">
      <c r="A100"/>
      <c r="D100" s="55" t="str">
        <v>MAT = mean annual temperature</v>
      </c>
    </row>
    <row r="101" spans="1:20" ht="20.100000000000001" customHeight="1" x14ac:dyDescent="0.2">
      <c r="A101"/>
      <c r="D101" s="55" t="str">
        <v>MAP = mean annual precipitation</v>
      </c>
    </row>
    <row r="102" spans="1:20" ht="20.100000000000001" customHeight="1" x14ac:dyDescent="0.2">
      <c r="A102"/>
      <c r="D102" s="55" t="str">
        <v>PET = potential evapotranspiration</v>
      </c>
    </row>
    <row r="103" spans="1:20" ht="20.100000000000001" customHeight="1" x14ac:dyDescent="0.2">
      <c r="A103"/>
      <c r="D103" s="55"/>
    </row>
    <row r="104" spans="1:20" ht="20.100000000000001" customHeight="1" x14ac:dyDescent="0.2">
      <c r="A104"/>
    </row>
    <row r="105" spans="1:20" ht="20.100000000000001" customHeight="1" x14ac:dyDescent="0.2">
      <c r="A105"/>
      <c r="D105" s="6" t="str" cm="1">
        <f t="array" ref="D105">Common_SourceData.Common_SourceData_TemperatureZones_Title()</f>
        <v>VEERG Australian temperature zones</v>
      </c>
    </row>
    <row r="106" spans="1:20" ht="20.100000000000001" customHeight="1" x14ac:dyDescent="0.2">
      <c r="A106"/>
      <c r="D106" s="5" t="str" cm="1">
        <f t="array" ref="D106">Common_SourceData.Common_SourceData_TemperatureZones_Source()</f>
        <v>VEERG 2026: Table 1.3: Climate and Rainfall zone classifications and definitions</v>
      </c>
    </row>
    <row r="107" spans="1:20" ht="20.100000000000001" customHeight="1" x14ac:dyDescent="0.2">
      <c r="A107"/>
      <c r="D107" s="56"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
      <c r="A108"/>
    </row>
    <row r="109" spans="1:20" ht="20.100000000000001" customHeight="1" x14ac:dyDescent="0.2">
      <c r="A109"/>
      <c r="D109" s="38" t="s">
        <v>54</v>
      </c>
      <c r="E109" s="38" t="s">
        <v>35</v>
      </c>
      <c r="F109" s="38" t="s">
        <v>55</v>
      </c>
      <c r="G109" s="38" t="s">
        <v>56</v>
      </c>
    </row>
    <row r="110" spans="1:20" ht="20.100000000000001" customHeight="1" x14ac:dyDescent="0.2">
      <c r="A110"/>
      <c r="D110" s="38" t="str" cm="1">
        <f t="array" ref="D110">Common_InputFunctions.Utility_DisplayArrayInTable(Common_SourceData.Common_SourceData_TemperatureZones_Data(),Table_SourceData_TemperatureZones[[#Headers],[Temperature Zone]],0)</f>
        <v>Warm</v>
      </c>
      <c r="E110" s="38" t="str" cm="1">
        <f t="array" ref="E110">Common_InputFunctions.Utility_DisplayArrayInTable(Common_SourceData.Common_SourceData_TemperatureZones_Data(),Table_SourceData_TemperatureZones[[#Headers],[Temperature Zone]],0)</f>
        <v>≥ 26 C</v>
      </c>
      <c r="F110" s="38" cm="1">
        <f t="array" ref="F110">Common_InputFunctions.Utility_DisplayArrayInTable(Common_SourceData.Common_SourceData_TemperatureZones_Data(),Table_SourceData_TemperatureZones[[#Headers],[Temperature Zone]],0)</f>
        <v>26</v>
      </c>
      <c r="G110" s="38" cm="1">
        <f t="array" ref="G110">Common_InputFunctions.Utility_DisplayArrayInTable(Common_SourceData.Common_SourceData_TemperatureZones_Data(),Table_SourceData_TemperatureZones[[#Headers],[Temperature Zone]],0)</f>
        <v>999999</v>
      </c>
    </row>
    <row r="111" spans="1:20" ht="20.100000000000001" customHeight="1" x14ac:dyDescent="0.2">
      <c r="A111"/>
      <c r="D111" s="38" t="str" cm="1">
        <f t="array" ref="D111">Common_InputFunctions.Utility_DisplayArrayInTable(Common_SourceData.Common_SourceData_TemperatureZones_Data(),Table_SourceData_TemperatureZones[[#Headers],[Temperature Zone]],0)</f>
        <v>Temperate</v>
      </c>
      <c r="E111" s="38" t="str" cm="1">
        <f t="array" ref="E111">Common_InputFunctions.Utility_DisplayArrayInTable(Common_SourceData.Common_SourceData_TemperatureZones_Data(),Table_SourceData_TemperatureZones[[#Headers],[Temperature Zone]],0)</f>
        <v>15 - 25 C</v>
      </c>
      <c r="F111" s="38" cm="1">
        <f t="array" ref="F111">Common_InputFunctions.Utility_DisplayArrayInTable(Common_SourceData.Common_SourceData_TemperatureZones_Data(),Table_SourceData_TemperatureZones[[#Headers],[Temperature Zone]],0)</f>
        <v>15</v>
      </c>
      <c r="G111" s="38" cm="1">
        <f t="array" ref="G111">Common_InputFunctions.Utility_DisplayArrayInTable(Common_SourceData.Common_SourceData_TemperatureZones_Data(),Table_SourceData_TemperatureZones[[#Headers],[Temperature Zone]],0)</f>
        <v>25.998999999999999</v>
      </c>
    </row>
    <row r="112" spans="1:20" ht="20.100000000000001" customHeight="1" x14ac:dyDescent="0.2">
      <c r="A112"/>
      <c r="D112" s="38" t="str" cm="1">
        <f t="array" ref="D112">Common_InputFunctions.Utility_DisplayArrayInTable(Common_SourceData.Common_SourceData_TemperatureZones_Data(),Table_SourceData_TemperatureZones[[#Headers],[Temperature Zone]],0)</f>
        <v>Cool</v>
      </c>
      <c r="E112" s="38" t="str" cm="1">
        <f t="array" ref="E112">Common_InputFunctions.Utility_DisplayArrayInTable(Common_SourceData.Common_SourceData_TemperatureZones_Data(),Table_SourceData_TemperatureZones[[#Headers],[Temperature Zone]],0)</f>
        <v>≤ 14 C</v>
      </c>
      <c r="F112" s="38" cm="1">
        <f t="array" ref="F112">Common_InputFunctions.Utility_DisplayArrayInTable(Common_SourceData.Common_SourceData_TemperatureZones_Data(),Table_SourceData_TemperatureZones[[#Headers],[Temperature Zone]],0)</f>
        <v>-999999</v>
      </c>
      <c r="G112" s="38" cm="1">
        <f t="array" ref="G112">Common_InputFunctions.Utility_DisplayArrayInTable(Common_SourceData.Common_SourceData_TemperatureZones_Data(),Table_SourceData_TemperatureZones[[#Headers],[Temperature Zone]],0)</f>
        <v>14.999000000000001</v>
      </c>
    </row>
    <row r="113" spans="1:66" ht="20.100000000000001" customHeight="1" x14ac:dyDescent="0.2">
      <c r="A113"/>
    </row>
    <row r="114" spans="1:66" ht="20.100000000000001" customHeight="1" x14ac:dyDescent="0.2">
      <c r="A114"/>
    </row>
    <row r="115" spans="1:66" ht="20.100000000000001" customHeight="1" x14ac:dyDescent="0.2">
      <c r="A115"/>
      <c r="D115" s="6" t="str" cm="1">
        <f t="array" ref="D115">Common_SourceData.Common_SourceData_RainfallZones_Title()</f>
        <v>VEERG Australian rainfall zones</v>
      </c>
      <c r="BN115" s="7"/>
    </row>
    <row r="116" spans="1:66" ht="20.100000000000001" customHeight="1" x14ac:dyDescent="0.2">
      <c r="A116"/>
      <c r="D116" s="5" t="str" cm="1">
        <f t="array" ref="D116">Common_SourceData.Common_SourceData_RainfallZones_Source()</f>
        <v>VEERG 2026: Table 1.3: Climate and Rainfall zone classifications and definitions</v>
      </c>
      <c r="BN116" s="7"/>
    </row>
    <row r="117" spans="1:66" ht="20.100000000000001" customHeight="1" x14ac:dyDescent="0.2">
      <c r="A117"/>
      <c r="D117" s="56"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
      <c r="A118"/>
      <c r="BN118" s="7"/>
    </row>
    <row r="119" spans="1:66" ht="20.100000000000001" customHeight="1" x14ac:dyDescent="0.2">
      <c r="A119"/>
      <c r="D119" s="38" t="s">
        <v>57</v>
      </c>
      <c r="E119" s="38" t="s">
        <v>58</v>
      </c>
      <c r="F119" s="38" t="s">
        <v>42</v>
      </c>
      <c r="G119" s="38" t="s">
        <v>43</v>
      </c>
      <c r="BN119" s="7"/>
    </row>
    <row r="120" spans="1:66" ht="20.100000000000001" customHeight="1" x14ac:dyDescent="0.2">
      <c r="A120"/>
      <c r="D120" s="38" t="str" cm="1">
        <f t="array" ref="D120">Common_InputFunctions.Utility_DisplayArrayInTable(Common_SourceData.Common_SourceData_RainfallZones_Data(),Table_SourceData_RainfallZones[[#Headers],[Rainfall Zone]],0)</f>
        <v>High rainfall</v>
      </c>
      <c r="E120" s="38" t="str" cm="1">
        <f t="array" ref="E120">Common_InputFunctions.Utility_DisplayArrayInTable(Common_SourceData.Common_SourceData_RainfallZones_Data(),Table_SourceData_RainfallZones[[#Headers],[Rainfall Zone]],0)</f>
        <v>Annual rainfall &gt; 600mm</v>
      </c>
      <c r="F120" s="38" cm="1">
        <f t="array" ref="F120">Common_InputFunctions.Utility_DisplayArrayInTable(Common_SourceData.Common_SourceData_RainfallZones_Data(),Table_SourceData_RainfallZones[[#Headers],[Rainfall Zone]],0)</f>
        <v>600.00099999999998</v>
      </c>
      <c r="G120" s="38" cm="1">
        <f t="array" ref="G120">Common_InputFunctions.Utility_DisplayArrayInTable(Common_SourceData.Common_SourceData_RainfallZones_Data(),Table_SourceData_RainfallZones[[#Headers],[Rainfall Zone]],0)</f>
        <v>999999</v>
      </c>
      <c r="BN120" s="7"/>
    </row>
    <row r="121" spans="1:66" ht="20.100000000000001" customHeight="1" x14ac:dyDescent="0.2">
      <c r="A121"/>
      <c r="D121" s="38" t="str" cm="1">
        <f t="array" ref="D121">Common_InputFunctions.Utility_DisplayArrayInTable(Common_SourceData.Common_SourceData_RainfallZones_Data(),Table_SourceData_RainfallZones[[#Headers],[Rainfall Zone]],0)</f>
        <v>Low rainfall</v>
      </c>
      <c r="E121" s="38" t="str" cm="1">
        <f t="array" ref="E121">Common_InputFunctions.Utility_DisplayArrayInTable(Common_SourceData.Common_SourceData_RainfallZones_Data(),Table_SourceData_RainfallZones[[#Headers],[Rainfall Zone]],0)</f>
        <v>Annual rainfall ≤ 600mm</v>
      </c>
      <c r="F121" s="38" cm="1">
        <f t="array" ref="F121">Common_InputFunctions.Utility_DisplayArrayInTable(Common_SourceData.Common_SourceData_RainfallZones_Data(),Table_SourceData_RainfallZones[[#Headers],[Rainfall Zone]],0)</f>
        <v>-999999</v>
      </c>
      <c r="G121" s="38" cm="1">
        <f t="array" ref="G121">Common_InputFunctions.Utility_DisplayArrayInTable(Common_SourceData.Common_SourceData_RainfallZones_Data(),Table_SourceData_RainfallZones[[#Headers],[Rainfall Zone]],0)</f>
        <v>600</v>
      </c>
      <c r="BN121" s="7"/>
    </row>
    <row r="122" spans="1:66" ht="20.100000000000001" customHeight="1" x14ac:dyDescent="0.2">
      <c r="A122"/>
      <c r="BN122" s="7"/>
    </row>
    <row r="123" spans="1:66" ht="20.100000000000001" customHeight="1" x14ac:dyDescent="0.2">
      <c r="A123"/>
    </row>
    <row r="124" spans="1:66" ht="20.100000000000001" customHeight="1" x14ac:dyDescent="0.2">
      <c r="A124"/>
      <c r="D124" s="6" t="str" cm="1">
        <f t="array" ref="D124">Common_SourceData.Common_SourceData_LeachingZones_Title()</f>
        <v>VEERG Australian leaching zones</v>
      </c>
    </row>
    <row r="125" spans="1:66" ht="20.100000000000001" customHeight="1" x14ac:dyDescent="0.2">
      <c r="A125"/>
      <c r="D125" s="5" t="str" cm="1">
        <f t="array" ref="D125">Common_SourceData.Common_SourceData_LeachingZones_Source()</f>
        <v>VEERG 2026: Table 1.3: Climate and Rainfall zone classifications and definitions</v>
      </c>
    </row>
    <row r="126" spans="1:66" ht="20.100000000000001" customHeight="1" x14ac:dyDescent="0.2">
      <c r="A126"/>
    </row>
    <row r="127" spans="1:66" ht="20.100000000000001" customHeight="1" x14ac:dyDescent="0.2">
      <c r="A127"/>
      <c r="D127" s="38" t="s">
        <v>64</v>
      </c>
      <c r="E127" s="38" t="s">
        <v>65</v>
      </c>
    </row>
    <row r="128" spans="1:66" ht="20.100000000000001" customHeight="1" x14ac:dyDescent="0.2">
      <c r="A128"/>
      <c r="D128" s="38" t="str" cm="1">
        <f t="array" ref="D128">Common_InputFunctions.Utility_DisplayArrayInTable(Common_SourceData.Common_SourceData_LeachingZones_Data(), Table_SourceData_LeachingZones[[#Headers],[Leaching Zone]], 0)</f>
        <v>Leaching occurs</v>
      </c>
      <c r="E128" s="38"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
      <c r="A129"/>
      <c r="D129" s="38" t="str" cm="1">
        <f t="array" ref="D129">Common_InputFunctions.Utility_DisplayArrayInTable(Common_SourceData.Common_SourceData_LeachingZones_Data(), Table_SourceData_LeachingZones[[#Headers],[Leaching Zone]], 0)</f>
        <v>Leaching does not occur</v>
      </c>
      <c r="E129" s="38"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
      <c r="A130"/>
    </row>
    <row r="131" spans="1:77" ht="20.100000000000001" customHeight="1" x14ac:dyDescent="0.2">
      <c r="A131"/>
    </row>
    <row r="132" spans="1:77" ht="20.100000000000001" customHeight="1" x14ac:dyDescent="0.2">
      <c r="A132"/>
      <c r="D132" s="6" t="str" cm="1">
        <f t="array" ref="D132">Common_SourceData.Common_SourceData_FracWET_Title()</f>
        <v>Fraction of N that is available for leaching and runoff</v>
      </c>
      <c r="E132" s="23"/>
    </row>
    <row r="133" spans="1:77" ht="20.100000000000001" customHeight="1" x14ac:dyDescent="0.2">
      <c r="A133"/>
      <c r="D133" s="5" t="str" cm="1">
        <f t="array" ref="D133">Common_SourceData.Common_SourceData_FracWET_Source()</f>
        <v>VEERG 2026:5.5.2.3 Constant Parameters</v>
      </c>
      <c r="E133" s="23"/>
    </row>
    <row r="134" spans="1:77" ht="20.100000000000001" customHeight="1" x14ac:dyDescent="0.2">
      <c r="A134"/>
      <c r="D134" t="s">
        <v>89</v>
      </c>
      <c r="E134" t="s">
        <v>90</v>
      </c>
    </row>
    <row r="135" spans="1:77" ht="20.100000000000001" customHeight="1" x14ac:dyDescent="0.2">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
      <c r="A136"/>
      <c r="D136" s="1" t="str" cm="1">
        <f t="array" ref="D136">Common_InputFunctions.Utility_DisplayArrayInTable(Common_SourceData.Common_SourceData_FracWET_Data(),Table_SourceData_FracWET[[#Headers],[Is in leaching zone]],0)</f>
        <v>No - not in leaching zone</v>
      </c>
      <c r="E136" s="38" cm="1">
        <f t="array" ref="E136">Common_InputFunctions.Utility_DisplayArrayInTable(Common_SourceData.Common_SourceData_FracWET_Data(),Table_SourceData_FracWET[[#Headers],[Is in leaching zone]],0)</f>
        <v>0</v>
      </c>
    </row>
    <row r="137" spans="1:77" ht="20.100000000000001" customHeight="1" x14ac:dyDescent="0.2">
      <c r="A137"/>
    </row>
    <row r="138" spans="1:77" ht="20.100000000000001" customHeight="1" x14ac:dyDescent="0.2">
      <c r="A138"/>
      <c r="BN138" s="7"/>
      <c r="BO138" s="7"/>
      <c r="BP138" s="7"/>
      <c r="BQ138" s="7"/>
      <c r="BR138" s="7"/>
      <c r="BS138" s="7"/>
      <c r="BT138" s="7"/>
      <c r="BU138" s="7"/>
      <c r="BV138" s="7"/>
      <c r="BW138" s="7"/>
      <c r="BX138" s="7"/>
      <c r="BY138" s="7"/>
    </row>
    <row r="139" spans="1:77" ht="20.100000000000001" customHeight="1" x14ac:dyDescent="0.2">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
      <c r="A141"/>
      <c r="D141" s="56"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
      <c r="A142"/>
      <c r="D142" s="38" t="s">
        <v>321</v>
      </c>
      <c r="E142" s="38" t="s">
        <v>90</v>
      </c>
      <c r="BN142" s="7"/>
    </row>
    <row r="143" spans="1:77" ht="20.100000000000001" customHeight="1" x14ac:dyDescent="0.2">
      <c r="A143"/>
      <c r="D143" s="38" t="str" cm="1">
        <f t="array" ref="D143">Common_InputFunctions.Utility_DisplayArrayInTable(Common_SourceData.Common_SourceData_FracWETIrrigation_Data(), Table_SourceData_FracWETIrrigation[[#Headers],[Irrigation type i]], 0)</f>
        <v>Not irrigated</v>
      </c>
      <c r="E143" s="38" cm="1">
        <f t="array" ref="E143">Common_InputFunctions.Utility_DisplayArrayInTable(Common_SourceData.Common_SourceData_FracWETIrrigation_Data(), Table_SourceData_FracWETIrrigation[[#Headers],[Irrigation type i]], 0)</f>
        <v>0</v>
      </c>
      <c r="BN143" s="7"/>
    </row>
    <row r="144" spans="1:77" ht="20.100000000000001" customHeight="1" x14ac:dyDescent="0.2">
      <c r="A144"/>
      <c r="D144" s="1" t="str" cm="1">
        <f t="array" ref="D144">Common_InputFunctions.Utility_DisplayArrayInTable(Common_SourceData.Common_SourceData_FracWETIrrigation_Data(), Table_SourceData_FracWETIrrigation[[#Headers],[Irrigation type i]], 0)</f>
        <v>Drip irrigation</v>
      </c>
      <c r="E144" s="38" cm="1">
        <f t="array" ref="E144">Common_InputFunctions.Utility_DisplayArrayInTable(Common_SourceData.Common_SourceData_FracWETIrrigation_Data(), Table_SourceData_FracWETIrrigation[[#Headers],[Irrigation type i]], 0)</f>
        <v>0</v>
      </c>
      <c r="BN144" s="7"/>
    </row>
    <row r="145" spans="1:66" ht="20.100000000000001" customHeight="1" x14ac:dyDescent="0.2">
      <c r="A145"/>
      <c r="D145" s="1" t="str" cm="1">
        <f t="array" ref="D145">Common_InputFunctions.Utility_DisplayArrayInTable(Common_SourceData.Common_SourceData_FracWETIrrigation_Data(), Table_SourceData_FracWETIrrigation[[#Headers],[Irrigation type i]], 0)</f>
        <v>Sprinkler irrigation</v>
      </c>
      <c r="E145" s="38" cm="1">
        <f t="array" ref="E145">Common_InputFunctions.Utility_DisplayArrayInTable(Common_SourceData.Common_SourceData_FracWETIrrigation_Data(), Table_SourceData_FracWETIrrigation[[#Headers],[Irrigation type i]], 0)</f>
        <v>1</v>
      </c>
      <c r="BN145" s="7"/>
    </row>
    <row r="146" spans="1:66" ht="20.100000000000001" customHeight="1" x14ac:dyDescent="0.2">
      <c r="A146"/>
      <c r="D146" s="1" t="str" cm="1">
        <f t="array" ref="D146">Common_InputFunctions.Utility_DisplayArrayInTable(Common_SourceData.Common_SourceData_FracWETIrrigation_Data(), Table_SourceData_FracWETIrrigation[[#Headers],[Irrigation type i]], 0)</f>
        <v>Surface irrigation</v>
      </c>
      <c r="E146" s="38" cm="1">
        <f t="array" ref="E146">Common_InputFunctions.Utility_DisplayArrayInTable(Common_SourceData.Common_SourceData_FracWETIrrigation_Data(), Table_SourceData_FracWETIrrigation[[#Headers],[Irrigation type i]], 0)</f>
        <v>1</v>
      </c>
      <c r="BN146" s="7"/>
    </row>
    <row r="147" spans="1:66" ht="20.100000000000001" customHeight="1" x14ac:dyDescent="0.2">
      <c r="A147"/>
      <c r="D147" s="1" t="str" cm="1">
        <f t="array" ref="D147">Common_InputFunctions.Utility_DisplayArrayInTable(Common_SourceData.Common_SourceData_FracWETIrrigation_Data(), Table_SourceData_FracWETIrrigation[[#Headers],[Irrigation type i]], 0)</f>
        <v>Other irrigation</v>
      </c>
      <c r="E147" s="38" cm="1">
        <f t="array" ref="E147">Common_InputFunctions.Utility_DisplayArrayInTable(Common_SourceData.Common_SourceData_FracWETIrrigation_Data(), Table_SourceData_FracWETIrrigation[[#Headers],[Irrigation type i]], 0)</f>
        <v>1</v>
      </c>
      <c r="BN147" s="7"/>
    </row>
    <row r="148" spans="1:66" ht="20.100000000000001" customHeight="1" x14ac:dyDescent="0.2">
      <c r="A148"/>
      <c r="BN148" s="7"/>
    </row>
    <row r="149" spans="1:66" ht="20.100000000000001" customHeight="1" x14ac:dyDescent="0.2">
      <c r="A149"/>
      <c r="BN149" s="7"/>
    </row>
    <row r="150" spans="1:66" ht="20.100000000000001" customHeight="1" x14ac:dyDescent="0.2">
      <c r="A150"/>
      <c r="D150" s="6" t="str" cm="1">
        <f t="array" ref="D150">Common_SourceData.Common_SourceData_DataScores_Scope3_Title()</f>
        <v>Australian data scores for scope 3</v>
      </c>
      <c r="BN150" s="7"/>
    </row>
    <row r="151" spans="1:66" ht="20.100000000000001" customHeight="1" x14ac:dyDescent="0.2">
      <c r="A151"/>
      <c r="D151" s="5" t="str" cm="1">
        <f t="array" ref="D151">Common_SourceData.Common_SourceData_DataScores_Scope3_Source()</f>
        <v>VEERG 2026: XXXXXXXX</v>
      </c>
      <c r="BN151" s="7"/>
    </row>
    <row r="152" spans="1:66" ht="20.100000000000001" customHeight="1" x14ac:dyDescent="0.2">
      <c r="A152"/>
      <c r="BN152" s="7"/>
    </row>
    <row r="153" spans="1:66" ht="20.100000000000001" customHeight="1" x14ac:dyDescent="0.2">
      <c r="A153"/>
      <c r="D153" s="38" t="s">
        <v>67</v>
      </c>
      <c r="E153" s="38" t="s">
        <v>68</v>
      </c>
      <c r="BC153" s="3"/>
      <c r="BD153" s="3"/>
      <c r="BE153" s="3"/>
      <c r="BF153" s="3"/>
      <c r="BG153" s="3"/>
      <c r="BH153" s="3"/>
      <c r="BI153" s="3"/>
      <c r="BJ153" s="3"/>
      <c r="BK153" s="3"/>
      <c r="BL153" s="3"/>
      <c r="BM153" s="3"/>
    </row>
    <row r="154" spans="1:66" ht="20.100000000000001" customHeight="1" x14ac:dyDescent="0.2">
      <c r="A154"/>
      <c r="D154" s="38" t="str" cm="1">
        <f t="array" ref="D154">Common_InputFunctions.Utility_DisplayArrayInTable(Common_SourceData.Common_SourceData_DataScores_Scope3_Data(), Table_SourceData_DataScores_Scope3[[#Headers],[Data source]], 0)</f>
        <v>International scope 3 database</v>
      </c>
      <c r="E154" s="38"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
      <c r="A155"/>
      <c r="D155" s="38" t="str" cm="1">
        <f t="array" ref="D155">Common_InputFunctions.Utility_DisplayArrayInTable(Common_SourceData.Common_SourceData_DataScores_Scope3_Data(), Table_SourceData_DataScores_Scope3[[#Headers],[Data source]], 0)</f>
        <v>Australian scope 3 database</v>
      </c>
      <c r="E155" s="38"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
      <c r="A156"/>
      <c r="D156" s="38" t="str" cm="1">
        <f t="array" ref="D156">Common_InputFunctions.Utility_DisplayArrayInTable(Common_SourceData.Common_SourceData_DataScores_Scope3_Data(), Table_SourceData_DataScores_Scope3[[#Headers],[Data source]], 0)</f>
        <v>State or regional scope 3 database</v>
      </c>
      <c r="E156" s="38" cm="1">
        <f t="array" ref="E156">Common_InputFunctions.Utility_DisplayArrayInTable(Common_SourceData.Common_SourceData_DataScores_Scope3_Data(), Table_SourceData_DataScores_Scope3[[#Headers],[Data source]], 0)</f>
        <v>3</v>
      </c>
    </row>
    <row r="157" spans="1:66" ht="20.100000000000001" customHeight="1" x14ac:dyDescent="0.2">
      <c r="A157"/>
      <c r="D157" s="38" t="str" cm="1">
        <f t="array" ref="D157">Common_InputFunctions.Utility_DisplayArrayInTable(Common_SourceData.Common_SourceData_DataScores_Scope3_Data(), Table_SourceData_DataScores_Scope3[[#Headers],[Data source]], 0)</f>
        <v>Emissions intensity calculated from approved method</v>
      </c>
      <c r="E157" s="38" cm="1">
        <f t="array" ref="E157">Common_InputFunctions.Utility_DisplayArrayInTable(Common_SourceData.Common_SourceData_DataScores_Scope3_Data(), Table_SourceData_DataScores_Scope3[[#Headers],[Data source]], 0)</f>
        <v>4</v>
      </c>
    </row>
    <row r="158" spans="1:66" ht="20.100000000000001" customHeight="1" x14ac:dyDescent="0.2">
      <c r="A158"/>
      <c r="D158" s="38" t="str" cm="1">
        <f t="array" ref="D158">Common_InputFunctions.Utility_DisplayArrayInTable(Common_SourceData.Common_SourceData_DataScores_Scope3_Data(), Table_SourceData_DataScores_Scope3[[#Headers],[Data source]], 0)</f>
        <v>Verified credential matching ISO14067</v>
      </c>
      <c r="E158" s="38" cm="1">
        <f t="array" ref="E158">Common_InputFunctions.Utility_DisplayArrayInTable(Common_SourceData.Common_SourceData_DataScores_Scope3_Data(), Table_SourceData_DataScores_Scope3[[#Headers],[Data source]], 0)</f>
        <v>5</v>
      </c>
    </row>
    <row r="159" spans="1:66" ht="20.100000000000001" customHeight="1" x14ac:dyDescent="0.2">
      <c r="A159"/>
    </row>
    <row r="160" spans="1:66" ht="20.100000000000001" customHeight="1" x14ac:dyDescent="0.2">
      <c r="A160"/>
    </row>
    <row r="161" spans="4:68" ht="20.100000000000001" customHeight="1" x14ac:dyDescent="0.2">
      <c r="D161" s="6" t="str" cm="1">
        <f t="array" ref="D161">Common_SourceData.Common_SourceData_FracLEACH_Title()</f>
        <v>Fraction of N that is available for leaching and runoff</v>
      </c>
      <c r="E161" s="23"/>
    </row>
    <row r="162" spans="4:68" ht="20.100000000000001" customHeight="1" x14ac:dyDescent="0.2">
      <c r="D162" s="5" t="str" cm="1">
        <f t="array" ref="D162">Common_SourceData.Common_SourceData_FracLEACH_Source()</f>
        <v>VEERG 2026:5.5.2.3 Constant Parameters</v>
      </c>
      <c r="E162" s="23"/>
    </row>
    <row r="163" spans="4:68" ht="20.100000000000001" customHeight="1" x14ac:dyDescent="0.2">
      <c r="D163" s="5" t="str" cm="1">
        <f t="array" ref="D163">Common_SourceData.Common_SourceData_FracLEACH_NIRReference()</f>
        <v>National Inventory Report Volume 1: Leaching and runoff (3.D.b.2)</v>
      </c>
      <c r="E163" s="23"/>
    </row>
    <row r="164" spans="4:68" ht="20.100000000000001" customHeight="1" x14ac:dyDescent="0.2">
      <c r="D164" s="23" t="str" cm="1">
        <f t="array" ref="D164:E164">Common_SourceData.Common_SourceData_FracLEACH_Data()</f>
        <v>FracLEACH</v>
      </c>
      <c r="E164" s="23">
        <v>0.24</v>
      </c>
    </row>
    <row r="165" spans="4:68" ht="20.100000000000001" customHeight="1" x14ac:dyDescent="0.2">
      <c r="BN165" s="7"/>
      <c r="BO165" s="7"/>
      <c r="BP165" s="7"/>
    </row>
    <row r="166" spans="4:68" ht="20.100000000000001" customHeight="1" x14ac:dyDescent="0.2">
      <c r="BN166" s="7"/>
      <c r="BO166" s="7"/>
      <c r="BP166" s="7"/>
    </row>
    <row r="167" spans="4:68" ht="20.100000000000001" customHeight="1" x14ac:dyDescent="0.2">
      <c r="D167" s="6" t="str" cm="1">
        <f t="array" ref="D167">Common_SourceData.Common_SourceData_EFleach_Title()</f>
        <v>Emission factor for nitrogen leaching and runoff</v>
      </c>
      <c r="BN167" s="7"/>
      <c r="BO167" s="7"/>
      <c r="BP167" s="7"/>
    </row>
    <row r="168" spans="4:68" ht="20.100000000000001" customHeight="1" x14ac:dyDescent="0.2">
      <c r="D168" s="5" t="str" cm="1">
        <f t="array" ref="D168">Common_SourceData.Common_SourceData_EFleach_Source()</f>
        <v>VEERG 2026:5.5.2.3 Constant Parameters</v>
      </c>
      <c r="BN168" s="7"/>
      <c r="BO168" s="7"/>
      <c r="BP168" s="7"/>
    </row>
    <row r="169" spans="4:68" ht="20.100000000000001" customHeight="1" x14ac:dyDescent="0.2">
      <c r="D169" s="5" t="str" cm="1">
        <f t="array" ref="D169">Common_SourceData.Common_SourceData_EFleach_NIRReference()</f>
        <v>National Inventory Report Volume 1: Equation 3.D.B_10</v>
      </c>
      <c r="BN169" s="7"/>
      <c r="BO169" s="7"/>
      <c r="BP169" s="7"/>
    </row>
    <row r="170" spans="4:68" ht="20.100000000000001" customHeight="1" x14ac:dyDescent="0.2">
      <c r="D170" s="1" t="str" cm="1">
        <f t="array" ref="D170:E170">Common_SourceData.Common_SourceData_EFleach_Data()</f>
        <v>EFleach</v>
      </c>
      <c r="E170" s="1">
        <v>1.0999999999999999E-2</v>
      </c>
      <c r="BN170" s="7"/>
      <c r="BO170" s="7"/>
      <c r="BP170" s="7"/>
    </row>
    <row r="171" spans="4:68" ht="20.100000000000001" customHeight="1" x14ac:dyDescent="0.2">
      <c r="BN171" s="7"/>
      <c r="BO171" s="7"/>
      <c r="BP171" s="7"/>
    </row>
    <row r="172" spans="4:68" ht="20.100000000000001" customHeight="1" x14ac:dyDescent="0.2">
      <c r="BN172" s="7"/>
      <c r="BO172" s="7"/>
      <c r="BP172" s="7"/>
    </row>
    <row r="173" spans="4:68" ht="20.100000000000001" customHeight="1" x14ac:dyDescent="0.2">
      <c r="D173" s="6" t="str" cm="1">
        <f t="array" ref="D173">Common_SourceData.Common_SourceData_DensityOfMethane_Title()</f>
        <v>p = density of methane</v>
      </c>
      <c r="BN173" s="7"/>
      <c r="BO173" s="7"/>
      <c r="BP173" s="7"/>
    </row>
    <row r="174" spans="4:68" ht="20.100000000000001" customHeight="1" x14ac:dyDescent="0.2">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
      <c r="D175" s="1" cm="1">
        <f t="array" ref="D175">Common_SourceData.Common_SourceData_DensityOfMethane_Data()</f>
        <v>0.6784</v>
      </c>
      <c r="E175" s="55" t="str" cm="1">
        <f t="array" ref="E175">Common_SourceData.Common_SourceData_DensityOfMethane_Unit()</f>
        <v>kg/m3</v>
      </c>
      <c r="BN175" s="7"/>
      <c r="BO175" s="7"/>
      <c r="BP175" s="7"/>
    </row>
    <row r="176" spans="4:68" ht="20.100000000000001" customHeight="1" x14ac:dyDescent="0.2">
      <c r="BN176" s="7"/>
      <c r="BO176" s="7"/>
      <c r="BP176" s="7"/>
    </row>
    <row r="177" spans="4:68" ht="20.100000000000001" customHeight="1" x14ac:dyDescent="0.2">
      <c r="BN177" s="7"/>
      <c r="BO177" s="7"/>
      <c r="BP177" s="7"/>
    </row>
    <row r="178" spans="4:68" ht="20.100000000000001" customHeight="1" x14ac:dyDescent="0.2">
      <c r="D178" s="6" t="str" cm="1">
        <f t="array" ref="D178">Common_SourceData.Common_SourceData_EFN2O_Title()</f>
        <v>Nitrous oxide emission factors for inorganic fertiliser application</v>
      </c>
      <c r="BN178" s="7"/>
      <c r="BO178" s="7"/>
      <c r="BP178" s="7"/>
    </row>
    <row r="179" spans="4:68" ht="20.100000000000001" customHeight="1" x14ac:dyDescent="0.2">
      <c r="D179" s="5" t="str" cm="1">
        <f t="array" ref="D179">Common_SourceData.Common_SourceData_EFN2O_Source()</f>
        <v>VEERG 2026: Table A.2.2.1</v>
      </c>
      <c r="BN179" s="7"/>
      <c r="BO179" s="7"/>
      <c r="BP179" s="7"/>
    </row>
    <row r="180" spans="4:68" ht="20.100000000000001" customHeight="1" x14ac:dyDescent="0.2">
      <c r="D180" s="55" t="str" cm="1">
        <f t="array" ref="D180">Common_SourceData.Common_SourceData_EFN2O_Unit()</f>
        <v>(kg N2O-N / kg N</v>
      </c>
    </row>
    <row r="181" spans="4:68" ht="20.100000000000001" customHeight="1" x14ac:dyDescent="0.2">
      <c r="D181" s="56" t="str" cm="1">
        <f t="array" ref="D181:D185">Common_SourceData.Common_SourceData_EFN2O_Variation()</f>
        <v>VARIATION OF SOURCE DATA:</v>
      </c>
    </row>
    <row r="182" spans="4:68" ht="20.100000000000001" customHeight="1" x14ac:dyDescent="0.2">
      <c r="D182" s="56" t="str">
        <v>Removed duplicate 'Aquaculture' row.</v>
      </c>
    </row>
    <row r="183" spans="4:68" ht="20.100000000000001" customHeight="1" x14ac:dyDescent="0.2">
      <c r="D183" s="56" t="str">
        <v>Removed asterisks to aid lookup.</v>
      </c>
    </row>
    <row r="184" spans="4:68" ht="20.100000000000001" customHeight="1" x14ac:dyDescent="0.2">
      <c r="D184" s="56" t="str">
        <v>Added 'production system only', 'rainfall zone' and 'irrigation method' columns to aid lookup.</v>
      </c>
    </row>
    <row r="185" spans="4:68" ht="20.100000000000001" customHeight="1" x14ac:dyDescent="0.2">
      <c r="D185" s="56" t="str">
        <v>Duplicated 'non-irrigated pasture' row with same EF for low and high rainfall zones to aid lookup.</v>
      </c>
    </row>
    <row r="186" spans="4:68" ht="20.100000000000001" customHeight="1" x14ac:dyDescent="0.2">
      <c r="D186" s="38" t="s">
        <v>137</v>
      </c>
      <c r="E186" s="38" t="s">
        <v>138</v>
      </c>
      <c r="F186" s="38" t="s">
        <v>139</v>
      </c>
      <c r="G186" s="38" t="s">
        <v>140</v>
      </c>
      <c r="H186" s="38" t="s">
        <v>34</v>
      </c>
    </row>
    <row r="187" spans="4:68" ht="20.100000000000001" customHeight="1" x14ac:dyDescent="0.2">
      <c r="D187" s="38" t="str" cm="1">
        <f t="array" ref="D187">Common_InputFunctions.Utility_DisplayArrayInTable(Common_SourceData.Common_SourceData_EFN2O_Data(), Table_SourceData_Common_EFN2O[[#Headers],[Production system j]], 0)</f>
        <v>Irrigated pasture</v>
      </c>
      <c r="E187" s="38" cm="1">
        <f t="array" ref="E187">Common_InputFunctions.Utility_DisplayArrayInTable(Common_SourceData.Common_SourceData_EFN2O_Data(), Table_SourceData_Common_EFN2O[[#Headers],[Production system j]], 0)</f>
        <v>5.8999999999999999E-3</v>
      </c>
      <c r="F187" s="38" t="str" cm="1">
        <f t="array" ref="F187">Common_InputFunctions.Utility_DisplayArrayInTable(Common_SourceData.Common_SourceData_EFN2O_Data(), Table_SourceData_Common_EFN2O[[#Headers],[Production system j]], 0)</f>
        <v>Pasture</v>
      </c>
      <c r="G187" s="38" t="str" cm="1">
        <f t="array" ref="G187">Common_InputFunctions.Utility_DisplayArrayInTable(Common_SourceData.Common_SourceData_EFN2O_Data(), Table_SourceData_Common_EFN2O[[#Headers],[Production system j]], 0)</f>
        <v>Any</v>
      </c>
      <c r="H187" s="38" t="str" cm="1">
        <f t="array" ref="H187">Common_InputFunctions.Utility_DisplayArrayInTable(Common_SourceData.Common_SourceData_EFN2O_Data(), Table_SourceData_Common_EFN2O[[#Headers],[Production system j]], 0)</f>
        <v>Any</v>
      </c>
    </row>
    <row r="188" spans="4:68" ht="20.100000000000001" customHeight="1" x14ac:dyDescent="0.2">
      <c r="D188" s="38" t="str" cm="1">
        <f t="array" ref="D188">Common_InputFunctions.Utility_DisplayArrayInTable(Common_SourceData.Common_SourceData_EFN2O_Data(), Table_SourceData_Common_EFN2O[[#Headers],[Production system j]], 0)</f>
        <v>Irrigated crop</v>
      </c>
      <c r="E188" s="38" cm="1">
        <f t="array" ref="E188">Common_InputFunctions.Utility_DisplayArrayInTable(Common_SourceData.Common_SourceData_EFN2O_Data(), Table_SourceData_Common_EFN2O[[#Headers],[Production system j]], 0)</f>
        <v>7.0000000000000001E-3</v>
      </c>
      <c r="F188" s="38" t="str" cm="1">
        <f t="array" ref="F188">Common_InputFunctions.Utility_DisplayArrayInTable(Common_SourceData.Common_SourceData_EFN2O_Data(), Table_SourceData_Common_EFN2O[[#Headers],[Production system j]], 0)</f>
        <v>Crop</v>
      </c>
      <c r="G188" s="38" t="str" cm="1">
        <f t="array" ref="G188">Common_InputFunctions.Utility_DisplayArrayInTable(Common_SourceData.Common_SourceData_EFN2O_Data(), Table_SourceData_Common_EFN2O[[#Headers],[Production system j]], 0)</f>
        <v>Any</v>
      </c>
      <c r="H188" s="38" t="str" cm="1">
        <f t="array" ref="H188">Common_InputFunctions.Utility_DisplayArrayInTable(Common_SourceData.Common_SourceData_EFN2O_Data(), Table_SourceData_Common_EFN2O[[#Headers],[Production system j]], 0)</f>
        <v>Any</v>
      </c>
    </row>
    <row r="189" spans="4:68" ht="20.100000000000001" customHeight="1" x14ac:dyDescent="0.2">
      <c r="D189" s="38" t="str" cm="1">
        <f t="array" ref="D189">Common_InputFunctions.Utility_DisplayArrayInTable(Common_SourceData.Common_SourceData_EFN2O_Data(), Table_SourceData_Common_EFN2O[[#Headers],[Production system j]], 0)</f>
        <v>Non-irrigated pasture</v>
      </c>
      <c r="E189" s="38" cm="1">
        <f t="array" ref="E189">Common_InputFunctions.Utility_DisplayArrayInTable(Common_SourceData.Common_SourceData_EFN2O_Data(), Table_SourceData_Common_EFN2O[[#Headers],[Production system j]], 0)</f>
        <v>1.8E-3</v>
      </c>
      <c r="F189" s="38" t="str" cm="1">
        <f t="array" ref="F189">Common_InputFunctions.Utility_DisplayArrayInTable(Common_SourceData.Common_SourceData_EFN2O_Data(), Table_SourceData_Common_EFN2O[[#Headers],[Production system j]], 0)</f>
        <v>Pasture</v>
      </c>
      <c r="G189" s="38" t="str" cm="1">
        <f t="array" ref="G189">Common_InputFunctions.Utility_DisplayArrayInTable(Common_SourceData.Common_SourceData_EFN2O_Data(), Table_SourceData_Common_EFN2O[[#Headers],[Production system j]], 0)</f>
        <v>Not irrigated</v>
      </c>
      <c r="H189" s="38" t="str" cm="1">
        <f t="array" ref="H189">Common_InputFunctions.Utility_DisplayArrayInTable(Common_SourceData.Common_SourceData_EFN2O_Data(), Table_SourceData_Common_EFN2O[[#Headers],[Production system j]], 0)</f>
        <v>Low rainfall</v>
      </c>
    </row>
    <row r="190" spans="4:68" ht="20.100000000000001" customHeight="1" x14ac:dyDescent="0.2">
      <c r="D190" s="38" t="str" cm="1">
        <f t="array" ref="D190">Common_InputFunctions.Utility_DisplayArrayInTable(Common_SourceData.Common_SourceData_EFN2O_Data(), Table_SourceData_Common_EFN2O[[#Headers],[Production system j]], 0)</f>
        <v>Non-irrigated pasture</v>
      </c>
      <c r="E190" s="38" cm="1">
        <f t="array" ref="E190">Common_InputFunctions.Utility_DisplayArrayInTable(Common_SourceData.Common_SourceData_EFN2O_Data(), Table_SourceData_Common_EFN2O[[#Headers],[Production system j]], 0)</f>
        <v>1.8E-3</v>
      </c>
      <c r="F190" s="38" t="str" cm="1">
        <f t="array" ref="F190">Common_InputFunctions.Utility_DisplayArrayInTable(Common_SourceData.Common_SourceData_EFN2O_Data(), Table_SourceData_Common_EFN2O[[#Headers],[Production system j]], 0)</f>
        <v>Pasture</v>
      </c>
      <c r="G190" s="38" t="str" cm="1">
        <f t="array" ref="G190">Common_InputFunctions.Utility_DisplayArrayInTable(Common_SourceData.Common_SourceData_EFN2O_Data(), Table_SourceData_Common_EFN2O[[#Headers],[Production system j]], 0)</f>
        <v>Not irrigated</v>
      </c>
      <c r="H190" s="38" t="str" cm="1">
        <f t="array" ref="H190">Common_InputFunctions.Utility_DisplayArrayInTable(Common_SourceData.Common_SourceData_EFN2O_Data(), Table_SourceData_Common_EFN2O[[#Headers],[Production system j]], 0)</f>
        <v>High rainfall</v>
      </c>
    </row>
    <row r="191" spans="4:68" ht="20.100000000000001" customHeight="1" x14ac:dyDescent="0.2">
      <c r="D191" s="38" t="str" cm="1">
        <f t="array" ref="D191">Common_InputFunctions.Utility_DisplayArrayInTable(Common_SourceData.Common_SourceData_EFN2O_Data(), Table_SourceData_Common_EFN2O[[#Headers],[Production system j]], 0)</f>
        <v>Non-irrigated crop (low rainfall)</v>
      </c>
      <c r="E191" s="38" cm="1">
        <f t="array" ref="E191">Common_InputFunctions.Utility_DisplayArrayInTable(Common_SourceData.Common_SourceData_EFN2O_Data(), Table_SourceData_Common_EFN2O[[#Headers],[Production system j]], 0)</f>
        <v>2.8999999999999998E-3</v>
      </c>
      <c r="F191" s="38" t="str" cm="1">
        <f t="array" ref="F191">Common_InputFunctions.Utility_DisplayArrayInTable(Common_SourceData.Common_SourceData_EFN2O_Data(), Table_SourceData_Common_EFN2O[[#Headers],[Production system j]], 0)</f>
        <v>Crop</v>
      </c>
      <c r="G191" s="38" t="str" cm="1">
        <f t="array" ref="G191">Common_InputFunctions.Utility_DisplayArrayInTable(Common_SourceData.Common_SourceData_EFN2O_Data(), Table_SourceData_Common_EFN2O[[#Headers],[Production system j]], 0)</f>
        <v>Not irrigated</v>
      </c>
      <c r="H191" s="38" t="str" cm="1">
        <f t="array" ref="H191">Common_InputFunctions.Utility_DisplayArrayInTable(Common_SourceData.Common_SourceData_EFN2O_Data(), Table_SourceData_Common_EFN2O[[#Headers],[Production system j]], 0)</f>
        <v>Low rainfall</v>
      </c>
    </row>
    <row r="192" spans="4:68" ht="20.100000000000001" customHeight="1" x14ac:dyDescent="0.2">
      <c r="D192" s="38" t="str" cm="1">
        <f t="array" ref="D192">Common_InputFunctions.Utility_DisplayArrayInTable(Common_SourceData.Common_SourceData_EFN2O_Data(), Table_SourceData_Common_EFN2O[[#Headers],[Production system j]], 0)</f>
        <v>Non-irrigated crop (high rainfall)</v>
      </c>
      <c r="E192" s="38" cm="1">
        <f t="array" ref="E192">Common_InputFunctions.Utility_DisplayArrayInTable(Common_SourceData.Common_SourceData_EFN2O_Data(), Table_SourceData_Common_EFN2O[[#Headers],[Production system j]], 0)</f>
        <v>8.0000000000000002E-3</v>
      </c>
      <c r="F192" s="38" t="str" cm="1">
        <f t="array" ref="F192">Common_InputFunctions.Utility_DisplayArrayInTable(Common_SourceData.Common_SourceData_EFN2O_Data(), Table_SourceData_Common_EFN2O[[#Headers],[Production system j]], 0)</f>
        <v>Crop</v>
      </c>
      <c r="G192" s="38" t="str" cm="1">
        <f t="array" ref="G192">Common_InputFunctions.Utility_DisplayArrayInTable(Common_SourceData.Common_SourceData_EFN2O_Data(), Table_SourceData_Common_EFN2O[[#Headers],[Production system j]], 0)</f>
        <v>Not irrigated</v>
      </c>
      <c r="H192" s="38" t="str" cm="1">
        <f t="array" ref="H192">Common_InputFunctions.Utility_DisplayArrayInTable(Common_SourceData.Common_SourceData_EFN2O_Data(), Table_SourceData_Common_EFN2O[[#Headers],[Production system j]], 0)</f>
        <v>High rainfall</v>
      </c>
    </row>
    <row r="193" spans="4:8" ht="20.100000000000001" customHeight="1" x14ac:dyDescent="0.2">
      <c r="D193" s="38" t="str" cm="1">
        <f t="array" ref="D193">Common_InputFunctions.Utility_DisplayArrayInTable(Common_SourceData.Common_SourceData_EFN2O_Data(), Table_SourceData_Common_EFN2O[[#Headers],[Production system j]], 0)</f>
        <v>Sugar</v>
      </c>
      <c r="E193" s="38" cm="1">
        <f t="array" ref="E193">Common_InputFunctions.Utility_DisplayArrayInTable(Common_SourceData.Common_SourceData_EFN2O_Data(), Table_SourceData_Common_EFN2O[[#Headers],[Production system j]], 0)</f>
        <v>1.9900000000000001E-2</v>
      </c>
      <c r="F193" s="38" t="str" cm="1">
        <f t="array" ref="F193">Common_InputFunctions.Utility_DisplayArrayInTable(Common_SourceData.Common_SourceData_EFN2O_Data(), Table_SourceData_Common_EFN2O[[#Headers],[Production system j]], 0)</f>
        <v>Sugar</v>
      </c>
      <c r="G193" s="38" t="str" cm="1">
        <f t="array" ref="G193">Common_InputFunctions.Utility_DisplayArrayInTable(Common_SourceData.Common_SourceData_EFN2O_Data(), Table_SourceData_Common_EFN2O[[#Headers],[Production system j]], 0)</f>
        <v>Any</v>
      </c>
      <c r="H193" s="38" t="str" cm="1">
        <f t="array" ref="H193">Common_InputFunctions.Utility_DisplayArrayInTable(Common_SourceData.Common_SourceData_EFN2O_Data(), Table_SourceData_Common_EFN2O[[#Headers],[Production system j]], 0)</f>
        <v>Any</v>
      </c>
    </row>
    <row r="194" spans="4:8" ht="20.100000000000001" customHeight="1" x14ac:dyDescent="0.2">
      <c r="D194" s="38" t="str" cm="1">
        <f t="array" ref="D194">Common_InputFunctions.Utility_DisplayArrayInTable(Common_SourceData.Common_SourceData_EFN2O_Data(), Table_SourceData_Common_EFN2O[[#Headers],[Production system j]], 0)</f>
        <v>Cotton</v>
      </c>
      <c r="E194" s="38" cm="1">
        <f t="array" ref="E194">Common_InputFunctions.Utility_DisplayArrayInTable(Common_SourceData.Common_SourceData_EFN2O_Data(), Table_SourceData_Common_EFN2O[[#Headers],[Production system j]], 0)</f>
        <v>5.3E-3</v>
      </c>
      <c r="F194" s="38" t="str" cm="1">
        <f t="array" ref="F194">Common_InputFunctions.Utility_DisplayArrayInTable(Common_SourceData.Common_SourceData_EFN2O_Data(), Table_SourceData_Common_EFN2O[[#Headers],[Production system j]], 0)</f>
        <v>Cotton</v>
      </c>
      <c r="G194" s="38" t="str" cm="1">
        <f t="array" ref="G194">Common_InputFunctions.Utility_DisplayArrayInTable(Common_SourceData.Common_SourceData_EFN2O_Data(), Table_SourceData_Common_EFN2O[[#Headers],[Production system j]], 0)</f>
        <v>Any</v>
      </c>
      <c r="H194" s="38" t="str" cm="1">
        <f t="array" ref="H194">Common_InputFunctions.Utility_DisplayArrayInTable(Common_SourceData.Common_SourceData_EFN2O_Data(), Table_SourceData_Common_EFN2O[[#Headers],[Production system j]], 0)</f>
        <v>Any</v>
      </c>
    </row>
    <row r="195" spans="4:8" ht="20.100000000000001" customHeight="1" x14ac:dyDescent="0.2">
      <c r="D195" s="38" t="str" cm="1">
        <f t="array" ref="D195">Common_InputFunctions.Utility_DisplayArrayInTable(Common_SourceData.Common_SourceData_EFN2O_Data(), Table_SourceData_Common_EFN2O[[#Headers],[Production system j]], 0)</f>
        <v>Horticultural crops</v>
      </c>
      <c r="E195" s="38" cm="1">
        <f t="array" ref="E195">Common_InputFunctions.Utility_DisplayArrayInTable(Common_SourceData.Common_SourceData_EFN2O_Data(), Table_SourceData_Common_EFN2O[[#Headers],[Production system j]], 0)</f>
        <v>6.4000000000000003E-3</v>
      </c>
      <c r="F195" s="38" t="str" cm="1">
        <f t="array" ref="F195">Common_InputFunctions.Utility_DisplayArrayInTable(Common_SourceData.Common_SourceData_EFN2O_Data(), Table_SourceData_Common_EFN2O[[#Headers],[Production system j]], 0)</f>
        <v>Horticultural crops</v>
      </c>
      <c r="G195" s="38" t="str" cm="1">
        <f t="array" ref="G195">Common_InputFunctions.Utility_DisplayArrayInTable(Common_SourceData.Common_SourceData_EFN2O_Data(), Table_SourceData_Common_EFN2O[[#Headers],[Production system j]], 0)</f>
        <v>Any</v>
      </c>
      <c r="H195" s="38" t="str" cm="1">
        <f t="array" ref="H195">Common_InputFunctions.Utility_DisplayArrayInTable(Common_SourceData.Common_SourceData_EFN2O_Data(), Table_SourceData_Common_EFN2O[[#Headers],[Production system j]], 0)</f>
        <v>Any</v>
      </c>
    </row>
    <row r="196" spans="4:8" ht="20.100000000000001" customHeight="1" x14ac:dyDescent="0.2">
      <c r="D196" s="38" t="str" cm="1">
        <f t="array" ref="D196">Common_InputFunctions.Utility_DisplayArrayInTable(Common_SourceData.Common_SourceData_EFN2O_Data(), Table_SourceData_Common_EFN2O[[#Headers],[Production system j]], 0)</f>
        <v>Rice (continuous flooding)</v>
      </c>
      <c r="E196" s="38" cm="1">
        <f t="array" ref="E196">Common_InputFunctions.Utility_DisplayArrayInTable(Common_SourceData.Common_SourceData_EFN2O_Data(), Table_SourceData_Common_EFN2O[[#Headers],[Production system j]], 0)</f>
        <v>3.0000000000000001E-3</v>
      </c>
      <c r="F196" s="38" t="str" cm="1">
        <f t="array" ref="F196">Common_InputFunctions.Utility_DisplayArrayInTable(Common_SourceData.Common_SourceData_EFN2O_Data(), Table_SourceData_Common_EFN2O[[#Headers],[Production system j]], 0)</f>
        <v>Rice</v>
      </c>
      <c r="G196" s="38" t="str" cm="1">
        <f t="array" ref="G196">Common_InputFunctions.Utility_DisplayArrayInTable(Common_SourceData.Common_SourceData_EFN2O_Data(), Table_SourceData_Common_EFN2O[[#Headers],[Production system j]], 0)</f>
        <v>Continuous flooding</v>
      </c>
      <c r="H196" s="38" t="str" cm="1">
        <f t="array" ref="H196">Common_InputFunctions.Utility_DisplayArrayInTable(Common_SourceData.Common_SourceData_EFN2O_Data(), Table_SourceData_Common_EFN2O[[#Headers],[Production system j]], 0)</f>
        <v>Any</v>
      </c>
    </row>
    <row r="197" spans="4:8" ht="20.100000000000001" customHeight="1" x14ac:dyDescent="0.2">
      <c r="D197" s="38" t="str" cm="1">
        <f t="array" ref="D197">Common_InputFunctions.Utility_DisplayArrayInTable(Common_SourceData.Common_SourceData_EFN2O_Data(), Table_SourceData_Common_EFN2O[[#Headers],[Production system j]], 0)</f>
        <v>Rice (single and multiple drainage, or alternate wetting and drying)</v>
      </c>
      <c r="E197" s="38" cm="1">
        <f t="array" ref="E197">Common_InputFunctions.Utility_DisplayArrayInTable(Common_SourceData.Common_SourceData_EFN2O_Data(), Table_SourceData_Common_EFN2O[[#Headers],[Production system j]], 0)</f>
        <v>5.0000000000000001E-3</v>
      </c>
      <c r="F197" s="38" t="str" cm="1">
        <f t="array" ref="F197">Common_InputFunctions.Utility_DisplayArrayInTable(Common_SourceData.Common_SourceData_EFN2O_Data(), Table_SourceData_Common_EFN2O[[#Headers],[Production system j]], 0)</f>
        <v>Rice</v>
      </c>
      <c r="G197" s="38" t="str" cm="1">
        <f t="array" ref="G197">Common_InputFunctions.Utility_DisplayArrayInTable(Common_SourceData.Common_SourceData_EFN2O_Data(), Table_SourceData_Common_EFN2O[[#Headers],[Production system j]], 0)</f>
        <v>Single and multiple drainage, or alternate wetting and drying</v>
      </c>
      <c r="H197" s="38" t="str" cm="1">
        <f t="array" ref="H197">Common_InputFunctions.Utility_DisplayArrayInTable(Common_SourceData.Common_SourceData_EFN2O_Data(), Table_SourceData_Common_EFN2O[[#Headers],[Production system j]], 0)</f>
        <v>Any</v>
      </c>
    </row>
    <row r="198" spans="4:8" ht="20.100000000000001" customHeight="1" x14ac:dyDescent="0.2">
      <c r="D198" s="38" t="str" cm="1">
        <f t="array" ref="D198">Common_InputFunctions.Utility_DisplayArrayInTable(Common_SourceData.Common_SourceData_EFN2O_Data(), Table_SourceData_Common_EFN2O[[#Headers],[Production system j]], 0)</f>
        <v>Aquaculture</v>
      </c>
      <c r="E198" s="38" cm="1">
        <f t="array" ref="E198">Common_InputFunctions.Utility_DisplayArrayInTable(Common_SourceData.Common_SourceData_EFN2O_Data(), Table_SourceData_Common_EFN2O[[#Headers],[Production system j]], 0)</f>
        <v>2.5999999999999999E-3</v>
      </c>
      <c r="F198" s="38" t="str" cm="1">
        <f t="array" ref="F198">Common_InputFunctions.Utility_DisplayArrayInTable(Common_SourceData.Common_SourceData_EFN2O_Data(), Table_SourceData_Common_EFN2O[[#Headers],[Production system j]], 0)</f>
        <v>Aquaculture</v>
      </c>
      <c r="G198" s="38" t="str" cm="1">
        <f t="array" ref="G198">Common_InputFunctions.Utility_DisplayArrayInTable(Common_SourceData.Common_SourceData_EFN2O_Data(), Table_SourceData_Common_EFN2O[[#Headers],[Production system j]], 0)</f>
        <v>Any</v>
      </c>
      <c r="H198" s="38" t="str" cm="1">
        <f t="array" ref="H198">Common_InputFunctions.Utility_DisplayArrayInTable(Common_SourceData.Common_SourceData_EFN2O_Data(), Table_SourceData_Common_EFN2O[[#Headers],[Production system j]], 0)</f>
        <v>Any</v>
      </c>
    </row>
    <row r="199" spans="4:8" ht="20.100000000000001" customHeight="1" x14ac:dyDescent="0.2">
      <c r="D199" s="38" t="str" cm="1">
        <f t="array" ref="D199">Common_InputFunctions.Utility_DisplayArrayInTable(Common_SourceData.Common_SourceData_EFN2O_Data(), Table_SourceData_Common_EFN2O[[#Headers],[Production system j]], 0)</f>
        <v>Forestry</v>
      </c>
      <c r="E199" s="38" cm="1">
        <f t="array" ref="E199">Common_InputFunctions.Utility_DisplayArrayInTable(Common_SourceData.Common_SourceData_EFN2O_Data(), Table_SourceData_Common_EFN2O[[#Headers],[Production system j]], 0)</f>
        <v>1.8E-3</v>
      </c>
      <c r="F199" s="38" t="str" cm="1">
        <f t="array" ref="F199">Common_InputFunctions.Utility_DisplayArrayInTable(Common_SourceData.Common_SourceData_EFN2O_Data(), Table_SourceData_Common_EFN2O[[#Headers],[Production system j]], 0)</f>
        <v>Forestry</v>
      </c>
      <c r="G199" s="38" t="str" cm="1">
        <f t="array" ref="G199">Common_InputFunctions.Utility_DisplayArrayInTable(Common_SourceData.Common_SourceData_EFN2O_Data(), Table_SourceData_Common_EFN2O[[#Headers],[Production system j]], 0)</f>
        <v>Any</v>
      </c>
      <c r="H199" s="38" t="str" cm="1">
        <f t="array" ref="H199">Common_InputFunctions.Utility_DisplayArrayInTable(Common_SourceData.Common_SourceData_EFN2O_Data(), Table_SourceData_Common_EFN2O[[#Headers],[Production system j]], 0)</f>
        <v>Any</v>
      </c>
    </row>
    <row r="202" spans="4:8" ht="20.100000000000001" customHeight="1" x14ac:dyDescent="0.2">
      <c r="D202" s="6" t="str" cm="1">
        <f t="array" ref="D202">Common_SourceData.Common_SourceData_EFPastureRangeAndPaddock_Title()</f>
        <v>Emission factor for urine and dung deposited on pasture, range or paddock</v>
      </c>
    </row>
    <row r="203" spans="4:8" ht="20.100000000000001" customHeight="1" x14ac:dyDescent="0.2">
      <c r="D203" s="5" t="str" cm="1">
        <f t="array" ref="D203">Common_SourceData.Common_SourceData_EFPastureRangeAndPaddock_Source()</f>
        <v>VEERG 2026: Table A.2.2.2</v>
      </c>
    </row>
    <row r="204" spans="4:8" ht="20.100000000000001" customHeight="1" x14ac:dyDescent="0.2">
      <c r="D204" s="56" t="str" cm="1">
        <f t="array" ref="D204">Common_SourceData.Common_SourceData_EFPastureRangeAndPaddock_Variation()</f>
        <v>VARIATION FROM SOURCE DATA: Changed 'Dry climate zones' to singular 'Dry climate zone' to aid lookup.</v>
      </c>
    </row>
    <row r="205" spans="4:8" ht="20.100000000000001" customHeight="1" x14ac:dyDescent="0.2">
      <c r="D205" s="55" t="str" cm="1">
        <f t="array" ref="D205">Common_SourceData.Common_SourceData_EFPastureRangeAndPaddock_Unit()</f>
        <v>kg N2O - N / kg N</v>
      </c>
    </row>
    <row r="206" spans="4:8" ht="20.100000000000001" customHeight="1" x14ac:dyDescent="0.2">
      <c r="D206" s="38" t="s">
        <v>7</v>
      </c>
      <c r="E206" s="38" t="s">
        <v>356</v>
      </c>
    </row>
    <row r="207" spans="4:8" ht="20.100000000000001" customHeight="1" x14ac:dyDescent="0.2">
      <c r="D207" s="38" t="str" cm="1">
        <f t="array" ref="D207">Common_InputFunctions.Utility_DisplayArrayInTable(Common_SourceData.Common_SourceData_EFPastureRangeAndPaddock_Data(), Table_SourceData_EFPastureRangeAndPaddock[[#Headers],[Climate zone]], 0)</f>
        <v>Wet climate zone</v>
      </c>
      <c r="E207" s="38" cm="1">
        <f t="array" ref="E207">Common_InputFunctions.Utility_DisplayArrayInTable(Common_SourceData.Common_SourceData_EFPastureRangeAndPaddock_Data(), Table_SourceData_EFPastureRangeAndPaddock[[#Headers],[Climate zone]], 0)</f>
        <v>6.0000000000000001E-3</v>
      </c>
    </row>
    <row r="208" spans="4:8" ht="20.100000000000001" customHeight="1" x14ac:dyDescent="0.2">
      <c r="D208" s="1" t="str" cm="1">
        <f t="array" ref="D208">Common_InputFunctions.Utility_DisplayArrayInTable(Common_SourceData.Common_SourceData_EFPastureRangeAndPaddock_Data(), Table_SourceData_EFPastureRangeAndPaddock[[#Headers],[Climate zone]], 0)</f>
        <v>Dry climate zone</v>
      </c>
      <c r="E208" s="38" cm="1">
        <f t="array" ref="E208">Common_InputFunctions.Utility_DisplayArrayInTable(Common_SourceData.Common_SourceData_EFPastureRangeAndPaddock_Data(), Table_SourceData_EFPastureRangeAndPaddock[[#Headers],[Climate zone]], 0)</f>
        <v>2E-3</v>
      </c>
    </row>
    <row r="211" spans="4:5" ht="20.100000000000001" customHeight="1" x14ac:dyDescent="0.2">
      <c r="D211" s="1" t="str" cm="1">
        <f t="array" ref="D211">Common_SourceData.Common_SourceData_MonthsToSeasons_Title()</f>
        <v>Months to Seasons Mapping</v>
      </c>
    </row>
    <row r="212" spans="4:5" ht="20.100000000000001" customHeight="1" x14ac:dyDescent="0.2">
      <c r="D212" s="38" t="s">
        <v>385</v>
      </c>
      <c r="E212" s="38" t="s">
        <v>386</v>
      </c>
    </row>
    <row r="213" spans="4:5" ht="20.100000000000001" customHeight="1" x14ac:dyDescent="0.2">
      <c r="D213" s="38" t="str" cm="1">
        <f t="array" ref="D213">Common_InputFunctions.Utility_DisplayArrayInTable(Common_SourceData.Common_SourceData_MonthsToSeasons_Data(), Table_SourceData_Common_MonthToSeason[[#Headers],[Month]], 0)</f>
        <v>January</v>
      </c>
      <c r="E213" s="38" t="str" cm="1">
        <f t="array" ref="E213">Common_InputFunctions.Utility_DisplayArrayInTable(Common_SourceData.Common_SourceData_MonthsToSeasons_Data(), Table_SourceData_Common_MonthToSeason[[#Headers],[Month]], 0)</f>
        <v>Summer</v>
      </c>
    </row>
    <row r="214" spans="4:5" ht="20.100000000000001" customHeight="1" x14ac:dyDescent="0.2">
      <c r="D214" s="1" t="str" cm="1">
        <f t="array" ref="D214">Common_InputFunctions.Utility_DisplayArrayInTable(Common_SourceData.Common_SourceData_MonthsToSeasons_Data(), Table_SourceData_Common_MonthToSeason[[#Headers],[Month]], 0)</f>
        <v>February</v>
      </c>
      <c r="E214" s="38" t="str" cm="1">
        <f t="array" ref="E214">Common_InputFunctions.Utility_DisplayArrayInTable(Common_SourceData.Common_SourceData_MonthsToSeasons_Data(), Table_SourceData_Common_MonthToSeason[[#Headers],[Month]], 0)</f>
        <v>Summer</v>
      </c>
    </row>
    <row r="215" spans="4:5" ht="20.100000000000001" customHeight="1" x14ac:dyDescent="0.2">
      <c r="D215" s="1" t="str" cm="1">
        <f t="array" ref="D215">Common_InputFunctions.Utility_DisplayArrayInTable(Common_SourceData.Common_SourceData_MonthsToSeasons_Data(), Table_SourceData_Common_MonthToSeason[[#Headers],[Month]], 0)</f>
        <v>March</v>
      </c>
      <c r="E215" s="38" t="str" cm="1">
        <f t="array" ref="E215">Common_InputFunctions.Utility_DisplayArrayInTable(Common_SourceData.Common_SourceData_MonthsToSeasons_Data(), Table_SourceData_Common_MonthToSeason[[#Headers],[Month]], 0)</f>
        <v>Autumn</v>
      </c>
    </row>
    <row r="216" spans="4:5" ht="20.100000000000001" customHeight="1" x14ac:dyDescent="0.2">
      <c r="D216" s="1" t="str" cm="1">
        <f t="array" ref="D216">Common_InputFunctions.Utility_DisplayArrayInTable(Common_SourceData.Common_SourceData_MonthsToSeasons_Data(), Table_SourceData_Common_MonthToSeason[[#Headers],[Month]], 0)</f>
        <v>April</v>
      </c>
      <c r="E216" s="38" t="str" cm="1">
        <f t="array" ref="E216">Common_InputFunctions.Utility_DisplayArrayInTable(Common_SourceData.Common_SourceData_MonthsToSeasons_Data(), Table_SourceData_Common_MonthToSeason[[#Headers],[Month]], 0)</f>
        <v>Autumn</v>
      </c>
    </row>
    <row r="217" spans="4:5" ht="20.100000000000001" customHeight="1" x14ac:dyDescent="0.2">
      <c r="D217" s="1" t="str" cm="1">
        <f t="array" ref="D217">Common_InputFunctions.Utility_DisplayArrayInTable(Common_SourceData.Common_SourceData_MonthsToSeasons_Data(), Table_SourceData_Common_MonthToSeason[[#Headers],[Month]], 0)</f>
        <v>May</v>
      </c>
      <c r="E217" s="38" t="str" cm="1">
        <f t="array" ref="E217">Common_InputFunctions.Utility_DisplayArrayInTable(Common_SourceData.Common_SourceData_MonthsToSeasons_Data(), Table_SourceData_Common_MonthToSeason[[#Headers],[Month]], 0)</f>
        <v>Autumn</v>
      </c>
    </row>
    <row r="218" spans="4:5" ht="20.100000000000001" customHeight="1" x14ac:dyDescent="0.2">
      <c r="D218" s="1" t="str" cm="1">
        <f t="array" ref="D218">Common_InputFunctions.Utility_DisplayArrayInTable(Common_SourceData.Common_SourceData_MonthsToSeasons_Data(), Table_SourceData_Common_MonthToSeason[[#Headers],[Month]], 0)</f>
        <v>June</v>
      </c>
      <c r="E218" s="38" t="str" cm="1">
        <f t="array" ref="E218">Common_InputFunctions.Utility_DisplayArrayInTable(Common_SourceData.Common_SourceData_MonthsToSeasons_Data(), Table_SourceData_Common_MonthToSeason[[#Headers],[Month]], 0)</f>
        <v>Winter</v>
      </c>
    </row>
    <row r="219" spans="4:5" ht="20.100000000000001" customHeight="1" x14ac:dyDescent="0.2">
      <c r="D219" s="1" t="str" cm="1">
        <f t="array" ref="D219">Common_InputFunctions.Utility_DisplayArrayInTable(Common_SourceData.Common_SourceData_MonthsToSeasons_Data(), Table_SourceData_Common_MonthToSeason[[#Headers],[Month]], 0)</f>
        <v>July</v>
      </c>
      <c r="E219" s="38" t="str" cm="1">
        <f t="array" ref="E219">Common_InputFunctions.Utility_DisplayArrayInTable(Common_SourceData.Common_SourceData_MonthsToSeasons_Data(), Table_SourceData_Common_MonthToSeason[[#Headers],[Month]], 0)</f>
        <v>Winter</v>
      </c>
    </row>
    <row r="220" spans="4:5" ht="20.100000000000001" customHeight="1" x14ac:dyDescent="0.2">
      <c r="D220" s="1" t="str" cm="1">
        <f t="array" ref="D220">Common_InputFunctions.Utility_DisplayArrayInTable(Common_SourceData.Common_SourceData_MonthsToSeasons_Data(), Table_SourceData_Common_MonthToSeason[[#Headers],[Month]], 0)</f>
        <v>August</v>
      </c>
      <c r="E220" s="38" t="str" cm="1">
        <f t="array" ref="E220">Common_InputFunctions.Utility_DisplayArrayInTable(Common_SourceData.Common_SourceData_MonthsToSeasons_Data(), Table_SourceData_Common_MonthToSeason[[#Headers],[Month]], 0)</f>
        <v>Winter</v>
      </c>
    </row>
    <row r="221" spans="4:5" ht="20.100000000000001" customHeight="1" x14ac:dyDescent="0.2">
      <c r="D221" s="1" t="str" cm="1">
        <f t="array" ref="D221">Common_InputFunctions.Utility_DisplayArrayInTable(Common_SourceData.Common_SourceData_MonthsToSeasons_Data(), Table_SourceData_Common_MonthToSeason[[#Headers],[Month]], 0)</f>
        <v>September</v>
      </c>
      <c r="E221" s="38" t="str" cm="1">
        <f t="array" ref="E221">Common_InputFunctions.Utility_DisplayArrayInTable(Common_SourceData.Common_SourceData_MonthsToSeasons_Data(), Table_SourceData_Common_MonthToSeason[[#Headers],[Month]], 0)</f>
        <v>Spring</v>
      </c>
    </row>
    <row r="222" spans="4:5" ht="20.100000000000001" customHeight="1" x14ac:dyDescent="0.2">
      <c r="D222" s="1" t="str" cm="1">
        <f t="array" ref="D222">Common_InputFunctions.Utility_DisplayArrayInTable(Common_SourceData.Common_SourceData_MonthsToSeasons_Data(), Table_SourceData_Common_MonthToSeason[[#Headers],[Month]], 0)</f>
        <v>October</v>
      </c>
      <c r="E222" s="38" t="str" cm="1">
        <f t="array" ref="E222">Common_InputFunctions.Utility_DisplayArrayInTable(Common_SourceData.Common_SourceData_MonthsToSeasons_Data(), Table_SourceData_Common_MonthToSeason[[#Headers],[Month]], 0)</f>
        <v>Spring</v>
      </c>
    </row>
    <row r="223" spans="4:5" ht="20.100000000000001" customHeight="1" x14ac:dyDescent="0.2">
      <c r="D223" s="1" t="str" cm="1">
        <f t="array" ref="D223">Common_InputFunctions.Utility_DisplayArrayInTable(Common_SourceData.Common_SourceData_MonthsToSeasons_Data(), Table_SourceData_Common_MonthToSeason[[#Headers],[Month]], 0)</f>
        <v>November</v>
      </c>
      <c r="E223" s="38" t="str" cm="1">
        <f t="array" ref="E223">Common_InputFunctions.Utility_DisplayArrayInTable(Common_SourceData.Common_SourceData_MonthsToSeasons_Data(), Table_SourceData_Common_MonthToSeason[[#Headers],[Month]], 0)</f>
        <v>Spring</v>
      </c>
    </row>
    <row r="224" spans="4:5" ht="20.100000000000001" customHeight="1" x14ac:dyDescent="0.2">
      <c r="D224" s="1" t="str" cm="1">
        <f t="array" ref="D224">Common_InputFunctions.Utility_DisplayArrayInTable(Common_SourceData.Common_SourceData_MonthsToSeasons_Data(), Table_SourceData_Common_MonthToSeason[[#Headers],[Month]], 0)</f>
        <v>December</v>
      </c>
      <c r="E224" s="38" t="str" cm="1">
        <f t="array" ref="E224">Common_InputFunctions.Utility_DisplayArrayInTable(Common_SourceData.Common_SourceData_MonthsToSeasons_Data(), Table_SourceData_Common_MonthToSeason[[#Headers],[Month]], 0)</f>
        <v>Summer</v>
      </c>
    </row>
    <row r="227" spans="4:19" ht="20.100000000000001" customHeight="1" x14ac:dyDescent="0.2">
      <c r="D227" s="6" t="str" cm="1">
        <f t="array" ref="D227">Common_SourceData.Common_SourceData_MCFTemperatureZone_Title()</f>
        <v>Manure Management – Methane conversion factor per temperature zone (fraction) (MCFim)</v>
      </c>
    </row>
    <row r="228" spans="4:19" ht="20.100000000000001" customHeight="1" x14ac:dyDescent="0.2">
      <c r="D228" s="5" t="str" cm="1">
        <f t="array" ref="D228">Common_SourceData.Common_SourceData_MCFTemperatureZone_Source()</f>
        <v>VEERG 2026: Table A.1.8.1</v>
      </c>
    </row>
    <row r="229" spans="4:19" ht="20.100000000000001" customHeight="1" x14ac:dyDescent="0.2">
      <c r="D229" s="56"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ht="20.100000000000001" customHeight="1" x14ac:dyDescent="0.2">
      <c r="D231" s="38" t="s">
        <v>51</v>
      </c>
      <c r="E231" s="38" t="s">
        <v>394</v>
      </c>
      <c r="F231" s="37" t="s">
        <v>395</v>
      </c>
      <c r="G231" s="38" t="s">
        <v>396</v>
      </c>
      <c r="H231" s="38" t="s">
        <v>397</v>
      </c>
      <c r="I231" s="38" t="s">
        <v>398</v>
      </c>
      <c r="J231" s="38" t="s">
        <v>399</v>
      </c>
      <c r="K231" s="38" t="s">
        <v>400</v>
      </c>
      <c r="L231" s="38" t="s">
        <v>401</v>
      </c>
      <c r="M231" s="38" t="s">
        <v>402</v>
      </c>
      <c r="N231" s="38" t="s">
        <v>403</v>
      </c>
      <c r="O231" s="38" t="s">
        <v>404</v>
      </c>
      <c r="P231" s="38" t="s">
        <v>405</v>
      </c>
      <c r="Q231" s="38" t="s">
        <v>406</v>
      </c>
      <c r="R231" s="38" t="s">
        <v>407</v>
      </c>
      <c r="S231" s="38" t="s">
        <v>408</v>
      </c>
    </row>
    <row r="232" spans="4:19" ht="20.100000000000001" customHeight="1" x14ac:dyDescent="0.2">
      <c r="D232" s="38" t="str" cm="1">
        <f t="array" ref="D232">Common_InputFunctions.Utility_DisplayArrayInTable(Common_SourceData.Common_SourceData_MCFTemperatureZone_Data(),Table_SourceData_Common_MCFTemperatureZone[[#Headers],[Temperature zone]],0)</f>
        <v>Cool</v>
      </c>
      <c r="E232" s="38" t="str" cm="1">
        <f t="array" ref="E232">Common_InputFunctions.Utility_DisplayArrayInTable(Common_SourceData.Common_SourceData_MCFTemperatureZone_Data(),Table_SourceData_Common_MCFTemperatureZone[[#Headers],[Temperature zone]],0)</f>
        <v>≤10</v>
      </c>
      <c r="F232" s="38" cm="1">
        <f t="array" ref="F232">Common_InputFunctions.Utility_DisplayArrayInTable(Common_SourceData.Common_SourceData_MCFTemperatureZone_Data(),Table_SourceData_Common_MCFTemperatureZone[[#Headers],[Temperature zone]],0)</f>
        <v>0.66</v>
      </c>
      <c r="G232" s="38" cm="1">
        <f t="array" ref="G232">Common_InputFunctions.Utility_DisplayArrayInTable(Common_SourceData.Common_SourceData_MCFTemperatureZone_Data(),Table_SourceData_Common_MCFTemperatureZone[[#Headers],[Temperature zone]],0)</f>
        <v>0.1</v>
      </c>
      <c r="H232" s="38" cm="1">
        <f t="array" ref="H232">Common_InputFunctions.Utility_DisplayArrayInTable(Common_SourceData.Common_SourceData_MCFTemperatureZone_Data(),Table_SourceData_Common_MCFTemperatureZone[[#Headers],[Temperature zone]],0)</f>
        <v>0.1</v>
      </c>
      <c r="I232" s="38" cm="1">
        <f t="array" ref="I232">Common_InputFunctions.Utility_DisplayArrayInTable(Common_SourceData.Common_SourceData_MCFTemperatureZone_Data(),Table_SourceData_Common_MCFTemperatureZone[[#Headers],[Temperature zone]],0)</f>
        <v>1E-3</v>
      </c>
      <c r="J232" s="38" cm="1">
        <f t="array" ref="J232">Common_InputFunctions.Utility_DisplayArrayInTable(Common_SourceData.Common_SourceData_MCFTemperatureZone_Data(),Table_SourceData_Common_MCFTemperatureZone[[#Headers],[Temperature zone]],0)</f>
        <v>5.0000000000000001E-3</v>
      </c>
      <c r="K232" s="38" cm="1">
        <f t="array" ref="K232">Common_InputFunctions.Utility_DisplayArrayInTable(Common_SourceData.Common_SourceData_MCFTemperatureZone_Data(),Table_SourceData_Common_MCFTemperatureZone[[#Headers],[Temperature zone]],0)</f>
        <v>0.02</v>
      </c>
      <c r="L232" s="38" cm="1">
        <f t="array" ref="L232">Common_InputFunctions.Utility_DisplayArrayInTable(Common_SourceData.Common_SourceData_MCFTemperatureZone_Data(),Table_SourceData_Common_MCFTemperatureZone[[#Headers],[Temperature zone]],0)</f>
        <v>0.03</v>
      </c>
      <c r="M232" s="38" cm="1">
        <f t="array" ref="M232">Common_InputFunctions.Utility_DisplayArrayInTable(Common_SourceData.Common_SourceData_MCFTemperatureZone_Data(),Table_SourceData_Common_MCFTemperatureZone[[#Headers],[Temperature zone]],0)</f>
        <v>0.04</v>
      </c>
      <c r="N232" s="38" cm="1">
        <f t="array" ref="N232">Common_InputFunctions.Utility_DisplayArrayInTable(Common_SourceData.Common_SourceData_MCFTemperatureZone_Data(),Table_SourceData_Common_MCFTemperatureZone[[#Headers],[Temperature zone]],0)</f>
        <v>1.4999999999999999E-2</v>
      </c>
      <c r="O232" s="38" cm="1">
        <f t="array" ref="O232">Common_InputFunctions.Utility_DisplayArrayInTable(Common_SourceData.Common_SourceData_MCFTemperatureZone_Data(),Table_SourceData_Common_MCFTemperatureZone[[#Headers],[Temperature zone]],0)</f>
        <v>1.4999999999999999E-2</v>
      </c>
      <c r="P232" s="38" cm="1">
        <f t="array" ref="P232">Common_InputFunctions.Utility_DisplayArrayInTable(Common_SourceData.Common_SourceData_MCFTemperatureZone_Data(),Table_SourceData_Common_MCFTemperatureZone[[#Headers],[Temperature zone]],0)</f>
        <v>0</v>
      </c>
      <c r="Q232" s="38" cm="1">
        <f t="array" ref="Q232">Common_InputFunctions.Utility_DisplayArrayInTable(Common_SourceData.Common_SourceData_MCFTemperatureZone_Data(),Table_SourceData_Common_MCFTemperatureZone[[#Headers],[Temperature zone]],0)</f>
        <v>0</v>
      </c>
      <c r="R232" s="38" cm="1">
        <f t="array" ref="R232">Common_InputFunctions.Utility_DisplayArrayInTable(Common_SourceData.Common_SourceData_MCFTemperatureZone_Data(),Table_SourceData_Common_MCFTemperatureZone[[#Headers],[Temperature zone]],0)</f>
        <v>4.7000000000000002E-3</v>
      </c>
      <c r="S232" s="38" cm="1">
        <f t="array" ref="S232">Common_InputFunctions.Utility_DisplayArrayInTable(Common_SourceData.Common_SourceData_MCFTemperatureZone_Data(),Table_SourceData_Common_MCFTemperatureZone[[#Headers],[Temperature zone]],0)</f>
        <v>10</v>
      </c>
    </row>
    <row r="233" spans="4:19" ht="20.100000000000001" customHeight="1" x14ac:dyDescent="0.2">
      <c r="D233" s="1" t="str" cm="1">
        <f t="array" ref="D233">Common_InputFunctions.Utility_DisplayArrayInTable(Common_SourceData.Common_SourceData_MCFTemperatureZone_Data(),Table_SourceData_Common_MCFTemperatureZone[[#Headers],[Temperature zone]],0)</f>
        <v>Cool</v>
      </c>
      <c r="E233" s="38" cm="1">
        <f t="array" ref="E233">Common_InputFunctions.Utility_DisplayArrayInTable(Common_SourceData.Common_SourceData_MCFTemperatureZone_Data(),Table_SourceData_Common_MCFTemperatureZone[[#Headers],[Temperature zone]],0)</f>
        <v>11</v>
      </c>
      <c r="F233" s="38" cm="1">
        <f t="array" ref="F233">Common_InputFunctions.Utility_DisplayArrayInTable(Common_SourceData.Common_SourceData_MCFTemperatureZone_Data(),Table_SourceData_Common_MCFTemperatureZone[[#Headers],[Temperature zone]],0)</f>
        <v>0.68</v>
      </c>
      <c r="G233" s="38" cm="1">
        <f t="array" ref="G233">Common_InputFunctions.Utility_DisplayArrayInTable(Common_SourceData.Common_SourceData_MCFTemperatureZone_Data(),Table_SourceData_Common_MCFTemperatureZone[[#Headers],[Temperature zone]],0)</f>
        <v>0.1</v>
      </c>
      <c r="H233" s="38" cm="1">
        <f t="array" ref="H233">Common_InputFunctions.Utility_DisplayArrayInTable(Common_SourceData.Common_SourceData_MCFTemperatureZone_Data(),Table_SourceData_Common_MCFTemperatureZone[[#Headers],[Temperature zone]],0)</f>
        <v>0.11</v>
      </c>
      <c r="I233" s="38" cm="1">
        <f t="array" ref="I233">Common_InputFunctions.Utility_DisplayArrayInTable(Common_SourceData.Common_SourceData_MCFTemperatureZone_Data(),Table_SourceData_Common_MCFTemperatureZone[[#Headers],[Temperature zone]],0)</f>
        <v>1E-3</v>
      </c>
      <c r="J233" s="38" cm="1">
        <f t="array" ref="J233">Common_InputFunctions.Utility_DisplayArrayInTable(Common_SourceData.Common_SourceData_MCFTemperatureZone_Data(),Table_SourceData_Common_MCFTemperatureZone[[#Headers],[Temperature zone]],0)</f>
        <v>5.0000000000000001E-3</v>
      </c>
      <c r="K233" s="38" cm="1">
        <f t="array" ref="K233">Common_InputFunctions.Utility_DisplayArrayInTable(Common_SourceData.Common_SourceData_MCFTemperatureZone_Data(),Table_SourceData_Common_MCFTemperatureZone[[#Headers],[Temperature zone]],0)</f>
        <v>0.02</v>
      </c>
      <c r="L233" s="38" cm="1">
        <f t="array" ref="L233">Common_InputFunctions.Utility_DisplayArrayInTable(Common_SourceData.Common_SourceData_MCFTemperatureZone_Data(),Table_SourceData_Common_MCFTemperatureZone[[#Headers],[Temperature zone]],0)</f>
        <v>0.03</v>
      </c>
      <c r="M233" s="38" cm="1">
        <f t="array" ref="M233">Common_InputFunctions.Utility_DisplayArrayInTable(Common_SourceData.Common_SourceData_MCFTemperatureZone_Data(),Table_SourceData_Common_MCFTemperatureZone[[#Headers],[Temperature zone]],0)</f>
        <v>0.04</v>
      </c>
      <c r="N233" s="38" cm="1">
        <f t="array" ref="N233">Common_InputFunctions.Utility_DisplayArrayInTable(Common_SourceData.Common_SourceData_MCFTemperatureZone_Data(),Table_SourceData_Common_MCFTemperatureZone[[#Headers],[Temperature zone]],0)</f>
        <v>1.4999999999999999E-2</v>
      </c>
      <c r="O233" s="38" cm="1">
        <f t="array" ref="O233">Common_InputFunctions.Utility_DisplayArrayInTable(Common_SourceData.Common_SourceData_MCFTemperatureZone_Data(),Table_SourceData_Common_MCFTemperatureZone[[#Headers],[Temperature zone]],0)</f>
        <v>1.4999999999999999E-2</v>
      </c>
      <c r="P233" s="38" cm="1">
        <f t="array" ref="P233">Common_InputFunctions.Utility_DisplayArrayInTable(Common_SourceData.Common_SourceData_MCFTemperatureZone_Data(),Table_SourceData_Common_MCFTemperatureZone[[#Headers],[Temperature zone]],0)</f>
        <v>0</v>
      </c>
      <c r="Q233" s="38" cm="1">
        <f t="array" ref="Q233">Common_InputFunctions.Utility_DisplayArrayInTable(Common_SourceData.Common_SourceData_MCFTemperatureZone_Data(),Table_SourceData_Common_MCFTemperatureZone[[#Headers],[Temperature zone]],0)</f>
        <v>0</v>
      </c>
      <c r="R233" s="38" cm="1">
        <f t="array" ref="R233">Common_InputFunctions.Utility_DisplayArrayInTable(Common_SourceData.Common_SourceData_MCFTemperatureZone_Data(),Table_SourceData_Common_MCFTemperatureZone[[#Headers],[Temperature zone]],0)</f>
        <v>4.7000000000000002E-3</v>
      </c>
      <c r="S233" s="38" cm="1">
        <f t="array" ref="S233">Common_InputFunctions.Utility_DisplayArrayInTable(Common_SourceData.Common_SourceData_MCFTemperatureZone_Data(),Table_SourceData_Common_MCFTemperatureZone[[#Headers],[Temperature zone]],0)</f>
        <v>11</v>
      </c>
    </row>
    <row r="234" spans="4:19" ht="20.100000000000001" customHeight="1" x14ac:dyDescent="0.2">
      <c r="D234" s="1" t="str" cm="1">
        <f t="array" ref="D234">Common_InputFunctions.Utility_DisplayArrayInTable(Common_SourceData.Common_SourceData_MCFTemperatureZone_Data(),Table_SourceData_Common_MCFTemperatureZone[[#Headers],[Temperature zone]],0)</f>
        <v>Cool</v>
      </c>
      <c r="E234" s="38" cm="1">
        <f t="array" ref="E234">Common_InputFunctions.Utility_DisplayArrayInTable(Common_SourceData.Common_SourceData_MCFTemperatureZone_Data(),Table_SourceData_Common_MCFTemperatureZone[[#Headers],[Temperature zone]],0)</f>
        <v>12</v>
      </c>
      <c r="F234" s="38" cm="1">
        <f t="array" ref="F234">Common_InputFunctions.Utility_DisplayArrayInTable(Common_SourceData.Common_SourceData_MCFTemperatureZone_Data(),Table_SourceData_Common_MCFTemperatureZone[[#Headers],[Temperature zone]],0)</f>
        <v>0.7</v>
      </c>
      <c r="G234" s="38" cm="1">
        <f t="array" ref="G234">Common_InputFunctions.Utility_DisplayArrayInTable(Common_SourceData.Common_SourceData_MCFTemperatureZone_Data(),Table_SourceData_Common_MCFTemperatureZone[[#Headers],[Temperature zone]],0)</f>
        <v>0.1</v>
      </c>
      <c r="H234" s="38" cm="1">
        <f t="array" ref="H234">Common_InputFunctions.Utility_DisplayArrayInTable(Common_SourceData.Common_SourceData_MCFTemperatureZone_Data(),Table_SourceData_Common_MCFTemperatureZone[[#Headers],[Temperature zone]],0)</f>
        <v>0.13</v>
      </c>
      <c r="I234" s="38" cm="1">
        <f t="array" ref="I234">Common_InputFunctions.Utility_DisplayArrayInTable(Common_SourceData.Common_SourceData_MCFTemperatureZone_Data(),Table_SourceData_Common_MCFTemperatureZone[[#Headers],[Temperature zone]],0)</f>
        <v>1E-3</v>
      </c>
      <c r="J234" s="38" cm="1">
        <f t="array" ref="J234">Common_InputFunctions.Utility_DisplayArrayInTable(Common_SourceData.Common_SourceData_MCFTemperatureZone_Data(),Table_SourceData_Common_MCFTemperatureZone[[#Headers],[Temperature zone]],0)</f>
        <v>5.0000000000000001E-3</v>
      </c>
      <c r="K234" s="38" cm="1">
        <f t="array" ref="K234">Common_InputFunctions.Utility_DisplayArrayInTable(Common_SourceData.Common_SourceData_MCFTemperatureZone_Data(),Table_SourceData_Common_MCFTemperatureZone[[#Headers],[Temperature zone]],0)</f>
        <v>0.02</v>
      </c>
      <c r="L234" s="38" cm="1">
        <f t="array" ref="L234">Common_InputFunctions.Utility_DisplayArrayInTable(Common_SourceData.Common_SourceData_MCFTemperatureZone_Data(),Table_SourceData_Common_MCFTemperatureZone[[#Headers],[Temperature zone]],0)</f>
        <v>0.03</v>
      </c>
      <c r="M234" s="38" cm="1">
        <f t="array" ref="M234">Common_InputFunctions.Utility_DisplayArrayInTable(Common_SourceData.Common_SourceData_MCFTemperatureZone_Data(),Table_SourceData_Common_MCFTemperatureZone[[#Headers],[Temperature zone]],0)</f>
        <v>0.04</v>
      </c>
      <c r="N234" s="38" cm="1">
        <f t="array" ref="N234">Common_InputFunctions.Utility_DisplayArrayInTable(Common_SourceData.Common_SourceData_MCFTemperatureZone_Data(),Table_SourceData_Common_MCFTemperatureZone[[#Headers],[Temperature zone]],0)</f>
        <v>1.4999999999999999E-2</v>
      </c>
      <c r="O234" s="38" cm="1">
        <f t="array" ref="O234">Common_InputFunctions.Utility_DisplayArrayInTable(Common_SourceData.Common_SourceData_MCFTemperatureZone_Data(),Table_SourceData_Common_MCFTemperatureZone[[#Headers],[Temperature zone]],0)</f>
        <v>1.4999999999999999E-2</v>
      </c>
      <c r="P234" s="38" cm="1">
        <f t="array" ref="P234">Common_InputFunctions.Utility_DisplayArrayInTable(Common_SourceData.Common_SourceData_MCFTemperatureZone_Data(),Table_SourceData_Common_MCFTemperatureZone[[#Headers],[Temperature zone]],0)</f>
        <v>0</v>
      </c>
      <c r="Q234" s="38" cm="1">
        <f t="array" ref="Q234">Common_InputFunctions.Utility_DisplayArrayInTable(Common_SourceData.Common_SourceData_MCFTemperatureZone_Data(),Table_SourceData_Common_MCFTemperatureZone[[#Headers],[Temperature zone]],0)</f>
        <v>0</v>
      </c>
      <c r="R234" s="38" cm="1">
        <f t="array" ref="R234">Common_InputFunctions.Utility_DisplayArrayInTable(Common_SourceData.Common_SourceData_MCFTemperatureZone_Data(),Table_SourceData_Common_MCFTemperatureZone[[#Headers],[Temperature zone]],0)</f>
        <v>4.7000000000000002E-3</v>
      </c>
      <c r="S234" s="38" cm="1">
        <f t="array" ref="S234">Common_InputFunctions.Utility_DisplayArrayInTable(Common_SourceData.Common_SourceData_MCFTemperatureZone_Data(),Table_SourceData_Common_MCFTemperatureZone[[#Headers],[Temperature zone]],0)</f>
        <v>12</v>
      </c>
    </row>
    <row r="235" spans="4:19" ht="20.100000000000001" customHeight="1" x14ac:dyDescent="0.2">
      <c r="D235" s="1" t="str" cm="1">
        <f t="array" ref="D235">Common_InputFunctions.Utility_DisplayArrayInTable(Common_SourceData.Common_SourceData_MCFTemperatureZone_Data(),Table_SourceData_Common_MCFTemperatureZone[[#Headers],[Temperature zone]],0)</f>
        <v>Cool</v>
      </c>
      <c r="E235" s="38" cm="1">
        <f t="array" ref="E235">Common_InputFunctions.Utility_DisplayArrayInTable(Common_SourceData.Common_SourceData_MCFTemperatureZone_Data(),Table_SourceData_Common_MCFTemperatureZone[[#Headers],[Temperature zone]],0)</f>
        <v>13</v>
      </c>
      <c r="F235" s="38" cm="1">
        <f t="array" ref="F235">Common_InputFunctions.Utility_DisplayArrayInTable(Common_SourceData.Common_SourceData_MCFTemperatureZone_Data(),Table_SourceData_Common_MCFTemperatureZone[[#Headers],[Temperature zone]],0)</f>
        <v>0.71</v>
      </c>
      <c r="G235" s="38" cm="1">
        <f t="array" ref="G235">Common_InputFunctions.Utility_DisplayArrayInTable(Common_SourceData.Common_SourceData_MCFTemperatureZone_Data(),Table_SourceData_Common_MCFTemperatureZone[[#Headers],[Temperature zone]],0)</f>
        <v>0.1</v>
      </c>
      <c r="H235" s="38" cm="1">
        <f t="array" ref="H235">Common_InputFunctions.Utility_DisplayArrayInTable(Common_SourceData.Common_SourceData_MCFTemperatureZone_Data(),Table_SourceData_Common_MCFTemperatureZone[[#Headers],[Temperature zone]],0)</f>
        <v>0.14000000000000001</v>
      </c>
      <c r="I235" s="38" cm="1">
        <f t="array" ref="I235">Common_InputFunctions.Utility_DisplayArrayInTable(Common_SourceData.Common_SourceData_MCFTemperatureZone_Data(),Table_SourceData_Common_MCFTemperatureZone[[#Headers],[Temperature zone]],0)</f>
        <v>1E-3</v>
      </c>
      <c r="J235" s="38" cm="1">
        <f t="array" ref="J235">Common_InputFunctions.Utility_DisplayArrayInTable(Common_SourceData.Common_SourceData_MCFTemperatureZone_Data(),Table_SourceData_Common_MCFTemperatureZone[[#Headers],[Temperature zone]],0)</f>
        <v>5.0000000000000001E-3</v>
      </c>
      <c r="K235" s="38" cm="1">
        <f t="array" ref="K235">Common_InputFunctions.Utility_DisplayArrayInTable(Common_SourceData.Common_SourceData_MCFTemperatureZone_Data(),Table_SourceData_Common_MCFTemperatureZone[[#Headers],[Temperature zone]],0)</f>
        <v>0.02</v>
      </c>
      <c r="L235" s="38" cm="1">
        <f t="array" ref="L235">Common_InputFunctions.Utility_DisplayArrayInTable(Common_SourceData.Common_SourceData_MCFTemperatureZone_Data(),Table_SourceData_Common_MCFTemperatureZone[[#Headers],[Temperature zone]],0)</f>
        <v>0.03</v>
      </c>
      <c r="M235" s="38" cm="1">
        <f t="array" ref="M235">Common_InputFunctions.Utility_DisplayArrayInTable(Common_SourceData.Common_SourceData_MCFTemperatureZone_Data(),Table_SourceData_Common_MCFTemperatureZone[[#Headers],[Temperature zone]],0)</f>
        <v>0.04</v>
      </c>
      <c r="N235" s="38" cm="1">
        <f t="array" ref="N235">Common_InputFunctions.Utility_DisplayArrayInTable(Common_SourceData.Common_SourceData_MCFTemperatureZone_Data(),Table_SourceData_Common_MCFTemperatureZone[[#Headers],[Temperature zone]],0)</f>
        <v>1.4999999999999999E-2</v>
      </c>
      <c r="O235" s="38" cm="1">
        <f t="array" ref="O235">Common_InputFunctions.Utility_DisplayArrayInTable(Common_SourceData.Common_SourceData_MCFTemperatureZone_Data(),Table_SourceData_Common_MCFTemperatureZone[[#Headers],[Temperature zone]],0)</f>
        <v>1.4999999999999999E-2</v>
      </c>
      <c r="P235" s="38" cm="1">
        <f t="array" ref="P235">Common_InputFunctions.Utility_DisplayArrayInTable(Common_SourceData.Common_SourceData_MCFTemperatureZone_Data(),Table_SourceData_Common_MCFTemperatureZone[[#Headers],[Temperature zone]],0)</f>
        <v>0</v>
      </c>
      <c r="Q235" s="38" cm="1">
        <f t="array" ref="Q235">Common_InputFunctions.Utility_DisplayArrayInTable(Common_SourceData.Common_SourceData_MCFTemperatureZone_Data(),Table_SourceData_Common_MCFTemperatureZone[[#Headers],[Temperature zone]],0)</f>
        <v>0</v>
      </c>
      <c r="R235" s="38" cm="1">
        <f t="array" ref="R235">Common_InputFunctions.Utility_DisplayArrayInTable(Common_SourceData.Common_SourceData_MCFTemperatureZone_Data(),Table_SourceData_Common_MCFTemperatureZone[[#Headers],[Temperature zone]],0)</f>
        <v>4.7000000000000002E-3</v>
      </c>
      <c r="S235" s="38" cm="1">
        <f t="array" ref="S235">Common_InputFunctions.Utility_DisplayArrayInTable(Common_SourceData.Common_SourceData_MCFTemperatureZone_Data(),Table_SourceData_Common_MCFTemperatureZone[[#Headers],[Temperature zone]],0)</f>
        <v>13</v>
      </c>
    </row>
    <row r="236" spans="4:19" ht="20.100000000000001" customHeight="1" x14ac:dyDescent="0.2">
      <c r="D236" s="1" t="str" cm="1">
        <f t="array" ref="D236">Common_InputFunctions.Utility_DisplayArrayInTable(Common_SourceData.Common_SourceData_MCFTemperatureZone_Data(),Table_SourceData_Common_MCFTemperatureZone[[#Headers],[Temperature zone]],0)</f>
        <v>Cool</v>
      </c>
      <c r="E236" s="38" cm="1">
        <f t="array" ref="E236">Common_InputFunctions.Utility_DisplayArrayInTable(Common_SourceData.Common_SourceData_MCFTemperatureZone_Data(),Table_SourceData_Common_MCFTemperatureZone[[#Headers],[Temperature zone]],0)</f>
        <v>14</v>
      </c>
      <c r="F236" s="38" cm="1">
        <f t="array" ref="F236">Common_InputFunctions.Utility_DisplayArrayInTable(Common_SourceData.Common_SourceData_MCFTemperatureZone_Data(),Table_SourceData_Common_MCFTemperatureZone[[#Headers],[Temperature zone]],0)</f>
        <v>0.73</v>
      </c>
      <c r="G236" s="38" cm="1">
        <f t="array" ref="G236">Common_InputFunctions.Utility_DisplayArrayInTable(Common_SourceData.Common_SourceData_MCFTemperatureZone_Data(),Table_SourceData_Common_MCFTemperatureZone[[#Headers],[Temperature zone]],0)</f>
        <v>0.1</v>
      </c>
      <c r="H236" s="38" cm="1">
        <f t="array" ref="H236">Common_InputFunctions.Utility_DisplayArrayInTable(Common_SourceData.Common_SourceData_MCFTemperatureZone_Data(),Table_SourceData_Common_MCFTemperatureZone[[#Headers],[Temperature zone]],0)</f>
        <v>0.15</v>
      </c>
      <c r="I236" s="38" cm="1">
        <f t="array" ref="I236">Common_InputFunctions.Utility_DisplayArrayInTable(Common_SourceData.Common_SourceData_MCFTemperatureZone_Data(),Table_SourceData_Common_MCFTemperatureZone[[#Headers],[Temperature zone]],0)</f>
        <v>1E-3</v>
      </c>
      <c r="J236" s="38" cm="1">
        <f t="array" ref="J236">Common_InputFunctions.Utility_DisplayArrayInTable(Common_SourceData.Common_SourceData_MCFTemperatureZone_Data(),Table_SourceData_Common_MCFTemperatureZone[[#Headers],[Temperature zone]],0)</f>
        <v>5.0000000000000001E-3</v>
      </c>
      <c r="K236" s="38" cm="1">
        <f t="array" ref="K236">Common_InputFunctions.Utility_DisplayArrayInTable(Common_SourceData.Common_SourceData_MCFTemperatureZone_Data(),Table_SourceData_Common_MCFTemperatureZone[[#Headers],[Temperature zone]],0)</f>
        <v>0.02</v>
      </c>
      <c r="L236" s="38" cm="1">
        <f t="array" ref="L236">Common_InputFunctions.Utility_DisplayArrayInTable(Common_SourceData.Common_SourceData_MCFTemperatureZone_Data(),Table_SourceData_Common_MCFTemperatureZone[[#Headers],[Temperature zone]],0)</f>
        <v>0.03</v>
      </c>
      <c r="M236" s="38" cm="1">
        <f t="array" ref="M236">Common_InputFunctions.Utility_DisplayArrayInTable(Common_SourceData.Common_SourceData_MCFTemperatureZone_Data(),Table_SourceData_Common_MCFTemperatureZone[[#Headers],[Temperature zone]],0)</f>
        <v>0.04</v>
      </c>
      <c r="N236" s="38" cm="1">
        <f t="array" ref="N236">Common_InputFunctions.Utility_DisplayArrayInTable(Common_SourceData.Common_SourceData_MCFTemperatureZone_Data(),Table_SourceData_Common_MCFTemperatureZone[[#Headers],[Temperature zone]],0)</f>
        <v>1.4999999999999999E-2</v>
      </c>
      <c r="O236" s="38" cm="1">
        <f t="array" ref="O236">Common_InputFunctions.Utility_DisplayArrayInTable(Common_SourceData.Common_SourceData_MCFTemperatureZone_Data(),Table_SourceData_Common_MCFTemperatureZone[[#Headers],[Temperature zone]],0)</f>
        <v>1.4999999999999999E-2</v>
      </c>
      <c r="P236" s="38" cm="1">
        <f t="array" ref="P236">Common_InputFunctions.Utility_DisplayArrayInTable(Common_SourceData.Common_SourceData_MCFTemperatureZone_Data(),Table_SourceData_Common_MCFTemperatureZone[[#Headers],[Temperature zone]],0)</f>
        <v>0</v>
      </c>
      <c r="Q236" s="38" cm="1">
        <f t="array" ref="Q236">Common_InputFunctions.Utility_DisplayArrayInTable(Common_SourceData.Common_SourceData_MCFTemperatureZone_Data(),Table_SourceData_Common_MCFTemperatureZone[[#Headers],[Temperature zone]],0)</f>
        <v>0</v>
      </c>
      <c r="R236" s="38" cm="1">
        <f t="array" ref="R236">Common_InputFunctions.Utility_DisplayArrayInTable(Common_SourceData.Common_SourceData_MCFTemperatureZone_Data(),Table_SourceData_Common_MCFTemperatureZone[[#Headers],[Temperature zone]],0)</f>
        <v>4.7000000000000002E-3</v>
      </c>
      <c r="S236" s="38" cm="1">
        <f t="array" ref="S236">Common_InputFunctions.Utility_DisplayArrayInTable(Common_SourceData.Common_SourceData_MCFTemperatureZone_Data(),Table_SourceData_Common_MCFTemperatureZone[[#Headers],[Temperature zone]],0)</f>
        <v>14</v>
      </c>
    </row>
    <row r="237" spans="4:19" ht="20.100000000000001" customHeight="1" x14ac:dyDescent="0.2">
      <c r="D237" s="1" t="str" cm="1">
        <f t="array" ref="D237">Common_InputFunctions.Utility_DisplayArrayInTable(Common_SourceData.Common_SourceData_MCFTemperatureZone_Data(),Table_SourceData_Common_MCFTemperatureZone[[#Headers],[Temperature zone]],0)</f>
        <v>Temperate</v>
      </c>
      <c r="E237" s="38" cm="1">
        <f t="array" ref="E237">Common_InputFunctions.Utility_DisplayArrayInTable(Common_SourceData.Common_SourceData_MCFTemperatureZone_Data(),Table_SourceData_Common_MCFTemperatureZone[[#Headers],[Temperature zone]],0)</f>
        <v>15</v>
      </c>
      <c r="F237" s="38" cm="1">
        <f t="array" ref="F237">Common_InputFunctions.Utility_DisplayArrayInTable(Common_SourceData.Common_SourceData_MCFTemperatureZone_Data(),Table_SourceData_Common_MCFTemperatureZone[[#Headers],[Temperature zone]],0)</f>
        <v>0.74</v>
      </c>
      <c r="G237" s="38" cm="1">
        <f t="array" ref="G237">Common_InputFunctions.Utility_DisplayArrayInTable(Common_SourceData.Common_SourceData_MCFTemperatureZone_Data(),Table_SourceData_Common_MCFTemperatureZone[[#Headers],[Temperature zone]],0)</f>
        <v>0.1</v>
      </c>
      <c r="H237" s="38" cm="1">
        <f t="array" ref="H237">Common_InputFunctions.Utility_DisplayArrayInTable(Common_SourceData.Common_SourceData_MCFTemperatureZone_Data(),Table_SourceData_Common_MCFTemperatureZone[[#Headers],[Temperature zone]],0)</f>
        <v>0.17</v>
      </c>
      <c r="I237" s="38" cm="1">
        <f t="array" ref="I237">Common_InputFunctions.Utility_DisplayArrayInTable(Common_SourceData.Common_SourceData_MCFTemperatureZone_Data(),Table_SourceData_Common_MCFTemperatureZone[[#Headers],[Temperature zone]],0)</f>
        <v>5.0000000000000001E-3</v>
      </c>
      <c r="J237" s="38" cm="1">
        <f t="array" ref="J237">Common_InputFunctions.Utility_DisplayArrayInTable(Common_SourceData.Common_SourceData_MCFTemperatureZone_Data(),Table_SourceData_Common_MCFTemperatureZone[[#Headers],[Temperature zone]],0)</f>
        <v>0.01</v>
      </c>
      <c r="K237" s="38" cm="1">
        <f t="array" ref="K237">Common_InputFunctions.Utility_DisplayArrayInTable(Common_SourceData.Common_SourceData_MCFTemperatureZone_Data(),Table_SourceData_Common_MCFTemperatureZone[[#Headers],[Temperature zone]],0)</f>
        <v>0.02</v>
      </c>
      <c r="L237" s="38" cm="1">
        <f t="array" ref="L237">Common_InputFunctions.Utility_DisplayArrayInTable(Common_SourceData.Common_SourceData_MCFTemperatureZone_Data(),Table_SourceData_Common_MCFTemperatureZone[[#Headers],[Temperature zone]],0)</f>
        <v>0.03</v>
      </c>
      <c r="M237" s="38" cm="1">
        <f t="array" ref="M237">Common_InputFunctions.Utility_DisplayArrayInTable(Common_SourceData.Common_SourceData_MCFTemperatureZone_Data(),Table_SourceData_Common_MCFTemperatureZone[[#Headers],[Temperature zone]],0)</f>
        <v>0.04</v>
      </c>
      <c r="N237" s="38" cm="1">
        <f t="array" ref="N237">Common_InputFunctions.Utility_DisplayArrayInTable(Common_SourceData.Common_SourceData_MCFTemperatureZone_Data(),Table_SourceData_Common_MCFTemperatureZone[[#Headers],[Temperature zone]],0)</f>
        <v>1.4999999999999999E-2</v>
      </c>
      <c r="O237" s="38" cm="1">
        <f t="array" ref="O237">Common_InputFunctions.Utility_DisplayArrayInTable(Common_SourceData.Common_SourceData_MCFTemperatureZone_Data(),Table_SourceData_Common_MCFTemperatureZone[[#Headers],[Temperature zone]],0)</f>
        <v>1.4999999999999999E-2</v>
      </c>
      <c r="P237" s="38" cm="1">
        <f t="array" ref="P237">Common_InputFunctions.Utility_DisplayArrayInTable(Common_SourceData.Common_SourceData_MCFTemperatureZone_Data(),Table_SourceData_Common_MCFTemperatureZone[[#Headers],[Temperature zone]],0)</f>
        <v>0</v>
      </c>
      <c r="Q237" s="38" cm="1">
        <f t="array" ref="Q237">Common_InputFunctions.Utility_DisplayArrayInTable(Common_SourceData.Common_SourceData_MCFTemperatureZone_Data(),Table_SourceData_Common_MCFTemperatureZone[[#Headers],[Temperature zone]],0)</f>
        <v>0</v>
      </c>
      <c r="R237" s="38" cm="1">
        <f t="array" ref="R237">Common_InputFunctions.Utility_DisplayArrayInTable(Common_SourceData.Common_SourceData_MCFTemperatureZone_Data(),Table_SourceData_Common_MCFTemperatureZone[[#Headers],[Temperature zone]],0)</f>
        <v>4.7000000000000002E-3</v>
      </c>
      <c r="S237" s="38" cm="1">
        <f t="array" ref="S237">Common_InputFunctions.Utility_DisplayArrayInTable(Common_SourceData.Common_SourceData_MCFTemperatureZone_Data(),Table_SourceData_Common_MCFTemperatureZone[[#Headers],[Temperature zone]],0)</f>
        <v>15</v>
      </c>
    </row>
    <row r="238" spans="4:19" ht="20.100000000000001" customHeight="1" x14ac:dyDescent="0.2">
      <c r="D238" s="1" t="str" cm="1">
        <f t="array" ref="D238">Common_InputFunctions.Utility_DisplayArrayInTable(Common_SourceData.Common_SourceData_MCFTemperatureZone_Data(),Table_SourceData_Common_MCFTemperatureZone[[#Headers],[Temperature zone]],0)</f>
        <v>Temperate</v>
      </c>
      <c r="E238" s="38" cm="1">
        <f t="array" ref="E238">Common_InputFunctions.Utility_DisplayArrayInTable(Common_SourceData.Common_SourceData_MCFTemperatureZone_Data(),Table_SourceData_Common_MCFTemperatureZone[[#Headers],[Temperature zone]],0)</f>
        <v>16</v>
      </c>
      <c r="F238" s="38" cm="1">
        <f t="array" ref="F238">Common_InputFunctions.Utility_DisplayArrayInTable(Common_SourceData.Common_SourceData_MCFTemperatureZone_Data(),Table_SourceData_Common_MCFTemperatureZone[[#Headers],[Temperature zone]],0)</f>
        <v>0.75</v>
      </c>
      <c r="G238" s="38" cm="1">
        <f t="array" ref="G238">Common_InputFunctions.Utility_DisplayArrayInTable(Common_SourceData.Common_SourceData_MCFTemperatureZone_Data(),Table_SourceData_Common_MCFTemperatureZone[[#Headers],[Temperature zone]],0)</f>
        <v>0.1</v>
      </c>
      <c r="H238" s="38" cm="1">
        <f t="array" ref="H238">Common_InputFunctions.Utility_DisplayArrayInTable(Common_SourceData.Common_SourceData_MCFTemperatureZone_Data(),Table_SourceData_Common_MCFTemperatureZone[[#Headers],[Temperature zone]],0)</f>
        <v>0.18</v>
      </c>
      <c r="I238" s="38" cm="1">
        <f t="array" ref="I238">Common_InputFunctions.Utility_DisplayArrayInTable(Common_SourceData.Common_SourceData_MCFTemperatureZone_Data(),Table_SourceData_Common_MCFTemperatureZone[[#Headers],[Temperature zone]],0)</f>
        <v>5.0000000000000001E-3</v>
      </c>
      <c r="J238" s="38" cm="1">
        <f t="array" ref="J238">Common_InputFunctions.Utility_DisplayArrayInTable(Common_SourceData.Common_SourceData_MCFTemperatureZone_Data(),Table_SourceData_Common_MCFTemperatureZone[[#Headers],[Temperature zone]],0)</f>
        <v>0.01</v>
      </c>
      <c r="K238" s="38" cm="1">
        <f t="array" ref="K238">Common_InputFunctions.Utility_DisplayArrayInTable(Common_SourceData.Common_SourceData_MCFTemperatureZone_Data(),Table_SourceData_Common_MCFTemperatureZone[[#Headers],[Temperature zone]],0)</f>
        <v>0.02</v>
      </c>
      <c r="L238" s="38" cm="1">
        <f t="array" ref="L238">Common_InputFunctions.Utility_DisplayArrayInTable(Common_SourceData.Common_SourceData_MCFTemperatureZone_Data(),Table_SourceData_Common_MCFTemperatureZone[[#Headers],[Temperature zone]],0)</f>
        <v>0.03</v>
      </c>
      <c r="M238" s="38" cm="1">
        <f t="array" ref="M238">Common_InputFunctions.Utility_DisplayArrayInTable(Common_SourceData.Common_SourceData_MCFTemperatureZone_Data(),Table_SourceData_Common_MCFTemperatureZone[[#Headers],[Temperature zone]],0)</f>
        <v>0.04</v>
      </c>
      <c r="N238" s="38" cm="1">
        <f t="array" ref="N238">Common_InputFunctions.Utility_DisplayArrayInTable(Common_SourceData.Common_SourceData_MCFTemperatureZone_Data(),Table_SourceData_Common_MCFTemperatureZone[[#Headers],[Temperature zone]],0)</f>
        <v>1.4999999999999999E-2</v>
      </c>
      <c r="O238" s="38" cm="1">
        <f t="array" ref="O238">Common_InputFunctions.Utility_DisplayArrayInTable(Common_SourceData.Common_SourceData_MCFTemperatureZone_Data(),Table_SourceData_Common_MCFTemperatureZone[[#Headers],[Temperature zone]],0)</f>
        <v>1.4999999999999999E-2</v>
      </c>
      <c r="P238" s="38" cm="1">
        <f t="array" ref="P238">Common_InputFunctions.Utility_DisplayArrayInTable(Common_SourceData.Common_SourceData_MCFTemperatureZone_Data(),Table_SourceData_Common_MCFTemperatureZone[[#Headers],[Temperature zone]],0)</f>
        <v>0</v>
      </c>
      <c r="Q238" s="38" cm="1">
        <f t="array" ref="Q238">Common_InputFunctions.Utility_DisplayArrayInTable(Common_SourceData.Common_SourceData_MCFTemperatureZone_Data(),Table_SourceData_Common_MCFTemperatureZone[[#Headers],[Temperature zone]],0)</f>
        <v>0</v>
      </c>
      <c r="R238" s="38" cm="1">
        <f t="array" ref="R238">Common_InputFunctions.Utility_DisplayArrayInTable(Common_SourceData.Common_SourceData_MCFTemperatureZone_Data(),Table_SourceData_Common_MCFTemperatureZone[[#Headers],[Temperature zone]],0)</f>
        <v>4.7000000000000002E-3</v>
      </c>
      <c r="S238" s="38" cm="1">
        <f t="array" ref="S238">Common_InputFunctions.Utility_DisplayArrayInTable(Common_SourceData.Common_SourceData_MCFTemperatureZone_Data(),Table_SourceData_Common_MCFTemperatureZone[[#Headers],[Temperature zone]],0)</f>
        <v>16</v>
      </c>
    </row>
    <row r="239" spans="4:19" ht="20.100000000000001" customHeight="1" x14ac:dyDescent="0.2">
      <c r="D239" s="1" t="str" cm="1">
        <f t="array" ref="D239">Common_InputFunctions.Utility_DisplayArrayInTable(Common_SourceData.Common_SourceData_MCFTemperatureZone_Data(),Table_SourceData_Common_MCFTemperatureZone[[#Headers],[Temperature zone]],0)</f>
        <v>Temperate</v>
      </c>
      <c r="E239" s="38" cm="1">
        <f t="array" ref="E239">Common_InputFunctions.Utility_DisplayArrayInTable(Common_SourceData.Common_SourceData_MCFTemperatureZone_Data(),Table_SourceData_Common_MCFTemperatureZone[[#Headers],[Temperature zone]],0)</f>
        <v>17</v>
      </c>
      <c r="F239" s="38" cm="1">
        <f t="array" ref="F239">Common_InputFunctions.Utility_DisplayArrayInTable(Common_SourceData.Common_SourceData_MCFTemperatureZone_Data(),Table_SourceData_Common_MCFTemperatureZone[[#Headers],[Temperature zone]],0)</f>
        <v>0.76</v>
      </c>
      <c r="G239" s="38" cm="1">
        <f t="array" ref="G239">Common_InputFunctions.Utility_DisplayArrayInTable(Common_SourceData.Common_SourceData_MCFTemperatureZone_Data(),Table_SourceData_Common_MCFTemperatureZone[[#Headers],[Temperature zone]],0)</f>
        <v>0.1</v>
      </c>
      <c r="H239" s="38" cm="1">
        <f t="array" ref="H239">Common_InputFunctions.Utility_DisplayArrayInTable(Common_SourceData.Common_SourceData_MCFTemperatureZone_Data(),Table_SourceData_Common_MCFTemperatureZone[[#Headers],[Temperature zone]],0)</f>
        <v>0.2</v>
      </c>
      <c r="I239" s="38" cm="1">
        <f t="array" ref="I239">Common_InputFunctions.Utility_DisplayArrayInTable(Common_SourceData.Common_SourceData_MCFTemperatureZone_Data(),Table_SourceData_Common_MCFTemperatureZone[[#Headers],[Temperature zone]],0)</f>
        <v>5.0000000000000001E-3</v>
      </c>
      <c r="J239" s="38" cm="1">
        <f t="array" ref="J239">Common_InputFunctions.Utility_DisplayArrayInTable(Common_SourceData.Common_SourceData_MCFTemperatureZone_Data(),Table_SourceData_Common_MCFTemperatureZone[[#Headers],[Temperature zone]],0)</f>
        <v>0.01</v>
      </c>
      <c r="K239" s="38" cm="1">
        <f t="array" ref="K239">Common_InputFunctions.Utility_DisplayArrayInTable(Common_SourceData.Common_SourceData_MCFTemperatureZone_Data(),Table_SourceData_Common_MCFTemperatureZone[[#Headers],[Temperature zone]],0)</f>
        <v>0.02</v>
      </c>
      <c r="L239" s="38" cm="1">
        <f t="array" ref="L239">Common_InputFunctions.Utility_DisplayArrayInTable(Common_SourceData.Common_SourceData_MCFTemperatureZone_Data(),Table_SourceData_Common_MCFTemperatureZone[[#Headers],[Temperature zone]],0)</f>
        <v>0.03</v>
      </c>
      <c r="M239" s="38" cm="1">
        <f t="array" ref="M239">Common_InputFunctions.Utility_DisplayArrayInTable(Common_SourceData.Common_SourceData_MCFTemperatureZone_Data(),Table_SourceData_Common_MCFTemperatureZone[[#Headers],[Temperature zone]],0)</f>
        <v>0.04</v>
      </c>
      <c r="N239" s="38" cm="1">
        <f t="array" ref="N239">Common_InputFunctions.Utility_DisplayArrayInTable(Common_SourceData.Common_SourceData_MCFTemperatureZone_Data(),Table_SourceData_Common_MCFTemperatureZone[[#Headers],[Temperature zone]],0)</f>
        <v>1.4999999999999999E-2</v>
      </c>
      <c r="O239" s="38" cm="1">
        <f t="array" ref="O239">Common_InputFunctions.Utility_DisplayArrayInTable(Common_SourceData.Common_SourceData_MCFTemperatureZone_Data(),Table_SourceData_Common_MCFTemperatureZone[[#Headers],[Temperature zone]],0)</f>
        <v>1.4999999999999999E-2</v>
      </c>
      <c r="P239" s="38" cm="1">
        <f t="array" ref="P239">Common_InputFunctions.Utility_DisplayArrayInTable(Common_SourceData.Common_SourceData_MCFTemperatureZone_Data(),Table_SourceData_Common_MCFTemperatureZone[[#Headers],[Temperature zone]],0)</f>
        <v>0</v>
      </c>
      <c r="Q239" s="38" cm="1">
        <f t="array" ref="Q239">Common_InputFunctions.Utility_DisplayArrayInTable(Common_SourceData.Common_SourceData_MCFTemperatureZone_Data(),Table_SourceData_Common_MCFTemperatureZone[[#Headers],[Temperature zone]],0)</f>
        <v>0</v>
      </c>
      <c r="R239" s="38" cm="1">
        <f t="array" ref="R239">Common_InputFunctions.Utility_DisplayArrayInTable(Common_SourceData.Common_SourceData_MCFTemperatureZone_Data(),Table_SourceData_Common_MCFTemperatureZone[[#Headers],[Temperature zone]],0)</f>
        <v>4.7000000000000002E-3</v>
      </c>
      <c r="S239" s="38" cm="1">
        <f t="array" ref="S239">Common_InputFunctions.Utility_DisplayArrayInTable(Common_SourceData.Common_SourceData_MCFTemperatureZone_Data(),Table_SourceData_Common_MCFTemperatureZone[[#Headers],[Temperature zone]],0)</f>
        <v>17</v>
      </c>
    </row>
    <row r="240" spans="4:19" ht="20.100000000000001" customHeight="1" x14ac:dyDescent="0.2">
      <c r="D240" s="1" t="str" cm="1">
        <f t="array" ref="D240">Common_InputFunctions.Utility_DisplayArrayInTable(Common_SourceData.Common_SourceData_MCFTemperatureZone_Data(),Table_SourceData_Common_MCFTemperatureZone[[#Headers],[Temperature zone]],0)</f>
        <v>Temperate</v>
      </c>
      <c r="E240" s="38" cm="1">
        <f t="array" ref="E240">Common_InputFunctions.Utility_DisplayArrayInTable(Common_SourceData.Common_SourceData_MCFTemperatureZone_Data(),Table_SourceData_Common_MCFTemperatureZone[[#Headers],[Temperature zone]],0)</f>
        <v>18</v>
      </c>
      <c r="F240" s="38" cm="1">
        <f t="array" ref="F240">Common_InputFunctions.Utility_DisplayArrayInTable(Common_SourceData.Common_SourceData_MCFTemperatureZone_Data(),Table_SourceData_Common_MCFTemperatureZone[[#Headers],[Temperature zone]],0)</f>
        <v>0.77</v>
      </c>
      <c r="G240" s="38" cm="1">
        <f t="array" ref="G240">Common_InputFunctions.Utility_DisplayArrayInTable(Common_SourceData.Common_SourceData_MCFTemperatureZone_Data(),Table_SourceData_Common_MCFTemperatureZone[[#Headers],[Temperature zone]],0)</f>
        <v>0.1</v>
      </c>
      <c r="H240" s="38" cm="1">
        <f t="array" ref="H240">Common_InputFunctions.Utility_DisplayArrayInTable(Common_SourceData.Common_SourceData_MCFTemperatureZone_Data(),Table_SourceData_Common_MCFTemperatureZone[[#Headers],[Temperature zone]],0)</f>
        <v>0.22</v>
      </c>
      <c r="I240" s="38" cm="1">
        <f t="array" ref="I240">Common_InputFunctions.Utility_DisplayArrayInTable(Common_SourceData.Common_SourceData_MCFTemperatureZone_Data(),Table_SourceData_Common_MCFTemperatureZone[[#Headers],[Temperature zone]],0)</f>
        <v>5.0000000000000001E-3</v>
      </c>
      <c r="J240" s="38" cm="1">
        <f t="array" ref="J240">Common_InputFunctions.Utility_DisplayArrayInTable(Common_SourceData.Common_SourceData_MCFTemperatureZone_Data(),Table_SourceData_Common_MCFTemperatureZone[[#Headers],[Temperature zone]],0)</f>
        <v>0.01</v>
      </c>
      <c r="K240" s="38" cm="1">
        <f t="array" ref="K240">Common_InputFunctions.Utility_DisplayArrayInTable(Common_SourceData.Common_SourceData_MCFTemperatureZone_Data(),Table_SourceData_Common_MCFTemperatureZone[[#Headers],[Temperature zone]],0)</f>
        <v>0.02</v>
      </c>
      <c r="L240" s="38" cm="1">
        <f t="array" ref="L240">Common_InputFunctions.Utility_DisplayArrayInTable(Common_SourceData.Common_SourceData_MCFTemperatureZone_Data(),Table_SourceData_Common_MCFTemperatureZone[[#Headers],[Temperature zone]],0)</f>
        <v>0.03</v>
      </c>
      <c r="M240" s="38" cm="1">
        <f t="array" ref="M240">Common_InputFunctions.Utility_DisplayArrayInTable(Common_SourceData.Common_SourceData_MCFTemperatureZone_Data(),Table_SourceData_Common_MCFTemperatureZone[[#Headers],[Temperature zone]],0)</f>
        <v>0.04</v>
      </c>
      <c r="N240" s="38" cm="1">
        <f t="array" ref="N240">Common_InputFunctions.Utility_DisplayArrayInTable(Common_SourceData.Common_SourceData_MCFTemperatureZone_Data(),Table_SourceData_Common_MCFTemperatureZone[[#Headers],[Temperature zone]],0)</f>
        <v>1.4999999999999999E-2</v>
      </c>
      <c r="O240" s="38" cm="1">
        <f t="array" ref="O240">Common_InputFunctions.Utility_DisplayArrayInTable(Common_SourceData.Common_SourceData_MCFTemperatureZone_Data(),Table_SourceData_Common_MCFTemperatureZone[[#Headers],[Temperature zone]],0)</f>
        <v>1.4999999999999999E-2</v>
      </c>
      <c r="P240" s="38" cm="1">
        <f t="array" ref="P240">Common_InputFunctions.Utility_DisplayArrayInTable(Common_SourceData.Common_SourceData_MCFTemperatureZone_Data(),Table_SourceData_Common_MCFTemperatureZone[[#Headers],[Temperature zone]],0)</f>
        <v>0</v>
      </c>
      <c r="Q240" s="38" cm="1">
        <f t="array" ref="Q240">Common_InputFunctions.Utility_DisplayArrayInTable(Common_SourceData.Common_SourceData_MCFTemperatureZone_Data(),Table_SourceData_Common_MCFTemperatureZone[[#Headers],[Temperature zone]],0)</f>
        <v>0</v>
      </c>
      <c r="R240" s="38" cm="1">
        <f t="array" ref="R240">Common_InputFunctions.Utility_DisplayArrayInTable(Common_SourceData.Common_SourceData_MCFTemperatureZone_Data(),Table_SourceData_Common_MCFTemperatureZone[[#Headers],[Temperature zone]],0)</f>
        <v>4.7000000000000002E-3</v>
      </c>
      <c r="S240" s="38" cm="1">
        <f t="array" ref="S240">Common_InputFunctions.Utility_DisplayArrayInTable(Common_SourceData.Common_SourceData_MCFTemperatureZone_Data(),Table_SourceData_Common_MCFTemperatureZone[[#Headers],[Temperature zone]],0)</f>
        <v>18</v>
      </c>
    </row>
    <row r="241" spans="4:19" ht="20.100000000000001" customHeight="1" x14ac:dyDescent="0.2">
      <c r="D241" s="1" t="str" cm="1">
        <f t="array" ref="D241">Common_InputFunctions.Utility_DisplayArrayInTable(Common_SourceData.Common_SourceData_MCFTemperatureZone_Data(),Table_SourceData_Common_MCFTemperatureZone[[#Headers],[Temperature zone]],0)</f>
        <v>Temperate</v>
      </c>
      <c r="E241" s="38" cm="1">
        <f t="array" ref="E241">Common_InputFunctions.Utility_DisplayArrayInTable(Common_SourceData.Common_SourceData_MCFTemperatureZone_Data(),Table_SourceData_Common_MCFTemperatureZone[[#Headers],[Temperature zone]],0)</f>
        <v>19</v>
      </c>
      <c r="F241" s="38" cm="1">
        <f t="array" ref="F241">Common_InputFunctions.Utility_DisplayArrayInTable(Common_SourceData.Common_SourceData_MCFTemperatureZone_Data(),Table_SourceData_Common_MCFTemperatureZone[[#Headers],[Temperature zone]],0)</f>
        <v>0.77</v>
      </c>
      <c r="G241" s="38" cm="1">
        <f t="array" ref="G241">Common_InputFunctions.Utility_DisplayArrayInTable(Common_SourceData.Common_SourceData_MCFTemperatureZone_Data(),Table_SourceData_Common_MCFTemperatureZone[[#Headers],[Temperature zone]],0)</f>
        <v>0.1</v>
      </c>
      <c r="H241" s="38" cm="1">
        <f t="array" ref="H241">Common_InputFunctions.Utility_DisplayArrayInTable(Common_SourceData.Common_SourceData_MCFTemperatureZone_Data(),Table_SourceData_Common_MCFTemperatureZone[[#Headers],[Temperature zone]],0)</f>
        <v>0.24</v>
      </c>
      <c r="I241" s="38" cm="1">
        <f t="array" ref="I241">Common_InputFunctions.Utility_DisplayArrayInTable(Common_SourceData.Common_SourceData_MCFTemperatureZone_Data(),Table_SourceData_Common_MCFTemperatureZone[[#Headers],[Temperature zone]],0)</f>
        <v>5.0000000000000001E-3</v>
      </c>
      <c r="J241" s="38" cm="1">
        <f t="array" ref="J241">Common_InputFunctions.Utility_DisplayArrayInTable(Common_SourceData.Common_SourceData_MCFTemperatureZone_Data(),Table_SourceData_Common_MCFTemperatureZone[[#Headers],[Temperature zone]],0)</f>
        <v>0.01</v>
      </c>
      <c r="K241" s="38" cm="1">
        <f t="array" ref="K241">Common_InputFunctions.Utility_DisplayArrayInTable(Common_SourceData.Common_SourceData_MCFTemperatureZone_Data(),Table_SourceData_Common_MCFTemperatureZone[[#Headers],[Temperature zone]],0)</f>
        <v>0.02</v>
      </c>
      <c r="L241" s="38" cm="1">
        <f t="array" ref="L241">Common_InputFunctions.Utility_DisplayArrayInTable(Common_SourceData.Common_SourceData_MCFTemperatureZone_Data(),Table_SourceData_Common_MCFTemperatureZone[[#Headers],[Temperature zone]],0)</f>
        <v>0.03</v>
      </c>
      <c r="M241" s="38" cm="1">
        <f t="array" ref="M241">Common_InputFunctions.Utility_DisplayArrayInTable(Common_SourceData.Common_SourceData_MCFTemperatureZone_Data(),Table_SourceData_Common_MCFTemperatureZone[[#Headers],[Temperature zone]],0)</f>
        <v>0.04</v>
      </c>
      <c r="N241" s="38" cm="1">
        <f t="array" ref="N241">Common_InputFunctions.Utility_DisplayArrayInTable(Common_SourceData.Common_SourceData_MCFTemperatureZone_Data(),Table_SourceData_Common_MCFTemperatureZone[[#Headers],[Temperature zone]],0)</f>
        <v>1.4999999999999999E-2</v>
      </c>
      <c r="O241" s="38" cm="1">
        <f t="array" ref="O241">Common_InputFunctions.Utility_DisplayArrayInTable(Common_SourceData.Common_SourceData_MCFTemperatureZone_Data(),Table_SourceData_Common_MCFTemperatureZone[[#Headers],[Temperature zone]],0)</f>
        <v>1.4999999999999999E-2</v>
      </c>
      <c r="P241" s="38" cm="1">
        <f t="array" ref="P241">Common_InputFunctions.Utility_DisplayArrayInTable(Common_SourceData.Common_SourceData_MCFTemperatureZone_Data(),Table_SourceData_Common_MCFTemperatureZone[[#Headers],[Temperature zone]],0)</f>
        <v>0</v>
      </c>
      <c r="Q241" s="38" cm="1">
        <f t="array" ref="Q241">Common_InputFunctions.Utility_DisplayArrayInTable(Common_SourceData.Common_SourceData_MCFTemperatureZone_Data(),Table_SourceData_Common_MCFTemperatureZone[[#Headers],[Temperature zone]],0)</f>
        <v>0</v>
      </c>
      <c r="R241" s="38" cm="1">
        <f t="array" ref="R241">Common_InputFunctions.Utility_DisplayArrayInTable(Common_SourceData.Common_SourceData_MCFTemperatureZone_Data(),Table_SourceData_Common_MCFTemperatureZone[[#Headers],[Temperature zone]],0)</f>
        <v>4.7000000000000002E-3</v>
      </c>
      <c r="S241" s="38" cm="1">
        <f t="array" ref="S241">Common_InputFunctions.Utility_DisplayArrayInTable(Common_SourceData.Common_SourceData_MCFTemperatureZone_Data(),Table_SourceData_Common_MCFTemperatureZone[[#Headers],[Temperature zone]],0)</f>
        <v>19</v>
      </c>
    </row>
    <row r="242" spans="4:19" ht="20.100000000000001" customHeight="1" x14ac:dyDescent="0.2">
      <c r="D242" s="1" t="str" cm="1">
        <f t="array" ref="D242">Common_InputFunctions.Utility_DisplayArrayInTable(Common_SourceData.Common_SourceData_MCFTemperatureZone_Data(),Table_SourceData_Common_MCFTemperatureZone[[#Headers],[Temperature zone]],0)</f>
        <v>Temperate</v>
      </c>
      <c r="E242" s="38" cm="1">
        <f t="array" ref="E242">Common_InputFunctions.Utility_DisplayArrayInTable(Common_SourceData.Common_SourceData_MCFTemperatureZone_Data(),Table_SourceData_Common_MCFTemperatureZone[[#Headers],[Temperature zone]],0)</f>
        <v>20</v>
      </c>
      <c r="F242" s="38" cm="1">
        <f t="array" ref="F242">Common_InputFunctions.Utility_DisplayArrayInTable(Common_SourceData.Common_SourceData_MCFTemperatureZone_Data(),Table_SourceData_Common_MCFTemperatureZone[[#Headers],[Temperature zone]],0)</f>
        <v>0.78</v>
      </c>
      <c r="G242" s="38" cm="1">
        <f t="array" ref="G242">Common_InputFunctions.Utility_DisplayArrayInTable(Common_SourceData.Common_SourceData_MCFTemperatureZone_Data(),Table_SourceData_Common_MCFTemperatureZone[[#Headers],[Temperature zone]],0)</f>
        <v>0.1</v>
      </c>
      <c r="H242" s="38" cm="1">
        <f t="array" ref="H242">Common_InputFunctions.Utility_DisplayArrayInTable(Common_SourceData.Common_SourceData_MCFTemperatureZone_Data(),Table_SourceData_Common_MCFTemperatureZone[[#Headers],[Temperature zone]],0)</f>
        <v>0.26</v>
      </c>
      <c r="I242" s="38" cm="1">
        <f t="array" ref="I242">Common_InputFunctions.Utility_DisplayArrayInTable(Common_SourceData.Common_SourceData_MCFTemperatureZone_Data(),Table_SourceData_Common_MCFTemperatureZone[[#Headers],[Temperature zone]],0)</f>
        <v>5.0000000000000001E-3</v>
      </c>
      <c r="J242" s="38" cm="1">
        <f t="array" ref="J242">Common_InputFunctions.Utility_DisplayArrayInTable(Common_SourceData.Common_SourceData_MCFTemperatureZone_Data(),Table_SourceData_Common_MCFTemperatureZone[[#Headers],[Temperature zone]],0)</f>
        <v>0.01</v>
      </c>
      <c r="K242" s="38" cm="1">
        <f t="array" ref="K242">Common_InputFunctions.Utility_DisplayArrayInTable(Common_SourceData.Common_SourceData_MCFTemperatureZone_Data(),Table_SourceData_Common_MCFTemperatureZone[[#Headers],[Temperature zone]],0)</f>
        <v>0.02</v>
      </c>
      <c r="L242" s="38" cm="1">
        <f t="array" ref="L242">Common_InputFunctions.Utility_DisplayArrayInTable(Common_SourceData.Common_SourceData_MCFTemperatureZone_Data(),Table_SourceData_Common_MCFTemperatureZone[[#Headers],[Temperature zone]],0)</f>
        <v>0.03</v>
      </c>
      <c r="M242" s="38" cm="1">
        <f t="array" ref="M242">Common_InputFunctions.Utility_DisplayArrayInTable(Common_SourceData.Common_SourceData_MCFTemperatureZone_Data(),Table_SourceData_Common_MCFTemperatureZone[[#Headers],[Temperature zone]],0)</f>
        <v>0.04</v>
      </c>
      <c r="N242" s="38" cm="1">
        <f t="array" ref="N242">Common_InputFunctions.Utility_DisplayArrayInTable(Common_SourceData.Common_SourceData_MCFTemperatureZone_Data(),Table_SourceData_Common_MCFTemperatureZone[[#Headers],[Temperature zone]],0)</f>
        <v>1.4999999999999999E-2</v>
      </c>
      <c r="O242" s="38" cm="1">
        <f t="array" ref="O242">Common_InputFunctions.Utility_DisplayArrayInTable(Common_SourceData.Common_SourceData_MCFTemperatureZone_Data(),Table_SourceData_Common_MCFTemperatureZone[[#Headers],[Temperature zone]],0)</f>
        <v>1.4999999999999999E-2</v>
      </c>
      <c r="P242" s="38" cm="1">
        <f t="array" ref="P242">Common_InputFunctions.Utility_DisplayArrayInTable(Common_SourceData.Common_SourceData_MCFTemperatureZone_Data(),Table_SourceData_Common_MCFTemperatureZone[[#Headers],[Temperature zone]],0)</f>
        <v>0</v>
      </c>
      <c r="Q242" s="38" cm="1">
        <f t="array" ref="Q242">Common_InputFunctions.Utility_DisplayArrayInTable(Common_SourceData.Common_SourceData_MCFTemperatureZone_Data(),Table_SourceData_Common_MCFTemperatureZone[[#Headers],[Temperature zone]],0)</f>
        <v>0</v>
      </c>
      <c r="R242" s="38" cm="1">
        <f t="array" ref="R242">Common_InputFunctions.Utility_DisplayArrayInTable(Common_SourceData.Common_SourceData_MCFTemperatureZone_Data(),Table_SourceData_Common_MCFTemperatureZone[[#Headers],[Temperature zone]],0)</f>
        <v>4.7000000000000002E-3</v>
      </c>
      <c r="S242" s="38" cm="1">
        <f t="array" ref="S242">Common_InputFunctions.Utility_DisplayArrayInTable(Common_SourceData.Common_SourceData_MCFTemperatureZone_Data(),Table_SourceData_Common_MCFTemperatureZone[[#Headers],[Temperature zone]],0)</f>
        <v>20</v>
      </c>
    </row>
    <row r="243" spans="4:19" ht="20.100000000000001" customHeight="1" x14ac:dyDescent="0.2">
      <c r="D243" s="1" t="str" cm="1">
        <f t="array" ref="D243">Common_InputFunctions.Utility_DisplayArrayInTable(Common_SourceData.Common_SourceData_MCFTemperatureZone_Data(),Table_SourceData_Common_MCFTemperatureZone[[#Headers],[Temperature zone]],0)</f>
        <v>Temperate</v>
      </c>
      <c r="E243" s="38" cm="1">
        <f t="array" ref="E243">Common_InputFunctions.Utility_DisplayArrayInTable(Common_SourceData.Common_SourceData_MCFTemperatureZone_Data(),Table_SourceData_Common_MCFTemperatureZone[[#Headers],[Temperature zone]],0)</f>
        <v>21</v>
      </c>
      <c r="F243" s="38" cm="1">
        <f t="array" ref="F243">Common_InputFunctions.Utility_DisplayArrayInTable(Common_SourceData.Common_SourceData_MCFTemperatureZone_Data(),Table_SourceData_Common_MCFTemperatureZone[[#Headers],[Temperature zone]],0)</f>
        <v>0.78</v>
      </c>
      <c r="G243" s="38" cm="1">
        <f t="array" ref="G243">Common_InputFunctions.Utility_DisplayArrayInTable(Common_SourceData.Common_SourceData_MCFTemperatureZone_Data(),Table_SourceData_Common_MCFTemperatureZone[[#Headers],[Temperature zone]],0)</f>
        <v>0.1</v>
      </c>
      <c r="H243" s="38" cm="1">
        <f t="array" ref="H243">Common_InputFunctions.Utility_DisplayArrayInTable(Common_SourceData.Common_SourceData_MCFTemperatureZone_Data(),Table_SourceData_Common_MCFTemperatureZone[[#Headers],[Temperature zone]],0)</f>
        <v>0.28999999999999998</v>
      </c>
      <c r="I243" s="38" cm="1">
        <f t="array" ref="I243">Common_InputFunctions.Utility_DisplayArrayInTable(Common_SourceData.Common_SourceData_MCFTemperatureZone_Data(),Table_SourceData_Common_MCFTemperatureZone[[#Headers],[Temperature zone]],0)</f>
        <v>5.0000000000000001E-3</v>
      </c>
      <c r="J243" s="38" cm="1">
        <f t="array" ref="J243">Common_InputFunctions.Utility_DisplayArrayInTable(Common_SourceData.Common_SourceData_MCFTemperatureZone_Data(),Table_SourceData_Common_MCFTemperatureZone[[#Headers],[Temperature zone]],0)</f>
        <v>0.01</v>
      </c>
      <c r="K243" s="38" cm="1">
        <f t="array" ref="K243">Common_InputFunctions.Utility_DisplayArrayInTable(Common_SourceData.Common_SourceData_MCFTemperatureZone_Data(),Table_SourceData_Common_MCFTemperatureZone[[#Headers],[Temperature zone]],0)</f>
        <v>0.02</v>
      </c>
      <c r="L243" s="38" cm="1">
        <f t="array" ref="L243">Common_InputFunctions.Utility_DisplayArrayInTable(Common_SourceData.Common_SourceData_MCFTemperatureZone_Data(),Table_SourceData_Common_MCFTemperatureZone[[#Headers],[Temperature zone]],0)</f>
        <v>0.03</v>
      </c>
      <c r="M243" s="38" cm="1">
        <f t="array" ref="M243">Common_InputFunctions.Utility_DisplayArrayInTable(Common_SourceData.Common_SourceData_MCFTemperatureZone_Data(),Table_SourceData_Common_MCFTemperatureZone[[#Headers],[Temperature zone]],0)</f>
        <v>0.04</v>
      </c>
      <c r="N243" s="38" cm="1">
        <f t="array" ref="N243">Common_InputFunctions.Utility_DisplayArrayInTable(Common_SourceData.Common_SourceData_MCFTemperatureZone_Data(),Table_SourceData_Common_MCFTemperatureZone[[#Headers],[Temperature zone]],0)</f>
        <v>1.4999999999999999E-2</v>
      </c>
      <c r="O243" s="38" cm="1">
        <f t="array" ref="O243">Common_InputFunctions.Utility_DisplayArrayInTable(Common_SourceData.Common_SourceData_MCFTemperatureZone_Data(),Table_SourceData_Common_MCFTemperatureZone[[#Headers],[Temperature zone]],0)</f>
        <v>1.4999999999999999E-2</v>
      </c>
      <c r="P243" s="38" cm="1">
        <f t="array" ref="P243">Common_InputFunctions.Utility_DisplayArrayInTable(Common_SourceData.Common_SourceData_MCFTemperatureZone_Data(),Table_SourceData_Common_MCFTemperatureZone[[#Headers],[Temperature zone]],0)</f>
        <v>0</v>
      </c>
      <c r="Q243" s="38" cm="1">
        <f t="array" ref="Q243">Common_InputFunctions.Utility_DisplayArrayInTable(Common_SourceData.Common_SourceData_MCFTemperatureZone_Data(),Table_SourceData_Common_MCFTemperatureZone[[#Headers],[Temperature zone]],0)</f>
        <v>0</v>
      </c>
      <c r="R243" s="38" cm="1">
        <f t="array" ref="R243">Common_InputFunctions.Utility_DisplayArrayInTable(Common_SourceData.Common_SourceData_MCFTemperatureZone_Data(),Table_SourceData_Common_MCFTemperatureZone[[#Headers],[Temperature zone]],0)</f>
        <v>4.7000000000000002E-3</v>
      </c>
      <c r="S243" s="38" cm="1">
        <f t="array" ref="S243">Common_InputFunctions.Utility_DisplayArrayInTable(Common_SourceData.Common_SourceData_MCFTemperatureZone_Data(),Table_SourceData_Common_MCFTemperatureZone[[#Headers],[Temperature zone]],0)</f>
        <v>21</v>
      </c>
    </row>
    <row r="244" spans="4:19" ht="20.100000000000001" customHeight="1" x14ac:dyDescent="0.2">
      <c r="D244" s="1" t="str" cm="1">
        <f t="array" ref="D244">Common_InputFunctions.Utility_DisplayArrayInTable(Common_SourceData.Common_SourceData_MCFTemperatureZone_Data(),Table_SourceData_Common_MCFTemperatureZone[[#Headers],[Temperature zone]],0)</f>
        <v>Temperate</v>
      </c>
      <c r="E244" s="38" cm="1">
        <f t="array" ref="E244">Common_InputFunctions.Utility_DisplayArrayInTable(Common_SourceData.Common_SourceData_MCFTemperatureZone_Data(),Table_SourceData_Common_MCFTemperatureZone[[#Headers],[Temperature zone]],0)</f>
        <v>22</v>
      </c>
      <c r="F244" s="38" cm="1">
        <f t="array" ref="F244">Common_InputFunctions.Utility_DisplayArrayInTable(Common_SourceData.Common_SourceData_MCFTemperatureZone_Data(),Table_SourceData_Common_MCFTemperatureZone[[#Headers],[Temperature zone]],0)</f>
        <v>0.78</v>
      </c>
      <c r="G244" s="38" cm="1">
        <f t="array" ref="G244">Common_InputFunctions.Utility_DisplayArrayInTable(Common_SourceData.Common_SourceData_MCFTemperatureZone_Data(),Table_SourceData_Common_MCFTemperatureZone[[#Headers],[Temperature zone]],0)</f>
        <v>0.1</v>
      </c>
      <c r="H244" s="38" cm="1">
        <f t="array" ref="H244">Common_InputFunctions.Utility_DisplayArrayInTable(Common_SourceData.Common_SourceData_MCFTemperatureZone_Data(),Table_SourceData_Common_MCFTemperatureZone[[#Headers],[Temperature zone]],0)</f>
        <v>0.31</v>
      </c>
      <c r="I244" s="38" cm="1">
        <f t="array" ref="I244">Common_InputFunctions.Utility_DisplayArrayInTable(Common_SourceData.Common_SourceData_MCFTemperatureZone_Data(),Table_SourceData_Common_MCFTemperatureZone[[#Headers],[Temperature zone]],0)</f>
        <v>5.0000000000000001E-3</v>
      </c>
      <c r="J244" s="38" cm="1">
        <f t="array" ref="J244">Common_InputFunctions.Utility_DisplayArrayInTable(Common_SourceData.Common_SourceData_MCFTemperatureZone_Data(),Table_SourceData_Common_MCFTemperatureZone[[#Headers],[Temperature zone]],0)</f>
        <v>0.01</v>
      </c>
      <c r="K244" s="38" cm="1">
        <f t="array" ref="K244">Common_InputFunctions.Utility_DisplayArrayInTable(Common_SourceData.Common_SourceData_MCFTemperatureZone_Data(),Table_SourceData_Common_MCFTemperatureZone[[#Headers],[Temperature zone]],0)</f>
        <v>0.02</v>
      </c>
      <c r="L244" s="38" cm="1">
        <f t="array" ref="L244">Common_InputFunctions.Utility_DisplayArrayInTable(Common_SourceData.Common_SourceData_MCFTemperatureZone_Data(),Table_SourceData_Common_MCFTemperatureZone[[#Headers],[Temperature zone]],0)</f>
        <v>0.03</v>
      </c>
      <c r="M244" s="38" cm="1">
        <f t="array" ref="M244">Common_InputFunctions.Utility_DisplayArrayInTable(Common_SourceData.Common_SourceData_MCFTemperatureZone_Data(),Table_SourceData_Common_MCFTemperatureZone[[#Headers],[Temperature zone]],0)</f>
        <v>0.04</v>
      </c>
      <c r="N244" s="38" cm="1">
        <f t="array" ref="N244">Common_InputFunctions.Utility_DisplayArrayInTable(Common_SourceData.Common_SourceData_MCFTemperatureZone_Data(),Table_SourceData_Common_MCFTemperatureZone[[#Headers],[Temperature zone]],0)</f>
        <v>1.4999999999999999E-2</v>
      </c>
      <c r="O244" s="38" cm="1">
        <f t="array" ref="O244">Common_InputFunctions.Utility_DisplayArrayInTable(Common_SourceData.Common_SourceData_MCFTemperatureZone_Data(),Table_SourceData_Common_MCFTemperatureZone[[#Headers],[Temperature zone]],0)</f>
        <v>1.4999999999999999E-2</v>
      </c>
      <c r="P244" s="38" cm="1">
        <f t="array" ref="P244">Common_InputFunctions.Utility_DisplayArrayInTable(Common_SourceData.Common_SourceData_MCFTemperatureZone_Data(),Table_SourceData_Common_MCFTemperatureZone[[#Headers],[Temperature zone]],0)</f>
        <v>0</v>
      </c>
      <c r="Q244" s="38" cm="1">
        <f t="array" ref="Q244">Common_InputFunctions.Utility_DisplayArrayInTable(Common_SourceData.Common_SourceData_MCFTemperatureZone_Data(),Table_SourceData_Common_MCFTemperatureZone[[#Headers],[Temperature zone]],0)</f>
        <v>0</v>
      </c>
      <c r="R244" s="38" cm="1">
        <f t="array" ref="R244">Common_InputFunctions.Utility_DisplayArrayInTable(Common_SourceData.Common_SourceData_MCFTemperatureZone_Data(),Table_SourceData_Common_MCFTemperatureZone[[#Headers],[Temperature zone]],0)</f>
        <v>4.7000000000000002E-3</v>
      </c>
      <c r="S244" s="38" cm="1">
        <f t="array" ref="S244">Common_InputFunctions.Utility_DisplayArrayInTable(Common_SourceData.Common_SourceData_MCFTemperatureZone_Data(),Table_SourceData_Common_MCFTemperatureZone[[#Headers],[Temperature zone]],0)</f>
        <v>22</v>
      </c>
    </row>
    <row r="245" spans="4:19" ht="20.100000000000001" customHeight="1" x14ac:dyDescent="0.2">
      <c r="D245" s="1" t="str" cm="1">
        <f t="array" ref="D245">Common_InputFunctions.Utility_DisplayArrayInTable(Common_SourceData.Common_SourceData_MCFTemperatureZone_Data(),Table_SourceData_Common_MCFTemperatureZone[[#Headers],[Temperature zone]],0)</f>
        <v>Temperate</v>
      </c>
      <c r="E245" s="38" cm="1">
        <f t="array" ref="E245">Common_InputFunctions.Utility_DisplayArrayInTable(Common_SourceData.Common_SourceData_MCFTemperatureZone_Data(),Table_SourceData_Common_MCFTemperatureZone[[#Headers],[Temperature zone]],0)</f>
        <v>23</v>
      </c>
      <c r="F245" s="38" cm="1">
        <f t="array" ref="F245">Common_InputFunctions.Utility_DisplayArrayInTable(Common_SourceData.Common_SourceData_MCFTemperatureZone_Data(),Table_SourceData_Common_MCFTemperatureZone[[#Headers],[Temperature zone]],0)</f>
        <v>0.79</v>
      </c>
      <c r="G245" s="38" cm="1">
        <f t="array" ref="G245">Common_InputFunctions.Utility_DisplayArrayInTable(Common_SourceData.Common_SourceData_MCFTemperatureZone_Data(),Table_SourceData_Common_MCFTemperatureZone[[#Headers],[Temperature zone]],0)</f>
        <v>0.1</v>
      </c>
      <c r="H245" s="38" cm="1">
        <f t="array" ref="H245">Common_InputFunctions.Utility_DisplayArrayInTable(Common_SourceData.Common_SourceData_MCFTemperatureZone_Data(),Table_SourceData_Common_MCFTemperatureZone[[#Headers],[Temperature zone]],0)</f>
        <v>0.34</v>
      </c>
      <c r="I245" s="38" cm="1">
        <f t="array" ref="I245">Common_InputFunctions.Utility_DisplayArrayInTable(Common_SourceData.Common_SourceData_MCFTemperatureZone_Data(),Table_SourceData_Common_MCFTemperatureZone[[#Headers],[Temperature zone]],0)</f>
        <v>5.0000000000000001E-3</v>
      </c>
      <c r="J245" s="38" cm="1">
        <f t="array" ref="J245">Common_InputFunctions.Utility_DisplayArrayInTable(Common_SourceData.Common_SourceData_MCFTemperatureZone_Data(),Table_SourceData_Common_MCFTemperatureZone[[#Headers],[Temperature zone]],0)</f>
        <v>0.01</v>
      </c>
      <c r="K245" s="38" cm="1">
        <f t="array" ref="K245">Common_InputFunctions.Utility_DisplayArrayInTable(Common_SourceData.Common_SourceData_MCFTemperatureZone_Data(),Table_SourceData_Common_MCFTemperatureZone[[#Headers],[Temperature zone]],0)</f>
        <v>0.02</v>
      </c>
      <c r="L245" s="38" cm="1">
        <f t="array" ref="L245">Common_InputFunctions.Utility_DisplayArrayInTable(Common_SourceData.Common_SourceData_MCFTemperatureZone_Data(),Table_SourceData_Common_MCFTemperatureZone[[#Headers],[Temperature zone]],0)</f>
        <v>0.03</v>
      </c>
      <c r="M245" s="38" cm="1">
        <f t="array" ref="M245">Common_InputFunctions.Utility_DisplayArrayInTable(Common_SourceData.Common_SourceData_MCFTemperatureZone_Data(),Table_SourceData_Common_MCFTemperatureZone[[#Headers],[Temperature zone]],0)</f>
        <v>0.04</v>
      </c>
      <c r="N245" s="38" cm="1">
        <f t="array" ref="N245">Common_InputFunctions.Utility_DisplayArrayInTable(Common_SourceData.Common_SourceData_MCFTemperatureZone_Data(),Table_SourceData_Common_MCFTemperatureZone[[#Headers],[Temperature zone]],0)</f>
        <v>1.4999999999999999E-2</v>
      </c>
      <c r="O245" s="38" cm="1">
        <f t="array" ref="O245">Common_InputFunctions.Utility_DisplayArrayInTable(Common_SourceData.Common_SourceData_MCFTemperatureZone_Data(),Table_SourceData_Common_MCFTemperatureZone[[#Headers],[Temperature zone]],0)</f>
        <v>1.4999999999999999E-2</v>
      </c>
      <c r="P245" s="38" cm="1">
        <f t="array" ref="P245">Common_InputFunctions.Utility_DisplayArrayInTable(Common_SourceData.Common_SourceData_MCFTemperatureZone_Data(),Table_SourceData_Common_MCFTemperatureZone[[#Headers],[Temperature zone]],0)</f>
        <v>0</v>
      </c>
      <c r="Q245" s="38" cm="1">
        <f t="array" ref="Q245">Common_InputFunctions.Utility_DisplayArrayInTable(Common_SourceData.Common_SourceData_MCFTemperatureZone_Data(),Table_SourceData_Common_MCFTemperatureZone[[#Headers],[Temperature zone]],0)</f>
        <v>0</v>
      </c>
      <c r="R245" s="38" cm="1">
        <f t="array" ref="R245">Common_InputFunctions.Utility_DisplayArrayInTable(Common_SourceData.Common_SourceData_MCFTemperatureZone_Data(),Table_SourceData_Common_MCFTemperatureZone[[#Headers],[Temperature zone]],0)</f>
        <v>4.7000000000000002E-3</v>
      </c>
      <c r="S245" s="38" cm="1">
        <f t="array" ref="S245">Common_InputFunctions.Utility_DisplayArrayInTable(Common_SourceData.Common_SourceData_MCFTemperatureZone_Data(),Table_SourceData_Common_MCFTemperatureZone[[#Headers],[Temperature zone]],0)</f>
        <v>23</v>
      </c>
    </row>
    <row r="246" spans="4:19" ht="20.100000000000001" customHeight="1" x14ac:dyDescent="0.2">
      <c r="D246" s="1" t="str" cm="1">
        <f t="array" ref="D246">Common_InputFunctions.Utility_DisplayArrayInTable(Common_SourceData.Common_SourceData_MCFTemperatureZone_Data(),Table_SourceData_Common_MCFTemperatureZone[[#Headers],[Temperature zone]],0)</f>
        <v>Temperate</v>
      </c>
      <c r="E246" s="38" cm="1">
        <f t="array" ref="E246">Common_InputFunctions.Utility_DisplayArrayInTable(Common_SourceData.Common_SourceData_MCFTemperatureZone_Data(),Table_SourceData_Common_MCFTemperatureZone[[#Headers],[Temperature zone]],0)</f>
        <v>24</v>
      </c>
      <c r="F246" s="38" cm="1">
        <f t="array" ref="F246">Common_InputFunctions.Utility_DisplayArrayInTable(Common_SourceData.Common_SourceData_MCFTemperatureZone_Data(),Table_SourceData_Common_MCFTemperatureZone[[#Headers],[Temperature zone]],0)</f>
        <v>0.79</v>
      </c>
      <c r="G246" s="38" cm="1">
        <f t="array" ref="G246">Common_InputFunctions.Utility_DisplayArrayInTable(Common_SourceData.Common_SourceData_MCFTemperatureZone_Data(),Table_SourceData_Common_MCFTemperatureZone[[#Headers],[Temperature zone]],0)</f>
        <v>0.1</v>
      </c>
      <c r="H246" s="38" cm="1">
        <f t="array" ref="H246">Common_InputFunctions.Utility_DisplayArrayInTable(Common_SourceData.Common_SourceData_MCFTemperatureZone_Data(),Table_SourceData_Common_MCFTemperatureZone[[#Headers],[Temperature zone]],0)</f>
        <v>0.37</v>
      </c>
      <c r="I246" s="38" cm="1">
        <f t="array" ref="I246">Common_InputFunctions.Utility_DisplayArrayInTable(Common_SourceData.Common_SourceData_MCFTemperatureZone_Data(),Table_SourceData_Common_MCFTemperatureZone[[#Headers],[Temperature zone]],0)</f>
        <v>5.0000000000000001E-3</v>
      </c>
      <c r="J246" s="38" cm="1">
        <f t="array" ref="J246">Common_InputFunctions.Utility_DisplayArrayInTable(Common_SourceData.Common_SourceData_MCFTemperatureZone_Data(),Table_SourceData_Common_MCFTemperatureZone[[#Headers],[Temperature zone]],0)</f>
        <v>0.01</v>
      </c>
      <c r="K246" s="38" cm="1">
        <f t="array" ref="K246">Common_InputFunctions.Utility_DisplayArrayInTable(Common_SourceData.Common_SourceData_MCFTemperatureZone_Data(),Table_SourceData_Common_MCFTemperatureZone[[#Headers],[Temperature zone]],0)</f>
        <v>0.02</v>
      </c>
      <c r="L246" s="38" cm="1">
        <f t="array" ref="L246">Common_InputFunctions.Utility_DisplayArrayInTable(Common_SourceData.Common_SourceData_MCFTemperatureZone_Data(),Table_SourceData_Common_MCFTemperatureZone[[#Headers],[Temperature zone]],0)</f>
        <v>0.03</v>
      </c>
      <c r="M246" s="38" cm="1">
        <f t="array" ref="M246">Common_InputFunctions.Utility_DisplayArrayInTable(Common_SourceData.Common_SourceData_MCFTemperatureZone_Data(),Table_SourceData_Common_MCFTemperatureZone[[#Headers],[Temperature zone]],0)</f>
        <v>0.04</v>
      </c>
      <c r="N246" s="38" cm="1">
        <f t="array" ref="N246">Common_InputFunctions.Utility_DisplayArrayInTable(Common_SourceData.Common_SourceData_MCFTemperatureZone_Data(),Table_SourceData_Common_MCFTemperatureZone[[#Headers],[Temperature zone]],0)</f>
        <v>1.4999999999999999E-2</v>
      </c>
      <c r="O246" s="38" cm="1">
        <f t="array" ref="O246">Common_InputFunctions.Utility_DisplayArrayInTable(Common_SourceData.Common_SourceData_MCFTemperatureZone_Data(),Table_SourceData_Common_MCFTemperatureZone[[#Headers],[Temperature zone]],0)</f>
        <v>1.4999999999999999E-2</v>
      </c>
      <c r="P246" s="38" cm="1">
        <f t="array" ref="P246">Common_InputFunctions.Utility_DisplayArrayInTable(Common_SourceData.Common_SourceData_MCFTemperatureZone_Data(),Table_SourceData_Common_MCFTemperatureZone[[#Headers],[Temperature zone]],0)</f>
        <v>0</v>
      </c>
      <c r="Q246" s="38" cm="1">
        <f t="array" ref="Q246">Common_InputFunctions.Utility_DisplayArrayInTable(Common_SourceData.Common_SourceData_MCFTemperatureZone_Data(),Table_SourceData_Common_MCFTemperatureZone[[#Headers],[Temperature zone]],0)</f>
        <v>0</v>
      </c>
      <c r="R246" s="38" cm="1">
        <f t="array" ref="R246">Common_InputFunctions.Utility_DisplayArrayInTable(Common_SourceData.Common_SourceData_MCFTemperatureZone_Data(),Table_SourceData_Common_MCFTemperatureZone[[#Headers],[Temperature zone]],0)</f>
        <v>4.7000000000000002E-3</v>
      </c>
      <c r="S246" s="38" cm="1">
        <f t="array" ref="S246">Common_InputFunctions.Utility_DisplayArrayInTable(Common_SourceData.Common_SourceData_MCFTemperatureZone_Data(),Table_SourceData_Common_MCFTemperatureZone[[#Headers],[Temperature zone]],0)</f>
        <v>24</v>
      </c>
    </row>
    <row r="247" spans="4:19" ht="20.100000000000001" customHeight="1" x14ac:dyDescent="0.2">
      <c r="D247" s="1" t="str" cm="1">
        <f t="array" ref="D247">Common_InputFunctions.Utility_DisplayArrayInTable(Common_SourceData.Common_SourceData_MCFTemperatureZone_Data(),Table_SourceData_Common_MCFTemperatureZone[[#Headers],[Temperature zone]],0)</f>
        <v>Temperate</v>
      </c>
      <c r="E247" s="38" cm="1">
        <f t="array" ref="E247">Common_InputFunctions.Utility_DisplayArrayInTable(Common_SourceData.Common_SourceData_MCFTemperatureZone_Data(),Table_SourceData_Common_MCFTemperatureZone[[#Headers],[Temperature zone]],0)</f>
        <v>25</v>
      </c>
      <c r="F247" s="38" cm="1">
        <f t="array" ref="F247">Common_InputFunctions.Utility_DisplayArrayInTable(Common_SourceData.Common_SourceData_MCFTemperatureZone_Data(),Table_SourceData_Common_MCFTemperatureZone[[#Headers],[Temperature zone]],0)</f>
        <v>0.79</v>
      </c>
      <c r="G247" s="38" cm="1">
        <f t="array" ref="G247">Common_InputFunctions.Utility_DisplayArrayInTable(Common_SourceData.Common_SourceData_MCFTemperatureZone_Data(),Table_SourceData_Common_MCFTemperatureZone[[#Headers],[Temperature zone]],0)</f>
        <v>0.1</v>
      </c>
      <c r="H247" s="38" cm="1">
        <f t="array" ref="H247">Common_InputFunctions.Utility_DisplayArrayInTable(Common_SourceData.Common_SourceData_MCFTemperatureZone_Data(),Table_SourceData_Common_MCFTemperatureZone[[#Headers],[Temperature zone]],0)</f>
        <v>0.41</v>
      </c>
      <c r="I247" s="38" cm="1">
        <f t="array" ref="I247">Common_InputFunctions.Utility_DisplayArrayInTable(Common_SourceData.Common_SourceData_MCFTemperatureZone_Data(),Table_SourceData_Common_MCFTemperatureZone[[#Headers],[Temperature zone]],0)</f>
        <v>5.0000000000000001E-3</v>
      </c>
      <c r="J247" s="38" cm="1">
        <f t="array" ref="J247">Common_InputFunctions.Utility_DisplayArrayInTable(Common_SourceData.Common_SourceData_MCFTemperatureZone_Data(),Table_SourceData_Common_MCFTemperatureZone[[#Headers],[Temperature zone]],0)</f>
        <v>0.01</v>
      </c>
      <c r="K247" s="38" cm="1">
        <f t="array" ref="K247">Common_InputFunctions.Utility_DisplayArrayInTable(Common_SourceData.Common_SourceData_MCFTemperatureZone_Data(),Table_SourceData_Common_MCFTemperatureZone[[#Headers],[Temperature zone]],0)</f>
        <v>0.02</v>
      </c>
      <c r="L247" s="38" cm="1">
        <f t="array" ref="L247">Common_InputFunctions.Utility_DisplayArrayInTable(Common_SourceData.Common_SourceData_MCFTemperatureZone_Data(),Table_SourceData_Common_MCFTemperatureZone[[#Headers],[Temperature zone]],0)</f>
        <v>0.03</v>
      </c>
      <c r="M247" s="38" cm="1">
        <f t="array" ref="M247">Common_InputFunctions.Utility_DisplayArrayInTable(Common_SourceData.Common_SourceData_MCFTemperatureZone_Data(),Table_SourceData_Common_MCFTemperatureZone[[#Headers],[Temperature zone]],0)</f>
        <v>0.04</v>
      </c>
      <c r="N247" s="38" cm="1">
        <f t="array" ref="N247">Common_InputFunctions.Utility_DisplayArrayInTable(Common_SourceData.Common_SourceData_MCFTemperatureZone_Data(),Table_SourceData_Common_MCFTemperatureZone[[#Headers],[Temperature zone]],0)</f>
        <v>1.4999999999999999E-2</v>
      </c>
      <c r="O247" s="38" cm="1">
        <f t="array" ref="O247">Common_InputFunctions.Utility_DisplayArrayInTable(Common_SourceData.Common_SourceData_MCFTemperatureZone_Data(),Table_SourceData_Common_MCFTemperatureZone[[#Headers],[Temperature zone]],0)</f>
        <v>1.4999999999999999E-2</v>
      </c>
      <c r="P247" s="38" cm="1">
        <f t="array" ref="P247">Common_InputFunctions.Utility_DisplayArrayInTable(Common_SourceData.Common_SourceData_MCFTemperatureZone_Data(),Table_SourceData_Common_MCFTemperatureZone[[#Headers],[Temperature zone]],0)</f>
        <v>0</v>
      </c>
      <c r="Q247" s="38" cm="1">
        <f t="array" ref="Q247">Common_InputFunctions.Utility_DisplayArrayInTable(Common_SourceData.Common_SourceData_MCFTemperatureZone_Data(),Table_SourceData_Common_MCFTemperatureZone[[#Headers],[Temperature zone]],0)</f>
        <v>0</v>
      </c>
      <c r="R247" s="38" cm="1">
        <f t="array" ref="R247">Common_InputFunctions.Utility_DisplayArrayInTable(Common_SourceData.Common_SourceData_MCFTemperatureZone_Data(),Table_SourceData_Common_MCFTemperatureZone[[#Headers],[Temperature zone]],0)</f>
        <v>4.7000000000000002E-3</v>
      </c>
      <c r="S247" s="38" cm="1">
        <f t="array" ref="S247">Common_InputFunctions.Utility_DisplayArrayInTable(Common_SourceData.Common_SourceData_MCFTemperatureZone_Data(),Table_SourceData_Common_MCFTemperatureZone[[#Headers],[Temperature zone]],0)</f>
        <v>25</v>
      </c>
    </row>
    <row r="248" spans="4:19" ht="20.100000000000001" customHeight="1" x14ac:dyDescent="0.2">
      <c r="D248" s="1" t="str" cm="1">
        <f t="array" ref="D248">Common_InputFunctions.Utility_DisplayArrayInTable(Common_SourceData.Common_SourceData_MCFTemperatureZone_Data(),Table_SourceData_Common_MCFTemperatureZone[[#Headers],[Temperature zone]],0)</f>
        <v>Warm</v>
      </c>
      <c r="E248" s="38" cm="1">
        <f t="array" ref="E248">Common_InputFunctions.Utility_DisplayArrayInTable(Common_SourceData.Common_SourceData_MCFTemperatureZone_Data(),Table_SourceData_Common_MCFTemperatureZone[[#Headers],[Temperature zone]],0)</f>
        <v>26</v>
      </c>
      <c r="F248" s="38" cm="1">
        <f t="array" ref="F248">Common_InputFunctions.Utility_DisplayArrayInTable(Common_SourceData.Common_SourceData_MCFTemperatureZone_Data(),Table_SourceData_Common_MCFTemperatureZone[[#Headers],[Temperature zone]],0)</f>
        <v>0.79</v>
      </c>
      <c r="G248" s="38" cm="1">
        <f t="array" ref="G248">Common_InputFunctions.Utility_DisplayArrayInTable(Common_SourceData.Common_SourceData_MCFTemperatureZone_Data(),Table_SourceData_Common_MCFTemperatureZone[[#Headers],[Temperature zone]],0)</f>
        <v>0.1</v>
      </c>
      <c r="H248" s="38" cm="1">
        <f t="array" ref="H248">Common_InputFunctions.Utility_DisplayArrayInTable(Common_SourceData.Common_SourceData_MCFTemperatureZone_Data(),Table_SourceData_Common_MCFTemperatureZone[[#Headers],[Temperature zone]],0)</f>
        <v>0.44</v>
      </c>
      <c r="I248" s="38" cm="1">
        <f t="array" ref="I248">Common_InputFunctions.Utility_DisplayArrayInTable(Common_SourceData.Common_SourceData_MCFTemperatureZone_Data(),Table_SourceData_Common_MCFTemperatureZone[[#Headers],[Temperature zone]],0)</f>
        <v>0.01</v>
      </c>
      <c r="J248" s="38" cm="1">
        <f t="array" ref="J248">Common_InputFunctions.Utility_DisplayArrayInTable(Common_SourceData.Common_SourceData_MCFTemperatureZone_Data(),Table_SourceData_Common_MCFTemperatureZone[[#Headers],[Temperature zone]],0)</f>
        <v>1.4999999999999999E-2</v>
      </c>
      <c r="K248" s="38" cm="1">
        <f t="array" ref="K248">Common_InputFunctions.Utility_DisplayArrayInTable(Common_SourceData.Common_SourceData_MCFTemperatureZone_Data(),Table_SourceData_Common_MCFTemperatureZone[[#Headers],[Temperature zone]],0)</f>
        <v>0.02</v>
      </c>
      <c r="L248" s="38" cm="1">
        <f t="array" ref="L248">Common_InputFunctions.Utility_DisplayArrayInTable(Common_SourceData.Common_SourceData_MCFTemperatureZone_Data(),Table_SourceData_Common_MCFTemperatureZone[[#Headers],[Temperature zone]],0)</f>
        <v>0.03</v>
      </c>
      <c r="M248" s="38" cm="1">
        <f t="array" ref="M248">Common_InputFunctions.Utility_DisplayArrayInTable(Common_SourceData.Common_SourceData_MCFTemperatureZone_Data(),Table_SourceData_Common_MCFTemperatureZone[[#Headers],[Temperature zone]],0)</f>
        <v>0.04</v>
      </c>
      <c r="N248" s="38" cm="1">
        <f t="array" ref="N248">Common_InputFunctions.Utility_DisplayArrayInTable(Common_SourceData.Common_SourceData_MCFTemperatureZone_Data(),Table_SourceData_Common_MCFTemperatureZone[[#Headers],[Temperature zone]],0)</f>
        <v>1.4999999999999999E-2</v>
      </c>
      <c r="O248" s="38" cm="1">
        <f t="array" ref="O248">Common_InputFunctions.Utility_DisplayArrayInTable(Common_SourceData.Common_SourceData_MCFTemperatureZone_Data(),Table_SourceData_Common_MCFTemperatureZone[[#Headers],[Temperature zone]],0)</f>
        <v>1.4999999999999999E-2</v>
      </c>
      <c r="P248" s="38" cm="1">
        <f t="array" ref="P248">Common_InputFunctions.Utility_DisplayArrayInTable(Common_SourceData.Common_SourceData_MCFTemperatureZone_Data(),Table_SourceData_Common_MCFTemperatureZone[[#Headers],[Temperature zone]],0)</f>
        <v>0</v>
      </c>
      <c r="Q248" s="38" cm="1">
        <f t="array" ref="Q248">Common_InputFunctions.Utility_DisplayArrayInTable(Common_SourceData.Common_SourceData_MCFTemperatureZone_Data(),Table_SourceData_Common_MCFTemperatureZone[[#Headers],[Temperature zone]],0)</f>
        <v>0</v>
      </c>
      <c r="R248" s="38" cm="1">
        <f t="array" ref="R248">Common_InputFunctions.Utility_DisplayArrayInTable(Common_SourceData.Common_SourceData_MCFTemperatureZone_Data(),Table_SourceData_Common_MCFTemperatureZone[[#Headers],[Temperature zone]],0)</f>
        <v>4.7000000000000002E-3</v>
      </c>
      <c r="S248" s="38" cm="1">
        <f t="array" ref="S248">Common_InputFunctions.Utility_DisplayArrayInTable(Common_SourceData.Common_SourceData_MCFTemperatureZone_Data(),Table_SourceData_Common_MCFTemperatureZone[[#Headers],[Temperature zone]],0)</f>
        <v>26</v>
      </c>
    </row>
    <row r="249" spans="4:19" ht="20.100000000000001" customHeight="1" x14ac:dyDescent="0.2">
      <c r="D249" s="1" t="str" cm="1">
        <f t="array" ref="D249">Common_InputFunctions.Utility_DisplayArrayInTable(Common_SourceData.Common_SourceData_MCFTemperatureZone_Data(),Table_SourceData_Common_MCFTemperatureZone[[#Headers],[Temperature zone]],0)</f>
        <v>Warm</v>
      </c>
      <c r="E249" s="38" cm="1">
        <f t="array" ref="E249">Common_InputFunctions.Utility_DisplayArrayInTable(Common_SourceData.Common_SourceData_MCFTemperatureZone_Data(),Table_SourceData_Common_MCFTemperatureZone[[#Headers],[Temperature zone]],0)</f>
        <v>27</v>
      </c>
      <c r="F249" s="38" cm="1">
        <f t="array" ref="F249">Common_InputFunctions.Utility_DisplayArrayInTable(Common_SourceData.Common_SourceData_MCFTemperatureZone_Data(),Table_SourceData_Common_MCFTemperatureZone[[#Headers],[Temperature zone]],0)</f>
        <v>0.8</v>
      </c>
      <c r="G249" s="38" cm="1">
        <f t="array" ref="G249">Common_InputFunctions.Utility_DisplayArrayInTable(Common_SourceData.Common_SourceData_MCFTemperatureZone_Data(),Table_SourceData_Common_MCFTemperatureZone[[#Headers],[Temperature zone]],0)</f>
        <v>0.1</v>
      </c>
      <c r="H249" s="38" cm="1">
        <f t="array" ref="H249">Common_InputFunctions.Utility_DisplayArrayInTable(Common_SourceData.Common_SourceData_MCFTemperatureZone_Data(),Table_SourceData_Common_MCFTemperatureZone[[#Headers],[Temperature zone]],0)</f>
        <v>0.48</v>
      </c>
      <c r="I249" s="38" cm="1">
        <f t="array" ref="I249">Common_InputFunctions.Utility_DisplayArrayInTable(Common_SourceData.Common_SourceData_MCFTemperatureZone_Data(),Table_SourceData_Common_MCFTemperatureZone[[#Headers],[Temperature zone]],0)</f>
        <v>0.01</v>
      </c>
      <c r="J249" s="38" cm="1">
        <f t="array" ref="J249">Common_InputFunctions.Utility_DisplayArrayInTable(Common_SourceData.Common_SourceData_MCFTemperatureZone_Data(),Table_SourceData_Common_MCFTemperatureZone[[#Headers],[Temperature zone]],0)</f>
        <v>1.4999999999999999E-2</v>
      </c>
      <c r="K249" s="38" cm="1">
        <f t="array" ref="K249">Common_InputFunctions.Utility_DisplayArrayInTable(Common_SourceData.Common_SourceData_MCFTemperatureZone_Data(),Table_SourceData_Common_MCFTemperatureZone[[#Headers],[Temperature zone]],0)</f>
        <v>0.02</v>
      </c>
      <c r="L249" s="38" cm="1">
        <f t="array" ref="L249">Common_InputFunctions.Utility_DisplayArrayInTable(Common_SourceData.Common_SourceData_MCFTemperatureZone_Data(),Table_SourceData_Common_MCFTemperatureZone[[#Headers],[Temperature zone]],0)</f>
        <v>0.03</v>
      </c>
      <c r="M249" s="38" cm="1">
        <f t="array" ref="M249">Common_InputFunctions.Utility_DisplayArrayInTable(Common_SourceData.Common_SourceData_MCFTemperatureZone_Data(),Table_SourceData_Common_MCFTemperatureZone[[#Headers],[Temperature zone]],0)</f>
        <v>0.04</v>
      </c>
      <c r="N249" s="38" cm="1">
        <f t="array" ref="N249">Common_InputFunctions.Utility_DisplayArrayInTable(Common_SourceData.Common_SourceData_MCFTemperatureZone_Data(),Table_SourceData_Common_MCFTemperatureZone[[#Headers],[Temperature zone]],0)</f>
        <v>1.4999999999999999E-2</v>
      </c>
      <c r="O249" s="38" cm="1">
        <f t="array" ref="O249">Common_InputFunctions.Utility_DisplayArrayInTable(Common_SourceData.Common_SourceData_MCFTemperatureZone_Data(),Table_SourceData_Common_MCFTemperatureZone[[#Headers],[Temperature zone]],0)</f>
        <v>1.4999999999999999E-2</v>
      </c>
      <c r="P249" s="38" cm="1">
        <f t="array" ref="P249">Common_InputFunctions.Utility_DisplayArrayInTable(Common_SourceData.Common_SourceData_MCFTemperatureZone_Data(),Table_SourceData_Common_MCFTemperatureZone[[#Headers],[Temperature zone]],0)</f>
        <v>0</v>
      </c>
      <c r="Q249" s="38" cm="1">
        <f t="array" ref="Q249">Common_InputFunctions.Utility_DisplayArrayInTable(Common_SourceData.Common_SourceData_MCFTemperatureZone_Data(),Table_SourceData_Common_MCFTemperatureZone[[#Headers],[Temperature zone]],0)</f>
        <v>0</v>
      </c>
      <c r="R249" s="38" cm="1">
        <f t="array" ref="R249">Common_InputFunctions.Utility_DisplayArrayInTable(Common_SourceData.Common_SourceData_MCFTemperatureZone_Data(),Table_SourceData_Common_MCFTemperatureZone[[#Headers],[Temperature zone]],0)</f>
        <v>4.7000000000000002E-3</v>
      </c>
      <c r="S249" s="38" cm="1">
        <f t="array" ref="S249">Common_InputFunctions.Utility_DisplayArrayInTable(Common_SourceData.Common_SourceData_MCFTemperatureZone_Data(),Table_SourceData_Common_MCFTemperatureZone[[#Headers],[Temperature zone]],0)</f>
        <v>27</v>
      </c>
    </row>
    <row r="250" spans="4:19" ht="20.100000000000001" customHeight="1" x14ac:dyDescent="0.2">
      <c r="D250" s="1" t="str" cm="1">
        <f t="array" ref="D250">Common_InputFunctions.Utility_DisplayArrayInTable(Common_SourceData.Common_SourceData_MCFTemperatureZone_Data(),Table_SourceData_Common_MCFTemperatureZone[[#Headers],[Temperature zone]],0)</f>
        <v>Warm</v>
      </c>
      <c r="E250" s="38" t="str" cm="1">
        <f t="array" ref="E250">Common_InputFunctions.Utility_DisplayArrayInTable(Common_SourceData.Common_SourceData_MCFTemperatureZone_Data(),Table_SourceData_Common_MCFTemperatureZone[[#Headers],[Temperature zone]],0)</f>
        <v>≥28</v>
      </c>
      <c r="F250" s="38" cm="1">
        <f t="array" ref="F250">Common_InputFunctions.Utility_DisplayArrayInTable(Common_SourceData.Common_SourceData_MCFTemperatureZone_Data(),Table_SourceData_Common_MCFTemperatureZone[[#Headers],[Temperature zone]],0)</f>
        <v>0.8</v>
      </c>
      <c r="G250" s="38" cm="1">
        <f t="array" ref="G250">Common_InputFunctions.Utility_DisplayArrayInTable(Common_SourceData.Common_SourceData_MCFTemperatureZone_Data(),Table_SourceData_Common_MCFTemperatureZone[[#Headers],[Temperature zone]],0)</f>
        <v>0.1</v>
      </c>
      <c r="H250" s="38" cm="1">
        <f t="array" ref="H250">Common_InputFunctions.Utility_DisplayArrayInTable(Common_SourceData.Common_SourceData_MCFTemperatureZone_Data(),Table_SourceData_Common_MCFTemperatureZone[[#Headers],[Temperature zone]],0)</f>
        <v>0.5</v>
      </c>
      <c r="I250" s="38" cm="1">
        <f t="array" ref="I250">Common_InputFunctions.Utility_DisplayArrayInTable(Common_SourceData.Common_SourceData_MCFTemperatureZone_Data(),Table_SourceData_Common_MCFTemperatureZone[[#Headers],[Temperature zone]],0)</f>
        <v>0.01</v>
      </c>
      <c r="J250" s="38" cm="1">
        <f t="array" ref="J250">Common_InputFunctions.Utility_DisplayArrayInTable(Common_SourceData.Common_SourceData_MCFTemperatureZone_Data(),Table_SourceData_Common_MCFTemperatureZone[[#Headers],[Temperature zone]],0)</f>
        <v>1.4999999999999999E-2</v>
      </c>
      <c r="K250" s="38" cm="1">
        <f t="array" ref="K250">Common_InputFunctions.Utility_DisplayArrayInTable(Common_SourceData.Common_SourceData_MCFTemperatureZone_Data(),Table_SourceData_Common_MCFTemperatureZone[[#Headers],[Temperature zone]],0)</f>
        <v>0.02</v>
      </c>
      <c r="L250" s="38" cm="1">
        <f t="array" ref="L250">Common_InputFunctions.Utility_DisplayArrayInTable(Common_SourceData.Common_SourceData_MCFTemperatureZone_Data(),Table_SourceData_Common_MCFTemperatureZone[[#Headers],[Temperature zone]],0)</f>
        <v>0.03</v>
      </c>
      <c r="M250" s="38" cm="1">
        <f t="array" ref="M250">Common_InputFunctions.Utility_DisplayArrayInTable(Common_SourceData.Common_SourceData_MCFTemperatureZone_Data(),Table_SourceData_Common_MCFTemperatureZone[[#Headers],[Temperature zone]],0)</f>
        <v>0.04</v>
      </c>
      <c r="N250" s="38" cm="1">
        <f t="array" ref="N250">Common_InputFunctions.Utility_DisplayArrayInTable(Common_SourceData.Common_SourceData_MCFTemperatureZone_Data(),Table_SourceData_Common_MCFTemperatureZone[[#Headers],[Temperature zone]],0)</f>
        <v>1.4999999999999999E-2</v>
      </c>
      <c r="O250" s="38" cm="1">
        <f t="array" ref="O250">Common_InputFunctions.Utility_DisplayArrayInTable(Common_SourceData.Common_SourceData_MCFTemperatureZone_Data(),Table_SourceData_Common_MCFTemperatureZone[[#Headers],[Temperature zone]],0)</f>
        <v>1.4999999999999999E-2</v>
      </c>
      <c r="P250" s="38" cm="1">
        <f t="array" ref="P250">Common_InputFunctions.Utility_DisplayArrayInTable(Common_SourceData.Common_SourceData_MCFTemperatureZone_Data(),Table_SourceData_Common_MCFTemperatureZone[[#Headers],[Temperature zone]],0)</f>
        <v>0</v>
      </c>
      <c r="Q250" s="38" cm="1">
        <f t="array" ref="Q250">Common_InputFunctions.Utility_DisplayArrayInTable(Common_SourceData.Common_SourceData_MCFTemperatureZone_Data(),Table_SourceData_Common_MCFTemperatureZone[[#Headers],[Temperature zone]],0)</f>
        <v>0</v>
      </c>
      <c r="R250" s="38" cm="1">
        <f t="array" ref="R250">Common_InputFunctions.Utility_DisplayArrayInTable(Common_SourceData.Common_SourceData_MCFTemperatureZone_Data(),Table_SourceData_Common_MCFTemperatureZone[[#Headers],[Temperature zone]],0)</f>
        <v>4.7000000000000002E-3</v>
      </c>
      <c r="S250" s="38" cm="1">
        <f t="array" ref="S250">Common_InputFunctions.Utility_DisplayArrayInTable(Common_SourceData.Common_SourceData_MCFTemperatureZone_Data(),Table_SourceData_Common_MCFTemperatureZone[[#Headers],[Temperature zone]],0)</f>
        <v>28</v>
      </c>
    </row>
    <row r="253" spans="4:19" ht="20.100000000000001" customHeight="1" x14ac:dyDescent="0.2">
      <c r="D253" s="6" t="str" cm="1">
        <f t="array" ref="D253">Common_SourceData.Common_SourceData_EFOrganicFertiliserAndCropResidues_Title()</f>
        <v>Emission factor for organic fertiliser and crop residues returned to the soil</v>
      </c>
    </row>
    <row r="254" spans="4:19" ht="20.100000000000001" customHeight="1" x14ac:dyDescent="0.2">
      <c r="D254" s="5" t="str" cm="1">
        <f t="array" ref="D254">Common_SourceData.Common_SourceData_EFOrganicFertiliserAndCropResidues_Source()</f>
        <v>VEERG 2026: Table A.2.1.4</v>
      </c>
    </row>
    <row r="255" spans="4:19" ht="20.100000000000001" customHeight="1" x14ac:dyDescent="0.2">
      <c r="D255" s="1" t="str" cm="1">
        <f t="array" ref="D255">Common_SourceData.Common_SourceData_EFOrganicFertiliserAndCropResidues_Variable()</f>
        <v>EFNi &amp; EFN2Oi</v>
      </c>
    </row>
    <row r="256" spans="4:19" ht="20.100000000000001" customHeight="1" x14ac:dyDescent="0.2">
      <c r="D256" s="55" t="str" cm="1">
        <f t="array" ref="D256">Common_SourceData.Common_SourceData_EFOrganicFertiliserAndCropResidues_Unit()</f>
        <v>kg N2O - N / kg N</v>
      </c>
    </row>
    <row r="257" spans="4:6" ht="20.100000000000001" customHeight="1" x14ac:dyDescent="0.2">
      <c r="D257" s="38" t="s">
        <v>462</v>
      </c>
      <c r="E257" s="38" t="s">
        <v>463</v>
      </c>
    </row>
    <row r="258" spans="4:6" ht="20.100000000000001" customHeight="1" x14ac:dyDescent="0.2">
      <c r="D258" s="38" t="str" cm="1">
        <f t="array" ref="D258">Common_InputFunctions.Utility_DisplayArrayInTable(Common_SourceData.Common_SourceData_EFOrganicFertiliserAndCropResidues_Data(), Table_SourceData_Common_EFOrganicFertCropResidues[[#Headers],[Climate Zone]], 0)</f>
        <v>Wet climate zone</v>
      </c>
      <c r="E258" s="38" cm="1">
        <f t="array" ref="E258">Common_InputFunctions.Utility_DisplayArrayInTable(Common_SourceData.Common_SourceData_EFOrganicFertiliserAndCropResidues_Data(), Table_SourceData_Common_EFOrganicFertCropResidues[[#Headers],[Climate Zone]], 0)</f>
        <v>6.0000000000000001E-3</v>
      </c>
    </row>
    <row r="259" spans="4:6" ht="20.100000000000001" customHeight="1" x14ac:dyDescent="0.2">
      <c r="D259" s="1" t="str" cm="1">
        <f t="array" ref="D259">Common_InputFunctions.Utility_DisplayArrayInTable(Common_SourceData.Common_SourceData_EFOrganicFertiliserAndCropResidues_Data(), Table_SourceData_Common_EFOrganicFertCropResidues[[#Headers],[Climate Zone]], 0)</f>
        <v>Dry climate zone</v>
      </c>
      <c r="E259" s="38" cm="1">
        <f t="array" ref="E259">Common_InputFunctions.Utility_DisplayArrayInTable(Common_SourceData.Common_SourceData_EFOrganicFertiliserAndCropResidues_Data(), Table_SourceData_Common_EFOrganicFertCropResidues[[#Headers],[Climate Zone]], 0)</f>
        <v>5.0000000000000001E-3</v>
      </c>
    </row>
    <row r="263" spans="4:6" ht="20.100000000000001" customHeight="1" x14ac:dyDescent="0.2">
      <c r="D263" s="6" t="s">
        <v>471</v>
      </c>
    </row>
    <row r="264" spans="4:6" ht="20.100000000000001" customHeight="1" x14ac:dyDescent="0.2">
      <c r="D264" s="1" t="s">
        <v>472</v>
      </c>
    </row>
    <row r="265" spans="4:6" ht="20.100000000000001" customHeight="1" x14ac:dyDescent="0.2">
      <c r="D265" s="38" t="s">
        <v>473</v>
      </c>
      <c r="E265" s="38" t="s">
        <v>474</v>
      </c>
      <c r="F265" s="38" t="s">
        <v>475</v>
      </c>
    </row>
    <row r="266" spans="4:6" ht="20.100000000000001" customHeight="1" x14ac:dyDescent="0.2">
      <c r="D266" s="38" t="s">
        <v>476</v>
      </c>
      <c r="E266" s="38" t="s">
        <v>477</v>
      </c>
      <c r="F266" s="38">
        <v>5</v>
      </c>
    </row>
    <row r="267" spans="4:6" ht="20.100000000000001" customHeight="1" x14ac:dyDescent="0.2">
      <c r="D267" s="38" t="s">
        <v>478</v>
      </c>
      <c r="E267" s="38" t="s">
        <v>479</v>
      </c>
      <c r="F267" s="38">
        <v>4</v>
      </c>
    </row>
    <row r="268" spans="4:6" ht="20.100000000000001" customHeight="1" x14ac:dyDescent="0.2">
      <c r="D268" s="38" t="s">
        <v>480</v>
      </c>
      <c r="E268" s="38" t="s">
        <v>481</v>
      </c>
      <c r="F268" s="38">
        <v>3</v>
      </c>
    </row>
    <row r="269" spans="4:6" ht="20.100000000000001" customHeight="1" x14ac:dyDescent="0.2">
      <c r="D269" s="38" t="s">
        <v>482</v>
      </c>
      <c r="E269" s="38" t="s">
        <v>483</v>
      </c>
      <c r="F269" s="38">
        <v>2</v>
      </c>
    </row>
    <row r="270" spans="4:6" ht="20.100000000000001" customHeight="1" x14ac:dyDescent="0.2">
      <c r="D270" s="38" t="s">
        <v>484</v>
      </c>
      <c r="E270" s="38" t="s">
        <v>485</v>
      </c>
      <c r="F270" s="38">
        <v>1</v>
      </c>
    </row>
    <row r="273" spans="4:6" ht="20.100000000000001" customHeight="1" x14ac:dyDescent="0.2">
      <c r="D273" s="1" t="s">
        <v>486</v>
      </c>
    </row>
    <row r="274" spans="4:6" ht="20.100000000000001" customHeight="1" x14ac:dyDescent="0.2">
      <c r="D274" s="38" t="s">
        <v>473</v>
      </c>
      <c r="E274" s="38" t="s">
        <v>474</v>
      </c>
      <c r="F274" s="38" t="s">
        <v>475</v>
      </c>
    </row>
    <row r="275" spans="4:6" ht="20.100000000000001" customHeight="1" x14ac:dyDescent="0.2">
      <c r="D275" s="38" t="s">
        <v>487</v>
      </c>
      <c r="E275" s="38" t="s">
        <v>488</v>
      </c>
      <c r="F275" s="38">
        <v>5</v>
      </c>
    </row>
    <row r="276" spans="4:6" ht="20.100000000000001" customHeight="1" x14ac:dyDescent="0.2">
      <c r="D276" s="38" t="s">
        <v>489</v>
      </c>
      <c r="E276" s="38" t="s">
        <v>490</v>
      </c>
      <c r="F276" s="38">
        <v>4</v>
      </c>
    </row>
    <row r="277" spans="4:6" ht="20.100000000000001" customHeight="1" x14ac:dyDescent="0.2">
      <c r="D277" s="38" t="s">
        <v>491</v>
      </c>
      <c r="E277" s="38" t="s">
        <v>492</v>
      </c>
      <c r="F277" s="38">
        <v>3</v>
      </c>
    </row>
    <row r="278" spans="4:6" ht="20.100000000000001" customHeight="1" x14ac:dyDescent="0.2">
      <c r="D278" s="38" t="s">
        <v>493</v>
      </c>
      <c r="E278" s="38" t="s">
        <v>494</v>
      </c>
      <c r="F278" s="38">
        <v>2</v>
      </c>
    </row>
    <row r="279" spans="4:6" ht="20.100000000000001" customHeight="1" x14ac:dyDescent="0.2">
      <c r="D279" s="38" t="s">
        <v>495</v>
      </c>
      <c r="E279" s="38" t="s">
        <v>496</v>
      </c>
      <c r="F279" s="38">
        <v>1</v>
      </c>
    </row>
    <row r="282" spans="4:6" ht="20.100000000000001" customHeight="1" x14ac:dyDescent="0.2">
      <c r="D282" s="1" t="s">
        <v>497</v>
      </c>
    </row>
    <row r="283" spans="4:6" ht="20.100000000000001" customHeight="1" x14ac:dyDescent="0.2">
      <c r="D283" s="38" t="s">
        <v>473</v>
      </c>
      <c r="E283" s="38" t="s">
        <v>474</v>
      </c>
      <c r="F283" s="38" t="s">
        <v>475</v>
      </c>
    </row>
    <row r="284" spans="4:6" ht="20.100000000000001" customHeight="1" x14ac:dyDescent="0.2">
      <c r="D284" s="38" t="s">
        <v>498</v>
      </c>
      <c r="E284" s="38" t="s">
        <v>499</v>
      </c>
      <c r="F284" s="38">
        <v>5</v>
      </c>
    </row>
    <row r="285" spans="4:6" ht="20.100000000000001" customHeight="1" x14ac:dyDescent="0.2">
      <c r="D285" s="38" t="s">
        <v>500</v>
      </c>
      <c r="E285" s="38" t="s">
        <v>501</v>
      </c>
      <c r="F285" s="38">
        <v>4</v>
      </c>
    </row>
    <row r="286" spans="4:6" ht="20.100000000000001" customHeight="1" x14ac:dyDescent="0.2">
      <c r="D286" s="38" t="s">
        <v>502</v>
      </c>
      <c r="E286" s="38" t="s">
        <v>503</v>
      </c>
      <c r="F286" s="38">
        <v>3</v>
      </c>
    </row>
    <row r="287" spans="4:6" ht="20.100000000000001" customHeight="1" x14ac:dyDescent="0.2">
      <c r="D287" s="38" t="s">
        <v>504</v>
      </c>
      <c r="E287" s="38" t="s">
        <v>505</v>
      </c>
      <c r="F287" s="38">
        <v>2</v>
      </c>
    </row>
    <row r="288" spans="4:6" ht="20.100000000000001" customHeight="1" x14ac:dyDescent="0.2">
      <c r="D288" s="38" t="s">
        <v>506</v>
      </c>
      <c r="E288" s="38" t="s">
        <v>507</v>
      </c>
      <c r="F288" s="38">
        <v>1</v>
      </c>
    </row>
    <row r="291" spans="4:6" ht="20.100000000000001" customHeight="1" x14ac:dyDescent="0.2">
      <c r="D291" s="1" t="s">
        <v>508</v>
      </c>
    </row>
    <row r="292" spans="4:6" ht="20.100000000000001" customHeight="1" x14ac:dyDescent="0.2">
      <c r="D292" s="38" t="s">
        <v>473</v>
      </c>
      <c r="E292" s="38" t="s">
        <v>474</v>
      </c>
      <c r="F292" s="38" t="s">
        <v>475</v>
      </c>
    </row>
    <row r="293" spans="4:6" ht="20.100000000000001" customHeight="1" x14ac:dyDescent="0.2">
      <c r="D293" s="38" t="s">
        <v>509</v>
      </c>
      <c r="E293" s="38" t="s">
        <v>510</v>
      </c>
      <c r="F293" s="38">
        <v>5</v>
      </c>
    </row>
    <row r="294" spans="4:6" ht="20.100000000000001" customHeight="1" x14ac:dyDescent="0.2">
      <c r="D294" s="38" t="s">
        <v>511</v>
      </c>
      <c r="E294" s="38" t="s">
        <v>512</v>
      </c>
      <c r="F294" s="38">
        <v>4</v>
      </c>
    </row>
    <row r="295" spans="4:6" ht="20.100000000000001" customHeight="1" x14ac:dyDescent="0.2">
      <c r="D295" s="38" t="s">
        <v>513</v>
      </c>
      <c r="E295" s="38" t="s">
        <v>514</v>
      </c>
      <c r="F295" s="38">
        <v>3</v>
      </c>
    </row>
    <row r="296" spans="4:6" ht="20.100000000000001" customHeight="1" x14ac:dyDescent="0.2">
      <c r="D296" s="38" t="s">
        <v>515</v>
      </c>
      <c r="E296" s="38" t="s">
        <v>516</v>
      </c>
      <c r="F296" s="38">
        <v>2</v>
      </c>
    </row>
    <row r="297" spans="4:6" ht="20.100000000000001" customHeight="1" x14ac:dyDescent="0.2">
      <c r="D297" s="38" t="s">
        <v>517</v>
      </c>
      <c r="E297" s="38" t="s">
        <v>518</v>
      </c>
      <c r="F297" s="38">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sheetPr>
    <tabColor theme="2" tint="-0.499984740745262"/>
  </sheetPr>
  <dimension ref="A1:M29"/>
  <sheetViews>
    <sheetView showGridLines="0" topLeftCell="A2" zoomScaleNormal="100" workbookViewId="0">
      <selection activeCell="A10" sqref="A10"/>
    </sheetView>
  </sheetViews>
  <sheetFormatPr defaultRowHeight="20.100000000000001" customHeight="1" x14ac:dyDescent="0.2"/>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7" t="e" vm="1">
        <v>#VALUE!</v>
      </c>
      <c r="C1" s="8" t="s">
        <v>75</v>
      </c>
      <c r="D1" s="8"/>
      <c r="E1" s="8"/>
      <c r="F1" s="8"/>
      <c r="G1" s="8"/>
      <c r="H1" s="8"/>
      <c r="I1" s="8"/>
      <c r="J1" s="8"/>
      <c r="K1" s="8"/>
      <c r="L1" s="8"/>
      <c r="M1" s="8"/>
    </row>
    <row r="2" spans="1:13" ht="20.100000000000001" customHeight="1" x14ac:dyDescent="0.2">
      <c r="C2" s="9"/>
      <c r="D2" s="9"/>
      <c r="E2" s="9"/>
      <c r="F2" s="9"/>
      <c r="G2" s="9"/>
      <c r="H2" s="9"/>
      <c r="I2" s="9"/>
      <c r="J2" s="9"/>
      <c r="K2" s="9"/>
      <c r="L2" s="9"/>
      <c r="M2" s="9"/>
    </row>
    <row r="3" spans="1:13" ht="20.100000000000001" customHeight="1" x14ac:dyDescent="0.2">
      <c r="A3" s="17" t="str">
        <f>HYPERLINK("#'Home'!A1", "Home")</f>
        <v>Home</v>
      </c>
      <c r="C3" s="4"/>
      <c r="D3" s="4"/>
      <c r="E3" s="4"/>
      <c r="F3" s="4"/>
      <c r="G3" s="4"/>
      <c r="H3" s="4"/>
      <c r="I3" s="4"/>
      <c r="J3" s="4"/>
      <c r="K3" s="4"/>
      <c r="L3" s="4"/>
      <c r="M3" s="4"/>
    </row>
    <row r="4" spans="1:13" ht="20.100000000000001" customHeight="1" x14ac:dyDescent="0.2">
      <c r="A4" s="17" t="str">
        <f>HYPERLINK("#'Overview'!A1", "Overview")</f>
        <v>Overview</v>
      </c>
    </row>
    <row r="5" spans="1:13" ht="20.100000000000001" customHeight="1" x14ac:dyDescent="0.2">
      <c r="A5" s="17" t="str">
        <f>HYPERLINK("#'Results'!A1", "Results")</f>
        <v>Results</v>
      </c>
    </row>
    <row r="6" spans="1:13" ht="20.100000000000001" customHeight="1" x14ac:dyDescent="0.2">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
      <c r="D7" s="3" t="str" cm="1">
        <f t="array" ref="D7">CommonLivestock_SourceData.SourceData_Livestock_Common_SymbolsMMS_Vairable()</f>
        <v>MMS</v>
      </c>
      <c r="E7" s="3"/>
      <c r="F7" s="3"/>
      <c r="G7" s="3"/>
      <c r="H7" s="3"/>
    </row>
    <row r="8" spans="1:13" ht="20.100000000000001" customHeight="1" x14ac:dyDescent="0.2">
      <c r="A8" s="19" t="s">
        <v>0</v>
      </c>
      <c r="D8" s="5" t="str" cm="1">
        <f t="array" ref="D8">CommonLivestock_SourceData.SourceData_Livestock_Common_SymbolsMMS_Source()</f>
        <v>National Inventory Report 2023 Volume 1: Table 5.12</v>
      </c>
      <c r="E8" s="3"/>
      <c r="F8" s="3"/>
      <c r="G8" s="3"/>
      <c r="H8" s="3"/>
    </row>
    <row r="9" spans="1:13" ht="20.100000000000001" customHeight="1" x14ac:dyDescent="0.2">
      <c r="A9" s="17" t="str">
        <f>HYPERLINK("#'Input - Site'!A1", "Site")</f>
        <v>Site</v>
      </c>
      <c r="D9" s="37" t="s">
        <v>76</v>
      </c>
      <c r="E9" s="38" t="s">
        <v>19</v>
      </c>
      <c r="F9" s="38" t="s">
        <v>77</v>
      </c>
      <c r="G9" s="3"/>
    </row>
    <row r="10" spans="1:13" ht="20.100000000000001" customHeight="1" x14ac:dyDescent="0.2">
      <c r="A10" s="17" t="str">
        <f>HYPERLINK("#'Input - Dairy'!A1", "Dairy")</f>
        <v>Dairy</v>
      </c>
      <c r="D10" s="37" t="str" cm="1">
        <f t="array" ref="D10">Common_InputFunctions.Utility_DisplayArrayInTable(CommonLivestock_SourceData.SourceData_Livestock_Common_SymbolsMMS_Data(), Table_Data_MMSSymbols[[#Headers],[Symbol]], 0)</f>
        <v>1</v>
      </c>
      <c r="E10" s="37" t="str" cm="1">
        <f t="array" ref="E10">Common_InputFunctions.Utility_DisplayArrayInTable(CommonLivestock_SourceData.SourceData_Livestock_Common_SymbolsMMS_Data(), Table_Data_MMSSymbols[[#Headers],[Symbol]], 0)</f>
        <v>Anaerobic lagoon</v>
      </c>
      <c r="F10" s="37"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
      <c r="D11" s="37" t="str" cm="1">
        <f t="array" ref="D11">Common_InputFunctions.Utility_DisplayArrayInTable(CommonLivestock_SourceData.SourceData_Livestock_Common_SymbolsMMS_Data(), Table_Data_MMSSymbols[[#Headers],[Symbol]], 0)</f>
        <v>2</v>
      </c>
      <c r="E11" s="37" t="str" cm="1">
        <f t="array" ref="E11">Common_InputFunctions.Utility_DisplayArrayInTable(CommonLivestock_SourceData.SourceData_Livestock_Common_SymbolsMMS_Data(), Table_Data_MMSSymbols[[#Headers],[Symbol]], 0)</f>
        <v>Liquid systems</v>
      </c>
      <c r="F11" s="37"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
      <c r="D12" s="38" t="str" cm="1">
        <f t="array" ref="D12">Common_InputFunctions.Utility_DisplayArrayInTable(CommonLivestock_SourceData.SourceData_Livestock_Common_SymbolsMMS_Data(), Table_Data_MMSSymbols[[#Headers],[Symbol]], 0)</f>
        <v>3</v>
      </c>
      <c r="E12" s="38" t="str" cm="1">
        <f t="array" ref="E12">Common_InputFunctions.Utility_DisplayArrayInTable(CommonLivestock_SourceData.SourceData_Livestock_Common_SymbolsMMS_Data(), Table_Data_MMSSymbols[[#Headers],[Symbol]], 0)</f>
        <v>Daily spread</v>
      </c>
      <c r="F12" s="38"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
      <c r="A13" s="18" t="s">
        <v>73</v>
      </c>
      <c r="D13" s="38" t="str" cm="1">
        <f t="array" ref="D13">Common_InputFunctions.Utility_DisplayArrayInTable(CommonLivestock_SourceData.SourceData_Livestock_Common_SymbolsMMS_Data(), Table_Data_MMSSymbols[[#Headers],[Symbol]], 0)</f>
        <v>3a</v>
      </c>
      <c r="E13" s="38" t="str" cm="1">
        <f t="array" ref="E13">Common_InputFunctions.Utility_DisplayArrayInTable(CommonLivestock_SourceData.SourceData_Livestock_Common_SymbolsMMS_Data(), Table_Data_MMSSymbols[[#Headers],[Symbol]], 0)</f>
        <v>Sump and dispersal system</v>
      </c>
      <c r="F13" s="38"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
      <c r="A14" s="17" t="str">
        <f>HYPERLINK("#'4.3.1.1-2 Methane'!A1", "4.3.1.1-2 Methane")</f>
        <v>4.3.1.1-2 Methane</v>
      </c>
      <c r="D14" s="38" t="str" cm="1">
        <f t="array" ref="D14">Common_InputFunctions.Utility_DisplayArrayInTable(CommonLivestock_SourceData.SourceData_Livestock_Common_SymbolsMMS_Data(), Table_Data_MMSSymbols[[#Headers],[Symbol]], 0)</f>
        <v>3b</v>
      </c>
      <c r="E14" s="38" t="str" cm="1">
        <f t="array" ref="E14">Common_InputFunctions.Utility_DisplayArrayInTable(CommonLivestock_SourceData.SourceData_Livestock_Common_SymbolsMMS_Data(), Table_Data_MMSSymbols[[#Headers],[Symbol]], 0)</f>
        <v>Drains to paddock</v>
      </c>
      <c r="F14" s="38"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
      <c r="A15" s="17" t="str">
        <f>HYPERLINK("#'4.3.1.3-4 Direct N20'!A1", "4.3.1.3-4 Direct N20")</f>
        <v>4.3.1.3-4 Direct N20</v>
      </c>
      <c r="D15" s="38" t="str" cm="1">
        <f t="array" ref="D15">Common_InputFunctions.Utility_DisplayArrayInTable(CommonLivestock_SourceData.SourceData_Livestock_Common_SymbolsMMS_Data(), Table_Data_MMSSymbols[[#Headers],[Symbol]], 0)</f>
        <v>4</v>
      </c>
      <c r="E15" s="38" t="str" cm="1">
        <f t="array" ref="E15">Common_InputFunctions.Utility_DisplayArrayInTable(CommonLivestock_SourceData.SourceData_Livestock_Common_SymbolsMMS_Data(), Table_Data_MMSSymbols[[#Headers],[Symbol]], 0)</f>
        <v>Solid storage</v>
      </c>
      <c r="F15" s="38"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
      <c r="A16" s="17" t="str">
        <f>HYPERLINK("#'4.3.1.5 Atmos deposition'!A1", "4.3.1.5 Atmos deposition")</f>
        <v>4.3.1.5 Atmos deposition</v>
      </c>
      <c r="D16" s="38" t="str" cm="1">
        <f t="array" ref="D16">Common_InputFunctions.Utility_DisplayArrayInTable(CommonLivestock_SourceData.SourceData_Livestock_Common_SymbolsMMS_Data(), Table_Data_MMSSymbols[[#Headers],[Symbol]], 0)</f>
        <v>5</v>
      </c>
      <c r="E16" s="38" t="str" cm="1">
        <f t="array" ref="E16">Common_InputFunctions.Utility_DisplayArrayInTable(CommonLivestock_SourceData.SourceData_Livestock_Common_SymbolsMMS_Data(), Table_Data_MMSSymbols[[#Headers],[Symbol]], 0)</f>
        <v>Drylot (feed pad)</v>
      </c>
      <c r="F16" s="38"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
      <c r="A17" s="17" t="str">
        <f>HYPERLINK("#'4.3.1.6-7 Leaching and runoff'!A1", "4.3.1.6-7 Leaching and runoff")</f>
        <v>4.3.1.6-7 Leaching and runoff</v>
      </c>
      <c r="D17" s="38" t="str" cm="1">
        <f t="array" ref="D17">Common_InputFunctions.Utility_DisplayArrayInTable(CommonLivestock_SourceData.SourceData_Livestock_Common_SymbolsMMS_Data(), Table_Data_MMSSymbols[[#Headers],[Symbol]], 0)</f>
        <v>6</v>
      </c>
      <c r="E17" s="38" t="str" cm="1">
        <f t="array" ref="E17">Common_InputFunctions.Utility_DisplayArrayInTable(CommonLivestock_SourceData.SourceData_Livestock_Common_SymbolsMMS_Data(), Table_Data_MMSSymbols[[#Headers],[Symbol]], 0)</f>
        <v>Composting (passive windrow)</v>
      </c>
      <c r="F17" s="38"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
      <c r="A18" s="17" t="str">
        <f>HYPERLINK("#'4.3.1.8 Manure applied to soils'!A1", "4.3.1.8 Manure applied to soils")</f>
        <v>4.3.1.8 Manure applied to soils</v>
      </c>
      <c r="D18" s="38" t="str" cm="1">
        <f t="array" ref="D18">Common_InputFunctions.Utility_DisplayArrayInTable(CommonLivestock_SourceData.SourceData_Livestock_Common_SymbolsMMS_Data(), Table_Data_MMSSymbols[[#Headers],[Symbol]], 0)</f>
        <v>7</v>
      </c>
      <c r="E18" s="38" t="str" cm="1">
        <f t="array" ref="E18">Common_InputFunctions.Utility_DisplayArrayInTable(CommonLivestock_SourceData.SourceData_Livestock_Common_SymbolsMMS_Data(), Table_Data_MMSSymbols[[#Headers],[Symbol]], 0)</f>
        <v>Digester / covered lagoons</v>
      </c>
      <c r="F18" s="38"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
      <c r="A19" s="17" t="str">
        <f>HYPERLINK("#'4.3.1.9 Soil direct N2O'!A1", "4.3.1.9 Soil direct N2O")</f>
        <v>4.3.1.9 Soil direct N2O</v>
      </c>
      <c r="D19" s="38" t="str" cm="1">
        <f t="array" ref="D19">Common_InputFunctions.Utility_DisplayArrayInTable(CommonLivestock_SourceData.SourceData_Livestock_Common_SymbolsMMS_Data(), Table_Data_MMSSymbols[[#Headers],[Symbol]], 0)</f>
        <v>8</v>
      </c>
      <c r="E19" s="38" t="str" cm="1">
        <f t="array" ref="E19">Common_InputFunctions.Utility_DisplayArrayInTable(CommonLivestock_SourceData.SourceData_Livestock_Common_SymbolsMMS_Data(), Table_Data_MMSSymbols[[#Headers],[Symbol]], 0)</f>
        <v>Deep litter</v>
      </c>
      <c r="F19" s="38"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
      <c r="A20" s="17" t="str">
        <f>HYPERLINK("#'4.3.1.10-11 Soil Atmos Dep'!A1", "4.3.1.10-11 Soil Atmos Dep")</f>
        <v>4.3.1.10-11 Soil Atmos Dep</v>
      </c>
      <c r="D20" s="38" t="str" cm="1">
        <f t="array" ref="D20">Common_InputFunctions.Utility_DisplayArrayInTable(CommonLivestock_SourceData.SourceData_Livestock_Common_SymbolsMMS_Data(), Table_Data_MMSSymbols[[#Headers],[Symbol]], 0)</f>
        <v>9</v>
      </c>
      <c r="E20" s="38" t="str" cm="1">
        <f t="array" ref="E20">Common_InputFunctions.Utility_DisplayArrayInTable(CommonLivestock_SourceData.SourceData_Livestock_Common_SymbolsMMS_Data(), Table_Data_MMSSymbols[[#Headers],[Symbol]], 0)</f>
        <v>Pit storage</v>
      </c>
      <c r="F20" s="38"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
      <c r="A21" s="17" t="str">
        <f>HYPERLINK("#'4.3.1.12-13 Soil leach runoff'!A1", "4.3.1.12-13 Soil leach runoff")</f>
        <v>4.3.1.12-13 Soil leach runoff</v>
      </c>
      <c r="D21" s="38" t="str" cm="1">
        <f t="array" ref="D21">Common_InputFunctions.Utility_DisplayArrayInTable(CommonLivestock_SourceData.SourceData_Livestock_Common_SymbolsMMS_Data(), Table_Data_MMSSymbols[[#Headers],[Symbol]], 0)</f>
        <v>10</v>
      </c>
      <c r="E21" s="38" t="str" cm="1">
        <f t="array" ref="E21">Common_InputFunctions.Utility_DisplayArrayInTable(CommonLivestock_SourceData.SourceData_Livestock_Common_SymbolsMMS_Data(), Table_Data_MMSSymbols[[#Headers],[Symbol]], 0)</f>
        <v>Poultry manure with bedding</v>
      </c>
      <c r="F21" s="38"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
      <c r="D22" s="38" t="str" cm="1">
        <f t="array" ref="D22">Common_InputFunctions.Utility_DisplayArrayInTable(CommonLivestock_SourceData.SourceData_Livestock_Common_SymbolsMMS_Data(), Table_Data_MMSSymbols[[#Headers],[Symbol]], 0)</f>
        <v>11</v>
      </c>
      <c r="E22" s="38" t="str" cm="1">
        <f t="array" ref="E22">Common_InputFunctions.Utility_DisplayArrayInTable(CommonLivestock_SourceData.SourceData_Livestock_Common_SymbolsMMS_Data(), Table_Data_MMSSymbols[[#Headers],[Symbol]], 0)</f>
        <v>Poultry manure without bedding</v>
      </c>
      <c r="F22" s="38"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
      <c r="D23" s="38" t="str" cm="1">
        <f t="array" ref="D23">Common_InputFunctions.Utility_DisplayArrayInTable(CommonLivestock_SourceData.SourceData_Livestock_Common_SymbolsMMS_Data(), Table_Data_MMSSymbols[[#Headers],[Symbol]], 0)</f>
        <v>11a</v>
      </c>
      <c r="E23" s="38" t="str" cm="1">
        <f t="array" ref="E23">Common_InputFunctions.Utility_DisplayArrayInTable(CommonLivestock_SourceData.SourceData_Livestock_Common_SymbolsMMS_Data(), Table_Data_MMSSymbols[[#Headers],[Symbol]], 0)</f>
        <v>Belt manure removal</v>
      </c>
      <c r="F23" s="38"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
      <c r="A24" s="154" t="s">
        <v>1</v>
      </c>
      <c r="D24" s="38" t="str" cm="1">
        <f t="array" ref="D24">Common_InputFunctions.Utility_DisplayArrayInTable(CommonLivestock_SourceData.SourceData_Livestock_Common_SymbolsMMS_Data(), Table_Data_MMSSymbols[[#Headers],[Symbol]], 0)</f>
        <v>11b</v>
      </c>
      <c r="E24" s="38" t="str" cm="1">
        <f t="array" ref="E24">Common_InputFunctions.Utility_DisplayArrayInTable(CommonLivestock_SourceData.SourceData_Livestock_Common_SymbolsMMS_Data(), Table_Data_MMSSymbols[[#Headers],[Symbol]], 0)</f>
        <v>Manure stored in house</v>
      </c>
      <c r="F24" s="38"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
      <c r="A25" s="17" t="str">
        <f>HYPERLINK("#'Constants - Dairy'!A1", "Constants - Dairy")</f>
        <v>Constants - Dairy</v>
      </c>
      <c r="D25" s="38" t="str" cm="1">
        <f t="array" ref="D25">Common_InputFunctions.Utility_DisplayArrayInTable(CommonLivestock_SourceData.SourceData_Livestock_Common_SymbolsMMS_Data(), Table_Data_MMSSymbols[[#Headers],[Symbol]], 0)</f>
        <v>12</v>
      </c>
      <c r="E25" s="38" t="str" cm="1">
        <f t="array" ref="E25">Common_InputFunctions.Utility_DisplayArrayInTable(CommonLivestock_SourceData.SourceData_Livestock_Common_SymbolsMMS_Data(), Table_Data_MMSSymbols[[#Headers],[Symbol]], 0)</f>
        <v>Direct processing</v>
      </c>
      <c r="F25" s="38"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
      <c r="A26" s="17" t="str">
        <f>HYPERLINK("#'Constants - Common'!A1", "Constants - Common")</f>
        <v>Constants - Common</v>
      </c>
      <c r="D26" s="38" t="str" cm="1">
        <f t="array" ref="D26">Common_InputFunctions.Utility_DisplayArrayInTable(CommonLivestock_SourceData.SourceData_Livestock_Common_SymbolsMMS_Data(), Table_Data_MMSSymbols[[#Headers],[Symbol]], 0)</f>
        <v>13</v>
      </c>
      <c r="E26" s="38" t="str" cm="1">
        <f t="array" ref="E26">Common_InputFunctions.Utility_DisplayArrayInTable(CommonLivestock_SourceData.SourceData_Livestock_Common_SymbolsMMS_Data(), Table_Data_MMSSymbols[[#Headers],[Symbol]], 0)</f>
        <v>Direct application</v>
      </c>
      <c r="F26" s="38"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
      <c r="A27" s="68" t="str">
        <f>HYPERLINK("#'Constants - Livestock'!A1", "Constants - Livestock")</f>
        <v>Constants - Livestock</v>
      </c>
      <c r="D27" s="38" t="str" cm="1">
        <f t="array" ref="D27">Common_InputFunctions.Utility_DisplayArrayInTable(CommonLivestock_SourceData.SourceData_Livestock_Common_SymbolsMMS_Data(), Table_Data_MMSSymbols[[#Headers],[Symbol]], 0)</f>
        <v>14</v>
      </c>
      <c r="E27" s="38" t="str" cm="1">
        <f t="array" ref="E27">Common_InputFunctions.Utility_DisplayArrayInTable(CommonLivestock_SourceData.SourceData_Livestock_Common_SymbolsMMS_Data(), Table_Data_MMSSymbols[[#Headers],[Symbol]], 0)</f>
        <v>Pasture range and paddock</v>
      </c>
      <c r="F27" s="38"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
      <c r="A28" s="17" t="str">
        <f>HYPERLINK("#'Acknowledgements'!A1", "Acknowledgements")</f>
        <v>Acknowledgements</v>
      </c>
      <c r="G28" s="3"/>
      <c r="H28" s="3"/>
    </row>
    <row r="29" spans="1:8" ht="20.100000000000001" customHeight="1" x14ac:dyDescent="0.2">
      <c r="A29" s="17" t="str">
        <f>HYPERLINK("#'Tab template'!A1", "Tab template")</f>
        <v>Tab template</v>
      </c>
    </row>
  </sheetData>
  <pageMargins left="0.7" right="0.7" top="0.75" bottom="0.75" header="0.3" footer="0.3"/>
  <pageSetup paperSize="9"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sheetPr>
    <tabColor theme="2" tint="-0.499984740745262"/>
  </sheetPr>
  <dimension ref="A1:A8"/>
  <sheetViews>
    <sheetView zoomScaleNormal="100" workbookViewId="0">
      <selection activeCell="A29" sqref="A29"/>
    </sheetView>
  </sheetViews>
  <sheetFormatPr defaultRowHeight="20.100000000000001" customHeight="1" x14ac:dyDescent="0.2"/>
  <sheetData>
    <row r="1" spans="1:1" ht="30" customHeight="1" x14ac:dyDescent="0.2">
      <c r="A1" t="s">
        <v>519</v>
      </c>
    </row>
    <row r="3" spans="1:1" ht="20.100000000000001" customHeight="1" x14ac:dyDescent="0.2">
      <c r="A3" s="17" t="str">
        <f>HYPERLINK("#'Home'!A1", "Home")</f>
        <v>Home</v>
      </c>
    </row>
    <row r="6" spans="1:1" ht="20.100000000000001" customHeight="1" x14ac:dyDescent="0.2">
      <c r="A6" s="154" t="s">
        <v>1</v>
      </c>
    </row>
    <row r="7" spans="1:1" ht="20.100000000000001" customHeight="1" x14ac:dyDescent="0.2">
      <c r="A7" s="17" t="str">
        <f>HYPERLINK("#'Constants - Common'!A1", "Constants - Common")</f>
        <v>Constants - Common</v>
      </c>
    </row>
    <row r="8" spans="1:1" ht="20.100000000000001" customHeight="1" x14ac:dyDescent="0.2">
      <c r="A8" s="68" t="str">
        <f>HYPERLINK("#'Acknowledgements'!A1", "Acknowledgements")</f>
        <v>Acknowledgements</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29"/>
  <sheetViews>
    <sheetView showGridLines="0" topLeftCell="A2" zoomScaleNormal="100" workbookViewId="0">
      <selection activeCell="A29" sqref="A29"/>
    </sheetView>
  </sheetViews>
  <sheetFormatPr defaultRowHeight="20.100000000000001" customHeight="1" x14ac:dyDescent="0.2"/>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7" t="e" vm="1">
        <v>#VALUE!</v>
      </c>
    </row>
    <row r="2" spans="1:21" s="9" customFormat="1" ht="20.100000000000001" customHeight="1" x14ac:dyDescent="0.2">
      <c r="A2"/>
    </row>
    <row r="3" spans="1:21" ht="20.100000000000001" customHeight="1" x14ac:dyDescent="0.2">
      <c r="A3" s="17" t="str">
        <f>HYPERLINK("#'Home'!A1", "Home")</f>
        <v>Home</v>
      </c>
      <c r="C3" s="4"/>
      <c r="D3" s="4"/>
      <c r="E3" s="4"/>
      <c r="F3" s="4"/>
      <c r="G3" s="4"/>
      <c r="H3" s="4"/>
      <c r="I3" s="4"/>
      <c r="J3" s="4"/>
      <c r="K3" s="4"/>
      <c r="L3" s="4"/>
      <c r="N3" s="4"/>
      <c r="O3" s="4"/>
      <c r="P3" s="4"/>
      <c r="Q3" s="4"/>
      <c r="R3" s="4"/>
      <c r="S3" s="4"/>
      <c r="T3" s="4"/>
      <c r="U3" s="4"/>
    </row>
    <row r="4" spans="1:21" ht="20.100000000000001" customHeight="1" x14ac:dyDescent="0.2">
      <c r="A4" s="17" t="str">
        <f>HYPERLINK("#'Overview'!A1", "Overview")</f>
        <v>Overview</v>
      </c>
    </row>
    <row r="5" spans="1:21" ht="20.100000000000001" customHeight="1" x14ac:dyDescent="0.2">
      <c r="A5" s="17" t="str">
        <f>HYPERLINK("#'Results'!A1", "Results")</f>
        <v>Results</v>
      </c>
    </row>
    <row r="8" spans="1:21" ht="20.100000000000001" customHeight="1" x14ac:dyDescent="0.2">
      <c r="A8" s="19" t="s">
        <v>0</v>
      </c>
    </row>
    <row r="9" spans="1:21" ht="20.100000000000001" customHeight="1" x14ac:dyDescent="0.2">
      <c r="A9" s="17" t="str">
        <f>HYPERLINK("#'Input - Site'!A1", "Site")</f>
        <v>Site</v>
      </c>
    </row>
    <row r="10" spans="1:21" ht="20.100000000000001" customHeight="1" x14ac:dyDescent="0.2">
      <c r="A10" s="17" t="str">
        <f>HYPERLINK("#'Input - Dairy'!A1", "Dairy")</f>
        <v>Dairy</v>
      </c>
    </row>
    <row r="13" spans="1:21" ht="20.100000000000001" customHeight="1" x14ac:dyDescent="0.2">
      <c r="A13" s="18" t="s">
        <v>73</v>
      </c>
    </row>
    <row r="14" spans="1:21" ht="20.100000000000001" customHeight="1" x14ac:dyDescent="0.2">
      <c r="A14" s="17" t="str">
        <f>HYPERLINK("#'4.3.1.1-2 Methane'!A1", "4.3.1.1-2 Methane")</f>
        <v>4.3.1.1-2 Methane</v>
      </c>
    </row>
    <row r="15" spans="1:21" ht="20.100000000000001" customHeight="1" x14ac:dyDescent="0.2">
      <c r="A15" s="17" t="str">
        <f>HYPERLINK("#'4.3.1.3-4 Direct N20'!A1", "4.3.1.3-4 Direct N20")</f>
        <v>4.3.1.3-4 Direct N20</v>
      </c>
    </row>
    <row r="16" spans="1:21" ht="20.100000000000001" customHeight="1" x14ac:dyDescent="0.2">
      <c r="A16" s="17" t="str">
        <f>HYPERLINK("#'4.3.1.5 Atmos deposition'!A1", "4.3.1.5 Atmos deposition")</f>
        <v>4.3.1.5 Atmos deposition</v>
      </c>
    </row>
    <row r="17" spans="1:1" ht="20.100000000000001" customHeight="1" x14ac:dyDescent="0.2">
      <c r="A17" s="17" t="str">
        <f>HYPERLINK("#'4.3.1.6-7 Leaching and runoff'!A1", "4.3.1.6-7 Leaching and runoff")</f>
        <v>4.3.1.6-7 Leaching and runoff</v>
      </c>
    </row>
    <row r="18" spans="1:1" ht="20.100000000000001" customHeight="1" x14ac:dyDescent="0.2">
      <c r="A18" s="17" t="str">
        <f>HYPERLINK("#'4.3.1.8 Manure applied to soils'!A1", "4.3.1.8 Manure applied to soils")</f>
        <v>4.3.1.8 Manure applied to soils</v>
      </c>
    </row>
    <row r="19" spans="1:1" ht="20.100000000000001" customHeight="1" x14ac:dyDescent="0.2">
      <c r="A19" s="17" t="str">
        <f>HYPERLINK("#'4.3.1.9 Soil direct N2O'!A1", "4.3.1.9 Soil direct N2O")</f>
        <v>4.3.1.9 Soil direct N2O</v>
      </c>
    </row>
    <row r="20" spans="1:1" ht="20.100000000000001" customHeight="1" x14ac:dyDescent="0.2">
      <c r="A20" s="17" t="str">
        <f>HYPERLINK("#'4.3.1.10-11 Soil Atmos Dep'!A1", "4.3.1.10-11 Soil Atmos Dep")</f>
        <v>4.3.1.10-11 Soil Atmos Dep</v>
      </c>
    </row>
    <row r="21" spans="1:1" ht="20.100000000000001" customHeight="1" x14ac:dyDescent="0.2">
      <c r="A21" s="17" t="str">
        <f>HYPERLINK("#'4.3.1.12-13 Soil leach runoff'!A1", "4.3.1.12-13 Soil leach runoff")</f>
        <v>4.3.1.12-13 Soil leach runoff</v>
      </c>
    </row>
    <row r="24" spans="1:1" ht="20.100000000000001" customHeight="1" x14ac:dyDescent="0.2">
      <c r="A24" s="154" t="s">
        <v>1</v>
      </c>
    </row>
    <row r="25" spans="1:1" ht="20.100000000000001" customHeight="1" x14ac:dyDescent="0.2">
      <c r="A25" s="17" t="str">
        <f>HYPERLINK("#'Constants - Dairy'!A1", "Constants - Dairy")</f>
        <v>Constants - Dairy</v>
      </c>
    </row>
    <row r="26" spans="1:1" ht="20.100000000000001" customHeight="1" x14ac:dyDescent="0.2">
      <c r="A26" s="17" t="str">
        <f>HYPERLINK("#'Constants - Common'!A1", "Constants - Common")</f>
        <v>Constants - Common</v>
      </c>
    </row>
    <row r="27" spans="1:1" ht="20.100000000000001" customHeight="1" x14ac:dyDescent="0.2">
      <c r="A27" s="17" t="str">
        <f>HYPERLINK("#'Constants - Livestock'!A1", "Constants - Livestock")</f>
        <v>Constants - Livestock</v>
      </c>
    </row>
    <row r="28" spans="1:1" ht="20.100000000000001" customHeight="1" x14ac:dyDescent="0.2">
      <c r="A28" s="17" t="str">
        <f>HYPERLINK("#'Acknowledgements'!A1", "Acknowledgements")</f>
        <v>Acknowledgements</v>
      </c>
    </row>
    <row r="29" spans="1:1" ht="20.100000000000001" customHeight="1" x14ac:dyDescent="0.2">
      <c r="A29" s="68" t="str">
        <f>HYPERLINK("#'Tab template'!A1", "Tab template")</f>
        <v>Tab template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EQAYQBpAHIAeQAiACwAIgB0AGUAeAB0ACIAOgAiAFwAbgAvACoAIABcAG4ALQAtAC0ALQAtAC0ALQAtAC0ALQAtAC0ALQAtAC0ALQAtAC0ALQAtAC0ALQAtAC0ALQAtAC0ALQAtAC0ALQAtAC0ALQAtAC0ALQAtAFwAbgBTAG8AdQByAGMAZQBEAGEAdABhAF8ARABhAGkAcgB5AF8ATABpAHYAZQB3AGUAaQBnAGgAdABDAG8AdwBzAEEAbgBkAEgAZQBpAGYAZQByAHMAXABuAFQAYQBiAGwAZQAgAEEALgAxAC4AMwAuADEAOgAgAEQAYQBpAHIAeQAgAGMAYQB0AHQAbABlACAALQAgAEwAaQB2AGUAdwBlAGkAZwBoAHQAIAAoAGsAZwApACAALQAgAEMAbwB3AHMAIABhAG4AZAAgAEgAZQBpAGYAZQByAHMAIAAoAFcAagApAFwAbgAtAC0ALQAtAC0ALQAtAC0ALQAtAC0ALQAtAC0ALQAtAC0ALQAtAC0ALQAtAC0ALQAtAC0ALQAtAC0ALQAtAC0ALQAtAC0ALQAtAC0AXABuACoALwBcAG4AXABuAFMAbwB1AHIAYwBlAEQAYQB0AGEAXwBEAGEAaQByAHkAXwBMAGkAdgBlAHcAZQBpAGcAaAB0AEMAbwB3AHMAQQBuAGQASABlAGkAZgBlAHIAcwBfAFQAaQB0AGwAZQBcAG4AIAAgAD0ATABBAE0AQgBEAEEAKABcACIAVABhAGIAbABlACAAQQAuADEALgAzAC4AMQA6ACAARABhAGkAcgB5ACAAYwBhAHQAdABsAGUAIAAtACAATABpAHYAZQB3AGUAaQBnAGgAdAAgACgAawBnACkAIAAtACAAQwBvAHcAcwAgAGEAbgBkACAASABlAGkAZgBlAHIAcwAgACgAVwBqACkAXAAiACkAOwBcAG4AXABuAFMAbwB1AHIAYwBlAEQAYQB0AGEAXwBEAGEAaQByAHkAXwBMAGkAdgBlAHcAZQBpAGcAaAB0AEMAbwB3AHMAQQBuAGQASABlAGkAZgBlAHIAcwBfAFYAYQByAGkAYQBiAGwAZQBcAG4AIAAgAD0ATABBAE0AQgBEAEEAKABcACIAVwBqAFwAIgApADsAXABuAFwAbgBTAG8AdQByAGMAZQBEAGEAdABhAF8ARABhAGkAcgB5AF8ATABpAHYAZQB3AGUAaQBnAGgAdABDAG8AdwBzAEEAbgBkAEgAZQBpAGYAZQByAHMAXwBVAG4AaQB0AFwAbgAgACAAPQBMAEEATQBCAEQAQQAoAFwAIgBrAGcAXAAiACkAOwBcAG4AXABuAFMAbwB1AHIAYwBlAEQAYQB0AGEAXwBEAGEAaQByAHkAXwBMAGkAdgBlAHcAZQBpAGcAaAB0AEMAbwB3AHMAQQBuAGQASABlAGkAZgBlAHIAcwBfAFMAbwB1AHIAYwBlAFwAbgAgACAAPQBMAEEATQBCAEQAQQAoAFwAIgBWAEUARQBSAEcAIAAyADAAMgA2ADoAIABUAGEAYgBsAGUAIABBAC4AMQAuADMALgAxAFwAIgApADsAXABuAFwAbgBTAG8AdQByAGMAZQBEAGEAdABhAF8ARABhAGkAcgB5AF8ATABpAHYAZQB3AGUAaQBnAGgAdABDAG8AdwBzAEEAbgBkAEgAZQBpAGYAZQByAHMAXwBWAGEAcgBpAGEAdABpAG8AbgBcAG4AIAAgAD0ATABBAE0AQgBEAEEAKABcACIAVgBBAFIASQBBAFQASQBPAE4AIABPAEYAIABTAE8AVQBSAEMARQA6ACAARQB4AGMAbAB1AGQAZQBkACAAXAB1ADAAMAAyADcAUgBlAGYAZQByAGUAbgBjAGUAXAB1ADAAMAAyADcALAAgAGEAcwAgAHQAaABlACAAdgBhAGwAdQBlACAAaQBzACAAYwBvAG4AcwBpAHMAdABlAG4AdABsAHkAIABcAHUAMAAwADIANwBEAGEAaQByAHkAIABBAHUAcwB0AHIAYQBsAGkAYQAgAFsAMQBdAFwAdQAwADAAMgA3ACAAYQBuAGQAIABpAHMAIABuAG8AdAAgAHUAcwBlAGQAIABpAG4AIABjAGEAbABjAHUAbABhAHQAaQBvAG4ALgBcACIAKQA7AFwAbgBcAG4AUwBvAHUAcgBjAGUARABhAHQAYQBfAEQAYQBpAHIAeQBfAEwAaQB2AGUAdwBlAGkAZwBoAHQAQwBvAHcAcwBBAG4AZABIAGUAaQBmAGUAcgBzAF8ARABhAHQAYQBcAG4AIAAgAD0ATABBAE0AQgBEAEEAKABcAG4AIAAgACAAIABNAEEASwBFAEEAUgBSAEEAWQAoADEAMQAsACAANAAsAFwAbgAgACAAIAAgACAAIABMAEEATQBCAEQAQQAoAHIALABjACwAXABuACAAIAAgACAAIAAgACAAIABJAE4ARABFAFgAKAB7AFwAbgAgACAAIAAgACAAIAAgACAAIAAgAFwAIgBCAHIAZQBlAGQAXAAiACwAIABcACIATQBpAGwAawBpAG4AZwAgAEMAbwB3AHMAXAAiACwAIABcACIASABlAGkAZgBlAHIAcwAgAFwAdQAwADAAMwBlADEAXAAiACwAIABcACIASABlAGkAZgBlAHIAcwAgAFwAdQAwADAAMwBjADEAIAAoAHcAZQBhAG4AZQBkACkAXAAiADsAXABuACAAIAAgACAAIAAgACAAIAAgACAAXAAiAE0AZQBkAGkAdQBtACAARgByAGkAZQBzAGkAYQBuAFwAIgAsACAANQA1ADAALAAgADMAOAAwACwAIAAxADUANQA7AFwAbgAgACAAIAAgACAAIAAgACAAIAAgAFwAIgBMAGEAcgBnAGUAIABGAHIAaQBlAHMAaQBhAG4AXAAiACwAIAA2ADAAMAAsACAANAAxADUALAAgADEANwAwADsAXABuACAAIAAgACAAIAAgACAAIAAgACAAXAAiAEgAbwBsAHMAdABlAGkAbgAtAEYAcgBpAGUAcwBpAGEAbgBcACIALAAgADYANQAwACwAIAA0ADUAMAAsACAAMQA4ADUAOwBcAG4AIAAgACAAIAAgACAAIAAgACAAIABcACIARgByAGkAZQBzAGkAYQBuACAAYwByAG8AcwBzAGIAcgBlAGQAXAAiACwAIAA1ADAAMAAsACAAMwA1ADAALAAgADEANAA1ADsAXABuACAAIAAgACAAIAAgACAAIAAgACAAXAAiAEoAZQByAHMAZQB5AFwAIgAsACAANAAwADAALAAgADIANwA1ACwAIAAxADEANQA7AFwAbgAgACAAIAAgACAAIAAgACAAIAAgAFwAIgBKAGUAcgBzAGUAeQAgAGMAcgBvAHMAcwBiAHIAZQBkAFwAIgAsACAANAA1ADAALAAgADMAMQA1ACwAIAAxADMAMAA7AFwAbgAgACAAIAAgACAAIAAgACAAIAAgAFwAIgBBAHkAcgBzAGgAaQByAGUAXAAiACwAIAA1ADQAMAAsACAAMwA3ADUALAAgADEANQAwADsAXABuACAAIAAgACAAIAAgACAAIAAgACAAXAAiAEcAdQBlAHIAbgBzAGUAeQBcACIALAAgADQAOAAwACwAIAAzADMANQAsACAAMQA0ADAAOwBcAG4AIAAgACAAIAAgACAAIAAgACAAIABcACIAQgByAG8AdwBuACAAUwB3AGkAcwBzAFwAIgAsACAANgAwADAALAAgADQAMQA1ACwAIAAxADcAMAA7AFwAbgAgACAAIAAgACAAIAAgACAAIAAgAFwAIgBJAGwAbABhAHcAYQByAHIAYQAvAEEAdQBzAHMAaQBlACAAUgBlAGQAXAAiACwAIAA1ADUAMAAsACAAMwA3ADUALAAgADEANQAw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wAaQB2AGUAdwBlAGkAZwBoAHQAQgB1AGwAbABzAFwAbgBUAGEAYgBsAGUAIABBAC4AMQAuADMALgAyADoAIABEAGEAaQByAHkAIABjAGEAdAB0AGwAZQAgAC0AIABMAGkAdgBlAHcAZQBpAGcAaAB0ACAAKABrAGcAKQAgAC0AIABCAHUAbABsAHMAIAAoAFcAagApAFwAbgAtAC0ALQAtAC0ALQAtAC0ALQAtAC0ALQAtAC0ALQAtAC0ALQAtAC0ALQAtAC0ALQAtAC0ALQAtAC0ALQAtAC0ALQAtAC0ALQAtAC0AXABuACoALwBcAG4AXABuAFMAbwB1AHIAYwBlAEQAYQB0AGEAXwBEAGEAaQByAHkAXwBMAGkAdgBlAHcAZQBpAGcAaAB0AEIAdQBsAGwAcwBfAFQAaQB0AGwAZQBcAG4AIAAgAD0ATABBAE0AQgBEAEEAKABcACIAVABhAGIAbABlACAAQQAuADEALgAzAC4AMgA6ACAARABhAGkAcgB5ACAAYwBhAHQAdABsAGUAIAAtACAATABpAHYAZQB3AGUAaQBnAGgAdAAgACgAawBnACkAIAAtACAAQgB1AGwAbABzACAAKABXAGoAKQBcACIAKQA7AFwAbgBcAG4AUwBvAHUAcgBjAGUARABhAHQAYQBfAEQAYQBpAHIAeQBfAEwAaQB2AGUAdwBlAGkAZwBoAHQAQgB1AGwAbABzAF8AVgBhAHIAaQBhAGIAbABlAFwAbgAgACAAPQBMAEEATQBCAEQAQQAoAFwAIgBXAGoAXAAiACkAOwBcAG4AXABuAFMAbwB1AHIAYwBlAEQAYQB0AGEAXwBEAGEAaQByAHkAXwBMAGkAdgBlAHcAZQBpAGcAaAB0AEIAdQBsAGwAcwBfAFUAbgBpAHQAXABuACAAIAA9AEwAQQBNAEIARABBACgAXAAiAGsAZwBcACIAKQA7AFwAbgBcAG4AUwBvAHUAcgBjAGUARABhAHQAYQBfAEQAYQBpAHIAeQBfAEwAaQB2AGUAdwBlAGkAZwBoAHQAQgB1AGwAbABzAF8AUwBvAHUAcgBjAGUAXABuACAAIAA9AEwAQQBNAEIARABBACgAXAAiAFYARQBFAFIARwAgADIAMAAyADYAOgAgAFQAYQBiAGwAZQAgAEEALgAxAC4AMwAuADIAXAAiACkAOwBcAG4AXABuAFMAbwB1AHIAYwBlAEQAYQB0AGEAXwBEAGEAaQByAHkAXwBMAGkAdgBlAHcAZQBpAGcAaAB0AEIAdQBsAGwAcwBfAFYAYQByAGkAYQB0AGkAbwBuAFwAbgAgACAAPQBMAEEATQBCAEQAQQAoAFwAIgBcACIAKQA7AFwAbgBcAG4AUwBvAHUAcgBjAGUARABhAHQAYQBfAEQAYQBpAHIAeQBfAEwAaQB2AGUAdwBlAGkAZwBoAHQAQgB1AGwAbABzAF8ARABhAHQAYQBcAG4AIAAgAD0ATABBAE0AQgBEAEEAKABcAG4AIAAgACAAIABNAEEASwBFAEEAUgBSAEEAWQAoADIALAAgADMALABcAG4AIAAgACAAIAAgACAATABBAE0AQgBEAEEAKAByACwAYwAsAFwAbgAgACAAIAAgACAAIAAgACAASQBOAEQARQBYACgAewBcAG4AIAAgACAAIAAgACAAIAAgACAAIABcACIAQgByAGUAZQBkAFwAIgAsACAAXAAiAEIAdQBsAGwAcwAgAFwAdQAwADAAMwBlADEAXAAiACwAIABcACIAQgB1AGwAbABzACAAXAB1ADAAMAAzAGMAMQAgACgAdwBlAGEAbgBlAGQAKQBcACIAOwBcAG4AIAAgACAAIAAgACAAIAAgACAAIABcACIAQQBsAGwAIABiAHIAZQBlAGQAcwBcACIALAAgADYAMAAwACwAIAAyADIANQ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wAaQB2AGUAdwBlAGkAZwBoAHQARwBhAGkAbgBcAG4AVABhAGIAbABlACAAQQAuADEALgAzAC4AMwA6ACAARABhAGkAcgB5ACAAYwBhAHQAdABsAGUAIAAtACAATABpAHYAZQB3AGUAaQBnAGgAdAAgAGcAYQBpAG4AIAAoAGsAZwApACAAKABMAFcARwBqACkAXABuAC0ALQAtAC0ALQAtAC0ALQAtAC0ALQAtAC0ALQAtAC0ALQAtAC0ALQAtAC0ALQAtAC0ALQAtAC0ALQAtAC0ALQAtAC0ALQAtAC0ALQBcAG4AKgAvAFwAbgBcAG4AUwBvAHUAcgBjAGUARABhAHQAYQBfAEQAYQBpAHIAeQBfAEwAaQB2AGUAdwBlAGkAZwBoAHQARwBhAGkAbgBfAFQAaQB0AGwAZQBcAG4AIAAgAD0ATABBAE0AQgBEAEEAKABcACIAVABhAGIAbABlACAAQQAuADEALgAzAC4AMwA6ACAARABhAGkAcgB5ACAAYwBhAHQAdABsAGUAIAAtACAATABpAHYAZQB3AGUAaQBnAGgAdAAgAGcAYQBpAG4AIAAoAGsAZwApACAAKABMAFcARwBqACkAXAAiACkAOwBcAG4AXABuAFMAbwB1AHIAYwBlAEQAYQB0AGEAXwBEAGEAaQByAHkAXwBMAGkAdgBlAHcAZQBpAGcAaAB0AEcAYQBpAG4AXwBWAGEAcgBpAGEAYgBsAGUAXABuACAAIAA9AEwAQQBNAEIARABBACgAXAAiAEwAVwBHAGoAXAAiACkAOwBcAG4AXABuAFMAbwB1AHIAYwBlAEQAYQB0AGEAXwBEAGEAaQByAHkAXwBMAGkAdgBlAHcAZQBpAGcAaAB0AEcAYQBpAG4AXwBVAG4AaQB0AFwAbgAgACAAPQBMAEEATQBCAEQAQQAoAFwAIgBrAGcAXAAiACkAOwBcAG4AXABuAFMAbwB1AHIAYwBlAEQAYQB0AGEAXwBEAGEAaQByAHkAXwBMAGkAdgBlAHcAZQBpAGcAaAB0AEcAYQBpAG4AXwBTAG8AdQByAGMAZQBcAG4AIAAgAD0ATABBAE0AQgBEAEEAKABcACIAVgBFAEUAUgBHACAAMgAwADIANgA6ACAAVABhAGIAbABlACAAQQAuADEALgAzAC4AMwBcACIAKQA7AFwAbgBcAG4AUwBvAHUAcgBjAGUARABhAHQAYQBfAEQAYQBpAHIAeQBfAEwAaQB2AGUAdwBlAGkAZwBoAHQARwBhAGkAbgBfAFYAYQByAGkAYQB0AGkAbwBuAFwAbgAgACAAPQBMAEEATQBCAEQAQQAoAFwAIgBcACIAKQA7AFwAbgBcAG4AUwBvAHUAcgBjAGUARABhAHQAYQBfAEQAYQBpAHIAeQBfAEwAaQB2AGUAdwBlAGkAZwBoAHQARwBhAGkAbgBfAEQAYQB0AGEAXABuACAAIAA9AEwAQQBNAEIARABBACgAXABuACAAIAAgACAATQBBAEsARQBBAFIAUgBBAFkAKAAyACwAIAA1ACwAXABuACAAIAAgACAAIAAgAEwAQQBNAEIARABBACgAcgAsAGMALABcAG4AIAAgACAAIAAgACAAIAAgAEkATgBEAEUAWAAoAHsAXABuACAAIAAgACAAIAAgACAAIAAgACAAXAAiAE0AaQBsAGsAaQBuAGcAIABDAG8AdwBzAFwAIgAsACAAXAAiAEgAZQBpAGYAZQByAHMAIABcAHUAMAAwADMAZQAxAFwAIgAsACAAXAAiAEgAZQBpAGYAZQByAHMAIABcAHUAMAAwADMAYwAxACAAKAB3AGUAYQBuAGUAZAApAFwAIgAsACAAXAAiAEIAdQBsAGwAcwAgAFwAdQAwADAAMwBlADEAXAAiACwAIABcACIAQgB1AGwAbABzACAAXAB1ADAAMAAzAGMAMQAgACgAdwBlAGEAbgBlAGQAKQBcACIAOwBcAG4AIAAgACAAIAAgACAAIAAgACAAIAAwAC4AMAAxADYALAAgADAALgA2ACwAIAAwAC4ANQA3ACwAIAAwAC4AMQAsACAAMAAuADg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SAGUAZgBlAHIAZQBuAGMAZQBXAGUAaQBnAGgAdABzAFwAbgBUAGEAYgBsAGUAIABBAC4AMQAuADMALgA0ADoAIABEAGEAaQByAHkAIABjAGEAdAB0AGwAZQAgAC0AIABSAGUAZgBlAHIAZQBuAGMAZQAgAHcAZQBpAGcAaAB0AHMAIAAoAGsAZwApACAAKABXAFIAagApAFwAbgAtAC0ALQAtAC0ALQAtAC0ALQAtAC0ALQAtAC0ALQAtAC0ALQAtAC0ALQAtAC0ALQAtAC0ALQAtAC0ALQAtAC0ALQAtAC0ALQAtAC0AXABuACoALwBcAG4AXABuAFMAbwB1AHIAYwBlAEQAYQB0AGEAXwBEAGEAaQByAHkAXwBSAGUAZgBlAHIAZQBuAGMAZQBXAGUAaQBnAGgAdABzAF8AVABpAHQAbABlAFwAbgAgACAAPQBMAEEATQBCAEQAQQAoAFwAIgBUAGEAYgBsAGUAIABBAC4AMQAuADMALgA0ADoAIABEAGEAaQByAHkAIABjAGEAdAB0AGwAZQAgAC0AIABSAGUAZgBlAHIAZQBuAGMAZQAgAHcAZQBpAGcAaAB0AHMAIAAoAGsAZwApACAAKABXAFIAagApAFwAIgApADsAXABuAFwAbgBTAG8AdQByAGMAZQBEAGEAdABhAF8ARABhAGkAcgB5AF8AUgBlAGYAZQByAGUAbgBjAGUAVwBlAGkAZwBoAHQAcwBfAFYAYQByAGkAYQBiAGwAZQBcAG4AIAAgAD0ATABBAE0AQgBEAEEAKABcACIAVwBSAGoAXAAiACkAOwBcAG4AXABuAFMAbwB1AHIAYwBlAEQAYQB0AGEAXwBEAGEAaQByAHkAXwBSAGUAZgBlAHIAZQBuAGMAZQBXAGUAaQBnAGgAdABzAF8AVQBuAGkAdABcAG4AIAAgAD0ATABBAE0AQgBEAEEAKABcACIAawBnAFwAIgApADsAXABuAFwAbgBTAG8AdQByAGMAZQBEAGEAdABhAF8ARABhAGkAcgB5AF8AUgBlAGYAZQByAGUAbgBjAGUAVwBlAGkAZwBoAHQAcwBfAFMAbwB1AHIAYwBlAFwAbgAgACAAPQBMAEEATQBCAEQAQQAoAFwAIgBWAEUARQBSAEcAIAAyADAAMgA2ADoAIABUAGEAYgBsAGUAIABBAC4AMQAuADMALgA0AFwAIgApADsAXABuAFwAbgBTAG8AdQByAGMAZQBEAGEAdABhAF8ARABhAGkAcgB5AF8AUgBlAGYAZQByAGUAbgBjAGUAVwBlAGkAZwBoAHQAcwBfAFYAYQByAGkAYQB0AGkAbwBuAFwAbgAgACAAPQBMAEEATQBCAEQAQQAoAFwAIgBcACIAKQA7AFwAbgBcAG4AUwBvAHUAcgBjAGUARABhAHQAYQBfAEQAYQBpAHIAeQBfAFIAZQBmAGUAcgBlAG4AYwBlAFcAZQBpAGcAaAB0AHMAXwBEAGEAdABhAFwAbgAgACAAPQBMAEEATQBCAEQAQQAoAFwAbgAgACAAIAAgAE0AQQBLAEUAQQBSAFIAQQBZACgAMgAsACAANQAsAFwAbgAgACAAIAAgACAAIABMAEEATQBCAEQAQQAoAHIALABjACwAXABuACAAIAAgACAAIAAgACAAIABJAE4ARABFAFgAKAB7AFwAbgAgACAAIAAgACAAIAAgACAAIAAgAFwAIgBNAGkAbABrAGkAbgBnACAAQwBvAHcAcwBcACIALAAgAFwAIgBIAGUAaQBmAGUAcgBzACAAXAB1ADAAMAAzAGUAMQBcACIALAAgAFwAIgBIAGUAaQBmAGUAcgBzACAAXAB1ADAAMAAzAGMAMQAgACgAdwBlAGEAbgBlAGQAKQBcACIALAAgAFwAIgBCAHUAbABsAHMAIABcAHUAMAAwADMAZQAxAFwAIgAsACAAXAAiAEIAdQBsAGwAcwAgAFwAdQAwADAAMwBjADEAIAAoAHcAZQBhAG4AZQBkACkAXAAiADsAXABuACAAIAAgACAAIAAgACAAIAAgACAANQA5ADAALAAgADUAOQAwACwAIAA1ADkAMAAsACAANwA3ADAALAAgADcANwAw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UAByAGUAVwBlAGEAbgBlAGQAQwBhAGwAdgBlAHMAXABuAFQAYQBiAGwAZQAgAEEALgAxAC4AMwAuADUAOgAgAEQAYQBpAHIAeQAgAGMAYQB0AHQAbABlACAALQAgAEQAYQB0AGEAIABmAG8AcgAgAHAAcgBlACAALQAgAHcAZQBhAG4AZQBkACAAYwBhAGwAdgBlAHMAXABuAC0ALQAtAC0ALQAtAC0ALQAtAC0ALQAtAC0ALQAtAC0ALQAtAC0ALQAtAC0ALQAtAC0ALQAtAC0ALQAtAC0ALQAtAC0ALQAtAC0ALQBcAG4AKgAvAFwAbgBcAG4AUwBvAHUAcgBjAGUARABhAHQAYQBfAEQAYQBpAHIAeQBfAFAAcgBlAFcAZQBhAG4AZQBkAEMAYQBsAHYAZQBzAF8AVABpAHQAbABlAFwAbgAgACAAPQBMAEEATQBCAEQAQQAoAFwAIgBUAGEAYgBsAGUAIABBAC4AMQAuADMALgA1ADoAIABEAGEAaQByAHkAIABjAGEAdAB0AGwAZQAgAC0AIABEAGEAdABhACAAZgBvAHIAIABwAHIAZQAgAC0AIAB3AGUAYQBuAGUAZAAgAGMAYQBsAHYAZQBzAFwAIgApADsAXABuAFwAbgBTAG8AdQByAGMAZQBEAGEAdABhAF8ARABhAGkAcgB5AF8AUAByAGUAVwBlAGEAbgBlAGQAQwBhAGwAdgBlAHMAXwBWAGEAcgBpAGEAYgBsAGUAXABuACAAIAA9AEwAQQBNAEIARABBACgAXAAiAFYAUwBqAD0AMwAsADUAOwAgAE4AUABXAGoAPQAzACwANQBcACIAKQA7AFwAbgBcAG4AUwBvAHUAcgBjAGUARABhAHQAYQBfAEQAYQBpAHIAeQBfAFAAcgBlAFcAZQBhAG4AZQBkAEMAYQBsAHYAZQBzAF8AVQBuAGkAdABcAG4AIAAgAD0ATABBAE0AQgBEAEEAKABcACIAawBnAC8AZABhAHkAXAAiACkAOwBcAG4AXABuAFMAbwB1AHIAYwBlAEQAYQB0AGEAXwBEAGEAaQByAHkAXwBQAHIAZQBXAGUAYQBuAGUAZABDAGEAbAB2AGUAcwBfAFMAbwB1AHIAYwBlAFwAbgAgACAAPQBMAEEATQBCAEQAQQAoAFwAIgBWAEUARQBSAEcAIAAyADAAMgA2ADoAIABUAGEAYgBsAGUAIABBAC4AMQAuADMALgA1AFwAIgApADsAXABuAFwAbgBTAG8AdQByAGMAZQBEAGEAdABhAF8ARABhAGkAcgB5AF8AUAByAGUAVwBlAGEAbgBlAGQAQwBhAGwAdgBlAHMAXwBWAGEAcgBpAGEAdABpAG8AbgBcAG4AIAAgAD0ATABBAE0AQgBEAEEAKABcACIAVgBBAFIASQBBAFQASQBPAE4AIABPAEYAIABTAE8AVQBSAEMARQA6ACAAQQBkAGQAZQBkACAAXAB1ADAAMAAyADcAQQBuAGkAbQBhAGwAIABjAGwAYQBzAHMAIABqAFwAdQAwADAAMgA3ACAAYwBvAGwAdQBtAG4AIABoAGUAYQBkAGUAcgBcACIAKQA7AFwAbgBcAG4AUwBvAHUAcgBjAGUARABhAHQAYQBfAEQAYQBpAHIAeQBfAFAAcgBlAFcAZQBhAG4AZQBkAEMAYQBsAHYAZQBzAF8ARABhAHQAYQBcAG4AIAAgAD0ATABBAE0AQgBEAEEAKABcAG4AIAAgACAAIABNAEEASwBFAEEAUgBSAEEAWQAoADQALAAgADQALABcAG4AIAAgACAAIAAgACAATABBAE0AQgBEAEEAKAByACwAYwAsAFwAbgAgACAAIAAgACAAIAAgACAASQBOAEQARQBYACgAewBcAG4AIAAgACAAIAAgACAAIAAgACAAIABcACIAQQBuAGkAbQBhAGwAIABjAGwAYQBzAHMAIABqAFwAIgAsACAAXAAiAEMASAA0ACAAcAByAG8AZAB1AGMAdABpAG8AbgBcACIALAAgAFwAIgBWAG8AbABhAHQAaQBsAGUAIABzAG8AbABpAGQAcwAgACgAVgBTAGoAPQAzACwANQApAFwAIgAsACAAXAAiAE4AaQB0AHIAbwBnAGUAbgAgAEUAeABjAHIAZQB0AGUAZAAgACgATgBQAFcAagA9ADMALAA1ACkAXAAiADsAXABuACAAIAAgACAAIAAgACAAIAAgACAAXAAiAFwAIgAsACAAXAAiACgAawBnAC8AZABhAHkAKQBcACIALAAgAFwAIgAoAGsAZwAvAGQAYQB5ACkAXAAiACwAIABcACIAKABrAGcALwBkAGEAeQApAFwAIgA7AFwAbgAgACAAIAAgACAAIAAgACAAIAAgAFwAIgBIAGUAaQBmAGUAcgBzAFwAdQAwADAAMwBjADEAXAAiACwAIAAwAC4AMAAxADcANgAsACAAMAAuADIANgA4ADUALAAgADAALgAwADEAMwA3ADsAXABuACAAIAAgACAAIAAgACAAIAAgACAAXAAiAEIAdQBsAGwAcwBcAHUAMAAwADMAYwAxAFwAIgAsACAAMAAuADAAMgAwADQALAAgADAALgAzADAAMAAzACwAIAAwAC4AMAAwADkAMg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0AQwBGAFwAbgBUAGEAYgBsAGUAIABBAC4AMQAuADMALgA2ADoAIABEAGEAaQByAHkAIABjAGEAdAB0AGwAZQAgAC0AIABEAGEAaQByAHkAIABjAGEAdAB0AGwAZQAgAC0AIABNAEMARgBzACAAKABmAHIAYQBjAHQAaQBvAG4AKQAgACgATQBDAEYAagBtACkAXABuAC0ALQAtAC0ALQAtAC0ALQAtAC0ALQAtAC0ALQAtAC0ALQAtAC0ALQAtAC0ALQAtAC0ALQAtAC0ALQAtAC0ALQAtAC0ALQAtAC0ALQBcAG4AKgAvAFwAbgBcAG4AUwBvAHUAcgBjAGUARABhAHQAYQBfAEQAYQBpAHIAeQBfAE0AQwBGAF8AVABpAHQAbABlAFwAbgAgACAAPQBMAEEATQBCAEQAQQAoAFwAIgBUAGEAYgBsAGUAIABBAC4AMQAuADMALgA2ADoAIABEAGEAaQByAHkAIABjAGEAdAB0AGwAZQAgAC0AIABEAGEAaQByAHkAIABjAGEAdAB0AGwAZQAgAC0AIABNAEMARgBzACAAKABmAHIAYQBjAHQAaQBvAG4AKQAgACgATQBDAEYAagBtACkAXAAiACkAOwBcAG4AXABuAFMAbwB1AHIAYwBlAEQAYQB0AGEAXwBEAGEAaQByAHkAXwBNAEMARgBfAFYAYQByAGkAYQBiAGwAZQBcAG4AIAAgAD0ATABBAE0AQgBEAEEAKABcACIATQBDAEYAagBtAFwAIgApADsAXABuAFwAbgBTAG8AdQByAGMAZQBEAGEAdABhAF8ARABhAGkAcgB5AF8ATQBDAEYAXwBVAG4AaQB0AFwAbgAgACAAPQBMAEEATQBCAEQAQQAoAFwAIgBmAHIAYQBjAHQAaQBvAG4AXAAiACkAOwBcAG4AXABuAFMAbwB1AHIAYwBlAEQAYQB0AGEAXwBEAGEAaQByAHkAXwBNAEMARgBfAFMAbwB1AHIAYwBlAFwAbgAgACAAPQBMAEEATQBCAEQAQQAoAFwAIgBWAEUARQBSAEcAIAAyADAAMgA2ADoAIABUAGEAYgBsAGUAIABBAC4AMQAuADMALgA2AFwAIgApADsAXABuAFwAbgBTAG8AdQByAGMAZQBEAGEAdABhAF8ARABhAGkAcgB5AF8ATQBDAEYAXwBWAGEAcgBpAGEAdABpAG8AbgBcAG4AIAAgAD0ATABBAE0AQgBEAEEAKABcACIAVgBBAFIASQBBAFQASQBPAE4AIABPAEYAIABTAE8AVQBSAEMARQA6ACAAQQBkAGQAZQBkACAAXAB1ADAAMAAyADcATgBJAFIAIAByAGUAZgBlAHIAZQBuAGMAZQBcAHUAMAAwADIANwAgAGMAbwBsAHUAbQBuACAAdABvACAAYQBpAGQAIABsAG8AbwBrAHUAcABcACIAKQA7AFwAbgBcAG4AUwBvAHUAcgBjAGUARABhAHQAYQBfAEQAYQBpAHIAeQBfAE0AQwBGAF8ARABhAHQAYQBcAG4AIAAgAD0ATABBAE0AQgBEAEEAKABcAG4AIAAgACAAIABNAEEASwBFAEEAUgBSAEEAWQAoADcALAAgADEAMAAsAFwAbgAgACAAIAAgACAAIABMAEEATQBCAEQAQQAoAHIALABjACwAXABuACAAIAAgACAAIAAgACAAIABJAE4ARABFAFgAKAB7AFwAbgAgACAAIAAgACAAIAAgACAAIAAgAFwAIgBNAE0AUwAgAG0AXAAiACwAIABcACIAQQBDAFQAXAAiACwAIABcACIATgBTAFcAXAAiACwAIABcACIATgBUAFwAIgAsACAAXAAiAFEATABEAFwAIgAsACAAXAAiAFMAQQBcACIALAAgAFwAIgBUAEEAUwBcACIALAAgAFwAIgBWAEkAQwBcACIALAAgAFwAIgBXAEEAXAAiACwAIABcACIATgBJAFIAIAByAGUAZgBlAHIAZQBuAGMAZQBcACIAOwBcAG4AIAAgACAAIAAgACAAIAAgACAAIABcACIAUABhAHMAdAB1AHIAZQBcACIALAAgADAALgAwADEALAAgADAALgAwADEALAAgADAALgAwADIALAAgADAALgAwADEALAAgADAALgAwADEALAAgADAALgAwADEALAAgADAALgAwADEALAAgADAALgAwADEALAAgAFwAIgBQAGEAcwB0AHUAcgBlACAAcgBhAG4AZwBlACAAYQBuAGQAIABwAGEAZABkAG8AYwBrAFwAIgA7AFwAbgAgACAAIAAgACAAIAAgACAAIAAgAFwAIgBBAG4AYQBlAHIAbwBiAGkAYwAgAGwAYQBnAG8AbwBuAFwAIgAsACAAMAAuADcAMgAsACAAMAAuADcANgAsACAAMAAuADgALAAgADAALgA3ADgALAAgADAALgA3ADQALAAgADAALgA2ADkALAAgADAALgA3ADMALAAgADAALgA3ADYALAAgAFwAIgBBAG4AYQBlAHIAbwBiAGkAYwAgAGwAYQBnAG8AbwBuAFwAIgA7AFwAbgAgACAAIAAgACAAIAAgACAAIAAgAFwAIgBEAGEAaQBsAHkAIABzAHAAcgBlAGEAZAAgAC0AIABTAHUAbQBwACAAYQBuAGQAIABkAGkAcwBwAGUAcgBzAGEAbAAgAHMAeQBzAHQAZQBtAHMAXAAiACwAIAAwAC4AMAAwADUALAAgADAALgAwADAANQAsACAAMAAuADAAMQAsACAAMAAuADAAMAA1ACwAIAAwAC4AMAAwADUALAAgADAALgAwADAAMQAsACAAMAAuADAAMAA1ACwAIAAwAC4AMAAwADUALAAgAFwAIgBTAHUAbQBwACAAYQBuAGQAIABkAGkAcwBwAGUAcgBzAGEAbAAgAHMAeQBzAHQAZQBtAFwAIgA7AFwAbgAgACAAIAAgACAAIAAgACAAIAAgAFwAIgBEAGEAaQBsAHkAIABzAHAAcgBlAGEAZAAgAC0AIABEAHIAYQBpAG4AcwAgAHQAbwAgAHAAYQBkAGQAbwBjAGsAcwAgACgAYQApAFwAIgAsACAAMAAuADEANQAsACAAMAAuADEAOAAsACAAMAAuADUAMAAsACAAMAAuADIANAAsACAAMAAuADEANwAsACAAMAAuADEAMwAsACAAMAAuADEANwAsACAAMAAuADEAOAAsACAAXAAiAEQAcgBhAGkAbgBzACAAdABvACAAcABhAGQAZABvAGMAawBcACIAOwBcAG4AIAAgACAAIAAgACAAIAAgACAAIABcACIAUwBvAGwAaQBkACAAUwB0AG8AcgBhAGcAZQBcACIALAAgADAALgAwADIALAAgADAALgAwADIALAAgADAALgAwADIALAAgADAALgAwADIALAAgADAALgAwADIALAAgADAALgAwADIALAAgADAALgAwADIALAAgADAALgAwADIALAAgAFwAIgBTAG8AbABpAGQAIABzAHQAbwByAGEAZwBlAFwAIgA7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gBpAHQAcgBvAHUAcwBPAHgAaQBkAGUARQBGAHMAQQBuAGQARgByAGEAYwBHAEEAUwBNAFwAbgBUAGEAYgBsAGUAIABBAC4AMQAuADMALgA3ADoAIABEAGEAaQByAHkAIABjAGEAdAB0AGwAZQAgAC0AIABOAGkAdAByAG8AdQBzACAAbwB4AGkAZABlACAARQBGAHMAIABhAG4AZAAgAGYAcgBhAGMAdABpAG8AbgAgAG8AZgAgAE4AIAB2AG8AbABhAHQAaQBsAGkAcwBlAGQAIABiAHkAIABNAE0AUwBcAG4ALQAtAC0ALQAtAC0ALQAtAC0ALQAtAC0ALQAtAC0ALQAtAC0ALQAtAC0ALQAtAC0ALQAtAC0ALQAtAC0ALQAtAC0ALQAtAC0ALQAtAFwAbgAqAC8AXABuAFwAbgBTAG8AdQByAGMAZQBEAGEAdABhAF8ARABhAGkAcgB5AF8ATgBpAHQAcgBvAHUAcwBPAHgAaQBkAGUARQBGAHMAQQBuAGQARgByAGEAYwBHAEEAUwBNAF8AVABpAHQAbABlAFwAbgAgACAAPQBMAEEATQBCAEQAQQAoAFwAIgBUAGEAYgBsAGUAIABBAC4AMQAuADMALgA3ADoAIABEAGEAaQByAHkAIABjAGEAdAB0AGwAZQAgAC0AIABOAGkAdAByAG8AdQBzACAAbwB4AGkAZABlACAARQBGAHMAIABhAG4AZAAgAGYAcgBhAGMAdABpAG8AbgAgAG8AZgAgAE4AIAB2AG8AbABhAHQAaQBsAGkAcwBlAGQAIABiAHkAIABNAE0AUwBcACIAKQA7AFwAbgBcAG4AUwBvAHUAcgBjAGUARABhAHQAYQBfAEQAYQBpAHIAeQBfAE4AaQB0AHIAbwB1AHMATwB4AGkAZABlAEUARgBzAEEAbgBkAEYAcgBhAGMARwBBAFMATQBfAFYAYQByAGkAYQBiAGwAZQBcAG4AIAAgAD0ATABBAE0AQgBEAEEAKABcACIARQBGAG0AOwAgAEYAcgBhAGMARwBBAFMATQBtAFwAIgApADsAXABuAFwAbgBTAG8AdQByAGMAZQBEAGEAdABhAF8ARABhAGkAcgB5AF8ATgBpAHQAcgBvAHUAcwBPAHgAaQBkAGUARQBGAHMAQQBuAGQARgByAGEAYwBHAEEAUwBNAF8AVQBuAGkAdABcAG4AIAAgAD0ATABBAE0AQgBEAEEAKABcACIAawBnACAATgAyAE8ALQBOAC8AawBnACAATgAgAGUAeABjAHIAZQB0AGUAZABcACIAKQA7AFwAbgBcAG4AUwBvAHUAcgBjAGUARABhAHQAYQBfAEQAYQBpAHIAeQBfAE4AaQB0AHIAbwB1AHMATwB4AGkAZABlAEUARgBzAEEAbgBkAEYAcgBhAGMARwBBAFMATQBfAFMAbwB1AHIAYwBlAFwAbgAgACAAPQBMAEEATQBCAEQAQQAoAFwAIgBWAEUARQBSAEcAIAAyADAAMgA2ADoAIABUAGEAYgBsAGUAIABBAC4AMQAuADMALgA3AFwAIgApADsAXABuAFwAbgBTAG8AdQByAGMAZQBEAGEAdABhAF8ARABhAGkAcgB5AF8ATgBpAHQAcgBvAHUAcwBPAHgAaQBkAGUARQBGAHMAQQBuAGQARgByAGEAYwBHAEEAUwBN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OAGkAdAByAG8AdQBzAE8AeABpAGQAZQBFAEYAcwBBAG4AZABGAHIAYQBjAEcAQQBTAE0AXwBEAGEAdABhAFwAbgAgACAAPQBMAEEATQBCAEQAQQAoAFwAbgAgACAAIAAgAE0AQQBLAEUAQQBSAFIAQQBZACgANgAsACAANAAsAFwAbgAgACAAIAAgACAAIABMAEEATQBCAEQAQQAoAHIALABjACwAXABuACAAIAAgACAAIAAgACAAIABJAE4ARABFAFgAKAB7AFwAbgAgACAAIAAgACAAIAAgACAAIAAgAFwAIgBNAE0AUwAgAG0AXAAiACwAIABcACIARQBGAG0AIAAoAGsAZwAgAE4AMgBPAC0ATgAvAGsAZwAgAE4AIABlAHgAYwByAGUAdABlAGQAKQBcACIALAAgAFwAIgBGAHIAYQBjAEcAQQBTAE0AbQAgACgAawBnACAATgAyAE8ALQBOAC8AawBnACAATgAgAGUAeABjAHIAZQB0AGUAZAApAFwAIgAsACAAXAAiAE4ASQBSACAAcgBlAGYAZQByAGUAbgBjAGUAXAAiADsAXABuACAAIAAgACAAIAAgACAAIAAgACAAXAAiAE0APQAxADQAIABQAGEAcwB0AHUAcgBlAFwAIgAsACAAMAAsACAAMAAsACAAXAAiAFAAYQBzAHQAdQByAGUAIAByAGEAbgBnAGUAIABhAG4AZAAgAHAAYQBkAGQAbwBjAGsAXAAiADsAXABuACAAIAAgACAAIAAgACAAIAAgACAAXAAiAE0APQAxACAAQQBuAGEAZQByAG8AYgBpAGMAIABsAGEAZwBvAG8AbgBcACIALAAgADAALAAgADAALgAzADUALAAgAFwAIgBBAG4AYQBlAHIAbwBiAGkAYwAgAGwAYQBnAG8AbwBuAFwAIgA7AFwAbgAgACAAIAAgACAAIAAgACAAIAAgAFwAIgBNAD0AMgAgAEQAYQBpAGwAeQAgAFMAcAByAGUAYQBkACAALQAgAFMAdQBtAHAAIABhAG4AZAAgAEQAaQBzAHAAZQByAHMAYQBsAFwAIgAsACAAMAAsACAAMAAuADAANwAsACAAXAAiAFMAdQBtAHAAIABhAG4AZAAgAGQAaQBzAHAAZQByAHMAYQBsACAAcwB5AHMAdABlAG0AXAAiADsAXABuACAAIAAgACAAIAAgACAAIAAgACAAXAAiAE0APQAzACAARABhAGkAbAB5ACAAUwBwAHIAZQBhAGQAIAAtACAARAByAGEAaQBuAHMAIAB0AG8AIABQAGEAZABkAG8AYwBrAFwAIgAsACAAMAAsACAAMAAuADIALAAgAFwAIgBEAHIAYQBpAG4AcwAgAHQAbwAgAHAAYQBkAGQAbwBjAGsAXAAiADsAXABuACAAIAAgACAAIAAgACAAIAAgACAAXAAiAE0APQAzACAAUwBvAGwAaQBkACAAUwB0AG8AcgBhAGcAZQBcACIALAAgADAALgAwADAANQAsACAAMAAuADMALAAgAFwAIgBTAG8AbABpAG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NAGUAdABoAGEAbgBlAFAAcgBvAGQAdQBjAHQAaQBvAG4AUAByAGUAVwBlAGEAbgBlAGQAQwBhAGwAdgBlAHMAXABu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bgAtAC0ALQAtAC0ALQAtAC0ALQAtAC0ALQAtAC0ALQAtAC0ALQAtAC0ALQAtAC0ALQAtAC0ALQAtAC0ALQAtAC0ALQAtAC0ALQAtAC0AXABuACoALwBcAG4AXABuAFMAbwB1AHIAYwBlAEQAYQB0AGEAXwBEAGEAaQByAHkAXwBNAGUAdABoAGEAbgBlAFAAcgBvAGQAdQBjAHQAaQBvAG4AUAByAGUAVwBlAGEAbgBlAGQAQwBhAGwAdgBlAHMAXwBUAGkAdABsAGUAXABuACAAIAA9AEwAQQBNAEIARABBACgAXAAi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IgApADsAXABuAFwAbgBTAG8AdQByAGMAZQBEAGEAdABhAF8ARABhAGkAcgB5AF8ATQBlAHQAaABhAG4AZQBQAHIAbwBkAHUAYwB0AGkAbwBuAFAAcgBlAFcAZQBhAG4AZQBkAEMAYQBsAHYAZQBzAF8AVgBhAHIAaQBhAGIAbABlAFwAbgAgACAAPQBMAEEATQBCAEQAQQAoAFwAIgBNAFAAVwBFAE4AVABFAFIASQBDACwAagA9ADMALAA1AFwAIgApADsAXABuAFwAbgBTAG8AdQByAGMAZQBEAGEAdABhAF8ARABhAGkAcgB5AF8ATQBlAHQAaABhAG4AZQBQAHIAbwBkAHUAYwB0AGkAbwBuAFAAcgBlAFcAZQBhAG4AZQBkAEMAYQBsAHYAZQBzAF8AVQBuAGkAdABcAG4AIAAgAD0ATABBAE0AQgBEAEEAKABcACIAawBnACAAQwBIADQALwBoAGUAYQBkAC8AZABhAHkAXAAiACkAOwBcAG4AXABuAFMAbwB1AHIAYwBlAEQAYQB0AGEAXwBEAGEAaQByAHkAXwBNAGUAdABoAGEAbgBlAFAAcgBvAGQAdQBjAHQAaQBvAG4AUAByAGUAVwBlAGEAbgBlAGQAQwBhAGwAdgBlAHMAXwBTAG8AdQByAGMAZQBcAG4AIAAgAD0ATABBAE0AQgBEAEEAKABcACIAVgBFAEUAUgBHACAAMgAwADIANgA6ACAAVABhAGIAbABlACAAQQAuADEALgAzAC4AOABcACIAKQA7AFwAbgBcAG4AUwBvAHUAcgBjAGUARABhAHQAYQBfAEQAYQBpAHIAeQBfAE0AZQB0AGgAYQBuAGUAUAByAG8AZAB1AGMAdABpAG8AbgBQAHIAZQBXAGUAYQBuAGUAZABDAGEAbAB2AGUAcwBfAFYAYQByAGkAYQB0AGkAbwBuAFwAbgAgACAAPQBMAEEATQBCAEQAQQAoAFwAIgBcACIAKQA7AFwAbgBcAG4AUwBvAHUAcgBjAGUARABhAHQAYQBfAEQAYQBpAHIAeQBfAE0AZQB0AGgAYQBuAGUAUAByAG8AZAB1AGMAdABpAG8AbgBQAHIAZQBXAGUAYQBuAGUAZABDAGEAbAB2AGUAc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AAVwBFAE4AVABFAFIASQBDAFwAIgA7AFwAbgAgACAAIAAgACAAIAAgACAAIAAgAFwAIgBIAGUAaQBmAGUAcgBzACAAXAB1ADAAMAAzAGMAIAAxACAAeQBlAGEAcgBcACIALAAgADAALgAwADEANwA2ADsAXABuACAAIAAgACAAIAAgACAAIAAgACAAXAAiAEIAdQBsAGwAcwAgAFwAdQAwADAAMwBjACAAMQAgAHkAZQBhAHIAXAAiACwAIAAwAC4AMAAyADAAN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kAbgBjAHIAZQBhAHMAZQBkAE0AZQB0AGEAYgBvAGwAaQBjAFIAYQB0AGUATQBpAGwAawBcAG4AVABhAGIAbABlACAAQQAuADEALgAzAC4AOQA6ACAARABhAGkAcgB5ACAAYwBhAHQAdABsAGUAIAAtACAASQBuAGMAcgBlAGEAcwBlAGQAIABtAGUAdABhAGIAbwBsAGkAYwAgAHIAYQB0AGUAIAB3AGgAZQBuACAAcAByAG8AZAB1AGMAaQBuAGcAIABtAGkAbABrACAAKABrAGcAIABEAE0ALwBoAGUAYQBkAC8AZABhAHkAKQAgACgATQBSAGoAKQBcAG4ALQAtAC0ALQAtAC0ALQAtAC0ALQAtAC0ALQAtAC0ALQAtAC0ALQAtAC0ALQAtAC0ALQAtAC0ALQAtAC0ALQAtAC0ALQAtAC0ALQAtAFwAbgAqAC8AXABuAFwAbgBTAG8AdQByAGMAZQBEAGEAdABhAF8ARABhAGkAcgB5AF8ASQBuAGMAcgBlAGEAcwBlAGQATQBlAHQAYQBiAG8AbABpAGMAUgBhAHQAZQBNAGkAbABrAF8AVABpAHQAbABlAFwAbgAgACAAPQBMAEEATQBCAEQAQQAoAFwAIgBUAGEAYgBsAGUAIABBAC4AMQAuADMALgA5ADoAIABEAGEAaQByAHkAIABjAGEAdAB0AGwAZQAgAC0AIABJAG4AYwByAGUAYQBzAGUAZAAgAG0AZQB0AGEAYgBvAGwAaQBjACAAcgBhAHQAZQAgAHcAaABlAG4AIABwAHIAbwBkAHUAYwBpAG4AZwAgAG0AaQBsAGsAIAAoAE0AUgBqACkAXAAiACkAOwBcAG4AXABuAFMAbwB1AHIAYwBlAEQAYQB0AGEAXwBEAGEAaQByAHkAXwBJAG4AYwByAGUAYQBzAGUAZABNAGUAdABhAGIAbwBsAGkAYwBSAGEAdABlAE0AaQBsAGsAXwBWAGEAcgBpAGEAYgBsAGUAXABuACAAIAA9AEwAQQBNAEIARABBACgAXAAiAE0AUgBqAFwAIgApADsAXABuAFwAbgBTAG8AdQByAGMAZQBEAGEAdABhAF8ARABhAGkAcgB5AF8ASQBuAGMAcgBlAGEAcwBlAGQATQBlAHQAYQBiAG8AbABpAGMAUgBhAHQAZQBNAGkAbABrAF8AVQBuAGkAdABcAG4AIAAgAD0ATABBAE0AQgBEAEEAKABcACIAXAAiACkAOwBcAG4AXABuAFMAbwB1AHIAYwBlAEQAYQB0AGEAXwBEAGEAaQByAHkAXwBJAG4AYwByAGUAYQBzAGUAZABNAGUAdABhAGIAbwBsAGkAYwBSAGEAdABlAE0AaQBsAGsAXwBTAG8AdQByAGMAZQBcAG4AIAAgAD0ATABBAE0AQgBEAEEAKABcACIAVgBFAEUAUgBHACAAMgAwADIANgA6ACAAVABhAGIAbABlACAAQQAuADEALgAzAC4AOQBcACIAKQA7AFwAbgBcAG4AUwBvAHUAcgBjAGUARABhAHQAYQBfAEQAYQBpAHIAeQBfAEkAbgBjAHIAZQBhAHMAZQBkAE0AZQB0AGEAYgBvAGwAaQBjAFIAYQB0AGUATQBpAGwAawBfAFYAYQByAGkAYQB0AGkAbwBuAFwAbgAgACAAPQBMAEEATQBCAEQAQQAoAFwAIgBcACIAKQA7AFwAbgBcAG4AUwBvAHUAcgBjAGUARABhAHQAYQBfAEQAYQBpAHIAeQBfAEkAbgBjAHIAZQBhAHMAZQBkAE0AZQB0AGEAYgBvAGwAaQBjAFIAYQB0AGUATQBpAGwAa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IAagBcACIAOwBcAG4AIAAgACAAIAAgACAAIAAgACAAIABcACIATQBpAGwAawBpAG4AZwAgAGMAbwB3AHMALAAgAGEAbgBkACAAaABvAHUAcwBlACAAYwBvAHcAcwBcACIALAAgADEALgAxADsAXABuACAAIAAgACAAIAAgACAAIAAgACAAXAAiAEEAbABsACAAbwB0AGgAZQByACAAYwBhAHQAdABsAGUAIABjAGwAYQBzAHMAZQBzAFwAIgAsACAAMQAuADA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GAHIAYQBjAHQAaQBvAG4AVgBvAGwAYQB0AGkAbABlAFMAbwBsAGkAZABzAFYAbwBpAGQAZQBkAE0ATQBTAFwAbgBUAGEAYgBsAGUAIABBAC4AMQAuADMALgAxADAAOgAgAEQAYQBpAHIAeQAgAGMAYQB0AHQAbABlACAALQAgAEYAcgBhAGMAdABpAG8AbgAgAG8AZgAgAHYAbwBsAGEAdABpAGwAZQAgAHMAbwBsAGkAZABzACAAdgBvAGkAZABlAGQAIAB0AG8AIABlAGEAYwBoACAAbQBhAG4AdQByAGUAIABtAGEAbgBhAGcAZQBtAGUAbgB0ACAAcwB5AHMAdABlAG0AIAAoAGYAcgBhAGMAdABpAG8AbgApACAAKABNAE0AUwBqAG0AKQBcAG4ALQAtAC0ALQAtAC0ALQAtAC0ALQAtAC0ALQAtAC0ALQAtAC0ALQAtAC0ALQAtAC0ALQAtAC0ALQAtAC0ALQAtAC0ALQAtAC0ALQAtAFwAbgAqAC8AXABuAFwAbgBTAG8AdQByAGMAZQBEAGEAdABhAF8ARABhAGkAcgB5AF8ARgByAGEAYwB0AGkAbwBuAFYAbwBsAGEAdABpAGwAZQBTAG8AbABpAGQAcwBWAG8AaQBkAGUAZABNAE0AUwBfAFQAaQB0AGwAZQBcAG4AIAAgAD0ATABBAE0AQgBEAEEAKABcACIAVABhAGIAbABlACAAQQAuADEALgAzAC4AMQAwADoAIABEAGEAaQByAHkAIABjAGEAdAB0AGwAZQAgAC0AIABGAHIAYQBjAHQAaQBvAG4AIABvAGYAIAB2AG8AbABhAHQAaQBsAGUAIABzAG8AbABpAGQAcwAgAHYAbwBpAGQAZQBkACAAdABvACAAZQBhAGMAaAAgAG0AYQBuAHUAcgBlACAAbQBhAG4AYQBnAGUAbQBlAG4AdAAgAHMAeQBzAHQAZQBtACAAKABmAHIAYQBjAHQAaQBvAG4AKQAgACgATQBNAFMAagBtACkAXAAiACkAOwBcAG4AXABuAFMAbwB1AHIAYwBlAEQAYQB0AGEAXwBEAGEAaQByAHkAXwBGAHIAYQBjAHQAaQBvAG4AVgBvAGwAYQB0AGkAbABlAFMAbwBsAGkAZABzAFYAbwBpAGQAZQBkAE0ATQBTAF8AVgBhAHIAaQBhAGIAbABlAFwAbgAgACAAPQBMAEEATQBCAEQAQQAoAFwAIgBNAE0AUwBqAG0AXAAiACkAOwBcAG4AXABuAFMAbwB1AHIAYwBlAEQAYQB0AGEAXwBEAGEAaQByAHkAXwBGAHIAYQBjAHQAaQBvAG4AVgBvAGwAYQB0AGkAbABlAFMAbwBsAGkAZABzAFYAbwBpAGQAZQBkAE0ATQBTAF8AVQBuAGkAdABcAG4AIAAgAD0ATABBAE0AQgBEAEEAKABcACIAZgByAGEAYwB0AGkAbwBuAFwAIgApADsAXABuAFwAbgBTAG8AdQByAGMAZQBEAGEAdABhAF8ARABhAGkAcgB5AF8ARgByAGEAYwB0AGkAbwBuAFYAbwBsAGEAdABpAGwAZQBTAG8AbABpAGQAcwBWAG8AaQBkAGUAZABNAE0AUwBfAFMAbwB1AHIAYwBlAFwAbgAgACAAPQBMAEEATQBCAEQAQQAoAFwAIgBWAEUARQBSAEcAIAAyADAAMgA2ADoAIABUAGEAYgBsAGUAIABBAC4AMQAuADMALgAxADAAXAAiACkAOwBcAG4AXABuAFMAbwB1AHIAYwBlAEQAYQB0AGEAXwBEAGEAaQByAHkAXwBGAHIAYQBjAHQAaQBvAG4AVgBvAGwAYQB0AGkAbABlAFMAbwBsAGkAZABzAFYAbwBpAGQAZQBkAE0ATQBTAF8AVgBhAHIAaQBhAHQAaQBvAG4AXABuACAAIAA9AEwAQQBNAEIARABBACgAXAAiAFYAQQBSAEkAQQBUAEkATwBOACAATwBGACAAUwBPAFUAUgBDAEUAOgAgAEUAeABjAGwAdQBkAGUAZAAgAFwAdQAwADAAMgA3AEEAbgBuAHUAYQBsACAAZgByAGEAYwB0AGkAbwBuACAAbwBmACAAdABpAG0AZQAgAHMAcABlAG4AdAAgAHAAZQByACAAYQByAGUAYQBcAHUAMAAwADIANwAgAHIAbwB3ACAAYQBzACAAdABoAGkAcwAgAGkAbgBmAG8AcgBtAGEAdABpAG8AbgAgAGkAcwAgAGkAbgAgAHQAaABlACAAdABhAGIAbABlACAAdABpAHQAbABlAC4AXAAiACkAOwBcAG4AXABuAFMAbwB1AHIAYwBlAEQAYQB0AGEAXwBEAGEAaQByAHkAXwBGAHIAYQBjAHQAaQBvAG4AVgBvAGwAYQB0AGkAbABlAFMAbwBsAGkAZABzAFYAbwBpAGQAZQBkAE0ATQBTAF8ARABhAHQAYQBcAG4AIAAgAD0ATABBAE0AQgBEAEEAKABcAG4AIAAgACAAIABNAEEASwBFAEEAUgBSAEEAWQAoADUALAAgADQALABcAG4AIAAgACAAIAAgACAATABBAE0AQgBEAEEAKAByACwAYwAsAFwAbgAgACAAIAAgACAAIAAgACAASQBOAEQARQBYACgAewBcAG4AIAAgACAAIAAgACAAIAAgACAAIABcACIAQQByAGUAYQBcACIALAAgAFwAIgBQAGEAcwB0AHUAcgBlAFwAIgAsACAAXAAiAE0AaQBsAGsAaQBuAGcAIABTAGgAZQBkAFwAIgAsACAAXAAiAEYAZQBlAGQAcABhAGQAXAAiADsAXABuACAAIAAgACAAIAAgACAAIAAgACAAXAAiAFMAeQBzAHQAZQBtACAAMQA6ACAARwByAGEAegBlAGQAIABPAG4AbAB5AFwAIgAsACAAMAAuADgAOQAsACAAMAAuADEAMQAsACAAMAA7AFwAbgAgACAAIAAgACAAIAAgACAAIAAgAFwAIgBTAHkAcwB0AGUAbQAgADIAOgAgAE8AbgAgAGYAZQBlAGQAcABhAGQAIABmAG8AcgAgAFwAdQAwADAAMwBjADEAMAAgAGgAcgAvAGQAYQB5ACAAZgBvAHIAIABcAHUAMAAwADMAYwAzACAAbQBvAG4AdABoAHMALwB5AGUAYQByAFwAIgAsACAAMAAuADcAOQAsACAAMAAuADEAMQAsACAAMAAuADEAMAA7AFwAbgAgACAAIAAgACAAIAAgACAAIAAgAFwAIgBTAHkAcwB0AGUAbQAgADMAOgAgAFAAYQBzAHQAdQByAGUALQBnAHIAYQB6AGUAZAAgADMALQA5ACAAbQBvAG4AdABoAHMALwB5AGUAYQByAFwAIgAsACAAMAAuADUAMwA0ACwAIAAwAC4AMQAxACwAIAAwAC4AMwA1ADYAOwBcAG4AIAAgACAAIAAgACAAIAAgACAAIABcACIAUwB5AHMAdABlAG0AIAA0ADoAIABaAGUAcgBvACAAZwByAGEAegBpAG4AZwBcACIALAAgADAALAAgADAALgAxADEALAAgADAALgA4ADk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FAEYATgBpAHQAcgBvAHUAcwBPAHgAaQBkAGUAUABlAHIATQBNAFMAXABuAFQAYQBiAGwAZQAgAEEALgAxAC4AMwAuADEAMQA6ACAARABhAGkAcgB5ACAAYwBhAHQAdABsAGUAIAAtACAARQBGACAAZgBvAHIAIABuAGkAdAByAG8AdQBzACAAbwB4AGkAZABlACAAcABlAHIAIABNAE0AUwAgACgAawBnACAATgAyAE8ALQBOAC8AawBnACAATgApACAAKABFAEYAbQApAFwAbgAtAC0ALQAtAC0ALQAtAC0ALQAtAC0ALQAtAC0ALQAtAC0ALQAtAC0ALQAtAC0ALQAtAC0ALQAtAC0ALQAtAC0ALQAtAC0ALQAtAC0AXABuACoALwBcAG4AXABuAFMAbwB1AHIAYwBlAEQAYQB0AGEAXwBEAGEAaQByAHkAXwBFAEYATgBpAHQAcgBvAHUAcwBPAHgAaQBkAGUAUABlAHIATQBNAFMAXwBUAGkAdABsAGUAXABuACAAIAA9AEwAQQBNAEIARABBACgAXAAiAFQAYQBiAGwAZQAgAEEALgAxAC4AMwAuADEAMQA6ACAARABhAGkAcgB5ACAAYwBhAHQAdABsAGUAIAAtACAARQBGACAAZgBvAHIAIABuAGkAdAByAG8AdQBzACAAbwB4AGkAZABlACAAcABlAHIAIABNAE0AUwAgACgAawBnACAATgAyAE8ALQBOAC8AawBnACAATgApACAAKABFAEYAbQApAFwAIgApADsAXABuAFwAbgBTAG8AdQByAGMAZQBEAGEAdABhAF8ARABhAGkAcgB5AF8ARQBGAE4AaQB0AHIAbwB1AHMATwB4AGkAZABlAFAAZQByAE0ATQBTAF8AVgBhAHIAaQBhAGIAbABlAFwAbgAgACAAPQBMAEEATQBCAEQAQQAoAFwAIgBFAEYAbQBcACIAKQA7AFwAbgBcAG4AUwBvAHUAcgBjAGUARABhAHQAYQBfAEQAYQBpAHIAeQBfAEUARgBOAGkAdAByAG8AdQBzAE8AeABpAGQAZQBQAGUAcgBNAE0AUwBfAFUAbgBpAHQAXABuACAAIAA9AEwAQQBNAEIARABBACgAXAAiAGsAZwAgAE4AMgBPAC0ATgAvAGsAZwAgAE4AXAAiACkAOwBcAG4AXABuAFMAbwB1AHIAYwBlAEQAYQB0AGEAXwBEAGEAaQByAHkAXwBFAEYATgBpAHQAcgBvAHUAcwBPAHgAaQBkAGUAUABlAHIATQBNAFMAXwBTAG8AdQByAGMAZQBcAG4AIAAgAD0ATABBAE0AQgBEAEEAKABcACIAVgBFAEUAUgBHACAAMgAwADIANgA6ACAAVABhAGIAbABlACAAQQAuADEALgAzAC4AMQAxAFwAIgApADsAXABuAFwAbgBTAG8AdQByAGMAZQBEAGEAdABhAF8ARABhAGkAcgB5AF8ARQBGAE4AaQB0AHIAbwB1AHMATwB4AGkAZABlAFAAZQByAE0ATQBT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FAEYATgBpAHQAcgBvAHUAcwBPAHgAaQBkAGUAUABlAHIATQBNAFMAXwBEAGEAdABhAFwAbgAgACAAPQBMAEEATQBCAEQAQQAoAFwAbgAgACAAIAAgAE0AQQBLAEUAQQBSAFIAQQBZACgANgAsACAAMwAsAFwAbgAgACAAIAAgACAAIABMAEEATQBCAEQAQQAoAHIALABjACwAXABuACAAIAAgACAAIAAgACAAIABJAE4ARABFAFgAKAB7AFwAbgAgACAAIAAgACAAIAAgACAAIAAgAFwAIgBNAE0AUwAgAG0AXAAiACwAIABcACIARQBGAG0AXAAiACwAIABcACIATgBJAFIAIAByAGUAZgBlAHIAZQBuAGMAZQBcACIAOwBcAG4AIAAgACAAIAAgACAAIAAgACAAIABcACIAbQA9ADEANAAgAFAAYQBzAHQAdQByAGUAXAAiACwAIAAwACwAIABcACIAUABhAHMAdAB1AHIAZQAgAHIAYQBuAGcAZQAgAGEAbgBkACAAcABhAGQAZABvAGMAawBcACIAOwBcAG4AIAAgACAAIAAgACAAIAAgACAAIABcACIAbQA9ADEAIABBAG4AZQByAG8AYgBpAGMAIABMAGEAZwBvAG8AbgBcACIALAAgADAALAAgAFwAIgBBAG4AYQBlAHIAbwBiAGkAYwAgAGwAYQBnAG8AbwBuAFwAIgA7AFwAbgAgACAAIAAgACAAIAAgACAAIAAgAFwAIgBtAD0AMgAgAEQAYQBpAGwAeQAgAFMAcAByAGUAYQBkADoAIABTAHUAbQBwACAAYQBuAGQAIABkAGkAcwBwAGUAcgBzAGEAbABcACIALAAgADAALAAgAFwAIgBTAHUAbQBwACAAYQBuAGQAIABkAGkAcwBwAGUAcgBzAGEAbAAgAHMAeQBzAHQAZQBtAFwAIgA7AFwAbgAgACAAIAAgACAAIAAgACAAIAAgAFwAIgBtAD0AMwAgAEQAYQBpAGwAeQAgAFMAcAByAGUAYQBkADoAIABEAHIAYQBpAG4AcwAgAHQAbwAgAHAAYQBkAGQAbwBjAGsAcwBcACIALAAgADAALAAgAFwAIgBEAHIAYQBpAG4AcwAgAHQAbwAgAHAAYQBkAGQAbwBjAGsAXAAiADsAXABuACAAIAAgACAAIAAgACAAIAAgACAAXAAiAG0APQA0ACAAUwBvAGwAaQBkACAAUwB0AG8AcgBhAGcAZQBcACIALAAgADAALgAwADAANQAsACAAXAAiAFMAbwBsAGkAZAAgAHMAdABvAHIAYQBnAGU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EAGEAaQByAHkAXwBEAHUAcgBhAHQAaQBvAG4ATwBmAFMAdABhAHkAXABuAEQAdQByAGEAdABpAG8AbgAgAG8AZgAgAHMAdABhAHkAIABmAG8AcgAgAGUAYQBjAGgAIABkAGEAaQByAHkAIABjAGEAdAB0AGwAZQAgAGkAbgBwAHUAdAAgAGMAbABhAHMAcwBcAG4ALQAtAC0ALQAtAC0ALQAtAC0ALQAtAC0ALQAtAC0ALQAtAC0ALQAtAC0ALQAtAC0ALQAtAC0ALQAtAC0ALQAtAC0ALQAtAC0ALQAtAFwAbgAqAC8AXABuAFwAbgBTAG8AdQByAGMAZQBEAGEAdABhAF8ARABhAGkAcgB5AF8ARAB1AHIAYQB0AGkAbwBuAE8AZgBTAHQAYQB5AF8AVABpAHQAbABlAFwAbgAgACAAPQBMAEEATQBCAEQAQQAoAFwAIgBEAHUAcgBhAHQAaQBvAG4AIABvAGYAIABzAHQAYQB5ACAAZgBvAHIAIABlAGEAYwBoACAAZABhAGkAcgB5ACAAYwBhAHQAdABsAGUAIABpAG4AcAB1AHQAIABjAGwAYQBzAHMAXAAiACkAOwBcAG4AXABuAFMAbwB1AHIAYwBlAEQAYQB0AGEAXwBEAGEAaQByAHkAXwBEAHUAcgBhAHQAaQBvAG4ATwBmAFMAdABhAHkAXwBWAGEAcgBpAGEAYgBsAGUAXABuACAAIAA9AEwAQQBNAEIARABBACgAXAAiAEQAXAAiACkAOwBcAG4AXABuAFMAbwB1AHIAYwBlAEQAYQB0AGEAXwBEAGEAaQByAHkAXwBEAHUAcgBhAHQAaQBvAG4ATwBmAFMAdABhAHkAXwBVAG4AaQB0AFwAbgAgACAAPQBMAEEATQBCAEQAQQAoAFwAIgBkAGEAeQBzAFwAIgApADsAXABuAFwAbgBTAG8AdQByAGMAZQBEAGEAdABhAF8ARABhAGkAcgB5AF8ARAB1AHIAYQB0AGkAbwBuAE8AZgBTAHQAYQB5AF8AUwBvAHUAcgBjAGUAXABuACAAIAA9AEwAQQBNAEIARABBACgAXAAiAFYARQBFAFIARwAgADIAMAAyADYAOgAgADQALgAzAC4AMgAuADIAXAB0AEQAQQBUAEEAIAAoAE0ARQBUAEgATwBEACAAMQAgAEEATgBEACAAMgAgAE8AUABUAEkATwBOAFMAKQBcACIAKQA7AFwAbgBcAG4AUwBvAHUAcgBjAGUARABhAHQAYQBfAEQAYQBpAHIAeQBfAEQAdQByAGEAdABpAG8AbgBPAGYAUwB0AGEAeQBfAFYAYQByAGkAYQB0AGkAbwBuAFwAbgAgACAAPQBMAEEATQBCAEQAQQAoAFwAIgBWAEEAUgBJAEEAVABJAE8ATgAgAE8ARgAgAFMATwBVAFIAQwBFADoAIABDAG8AbgB2AGUAcgB0AGUAZAAgAGYAcgBlAGUAIAB0AGUAeAB0ACAAaQBuACAAZABvAGMAdQBtAGUAbgB0ACAAdABvACAAdABhAGIAbABlACwAIABtAGEAdABjAGgAaQBuAGcAIABsAGkAdgBlAHMAdABvAGMAawAgAGMAbABhAHMAcwAgAG4AYQBtAGUAcwAuAFwAIgApADsAXABuAFwAbgBTAG8AdQByAGMAZQBEAGEAdABhAF8ARABhAGkAcgB5AF8ARAB1AHIAYQB0AGkAbwBuAE8AZgBTAHQAYQB5AF8ARABhAHQAYQBcAG4AIAAgAD0ATABBAE0AQgBEAEEAKABcAG4AIAAgACAAIABNAEEASwBFAEEAUgBSAEEAWQAoADYALAAgADMALABcAG4AIAAgACAAIAAgACAATABBAE0AQgBEAEEAKAByACwAYwAsAFwAbgAgACAAIAAgACAAIAAgACAASQBOAEQARQBYACgAewBcAG4AIAAgACAAIAAgACAAIAAgACAAIABcACIAQQBuAGkAbQBhAGwAIABjAGwAYQBzAHMAIABqAFwAIgAsACAAXAAiAEQAdQByAGEAdABpAG8AbgAgACgAdwBlAGEAbgBlAGQAKQBcACIALAAgAFwAIgBEAHUAcgBhAHQAaQBvAG4AIAAoAHAAcgBlAC0AdwBlAGEAbgBlAGQAKQBcACIAOwBcAG4AIAAgACAAIAAgACAAIAAgACAAIABcACIATQBpAGwAawBpAG4AZwAgAGMAbwB3AHMAXAAiACwAIAAzADYANQAsACAAMAA7AFwAbgAgACAAIAAgACAAIAAgACAAIAAgAFwAIgBIAGUAaQBmAGUAcgBzACAAXAB1ADAAMAAzAGUAIAAxACAAeQBlAGEAcgBcACIALAAgADMANgA1ACwAIAAwADsAXABuACAAIAAgACAAIAAgACAAIAAgACAAXAAiAEgAZQBpAGYAZQByAHMAIABcAHUAMAAwADMAYwAgADEAIAB5AGUAYQByAFwAIgAsACAAMgA4ADEALAAgADgANAA7AFwAbgAgACAAIAAgACAAIAAgACAAIAAgAFwAIgBCAHUAbABsAHMAIABcAHUAMAAwADMAZQAgADEAIAB5AGUAYQByAFwAIgAsACAAMwA2ADUALAAgADAAOwBcAG4AIAAgACAAIAAgACAAIAAgACAAIABcACIAQgB1AGwAbABzACAAXAB1ADAAMAAzAGMAIAAxACAAeQBlAGEAcgBcACIALAAgADIAOAAxACwAIAA4ADQ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QwByAHUAZABlAFAAcgBvAHQAZQBpAG4AXABuAEMAcgB1AGQAZQAgAHAAcgBvAHQAZQBpAG4AIABjAG8AbgB0AGUAbgB0ACAAbwBmACAAZgBlAGUAZAAgAGkAbgB0AGEAawBlAFwAbgAtAC0ALQAtAC0ALQAtAC0ALQAtAC0ALQAtAC0ALQAtAC0ALQAtAC0ALQAtAC0ALQAtAC0ALQAtAC0ALQAtAC0ALQAtAC0ALQAtAC0AXABuACoALwBcAG4AXABuAFMAbwB1AHIAYwBlAEQAYQB0AGEAXwBEAGEAaQByAHkAXwBDAHIAdQBkAGUAUAByAG8AdABlAGkAbgBfAFQAaQB0AGwAZQBcAG4AIAAgAD0ATABBAE0AQgBEAEEAKABcACIAQwByAHUAZABlACAAcAByAG8AdABlAGkAbgAgAGMAbwBuAHQAZQBuAHQAIABvAGYAIABmAGUAZQBkACAAaQBuAHQAYQBrAGUAXAAiACkAOwBcAG4AXABuAFMAbwB1AHIAYwBlAEQAYQB0AGEAXwBEAGEAaQByAHkAXwBDAHIAdQBkAGUAUAByAG8AdABlAGkAbgBfAFYAYQByAGkAYQBiAGwAZQBcAG4AIAAgAD0ATABBAE0AQgBEAEEAKABcACIAQwBQAFwAIgApADsAXABuAFwAbgBTAG8AdQByAGMAZQBEAGEAdABhAF8ARABhAGkAcgB5AF8AQwByAHUAZABlAFAAcgBvAHQAZQBpAG4AXwBVAG4AaQB0AFwAbgAgACAAPQBMAEEATQBCAEQAQQAoAFwAIgBmAHIAYQBjAHQAaQBvAG4AXAAiACkAOwBcAG4AXABuAFMAbwB1AHIAYwBlAEQAYQB0AGEAXwBEAGEAaQByAHkAXwBDAHIAdQBkAGUAUAByAG8AdABlAGkAbgBfAFMAbwB1AHIAYwBlAFwAbgAgACAAPQBMAEEATQBCAEQAQQAoAFwAIgBWAEUARQBSAEcAIAAyADAAMgA2ADoAIAA0AC4AMwAuADIALgAyAFwAdABEAEEAVABBACAAKABNAEUAVABIAE8ARAAgADEAIABBAE4ARAAgADIAIABPAFAAVABJAE8ATgBTACkAXAAiACkAOwBcAG4AXABuAFMAbwB1AHIAYwBlAEQAYQB0AGEAXwBEAGEAaQByAHkAXwBDAHIAdQBkAGUAUAByAG8AdABlAGkAbgBfAFYAYQByAGkAYQB0AGkAbwBuAFwAbgAgACAAPQBMAEEATQBCAEQAQQAoAFwAIgBcACIAKQA7AFwAbgBcAG4AUwBvAHUAcgBjAGUARABhAHQAYQBfAEQAYQBpAHIAeQBfAEMAcgB1AGQAZQBQAHIAbwB0AGUAaQBuAF8ARABhAHQAYQBcAG4AIAAgAD0ATABBAE0AQgBEAEEAKAAwAC4AMgAwACkAOwBcAG4AXABuAFwAbgAvACoAIABcAG4ALQAtAC0ALQAtAC0ALQAtAC0ALQAtAC0ALQAtAC0ALQAtAC0ALQAtAC0ALQAtAC0ALQAtAC0ALQAtAC0ALQAtAC0ALQAtAC0ALQAtAFwAbgBTAG8AdQByAGMAZQBEAGEAdABhAF8ARABhAGkAcgB5AF8ARAByAHkATQBhAHQAdABlAHIARABpAGcAZQBzAHQAaQBiAGkAbABpAHQAeQBcAG4ARAByAHkAIABtAGEAdAB0AGUAcgAgAGQAaQBnAGUAcwB0AGkAYgBpAGwAaQB0AHkAXABuAC0ALQAtAC0ALQAtAC0ALQAtAC0ALQAtAC0ALQAtAC0ALQAtAC0ALQAtAC0ALQAtAC0ALQAtAC0ALQAtAC0ALQAtAC0ALQAtAC0ALQBcAG4AKgAvAFwAbgBcAG4AUwBvAHUAcgBjAGUARABhAHQAYQBfAEQAYQBpAHIAeQBfAEQAcgB5AE0AYQB0AHQAZQByAEQAaQBnAGUAcwB0AGkAYgBpAGwAaQB0AHkAXwBUAGkAdABsAGUAXABuACAAIAA9AEwAQQBNAEIARABBACgAXAAiAEQAcgB5ACAAbQBhAHQAdABlAHIAIABkAGkAZwBlAHMAdABpAGIAaQBsAGkAdAB5AFwAIgApADsAXABuAFwAbgBTAG8AdQByAGMAZQBEAGEAdABhAF8ARABhAGkAcgB5AF8ARAByAHkATQBhAHQAdABlAHIARABpAGcAZQBzAHQAaQBiAGkAbABpAHQAeQBfAFYAYQByAGkAYQBiAGwAZQBcAG4AIAAgAD0ATABBAE0AQgBEAEEAKABcACIARABNAEQAXAAiACkAOwBcAG4AXABuAFMAbwB1AHIAYwBlAEQAYQB0AGEAXwBEAGEAaQByAHkAXwBEAHIAeQBNAGEAdAB0AGUAcgBEAGkAZwBlAHMAdABpAGIAaQBsAGkAdAB5AF8AVQBuAGkAdABcAG4AIAAgAD0ATABBAE0AQgBEAEEAKABcACIAZgByAGEAYwB0AGkAbwBuAFwAIgApADsAXABuAFwAbgBTAG8AdQByAGMAZQBEAGEAdABhAF8ARABhAGkAcgB5AF8ARAByAHkATQBhAHQAdABlAHIARABpAGcAZQBzAHQAaQBiAGkAbABpAHQAeQBfAFMAbwB1AHIAYwBlAFwAbgAgACAAPQBMAEEATQBCAEQAQQAoAFwAIgBWAEUARQBSAEcAIAAyADAAMgA2ADoAIAAzAC4AMwAuADIALgAyAFwAdABEAEEAVABBACAAKABNAEUAVABIAE8ARAAgADEAIABBAE4ARAAgADIAIABPAFAAVABJAE8ATgBTACkAXAAiACkAOwBcAG4AXABuAFMAbwB1AHIAYwBlAEQAYQB0AGEAXwBEAGEAaQByAHkAXwBEAHIAeQBNAGEAdAB0AGUAcgBEAGkAZwBlAHMAdABpAGIAaQBsAGkAdAB5AF8AVgBhAHIAaQBhAHQAaQBvAG4AXABuACAAIAA9AEwAQQBNAEIARABBACgAXAAiAFwAIgApADsAXABuAFwAbgBTAG8AdQByAGMAZQBEAGEAdABhAF8ARABhAGkAcgB5AF8ARAByAHkATQBhAHQAdABlAHIARABpAGcAZQBzAHQAaQBiAGkAbABpAHQAeQBfAEQAYQB0AGEAXABuACAAIAA9AEwAQQBNAEIARABBACgAMAAuADcANQApADsAXABuAFwAbgBcAG4ALwAqACAAXABuAC0ALQAtAC0ALQAtAC0ALQAtAC0ALQAtAC0ALQAtAC0ALQAtAC0ALQAtAC0ALQAtAC0ALQAtAC0ALQAtAC0ALQAtAC0ALQAtAC0ALQBcAG4AUwBvAHUAcgBjAGUARABhAHQAYQBfAEQAYQBpAHIAeQBfAE4AZQB0AEUAbgBlAHIAZwB5AFwAbgBOAGUAdAAgAGUAbgBlAHIAZwB5ACAAcgBlAHEAdQBpAHIAZQBkACAAZgBvAHIAIABtAGkAbABrACAAcAByAG8AZAB1AGMAdABpAG8AbgBcAG4ALQAtAC0ALQAtAC0ALQAtAC0ALQAtAC0ALQAtAC0ALQAtAC0ALQAtAC0ALQAtAC0ALQAtAC0ALQAtAC0ALQAtAC0ALQAtAC0ALQAtAFwAbgAqAC8AXABuAFwAbgBTAG8AdQByAGMAZQBEAGEAdABhAF8ARABhAGkAcgB5AF8ATgBlAHQARQBuAGUAcgBnAHkAXwBUAGkAdABsAGUAXABuACAAIAA9AEwAQQBNAEIARABBACgAXAAiAE4AZQB0ACAAZQBuAGUAcgBnAHkAIAByAGUAcQB1AGkAcgBlAGQAIABmAG8AcgAgAG0AaQBsAGsAIABwAHIAbwBkAHUAYwB0AGkAbwBuAFwAIgApADsAXABuAFwAbgBTAG8AdQByAGMAZQBEAGEAdABhAF8ARABhAGkAcgB5AF8ATgBlAHQARQBuAGUAcgBnAHkAXwBWAGEAcgBpAGEAYgBsAGUAXABuACAAIAA9AEwAQQBNAEIARABBACgAXAAiAE4ARQBcACIAKQA7AFwAbgBcAG4AUwBvAHUAcgBjAGUARABhAHQAYQBfAEQAYQBpAHIAeQBfAE4AZQB0AEUAbgBlAHIAZwB5AF8AVQBuAGkAdABcAG4AIAAgAD0ATABBAE0AQgBEAEEAKABcACIATQBKACAAbgBlAHQAIABlAG4AZQByAGcAeQAgAC8AIABrAGcAIABtAGkAbABrAFwAIgApADsAXABuAFwAbgBTAG8AdQByAGMAZQBEAGEAdABhAF8ARABhAGkAcgB5AF8ATgBlAHQARQBuAGUAcgBnAHkAXwBTAG8AdQByAGMAZQBcAG4AIAAgAD0ATABBAE0AQgBEAEEAKABcACIAVgBFAEUAUgBHACAAMgAwADIANgA6ACAAMwAuADMALgAyAC4AMwAgAEMATwBOAFMAVABBAE4AVABTAFwAIgApADsAXABuAFwAbgBTAG8AdQByAGMAZQBEAGEAdABhAF8ARABhAGkAcgB5AF8ATgBlAHQARQBuAGUAcgBnAHkAXwBWAGEAcgBpAGEAdABpAG8AbgBcAG4AIAAgAD0ATABBAE0AQgBEAEEAKABcACIAXAAiACkAOwBcAG4AXABuAFMAbwB1AHIAYwBlAEQAYQB0AGEAXwBEAGEAaQByAHkAXwBOAGUAdABFAG4AZQByAGcAeQBfAEQAYQB0AGEAXABuACAAIAA9AEwAQQBNAEIARABBACgAMwAuADAANQA0ACkAOwBcAG4AXABuAFwAbgAvACoAIABcAG4ALQAtAC0ALQAtAC0ALQAtAC0ALQAtAC0ALQAtAC0ALQAtAC0ALQAtAC0ALQAtAC0ALQAtAC0ALQAtAC0ALQAtAC0ALQAtAC0ALQAtAFwAbgBTAG8AdQByAGMAZQBEAGEAdABhAF8ARABhAGkAcgB5AF8ARwByAG8AcwBzAEUAbgBlAHIAZwB5AEMAbwBuAHQAZQBuAHQAXABuAEcAcgBvAHMAcwAgAGUAbgBlAHIAZwB5ACAAYwBvAG4AdABlAG4AdAAgAG8AZgAgAGYAZQBlAGQAIABkAHIAeQAgAG0AYQB0AHQAZQByAFwAbgAtAC0ALQAtAC0ALQAtAC0ALQAtAC0ALQAtAC0ALQAtAC0ALQAtAC0ALQAtAC0ALQAtAC0ALQAtAC0ALQAtAC0ALQAtAC0ALQAtAC0AXABuACoALwBcAG4AXABuAFMAbwB1AHIAYwBlAEQAYQB0AGEAXwBEAGEAaQByAHkAXwBHAHIAbwBzAHMARQBuAGUAcgBnAHkAQwBvAG4AdABlAG4AdABfAFQAaQB0AGwAZQBcAG4AIAAgAD0ATABBAE0AQgBEAEEAKABcACIARwByAG8AcwBzACAAZQBuAGUAcgBnAHkAIABjAG8AbgB0AGUAbgB0ACAAbwBmACAAZgBlAGUAZAAgAGQAcgB5ACAAbQBhAHQAdABlAHIAXAAiACkAOwBcAG4AXABuAFMAbwB1AHIAYwBlAEQAYQB0AGEAXwBEAGEAaQByAHkAXwBHAHIAbwBzAHMARQBuAGUAcgBnAHkAQwBvAG4AdABlAG4AdABfAFYAYQByAGkAYQBiAGwAZQBcAG4AIAAgAD0ATABBAE0AQgBEAEEAKABcACIARwBFAEMAXAAiACkAOwBcAG4AXABuAFMAbwB1AHIAYwBlAEQAYQB0AGEAXwBEAGEAaQByAHkAXwBHAHIAbwBzAHMARQBuAGUAcgBnAHkAQwBvAG4AdABlAG4AdABfAFUAbgBpAHQAXABuACAAIAA9AEwAQQBNAEIARABBACgAXAAiAE0ASgAgAC8AIABrAGcARABNAFwAIgApADsAXABuAFwAbgBTAG8AdQByAGMAZQBEAGEAdABhAF8ARABhAGkAcgB5AF8ARwByAG8AcwBzAEUAbgBlAHIAZwB5AEMAbwBuAHQAZQBuAHQAXwBTAG8AdQByAGMAZQBcAG4AIAAgAD0ATABBAE0AQgBEAEEAKABcACIAVgBFAEUAUgBHACAAMgAwADIANgA6ACAAMwAuADMALgAyAC4AMwAgAEMATwBOAFMAVABBAE4AVABTAFwAIgApADsAXABuAFwAbgBTAG8AdQByAGMAZQBEAGEAdABhAF8ARABhAGkAcgB5AF8ARwByAG8AcwBzAEUAbgBlAHIAZwB5AEMAbwBuAHQAZQBuAHQAXwBWAGEAcgBpAGEAdABpAG8AbgBcAG4AIAAgAD0ATABBAE0AQgBEAEEAKABcACIAXAAiACkAOwBcAG4AXABuAFMAbwB1AHIAYwBlAEQAYQB0AGEAXwBEAGEAaQByAHkAXwBHAHIAbwBzAHMARQBuAGUAcgBnAHkAQwBvAG4AdABlAG4AdABfAEQAYQB0AGEAXABuACAAIAA9AEwAQQBNAEIARABBACgAMQA4AC4ANAApADsAXABuAFwAbgBcAG4ALwAqACAAXABuAC0ALQAtAC0ALQAtAC0ALQAtAC0ALQAtAC0ALQAtAC0ALQAtAC0ALQAtAC0ALQAtAC0ALQAtAC0ALQAtAC0ALQAtAC0ALQAtAC0ALQBcAG4AUwBvAHUAcgBjAGUARABhAHQAYQBfAEQAYQBpAHIAeQBfAEUAZgBmAGkAYwBpAGUAbgBjAHkATwBmAFUAcwBlAE8AZgBNAGUAdABhAGIAbwBsAGkAegBhAGIAbABlAEUAbgBlAHIAZwB5AFwAbgBFAGYAZgBpAGMAaQBlAG4AYwB5ACAAbwBmACAAdQBzAGUAIABvAGYAIABtAGUAdABhAGIAbwBsAGkAegBhAGIAbABlACAAZQBuAGUAcgBnAHkAIABmAG8AcgAgAG0AaQBsAGsAIABwAHIAbwBkAHUAYwB0AGkAbwBuAFwAbgAtAC0ALQAtAC0ALQAtAC0ALQAtAC0ALQAtAC0ALQAtAC0ALQAtAC0ALQAtAC0ALQAtAC0ALQAtAC0ALQAtAC0ALQAtAC0ALQAtAC0AXABuACoALwBcAG4AXABuAFMAbwB1AHIAYwBlAEQAYQB0AGEAXwBEAGEAaQByAHkAXwBFAGYAZgBpAGMAaQBlAG4AYwB5AE8AZgBVAHMAZQBPAGYATQBlAHQAYQBiAG8AbABpAHoAYQBiAGwAZQBFAG4AZQByAGcAeQBfAFQAaQB0AGwAZQBcAG4AIAAgAD0ATABBAE0AQgBEAEEAKABcACIARQBmAGYAaQBjAGkAZQBuAGMAeQAgAG8AZgAgAHUAcwBlACAAbwBmACAAbQBlAHQAYQBiAG8AbABpAHoAYQBiAGwAZQAgAGUAbgBlAHIAZwB5ACAAZgBvAHIAIABtAGkAbABrACAAcAByAG8AZAB1AGMAdABpAG8AbgBcACIAKQA7AFwAbgBcAG4AUwBvAHUAcgBjAGUARABhAHQAYQBfAEQAYQBpAHIAeQBfAEUAZgBmAGkAYwBpAGUAbgBjAHkATwBmAFUAcwBlAE8AZgBNAGUAdABhAGIAbwBsAGkAegBhAGIAbABlAEUAbgBlAHIAZwB5AF8AVgBhAHIAaQBhAGIAbABlAFwAbgAgACAAPQBMAEEATQBCAEQAQQAoAFwAIgBrAFwAIgApADsAXABuAFwAbgBTAG8AdQByAGMAZQBEAGEAdABhAF8ARABhAGkAcgB5AF8ARQBmAGYAaQBjAGkAZQBuAGMAeQBPAGYAVQBzAGUATwBmAE0AZQB0AGEAYgBvAGwAaQB6AGEAYgBsAGUARQBuAGUAcgBnAHkAXwBVAG4AaQB0AFwAbgAgACAAPQBMAEEATQBCAEQAQQAoAFwAIgBmAHIAYQBjAHQAaQBvAG4AXAAiACkAOwBcAG4AXABuAFMAbwB1AHIAYwBlAEQAYQB0AGEAXwBEAGEAaQByAHkAXwBFAGYAZgBpAGMAaQBlAG4AYwB5AE8AZgBVAHMAZQBPAGYATQBlAHQAYQBiAG8AbABpAHoAYQBiAGwAZQBFAG4AZQByAGcAeQBfAFMAbwB1AHIAYwBlAFwAbgAgACAAPQBMAEEATQBCAEQAQQAoAFwAIgBWAEUARQBSAEcAIAAyADAAMgA2ADoAIAAzAC4AMwAuADIALgAzACAAQwBPAE4AUwBUAEEATgBUAFMAXAAiACkAOwBcAG4AXABuAFMAbwB1AHIAYwBlAEQAYQB0AGEAXwBEAGEAaQByAHkAXwBFAGYAZgBpAGMAaQBlAG4AYwB5AE8AZgBVAHMAZQBPAGYATQBlAHQAYQBiAG8AbABpAHoAYQBiAGwAZQBFAG4AZQByAGcAeQBfAFYAYQByAGkAYQB0AGkAbwBuAFwAbgAgACAAPQBMAEEATQBCAEQAQQAoAFwAIgBcACIAKQA7AFwAbgBcAG4AUwBvAHUAcgBjAGUARABhAHQAYQBfAEQAYQBpAHIAeQBfAEUAZgBmAGkAYwBpAGUAbgBjAHkATwBmAFUAcwBlAE8AZgBNAGUAdABhAGIAbwBsAGkAegBhAGIAbABlAEUAbgBlAHIAZwB5AF8ARABhAHQAYQBcAG4AIAAgAD0ATABBAE0AQgBEAEEAKAAwAC4ANgAwACkAOwBcAG4AXABuAFwAbgAvACoAIABcAG4ALQAtAC0ALQAtAC0ALQAtAC0ALQAtAC0ALQAtAC0ALQAtAC0ALQAtAC0ALQAtAC0ALQAtAC0ALQAtAC0ALQAtAC0ALQAtAC0ALQAtAFwAbgBTAG8AdQByAGMAZQBEAGEAdABhAF8ARABhAGkAcgB5AF8AQQBzAGgAQwBvAG4AdABlAG4AdABcAG4AQQBzAGgAIABjAG8AbgB0AGUAbgB0ACAAbwBmACAAbQBhAG4AdQByAGUAXABuAC0ALQAtAC0ALQAtAC0ALQAtAC0ALQAtAC0ALQAtAC0ALQAtAC0ALQAtAC0ALQAtAC0ALQAtAC0ALQAtAC0ALQAtAC0ALQAtAC0ALQBcAG4AKgAvAFwAbgBcAG4AUwBvAHUAcgBjAGUARABhAHQAYQBfAEQAYQBpAHIAeQBfAEEAcwBoAEMAbwBuAHQAZQBuAHQAXwBUAGkAdABsAGUAXABuACAAIAA9AEwAQQBNAEIARABBACgAXAAiAEEAcwBoACAAYwBvAG4AdABlAG4AdAAgAG8AZgAgAG0AYQBuAHUAcgBlAFwAIgApADsAXABuAFwAbgBTAG8AdQByAGMAZQBEAGEAdABhAF8ARABhAGkAcgB5AF8AQQBzAGgAQwBvAG4AdABlAG4AdABfAFYAYQByAGkAYQBiAGwAZQBcAG4AIAAgAD0ATABBAE0AQgBEAEEAKABcACIAQQBcACIAKQA7AFwAbgBcAG4AUwBvAHUAcgBjAGUARABhAHQAYQBfAEQAYQBpAHIAeQBfAEEAcwBoAEMAbwBuAHQAZQBuAHQAXwBVAG4AaQB0AFwAbgAgACAAPQBMAEEATQBCAEQAQQAoAFwAIgBmAHIAYQBjAHQAaQBvAG4AXAAiACkAOwBcAG4AXABuAFMAbwB1AHIAYwBlAEQAYQB0AGEAXwBEAGEAaQByAHkAXwBBAHMAaABDAG8AbgB0AGUAbgB0AF8AUwBvAHUAcgBjAGUAXABuACAAIAA9AEwAQQBNAEIARABBACgAXAAiAFYARQBFAFIARwAgADIAMAAyADYAOgAgADQALgAzAC4AMgAuADMAIABDAE8ATgBTAFQAQQBOAFQAUwBcACIAKQA7AFwAbgBcAG4AUwBvAHUAcgBjAGUARABhAHQAYQBfAEQAYQBpAHIAeQBfAEEAcwBoAEMAbwBuAHQAZQBuAHQAXwBWAGEAcgBpAGEAdABpAG8AbgBcAG4AIAAgAD0ATABBAE0AQgBEAEEAKABcACIAXAAiACkAOwBcAG4AXABuAFMAbwB1AHIAYwBlAEQAYQB0AGEAXwBEAGEAaQByAHkAXwBBAHMAaABDAG8AbgB0AGUAbgB0AF8ARABhAHQAYQBcAG4AIAAgAD0ATABBAE0AQgBEAEEAKAAwAC4AMAA4ACkAOwBcAG4AXABuAFwAbgAvACoAIABcAG4ALQAtAC0ALQAtAC0ALQAtAC0ALQAtAC0ALQAtAC0ALQAtAC0ALQAtAC0ALQAtAC0ALQAtAC0ALQAtAC0ALQAtAC0ALQAtAC0ALQAtAFwAbgBTAG8AdQByAGMAZQBEAGEAdABhAF8ARABhAGkAcgB5AF8ATQBlAHQAaABhAG4AZQBFAG0AaQBzAHMAaQBvAG4AcwBQAG8AdABlAG4AdABpAGEAbABcAG4AQQBzAGgAIABjAG8AbgB0AGUAbgB0ACAAbwBmACAAbQBhAG4AdQByAGUAXABuAC0ALQAtAC0ALQAtAC0ALQAtAC0ALQAtAC0ALQAtAC0ALQAtAC0ALQAtAC0ALQAtAC0ALQAtAC0ALQAtAC0ALQAtAC0ALQAtAC0ALQBcAG4AKgAvAFwAbgBcAG4AUwBvAHUAcgBjAGUARABhAHQAYQBfAEQAYQBpAHIAeQBfAE0AZQB0AGgAYQBuAGUARQBtAGkAcwBzAGkAbwBuAHMAUABvAHQAZQBuAHQAaQBhAGwAXwBUAGkAdABsAGUAXABuACAAIAA9AEwAQQBNAEIARABBACgAXAAiAE0AZQB0AGgAYQBuAGUAIABlAG0AaQBzAHMAaQBvAG4AcwAgAHAAbwB0AGUAbgB0AGkAYQBsAFwAIgApADsAXABuAFwAbgBTAG8AdQByAGMAZQBEAGEAdABhAF8ARABhAGkAcgB5AF8ATQBlAHQAaABhAG4AZQBFAG0AaQBzAHMAaQBvAG4AcwBQAG8AdABlAG4AdABpAGEAbABfAFYAYQByAGkAYQBiAGwAZQBcAG4AIAAgAD0ATABBAE0AQgBEAEEAKABcACIAQgBfAG8AXAAiACkAOwBcAG4AXABuAFMAbwB1AHIAYwBlAEQAYQB0AGEAXwBEAGEAaQByAHkAXwBNAGUAdABoAGEAbgBlAEUAbQBpAHMAcwBpAG8AbgBzAFAAbwB0AGUAbgB0AGkAYQBsAF8AVQBuAGkAdABcAG4AIAAgAD0ATABBAE0AQgBEAEEAKABcACIAbQAzACAAQwBIADQALwBrAGcAVgBTAFwAIgApADsAXABuAFwAbgBTAG8AdQByAGMAZQBEAGEAdABhAF8ARABhAGkAcgB5AF8ATQBlAHQAaABhAG4AZQBFAG0AaQBzAHMAaQBvAG4AcwBQAG8AdABlAG4AdABpAGEAbABfAFMAbwB1AHIAYwBlAFwAbgAgACAAPQBMAEEATQBCAEQAQQAoAFwAIgBWAEUARQBSAEcAIAAyADAAMgA2ADoAIAA0AC4AMwAuADIALgAzACAAQwBPAE4AUwBUAEEATgBUAFMAXAAiACkAOwBcAG4AXABuAFMAbwB1AHIAYwBlAEQAYQB0AGEAXwBEAGEAaQByAHkAXwBNAGUAdABoAGEAbgBlAEUAbQBpAHMAcwBpAG8AbgBzAFAAbwB0AGUAbgB0AGkAYQBsAF8AVgBhAHIAaQBhAHQAaQBvAG4AXABuACAAIAA9AEwAQQBNAEIARABBACgAXAAiAFwAIgApADsAXABuAFwAbgBTAG8AdQByAGMAZQBEAGEAdABhAF8ARABhAGkAcgB5AF8ATQBlAHQAaABhAG4AZQBFAG0AaQBzAHMAaQBvAG4AcwBQAG8AdABlAG4AdABpAGEAbABfAEQAYQB0AGEAXABuACAAIAA9AEwAQQBNAEIARABBACgAMAAuADIANAApADsAXABuAFwAbgAvACoAIABcAG4ALQAtAC0ALQAtAC0ALQAtAC0ALQAtAC0ALQAtAC0ALQAtAC0ALQAtAC0ALQAtAC0ALQAtAC0ALQAtAC0ALQAtAC0ALQAtAC0ALQAtAFwAbgBTAG8AdQByAGMAZQBEAGEAdABhAF8ARABhAGkAcgB5AF8ARQBtAGkAcwBzAGkAbwBuAEYAYQBjAHQAbwByAEYAbwByAEwAZQBhAGMAaABpAG4AZwBBAG4AZABSAHUAbgBvAGYAZgBcAG4ARQBtAGkAcwBzAGkAbwBuACAAZgBhAGMAdABvAHIAIABmAG8AcgAgAGwAZQBhAGMAaABpAG4AZwAgAGEAbgBkACAAcgB1AG4AbwBmAGYAXABuAC0ALQAtAC0ALQAtAC0ALQAtAC0ALQAtAC0ALQAtAC0ALQAtAC0ALQAtAC0ALQAtAC0ALQAtAC0ALQAtAC0ALQAtAC0ALQAtAC0ALQBcAG4AKgAvAFwAbgBcAG4AUwBvAHUAcgBjAGUARABhAHQAYQBfAEQAYQBpAHIAeQBfAEUAbQBpAHMAcwBpAG8AbgBGAGEAYwB0AG8AcgBGAG8AcgBMAGUAYQBjAGgAaQBuAGcAQQBuAGQAUgB1AG4AbwBmAGYAXwBUAGkAdABsAGUAXABuACAAIAA9AEwAQQBNAEIARABBACgAXAAiAEUAbQBpAHMAcwBpAG8AbgAgAGYAYQBjAHQAbwByACAAZgBvAHIAIABsAGUAYQBjAGgAaQBuAGcAIABhAG4AZAAgAHIAdQBuAG8AZgBmAFwAIgApADsAXABuAFwAbgBTAG8AdQByAGMAZQBEAGEAdABhAF8ARABhAGkAcgB5AF8ARQBtAGkAcwBzAGkAbwBuAEYAYQBjAHQAbwByAEYAbwByAEwAZQBhAGMAaABpAG4AZwBBAG4AZABSAHUAbgBvAGYAZgBfAFYAYQByAGkAYQBiAGwAZQBcAG4AIAAgAD0ATABBAE0AQgBEAEEAKABcACIARQBGAF8AbABlAGEAYwBoAFwAIgApADsAXABuAFwAbgBTAG8AdQByAGMAZQBEAGEAdABhAF8ARABhAGkAcgB5AF8ARQBtAGkAcwBzAGkAbwBuAEYAYQBjAHQAbwByAEYAbwByAEwAZQBhAGMAaABpAG4AZwBBAG4AZABSAHUAbgBvAGYAZgBfAFUAbgBpAHQAXABuACAAIAA9AEwAQQBNAEIARABBACgAXAAiAGsAZwAgAE4AMgBPAC0ATgAvAGsAZwAgAE4AXAAiACkAOwBcAG4AXABuAFMAbwB1AHIAYwBlAEQAYQB0AGEAXwBEAGEAaQByAHkAXwBFAG0AaQBzAHMAaQBvAG4ARgBhAGMAdABvAHIARgBvAHIATABlAGEAYwBoAGkAbgBnAEEAbgBkAFIAdQBuAG8AZgBmAF8AUwBvAHUAcgBjAGUAXABuACAAIAA9AEwAQQBNAEIARABBACgAXAAiAFYARQBFAFIARwAgADIAMAAyADYAOgAgADQALgAzAC4AMgAuADMAIABDAE8ATgBTAFQAQQBOAFQAUwBcACIAKQA7AFwAbgBcAG4AUwBvAHUAcgBjAGUARABhAHQAYQBfAEQAYQBpAHIAeQBfAEUAbQBpAHMAcwBpAG8AbgBGAGEAYwB0AG8AcgBGAG8AcgBMAGUAYQBjAGgAaQBuAGcAQQBuAGQAUgB1AG4AbwBmAGYAXwBWAGEAcgBpAGEAdABpAG8AbgBcAG4AIAAgAD0ATABBAE0AQgBEAEEAKABcACIAXAAiACkAOwBcAG4AXABuAFMAbwB1AHIAYwBlAEQAYQB0AGEAXwBEAGEAaQByAHkAXwBFAG0AaQBzAHMAaQBvAG4ARgBhAGMAdABvAHIARgBvAHIATABlAGEAYwBoAGkAbgBnAEEAbgBkAFIAdQBuAG8AZgBmAF8ARABhAHQAYQBcAG4AIAAgAD0ATABBAE0AQgBEAEEAKAAwAC4AMAAxADEAKQA7AFwAbgBcAG4AXABuAC8AKgAgAFwAbgAtAC0ALQAtAC0ALQAtAC0ALQAtAC0ALQAtAC0ALQAtAC0ALQAtAC0ALQAtAC0ALQAtAC0ALQAtAC0ALQAtAC0ALQAtAC0ALQAtAC0AXABuAFMAbwB1AHIAYwBlAEQAYQB0AGEAXwBEAGEAaQByAHkAXwBGAHIAYQBjAHQAaQBvAG4ATwBmAE4AaQB0AHIAbwBnAGUAbgBMAG8AcwB0AFQAaAByAG8AdQBnAGgATABlAGEAYwBoAGkAbgBnAEEAbgBkAFIAdQBuAG8AZgBmAFMAbwBsAGkAZABTAHQAbwByAGEAZwBlAFwAbgBGAHIAYQBjAHQAaQBvAG4AIABvAGYAIABuAGkAdAByAG8AZwBlAG4AIABsAG8AcwB0ACAAdABoAHIAbwB1AGcAaAAgAGwAZQBhAGMAaABpAG4AZwAgAGEAbgBkACAAcgB1AG4AbwBmAGYAIABmAG8AcgAgAHMAbwBsAGkAZAAgAHMAdABvAHIAYQBnAGUAIABNAE0AUwAgAG8AbgBsAHkAIAAoAGYAcgBhAGMAdABpAG8AbgApAFwAbgAtAC0ALQAtAC0ALQAtAC0ALQAtAC0ALQAtAC0ALQAtAC0ALQAtAC0ALQAtAC0ALQAtAC0ALQAtAC0ALQAtAC0ALQAtAC0ALQAtAC0AXABuACoALwBcAG4AXABuAFMAbwB1AHIAYwBlAEQAYQB0AGEAXwBEAGEAaQByAHkAXwBGAHIAYQBjAHQAaQBvAG4ATwBmAE4AaQB0AHIAbwBnAGUAbgBMAG8AcwB0AFQAaAByAG8AdQBnAGgATABlAGEAYwBoAGkAbgBnAEEAbgBkAFIAdQBuAG8AZgBmAFMAbwBsAGkAZABTAHQAbwByAGEAZwBlAF8AVABpAHQAbABlAFwAbgAgACAAPQBMAEEATQBCAEQAQQAoAFwAIgBGAHIAYQBjAHQAaQBvAG4AIABvAGYAIABuAGkAdAByAG8AZwBlAG4AIABsAG8AcwB0ACAAdABoAHIAbwB1AGcAaAAgAGwAZQBhAGMAaABpAG4AZwAgAGEAbgBkACAAcgB1AG4AbwBmAGYAIABmAG8AcgAgAHMAbwBsAGkAZAAgAHMAdABvAHIAYQBnAGUAIABNAE0AUwAgAG8AbgBsAHkAXAAiACkAOwBcAG4AXABuAFMAbwB1AHIAYwBlAEQAYQB0AGEAXwBEAGEAaQByAHkAXwBGAHIAYQBjAHQAaQBvAG4ATwBmAE4AaQB0AHIAbwBnAGUAbgBMAG8AcwB0AFQAaAByAG8AdQBnAGgATABlAGEAYwBoAGkAbgBnAEEAbgBkAFIAdQBuAG8AZgBmAFMAbwBsAGkAZABTAHQAbwByAGEAZwBlAF8AVgBhAHIAaQBhAGIAbABlAFwAbgAgACAAPQBMAEEATQBCAEQAQQAoAFwAIgBGAHIAYQBjAF8ATABFAEEAQwBIAF8ATQBTAFwAIgApADsAXABuAFwAbgBTAG8AdQByAGMAZQBEAGEAdABhAF8ARABhAGkAcgB5AF8ARgByAGEAYwB0AGkAbwBuAE8AZgBOAGkAdAByAG8AZwBlAG4ATABvAHMAdABUAGgAcgBvAHUAZwBoAEwAZQBhAGMAaABpAG4AZwBBAG4AZABSAHUAbgBvAGYAZgBTAG8AbABpAGQAUwB0AG8AcgBhAGcAZQBfAFUAbgBpAHQAXABuACAAIAA9AEwAQQBNAEIARABBACgAXAAiAEYAcgBhAGMAdABpAG8AbgBcACIAKQA7AFwAbgBcAG4AUwBvAHUAcgBjAGUARABhAHQAYQBfAEQAYQBpAHIAeQBfAEYAcgBhAGMAdABpAG8AbgBPAGYATgBpAHQAcgBvAGcAZQBuAEwAbwBzAHQAVABoAHIAbwB1AGcAaABMAGUAYQBjAGgAaQBuAGcAQQBuAGQAUgB1AG4AbwBmAGYAUwBvAGwAaQBkAFMAdABvAHIAYQBnAGUAXwBTAG8AdQByAGMAZQBcAG4AIAAgAD0ATABBAE0AQgBEAEEAKABcACIAVgBFAEUAUgBHACAAMgAwADIANgA6ACAANAAuADMALgAyAC4AMwAgAEMATwBOAFMAVABBAE4AVABTAFwAIgApADsAXABuAFwAbgBTAG8AdQByAGMAZQBEAGEAdABhAF8ARABhAGkAcgB5AF8ARgByAGEAYwB0AGkAbwBuAE8AZgBOAGkAdAByAG8AZwBlAG4ATABvAHMAdABUAGgAcgBvAHUAZwBoAEwAZQBhAGMAaABpAG4AZwBBAG4AZABSAHUAbgBvAGYAZgBTAG8AbABpAGQAUwB0AG8AcgBhAGcAZQBfAFYAYQByAGkAYQB0AGkAbwBuAFwAbgAgACAAPQBMAEEATQBCAEQAQQAoAFwAIgBcACIAKQA7AFwAbgBcAG4AUwBvAHUAcgBjAGUARABhAHQAYQBfAEQAYQBpAHIAeQBfAEYAcgBhAGMAdABpAG8AbgBPAGYATgBpAHQAcgBvAGcAZQBuAEwAbwBzAHQAVABoAHIAbwB1AGcAaABMAGUAYQBjAGgAaQBuAGcAQQBuAGQAUgB1AG4AbwBmAGYAUwBvAGwAaQBkAFMAdABvAHIAYQBnAGUAXwBEAGEAdABhAFwAbgAgACAAPQBMAEEATQBCAEQAQQAoADAALgAwADIAKQA7AFwAbgBcAG4AXABuAC8AKgAgAFwAbgAtAC0ALQAtAC0ALQAtAC0ALQAtAC0ALQAtAC0ALQAtAC0ALQAtAC0ALQAtAC0ALQAtAC0ALQAtAC0ALQAtAC0ALQAtAC0ALQAtAC0AXABuAFMAbwB1AHIAYwBlAEQAYQB0AGEAXwBEAGEAaQByAHkAXwBGAHIAYQBjAHQAaQBvAG4ATwBmAE4AaQB0AHIAbwBnAGUAbgBMAG8AcwB0AFQAaAByAG8AdQBnAGgATABlAGEAYwBoAGkAbgBnAEEAbgBkAFIAdQBuAG8AZgBmAFwAbgBEAGUAZgBhAHUAbAB0ACAAZgByAGEAYwB0AGkAbwBuACAAbwBmACAATgAgAHQAaABhAHQAIABpAHMAIABsAG8AcwB0ACAAdABoAHIAbwB1AGcAaAAgAGwAZQBhAGMAaABpAG4AZwAgAGEAbgBkACAAcgB1AG4AbwBmAGYAIAB3AGgAZQBuACAAbQBhAG4AdQByAGUAIABpAHMAIABlAHgAYwByAGUAdABlAGQAIAB0AG8AIABwAGEAcwB0AHUAcgBlACwAIAByAGEAbgBnAGUAIABhAG4AZAAgAHAAYQBkAGQAbwBjAGsAIAAoAG0APQAxADQAKQAuACAAXABuAC0ALQAtAC0ALQAtAC0ALQAtAC0ALQAtAC0ALQAtAC0ALQAtAC0ALQAtAC0ALQAtAC0ALQAtAC0ALQAtAC0ALQAtAC0ALQAtAC0ALQBcAG4AKgAvAFwAbgBcAG4AUwBvAHUAcgBjAGUARABhAHQAYQBfAEQAYQBpAHIAeQBfAEYAcgBhAGMAdABpAG8AbgBPAGYATgBpAHQAcgBvAGcAZQBuAEwAbwBzAHQAVABoAHIAbwB1AGcAaABMAGUAYQBjAGgAaQBuAGcAQQBuAGQAUgB1AG4AbwBmAGYAXwBUAGkAdABsAGUAXABuACAAIAA9AEwAQQBNAEIARABBACgAXAAiAEQAZQBmAGEAdQBsAHQAIABmAHIAYQBjAHQAaQBvAG4AIABvAGYAIABOACAAdABoAGEAdAAgAGkAcwAgAGwAbwBzAHQAIAB0AGgAcgBvAHUAZwBoACAAbABlAGEAYwBoAGkAbgBnACAAYQBuAGQAIAByAHUAbgBvAGYAZgAgAHcAaABlAG4AIABtAGEAbgB1AHIAZQAgAGkAcwAgAGUAeABjAHIAZQB0AGUAZAAgAHQAbwAgAHAAYQBzAHQAdQByAGUALAAgAHIAYQBuAGcAZQAgAGEAbgBkACAAcABhAGQAZABvAGMAawAgACgAbQA9ADEANAApAC4AXAAiACkAOwBcAG4AXABuAFMAbwB1AHIAYwBlAEQAYQB0AGEAXwBEAGEAaQByAHkAXwBGAHIAYQBjAHQAaQBvAG4ATwBmAE4AaQB0AHIAbwBnAGUAbgBMAG8AcwB0AFQAaAByAG8AdQBnAGgATABlAGEAYwBoAGkAbgBnAEEAbgBkAFIAdQBuAG8AZgBmAF8AVgBhAHIAaQBhAGIAbABlAFwAbgAgACAAPQBMAEEATQBCAEQAQQAoAFwAIgBGAHIAYQBjAF8ATABFAEEAQwBIAF8ATQBTAFwAIgApADsAXABuAFwAbgBTAG8AdQByAGMAZQBEAGEAdABhAF8ARABhAGkAcgB5AF8ARgByAGEAYwB0AGkAbwBuAE8AZgBOAGkAdAByAG8AZwBlAG4ATABvAHMAdABUAGgAcgBvAHUAZwBoAEwAZQBhAGMAaABpAG4AZwBBAG4AZABSAHUAbgBvAGYAZgBfAFUAbgBpAHQAXABuACAAIAA9AEwAQQBNAEIARABBACgAXAAiAEYAcgBhAGMAdABpAG8AbgBcACIAKQA7AFwAbgBcAG4AUwBvAHUAcgBjAGUARABhAHQAYQBfAEQAYQBpAHIAeQBfAEYAcgBhAGMAdABpAG8AbgBPAGYATgBpAHQAcgBvAGcAZQBuAEwAbwBzAHQAVABoAHIAbwB1AGcAaABMAGUAYQBjAGgAaQBuAGcAQQBuAGQAUgB1AG4AbwBmAGYAXwBTAG8AdQByAGMAZQBcAG4AIAAgAD0ATABBAE0AQgBEAEEAKABcACIAVgBFAEUAUgBHACAAMgAwADIANgA6ACAANAAuADMALgAyAC4AMwAgAEMATwBOAFMAVABBAE4AVABTAFwAIgApADsAXABuAFwAbgBTAG8AdQByAGMAZQBEAGEAdABhAF8ARABhAGkAcgB5AF8ARgByAGEAYwB0AGkAbwBuAE8AZgBOAGkAdAByAG8AZwBlAG4ATABvAHMAdABUAGgAcgBvAHUAZwBoAEwAZQBhAGMAaABpAG4AZwBBAG4AZABSAHUAbgBvAGYAZgBfAFYAYQByAGkAYQB0AGkAbwBuAFwAbgAgACAAPQBMAEEATQBCAEQAQQAoAFwAIgBcACIAKQA7AFwAbgBcAG4AUwBvAHUAcgBjAGUARABhAHQAYQBfAEQAYQBpAHIAeQBfAEYAcgBhAGMAdABpAG8AbgBPAGYATgBpAHQAcgBvAGcAZQBuAEwAbwBzAHQAVABoAHIAbwB1AGcAaABMAGUAYQBjAGgAaQBuAGcAQQBuAGQAUgB1AG4AbwBmAGYAXwBEAGEAdABhAFwAbgAgACAAPQBMAEEATQBCAEQAQQAoADAALgAyADQAKQA7AFwAbgBcAG4AXABuAC8AKgAgAFwAbgAtAC0ALQAtAC0ALQAtAC0ALQAtAC0ALQAtAC0ALQAtAC0ALQAtAC0ALQAtAC0ALQAtAC0ALQAtAC0ALQAtAC0ALQAtAC0ALQAtAC0AXABuAFMAbwB1AHIAYwBlAEQAYQB0AGEAXwBEAGEAaQByAHkAXwBGAHIAYQBjAEcAQQBTAE0AUwBvAGkAbABcAG4ARgByAGEAYwB0AGkAbwBuACAAbwBmACAAbgBpAHQAcgBvAGcAZQBuACAAdgBvAGwAYQB0AGkAbABpAHoAZQBkACAAZgByAG8AbQAgAHUAcgBpAG4AZQAgAGEAbgBkACAAZgBhAGUAYwBlAHMAIABkAGUAcABvAHMAaQB0AGUAZAAgAG8AbgAgAHAAYQBzAHQAdQByAGUALgBcAG4ALQAtAC0ALQAtAC0ALQAtAC0ALQAtAC0ALQAtAC0ALQAtAC0ALQAtAC0ALQAtAC0ALQAtAC0ALQAtAC0ALQAtAC0ALQAtAC0ALQAtAFwAbgAqAC8AXABuAFwAbgBTAG8AdQByAGMAZQBEAGEAdABhAF8ARABhAGkAcgB5AF8ARgByAGEAYwBHAEEAUwBNAFMAbwBpAGwAXwBUAGkAdABsAGUAXABuACAAIAA9AEwAQQBNAEIARABBACgAXAAiAEYAcgBhAGMAdABpAG8AbgAgAG8AZgAgAG4AaQB0AHIAbwBnAGUAbgAgAHYAbwBsAGEAdABpAGwAaQB6AGUAZAAgAGYAcgBvAG0AIAB1AHIAaQBuAGUAIABhAG4AZAAgAGYAYQBlAGMAZQBzACAAZABlAHAAbwBzAGkAdABlAGQAIABvAG4AIABwAGEAcwB0AHUAcgBlAFwAIgApADsAXABuAFwAbgBTAG8AdQByAGMAZQBEAGEAdABhAF8ARABhAGkAcgB5AF8ARgByAGEAYwBHAEEAUwBNAFMAbwBpAGwAXwBWAGEAcgBpAGEAYgBsAGUAXABuACAAIAA9AEwAQQBNAEIARABBACgAXAAiAEYAcgBhAGMARwBBAFMATQBzAG8AaQBsAFwAIgApADsAXABuAFwAbgBTAG8AdQByAGMAZQBEAGEAdABhAF8ARABhAGkAcgB5AF8ARgByAGEAYwBHAEEAUwBNAFMAbwBpAGwAXwBVAG4AaQB0AFwAbgAgACAAPQBMAEEATQBCAEQAQQAoAFwAIgAoAGsAZwAgAE4ASAAzAC0ATgAgACsAIABOAE8AeAAtAE4AKQAvAGsAZwAgAE4AXAAiACkAOwBcAG4AXABuAFMAbwB1AHIAYwBlAEQAYQB0AGEAXwBEAGEAaQByAHkAXwBGAHIAYQBjAEcAQQBTAE0AUwBvAGkAbABfAFMAbwB1AHIAYwBlAFwAbgAgACAAPQBMAEEATQBCAEQAQQAoAFwAIgBWAEUARQBSAEcAIAAyADAAMgA2ADoAIAA0AC4AMwAuADIALgAzACAAQwBPAE4AUwBUAEEATgBUAFMAXAAiACkAOwBcAG4AXABuAFMAbwB1AHIAYwBlAEQAYQB0AGEAXwBEAGEAaQByAHkAXwBGAHIAYQBjAEcAQQBTAE0AUwBvAGkAbABfAFYAYQByAGkAYQB0AGkAbwBuAFwAbgAgACAAPQBMAEEATQBCAEQAQQAoAFwAIgBcACIAKQA7AFwAbgBcAG4AUwBvAHUAcgBjAGUARABhAHQAYQBfAEQAYQBpAHIAeQBfAEYAcgBhAGMARwBBAFMATQBTAG8AaQBsAF8ARABhAHQAYQBcAG4AIAAgAD0ATABBAE0AQgBEAEEAKAAwAC4AMgAxACkAOwBcAG4AXABuAFwAbgAvACoAIABcAG4ALQAtAC0ALQAtAC0ALQAtAC0ALQAtAC0ALQAtAC0ALQAtAC0ALQAtAC0ALQAtAC0ALQAtAC0ALQAtAC0ALQAtAC0ALQAtAC0ALQAtAFwAbgBTAG8AdQByAGMAZQBEAGEAdABhAF8ARABhAGkAcgB5AF8ARgBhAHQAQwBvAG4AdABlAG4AdABJAG4ATQBpAGwAawBcAG4ARgBhAHQAIABjAG8AbgB0AGUAbgB0ACAAaQBuACAAZgBhAHQAIABhAG4AZAAgAHAAcgBvAHQAZQBpAG4AIABjAG8AcgByAGUAYwB0AGUAZAAgAG0AaQBsAGsAXABuAC0ALQAtAC0ALQAtAC0ALQAtAC0ALQAtAC0ALQAtAC0ALQAtAC0ALQAtAC0ALQAtAC0ALQAtAC0ALQAtAC0ALQAtAC0ALQAtAC0ALQBcAG4AKgAvAFwAbgBcAG4AUwBvAHUAcgBjAGUARABhAHQAYQBfAEQAYQBpAHIAeQBfAEYAYQB0AEMAbwBuAHQAZQBuAHQASQBuAE0AaQBsAGsAXwBUAGkAdABsAGUAXABuACAAIAA9AEwAQQBNAEIARABBACgAXAAiAEYAYQB0ACAAYwBvAG4AdABlAG4AdAAgAGkAbgAgAGYAYQB0ACAAYQBuAGQAIABwAHIAbwB0AGUAaQBuACAAYwBvAHIAcgBlAGMAdABlAGQAIABtAGkAbABrAFwAIgApADsAXABuAFwAbgBTAG8AdQByAGMAZQBEAGEAdABhAF8ARABhAGkAcgB5AF8ARgBhAHQAQwBvAG4AdABlAG4AdABJAG4ATQBpAGwAawBfAFYAYQByAGkAYQBiAGwAZQBcAG4AIAAgAD0ATABBAE0AQgBEAEEAKABcACIARgBDAF8AagBcACIAKQA7AFwAbgBcAG4AUwBvAHUAcgBjAGUARABhAHQAYQBfAEQAYQBpAHIAeQBfAEYAYQB0AEMAbwBuAHQAZQBuAHQASQBuAE0AaQBsAGsAXwBVAG4AaQB0AFwAbgAgACAAPQBMAEEATQBCAEQAQQAoAFwAIgBwAGUAcgBjAGUAbgB0AFwAIgApADsAXABuAFwAbgBTAG8AdQByAGMAZQBEAGEAdABhAF8ARABhAGkAcgB5AF8ARgBhAHQAQwBvAG4AdABlAG4AdABJAG4ATQBpAGwAawBfAFMAbwB1AHIAYwBlAFwAbgAgACAAPQBMAEEATQBCAEQAQQAoAFwAIgBWAEUARQBSAEcAIAAyADAAMgA2ADoAIAAzAC4AMwAuADIALgAyACAARABBAFQAQQAgACgATQBFAFQASABPAEQAIAAxACAAQQBOAEQAIAAyACAATwBQAFQASQBPAE4AUwApAFwAIgApADsAXABuAFwAbgBTAG8AdQByAGMAZQBEAGEAdABhAF8ARABhAGkAcgB5AF8ARgBhAHQAQwBvAG4AdABlAG4AdABJAG4ATQBpAGwAawBfAFYAYQByAGkAYQB0AGkAbwBuAFwAbgAgACAAPQBMAEEATQBCAEQAQQAoAFwAIgBcACIAKQA7AFwAbgBcAG4AUwBvAHUAcgBjAGUARABhAHQAYQBfAEQAYQBpAHIAeQBfAEYAYQB0AEMAbwBuAHQAZQBuAHQASQBuAE0AaQBsAGsAXwBEAGEAdABhAFwAbgAgACAAPQBMAEEATQBCAEQAQQAoADQALgAwACkAOwBcAG4AXABuAFwAbgAvACoAIABcAG4ALQAtAC0ALQAtAC0ALQAtAC0ALQAtAC0ALQAtAC0ALQAtAC0ALQAtAC0ALQAtAC0ALQAtAC0ALQAtAC0ALQAtAC0ALQAtAC0ALQAtAFwAbgBTAG8AdQByAGMAZQBEAGEAdABhAF8ARABhAGkAcgB5AF8AUAByAG8AdABlAGkAbgBDAG8AbgB0AGUAbgB0AEkAbgBNAGkAbABrAFwAbgBQAHIAbwB0AGUAaQBuACAAYwBvAG4AdABlAG4AdAAgAGkAbgAgAGYAYQB0ACAAYQBuAGQAIABwAHIAbwB0AGUAaQBuACAAYwBvAHIAcgBlAGMAdABlAGQAIABtAGkAbABrAFwAbgAtAC0ALQAtAC0ALQAtAC0ALQAtAC0ALQAtAC0ALQAtAC0ALQAtAC0ALQAtAC0ALQAtAC0ALQAtAC0ALQAtAC0ALQAtAC0ALQAtAC0AXABuACoALwBcAG4AXABuAFMAbwB1AHIAYwBlAEQAYQB0AGEAXwBEAGEAaQByAHkAXwBQAHIAbwB0AGUAaQBuAEMAbwBuAHQAZQBuAHQASQBuAE0AaQBsAGsAXwBUAGkAdABsAGUAXABuACAAIAA9AEwAQQBNAEIARABBACgAXAAiAFAAcgBvAHQAZQBpAG4AIABjAG8AbgB0AGUAbgB0ACAAaQBuACAAZgBhAHQAIABhAG4AZAAgAHAAcgBvAHQAZQBpAG4AIABjAG8AcgByAGUAYwB0AGUAZAAgAG0AaQBsAGsAXAAiACkAOwBcAG4AXABuAFMAbwB1AHIAYwBlAEQAYQB0AGEAXwBEAGEAaQByAHkAXwBQAHIAbwB0AGUAaQBuAEMAbwBuAHQAZQBuAHQASQBuAE0AaQBsAGsAXwBWAGEAcgBpAGEAYgBsAGUAXABuACAAIAA9AEwAQQBNAEIARABBACgAXAAiAFAAQwBfAGoAXAAiACkAOwBcAG4AXABuAFMAbwB1AHIAYwBlAEQAYQB0AGEAXwBEAGEAaQByAHkAXwBQAHIAbwB0AGUAaQBuAEMAbwBuAHQAZQBuAHQASQBuAE0AaQBsAGsAXwBVAG4AaQB0AFwAbgAgACAAPQBMAEEATQBCAEQAQQAoAFwAIgBwAGUAcgBjAGUAbgB0AFwAIgApADsAXABuAFwAbgBTAG8AdQByAGMAZQBEAGEAdABhAF8ARABhAGkAcgB5AF8AUAByAG8AdABlAGkAbgBDAG8AbgB0AGUAbgB0AEkAbgBNAGkAbABrAF8AUwBvAHUAcgBjAGUAXABuACAAIAA9AEwAQQBNAEIARABBACgAXAAiAFYARQBFAFIARwAgADIAMAAyADYAOgAgADMALgAzAC4AMgAuADIAIABEAEEAVABBACAAKABNAEUAVABIAE8ARAAgADEAIABBAE4ARAAgADIAIABPAFAAVABJAE8ATgBTACkAXAAiACkAOwBcAG4AXABuAFMAbwB1AHIAYwBlAEQAYQB0AGEAXwBEAGEAaQByAHkAXwBQAHIAbwB0AGUAaQBuAEMAbwBuAHQAZQBuAHQASQBuAE0AaQBsAGsAXwBWAGEAcgBpAGEAdABpAG8AbgBcAG4AIAAgAD0ATABBAE0AQgBEAEEAKABcACIAXAAiACkAOwBcAG4AXABuAFMAbwB1AHIAYwBlAEQAYQB0AGEAXwBEAGEAaQByAHkAXwBQAHIAbwB0AGUAaQBuAEMAbwBuAHQAZQBuAHQASQBuAE0AaQBsAGsAXwBEAGEAdABhAFwAbgAgACAAPQBMAEEATQBCAEQAQQAoADMALgAzACkAOwAiAH0ALAB7ACIAcABhAHQAaAAiADoAIgAvAHAAcgBvAGoAZQBjAHQAcwAvAE0ATQBTAF8ARABhAGkAcgB5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NQAgAE0AZQB0AGgAbwBkACAAMQAgAC0AIABNAGEAbgB1AHIAZQAgAEEAdABtAG8AcwBwAGgAZQByAGkAYwAgAEQAZQBwAG8AcwBpAHQAaQBvAG4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1AF8AXwAxAF8AQQBuAG4AdQBhAGwAQQB0AG0AbwBzAHAAaABlAHIAaQBjAEQAZQBwAG8AcwBpAHQAaQBvAG4ARQBtAGkAcwBzAGkAbwBuAHMARgByAG8AbQBNAE0AUwBcAG4AQQBuAG4AdQBhAGwAIABhAHQAbQBvAHMAcABoAGUAcgBpAGMAIABkAGUAcABvAHMAaQB0AGkAbwBuACAAZQBtAGkAcwBzAGkAbwBuAHMAIABmAHIAbwBtACAATQBNAFMAXABuAEUAXwBOADIATwBNAE0AUwBhAGQAXABuAHQAIABOADIATwBcAG4ARQBfAHsATgAyAE8ALABNAE0AUwAsAGEAZAB9AD0ATQBOAF8AewBBAFQATQBPAFMAfQBcAFwAdABpAG0AZQBzACAARQBGAF8AewBOADIATwB9AFwAXAB0AGkAbQBlAHMAIABDAF8AewBOADIATwB9AFwAXAB0AGkAbQBlAHMAIAAxADAAXgB7AC0AMwB9AFwAbgBNAE4AXwBBAFQATQBPAFMAIAA9ACAAbQBhAHMAcwAgAG8AZgAgAE4AIAB2AG8AbABhAHQAaQBsAGkAcwBlAGQAIABmAHIAbwBtACAATQBNAFM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1AF8AXwAxAF8AQQBuAG4AdQBhAGwAQQB0AG0AbwBzAHAAaABlAHIAaQBjAEQAZQBwAG8AcwBpAHQAaQBvAG4ARQBtAGkAcwBzAGkAbwBuAHMARgByAG8AbQBNAE0AUwBcAG4AIAAgAD0ATABBAE0AQgBEAEEAKABcAG4AIAAgACAAIABNAE4AXwBBAFQATQBPAFMALAAgAEUARgBfAE4AMgBPACwAIABDAF8ATgAyAE8ALABcAG4AIAAgACAAIABNAE4AXwBBAFQATQBPAFMAIAAqACAARQBGAF8ATgAyAE8AIAAqACAAQwBfAE4AMgBPACAAKgAgADEAMAAgAF4AIAAtADMAXABuACAAIAApADsAXABuAFwAbgBWAEUARQBSAEcAXwA0AF8AMwBfADEAXwA1AF8AXwAxAF8AQQBuAG4AdQBhAGwAQQB0AG0AbwBzAHAAaABlAHIAaQBjAEQAZQBwAG8AcwBpAHQAaQBvAG4ARQBtAGkAcwBzAGkAbwBuAHMARgByAG8AbQBNAE0AUwBfAFQAaQB0AGwAZQBcAG4AIAAgAD0ATABBAE0AQgBEAEEAKABcACIAQQBuAG4AdQBhAGwAIABhAHQAbQBvAHMAcABoAGUAcgBpAGMAIABkAGUAcABvAHMAaQB0AGkAbwBuACAAZQBtAGkAcwBzAGkAbwBuAHMAIABmAHIAbwBtACAATQBNAFMAXAAiACkAOwBcAG4AXABuAFYARQBFAFIARwBfADQAXwAzAF8AMQBfADUAXwBfADEAXwBBAG4AbgB1AGEAbABBAHQAbQBvAHMAcABoAGUAcgBpAGMARABlAHAAbwBzAGkAdABpAG8AbgBFAG0AaQBzAHMAaQBvAG4AcwBGAHIAbwBtAE0ATQBTAF8AVgBhAHIAaQBhAGIAbABlAFwAbgAgACAAPQBMAEEATQBCAEQAQQAoAFwAIgBFAF8ATgAyAE8ATQBNAFMAYQBkAFwAIgApADsAXABuAFwAbgBWAEUARQBSAEcAXwA0AF8AMwBfADEAXwA1AF8AXwAxAF8AQQBuAG4AdQBhAGwAQQB0AG0AbwBzAHAAaABlAHIAaQBjAEQAZQBwAG8AcwBpAHQAaQBvAG4ARQBtAGkAcwBzAGkAbwBuAHMARgByAG8AbQBNAE0AUwBfAFUAbgBpAHQAXABuACAAIAA9AEwAQQBNAEIARABBACgAXAAiAHQAIABOADIATwBcACIAKQA7AFwAbgBcAG4AVgBFAEUAUgBHAF8ANABfADMAXwAxAF8ANQBfAF8AMQBfAEEAbgBuAHUAYQBsAEEAdABtAG8AcwBwAGgAZQByAGkAYwBEAGUAcABvAHMAaQB0AGkAbwBuAEUAbQBpAHMAcwBpAG8AbgBzAEYAcgBvAG0ATQBNAFMAXwBTAG8AdQByAGMAZQBcAG4AIAAgAD0ATABBAE0AQgBEAEEAKABcACIAVgBFAEUAUgBHACAAMgAwADIANgA6ACAANAAuADMALgAxAC4ANQAsACAARQBxAHUAYQB0AGkAbwBuACAAKAAxACkAXAAiACkAOwBcAG4AXABuAFYARQBFAFIARwBfADQAXwAzAF8AMQBfADUAXwBfADEAXwBBAG4AbgB1AGEAbABBAHQAbQBvAHMAcABoAGUAcgBpAGMARABlAHAAbwBzAGkAdABpAG8AbgBFAG0AaQBzAHMAaQBvAG4AcwBGAHIAbwBtAE0ATQBTAF8ATgBJAFIAUgBlAGYAZQByAGUAbgBjAGUAXABuACAAIAA9AEwAQQBNAEIARABBACgAXAAiAFwAIgApADsAXABuAFwAbgBWAEUARQBSAEcAXwA0AF8AMwBfADEAXwA1AF8AXwAxAF8AQQBuAG4AdQBhAGwAQQB0AG0AbwBzAHAAaABlAHIAaQBjAEQAZQBwAG8AcwBpAHQAaQBvAG4ARQBtAGkAcwBzAGkAbwBuAHMARgByAG8AbQBNAE0AUwBfAEwAYQB0AGUAeABFAHEAdQBhAHQAaQBvAG4AXABuACAAIAA9AEwAQQBNAEIARABBACgAXAAiAEUAXwB7AE4AMgBPACwATQBNAFMALABhAGQAfQA9AE0ATgBfAHsAQQBUAE0ATwBTAH0AXABcAHQAaQBtAGUAcwAgAEUARgBfAHsATgAyAE8AfQBcAFwAdABpAG0AZQBzACAAQwBfAHsATgAyAE8AfQBcAFwAdABpAG0AZQBzACAAMQAwAF4AewAtADMAfQBcACIAKQA7AFwAbgBcAG4AVgBFAEUAUgBHAF8ANABfADMAXwAxAF8ANQBfAF8AMQBfAEEAbgBuAHUAYQBsAEEAdABtAG8AcwBwAGgAZQByAGkAYwBEAGUAcABvAHMAaQB0AGkAbwBuAEUAbQBpAHMAcwBpAG8AbgBzAEYAcgBvAG0ATQBNAFMAXwBBAHIAZwB1AG0AZQBuAHQAcwBcAG4AIAAgAD0ATABBAE0AQgBEAEEAKABcAG4AIAAgACAAIABNAEEASwBFAEEAUgBSAEEAWQAoADYALAAgADQALABcAG4AIAAgACAAIAAgACAATABBAE0AQgBEAEEAKAByACwAYwAsAFwAbgAgACAAIAAgACAAIAAgACAASQBOAEQARQBYACgAewBcAG4AIAAgACAAIAAgACAAIAAgACAAIABcACIATQBOAF8AQQBUAE0ATwBTAFwAIgAsACAAXAAiAG0AYQBzAHMAIABvAGYAIABOACAAdgBvAGwAYQB0AGkAbABpAHMAZQBkACAAZgByAG8AbQAgAE0ATQBTAFwAIgAsACAAXAAiAGsAZwAgAE4AXAAiACwAIABcACIAQwBhAGwAYwB1AGwAYQB0AGUAZAAgAGYAcgBvAG0AIAA0AC4AMwAuADEALgA1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NQBfAF8AMgBfAFQAbwB0AGEAbABOAGkAdAByAG8AZwBlAG4AVgBvAGwAYQB0AGkAbABpAHMAZQBkAEYAcgBvAG0ATQBNAFMAXABuAFQAbwB0AGEAbAAgAG4AaQB0AHIAbwBnAGUAbgAgAHYAbwBsAGEAdABpAGwAaQBzAGUAZAAgAGYAcgBvAG0AIABNAE0AUwBcAG4ATQBOAF8AQQBUAE0ATwBTAFwAbgBrAGcAIABOAFwAbgBNAE4AXwB7AEEAVABNAE8AUwB9AD0ATQBOAF8AewBqAG0AfQBcAFwAdABpAG0AZQBzACAARgByAGEAYwBHAEEAUwBNAF8AbQBcAG4ATQBOAF8AagBtACAAPQAgAHQAbwB0AGEAbAAgAG4AaQB0AHIAbwBnAGUAbgAgAGkAbgAgAGUAYQBjAGgAIABNAE0AUwAgAGYAbwByACAAZABhAGkAcgB5ACAAYwBhAHQAdABsAGUAIABjAGwAYQBzAHMAZQBzACAAKABrAGcAIABOACkAXABuAEYAcgBhAGMARwBBAFMATQBfAG0AIAA9ACAAZgByAGEAYwB0AGkAbwBuACAAbwBmACAATgAgAHYAbwBsAGEAdABpAGwAaQBzAGUAZAAgAGYAcgBvAG0AIABNAE0AUwAgACgAZgByAGEAYwB0AGkAbwBuACkAXABuAC0ALQAtAC0ALQAtAC0ALQAtAC0ALQAtAC0ALQAtAC0ALQAtAC0ALQAtAC0ALQAtAC0ALQAtAC0ALQAtAC0ALQAtAC0ALQAtAC0ALQBcAG4AKgAvAFwAbgBcAG4AVgBFAEUAUgBHAF8ANABfADMAXwAxAF8ANQBfAF8AMgBfAFQAbwB0AGEAbABOAGkAdAByAG8AZwBlAG4AVgBvAGwAYQB0AGkAbABpAHMAZQBkAEYAcgBvAG0ATQBNAFMAXABuACAAIAA9AEwAQQBNAEIARABBACgAXABuACAAIAAgACAATQBOAF8AagBtACwAIABGAHIAYQBjAEcAQQBTAE0AXwBtACwAXABuACAAIAAgACAATQBOAF8AagBtACAAKgAgAEYAcgBhAGMARwBBAFMATQBfAG0AXABuACAAIAApADsAXABuAFwAbgBWAEUARQBSAEcAXwA0AF8AMwBfADEAXwA1AF8AXwAyAF8AVABvAHQAYQBsAE4AaQB0AHIAbwBnAGUAbgBWAG8AbABhAHQAaQBsAGkAcwBlAGQARgByAG8AbQBNAE0AUwBfAFQAaQB0AGwAZQBcAG4AIAAgAD0ATABBAE0AQgBEAEEAKABcACIAVABvAHQAYQBsACAAbgBpAHQAcgBvAGcAZQBuACAAdgBvAGwAYQB0AGkAbABpAHMAZQBkACAAZgByAG8AbQAgAE0ATQBTAFwAIgApADsAXABuAFwAbgBWAEUARQBSAEcAXwA0AF8AMwBfADEAXwA1AF8AXwAyAF8AVABvAHQAYQBsAE4AaQB0AHIAbwBnAGUAbgBWAG8AbABhAHQAaQBsAGkAcwBlAGQARgByAG8AbQBNAE0AUwBfAFYAYQByAGkAYQBiAGwAZQBcAG4AIAAgAD0ATABBAE0AQgBEAEEAKABcACIATQBOAF8AQQBUAE0ATwBTAFwAIgApADsAXABuAFwAbgBWAEUARQBSAEcAXwA0AF8AMwBfADEAXwA1AF8AXwAyAF8AVABvAHQAYQBsAE4AaQB0AHIAbwBnAGUAbgBWAG8AbABhAHQAaQBsAGkAcwBlAGQARgByAG8AbQBNAE0AUwBfAFUAbgBpAHQAXABuACAAIAA9AEwAQQBNAEIARABBACgAXAAiAGsAZwAgAE4AXAAiACkAOwBcAG4AXABuAFYARQBFAFIARwBfADQAXwAzAF8AMQBfADUAXwBfADIAXwBUAG8AdABhAGwATgBpAHQAcgBvAGcAZQBuAFYAbwBsAGEAdABpAGwAaQBzAGUAZABGAHIAbwBtAE0ATQBTAF8AUwBvAHUAcgBjAGUAXABuACAAIAA9AEwAQQBNAEIARABBACgAXAAiAFYARQBFAFIARwAgADIAMAAyADYAOgAgADQALgAzAC4AMQAuADUALAAgAEUAcQB1AGEAdABpAG8AbgAgACgAMgApAFwAIgApADsAXABuAFwAbgBWAEUARQBSAEcAXwA0AF8AMwBfADEAXwA1AF8AXwAyAF8AVABvAHQAYQBsAE4AaQB0AHIAbwBnAGUAbgBWAG8AbABhAHQAaQBsAGkAcwBlAGQARgByAG8AbQBNAE0AUwBfAE4ASQBSAFIAZQBmAGUAcgBlAG4AYwBlAFwAbgAgACAAPQBMAEEATQBCAEQAQQAoAFwAIgBcACIAKQA7AFwAbgBcAG4AVgBFAEUAUgBHAF8ANABfADMAXwAxAF8ANQBfAF8AMgBfAFQAbwB0AGEAbABOAGkAdAByAG8AZwBlAG4AVgBvAGwAYQB0AGkAbABpAHMAZQBkAEYAcgBvAG0ATQBNAFMAXwBMAGEAdABlAHgARQBxAHUAYQB0AGkAbwBuAFwAbgAgACAAPQBMAEEATQBCAEQAQQAoAFwAIgBNAE4AXwB7AEEAVABNAE8AUwB9AD0AXABcAHMAdQBtAFwAXABuAG8AbABpAG0AaQB0AHMAXwB7AGoAfQBcAFwAcwB1AG0AXABcAG4AbwBsAGkAbQBpAHQAcwBfAHsAbQB9ACgATQBOAF8AewBqAG0AfQBcAFwAdABpAG0AZQBzACAARgByAGEAYwBHAEEAUwBNAF8AbQApAFwAIgApADsAXABuAFwAbgBWAEUARQBSAEcAXwA0AF8AMwBfADEAXwA1AF8AXwAyAF8AVABvAHQAYQBsAE4AaQB0AHIAbwBnAGUAbgBWAG8AbABhAHQAaQBsAGkAcwBlAGQARgByAG8AbQBNAE0AUwBfAEEAcgBnAHUAbQBlAG4AdABzAFwAbgAgACAAPQBMAEEATQBCAEQAQQAoAFwAbgAgACAAIAAgAE0AQQBLAEUAQQBSAFIAQQBZACgAMgAsACAANAAsAFwAbgAgACAAIAAgACAAIABMAEEATQBCAEQAQQAoAHIALABjACwAXABuACAAIAAgACAAIAAgACAAIABJAE4ARABFAFgAKAB7AFwAbgAgACAAIAAgACAAIAAgACAAIAAgAFwAIgBNAE4AXwBqAG0AXAAiACwAIABcACIAdABvAHQAYQBsACAAbgBpAHQAcgBvAGcAZQBuACAAaQBuACAAZQBhAGMAaAAgAE0ATQBTACAAZgBvAHIAIABkAGEAaQByAHkAIABjAGEAdAB0AGwAZQAgAGMAbABhAHMAcwBlAHMAXAAiACwAIABcACIAawBnACAATgBcACIALAAgAFwAIgBDAGEAbABjAHUAbABhAHQAZQBkACAAZgByAG8AbQAgADQALgAzAC4AMQAuADMAIAAoADIAKQBcACIAOwBcAG4AIAAgACAAIAAgACAAIAAgACAAIABcACIARgByAGEAYwBHAEEAUwBNAF8AbQBcACIALAAgAFwAIgBmAHIAYQBjAHQAaQBvAG4AIABvAGYAIABOACAAdgBvAGwAYQB0AGkAbABpAHMAZQBkACAAZgByAG8AbQAgAE0ATQBTAFwAIgAsACAAXAAiAGYAcgBhAGMAdABpAG8AbgBcACIALAAgAFwAIgBDAG8AbgBzAHQAYQBuAHQAXAAiAFwAbgAgACAAIAAgACAAIAAgACAAfQAsACAAcgAsACAAYwApAFwAbgAgACAAIAAgACAAIAApAFwAbgAgACAAIAAgACkAXABuACAAIAApADsAXABuACIAfQAsAHsAIgBwAGEAdABoACIAOgAiAC8AcAByAG8AagBlAGMAdABzAC8ATQBNAFMAXwBEAGEAaQByAHkAXwBNAGEAbgB1AHIAZQBBAHAAcABsAGkAZQBkAFQAbwBTAG8AaQBsAHM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OAAgAE0AZQB0AGgAbwBkACAAMQAgAC0AIABNAGEAbgB1AHIAZQAgAEEAcABwAGwAaQBlAGQAIABUAG8AIABTAG8AaQBsAHM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4AF8AXwAxAF8ATQBhAHMAcwBPAGYATgBpAHQAcgBvAGcAZQBuAEEAcABwAGwAaQBlAGQAVABvAFMAbwBpAGwAcwBTAGMAbwBwAGUAMQBcAG4ATQBhAHMAcwAgAG8AZgAgAG4AaQB0AHIAbwBnAGUAbgAgAGYAcgBvAG0AIABtAGEAbgB1AHIAZQAgAGEAcABwAGwAaQBlAGQAIAB0AG8AIABzAG8AaQBsAHMAIABmAG8AcgAgAHMAYwBvAHAAZQAgADEAIABlAG0AaQBzAHMAaQBvAG4AcwBcAG4ATQBOAFMAbwBpAGwAXwBzAGMAbwBwAGUAMQBcAG4AawBnACAATgBcAG4ATQBOAFMAbwBpAGwAXwB7AHMAYwBvAHAAZQAxAH0APQAoAE0ATgBfAHsAagBtAH0AXABcAHQAaQBtAGUAcwAgACgAMQAtAEUARgBfAG0ALQBGAHIAYQBjAEcAQQBTAE0AXwBtACkALQBNAE4ATABlAGEAYwBoAF8AagBtACkAXABcAHQAaQBtAGUAcwAgAFAARgBfAHMAYwBvAHAAZQBcAG4ATQBOAF8AagBtACAAPQAgAHQAbwB0AGEAbAAgAG4AaQB0AHIAbwBnAGUAbgAgAGkAbgAgAGUAYQBjAGgAIABNAE0AUwAgAGYAbwByACAAZABhAGkAcgB5ACAAYwBhAHQAdABsAGUAIABjAGwAYQBzAHMAZQBzACAAKABrAGcAIABOACkAXABuAEUARgBfAG0AIAA9ACAAZQBtAGkAcwBzAGkAbwBuACAAZgBhAGMAdABvAHIAIABmAG8AcgAgAG4AaQB0AHIAbwB1AHMAIABvAHgAaQBkAGUAIABlAG0AaQBzAHMAaQBvAG4AcwAgAHAAZQByACAATQBNAFMAIAAoAGsAZwAgAE4AMgBPAC0ATgAvAGsAZwAgAE4AKQBcAG4ARgByAGEAYwBHAEEAUwBNAF8AbQAgAD0AIABmAHIAYQBjAHQAaQBvAG4AIABvAGYAIABOACAAdgBvAGwAYQB0AGkAbABpAHMAZQBkACAAZgByAG8AbQAgAE0ATQBTAFwAbgBNAE4ATABlAGEAYwBoAF8AagBtACAAPQAgAG0AYQBzAHMAIABvAGYAIABOACAAbABvAHMAdAAgAHQAaAByAG8AdQBnAGgAIABsAGUAYQBjAGgAaQBuAGcAIABhAG4AZAAgAHIAdQBuAG8AZgBmACAAZgByAG8AbQAgAGUAYQBjAGgAIABNAE0AUwAgACgAawBnACAATgApAFwAbgBQAEYAXwBzAGMAbwBwAGUAIAA9ACAAZgByAGEAYwB0AGkAbwBuACAAbwBmACAAbQBhAG4AdQByAGUAIABhAHAAcABsAGkAZQBkACAAdABvACAAcwBvAGkAbAAgAHcAaQB0AGgAaQBuACAAZgBhAHIAbQAgAGIAbwB1AG4AZABhAHIAeQBcAG4ALQAtAC0ALQAtAC0ALQAtAC0ALQAtAC0ALQAtAC0ALQAtAC0ALQAtAC0ALQAtAC0ALQAtAC0ALQAtAC0ALQAtAC0ALQAtAC0ALQAtAFwAbgAqAC8AXABuAFwAbgBWAEUARQBSAEcAXwA0AF8AMwBfADEAXwA4AF8AXwAxAF8ATQBhAHMAcwBPAGYATgBpAHQAcgBvAGcAZQBuAEEAcABwAGwAaQBlAGQAVABvAFMAbwBpAGwAcwBTAGMAbwBwAGUAMQBcAG4AIAAgAD0ATABBAE0AQgBEAEEAKABcAG4AIAAgACAAIABNAE4AXwBqAG0ALAAgAEUARgBfAG0ALAAgAEYAcgBhAGMARwBBAFMATQBfAG0ALAAgAE0ATgBMAGUAYQBjAGgAXwBqAG0ALAAgAFAARgBfAHMAYwBvAHAAZQAsAFwAbgAgACAAIAAgACgATQBOAF8AagBtACAAKgAgACgAMQAgAC0AIABFAEYAXwBtACAALQAgAEYAcgBhAGMARwBBAFMATQBfAG0AKQAgAC0AIABNAE4ATABlAGEAYwBoAF8AagBtACkAIAAqACAAUABGAF8AcwBjAG8AcABlAFwAbgAgACAAKQA7AFwAbgBcAG4AVgBFAEUAUgBHAF8ANABfADMAXwAxAF8AOABfAF8AMQBfAE0AYQBzAHMATwBmAE4AaQB0AHIAbwBnAGUAbgBBAHAAcABsAGkAZQBkAFQAbwBTAG8AaQBsAHMAUwBjAG8AcABlADEAXwBUAGkAdABsAGUAXABuACAAIAA9AEwAQQBNAEIARABBACgAXAAiAE0AYQBzAHMAIABvAGYAIABuAGkAdAByAG8AZwBlAG4AIABmAHIAbwBtACAAbQBhAG4AdQByAGUAIABhAHAAcABsAGkAZQBkACAAdABvACAAcwBvAGkAbABzACAAZgBvAHIAIABzAGMAbwBwAGUAIAAxACAAZQBtAGkAcwBzAGkAbwBuAHMAXAAiACkAOwBcAG4AXABuAFYARQBFAFIARwBfADQAXwAzAF8AMQBfADgAXwBfADEAXwBNAGEAcwBzAE8AZgBOAGkAdAByAG8AZwBlAG4AQQBwAHAAbABpAGUAZABUAG8AUwBvAGkAbABzAFMAYwBvAHAAZQAxAF8AVgBhAHIAaQBhAGIAbABlAFwAbgAgACAAPQBMAEEATQBCAEQAQQAoAFwAIgBNAE4AUwBvAGkAbABfAHMAYwBvAHAAZQAxAFwAIgApADsAXABuAFwAbgBWAEUARQBSAEcAXwA0AF8AMwBfADEAXwA4AF8AXwAxAF8ATQBhAHMAcwBPAGYATgBpAHQAcgBvAGcAZQBuAEEAcABwAGwAaQBlAGQAVABvAFMAbwBpAGwAcwBTAGMAbwBwAGUAMQBfAFUAbgBpAHQAXABuACAAIAA9AEwAQQBNAEIARABBACgAXAAiAGsAZwAgAE4AXAAiACkAOwBcAG4AXABuAFYARQBFAFIARwBfADQAXwAzAF8AMQBfADgAXwBfADEAXwBNAGEAcwBzAE8AZgBOAGkAdAByAG8AZwBlAG4AQQBwAHAAbABpAGUAZABUAG8AUwBvAGkAbABzAFMAYwBvAHAAZQAxAF8AUwBvAHUAcgBjAGUAXABuACAAIAA9AEwAQQBNAEIARABBACgAXAAiAFYARQBFAFIARwAgADIAMAAyADYAOgAgADQALgAzAC4AMQAuADgALAAgAEUAcQB1AGEAdABpAG8AbgAgACgAMQApAFwAIgApADsAXABuAFwAbgBWAEUARQBSAEcAXwA0AF8AMwBfADEAXwA4AF8AXwAxAF8ATQBhAHMAcwBPAGYATgBpAHQAcgBvAGcAZQBuAEEAcABwAGwAaQBlAGQAVABvAFMAbwBpAGwAcwBTAGMAbwBwAGUAMQBfAE4ASQBSAFIAZQBmAGUAcgBlAG4AYwBlAFwAbgAgACAAPQBMAEEATQBCAEQAQQAoAFwAIgBcACIAKQA7AFwAbgBcAG4AVgBFAEUAUgBHAF8ANABfADMAXwAxAF8AOABfAF8AMQBfAE0AYQBzAHMATwBmAE4AaQB0AHIAbwBnAGUAbgBBAHAAcABsAGkAZQBkAFQAbwBTAG8AaQBsAHMAUwBjAG8AcABlADEAXwBMAGEAdABlAHgARQBxAHUAYQB0AGkAbwBuAFwAbgAgACAAPQBMAEEATQBCAEQAQQAoAFwAIgBNAE4AUwBvAGkAbABfAHsAcwBjAG8AcABlADEAfQA9AFwAXABzAHUAbQBcAFwAbgBvAGwAaQBtAGkAdABzAF8AewBqAH0AXABcAHMAdQBtAFwAXABuAG8AbABpAG0AaQB0AHMAXwB7AG0AfQAoAE0ATgBfAHsAagBtAD0AMQAtADEAMwB9AFwAXAB0AGkAbQBlAHMAIAAoADEALQBFAEYAXwB7AG0APQAxAC0AMQAzAH0ALQBGAHIAYQBjAEcAQQBTAE0AXwB7AG0APQAxAC0AMQAzAH0AKQAtAE0ATgBMAGUAYQBjAGgAXwB7AGoAbQB9ACkAXABcAHQAaQBtAGUAcwAgAFAARgBcACIAKQA7AFwAbgBcAG4AVgBFAEUAUgBHAF8ANABfADMAXwAxAF8AOABfAF8AMQBfAE0AYQBzAHMATwBmAE4AaQB0AHIAbwBnAGUAbgBBAHAAcABsAGkAZQBkAFQAbwBTAG8AaQBsAHMAUwBjAG8AcABlADEAXwBBAHIAZwB1AG0AZQBuAHQAcwBcAG4AIAAgAD0ATABBAE0AQgBEAEEAKABcAG4AIAAgACAAIABNAEEASwBFAEEAUgBSAEEAWQAoADU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UARgBfAG0AXAAiACwAIABcACIAZQBtAGkAcwBzAGkAbwBuACAAZgBhAGMAdABvAHIAIABmAG8AcgAgAG4AaQB0AHIAbwB1AHMAIABvAHgAaQBkAGUAIABlAG0AaQBzAHMAaQBvAG4AcwAgAHAAZQByACAATQBNAFMAXAAiACwAIABcACIAawBnACAATgAyAE8ALQBOAC8AawBnACAATgBcACIALAAgAFwAIgBDAG8AbgBzAHQAYQBuAHQAXAAiADsAXABuACAAIAAgACAAIAAgACAAIAAgACAAXAAiAEYAcgBhAGMARwBBAFMATQBfAG0AXAAiACwAIABcACIAZgByAGEAYwB0AGkAbwBuACAAbwBmACAATgAgAHYAbwBsAGEAdABpAGwAaQBzAGUAZAAgAGYAcgBvAG0AIABNAE0AUwBcACIALAAgAFwAIgBmAHIAYQBjAHQAaQBvAG4AXAAiACwAIABcACIAQwBvAG4AcwB0AGEAbgB0AFwAIgA7AFwAbgAgACAAIAAgACAAIAAgACAAIAAgAFwAIgBNAE4ATABlAGEAYwBoAF8AagBtAFwAIgAsACAAXAAiAG0AYQBzAHMAIABvAGYAIABOACAAbABvAHMAdAAgAHQAaAByAG8AdQBnAGgAIABsAGUAYQBjAGgAaQBuAGcAIABhAG4AZAAgAHIAdQBuAG8AZgBmACAAZgByAG8AbQAgAGUAYQBjAGgAIABNAE0AUwBcACIALAAgAFwAIgBrAGcAIABOAFwAIgAsACAAXAAiAEMAYQBsAGMAdQBsAGEAdABlAGQAIABmAHIAbwBtACAANAAuADMALgAxAC4ANgAgACgAMgApAFwAIgA7AFwAbgAgACAAIAAgACAAIAAgACAAIAAgAFwAIgBQAEYAXwBzAGMAbwBwAGUAXAAiACwAIABcACIAZgByAGEAYwB0AGkAbwBuACAAbwBmACAAbQBhAG4AdQByAGUAIABhAHAAcABsAGkAZQBkACAAdABvACAAcwBvAGkAbAAgAHcAaQB0AGgAaQBuACAAZgBhAHIAbQAgAGIAbwB1AG4AZABhAHIAe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gAXwBfADIAXwBNAGEAcwBzAE8AZgBOAGkAdAByAG8AZwBlAG4AQQBwAHAAbABpAGUAZABUAG8AUwBvAGkAbABzAFMAYwBvAHAAZQAzAFwAbgBNAGEAcwBzACAAbwBmACAAbgBpAHQAcgBvAGcAZQBuACAAZgByAG8AbQAgAG0AYQBuAHUAcgBlACAAYQBwAHAAbABpAGUAZAAgAHQAbwAgAHMAbwBpAGwAcwAgAGYAbwByACAAcwBjAG8AcABlACAAMwAgAGUAbQBpAHMAcwBpAG8AbgBzAFwAbgBNAE4AUwBvAGkAbABfAHMAYwBvAHAAZQAzAFwAbgBrAGcAIABOAFwAbgBNAE4AUwBvAGkAbABfAHsAcwBjAG8AcABlADMAfQA9ACgATQBOAF8AewBqAG0AfQBcAFwAdABpAG0AZQBzACAAKAAxAC0ARQBGAF8AbQAtAEYAcgBhAGMARwBBAFMATQBfAG0AKQAtAE0ATgBMAGUAYQBjAGgAXwBqAG0AKQBcAFwAdABpAG0AZQBzACAAKAAxAC0AUABGACkAXABuAE0ATgBfAGoAbQAgAD0AIAB0AG8AdABhAGwAIABuAGkAdAByAG8AZwBlAG4AIABpAG4AIABlAGEAYwBoACAATQBNAFMAIABmAG8AcgAgAGQAYQBpAHIAeQAgAGMAYQB0AHQAbABlACAAYwBsAGEAcwBzAGUAcwAgACgAawBnACAATgApAFwAbgBFAEYAXwBtACAAPQAgAGUAbQBpAHMAcwBpAG8AbgAgAGYAYQBjAHQAbwByACAAZgBvAHIAIABuAGkAdAByAG8AdQBzACAAbwB4AGkAZABlACAAZQBtAGkAcwBzAGkAbwBuAHMAIABwAGUAcgAgAE0ATQBTACAAKABrAGcAIABOADIATwAtAE4ALwBrAGcAIABOACkAXABuAEYAcgBhAGMARwBBAFMATQBfAG0AIAA9ACAAZgByAGEAYwB0AGkAbwBuACAAbwBmACAATgAgAHYAbwBsAGEAdABpAGwAaQBzAGUAZAAgAGYAcgBvAG0AIABNAE0AUwBcAG4ATQBOAEwAZQBhAGMAaABfAGoAbQAgAD0AIABtAGEAcwBzACAAbwBmACAATgAgAGwAbwBzAHQAIAB0AGgAcgBvAHUAZwBoACAAbABlAGEAYwBoAGkAbgBnACAAYQBuAGQAIAByAHUAbgBvAGYAZgAgAGYAcgBvAG0AIABlAGEAYwBoACAATQBNAFMAIAAoAGsAZwAgAE4AKQBcAG4AUABGACAAPQAgAGYAcgBhAGMAdABpAG8AbgAgAG8AZgAgAG0AYQBuAHUAcgBlACAAYQBwAHAAbABpAGUAZAAgAHQAbwAgAHMAbwBpAGwAIAB3AGkAdABoAGkAbgAgAGYAYQByAG0AIABiAG8AdQBuAGQAYQByAHkAXABuAC0ALQAtAC0ALQAtAC0ALQAtAC0ALQAtAC0ALQAtAC0ALQAtAC0ALQAtAC0ALQAtAC0ALQAtAC0ALQAtAC0ALQAtAC0ALQAtAC0ALQBcAG4AKgAvAFwAbgBcAG4AVgBFAEUAUgBHAF8ANABfADMAXwAxAF8AOABfAF8AMgBfAE0AYQBzAHMATwBmAE4AaQB0AHIAbwBnAGUAbgBBAHAAcABsAGkAZQBkAFQAbwBTAG8AaQBsAHMAUwBjAG8AcABlADMAXABuACAAIAA9AEwAQQBNAEIARABBACgAXABuACAAIAAgACAATQBOAF8AagBtACwAIABFAEYAXwBtACwAIABGAHIAYQBjAEcAQQBTAE0AXwBtACwAIABNAE4ATABlAGEAYwBoAF8AagBtACwAIABQAEYALABcAG4AIAAgACAAIAAoAE0ATgBfAGoAbQAgACoAIAAoADEAIAAtACAARQBGAF8AbQAgAC0AIABGAHIAYQBjAEcAQQBTAE0AXwBtACkAIAAtACAATQBOAEwAZQBhAGMAaABfAGoAbQApACAAKgAgACgAMQAgAC0AIABQAEYAKQBcAG4AIAAgACkAOwBcAG4AXABuAFYARQBFAFIARwBfADQAXwAzAF8AMQBfADgAXwBfADIAXwBNAGEAcwBzAE8AZgBOAGkAdAByAG8AZwBlAG4AQQBwAHAAbABpAGUAZABUAG8AUwBvAGkAbABzAFMAYwBvAHAAZQAzAF8AVABpAHQAbABlAFwAbgAgACAAPQBMAEEATQBCAEQAQQAoAFwAIgBNAGEAcwBzACAAbwBmACAAbgBpAHQAcgBvAGcAZQBuACAAZgByAG8AbQAgAG0AYQBuAHUAcgBlACAAYQBwAHAAbABpAGUAZAAgAHQAbwAgAHMAbwBpAGwAcwAgAGYAbwByACAAcwBjAG8AcABlACAAMwAgAGUAbQBpAHMAcwBpAG8AbgBzAFwAIgApADsAXABuAFwAbgBWAEUARQBSAEcAXwA0AF8AMwBfADEAXwA4AF8AXwAyAF8ATQBhAHMAcwBPAGYATgBpAHQAcgBvAGcAZQBuAEEAcABwAGwAaQBlAGQAVABvAFMAbwBpAGwAcwBTAGMAbwBwAGUAMwBfAFYAYQByAGkAYQBiAGwAZQBcAG4AIAAgAD0ATABBAE0AQgBEAEEAKABcACIATQBOAFMAbwBpAGwAXwBzAGMAbwBwAGUAMwBcACIAKQA7AFwAbgBcAG4AVgBFAEUAUgBHAF8ANABfADMAXwAxAF8AOABfAF8AMgBfAE0AYQBzAHMATwBmAE4AaQB0AHIAbwBnAGUAbgBBAHAAcABsAGkAZQBkAFQAbwBTAG8AaQBsAHMAUwBjAG8AcABlADMAXwBVAG4AaQB0AFwAbgAgACAAPQBMAEEATQBCAEQAQQAoAFwAIgBrAGcAIABOAFwAIgApADsAXABuAFwAbgBWAEUARQBSAEcAXwA0AF8AMwBfADEAXwA4AF8AXwAyAF8ATQBhAHMAcwBPAGYATgBpAHQAcgBvAGcAZQBuAEEAcABwAGwAaQBlAGQAVABvAFMAbwBpAGwAcwBTAGMAbwBwAGUAMwBfAFMAbwB1AHIAYwBlAFwAbgAgACAAPQBMAEEATQBCAEQAQQAoAFwAIgBWAEUARQBSAEcAIAAyADAAMgA2ADoAIAA0AC4AMwAuADEALgA4ACwAIABFAHEAdQBhAHQAaQBvAG4AIAAoADIAKQBcACIAKQA7AFwAbgBcAG4AVgBFAEUAUgBHAF8ANABfADMAXwAxAF8AOABfAF8AMgBfAE0AYQBzAHMATwBmAE4AaQB0AHIAbwBnAGUAbgBBAHAAcABsAGkAZQBkAFQAbwBTAG8AaQBsAHMAUwBjAG8AcABlADMAXwBOAEkAUgBSAGUAZgBlAHIAZQBuAGMAZQBcAG4AIAAgAD0ATABBAE0AQgBEAEEAKABcACIAXAAiACkAOwBcAG4AXABuAFYARQBFAFIARwBfADQAXwAzAF8AMQBfADgAXwBfADIAXwBNAGEAcwBzAE8AZgBOAGkAdAByAG8AZwBlAG4AQQBwAHAAbABpAGUAZABUAG8AUwBvAGkAbABzAFMAYwBvAHAAZQAzAF8ATABhAHQAZQB4AEUAcQB1AGEAdABpAG8AbgBcAG4AIAAgAD0ATABBAE0AQgBEAEEAKABcACIATQBOAFMAbwBpAGwAXwB7AHMAYwBvAHAAZQAzAH0APQBcAFwAcwB1AG0AXABcAG4AbwBsAGkAbQBpAHQAcwBfAHsAagB9AFwAXABzAHUAbQBcAFwAbgBvAGwAaQBtAGkAdABzAF8AewBtAH0AKABNAE4AXwB7AGoAbQA9ADEALQAxADMAfQBcAFwAdABpAG0AZQBzACAAKAAxAC0ARQBGAF8AewBtAD0AMQAtADEAMwB9AC0ARgByAGEAYwBHAEEAUwBNAF8AewBtAD0AMQAtADEAMwB9ACkALQBNAE4ATABlAGEAYwBoAF8AewBqAG0AfQApAFwAXAB0AGkAbQBlAHMAIAAoADEALQBQAEYAKQBcACIAKQA7AFwAbgBcAG4AVgBFAEUAUgBHAF8ANABfADMAXwAxAF8AOABfAF8AMgBfAE0AYQBzAHMATwBmAE4AaQB0AHIAbwBnAGUAbgBBAHAAcABsAGkAZQBkAFQAbwBTAG8AaQBsAHMAUwBjAG8AcABlADMAXwBBAHIAZwB1AG0AZQBuAHQAcwBcAG4AIAAgAD0ATABBAE0AQgBEAEEAKABcAG4AIAAgACAAIABNAEEASwBFAEEAUgBSAEEAWQAoADU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UARgBfAG0AXAAiACwAIABcACIAZQBtAGkAcwBzAGkAbwBuACAAZgBhAGMAdABvAHIAIABmAG8AcgAgAG4AaQB0AHIAbwB1AHMAIABvAHgAaQBkAGUAIABlAG0AaQBzAHMAaQBvAG4AcwAgAHAAZQByACAATQBNAFMAXAAiACwAIABcACIAawBnACAATgAyAE8ALQBOAC8AawBnACAATgBcACIALAAgAFwAIgBDAG8AbgBzAHQAYQBuAHQAXAAiADsAXABuACAAIAAgACAAIAAgACAAIAAgACAAXAAiAEYAcgBhAGMARwBBAFMATQBfAG0AXAAiACwAIABcACIAZgByAGEAYwB0AGkAbwBuACAAbwBmACAATgAgAHYAbwBsAGEAdABpAGwAaQBzAGUAZAAgAGYAcgBvAG0AIABNAE0AUwBcACIALAAgAFwAIgBmAHIAYQBjAHQAaQBvAG4AXAAiACwAIABcACIAQwBvAG4AcwB0AGEAbgB0AFwAIgA7AFwAbgAgACAAIAAgACAAIAAgACAAIAAgAFwAIgBNAE4ATABlAGEAYwBoAF8AagBtAFwAIgAsACAAXAAiAG0AYQBzAHMAIABvAGYAIABOACAAbABvAHMAdAAgAHQAaAByAG8AdQBnAGgAIABsAGUAYQBjAGgAaQBuAGcAIABhAG4AZAAgAHIAdQBuAG8AZgBmACAAZgByAG8AbQAgAGUAYQBjAGgAIABNAE0AUwBcACIALAAgAFwAIgBrAGcAIABOAFwAIgAsACAAXAAiAEMAYQBsAGMAdQBsAGEAdABlAGQAIABmAHIAbwBtACAANAAuADMALgAxAC4ANgAgACgAMgApAFwAIgA7AFwAbgAgACAAIAAgACAAIAAgACAAIAAgAFwAIgBQAEYAXAAiACwAIABcACIAZgByAGEAYwB0AGkAbwBuACAAbwBmACAAbQBhAG4AdQByAGUAIABhAHAAcABsAGkAZQBkACAAdABvACAAcwBvAGkAbAAgAHcAaQB0AGgAaQBuACAAZgBhAHIAbQAgAGIAbwB1AG4AZABhAHIAeQBcACIALAAgAFwAIgBmAHIAYQBjAHQAaQBvAG4AXAAiACwAIABcACIASQBuAHAAdQB0AFwAIgBcAG4AIAAgACAAIAAgACAAIAAgAH0ALAAgAHIALAAgAGMAKQBcAG4AIAAgACAAIAAgACAAKQBcAG4AIAAgACAAIAApAFwAbgAgACAAKQA7AFwAbgAiAH0ALAB7ACIAcABhAHQAaAAiADoAIgAvAHAAcgBvAGoAZQBjAHQAcwAvAE0ATQBTAF8ARABhAGkAcgB5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xACAATQBlAHQAaABvAGQAIAAxACAALQAgAE0AYQBuAHUAcgBlACAATQBlAHQAaABhAG4AZQ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EAXwBfADEAXwBUAG8AdABhAGwAQQBuAG4AdQBhAGwATQBlAHQAaABhAG4AZQBGAHIAbwBtAE0AYQBuAHUAcgBlAE0AYQBuAGEAZwBlAG0AZQBuAHQAXABuAFQAbwB0AGEAbAAgAGEAbgBuAHUAYQBsACAAbQBlAHQAaABhAG4AZQAgAHAAcgBvAGQAdQBjAHQAaQBvAG4AIABmAHIAbwBtACAAbQBhAG4AdQByAGUAIABtAGEAbgBhAGcAZQBtAGUAbgB0AFwAbgBFAF8AQwBIADQAXABuAHQAIABDAEgANABcAG4ARQBfAHsAQwBIADQAfQA9ACgAKABOAF8AewBqAD0AMQAsADIALAA0AH0AXABcAHQAaQBtAGUAcwAgAE0AXwB7AGoAPQAxACwAMgAsADQALABtAH0AXABcAHQAaQBtAGUAcwAgAEQAXwB7AGoAPQAxACwAMgAsADQAfQApACsAKABOAF8AewBqAD0AMwAsADUAfQBcAFwAdABpAG0AZQBzACAATQBfAHsAagA9ADMALAA1ACwAbQB9AFwAXAB0AGkAbQBlAHMAIABEAF8AewBqAD0AMwAsADUAfQApACsAKABOAF8AewBqAD0AMwAsADUAfQBcAFwAdABpAG0AZQBzACAATQBQAFcAXwB7AG0AYQBuAHUAcgBlACwAagA9ADMALAA1AH0AXABcAHQAaQBtAGUAcwAgAEQAXwB7AGoAPQAzACwANQB9ACkAKQBcAFwAdABpAG0AZQBzACAAMQAwAF4AewAtADMAfQBcAG4ATgBfAGoAMQAyADQAIAA9ACAAbgB1AG0AYgBlAHIAIABvAGYAIABkAGEAaQByAHkAIABjAGEAdAB0AGwAZQAgAGkAbgAgAGMAbABhAHMAcwBlAHMAIABqAD0AMQAsADIALAA0AFwAbgBNAF8AagAxADIANABtACAAPQAgAG0AZQB0AGgAYQBuAGUAIABwAHIAbwBkAHUAYwB0AGkAbwBuACAAZgByAG8AbQAgAG0AYQBuAHUAcgBlACAAbwBmACAAdwBlAGEAbgBlAGQAIABkAGEAaQByAHkAIABjAGEAdAB0AGwAZQAgAGkAbgAgAGMAbABhAHMAcwBlAHMAIABqAD0AMQAsADIALAA0ACAAaQBuACAATQBNAFMAIABtACAAKABrAGcAIABDAEgANAAvAGgAZQBhAGQALwBkAGEAeQApAFwAbgBEAF8AagAxADIANAAgAD0AIABkAHUAcgBhAHQAaQBvAG4AIABvAGYAIABzAHQAYQB5ACAAbwBuACAAZgBhAHIAbQAgAGYAbwByACAAYwBsAGEAcwBzAGUAcwAgAGoAPQAxACwAMgAsADQAIAAoAGQAYQB5AHMAKQBcAG4ATgBfAGoAMwA1ACAAPQAgAG4AdQBtAGIAZQByACAAbwBmACAAZABhAGkAcgB5ACAAYwBhAHQAdABsAGUAIABpAG4AIABjAGwAYQBzAHMAZQBzACAAagA9ADMALAA1AFwAbgBNAF8AagAzADUAbQAgAD0AIABtAGUAdABoAGEAbgBlACAAcAByAG8AZAB1AGMAdABpAG8AbgAgAGYAcgBvAG0AIABtAGEAbgB1AHIAZQAgAG8AZgAgAHcAZQBhAG4AZQBkACAAZABhAGkAcgB5ACAAYwBhAHQAdABsAGUAIABpAG4AIABjAGwAYQBzAHMAZQBzACAAagA9ADMALAA1ACAAaQBuACAATQBNAFMAIABtACAAKABrAGcAIABDAEgANAAvAGgAZQBhAGQALwBkAGEAeQApAFwAbgBEAF8AagAzADUAIAA9ACAAZAB1AHIAYQB0AGkAbwBuACAAbwBmACAAcwB0AGEAeQAgAG8AbgAgAGYAYQByAG0AIABmAG8AcgAgAGMAbABhAHMAcwBlAHMAIABqAD0AMwAsADUAIAAoAGQAYQB5AHMAKQBcAG4ATQBQAFcAXwBtAGEAbgB1AHIAZQBfAGoAMwA1ACAAPQAgAG0AZQB0AGgAYQBuAGUAIABwAHIAbwBkAHUAYwB0AGkAbwBuACAAZgByAG8AbQAgAG0AYQBuAHUAcgBlACAAbwBmACAAcAByAGUALQB3AGUAYQBuAGUAZAAgAGgAZQBpAGYAZQByACAAYQBuAGQAIABiAHUAbABsACAAYwBhAGwAdgBlAHMAIAAoAGsAZwAgAEMASAA0AC8AaABlAGEAZAAvAGQAYQB5ACkAXABuAC0ALQAtAC0ALQAtAC0ALQAtAC0ALQAtAC0ALQAtAC0ALQAtAC0ALQAtAC0ALQAtAC0ALQAtAC0ALQAtAC0ALQAtAC0ALQAtAC0ALQBcAG4AKgAvAFwAbgBcAG4AVgBFAEUAUgBHAF8ANABfADMAXwAxAF8AMQBfAF8AMQBfAFQAbwB0AGEAbABBAG4AbgB1AGEAbABNAGUAdABoAGEAbgBlAEYAcgBvAG0ATQBhAG4AdQByAGUATQBhAG4AYQBnAGUAbQBlAG4AdABcAG4AIAAgAD0ATABBAE0AQgBEAEEAKABcAG4AIAAgACAAIABOAF8AagAxADIANAAsACAATQBfAGoAMQAyADQAbQAsACAARABfAGoAMQAyADQALAAgAE4AXwBqADMANQAsACAATQBfAGoAMwA1AG0ALAAgAEQAXwBqADMANQAsACAATQBQAFcAXwBtAGEAbgB1AHIAZQBfAGoAMwA1ACwAXABuACAAIAAgACAAKAAoAE4AXwBqADEAMgA0ACAAKgAgAE0AXwBqADEAMgA0AG0AIAAqACAARABfAGoAMQAyADQAKQAgACsAIAAoAE4AXwBqADMANQAgACoAIABNAF8AagAzADUAbQAgACoAIABEAF8AagAzADUAKQAgACsAIAAoAE4AXwBqADMANQAgACoAIABNAFAAVwBfAG0AYQBuAHUAcgBlAF8AagAzADUAIAAqACAARABfAGoAMwA1ACkAKQAgACoAIAAxADAAIABeACAALQAzAFwAbgAgACAAKQA7AFwAbgBcAG4AVgBFAEUAUgBHAF8ANABfADMAXwAxAF8AMQBfAF8AMQBfAFQAbwB0AGEAbABBAG4AbgB1AGEAbABNAGUAdABoAGEAbgBlAEYAcgBvAG0ATQBhAG4AdQByAGUATQBhAG4AYQBnAGUAbQBlAG4AdABWAGEAcgBpAGEAdABpAG8AbgBcAG4AIAAgAD0ATABBAE0AQgBEAEEAKABcAG4AIAAgACAAIABOAF8AagAxADIANAAsACAATQBfAGoAMQAyADQAbQAsACAARABfAGoAMQAyADQALAAgAE4AXwBqADMANQAsACAATQBfAGoAMwA1AG0ALAAgAEQAXwBqADMANQAsACAATQBQAFcAXwBtAGEAbgB1AHIAZQBfAGoAMwA1ACwAIABEAFAAVwBfAGoAMwA1ACwAXABuACAAIAAgACAAKAAoAE4AXwBqADEAMgA0ACAAKgAgAE0AXwBqADEAMgA0AG0AIAAqACAARABfAGoAMQAyADQAKQAgACsAIAAoAE4AXwBqADMANQAgACoAIABNAF8AagAzADUAbQAgACoAIABEAF8AagAzADUAKQAgACsAIAAoAE4AXwBqADMANQAgACoAIABNAFAAVwBfAG0AYQBuAHUAcgBlAF8AagAzADUAIAAqACAARABQAFcAXwBqADMANQApACkAIAAqACAAMQAwACAAXgAgAC0AMwBcAG4AIAAgACkAOwBcAG4AXABuAFwAbgBWAEUARQBSAEcAXwA0AF8AMwBfADEAXwAxAF8AXwAxAF8AVABvAHQAYQBsAEEAbgBuAHUAYQBsAE0AZQB0AGgAYQBuAGUARgByAG8AbQBNAGEAbgB1AHIAZQBNAGEAbgBhAGcAZQBtAGUAbgB0AF8AVABpAHQAbABlAFwAbgAgACAAPQBMAEEATQBCAEQAQQAoAFwAIgBUAG8AdABhAGwAIABhAG4AbgB1AGEAbAAgAG0AZQB0AGgAYQBuAGUAIABwAHIAbwBkAHUAYwB0AGkAbwBuACAAZgByAG8AbQAgAG0AYQBuAHUAcgBlACAAbQBhAG4AYQBnAGUAbQBlAG4AdABcACIAKQA7AFwAbgBcAG4AVgBFAEUAUgBHAF8ANABfADMAXwAxAF8AMQBfAF8AMQBfAFQAbwB0AGEAbABBAG4AbgB1AGEAbABNAGUAdABoAGEAbgBlAEYAcgBvAG0ATQBhAG4AdQByAGUATQBhAG4AYQBnAGUAbQBlAG4AdABfAFYAYQByAGkAYQBiAGwAZQBcAG4AIAAgAD0ATABBAE0AQgBEAEEAKABcACIARQBfAEMASAA0AFwAIgApADsAXABuAFwAbgBWAEUARQBSAEcAXwA0AF8AMwBfADEAXwAxAF8AXwAxAF8AVABvAHQAYQBsAEEAbgBuAHUAYQBsAE0AZQB0AGgAYQBuAGUARgByAG8AbQBNAGEAbgB1AHIAZQBNAGEAbgBhAGcAZQBtAGUAbgB0AF8AVQBuAGkAdABcAG4AIAAgAD0ATABBAE0AQgBEAEEAKABcACIAdAAgAEMASAA0AFwAIgApADsAXABuAFwAbgBWAEUARQBSAEcAXwA0AF8AMwBfADEAXwAxAF8AXwAxAF8AVABvAHQAYQBsAEEAbgBuAHUAYQBsAE0AZQB0AGgAYQBuAGUARgByAG8AbQBNAGEAbgB1AHIAZQBNAGEAbgBhAGcAZQBtAGUAbgB0AF8AUwBvAHUAcgBjAGUAXABuACAAIAA9AEwAQQBNAEIARABBACgAXAAiAFYARQBFAFIARwAgADIAMAAyADYAOgAgADQALgAzAC4AMQAuADEALAAgAEUAcQB1AGEAdABpAG8AbgAgACgAMQApAFwAIgApADsAXABuAFwAbgBWAEUARQBSAEcAXwA0AF8AMwBfADEAXwAxAF8AXwAxAF8AVABvAHQAYQBsAEEAbgBuAHUAYQBsAE0AZQB0AGgAYQBuAGUARgByAG8AbQBNAGEAbgB1AHIAZQBNAGEAbgBhAGcAZQBtAGUAbgB0AF8ATgBJAFIAUgBlAGYAZQByAGUAbgBjAGUAXABuACAAIAA9AEwAQQBNAEIARABBACgAXAAiAFwAIgApADsAXABuAFwAbgBWAEUARQBSAEcAXwA0AF8AMwBfADEAXwAxAF8AXwAxAF8AVABvAHQAYQBsAEEAbgBuAHUAYQBsAE0AZQB0AGgAYQBuAGUARgByAG8AbQBNAGEAbgB1AHIAZQBNAGEAbgBhAGcAZQBtAGUAbgB0AF8ATABhAHQAZQB4AEUAcQB1AGEAdABpAG8AbgBcAG4AIAAgAD0ATABBAE0AQgBEAEEAKABcACIARQBfAHsAQwBIADQAfQA9AFwAXABzAHUAbQBcAFwAbgBvAGwAaQBtAGkAdABzAF8AewBqAH0AXABcAHMAdQBtAFwAXABuAG8AbABpAG0AaQB0AHMAXwB7AG0AfQAoACgATgBfAHsAagA9ADEALAAyACwANAB9AFwAXAB0AGkAbQBlAHMAIABNAF8AewBqAD0AMQAsADIALAA0ACwAbQB9AFwAXAB0AGkAbQBlAHMAIABEAF8AewBqAD0AMQAsADIALAA0AH0AKQArACgATgBfAHsAagA9ADMALAA1AH0AXABcAHQAaQBtAGUAcwAgAE0AXwB7AGoAPQAzACwANQAsAG0AfQBcAFwAdABpAG0AZQBzACAARABfAHsAagA9ADMALAA1AH0AKQArACgATgBfAHsAagA9ADMALAA1AH0AXABcAHQAaQBtAGUAcwAgAE0AUABXAF8AewBtAGEAbgB1AHIAZQAsAGoAPQAzACwANQB9AFwAXAB0AGkAbQBlAHMAIABEAF8AewBqAD0AMwAsADUAfQApACkAXABcAHQAaQBtAGUAcwAgADEAMABeAHsALQAzAH0AXAAiACkAOwBcAG4AXABuAFYARQBFAFIARwBfADQAXwAzAF8AMQBfADEAXwBfADEAXwBUAG8AdABhAGwAQQBuAG4AdQBhAGwATQBlAHQAaABhAG4AZQBGAHIAbwBtAE0AYQBuAHUAcgBlAE0AYQBuAGEAZwBlAG0AZQBuAHQAXwBMAGEAdABlAHgARQBxAHUAYQB0AGkAbwBuAFYAYQByAGkAYQB0AGkAbwBuAFwAbgAgACAAPQBMAEEATQBCAEQAQQAoAFwAIgBFAF8AewBDAEgANAB9AD0AXABcAHMAdQBtAFwAXABuAG8AbABpAG0AaQB0AHMAXwB7AGoAfQBcAFwAcwB1AG0AXABcAG4AbwBsAGkAbQBpAHQAcwBfAHsAbQB9ACgAKABOAF8AewBqAD0AMQAsADIALAA0AH0AXABcAHQAaQBtAGUAcwAgAE0AXwB7AGoAPQAxACwAMgAsADQALABtAH0AXABcAHQAaQBtAGUAcwAgAEQAXwB7AGoAPQAxACwAMgAsADQAfQApACsAKABOAF8AewBqAD0AMwAsADUAfQBcAFwAdABpAG0AZQBzACAATQBfAHsAagA9ADMALAA1ACwAbQB9AFwAXAB0AGkAbQBlAHMAIABEAF8AewBqAD0AMwAsADUAfQApACsAKABOAF8AewBqAD0AMwAsADUAfQBcAFwAdABpAG0AZQBzACAATQBQAFcAXwB7AG0AYQBuAHUAcgBlACwAagA9ADMALAA1AH0AXABcAHQAaQBtAGUAcwAgAEQAUABXAF8AewBqAD0AMwAsADUAfQApACkAXABcAHQAaQBtAGUAcwAgADEAMABeAHsALQAzAH0AXAAiACkAOwBcAG4AXABuAFYARQBFAFIARwBfADQAXwAzAF8AMQBfADEAXwBfADEAXwBUAG8AdABhAGwAQQBuAG4AdQBhAGwATQBlAHQAaABhAG4AZQBGAHIAbwBtAE0AYQBuAHUAcgBlAE0AYQBuAGEAZwBlAG0AZQBuAHQAXwBBAHIAZwB1AG0AZQBuAHQAcwBcAG4AIAAgAD0ATABBAE0AQgBEAEEAKABcAG4AIAAgACAAIABNAEEASwBFAEEAUgBSAEEAWQAoADgALAAgADQALABcAG4AIAAgACAAIAAgACAATABBAE0AQgBEAEEAKAByACwAYwAsAFwAbgAgACAAIAAgACAAIAAgACAASQBOAEQARQBYACgAewBcAG4AIAAgACAAIAAgACAAIAAgACAAIABcACIATgBfAGoAMQAyADQAXAAiACwAIABcACIAbgB1AG0AYgBlAHIAIABvAGYAIABkAGEAaQByAHkAIABjAGEAdAB0AGwAZQAgAGkAbgAgAGMAbABhAHMAcwBlAHMAIABqAD0AMQAsADIALAA0AFwAIgAsACAAXAAiAGgAZQBhAGQAXAAiACwAIABcACIASQBuAHAAdQB0AFwAIgA7AFwAbgAgACAAIAAgACAAIAAgACAAIAAgAFwAIgBNAF8AagAxADIANABtAFwAIgAsACAAXAAiAG0AZQB0AGgAYQBuAGUAIABwAHIAbwBkAHUAYwB0AGkAbwBuACAAZgByAG8AbQAgAG0AYQBuAHUAcgBlACAAbwBmACAAdwBlAGEAbgBlAGQAIABkAGEAaQByAHkAIABjAGEAdAB0AGwAZQAgAGkAbgAgAGMAbABhAHMAcwBlAHMAIABqAD0AMQAsADIALAA0ACAAaQBuACAATQBNAFMAIABtAFwAIgAsACAAXAAiAGsAZwAgAEMASAA0AC8AaABlAGEAZAAvAGQAYQB5AFwAIgAsACAAXAAiAEMAYQBsAGMAdQBsAGEAdABlAGQAIABmAHIAbwBtACAANAAuADMALgAxAC4AMQAgACgAMgApAFwAIgA7AFwAbgAgACAAIAAgACAAIAAgACAAIAAgAFwAIgBEAF8AagAxADIANABcACIALAAgAFwAIgBkAHUAcgBhAHQAaQBvAG4AIABvAGYAIABzAHQAYQB5ACAAbwBuACAAZgBhAHIAbQAgAGYAbwByACAAYwBsAGEAcwBzAGUAcwAgAGoAPQAxACwAMgAsADQAXAAiACwAIABcACIAZABhAHkAcwBcACIALAAgAFwAIgBJAG4AcAB1AHQAXAAiADsAXABuACAAIAAgACAAIAAgACAAIAAgACAAXAAiAE4AXwBqADMANQBcACIALAAgAFwAIgBuAHUAbQBiAGUAcgAgAG8AZgAgAGQAYQBpAHIAeQAgAGMAYQB0AHQAbABlACAAaQBuACAAYwBsAGEAcwBzAGUAcwAgAGoAPQAzACwANQBcACIALAAgAFwAIgBoAGUAYQBkAFwAIgAsACAAXAAiAEkAbgBwAHUAdABcACIAOwBcAG4AIAAgACAAIAAgACAAIAAgACAAIABcACIATQBfAGoAMwA1AG0AXAAiACwAIABcACIAbQBlAHQAaABhAG4AZQAgAHAAcgBvAGQAdQBjAHQAaQBvAG4AIABmAHIAbwBtACAAbQBhAG4AdQByAGUAIABvAGYAIAB3AGUAYQBuAGUAZAAgAGQAYQBpAHIAeQAgAGMAYQB0AHQAbABlACAAaQBuACAAYwBsAGEAcwBzAGUAcwAgAGoAPQAzACwANQAgAGkAbgAgAE0ATQBTACAAbQBcACIALAAgAFwAIgBrAGcAIABDAEgANAAvAGgAZQBhAGQALwBkAGEAeQBcACIALAAgAFwAIgBDAGEAbABjAHUAbABhAHQAZQBkACAAZgByAG8AbQAgADQALgAzAC4AMQAuADEAIAAoADIAKQBcACIAOwBcAG4AIAAgACAAIAAgACAAIAAgACAAIABcACIARABfAGoAMwA1AFwAIgAsACAAXAAiAGQAdQByAGEAdABpAG8AbgAgAG8AZgAgAHMAdABhAHkAIABvAG4AIABmAGEAcgBtACAAZgBvAHIAIABjAGwAYQBzAHMAZQBzACAAagA9ADMALAA1AFwAIgAsACAAXAAiAGQAYQB5AHMAXAAiACwAIABcACIASQBuAHAAdQB0AFwAIgA7AFwAbgAgACAAIAAgACAAIAAgACAAIAAgAFwAIgBNAFAAVwBfAG0AYQBuAHUAcgBlAF8AagAzADUAXAAiACwAIABcACIAbQBlAHQAaABhAG4AZQAgAHAAcgBvAGQAdQBjAHQAaQBvAG4AIABmAHIAbwBtACAAbQBhAG4AdQByAGUAIABvAGYAIABwAHIAZQAtAHcAZQBhAG4AZQBkACAAaABlAGkAZgBlAHIAIABhAG4AZAAgAGIAdQBsAGwAIABjAGEAbAB2AGUAcwBcACIALAAgAFwAIgBrAGcAIABDAEgANAAvAGgAZQBhAGQALwBkAGEAeQBcACIALAAgAFwAIgBDAG8AbgBzAHQAYQBuAHQAXAAiADsAXABuACAAIAAgACAAIAAgACAAIAAgACAAXAAiAEQAUABXAF8AagAzADUAXAAiACwAIABcACIAZAB1AHIAYQB0AGkAbwBuACAAbwBmACAAcwB0AGEAeQAgAG8AbgAgAGYAYQByAG0AIABmAG8AcgAgAHAAcgBlAC0AdwBlAGEAbgBlAGQAIABoAGUAaQBmAGUAcgAgAGEAbgBkACAAYgB1AGwAbAAgAGMAYQBsAHYAZQBzAFwAIgAsACAAXAAiAGQAYQB5AHMAXAAiACwAIABcACIASQBuAHAAdQB0AFwAIgBcAG4AIAAgACAAIAAgACAAIAAgAH0ALAAgAHIALAAgAGMAKQBcAG4AIAAgACAAIAAgACAAKQBcAG4AIAAgACAAIAApAFwAbgAgACAAKQA7AFwAbgBcAG4AVgBFAEUAUgBHAF8ANABfADMAXwAxAF8AMQBfAF8AMQBfAFQAbwB0AGEAbABBAG4AbgB1AGEAbABNAGUAdABoAGEAbgBlAEYAcgBvAG0ATQBhAG4AdQByAGUATQBhAG4AYQBnAGUAbQBlAG4AdABfAFYAYQByAGkAYQB0AGkAbwBuAFwAbgAgACAAPQBMAEEATQBCAEQAQQAoAFwAIgBWAEEAUgBJAEEAVABJAE8ATgA6ACAAVQBzAGUAZAAgAHMAZQBwAGEAcgBhAHQAZQAgAHYAYQByAGkAYQBiAGwAZQAgAGYAbwByACAAZAB1AHIAYQB0AGkAbwBuACAAbwBmACAAcwB0AGEAeQAgAG8AbgAgAGYAYQByAG0AIABmAG8AcgAgAHAAcgBlAC0AdwBlAGEAbgBlAGQAIABoAGUAaQBmAGUAcgAgAGEAbgBkACAAYgB1AGwAbAAgAGMAYQBsAHYAZQBzAC4AXAAiACkAOwBcAG4AXABuAC8AKgBcAG4ALQAtAC0ALQAtAC0ALQAtAC0ALQAtAC0ALQAtAC0ALQAtAC0ALQAtAC0ALQAtAC0ALQAtAC0ALQAtAC0ALQAtAC0ALQAtAC0ALQAtAFwAbgBWAEUARQBSAEcAXwA0AF8AMwBfADEAXwAxAF8AXwAyAF8ATQBlAHQAaABhAG4AZQBGAHIAbwBtAE0AYQBuAHUAcgBlAFAAcgBvAGQAdQBjAHQAaQBvAG4AXABuAE0AZQB0AGgAYQBuAGUAIABmAHIAbwBtACAAbQBhAG4AdQByAGUAIABwAHIAbwBkAHUAYwB0AGkAbwBuACAAZgByAG8AbQAgAHcAZQBhAG4AZQBkACAAZABhAGkAcgB5ACAAYwBhAHQAdABsAGUAXABuAE0AXwBqAG0AXABuAGsAZwAgAEMASAA0AC8AaABlAGEAZAAvAGQAYQB5AFwAbgBNAF8AewBqAG0AfQA9AFYAUwBfAGoAXABcAHQAaQBtAGUAcwAgAEYAVgBTAF8AewBqAG0ALABUAD0AMQB9AFwAXAB0AGkAbQBlAHMAIABNAEMARgBfAHsAaQBtAH0AXABcAHQAaQBtAGUAcwAgAEIAXwBvAFwAXAB0AGkAbQBlAHMAIABcAFwAcgBoAG8AXABuAFYAUwBfAGoAIAA9ACAAZABhAGkAbAB5ACAAdgBvAGwAYQB0AGkAbABlACAAcwBvAGwAaQBkAHMAIABwAHIAbwBkAHUAYwB0AGkAbwBuACAAcABlAHIAIABoAGUAYQBkACAAZgBvAHIAIABkAGEAaQByAHkAIABjAGEAdAB0AGwAZQAgACgAawBnAC8AaABlAGEAZAAvAGQAYQB5ACkAXABuAEYAVgBTAF8AagBtAFQAMQAgAD0AIABmAHIAYQBjAHQAaQBvAG4AIABvAGYAIAB3AGEAcwB0AGUAIABmAHIAbwBtACAAZQBhAGMAaAAgAGMAbABhAHMAcwAgAGkAbgAgAGUAYQBjAGgAIABtAGEAbgBhAGcAZQBtAGUAbgB0ACAAcwB5AHMAdABlAG0AXABuAE0AQwBGAF8AaQBtACAAPQAgAG0AZQB0AGgAYQBuAGUAIABjAG8AbgB2AGUAcgBzAGkAbwBuACAAZgBhAGMAdABvAHIAIABmAG8AcgAgAHQAZQBtAHAAZQByAGEAdAB1AHIAZQAgAHoAbwBuAGUAIABhAG4AZAAgAE0ATQBTAFwAbgBCAF8AbwAgAD0AIABlAG0AaQBzAHMAaQBvAG4AcwAgAHAAbwB0AGUAbgB0AGkAYQBsACAAKABtADMAIABDAEgANAAvAGsAZwBWAFMAKQBcAG4AcgBoAG8AIAA9ACAAZABlAG4AcwBpAHQAeQAgAG8AZgAgAG0AZQB0AGgAYQBuAGUAIAAoAGsAZwAvAG0AMwApAFwAbgAtAC0ALQAtAC0ALQAtAC0ALQAtAC0ALQAtAC0ALQAtAC0ALQAtAC0ALQAtAC0ALQAtAC0ALQAtAC0ALQAtAC0ALQAtAC0ALQAtAC0AXABuACoALwBcAG4AXABuAFYARQBFAFIARwBfADQAXwAzAF8AMQBfADEAXwBfADIAXwBNAGUAdABoAGEAbgBlAEYAcgBvAG0ATQBhAG4AdQByAGUAUAByAG8AZAB1AGMAdABpAG8AbgBcAG4AIAAgAD0ATABBAE0AQgBEAEEAKABcAG4AIAAgACAAIABWAFMAXwBqACwAIABGAFYAUwBfAGoAbQBUADEALAAgAE0AQwBGAF8AaQBtACwAIABCAF8AbwAsACAAcgBoAG8ALABcAG4AIAAgACAAIABWAFMAXwBqACAAKgAgAEYAVgBTAF8AagBtAFQAMQAgACoAIABNAEMARgBfAGkAbQAgACoAIABCAF8AbwAgACoAIAByAGgAbwBcAG4AIAAgACkAOwBcAG4AXABuAFYARQBFAFIARwBfADQAXwAzAF8AMQBfADEAXwBfADIAXwBNAGUAdABoAGEAbgBlAEYAcgBvAG0ATQBhAG4AdQByAGUAUAByAG8AZAB1AGMAdABpAG8AbgBfAFQAaQB0AGwAZQBcAG4AIAAgAD0ATABBAE0AQgBEAEEAKABcACIATQBlAHQAaABhAG4AZQAgAGYAcgBvAG0AIABtAGEAbgB1AHIAZQAgAHAAcgBvAGQAdQBjAHQAaQBvAG4AIABmAHIAbwBtACAAdwBlAGEAbgBlAGQAIABkAGEAaQByAHkAIABjAGEAdAB0AGwAZQBcACIAKQA7AFwAbgBcAG4AVgBFAEUAUgBHAF8ANABfADMAXwAxAF8AMQBfAF8AMgBfAE0AZQB0AGgAYQBuAGUARgByAG8AbQBNAGEAbgB1AHIAZQBQAHIAbwBkAHUAYwB0AGkAbwBuAF8AVgBhAHIAaQBhAGIAbABlAFwAbgAgACAAPQBMAEEATQBCAEQAQQAoAFwAIgBNAF8AagBtAFwAIgApADsAXABuAFwAbgBWAEUARQBSAEcAXwA0AF8AMwBfADEAXwAxAF8AXwAyAF8ATQBlAHQAaABhAG4AZQBGAHIAbwBtAE0AYQBuAHUAcgBlAFAAcgBvAGQAdQBjAHQAaQBvAG4AXwBVAG4AaQB0AFwAbgAgACAAPQBMAEEATQBCAEQAQQAoAFwAIgBrAGcAIABDAEgANAAvAGgAZQBhAGQALwBkAGEAeQBcACIAKQA7AFwAbgBcAG4AVgBFAEUAUgBHAF8ANABfADMAXwAxAF8AMQBfAF8AMgBfAE0AZQB0AGgAYQBuAGUARgByAG8AbQBNAGEAbgB1AHIAZQBQAHIAbwBkAHUAYwB0AGkAbwBuAF8AUwBvAHUAcgBjAGUAXABuACAAIAA9AEwAQQBNAEIARABBACgAXAAiAFYARQBFAFIARwAgADIAMAAyADYAOgAgADQALgAzAC4AMQAuADEALAAgAEUAcQB1AGEAdABpAG8AbgAgACgAMgApAFwAIgApADsAXABuAFwAbgBWAEUARQBSAEcAXwA0AF8AMwBfADEAXwAxAF8AXwAyAF8ATQBlAHQAaABhAG4AZQBGAHIAbwBtAE0AYQBuAHUAcgBlAFAAcgBvAGQAdQBjAHQAaQBvAG4AXwBOAEkAUgBSAGUAZgBlAHIAZQBuAGMAZQBcAG4AIAAgAD0ATABBAE0AQgBEAEEAKABcACIAXAAiACkAOwBcAG4AXABuAFYARQBFAFIARwBfADQAXwAzAF8AMQBfADEAXwBfADIAXwBNAGUAdABoAGEAbgBlAEYAcgBvAG0ATQBhAG4AdQByAGUAUAByAG8AZAB1AGMAdABpAG8AbgBfAEwAYQB0AGUAeABFAHEAdQBhAHQAaQBvAG4AXABuACAAIAA9AEwAQQBNAEIARABBACgAXAAiAE0AXwB7AGoAbQB9AD0AVgBTAF8AagBcAFwAdABpAG0AZQBzACAARgBWAFMAXwB7AGoAbQAsAFQAPQAxAH0AXABcAHQAaQBtAGUAcwAgAE0AQwBGAF8AewBpAG0AfQBcAFwAdABpAG0AZQBzACAAQgBfAG8AXABcAHQAaQBtAGUAcwAgAFwAXAByAGgAbwBcACIAKQA7AFwAbgBcAG4AVgBFAEUAUgBHAF8ANABfADMAXwAxAF8AMQBfAF8AMgBfAE0AZQB0AGgAYQBuAGUARgByAG8AbQBNAGEAbgB1AHIAZQBQAHIAbwBkAHUAYwB0AGkAbwBuAF8AQQByAGcAdQBtAGUAbgB0AHMAXABuACAAIAA9AEwAQQBNAEIARABBACgAXABuACAAIAAgACAATQBBAEsARQBBAFIAUgBBAFkAKAA2ACwAIAA0ACwAXABuACAAIAAgACAAIAAgAEwAQQBNAEIARABBACgAcgAsAGMALABcAG4AIAAgACAAIAAgACAAIAAgAEkATgBEAEUAWAAoAHsAXABuACAAIAAgACAAIAAgACAAIAAgACAAXAAiAFYAUwBfAGoAXAAiACwAIABcACIAZABhAGkAbAB5ACAAdgBvAGwAYQB0AGkAbABlACAAcwBvAGwAaQBkAHMAIABwAHIAbwBkAHUAYwB0AGkAbwBuACAAcABlAHIAIABoAGUAYQBkACAAZgBvAHIAIABkAGEAaQByAHkAIABjAGEAdAB0AGwAZQAgACgAawBnAC8AaABlAGEAZAAvAGQAYQB5ACkAXAAiACwAIABcACIAawBnAC8AaABlAGEAZAAvAGQAYQB5AFwAIgAsACAAXAAiAEMAYQBsAGMAdQBsAGEAdABlAGQAIABmAHIAbwBtACAANAAuADMALgAxAC4AMQAgACgAMwApAFwAIgA7AFwAbgAgACAAIAAgACAAIAAgACAAIAAgAFwAIgBGAFYAUwBfAGoAbQBUADEAXAAiACwAIABcACIAZgByAGEAYwB0AGkAbwBuACAAbwBmACAAdwBhAHMAdABlACAAZgByAG8AbQAgAGUAYQBjAGgAIABjAGwAYQBzAHMAIABpAG4AIABlAGEAYwBoACAAbQBhAG4AYQBnAGUAbQBlAG4AdAAgAHMAeQBzAHQAZQBtAFwAIgAsACAAXAAiAGYAcgBhAGMAdABpAG8AbgBcACIALAAgAFwAIgBDAGEAbABjAHUAbABhAHQAZQBkACAAZgByAG8AbQAgADQALgAzAC4AMQAuADEAIAAoADQAKQAoADUAKQ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QgBfAG8AXAAiACwAIABcACIAZQBtAGkAcwBzAGkAbwBuAHMAIABwAG8AdABlAG4AdABpAGEAbAAgACgAbQAzACAAQwBIADQALwBrAGcAVgBTACkAXAAiACwAIABcACIAbQAzACAAQwBIADQALwBrAGcAVgBTAFwAIgAsACAAXAAiAEMAbwBuAHMAdABhAG4AdABcACIAOwBcAG4AIAAgACAAIAAgACAAIAAgACAAIABcACIAcgBoAG8AXAAiACwAIABcACIAZABlAG4AcwBpAHQAeQAgAG8AZgAgAG0AZQB0AGgAYQBuAGUAIAAoAGsAZwAvAG0AMwApAFwAIgAsACAAXAAiAGsAZwAvAG0AMwBcACIALAAgAFwAIgBDAG8AbgBzAHQAYQBuAHQAXAAiADsAXABuACAAIAAgACAAIAAgACAAIAAgACAAXAAiAGkAXAAiACwAIABcACIAcwB0AGEAdABlAFwAIgAsACAAXAAiAHMAdABhAHQAZQBcACIALAAgAFwAIgBJAG4AcAB1AHQAXAAiAFwAbgAgACAAIAAgACAAIAAgACAAfQAsACAAcgAsACAAYwApAFwAbgAgACAAIAAgACAAIAApAFwAbgAgACAAIAAgACkAXABuACAAIAApADsAXABuAFwAbgBWAEUARQBSAEcAXwA0AF8AMwBfADEAXwAxAF8AXwAyAF8ATQBlAHQAaABhAG4AZQBGAHIAbwBtAE0AYQBuAHUAcgBlAFAAcgBvAGQAdQBjAHQAaQBvAG4AXwBBAHIAZwB1AG0AZQBuAHQAcwBfAE0AZQB0AGgAbwBkADIAXABuACAAIAA9AEwAQQBNAEIARABBACgAXABuACAAIAAgACAATQBBAEsARQBBAFIAUgBBAFkAKAA2ACwAIAA0ACwAXABuACAAIAAgACAAIAAgAEwAQQBNAEIARABBACgAcgAsAGMALABcAG4AIAAgACAAIAAgACAAIAAgAEkATgBEAEUAWAAoAHsAXABuACAAIAAgACAAIAAgACAAIAAgACAAXAAiAFYAUwBfAGoAXAAiACwAIABcACIAZABhAGkAbAB5ACAAdgBvAGwAYQB0AGkAbABlACAAcwBvAGwAaQBkAHMAIABwAHIAbwBkAHUAYwB0AGkAbwBuACAAcABlAHIAIABoAGUAYQBkACAAZgBvAHIAIABkAGEAaQByAHkAIABjAGEAdAB0AGwAZQAgACgAawBnAC8AaABlAGEAZAAvAGQAYQB5ACkAXAAiACwAIABcACIAawBnAC8AaABlAGEAZAAvAGQAYQB5AFwAIgAsACAAXAAiAEMAYQBsAGMAdQBsAGEAdABlAGQAIABmAHIAbwBtACAANAAuADMALgAxAC4AMQAgACgAMwApAFwAIgA7AFwAbgAgACAAIAAgACAAIAAgACAAIAAgAFwAIgBGAFYAUwBfAGoAbQBUADEAXAAiACwAIABcACIAZgByAGEAYwB0AGkAbwBuACAAbwBmACAAdwBhAHMAdABlACAAZgByAG8AbQAgAGUAYQBjAGgAIABjAGwAYQBzAHMAIABpAG4AIABlAGEAYwBoACAAbQBhAG4AYQBnAGUAbQBlAG4AdAAgAHMAeQBzAHQAZQBtAFwAIgAsACAAXAAiAGYAcgBhAGMAdABpAG8AbgBcACIALAAgAFwAIgBDAGEAbABjAHUAbABhAHQAZQBkACAAZgByAG8AbQAgADQALgAzAC4AMQAuADEAIAAoADQAKQAoADUAKQ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QgBfAG8AXAAiACwAIABcACIAZQBtAGkAcwBzAGkAbwBuAHMAIABwAG8AdABlAG4AdABpAGEAbAAgACgAbQAzACAAQwBIADQALwBrAGcAVgBTACkAXAAiACwAIABcACIAbQAzACAAQwBIADQALwBrAGcAVgBTAFwAIgAsACAAXAAiAEMAbwBuAHMAdABhAG4AdABcACIAOwBcAG4AIAAgACAAIAAgACAAIAAgACAAIABcACIAcgBoAG8AXAAiACwAIABcACIAZABlAG4AcwBpAHQAeQAgAG8AZgAgAG0AZQB0AGgAYQBuAGUAIAAoAGsAZwAvAG0AMwApAFwAIgAsACAAXAAiAGsAZwAvAG0AMwBcACIALAAgAFwAIgBDAG8AbgBzAHQAYQBuAHQAXAAiADsAXABuACAAIAAgACAAIAAgACAAIAAgACAAXAAiAE0AQQBUAFwAIgAsACAAXAAiAE0AZQBhAG4AIABhAG4AbgB1AGEAbAAgAHQAZQBtAHAAZQByAGEAdAB1AHIAZQBcACIALAAgAFwAIgCwAE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EAXwBfADMAXwBWAG8AbABhAHQAaQBsAGUAUwBvAGwAaQBkAHMARgBvAHIAVwBlAGEAbgBlAGQARABhAGkAcgB5AEMAYQB0AHQAbABlAFwAbgBWAG8AbABhAHQAaQBsAGUAIABzAG8AbABpAGQAcwAgAGYAbwByACAAdwBlAGEAbgBlAGQAIABkAGEAaQByAHkAIABjAGEAdAB0AGwAZQBcAG4AVgBTAF8AagBcAG4AawBnAC8AaABlAGEAZAAvAGQAYQB5AFwAbgBWAFMAXwBqAD0AKABJAF8AagBcAFwAdABpAG0AZQBzACAAKAAxAC0ARABNAEQAXwBqACkAKwAoADAALgAwADQAXABcAHQAaQBtAGUAcwAgAEkAXwBqACkAKQBcAFwAdABpAG0AZQBzACAAKAAxAC0AQQApAFwAbgBJAF8AagAgAD0AIABkAHIAeQAgAG0AYQB0AHQAZQByACAAZgBlAGUAZAAgAGkAbgB0AGEAawBlACAAKABrAGcARABNAC8AaABlAGEAZAAvAGQAYQB5ACkAXABuAEQATQBEAF8AagAgAD0AIABkAHIAeQAgAG0AYQB0AHQAZQByACAAZABpAGcAZQBzAHQAaQBiAGkAbABpAHQAeQBcAG4AQQAgAD0AIABhAHMAaAAgAGMAbwBuAHQAZQBuAHQAIABvAGYAIABmAGUAZQBkACAAaQBuAHQAYQBrAGUAXABuAC0ALQAtAC0ALQAtAC0ALQAtAC0ALQAtAC0ALQAtAC0ALQAtAC0ALQAtAC0ALQAtAC0ALQAtAC0ALQAtAC0ALQAtAC0ALQAtAC0ALQBcAG4AKgAvAFwAbgBcAG4AVgBFAEUAUgBHAF8ANABfADMAXwAxAF8AMQBfAF8AMwBfAFYAbwBsAGEAdABpAGwAZQBTAG8AbABpAGQAcwBGAG8AcgBXAGUAYQBuAGUAZABEAGEAaQByAHkAQwBhAHQAdABsAGUAXABuACAAIAA9AEwAQQBNAEIARABBACgAXABuACAAIAAgACAASQBfAGoALAAgAEQATQBEAF8AagAsACAAQQAsAFwAbgAgACAAIAAgACgASQBfAGoAIAAqACAAKAAxACAALQAgAEQATQBEAF8AagApACAAKwAgACgAMAAuADAANAAgACoAIABJAF8AagApACkAIAAqACAAKAAxACAALQAgAEEAKQBcAG4AIAAgACkAOwBcAG4AXABuAFYARQBFAFIARwBfADQAXwAzAF8AMQBfADEAXwBfADMAXwBWAG8AbABhAHQAaQBsAGUAUwBvAGwAaQBkAHMARgBvAHIAVwBlAGEAbgBlAGQARABhAGkAcgB5AEMAYQB0AHQAbABlAF8AVABpAHQAbABlAFwAbgAgACAAPQBMAEEATQBCAEQAQQAoAFwAIgBWAG8AbABhAHQAaQBsAGUAIABzAG8AbABpAGQAcwAgAGYAbwByACAAdwBlAGEAbgBlAGQAIABkAGEAaQByAHkAIABjAGEAdAB0AGwAZQBcACIAKQA7AFwAbgBcAG4AVgBFAEUAUgBHAF8ANABfADMAXwAxAF8AMQBfAF8AMwBfAFYAbwBsAGEAdABpAGwAZQBTAG8AbABpAGQAcwBGAG8AcgBXAGUAYQBuAGUAZABEAGEAaQByAHkAQwBhAHQAdABsAGUAXwBWAGEAcgBpAGEAYgBsAGUAXABuACAAIAA9AEwAQQBNAEIARABBACgAXAAiAFYAUwBfAGoAXAAiACkAOwBcAG4AXABuAFYARQBFAFIARwBfADQAXwAzAF8AMQBfADEAXwBfADMAXwBWAG8AbABhAHQAaQBsAGUAUwBvAGwAaQBkAHMARgBvAHIAVwBlAGEAbgBlAGQARABhAGkAcgB5AEMAYQB0AHQAbABlAF8AVQBuAGkAdABcAG4AIAAgAD0ATABBAE0AQgBEAEEAKABcACIAawBnAC8AaABlAGEAZAAvAGQAYQB5AFwAIgApADsAXABuAFwAbgBWAEUARQBSAEcAXwA0AF8AMwBfADEAXwAxAF8AXwAzAF8AVgBvAGwAYQB0AGkAbABlAFMAbwBsAGkAZABzAEYAbwByAFcAZQBhAG4AZQBkAEQAYQBpAHIAeQBDAGEAdAB0AGwAZQBfAFMAbwB1AHIAYwBlAFwAbgAgACAAPQBMAEEATQBCAEQAQQAoAFwAIgBWAEUARQBSAEcAIAAyADAAMgA2ADoAIAA0AC4AMwAuADEALgAxACwAIABFAHEAdQBhAHQAaQBvAG4AIAAoADMAKQBcACIAKQA7AFwAbgBcAG4AVgBFAEUAUgBHAF8ANABfADMAXwAxAF8AMQBfAF8AMwBfAFYAbwBsAGEAdABpAGwAZQBTAG8AbABpAGQAcwBGAG8AcgBXAGUAYQBuAGUAZABEAGEAaQByAHkAQwBhAHQAdABsAGUAXwBOAEkAUgBSAGUAZgBlAHIAZQBuAGMAZQBcAG4AIAAgAD0ATABBAE0AQgBEAEEAKABcACIAXAAiACkAOwBcAG4AXABuAFYARQBFAFIARwBfADQAXwAzAF8AMQBfADEAXwBfADMAXwBWAG8AbABhAHQAaQBsAGUAUwBvAGwAaQBkAHMARgBvAHIAVwBlAGEAbgBlAGQARABhAGkAcgB5AEMAYQB0AHQAbABlAF8ATABhAHQAZQB4AEUAcQB1AGEAdABpAG8AbgBcAG4AIAAgAD0ATABBAE0AQgBEAEEAKABcACIAVgBTAF8AagA9ACgASQBfAGoAXABcAHQAaQBtAGUAcwAgACgAMQAtAEQATQBEAF8AagApACsAKAAwAC4AMAA0AFwAXAB0AGkAbQBlAHMAIABJAF8AagApACkAXABcAHQAaQBtAGUAcwAgACgAMQAtAEEAKQBcACIAKQA7AFwAbgBcAG4AVgBFAEUAUgBHAF8ANABfADMAXwAxAF8AMQBfAF8AMwBfAFYAbwBsAGEAdABpAGwAZQBTAG8AbABpAGQAcwBGAG8AcgBXAGUAYQBuAGUAZABEAGEAaQByAHkAQwBhAHQAdABsAGUAXwBBAHIAZwB1AG0AZQBuAHQAcwBcAG4AIAAgAD0ATABBAE0AQgBEAEEAKABcAG4AIAAgACAAIABNAEEASwBFAEEAUgBSAEEAWQAoADMALAAgADQALABcAG4AIAAgACAAIAAgACAATABBAE0AQgBEAEEAKAByACwAYwAsAFwAbgAgACAAIAAgACAAIAAgACAASQBOAEQARQBYACgAewBcAG4AIAAgACAAIAAgACAAIAAgACAAIABcACIASQBfAGoAXAAiACwAIABcACIAZAByAHkAIABtAGEAdAB0AGUAcgAgAGYAZQBlAGQAIABpAG4AdABhAGsAZQAgACgAawBnAEQATQAvAGgAZQBhAGQALwBkAGEAeQApAFwAIgAsACAAXAAiAGsAZwBEAE0ALwBoAGUAYQBkAC8AZABhAHkAXAAiACwAIABcACIAQwBhAGwAYwB1AGwAYQB0AGUAZAAgAGYAcgBvAG0AIAAzAC4AMwAuADEALgAxACAAKAAzACkAXAAiADsAXABuACAAIAAgACAAIAAgACAAIAAgACAAXAAiAEQATQBEAF8AagBcACIALAAgAFwAIgBkAHIAeQAgAG0AYQB0AHQAZQByACAAZABpAGcAZQBzAHQAaQBiAGkAbABpAHQAeQBcACIALAAgAFwAIgBmAHIAYQBjAHQAaQBvAG4AXAAiACwAIABcACIASQBuAHAAdQB0AFwAIgA7AFwAbgAgACAAIAAgACAAIAAgACAAIAAgAFwAIgBBAFwAIgAsACAAXAAiAGEAcwBoACAAYwBvAG4AdABlAG4AdAAgAG8AZgAgAGYAZQBlAGQAIABpAG4AdABhAGsAZQBcACIALAAgAFwAIgBmAHIAYQBjAHQAaQBvAG4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zAF8AMQBfADEAXwBfADQAXwBGAHIAYQBjAHQAaQBvAG4AVgBvAGwAYQB0AGkAbABlAFMAbwBsAGkAZABzAE4AbwB0AFMAbwBsAGkAZABTAHQAbwByAGEAZwBlAFwAbgBGAHIAYQBjAHQAaQBvAG4AIABvAGYAIAB2AG8AbABhAHQAaQBsAGUAIABzAG8AbABpAGQAcwAgAGkAbgAgAGUAYQBjAGgAIABzAHkAcwB0AGUAbQAgAG8AdABoAGUAcgAgAHQAaABhAG4AIABzAG8AbABpAGQAIABzAHQAbwByAGEAZwBlAFwAbgBGAFYAUwBfAGoAbQBcAG4AZgByAGEAYwB0AGkAbwBuAFwAbgBGAFYAUwBfAHsAagBtAH0APQBNAE0AUwBfAHsAagBtAH0AXABcAHQAaQBtAGUAcwAgACgAMQAtAFMAUwBfAG0AKQBcAG4AUwBTAF8AbQAgAD0AIABmAHIAYQBjAHQAaQBvAG4AIABvAGYAIAB2AG8AbABhAHQAaQBsAGUAIABzAG8AbABpAGQAcwAgAHMAZQBwAGEAcgBhAHQAZQBkACAAdABvACAAcwBvAGwAaQBkACAAcwB0AG8AcgBhAGcAZQAgAGYAbwByACAAZQBhAGMAaAAgAE0ATQBTAFwAbgBNAE0AUwBfAGoAbQAgAD0AIABmAHIAYQBjAHQAaQBvAG4AIABvAGYAIABtAGEAbgB1AHIAZQAgAHQAbwAgAGUAYQBjAGgAIABwAHIAaQBtAGEAcgB5ACAATQBNAFMAIABmAG8AcgAgAGUAYQBjAGgAIABjAGwAYQBzAHMAIABwAHIAaQBvAHIAIAB0AG8AIABzAG8AbABpAGQAIABzAGUAcABhAHIAYQB0AGkAbwBuAFwAbgAtAC0ALQAtAC0ALQAtAC0ALQAtAC0ALQAtAC0ALQAtAC0ALQAtAC0ALQAtAC0ALQAtAC0ALQAtAC0ALQAtAC0ALQAtAC0ALQAtAC0AXABuACoALwBcAG4AXABuAFYARQBFAFIARwBfADQAXwAzAF8AMQBfADEAXwBfADQAXwBGAHIAYQBjAHQAaQBvAG4AVgBvAGwAYQB0AGkAbABlAFMAbwBsAGkAZABzAE4AbwB0AFMAbwBsAGkAZABTAHQAbwByAGEAZwBlAFwAbgAgACAAPQBMAEEATQBCAEQAQQAoAFwAbgAgACAAIAAgAE0ATQBTAF8AagBtACwAIABTAFMAXwBtACwAXABuACAAIAAgACAATQBNAFMAXwBqAG0AIAAqACAAKAAxACAALQAgAFMAUwBfAG0AKQBcAG4AIAAgACkAOwBcAG4AXABuAFYARQBFAFIARwBfADQAXwAzAF8AMQBfADEAXwBfADQAXwBGAHIAYQBjAHQAaQBvAG4AVgBvAGwAYQB0AGkAbABlAFMAbwBsAGkAZABzAE4AbwB0AFMAbwBsAGkAZABTAHQAbwByAGEAZwBlAF8AVABpAHQAbABlAFwAbgAgACAAPQBMAEEATQBCAEQAQQAoAFwAIgBGAHIAYQBjAHQAaQBvAG4AIABvAGYAIAB2AG8AbABhAHQAaQBsAGUAIABzAG8AbABpAGQAcwAgAGkAbgAgAGUAYQBjAGgAIABzAHkAcwB0AGUAbQAgAG8AdABoAGUAcgAgAHQAaABhAG4AIABzAG8AbABpAGQAIABzAHQAbwByAGEAZwBlAFwAIgApADsAXABuAFwAbgBWAEUARQBSAEcAXwA0AF8AMwBfADEAXwAxAF8AXwA0AF8ARgByAGEAYwB0AGkAbwBuAFYAbwBsAGEAdABpAGwAZQBTAG8AbABpAGQAcwBOAG8AdABTAG8AbABpAGQAUwB0AG8AcgBhAGcAZQBfAFYAYQByAGkAYQBiAGwAZQBcAG4AIAAgAD0ATABBAE0AQgBEAEEAKABcACIARgBWAFMAXwBqAG0AXAAiACkAOwBcAG4AXABuAFYARQBFAFIARwBfADQAXwAzAF8AMQBfADEAXwBfADQAXwBGAHIAYQBjAHQAaQBvAG4AVgBvAGwAYQB0AGkAbABlAFMAbwBsAGkAZABzAE4AbwB0AFMAbwBsAGkAZABTAHQAbwByAGEAZwBlAF8AVQBuAGkAdABcAG4AIAAgAD0ATABBAE0AQgBEAEEAKABcACIAZgByAGEAYwB0AGkAbwBuAFwAIgApADsAXABuAFwAbgBWAEUARQBSAEcAXwA0AF8AMwBfADEAXwAxAF8AXwA0AF8ARgByAGEAYwB0AGkAbwBuAFYAbwBsAGEAdABpAGwAZQBTAG8AbABpAGQAcwBOAG8AdABTAG8AbABpAGQAUwB0AG8AcgBhAGcAZQBfAFMAbwB1AHIAYwBlAFwAbgAgACAAPQBMAEEATQBCAEQAQQAoAFwAIgBWAEUARQBSAEcAIAAyADAAMgA2ADoAIAA0AC4AMwAuADEALgAxACwAIABFAHEAdQBhAHQAaQBvAG4AIAAoADQAKQBcACIAKQA7AFwAbgBcAG4AVgBFAEUAUgBHAF8ANABfADMAXwAxAF8AMQBfAF8ANABfAEYAcgBhAGMAdABpAG8AbgBWAG8AbABhAHQAaQBsAGUAUwBvAGwAaQBkAHMATgBvAHQAUwBvAGwAaQBkAFMAdABvAHIAYQBnAGUAXwBOAEkAUgBSAGUAZgBlAHIAZQBuAGMAZQBcAG4AIAAgAD0ATABBAE0AQgBEAEEAKABcACIAXAAiACkAOwBcAG4AXABuAFYARQBFAFIARwBfADQAXwAzAF8AMQBfADEAXwBfADQAXwBGAHIAYQBjAHQAaQBvAG4AVgBvAGwAYQB0AGkAbABlAFMAbwBsAGkAZABzAE4AbwB0AFMAbwBsAGkAZABTAHQAbwByAGEAZwBlAF8ATABhAHQAZQB4AEUAcQB1AGEAdABpAG8AbgBcAG4AIAAgAD0ATABBAE0AQgBEAEEAKABcACIARgBWAFMAXwB7AGoAbQB9AD0ATQBNAFMAXwB7AGoAbQB9AFwAXAB0AGkAbQBlAHMAIAAoADEALQBTAFMAXwBtACkAXAAiACkAOwBcAG4AXABuAFYARQBFAFIARwBfADQAXwAzAF8AMQBfADEAXwBfADQAXwBGAHIAYQBjAHQAaQBvAG4AVgBvAGwAYQB0AGkAbABlAFMAbwBsAGkAZABzAE4AbwB0AFMAbwBsAGkAZABTAHQAbwByAGEAZwBlAF8AQQByAGcAdQBtAGUAbgB0AHMAXABuACAAIAA9AEwAQQBNAEIARABBACgAXABuACAAIAAgACAATQBBAEsARQBBAFIAUgBBAFkAKAAyACwAIAA0ACwAXABuACAAIAAgACAAIAAgAEwAQQBNAEIARABBACgAcgAsAGMALABcAG4AIAAgACAAIAAgACAAIAAgAEkATgBEAEUAWAAoAHsAXABuACAAIAAgACAAIAAgACAAIAAgACAAXAAiAE0ATQBTAF8AagBtAFwAIgAsACAAXAAiAGYAcgBhAGMAdABpAG8AbgAgAG8AZgAgAG0AYQBuAHUAcgBlACAAdABvACAAZQBhAGMAaAAgAHAAcgBpAG0AYQByAHkAIABNAE0AUwAgAGYAbwByACAAZQBhAGMAaAAgAGMAbABhAHMAcwAgAHAAcgBpAG8AcgAgAHQAbwAgAHMAbwBsAGkAZAAgAHMAZQBwAGEAcgBhAHQAaQBvAG4AXAAiACwAIABcACIAZgByAGEAYwB0AGkAbwBuAFwAIgAsACAAXAAiAEkAbgBwAHUAdABcACIAOwBcAG4AIAAgACAAIAAgACAAIAAgACAAIABcACIAUwBTAF8AbQBcACIALAAg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QBfAF8ANQBfAEYAcgBhAGMAdABpAG8AbgBWAG8AbABhAHQAaQBsAGUAUwBvAGwAaQBkAHMAUwBvAGwAaQBkAFMAdABvAHIAYQBnAGUAXABuAEYAcgBhAGMAdABpAG8AbgAgAG8AZgAgAHYAbwBsAGEAdABpAGwAZQAgAHMAbwBsAGkAZABzACAAaQBuACAAcwBvAGwAaQBkACAAcwB0AG8AcgBhAGcAZQBcAG4ARgBWAFMAXwBqAG0ANABcAG4AZgByAGEAYwB0AGkAbwBuAFwAbgBGAFYAUwBfAHsAagBtAD0ANAB9AD0ATQBNAFMAXwB7AGoAbQA9ADQAfQArACgATQBNAFMAXwB7AGoAbQA9ADEALAA3ACwAOQB9AFwAXAB0AGkAbQBlAHMAIABTAFMAXwBtACkAXABuAE0ATQBTAF8AagBtADQAIAA9ACAAZgByAGEAYwB0AGkAbwBuACAAbwBmACAAdgBvAGwAYQB0AGkAbABlACAAcwBvAGwAaQBkAHMAIABpAG4AIABzAG8AbABpAGQAIABzAHQAbwByAGEAZwBlACAAYgBlAGYAbwByAGUAIAB0AHIAYQBuAHMAZgBlAHIAXABuAE0ATQBTAF8AagBtADEANwA5ACAAPQAgAGYAcgBhAGMAdABpAG8AbgAgAG8AZgAgAHYAbwBsAGEAdABpAGwAZQAgAHMAbwBsAGkAZABzACAAaQBuACAATQBNAFMAIABtAD0AMQAsADcALAA5ACAAYgBlAGYAbwByAGUAIAB0AHIAYQBuAHMAZgBlAHIAXABuAFMAUwBfAG0AIAA9ACAAZgByAGEAYwB0AGkAbwBuACAAbwBmACAAdgBvAGwAYQB0AGkAbABlACAAcwBvAGwAaQBkAHMAIABzAGUAcABhAHIAYQB0AGUAZAAgAHQAbwAgAHMAbwBsAGkAZAAgAHMAdABvAHIAYQBnAGUAIABmAG8AcgAgAGUAYQBjAGgAIABNAE0AUwBcAG4ALQAtAC0ALQAtAC0ALQAtAC0ALQAtAC0ALQAtAC0ALQAtAC0ALQAtAC0ALQAtAC0ALQAtAC0ALQAtAC0ALQAtAC0ALQAtAC0ALQAtAFwAbgAqAC8AXABuAFwAbgBWAEUARQBSAEcAXwA0AF8AMwBfADEAXwAxAF8AXwA1AF8ARgByAGEAYwB0AGkAbwBuAFYAbwBsAGEAdABpAGwAZQBTAG8AbABpAGQAcwBTAG8AbABpAGQAUwB0AG8AcgBhAGcAZQBcAG4AIAAgAD0ATABBAE0AQgBEAEEAKABcAG4AIAAgACAAIABNAE0AUwBfAGoAbQA0ACwAIABNAE0AUwBfAGoAbQAxADcAOQAsACAAUwBTAF8AbQAsAFwAbgAgACAAIAAgAE0ATQBTAF8AagBtADQAIAArACAAKABNAE0AUwBfAGoAbQAxADcAOQAgACoAIABTAFMAXwBtACkAXABuACAAIAApADsAXABuAFwAbgBWAEUARQBSAEcAXwA0AF8AMwBfADEAXwAxAF8AXwA1AF8ARgByAGEAYwB0AGkAbwBuAFYAbwBsAGEAdABpAGwAZQBTAG8AbABpAGQAcwBTAG8AbABpAGQAUwB0AG8AcgBhAGcAZQBWAGEAcgBpAGEAdABpAG8AbgBcAG4AIAAgAD0ATABBAE0AQgBEAEEAKABcAG4AIAAgACAAIABNAE0AUwBfAGoAbQA0ACwAIABNAE0AUwBfAGoAbQAxACwAIABNAE0AUwBfAGoAbQA3ACwAIABNAE0AUwBfAGoAbQA5ACwAIABTAFMAXwBtADEALAAgAFMAUwBfAG0ANwAsACAAUwBTAF8AbQA5ACwAXABuACAAIAAgACAATQBNAFMAXwBqAG0ANAAgACsAIAAoAE0ATQBTAF8AagBtADEAIAAqACAAUwBTAF8AbQAxACkAIAArACAAKABNAE0AUwBfAGoAbQA3ACAAKgAgAFMAUwBfAG0ANwApACAAKwAgACgATQBNAFMAXwBqAG0AOQAgACoAIABTAFMAXwBtADkAKQBcAG4AIAAgACkAOwBcAG4AXABuAFwAbgBWAEUARQBSAEcAXwA0AF8AMwBfADEAXwAxAF8AXwA1AF8ARgByAGEAYwB0AGkAbwBuAFYAbwBsAGEAdABpAGwAZQBTAG8AbABpAGQAcwBTAG8AbABpAGQAUwB0AG8AcgBhAGcAZQBfAFQAaQB0AGwAZQBcAG4AIAAgAD0ATABBAE0AQgBEAEEAKABcACIARgByAGEAYwB0AGkAbwBuACAAbwBmACAAdgBvAGwAYQB0AGkAbABlACAAcwBvAGwAaQBkAHMAIABpAG4AIABzAG8AbABpAGQAIABzAHQAbwByAGEAZwBlAFwAIgApADsAXABuAFwAbgBWAEUARQBSAEcAXwA0AF8AMwBfADEAXwAxAF8AXwA1AF8ARgByAGEAYwB0AGkAbwBuAFYAbwBsAGEAdABpAGwAZQBTAG8AbABpAGQAcwBTAG8AbABpAGQAUwB0AG8AcgBhAGcAZQBfAFYAYQByAGkAYQBiAGwAZQBcAG4AIAAgAD0ATABBAE0AQgBEAEEAKABcACIARgBWAFMAXwBqAG0ANABcACIAKQA7AFwAbgBcAG4AVgBFAEUAUgBHAF8ANABfADMAXwAxAF8AMQBfAF8ANQBfAEYAcgBhAGMAdABpAG8AbgBWAG8AbABhAHQAaQBsAGUAUwBvAGwAaQBkAHMAUwBvAGwAaQBkAFMAdABvAHIAYQBnAGUAXwBVAG4AaQB0AFwAbgAgACAAPQBMAEEATQBCAEQAQQAoAFwAIgBmAHIAYQBjAHQAaQBvAG4AXAAiACkAOwBcAG4AXABuAFYARQBFAFIARwBfADQAXwAzAF8AMQBfADEAXwBfADUAXwBGAHIAYQBjAHQAaQBvAG4AVgBvAGwAYQB0AGkAbABlAFMAbwBsAGkAZABzAFMAbwBsAGkAZABTAHQAbwByAGEAZwBlAF8AUwBvAHUAcgBjAGUAXABuACAAIAA9AEwAQQBNAEIARABBACgAXAAiAFYARQBFAFIARwAgADIAMAAyADYAOgAgADQALgAzAC4AMQAuADEALAAgAEUAcQB1AGEAdABpAG8AbgAgACgANQApAFwAIgApADsAXABuAFwAbgBWAEUARQBSAEcAXwA0AF8AMwBfADEAXwAxAF8AXwA1AF8ARgByAGEAYwB0AGkAbwBuAFYAbwBsAGEAdABpAGwAZQBTAG8AbABpAGQAcwBTAG8AbABpAGQAUwB0AG8AcgBhAGcAZQBfAE4ASQBSAFIAZQBmAGUAcgBlAG4AYwBlAFwAbgAgACAAPQBMAEEATQBCAEQAQQAoAFwAIgBcACIAKQA7AFwAbgBcAG4AVgBFAEUAUgBHAF8ANABfADMAXwAxAF8AMQBfAF8ANQBfAEYAcgBhAGMAdABpAG8AbgBWAG8AbABhAHQAaQBsAGUAUwBvAGwAaQBkAHMAUwBvAGwAaQBkAFMAdABvAHIAYQBnAGUAXwBMAGEAdABlAHgARQBxAHUAYQB0AGkAbwBuAFwAbgAgACAAPQBMAEEATQBCAEQAQQAoAFwAIgBGAFYAUwBfAHsAagBtAD0ANAB9AD0ATQBNAFMAXwB7AGoAbQA9ADQAfQArACgATQBNAFMAXwB7AGoAbQA9ADEALAA3ACwAOQB9AFwAXAB0AGkAbQBlAHMAIABTAFMAXwBtACkAXAAiACkAOwBcAG4AXABuAFYARQBFAFIARwBfADQAXwAzAF8AMQBfADEAXwBfADUAXwBGAHIAYQBjAHQAaQBvAG4AVgBvAGwAYQB0AGkAbABlAFMAbwBsAGkAZABzAFMAbwBsAGkAZABTAHQAbwByAGEAZwBlAF8ATABhAHQAZQB4AEUAcQB1AGEAdABpAG8AbgBWAGEAcgBpAGEAdABpAG8AbgBcAG4AIAAgAD0ATABBAE0AQgBEAEEAKABcACIARgBWAFMAXwB7AGoAbQA9ADQAfQA9AE0ATQBTAF8AewBqAG0APQA0AH0AKwAoAE0ATQBTAF8AewBqAG0APQAxAH0AXABcAHQAaQBtAGUAcwAgAFMAUwBfAHsAbQA9ADEAfQApACsAKABNAE0AUwBfAHsAagBtAD0ANwB9AFwAXAB0AGkAbQBlAHMAIABTAFMAXwB7AG0APQA3AH0AKQArACgATQBNAFMAXwB7AGoAbQA9ADkAfQBcAFwAdABpAG0AZQBzACAAUwBTAF8AewBtAD0AOQB9ACkAXAAiACkAOwBcAG4AXABuAFYARQBFAFIARwBfADQAXwAzAF8AMQBfADEAXwBfADUAXwBGAHIAYQBjAHQAaQBvAG4AVgBvAGwAYQB0AGkAbABlAFMAbwBsAGkAZABzAFMAbwBsAGkAZABTAHQAbwByAGEAZwBlAF8AQQByAGcAdQBtAGUAbgB0AHMAXABuACAAIAA9AEwAQQBNAEIARABBACgAXABuACAAIAAgACAATQBBAEsARQBBAFIAUgBBAFkAKAAzACwAIAA0ACwAXABuACAAIAAgACAAIAAgAEwAQQBNAEIARABBACgAcgAsAGMALABcAG4AIAAgACAAIAAgACAAIAAgAEkATgBEAEUAWAAoAHsAXABuACAAIAAgACAAIAAgACAAIAAgACAAXAAiAE0ATQBTAF8AagBtADQAXAAiACwAIABcACIAZgByAGEAYwB0AGkAbwBuACAAbwBmACAAdgBvAGwAYQB0AGkAbABlACAAcwBvAGwAaQBkAHMAIABpAG4AIABzAG8AbABpAGQAIABzAHQAbwByAGEAZwBlACAAYgBlAGYAbwByAGUAIAB0AHIAYQBuAHMAZgBlAHIAXAAiACwAIABcACIAZgByAGEAYwB0AGkAbwBuAFwAIgAsACAAXAAiAEkAbgBwAHUAdABcACIAOwBcAG4AIAAgACAAIAAgACAAIAAgACAAIABcACIATQBNAFMAXwBqAG0AMQA3ADkAXAAiACwAIABcACIAZgByAGEAYwB0AGkAbwBuACAAbwBmACAAdgBvAGwAYQB0AGkAbABlACAAcwBvAGwAaQBkAHMAIABpAG4AIABNAE0AUwAgAG0APQAxACwANwAsADkAIABiAGUAZgBvAHIAZQAgAHQAcgBhAG4AcwBmAGUAcgBcACIALAAgAFwAIgBmAHIAYQBjAHQAaQBvAG4AXAAiACwAIABcACIASQBuAHAAdQB0AFwAIgA7AFwAbgAgACAAIAAgACAAIAAgACAAIAAgAFwAIgBTAFMAXwBtAFwAIgAsACAAXAAiAGYAcgBhAGMAdABpAG8AbgAgAG8AZgAgAHYAbwBsAGEAdABpAGwAZQAgAHMAbwBsAGkAZABz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FYARQBFAFIARwBfADQAXwAzAF8AMQBfADEAXwBfADUAXwBGAHIAYQBjAHQAaQBvAG4AVgBvAGwAYQB0AGkAbABlAFMAbwBsAGkAZABzAFMAbwBsAGkAZABTAHQAbwByAGEAZwBlAF8AVgBhAHIAaQBhAHQAaQBvAG4AXABuACAAIAA9AEwAQQBNAEIARABBACgAXAAiAFUAcwBlAGQAIABzAGUAcABhAHIAYQB0AGUAIAB2AGEAcgBpAGEAYgBsAGUAcwAgAGYAbwByACAATQBNAFMAIABhAG4AZAAgAFMAUwAgAG0AIAAxACwAIAA3ACAAYQBuAGQAIAA5AC4AXAAiACkAOwBcAG4AXABuACIAfQAsAHsAIgBwAGEAdABoACIAOgAiAC8AcAByAG8AagBlAGMAdABzAC8ATQBNAFMAXwBEAGEAaQByAHk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zACAATQBlAHQAaABvAGQAIAAxACAALQAgAE0AYQBuAHUAcgBlACAARABpAHIAZQBjAHQ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MAXwBfADEAXwBUAG8AdABhAGwAQQBuAG4AdQBhAGwARABpAHIAZQBjAHQATgBpAHQAcgBvAHUAcwBPAHgAaQBkAGUARQBtAGkAcwBzAGkAbwBuAHMARgByAG8AbQBNAE0AUwBcAG4AVABvAHQAYQBsACAAYQBuAG4AdQBhAGwAIABkAGkAcgBlAGMAdAAgAG4AaQB0AHIAbwB1AHMAIABvAHgAaQBkAGUAIABlAG0AaQBzAHMAaQBvAG4AcwAgAGYAcgBvAG0AIABtAGEAbgB1AHIAZQAgAG0AYQBuAGEAZwBlAG0AZQBuAHQAIABzAHkAcwB0AGUAbQBzAFwAbgBFAF8ATgAyAE8AZABpAHIAXABuAHQAIABOADIATwBcAG4ARQBfAHsATgAyAE8ALABkAGkAcgB9AD0ATQBOAF8AewBqAG0AfQBcAFwAdABpAG0AZQBzACAARQBGAF8AbQBcAFwAdABpAG0AZQBzACAAQwBfAHsATgAyAE8AfQBcAFwAdABpAG0AZQBzACAAMQAwAF4AewAtADMAfQBcAG4ATQBOAF8AagBtACAAPQAgAHQAbwB0AGEAbAAgAG4AaQB0AHIAbwBnAGUAbgAgAGkAbgAgAGUAYQBjAGgAIABNAE0AUwAgAGYAbwByACAAZABhAGkAcgB5ACAAYwBhAHQAdABsAGUAIABjAGwAYQBzAHMAZQBzACAAKABrAGcAIABOACkAXABuAEUARgBfAG0AIAA9ACAAbgBpAHQAcgBvAHUAcwAgAG8AeABpAGQAZQAgAGUAbQBpAHMAcwBpAG8AbgAgAGYAYQBjAHQAbwByACAAZgBvAHIAIABlAGEAYwBoACAATQBNAFMAIAAoAGsAZwAgAE4AMgBPAC0ATgAvAGsAZwAgAE4AIABkAGUAcABvAHMAaQB0AGUAZA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MwBfAF8AMQBfAFQAbwB0AGEAbABBAG4AbgB1AGEAbABEAGkAcgBlAGMAdABOAGkAdAByAG8AdQBzAE8AeABpAGQAZQBFAG0AaQBzAHMAaQBvAG4AcwBGAHIAbwBtAE0ATQBTAFwAbgAgACAAPQBMAEEATQBCAEQAQQAoAFwAbgAgACAAIAAgAE0ATgBfAGoAbQAsACAARQBGAF8AbQAsACAAQwBfAE4AMgBPACwAXABuACAAIAAgACAATQBOAF8AagBtACAAKgAgAEUARgBfAG0AIAAqACAAQwBfAE4AMgBPACAAKgAgADEAMAAgAF4AIAAtADMAXABuACAAIAApADsAXABuAFwAbgBWAEUARQBSAEcAXwA0AF8AMwBfADEAXwAzAF8AXwAxAF8AVABvAHQAYQBsAEEAbgBuAHUAYQBsAEQAaQByAGUAYwB0AE4AaQB0AHIAbwB1AHMATwB4AGkAZABlAEUAbQBpAHMAcwBpAG8AbgBzAEYAcgBvAG0ATQBNAFMAXwBUAGkAdABsAGUAXABuACAAIAA9AEwAQQBNAEIARABBACgAXAAiAFQAbwB0AGEAbAAgAGEAbgBuAHUAYQBsACAAZABpAHIAZQBjAHQAIABuAGkAdAByAG8AdQBzACAAbwB4AGkAZABlACAAZQBtAGkAcwBzAGkAbwBuAHMAIABmAHIAbwBtACAAbQBhAG4AdQByAGUAIABtAGEAbgBhAGcAZQBtAGUAbgB0ACAAcwB5AHMAdABlAG0AcwBcACIAKQA7AFwAbgBcAG4AVgBFAEUAUgBHAF8ANABfADMAXwAxAF8AMwBfAF8AMQBfAFQAbwB0AGEAbABBAG4AbgB1AGEAbABEAGkAcgBlAGMAdABOAGkAdAByAG8AdQBzAE8AeABpAGQAZQBFAG0AaQBzAHMAaQBvAG4AcwBGAHIAbwBtAE0ATQBTAF8AVgBhAHIAaQBhAGIAbABlAFwAbgAgACAAPQBMAEEATQBCAEQAQQAoAFwAIgBFAF8ATgAyAE8AZABpAHIAXAAiACkAOwBcAG4AXABuAFYARQBFAFIARwBfADQAXwAzAF8AMQBfADMAXwBfADEAXwBUAG8AdABhAGwAQQBuAG4AdQBhAGwARABpAHIAZQBjAHQATgBpAHQAcgBvAHUAcwBPAHgAaQBkAGUARQBtAGkAcwBzAGkAbwBuAHMARgByAG8AbQBNAE0AUwBfAFUAbgBpAHQAXABuACAAIAA9AEwAQQBNAEIARABBACgAXAAiAHQAIABOADIATwBcACIAKQA7AFwAbgBcAG4AVgBFAEUAUgBHAF8ANABfADMAXwAxAF8AMwBfAF8AMQBfAFQAbwB0AGEAbABBAG4AbgB1AGEAbABEAGkAcgBlAGMAdABOAGkAdAByAG8AdQBzAE8AeABpAGQAZQBFAG0AaQBzAHMAaQBvAG4AcwBGAHIAbwBtAE0ATQBTAF8AUwBvAHUAcgBjAGUAXABuACAAIAA9AEwAQQBNAEIARABBACgAXAAiAFYARQBFAFIARwAgADIAMAAyADYAOgAgADQALgAzAC4AMQAuADMALAAgAEUAcQB1AGEAdABpAG8AbgAgACgAMQApAFwAIgApADsAXABuAFwAbgBWAEUARQBSAEcAXwA0AF8AMwBfADEAXwAzAF8AXwAxAF8AVABvAHQAYQBsAEEAbgBuAHUAYQBsAEQAaQByAGUAYwB0AE4AaQB0AHIAbwB1AHMATwB4AGkAZABlAEUAbQBpAHMAcwBpAG8AbgBzAEYAcgBvAG0ATQBNAFMAXwBOAEkAUgBSAGUAZgBlAHIAZQBuAGMAZQBcAG4AIAAgAD0ATABBAE0AQgBEAEEAKABcACIAXAAiACkAOwBcAG4AXABuAFYARQBFAFIARwBfADQAXwAzAF8AMQBfADMAXwBfADEAXwBUAG8AdABhAGwAQQBuAG4AdQBhAGwARABpAHIAZQBjAHQATgBpAHQAcgBvAHUAcwBPAHgAaQBkAGUARQBtAGkAcwBzAGkAbwBuAHMARgByAG8AbQBNAE0AUwBfAEwAYQB0AGUAeABFAHEAdQBhAHQAaQBvAG4AXABuACAAIAA9AEwAQQBNAEIARABBACgAXAAiAEUAXwB7AE4AMgBPACwAZABpAHIAfQA9AFwAXABzAHUAbQBcAFwAbgBvAGwAaQBtAGkAdABzAF8AewBqAH0AXABcAHMAdQBtAFwAXABuAG8AbABpAG0AaQB0AHMAXwB7AG0AfQAoAE0ATgBfAHsAagBtAH0AXABcAHQAaQBtAGUAcwAgAEUARgBfAG0AXABcAHQAaQBtAGUAcwAgAEMAXwB7AE4AMgBPAH0AXABcAHQAaQBtAGUAcwAgADEAMABeAHsALQAzAH0AKQBcACIAKQA7AFwAbgBcAG4AVgBFAEUAUgBHAF8ANABfADMAXwAxAF8AMwBfAF8AMQBfAFQAbwB0AGEAbABBAG4AbgB1AGEAbABEAGkAcgBlAGMAdABOAGkAdAByAG8AdQBzAE8AeABpAGQAZQBFAG0AaQBzAHMAaQBvAG4AcwBGAHIAbwBtAE0ATQBTAF8AQQByAGcAdQBtAGUAbgB0AHMAXABuACAAIAA9AEwAQQBNAEIARABBACgAXABuACAAIAAgACAATQBBAEsARQBBAFIAUgBBAFkAKAAzACwAIAA0ACwAXABuACAAIAAgACAAIAAgAEwAQQBNAEIARABBACgAcgAsAGMALABcAG4AIAAgACAAIAAgACAAIAAgAEkATgBEAEUAWAAoAHsAXABuACAAIAAgACAAIAAgACAAIAAgACAAXAAiAE0ATgBfAGoAbQBcACIALAAgAFwAIgB0AG8AdABhAGwAIABuAGkAdAByAG8AZwBlAG4AIABpAG4AIABlAGEAYwBoACAATQBNAFMAIABmAG8AcgAgAGQAYQBpAHIAeQAgAGMAYQB0AHQAbABlACAAYwBsAGEAcwBzAGUAcwBcACIALAAgAFwAIgBrAGcAIABOAFwAIgAsACAAXAAiAEMAYQBsAGMAdQBsAGEAdABlAGQAIABmAHIAbwBtACAANAAuADMALgAxAC4AMwAgACgAMgApAFwAIgA7AFwAbgAgACAAIAAgACAAIAAgACAAIAAgAFwAIgBFAEYAXwBtAFwAIgAsACAAXAAiAG4AaQB0AHIAbwB1AHMAIABvAHgAaQBkAGUAIABlAG0AaQBzAHMAaQBvAG4AIABmAGEAYwB0AG8AcgAgAGYAbwByACAAZQBhAGMAaAAgAE0ATQBTACAAKABrAGcAIABOADIATwAtAE4ALwBrAGcAIABOACAAZABlAHAAbwBzAGkAdABlAGQAKQ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GYAcgBhAGMAdABpAG8Ab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MgBfAFQAbwB0AGEAbABOAGkAdAByAG8AZwBlAG4ASQBuAEUAYQBjAGgATQBNAFMAXABuAFQAbwB0AGEAbAAgAG4AaQB0AHIAbwBnAGUAbgAgAGkAbgAgAGUAYQBjAGgAIABNAE0AUwBcAG4ATQBOAF8AagBtAFwAbgBrAGcAIABOAFwAbgBNAE4AXwB7AGoAbQB9AD0AQQBFAF8AagBcAFwAdABpAG0AZQBzACAATQBNAFMAXwB7AGoAbQB9AFwAbgBBAEUAXwBqACAAPQAgAHQAbwB0AGEAbAAgAG4AaQB0AHIAbwBnAGUAbgAgAGUAeABjAHIAZQB0AGUAZAAgAGIAeQAgAGUAYQBjAGgAIABkAGEAaQByAHkAIABjAGwAYQBzAHMAIAAoAGsAZwAgAE4AKQBcAG4ATQBNAFMAXwBqAG0AIAA9ACAAbQBhAG4AdQByAGUAIABtAGEAbgBhAGcAZQBtAGUAbgB0ACAAcwB5AHMAdABlAG0AIABmAHIAYQBjAHQAaQBvAG4AIABmAG8AcgAgAGMAbABhAHMAcwAgAGoAIABhAG4AZAAgAHMAeQBzAHQAZQBtACAAbQBcAG4ALQAtAC0ALQAtAC0ALQAtAC0ALQAtAC0ALQAtAC0ALQAtAC0ALQAtAC0ALQAtAC0ALQAtAC0ALQAtAC0ALQAtAC0ALQAtAC0ALQAtAFwAbgAqAC8AXABuAFwAbgBWAEUARQBSAEcAXwA0AF8AMwBfADEAXwAzAF8AXwAyAF8AVABvAHQAYQBsAE4AaQB0AHIAbwBnAGUAbgBJAG4ARQBhAGMAaABNAE0AUwBcAG4AIAAgAD0ATABBAE0AQgBEAEEAKABcAG4AIAAgACAAIABBAEUAXwBqACwAIABNAE0AUwBfAGoAbQAsAFwAbgAgACAAIAAgAEEARQBfAGoAIAAqACAATQBNAFMAXwBqAG0AXABuACAAIAApADsAXABuAFwAbgBWAEUARQBSAEcAXwA0AF8AMwBfADEAXwAzAF8AXwAyAF8AVABvAHQAYQBsAE4AaQB0AHIAbwBnAGUAbgBJAG4ARQBhAGMAaABNAE0AUwBfAFQAaQB0AGwAZQBcAG4AIAAgAD0ATABBAE0AQgBEAEEAKABcACIAVABvAHQAYQBsACAAbgBpAHQAcgBvAGcAZQBuACAAaQBuACAAZQBhAGMAaAAgAE0ATQBTAFwAIgApADsAXABuAFwAbgBWAEUARQBSAEcAXwA0AF8AMwBfADEAXwAzAF8AXwAyAF8AVABvAHQAYQBsAE4AaQB0AHIAbwBnAGUAbgBJAG4ARQBhAGMAaABNAE0AUwBfAFYAYQByAGkAYQBiAGwAZQBcAG4AIAAgAD0ATABBAE0AQgBEAEEAKABcACIATQBOAF8AagBtAFwAIgApADsAXABuAFwAbgBWAEUARQBSAEcAXwA0AF8AMwBfADEAXwAzAF8AXwAyAF8AVABvAHQAYQBsAE4AaQB0AHIAbwBnAGUAbgBJAG4ARQBhAGMAaABNAE0AUwBfAFUAbgBpAHQAXABuACAAIAA9AEwAQQBNAEIARABBACgAXAAiAGsAZwAgAE4AXAAiACkAOwBcAG4AXABuAFYARQBFAFIARwBfADQAXwAzAF8AMQBfADMAXwBfADIAXwBUAG8AdABhAGwATgBpAHQAcgBvAGcAZQBuAEkAbgBFAGEAYwBoAE0ATQBTAF8AUwBvAHUAcgBjAGUAXABuACAAIAA9AEwAQQBNAEIARABBACgAXAAiAFYARQBFAFIARwAgADIAMAAyADYAOgAgADQALgAzAC4AMQAuADMALAAgAEUAcQB1AGEAdABpAG8AbgAgACgAMgApAFwAIgApADsAXABuAFwAbgBWAEUARQBSAEcAXwA0AF8AMwBfADEAXwAzAF8AXwAyAF8AVABvAHQAYQBsAE4AaQB0AHIAbwBnAGUAbgBJAG4ARQBhAGMAaABNAE0AUwBfAE4ASQBSAFIAZQBmAGUAcgBlAG4AYwBlAFwAbgAgACAAPQBMAEEATQBCAEQAQQAoAFwAIgBcACIAKQA7AFwAbgBcAG4AVgBFAEUAUgBHAF8ANABfADMAXwAxAF8AMwBfAF8AMgBfAFQAbwB0AGEAbABOAGkAdAByAG8AZwBlAG4ASQBuAEUAYQBjAGgATQBNAFMAXwBMAGEAdABlAHgARQBxAHUAYQB0AGkAbwBuAFwAbgAgACAAPQBMAEEATQBCAEQAQQAoAFwAIgBNAE4AXwB7AGoAbQB9AD0AQQBFAF8AagBcAFwAdABpAG0AZQBzACAATQBNAFMAXwB7AGoAbQB9AFwAIgApADsAXABuAFwAbgBWAEUARQBSAEcAXwA0AF8AMwBfADEAXwAzAF8AXwAyAF8AVABvAHQAYQBsAE4AaQB0AHIAbwBnAGUAbgBJAG4ARQBhAGMAaABNAE0AUwBfAEEAcgBnAHUAbQBlAG4AdABzAFwAbgAgACAAPQBMAEEATQBCAEQAQQAoAFwAbgAgACAAIAAgAE0AQQBLAEUAQQBSAFIAQQBZACgAMgAsACAANAAsAFwAbgAgACAAIAAgACAAIABMAEEATQBCAEQAQQAoAHIALABjACwAXABuACAAIAAgACAAIAAgACAAIABJAE4ARABFAFgAKAB7AFwAbgAgACAAIAAgACAAIAAgACAAIAAgAFwAIgBBAEUAXwBqAFwAIgAsACAAXAAiAHQAbwB0AGEAbAAgAG4AaQB0AHIAbwBnAGUAbgAgAGUAeABjAHIAZQB0AGUAZAAgAGIAeQAgAGUAYQBjAGgAIABkAGEAaQByAHkAIABjAGwAYQBzAHMAXAAiACwAIABcACIAawBnACAATgBcACIALAAgAFwAIgBDAGEAbABjAHUAbABhAHQAZQBkACAAZgByAG8AbQAgADQALgAzAC4AMQAuADMAIAAoADMAYQApACAAYQBuAGQAIAAoADMAYgApAFwAIgA7AFwAbgAgACAAIAAgACAAIAAgACAAIAAgAFwAIgBNAE0AUwBfAGoAbQBcACIALAAgAFwAIgBtAGEAbgB1AHIAZQAgAG0AYQBuAGEAZwBlAG0AZQBuAHQAIABzAHkAcwB0AGUAbQAgAGYAcgBhAGMAdABpAG8AbgAgAGYAbwByACAAYwBsAGEAcwBzACAAagAgAGEAbgBkACAAcwB5AHMAdABlAG0AIA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MwBhAF8AVABvAHQAYQBsAEEAbgBuAHUAYQBsAE4AaQB0AHIAbwBnAGUAbgBFAHgAYwByAGUAdABlAGQARwByAGUAYQB0AGUAcgBUAGgAYQBuAE8AbgBlAFkAZQBhAHIAXABuAFQAbwB0AGEAbAAgAGEAbgBuAHUAYQBsACAAbgBpAHQAcgBvAGcAZQBuACAAZQB4AGMAcgBlAHQAZQBkACAAYgB5ACAAZABhAGkAcgB5ACAAYwBhAHQAdABsAGUAIABcAHUAMAAwADMAZQAxACAAeQBlAGEAcgAgAG8AbABkAFwAbgBBAEUAXwBqADEAMgA0AFwAbgBrAGcAIABOAFwAbgBBAEUAXwB7AGoAPQAxACwAMgAsADQAfQA9AE4AXwB7AGoAPQAxACwAMgAsADQAfQBcAFwAdABpAG0AZQBzACAATgBFAF8AewBqAD0AMQAsADIALAA0AH0AXABcAHQAaQBtAGUAcwAgADMANgA1AFwAbgBOAF8AagAxADIANAAgAD0AIABuAHUAbQBiAGUAcgAgAG8AZgAgAGQAYQBpAHIAeQAgAGMAYQB0AHQAbABlACAAaQBuACAAYwBsAGEAcwBzAGUAcwAgAGoAPQAxACwAMgAsADQAXABuAE4ARQBfAGoAMQAyADQAIAA9ACAAbgBpAHQAcgBvAGcAZQBuACAAZQB4AGMAcgBlAHQAZQBkACAAYgB5ACAAZABhAGkAcgB5ACAAYwBhAHQAdABsAGUAIABcAHUAMAAwADMAZQAxACAAeQBlAGEAcgAgAG8AbABkACAAKABrAGcAIABOAC8AaABlAGEAZAAvAGQAYQB5ACkAXABuAC0ALQAtAC0ALQAtAC0ALQAtAC0ALQAtAC0ALQAtAC0ALQAtAC0ALQAtAC0ALQAtAC0ALQAtAC0ALQAtAC0ALQAtAC0ALQAtAC0ALQBcAG4AKgAvAFwAbgBcAG4AVgBFAEUAUgBHAF8ANABfADMAXwAxAF8AMwBfAF8AMwBhAF8AVABvAHQAYQBsAEEAbgBuAHUAYQBsAE4AaQB0AHIAbwBnAGUAbgBFAHgAYwByAGUAdABlAGQARwByAGUAYQB0AGUAcgBUAGgAYQBuAE8AbgBlAFkAZQBhAHIAXABuACAAIAA9AEwAQQBNAEIARABBACgAXABuACAAIAAgACAATgBfAGoAMQAyADQALAAgAE4ARQBfAGoAMQAyADQALABcAG4AIAAgACAAIABOAF8AagAxADIANAAgACoAIABOAEUAXwBqADEAMgA0ACAAKgAgADMANgA1AFwAbgAgACAAKQA7AFwAbgBcAG4AVgBFAEUAUgBHAF8ANABfADMAXwAxAF8AMwBfAF8AMwBhAF8AVABvAHQAYQBsAEEAbgBuAHUAYQBsAE4AaQB0AHIAbwBnAGUAbgBFAHgAYwByAGUAdABlAGQARwByAGUAYQB0AGUAcgBUAGgAYQBuAE8AbgBlAFkAZQBhAHIAVgBhAHIAaQBhAHQAaQBvAG4AXABuACAAIAA9AEwAQQBNAEIARABBACgAXABuACAAIAAgACAATgBfAGoAMQAyADQALAAgAE4ARQBfAGoAMQAyADQALAAgAEQAXwBqADEAMgA0ACwAXABuACAAIAAgACAATgBfAGoAMQAyADQAIAAqACAATgBFAF8AagAxADIANAAgACoAIABEAF8AagAxADIANABcAG4AIAAgACkAOwBcAG4AXABuAFYARQBFAFIARwBfADQAXwAzAF8AMQBfADMAXwBfADMAYQBfAFQAbwB0AGEAbABBAG4AbgB1AGEAbABOAGkAdAByAG8AZwBlAG4ARQB4AGMAcgBlAHQAZQBkAEcAcgBlAGEAdABlAHIAVABoAGEAbgBPAG4AZQBZAGUAYQByAF8AVABpAHQAbABlAFwAbgAgACAAPQBMAEEATQBCAEQAQQAoAFwAIgBUAG8AdABhAGwAIABhAG4AbgB1AGEAbAAgAG4AaQB0AHIAbwBnAGUAbgAgAGUAeABjAHIAZQB0AGUAZAAgAGIAeQAgAGQAYQBpAHIAeQAgAGMAYQB0AHQAbABlACAAZwByAGUAYQB0AGUAcgAgAHQAaABhAG4AIABvAG4AZQAgAHkAZQBhAHIAIABvAGwAZABcACIAKQA7AFwAbgBcAG4AVgBFAEUAUgBHAF8ANABfADMAXwAxAF8AMwBfAF8AMwBhAF8AVABvAHQAYQBsAEEAbgBuAHUAYQBsAE4AaQB0AHIAbwBnAGUAbgBFAHgAYwByAGUAdABlAGQARwByAGUAYQB0AGUAcgBUAGgAYQBuAE8AbgBlAFkAZQBhAHIAXwBWAGEAcgBpAGEAYgBsAGUAXABuACAAIAA9AEwAQQBNAEIARABBACgAXAAiAEEARQBfAGoAMQAyADQAXAAiACkAOwBcAG4AXABuAFYARQBFAFIARwBfADQAXwAzAF8AMQBfADMAXwBfADMAYQBfAFQAbwB0AGEAbABBAG4AbgB1AGEAbABOAGkAdAByAG8AZwBlAG4ARQB4AGMAcgBlAHQAZQBkAEcAcgBlAGEAdABlAHIAVABoAGEAbgBPAG4AZQBZAGUAYQByAF8AVQBuAGkAdABcAG4AIAAgAD0ATABBAE0AQgBEAEEAKABcACIAawBnACAATgBcACIAKQA7AFwAbgBcAG4AVgBFAEUAUgBHAF8ANABfADMAXwAxAF8AMwBfAF8AMwBhAF8AVABvAHQAYQBsAEEAbgBuAHUAYQBsAE4AaQB0AHIAbwBnAGUAbgBFAHgAYwByAGUAdABlAGQARwByAGUAYQB0AGUAcgBUAGgAYQBuAE8AbgBlAFkAZQBhAHIAXwBTAG8AdQByAGMAZQBcAG4AIAAgAD0ATABBAE0AQgBEAEEAKABcACIAVgBFAEUAUgBHACAAMgAwADIANgA6ACAANAAuADMALgAxAC4AMwAsACAARQBxAHUAYQB0AGkAbwBuACAAKAAzAGEAKQBcACIAKQA7AFwAbgBcAG4AVgBFAEUAUgBHAF8ANABfADMAXwAxAF8AMwBfAF8AMwBhAF8AVABvAHQAYQBsAEEAbgBuAHUAYQBsAE4AaQB0AHIAbwBnAGUAbgBFAHgAYwByAGUAdABlAGQARwByAGUAYQB0AGUAcgBUAGgAYQBuAE8AbgBlAFkAZQBhAHIAXwBOAEkAUgBSAGUAZgBlAHIAZQBuAGMAZQBcAG4AIAAgAD0ATABBAE0AQgBEAEEAKABcACIAXAAiACkAOwBcAG4AXABuAFYARQBFAFIARwBfADQAXwAzAF8AMQBfADMAXwBfADMAYQBfAFQAbwB0AGEAbABBAG4AbgB1AGEAbABOAGkAdAByAG8AZwBlAG4ARQB4AGMAcgBlAHQAZQBkAEcAcgBlAGEAdABlAHIAVABoAGEAbgBPAG4AZQBZAGUAYQByAF8ATABhAHQAZQB4AEUAcQB1AGEAdABpAG8AbgBcAG4AIAAgAD0ATABBAE0AQgBEAEEAKABcACIAQQBFAF8AewBqAD0AMQAsADIALAA0AH0APQBOAF8AewBqAD0AMQAsADIALAA0AH0AXABcAHQAaQBtAGUAcwAgAE4ARQBfAHsAagA9ADEALAAyACwANAB9AFwAXAB0AGkAbQBlAHMAIAAzADYANQBcACIAKQA7AFwAbgBcAG4AVgBFAEUAUgBHAF8ANABfADMAXwAxAF8AMwBfAF8AMwBhAF8AVABvAHQAYQBsAEEAbgBuAHUAYQBsAE4AaQB0AHIAbwBnAGUAbgBFAHgAYwByAGUAdABlAGQARwByAGUAYQB0AGUAcgBUAGgAYQBuAE8AbgBlAFkAZQBhAHIAXwBMAGEAdABlAHgARQBxAHUAYQB0AGkAbwBuAFYAYQByAGkAYQB0AGkAbwBuAFwAbgAgACAAPQBMAEEATQBCAEQAQQAoAFwAIgBBAEUAXwB7AGoAPQAxACwAMgAsADQAfQA9AE4AXwB7AGoAPQAxACwAMgAsADQAfQBcAFwAdABpAG0AZQBzACAATgBFAF8AewBqAD0AMQAsADIALAA0AH0AXABcAHQAaQBtAGUAcwAgAEQAXwB7AGoAPQAxACwAMgAsADQAfQBcACIAKQA7AFwAbgBcAG4AVgBFAEUAUgBHAF8ANABfADMAXwAxAF8AMwBfAF8AMwBhAF8AVABvAHQAYQBsAEEAbgBuAHUAYQBsAE4AaQB0AHIAbwBnAGUAbgBFAHgAYwByAGUAdABlAGQARwByAGUAYQB0AGUAcgBUAGgAYQBuAE8AbgBlAFkAZQBhAHIAXwBBAHIAZwB1AG0AZQBuAHQAcwBcAG4AIAAgAD0ATABBAE0AQgBEAEEAKABcAG4AIAAgACAAIABNAEEASwBFAEEAUgBSAEEAWQAoADMALAAgADQALABcAG4AIAAgACAAIAAgACAATABBAE0AQgBEAEEAKAByACwAYwAsAFwAbgAgACAAIAAgACAAIAAgACAASQBOAEQARQBYACgAewBcAG4AIAAgACAAIAAgACAAIAAgACAAIABcACIATgBfAGoAMQAyADQAXAAiACwAIABcACIAbgB1AG0AYgBlAHIAIABvAGYAIABkAGEAaQByAHkAIABjAGEAdAB0AGwAZQAgAGkAbgAgAGMAbABhAHMAcwBlAHMAIABqAD0AMQAsADIALAA0AFwAIgAsACAAXAAiAGgAZQBhAGQAXAAiACwAIABcACIASQBuAHAAdQB0AFwAIgA7AFwAbgAgACAAIAAgACAAIAAgACAAIAAgAFwAIgBOAEUAXwBqADEAMgA0AFwAIgAsACAAXAAiAG4AaQB0AHIAbwBnAGUAbgAgAGUAeABjAHIAZQB0AGUAZAAgAGIAeQAgAGQAYQBpAHIAeQAgAGMAYQB0AHQAbABlACAAZwByAGUAYQB0AGUAcgAgAHQAaABhAG4AIABvAG4AZQAgAHkAZQBhAHIAIABvAGwAZAAgACgAawBnACAATgAvAGgAZQBhAGQALwBkAGEAeQApAFwAIgAsACAAXAAiAGsAZwAgAE4ALwBoAGUAYQBkAC8AZABhAHkAXAAiACwAIABcACIAQwBhAGwAYwB1AGwAYQB0AGUAZAAgAGYAcgBvAG0AIAA0AC4AMwAuADEALgAzACAAKAA0ACkAXAAiADsAXABuACAAIAAgACAAIAAgACAAIAAgACAAXAAiAEQAXwBqADEAMgA0AFwAIgAsACAAXAAiAGQAdQByAGEAdABpAG8AbgAgAG8AZgAgAHMAdABhAHkAIABvAG4AIABmAGEAcgBtACAAZgBvAHIAIABjAGwAYQBzAHMAZQBzACAAagA9ADEALAAyACwANAAgACgAZABhAHkAcwApAFwAIgAsACAAXAAiAGQAYQB5AHMAXAAiACwAIABcACIASQBuAHAAdQB0AFwAIgBcAG4AIAAgACAAIAAgACAAIAAgAH0ALAAgAHIALAAgAGMAKQBcAG4AIAAgACAAIAAgACAAKQBcAG4AIAAgACAAIAApAFwAbgAgACAAKQA7AFwAbgBcAG4AVgBFAEUAUgBHAF8ANABfADMAXwAxAF8AMwBfAF8AMwBhAF8AVABvAHQAYQBsAEEAbgBuAHUAYQBsAE4AaQB0AHIAbwBnAGUAbgBFAHgAYwByAGUAdABlAGQARwByAGUAYQB0AGUAcgBUAGgAYQBuAE8AbgBlAFkAZQBhAHIAXwBWAGEAcgBpAGEAdABpAG8AbgBcAG4AIAAgAD0ATABBAE0AQgBEAEEAKABcACIAVgBBAFIASQBBAFQASQBPAE4AOgAgAFUAcwBlAGQAIABEAHUAcgBhAHQAaQBvAG4AIAB2AGEAcgBpAGEAYgBsAGUAcwAgAGkAbgBzAHQAZQBhAGQAIABvAGYAIABoAGEAcgBkAC0AYwBvAGQAZQBkACAAMwA2ADUAIAB2AGEAbAB1AGUALgBcACIAKQA7AFwAbgBcAG4ALwAqAFwAbgAtAC0ALQAtAC0ALQAtAC0ALQAtAC0ALQAtAC0ALQAtAC0ALQAtAC0ALQAtAC0ALQAtAC0ALQAtAC0ALQAtAC0ALQAtAC0ALQAtAC0AXABuAFYARQBFAFIARwBfADQAXwAzAF8AMQBfADMAXwBfADMAYgBfAFQAbwB0AGEAbABBAG4AbgB1AGEAbABOAGkAdAByAG8AZwBlAG4ARQB4AGMAcgBlAHQAZQBkAEwAZQBzAHMAVABoAGEAbgBPAG4AZQBZAGUAYQByAFwAbgBUAG8AdABhAGwAIABhAG4AbgB1AGEAbAAgAG4AaQB0AHIAbwBnAGUAbgAgAGUAeABjAHIAZQB0AGUAZAAgAGIAeQAgAGQAYQBpAHIAeQAgAGMAYQB0AHQAbABlACAAXAB1ADAAMAAzAGMAMQAgAHkAZQBhAHIAIABvAGwAZABcAG4AQQBFAF8AagAzADUAXABuAGsAZwAgAE4AXABuAEEARQBfAHsAagA9ADMALAA1AH0APQAoAE4AXwB7AGoAPQAzACwANQB9AFwAXAB0AGkAbQBlAHMAIABOAEUAXwB7AGoAPQAzACwANQB9AFwAXAB0AGkAbQBlAHMAIAAyADgAMQApACsAKABOAF8AewBqAD0AMwAsADUAfQBcAFwAdABpAG0AZQBzACAATgBQAFcAXwB7AGoAPQAzACwANQB9AFwAXAB0AGkAbQBlAHMAIAA4ADQAKQBcAG4ATgBfAGoAMwA1ACAAPQAgAG4AdQBtAGIAZQByACAAbwBmACAAZABhAGkAcgB5ACAAYwBhAHQAdABsAGUAIABpAG4AIABjAGwAYQBzAHMAZQBzACAAagA9ADMALAA1AFwAbgBOAEUAXwBqADMANQAgAD0AIABuAGkAdAByAG8AZwBlAG4AIABlAHgAYwByAGUAdABlAGQAIABiAHkAIAB3AGUAYQBuAGUAZAAgAGQAYQBpAHIAeQAgAGMAYQB0AHQAbABlACAAXAB1ADAAMAAzAGMAMQAgAHkAZQBhAHIAIABvAGwAZAAgACgAawBnACAATgAvAGgAZQBhAGQALwBkAGEAeQApAFwAbgBOAFAAVwBfAGoAMwA1ACAAPQAgAG4AaQB0AHIAbwBnAGUAbgAgAGUAeABjAHIAZQB0AGUAZAAgAGIAeQAgAHAAcgBlAC0AdwBlAGEAbgBlAGQAIABjAGEAbAB2AGUAcwAgACgAawBnACAATgAvAGgAZQBhAGQALwBkAGEAeQApAFwAbgAtAC0ALQAtAC0ALQAtAC0ALQAtAC0ALQAtAC0ALQAtAC0ALQAtAC0ALQAtAC0ALQAtAC0ALQAtAC0ALQAtAC0ALQAtAC0ALQAtAC0AXABuACoALwBcAG4AXABuAFYARQBFAFIARwBfADQAXwAzAF8AMQBfADMAXwBfADMAYgBfAFQAbwB0AGEAbABBAG4AbgB1AGEAbABOAGkAdAByAG8AZwBlAG4ARQB4AGMAcgBlAHQAZQBkAEwAZQBzAHMAVABoAGEAbgBPAG4AZQBZAGUAYQByAFwAbgAgACAAPQBMAEEATQBCAEQAQQAoAFwAbgAgACAAIAAgAE4AXwBqADMANQAsACAATgBFAF8AagAzADUALAAgAE4AUABXAF8AagAzADUALABcAG4AIAAgACAAIAAoAE4AXwBqADMANQAgACoAIABOAEUAXwBqADMANQAgACoAIAAyADgAMQApACAAKwAgACgATgBfAGoAMwA1ACAAKgAgAE4AUABXAF8AagAzADUAIAAqACAAOAA0ACkAXABuACAAIAApADsAXABuAFwAbgBWAEUARQBSAEcAXwA0AF8AMwBfADEAXwAzAF8AXwAzAGIAXwBUAG8AdABhAGwAQQBuAG4AdQBhAGwATgBpAHQAcgBvAGcAZQBuAEUAeABjAHIAZQB0AGUAZABMAGUAcwBzAFQAaABhAG4ATwBuAGUAWQBlAGEAcgBWAGEAcgBpAGEAdABpAG8AbgBcAG4AIAAgAD0ATABBAE0AQgBEAEEAKABcAG4AIAAgACAAIABOAF8AagAzADUALAAgAE4ARQBfAGoAMwA1ACwAIABOAFAAVwBfAGoAMwA1ACwAIABEAF8AagAzADUALAAgAEQAUABXAF8AagAzADUALABcAG4AIAAgACAAIAAoAE4AXwBqADMANQAgACoAIABOAEUAXwBqADMANQAgACoAIABEAF8AagAzADUAKQAgACsAIAAoAE4AXwBqADMANQAgACoAIABOAFAAVwBfAGoAMwA1ACAAKgAgAEQAUABXAF8AagAzADUAKQBcAG4AIAAgACkAOwBcAG4AXABuAFYARQBFAFIARwBfADQAXwAzAF8AMQBfADMAXwBfADMAYgBfAFQAbwB0AGEAbABBAG4AbgB1AGEAbABOAGkAdAByAG8AZwBlAG4ARQB4AGMAcgBlAHQAZQBkAEwAZQBzAHMAVABoAGEAbgBPAG4AZQBZAGUAYQByAF8AVABpAHQAbABlAFwAbgAgACAAPQBMAEEATQBCAEQAQQAoAFwAIgBUAG8AdABhAGwAIABhAG4AbgB1AGEAbAAgAG4AaQB0AHIAbwBnAGUAbgAgAGUAeABjAHIAZQB0AGUAZAAgAGIAeQAgAGQAYQBpAHIAeQAgAGMAYQB0AHQAbABlACAAbABlAHMAcwAgAHQAaABhAG4AIABvAG4AZQAgAHkAZQBhAHIAIABvAGwAZABcACIAKQA7AFwAbgBcAG4AVgBFAEUAUgBHAF8ANABfADMAXwAxAF8AMwBfAF8AMwBiAF8AVABvAHQAYQBsAEEAbgBuAHUAYQBsAE4AaQB0AHIAbwBnAGUAbgBFAHgAYwByAGUAdABlAGQATABlAHMAcwBUAGgAYQBuAE8AbgBlAFkAZQBhAHIAXwBWAGEAcgBpAGEAYgBsAGUAXABuACAAIAA9AEwAQQBNAEIARABBACgAXAAiAEEARQBfAGoAMwA1AFwAIgApADsAXABuAFwAbgBWAEUARQBSAEcAXwA0AF8AMwBfADEAXwAzAF8AXwAzAGIAXwBUAG8AdABhAGwAQQBuAG4AdQBhAGwATgBpAHQAcgBvAGcAZQBuAEUAeABjAHIAZQB0AGUAZABMAGUAcwBzAFQAaABhAG4ATwBuAGUAWQBlAGEAcgBfAFUAbgBpAHQAXABuACAAIAA9AEwAQQBNAEIARABBACgAXAAiAGsAZwAgAE4AXAAiACkAOwBcAG4AXABuAFYARQBFAFIARwBfADQAXwAzAF8AMQBfADMAXwBfADMAYgBfAFQAbwB0AGEAbABBAG4AbgB1AGEAbABOAGkAdAByAG8AZwBlAG4ARQB4AGMAcgBlAHQAZQBkAEwAZQBzAHMAVABoAGEAbgBPAG4AZQBZAGUAYQByAF8AUwBvAHUAcgBjAGUAXABuACAAIAA9AEwAQQBNAEIARABBACgAXAAiAFYARQBFAFIARwAgADIAMAAyADYAOgAgADQALgAzAC4AMQAuADMALAAgAEUAcQB1AGEAdABpAG8AbgAgACgAMwBiACkAXAAiACkAOwBcAG4AXABuAFYARQBFAFIARwBfADQAXwAzAF8AMQBfADMAXwBfADMAYgBfAFQAbwB0AGEAbABBAG4AbgB1AGEAbABOAGkAdAByAG8AZwBlAG4ARQB4AGMAcgBlAHQAZQBkAEwAZQBzAHMAVABoAGEAbgBPAG4AZQBZAGUAYQByAF8ATgBJAFIAUgBlAGYAZQByAGUAbgBjAGUAXABuACAAIAA9AEwAQQBNAEIARABBACgAXAAiAFwAIgApADsAXABuAFwAbgBWAEUARQBSAEcAXwA0AF8AMwBfADEAXwAzAF8AXwAzAGIAXwBUAG8AdABhAGwAQQBuAG4AdQBhAGwATgBpAHQAcgBvAGcAZQBuAEUAeABjAHIAZQB0AGUAZABMAGUAcwBzAFQAaABhAG4ATwBuAGUAWQBlAGEAcgBfAEwAYQB0AGUAeABFAHEAdQBhAHQAaQBvAG4AXABuACAAIAA9AEwAQQBNAEIARABBACgAXAAiAEEARQBfAHsAagA9ADMALAA1AH0APQAoAE4AXwB7AGoAPQAzACwANQB9AFwAXAB0AGkAbQBlAHMAIABOAEUAXwB7AGoAPQAzACwANQB9AFwAXAB0AGkAbQBlAHMAIAAyADgAMQApACsAKABOAF8AewBqAD0AMwAsADUAfQBcAFwAdABpAG0AZQBzACAATgBQAFcAXwB7AGoAPQAzACwANQB9AFwAXAB0AGkAbQBlAHMAIAA4ADQAKQBcACIAKQA7AFwAbgBcAG4AVgBFAEUAUgBHAF8ANABfADMAXwAxAF8AMwBfAF8AMwBiAF8AVABvAHQAYQBsAEEAbgBuAHUAYQBsAE4AaQB0AHIAbwBnAGUAbgBFAHgAYwByAGUAdABlAGQATABlAHMAcwBUAGgAYQBuAE8AbgBlAFkAZQBhAHIAXwBMAGEAdABlAHgARQBxAHUAYQB0AGkAbwBuAFYAYQByAGkAYQB0AGkAbwBuAFwAbgAgACAAPQBMAEEATQBCAEQAQQAoAFwAIgBBAEUAXwB7AGoAPQAzACwANQB9AD0AKABOAF8AewBqAD0AMwAsADUAfQBcAFwAdABpAG0AZQBzACAATgBFAF8AewBqAD0AMwAsADUAfQBcAFwAdABpAG0AZQBzACAARABfAHsAagA9ADMALAA1AH0AKQArACgATgBfAHsAagA9ADMALAA1AH0AXABcAHQAaQBtAGUAcwAgAE4AUABXAF8AewBqAD0AMwAsADUAfQBcAFwAdABpAG0AZQBzACAARABQAFcAXwB7AGoAPQAzACwANQB9ACkAXAAiACkAOwBcAG4AXABuAFYARQBFAFIARwBfADQAXwAzAF8AMQBfADMAXwBfADMAYgBfAFQAbwB0AGEAbABBAG4AbgB1AGEAbABOAGkAdAByAG8AZwBlAG4ARQB4AGMAcgBlAHQAZQBkAEwAZQBzAHMAVABoAGEAbgBPAG4AZQBZAGUAYQByAF8AQQByAGcAdQBtAGUAbgB0AHMAXABuACAAIAA9AEwAQQBNAEIARABBACgAXABuACAAIAAgACAATQBBAEsARQBBAFIAUgBBAFkAKAA1ACwAIAA0ACwAXABuACAAIAAgACAAIAAgAEwAQQBNAEIARABBACgAcgAsAGMALABcAG4AIAAgACAAIAAgACAAIAAgAEkATgBEAEUAWAAoAHsAXABuACAAIAAgACAAIAAgACAAIAAgACAAXAAiAE4AXwBqADMANQBcACIALAAgAFwAIgBuAHUAbQBiAGUAcgAgAG8AZgAgAGQAYQBpAHIAeQAgAGMAYQB0AHQAbABlACAAaQBuACAAYwBsAGEAcwBzAGUAcwAgAGoAPQAzACwANQBcACIALAAgAFwAIgBoAGUAYQBkAFwAIgAsACAAXAAiAEkAbgBwAHUAdABcACIAOwBcAG4AIAAgACAAIAAgACAAIAAgACAAIABcACIATgBFAF8AagAzADUAXAAiACwAIABcACIAbgBpAHQAcgBvAGcAZQBuACAAZQB4AGMAcgBlAHQAZQBkACAAYgB5ACAAdwBlAGEAbgBlAGQAIABkAGEAaQByAHkAIABjAGEAdAB0AGwAZQAgAGwAZQBzAHMAIAB0AGgAYQBuACAAbwBuAGUAIAB5AGUAYQByACAAbwBsAGQAIAAoAGsAZwAgAE4ALwBoAGUAYQBkAC8AZABhAHkAKQBcACIALAAgAFwAIgBrAGcAIABOAC8AaABlAGEAZAAvAGQAYQB5AFwAIgAsACAAXAAiAEMAYQBsAGMAdQBsAGEAdABlAGQAIABmAHIAbwBtACAANAAuADMALgAxAC4AMwAgACgANAApAFwAIgA7AFwAbgAgACAAIAAgACAAIAAgACAAIAAgAFwAIgBOAFAAVwBfAGoAMwA1AFwAIgAsACAAXAAiAG4AaQB0AHIAbwBnAGUAbgAgAGUAeABjAHIAZQB0AGUAZAAgAGIAeQAgAHAAcgBlAC0AdwBlAGEAbgBlAGQAIABjAGEAbAB2AGUAcwAgACgAawBnACAATgAvAGgAZQBhAGQALwBkAGEAeQApAFwAIgAsACAAXAAiAGsAZwAgAE4ALwBoAGUAYQBkAC8AZABhAHkAXAAiACwAIABcACIAQwBvAG4AcwB0AGEAbgB0AFwAIgA7AFwAbgAgACAAIAAgACAAIAAgACAAIAAgAFwAIgBEAF8AagAzADUAXAAiACwAIABcACIAZAB1AHIAYQB0AGkAbwBuACAAbwBmACAAcwB0AGEAeQAgAG8AbgAgAGYAYQByAG0AIABmAG8AcgAgAHcAZQBhAG4AZQBkACAAZABhAGkAcgB5ACAAYwBhAHQAdABsAGUAIABsAGUAcwBzACAAdABoAGEAbgAgAG8AbgBlACAAeQBlAGEAcgAgAG8AbABkACAAKABkAGEAeQBzACkAXAAiACwAIABcACIAZABhAHkAcwBcACIALAAgAFwAIgBJAG4AcAB1AHQAXAAiADsAXABuACAAIAAgACAAIAAgACAAIAAgACAAXAAiAEQAUABXAF8AagAzADUAXAAiACwAIABcACIAZAB1AHIAYQB0AGkAbwBuACAAbwBmACAAcwB0AGEAeQAgAG8AbgAgAGYAYQByAG0AIABmAG8AcgAgAHAAcgBlAC0AdwBlAGEAbgBlAGQAIABjAGEAbAB2AGUAcwAgACgAZABhAHkAcwApAFwAIgAsACAAXAAiAGQAYQB5AHMAXAAiACwAIABcACIASQBuAHAAdQB0AFwAIgBcAG4AIAAgACAAIAAgACAAIAAgAH0ALAAgAHIALAAgAGMAKQBcAG4AIAAgACAAIAAgACAAKQBcAG4AIAAgACAAIAApAFwAbgAgACAAKQA7AFwAbgBcAG4AVgBFAEUAUgBHAF8ANABfADMAXwAxAF8AMwBfAF8AMwBiAF8AVABvAHQAYQBsAEEAbgBuAHUAYQBsAE4AaQB0AHIAbwBnAGUAbgBFAHgAYwByAGUAdABlAGQATABlAHMAcwBUAGgAYQBuAE8AbgBlAFkAZQBhAHIAXwBWAGEAcgBpAGEAdABpAG8AbgBcAG4AIAAgAD0ATABBAE0AQgBEAEEAKABcACIAVgBBAFIASQBBAFQASQBPAE4AOgAgAFUAcwBlAGQAIABEAHUAcgBhAHQAaQBvAG4AIAB2AGEAcgBpAGEAYgBsAGUAcwAgAGkAbgBzAHQAZQBhAGQAIABvAGYAIABoAGEAcgBkAC0AYwBvAGQAZQBkACAAMgA4ADEAIABhAG4AZAAgADgANAAgAHYAYQBsAHUAZQBzAC4AXAAiACkAOwBcAG4AXABuAC8AKgBcAG4ALQAtAC0ALQAtAC0ALQAtAC0ALQAtAC0ALQAtAC0ALQAtAC0ALQAtAC0ALQAtAC0ALQAtAC0ALQAtAC0ALQAtAC0ALQAtAC0ALQAtAFwAbgBWAEUARQBSAEcAXwA0AF8AMwBfADEAXwAzAF8AXwA0AF8ATgBpAHQAcgBvAGcAZQBuAEUAeABjAHIAZQB0AGUAZABCAHkARABhAGkAcgB5AEMAYQB0AHQAbABlAEcAcgBlAGEAdABlAHIAVABoAGEAbgBPAG4AZQBZAGUAYQByAFwAbgBOAGkAdAByAG8AZwBlAG4AIABlAHgAYwByAGUAdABlAGQAIABiAHkAIABkAGEAaQByAHkAIABjAGEAdAB0AGwAZQAgAFwAdQAwADAAMwBlADEAIAB5AGUAYQByACAAbwBsAGQAXABuAE4ARQBfAGoAXABuAGsAZwAgAE4ALwBoAGUAYQBkAC8AZABhAHkAXABuAE4ARQBfAGoAPQAoAEMAUABJAF8AagAvADYALgAyADUAKQAtAE4AUgBfAGoALQAoACgAMQAuADEAXABcAHQAaQBtAGUAcwAgADEAMABeAHsALQA0AH0AXABcAHQAaQBtAGUAcwAgAFcAXwBqAF4AewAwAC4ANwA1AH0AKQAvADYALgAyADUAKQBcAG4AQwBQAEkAXwBqACAAPQAgAGMAcgB1AGQAZQAgAHAAcgBvAHQAZQBpAG4AIABpAG4AdABhAGsAZQAgACgAawBnAC8AaABlAGEAZAAvAGQAYQB5ACkAXABuAE4AUgBfAGoAIAA9ACAAYQBtAG8AdQBuAHQAIABvAGYAIABuAGkAdAByAG8AZwBlAG4AIAByAGUAdABhAGkAbgBlAGQAIABiAHkAIAB0AGgAZQAgAGIAbwBkAHkAIAAoAGsAZwAgAE4ALwBoAGUAYQBkAC8AZABhAHkAKQBcAG4AVwBfAGoAIAA9ACAAbABpAHYAZQB3AGUAaQBnAGgAdAAgACgAawBnACkAXABuAC0ALQAtAC0ALQAtAC0ALQAtAC0ALQAtAC0ALQAtAC0ALQAtAC0ALQAtAC0ALQAtAC0ALQAtAC0ALQAtAC0ALQAtAC0ALQAtAC0ALQBcAG4AKgAvAFwAbgBcAG4AVgBFAEUAUgBHAF8ANABfADMAXwAxAF8AMwBfAF8ANABfAE4AaQB0AHIAbwBnAGUAbgBFAHgAYwByAGUAdABlAGQAQgB5AEQAYQBpAHIAeQBDAGEAdAB0AGwAZQBHAHIAZQBhAHQAZQByAFQAaABhAG4ATwBuAGUAWQBlAGEAcgBcAG4AIAAgAD0ATABBAE0AQgBEAEEAKABcAG4AIAAgACAAIABDAFAASQBfAGoALAAgAE4AUgBfAGoALAAgAFcAXwBqACwAXABuACAAIAAgACAAKABDAFAASQBfAGoAIAAvACAANgAuADIANQApACAALQAgAE4AUgBfAGoAIAAtACAAKAAoADEALgAxACAAKgAgADEAMAAgAF4AIAAtADQAIAAqACAAVwBfAGoAIABeACAAMAAuADcANQApACAALwAgADYALgAyADUAKQBcAG4AIAAgACkAOwBcAG4AXABuAFYARQBFAFIARwBfADQAXwAzAF8AMQBfADMAXwBfADQAXwBOAGkAdAByAG8AZwBlAG4ARQB4AGMAcgBlAHQAZQBkAEIAeQBEAGEAaQByAHkAQwBhAHQAdABsAGUARwByAGUAYQB0AGUAcgBUAGgAYQBuAE8AbgBlAFkAZQBhAHIAXwBUAGkAdABsAGUAXABuACAAIAA9AEwAQQBNAEIARABBACgAXAAiAE4AaQB0AHIAbwBnAGUAbgAgAGUAeABjAHIAZQB0AGUAZAAgAGIAeQAgAGQAYQBpAHIAeQAgAGMAYQB0AHQAbABlACAAZwByAGUAYQB0AGUAcgAgAHQAaABhAG4AIABvAG4AZQAgAHkAZQBhAHIAIABvAGwAZABcACIAKQA7AFwAbgBcAG4AVgBFAEUAUgBHAF8ANABfADMAXwAxAF8AMwBfAF8ANABfAE4AaQB0AHIAbwBnAGUAbgBFAHgAYwByAGUAdABlAGQAQgB5AEQAYQBpAHIAeQBDAGEAdAB0AGwAZQBHAHIAZQBhAHQAZQByAFQAaABhAG4ATwBuAGUAWQBlAGEAcgBfAFYAYQByAGkAYQBiAGwAZQBcAG4AIAAgAD0ATABBAE0AQgBEAEEAKABcACIATgBFAF8AagBcACIAKQA7AFwAbgBcAG4AVgBFAEUAUgBHAF8ANABfADMAXwAxAF8AMwBfAF8ANABfAE4AaQB0AHIAbwBnAGUAbgBFAHgAYwByAGUAdABlAGQAQgB5AEQAYQBpAHIAeQBDAGEAdAB0AGwAZQBHAHIAZQBhAHQAZQByAFQAaABhAG4ATwBuAGUAWQBlAGEAcgBfAFUAbgBpAHQAXABuACAAIAA9AEwAQQBNAEIARABBACgAXAAiAGsAZwAgAE4ALwBoAGUAYQBkAC8AZABhAHkAXAAiACkAOwBcAG4AXABuAFYARQBFAFIARwBfADQAXwAzAF8AMQBfADMAXwBfADQAXwBOAGkAdAByAG8AZwBlAG4ARQB4AGMAcgBlAHQAZQBkAEIAeQBEAGEAaQByAHkAQwBhAHQAdABsAGUARwByAGUAYQB0AGUAcgBUAGgAYQBuAE8AbgBlAFkAZQBhAHIAXwBTAG8AdQByAGMAZQBcAG4AIAAgAD0ATABBAE0AQgBEAEEAKABcACIAVgBFAEUAUgBHACAAMgAwADIANgA6ACAANAAuADMALgAxAC4AMwAsACAARQBxAHUAYQB0AGkAbwBuACAAKAA0ACkAXAAiACkAOwBcAG4AXABuAFYARQBFAFIARwBfADQAXwAzAF8AMQBfADMAXwBfADQAXwBOAGkAdAByAG8AZwBlAG4ARQB4AGMAcgBlAHQAZQBkAEIAeQBEAGEAaQByAHkAQwBhAHQAdABsAGUARwByAGUAYQB0AGUAcgBUAGgAYQBuAE8AbgBlAFkAZQBhAHIAXwBOAEkAUgBSAGUAZgBlAHIAZQBuAGMAZQBcAG4AIAAgAD0ATABBAE0AQgBEAEEAKABcACIAXAAiACkAOwBcAG4AXABuAFYARQBFAFIARwBfADQAXwAzAF8AMQBfADMAXwBfADQAXwBOAGkAdAByAG8AZwBlAG4ARQB4AGMAcgBlAHQAZQBkAEIAeQBEAGEAaQByAHkAQwBhAHQAdABsAGUARwByAGUAYQB0AGUAcgBUAGgAYQBuAE8AbgBlAFkAZQBhAHIAXwBMAGEAdABlAHgARQBxAHUAYQB0AGkAbwBuAFwAbgAgACAAPQBMAEEATQBCAEQAQQAoAFwAIgBOAEUAXwBqAD0AKABcAFwAZgByAGEAYwB7AEMAUABJAF8AagB9AHsANgAuADIANQB9ACkALQBOAFIAXwBqAC0AXABcAGwAZQBmAHQAWwBcAFwAZgByAGEAYwB7ADEALgAxAFwAXAB0AGkAbQBlAHMAMQAwAF4AewAtADQAfQAgAFwAXAB0AGkAbQBlAHMAIABXAF8AagBeAHsAMAAuADcANQB9AH0AewA2AC4AMgA1AH0AXABcAHIAaQBnAGgAdABdAFwAIgApADsAXABuAFwAbgBWAEUARQBSAEcAXwA0AF8AMwBfADEAXwAzAF8AXwA0AF8ATgBpAHQAcgBvAGcAZQBuAEUAeABjAHIAZQB0AGUAZABCAHkARABhAGkAcgB5AEMAYQB0AHQAbABlAEcAcgBlAGEAdABlAHIAVABoAGEAbgBPAG4AZQBZAGUAYQByAF8AQQByAGcAdQBtAGUAbgB0AHMAXABuACAAIAA9AEwAQQBNAEIARABBACgAXABuACAAIAAgACAATQBBAEsARQBBAFIAUgBBAFkAKAAzACwAIAA0ACwAXABuACAAIAAgACAAIAAgAEwAQQBNAEIARABBACgAcgAsAGMALABcAG4AIAAgACAAIAAgACAAIAAgAEkATgBEAEUAWAAoAHsAXABuACAAIAAgACAAIAAgACAAIAAgACAAXAAiAEMAUABJAF8AagBcACIALAAgAFwAIgBjAHIAdQBkAGUAIABwAHIAbwB0AGUAaQBuACAAaQBuAHQAYQBrAGUAIAAoAGsAZwAvAGgAZQBhAGQALwBkAGEAeQApAFwAIgAsACAAXAAiAGsAZwAvAGgAZQBhAGQALwBkAGEAeQBcACIALAAgAFwAIgBDAGEAbABjAHUAbABhAHQAZQBkACAAZgByAG8AbQAgADQALgAzAC4AMQAuADMAIAAoADUAKQBcACIAOwBcAG4AIAAgACAAIAAgACAAIAAgACAAIABcACIATgBSAF8AagBcACIALAAgAFwAIgBhAG0AbwB1AG4AdAAgAG8AZgAgAG4AaQB0AHIAbwBnAGUAbgAgAHIAZQB0AGEAaQBuAGUAZAAgAGIAeQAgAHQAaABlACAAYgBvAGQAeQBcACIALAAgAFwAIgBrAGcAIABOAC8AaABlAGEAZAAvAGQAYQB5AFwAIgAsACAAXAAiAEMAYQBsAGMAdQBsAGEAdABlAGQAIABmAHIAbwBtACAANAAuADMALgAxAC4AMwAgACgANgApAFwAIgA7AFwAbgAgACAAIAAgACAAIAAgACAAIAAgAFwAIgBXAF8AagBcACIALAAgAFwAIgBsAGkAdgBlAHcAZQBpAGcAaAB0ACAAKABrAGcAKQBcACIALAAgAFwAIgBrAGc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UAXwBDAHIAdQBkAGUAUAByAG8AdABlAGkAbgBJAG4AdABhAGsAZQBPAGYARABhAGkAcgB5AEMAYQB0AHQAbABlAFwAbgBDAHIAdQBkAGUAIABwAHIAbwB0AGUAaQBuACAAaQBuAHQAYQBrAGUAIABvAGYAIABkAGEAaQByAHkAIABjAGEAdAB0AGwAZQBcAG4AQwBQAEkAXwBqAFwAbgBrAGcALwBoAGUAYQBkAC8AZABhAHkAXABuAEMAUABJAF8AagA9AEkAXwBqAFwAXAB0AGkAbQBlAHMAIABDAFAAXwBqAFwAbgBJAF8AagAgAD0AIABkAHIAeQAgAG0AYQB0AHQAZQByACAAaQBuAHQAYQBrAGUAIAAoAGsAZwBEAE0ALwBoAGUAYQBkAC8AZABhAHkAKQBcAG4AQwBQAF8AagAgAD0AIABjAHIAdQBkAGUAIABwAHIAbwB0AGUAaQBuACAAYwBvAG4AdABlAG4AdAAgAG8AZgAgAGYAZQBlAGQAIABpAG4AdABhAGsAZQAgACgAZgByAGEAYwB0AGkAbwBuACkAXABuAC0ALQAtAC0ALQAtAC0ALQAtAC0ALQAtAC0ALQAtAC0ALQAtAC0ALQAtAC0ALQAtAC0ALQAtAC0ALQAtAC0ALQAtAC0ALQAtAC0ALQBcAG4AKgAvAFwAbgBcAG4AVgBFAEUAUgBHAF8ANABfADMAXwAxAF8AMwBfAF8ANQBfAEMAcgB1AGQAZQBQAHIAbwB0AGUAaQBuAEkAbgB0AGEAawBlAE8AZgBEAGEAaQByAHkAQwBhAHQAdABsAGUAXABuACAAIAA9AEwAQQBNAEIARABBACgAXABuACAAIAAgACAASQBfAGoALAAgAEMAUABfAGoALABcAG4AIAAgACAAIABJAF8AagAgACoAIABDAFAAXwBqAFwAbgAgACAAKQA7AFwAbgBcAG4AVgBFAEUAUgBHAF8ANABfADMAXwAxAF8AMwBfAF8ANQBfAEMAcgB1AGQAZQBQAHIAbwB0AGUAaQBuAEkAbgB0AGEAawBlAE8AZgBEAGEAaQByAHkAQwBhAHQAdABsAGUAXwBUAGkAdABsAGUAXABuACAAIAA9AEwAQQBNAEIARABBACgAXAAiAEMAcgB1AGQAZQAgAHAAcgBvAHQAZQBpAG4AIABpAG4AdABhAGsAZQAgAG8AZgAgAGQAYQBpAHIAeQAgAGMAYQB0AHQAbABlAFwAIgApADsAXABuAFwAbgBWAEUARQBSAEcAXwA0AF8AMwBfADEAXwAzAF8AXwA1AF8AQwByAHUAZABlAFAAcgBvAHQAZQBpAG4ASQBuAHQAYQBrAGUATwBmAEQAYQBpAHIAeQBDAGEAdAB0AGwAZQBfAFYAYQByAGkAYQBiAGwAZQBcAG4AIAAgAD0ATABBAE0AQgBEAEEAKABcACIAQwBQAEkAXwBqAFwAIgApADsAXABuAFwAbgBWAEUARQBSAEcAXwA0AF8AMwBfADEAXwAzAF8AXwA1AF8AQwByAHUAZABlAFAAcgBvAHQAZQBpAG4ASQBuAHQAYQBrAGUATwBmAEQAYQBpAHIAeQBDAGEAdAB0AGwAZQBfAFUAbgBpAHQAXABuACAAIAA9AEwAQQBNAEIARABBACgAXAAiAGsAZwAvAGgAZQBhAGQALwBkAGEAeQBcACIAKQA7AFwAbgBcAG4AVgBFAEUAUgBHAF8ANABfADMAXwAxAF8AMwBfAF8ANQBfAEMAcgB1AGQAZQBQAHIAbwB0AGUAaQBuAEkAbgB0AGEAawBlAE8AZgBEAGEAaQByAHkAQwBhAHQAdABsAGUAXwBTAG8AdQByAGMAZQBcAG4AIAAgAD0ATABBAE0AQgBEAEEAKABcACIAVgBFAEUAUgBHACAAMgAwADIANgA6ACAANAAuADMALgAxAC4AMwAsACAARQBxAHUAYQB0AGkAbwBuACAAKAA1ACkAXAAiACkAOwBcAG4AXABuAFYARQBFAFIARwBfADQAXwAzAF8AMQBfADMAXwBfADUAXwBDAHIAdQBkAGUAUAByAG8AdABlAGkAbgBJAG4AdABhAGsAZQBPAGYARABhAGkAcgB5AEMAYQB0AHQAbABlAF8ATgBJAFIAUgBlAGYAZQByAGUAbgBjAGUAXABuACAAIAA9AEwAQQBNAEIARABBACgAXAAiAFwAIgApADsAXABuAFwAbgBWAEUARQBSAEcAXwA0AF8AMwBfADEAXwAzAF8AXwA1AF8AQwByAHUAZABlAFAAcgBvAHQAZQBpAG4ASQBuAHQAYQBrAGUATwBmAEQAYQBpAHIAeQBDAGEAdAB0AGwAZQBfAEwAYQB0AGUAeABFAHEAdQBhAHQAaQBvAG4AXABuACAAIAA9AEwAQQBNAEIARABBACgAXAAiAEMAUABJAF8AagA9AEkAXwBqAFwAXAB0AGkAbQBlAHMAIABDAFAAXwBqAFwAIgApADsAXABuAFwAbgBWAEUARQBSAEcAXwA0AF8AMwBfADEAXwAzAF8AXwA1AF8AQwByAHUAZABlAFAAcgBvAHQAZQBpAG4ASQBuAHQAYQBrAGUATwBmAEQAYQBpAHIAeQBDAGEAdAB0AGwAZQBfAEEAcgBnAHUAbQBlAG4AdABzAFwAbgAgACAAPQBMAEEATQBCAEQAQQAoAFwAbgAgACAAIAAgAE0AQQBLAEUAQQBSAFIAQQBZACgAMgAsACAANAAsAFwAbgAgACAAIAAgACAAIABMAEEATQBCAEQAQQAoAHIALABjACwAXABuACAAIAAgACAAIAAgACAAIABJAE4ARABFAFgAKAB7AFwAbgAgACAAIAAgACAAIAAgACAAIAAgAFwAIgBJAF8AagBcACIALAAgAFwAIgBkAHIAeQAgAG0AYQB0AHQAZQByACAAaQBuAHQAYQBrAGUAXAAiACwAIABcACIAawBnAEQATQAvAGgAZQBhAGQALwBkAGEAeQBcACIALAAgAFwAIgBDAGEAbABjAHUAbABhAHQAZQBkACAAZgByAG8AbQAgADMALgAzAC4AMQAuADEAIAAoADMAKQBcACIAOwBcAG4AIAAgACAAIAAgACAAIAAgACAAIABcACIAQwBQAF8AagBcACIALAAgAFwAIgBjAHIAdQBkAGUAIABwAHIAbwB0AGUAaQBuACAAYwBvAG4AdABlAG4AdAAgAG8AZgAgAGYAZQBlAGQAIABpAG4AdABhAGsAZ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YAXwBOAGkAdAByAG8AZwBlAG4AUgBlAHQAYQBpAG4AZQBkAEIAeQBCAG8AZAB5AFwAbgBBAG0AbwB1AG4AdAAgAG8AZgAgAG4AaQB0AHIAbwBnAGUAbgAgAHIAZQB0AGEAaQBuAGUAZAAgAGIAeQAgAHQAaABlACAAYgBvAGQAeQBcAG4ATgBSAF8AagBcAG4AawBnACAATgAvAGgAZQBhAGQALwBkAGEAeQBcAG4ATgBSAF8AagA9ACgAKAAoADAALgAwADMAMgBcAFwAdABpAG0AZQBzACAATQBQAF8AagBcAFwAdABpAG0AZQBzACAAMQAuADAAMwApAC8ANgAuADMAOAApACsAKAAoADAALgAyADEAMgAtADAALgAwADAAOABcAFwAdABpAG0AZQBzACAAKABMAF8AagAtADIAKQAtACgAKAAwAC4AMQA0ADAALQAwAC4AMAAwADgAXABcAHQAaQBtAGUAcwAgACgATABfAGoALQAyACkAKQAvACgAMQArAEUAWABQACgALQA2AFwAXAB0AGkAbQBlAHMAIAAoAFoAXwBqAC0AMAAuADQAKQApACkAKQApAFwAXAB0AGkAbQBlAHMAIAAoAEwAVwBHAF8AagBcAFwAdABpAG0AZQBzACAAMAAuADkAMgApACkAKQBcAFwAdABpAG0AZQBzACAAKAAxAC8ANgAuADIANQApAFwAbgBNAFAAXwBqACAAPQAgAG0AaQBsAGsAIABwAHIAbwBkAHUAYwB0AGkAbwBuACAAKABMAC8AaABlAGEAZAAvAGQAYQB5ACkAXABuAEwAXwBqACAAPQAgAGkAbgB0AGEAawBlACAAcgBlAGwAYQB0AGkAdgBlACAAdABvACAAbQBhAGkAbgB0AGUAbgBhAG4AYwBlAFwAbgBaAF8AagAgAD0AIAByAGUAbABhAHQAaQB2AGUAIABzAGkAegBlAFwAbgBMAFcARwBfAGoAIAA9ACAAbABpAHYAZQB3AGUAaQBnAGgAdAAgAGcAYQBpAG4AIAAoAGsAZwAvAGQAYQB5ACkAXABuAC0ALQAtAC0ALQAtAC0ALQAtAC0ALQAtAC0ALQAtAC0ALQAtAC0ALQAtAC0ALQAtAC0ALQAtAC0ALQAtAC0ALQAtAC0ALQAtAC0ALQBcAG4AKgAvAFwAbgBcAG4AVgBFAEUAUgBHAF8ANABfADMAXwAxAF8AMwBfAF8ANgBfAE4AaQB0AHIAbwBnAGUAbgBSAGUAdABhAGkAbgBlAGQAQgB5AEIAbwBkAHkAXABuACAAIAA9AEwAQQBNAEIARABBACgAXABuACAAIAAgACAATQBQAF8AagAsACAATABfAGoALAAgAFoAXwBqACwAIABMAFcARwBfAGoALABcAG4AIAAgACAAIAAoACgAMAAuADAAMwAyACAAKgAgAE0AUABfAGoAIAAqACAAMQAuADAAMwApACAALwAgADYALgAzADgAKQAgACsAIAAoACgAMAAuADIAMQAyACAALQAgADAALgAwADAAOAAgACoAIAAoAEwAXwBqACAALQAgADIAKQAgAC0AIAAoACgAMAAuADEANAAwACAALQAgADAALgAwADAAOAAgACoAIAAoAEwAXwBqACAALQAgADIAKQApACAALwAgACgAMQAgACsAIABFAFgAUAAoAC0ANgAgACoAIAAoAFoAXwBqACAALQAgADAALgA0ACkAKQApACkAKQAgACoAIAAoAEwAVwBHAF8AagAgACoAIAAwAC4AOQAyACkAKQAgACoAIAAoADEAIAAvACAANgAuADIANQApAFwAbgAgACAAKQA7AFwAbgBcAG4AVgBFAEUAUgBHAF8ANABfADMAXwAxAF8AMwBfAF8ANgBfAE4AaQB0AHIAbwBnAGUAbgBSAGUAdABhAGkAbgBlAGQAQgB5AEIAbwBkAHkAXwBUAGkAdABsAGUAXABuACAAIAA9AEwAQQBNAEIARABBACgAXAAiAEEAbQBvAHUAbgB0ACAAbwBmACAAbgBpAHQAcgBvAGcAZQBuACAAcgBlAHQAYQBpAG4AZQBkACAAYgB5ACAAdABoAGUAIABiAG8AZAB5AFwAIgApADsAXABuAFwAbgBWAEUARQBSAEcAXwA0AF8AMwBfADEAXwAzAF8AXwA2AF8ATgBpAHQAcgBvAGcAZQBuAFIAZQB0AGEAaQBuAGUAZABCAHkAQgBvAGQAeQBfAFYAYQByAGkAYQBiAGwAZQBcAG4AIAAgAD0ATABBAE0AQgBEAEEAKABcACIATgBSAF8AagBcACIAKQA7AFwAbgBcAG4AVgBFAEUAUgBHAF8ANABfADMAXwAxAF8AMwBfAF8ANgBfAE4AaQB0AHIAbwBnAGUAbgBSAGUAdABhAGkAbgBlAGQAQgB5AEIAbwBkAHkAXwBVAG4AaQB0AFwAbgAgACAAPQBMAEEATQBCAEQAQQAoAFwAIgBrAGcAIABOAC8AaABlAGEAZAAvAGQAYQB5AFwAIgApADsAXABuAFwAbgBWAEUARQBSAEcAXwA0AF8AMwBfADEAXwAzAF8AXwA2AF8ATgBpAHQAcgBvAGcAZQBuAFIAZQB0AGEAaQBuAGUAZABCAHkAQgBvAGQAeQBfAFMAbwB1AHIAYwBlAFwAbgAgACAAPQBMAEEATQBCAEQAQQAoAFwAIgBWAEUARQBSAEcAIAAyADAAMgA2ADoAIAA0AC4AMwAuADEALgAzACwAIABFAHEAdQBhAHQAaQBvAG4AIAAoADYAKQBcACIAKQA7AFwAbgBcAG4AVgBFAEUAUgBHAF8ANABfADMAXwAxAF8AMwBfAF8ANgBfAE4AaQB0AHIAbwBnAGUAbgBSAGUAdABhAGkAbgBlAGQAQgB5AEIAbwBkAHkAXwBOAEkAUgBSAGUAZgBlAHIAZQBuAGMAZQBcAG4AIAAgAD0ATABBAE0AQgBEAEEAKABcACIAXAAiACkAOwBcAG4AXABuAFYARQBFAFIARwBfADQAXwAzAF8AMQBfADMAXwBfADYAXwBOAGkAdAByAG8AZwBlAG4AUgBlAHQAYQBpAG4AZQBkAEIAeQBCAG8AZAB5AF8ATABhAHQAZQB4AEUAcQB1AGEAdABpAG8AbgBcAG4AIAAgAD0ATABBAE0AQgBEAEEAKABcACIATgBSAF8AagA9AFwAXABsAGUAZgB0ACgAXABcAGYAcgBhAGMAewAwAC4AMAAzADIAIABcAFwAdABpAG0AZQBzACAATQBQAF8AagAgAFwAXAB0AGkAbQBlAHMAIAAxAC4AMAAzAH0AewA2AC4AMwA4AH0AXABcAHIAaQBnAGgAdAApACAAKwAgAFwAXABsAGUAZgB0AFwAXAB7AFwAXABsAGUAZgB0ACgAMAAuADIAMQAyAC0AMAAuADAAMAA4ACAAXABcAHQAaQBtAGUAcwAgACgATABfAGoAIAAtACAAMgApACAALQAgAFwAXABsAGUAZgB0AFsAXABcAGYAcgBhAGMAewAwAC4AMQA0ADAALQAwAC4AMAAwADgAXABcAHQAaQBtAGUAcwAoAEwAXwBqAC0AMgApAH0AewAxACsAZQBeAHsALQA2AFwAXAB0AGkAbQBlAHMAKABaAF8AagAtADAALgA0ACkAfQB9AFwAXAByAGkAZwBoAHQAXQBcAFwAcgBpAGcAaAB0ACkAIABcAFwAdABpAG0AZQBzACAAKABMAFcARwBfAGoAIABcAFwAdABpAG0AZQBzACAAMAAuADkAMgApAFwAXAByAGkAZwBoAHQAXABcAH0AIABcAFwAdABpAG0AZQBzACAAXABcAGYAcgBhAGMAewAxAH0AewA2AC4AMgA1AH0AXAAiACkAOwBcAG4AXABuAFYARQBFAFIARwBfADQAXwAzAF8AMQBfADMAXwBfADYAXwBOAGkAdAByAG8AZwBlAG4AUgBlAHQAYQBpAG4AZQBkAEIAeQBCAG8AZAB5AF8AQQByAGcAdQBtAGUAbgB0AHMAXABuACAAIAA9AEwAQQBNAEIARABBACgAXABuACAAIAAgACAATQBBAEsARQBBAFIAUgBBAFkAKAA2ACwAIAA0ACwAXABuACAAIAAgACAAIAAgAEwAQQBNAEIARABBACgAcgAsAGMALABcAG4AIAAgACAAIAAgACAAIAAgAEkATgBEAEUAWAAoAHsAXABuACAAIAAgACAAIAAgACAAIAAgACAAXAAiAE0AUABVAFwAIgAsACAAXAAiAGkAbgBwAHUAdAAgAG0AaQBsAGsAIABwAHIAbwBkAHUAYwB0AGkAbwBuACAAdQBuAGkAdABcACIALAAgAFwAIgBcACIALAAgAFwAIgBJAG4AcAB1AHQAXAAiADsAXABuACAAIAAgACAAIAAgACAAIAAgACAAXAAiAE0AUABfAGoAXAAiACwAIABcACIAbQBpAGwAawAgAHAAcgBvAGQAdQBjAHQAaQBvAG4AIAAoAGkAZgAgAGkAbgBwAHUAdAAgAGEAcwAgAGwAaQB0AHIAZQBzACAAbwBmACAAbQBpAGwAawApAFwAIgAsACAAXAAiAEwALwBoAGUAYQBkAC8AZABhAHkAXAAiACwAIABcACIASQBuAHAAdQB0AFwAIgA7AFwAbgAgACAAIAAgACAAIAAgACAAIAAgAFwAIgBNAFAAXwBqAFwAIgAsACAAXAAiAG0AaQBsAGsAIABwAHIAbwBkAHUAYwB0AGkAbwBuACAAKABpAGYAIABpAG4AcAB1AHQAIABhAHMAIABtAGkAbABrACAAcwBvAGwAaQBkAHMAKQBcACIALAAgAFwAIgBMAC8AaABlAGEAZAAvAGQAYQB5AFwAIgAsACAAXAAiAEMAYQBsAGMAdQBsAGEAdABlAGQAIABmAHIAbwBtACAAMwAuADMALgAxAC4AMQAgACgANQApAFwAIgA7AFwAbgAgACAAIAAgACAAIAAgACAAIAAgAFwAIgBMAF8AagBcACIALAAgAFwAIgBpAG4AdABhAGsAZQAgAHIAZQBsAGEAdABpAHYAZQAgAHQAbwAgAG0AYQBpAG4AdABlAG4AYQBuAGMAZQBcACIALAAgAFwAIgBcACIALAAgAFwAIgBDAGEAbABjAHUAbABhAHQAZQBkACAAZgByAG8AbQAgADQALgAzAC4AMQAuADMAIAAoADcAKQBcACIAOwBcAG4AIAAgACAAIAAgACAAIAAgACAAIABcACIAWgBfAGoAXAAiACwAIABcACIAcgBlAGwAYQB0AGkAdgBlACAAcwBpAHoAZQBcACIALAAgAFwAIgBcACIALAAgAFwAIgBDAGEAbABjAHUAbABhAHQAZQBkACAAZgByAG8AbQAgADQALgAzAC4AMQAuADMAIAAoADgAKQBcACIAOwBcAG4AIAAgACAAIAAgACAAIAAgACAAIABcACIATABXAEcAXwBqAFwAIgAsACAAXAAiAGwAaQB2AGUAdwBlAGkAZwBoAHQAIABnAGEAaQBuAFwAIgAsACAAXAAiAGsAZwAvAGgAZQBhAGQALwBkAGEAeQBcACIALAAgAFwAIgBJAG4AcAB1AHQAXAAiAFwAbgAgACAAIAAgACAAIAAgACAAfQAsACAAcgAsACAAYwApAFwAbgAgACAAIAAgACAAIAApAFwAbgAgACAAIAAgACkAXABuACAAIAApADsAXABuAFwAbgBWAEUARQBSAEcAXwA0AF8AMwBfADEAXwAzAF8AXwA2AF8ATgBpAHQAcgBvAGcAZQBuAFIAZQB0AGEAaQBuAGUAZABCAHkAQgBvAGQAeQBfAFYAYQByAGkAYQB0AGkAbwBuAFwAbgAgACAAPQBMAEEATQBCAEQAQQAoAFwAIgBWAEEAUgBJAEEAVABJAE8ATgAgAE8ATgAgAFMATwBVAFIAQwBFADoAIABBAGQAZABlAGQAIABjAGgAZQBjAGsAIABmAG8AcgAgAG0AaQBsAGsAIABwAHIAbwBkAHUAYwB0AGkAbwBuACAAaQBuAHAAdQB0ACAAdQBuAGkAdAAgAGEAbgBkACAAYwBoAG8AbwBzAGUAIABjAG8AcgByAGUAcwBwAG8AbgBkAGkAbgBnACAATQBQAF8AagAgAHYAYQBsAHUAZQAgAGEAYwBjAG8AcgBkAGkAbgBnAGwAeQAuAFwAIgApADsAXABuAFwAbgAvACoAXABuAC0ALQAtAC0ALQAtAC0ALQAtAC0ALQAtAC0ALQAtAC0ALQAtAC0ALQAtAC0ALQAtAC0ALQAtAC0ALQAtAC0ALQAtAC0ALQAtAC0ALQBcAG4AVgBFAEUAUgBHAF8ANABfADMAXwAxAF8AMwBfAF8ANwBfAEkAbgB0AGEAawBlAFIAZQBsAGEAdABpAHYAZQBUAG8ATQBhAGkAbgB0AGUAbgBhAG4AYwBlAFwAbgBJAG4AdABhAGsAZQAgAHIAZQBsAGEAdABpAHYAZQAgAHQAbwAgAG0AYQBpAG4AdABlAG4AYQBuAGMAZQBcAG4ATABfAGoAXABuAHIAYQB0AGkAbwBcAG4ATABfAGoAPQBJAF8AagAvACgAKAAxAC4AMQA4ADUAKwAwAC4AMAAwADQANQA0AFwAXAB0AGkAbQBlAHMAIABXAF8AagAtADAALgAwADAAMAAwADAAMgA2AFwAXAB0AGkAbQBlAHMAIABXAF8AagBeADIAKQBeADIAXABcAHQAaQBtAGUAcwAgAE0AUgBfAGoAKwBNAEkAXwBqACkAXABuAEkAXwBqACAAPQAgAGQAcgB5ACAAbQBhAHQAdABlAHIAIABpAG4AdABhAGsAZQAgACgAawBnAEQATQAvAGgAZQBhAGQALwBkAGEAeQApAFwAbgBXAF8AagAgAD0AIABsAGkAdgBlAHcAZQBpAGcAaAB0ACAAKABrAGcAKQBcAG4ATQBSAF8AagAgAD0AIABpAG4AYwByAGUAYQBzAGUAIABpAG4AIABtAGUAdABhAGIAbwBsAGkAYwAgAHIAYQB0AGUAIAB3AGgAZQBuACAAcAByAG8AZAB1AGMAaQBuAGcAIABtAGkAbABrAFwAbgBNAEkAXwBqACAAPQAgAGEAZABkAGkAdABpAG8AbgBhAGwAIABpAG4AdABhAGsAZQAgAHIAZQBxAHUAaQByAGUAZAAgAGYAbwByACAAbQBpAGwAawAgAHAAcgBvAGQAdQBjAHQAaQBvAG4AIAAoAGsAZwBEAE0ALwBoAGUAYQBkAC8AZABhAHkAKQBcAG4ALQAtAC0ALQAtAC0ALQAtAC0ALQAtAC0ALQAtAC0ALQAtAC0ALQAtAC0ALQAtAC0ALQAtAC0ALQAtAC0ALQAtAC0ALQAtAC0ALQAtAFwAbgAqAC8AXABuAFwAbgBWAEUARQBSAEcAXwA0AF8AMwBfADEAXwAzAF8AXwA3AF8ASQBuAHQAYQBrAGUAUgBlAGwAYQB0AGkAdgBlAFQAbwBNAGEAaQBuAHQAZQBuAGEAbgBjAGUAXABuACAAIAA9AEwAQQBNAEIARABBACgAXABuACAAIAAgACAASQBfAGoALAAgAFcAXwBqACwAIABNAFIAXwBqACwAIABNAEkAXwBqACwAXABuACAAIAAgACAASQBfAGoAIAAvACAAKAAoACgAMQAuADEAOAA1ACAAKwAgADAALgAwADAANAA1ADQAIAAqACAAVwBfAGoAIAAtACAAMAAuADAAMAAwADAAMAAyADYAIAAqACAAVwBfAGoAIABeACAAMgApACAAXgAgADIAIAAqACAATQBSAF8AagApACAAKwAgAE0ASQBfAGoAKQBcAG4AIAAgACkAOwBcAG4AXABuAFYARQBFAFIARwBfADQAXwAzAF8AMQBfADMAXwBfADcAXwBJAG4AdABhAGsAZQBSAGUAbABhAHQAaQB2AGUAVABvAE0AYQBpAG4AdABlAG4AYQBuAGMAZQBfAFQAaQB0AGwAZQBcAG4AIAAgAD0ATABBAE0AQgBEAEEAKABcACIASQBuAHQAYQBrAGUAIAByAGUAbABhAHQAaQB2AGUAIAB0AG8AIABtAGEAaQBuAHQAZQBuAGEAbgBjAGUAXAAiACkAOwBcAG4AXABuAFYARQBFAFIARwBfADQAXwAzAF8AMQBfADMAXwBfADcAXwBJAG4AdABhAGsAZQBSAGUAbABhAHQAaQB2AGUAVABvAE0AYQBpAG4AdABlAG4AYQBuAGMAZQBfAFYAYQByAGkAYQBiAGwAZQBcAG4AIAAgAD0ATABBAE0AQgBEAEEAKABcACIATABfAGoAXAAiACkAOwBcAG4AXABuAFYARQBFAFIARwBfADQAXwAzAF8AMQBfADMAXwBfADcAXwBJAG4AdABhAGsAZQBSAGUAbABhAHQAaQB2AGUAVABvAE0AYQBpAG4AdABlAG4AYQBuAGMAZQBfAFUAbgBpAHQAXABuACAAIAA9AEwAQQBNAEIARABBACgAXAAiAHIAYQB0AGkAbwBcACIAKQA7AFwAbgBcAG4AVgBFAEUAUgBHAF8ANABfADMAXwAxAF8AMwBfAF8ANwBfAEkAbgB0AGEAawBlAFIAZQBsAGEAdABpAHYAZQBUAG8ATQBhAGkAbgB0AGUAbgBhAG4AYwBlAF8AUwBvAHUAcgBjAGUAXABuACAAIAA9AEwAQQBNAEIARABBACgAXAAiAFYARQBFAFIARwAgADIAMAAyADYAOgAgADQALgAzAC4AMQAuADMALAAgAEUAcQB1AGEAdABpAG8AbgAgACgANwApAFwAIgApADsAXABuAFwAbgBWAEUARQBSAEcAXwA0AF8AMwBfADEAXwAzAF8AXwA3AF8ASQBuAHQAYQBrAGUAUgBlAGwAYQB0AGkAdgBlAFQAbwBNAGEAaQBuAHQAZQBuAGEAbgBjAGUAXwBOAEkAUgBSAGUAZgBlAHIAZQBuAGMAZQBcAG4AIAAgAD0ATABBAE0AQgBEAEEAKABcACIAXAAiACkAOwBcAG4AXABuAFYARQBFAFIARwBfADQAXwAzAF8AMQBfADMAXwBfADcAXwBJAG4AdABhAGsAZQBSAGUAbABhAHQAaQB2AGUAVABvAE0AYQBpAG4AdABlAG4AYQBuAGMAZQBfAEwAYQB0AGUAeABFAHEAdQBhAHQAaQBvAG4AXABuACAAIAA9AEwAQQBNAEIARABBACgAXAAiAEwAXwBqAD0AXABcAGYAcgBhAGMAewBJAF8AagB9AHsAKAAxAC4AMQA4ADUAKwAwAC4AMAAwADQANQA0AFwAXAB0AGkAbQBlAHMAIABXAF8AagAtADAALgAwADAAMAAwADAAMgA2AFwAXAB0AGkAbQBlAHMAIABXAF8AagBeADIAKQBeADIAXABcAHQAaQBtAGUAcwAgAE0AUgBfAGoAKwBNAEkAXwBqAH0AXAAiACkAOwBcAG4AXABuAFYARQBFAFIARwBfADQAXwAzAF8AMQBfADMAXwBfADcAXwBJAG4AdABhAGsAZQBSAGUAbABhAHQAaQB2AGUAVABvAE0AYQBpAG4AdABlAG4AYQBuAGMAZQBfAEEAcgBnAHUAbQBlAG4AdABzAFwAbgAgACAAPQBMAEEATQBCAEQAQQAoAFwAbgAgACAAIAAgAE0AQQBLAEUAQQBSAFIAQQBZACgANAAsACAANAAsAFwAbgAgACAAIAAgACAAIABMAEEATQBCAEQAQQAoAHIALABjACwAXABuACAAIAAgACAAIAAgACAAIABJAE4ARABFAFgAKAB7AFwAbgAgACAAIAAgACAAIAAgACAAIAAgAFwAIgBJAF8AagBcACIALAAgAFwAIgBkAHIAeQAgAG0AYQB0AHQAZQByACAAaQBuAHQAYQBrAGUAXAAiACwAIABcACIAawBnAEQATQAvAGgAZQBhAGQALwBkAGEAeQBcACIALAAgAFwAIgBDAGEAbABjAHUAbABhAHQAZQBkACAAZgByAG8AbQAgADMALgAzAC4AMQAuADEAIAAoADMAKQBcACIAOwBcAG4AIAAgACAAIAAgACAAIAAgACAAIABcACIAVwBfAGoAXAAiACwAIABcACIAbABpAHYAZQB3AGUAaQBnAGgAdABcACIALAAgAFwAIgBrAGcALwBoAGUAYQBkAFwAIgAsACAAXAAiAEkAbgBwAHUAdABcACIAOwBcAG4AIAAgACAAIAAgACAAIAAgACAAIABcACIATQBSAF8AagBcACIALAAgAFwAIgBpAG4AYwByAGUAYQBzAGUAIABpAG4AIABtAGUAdABhAGIAbwBsAGkAYwAgAHIAYQB0AGUAIAB3AGgAZQBuACAAcAByAG8AZAB1AGMAaQBuAGcAIABtAGkAbABrAFwAIgAsACAAXAAiAFwAIgAsACAAXAAiAEMAbwBuAHMAdABhAG4AdABcACIAOwBcAG4AIAAgACAAIAAgACAAIAAgACAAIABcACIATQBJAF8AagBcACIALAAgAFwAIgBhAGQAZABpAHQAaQBvAG4AYQBsACAAaQBuAHQAYQBrAGUAIAByAGUAcQB1AGkAcgBlAGQAIABmAG8AcgAgAG0AaQBsAGsAIABwAHIAbwBkAHUAYwB0AGkAbwBuAFwAIgAsACAAXAAiAGsAZwBEAE0ALwBoAGUAYQBkAC8AZABhAHkAXAAiACwAIABcACIAQwBhAGwAYwB1AGwAYQB0AGUAZAAgAGYAcgBvAG0AIAAzAC4AMwAuADEALgAxACAAKAA0ACk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OABfAFIAZQBsAGEAdABpAHYAZQBTAGkAegBlAFwAbgBSAGUAbABhAHQAaQB2AGUAIABzAGkAegBlAFwAbgBaAF8AagBcAG4AcgBhAHQAaQBvAFwAbgBaAF8AagA9AFcAXwBqAC8AVwBSAF8AagBcAG4AVwBfAGoAIAA9ACAAbABpAHYAZQB3AGUAaQBnAGgAdAAgACgAawBnACkAXABuAFcAUgBfAGoAIAA9ACAAcgBlAGYAZQByAGUAbgBjAGUAIAB3AGUAaQBnAGgAdAAgACgAawBnACkAXABuAC0ALQAtAC0ALQAtAC0ALQAtAC0ALQAtAC0ALQAtAC0ALQAtAC0ALQAtAC0ALQAtAC0ALQAtAC0ALQAtAC0ALQAtAC0ALQAtAC0ALQBcAG4AKgAvAFwAbgBcAG4AVgBFAEUAUgBHAF8ANABfADMAXwAxAF8AMwBfAF8AOABfAFIAZQBsAGEAdABpAHYAZQBTAGkAegBlAFwAbgAgACAAPQBMAEEATQBCAEQAQQAoAFwAbgAgACAAIAAgAFcAXwBqACwAIABXAFIAXwBqACwAXABuACAAIAAgACAAVwBfAGoAIAAvACAAVwBSAF8AagBcAG4AIAAgACkAOwBcAG4AXABuAFYARQBFAFIARwBfADQAXwAzAF8AMQBfADMAXwBfADgAXwBSAGUAbABhAHQAaQB2AGUAUwBpAHoAZQBfAFQAaQB0AGwAZQBcAG4AIAAgAD0ATABBAE0AQgBEAEEAKABcACIAUgBlAGwAYQB0AGkAdgBlACAAcwBpAHoAZQBcACIAKQA7AFwAbgBcAG4AVgBFAEUAUgBHAF8ANABfADMAXwAxAF8AMwBfAF8AOABfAFIAZQBsAGEAdABpAHYAZQBTAGkAegBlAF8AVgBhAHIAaQBhAGIAbABlAFwAbgAgACAAPQBMAEEATQBCAEQAQQAoAFwAIgBaAF8AagBcACIAKQA7AFwAbgBcAG4AVgBFAEUAUgBHAF8ANABfADMAXwAxAF8AMwBfAF8AOABfAFIAZQBsAGEAdABpAHYAZQBTAGkAegBlAF8AVQBuAGkAdABcAG4AIAAgAD0ATABBAE0AQgBEAEEAKABcACIAcgBhAHQAaQBvAFwAIgApADsAXABuAFwAbgBWAEUARQBSAEcAXwA0AF8AMwBfADEAXwAzAF8AXwA4AF8AUgBlAGwAYQB0AGkAdgBlAFMAaQB6AGUAXwBTAG8AdQByAGMAZQBcAG4AIAAgAD0ATABBAE0AQgBEAEEAKABcACIAVgBFAEUAUgBHACAAMgAwADIANgA6ACAANAAuADMALgAxAC4AMwAsACAARQBxAHUAYQB0AGkAbwBuACAAKAA4ACkAXAAiACkAOwBcAG4AXABuAFYARQBFAFIARwBfADQAXwAzAF8AMQBfADMAXwBfADgAXwBSAGUAbABhAHQAaQB2AGUAUwBpAHoAZQBfAE4ASQBSAFIAZQBmAGUAcgBlAG4AYwBlAFwAbgAgACAAPQBMAEEATQBCAEQAQQAoAFwAIgBcACIAKQA7AFwAbgBcAG4AVgBFAEUAUgBHAF8ANABfADMAXwAxAF8AMwBfAF8AOABfAFIAZQBsAGEAdABpAHYAZQBTAGkAegBlAF8ATABhAHQAZQB4AEUAcQB1AGEAdABpAG8AbgBcAG4AIAAgAD0ATABBAE0AQgBEAEEAKABcACIAWgBfAGoAPQBcAFwAZgByAGEAYwB7AFcAXwBqAH0AewBXAFIAXwBqAH0AXAAiACkAOwBcAG4AXABuAFYARQBFAFIARwBfADQAXwAzAF8AMQBfADMAXwBfADgAXwBSAGUAbABhAHQAaQB2AGUAUwBpAHoAZQBfAEEAcgBnAHUAbQBlAG4AdABzAFwAbgAgACAAPQBMAEEATQBCAEQAQQAoAFwAbgAgACAAIAAgAE0AQQBLAEUAQQBSAFIAQQBZACgAMgAsACAANAAsAFwAbgAgACAAIAAgACAAIABMAEEATQBCAEQAQQAoAHIALABjACwAXABuACAAIAAgACAAIAAgACAAIABJAE4ARABFAFgAKAB7AFwAbgAgACAAIAAgACAAIAAgACAAIAAgAFwAIgBXAF8AagBcACIALAAgAFwAIgBsAGkAdgBlAHcAZQBpAGcAaAB0AFwAIgAsACAAXAAiAGsAZwAvAGgAZQBhAGQAXAAiACwAIABcACIASQBuAHAAdQB0AFwAIgA7AFwAbgAgACAAIAAgACAAIAAgACAAIAAgAFwAIgBXAFIAXwBqAFwAIgAsACAAXAAiAHIAZQBmAGUAcgBlAG4AYwBlACAAdwBlAGkAZwBoAHQAXAAiACwAIABcACIAawBnAC8AaABlAGEAZABcACIALAAgAFwAIgBDAG8AbgBzAHQAYQBuAHQAXAAiAFwAbgAgACAAIAAgACAAIAAgACAAfQAsACAAcgAsACAAYwApAFwAbgAgACAAIAAgACAAIAApAFwAbgAgACAAIAAgACkAXABuACAAIAApADsAXABuACIAfQAsAHsAIgBwAGEAdABoACIAOgAiAC8AcAByAG8AagBlAGMAdABzAC8ARQBuAHQAZQByAGkAYwBNAGUAdABoAGEAbgBlAF8ARABhAGkAcgB5AF8ARQBxAHUAYQB0AGkAbwBuAHMAIgAsACIAdABlAHgAdAAiADoAIgAvACoAXABuAD0APQA9AD0APQA9AD0APQA9AD0APQA9AD0APQA9AD0APQA9AD0APQA9AD0APQA9AD0APQA9AD0APQA9AD0APQA9AD0APQA9AD0APQA9AD0APQA9AD0APQA9AD0APQA9AD0APQA9AD0APQA9AD0APQA9AD0APQA9AD0APQA9AD0APQA9AD0APQA9AD0APQA9AD0APQA9AD0AXABuADMALgAzADoAIABFAG4AdABlAHIAaQBjACAATQBlAHQAaABhAG4AZQAgAC0AIABEAGEAaQByAHkAIABDAGEAdAB0AGwAZQBcAG4APQA9AD0APQA9AD0APQA9AD0APQA9AD0APQA9AD0APQA9AD0APQA9AD0APQA9AD0APQA9AD0APQA9AD0APQA9AD0APQA9AD0APQA9AD0APQA9AD0APQA9AD0APQA9AD0APQA9AD0APQA9AD0APQA9AD0APQA9AD0APQA9AD0APQA9AD0APQA9AD0APQA9AD0APQA9AD0APQBcAG4AMwAuADMALgAxAC4AMQAgAE0AZQB0AGgAbwBkACAAMQAgAC0AIABFAG4AdABlAHIAaQBjACAARABhAGkAcgB5ACAAQwBhAHQAdABs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w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QAYQBpAHIAeQAgAGMAYQB0AHQAbABlAFwAbgBFAF8AZQBuAHQAZQByAGkAYwBcAG4AdAAgAEMASAA0AFwAbgBFAF8AewBlAG4AdABlAHIAaQBjAH0APQAoACgATgBfAHsAagA9ADEALAAyACwANAB9AFwAXAB0AGkAbQBlAHMAIABNAF8AewBqAD0AMQAsADIALAA0AH0AXABcAHQAaQBtAGUAcwAgAEQAXwB7AGoAPQAxACwAMgAsADQAfQApACsAKABOAF8AewBqAD0AMwAsADUAfQBcAFwAdABpAG0AZQBzACAATQBfAHsAagA9ADMALAA1AH0AXABcAHQAaQBtAGUAcwAgAEQAXwB7AGoAPQAzACwANQB9ACkAKwAoAE4AXwB7AGoAPQAzACwANQB9AFwAXAB0AGkAbQBlAHMAIABNAFAAVwBfAHsARQBOAFQARQBSAEkAQwAsAGoAPQAzACwANQB9AFwAXAB0AGkAbQBlAHMAIABEAF8AewBqAD0AMwAsADUAfQApACkAXABcAHQAaQBtAGUAcwAgADEAMABeAHsALQAzAH0AXABuAE4AXwBqADEAMgA0ACAAPQAgAG4AdQBtAGIAZQByACAAbwBmACAAZABhAGkAcgB5ACAAYwBhAHQAdABsAGUAIABpAG4AIABjAGwAYQBzAHMAZQBzACAAagA9ADEALAAyACwANAAgACgAaABlAGEAZAApAFwAbgBNAF8AagAxADIANAAgAD0AIABkAGEAaQBsAHkAIABlAG4AdABlAHIAaQBjACAAbQBlAHQAaABhAG4AZQAgAHAAcgBvAGQAdQBjAHQAaQBvAG4AIABmAG8AcgAgAGMAbABhAHMAcwBlAHMAIABqAD0AMQAsADIALAA0ACAAKABrAGcAIABDAEgANAAvAGgAZQBhAGQALwBkAGEAeQApAFwAbgBEAF8AagAxADIANAAgAD0AIABkAHUAcgBhAHQAaQBvAG4AIABvAGYAIABzAHQAYQB5ACAAbwBuACAAdABoAGUAIABmAGEAcgBtACAAZgBvAHIAIABjAGwAYQBzAHMAZQBzACAAagA9ADEALAAyACwANAAgACgAZABhAHkAcwApAFwAbgBOAF8AagAzADUAIAA9ACAAbgB1AG0AYgBlAHIAIABvAGYAIABkAGEAaQByAHkAIABjAGEAdAB0AGwAZQAgAGkAbgAgAGMAbABhAHMAcwBlAHMAIABqAD0AMwAsADUAIAAoAGgAZQBhAGQAKQBcAG4ATQBfAGoAMwA1ACAAPQAgAGQAYQBpAGwAeQAgAGUAbgB0AGUAcgBpAGMAIABtAGUAdABoAGEAbgBlACAAcAByAG8AZAB1AGMAdABpAG8AbgAgAGYAbwByACAAYwBsAGEAcwBzAGUAcwAgAGoAPQAzACwANQAgACgAawBnACAAQwBIADQALwBoAGUAYQBkAC8AZABhAHkAKQBcAG4ARABfAGoAMwA1ACAAPQAgAGQAdQByAGEAdABpAG8AbgAgAG8AZgAgAHMAdABhAHkAIABvAG4AIAB0AGgAZQAgAGYAYQByAG0AIABmAG8AcgAgAGMAbABhAHMAcwBlAHMAIABqAD0AMwAsADUAIAAoAGQAYQB5AHMAKQBcAG4ATQBQAFcAXwBFAE4AVABFAFIASQBDAF8AagAzADUAIAA9ACAAZABhAGkAbAB5ACAAbQBlAHQAaABhAG4AZQAgAHAAcgBvAGQAdQBjAHQAaQBvAG4AIABmAG8AcgAgAHAAcgBlAC0AdwBlAGEAbgBlAGQAIABoAGUAaQBmAGUAcgAgAGEAbgBkACAAYgB1AGwAbAAgAGMAYQBsAHYAZQBzACAAKABrAGcAIABDAEgANAAvAGgAZQBhAGQALwBkAGEAeQApAFwAbgAtAC0ALQAtAC0ALQAtAC0ALQAtAC0ALQAtAC0ALQAtAC0ALQAtAC0ALQAtAC0ALQAtAC0ALQAtAC0ALQAtAC0ALQAtAC0ALQAtAC0AXABuACoALwBcAG4AXABuAFYARQBFAFIARwBfADMAXwAzAF8AMQBfADEAXwBfADEAXwBUAG8AdABhAGwAQQBuAG4AdQBhAGwATQBlAHQAaABhAG4AZQBGAHIAbwBtAEUAbgB0AGUAcgBpAGMARgBlAHIAbQBlAG4AdABhAHQAaQBvAG4AXABuACAAIAA9AEwAQQBNAEIARABBACgAXABuACAAIAAgACAATgBfAGoAMQAyADQALAAgAE0AXwBqADEAMgA0ACwAIABEAF8AagAxADIANAAsACAATgBfAGoAMwA1ACwAIABNAF8AagAzADUALAAgAEQAXwBqADMANQAsACAATQBQAFcAXwBFAE4AVABFAFIASQBDAF8AagAzADUALABcAG4AIAAgACAAIAAoACgATgBfAGoAMQAyADQAIAAqACAATQBfAGoAMQAyADQAIAAqACAARABfAGoAMQAyADQAKQAgACsAIAAoAE4AXwBqADMANQAgACoAIABNAF8AagAzADUAIAAqACAARABfAGoAMwA1ACkAIAArACAAKABOAF8AagAzADUAIAAqACAATQBQAFcAXwBFAE4AVABFAFIASQBDAF8AagAzADUAIAAqACAARABfAGoAMwA1ACkAKQAgACoAIAAxADAAIABeACAALQAzAFwAbgAgACAAKQA7AFwAbgBcAG4AVgBFAEUAUgBHAF8AMwBfADMAXwAxAF8AMQBfAF8AMQBfAFQAbwB0AGEAbABBAG4AbgB1AGEAbABNAGUAdABoAGEAbgBlAEYAcgBvAG0ARQBuAHQAZQByAGkAYwBGAGUAcgBtAGUAbgB0AGEAdABpAG8AbgBWAGEAcgBpAGEAdABpAG8AbgBcAG4AIAAgAD0ATABBAE0AQgBEAEEAKABcAG4AIAAgACAAIABOAF8AagAxADIANAAsACAATQBfAGoAMQAyADQALAAgAEQAXwBqADEAMgA0ACwAIABOAF8AagAzADUALAAgAE0AXwBqADMANQAsACAARABfAGoAMwA1ACwAIABEAFAAVwBfAGoAMwA1ACwAIABNAFAAVwBfAEUATgBUAEUAUgBJAEMAXwBqADMANQAsAFwAbgAgACAAIAAgACgAKABOAF8AagAxADIANAAgACoAIABNAF8AagAxADIANAAgACoAIABEAF8AagAxADIANAApACAAKwAgACgATgBfAGoAMwA1ACAAKgAgAE0AXwBqADMANQAgACoAIABEAF8AagAzADUAKQAgACsAIAAoAE4AXwBqADMANQAgACoAIABNAFAAVwBfAEUATgBUAEUAUgBJAEMAXwBqADMANQAgACoAIABEAFAAVwBfAGoAMwA1ACkAKQAgACoAIAAxADAAIABeACAALQAzAFwAbgAgACAAKQA7AFwAbgBcAG4AVgBFAEUAUgBHAF8AMwBfADMAXwAxAF8AMQBfAF8AMQBfAFQAbwB0AGEAbABBAG4AbgB1AGEAbABNAGUAdABoAGEAbgBlAEYAcgBvAG0ARQBuAHQAZQByAGkAYwBGAGUAcgBtAGUAbgB0AGEAdABpAG8AbgBfAFQAaQB0AGwAZQBcAG4AIAAgAD0ATABBAE0AQgBEAEEAKABcACIAVABvAHQAYQBsACAAYQBuAG4AdQBhAGwAIABtAGUAdABoAGEAbgBlACAAcAByAG8AZAB1AGMAdABpAG8AbgAgAGYAcgBvAG0AIABlAG4AdABlAHIAaQBjACAAZgBlAHIAbQBlAG4AdABhAHQAaQBvAG4AIABpAG4AIABkAGEAaQByAHkAIABjAGEAdAB0AGwAZQBcACIAKQA7AFwAbgBcAG4AVgBFAEUAUgBHAF8AMwBfADMAXwAxAF8AMQBfAF8AMQBfAFQAbwB0AGEAbABBAG4AbgB1AGEAbABNAGUAdABoAGEAbgBlAEYAcgBvAG0ARQBuAHQAZQByAGkAYwBGAGUAcgBtAGUAbgB0AGEAdABpAG8AbgBfAFYAYQByAGkAYQBiAGwAZQBcAG4AIAAgAD0ATABBAE0AQgBEAEEAKABcACIARQBfAGUAbgB0AGUAcgBpAGMAXAAiACkAOwBcAG4AXABuAFYARQBFAFIARwBfADMAXwAzAF8AMQBfADEAXwBfADEAXwBUAG8AdABhAGwAQQBuAG4AdQBhAGwATQBlAHQAaABhAG4AZQBGAHIAbwBtAEUAbgB0AGUAcgBpAGMARgBlAHIAbQBlAG4AdABhAHQAaQBvAG4AXwBVAG4AaQB0AFwAbgAgACAAPQBMAEEATQBCAEQAQQAoAFwAIgB0ACAAQwBIADQAXAAiACkAOwBcAG4AXABuAFYARQBFAFIARwBfADMAXwAzAF8AMQBfADEAXwBfADEAXwBUAG8AdABhAGwAQQBuAG4AdQBhAGwATQBlAHQAaABhAG4AZQBGAHIAbwBtAEUAbgB0AGUAcgBpAGMARgBlAHIAbQBlAG4AdABhAHQAaQBvAG4AXwBTAG8AdQByAGMAZQBcAG4AIAAgAD0ATABBAE0AQgBEAEEAKABcACIAVgBFAEUAUgBHACAAMgAwADIANgA6ACAAMwAuADMALgAxAC4AMQAsACAARQBxAHUAYQB0AGkAbwBuACAAKAAxACkAXAAiACkAOwBcAG4AXABuAFYARQBFAFIARwBfADMAXwAzAF8AMQBfADEAXwBfADEAXwBUAG8AdABhAGwAQQBuAG4AdQBhAGwATQBlAHQAaABhAG4AZQBGAHIAbwBtAEUAbgB0AGUAcgBpAGMARgBlAHIAbQBlAG4AdABhAHQAaQBvAG4AXwBOAEkAUgBSAGUAZgBlAHIAZQBuAGMAZQBcAG4AIAAgAD0ATABBAE0AQgBEAEEAKABcACIAXAAiACkAOwBcAG4AXABuAFYARQBFAFIARwBfADMAXwAzAF8AMQBfADEAXwBfADEAXwBUAG8AdABhAGwAQQBuAG4AdQBhAGwATQBlAHQAaABhAG4AZQBGAHIAbwBtAEUAbgB0AGUAcgBpAGMARgBlAHIAbQBlAG4AdABhAHQAaQBvAG4AXwBMAGEAdABlAHgARQBxAHUAYQB0AGkAbwBuAFwAbgAgACAAPQBMAEEATQBCAEQAQQAoAFwAIgBFAF8AewBlAG4AdABlAHIAaQBjAH0APQBcAFwAcwB1AG0AXABcAG4AbwBsAGkAbQBpAHQAcwBfAGoAKAAoAE4AXwB7AGoAPQAxACwAMgAsADQAfQBcAFwAdABpAG0AZQBzACAATQBfAHsAagA9ADEALAAyACwANAB9AFwAXAB0AGkAbQBlAHMAIABEAF8AewBqAD0AMQAsADIALAA0AH0AKQArACgATgBfAHsAagA9ADMALAA1AH0AXABcAHQAaQBtAGUAcwAgAE0AXwB7AGoAPQAzACwANQB9AFwAXAB0AGkAbQBlAHMAIABEAF8AewBqAD0AMwAsADUAfQApACsAKABOAF8AewBqAD0AMwAsADUAfQBcAFwAdABpAG0AZQBzACAATQBQAFcAXwB7AEUATgBUAEUAUgBJAEMALABqAD0AMwAsADUAfQBcAFwAdABpAG0AZQBzACAARABfAHsAagA9ADMALAA1AH0AKQApAFwAXAB0AGkAbQBlAHMAIAAxADAAXgB7AC0AMwB9AFwAIgApADsAXABuAFwAbgBWAEUARQBSAEcAXwAzAF8AMwBfADEAXwAxAF8AXwAxAF8AVABvAHQAYQBsAEEAbgBuAHUAYQBsAE0AZQB0AGgAYQBuAGUARgByAG8AbQBFAG4AdABlAHIAaQBjAEYAZQByAG0AZQBuAHQAYQB0AGkAbwBuAF8ATABhAHQAZQB4AEUAcQB1AGEAdABpAG8AbgBWAGEAcgBpAGEAdABpAG8AbgBcAG4AIAAgAD0ATABBAE0AQgBEAEEAKABcACIARQBfAHsAZQBuAHQAZQByAGkAYwB9AD0AXABcAHMAdQBtAFwAXABuAG8AbABpAG0AaQB0AHMAXwBqACgAKABOAF8AewBqAD0AMQAsADIALAA0AH0AXABcAHQAaQBtAGUAcwAgAE0AXwB7AGoAPQAxACwAMgAsADQAfQBcAFwAdABpAG0AZQBzACAARABfAHsAagA9ADEALAAyACwANAB9ACkAKwAoAE4AXwB7AGoAPQAzACwANQB9AFwAXAB0AGkAbQBlAHMAIABNAF8AewBqAD0AMwAsADUAfQBcAFwAdABpAG0AZQBzACAARABfAHsAagA9ADMALAA1AH0AKQArACgATgBfAHsAagA9ADMALAA1AH0AXABcAHQAaQBtAGUAcwAgAE0AUABXAF8AewBFAE4AVABFAFIASQBDACwAagA9ADMALAA1AH0AXABcAHQAaQBtAGUAcwAgAEQAUABXAF8AewBqAD0AMwAsADUAfQApACkAXABcAHQAaQBtAGUAcwAgADEAMABeAHsALQAzAH0AXAAiACkAOwBcAG4AXABuAFYARQBFAFIARwBfADMAXwAzAF8AMQBfADEAXwBfADEAXwBUAG8AdABhAGwAQQBuAG4AdQBhAGwATQBlAHQAaABhAG4AZQBGAHIAbwBtAEUAbgB0AGUAcgBpAGMARgBlAHIAbQBlAG4AdABhAHQAaQBvAG4AXwBBAHIAZwB1AG0AZQBuAHQAcwBcAG4AIAAgAD0ATABBAE0AQgBEAEEAKABcAG4AIAAgACAAIABNAEEASwBFAEEAUgBSAEEAWQAoADgALAAgADQALABcAG4AIAAgACAAIAAgACAATABBAE0AQgBEAEEAKAByACwAYwAsAFwAbgAgACAAIAAgACAAIAAgACAASQBOAEQARQBYACgAewBcAG4AIAAgACAAIAAgACAAIAAgACAAIABcACIATgBfAGoAMQAyADQAXAAiACwAIABcACIAbgB1AG0AYgBlAHIAIABvAGYAIABkAGEAaQByAHkAIABjAGEAdAB0AGwAZQAgAGkAbgAgAGMAbABhAHMAcwBlAHMAIABqAD0AMQAsADIALAA0AFwAIgAsACAAXAAiAGgAZQBhAGQAXAAiACwAIABcACIASQBuAHAAdQB0AFwAIgA7AFwAbgAgACAAIAAgACAAIAAgACAAIAAgAFwAIgBNAF8AagAxADIANABcACIALAAgAFwAIgBkAGEAaQBsAHkAIABlAG4AdABlAHIAaQBjACAAbQBlAHQAaABhAG4AZQAgAHAAcgBvAGQAdQBjAHQAaQBvAG4AIABmAG8AcgAgAGMAbABhAHMAcwBlAHMAIABqAD0AMQAsADIALAA0AFwAIgAsACAAXAAiAGsAZwAgAEMASAA0AC8AaABlAGEAZAAvAGQAYQB5AFwAIgAsACAAXAAiAEMAYQBsAGMAdQBsAGEAdABlAGQAIABmAHIAbwBtACAAMwAuADMALgAxAC4AMQAgACgAMgApAFwAIgA7AFwAbgAgACAAIAAgACAAIAAgACAAIAAgAFwAIgBEAF8AagAxADIANABcACIALAAgAFwAIgBkAHUAcgBhAHQAaQBvAG4AIABvAGYAIABzAHQAYQB5ACAAbwBuACAAdABoAGUAIABmAGEAcgBtACAAZgBvAHIAIABjAGwAYQBzAHMAZQBzACAAagA9ADEALAAyACwANABcACIALAAgAFwAIgBkAGEAeQBzAFwAIgAsACAAXAAiAEkAbgBwAHUAdABcACIAOwBcAG4AIAAgACAAIAAgACAAIAAgACAAIABcACIATgBfAGoAMwA1AFwAIgAsACAAXAAiAG4AdQBtAGIAZQByACAAbwBmACAAZABhAGkAcgB5ACAAYwBhAHQAdABsAGUAIABpAG4AIABjAGwAYQBzAHMAZQBzACAAagA9ADMALAA1AFwAIgAsACAAXAAiAGgAZQBhAGQAXAAiACwAIABcACIASQBuAHAAdQB0AFwAIgA7AFwAbgAgACAAIAAgACAAIAAgACAAIAAgAFwAIgBNAF8AagAzADUAXAAiACwAIABcACIAZABhAGkAbAB5ACAAZQBuAHQAZQByAGkAYwAgAG0AZQB0AGgAYQBuAGUAIABwAHIAbwBkAHUAYwB0AGkAbwBuACAAZgBvAHIAIAB3AGUAYQBuAGUAZAAgAGMAbABhAHMAcwBlAHMAIABqAD0AMwAsADUAXAAiACwAIABcACIAawBnACAAQwBIADQALwBoAGUAYQBkAC8AZABhAHkAXAAiACwAIABcACIAQwBhAGwAYwB1AGwAYQB0AGUAZAAgAGYAcgBvAG0AIAAzAC4AMwAuADEALgAxACAAKAAyACkAXAAiADsAXABuACAAIAAgACAAIAAgACAAIAAgACAAXAAiAEQAXwBqADMANQBcACIALAAgAFwAIgBkAHUAcgBhAHQAaQBvAG4AIABvAGYAIABzAHQAYQB5ACAAbwBuACAAdABoAGUAIABmAGEAcgBtACAAZgBvAHIAIAB3AGUAYQBuAGUAZAAgAGMAbABhAHMAcwBlAHMAIABqAD0AMwAsADUAXAAiACwAIABcACIAZABhAHkAcwBcACIALAAgAFwAIgBJAG4AcAB1AHQAXAAiADsAXABuACAAIAAgACAAIAAgACAAIAAgACAAXAAiAEQAUABXAF8AagAzADUAXAAiACwAIABcACIAZAB1AHIAYQB0AGkAbwBuACAAbwBmACAAcwB0AGEAeQAgAG8AbgAgAHQAaABlACAAZgBhAHIAbQAgAGYAbwByACAAcAByAGUALQB3AGUAYQBuAGUAZAAgAGgAZQBpAGYAZQByACAAYQBuAGQAIABiAHUAbABsACAAYwBhAGwAdgBlAHMAXAAiACwAIABcACIAZABhAHkAcwBcACIALAAgAFwAIgBJAG4AcAB1AHQAXAAiADsAXABuACAAIAAgACAAIAAgACAAIAAgACAAXAAiAE0AUABXAF8ARQBOAFQARQBSAEkAQwBfAGoAMwA1AFwAIgAsACAAXAAiAGQAYQBpAGwAeQAgAG0AZQB0AGgAYQBuAGUAIABwAHIAbwBkAHUAYwB0AGkAbwBuACAAZgBvAHIAIABwAHIAZQAtAHcAZQBhAG4AZQBkACAAaABlAGkAZgBlAHIAIABhAG4AZAAgAGIAdQBsAGwAIABjAGEAbAB2AGUAcwBcACIALAAgAFwAIgBrAGcAIABDAEgANAAvAGgAZQBhAGQALwBkAGEAeQBcACIALAAgAFwAIgBDAG8AbgBzAHQAYQBuAHQAXAAiAFwAbgBcAG4AIAAgACAAIAAgACAAIAAgAH0ALAAgAHIALAAgAGMAKQBcAG4AIAAgACAAIAAgACAAKQBcAG4AIAAgACAAIAApAFwAbgAgACAAKQA7AFwAbgBcAG4AVgBFAEUAUgBHAF8AMwBfADMAXwAxAF8AMQBfAF8AMQBfAFQAbwB0AGEAbABBAG4AbgB1AGEAbABNAGUAdABoAGEAbgBlAEYAcgBvAG0ARQBuAHQAZQByAGkAYwBGAGUAcgBtAGUAbgB0AGEAdABpAG8AbgBfAFYAYQByAGkAYQB0AGkAbwBuAFwAbgAgACAAPQBMAEEATQBCAEQAQQAoAFwAIgBWAEEAUgBJAEEAVABJAE8ATgAgAE8ATgAgAFMATwBVAFIAQwBFADoAIABBAGQAZABlAGQAIABcAHUAMAAwADIANwBEAFAAVwBcAHUAMAAwADIANwAgAHYAYQByAGkAYQBiAGwAZQAgAHQAbwAgAGEAbABsAG8AdwAgAGYAbwByACAAYQAgAHMAZQBwAGEAcgBhAHQAZQAgAGgAYQBuAGQAbABpAG4AZwAgAG8AZgAgAHAAcgBlAC0AdwBlAGEAbgBlAGQAIABkAHUAcgBhAHQAaQBvAG4ALgBcACIAKQA7AFwAbgBcAG4ALwAqAFwAbgAtAC0ALQAtAC0ALQAtAC0ALQAtAC0ALQAtAC0ALQAtAC0ALQAtAC0ALQAtAC0ALQAtAC0ALQAtAC0ALQAtAC0ALQAtAC0ALQAtAC0AXABuAFYARQBFAFIARwBfADMAXwAzAF8AMQBfADEAXwBfADIAXwBEAGEAaQBsAHkARQBuAHQAZQByAGkAYwBNAGUAdABoAGEAbgBlAFAAcgBvAGQAdQBjAHQAaQBvAG4AXABuAEQAYQBpAGwAeQAgAHAAcgBvAGQAdQBjAHQAaQBvAG4AIABvAGYAIABlAG4AdABlAHIAaQBjACAAbQBlAHQAaABhAG4AZQBcAG4ATQBfAGoAXABuAGsAZwAgAEMASAA0AC8AaABlAGEAZAAvAGQAYQB5AFwAbgBNAF8AagA9ADIAMAAuADcAXABcAHQAaQBtAGUAcwAgAEkAXwBqAFwAXAB0AGkAbQBlAHMAIAAxADAAXgB7AC0AMwB9AFwAbgBJAF8AagAgAD0AIABkAHIAeQAgAG0AYQB0AHQAZQByACAAZgBlAGUAZAAgAGkAbgB0AGEAawBlACAAKABrAGcAIABEAE0ALwBoAGUAYQBkAC8AZABhAHkAKQBcAG4ALQAtAC0ALQAtAC0ALQAtAC0ALQAtAC0ALQAtAC0ALQAtAC0ALQAtAC0ALQAtAC0ALQAtAC0ALQAtAC0ALQAtAC0ALQAtAC0ALQAtAFwAbgAqAC8AXABuAFwAbgBWAEUARQBSAEcAXwAzAF8AMwBfADEAXwAxAF8AXwAyAF8ARABhAGkAbAB5AEUAbgB0AGUAcgBpAGMATQBlAHQAaABhAG4AZQBQAHIAbwBkAHUAYwB0AGkAbwBuAFwAbgAgACAAPQBMAEEATQBCAEQAQQAoAFwAbgAgACAAIAAgAEkAXwBqACwAXABuACAAIAAgACAAMgAwAC4ANwAgACoAIABJAF8AagAgACoAIAAxADAAIABeACAALQAzAFwAbgAgACAAKQA7AFwAbgBcAG4AVgBFAEUAUgBHAF8AMwBfADMAXwAxAF8AMQBfAF8AMgBfAEQAYQBpAGwAeQBFAG4AdABlAHIAaQBjAE0AZQB0AGgAYQBuAGUAUAByAG8AZAB1AGMAdABpAG8AbgBfAFQAaQB0AGwAZQBcAG4AIAAgAD0ATABBAE0AQgBEAEEAKABcACIARABhAGkAbAB5ACAAcAByAG8AZAB1AGMAdABpAG8AbgAgAG8AZgAgAGUAbgB0AGUAcgBpAGMAIABtAGUAdABoAGEAbgBlAFwAIgApADsAXABuAFwAbgBWAEUARQBSAEcAXwAzAF8AMwBfADEAXwAxAF8AXwAyAF8ARABhAGkAbAB5AEUAbgB0AGUAcgBpAGMATQBlAHQAaABhAG4AZQBQAHIAbwBkAHUAYwB0AGkAbwBuAF8AVgBhAHIAaQBhAGIAbABlAFwAbgAgACAAPQBMAEEATQBCAEQAQQAoAFwAIgBNAF8AagBcACIAKQA7AFwAbgBcAG4AVgBFAEUAUgBHAF8AMwBfADMAXwAxAF8AMQBfAF8AMgBfAEQAYQBpAGwAeQBFAG4AdABlAHIAaQBjAE0AZQB0AGgAYQBuAGUAUAByAG8AZAB1AGMAdABpAG8AbgBfAFUAbgBpAHQAXABuACAAIAA9AEwAQQBNAEIARABBACgAXAAiAGsAZwAgAEMASAA0AC8AaABlAGEAZAAvAGQAYQB5AFwAIgApADsAXABuAFwAbgBWAEUARQBSAEcAXwAzAF8AMwBfADEAXwAxAF8AXwAyAF8ARABhAGkAbAB5AEUAbgB0AGUAcgBpAGMATQBlAHQAaABhAG4AZQBQAHIAbwBkAHUAYwB0AGkAbwBuAF8AUwBvAHUAcgBjAGUAXABuACAAIAA9AEwAQQBNAEIARABBACgAXAAiAFYARQBFAFIARwAgADIAMAAyADYAOgAgADMALgAzAC4AMQAuADEALAAgAEUAcQB1AGEAdABpAG8AbgAgACgAMgApAFwAIgApADsAXABuAFwAbgBWAEUARQBSAEcAXwAzAF8AMwBfADEAXwAxAF8AXwAyAF8ARABhAGkAbAB5AEUAbgB0AGUAcgBpAGMATQBlAHQAaABhAG4AZQBQAHIAbwBkAHUAYwB0AGkAbwBuAF8ATgBJAFIAUgBlAGYAZQByAGUAbgBjAGUAXABuACAAIAA9AEwAQQBNAEIARABBACgAXAAiAEMAaABhAHIAbQBsAGUAeQAgAGUAdAAgAGEAbAAuACAAKAAyADAAMQA1ACkAXAAiACkAOwBcAG4AXABuAFYARQBFAFIARwBfADMAXwAzAF8AMQBfADEAXwBfADIAXwBEAGEAaQBsAHkARQBuAHQAZQByAGkAYwBNAGUAdABoAGEAbgBlAFAAcgBvAGQAdQBjAHQAaQBvAG4AXwBMAGEAdABlAHgARQBxAHUAYQB0AGkAbwBuAFwAbgAgACAAPQBMAEEATQBCAEQAQQAoAFwAIgBNAF8AagA9ADIAMAAuADcAXABcAHQAaQBtAGUAcwAgAEkAXwBqAFwAXAB0AGkAbQBlAHMAIAAxADAAXgB7AC0AMwB9AFwAIgApADsAXABuAFwAbgBWAEUARQBSAEcAXwAzAF8AMwBfADEAXwAxAF8AXwAyAF8ARABhAGkAbAB5AEUAbgB0AGUAcgBpAGMATQBlAHQAaABhAG4AZQBQAHIAbwBkAHUAYwB0AGkAbwBuAF8AQQByAGcAdQBtAGUAbgB0AHMAXABuACAAIAA9AEwAQQBNAEIARABBACgAXABuACAAIAAgACAATQBBAEsARQBBAFIAUgBBAFkAKAAxACwAIAA0ACwAXABuACAAIAAgACAAIAAgAEwAQQBNAEIARABBACgAcgAsAGMALABcAG4AIAAgACAAIAAgACAAIAAgAEkATgBEAEUAWAAoAHsAXABuACAAIAAgACAAIAAgACAAIAAgACAAXAAiAEkAXwBqAFwAIgAsACAAXAAiAGQAcgB5ACAAbQBhAHQAdABlAHIAIABmAGUAZQBkACAAaQBuAHQAYQBrAGUAXAAiACwAIABcACIAawBnACAARABNAC8AaABlAGEAZAAvAGQAYQB5AFwAIgAsACAAXAAiAEMAYQBsAGMAdQBsAGEAdABlAGQAIABmAHIAbwBtACAAMwAuADMALgAxAC4AMQAgACgAMwApAFwAIgBcAG4AIAAgACAAIAAgACAAIAAgAH0ALAAgAHIALAAgAGMAKQBcAG4AIAAgACAAIAAgACAAKQBcAG4AIAAgACAAIAApAFwAbgAgACAAKQA7AFwAbgBcAG4ALwAqAFwAbgAtAC0ALQAtAC0ALQAtAC0ALQAtAC0ALQAtAC0ALQAtAC0ALQAtAC0ALQAtAC0ALQAtAC0ALQAtAC0ALQAtAC0ALQAtAC0ALQAtAC0AXABuAFYARQBFAFIARwBfADMAXwAzAF8AMQBfADEAXwBfADMAXwBEAHIAeQBNAGEAdAB0AGUAcgBGAGUAZQBkAEkAbgB0AGEAawBlAFwAbgBGAGUAZQBkACAAaQBuAHQAYQBrAGUAXABuAEkAXwBqAFwAbgBrAGcAIABEAE0ALwBoAGUAYQBkAC8AZABhAHkAXABuAEkAXwBqAD0AKAAxAC4AMQA4ADUAKwAwAC4AMAAwADQANQA0AFwAXAB0AGkAbQBlAHMAIABXAF8AagAtADAALgAwADAAMAAwADAAMgA2AFwAXAB0AGkAbQBlAHMAIABXAF8AagBeADIAKwAwAC4AMwAxADUAXABcAHQAaQBtAGUAcwAgAEwAVwBHAF8AagApAF4AMgBcAFwAdABpAG0AZQBzACAATQBSAF8AagArAE0ASQBfAGoAXABuAFcAXwBqACAAPQAgAGwAaQB2AGUAdwBlAGkAZwBoAHQAIAAoAGsAZwApAFwAbgBMAFcARwBfAGoAIAA9ACAAbABpAHYAZQB3AGUAaQBnAGgAdAAgAGcAYQBpAG4AIAAoAGsAZwAvAGgAZQBhAGQALwBkAGEAeQApAFwAbgBNAFIAXwBqACAAPQAgAGkAbgBjAHIAZQBhAHMAZQAgAGkAbgAgAG0AZQB0AGEAYgBvAGwAaQBjACAAcgBhAHQAZQAgAHcAaABlAG4AIABwAHIAbwBkAHUAYwBpAG4AZwAgAG0AaQBsAGsAIAAoAGYAcgBhAGMAdABpAG8AbgApAFwAbgBNAEkAXwBqACAAPQAgAGEAZABkAGkAdABpAG8AbgBhAGwAIABpAG4AdABhAGsAZQAgAHIAZQBxAHUAaQByAGUAZAAgAGYAbwByACAAbQBpAGwAawAgAHAAcgBvAGQAdQBjAHQAaQBvAG4AIAAoAGsAZwAgAEQATQAvAGgAZQBhAGQALwBkAGEAeQApAFwAbgAtAC0ALQAtAC0ALQAtAC0ALQAtAC0ALQAtAC0ALQAtAC0ALQAtAC0ALQAtAC0ALQAtAC0ALQAtAC0ALQAtAC0ALQAtAC0ALQAtAC0AXABuACoALwBcAG4AXABuAFYARQBFAFIARwBfADMAXwAzAF8AMQBfADEAXwBfADMAXwBEAHIAeQBNAGEAdAB0AGUAcgBGAGUAZQBkAEkAbgB0AGEAawBlAFwAbgAgACAAPQBMAEEATQBCAEQAQQAoAFwAbgAgACAAIAAgAFcAXwBqACwAIABMAFcARwBfAGoALAAgAE0AUgBfAGoALAAgAE0ASQBfAGoALABcAG4AIAAgACAAIAAoADEALgAxADgANQAgACsAIAAwAC4AMAAwADQANQA0ACAAKgAgAFcAXwBqACAALQAgADAALgAwADAAMAAwADAAMgA2ACAAKgAgAFcAXwBqACAAXgAgADIAIAArACAAMAAuADMAMQA1ACAAKgAgAEwAVwBHAF8AagApACAAXgAgADIAIAAqACAATQBSAF8AagAgACsAIABNAEkAXwBqAFwAbgAgACAAKQA7AFwAbgBcAG4AVgBFAEUAUgBHAF8AMwBfADMAXwAxAF8AMQBfAF8AMwBfAEQAcgB5AE0AYQB0AHQAZQByAEYAZQBlAGQASQBuAHQAYQBrAGUAXwBUAGkAdABsAGUAXABuACAAIAA9AEwAQQBNAEIARABBACgAXAAiAEYAZQBlAGQAIABpAG4AdABhAGsAZQBcACIAKQA7AFwAbgBcAG4AVgBFAEUAUgBHAF8AMwBfADMAXwAxAF8AMQBfAF8AMwBfAEQAcgB5AE0AYQB0AHQAZQByAEYAZQBlAGQASQBuAHQAYQBrAGUAXwBWAGEAcgBpAGEAYgBsAGUAXABuACAAIAA9AEwAQQBNAEIARABBACgAXAAiAEkAXwBqAFwAIgApADsAXABuAFwAbgBWAEUARQBSAEcAXwAzAF8AMwBfADEAXwAxAF8AXwAzAF8ARAByAHkATQBhAHQAdABlAHIARgBlAGUAZABJAG4AdABhAGsAZQBfAFUAbgBpAHQAXABuACAAIAA9AEwAQQBNAEIARABBACgAXAAiAGsAZwAgAEQATQAvAGgAZQBhAGQALwBkAGEAeQBcACIAKQA7AFwAbgBcAG4AVgBFAEUAUgBHAF8AMwBfADMAXwAxAF8AMQBfAF8AMwBfAEQAcgB5AE0AYQB0AHQAZQByAEYAZQBlAGQASQBuAHQAYQBrAGUAXwBTAG8AdQByAGMAZQBcAG4AIAAgAD0ATABBAE0AQgBEAEEAKABcACIAVgBFAEUAUgBHACAAMgAwADIANgA6ACAAMwAuADMALgAxAC4AMQAsACAARQBxAHUAYQB0AGkAbwBuACAAKAAzACkAXAAiACkAOwBcAG4AXABuAFYARQBFAFIARwBfADMAXwAzAF8AMQBfADEAXwBfADMAXwBEAHIAeQBNAGEAdAB0AGUAcgBGAGUAZQBkAEkAbgB0AGEAawBlAF8ATgBJAFIAUgBlAGYAZQByAGUAbgBjAGUAXABuACAAIAA9AEwAQQBNAEIARABBACgAXAAiAFwAIgApADsAXABuAFwAbgBWAEUARQBSAEcAXwAzAF8AMwBfADEAXwAxAF8AXwAzAF8ARAByAHkATQBhAHQAdABlAHIARgBlAGUAZABJAG4AdABhAGsAZQBfAEwAYQB0AGUAeABFAHEAdQBhAHQAaQBvAG4AXABuACAAIAA9AEwAQQBNAEIARABBACgAXAAiAEkAXwBqAD0AKAAxAC4AMQA4ADUAKwAwAC4AMAAwADQANQA0AFwAXAB0AGkAbQBlAHMAIABXAF8AagAtADAALgAwADAAMAAwADAAMgA2AFwAXAB0AGkAbQBlAHMAIABXAF8AagBeADIAKwAwAC4AMwAxADUAXABcAHQAaQBtAGUAcwAgAEwAVwBHAF8AagApAF4AMgBcAFwAdABpAG0AZQBzACAATQBSAF8AagArAE0ASQBfAGoAXAAiACkAOwBcAG4AXABuAFYARQBFAFIARwBfADMAXwAzAF8AMQBfADEAXwBfADMAXwBEAHIAeQBNAGEAdAB0AGUAcgBGAGUAZQBkAEkAbgB0AGEAawBlAF8AQQByAGcAdQBtAGUAbgB0AHMAXABuACAAIAA9AEwAQQBNAEIARABBACgAXABuACAAIAAgACAATQBBAEsARQBBAFIAUgBBAFkAKAA0ACwAIAA0ACwAXABuACAAIAAgACAAIAAgAEwAQQBNAEIARABBACgAcgAsAGMALABcAG4AIAAgACAAIAAgACAAIAAgAEkATgBEAEUAWAAoAHsAXABuACAAIAAgACAAIAAgACAAIAAgACAAXAAiAFcAXwBqAFwAIgAsACAAXAAiAGwAaQB2AGUAdwBlAGkAZwBoAHQAXAAiACwAIABcACIAawBnAFwAIgAsACAAXAAiAEkAbgBwAHUAdABcACIAOwBcAG4AIAAgACAAIAAgACAAIAAgACAAIABcACIATABXAEcAXwBqAFwAIgAsACAAXAAiAGwAaQB2AGUAdwBlAGkAZwBoAHQAIABnAGEAaQBuAFwAIgAsACAAXAAiAGsAZwAvAGgAZQBhAGQALwBkAGEAeQBcACIALAAgAFwAIgBJAG4AcAB1AHQAXAAiADsAXABuACAAIAAgACAAIAAgACAAIAAgACAAXAAiAE0AUgBfAGoAXAAiACwAIABcACIAaQBuAGMAcgBlAGEAcwBlACAAaQBuACAAbQBlAHQAYQBiAG8AbABpAGMAIAByAGEAdABlACAAdwBoAGUAbgAgAHAAcgBvAGQAdQBjAGkAbgBnACAAbQBpAGwAawBcACIALAAgAFwAIgBmAHIAYQBjAHQAaQBvAG4AXAAiACwAIABcACIAQwBvAG4AcwB0AGEAbgB0AFwAIgA7AFwAbgAgACAAIAAgACAAIAAgACAAIAAgAFwAIgBNAEkAXwBqAFwAIgAsACAAXAAiAGEAZABkAGkAdABpAG8AbgBhAGwAIABpAG4AdABhAGsAZQAgAHIAZQBxAHUAaQByAGUAZAAgAGYAbwByACAAbQBpAGwAawAgAHAAcgBvAGQAdQBjAHQAaQBvAG4AXAAiACwAIABcACIAawBnACAARABNAC8AaABlAGEAZAAvAGQAYQB5AFwAIgAsACAAXAAiAEMAYQBsAGMAdQBsAGEAdABlAGQAIABmAHIAbwBtACAAMwAuADMALgAxAC4AMQAgACgANAApAFwAIgBcAG4AIAAgACAAIAAgACAAIAAgAH0ALAAgAHIALAAgAGMAKQBcAG4AIAAgACAAIAAgACAAKQBcAG4AIAAgACAAIAApAFwAbgAgACAAKQA7AFwAbgBcAG4ALwAqAFwAbgAtAC0ALQAtAC0ALQAtAC0ALQAtAC0ALQAtAC0ALQAtAC0ALQAtAC0ALQAtAC0ALQAtAC0ALQAtAC0ALQAtAC0ALQAtAC0ALQAtAC0AXABuAFYARQBFAFIARwBfADMAXwAzAF8AMQBfADEAXwBfADQAXwBBAGQAZABpAHQAaQBvAG4AYQBsAEkAbgB0AGEAawBlAEYAbwByAE0AaQBsAGsAUAByAG8AZAB1AGMAdABpAG8AbgBcAG4AQQBkAGQAaQB0AGkAbwBuAGEAbAAgAGkAbgB0AGEAawBlACAAcgBlAHEAdQBpAHIAZQBkACAAZgBvAHIAIABtAGkAbABrACAAcAByAG8AZAB1AGMAdABpAG8AbgBcAG4ATQBJAF8AagBcAG4AawBnACAARABNAC8AaABlAGEAZAAvAGQAYQB5AFwAbgBNAEkAXwBqAD0AKABNAFAAXwBqAFwAXAB0AGkAbQBlAHMAIAAxAC4AMAAzAFwAXAB0AGkAbQBlAHMAIABOAEUAKQAvACgARwBFAEMAXABcAHQAaQBtAGUAcwAgAGsAXABcAHQAaQBtAGUAcwAgAHEAbQBfAGoAKQBcAG4ATQBQAF8AagAgAD0AIABtAGkAbABrACAAcAByAG8AZAB1AGMAdABpAG8AbgAgACgATAAvAGgAZQBhAGQALwBkAGEAeQApAFwAbgBOAEUAIAA9ACAAbgBlAHQAIABlAG4AZQByAGcAeQAgACgATQBKACAAbgBlAHQAIABlAG4AZQByAGcAeQAvAGsAZwAgAG0AaQBsAGsAKQBcAG4ARwBFAEMAIAA9ACAAZwByAG8AcwBzACAAZQBuAGUAcgBnAHkAIABjAG8AbgB0AGUAbgB0ACAAKABNAEoALwBrAGcARABNACkAXABuAGsAIAA9ACAAZQBmAGYAaQBjAGkAZQBuAGMAeQAgAG8AZgAgAG0AZQB0AGEAYgBvAGwAaQB6AGEAYgBsAGUAIABlAG4AZQByAGcAeQAgAHUAcwBlACAAZgBvAHIAIABtAGkAbABrACAAcAByAG8AZAB1AGMAdABpAG8AbgAgACgAZgByAGEAYwB0AGkAbwBuACkAXABuAHEAbQBfAGoAIAA9ACAAbQBlAHQAYQBiAG8AbABpAHMAYQBiAGkAbABpAHQAeQAgAG8AZgAgAHQAaABlACAAZABpAGUAdAAgACgAZgByAGEAYwB0AGkAbwBuACkAXABuAC0ALQAtAC0ALQAtAC0ALQAtAC0ALQAtAC0ALQAtAC0ALQAtAC0ALQAtAC0ALQAtAC0ALQAtAC0ALQAtAC0ALQAtAC0ALQAtAC0ALQBcAG4AKgAvAFwAbgBcAG4AVgBFAEUAUgBHAF8AMwBfADMAXwAxAF8AMQBfAF8ANABfAEEAZABkAGkAdABpAG8AbgBhAGwASQBuAHQAYQBrAGUARgBvAHIATQBpAGwAawBQAHIAbwBkAHUAYwB0AGkAbwBuAFwAbgAgACAAPQBMAEEATQBCAEQAQQAoAFwAbgAgACAAIAAgAE0AUABfAGoALAAgAE4ARQAsACAARwBFAEMALAAgAGsALAAgAHEAbQBfAGoALABcAG4AIAAgACAAIAAoAE0AUABfAGoAIAAqACAAMQAuADAAMwAgACoAIABOAEUAKQAgAC8AIAAoAEcARQBDACAAKgAgAGsAIAAqACAAcQBtAF8AagApAFwAbgAgACAAKQA7AFwAbgBcAG4AVgBFAEUAUgBHAF8AMwBfADMAXwAxAF8AMQBfAF8ANABfAEEAZABkAGkAdABpAG8AbgBhAGwASQBuAHQAYQBrAGUARgBvAHIATQBpAGwAawBQAHIAbwBkAHUAYwB0AGkAbwBuAF8AVABpAHQAbABlAFwAbgAgACAAPQBMAEEATQBCAEQAQQAoAFwAIgBBAGQAZABpAHQAaQBvAG4AYQBsACAAaQBuAHQAYQBrAGUAIAByAGUAcQB1AGkAcgBlAGQAIABmAG8AcgAgAG0AaQBsAGsAIABwAHIAbwBkAHUAYwB0AGkAbwBuAFwAIgApADsAXABuAFwAbgBWAEUARQBSAEcAXwAzAF8AMwBfADEAXwAxAF8AXwA0AF8AQQBkAGQAaQB0AGkAbwBuAGEAbABJAG4AdABhAGsAZQBGAG8AcgBNAGkAbABrAFAAcgBvAGQAdQBjAHQAaQBvAG4AXwBWAGEAcgBpAGEAYgBsAGUAXABuACAAIAA9AEwAQQBNAEIARABBACgAXAAiAE0ASQBfAGoAXAAiACkAOwBcAG4AXABuAFYARQBFAFIARwBfADMAXwAzAF8AMQBfADEAXwBfADQAXwBBAGQAZABpAHQAaQBvAG4AYQBsAEkAbgB0AGEAawBlAEYAbwByAE0AaQBsAGsAUAByAG8AZAB1AGMAdABpAG8AbgBfAFUAbgBpAHQAXABuACAAIAA9AEwAQQBNAEIARABBACgAXAAiAGsAZwAgAEQATQAvAGgAZQBhAGQALwBkAGEAeQBcACIAKQA7AFwAbgBcAG4AVgBFAEUAUgBHAF8AMwBfADMAXwAxAF8AMQBfAF8ANABfAEEAZABkAGkAdABpAG8AbgBhAGwASQBuAHQAYQBrAGUARgBvAHIATQBpAGwAawBQAHIAbwBkAHUAYwB0AGkAbwBuAF8AUwBvAHUAcgBjAGUAXABuACAAIAA9AEwAQQBNAEIARABBACgAXAAiAFYARQBFAFIARwAgADIAMAAyADYAOgAgADMALgAzAC4AMQAuADEALAAgAEUAcQB1AGEAdABpAG8AbgAgACgANAApAFwAIgApADsAXABuAFwAbgBWAEUARQBSAEcAXwAzAF8AMwBfADEAXwAxAF8AXwA0AF8AQQBkAGQAaQB0AGkAbwBuAGEAbABJAG4AdABhAGsAZQBGAG8AcgBNAGkAbABrAFAAcgBvAGQAdQBjAHQAaQBvAG4AXwBOAEkAUgBSAGUAZgBlAHIAZQBuAGMAZQBcAG4AIAAgAD0ATABBAE0AQgBEAEEAKABcACIAXAAiACkAOwBcAG4AXABuAFYARQBFAFIARwBfADMAXwAzAF8AMQBfADEAXwBfADQAXwBBAGQAZABpAHQAaQBvAG4AYQBsAEkAbgB0AGEAawBlAEYAbwByAE0AaQBsAGsAUAByAG8AZAB1AGMAdABpAG8AbgBfAEwAYQB0AGUAeABFAHEAdQBhAHQAaQBvAG4AXABuACAAIAA9AEwAQQBNAEIARABBACgAXAAiAE0ASQBfAGoAPQBcAFwAZgByAGEAYwB7AE0AUABfAGoAXABcAHQAaQBtAGUAcwAgADEALgAwADMAXABcAHQAaQBtAGUAcwAgAE4ARQB9AHsARwBFAEMAXABcAHQAaQBtAGUAcwAgAGsAXABcAHQAaQBtAGUAcwAgAHEAbQBfAGoAfQBcACIAKQA7AFwAbgBcAG4AVgBFAEUAUgBHAF8AMwBfADMAXwAxAF8AMQBfAF8ANABfAEEAZABkAGkAdABpAG8AbgBhAGwASQBuAHQAYQBrAGUARgBvAHIATQBpAGwAawBQAHIAbwBkAHUAYwB0AGkAbwBuAF8AQQByAGcAdQBtAGUAbgB0AHMAXABuACAAIAA9AEwAQQBNAEIARABBACgAXABuACAAIAAgACAATQBBAEsARQBBAFIAUgBBAFkAKAA3ACwAIAA0ACwAXABuACAAIAAgACAAIAAgAEwAQQBNAEIARABBACgAcgAsAGMALABcAG4AIAAgACAAIAAgACAAIAAgAEkATgBEAEUAWAAoAHsAXABuACAAIAAgACAAIAAgACAAIAAgACAAXAAiAE0AUABVAFwAIgAsACAAXAAiAGkAbgBwAHUAdAAgAG0AaQBsAGsAIABwAHIAbwBkAHUAYwB0AGkAbwBuACAAdQBuAGkAdABcACIALAAgAFwAIgBcACIALAAgAFwAIgBJAG4AcAB1AHQAXAAiADsAXABuACAAIAAgACAAIAAgACAAIAAgACAAXAAiAE0AUABfAGoAXAAiACwAIABcACIAbQBpAGwAawAgAHAAcgBvAGQAdQBjAHQAaQBvAG4AIAAoAGkAZgAgAGkAbgBwAHUAdAAgAGEAcwAgAGwAaQB0AHIAZQBzACAAbwBmACAAbQBpAGwAawApAFwAIgAsACAAXAAiAEwALwBoAGUAYQBkAC8AZABhAHkAXAAiACwAIABcACIASQBuAHAAdQB0AFwAIgA7AFwAbgAgACAAIAAgACAAIAAgACAAIAAgAFwAIgBNAFAAXwBqAFwAIgAsACAAXAAiAG0AaQBsAGsAIABwAHIAbwBkAHUAYwB0AGkAbwBuACAAKABpAGYAIABpAG4AcAB1AHQAIABhAHMAIABtAGkAbABrACAAcwBvAGwAaQBkAHMAKQBcACIALAAgAFwAIgBMAC8AaABlAGEAZAAvAGQAYQB5AFwAIgAsACAAXAAiAEMAYQBsAGMAdQBsAGEAdABlAGQAIABmAHIAbwBtACAAMwAuADMALgAxAC4AMQAgACgANQApAFwAIgA7AFwAbgAgACAAIAAgACAAIAAgACAAIAAgAFwAIgBOAEUAXAAiACwAIABcACIAbgBlAHQAIABlAG4AZQByAGcAeQBcACIALAAgAFwAIgBNAEoAIABuAGUAdAAgAGUAbgBlAHIAZwB5AC8AawBnACAAbQBpAGwAawBcACIALAAgAFwAIgBDAG8AbgBzAHQAYQBuAHQAXAAiADsAXABuACAAIAAgACAAIAAgACAAIAAgACAAXAAiAEcARQBDAFwAIgAsACAAXAAiAGcAcgBvAHMAcwAgAGUAbgBlAHIAZwB5ACAAYwBvAG4AdABlAG4AdABcACIALAAgAFwAIgBNAEoALwBrAGcARABNAFwAIgAsACAAXAAiAEMAbwBuAHMAdABhAG4AdABcACIAOwBcAG4AIAAgACAAIAAgACAAIAAgACAAIABcACIAawBcACIALAAgAFwAIgBlAGYAZgBpAGMAaQBlAG4AYwB5ACAAbwBmACAAbQBlAHQAYQBiAG8AbABpAHoAYQBiAGwAZQAgAGUAbgBlAHIAZwB5ACAAdQBzAGUAIABmAG8AcgAgAG0AaQBsAGsAIABwAHIAbwBkAHUAYwB0AGkAbwBuAFwAIgAsACAAXAAiAGYAcgBhAGMAdABpAG8AbgBcACIALAAgAFwAIgBDAG8AbgBzAHQAYQBuAHQAXAAiADsAXABuACAAIAAgACAAIAAgACAAIAAgACAAXAAiAHEAbQBfAGoAXAAiACwAIABcACIAbQBlAHQAYQBiAG8AbABpAHMAYQBiAGkAbABpAHQAeQAgAG8AZgAgAHQAaABlACAAZABpAGUAdABcACIALAAgAFwAIgBmAHIAYQBjAHQAaQBvAG4AXAAiACwAIABcACIAQwBhAGwAYwB1AGwAYQB0AGUAZAAgAGYAcgBvAG0AIAAzAC4AMwAuADEALgAxACAAKAA2ACkAXAAiAFwAbgAgACAAIAAgACAAIAAgACAAfQAsACAAcgAsACAAYwApAFwAbgAgACAAIAAgACAAIAApAFwAbgAgACAAIAAgACkAXABuACAAIAApADsAXABuAFwAbgBWAEUARQBSAEcAXwAzAF8AMwBfADEAXwAxAF8AXwA0AF8AQQBkAGQAaQB0AGkAbwBuAGEAbABJAG4AdABhAGsAZQBGAG8AcgBNAGkAbABrAFAAcgBvAGQAdQBjAHQAaQBvAG4AXwBWAGEAcgBpAGEAdABpAG8AbgBcAG4AIAAgAD0ATABBAE0AQgBEAEEAKABcACIAVgBBAFIAQQBUAEkATwBOACAATwBOACAAUwBPAFUAUgBDAEUAOgAgAEEAZABkAGUAZAAgAG0AaQBsAGsAIABwAHIAbwBkAHUAYwB0AGkAbwBuACAAdQBuAGkAdAAgAHYAYQByAGkAYQBiAGwAZQAgAHQAbwAgAGEAbABsAG8AdwAgAGYAbwByACAAdQBzAGUAIABvAGYAIABlAGkAdABoAGUAcgAgAG0AaQBsAGsAIABzAG8AbABpAGQAcwAgAG8AcgAgAGwAaQB0AHIAZQBzACAAbwBmACAAbQBpAGwAawAuAFwAIgApADsAXABuAFwAbgAvACoAXABuAC0ALQAtAC0ALQAtAC0ALQAtAC0ALQAtAC0ALQAtAC0ALQAtAC0ALQAtAC0ALQAtAC0ALQAtAC0ALQAtAC0ALQAtAC0ALQAtAC0ALQBcAG4AVgBFAEUAUgBHAF8AMwBfADMAXwAxAF8AMQBfAF8ANQBfAE0AaQBsAGsAUAByAG8AZAB1AGMAdABpAG8AbgBGAHIAbwBtAE0AaQBsAGsAUwBvAGwAaQBkAHMAXABuAE0AaQBsAGsAIABwAHIAbwBkAHUAYwB0AGkAbwBuACAAYwBvAG4AdgBlAHIAdABlAGQAIABmAHIAbwBtACAAbQBpAGwAawAgAHMAbwBsAGkAZABzAFwAbgBNAFAAXwBqAFwAbgBMAC8AaABlAGEAZAAvAGQAYQB5AFwAbgBNAFAAXwBqAD0ATQBTAF8AagAvACgAMAAuADAAMQBcAFwAdABpAG0AZQBzACAAKABGAEMAXwBqACsAUABDAF8AagApACkAXABuAE0AUwBfAGoAIAA9ACAAZABhAGkAbAB5ACAAcAByAG8AZAB1AGMAdABpAG8AbgAgAG8AZgAgAG0AaQBsAGsAIABzAG8AbABpAGQAcwAgACgAawBnACAATQBTAC8AaABlAGEAZAAvAGQAYQB5ACkAXABuAEYAQwBfAGoAIAA9ACAAZgBhAHQAIABjAG8AbgB0AGUAbgB0ACAAaQBuACAAZgBhAHQAIABhAG4AZAAgAHAAcgBvAHQAZQBpAG4AIABjAG8AcgByAGUAYwB0AGUAZAAgAG0AaQBsAGsAIAAoAHAAZQByACAAYwBlAG4AdAApAFwAbgBQAEMAXwBqACAAPQAgAHAAcgBvAHQAZQBpAG4AIABjAG8AbgB0AGUAbgB0ACAAaQBuACAAZgBhAHQAIABhAG4AZAAgAHAAcgBvAHQAZQBpAG4AIABjAG8AcgByAGUAYwB0AGUAZAAgAG0AaQBsAGsAIAAoAHAAZQByACAAYwBlAG4AdAApAFwAbgAtAC0ALQAtAC0ALQAtAC0ALQAtAC0ALQAtAC0ALQAtAC0ALQAtAC0ALQAtAC0ALQAtAC0ALQAtAC0ALQAtAC0ALQAtAC0ALQAtAC0AXABuACoALwBcAG4AXABuAFYARQBFAFIARwBfADMAXwAzAF8AMQBfADEAXwBfADUAXwBNAGkAbABrAFAAcgBvAGQAdQBjAHQAaQBvAG4ARgByAG8AbQBNAGkAbABrAFMAbwBsAGkAZABzAFwAbgAgACAAPQBMAEEATQBCAEQAQQAoAFwAbgAgACAAIAAgAE0AUwBfAGoALAAgAEYAQwBfAGoALAAgAFAAQwBfAGoALABcAG4AIAAgACAAIABNAFMAXwBqACAALwAgACgAMAAuADAAMQAgACoAIAAoAEYAQwBfAGoAIAArACAAUABDAF8AagApACkAXABuACAAIAApADsAXABuAFwAbgBWAEUARQBSAEcAXwAzAF8AMwBfADEAXwAxAF8AXwA1AF8ATQBpAGwAawBQAHIAbwBkAHUAYwB0AGkAbwBuAEYAcgBvAG0ATQBpAGwAawBTAG8AbABpAGQAcwBfAFQAaQB0AGwAZQBcAG4AIAAgAD0ATABBAE0AQgBEAEEAKABcACIATQBpAGwAawAgAHAAcgBvAGQAdQBjAHQAaQBvAG4AIABjAG8AbgB2AGUAcgB0AGUAZAAgAGYAcgBvAG0AIABtAGkAbABrACAAcwBvAGwAaQBkAHMAXAAiACkAOwBcAG4AXABuAFYARQBFAFIARwBfADMAXwAzAF8AMQBfADEAXwBfADUAXwBNAGkAbABrAFAAcgBvAGQAdQBjAHQAaQBvAG4ARgByAG8AbQBNAGkAbABrAFMAbwBsAGkAZABzAF8AVgBhAHIAaQBhAGIAbABlAFwAbgAgACAAPQBMAEEATQBCAEQAQQAoAFwAIgBNAFAAXwBqAFwAIgApADsAXABuAFwAbgBWAEUARQBSAEcAXwAzAF8AMwBfADEAXwAxAF8AXwA1AF8ATQBpAGwAawBQAHIAbwBkAHUAYwB0AGkAbwBuAEYAcgBvAG0ATQBpAGwAawBTAG8AbABpAGQAcwBfAFUAbgBpAHQAXABuACAAIAA9AEwAQQBNAEIARABBACgAXAAiAEwALwBoAGUAYQBkAC8AZABhAHkAXAAiACkAOwBcAG4AXABuAFYARQBFAFIARwBfADMAXwAzAF8AMQBfADEAXwBfADUAXwBNAGkAbABrAFAAcgBvAGQAdQBjAHQAaQBvAG4ARgByAG8AbQBNAGkAbABrAFMAbwBsAGkAZABzAF8AUwBvAHUAcgBjAGUAXABuACAAIAA9AEwAQQBNAEIARABBACgAXAAiAFYARQBFAFIARwAgADIAMAAyADYAOgAgADMALgAzAC4AMQAuADEALAAgAEUAcQB1AGEAdABpAG8AbgAgACgANQApAFwAIgApADsAXABuAFwAbgBWAEUARQBSAEcAXwAzAF8AMwBfADEAXwAxAF8AXwA1AF8ATQBpAGwAawBQAHIAbwBkAHUAYwB0AGkAbwBuAEYAcgBvAG0ATQBpAGwAawBTAG8AbABpAGQAcwBfAE4ASQBSAFIAZQBmAGUAcgBlAG4AYwBlAFwAbgAgACAAPQBMAEEATQBCAEQAQQAoAFwAIgBcACIAKQA7AFwAbgBcAG4AVgBFAEUAUgBHAF8AMwBfADMAXwAxAF8AMQBfAF8ANQBfAE0AaQBsAGsAUAByAG8AZAB1AGMAdABpAG8AbgBGAHIAbwBtAE0AaQBsAGsAUwBvAGwAaQBkAHMAXwBMAGEAdABlAHgARQBxAHUAYQB0AGkAbwBuAFwAbgAgACAAPQBMAEEATQBCAEQAQQAoAFwAIgBNAFAAXwBqAD0AXABcAGYAcgBhAGMAewBNAFMAXwBqAH0AewAwAC4AMAAxAFwAXAB0AGkAbQBlAHMAIAAoAEYAQwBfAGoAKwBQAEMAXwBqACkAfQBcACIAKQA7AFwAbgBcAG4AVgBFAEUAUgBHAF8AMwBfADMAXwAxAF8AMQBfAF8ANQBfAE0AaQBsAGsAUAByAG8AZAB1AGMAdABpAG8AbgBGAHIAbwBtAE0AaQBsAGsAUwBvAGwAaQBkAHMAXwBBAHIAZwB1AG0AZQBuAHQAcwBcAG4AIAAgAD0ATABBAE0AQgBEAEEAKABcAG4AIAAgACAAIABNAEEASwBFAEEAUgBSAEEAWQAoADQALAAgADQALABcAG4AIAAgACAAIAAgACAATABBAE0AQgBEAEEAKAByACwAYwAsAFwAbgAgACAAIAAgACAAIAAgACAASQBOAEQARQBYACgAewBcAG4AIAAgACAAIAAgACAAIAAgACAAIABcACIATQBQAFUAXAAiACwAIABcACIAaQBuAHAAdQB0ACAAbQBpAGwAawAgAHAAcgBvAGQAdQBjAHQAaQBvAG4AIAB1AG4AaQB0AFwAIgAsACAAXAAiAFwAIgAsACAAXAAiAEkAbgBwAHUAdABcACIAOwBcAG4AIAAgACAAIAAgACAAIAAgACAAIABcACIATQBTAF8AagBcACIALAAgAFwAIgBkAGEAaQBsAHkAIABwAHIAbwBkAHUAYwB0AGkAbwBuACAAbwBmACAAbQBpAGwAawAgAHMAbwBsAGkAZABzAFwAIgAsACAAXAAiAGsAZwAgAE0AUwAvAGgAZQBhAGQALwBkAGEAeQBcACIALAAgAFwAIgBJAG4AcAB1AHQAXAAiADsAXABuACAAIAAgACAAIAAgACAAIAAgACAAXAAiAEYAQwBfAGoAXAAiACwAIABcACIAZgBhAHQAIABjAG8AbgB0AGUAbgB0ACAAaQBuACAAZgBhAHQAIABhAG4AZAAgAHAAcgBvAHQAZQBpAG4AIABjAG8AcgByAGUAYwB0AGUAZAAgAG0AaQBsAGsAXAAiACwAIABcACIAcABlAHIAIABjAGUAbgB0AFwAIgAsACAAXAAiAEkAbgBwAHUAdABcACIAOwBcAG4AIAAgACAAIAAgACAAIAAgACAAIABcACIAUABDAF8AagBcACIALAAgAFwAIgBwAHIAbwB0AGUAaQBuACAAYwBvAG4AdABlAG4AdAAgAGkAbgAgAGYAYQB0ACAAYQBuAGQAIABwAHIAbwB0AGUAaQBuACAAYwBvAHIAcgBlAGMAdABlAGQAIABtAGkAbABrAFwAIgAsACAAXAAiAHAAZQByACAAYwBlAG4AdABcACIALAAgAFwAIgBJAG4AcAB1AHQAXAAiAFwAbgAgACAAIAAgACAAIAAgACAAfQAsACAAcgAsACAAYwApAFwAbgAgACAAIAAgACAAIAApAFwAbgAgACAAIAAgACkAXABuACAAIAApADsAXABuAFwAbgBWAEUARQBSAEcAXwAzAF8AMwBfADEAXwAxAF8AXwA1AF8ATQBpAGwAawBQAHIAbwBkAHUAYwB0AGkAbwBuAEYAcgBvAG0ATQBpAGwAawBTAG8AbABpAGQAcwBfAEEAcgBnAHUAbQBlAG4AdABzAF8ATQBlAHQAaABvAGQAMgBcAG4AIAAgAD0ATABBAE0AQgBEAEEAKABcAG4AIAAgACAAIABNAEEASwBFAEEAUgBSAEEAWQAoADQALAAgADQALABcAG4AIAAgACAAIAAgACAATABBAE0AQgBEAEEAKAByACwAYwAsAFwAbgAgACAAIAAgACAAIAAgACAASQBOAEQARQBYACgAewBcAG4AIAAgACAAIAAgACAAIAAgACAAIABcACIATQBQAFUAXAAiACwAIABcACIAbQBpAGwAawAgAHAAcgBvAGQAdQBjAHQAaQBvAG4AIAB1AG4AaQB0AFwAIgAsACAAXAAiAFwAIgAsACAAXAAiAEkAbgBwAHUAdABcACIAOwBcAG4AIAAgACAAIAAgACAAIAAgACAAIABcACIATQBTAF8AagBcACIALAAgAFwAIgBkAGEAaQBsAHkAIABwAHIAbwBkAHUAYwB0AGkAbwBuACAAbwBmACAAbQBpAGwAawAgAHMAbwBsAGkAZABzAFwAIgAsACAAXAAiAGsAZwAgAE0AUwAvAGgAZQBhAGQALwBkAGEAeQBcACIALAAgAFwAIgBJAG4AcAB1AHQAXAAiADsAXABuACAAIAAgACAAIAAgACAAIAAgACAAXAAiAEYAQwBfAGoAXAAiACwAIABcACIAZgBhAHQAIABjAG8AbgB0AGUAbgB0ACAAaQBuACAAZgBhAHQAIABhAG4AZAAgAHAAcgBvAHQAZQBpAG4AIABjAG8AcgByAGUAYwB0AGUAZAAgAG0AaQBsAGsAXAAiACwAIABcACIAcABlAHIAIABjAGUAbgB0AFwAIgAsACAAXAAiAEkAbgBwAHUAdABcACIAOwBcAG4AIAAgACAAIAAgACAAIAAgACAAIABcACIAUABDAF8AagBcACIALAAgAFwAIgBwAHIAbwB0AGUAaQBuACAAYwBvAG4AdABlAG4AdAAgAGkAbgAgAGYAYQB0ACAAYQBuAGQAIABwAHIAbwB0AGUAaQBuACAAYwBvAHIAcgBlAGMAdABlAGQAIABtAGkAbABrAFwAIgAsACAAXAAiAHAAZQByACAAYwBlAG4AdABcACIALAAgAFwAIgBJAG4AcAB1AHQAXAAiAFwAbgAgACAAIAAgACAAIAAgACAAfQAsACAAcgAsACAAYwApAFwAbgAgACAAIAAgACAAIAApAFwAbgAgACAAIAAgACkAXABuACAAIAApADsAXABuAFwAbgBWAEUARQBSAEcAXwAzAF8AMwBfADEAXwAxAF8AXwA1AF8ATQBpAGwAawBQAHIAbwBkAHUAYwB0AGkAbwBuAEYAcgBvAG0ATQBpAGwAawBTAG8AbABpAGQAcwBfAFYAYQByAGkAYQB0AGkAbwBuAFwAbgAgACAAPQBMAEEATQBCAEQAQQAoAFwAIgBWAEEAUgBBAFQASQBPAE4AIABPAE4AIABTAE8AVQBSAEMARQA6ACAAQQBkAGQAZQBkACAAbQBpAGwAawAgAHAAcgBvAGQAdQBjAHQAaQBvAG4AIAB1AG4AaQB0ACAAdgBhAHIAaQBhAGIAbABlACAAdABvACAAYQBsAGwAbwB3ACAAZgBvAHIAIAB1AHMAZQAgAG8AZgAgAGUAaQB0AGgAZQByACAAbQBpAGwAawAgAHMAbwBsAGkAZABzACAAbwByACAAbABpAHQAcgBlAHMAIABvAGYAIABtAGkAbABrAC4AIABDAG8AbgB2AGUAcgB0AGUAZAAgAGkAbgBwAHUAdAAgAEYAQwAgAGEAbgBkACAAUABDACAAcABlAHIAYwBlAG4AdAAgAHQAbwAgAGkAbgB0AGUAZwBlAHIALgBcACIAKQA7AFwAbgBcAG4ALwAqAFwAbgAtAC0ALQAtAC0ALQAtAC0ALQAtAC0ALQAtAC0ALQAtAC0ALQAtAC0ALQAtAC0ALQAtAC0ALQAtAC0ALQAtAC0ALQAtAC0ALQAtAC0AXABuAFYARQBFAFIARwBfADMAXwAzAF8AMQBfADEAXwBfADYAXwBNAGUAdABhAGIAbwBsAGkAcwBhAGIAaQBsAGkAdAB5AE8AZgBEAGkAZQB0AFwAbgBNAGUAdABhAGIAbwBsAGkAcwBhAGIAaQBsAGkAdAB5ACAAbwBmACAAZABpAGUAdABcAG4AcQBtAF8AagBcAG4AZgByAGEAYwB0AGkAbwBuAFwAbgBxAG0AXwBqAD0AMAAuADcAOQA1AFwAXAB0AGkAbQBlAHMAIAAoAEQATQBEAF8AagBcAFwAdABpAG0AZQBzACAAMQAwADAAKQAtADAALgAwADAAMQA0AFwAbgBEAE0ARABfAGoAIAA9ACAAZAByAHkAIABtAGEAdAB0AGUAcgAgAGQAaQBnAGUAcwB0AGkAYgBpAGwAaQB0AHkAIABlAHgAcAByAGUAcwBzAGUAZAAgAGEAcwAgAGEAIABmAHIAYQBjAHQAaQBvAG4AXABuAC0ALQAtAC0ALQAtAC0ALQAtAC0ALQAtAC0ALQAtAC0ALQAtAC0ALQAtAC0ALQAtAC0ALQAtAC0ALQAtAC0ALQAtAC0ALQAtAC0ALQBcAG4AKgAvAFwAbgBcAG4AVgBFAEUAUgBHAF8AMwBfADMAXwAxAF8AMQBfAF8ANgBfAE0AZQB0AGEAYgBvAGwAaQBzAGEAYgBpAGwAaQB0AHkATwBmAEQAaQBlAHQAXABuACAAIAA9AEwAQQBNAEIARABBACgAXABuACAAIAAgACAARABNAEQAXwBqACwAXABuACAAIAAgACAAMAAuADcAOQA1ACAAKgAgACgARABNAEQAXwBqACAAKgAgADEAMAAwACkAIAAtACAAMAAuADAAMAAxADQAXABuACAAIAApADsAXABuAFwAbgBWAEUARQBSAEcAXwAzAF8AMwBfADEAXwAxAF8AXwA2AF8ATQBlAHQAYQBiAG8AbABpAHMAYQBiAGkAbABpAHQAeQBPAGYARABpAGUAdABWAGEAcgBpAGEAdABpAG8AbgBcAG4AIAAgAD0ATABBAE0AQgBEAEEAKABcAG4AIAAgACAAIABEAE0ARABfAGoALABcAG4AIAAgACAAIAAwAC4AMAAwADcAOQA1ACAAKgAgACgARABNAEQAXwBqACAAKgAgADEAMAAwACkAIAAtACAAMAAuADAAMAAxADQAXABuACAAIAApADsAXABuAFwAbgBcAG4AVgBFAEUAUgBHAF8AMwBfADMAXwAxAF8AMQBfAF8ANgBfAE0AZQB0AGEAYgBvAGwAaQBzAGEAYgBpAGwAaQB0AHkATwBmAEQAaQBlAHQAXwBUAGkAdABsAGUAXABuACAAIAA9AEwAQQBNAEIARABBACgAXAAiAE0AZQB0AGEAYgBvAGwAaQBzAGEAYgBpAGwAaQB0AHkAIABvAGYAIABkAGkAZQB0AFwAIgApADsAXABuAFwAbgBWAEUARQBSAEcAXwAzAF8AMwBfADEAXwAxAF8AXwA2AF8ATQBlAHQAYQBiAG8AbABpAHMAYQBiAGkAbABpAHQAeQBPAGYARABpAGUAdABfAFYAYQByAGkAYQBiAGwAZQBcAG4AIAAgAD0ATABBAE0AQgBEAEEAKABcACIAcQBtAF8AagBcACIAKQA7AFwAbgBcAG4AVgBFAEUAUgBHAF8AMwBfADMAXwAxAF8AMQBfAF8ANgBfAE0AZQB0AGEAYgBvAGwAaQBzAGEAYgBpAGwAaQB0AHkATwBmAEQAaQBlAHQAXwBVAG4AaQB0AFwAbgAgACAAPQBMAEEATQBCAEQAQQAoAFwAIgBmAHIAYQBjAHQAaQBvAG4AXAAiACkAOwBcAG4AXABuAFYARQBFAFIARwBfADMAXwAzAF8AMQBfADEAXwBfADYAXwBNAGUAdABhAGIAbwBsAGkAcwBhAGIAaQBsAGkAdAB5AE8AZgBEAGkAZQB0AF8AUwBvAHUAcgBjAGUAXABuACAAIAA9AEwAQQBNAEIARABBACgAXAAiAFYARQBFAFIARwAgADIAMAAyADYAOgAgADMALgAzAC4AMQAuADEALAAgAEUAcQB1AGEAdABpAG8AbgAgACgANgApAFwAIgApADsAXABuAFwAbgBWAEUARQBSAEcAXwAzAF8AMwBfADEAXwAxAF8AXwA2AF8ATQBlAHQAYQBiAG8AbABpAHMAYQBiAGkAbABpAHQAeQBPAGYARABpAGUAdABfAE4ASQBSAFIAZQBmAGUAcgBlAG4AYwBlAFwAbgAgACAAPQBMAEEATQBCAEQAQQAoAFwAIgBcACIAKQA7AFwAbgBcAG4AVgBFAEUAUgBHAF8AMwBfADMAXwAxAF8AMQBfAF8ANgBfAE0AZQB0AGEAYgBvAGwAaQBzAGEAYgBpAGwAaQB0AHkATwBmAEQAaQBlAHQAXwBMAGEAdABlAHgARQBxAHUAYQB0AGkAbwBuAFwAbgAgACAAPQBMAEEATQBCAEQAQQAoAFwAIgBxAG0AXwBqAD0AMAAuADcAOQA1AFwAXAB0AGkAbQBlAHMAIAAoAEQATQBEAF8AagBcAFwAdABpAG0AZQBzACAAMQAwADAAKQAtADAALgAwADAAMQA0AFwAIgApADsAXABuAFwAbgBWAEUARQBSAEcAXwAzAF8AMwBfADEAXwAxAF8AXwA2AF8ATQBlAHQAYQBiAG8AbABpAHMAYQBiAGkAbABpAHQAeQBPAGYARABpAGUAdABfAEwAYQB0AGUAeABFAHEAdQBhAHQAaQBvAG4AVgBhAHIAaQBhAHQAaQBvAG4AXABuACAAIAA9AEwAQQBNAEIARABBACgAXAAiAHEAbQBfAGoAPQAwAC4AMAAwADcAOQA1AFwAXAB0AGkAbQBlAHMAIAAoAEQATQBEAF8AagBcAFwAdABpAG0AZQBzACAAMQAwADAAKQAtADAALgAwADAAMQA0AFwAIgApADsAXABuAFwAbgBWAEUARQBSAEcAXwAzAF8AMwBfADEAXwAxAF8AXwA2AF8ATQBlAHQAYQBiAG8AbABpAHMAYQBiAGkAbABpAHQAeQBPAGYARABpAGUAdABfAEEAcgBnAHUAbQBlAG4AdABzAFwAbgAgACAAPQBMAEEATQBCAEQAQQAoAFwAbgAgACAAIAAgAE0AQQBLAEUAQQBSAFIAQQBZACgAMQAsACAANAAsAFwAbgAgACAAIAAgACAAIABMAEEATQBCAEQAQQAoAHIALABjACwAXABuACAAIAAgACAAIAAgACAAIABJAE4ARABFAFgAKAB7AFwAbgAgACAAIAAgACAAIAAgACAAIAAgAFwAIgBEAE0ARABfAGoAXAAiACwAIABcACIAZAByAHkAIABtAGEAdAB0AGUAcgAgAGQAaQBnAGUAcwB0AGkAYgBpAGwAaQB0AHkAIABlAHgAcAByAGUAcwBzAGUAZAAgAGEAcwAgAGEAIABmAHIAYQBjAHQAaQBvAG4AXAAiACwAIABcACIAZgByAGEAYwB0AGkAbwBuAFwAIgAsACAAXAAiAEkAbgBwAHUAdABcACIAXABuACAAIAAgACAAIAAgACAAIAB9ACwAIAByACwAIABjACkAXABuACAAIAAgACAAIAAgACkAXABuACAAIAAgACAAKQBcAG4AIAAgACkAOwBcAG4AXABuAFYARQBFAFIARwBfADMAXwAzAF8AMQBfADEAXwBfADYAXwBNAGUAdABhAGIAbwBsAGkAcwBhAGIAaQBsAGkAdAB5AE8AZgBEAGkAZQB0AF8AVgBhAHIAaQBhAHQAaQBvAG4AXABuACAAIAA9AEwAQQBNAEIARABBACgAXAAiAFYAQQBSAEkAQQBUAEkATwBOACAATwBOACAAUwBPAFUAUgBDAEUAOgAgAGMAaABhAG4AZwBlAGQAIAAwAC4ANwA5ADUAIAB0AG8AIAAwAC4AMAAwADcAOQA1ACAAdwBoAGkAYwBoACAAaQBzACAAdABoAGUAIAB2AGEAbAB1AGUAIAB1AHMAZQBkACAAaQBuACAAdABoAGUAIABOAGEAdABpAG8AbgBhAGwAIABJAG4AdgBlAG4AdABvAHIAeQAgAFIAZQBwAG8AcgB0AFwAIgApADsAXABuAFwAbgAiAH0ALAB7ACIAcABhAHQAaAAiADoAIgAvAHAAcgBvAGoAZQBjAHQAcwAvAEkAbgBwAHUAdABGAHUAbgBjAHQAaQBvAG4AcwBfAEQAYQBpAHIAeQAiACwAIgB0AGUAeAB0ACIAOgAiAEMAYQBsAGMAdQBsAGEAdABlAEYAcgBhAGMAdABpAG8AbgBJAG4ATQBNAFMAQQBmAHQAZQByAFMAbwBsAGkAZABTAGUAcABhAHIAYQB0AGkAbwBuAFwAbgA9AEwAQQBNAEIARABBACgAXABuACAAIAAgACAAUAByAG8AZAB1AGMAdABpAG8AbgBTAHkAcwB0AGUAbQAsACAATQBNAFMARgByAGEAYwB0AGkAbwBuACwAIABGAHIAYQBjAHQAaQBvAG4AUwBlAHAAYQByAGEAdABlAGQALABcAG4AIAAgACAAIABQAHIAbwBkAHUAYwB0AGkAbwBuAFMAeQBzAHQAZQBtACAAKgAgACgATQBNAFMARgByAGEAYwB0AGkAbwBuAC0AKABNAE0AUwBGAHIAYQBjAHQAaQBvAG4AKgBGAHIAYQBjAHQAaQBvAG4AUwBlAHAAYQByAGEAdABlAGQAKQApAFwAbgApADsAXABuAFwAbgBDAGEAbABjAHUAbABhAHQAZQBGAHIAYQBjAHQAaQBvAG4ASQBuAFMAbwBsAGkAZABTAHQAbwByAGEAZwBlAFwAbgA9AEwAQQBNAEIARABBACgAXABuACAAIAAgACAAUAByAG8AZAB1AGMAdABpAG8AbgBTAHkAcwB0AGUAbQAsACAASQBuAGkAdABhAGwAUwBvAGwAaQBkAFMAdABvAHIAYQBnAGUARgByAGEAYwB0AGkAbwBuACwAXABuACAAIAAgACAATQBNAFMAMQBGAHIAYQBjAHQAaQBvAG4ALAAgAE0ATQBTADEAUwBlAHAAYQByAGEAdABlAGQALAAgAFwAbgAgACAAIAAgAE0ATQBTADIARgByAGEAYwB0AGkAbwBuACwAIABNAE0AUwAyAFMAZQBwAGEAcgBhAHQAZQBkACwAIABcAG4AIAAgACAAIABNAE0AUwAzAEYAcgBhAGMAdABpAG8AbgAsACAATQBNAFMAMwBTAGUAcABhAHIAYQB0AGUAZAAsAFwAbgAgACAAIAAgAFAAcgBvAGQAdQBjAHQAaQBvAG4AUwB5AHMAdABlAG0AIAAqACAAKABcAG4AIAAgACAAIAAgACAAIAAgAEkAbgBpAHQAYQBsAFMAbwBsAGkAZABTAHQAbwByAGEAZwBlAEYAcgBhAGMAdABpAG8AbgAgACsAXABuACAAIAAgACAAIAAgACAAIAAoAE0ATQBTADEARgByAGEAYwB0AGkAbwBuACAAKgAgAE0ATQBTADEAUwBlAHAAYQByAGEAdABlAGQAKQAgACsAXABuACAAIAAgACAAIAAgACAAIAAoAE0ATQBTADIARgByAGEAYwB0AGkAbwBuACAAKgAgAE0ATQBTADIAUwBlAHAAYQByAGEAdABlAGQAKQAgACsAXABuACAAIAAgACAAIAAgACAAIAAoAE0ATQBTADMARgByAGEAYwB0AGkAbwBuACAAKgAgAE0ATQBTADMAUwBlAHAAYQByAGEAdABlAGQAKQBcAG4AIAAgACAAIAApAFwAbgApADsAIgB9ACwAewAiAHAAYQB0AGgAIgA6ACIALwBwAHIAbwBqAGUAYwB0AHMALwBNAE0AUwBfAEQAYQBpAHIAeQBfAEwAZQBhAGMAaABpAG4AZwBBAG4AZABSAHUAbgBvAGYAZ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2ACAATQBlAHQAaABvAGQAIAAxACAALQAgAE0AYQBuAHUAcgBlACAATABlAGEAYwBoAGkAbgBnACAAQQBuAGQAIABSAHUAbgBvAGYAZg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NgBfAF8AMQBfAEEAbgBuAHUAYQBsAEUAbQBpAHMAcwBpAG8AbgBzAEYAcgBvAG0ATABlAGEAYwBoAGkAbgBnAEEAbgBkAFIAdQBuAG8AZgBmAEYAcgBvAG0ATQBNAFMAXABuAEEAbgBuAHUAYQBsACAAZQBtAGkAcwBzAGkAbwBuAHMAIABmAHIAbwBtACAAbABlAGEAYwBoAGkAbgBnACAAYQBuAGQAIAByAHUAbgBvAGYAZgAgAGYAcgBvAG0AIABlAGEAYwBoACAATQBNAFMAXABuAEUAXwBOADIATwBsAGUAYQBjAGgAXABuAHQAIABOADIATwBcAG4ARQBfAHsATgAyAE8ALABsAGUAYQBjAGgAfQA9AE0ATgBMAGUAYQBjAGgAXwB7AGoAbQB9AFwAXAB0AGkAbQBlAHMAIABFAEYAXwB7AGwAZQBhAGMAaAB9AFwAXAB0AGkAbQBlAHMAIABDAF8AewBOADIATwB9AFwAXAB0AGkAbQBlAHMAIAAxADAAXgB7AC0AMwB9AFwAbgBNAE4ATABlAGEAYwBoAF8AagBtACAAPQAgAG0AYQBzAHMAIABvAGYAIABOACAAbABvAHMAdAAgAHQAaAByAG8AdQBnAGgAIABsAGUAYQBjAGgAaQBuAGcAIABhAG4AZAAgAHIAdQBuAG8AZgBmACAAZgByAG8AbQAgAGUAYQBjAGgAIABNAE0AUwAgACgAawBnACAATgApAFwAbgBFAEYAXwBsAGUAYQBjAGgAIAA9ACAAbgBpAHQAcgBvAHUAcwAgAG8AeABpAGQAZ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VgBBAFIASQBBAFQASQBPAE4AIABPAEYAIABTAE8AVQBSAEMARQA6ACAARgBvAHIAIABNAGUAdABoAG8AZAAgADEALAAgAGUAbQBpAHMAcwBpAG8AbgBzACAAYQByAGUAIABlAHMAdABpAG0AYQB0AGUAZAAgAG8AbgBsAHkAIABmAG8AcgAgAHMAbwBsAGkAZAAgAHMAdABvAHIAYQBnAGUAIAAoAG0APQA0ACkALgBcAG4ALQAtAC0ALQAtAC0ALQAtAC0ALQAtAC0ALQAtAC0ALQAtAC0ALQAtAC0ALQAtAC0ALQAtAC0ALQAtAC0ALQAtAC0ALQAtAC0ALQAtAFwAbgAqAC8AXABuAFwAbgBWAEUARQBSAEcAXwA0AF8AMwBfADEAXwA2AF8AXwAxAF8AQQBuAG4AdQBhAGwARQBtAGkAcwBzAGkAbwBuAHMARgByAG8AbQBMAGUAYQBjAGgAaQBuAGcAQQBuAGQAUgB1AG4AbwBmAGYARgByAG8AbQBNAE0AUwBcAG4AIAAgAD0ATABBAE0AQgBEAEEAKABcAG4AIAAgACAAIABNAE4ATABlAGEAYwBoAF8AagBtACwAIABFAEYAXwBsAGUAYQBjAGgALAAgAEMAXwBOADIATwAsAFwAbgAgACAAIAAgACgATQBOAEwAZQBhAGMAaABfAGoAbQAgACoAIABFAEYAXwBsAGUAYQBjAGgAIAAqACAAQwBfAE4AMgBPACkAIAAqACAAMQAwACAAXgAgAC0AMwBcAG4AIAAgACkAOwBcAG4AXABuAFYARQBFAFIARwBfADQAXwAzAF8AMQBfADYAXwBfADEAXwBBAG4AbgB1AGEAbABFAG0AaQBzAHMAaQBvAG4AcwBGAHIAbwBtAEwAZQBhAGMAaABpAG4AZwBBAG4AZABSAHUAbgBvAGYAZgBGAHIAbwBtAE0ATQBTAF8AVABpAHQAbABlAFwAbgAgACAAPQBMAEEATQBCAEQAQQAoAFwAIgBBAG4AbgB1AGEAbAAgAGUAbQBpAHMAcwBpAG8AbgBzACAAZgByAG8AbQAgAGwAZQBhAGMAaABpAG4AZwAgAGEAbgBkACAAcgB1AG4AbwBmAGYAIABmAHIAbwBtACAAZQBhAGMAaAAgAE0ATQBTAFwAIgApADsAXABuAFwAbgBWAEUARQBSAEcAXwA0AF8AMwBfADEAXwA2AF8AXwAxAF8AQQBuAG4AdQBhAGwARQBtAGkAcwBzAGkAbwBuAHMARgByAG8AbQBMAGUAYQBjAGgAaQBuAGcAQQBuAGQAUgB1AG4AbwBmAGYARgByAG8AbQBNAE0AUwBfAFYAYQByAGkAYQBiAGwAZQBcAG4AIAAgAD0ATABBAE0AQgBEAEEAKABcACIARQBfAE4AMgBPAGwAZQBhAGMAaABcACIAKQA7AFwAbgBcAG4AVgBFAEUAUgBHAF8ANABfADMAXwAxAF8ANgBfAF8AMQBfAEEAbgBuAHUAYQBsAEUAbQBpAHMAcwBpAG8AbgBzAEYAcgBvAG0ATABlAGEAYwBoAGkAbgBnAEEAbgBkAFIAdQBuAG8AZgBmAEYAcgBvAG0ATQBNAFMAXwBVAG4AaQB0AFwAbgAgACAAPQBMAEEATQBCAEQAQQAoAFwAIgB0ACAATgAyAE8AXAAiACkAOwBcAG4AXABuAFYARQBFAFIARwBfADQAXwAzAF8AMQBfADYAXwBfADEAXwBBAG4AbgB1AGEAbABFAG0AaQBzAHMAaQBvAG4AcwBGAHIAbwBtAEwAZQBhAGMAaABpAG4AZwBBAG4AZABSAHUAbgBvAGYAZgBGAHIAbwBtAE0ATQBTAF8AUwBvAHUAcgBjAGUAXABuACAAIAA9AEwAQQBNAEIARABBACgAXAAiAFYARQBFAFIARwAgADIAMAAyADYAOgAgADQALgAzAC4AMQAuADYALAAgAEUAcQB1AGEAdABpAG8AbgAgACgAMQApAFwAIgApADsAXABuAFwAbgBWAEUARQBSAEcAXwA0AF8AMwBfADEAXwA2AF8AXwAxAF8AQQBuAG4AdQBhAGwARQBtAGkAcwBzAGkAbwBuAHMARgByAG8AbQBMAGUAYQBjAGgAaQBuAGcAQQBuAGQAUgB1AG4AbwBmAGYARgByAG8AbQBNAE0AUwBfAE4ASQBSAFIAZQBmAGUAcgBlAG4AYwBlAFwAbgAgACAAPQBMAEEATQBCAEQAQQAoAFwAIgBcACIAKQA7AFwAbgBcAG4AVgBFAEUAUgBHAF8ANABfADMAXwAxAF8ANgBfAF8AMQBfAEEAbgBuAHUAYQBsAEUAbQBpAHMAcwBpAG8AbgBzAEYAcgBvAG0ATABlAGEAYwBoAGkAbgBnAEEAbgBkAFIAdQBuAG8AZgBmAEYAcgBvAG0ATQBNAFMAXwBMAGEAdABlAHgARQBxAHUAYQB0AGkAbwBuAFwAbgAgACAAPQBMAEEATQBCAEQAQQAoAFwAIgBFAF8AewBOADIATwAsAGwAZQBhAGMAaAB9AD0AXABcAHMAdQBtAFwAXABuAG8AbABpAG0AaQB0AHMAXwB7AGoAfQBcAFwAcwB1AG0AXABcAG4AbwBsAGkAbQBpAHQAcwBfAHsAbQA9ADEALQAxADMAfQAoAE0ATgBMAGUAYQBjAGgAXwB7AGoAbQB9AFwAXAB0AGkAbQBlAHMAIABFAEYAXwB7AGwAZQBhAGMAaAB9AFwAXAB0AGkAbQBlAHMAIABDAF8AewBOADIATwB9ACkAXABcAHQAaQBtAGUAcwAgADEAMABeAHsALQAzAH0AXAAiACkAOwBcAG4AXABuAFYARQBFAFIARwBfADQAXwAzAF8AMQBfADYAXwBfADEAXwBBAG4AbgB1AGEAbABFAG0AaQBzAHMAaQBvAG4AcwBGAHIAbwBtAEwAZQBhAGMAaABpAG4AZwBBAG4AZABSAHUAbgBvAGYAZgBGAHIAbwBtAE0ATQBTAF8AQQByAGcAdQBtAGUAbgB0AHMAXABuACAAIAA9AEwAQQBNAEIARABBACgAXABuACAAIAAgACAATQBBAEsARQBBAFIAUgBBAFkAKAAzACwAIAA0ACwAXABuACAAIAAgACAAIAAgAEwAQQBNAEIARABBACgAcgAsAGMALABcAG4AIAAgACAAIAAgACAAIAAgAEkATgBEAEUAWAAoAHsAXABuACAAIAAgACAAIAAgACAAIAAgACAAXAAiAE0ATgBMAGUAYQBjAGgAXwBqAG0AXAAiACwAIABcACIAbQBhAHMAcwAgAG8AZgAgAE4AIABsAG8AcwB0ACAAdABoAHIAbwB1AGcAaAAgAGwAZQBhAGMAaABpAG4AZwAgAGEAbgBkACAAcgB1AG4AbwBmAGYAXAAiACwAIABcACIAawBnACAATgBcACIALAAgAFwAIgBDAGEAbABjAHUAbABhAHQAZQBkACAAZgByAG8AbQAgADQALgAzAC4AMQAuADYAIAAoADIAKQBcACIAOwBcAG4AIAAgACAAIAAgACAAIAAgACAAIABcACIARQBGAF8AbABlAGEAYwBoAFwAIgAsACAAXAAiAG4AaQB0AHIAbwB1AHMAIABvAHgAaQBkAGUAIA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wBfADEAXwA2AF8AXwAyAF8ATQBhAHMAcwBPAGYATgBpAHQAcgBvAGcAZQBuAEwAbwBzAHQAVABvAEwAZQBhAGMAaABpAG4AZwBBAG4AZABSAHUAbgBvAGYAZgBGAHIAbwBtAFMAbwBsAGkAZABTAHQAbwByAGEAZwBlAFwAbgBNAGEAcwBzACAAbwBmACAAbgBpAHQAcgBvAGcAZQBuACAAbABvAHMAdAAgAHQAbwAgAGwAZQBhAGMAaABpAG4AZwAgAGEAbgBkACAAcgB1AG4AbwBmAGYAIABmAHIAbwBtACAAcwBvAGwAaQBkACAAcwB0AG8AcgBhAGcAZQAgAHMAeQBzAHQAZQBtAHMAXABuAE0ATgBMAGUAYQBjAGgAXwBqAG0ANABcAG4AawBnACAATgBcAG4ATQBOAEwAZQBhAGMAaABfAHsAagBtAD0ANAB9AD0ATQBOAF8AewBqAG0APQA0AH0AXABcAHQAaQBtAGUAcwAgAEYAcgBhAGMAVwBFAFQAXwBpAFwAXAB0AGkAbQBlAHMAIABGAHIAYQBjAEwARQBBAEMASABfAE0AUwBcAG4ATQBOAF8AagBtADQAIAA9ACAAdABvAHQAYQBsACAAbgBpAHQAcgBvAGcAZQBuACAAaQBuACAAcwBvAGwAaQBkACAAcwB0AG8AcgBhAGcAZQAgAHMAeQBzAHQAZQBtACAAbQA9ADQAIAAoAGsAZwAgAE4AKQBcAG4ARgByAGEAYwBXAEUAVABfAGkAIAA9ACAAZgByAGEAYwB0AGkAbwBuACAAbwBmACAATgAgAGEAdgBhAGkAbABhAGIAbABlACAAZgBvAHIAIABsAGUAYQBjAGgAaQBuAGcAIABhAG4AZAAgAHIAdQBuAG8AZgBmAFwAbgBGAHIAYQBjAEwARQBBAEMASABfAE0AUwAgAD0AIABmAHIAYQBjAHQAaQBvAG4AIABvAGYAIABOACAAbABvAHMAdAAgAHQAaAByAG8AdQBnAGgAIABsAGUAYQBjAGgAaQBuAGcAIABhAG4AZAAgAHIAdQBuAG8AZgBmAFwAbgAtAC0ALQAtAC0ALQAtAC0ALQAtAC0ALQAtAC0ALQAtAC0ALQAtAC0ALQAtAC0ALQAtAC0ALQAtAC0ALQAtAC0ALQAtAC0ALQAtAC0AXABuACoALwBcAG4AXABuAFYARQBFAFIARwBfADQAXwAzAF8AMQBfADYAXwBfADIAXwBNAGEAcwBzAE8AZgBOAGkAdAByAG8AZwBlAG4ATABvAHMAdABUAG8ATABlAGEAYwBoAGkAbgBnAEEAbgBkAFIAdQBuAG8AZgBmAEYAcgBvAG0AUwBvAGwAaQBkAFMAdABvAHIAYQBnAGUAXABuACAAIAA9AEwAQQBNAEIARABBACgAXABuACAAIAAgACAATQBOAF8AagBtADQALAAgAEYAcgBhAGMAVwBFAFQAXwBpACwAIABGAHIAYQBjAEwARQBBAEMASABfAE0AUwAsAFwAbgAgACAAIAAgAE0ATgBfAGoAbQA0ACAAKgAgAEYAcgBhAGMAVwBFAFQAXwBpACAAKgAgAEYAcgBhAGMATABFAEEAQwBIAF8ATQBTAFwAbgAgACAAKQA7AFwAbgBcAG4AVgBFAEUAUgBHAF8ANABfADMAXwAxAF8ANgBfAF8AMgBfAE0AYQBzAHMATwBmAE4AaQB0AHIAbwBnAGUAbgBMAG8AcwB0AFQAbwBMAGUAYQBjAGgAaQBuAGcAQQBuAGQAUgB1AG4AbwBmAGYARgByAG8AbQBTAG8AbABpAGQAUwB0AG8AcgBhAGcAZQBfAFQAaQB0AGwAZQBcAG4AIAAgAD0ATABBAE0AQgBEAEEAKABcACIATQBhAHMAcwAgAG8AZgAgAG4AaQB0AHIAbwBnAGUAbgAgAGwAbwBzAHQAIAB0AG8AIABsAGUAYQBjAGgAaQBuAGcAIABhAG4AZAAgAHIAdQBuAG8AZgBmACAAZgByAG8AbQAgAHMAbwBsAGkAZAAgAHMAdABvAHIAYQBnAGUAIABzAHkAcwB0AGUAbQBzAFwAIgApADsAXABuAFwAbgBWAEUARQBSAEcAXwA0AF8AMwBfADEAXwA2AF8AXwAyAF8ATQBhAHMAcwBPAGYATgBpAHQAcgBvAGcAZQBuAEwAbwBzAHQAVABvAEwAZQBhAGMAaABpAG4AZwBBAG4AZABSAHUAbgBvAGYAZgBGAHIAbwBtAFMAbwBsAGkAZABTAHQAbwByAGEAZwBlAF8AVgBhAHIAaQBhAGIAbABlAFwAbgAgACAAPQBMAEEATQBCAEQAQQAoAFwAIgBNAE4ATABlAGEAYwBoAF8AagBtADQAXAAiACkAOwBcAG4AXABuAFYARQBFAFIARwBfADQAXwAzAF8AMQBfADYAXwBfADIAXwBNAGEAcwBzAE8AZgBOAGkAdAByAG8AZwBlAG4ATABvAHMAdABUAG8ATABlAGEAYwBoAGkAbgBnAEEAbgBkAFIAdQBuAG8AZgBmAEYAcgBvAG0AUwBvAGwAaQBkAFMAdABvAHIAYQBnAGUAXwBVAG4AaQB0AFwAbgAgACAAPQBMAEEATQBCAEQAQQAoAFwAIgBrAGcAIABOAFwAIgApADsAXABuAFwAbgBWAEUARQBSAEcAXwA0AF8AMwBfADEAXwA2AF8AXwAyAF8ATQBhAHMAcwBPAGYATgBpAHQAcgBvAGcAZQBuAEwAbwBzAHQAVABvAEwAZQBhAGMAaABpAG4AZwBBAG4AZABSAHUAbgBvAGYAZgBGAHIAbwBtAFMAbwBsAGkAZABTAHQAbwByAGEAZwBlAF8AUwBvAHUAcgBjAGUAXABuACAAIAA9AEwAQQBNAEIARABBACgAXAAiAFYARQBFAFIARwAgADIAMAAyADYAOgAgADQALgAzAC4AMQAuADYALAAgAEUAcQB1AGEAdABpAG8AbgAgACgAMgApAFwAIgApADsAXABuAFwAbgBWAEUARQBSAEcAXwA0AF8AMwBfADEAXwA2AF8AXwAyAF8ATQBhAHMAcwBPAGYATgBpAHQAcgBvAGcAZQBuAEwAbwBzAHQAVABvAEwAZQBhAGMAaABpAG4AZwBBAG4AZABSAHUAbgBvAGYAZgBGAHIAbwBtAFMAbwBsAGkAZABTAHQAbwByAGEAZwBlAF8ATgBJAFIAUgBlAGYAZQByAGUAbgBjAGUAXABuACAAIAA9AEwAQQBNAEIARABBACgAXAAiAFwAIgApADsAXABuAFwAbgBWAEUARQBSAEcAXwA0AF8AMwBfADEAXwA2AF8AXwAyAF8ATQBhAHMAcwBPAGYATgBpAHQAcgBvAGcAZQBuAEwAbwBzAHQAVABvAEwAZQBhAGMAaABpAG4AZwBBAG4AZABSAHUAbgBvAGYAZgBGAHIAbwBtAFMAbwBsAGkAZABTAHQAbwByAGEAZwBlAF8ATABhAHQAZQB4AEUAcQB1AGEAdABpAG8AbgBcAG4AIAAgAD0ATABBAE0AQgBEAEEAKABcACIATQBOAEwAZQBhAGMAaABfAHsAagBtAD0ANAB9AD0ATQBOAF8AewBqAG0APQA0AH0AXABcAHQAaQBtAGUAcwAgAEYAcgBhAGMAVwBFAFQAXwBpAFwAXAB0AGkAbQBlAHMAIABGAHIAYQBjAEwARQBBAEMASABfAHsATQBTAH0AXAAiACkAOwBcAG4AXABuAFYARQBFAFIARwBfADQAXwAzAF8AMQBfADYAXwBfADIAXwBNAGEAcwBzAE8AZgBOAGkAdAByAG8AZwBlAG4ATABvAHMAdABUAG8ATABlAGEAYwBoAGkAbgBnAEEAbgBkAFIAdQBuAG8AZgBmAEYAcgBvAG0AUwBvAGwAaQBkAFMAdABvAHIAYQBnAGUAXwBBAHIAZwB1AG0AZQBuAHQAcwBcAG4AIAAgAD0ATABBAE0AQgBEAEEAKABcAG4AIAAgACAAIABNAEEASwBFAEEAUgBSAEEAWQAoADYALAAgADQALABcAG4AIAAgACAAIAAgACAATABBAE0AQgBEAEEAKAByACwAYwAsAFwAbgAgACAAIAAgACAAIAAgACAASQBOAEQARQBYACgAewBcAG4AIAAgACAAIAAgACAAIAAgACAAIABcACIATQBOAF8AagBtADQAXAAiACwAIABcACIAdABvAHQAYQBsACAAbgBpAHQAcgBvAGcAZQBuACAAaQBuACAAcwBvAGwAaQBkACAAcwB0AG8AcgBhAGcAZQAgAHMAeQBzAHQAZQBtACAAbQA9ADQAIAAoAGsAZwAgAE4AKQBcACIALAAgAFwAIgBrAGcAIABOAFwAIgAsACAAXAAiAEMAYQBsAGMAdQBsAGEAdABlAGQAIABmAHIAbwBtACAANAAuADMALgAxAC4AMwAgACgAMgApAFwAIgA7AFwAbgAgACAAIAAgACAAIAAgACAAIAAgAFwAIgBGAHIAYQBjAFcARQBUAF8AaQBcACIALAAgAFwAIgBmAHIAYQBjAHQAaQBvAG4AIABvAGYAIABOACAAdABoAGEAdAAgAGkAcwAgAGEAdgBhAGkAbABhAGIAbABlACAAZgBvAHIAIABsAGUAYQBjAGgAaQBuAGcAIABhAG4AZAAgAHIAdQBuAG8AZgBmACAAZgByAG8AbQAgAHQAaABlACAAbABlAGEAYwBoAGkAbgBnACAAegBvAG4AZQAgAHoAIABhAG4AZAAgAGkAcgByAGkAZwBhAHQAaQBvAG4AIAB0AHkAcABlACAAaQByAFwAIgAsACAAXAAiAGYAcgBhAGMAdABpAG8AbgBcACIALAAgAFwAIgBDAG8AbgBzAHQAYQBuAHQAXAAiADsAXABuACAAIAAgACAAIAAgACAAIAAgACAAXAAiAEYAcgBhAGMATABFAEEAQwBIAF8ATQBTAFwAIgAsACA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CIAfQAsAHsAIgBwAGEAdABoACIAOgAiAC8AcAByAG8AagBlAGMAdABzAC8ATQBNAFMAXwBEAGEAaQByAHkAXwBTAG8AaQBs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OQAgAE0AZQB0AGgAbwBkACAAMQAgAC0AIABTAG8AaQBsACAARABpAHIAZQBjAHQ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kAXwBfADEAXwBEAGkAcgBlAGMAdABOAGkAdAByAG8AdQBzAE8AeABpAGQAZQBFAG0AaQBzAHMAaQBvAG4AcwBPAG4AUABhAHMAdAB1AHIAZQBcAG4ARABpAHIAZQBjAHQAIABuAGkAdAByAG8AdQBzACAAbwB4AGkAZABlACAAZQBtAGkAcwBzAGkAbwBuAHMAIABvAG4AIABwAGEAcwB0AHUAcgBlAFwAbgBFAF8ATgAyAE8AZABpAHIAXABuAHQAIABOADIATwBcAG4ARQBfAHsATgAyAE8ALABkAGkAcgB9AD0ATQBOAF8AewBqAG0APQAxADQAfQBcAFwAdABpAG0AZQBzACAARQBGAF8AewBQAFIAUAB9AFwAXAB0AGkAbQBlAHMAIABDAF8AewBOADIATwB9AFwAXAB0AGkAbQBlAHMAIAAxADAAXgB7AC0AMwB9AFwAbgBNAE4AXwBqAG0AMQA0ACAAPQAgAG0AYQBzAHMAIABvAGYAIABuAGkAdAByAG8AZwBlAG4AIABlAHgAYwByAGUAdABlAGQAIABvAG4AIABwAGEAcwB0AHUAcgBlACwAIAByAGEAbgBnAGUALAAgAGEAbgBkACAAcABhAGQAZABvAGMAawAgAGYAbwByACAAZQBhAGMAaAAgAGQAYQBpAHIAeQAgAGMAYQB0AHQAbABlACAAYwBsAGEAcwBzACAAKABrAGcAIABOACkAXABuAEUARgBfAFAAUgBQACAAPQAgAGUAbQBpAHMAcwBpAG8AbgAgAGYAYQBjAHQAbwByACAAZgBvAHIAIABuAGkAdAByAG8AdQBzACAAbwB4AGkAZABlACAAZQBtAGkAcwBzAGkAbwBuAHMAIABmAG8AcgAgAHUAcgBpAG4AZQAgAGEAbgBkACAAZAB1AG4AZwAgAGQAZQBwAG8AcwBpAHQAZQBkACAAbwBuACAAUABSAFAAIAAoAGsAZwAgAE4AMgBPAC0ATgAvAGsAZwAgAE4AIABkAGUAcABvAHMAaQB0AGUAZA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OQBfAF8AMQBfAEQAaQByAGUAYwB0AE4AaQB0AHIAbwB1AHMATwB4AGkAZABlAEUAbQBpAHMAcwBpAG8AbgBzAE8AbgBQAGEAcwB0AHUAcgBlAFwAbgAgACAAPQBMAEEATQBCAEQAQQAoAFwAbgAgACAAIAAgAE0ATgBfAGoAbQAxADQALAAgAEUARgBfAFAAUgBQACwAIABDAF8ATgAyAE8ALABcAG4AIAAgACAAIABNAE4AXwBqAG0AMQA0ACAAKgAgAEUARgBfAFAAUgBQACAAKgAgAEMAXwBOADIATwAgACoAIAAxADAAIABeACAALQAzAFwAbgAgACAAKQA7AFwAbgBcAG4AVgBFAEUAUgBHAF8ANABfADMAXwAxAF8AOQBfAF8AMQBfAEQAaQByAGUAYwB0AE4AaQB0AHIAbwB1AHMATwB4AGkAZABlAEUAbQBpAHMAcwBpAG8AbgBzAE8AbgBQAGEAcwB0AHUAcgBlAF8AVABpAHQAbABlAFwAbgAgACAAPQBMAEEATQBCAEQAQQAoAFwAIgBEAGkAcgBlAGMAdAAgAG4AaQB0AHIAbwB1AHMAIABvAHgAaQBkAGUAIABlAG0AaQBzAHMAaQBvAG4AcwAgAG8AbgAgAHAAYQBzAHQAdQByAGUAXAAiACkAOwBcAG4AXABuAFYARQBFAFIARwBfADQAXwAzAF8AMQBfADkAXwBfADEAXwBEAGkAcgBlAGMAdABOAGkAdAByAG8AdQBzAE8AeABpAGQAZQBFAG0AaQBzAHMAaQBvAG4AcwBPAG4AUABhAHMAdAB1AHIAZQBfAFYAYQByAGkAYQBiAGwAZQBcAG4AIAAgAD0ATABBAE0AQgBEAEEAKABcACIARQBfAE4AMgBPAGQAaQByAFwAIgApADsAXABuAFwAbgBWAEUARQBSAEcAXwA0AF8AMwBfADEAXwA5AF8AXwAxAF8ARABpAHIAZQBjAHQATgBpAHQAcgBvAHUAcwBPAHgAaQBkAGUARQBtAGkAcwBzAGkAbwBuAHMATwBuAFAAYQBzAHQAdQByAGUAXwBVAG4AaQB0AFwAbgAgACAAPQBMAEEATQBCAEQAQQAoAFwAIgB0ACAATgAyAE8AXAAiACkAOwBcAG4AXABuAFYARQBFAFIARwBfADQAXwAzAF8AMQBfADkAXwBfADEAXwBEAGkAcgBlAGMAdABOAGkAdAByAG8AdQBzAE8AeABpAGQAZQBFAG0AaQBzAHMAaQBvAG4AcwBPAG4AUABhAHMAdAB1AHIAZQBfAFMAbwB1AHIAYwBlAFwAbgAgACAAPQBMAEEATQBCAEQAQQAoAFwAIgBWAEUARQBSAEcAIAAyADAAMgA2ADoAIAA0AC4AMwAuADEALgA5ACwAIABFAHEAdQBhAHQAaQBvAG4AIAAoADEAKQBcACIAKQA7AFwAbgBcAG4AVgBFAEUAUgBHAF8ANABfADMAXwAxAF8AOQBfAF8AMQBfAEQAaQByAGUAYwB0AE4AaQB0AHIAbwB1AHMATwB4AGkAZABlAEUAbQBpAHMAcwBpAG8AbgBzAE8AbgBQAGEAcwB0AHUAcgBlAF8ATgBJAFIAUgBlAGYAZQByAGUAbgBjAGUAXABuACAAIAA9AEwAQQBNAEIARABBACgAXAAiAFwAIgApADsAXABuAFwAbgBWAEUARQBSAEcAXwA0AF8AMwBfADEAXwA5AF8AXwAxAF8ARABpAHIAZQBjAHQATgBpAHQAcgBvAHUAcwBPAHgAaQBkAGUARQBtAGkAcwBzAGkAbwBuAHMATwBuAFAAYQBzAHQAdQByAGUAXwBMAGEAdABlAHgARQBxAHUAYQB0AGkAbwBuAFwAbgAgACAAPQBMAEEATQBCAEQAQQAoAFwAIgBFAF8AewBOADIATwAsAGQAaQByAH0APQBcAFwAcwB1AG0AXABcAG4AbwBsAGkAbQBpAHQAcwBfAHsAagB9ACgATQBOAF8AewBqAG0APQAxADQAfQBcAFwAdABpAG0AZQBzACAARQBGAF8AewBQAFIAUAB9AFwAXAB0AGkAbQBlAHMAIABDAF8AewBOADIATwB9AFwAXAB0AGkAbQBlAHMAIAAxADAAXgB7AC0AMwB9ACkAXAAiACkAOwBcAG4AXABuAFYARQBFAFIARwBfADQAXwAzAF8AMQBfADkAXwBfADEAXwBEAGkAcgBlAGMAdABOAGkAdAByAG8AdQBzAE8AeABpAGQAZQBFAG0AaQBzAHMAaQBvAG4AcwBPAG4AUABhAHMAdAB1AHIAZQBfAEEAcgBnAHUAbQBlAG4AdABzAFwAbgAgACAAPQBMAEEATQBCAEQAQQAoAFwAbgAgACAAIAAgAE0AQQBLAEUAQQBSAFIAQQBZACgANAAsACAANAAsAFwAbgAgACAAIAAgACAAIABMAEEATQBCAEQAQQAoAHIALABjACwAXABuACAAIAAgACAAIAAgACAAIABJAE4ARABFAFgAKAB7AFwAbgAgACAAIAAgACAAIAAgACAAIAAgAFwAIgBNAE4AXwBqAG0AMQA0AFwAIgAsACAAXAAiAG0AYQBzAHMAIABvAGYAIABuAGkAdAByAG8AZwBlAG4AIABlAHgAYwByAGUAdABlAGQAIABvAG4AIABwAGEAcwB0AHUAcgBlACwAIAByAGEAbgBnAGUALAAgAGEAbgBkACAAcABhAGQAZABvAGMAawAgAGYAbwByACAAZQBhAGMAaAAgAGQAYQBpAHIAeQAgAGMAYQB0AHQAbABlACAAYwBsAGEAcwBzAFwAIgAsACAAXAAiAGsAZwAgAE4AXAAiACwAIABcACIAQwBhAGwAYwB1AGwAYQB0AGUAZAAgAGYAcgBvAG0AIAA0AC4AMwAuADEALgAzACAAKAAyACkAXAAiADsAXABuACAAIAAgACAAIAAgACAAIAAgACAAXAAiAEUARgBfAFAAUgBQAFwAIgAsACAAXAAiAGUAbQBpAHMAcwBpAG8AbgAgAGYAYQBjAHQAbwByACAAZgBvAHIAIABuAGkAdAByAG8AdQBzACAAbwB4AGkAZABlACAAZQBtAGkAcwBzAGkAbwBuAHMAIABmAG8AcgAgAHUAcgBpAG4AZQAgAGEAbgBkACAAZAB1AG4AZwAgAGQAZQBwAG8AcwBpAHQAZQBkACAAbwBuACAAUABSAFA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egBcACIALABcACIAVwBlAHQAIABvAHIAIABkAHIAeQAgAGMAbABpAG0AYQB0AGUAIAB6AG8AbgBlAFwAIgAsACAAXAAiAFwAIgAsACAAXAAiAEkAbgBwAHUAdABcACIAXABuACAAIAAgACAAIAAgACAAIAB9ACwAIAByACwAIABjACkAXABuACAAIAAgACAAIAAgACkAXABuACAAIAAgACAAKQBcAG4AIAAgACkAOwBcAG4AIgB9ACwAewAiAHAAYQB0AGgAIgA6ACIALwBwAHIAbwBqAGUAYwB0AHMALwBNAE0AUwBfAEQAYQBpAHIAeQBfAFMAbwBpAGw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xADAAIABNAGUAdABoAG8AZAAgADEAIAAtACAAUwBvAGkAbAAgAEEAdABtAG8AcwBwAGgAZQByAGkAYwAgAEQAZQBwAG8AcwBpAHQAaQBvAG4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EAMABfAF8AMQBfAEEAdABtAG8AcwBwAGgAZQByAGkAYwBEAGUAcABvAHMAaQB0AGkAbwBuAEUAbQBpAHMAcwBpAG8AbgBzAEYAcgBvAG0AVQByAGkAbgBlAEEAbgBkAEQAdQBuAGcATwBuAFAAYQBzAHQAdQByAGUAXABuAEEAdABtAG8AcwBwAGgAZQByAGkAYwAgAGQAZQBwAG8AcwBpAHQAaQBvAG4AIABlAG0AaQBzAHMAaQBvAG4AcwAgAGYAcgBvAG0AIAB1AHIAaQBuAGUAIABhAG4AZAAgAGQAdQBuAGcAIABkAGUAcABvAHMAaQB0AGUAZAAgAG8AbgAgAHAAYQBzAHQAdQByAGUAXABuAEUAXwBOADIATwBhAGQAXABuAHQAIABOADIATwBcAG4ARQBfAHsATgAyAE8ALABhAGQAfQA9AE0AXwB7AHYAbwBsACwAbQA9ADEANAB9AFwAXAB0AGkAbQBlAHMAIABFAEYAXwB7AE4AMgBPAH0AXABcAHQAaQBtAGUAcwAgAEMAXwB7AE4AMgBPAH0AXABcAHQAaQBtAGUAcwAgADEAMABeAHsALQAzAH0AXABuAE0AXwB2AG8AbABfAG0AMQA0ACAAPQAgAG0AYQBzAHMAIABvAGYAIABuAGkAdAByAG8AZwBlAG4AIAB2AG8AbABhAHQAaQBsAGkAcwBlAGQAIABmAHIAbwBtACAAdQByAGkAbgBlACAAYQBuAGQAIABmAGEAZQBjAGUAcwAgAGQAZQBwAG8AcwBpAHQAZQBkACAAbwBuACAAcABhAHMAdAB1AHIAZQ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EAMABfAF8AMQBfAEEAdABtAG8AcwBwAGgAZQByAGkAYwBEAGUAcABvAHMAaQB0AGkAbwBuAEUAbQBpAHMAcwBpAG8AbgBzAEYAcgBvAG0AVQByAGkAbgBlAEEAbgBkAEQAdQBuAGcATwBuAFAAYQBzAHQAdQByAGUAXABuACAAIAA9AEwAQQBNAEIARABBACgAXABuACAAIAAgACAATQBfAHYAbwBsAF8AbQAxADQALAAgAEUARgBfAE4AMgBPACwAIABDAF8ATgAyAE8ALABcAG4AIAAgACAAIABNAF8AdgBvAGwAXwBtADEANAAgACoAIABFAEYAXwBOADIATwAgACoAIABDAF8ATgAyAE8AIAAqACAAMQAwACAAXgAgAC0AMwBcAG4AIAAgACkAOwBcAG4AXABuAFYARQBFAFIARwBfADQAXwAzAF8AMQBfADEAMABfAF8AMQBfAEEAdABtAG8AcwBwAGgAZQByAGkAYwBEAGUAcABvAHMAaQB0AGkAbwBuAEUAbQBpAHMAcwBpAG8AbgBzAEYAcgBvAG0AVQByAGkAbgBlAEEAbgBkAEQAdQBuAGcATwBuAFAAYQBzAHQAdQByAGUAXwBUAGkAdABsAGUAXABuACAAIAA9AEwAQQBNAEIARABBACgAXAAiAEEAdABtAG8AcwBwAGgAZQByAGkAYwAgAGQAZQBwAG8AcwBpAHQAaQBvAG4AIABlAG0AaQBzAHMAaQBvAG4AcwAgAGYAcgBvAG0AIAB1AHIAaQBuAGUAIABhAG4AZAAgAGQAdQBuAGcAIABkAGUAcABvAHMAaQB0AGUAZAAgAG8AbgAgAHAAYQBzAHQAdQByAGUAXAAiACkAOwBcAG4AXABuAFYARQBFAFIARwBfADQAXwAzAF8AMQBfADEAMABfAF8AMQBfAEEAdABtAG8AcwBwAGgAZQByAGkAYwBEAGUAcABvAHMAaQB0AGkAbwBuAEUAbQBpAHMAcwBpAG8AbgBzAEYAcgBvAG0AVQByAGkAbgBlAEEAbgBkAEQAdQBuAGcATwBuAFAAYQBzAHQAdQByAGUAXwBWAGEAcgBpAGEAYgBsAGUAXABuACAAIAA9AEwAQQBNAEIARABBACgAXAAiAEUAXwBOADIATwBhAGQAXAAiACkAOwBcAG4AXABuAFYARQBFAFIARwBfADQAXwAzAF8AMQBfADEAMABfAF8AMQBfAEEAdABtAG8AcwBwAGgAZQByAGkAYwBEAGUAcABvAHMAaQB0AGkAbwBuAEUAbQBpAHMAcwBpAG8AbgBzAEYAcgBvAG0AVQByAGkAbgBlAEEAbgBkAEQAdQBuAGcATwBuAFAAYQBzAHQAdQByAGUAXwBVAG4AaQB0AFwAbgAgACAAPQBMAEEATQBCAEQAQQAoAFwAIgB0ACAATgAyAE8AXAAiACkAOwBcAG4AXABuAFYARQBFAFIARwBfADQAXwAzAF8AMQBfADEAMABfAF8AMQBfAEEAdABtAG8AcwBwAGgAZQByAGkAYwBEAGUAcABvAHMAaQB0AGkAbwBuAEUAbQBpAHMAcwBpAG8AbgBzAEYAcgBvAG0AVQByAGkAbgBlAEEAbgBkAEQAdQBuAGcATwBuAFAAYQBzAHQAdQByAGUAXwBTAG8AdQByAGMAZQBcAG4AIAAgAD0ATABBAE0AQgBEAEEAKABcACIAVgBFAEUAUgBHACAAMgAwADIANgA6ACAANAAuADMALgAxAC4AMQAwACwAIABFAHEAdQBhAHQAaQBvAG4AIAAoADEAKQBcACIAKQA7AFwAbgBcAG4AVgBFAEUAUgBHAF8ANABfADMAXwAxAF8AMQAwAF8AXwAxAF8AQQB0AG0AbwBzAHAAaABlAHIAaQBjAEQAZQBwAG8AcwBpAHQAaQBvAG4ARQBtAGkAcwBzAGkAbwBuAHMARgByAG8AbQBVAHIAaQBuAGUAQQBuAGQARAB1AG4AZwBPAG4AUABhAHMAdAB1AHIAZQBfAE4ASQBSAFIAZQBmAGUAcgBlAG4AYwBlAFwAbgAgACAAPQBMAEEATQBCAEQAQQAoAFwAIgBcACIAKQA7AFwAbgBcAG4AVgBFAEUAUgBHAF8ANABfADMAXwAxAF8AMQAwAF8AXwAxAF8AQQB0AG0AbwBzAHAAaABlAHIAaQBjAEQAZQBwAG8AcwBpAHQAaQBvAG4ARQBtAGkAcwBzAGkAbwBuAHMARgByAG8AbQBVAHIAaQBuAGUAQQBuAGQARAB1AG4AZwBPAG4AUABhAHMAdAB1AHIAZQBfAEwAYQB0AGUAeABFAHEAdQBhAHQAaQBvAG4AXABuACAAIAA9AEwAQQBNAEIARABBACgAXAAiAEUAXwB7AE4AMgBPACwAYQBkAH0APQBNAF8AewB2AG8AbAAsAG0APQAxADQAfQBcAFwAdABpAG0AZQBzACAARQBGAF8AewBOADIATwB9AFwAXAB0AGkAbQBlAHMAIABDAF8AewBOADIATwB9AFwAXAB0AGkAbQBlAHMAIAAxADAAXgB7AC0AMwB9AFwAIgApADsAXABuAFwAbgBWAEUARQBSAEcAXwA0AF8AMwBfADEAXwAxADAAXwBfADEAXwBBAHQAbQBvAHMAcABoAGUAcgBpAGMARABlAHAAbwBzAGkAdABpAG8AbgBFAG0AaQBzAHMAaQBvAG4AcwBGAHIAbwBtAFUAcgBpAG4AZQBBAG4AZABEAHUAbgBnAE8AbgBQAGEAcwB0AHUAcgBlAF8AQQByAGcAdQBtAGUAbgB0AHMAXABuACAAIAA9AEwAQQBNAEIARABBACgAXABuACAAIAAgACAATQBBAEsARQBBAFIAUgBBAFkAKAA2ACwAIAA0ACwAXABuACAAIAAgACAAIAAgAEwAQQBNAEIARABBACgAcgAsAGMALABcAG4AIAAgACAAIAAgACAAIAAgAEkATgBEAEUAWAAoAHsAXABuACAAIAAgACAAIAAgACAAIAAgACAAXAAiAE0AXwB2AG8AbABfAG0AMQA0AFwAIgAsACAAXAAiAG0AYQBzAHMAIABvAGYAIABuAGkAdAByAG8AZwBlAG4AIAB2AG8AbABhAHQAaQBsAGkAcwBlAGQAIABmAHIAbwBtACAAdQByAGkAbgBlACAAYQBuAGQAIABmAGEAZQBjAGUAcwAgAGQAZQBwAG8AcwBpAHQAZQBkACAAbwBuACAAcABhAHMAdAB1AHIAZQBcACIALAAgAFwAIgBrAGcAIABOAFwAIgAsACAAXAAiAEMAYQBsAGMAdQBsAGEAdABlAGQAIABmAHIAbwBtACAANAAuADMALgAxAC4AMQAw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QAwAF8AXwAyAF8ATQBhAHMAcwBPAGYATgBpAHQAcgBvAGcAZQBuAFYAbwBsAGEAdABpAGwAaQBzAGUAZABPAG4AUABhAHMAdAB1AHIAZQBcAG4ATQBhAHMAcwAgAG8AZgAgAG4AaQB0AHIAbwBnAGUAbgAgAHYAbwBsAGEAdABpAGwAaQBzAGUAZAAgAGYAcgBvAG0AIAB1AHIAaQBuAGUAIABhAG4AZAAgAGYAYQBlAGMAZQBzACAAZABlAHAAbwBzAGkAdABlAGQAIABvAG4AIABwAGEAcwB0AHUAcgBlAFwAbgBNAF8AdgBvAGwAXwBtADEANABcAG4AawBnACAATgBcAG4ATQBfAHsAdgBvAGwALABtAD0AMQA0AH0APQBNAE4AXwB7AGoAbQA9ADEANAB9AFwAXAB0AGkAbQBlAHMAIABGAHIAYQBjAEcAQQBTAE0AcwBvAGkAbABcAG4ATQBOAF8AagBtADEANAAgAD0AIABtAGEAcwBzACAAbwBmACAAbgBpAHQAcgBvAGcAZQBuACAAZQB4AGMAcgBlAHQAZQBkACAAbwBuACAAcABhAHMAdAB1AHIAZQAsACAAcgBhAG4AZwBlACAAYQBuAGQAIABwAGEAZABkAG8AYwBrACAAZgBvAHIAIABlAGEAYwBoACAAZABhAGkAcgB5ACAAYwBsAGEAcwBzACAAKABrAGcAIABOACkAXABuAEYAcgBhAGMARwBBAFMATQBzAG8AaQBsACAAPQAgAGYAcgBhAGMAdABpAG8AbgAgAG8AZgAgAG4AaQB0AHIAbwBnAGUAbgAgAHYAbwBsAGEAdABpAGwAaQBzAGUAZAAgAGYAcgBvAG0AIAB1AHIAaQBuAGUAIABhAG4AZAAgAGYAYQBlAGMAZQBzACAAZABlAHAAbwBzAGkAdABlAGQAIABvAG4AIABwAGEAcwB0AHUAcgBlACAAKAAoAGsAZwAgAE4ASAAzAC0ATgAgACsAIABOAE8AeAAtAE4AKQAvAGsAZwAgAE4AKQBcAG4ALQAtAC0ALQAtAC0ALQAtAC0ALQAtAC0ALQAtAC0ALQAtAC0ALQAtAC0ALQAtAC0ALQAtAC0ALQAtAC0ALQAtAC0ALQAtAC0ALQAtAFwAbgAqAC8AXABuAFwAbgBWAEUARQBSAEcAXwA0AF8AMwBfADEAXwAxADAAXwBfADIAXwBNAGEAcwBzAE8AZgBOAGkAdAByAG8AZwBlAG4AVgBvAGwAYQB0AGkAbABpAHMAZQBkAE8AbgBQAGEAcwB0AHUAcgBlAFwAbgAgACAAPQBMAEEATQBCAEQAQQAoAFwAbgAgACAAIAAgAE0ATgBfAGoAbQAxADQALAAgAEYAcgBhAGMARwBBAFMATQBzAG8AaQBsACwAXABuACAAIAAgACAATQBOAF8AagBtADEANAAgACoAIABGAHIAYQBjAEcAQQBTAE0AcwBvAGkAbABcAG4AIAAgACkAOwBcAG4AXABuAFYARQBFAFIARwBfADQAXwAzAF8AMQBfADEAMABfAF8AMgBfAE0AYQBzAHMATwBmAE4AaQB0AHIAbwBnAGUAbgBWAG8AbABhAHQAaQBsAGkAcwBlAGQATwBuAFAAYQBzAHQAdQByAGUAXwBUAGkAdABsAGUAXABuACAAIAA9AEwAQQBNAEIARABBACgAXAAiAE0AYQBzAHMAIABvAGYAIABuAGkAdAByAG8AZwBlAG4AIAB2AG8AbABhAHQAaQBsAGkAcwBlAGQAIABmAHIAbwBtACAAdQByAGkAbgBlACAAYQBuAGQAIABmAGEAZQBjAGUAcwAgAGQAZQBwAG8AcwBpAHQAZQBkACAAbwBuACAAcABhAHMAdAB1AHIAZQBcACIAKQA7AFwAbgBcAG4AVgBFAEUAUgBHAF8ANABfADMAXwAxAF8AMQAwAF8AXwAyAF8ATQBhAHMAcwBPAGYATgBpAHQAcgBvAGcAZQBuAFYAbwBsAGEAdABpAGwAaQBzAGUAZABPAG4AUABhAHMAdAB1AHIAZQBfAFYAYQByAGkAYQBiAGwAZQBcAG4AIAAgAD0ATABBAE0AQgBEAEEAKABcACIATQBfAHYAbwBsAF8AbQAxADQAXAAiACkAOwBcAG4AXABuAFYARQBFAFIARwBfADQAXwAzAF8AMQBfADEAMABfAF8AMgBfAE0AYQBzAHMATwBmAE4AaQB0AHIAbwBnAGUAbgBWAG8AbABhAHQAaQBsAGkAcwBlAGQATwBuAFAAYQBzAHQAdQByAGUAXwBVAG4AaQB0AFwAbgAgACAAPQBMAEEATQBCAEQAQQAoAFwAIgBrAGcAIABOAFwAIgApADsAXABuAFwAbgBWAEUARQBSAEcAXwA0AF8AMwBfADEAXwAxADAAXwBfADIAXwBNAGEAcwBzAE8AZgBOAGkAdAByAG8AZwBlAG4AVgBvAGwAYQB0AGkAbABpAHMAZQBkAE8AbgBQAGEAcwB0AHUAcgBlAF8AUwBvAHUAcgBjAGUAXABuACAAIAA9AEwAQQBNAEIARABBACgAXAAiAFYARQBFAFIARwAgADIAMAAyADYAOgAgADQALgAzAC4AMQAuADEAMAAsACAARQBxAHUAYQB0AGkAbwBuACAAKAAyACkAXAAiACkAOwBcAG4AXABuAFYARQBFAFIARwBfADQAXwAzAF8AMQBfADEAMABfAF8AMgBfAE0AYQBzAHMATwBmAE4AaQB0AHIAbwBnAGUAbgBWAG8AbABhAHQAaQBsAGkAcwBlAGQATwBuAFAAYQBzAHQAdQByAGUAXwBOAEkAUgBSAGUAZgBlAHIAZQBuAGMAZQBcAG4AIAAgAD0ATABBAE0AQgBEAEEAKABcACIAXAAiACkAOwBcAG4AXABuAFYARQBFAFIARwBfADQAXwAzAF8AMQBfADEAMABfAF8AMgBfAE0AYQBzAHMATwBmAE4AaQB0AHIAbwBnAGUAbgBWAG8AbABhAHQAaQBsAGkAcwBlAGQATwBuAFAAYQBzAHQAdQByAGUAXwBMAGEAdABlAHgARQBxAHUAYQB0AGkAbwBuAFwAbgAgACAAPQBMAEEATQBCAEQAQQAoAFwAIgBNAF8AewB2AG8AbAAsAG0APQAxADQAfQA9AFwAXABzAHUAbQBcAFwAbgBvAGwAaQBtAGkAdABzAF8AewBqAH0AKABNAE4AXwB7AGoAbQA9ADEANAB9AFwAXAB0AGkAbQBlAHMAIABGAHIAYQBjAEcAQQBTAE0AcwBvAGkAbAApAFwAIgApADsAXABuAFwAbgBWAEUARQBSAEcAXwA0AF8AMwBfADEAXwAxADAAXwBfADIAXwBNAGEAcwBzAE8AZgBOAGkAdAByAG8AZwBlAG4AVgBvAGwAYQB0AGkAbABpAHMAZQBkAE8AbgBQAGEAcwB0AHUAcgBlAF8AQQByAGcAdQBtAGUAbgB0AHMAXABuACAAIAA9AEwAQQBNAEIARABBACgAXABuACAAIAAgACAATQBBAEsARQBBAFIAUgBBAFkAKAAyACwAIAA0ACwAXABuACAAIAAgACAAIAAgAEwAQQBNAEIARABBACgAcgAsAGMALABcAG4AIAAgACAAIAAgACAAIAAgAEkATgBEAEUAWAAoAHsAXABuACAAIAAgACAAIAAgACAAIAAgACAAXAAiAE0ATgBfAGoAbQAxADQAXAAiACwAIABcACIAbQBhAHMAcwAgAG8AZgAgAG4AaQB0AHIAbwBnAGUAbgAgAGUAeABjAHIAZQB0AGUAZAAgAG8AbgAgAHAAYQBzAHQAdQByAGUALAAgAHIAYQBuAGcAZQAgAGEAbgBkACAAcABhAGQAZABvAGMAawAgAGYAbwByACAAZQBhAGMAaAAgAGQAYQBpAHIAeQAgAGMAbABhAHMAcwBcACIALAAgAFwAIgBrAGcAIABOAFwAIgAsACAAXAAiAEMAYQBsAGMAdQBsAGEAdABlAGQAIABmAHIAbwBtACAANAAuADMALgAxAC4AMwAgACgAMgApAFwAIgA7AFwAbgAgACAAIAAgACAAIAAgACAAIAAgAFwAIgBGAHIAYQBjAEcAQQBTAE0AcwBvAGkAbABcACIALAAgAFwAIgBmAHIAYQBjAHQAaQBvAG4AIABvAGYAIABuAGkAdAByAG8AZwBlAG4AIAB2AG8AbABhAHQAaQBsAGkAcwBlAGQAIABmAHIAbwBtACAAdQByAGkAbgBlACAAYQBuAGQAIABmAGEAZQBjAGUAcwAgAGQAZQBwAG8AcwBpAHQAZQBkACAAbwBuACAAcABhAHMAdAB1AHIAZQBcACIALAAgAFwAIgAoAGsAZwAgAE4ASAAzAC0ATgAgACsAIABOAE8AeAAtAE4AKQAvAGsAZwAgAE4AKQBcACIALAAgAFwAIgBDAG8AbgBzAHQAYQBuAHQAXAAiAFwAbgAgACAAIAAgACAAIAAgACAAfQAsACAAcgAsACAAYwApAFwAbgAgACAAIAAgACAAIAApAFwAbgAgACAAIAAgACkAXABuACAAIAApADsAXABuACIAfQAsAHsAIgBwAGEAdABoACIAOgAiAC8AcAByAG8AagBlAGMAdABzAC8ATQBNAFMAXwBEAGEAaQByAHkAXwBTAG8AaQBsAF8ATABlAGEAYwBoAGkAbgBnAEEAbgBkAFIAdQBuAG8AZgBm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xADIAIABNAGUAdABoAG8AZAAgADEAIAAtACAAUwBvAGkAbAAgAEwAZQBhAGMAaABpAG4AZwAgAEEAbgBkACAAUgB1AG4AbwBmAGY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EAMgBfAF8AMQBfAEwAZQBhAGMAaABpAG4AZwBBAG4AZABSAHUAbgBvAGYAZgBFAG0AaQBzAHMAaQBvAG4AcwBGAHIAbwBtAFUAcgBpAG4AZQBBAG4AZABEAHUAbgBnAE8AbgBQAGEAcwB0AHUAcgBlAFwAbgBMAGUAYQBjAGgAaQBuAGcAIABhAG4AZAAgAHIAdQBuAG8AZgBmACAAZQBtAGkAcwBzAGkAbwBuAHMAIABmAHIAbwBtACAAdQByAGkAbgBlACAAYQBuAGQAIABkAHUAbgBnACAAZABlAHAAbwBzAGkAdABlAGQAIABvAG4AIABwAGEAcwB0AHUAcgBlAFwAbgBFAF8ATgAyAE8AbABlAGEAYwBoAFwAbgB0ACAATgAyAE8AXABuAEUAXwB7AE4AMgBPACwAbABlAGEAYwBoAH0APQBNAF8AewBsAGUAYQBjAGgALABtAD0AMQA0AH0AXABcAHQAaQBtAGUAcwAgAEUARgBfAHsAbABlAGEAYwBoAH0AXABcAHQAaQBtAGUAcwAgAEMAXwB7AE4AMgBPAH0AXABcAHQAaQBtAGUAcwAgADEAMABeAHsALQAzAH0AXABuAE0AXwBsAGUAYQBjAGgAXwBtADEANAAgAD0AIABtAGEAcwBzACAAbwBmACAAbgBpAHQAcgBvAGcAZQBuACAAbABvAHMAdAAgAHQAbwAgAGwAZQBhAGMAaABpAG4AZwAgAGEAbgBkACAAcgB1AG4AbwBmAGYAIABmAHIAbwBtACAAdQByAGkAbgBlACAAYQBuAGQAIABmAGEAZQBjAGUAcwAgAGQAZQBwAG8AcwBpAHQAZQBkACAAbwBuACAAcABhAHMAdAB1AHIAZQAgACgAawBnACAATgApAFwAbgBFAEYAXwBsAGUAYQBjAGgAIAA9ACAAbgBpAHQAcgBvAHUAcwAgAG8AeABpAGQAZ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xADIAXwBfADEAXwBMAGUAYQBjAGgAaQBuAGcAQQBuAGQAUgB1AG4AbwBmAGYARQBtAGkAcwBzAGkAbwBuAHMARgByAG8AbQBVAHIAaQBuAGUAQQBuAGQARAB1AG4AZwBPAG4AUABhAHMAdAB1AHIAZQBcAG4AIAAgAD0ATABBAE0AQgBEAEEAKABcAG4AIAAgACAAIABNAF8AbABlAGEAYwBoAF8AbQAxADQALAAgAEUARgBfAGwAZQBhAGMAaAAsACAAQwBfAE4AMgBPACwAXABuACAAIAAgACAATQBfAGwAZQBhAGMAaABfAG0AMQA0ACAAKgAgAEUARgBfAGwAZQBhAGMAaAAgACoAIABDAF8ATgAyAE8AIAAqACAAMQAwACAAXgAgAC0AMwBcAG4AIAAgACkAOwBcAG4AXABuAFYARQBFAFIARwBfADQAXwAzAF8AMQBfADEAMgBfAF8AMQBfAEwAZQBhAGMAaABpAG4AZwBBAG4AZABSAHUAbgBvAGYAZgBFAG0AaQBzAHMAaQBvAG4AcwBGAHIAbwBtAFUAcgBpAG4AZQBBAG4AZABEAHUAbgBnAE8AbgBQAGEAcwB0AHUAcgBlAF8AVABpAHQAbABlAFwAbgAgACAAPQBMAEEATQBCAEQAQQAoAFwAIgBMAGUAYQBjAGgAaQBuAGcAIABhAG4AZAAgAHIAdQBuAG8AZgBmACAAZQBtAGkAcwBzAGkAbwBuAHMAIABmAHIAbwBtACAAdQByAGkAbgBlACAAYQBuAGQAIABkAHUAbgBnACAAZABlAHAAbwBzAGkAdABlAGQAIABvAG4AIABwAGEAcwB0AHUAcgBlAFwAIgApADsAXABuAFwAbgBWAEUARQBSAEcAXwA0AF8AMwBfADEAXwAxADIAXwBfADEAXwBMAGUAYQBjAGgAaQBuAGcAQQBuAGQAUgB1AG4AbwBmAGYARQBtAGkAcwBzAGkAbwBuAHMARgByAG8AbQBVAHIAaQBuAGUAQQBuAGQARAB1AG4AZwBPAG4AUABhAHMAdAB1AHIAZQBfAFYAYQByAGkAYQBiAGwAZQBcAG4AIAAgAD0ATABBAE0AQgBEAEEAKABcACIARQBfAE4AMgBPAGwAZQBhAGMAaABcACIAKQA7AFwAbgBcAG4AVgBFAEUAUgBHAF8ANABfADMAXwAxAF8AMQAyAF8AXwAxAF8ATABlAGEAYwBoAGkAbgBnAEEAbgBkAFIAdQBuAG8AZgBmAEUAbQBpAHMAcwBpAG8AbgBzAEYAcgBvAG0AVQByAGkAbgBlAEEAbgBkAEQAdQBuAGcATwBuAFAAYQBzAHQAdQByAGUAXwBVAG4AaQB0AFwAbgAgACAAPQBMAEEATQBCAEQAQQAoAFwAIgB0ACAATgAyAE8AXAAiACkAOwBcAG4AXABuAFYARQBFAFIARwBfADQAXwAzAF8AMQBfADEAMgBfAF8AMQBfAEwAZQBhAGMAaABpAG4AZwBBAG4AZABSAHUAbgBvAGYAZgBFAG0AaQBzAHMAaQBvAG4AcwBGAHIAbwBtAFUAcgBpAG4AZQBBAG4AZABEAHUAbgBnAE8AbgBQAGEAcwB0AHUAcgBlAF8AUwBvAHUAcgBjAGUAXABuACAAIAA9AEwAQQBNAEIARABBACgAXAAiAFYARQBFAFIARwAgADIAMAAyADYAOgAgADQALgAzAC4AMQAuADEAMgAsACAARQBxAHUAYQB0AGkAbwBuACAAKAAxACkAXAAiACkAOwBcAG4AXABuAFYARQBFAFIARwBfADQAXwAzAF8AMQBfADEAMgBfAF8AMQBfAEwAZQBhAGMAaABpAG4AZwBBAG4AZABSAHUAbgBvAGYAZgBFAG0AaQBzAHMAaQBvAG4AcwBGAHIAbwBtAFUAcgBpAG4AZQBBAG4AZABEAHUAbgBnAE8AbgBQAGEAcwB0AHUAcgBlAF8ATgBJAFIAUgBlAGYAZQByAGUAbgBjAGUAXABuACAAIAA9AEwAQQBNAEIARABBACgAXAAiAFwAIgApADsAXABuAFwAbgBWAEUARQBSAEcAXwA0AF8AMwBfADEAXwAxADIAXwBfADEAXwBMAGUAYQBjAGgAaQBuAGcAQQBuAGQAUgB1AG4AbwBmAGYARQBtAGkAcwBzAGkAbwBuAHMARgByAG8AbQBVAHIAaQBuAGUAQQBuAGQARAB1AG4AZwBPAG4AUABhAHMAdAB1AHIAZQBfAEwAYQB0AGUAeABFAHEAdQBhAHQAaQBvAG4AXABuACAAIAA9AEwAQQBNAEIARABBACgAXAAiAEUAXwB7AE4AMgBPACwAbABlAGEAYwBoAH0APQBNAF8AewBsAGUAYQBjAGgALABtAD0AMQA0AH0AXABcAHQAaQBtAGUAcwAgAEUARgBfAHsAbABlAGEAYwBoAH0AXABcAHQAaQBtAGUAcwAgAEMAXwB7AE4AMgBPAH0AXABcAHQAaQBtAGUAcwAgADEAMABeAHsALQAzAH0AXAAiACkAOwBcAG4AXABuAFYARQBFAFIARwBfADQAXwAzAF8AMQBfADEAMgBfAF8AMQBfAEwAZQBhAGMAaABpAG4AZwBBAG4AZABSAHUAbgBvAGYAZgBFAG0AaQBzAHMAaQBvAG4AcwBGAHIAbwBtAFUAcgBpAG4AZQBBAG4AZABEAHUAbgBnAE8AbgBQAGEAcwB0AHUAcgBlAF8AQQByAGcAdQBtAGUAbgB0AHMAXABuACAAIAA9AEwAQQBNAEIARABBACgAXABuACAAIAAgACAATQBBAEsARQBBAFIAUgBBAFkAKAAzACwAIAA0ACwAXABuACAAIAAgACAAIAAgAEwAQQBNAEIARABBACgAcgAsAGMALABcAG4AIAAgACAAIAAgACAAIAAgAEkATgBEAEUAWAAoAHsAXABuACAAIAAgACAAIAAgACAAIAAgACAAXAAiAE0AXwBsAGUAYQBjAGgAXwBtADEANABcACIALAAgAFwAIgBtAGEAcwBzACAAbwBmACAAbgBpAHQAcgBvAGcAZQBuACAAbABvAHMAdAAgAHQAbwAgAGwAZQBhAGMAaABpAG4AZwAgAGEAbgBkACAAcgB1AG4AbwBmAGYAIABmAHIAbwBtACAAdQByAGkAbgBlACAAYQBuAGQAIABmAGEAZQBjAGUAcwAgAGQAZQBwAG8AcwBpAHQAZQBkACAAbwBuACAAcABhAHMAdAB1AHIAZQBcACIALAAgAFwAIgBrAGcAIABOAFwAIgAsACAAXAAiAEMAYQBsAGMAdQBsAGEAdABlAGQAIABmAHIAbwBtACAANAAuADMALgAxAC4AMQAyACAAKAAyACkAXAAiADsAXABuACAAIAAgACAAIAAgACAAIAAgACAAXAAiAEUARgBfAGwAZQBhAGMAaABcACIALAAgAFwAIgBuAGkAdAByAG8AdQBzACAAbwB4AGkAZABlACAAZQBtAGkAcwBzAGkAbwBuACAAZgBhAGMAdABvAHIAIABmAG8AcgAgAGwAZQBhAGMAaABpAG4AZwAgAGEAbgBkACAAcgB1AG4AbwBmAGY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MAXwAxAF8AMQAyAF8AXwAyAF8ATQBhAHMAcwBPAGYATgBpAHQAcgBvAGcAZQBuAEwAbwBzAHQAVABvAEwAZQBhAGMAaABpAG4AZwBBAG4AZABSAHUAbgBvAGYAZgBPAG4AUABhAHMAdAB1AHIAZQBcAG4ATQBhAHMAcwAgAG8AZgAgAG4AaQB0AHIAbwBnAGUAbgAgAGwAbwBzAHQAIAB0AG8AIABsAGUAYQBjAGgAaQBuAGcAIABhAG4AZAAgAHIAdQBuAG8AZgBmACAAZgByAG8AbQAgAHUAcgBpAG4AZQAgAGEAbgBkACAAZgBhAGUAYwBlAHMAIABvAG4AIABwAGEAcwB0AHUAcgBlAFwAbgBNAF8AbABlAGEAYwBoAF8AbQAxADQAXABuAGsAZwAgAE4AXABuAE0AXwB7AGwAZQBhAGMAaAAsAG0APQAxADQAfQA9AE0ATgBfAHsAagBtAD0AMQA0AH0AXABcAHQAaQBtAGUAcwAgAEYAcgBhAGMAVwBlAHQAXABcAHQAaQBtAGUAcwAgAEYAcgBhAGMATABFAEEAQwBIAFwAbgBNAE4AXwBqAG0AMQA0ACAAPQAgAG0AYQBzAHMAIABvAGYAIABuAGkAdAByAG8AZwBlAG4AIABlAHgAYwByAGUAdABlAGQAIABvAG4AIABwAGEAcwB0AHUAcgBlACwAIAByAGEAbgBnAGUAIABhAG4AZAAgAHAAYQBkAGQAbwBjAGsAIABmAG8AcgAgAGUAYQBjAGgAIABkAGEAaQByAHkAIABjAGwAYQBzAHMAIAAoAGsAZwAgAE4AKQBcAG4ARgByAGEAYwBXAGUAdAAgAD0AIABmAHIAYQBjAHQAaQBvAG4AIABvAGYAIABOACAAYQB2AGEAaQBsAGEAYgBsAGUAIABmAG8AcgAgAGwAZQBhAGMAaABpAG4AZwAgAGEAbgBkACAAcgB1AG4AbwBmAGYAXABuAEYAcgBhAGMATABFAEEAQwBIACAAPQAgAGYAcgBhAGMAdABpAG8AbgAgAG8AZgAgAE4AIABsAG8AcwB0ACAAdABoAHIAbwB1AGcAaAAgAGwAZQBhAGMAaABpAG4AZwAgAGEAbgBkACAAcgB1AG4AbwBmAGYAXABuAC0ALQAtAC0ALQAtAC0ALQAtAC0ALQAtAC0ALQAtAC0ALQAtAC0ALQAtAC0ALQAtAC0ALQAtAC0ALQAtAC0ALQAtAC0ALQAtAC0ALQBcAG4AKgAvAFwAbgBcAG4AVgBFAEUAUgBHAF8ANABfADMAXwAxAF8AMQAyAF8AXwAyAF8ATQBhAHMAcwBPAGYATgBpAHQAcgBvAGcAZQBuAEwAbwBzAHQAVABvAEwAZQBhAGMAaABpAG4AZwBBAG4AZABSAHUAbgBvAGYAZgBPAG4AUABhAHMAdAB1AHIAZQBcAG4AIAAgAD0ATABBAE0AQgBEAEEAKABcAG4AIAAgACAAIABNAE4AXwBqAG0AMQA0ACwAIABGAHIAYQBjAFcAZQB0ACwAIABGAHIAYQBjAEwARQBBAEMASAAsAFwAbgAgACAAIAAgAE0ATgBfAGoAbQAxADQAIAAqACAARgByAGEAYwBXAGUAdAAgACoAIABGAHIAYQBjAEwARQBBAEMASABcAG4AIAAgACkAOwBcAG4AXABuAFYARQBFAFIARwBfADQAXwAzAF8AMQBfADEAMgBfAF8AMgBfAE0AYQBzAHMATwBmAE4AaQB0AHIAbwBnAGUAbgBMAG8AcwB0AFQAbwBMAGUAYQBjAGgAaQBuAGcAQQBuAGQAUgB1AG4AbwBmAGYATwBuAFAAYQBzAHQAdQByAGUAXwBUAGkAdABsAGUAXABuACAAIAA9AEwAQQBNAEIARABBACgAXAAiAE0AYQBzAHMAIABvAGYAIABuAGkAdAByAG8AZwBlAG4AIABsAG8AcwB0ACAAdABvACAAbABlAGEAYwBoAGkAbgBnACAAYQBuAGQAIAByAHUAbgBvAGYAZgAgAGYAcgBvAG0AIAB1AHIAaQBuAGUAIABhAG4AZAAgAGYAYQBlAGMAZQBzACAAbwBuACAAcABhAHMAdAB1AHIAZQBcACIAKQA7AFwAbgBcAG4AVgBFAEUAUgBHAF8ANABfADMAXwAxAF8AMQAyAF8AXwAyAF8ATQBhAHMAcwBPAGYATgBpAHQAcgBvAGcAZQBuAEwAbwBzAHQAVABvAEwAZQBhAGMAaABpAG4AZwBBAG4AZABSAHUAbgBvAGYAZgBPAG4AUABhAHMAdAB1AHIAZQBfAFYAYQByAGkAYQBiAGwAZQBcAG4AIAAgAD0ATABBAE0AQgBEAEEAKABcACIATQBfAGwAZQBhAGMAaABfAG0AMQA0AFwAIgApADsAXABuAFwAbgBWAEUARQBSAEcAXwA0AF8AMwBfADEAXwAxADIAXwBfADIAXwBNAGEAcwBzAE8AZgBOAGkAdAByAG8AZwBlAG4ATABvAHMAdABUAG8ATABlAGEAYwBoAGkAbgBnAEEAbgBkAFIAdQBuAG8AZgBmAE8AbgBQAGEAcwB0AHUAcgBlAF8AVQBuAGkAdABcAG4AIAAgAD0ATABBAE0AQgBEAEEAKABcACIAawBnACAATgBcACIAKQA7AFwAbgBcAG4AVgBFAEUAUgBHAF8ANABfADMAXwAxAF8AMQAyAF8AXwAyAF8ATQBhAHMAcwBPAGYATgBpAHQAcgBvAGcAZQBuAEwAbwBzAHQAVABvAEwAZQBhAGMAaABpAG4AZwBBAG4AZABSAHUAbgBvAGYAZgBPAG4AUABhAHMAdAB1AHIAZQBfAFMAbwB1AHIAYwBlAFwAbgAgACAAPQBMAEEATQBCAEQAQQAoAFwAIgBWAEUARQBSAEcAIAAyADAAMgA2ADoAIAA0AC4AMwAuADEALgAxADIALAAgAEUAcQB1AGEAdABpAG8AbgAgACgAMgApAFwAIgApADsAXABuAFwAbgBWAEUARQBSAEcAXwA0AF8AMwBfADEAXwAxADIAXwBfADIAXwBNAGEAcwBzAE8AZgBOAGkAdAByAG8AZwBlAG4ATABvAHMAdABUAG8ATABlAGEAYwBoAGkAbgBnAEEAbgBkAFIAdQBuAG8AZgBmAE8AbgBQAGEAcwB0AHUAcgBlAF8ATgBJAFIAUgBlAGYAZQByAGUAbgBjAGUAXABuACAAIAA9AEwAQQBNAEIARABBACgAXAAiAFwAIgApADsAXABuAFwAbgBWAEUARQBSAEcAXwA0AF8AMwBfADEAXwAxADIAXwBfADIAXwBNAGEAcwBzAE8AZgBOAGkAdAByAG8AZwBlAG4ATABvAHMAdABUAG8ATABlAGEAYwBoAGkAbgBnAEEAbgBkAFIAdQBuAG8AZgBmAE8AbgBQAGEAcwB0AHUAcgBlAF8ATABhAHQAZQB4AEUAcQB1AGEAdABpAG8AbgBcAG4AIAAgAD0ATABBAE0AQgBEAEEAKABcACIATQBfAHsAbABlAGEAYwBoACwAbQA9ADEANAB9AD0AXABcAHMAdQBtAFwAXABuAG8AbABpAG0AaQB0AHMAXwB7AGoAfQAoAE0ATgBfAHsAagBtAD0AMQA0AH0AXABcAHQAaQBtAGUAcwAgAEYAcgBhAGMAVwBlAHQAXABcAHQAaQBtAGUAcwAgAEYAcgBhAGMATABFAEEAQwBIACkAXAAiACkAOwBcAG4AXABuAFYARQBFAFIARwBfADQAXwAzAF8AMQBfADEAMgBfAF8AMgBfAE0AYQBzAHMATwBmAE4AaQB0AHIAbwBnAGUAbgBMAG8AcwB0AFQAbwBMAGUAYQBjAGgAaQBuAGcAQQBuAGQAUgB1AG4AbwBmAGYATwBuAFAAYQBzAHQAdQByAGUAXwBBAHIAZwB1AG0AZQBuAHQAcwBcAG4AIAAgAD0ATABBAE0AQgBEAEEAKABcAG4AIAAgACAAIABNAEEASwBFAEEAUgBSAEEAWQAoADYALAAgADQALABcAG4AIAAgACAAIAAgACAATABBAE0AQgBEAEEAKAByACwAYwAsAFwAbgAgACAAIAAgACAAIAAgACAASQBOAEQARQBYACgAewBcAG4AIAAgACAAIAAgACAAIAAgACAAIABcACIATQBOAF8AagBtADEANABcACIALAAgAFwAIgBtAGEAcwBzACAAbwBmACAAbgBpAHQAcgBvAGcAZQBuACAAZQB4AGMAcgBlAHQAZQBkACAAbwBuACAAcABhAHMAdAB1AHIAZQAsACAAcgBhAG4AZwBlACAAYQBuAGQAIABwAGEAZABkAG8AYwBrACAAZgBvAHIAIABlAGEAYwBoACAAZABhAGkAcgB5ACAAYwBsAGEAcwBzAFwAIgAsACAAXAAiAGsAZwAgAE4AXAAiACwAIABcACIAQwBhAGwAYwB1AGwAYQB0AGUAZAAgAGYAcgBvAG0AIAA0AC4AMwAuADEALgAzACAAKAAyACkAXAAiADsAXABuACAAIAAgACAAIAAgACAAIAAgACAAXAAiAEYAcgBhAGMAVwBlAHQAXAAiACwAIABcACIAZgByAGEAYwB0AGkAbwBuACAAbwBmACAATgAgAGEAdgBhAGkAbABhAGIAbABlACAAZgBvAHIAIABsAGUAYQBjAGgAaQBuAGcAIABhAG4AZAAgAHIAdQBuAG8AZgBmAFwAIgAsACAAXAAiAFwAIgAsACAAXAAiAEMAbwBuAHMAdABhAG4AdABcACIAOwBcAG4AIAAgACAAIAAgACAAIAAgACAAIABcACIARgByAGEAYwBMAEUAQQBDAEgAXAAiACwAIABcACIAZgByAGEAYwB0AGkAbwBuACAAbwBmACAATgAgAGwAbwBzAHQAIAB0AGgAcgBvAHUAZwBoACAAbABlAGEAYwBoAGkAbgBnACAAYQBuAGQAIAByAHUAbgBvAGYAZgBcACIALAAgAFwAI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EwAaQB2AGUAcwB0AG8AYwBrAF8AUwBvAHUAcgBjAGUARABhAHQAYQAuAFMAbwB1AHIAYwBlAEQAYQB0AGEAXwBMAGkAdgBlAHMAdABvAGMAawBfAFAAcgBvAGQAdQBjAHQAXwBCAGUAZQBmAEMAYQB0AHQAbABlAF8AVABpAHQAbABlACIALAAiAEMAbwBtAG0AbwBuAEwAaQB2AGUAcwB0AG8AYwBrAF8AUwBvAHUAcgBjAGUARABhAHQAYQAuAFMAbwB1AHIAYwBlAEQAYQB0AGEAXwBMAGkAdgBlAHMAdABvAGMAawBfAFAAcgBvAGQAdQBjAHQAXwBCAGUAZQBmAEMAYQB0AHQAbABlAF8AVgBhAGkAcgBhAGIAbABlACIALAAiAEMAbwBtAG0AbwBuAEwAaQB2AGUAcwB0AG8AYwBrAF8AUwBvAHUAcgBjAGUARABhAHQAYQAuAFMAbwB1AHIAYwBlAEQAYQB0AGEAXwBMAGkAdgBlAHMAdABvAGMAawBfAFAAcgBvAGQAdQBjAHQAXwBCAGUAZQBmAEMAYQB0AHQAbABlAF8AVQBuAGkAdAAiACwAIgBDAG8AbQBtAG8AbgBMAGkAdgBlAHMAdABvAGMAawBfAFMAbwB1AHIAYwBlAEQAYQB0AGEALgBTAG8AdQByAGMAZQBEAGEAdABhAF8ATABpAHYAZQBzAHQAbwBjAGsAXwBQAHIAbwBkAHUAYwB0AF8AQgBlAGUAZgBDAGEAdAB0AGwAZQBfAFMAbwB1AHIAYwBlACIALAAiAEMAbwBtAG0AbwBuAEwAaQB2AGUAcwB0AG8AYwBrAF8AUwBvAHUAcgBjAGUARABhAHQAYQAuAFMAbwB1AHIAYwBlAEQAYQB0AGEAXwBMAGkAdgBlAHMAdABvAGMAawBfAFAAcgBvAGQAdQBjAHQAXwBCAGUAZQBmAEMAYQB0AHQAbABlAF8ARABhAHQAYQAiACwAIgBDAG8AbQBtAG8AbgBMAGkAdgBlAHMAdABvAGMAawBfAFMAbwB1AHIAYwBlAEQAYQB0AGEALgBTAG8AdQByAGMAZQBEAGEAdABhAF8ATABpAHYAZQBzAHQAbwBjAGsAXwBQAHIAbwBkAHUAYwB0AF8AQwBoAGkAYwBrAGUAbgBzAF8AVABpAHQAbABlACIALAAiAEMAbwBtAG0AbwBuAEwAaQB2AGUAcwB0AG8AYwBrAF8AUwBvAHUAcgBjAGUARABhAHQAYQAuAFMAbwB1AHIAYwBlAEQAYQB0AGEAXwBMAGkAdgBlAHMAdABvAGMAawBfAFAAcgBvAGQAdQBjAHQAXwBDAGgAaQBjAGsAZQBuAHMAXwBWAGEAaQByAGEAYgBsAGUAIgAsACIAQwBvAG0AbQBvAG4ATABpAHYAZQBzAHQAbwBjAGsAXwBTAG8AdQByAGMAZQBEAGEAdABhAC4AUwBvAHUAcgBjAGUARABhAHQAYQBfAEwAaQB2AGUAcwB0AG8AYwBrAF8AUAByAG8AZAB1AGMAdABfAEMAaABpAGMAawBlAG4AcwBfAFUAbgBpAHQAIgAsACIAQwBvAG0AbQBvAG4ATABpAHYAZQBzAHQAbwBjAGsAXwBTAG8AdQByAGMAZQBEAGEAdABhAC4AUwBvAHUAcgBjAGUARABhAHQAYQBfAEwAaQB2AGUAcwB0AG8AYwBrAF8AUAByAG8AZAB1AGMAdABfAEMAaABpAGMAawBlAG4AcwBfAFMAbwB1AHIAYwBlACIALAAiAEMAbwBtAG0AbwBuAEwAaQB2AGUAcwB0AG8AYwBrAF8AUwBvAHUAcgBjAGUARABhAHQAYQAuAFMAbwB1AHIAYwBlAEQAYQB0AGEAXwBMAGkAdgBlAHMAdABvAGMAawBfAFAAcgBvAGQAdQBjAHQAXwBDAGgAaQBjAGsAZQBuAHMAXwBEAGEAdABhACIALAAiAEMAbwBtAG0AbwBuAEwAaQB2AGUAcwB0AG8AYwBrAF8AUwBvAHUAcgBjAGUARABhAHQAYQAuAFMAbwB1AHIAYwBlAEQAYQB0AGEAXwBMAGkAdgBlAHMAdABvAGMAawBfAFAAcgBvAGQAdQBjAHQAXwBEAGEAaQByAHkAYwBhAHQAdABsAGUAXwBUAGkAdABsAGUAIgAsACIAQwBvAG0AbQBvAG4ATABpAHYAZQBzAHQAbwBjAGsAXwBTAG8AdQByAGMAZQBEAGEAdABhAC4AUwBvAHUAcgBjAGUARABhAHQAYQBfAEwAaQB2AGUAcwB0AG8AYwBrAF8AUAByAG8AZAB1AGMAdABfAEQAYQBpAHIAeQBjAGEAdAB0AGwAZQBfAFYAYQBpAHIAYQBiAGwAZQAiACwAIgBDAG8AbQBtAG8AbgBMAGkAdgBlAHMAdABvAGMAawBfAFMAbwB1AHIAYwBlAEQAYQB0AGEALgBTAG8AdQByAGMAZQBEAGEAdABhAF8ATABpAHYAZQBzAHQAbwBjAGsAXwBQAHIAbwBkAHUAYwB0AF8ARABhAGkAcgB5AGMAYQB0AHQAbABlAF8AVQBuAGkAdAAiACwAIgBDAG8AbQBtAG8AbgBMAGkAdgBlAHMAdABvAGMAawBfAFMAbwB1AHIAYwBlAEQAYQB0AGEALgBTAG8AdQByAGMAZQBEAGEAdABhAF8ATABpAHYAZQBzAHQAbwBjAGsAXwBQAHIAbwBkAHUAYwB0AF8ARABhAGkAcgB5AGMAYQB0AHQAbABlAF8AUwBvAHUAcgBjAGUAIgAsACIAQwBvAG0AbQBvAG4ATABpAHYAZQBzAHQAbwBjAGsAXwBTAG8AdQByAGMAZQBEAGEAdABhAC4AUwBvAHUAcgBjAGUARABhAHQAYQBfAEwAaQB2AGUAcwB0AG8AYwBrAF8AUAByAG8AZAB1AGMAdABfAEQAYQBpAHIAeQBjAGEAdAB0AGwAZQBfAEQAYQB0AGEAIgAsACIAQwBvAG0AbQBvAG4ATABpAHYAZQBzAHQAbwBjAGsAXwBTAG8AdQByAGMAZQBEAGEAdABhAC4AUwBvAHUAcgBjAGUARABhAHQAYQBfAEwAaQB2AGUAcwB0AG8AYwBrAF8AUAByAG8AZAB1AGMAdABfAFAAaQBnAHMAXwBUAGkAdABsAGUAIgAsACIAQwBvAG0AbQBvAG4ATABpAHYAZQBzAHQAbwBjAGsAXwBTAG8AdQByAGMAZQBEAGEAdABhAC4AUwBvAHUAcgBjAGUARABhAHQAYQBfAEwAaQB2AGUAcwB0AG8AYwBrAF8AUAByAG8AZAB1AGMAdABfAFAAaQBnAHMAXwBWAGEAaQByAGEAYgBsAGUAIgAsACIAQwBvAG0AbQBvAG4ATABpAHYAZQBzAHQAbwBjAGsAXwBTAG8AdQByAGMAZQBEAGEAdABhAC4AUwBvAHUAcgBjAGUARABhAHQAYQBfAEwAaQB2AGUAcwB0AG8AYwBrAF8AUAByAG8AZAB1AGMAdABfAFAAaQBnAHMAXwBVAG4AaQB0ACIALAAiAEMAbwBtAG0AbwBuAEwAaQB2AGUAcwB0AG8AYwBrAF8AUwBvAHUAcgBjAGUARABhAHQAYQAuAFMAbwB1AHIAYwBlAEQAYQB0AGEAXwBMAGkAdgBlAHMAdABvAGMAawBfAFAAcgBvAGQAdQBjAHQAXwBQAGkAZwBzAF8AUwBvAHUAcgBjAGUAIgAsACIAQwBvAG0AbQBvAG4ATABpAHYAZQBzAHQAbwBjAGsAXwBTAG8AdQByAGMAZQBEAGEAdABhAC4AUwBvAHUAcgBjAGUARABhAHQAYQBfAEwAaQB2AGUAcwB0AG8AYwBrAF8AUAByAG8AZAB1AGMAdABfAFAAaQBnAHMAXwBEAGEAdABhACIALAAiAEMAbwBtAG0AbwBuAEwAaQB2AGUAcwB0AG8AYwBrAF8AUwBvAHUAcgBjAGUARABhAHQAYQAuAFMAbwB1AHIAYwBlAEQAYQB0AGEAXwBMAGkAdgBlAHMAdABvAGMAawBfAFAAcgBvAGQAdQBjAHQAXwBTAGgAZQBlAHAAXwBUAGkAdABsAGUAIgAsACIAQwBvAG0AbQBvAG4ATABpAHYAZQBzAHQAbwBjAGsAXwBTAG8AdQByAGMAZQBEAGEAdABhAC4AUwBvAHUAcgBjAGUARABhAHQAYQBfAEwAaQB2AGUAcwB0AG8AYwBrAF8AUAByAG8AZAB1AGMAdABfAFMAaABlAGUAcABfAFYAYQBpAHIAYQBiAGwAZQAiACwAIgBDAG8AbQBtAG8AbgBMAGkAdgBlAHMAdABvAGMAawBfAFMAbwB1AHIAYwBlAEQAYQB0AGEALgBTAG8AdQByAGMAZQBEAGEAdABhAF8ATABpAHYAZQBzAHQAbwBjAGsAXwBQAHIAbwBkAHUAYwB0AF8AUwBoAGUAZQBwAF8AVQBuAGkAdAAiACwAIgBDAG8AbQBtAG8AbgBMAGkAdgBlAHMAdABvAGMAawBfAFMAbwB1AHIAYwBlAEQAYQB0AGEALgBTAG8AdQByAGMAZQBEAGEAdABhAF8ATABpAHYAZQBzAHQAbwBjAGsAXwBQAHIAbwBkAHUAYwB0AF8AUwBoAGUAZQBwAF8AUwBvAHUAcgBjAGUAIgAsACIAQwBvAG0AbQBvAG4ATABpAHYAZQBzAHQAbwBjAGsAXwBTAG8AdQByAGMAZQBEAGEAdABhAC4AUwBvAHUAcgBjAGUARABhAHQAYQBfAEwAaQB2AGUAcwB0AG8AYwBrAF8AUAByAG8AZAB1AGMAdABfAFMAaABlAGUAcA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FMAbwB1AHIAYwBlAEQAYQB0AGEAXwBEAGEAaQByAHkALgBTAG8AdQByAGMAZQBEAGEAdABhAF8ARABhAGkAcgB5AF8ATABpAHYAZQB3AGUAaQBnAGgAdABDAG8AdwBzAEEAbgBkAEgAZQBpAGYAZQByAHMAXwBUAGkAdABsAGUAIgAsACIAUwBvAHUAcgBjAGUARABhAHQAYQBfAEQAYQBpAHIAeQAuAFMAbwB1AHIAYwBlAEQAYQB0AGEAXwBEAGEAaQByAHkAXwBMAGkAdgBlAHcAZQBpAGcAaAB0AEMAbwB3AHMAQQBuAGQASABlAGkAZgBlAHIAcwBfAFYAYQByAGkAYQBiAGwAZQAiACwAIgBTAG8AdQByAGMAZQBEAGEAdABhAF8ARABhAGkAcgB5AC4AUwBvAHUAcgBjAGUARABhAHQAYQBfAEQAYQBpAHIAeQBfAEwAaQB2AGUAdwBlAGkAZwBoAHQAQwBvAHcAcwBBAG4AZABIAGUAaQBmAGUAcgBzAF8AVQBuAGkAdAAiACwAIgBTAG8AdQByAGMAZQBEAGEAdABhAF8ARABhAGkAcgB5AC4AUwBvAHUAcgBjAGUARABhAHQAYQBfAEQAYQBpAHIAeQBfAEwAaQB2AGUAdwBlAGkAZwBoAHQAQwBvAHcAcwBBAG4AZABIAGUAaQBmAGUAcgBzAF8AUwBvAHUAcgBjAGUAIgAsACIAUwBvAHUAcgBjAGUARABhAHQAYQBfAEQAYQBpAHIAeQAuAFMAbwB1AHIAYwBlAEQAYQB0AGEAXwBEAGEAaQByAHkAXwBMAGkAdgBlAHcAZQBpAGcAaAB0AEMAbwB3AHMAQQBuAGQASABlAGkAZgBlAHIAcwBfAFYAYQByAGkAYQB0AGkAbwBuACIALAAiAFMAbwB1AHIAYwBlAEQAYQB0AGEAXwBEAGEAaQByAHkALgBTAG8AdQByAGMAZQBEAGEAdABhAF8ARABhAGkAcgB5AF8ATABpAHYAZQB3AGUAaQBnAGgAdABDAG8AdwBzAEEAbgBkAEgAZQBpAGYAZQByAHMAXwBEAGEAdABhACIALAAiAFMAbwB1AHIAYwBlAEQAYQB0AGEAXwBEAGEAaQByAHkALgBTAG8AdQByAGMAZQBEAGEAdABhAF8ARABhAGkAcgB5AF8ATABpAHYAZQB3AGUAaQBnAGgAdABCAHUAbABsAHMAXwBUAGkAdABsAGUAIgAsACIAUwBvAHUAcgBjAGUARABhAHQAYQBfAEQAYQBpAHIAeQAuAFMAbwB1AHIAYwBlAEQAYQB0AGEAXwBEAGEAaQByAHkAXwBMAGkAdgBlAHcAZQBpAGcAaAB0AEIAdQBsAGwAcwBfAFYAYQByAGkAYQBiAGwAZQAiACwAIgBTAG8AdQByAGMAZQBEAGEAdABhAF8ARABhAGkAcgB5AC4AUwBvAHUAcgBjAGUARABhAHQAYQBfAEQAYQBpAHIAeQBfAEwAaQB2AGUAdwBlAGkAZwBoAHQAQgB1AGwAbABzAF8AVQBuAGkAdAAiACwAIgBTAG8AdQByAGMAZQBEAGEAdABhAF8ARABhAGkAcgB5AC4AUwBvAHUAcgBjAGUARABhAHQAYQBfAEQAYQBpAHIAeQBfAEwAaQB2AGUAdwBlAGkAZwBoAHQAQgB1AGwAbABzAF8AUwBvAHUAcgBjAGUAIgAsACIAUwBvAHUAcgBjAGUARABhAHQAYQBfAEQAYQBpAHIAeQAuAFMAbwB1AHIAYwBlAEQAYQB0AGEAXwBEAGEAaQByAHkAXwBMAGkAdgBlAHcAZQBpAGcAaAB0AEIAdQBsAGwAcwBfAFYAYQByAGkAYQB0AGkAbwBuACIALAAiAFMAbwB1AHIAYwBlAEQAYQB0AGEAXwBEAGEAaQByAHkALgBTAG8AdQByAGMAZQBEAGEAdABhAF8ARABhAGkAcgB5AF8ATABpAHYAZQB3AGUAaQBnAGgAdABCAHUAbABsAHMAXwBEAGEAdABhACIALAAiAFMAbwB1AHIAYwBlAEQAYQB0AGEAXwBEAGEAaQByAHkALgBTAG8AdQByAGMAZQBEAGEAdABhAF8ARABhAGkAcgB5AF8ATABpAHYAZQB3AGUAaQBnAGgAdABHAGEAaQBuAF8AVABpAHQAbABlACIALAAiAFMAbwB1AHIAYwBlAEQAYQB0AGEAXwBEAGEAaQByAHkALgBTAG8AdQByAGMAZQBEAGEAdABhAF8ARABhAGkAcgB5AF8ATABpAHYAZQB3AGUAaQBnAGgAdABHAGEAaQBuAF8AVgBhAHIAaQBhAGIAbABlACIALAAiAFMAbwB1AHIAYwBlAEQAYQB0AGEAXwBEAGEAaQByAHkALgBTAG8AdQByAGMAZQBEAGEAdABhAF8ARABhAGkAcgB5AF8ATABpAHYAZQB3AGUAaQBnAGgAdABHAGEAaQBuAF8AVQBuAGkAdAAiACwAIgBTAG8AdQByAGMAZQBEAGEAdABhAF8ARABhAGkAcgB5AC4AUwBvAHUAcgBjAGUARABhAHQAYQBfAEQAYQBpAHIAeQBfAEwAaQB2AGUAdwBlAGkAZwBoAHQARwBhAGkAbgBfAFMAbwB1AHIAYwBlACIALAAiAFMAbwB1AHIAYwBlAEQAYQB0AGEAXwBEAGEAaQByAHkALgBTAG8AdQByAGMAZQBEAGEAdABhAF8ARABhAGkAcgB5AF8ATABpAHYAZQB3AGUAaQBnAGgAdABHAGEAaQBuAF8AVgBhAHIAaQBhAHQAaQBvAG4AIgAsACIAUwBvAHUAcgBjAGUARABhAHQAYQBfAEQAYQBpAHIAeQAuAFMAbwB1AHIAYwBlAEQAYQB0AGEAXwBEAGEAaQByAHkAXwBMAGkAdgBlAHcAZQBpAGcAaAB0AEcAYQBpAG4AXwBEAGEAdABhACIALAAiAFMAbwB1AHIAYwBlAEQAYQB0AGEAXwBEAGEAaQByAHkALgBTAG8AdQByAGMAZQBEAGEAdABhAF8ARABhAGkAcgB5AF8AUgBlAGYAZQByAGUAbgBjAGUAVwBlAGkAZwBoAHQAcwBfAFQAaQB0AGwAZQAiACwAIgBTAG8AdQByAGMAZQBEAGEAdABhAF8ARABhAGkAcgB5AC4AUwBvAHUAcgBjAGUARABhAHQAYQBfAEQAYQBpAHIAeQBfAFIAZQBmAGUAcgBlAG4AYwBlAFcAZQBpAGcAaAB0AHMAXwBWAGEAcgBpAGEAYgBsAGUAIgAsACIAUwBvAHUAcgBjAGUARABhAHQAYQBfAEQAYQBpAHIAeQAuAFMAbwB1AHIAYwBlAEQAYQB0AGEAXwBEAGEAaQByAHkAXwBSAGUAZgBlAHIAZQBuAGMAZQBXAGUAaQBnAGgAdABzAF8AVQBuAGkAdAAiACwAIgBTAG8AdQByAGMAZQBEAGEAdABhAF8ARABhAGkAcgB5AC4AUwBvAHUAcgBjAGUARABhAHQAYQBfAEQAYQBpAHIAeQBfAFIAZQBmAGUAcgBlAG4AYwBlAFcAZQBpAGcAaAB0AHMAXwBTAG8AdQByAGMAZQAiACwAIgBTAG8AdQByAGMAZQBEAGEAdABhAF8ARABhAGkAcgB5AC4AUwBvAHUAcgBjAGUARABhAHQAYQBfAEQAYQBpAHIAeQBfAFIAZQBmAGUAcgBlAG4AYwBlAFcAZQBpAGcAaAB0AHMAXwBWAGEAcgBpAGEAdABpAG8AbgAiACwAIgBTAG8AdQByAGMAZQBEAGEAdABhAF8ARABhAGkAcgB5AC4AUwBvAHUAcgBjAGUARABhAHQAYQBfAEQAYQBpAHIAeQBfAFIAZQBmAGUAcgBlAG4AYwBlAFcAZQBpAGcAaAB0AHMAXwBEAGEAdABhACIALAAiAFMAbwB1AHIAYwBlAEQAYQB0AGEAXwBEAGEAaQByAHkALgBTAG8AdQByAGMAZQBEAGEAdABhAF8ARABhAGkAcgB5AF8AUAByAGUAVwBlAGEAbgBlAGQAQwBhAGwAdgBlAHMAXwBUAGkAdABsAGUAIgAsACIAUwBvAHUAcgBjAGUARABhAHQAYQBfAEQAYQBpAHIAeQAuAFMAbwB1AHIAYwBlAEQAYQB0AGEAXwBEAGEAaQByAHkAXwBQAHIAZQBXAGUAYQBuAGUAZABDAGEAbAB2AGUAcwBfAFYAYQByAGkAYQBiAGwAZQAiACwAIgBTAG8AdQByAGMAZQBEAGEAdABhAF8ARABhAGkAcgB5AC4AUwBvAHUAcgBjAGUARABhAHQAYQBfAEQAYQBpAHIAeQBfAFAAcgBlAFcAZQBhAG4AZQBkAEMAYQBsAHYAZQBzAF8AVQBuAGkAdAAiACwAIgBTAG8AdQByAGMAZQBEAGEAdABhAF8ARABhAGkAcgB5AC4AUwBvAHUAcgBjAGUARABhAHQAYQBfAEQAYQBpAHIAeQBfAFAAcgBlAFcAZQBhAG4AZQBkAEMAYQBsAHYAZQBzAF8AUwBvAHUAcgBjAGUAIgAsACIAUwBvAHUAcgBjAGUARABhAHQAYQBfAEQAYQBpAHIAeQAuAFMAbwB1AHIAYwBlAEQAYQB0AGEAXwBEAGEAaQByAHkAXwBQAHIAZQBXAGUAYQBuAGUAZABDAGEAbAB2AGUAcwBfAFYAYQByAGkAYQB0AGkAbwBuACIALAAiAFMAbwB1AHIAYwBlAEQAYQB0AGEAXwBEAGEAaQByAHkALgBTAG8AdQByAGMAZQBEAGEAdABhAF8ARABhAGkAcgB5AF8AUAByAGUAVwBlAGEAbgBlAGQAQwBhAGwAdgBlAHMAXwBEAGEAdABhACIALAAiAFMAbwB1AHIAYwBlAEQAYQB0AGEAXwBEAGEAaQByAHkALgBTAG8AdQByAGMAZQBEAGEAdABhAF8ARABhAGkAcgB5AF8ATQBDAEYAXwBUAGkAdABsAGUAIgAsACIAUwBvAHUAcgBjAGUARABhAHQAYQBfAEQAYQBpAHIAeQAuAFMAbwB1AHIAYwBlAEQAYQB0AGEAXwBEAGEAaQByAHkAXwBNAEMARgBfAFYAYQByAGkAYQBiAGwAZQAiACwAIgBTAG8AdQByAGMAZQBEAGEAdABhAF8ARABhAGkAcgB5AC4AUwBvAHUAcgBjAGUARABhAHQAYQBfAEQAYQBpAHIAeQBfAE0AQwBGAF8AVQBuAGkAdAAiACwAIgBTAG8AdQByAGMAZQBEAGEAdABhAF8ARABhAGkAcgB5AC4AUwBvAHUAcgBjAGUARABhAHQAYQBfAEQAYQBpAHIAeQBfAE0AQwBGAF8AUwBvAHUAcgBjAGUAIgAsACIAUwBvAHUAcgBjAGUARABhAHQAYQBfAEQAYQBpAHIAeQAuAFMAbwB1AHIAYwBlAEQAYQB0AGEAXwBEAGEAaQByAHkAXwBNAEMARgBfAFYAYQByAGkAYQB0AGkAbwBuACIALAAiAFMAbwB1AHIAYwBlAEQAYQB0AGEAXwBEAGEAaQByAHkALgBTAG8AdQByAGMAZQBEAGEAdABhAF8ARABhAGkAcgB5AF8ATQBDAEYAXwBEAGEAdABhACIALAAiAFMAbwB1AHIAYwBlAEQAYQB0AGEAXwBEAGEAaQByAHkALgBTAG8AdQByAGMAZQBEAGEAdABhAF8ARABhAGkAcgB5AF8ATgBpAHQAcgBvAHUAcwBPAHgAaQBkAGUARQBGAHMAQQBuAGQARgByAGEAYwBHAEEAUwBNAF8AVABpAHQAbABlACIALAAiAFMAbwB1AHIAYwBlAEQAYQB0AGEAXwBEAGEAaQByAHkALgBTAG8AdQByAGMAZQBEAGEAdABhAF8ARABhAGkAcgB5AF8ATgBpAHQAcgBvAHUAcwBPAHgAaQBkAGUARQBGAHMAQQBuAGQARgByAGEAYwBHAEEAUwBNAF8AVgBhAHIAaQBhAGIAbABlACIALAAiAFMAbwB1AHIAYwBlAEQAYQB0AGEAXwBEAGEAaQByAHkALgBTAG8AdQByAGMAZQBEAGEAdABhAF8ARABhAGkAcgB5AF8ATgBpAHQAcgBvAHUAcwBPAHgAaQBkAGUARQBGAHMAQQBuAGQARgByAGEAYwBHAEEAUwBNAF8AVQBuAGkAdAAiACwAIgBTAG8AdQByAGMAZQBEAGEAdABhAF8ARABhAGkAcgB5AC4AUwBvAHUAcgBjAGUARABhAHQAYQBfAEQAYQBpAHIAeQBfAE4AaQB0AHIAbwB1AHMATwB4AGkAZABlAEUARgBzAEEAbgBkAEYAcgBhAGMARwBBAFMATQBfAFMAbwB1AHIAYwBlACIALAAiAFMAbwB1AHIAYwBlAEQAYQB0AGEAXwBEAGEAaQByAHkALgBTAG8AdQByAGMAZQBEAGEAdABhAF8ARABhAGkAcgB5AF8ATgBpAHQAcgBvAHUAcwBPAHgAaQBkAGUARQBGAHMAQQBuAGQARgByAGEAYwBHAEEAUwBNAF8AVgBhAHIAaQBhAHQAaQBvAG4AIgAsACIAUwBvAHUAcgBjAGUARABhAHQAYQBfAEQAYQBpAHIAeQAuAFMAbwB1AHIAYwBlAEQAYQB0AGEAXwBEAGEAaQByAHkAXwBOAGkAdAByAG8AdQBzAE8AeABpAGQAZQBFAEYAcwBBAG4AZABGAHIAYQBjAEcAQQBTAE0AXwBEAGEAdABhACIALAAiAFMAbwB1AHIAYwBlAEQAYQB0AGEAXwBEAGEAaQByAHkALgBTAG8AdQByAGMAZQBEAGEAdABhAF8ARABhAGkAcgB5AF8ATQBlAHQAaABhAG4AZQBQAHIAbwBkAHUAYwB0AGkAbwBuAFAAcgBlAFcAZQBhAG4AZQBkAEMAYQBsAHYAZQBzAF8AVABpAHQAbABlACIALAAiAFMAbwB1AHIAYwBlAEQAYQB0AGEAXwBEAGEAaQByAHkALgBTAG8AdQByAGMAZQBEAGEAdABhAF8ARABhAGkAcgB5AF8ATQBlAHQAaABhAG4AZQBQAHIAbwBkAHUAYwB0AGkAbwBuAFAAcgBlAFcAZQBhAG4AZQBkAEMAYQBsAHYAZQBzAF8AVgBhAHIAaQBhAGIAbABlACIALAAiAFMAbwB1AHIAYwBlAEQAYQB0AGEAXwBEAGEAaQByAHkALgBTAG8AdQByAGMAZQBEAGEAdABhAF8ARABhAGkAcgB5AF8ATQBlAHQAaABhAG4AZQBQAHIAbwBkAHUAYwB0AGkAbwBuAFAAcgBlAFcAZQBhAG4AZQBkAEMAYQBsAHYAZQBzAF8AVQBuAGkAdAAiACwAIgBTAG8AdQByAGMAZQBEAGEAdABhAF8ARABhAGkAcgB5AC4AUwBvAHUAcgBjAGUARABhAHQAYQBfAEQAYQBpAHIAeQBfAE0AZQB0AGgAYQBuAGUAUAByAG8AZAB1AGMAdABpAG8AbgBQAHIAZQBXAGUAYQBuAGUAZABDAGEAbAB2AGUAcwBfAFMAbwB1AHIAYwBlACIALAAiAFMAbwB1AHIAYwBlAEQAYQB0AGEAXwBEAGEAaQByAHkALgBTAG8AdQByAGMAZQBEAGEAdABhAF8ARABhAGkAcgB5AF8ATQBlAHQAaABhAG4AZQBQAHIAbwBkAHUAYwB0AGkAbwBuAFAAcgBlAFcAZQBhAG4AZQBkAEMAYQBsAHYAZQBzAF8AVgBhAHIAaQBhAHQAaQBvAG4AIgAsACIAUwBvAHUAcgBjAGUARABhAHQAYQBfAEQAYQBpAHIAeQAuAFMAbwB1AHIAYwBlAEQAYQB0AGEAXwBEAGEAaQByAHkAXwBNAGUAdABoAGEAbgBlAFAAcgBvAGQAdQBjAHQAaQBvAG4AUAByAGUAVwBlAGEAbgBlAGQAQwBhAGwAdgBlAHMAXwBEAGEAdABhACIALAAiAFMAbwB1AHIAYwBlAEQAYQB0AGEAXwBEAGEAaQByAHkALgBTAG8AdQByAGMAZQBEAGEAdABhAF8ARABhAGkAcgB5AF8ASQBuAGMAcgBlAGEAcwBlAGQATQBlAHQAYQBiAG8AbABpAGMAUgBhAHQAZQBNAGkAbABrAF8AVABpAHQAbABlACIALAAiAFMAbwB1AHIAYwBlAEQAYQB0AGEAXwBEAGEAaQByAHkALgBTAG8AdQByAGMAZQBEAGEAdABhAF8ARABhAGkAcgB5AF8ASQBuAGMAcgBlAGEAcwBlAGQATQBlAHQAYQBiAG8AbABpAGMAUgBhAHQAZQBNAGkAbABrAF8AVgBhAHIAaQBhAGIAbABlACIALAAiAFMAbwB1AHIAYwBlAEQAYQB0AGEAXwBEAGEAaQByAHkALgBTAG8AdQByAGMAZQBEAGEAdABhAF8ARABhAGkAcgB5AF8ASQBuAGMAcgBlAGEAcwBlAGQATQBlAHQAYQBiAG8AbABpAGMAUgBhAHQAZQBNAGkAbABrAF8AVQBuAGkAdAAiACwAIgBTAG8AdQByAGMAZQBEAGEAdABhAF8ARABhAGkAcgB5AC4AUwBvAHUAcgBjAGUARABhAHQAYQBfAEQAYQBpAHIAeQBfAEkAbgBjAHIAZQBhAHMAZQBkAE0AZQB0AGEAYgBvAGwAaQBjAFIAYQB0AGUATQBpAGwAawBfAFMAbwB1AHIAYwBlACIALAAiAFMAbwB1AHIAYwBlAEQAYQB0AGEAXwBEAGEAaQByAHkALgBTAG8AdQByAGMAZQBEAGEAdABhAF8ARABhAGkAcgB5AF8ASQBuAGMAcgBlAGEAcwBlAGQATQBlAHQAYQBiAG8AbABpAGMAUgBhAHQAZQBNAGkAbABrAF8AVgBhAHIAaQBhAHQAaQBvAG4AIgAsACIAUwBvAHUAcgBjAGUARABhAHQAYQBfAEQAYQBpAHIAeQAuAFMAbwB1AHIAYwBlAEQAYQB0AGEAXwBEAGEAaQByAHkAXwBJAG4AYwByAGUAYQBzAGUAZABNAGUAdABhAGIAbwBsAGkAYwBSAGEAdABlAE0AaQBsAGsAXwBEAGEAdABhACIALAAiAFMAbwB1AHIAYwBlAEQAYQB0AGEAXwBEAGEAaQByAHkALgBTAG8AdQByAGMAZQBEAGEAdABhAF8ARABhAGkAcgB5AF8ARgByAGEAYwB0AGkAbwBuAFYAbwBsAGEAdABpAGwAZQBTAG8AbABpAGQAcwBWAG8AaQBkAGUAZABNAE0AUwBfAFQAaQB0AGwAZQAiACwAIgBTAG8AdQByAGMAZQBEAGEAdABhAF8ARABhAGkAcgB5AC4AUwBvAHUAcgBjAGUARABhAHQAYQBfAEQAYQBpAHIAeQBfAEYAcgBhAGMAdABpAG8AbgBWAG8AbABhAHQAaQBsAGUAUwBvAGwAaQBkAHMAVgBvAGkAZABlAGQATQBNAFMAXwBWAGEAcgBpAGEAYgBsAGUAIgAsACIAUwBvAHUAcgBjAGUARABhAHQAYQBfAEQAYQBpAHIAeQAuAFMAbwB1AHIAYwBlAEQAYQB0AGEAXwBEAGEAaQByAHkAXwBGAHIAYQBjAHQAaQBvAG4AVgBvAGwAYQB0AGkAbABlAFMAbwBsAGkAZABzAFYAbwBpAGQAZQBkAE0ATQBTAF8AVQBuAGkAdAAiACwAIgBTAG8AdQByAGMAZQBEAGEAdABhAF8ARABhAGkAcgB5AC4AUwBvAHUAcgBjAGUARABhAHQAYQBfAEQAYQBpAHIAeQBfAEYAcgBhAGMAdABpAG8AbgBWAG8AbABhAHQAaQBsAGUAUwBvAGwAaQBkAHMAVgBvAGkAZABlAGQATQBNAFMAXwBTAG8AdQByAGMAZQAiACwAIgBTAG8AdQByAGMAZQBEAGEAdABhAF8ARABhAGkAcgB5AC4AUwBvAHUAcgBjAGUARABhAHQAYQBfAEQAYQBpAHIAeQBfAEYAcgBhAGMAdABpAG8AbgBWAG8AbABhAHQAaQBsAGUAUwBvAGwAaQBkAHMAVgBvAGkAZABlAGQATQBNAFMAXwBWAGEAcgBpAGEAdABpAG8AbgAiACwAIgBTAG8AdQByAGMAZQBEAGEAdABhAF8ARABhAGkAcgB5AC4AUwBvAHUAcgBjAGUARABhAHQAYQBfAEQAYQBpAHIAeQBfAEYAcgBhAGMAdABpAG8AbgBWAG8AbABhAHQAaQBsAGUAUwBvAGwAaQBkAHMAVgBvAGkAZABlAGQATQBNAFMAXwBEAGEAdABhACIALAAiAFMAbwB1AHIAYwBlAEQAYQB0AGEAXwBEAGEAaQByAHkALgBTAG8AdQByAGMAZQBEAGEAdABhAF8ARABhAGkAcgB5AF8ARQBGAE4AaQB0AHIAbwB1AHMATwB4AGkAZABlAFAAZQByAE0ATQBTAF8AVABpAHQAbABlACIALAAiAFMAbwB1AHIAYwBlAEQAYQB0AGEAXwBEAGEAaQByAHkALgBTAG8AdQByAGMAZQBEAGEAdABhAF8ARABhAGkAcgB5AF8ARQBGAE4AaQB0AHIAbwB1AHMATwB4AGkAZABlAFAAZQByAE0ATQBTAF8AVgBhAHIAaQBhAGIAbABlACIALAAiAFMAbwB1AHIAYwBlAEQAYQB0AGEAXwBEAGEAaQByAHkALgBTAG8AdQByAGMAZQBEAGEAdABhAF8ARABhAGkAcgB5AF8ARQBGAE4AaQB0AHIAbwB1AHMATwB4AGkAZABlAFAAZQByAE0ATQBTAF8AVQBuAGkAdAAiACwAIgBTAG8AdQByAGMAZQBEAGEAdABhAF8ARABhAGkAcgB5AC4AUwBvAHUAcgBjAGUARABhAHQAYQBfAEQAYQBpAHIAeQBfAEUARgBOAGkAdAByAG8AdQBzAE8AeABpAGQAZQBQAGUAcgBNAE0AUwBfAFMAbwB1AHIAYwBlACIALAAiAFMAbwB1AHIAYwBlAEQAYQB0AGEAXwBEAGEAaQByAHkALgBTAG8AdQByAGMAZQBEAGEAdABhAF8ARABhAGkAcgB5AF8ARQBGAE4AaQB0AHIAbwB1AHMATwB4AGkAZABlAFAAZQByAE0ATQBTAF8AVgBhAHIAaQBhAHQAaQBvAG4AIgAsACIAUwBvAHUAcgBjAGUARABhAHQAYQBfAEQAYQBpAHIAeQAuAFMAbwB1AHIAYwBlAEQAYQB0AGEAXwBEAGEAaQByAHkAXwBFAEYATgBpAHQAcgBvAHUAcwBPAHgAaQBkAGUAUABlAHIATQBNAFMAXwBEAGEAdABhACIALAAiAFMAbwB1AHIAYwBlAEQAYQB0AGEAXwBEAGEAaQByAHkALgBTAG8AdQByAGMAZQBEAGEAdABhAF8ARABhAGkAcgB5AF8ARAB1AHIAYQB0AGkAbwBuAE8AZgBTAHQAYQB5AF8AVABpAHQAbABlACIALAAiAFMAbwB1AHIAYwBlAEQAYQB0AGEAXwBEAGEAaQByAHkALgBTAG8AdQByAGMAZQBEAGEAdABhAF8ARABhAGkAcgB5AF8ARAB1AHIAYQB0AGkAbwBuAE8AZgBTAHQAYQB5AF8AVgBhAHIAaQBhAGIAbABlACIALAAiAFMAbwB1AHIAYwBlAEQAYQB0AGEAXwBEAGEAaQByAHkALgBTAG8AdQByAGMAZQBEAGEAdABhAF8ARABhAGkAcgB5AF8ARAB1AHIAYQB0AGkAbwBuAE8AZgBTAHQAYQB5AF8AVQBuAGkAdAAiACwAIgBTAG8AdQByAGMAZQBEAGEAdABhAF8ARABhAGkAcgB5AC4AUwBvAHUAcgBjAGUARABhAHQAYQBfAEQAYQBpAHIAeQBfAEQAdQByAGEAdABpAG8AbgBPAGYAUwB0AGEAeQBfAFMAbwB1AHIAYwBlACIALAAiAFMAbwB1AHIAYwBlAEQAYQB0AGEAXwBEAGEAaQByAHkALgBTAG8AdQByAGMAZQBEAGEAdABhAF8ARABhAGkAcgB5AF8ARAB1AHIAYQB0AGkAbwBuAE8AZgBTAHQAYQB5AF8AVgBhAHIAaQBhAHQAaQBvAG4AIgAsACIAUwBvAHUAcgBjAGUARABhAHQAYQBfAEQAYQBpAHIAeQAuAFMAbwB1AHIAYwBlAEQAYQB0AGEAXwBEAGEAaQByAHkAXwBEAHUAcgBhAHQAaQBvAG4ATwBmAFMAdABhAHkAXwBEAGEAdABhACIALAAiAFMAbwB1AHIAYwBlAEQAYQB0AGEAXwBEAGEAaQByAHkALgBTAG8AdQByAGMAZQBEAGEAdABhAF8ARABhAGkAcgB5AF8AQwByAHUAZABlAFAAcgBvAHQAZQBpAG4AXwBUAGkAdABsAGUAIgAsACIAUwBvAHUAcgBjAGUARABhAHQAYQBfAEQAYQBpAHIAeQAuAFMAbwB1AHIAYwBlAEQAYQB0AGEAXwBEAGEAaQByAHkAXwBDAHIAdQBkAGUAUAByAG8AdABlAGkAbgBfAFYAYQByAGkAYQBiAGwAZQAiACwAIgBTAG8AdQByAGMAZQBEAGEAdABhAF8ARABhAGkAcgB5AC4AUwBvAHUAcgBjAGUARABhAHQAYQBfAEQAYQBpAHIAeQBfAEMAcgB1AGQAZQBQAHIAbwB0AGUAaQBuAF8AVQBuAGkAdAAiACwAIgBTAG8AdQByAGMAZQBEAGEAdABhAF8ARABhAGkAcgB5AC4AUwBvAHUAcgBjAGUARABhAHQAYQBfAEQAYQBpAHIAeQBfAEMAcgB1AGQAZQBQAHIAbwB0AGUAaQBuAF8AUwBvAHUAcgBjAGUAIgAsACIAUwBvAHUAcgBjAGUARABhAHQAYQBfAEQAYQBpAHIAeQAuAFMAbwB1AHIAYwBlAEQAYQB0AGEAXwBEAGEAaQByAHkAXwBDAHIAdQBkAGUAUAByAG8AdABlAGkAbgBfAFYAYQByAGkAYQB0AGkAbwBuACIALAAiAFMAbwB1AHIAYwBlAEQAYQB0AGEAXwBEAGEAaQByAHkALgBTAG8AdQByAGMAZQBEAGEAdABhAF8ARABhAGkAcgB5AF8AQwByAHUAZABlAFAAcgBvAHQAZQBpAG4AXwBEAGEAdABhACIALAAiAFMAbwB1AHIAYwBlAEQAYQB0AGEAXwBEAGEAaQByAHkALgBTAG8AdQByAGMAZQBEAGEAdABhAF8ARABhAGkAcgB5AF8ARAByAHkATQBhAHQAdABlAHIARABpAGcAZQBzAHQAaQBiAGkAbABpAHQAeQBfAFQAaQB0AGwAZQAiACwAIgBTAG8AdQByAGMAZQBEAGEAdABhAF8ARABhAGkAcgB5AC4AUwBvAHUAcgBjAGUARABhAHQAYQBfAEQAYQBpAHIAeQBfAEQAcgB5AE0AYQB0AHQAZQByAEQAaQBnAGUAcwB0AGkAYgBpAGwAaQB0AHkAXwBWAGEAcgBpAGEAYgBsAGUAIgAsACIAUwBvAHUAcgBjAGUARABhAHQAYQBfAEQAYQBpAHIAeQAuAFMAbwB1AHIAYwBlAEQAYQB0AGEAXwBEAGEAaQByAHkAXwBEAHIAeQBNAGEAdAB0AGUAcgBEAGkAZwBlAHMAdABpAGIAaQBsAGkAdAB5AF8AVQBuAGkAdAAiACwAIgBTAG8AdQByAGMAZQBEAGEAdABhAF8ARABhAGkAcgB5AC4AUwBvAHUAcgBjAGUARABhAHQAYQBfAEQAYQBpAHIAeQBfAEQAcgB5AE0AYQB0AHQAZQByAEQAaQBnAGUAcwB0AGkAYgBpAGwAaQB0AHkAXwBTAG8AdQByAGMAZQAiACwAIgBTAG8AdQByAGMAZQBEAGEAdABhAF8ARABhAGkAcgB5AC4AUwBvAHUAcgBjAGUARABhAHQAYQBfAEQAYQBpAHIAeQBfAEQAcgB5AE0AYQB0AHQAZQByAEQAaQBnAGUAcwB0AGkAYgBpAGwAaQB0AHkAXwBWAGEAcgBpAGEAdABpAG8AbgAiACwAIgBTAG8AdQByAGMAZQBEAGEAdABhAF8ARABhAGkAcgB5AC4AUwBvAHUAcgBjAGUARABhAHQAYQBfAEQAYQBpAHIAeQBfAEQAcgB5AE0AYQB0AHQAZQByAEQAaQBnAGUAcwB0AGkAYgBpAGwAaQB0AHkAXwBEAGEAdABhACIALAAiAFMAbwB1AHIAYwBlAEQAYQB0AGEAXwBEAGEAaQByAHkALgBTAG8AdQByAGMAZQBEAGEAdABhAF8ARABhAGkAcgB5AF8ATgBlAHQARQBuAGUAcgBnAHkAXwBUAGkAdABsAGUAIgAsACIAUwBvAHUAcgBjAGUARABhAHQAYQBfAEQAYQBpAHIAeQAuAFMAbwB1AHIAYwBlAEQAYQB0AGEAXwBEAGEAaQByAHkAXwBOAGUAdABFAG4AZQByAGcAeQBfAFYAYQByAGkAYQBiAGwAZQAiACwAIgBTAG8AdQByAGMAZQBEAGEAdABhAF8ARABhAGkAcgB5AC4AUwBvAHUAcgBjAGUARABhAHQAYQBfAEQAYQBpAHIAeQBfAE4AZQB0AEUAbgBlAHIAZwB5AF8AVQBuAGkAdAAiACwAIgBTAG8AdQByAGMAZQBEAGEAdABhAF8ARABhAGkAcgB5AC4AUwBvAHUAcgBjAGUARABhAHQAYQBfAEQAYQBpAHIAeQBfAE4AZQB0AEUAbgBlAHIAZwB5AF8AUwBvAHUAcgBjAGUAIgAsACIAUwBvAHUAcgBjAGUARABhAHQAYQBfAEQAYQBpAHIAeQAuAFMAbwB1AHIAYwBlAEQAYQB0AGEAXwBEAGEAaQByAHkAXwBOAGUAdABFAG4AZQByAGcAeQBfAFYAYQByAGkAYQB0AGkAbwBuACIALAAiAFMAbwB1AHIAYwBlAEQAYQB0AGEAXwBEAGEAaQByAHkALgBTAG8AdQByAGMAZQBEAGEAdABhAF8ARABhAGkAcgB5AF8ATgBlAHQARQBuAGUAcgBnAHkAXwBEAGEAdABhACIALAAiAFMAbwB1AHIAYwBlAEQAYQB0AGEAXwBEAGEAaQByAHkALgBTAG8AdQByAGMAZQBEAGEAdABhAF8ARABhAGkAcgB5AF8ARwByAG8AcwBzAEUAbgBlAHIAZwB5AEMAbwBuAHQAZQBuAHQAXwBUAGkAdABsAGUAIgAsACIAUwBvAHUAcgBjAGUARABhAHQAYQBfAEQAYQBpAHIAeQAuAFMAbwB1AHIAYwBlAEQAYQB0AGEAXwBEAGEAaQByAHkAXwBHAHIAbwBzAHMARQBuAGUAcgBnAHkAQwBvAG4AdABlAG4AdABfAFYAYQByAGkAYQBiAGwAZQAiACwAIgBTAG8AdQByAGMAZQBEAGEAdABhAF8ARABhAGkAcgB5AC4AUwBvAHUAcgBjAGUARABhAHQAYQBfAEQAYQBpAHIAeQBfAEcAcgBvAHMAcwBFAG4AZQByAGcAeQBDAG8AbgB0AGUAbgB0AF8AVQBuAGkAdAAiACwAIgBTAG8AdQByAGMAZQBEAGEAdABhAF8ARABhAGkAcgB5AC4AUwBvAHUAcgBjAGUARABhAHQAYQBfAEQAYQBpAHIAeQBfAEcAcgBvAHMAcwBFAG4AZQByAGcAeQBDAG8AbgB0AGUAbgB0AF8AUwBvAHUAcgBjAGUAIgAsACIAUwBvAHUAcgBjAGUARABhAHQAYQBfAEQAYQBpAHIAeQAuAFMAbwB1AHIAYwBlAEQAYQB0AGEAXwBEAGEAaQByAHkAXwBHAHIAbwBzAHMARQBuAGUAcgBnAHkAQwBvAG4AdABlAG4AdABfAFYAYQByAGkAYQB0AGkAbwBuACIALAAiAFMAbwB1AHIAYwBlAEQAYQB0AGEAXwBEAGEAaQByAHkALgBTAG8AdQByAGMAZQBEAGEAdABhAF8ARABhAGkAcgB5AF8ARwByAG8AcwBzAEUAbgBlAHIAZwB5AEMAbwBuAHQAZQBuAHQAXwBEAGEAdABhACIALAAiAFMAbwB1AHIAYwBlAEQAYQB0AGEAXwBEAGEAaQByAHkALgBTAG8AdQByAGMAZQBEAGEAdABhAF8ARABhAGkAcgB5AF8ARQBmAGYAaQBjAGkAZQBuAGMAeQBPAGYAVQBzAGUATwBmAE0AZQB0AGEAYgBvAGwAaQB6AGEAYgBsAGUARQBuAGUAcgBnAHkAXwBUAGkAdABsAGUAIgAsACIAUwBvAHUAcgBjAGUARABhAHQAYQBfAEQAYQBpAHIAeQAuAFMAbwB1AHIAYwBlAEQAYQB0AGEAXwBEAGEAaQByAHkAXwBFAGYAZgBpAGMAaQBlAG4AYwB5AE8AZgBVAHMAZQBPAGYATQBlAHQAYQBiAG8AbABpAHoAYQBiAGwAZQBFAG4AZQByAGcAeQBfAFYAYQByAGkAYQBiAGwAZQAiACwAIgBTAG8AdQByAGMAZQBEAGEAdABhAF8ARABhAGkAcgB5AC4AUwBvAHUAcgBjAGUARABhAHQAYQBfAEQAYQBpAHIAeQBfAEUAZgBmAGkAYwBpAGUAbgBjAHkATwBmAFUAcwBlAE8AZgBNAGUAdABhAGIAbwBsAGkAegBhAGIAbABlAEUAbgBlAHIAZwB5AF8AVQBuAGkAdAAiACwAIgBTAG8AdQByAGMAZQBEAGEAdABhAF8ARABhAGkAcgB5AC4AUwBvAHUAcgBjAGUARABhAHQAYQBfAEQAYQBpAHIAeQBfAEUAZgBmAGkAYwBpAGUAbgBjAHkATwBmAFUAcwBlAE8AZgBNAGUAdABhAGIAbwBsAGkAegBhAGIAbABlAEUAbgBlAHIAZwB5AF8AUwBvAHUAcgBjAGUAIgAsACIAUwBvAHUAcgBjAGUARABhAHQAYQBfAEQAYQBpAHIAeQAuAFMAbwB1AHIAYwBlAEQAYQB0AGEAXwBEAGEAaQByAHkAXwBFAGYAZgBpAGMAaQBlAG4AYwB5AE8AZgBVAHMAZQBPAGYATQBlAHQAYQBiAG8AbABpAHoAYQBiAGwAZQBFAG4AZQByAGcAeQBfAFYAYQByAGkAYQB0AGkAbwBuACIALAAiAFMAbwB1AHIAYwBlAEQAYQB0AGEAXwBEAGEAaQByAHkALgBTAG8AdQByAGMAZQBEAGEAdABhAF8ARABhAGkAcgB5AF8ARQBmAGYAaQBjAGkAZQBuAGMAeQBPAGYAVQBzAGUATwBmAE0AZQB0AGEAYgBvAGwAaQB6AGEAYgBsAGUARQBuAGUAcgBnAHkAXwBEAGEAdABhACIALAAiAFMAbwB1AHIAYwBlAEQAYQB0AGEAXwBEAGEAaQByAHkALgBTAG8AdQByAGMAZQBEAGEAdABhAF8ARABhAGkAcgB5AF8AQQBzAGgAQwBvAG4AdABlAG4AdABfAFQAaQB0AGwAZQAiACwAIgBTAG8AdQByAGMAZQBEAGEAdABhAF8ARABhAGkAcgB5AC4AUwBvAHUAcgBjAGUARABhAHQAYQBfAEQAYQBpAHIAeQBfAEEAcwBoAEMAbwBuAHQAZQBuAHQAXwBWAGEAcgBpAGEAYgBsAGUAIgAsACIAUwBvAHUAcgBjAGUARABhAHQAYQBfAEQAYQBpAHIAeQAuAFMAbwB1AHIAYwBlAEQAYQB0AGEAXwBEAGEAaQByAHkAXwBBAHMAaABDAG8AbgB0AGUAbgB0AF8AVQBuAGkAdAAiACwAIgBTAG8AdQByAGMAZQBEAGEAdABhAF8ARABhAGkAcgB5AC4AUwBvAHUAcgBjAGUARABhAHQAYQBfAEQAYQBpAHIAeQBfAEEAcwBoAEMAbwBuAHQAZQBuAHQAXwBTAG8AdQByAGMAZQAiACwAIgBTAG8AdQByAGMAZQBEAGEAdABhAF8ARABhAGkAcgB5AC4AUwBvAHUAcgBjAGUARABhAHQAYQBfAEQAYQBpAHIAeQBfAEEAcwBoAEMAbwBuAHQAZQBuAHQAXwBWAGEAcgBpAGEAdABpAG8AbgAiACwAIgBTAG8AdQByAGMAZQBEAGEAdABhAF8ARABhAGkAcgB5AC4AUwBvAHUAcgBjAGUARABhAHQAYQBfAEQAYQBpAHIAeQBfAEEAcwBoAEMAbwBuAHQAZQBuAHQAXwBEAGEAdABhACIALAAiAFMAbwB1AHIAYwBlAEQAYQB0AGEAXwBEAGEAaQByAHkALgBTAG8AdQByAGMAZQBEAGEAdABhAF8ARABhAGkAcgB5AF8ATQBlAHQAaABhAG4AZQBFAG0AaQBzAHMAaQBvAG4AcwBQAG8AdABlAG4AdABpAGEAbABfAFQAaQB0AGwAZQAiACwAIgBTAG8AdQByAGMAZQBEAGEAdABhAF8ARABhAGkAcgB5AC4AUwBvAHUAcgBjAGUARABhAHQAYQBfAEQAYQBpAHIAeQBfAE0AZQB0AGgAYQBuAGUARQBtAGkAcwBzAGkAbwBuAHMAUABvAHQAZQBuAHQAaQBhAGwAXwBWAGEAcgBpAGEAYgBsAGUAIgAsACIAUwBvAHUAcgBjAGUARABhAHQAYQBfAEQAYQBpAHIAeQAuAFMAbwB1AHIAYwBlAEQAYQB0AGEAXwBEAGEAaQByAHkAXwBNAGUAdABoAGEAbgBlAEUAbQBpAHMAcwBpAG8AbgBzAFAAbwB0AGUAbgB0AGkAYQBsAF8AVQBuAGkAdAAiACwAIgBTAG8AdQByAGMAZQBEAGEAdABhAF8ARABhAGkAcgB5AC4AUwBvAHUAcgBjAGUARABhAHQAYQBfAEQAYQBpAHIAeQBfAE0AZQB0AGgAYQBuAGUARQBtAGkAcwBzAGkAbwBuAHMAUABvAHQAZQBuAHQAaQBhAGwAXwBTAG8AdQByAGMAZQAiACwAIgBTAG8AdQByAGMAZQBEAGEAdABhAF8ARABhAGkAcgB5AC4AUwBvAHUAcgBjAGUARABhAHQAYQBfAEQAYQBpAHIAeQBfAE0AZQB0AGgAYQBuAGUARQBtAGkAcwBzAGkAbwBuAHMAUABvAHQAZQBuAHQAaQBhAGwAXwBWAGEAcgBpAGEAdABpAG8AbgAiACwAIgBTAG8AdQByAGMAZQBEAGEAdABhAF8ARABhAGkAcgB5AC4AUwBvAHUAcgBjAGUARABhAHQAYQBfAEQAYQBpAHIAeQBfAE0AZQB0AGgAYQBuAGUARQBtAGkAcwBzAGkAbwBuAHMAUABvAHQAZQBuAHQAaQBhAGwAXwBEAGEAdABhACIALAAiAFMAbwB1AHIAYwBlAEQAYQB0AGEAXwBEAGEAaQByAHkALgBTAG8AdQByAGMAZQBEAGEAdABhAF8ARABhAGkAcgB5AF8ARQBtAGkAcwBzAGkAbwBuAEYAYQBjAHQAbwByAEYAbwByAEwAZQBhAGMAaABpAG4AZwBBAG4AZABSAHUAbgBvAGYAZgBfAFQAaQB0AGwAZQAiACwAIgBTAG8AdQByAGMAZQBEAGEAdABhAF8ARABhAGkAcgB5AC4AUwBvAHUAcgBjAGUARABhAHQAYQBfAEQAYQBpAHIAeQBfAEUAbQBpAHMAcwBpAG8AbgBGAGEAYwB0AG8AcgBGAG8AcgBMAGUAYQBjAGgAaQBuAGcAQQBuAGQAUgB1AG4AbwBmAGYAXwBWAGEAcgBpAGEAYgBsAGUAIgAsACIAUwBvAHUAcgBjAGUARABhAHQAYQBfAEQAYQBpAHIAeQAuAFMAbwB1AHIAYwBlAEQAYQB0AGEAXwBEAGEAaQByAHkAXwBFAG0AaQBzAHMAaQBvAG4ARgBhAGMAdABvAHIARgBvAHIATABlAGEAYwBoAGkAbgBnAEEAbgBkAFIAdQBuAG8AZgBmAF8AVQBuAGkAdAAiACwAIgBTAG8AdQByAGMAZQBEAGEAdABhAF8ARABhAGkAcgB5AC4AUwBvAHUAcgBjAGUARABhAHQAYQBfAEQAYQBpAHIAeQBfAEUAbQBpAHMAcwBpAG8AbgBGAGEAYwB0AG8AcgBGAG8AcgBMAGUAYQBjAGgAaQBuAGcAQQBuAGQAUgB1AG4AbwBmAGYAXwBTAG8AdQByAGMAZQAiACwAIgBTAG8AdQByAGMAZQBEAGEAdABhAF8ARABhAGkAcgB5AC4AUwBvAHUAcgBjAGUARABhAHQAYQBfAEQAYQBpAHIAeQBfAEUAbQBpAHMAcwBpAG8AbgBGAGEAYwB0AG8AcgBGAG8AcgBMAGUAYQBjAGgAaQBuAGcAQQBuAGQAUgB1AG4AbwBmAGYAXwBWAGEAcgBpAGEAdABpAG8AbgAiACwAIgBTAG8AdQByAGMAZQBEAGEAdABhAF8ARABhAGkAcgB5AC4AUwBvAHUAcgBjAGUARABhAHQAYQBfAEQAYQBpAHIAeQBfAEUAbQBpAHMAcwBpAG8AbgBGAGEAYwB0AG8AcgBGAG8AcgBMAGUAYQBjAGgAaQBuAGcAQQBuAGQAUgB1AG4AbwBmAGYAXwBEAGEAdABhACIALAAiAFMAbwB1AHIAYwBlAEQAYQB0AGEAXwBEAGEAaQByAHkALgBTAG8AdQByAGMAZQBEAGEAdABhAF8ARABhAGkAcgB5AF8ARgByAGEAYwB0AGkAbwBuAE8AZgBOAGkAdAByAG8AZwBlAG4ATABvAHMAdABUAGgAcgBvAHUAZwBoAEwAZQBhAGMAaABpAG4AZwBBAG4AZABSAHUAbgBvAGYAZgBTAG8AbABpAGQAUwB0AG8AcgBhAGcAZQBfAFQAaQB0AGwAZQAiACwAIgBTAG8AdQByAGMAZQBEAGEAdABhAF8ARABhAGkAcgB5AC4AUwBvAHUAcgBjAGUARABhAHQAYQBfAEQAYQBpAHIAeQBfAEYAcgBhAGMAdABpAG8AbgBPAGYATgBpAHQAcgBvAGcAZQBuAEwAbwBzAHQAVABoAHIAbwB1AGcAaABMAGUAYQBjAGgAaQBuAGcAQQBuAGQAUgB1AG4AbwBmAGYAUwBvAGwAaQBkAFMAdABvAHIAYQBnAGUAXwBWAGEAcgBpAGEAYgBsAGUAIgAsACIAUwBvAHUAcgBjAGUARABhAHQAYQBfAEQAYQBpAHIAeQAuAFMAbwB1AHIAYwBlAEQAYQB0AGEAXwBEAGEAaQByAHkAXwBGAHIAYQBjAHQAaQBvAG4ATwBmAE4AaQB0AHIAbwBnAGUAbgBMAG8AcwB0AFQAaAByAG8AdQBnAGgATABlAGEAYwBoAGkAbgBnAEEAbgBkAFIAdQBuAG8AZgBmAFMAbwBsAGkAZABTAHQAbwByAGEAZwBlAF8AVQBuAGkAdAAiACwAIgBTAG8AdQByAGMAZQBEAGEAdABhAF8ARABhAGkAcgB5AC4AUwBvAHUAcgBjAGUARABhAHQAYQBfAEQAYQBpAHIAeQBfAEYAcgBhAGMAdABpAG8AbgBPAGYATgBpAHQAcgBvAGcAZQBuAEwAbwBzAHQAVABoAHIAbwB1AGcAaABMAGUAYQBjAGgAaQBuAGcAQQBuAGQAUgB1AG4AbwBmAGYAUwBvAGwAaQBkAFMAdABvAHIAYQBnAGUAXwBTAG8AdQByAGMAZQAiACwAIgBTAG8AdQByAGMAZQBEAGEAdABhAF8ARABhAGkAcgB5AC4AUwBvAHUAcgBjAGUARABhAHQAYQBfAEQAYQBpAHIAeQBfAEYAcgBhAGMAdABpAG8AbgBPAGYATgBpAHQAcgBvAGcAZQBuAEwAbwBzAHQAVABoAHIAbwB1AGcAaABMAGUAYQBjAGgAaQBuAGcAQQBuAGQAUgB1AG4AbwBmAGYAUwBvAGwAaQBkAFMAdABvAHIAYQBnAGUAXwBWAGEAcgBpAGEAdABpAG8AbgAiACwAIgBTAG8AdQByAGMAZQBEAGEAdABhAF8ARABhAGkAcgB5AC4AUwBvAHUAcgBjAGUARABhAHQAYQBfAEQAYQBpAHIAeQBfAEYAcgBhAGMAdABpAG8AbgBPAGYATgBpAHQAcgBvAGcAZQBuAEwAbwBzAHQAVABoAHIAbwB1AGcAaABMAGUAYQBjAGgAaQBuAGcAQQBuAGQAUgB1AG4AbwBmAGYAUwBvAGwAaQBkAFMAdABvAHIAYQBnAGUAXwBEAGEAdABhACIALAAiAFMAbwB1AHIAYwBlAEQAYQB0AGEAXwBEAGEAaQByAHkALgBTAG8AdQByAGMAZQBEAGEAdABhAF8ARABhAGkAcgB5AF8ARgByAGEAYwB0AGkAbwBuAE8AZgBOAGkAdAByAG8AZwBlAG4ATABvAHMAdABUAGgAcgBvAHUAZwBoAEwAZQBhAGMAaABpAG4AZwBBAG4AZABSAHUAbgBvAGYAZgBfAFQAaQB0AGwAZQAiACwAIgBTAG8AdQByAGMAZQBEAGEAdABhAF8ARABhAGkAcgB5AC4AUwBvAHUAcgBjAGUARABhAHQAYQBfAEQAYQBpAHIAeQBfAEYAcgBhAGMAdABpAG8AbgBPAGYATgBpAHQAcgBvAGcAZQBuAEwAbwBzAHQAVABoAHIAbwB1AGcAaABMAGUAYQBjAGgAaQBuAGcAQQBuAGQAUgB1AG4AbwBmAGYAXwBWAGEAcgBpAGEAYgBsAGUAIgAsACIAUwBvAHUAcgBjAGUARABhAHQAYQBfAEQAYQBpAHIAeQAuAFMAbwB1AHIAYwBlAEQAYQB0AGEAXwBEAGEAaQByAHkAXwBGAHIAYQBjAHQAaQBvAG4ATwBmAE4AaQB0AHIAbwBnAGUAbgBMAG8AcwB0AFQAaAByAG8AdQBnAGgATABlAGEAYwBoAGkAbgBnAEEAbgBkAFIAdQBuAG8AZgBmAF8AVQBuAGkAdAAiACwAIgBTAG8AdQByAGMAZQBEAGEAdABhAF8ARABhAGkAcgB5AC4AUwBvAHUAcgBjAGUARABhAHQAYQBfAEQAYQBpAHIAeQBfAEYAcgBhAGMAdABpAG8AbgBPAGYATgBpAHQAcgBvAGcAZQBuAEwAbwBzAHQAVABoAHIAbwB1AGcAaABMAGUAYQBjAGgAaQBuAGcAQQBuAGQAUgB1AG4AbwBmAGYAXwBTAG8AdQByAGMAZQAiACwAIgBTAG8AdQByAGMAZQBEAGEAdABhAF8ARABhAGkAcgB5AC4AUwBvAHUAcgBjAGUARABhAHQAYQBfAEQAYQBpAHIAeQBfAEYAcgBhAGMAdABpAG8AbgBPAGYATgBpAHQAcgBvAGcAZQBuAEwAbwBzAHQAVABoAHIAbwB1AGcAaABMAGUAYQBjAGgAaQBuAGcAQQBuAGQAUgB1AG4AbwBmAGYAXwBWAGEAcgBpAGEAdABpAG8AbgAiACwAIgBTAG8AdQByAGMAZQBEAGEAdABhAF8ARABhAGkAcgB5AC4AUwBvAHUAcgBjAGUARABhAHQAYQBfAEQAYQBpAHIAeQBfAEYAcgBhAGMAdABpAG8AbgBPAGYATgBpAHQAcgBvAGcAZQBuAEwAbwBzAHQAVABoAHIAbwB1AGcAaABMAGUAYQBjAGgAaQBuAGcAQQBuAGQAUgB1AG4AbwBmAGYAXwBEAGEAdABhACIALAAiAFMAbwB1AHIAYwBlAEQAYQB0AGEAXwBEAGEAaQByAHkALgBTAG8AdQByAGMAZQBEAGEAdABhAF8ARABhAGkAcgB5AF8ARgByAGEAYwBHAEEAUwBNAFMAbwBpAGwAXwBUAGkAdABsAGUAIgAsACIAUwBvAHUAcgBjAGUARABhAHQAYQBfAEQAYQBpAHIAeQAuAFMAbwB1AHIAYwBlAEQAYQB0AGEAXwBEAGEAaQByAHkAXwBGAHIAYQBjAEcAQQBTAE0AUwBvAGkAbABfAFYAYQByAGkAYQBiAGwAZQAiACwAIgBTAG8AdQByAGMAZQBEAGEAdABhAF8ARABhAGkAcgB5AC4AUwBvAHUAcgBjAGUARABhAHQAYQBfAEQAYQBpAHIAeQBfAEYAcgBhAGMARwBBAFMATQBTAG8AaQBsAF8AVQBuAGkAdAAiACwAIgBTAG8AdQByAGMAZQBEAGEAdABhAF8ARABhAGkAcgB5AC4AUwBvAHUAcgBjAGUARABhAHQAYQBfAEQAYQBpAHIAeQBfAEYAcgBhAGMARwBBAFMATQBTAG8AaQBsAF8AUwBvAHUAcgBjAGUAIgAsACIAUwBvAHUAcgBjAGUARABhAHQAYQBfAEQAYQBpAHIAeQAuAFMAbwB1AHIAYwBlAEQAYQB0AGEAXwBEAGEAaQByAHkAXwBGAHIAYQBjAEcAQQBTAE0AUwBvAGkAbABfAFYAYQByAGkAYQB0AGkAbwBuACIALAAiAFMAbwB1AHIAYwBlAEQAYQB0AGEAXwBEAGEAaQByAHkALgBTAG8AdQByAGMAZQBEAGEAdABhAF8ARABhAGkAcgB5AF8ARgByAGEAYwBHAEEAUwBNAFMAbwBpAGwAXwBEAGEAdABhACIALAAiAFMAbwB1AHIAYwBlAEQAYQB0AGEAXwBEAGEAaQByAHkALgBTAG8AdQByAGMAZQBEAGEAdABhAF8ARABhAGkAcgB5AF8ARgBhAHQAQwBvAG4AdABlAG4AdABJAG4ATQBpAGwAawBfAFQAaQB0AGwAZQAiACwAIgBTAG8AdQByAGMAZQBEAGEAdABhAF8ARABhAGkAcgB5AC4AUwBvAHUAcgBjAGUARABhAHQAYQBfAEQAYQBpAHIAeQBfAEYAYQB0AEMAbwBuAHQAZQBuAHQASQBuAE0AaQBsAGsAXwBWAGEAcgBpAGEAYgBsAGUAIgAsACIAUwBvAHUAcgBjAGUARABhAHQAYQBfAEQAYQBpAHIAeQAuAFMAbwB1AHIAYwBlAEQAYQB0AGEAXwBEAGEAaQByAHkAXwBGAGEAdABDAG8AbgB0AGUAbgB0AEkAbgBNAGkAbABrAF8AVQBuAGkAdAAiACwAIgBTAG8AdQByAGMAZQBEAGEAdABhAF8ARABhAGkAcgB5AC4AUwBvAHUAcgBjAGUARABhAHQAYQBfAEQAYQBpAHIAeQBfAEYAYQB0AEMAbwBuAHQAZQBuAHQASQBuAE0AaQBsAGsAXwBTAG8AdQByAGMAZQAiACwAIgBTAG8AdQByAGMAZQBEAGEAdABhAF8ARABhAGkAcgB5AC4AUwBvAHUAcgBjAGUARABhAHQAYQBfAEQAYQBpAHIAeQBfAEYAYQB0AEMAbwBuAHQAZQBuAHQASQBuAE0AaQBsAGsAXwBWAGEAcgBpAGEAdABpAG8AbgAiACwAIgBTAG8AdQByAGMAZQBEAGEAdABhAF8ARABhAGkAcgB5AC4AUwBvAHUAcgBjAGUARABhAHQAYQBfAEQAYQBpAHIAeQBfAEYAYQB0AEMAbwBuAHQAZQBuAHQASQBuAE0AaQBsAGsAXwBEAGEAdABhACIALAAiAFMAbwB1AHIAYwBlAEQAYQB0AGEAXwBEAGEAaQByAHkALgBTAG8AdQByAGMAZQBEAGEAdABhAF8ARABhAGkAcgB5AF8AUAByAG8AdABlAGkAbgBDAG8AbgB0AGUAbgB0AEkAbgBNAGkAbABrAF8AVABpAHQAbABlACIALAAiAFMAbwB1AHIAYwBlAEQAYQB0AGEAXwBEAGEAaQByAHkALgBTAG8AdQByAGMAZQBEAGEAdABhAF8ARABhAGkAcgB5AF8AUAByAG8AdABlAGkAbgBDAG8AbgB0AGUAbgB0AEkAbgBNAGkAbABrAF8AVgBhAHIAaQBhAGIAbABlACIALAAiAFMAbwB1AHIAYwBlAEQAYQB0AGEAXwBEAGEAaQByAHkALgBTAG8AdQByAGMAZQBEAGEAdABhAF8ARABhAGkAcgB5AF8AUAByAG8AdABlAGkAbgBDAG8AbgB0AGUAbgB0AEkAbgBNAGkAbABrAF8AVQBuAGkAdAAiACwAIgBTAG8AdQByAGMAZQBEAGEAdABhAF8ARABhAGkAcgB5AC4AUwBvAHUAcgBjAGUARABhAHQAYQBfAEQAYQBpAHIAeQBfAFAAcgBvAHQAZQBpAG4AQwBvAG4AdABlAG4AdABJAG4ATQBpAGwAawBfAFMAbwB1AHIAYwBlACIALAAiAFMAbwB1AHIAYwBlAEQAYQB0AGEAXwBEAGEAaQByAHkALgBTAG8AdQByAGMAZQBEAGEAdABhAF8ARABhAGkAcgB5AF8AUAByAG8AdABlAGkAbgBDAG8AbgB0AGUAbgB0AEkAbgBNAGkAbABrAF8AVgBhAHIAaQBhAHQAaQBvAG4AIgAsACIAUwBvAHUAcgBjAGUARABhAHQAYQBfAEQAYQBpAHIAeQAuAFMAbwB1AHIAYwBlAEQAYQB0AGEAXwBEAGEAaQByAHkAXwBQAHIAbwB0AGUAaQBuAEMAbwBuAHQAZQBuAHQASQBuAE0AaQBsAGsAXwBEAGEAdABh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F8AVABpAHQAbABl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F8AVgBhAHIAaQBhAGIAbABl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F8AVQBuAGkAdAAiACwAIgBNAE0AUwBfAEQAYQBpAHIAeQBfAEEAdABtAG8AcwBwAGgAZQByAGkAYwBEAGUAcABvAHMAaQB0AGkAbwBuAF8ARQBxAHUAYQB0AGkAbwBuAHMALgBWAEUARQBSAEcAXwA0AF8AMwBfADEAXwA1AF8AXwAxAF8AQQBuAG4AdQBhAGwAQQB0AG0AbwBzAHAAaABlAHIAaQBjAEQAZQBwAG8AcwBpAHQAaQBvAG4ARQBtAGkAcwBzAGkAbwBuAHMARgByAG8AbQBNAE0AUwBfAFMAbwB1AHIAYwBl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F8ATgBJAFIAUgBlAGYAZQByAGUAbgBjAGUAIgAsACIATQBNAFMAXwBEAGEAaQByAHkAXwBBAHQAbQBvAHMAcABoAGUAcgBpAGMARABlAHAAbwBzAGkAdABpAG8AbgBfAEUAcQB1AGEAdABpAG8AbgBzAC4AVgBFAEUAUgBHAF8ANABfADMAXwAxAF8ANQBfAF8AMQBfAEEAbgBuAHUAYQBsAEEAdABtAG8AcwBwAGgAZQByAGkAYwBEAGUAcABvAHMAaQB0AGkAbwBuAEUAbQBpAHMAcwBpAG8AbgBzAEYAcgBvAG0ATQBNAFMAXwBMAGEAdABlAHgARQBxAHUAYQB0AGkAbwBu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F8AQQByAGcAdQBtAGUAbgB0AHMAIgAsACIATQBNAFMAXwBEAGEAaQByAHkAXwBBAHQAbQBvAHMAcABoAGUAcgBpAGMARABlAHAAbwBzAGkAdABpAG8AbgBfAEUAcQB1AGEAdABpAG8AbgBzAC4AVgBFAEUAUgBHAF8ANABfADMAXwAxAF8ANQBfAF8AMgBfAFQAbwB0AGEAbABOAGkAdAByAG8AZwBlAG4AVgBvAGwAYQB0AGkAbABpAHMAZQBkAEYAcgBvAG0ATQBNAFMAIgAsACIATQBNAFMAXwBEAGEAaQByAHkAXwBBAHQAbQBvAHMAcABoAGUAcgBpAGMARABlAHAAbwBzAGkAdABpAG8AbgBfAEUAcQB1AGEAdABpAG8AbgBzAC4AVgBFAEUAUgBHAF8ANABfADMAXwAxAF8ANQBfAF8AMgBfAFQAbwB0AGEAbABOAGkAdAByAG8AZwBlAG4AVgBvAGwAYQB0AGkAbABpAHMAZQBkAEYAcgBvAG0ATQBNAFMAXwBUAGkAdABsAGUAIgAsACIATQBNAFMAXwBEAGEAaQByAHkAXwBBAHQAbQBvAHMAcABoAGUAcgBpAGMARABlAHAAbwBzAGkAdABpAG8AbgBfAEUAcQB1AGEAdABpAG8AbgBzAC4AVgBFAEUAUgBHAF8ANABfADMAXwAxAF8ANQBfAF8AMgBfAFQAbwB0AGEAbABOAGkAdAByAG8AZwBlAG4AVgBvAGwAYQB0AGkAbABpAHMAZQBkAEYAcgBvAG0ATQBNAFMAXwBWAGEAcgBpAGEAYgBsAGUAIgAsACIATQBNAFMAXwBEAGEAaQByAHkAXwBBAHQAbQBvAHMAcABoAGUAcgBpAGMARABlAHAAbwBzAGkAdABpAG8AbgBfAEUAcQB1AGEAdABpAG8AbgBzAC4AVgBFAEUAUgBHAF8ANABfADMAXwAxAF8ANQBfAF8AMgBfAFQAbwB0AGEAbABOAGkAdAByAG8AZwBlAG4AVgBvAGwAYQB0AGkAbABpAHMAZQBkAEYAcgBvAG0ATQBNAFMAXwBVAG4AaQB0ACIALAAiAE0ATQBTAF8ARABhAGkAcgB5AF8AQQB0AG0AbwBzAHAAaABlAHIAaQBjAEQAZQBwAG8AcwBpAHQAaQBvAG4AXwBFAHEAdQBhAHQAaQBvAG4AcwAuAFYARQBFAFIARwBfADQAXwAzAF8AMQBfADUAXwBfADIAXwBUAG8AdABhAGwATgBpAHQAcgBvAGcAZQBuAFYAbwBsAGEAdABpAGwAaQBzAGUAZABGAHIAbwBtAE0ATQBTAF8AUwBvAHUAcgBjAGUAIgAsACIATQBNAFMAXwBEAGEAaQByAHkAXwBBAHQAbQBvAHMAcABoAGUAcgBpAGMARABlAHAAbwBzAGkAdABpAG8AbgBfAEUAcQB1AGEAdABpAG8AbgBzAC4AVgBFAEUAUgBHAF8ANABfADMAXwAxAF8ANQBfAF8AMgBfAFQAbwB0AGEAbABOAGkAdAByAG8AZwBlAG4AVgBvAGwAYQB0AGkAbABpAHMAZQBkAEYAcgBvAG0ATQBNAFMAXwBOAEkAUgBSAGUAZgBlAHIAZQBuAGMAZQAiACwAIgBNAE0AUwBfAEQAYQBpAHIAeQBfAEEAdABtAG8AcwBwAGgAZQByAGkAYwBEAGUAcABvAHMAaQB0AGkAbwBuAF8ARQBxAHUAYQB0AGkAbwBuAHMALgBWAEUARQBSAEcAXwA0AF8AMwBfADEAXwA1AF8AXwAyAF8AVABvAHQAYQBsAE4AaQB0AHIAbwBnAGUAbgBWAG8AbABhAHQAaQBsAGkAcwBlAGQARgByAG8AbQBNAE0AUwBfAEwAYQB0AGUAeABFAHEAdQBhAHQAaQBvAG4AIgAsACIATQBNAFMAXwBEAGEAaQByAHkAXwBBAHQAbQBvAHMAcABoAGUAcgBpAGMARABlAHAAbwBzAGkAdABpAG8AbgBfAEUAcQB1AGEAdABpAG8AbgBzAC4AVgBFAEUAUgBHAF8ANABfADMAXwAxAF8ANQBfAF8AMgBfAFQAbwB0AGEAbABOAGkAdAByAG8AZwBlAG4AVgBvAGwAYQB0AGkAbABpAHMAZQBkAEYAcgBvAG0ATQBNAFMAXwBBAHIAZwB1AG0AZQBuAHQAcwAiACwAIgBNAE0AUwBfAEQAYQBpAHIAeQBfAE0AYQBuAHUAcgBlAEEAcABwAGwAaQBlAGQAVABvAFMAbwBpAGwAcwBfAEUAcQB1AGEAdABpAG8AbgBzAC4AVgBFAEUAUgBHAF8ANABfADMAXwAxAF8AOABfAF8AMQBfAE0AYQBzAHMATwBmAE4AaQB0AHIAbwBnAGUAbgBBAHAAcABsAGkAZQBkAFQAbwBTAG8AaQBsAHMAUwBjAG8AcABlADEAIgAsACIATQBNAFMAXwBEAGEAaQByAHkAXwBNAGEAbgB1AHIAZQBBAHAAcABsAGkAZQBkAFQAbwBTAG8AaQBsAHMAXwBFAHEAdQBhAHQAaQBvAG4AcwAuAFYARQBFAFIARwBfADQAXwAzAF8AMQBfADgAXwBfADEAXwBNAGEAcwBzAE8AZgBOAGkAdAByAG8AZwBlAG4AQQBwAHAAbABpAGUAZABUAG8AUwBvAGkAbABzAFMAYwBvAHAAZQAxAF8AVABpAHQAbABlACIALAAiAE0ATQBTAF8ARABhAGkAcgB5AF8ATQBhAG4AdQByAGUAQQBwAHAAbABpAGUAZABUAG8AUwBvAGkAbABzAF8ARQBxAHUAYQB0AGkAbwBuAHMALgBWAEUARQBSAEcAXwA0AF8AMwBfADEAXwA4AF8AXwAxAF8ATQBhAHMAcwBPAGYATgBpAHQAcgBvAGcAZQBuAEEAcABwAGwAaQBlAGQAVABvAFMAbwBpAGwAcwBTAGMAbwBwAGUAMQBfAFYAYQByAGkAYQBiAGwAZQAiACwAIgBNAE0AUwBfAEQAYQBpAHIAeQBfAE0AYQBuAHUAcgBlAEEAcABwAGwAaQBlAGQAVABvAFMAbwBpAGwAcwBfAEUAcQB1AGEAdABpAG8AbgBzAC4AVgBFAEUAUgBHAF8ANABfADMAXwAxAF8AOABfAF8AMQBfAE0AYQBzAHMATwBmAE4AaQB0AHIAbwBnAGUAbgBBAHAAcABsAGkAZQBkAFQAbwBTAG8AaQBsAHMAUwBjAG8AcABlADEAXwBVAG4AaQB0ACIALAAiAE0ATQBTAF8ARABhAGkAcgB5AF8ATQBhAG4AdQByAGUAQQBwAHAAbABpAGUAZABUAG8AUwBvAGkAbABzAF8ARQBxAHUAYQB0AGkAbwBuAHMALgBWAEUARQBSAEcAXwA0AF8AMwBfADEAXwA4AF8AXwAxAF8ATQBhAHMAcwBPAGYATgBpAHQAcgBvAGcAZQBuAEEAcABwAGwAaQBlAGQAVABvAFMAbwBpAGwAcwBTAGMAbwBwAGUAMQBfAFMAbwB1AHIAYwBlACIALAAiAE0ATQBTAF8ARABhAGkAcgB5AF8ATQBhAG4AdQByAGUAQQBwAHAAbABpAGUAZABUAG8AUwBvAGkAbABzAF8ARQBxAHUAYQB0AGkAbwBuAHMALgBWAEUARQBSAEcAXwA0AF8AMwBfADEAXwA4AF8AXwAxAF8ATQBhAHMAcwBPAGYATgBpAHQAcgBvAGcAZQBuAEEAcABwAGwAaQBlAGQAVABvAFMAbwBpAGwAcwBTAGMAbwBwAGUAMQBfAE4ASQBSAFIAZQBmAGUAcgBlAG4AYwBlACIALAAiAE0ATQBTAF8ARABhAGkAcgB5AF8ATQBhAG4AdQByAGUAQQBwAHAAbABpAGUAZABUAG8AUwBvAGkAbABzAF8ARQBxAHUAYQB0AGkAbwBuAHMALgBWAEUARQBSAEcAXwA0AF8AMwBfADEAXwA4AF8AXwAxAF8ATQBhAHMAcwBPAGYATgBpAHQAcgBvAGcAZQBuAEEAcABwAGwAaQBlAGQAVABvAFMAbwBpAGwAcwBTAGMAbwBwAGUAMQBfAEwAYQB0AGUAeABFAHEAdQBhAHQAaQBvAG4AIgAsACIATQBNAFMAXwBEAGEAaQByAHkAXwBNAGEAbgB1AHIAZQBBAHAAcABsAGkAZQBkAFQAbwBTAG8AaQBsAHMAXwBFAHEAdQBhAHQAaQBvAG4AcwAuAFYARQBFAFIARwBfADQAXwAzAF8AMQBfADgAXwBfADEAXwBNAGEAcwBzAE8AZgBOAGkAdAByAG8AZwBlAG4AQQBwAHAAbABpAGUAZABUAG8AUwBvAGkAbABzAFMAYwBvAHAAZQAxAF8AQQByAGcAdQBtAGUAbgB0AHMAIgAsACIATQBNAFMAXwBEAGEAaQByAHkAXwBNAGEAbgB1AHIAZQBBAHAAcABsAGkAZQBkAFQAbwBTAG8AaQBsAHMAXwBFAHEAdQBhAHQAaQBvAG4AcwAuAFYARQBFAFIARwBfADQAXwAzAF8AMQBfADgAXwBfADIAXwBNAGEAcwBzAE8AZgBOAGkAdAByAG8AZwBlAG4AQQBwAHAAbABpAGUAZABUAG8AUwBvAGkAbABzAFMAYwBvAHAAZQAzACIALAAiAE0ATQBTAF8ARABhAGkAcgB5AF8ATQBhAG4AdQByAGUAQQBwAHAAbABpAGUAZABUAG8AUwBvAGkAbABzAF8ARQBxAHUAYQB0AGkAbwBuAHMALgBWAEUARQBSAEcAXwA0AF8AMwBfADEAXwA4AF8AXwAyAF8ATQBhAHMAcwBPAGYATgBpAHQAcgBvAGcAZQBuAEEAcABwAGwAaQBlAGQAVABvAFMAbwBpAGwAcwBTAGMAbwBwAGUAMwBfAFQAaQB0AGwAZQAiACwAIgBNAE0AUwBfAEQAYQBpAHIAeQBfAE0AYQBuAHUAcgBlAEEAcABwAGwAaQBlAGQAVABvAFMAbwBpAGwAcwBfAEUAcQB1AGEAdABpAG8AbgBzAC4AVgBFAEUAUgBHAF8ANABfADMAXwAxAF8AOABfAF8AMgBfAE0AYQBzAHMATwBmAE4AaQB0AHIAbwBnAGUAbgBBAHAAcABsAGkAZQBkAFQAbwBTAG8AaQBsAHMAUwBjAG8AcABlADMAXwBWAGEAcgBpAGEAYgBsAGUAIgAsACIATQBNAFMAXwBEAGEAaQByAHkAXwBNAGEAbgB1AHIAZQBBAHAAcABsAGkAZQBkAFQAbwBTAG8AaQBsAHMAXwBFAHEAdQBhAHQAaQBvAG4AcwAuAFYARQBFAFIARwBfADQAXwAzAF8AMQBfADgAXwBfADIAXwBNAGEAcwBzAE8AZgBOAGkAdAByAG8AZwBlAG4AQQBwAHAAbABpAGUAZABUAG8AUwBvAGkAbABzAFMAYwBvAHAAZQAzAF8AVQBuAGkAdAAiACwAIgBNAE0AUwBfAEQAYQBpAHIAeQBfAE0AYQBuAHUAcgBlAEEAcABwAGwAaQBlAGQAVABvAFMAbwBpAGwAcwBfAEUAcQB1AGEAdABpAG8AbgBzAC4AVgBFAEUAUgBHAF8ANABfADMAXwAxAF8AOABfAF8AMgBfAE0AYQBzAHMATwBmAE4AaQB0AHIAbwBnAGUAbgBBAHAAcABsAGkAZQBkAFQAbwBTAG8AaQBsAHMAUwBjAG8AcABlADMAXwBTAG8AdQByAGMAZQAiACwAIgBNAE0AUwBfAEQAYQBpAHIAeQBfAE0AYQBuAHUAcgBlAEEAcABwAGwAaQBlAGQAVABvAFMAbwBpAGwAcwBfAEUAcQB1AGEAdABpAG8AbgBzAC4AVgBFAEUAUgBHAF8ANABfADMAXwAxAF8AOABfAF8AMgBfAE0AYQBzAHMATwBmAE4AaQB0AHIAbwBnAGUAbgBBAHAAcABsAGkAZQBkAFQAbwBTAG8AaQBsAHMAUwBjAG8AcABlADMAXwBOAEkAUgBSAGUAZgBlAHIAZQBuAGMAZQAiACwAIgBNAE0AUwBfAEQAYQBpAHIAeQBfAE0AYQBuAHUAcgBlAEEAcABwAGwAaQBlAGQAVABvAFMAbwBpAGwAcwBfAEUAcQB1AGEAdABpAG8AbgBzAC4AVgBFAEUAUgBHAF8ANABfADMAXwAxAF8AOABfAF8AMgBfAE0AYQBzAHMATwBmAE4AaQB0AHIAbwBnAGUAbgBBAHAAcABsAGkAZQBkAFQAbwBTAG8AaQBsAHMAUwBjAG8AcABlADMAXwBMAGEAdABlAHgARQBxAHUAYQB0AGkAbwBuACIALAAiAE0ATQBTAF8ARABhAGkAcgB5AF8ATQBhAG4AdQByAGUAQQBwAHAAbABpAGUAZABUAG8AUwBvAGkAbABzAF8ARQBxAHUAYQB0AGkAbwBuAHMALgBWAEUARQBSAEcAXwA0AF8AMwBfADEAXwA4AF8AXwAyAF8ATQBhAHMAcwBPAGYATgBpAHQAcgBvAGcAZQBuAEEAcABwAGwAaQBlAGQAVABvAFMAbwBpAGwAcwBTAGMAbwBwAGUAMwBfAEEAcgBnAHUAbQBlAG4AdABzACIALAAiAE0ATQBTAF8ARABhAGkAcgB5AF8ATQBlAHQAaABhAG4AZQBfAEUAcQB1AGEAdABpAG8AbgBzAC4AVgBFAEUAUgBHAF8ANABfADMAXwAxAF8AMQBfAF8AMQBfAFQAbwB0AGEAbABBAG4AbgB1AGEAbABNAGUAdABoAGEAbgBlAEYAcgBvAG0ATQBhAG4AdQByAGUATQBhAG4AYQBnAGUAbQBlAG4AdAAiACwAIgBNAE0AUwBfAEQAYQBpAHIAeQBfAE0AZQB0AGgAYQBuAGUAXwBFAHEAdQBhAHQAaQBvAG4AcwAuAFYARQBFAFIARwBfADQAXwAzAF8AMQBfADEAXwBfADEAXwBUAG8AdABhAGwAQQBuAG4AdQBhAGwATQBlAHQAaABhAG4AZQBGAHIAbwBtAE0AYQBuAHUAcgBlAE0AYQBuAGEAZwBlAG0AZQBuAHQAVgBhAHIAaQBhAHQAaQBvAG4AIgAsACIATQBNAFMAXwBEAGEAaQByAHkAXwBNAGUAdABoAGEAbgBlAF8ARQBxAHUAYQB0AGkAbwBuAHMALgBWAEUARQBSAEcAXwA0AF8AMwBfADEAXwAxAF8AXwAxAF8AVABvAHQAYQBsAEEAbgBuAHUAYQBsAE0AZQB0AGgAYQBuAGUARgByAG8AbQBNAGEAbgB1AHIAZQBNAGEAbgBhAGcAZQBtAGUAbgB0AF8AVABpAHQAbABlACIALAAiAE0ATQBTAF8ARABhAGkAcgB5AF8ATQBlAHQAaABhAG4AZQBfAEUAcQB1AGEAdABpAG8AbgBzAC4AVgBFAEUAUgBHAF8ANABfADMAXwAxAF8AMQBfAF8AMQBfAFQAbwB0AGEAbABBAG4AbgB1AGEAbABNAGUAdABoAGEAbgBlAEYAcgBvAG0ATQBhAG4AdQByAGUATQBhAG4AYQBnAGUAbQBlAG4AdABfAFYAYQByAGkAYQBiAGwAZQAiACwAIgBNAE0AUwBfAEQAYQBpAHIAeQBfAE0AZQB0AGgAYQBuAGUAXwBFAHEAdQBhAHQAaQBvAG4AcwAuAFYARQBFAFIARwBfADQAXwAzAF8AMQBfADEAXwBfADEAXwBUAG8AdABhAGwAQQBuAG4AdQBhAGwATQBlAHQAaABhAG4AZQBGAHIAbwBtAE0AYQBuAHUAcgBlAE0AYQBuAGEAZwBlAG0AZQBuAHQAXwBVAG4AaQB0ACIALAAiAE0ATQBTAF8ARABhAGkAcgB5AF8ATQBlAHQAaABhAG4AZQBfAEUAcQB1AGEAdABpAG8AbgBzAC4AVgBFAEUAUgBHAF8ANABfADMAXwAxAF8AMQBfAF8AMQBfAFQAbwB0AGEAbABBAG4AbgB1AGEAbABNAGUAdABoAGEAbgBlAEYAcgBvAG0ATQBhAG4AdQByAGUATQBhAG4AYQBnAGUAbQBlAG4AdABfAFMAbwB1AHIAYwBlACIALAAiAE0ATQBTAF8ARABhAGkAcgB5AF8ATQBlAHQAaABhAG4AZQBfAEUAcQB1AGEAdABpAG8AbgBzAC4AVgBFAEUAUgBHAF8ANABfADMAXwAxAF8AMQBfAF8AMQBfAFQAbwB0AGEAbABBAG4AbgB1AGEAbABNAGUAdABoAGEAbgBlAEYAcgBvAG0ATQBhAG4AdQByAGUATQBhAG4AYQBnAGUAbQBlAG4AdABfAE4ASQBSAFIAZQBmAGUAcgBlAG4AYwBlACIALAAiAE0ATQBTAF8ARABhAGkAcgB5AF8ATQBlAHQAaABhAG4AZQBfAEUAcQB1AGEAdABpAG8AbgBzAC4AVgBFAEUAUgBHAF8ANABfADMAXwAxAF8AMQBfAF8AMQBfAFQAbwB0AGEAbABBAG4AbgB1AGEAbABNAGUAdABoAGEAbgBlAEYAcgBvAG0ATQBhAG4AdQByAGUATQBhAG4AYQBnAGUAbQBlAG4AdABfAEwAYQB0AGUAeABFAHEAdQBhAHQAaQBvAG4AIgAsACIATQBNAFMAXwBEAGEAaQByAHkAXwBNAGUAdABoAGEAbgBlAF8ARQBxAHUAYQB0AGkAbwBuAHMALgBWAEUARQBSAEcAXwA0AF8AMwBfADEAXwAxAF8AXwAxAF8AVABvAHQAYQBsAEEAbgBuAHUAYQBsAE0AZQB0AGgAYQBuAGUARgByAG8AbQBNAGEAbgB1AHIAZQBNAGEAbgBhAGcAZQBtAGUAbgB0AF8ATABhAHQAZQB4AEUAcQB1AGEAdABpAG8AbgBWAGEAcgBpAGEAdABpAG8AbgAiACwAIgBNAE0AUwBfAEQAYQBpAHIAeQBfAE0AZQB0AGgAYQBuAGUAXwBFAHEAdQBhAHQAaQBvAG4AcwAuAFYARQBFAFIARwBfADQAXwAzAF8AMQBfADEAXwBfADEAXwBUAG8AdABhAGwAQQBuAG4AdQBhAGwATQBlAHQAaABhAG4AZQBGAHIAbwBtAE0AYQBuAHUAcgBlAE0AYQBuAGEAZwBlAG0AZQBuAHQAXwBBAHIAZwB1AG0AZQBuAHQAcwAiACwAIgBNAE0AUwBfAEQAYQBpAHIAeQBfAE0AZQB0AGgAYQBuAGUAXwBFAHEAdQBhAHQAaQBvAG4AcwAuAFYARQBFAFIARwBfADQAXwAzAF8AMQBfADEAXwBfADEAXwBUAG8AdABhAGwAQQBuAG4AdQBhAGwATQBlAHQAaABhAG4AZQBGAHIAbwBtAE0AYQBuAHUAcgBlAE0AYQBuAGEAZwBlAG0AZQBuAHQAXwBWAGEAcgBpAGEAdABpAG8AbgAiACwAIgBNAE0AUwBfAEQAYQBpAHIAeQBfAE0AZQB0AGgAYQBuAGUAXwBFAHEAdQBhAHQAaQBvAG4AcwAuAFYARQBFAFIARwBfADQAXwAzAF8AMQBfADEAXwBfADIAXwBNAGUAdABoAGEAbgBlAEYAcgBvAG0ATQBhAG4AdQByAGUAUAByAG8AZAB1AGMAdABpAG8AbgAiACwAIgBNAE0AUwBfAEQAYQBpAHIAeQBfAE0AZQB0AGgAYQBuAGUAXwBFAHEAdQBhAHQAaQBvAG4AcwAuAFYARQBFAFIARwBfADQAXwAzAF8AMQBfADEAXwBfADIAXwBNAGUAdABoAGEAbgBlAEYAcgBvAG0ATQBhAG4AdQByAGUAUAByAG8AZAB1AGMAdABpAG8AbgBfAFQAaQB0AGwAZQAiACwAIgBNAE0AUwBfAEQAYQBpAHIAeQBfAE0AZQB0AGgAYQBuAGUAXwBFAHEAdQBhAHQAaQBvAG4AcwAuAFYARQBFAFIARwBfADQAXwAzAF8AMQBfADEAXwBfADIAXwBNAGUAdABoAGEAbgBlAEYAcgBvAG0ATQBhAG4AdQByAGUAUAByAG8AZAB1AGMAdABpAG8AbgBfAFYAYQByAGkAYQBiAGwAZQAiACwAIgBNAE0AUwBfAEQAYQBpAHIAeQBfAE0AZQB0AGgAYQBuAGUAXwBFAHEAdQBhAHQAaQBvAG4AcwAuAFYARQBFAFIARwBfADQAXwAzAF8AMQBfADEAXwBfADIAXwBNAGUAdABoAGEAbgBlAEYAcgBvAG0ATQBhAG4AdQByAGUAUAByAG8AZAB1AGMAdABpAG8AbgBfAFUAbgBpAHQAIgAsACIATQBNAFMAXwBEAGEAaQByAHkAXwBNAGUAdABoAGEAbgBlAF8ARQBxAHUAYQB0AGkAbwBuAHMALgBWAEUARQBSAEcAXwA0AF8AMwBfADEAXwAxAF8AXwAyAF8ATQBlAHQAaABhAG4AZQBGAHIAbwBtAE0AYQBuAHUAcgBlAFAAcgBvAGQAdQBjAHQAaQBvAG4AXwBTAG8AdQByAGMAZQAiACwAIgBNAE0AUwBfAEQAYQBpAHIAeQBfAE0AZQB0AGgAYQBuAGUAXwBFAHEAdQBhAHQAaQBvAG4AcwAuAFYARQBFAFIARwBfADQAXwAzAF8AMQBfADEAXwBfADIAXwBNAGUAdABoAGEAbgBlAEYAcgBvAG0ATQBhAG4AdQByAGUAUAByAG8AZAB1AGMAdABpAG8AbgBfAE4ASQBSAFIAZQBmAGUAcgBlAG4AYwBlACIALAAiAE0ATQBTAF8ARABhAGkAcgB5AF8ATQBlAHQAaABhAG4AZQBfAEUAcQB1AGEAdABpAG8AbgBzAC4AVgBFAEUAUgBHAF8ANABfADMAXwAxAF8AMQBfAF8AMgBfAE0AZQB0AGgAYQBuAGUARgByAG8AbQBNAGEAbgB1AHIAZQBQAHIAbwBkAHUAYwB0AGkAbwBuAF8ATABhAHQAZQB4AEUAcQB1AGEAdABpAG8AbgAiACwAIgBNAE0AUwBfAEQAYQBpAHIAeQBfAE0AZQB0AGgAYQBuAGUAXwBFAHEAdQBhAHQAaQBvAG4AcwAuAFYARQBFAFIARwBfADQAXwAzAF8AMQBfADEAXwBfADIAXwBNAGUAdABoAGEAbgBlAEYAcgBvAG0ATQBhAG4AdQByAGUAUAByAG8AZAB1AGMAdABpAG8AbgBfAEEAcgBnAHUAbQBlAG4AdABzACIALAAiAE0ATQBTAF8ARABhAGkAcgB5AF8ATQBlAHQAaABhAG4AZQBfAEUAcQB1AGEAdABpAG8AbgBzAC4AVgBFAEUAUgBHAF8ANABfADMAXwAxAF8AMQBfAF8AMgBfAE0AZQB0AGgAYQBuAGUARgByAG8AbQBNAGEAbgB1AHIAZQBQAHIAbwBkAHUAYwB0AGkAbwBuAF8AQQByAGcAdQBtAGUAbgB0AHMAXwBNAGUAdABoAG8AZAAyACIALAAiAE0ATQBTAF8ARABhAGkAcgB5AF8ATQBlAHQAaABhAG4AZQBfAEUAcQB1AGEAdABpAG8AbgBzAC4AVgBFAEUAUgBHAF8ANABfADMAXwAxAF8AMQBfAF8AMwBfAFYAbwBsAGEAdABpAGwAZQBTAG8AbABpAGQAcwBGAG8AcgBXAGUAYQBuAGUAZABEAGEAaQByAHkAQwBhAHQAdABsAGUAIgAsACIATQBNAFMAXwBEAGEAaQByAHkAXwBNAGUAdABoAGEAbgBlAF8ARQBxAHUAYQB0AGkAbwBuAHMALgBWAEUARQBSAEcAXwA0AF8AMwBfADEAXwAxAF8AXwAzAF8AVgBvAGwAYQB0AGkAbABlAFMAbwBsAGkAZABzAEYAbwByAFcAZQBhAG4AZQBkAEQAYQBpAHIAeQBDAGEAdAB0AGwAZQBfAFQAaQB0AGwAZQAiACwAIgBNAE0AUwBfAEQAYQBpAHIAeQBfAE0AZQB0AGgAYQBuAGUAXwBFAHEAdQBhAHQAaQBvAG4AcwAuAFYARQBFAFIARwBfADQAXwAzAF8AMQBfADEAXwBfADMAXwBWAG8AbABhAHQAaQBsAGUAUwBvAGwAaQBkAHMARgBvAHIAVwBlAGEAbgBlAGQARABhAGkAcgB5AEMAYQB0AHQAbABlAF8AVgBhAHIAaQBhAGIAbABlACIALAAiAE0ATQBTAF8ARABhAGkAcgB5AF8ATQBlAHQAaABhAG4AZQBfAEUAcQB1AGEAdABpAG8AbgBzAC4AVgBFAEUAUgBHAF8ANABfADMAXwAxAF8AMQBfAF8AMwBfAFYAbwBsAGEAdABpAGwAZQBTAG8AbABpAGQAcwBGAG8AcgBXAGUAYQBuAGUAZABEAGEAaQByAHkAQwBhAHQAdABsAGUAXwBVAG4AaQB0ACIALAAiAE0ATQBTAF8ARABhAGkAcgB5AF8ATQBlAHQAaABhAG4AZQBfAEUAcQB1AGEAdABpAG8AbgBzAC4AVgBFAEUAUgBHAF8ANABfADMAXwAxAF8AMQBfAF8AMwBfAFYAbwBsAGEAdABpAGwAZQBTAG8AbABpAGQAcwBGAG8AcgBXAGUAYQBuAGUAZABEAGEAaQByAHkAQwBhAHQAdABsAGUAXwBTAG8AdQByAGMAZQAiACwAIgBNAE0AUwBfAEQAYQBpAHIAeQBfAE0AZQB0AGgAYQBuAGUAXwBFAHEAdQBhAHQAaQBvAG4AcwAuAFYARQBFAFIARwBfADQAXwAzAF8AMQBfADEAXwBfADMAXwBWAG8AbABhAHQAaQBsAGUAUwBvAGwAaQBkAHMARgBvAHIAVwBlAGEAbgBlAGQARABhAGkAcgB5AEMAYQB0AHQAbABlAF8ATgBJAFIAUgBlAGYAZQByAGUAbgBjAGUAIgAsACIATQBNAFMAXwBEAGEAaQByAHkAXwBNAGUAdABoAGEAbgBlAF8ARQBxAHUAYQB0AGkAbwBuAHMALgBWAEUARQBSAEcAXwA0AF8AMwBfADEAXwAxAF8AXwAzAF8AVgBvAGwAYQB0AGkAbABlAFMAbwBsAGkAZABzAEYAbwByAFcAZQBhAG4AZQBkAEQAYQBpAHIAeQBDAGEAdAB0AGwAZQBfAEwAYQB0AGUAeABFAHEAdQBhAHQAaQBvAG4AIgAsACIATQBNAFMAXwBEAGEAaQByAHkAXwBNAGUAdABoAGEAbgBlAF8ARQBxAHUAYQB0AGkAbwBuAHMALgBWAEUARQBSAEcAXwA0AF8AMwBfADEAXwAxAF8AXwAzAF8AVgBvAGwAYQB0AGkAbABlAFMAbwBsAGkAZABzAEYAbwByAFcAZQBhAG4AZQBkAEQAYQBpAHIAeQBDAGEAdAB0AGwAZQBfAEEAcgBnAHUAbQBlAG4AdABzACIALAAiAE0ATQBTAF8ARABhAGkAcgB5AF8ATQBlAHQAaABhAG4AZQBfAEUAcQB1AGEAdABpAG8AbgBzAC4AVgBFAEUAUgBHAF8ANABfADMAXwAxAF8AMQBfAF8ANABfAEYAcgBhAGMAdABpAG8AbgBWAG8AbABhAHQAaQBsAGUAUwBvAGwAaQBkAHMATgBvAHQAUwBvAGwAaQBkAFMAdABvAHIAYQBnAGUAIgAsACIATQBNAFMAXwBEAGEAaQByAHkAXwBNAGUAdABoAGEAbgBlAF8ARQBxAHUAYQB0AGkAbwBuAHMALgBWAEUARQBSAEcAXwA0AF8AMwBfADEAXwAxAF8AXwA0AF8ARgByAGEAYwB0AGkAbwBuAFYAbwBsAGEAdABpAGwAZQBTAG8AbABpAGQAcwBOAG8AdABTAG8AbABpAGQAUwB0AG8AcgBhAGcAZQBfAFQAaQB0AGwAZQAiACwAIgBNAE0AUwBfAEQAYQBpAHIAeQBfAE0AZQB0AGgAYQBuAGUAXwBFAHEAdQBhAHQAaQBvAG4AcwAuAFYARQBFAFIARwBfADQAXwAzAF8AMQBfADEAXwBfADQAXwBGAHIAYQBjAHQAaQBvAG4AVgBvAGwAYQB0AGkAbABlAFMAbwBsAGkAZABzAE4AbwB0AFMAbwBsAGkAZABTAHQAbwByAGEAZwBlAF8AVgBhAHIAaQBhAGIAbABlACIALAAiAE0ATQBTAF8ARABhAGkAcgB5AF8ATQBlAHQAaABhAG4AZQBfAEUAcQB1AGEAdABpAG8AbgBzAC4AVgBFAEUAUgBHAF8ANABfADMAXwAxAF8AMQBfAF8ANABfAEYAcgBhAGMAdABpAG8AbgBWAG8AbABhAHQAaQBsAGUAUwBvAGwAaQBkAHMATgBvAHQAUwBvAGwAaQBkAFMAdABvAHIAYQBnAGUAXwBVAG4AaQB0ACIALAAiAE0ATQBTAF8ARABhAGkAcgB5AF8ATQBlAHQAaABhAG4AZQBfAEUAcQB1AGEAdABpAG8AbgBzAC4AVgBFAEUAUgBHAF8ANABfADMAXwAxAF8AMQBfAF8ANABfAEYAcgBhAGMAdABpAG8AbgBWAG8AbABhAHQAaQBsAGUAUwBvAGwAaQBkAHMATgBvAHQAUwBvAGwAaQBkAFMAdABvAHIAYQBnAGUAXwBTAG8AdQByAGMAZQAiACwAIgBNAE0AUwBfAEQAYQBpAHIAeQBfAE0AZQB0AGgAYQBuAGUAXwBFAHEAdQBhAHQAaQBvAG4AcwAuAFYARQBFAFIARwBfADQAXwAzAF8AMQBfADEAXwBfADQAXwBGAHIAYQBjAHQAaQBvAG4AVgBvAGwAYQB0AGkAbABlAFMAbwBsAGkAZABzAE4AbwB0AFMAbwBsAGkAZABTAHQAbwByAGEAZwBlAF8ATgBJAFIAUgBlAGYAZQByAGUAbgBjAGUAIgAsACIATQBNAFMAXwBEAGEAaQByAHkAXwBNAGUAdABoAGEAbgBlAF8ARQBxAHUAYQB0AGkAbwBuAHMALgBWAEUARQBSAEcAXwA0AF8AMwBfADEAXwAxAF8AXwA0AF8ARgByAGEAYwB0AGkAbwBuAFYAbwBsAGEAdABpAGwAZQBTAG8AbABpAGQAcwBOAG8AdABTAG8AbABpAGQAUwB0AG8AcgBhAGcAZQBfAEwAYQB0AGUAeABFAHEAdQBhAHQAaQBvAG4AIgAsACIATQBNAFMAXwBEAGEAaQByAHkAXwBNAGUAdABoAGEAbgBlAF8ARQBxAHUAYQB0AGkAbwBuAHMALgBWAEUARQBSAEcAXwA0AF8AMwBfADEAXwAxAF8AXwA0AF8ARgByAGEAYwB0AGkAbwBuAFYAbwBsAGEAdABpAGwAZQBTAG8AbABpAGQAcwBOAG8AdABTAG8AbABpAGQAUwB0AG8AcgBhAGcAZQBfAEEAcgBnAHUAbQBlAG4AdABzACIALAAiAE0ATQBTAF8ARABhAGkAcgB5AF8ATQBlAHQAaABhAG4AZQBfAEUAcQB1AGEAdABpAG8AbgBzAC4AVgBFAEUAUgBHAF8ANABfADMAXwAxAF8AMQBfAF8ANQBfAEYAcgBhAGMAdABpAG8AbgBWAG8AbABhAHQAaQBsAGUAUwBvAGwAaQBkAHMAUwBvAGwAaQBkAFMAdABvAHIAYQBnAGUAIgAsACIATQBNAFMAXwBEAGEAaQByAHkAXwBNAGUAdABoAGEAbgBlAF8ARQBxAHUAYQB0AGkAbwBuAHMALgBWAEUARQBSAEcAXwA0AF8AMwBfADEAXwAxAF8AXwA1AF8ARgByAGEAYwB0AGkAbwBuAFYAbwBsAGEAdABpAGwAZQBTAG8AbABpAGQAcwBTAG8AbABpAGQAUwB0AG8AcgBhAGcAZQBWAGEAcgBpAGEAdABpAG8AbgAiACwAIgBNAE0AUwBfAEQAYQBpAHIAeQBfAE0AZQB0AGgAYQBuAGUAXwBFAHEAdQBhAHQAaQBvAG4AcwAuAFYARQBFAFIARwBfADQAXwAzAF8AMQBfADEAXwBfADUAXwBGAHIAYQBjAHQAaQBvAG4AVgBvAGwAYQB0AGkAbABlAFMAbwBsAGkAZABzAFMAbwBsAGkAZABTAHQAbwByAGEAZwBlAF8AVABpAHQAbABlACIALAAiAE0ATQBTAF8ARABhAGkAcgB5AF8ATQBlAHQAaABhAG4AZQBfAEUAcQB1AGEAdABpAG8AbgBzAC4AVgBFAEUAUgBHAF8ANABfADMAXwAxAF8AMQBfAF8ANQBfAEYAcgBhAGMAdABpAG8AbgBWAG8AbABhAHQAaQBsAGUAUwBvAGwAaQBkAHMAUwBvAGwAaQBkAFMAdABvAHIAYQBnAGUAXwBWAGEAcgBpAGEAYgBsAGUAIgAsACIATQBNAFMAXwBEAGEAaQByAHkAXwBNAGUAdABoAGEAbgBlAF8ARQBxAHUAYQB0AGkAbwBuAHMALgBWAEUARQBSAEcAXwA0AF8AMwBfADEAXwAxAF8AXwA1AF8ARgByAGEAYwB0AGkAbwBuAFYAbwBsAGEAdABpAGwAZQBTAG8AbABpAGQAcwBTAG8AbABpAGQAUwB0AG8AcgBhAGcAZQBfAFUAbgBpAHQAIgAsACIATQBNAFMAXwBEAGEAaQByAHkAXwBNAGUAdABoAGEAbgBlAF8ARQBxAHUAYQB0AGkAbwBuAHMALgBWAEUARQBSAEcAXwA0AF8AMwBfADEAXwAxAF8AXwA1AF8ARgByAGEAYwB0AGkAbwBuAFYAbwBsAGEAdABpAGwAZQBTAG8AbABpAGQAcwBTAG8AbABpAGQAUwB0AG8AcgBhAGcAZQBfAFMAbwB1AHIAYwBlACIALAAiAE0ATQBTAF8ARABhAGkAcgB5AF8ATQBlAHQAaABhAG4AZQBfAEUAcQB1AGEAdABpAG8AbgBzAC4AVgBFAEUAUgBHAF8ANABfADMAXwAxAF8AMQBfAF8ANQBfAEYAcgBhAGMAdABpAG8AbgBWAG8AbABhAHQAaQBsAGUAUwBvAGwAaQBkAHMAUwBvAGwAaQBkAFMAdABvAHIAYQBnAGUAXwBOAEkAUgBSAGUAZgBlAHIAZQBuAGMAZQAiACwAIgBNAE0AUwBfAEQAYQBpAHIAeQBfAE0AZQB0AGgAYQBuAGUAXwBFAHEAdQBhAHQAaQBvAG4AcwAuAFYARQBFAFIARwBfADQAXwAzAF8AMQBfADEAXwBfADUAXwBGAHIAYQBjAHQAaQBvAG4AVgBvAGwAYQB0AGkAbABlAFMAbwBsAGkAZABzAFMAbwBsAGkAZABTAHQAbwByAGEAZwBlAF8ATABhAHQAZQB4AEUAcQB1AGEAdABpAG8AbgAiACwAIgBNAE0AUwBfAEQAYQBpAHIAeQBfAE0AZQB0AGgAYQBuAGUAXwBFAHEAdQBhAHQAaQBvAG4AcwAuAFYARQBFAFIARwBfADQAXwAzAF8AMQBfADEAXwBfADUAXwBGAHIAYQBjAHQAaQBvAG4AVgBvAGwAYQB0AGkAbABlAFMAbwBsAGkAZABzAFMAbwBsAGkAZABTAHQAbwByAGEAZwBlAF8ATABhAHQAZQB4AEUAcQB1AGEAdABpAG8AbgBWAGEAcgBpAGEAdABpAG8AbgAiACwAIgBNAE0AUwBfAEQAYQBpAHIAeQBfAE0AZQB0AGgAYQBuAGUAXwBFAHEAdQBhAHQAaQBvAG4AcwAuAFYARQBFAFIARwBfADQAXwAzAF8AMQBfADEAXwBfADUAXwBGAHIAYQBjAHQAaQBvAG4AVgBvAGwAYQB0AGkAbABlAFMAbwBsAGkAZABzAFMAbwBsAGkAZABTAHQAbwByAGEAZwBlAF8AQQByAGcAdQBtAGUAbgB0AHMAIgAsACIATQBNAFMAXwBEAGEAaQByAHkAXwBNAGUAdABoAGEAbgBlAF8ARQBxAHUAYQB0AGkAbwBuAHMALgBWAEUARQBSAEcAXwA0AF8AMwBfADEAXwAxAF8AXwA1AF8ARgByAGEAYwB0AGkAbwBuAFYAbwBsAGEAdABpAGwAZQBTAG8AbABpAGQAcwBTAG8AbABpAGQAUwB0AG8AcgBhAGcAZQBfAFYAYQByAGkAYQB0AGkAbwBuACIALAAiAE0ATQBTAF8ARABhAGkAcgB5AF8ATgAyAE8ARABpAHIAZQBjAHQAXwBFAHEAdQBhAHQAaQBvAG4AcwAuAFYARQBFAFIARwBfADQAXwAzAF8AMQBfADMAXwBfADEAXwBUAG8AdABhAGwAQQBuAG4AdQBhAGwARABpAHIAZQBjAHQATgBpAHQAcgBvAHUAcwBPAHgAaQBkAGUARQBtAGkAcwBzAGkAbwBuAHMARgByAG8AbQBNAE0AUwAiACwAIgBNAE0AUwBfAEQAYQBpAHIAeQBfAE4AMgBPAEQAaQByAGUAYwB0AF8ARQBxAHUAYQB0AGkAbwBuAHMALgBWAEUARQBSAEcAXwA0AF8AMwBfADEAXwAzAF8AXwAxAF8AVABvAHQAYQBsAEEAbgBuAHUAYQBsAEQAaQByAGUAYwB0AE4AaQB0AHIAbwB1AHMATwB4AGkAZABlAEUAbQBpAHMAcwBpAG8AbgBzAEYAcgBvAG0ATQBNAFMAXwBUAGkAdABsAGUAIgAsACIATQBNAFMAXwBEAGEAaQByAHkAXwBOADIATwBEAGkAcgBlAGMAdABfAEUAcQB1AGEAdABpAG8AbgBzAC4AVgBFAEUAUgBHAF8ANABfADMAXwAxAF8AMwBfAF8AMQBfAFQAbwB0AGEAbABBAG4AbgB1AGEAbABEAGkAcgBlAGMAdABOAGkAdAByAG8AdQBzAE8AeABpAGQAZQBFAG0AaQBzAHMAaQBvAG4AcwBGAHIAbwBtAE0ATQBTAF8AVgBhAHIAaQBhAGIAbABlACIALAAiAE0ATQBTAF8ARABhAGkAcgB5AF8ATgAyAE8ARABpAHIAZQBjAHQAXwBFAHEAdQBhAHQAaQBvAG4AcwAuAFYARQBFAFIARwBfADQAXwAzAF8AMQBfADMAXwBfADEAXwBUAG8AdABhAGwAQQBuAG4AdQBhAGwARABpAHIAZQBjAHQATgBpAHQAcgBvAHUAcwBPAHgAaQBkAGUARQBtAGkAcwBzAGkAbwBuAHMARgByAG8AbQBNAE0AUwBfAFUAbgBpAHQAIgAsACIATQBNAFMAXwBEAGEAaQByAHkAXwBOADIATwBEAGkAcgBlAGMAdABfAEUAcQB1AGEAdABpAG8AbgBzAC4AVgBFAEUAUgBHAF8ANABfADMAXwAxAF8AMwBfAF8AMQBfAFQAbwB0AGEAbABBAG4AbgB1AGEAbABEAGkAcgBlAGMAdABOAGkAdAByAG8AdQBzAE8AeABpAGQAZQBFAG0AaQBzAHMAaQBvAG4AcwBGAHIAbwBtAE0ATQBTAF8AUwBvAHUAcgBjAGUAIgAsACIATQBNAFMAXwBEAGEAaQByAHkAXwBOADIATwBEAGkAcgBlAGMAdABfAEUAcQB1AGEAdABpAG8AbgBzAC4AVgBFAEUAUgBHAF8ANABfADMAXwAxAF8AMwBfAF8AMQBfAFQAbwB0AGEAbABBAG4AbgB1AGEAbABEAGkAcgBlAGMAdABOAGkAdAByAG8AdQBzAE8AeABpAGQAZQBFAG0AaQBzAHMAaQBvAG4AcwBGAHIAbwBtAE0ATQBTAF8ATgBJAFIAUgBlAGYAZQByAGUAbgBjAGUAIgAsACIATQBNAFMAXwBEAGEAaQByAHkAXwBOADIATwBEAGkAcgBlAGMAdABfAEUAcQB1AGEAdABpAG8AbgBzAC4AVgBFAEUAUgBHAF8ANABfADMAXwAxAF8AMwBfAF8AMQBfAFQAbwB0AGEAbABBAG4AbgB1AGEAbABEAGkAcgBlAGMAdABOAGkAdAByAG8AdQBzAE8AeABpAGQAZQBFAG0AaQBzAHMAaQBvAG4AcwBGAHIAbwBtAE0ATQBTAF8ATABhAHQAZQB4AEUAcQB1AGEAdABpAG8AbgAiACwAIgBNAE0AUwBfAEQAYQBpAHIAeQBfAE4AMgBPAEQAaQByAGUAYwB0AF8ARQBxAHUAYQB0AGkAbwBuAHMALgBWAEUARQBSAEcAXwA0AF8AMwBfADEAXwAzAF8AXwAxAF8AVABvAHQAYQBsAEEAbgBuAHUAYQBsAEQAaQByAGUAYwB0AE4AaQB0AHIAbwB1AHMATwB4AGkAZABlAEUAbQBpAHMAcwBpAG8AbgBzAEYAcgBvAG0ATQBNAFMAXwBBAHIAZwB1AG0AZQBuAHQAcwAiACwAIgBNAE0AUwBfAEQAYQBpAHIAeQBfAE4AMgBPAEQAaQByAGUAYwB0AF8ARQBxAHUAYQB0AGkAbwBuAHMALgBWAEUARQBSAEcAXwA0AF8AMwBfADEAXwAzAF8AXwAyAF8AVABvAHQAYQBsAE4AaQB0AHIAbwBnAGUAbgBJAG4ARQBhAGMAaABNAE0AUwAiACwAIgBNAE0AUwBfAEQAYQBpAHIAeQBfAE4AMgBPAEQAaQByAGUAYwB0AF8ARQBxAHUAYQB0AGkAbwBuAHMALgBWAEUARQBSAEcAXwA0AF8AMwBfADEAXwAzAF8AXwAyAF8AVABvAHQAYQBsAE4AaQB0AHIAbwBnAGUAbgBJAG4ARQBhAGMAaABNAE0AUwBfAFQAaQB0AGwAZQAiACwAIgBNAE0AUwBfAEQAYQBpAHIAeQBfAE4AMgBPAEQAaQByAGUAYwB0AF8ARQBxAHUAYQB0AGkAbwBuAHMALgBWAEUARQBSAEcAXwA0AF8AMwBfADEAXwAzAF8AXwAyAF8AVABvAHQAYQBsAE4AaQB0AHIAbwBnAGUAbgBJAG4ARQBhAGMAaABNAE0AUwBfAFYAYQByAGkAYQBiAGwAZQAiACwAIgBNAE0AUwBfAEQAYQBpAHIAeQBfAE4AMgBPAEQAaQByAGUAYwB0AF8ARQBxAHUAYQB0AGkAbwBuAHMALgBWAEUARQBSAEcAXwA0AF8AMwBfADEAXwAzAF8AXwAyAF8AVABvAHQAYQBsAE4AaQB0AHIAbwBnAGUAbgBJAG4ARQBhAGMAaABNAE0AUwBfAFUAbgBpAHQAIgAsACIATQBNAFMAXwBEAGEAaQByAHkAXwBOADIATwBEAGkAcgBlAGMAdABfAEUAcQB1AGEAdABpAG8AbgBzAC4AVgBFAEUAUgBHAF8ANABfADMAXwAxAF8AMwBfAF8AMgBfAFQAbwB0AGEAbABOAGkAdAByAG8AZwBlAG4ASQBuAEUAYQBjAGgATQBNAFMAXwBTAG8AdQByAGMAZQAiACwAIgBNAE0AUwBfAEQAYQBpAHIAeQBfAE4AMgBPAEQAaQByAGUAYwB0AF8ARQBxAHUAYQB0AGkAbwBuAHMALgBWAEUARQBSAEcAXwA0AF8AMwBfADEAXwAzAF8AXwAyAF8AVABvAHQAYQBsAE4AaQB0AHIAbwBnAGUAbgBJAG4ARQBhAGMAaABNAE0AUwBfAE4ASQBSAFIAZQBmAGUAcgBlAG4AYwBlACIALAAiAE0ATQBTAF8ARABhAGkAcgB5AF8ATgAyAE8ARABpAHIAZQBjAHQAXwBFAHEAdQBhAHQAaQBvAG4AcwAuAFYARQBFAFIARwBfADQAXwAzAF8AMQBfADMAXwBfADIAXwBUAG8AdABhAGwATgBpAHQAcgBvAGcAZQBuAEkAbgBFAGEAYwBoAE0ATQBTAF8ATABhAHQAZQB4AEUAcQB1AGEAdABpAG8AbgAiACwAIgBNAE0AUwBfAEQAYQBpAHIAeQBfAE4AMgBPAEQAaQByAGUAYwB0AF8ARQBxAHUAYQB0AGkAbwBuAHMALgBWAEUARQBSAEcAXwA0AF8AMwBfADEAXwAzAF8AXwAyAF8AVABvAHQAYQBsAE4AaQB0AHIAbwBnAGUAbgBJAG4ARQBhAGMAaABNAE0AUwBfAEEAcgBnAHUAbQBlAG4AdABzACIALAAiAE0ATQBTAF8ARABhAGkAcgB5AF8ATgAyAE8ARABpAHIAZQBjAHQAXwBFAHEAdQBhAHQAaQBvAG4AcwAuAFYARQBFAFIARwBfADQAXwAzAF8AMQBfADMAXwBfADMAYQBfAFQAbwB0AGEAbABBAG4AbgB1AGEAbABOAGkAdAByAG8AZwBlAG4ARQB4AGMAcgBlAHQAZQBkAEcAcgBlAGEAdABlAHIAVABoAGEAbgBPAG4AZQBZAGUAYQByACIALAAiAE0ATQBTAF8ARABhAGkAcgB5AF8ATgAyAE8ARABpAHIAZQBjAHQAXwBFAHEAdQBhAHQAaQBvAG4AcwAuAFYARQBFAFIARwBfADQAXwAzAF8AMQBfADMAXwBfADMAYQBfAFQAbwB0AGEAbABBAG4AbgB1AGEAbABOAGkAdAByAG8AZwBlAG4ARQB4AGMAcgBlAHQAZQBkAEcAcgBlAGEAdABlAHIAVABoAGEAbgBPAG4AZQBZAGUAYQByAFYAYQByAGkAYQB0AGkAbwBuACIALAAiAE0ATQBTAF8ARABhAGkAcgB5AF8ATgAyAE8ARABpAHIAZQBjAHQAXwBFAHEAdQBhAHQAaQBvAG4AcwAuAFYARQBFAFIARwBfADQAXwAzAF8AMQBfADMAXwBfADMAYQBfAFQAbwB0AGEAbABBAG4AbgB1AGEAbABOAGkAdAByAG8AZwBlAG4ARQB4AGMAcgBlAHQAZQBkAEcAcgBlAGEAdABlAHIAVABoAGEAbgBPAG4AZQBZAGUAYQByAF8AVABpAHQAbABlACIALAAiAE0ATQBTAF8ARABhAGkAcgB5AF8ATgAyAE8ARABpAHIAZQBjAHQAXwBFAHEAdQBhAHQAaQBvAG4AcwAuAFYARQBFAFIARwBfADQAXwAzAF8AMQBfADMAXwBfADMAYQBfAFQAbwB0AGEAbABBAG4AbgB1AGEAbABOAGkAdAByAG8AZwBlAG4ARQB4AGMAcgBlAHQAZQBkAEcAcgBlAGEAdABlAHIAVABoAGEAbgBPAG4AZQBZAGUAYQByAF8AVgBhAHIAaQBhAGIAbABlACIALAAiAE0ATQBTAF8ARABhAGkAcgB5AF8ATgAyAE8ARABpAHIAZQBjAHQAXwBFAHEAdQBhAHQAaQBvAG4AcwAuAFYARQBFAFIARwBfADQAXwAzAF8AMQBfADMAXwBfADMAYQBfAFQAbwB0AGEAbABBAG4AbgB1AGEAbABOAGkAdAByAG8AZwBlAG4ARQB4AGMAcgBlAHQAZQBkAEcAcgBlAGEAdABlAHIAVABoAGEAbgBPAG4AZQBZAGUAYQByAF8AVQBuAGkAdAAiACwAIgBNAE0AUwBfAEQAYQBpAHIAeQBfAE4AMgBPAEQAaQByAGUAYwB0AF8ARQBxAHUAYQB0AGkAbwBuAHMALgBWAEUARQBSAEcAXwA0AF8AMwBfADEAXwAzAF8AXwAzAGEAXwBUAG8AdABhAGwAQQBuAG4AdQBhAGwATgBpAHQAcgBvAGcAZQBuAEUAeABjAHIAZQB0AGUAZABHAHIAZQBhAHQAZQByAFQAaABhAG4ATwBuAGUAWQBlAGEAcgBfAFMAbwB1AHIAYwBlACIALAAiAE0ATQBTAF8ARABhAGkAcgB5AF8ATgAyAE8ARABpAHIAZQBjAHQAXwBFAHEAdQBhAHQAaQBvAG4AcwAuAFYARQBFAFIARwBfADQAXwAzAF8AMQBfADMAXwBfADMAYQBfAFQAbwB0AGEAbABBAG4AbgB1AGEAbABOAGkAdAByAG8AZwBlAG4ARQB4AGMAcgBlAHQAZQBkAEcAcgBlAGEAdABlAHIAVABoAGEAbgBPAG4AZQBZAGUAYQByAF8ATgBJAFIAUgBlAGYAZQByAGUAbgBjAGUAIgAsACIATQBNAFMAXwBEAGEAaQByAHkAXwBOADIATwBEAGkAcgBlAGMAdABfAEUAcQB1AGEAdABpAG8AbgBzAC4AVgBFAEUAUgBHAF8ANABfADMAXwAxAF8AMwBfAF8AMwBhAF8AVABvAHQAYQBsAEEAbgBuAHUAYQBsAE4AaQB0AHIAbwBnAGUAbgBFAHgAYwByAGUAdABlAGQARwByAGUAYQB0AGUAcgBUAGgAYQBuAE8AbgBlAFkAZQBhAHIAXwBMAGEAdABlAHgARQBxAHUAYQB0AGkAbwBuACIALAAiAE0ATQBTAF8ARABhAGkAcgB5AF8ATgAyAE8ARABpAHIAZQBjAHQAXwBFAHEAdQBhAHQAaQBvAG4AcwAuAFYARQBFAFIARwBfADQAXwAzAF8AMQBfADMAXwBfADMAYQBfAFQAbwB0AGEAbABBAG4AbgB1AGEAbABOAGkAdAByAG8AZwBlAG4ARQB4AGMAcgBlAHQAZQBkAEcAcgBlAGEAdABlAHIAVABoAGEAbgBPAG4AZQBZAGUAYQByAF8ATABhAHQAZQB4AEUAcQB1AGEAdABpAG8AbgBWAGEAcgBpAGEAdABpAG8AbgAiACwAIgBNAE0AUwBfAEQAYQBpAHIAeQBfAE4AMgBPAEQAaQByAGUAYwB0AF8ARQBxAHUAYQB0AGkAbwBuAHMALgBWAEUARQBSAEcAXwA0AF8AMwBfADEAXwAzAF8AXwAzAGEAXwBUAG8AdABhAGwAQQBuAG4AdQBhAGwATgBpAHQAcgBvAGcAZQBuAEUAeABjAHIAZQB0AGUAZABHAHIAZQBhAHQAZQByAFQAaABhAG4ATwBuAGUAWQBlAGEAcgBfAEEAcgBnAHUAbQBlAG4AdABzACIALAAiAE0ATQBTAF8ARABhAGkAcgB5AF8ATgAyAE8ARABpAHIAZQBjAHQAXwBFAHEAdQBhAHQAaQBvAG4AcwAuAFYARQBFAFIARwBfADQAXwAzAF8AMQBfADMAXwBfADMAYQBfAFQAbwB0AGEAbABBAG4AbgB1AGEAbABOAGkAdAByAG8AZwBlAG4ARQB4AGMAcgBlAHQAZQBkAEcAcgBlAGEAdABlAHIAVABoAGEAbgBPAG4AZQBZAGUAYQByAF8AVgBhAHIAaQBhAHQAaQBvAG4AIgAsACIATQBNAFMAXwBEAGEAaQByAHkAXwBOADIATwBEAGkAcgBlAGMAdABfAEUAcQB1AGEAdABpAG8AbgBzAC4AVgBFAEUAUgBHAF8ANABfADMAXwAxAF8AMwBfAF8AMwBiAF8AVABvAHQAYQBsAEEAbgBuAHUAYQBsAE4AaQB0AHIAbwBnAGUAbgBFAHgAYwByAGUAdABlAGQATABlAHMAcwBUAGgAYQBuAE8AbgBlAFkAZQBhAHIAIgAsACIATQBNAFMAXwBEAGEAaQByAHkAXwBOADIATwBEAGkAcgBlAGMAdABfAEUAcQB1AGEAdABpAG8AbgBzAC4AVgBFAEUAUgBHAF8ANABfADMAXwAxAF8AMwBfAF8AMwBiAF8AVABvAHQAYQBsAEEAbgBuAHUAYQBsAE4AaQB0AHIAbwBnAGUAbgBFAHgAYwByAGUAdABlAGQATABlAHMAcwBUAGgAYQBuAE8AbgBlAFkAZQBhAHIAVgBhAHIAaQBhAHQAaQBvAG4AIgAsACIATQBNAFMAXwBEAGEAaQByAHkAXwBOADIATwBEAGkAcgBlAGMAdABfAEUAcQB1AGEAdABpAG8AbgBzAC4AVgBFAEUAUgBHAF8ANABfADMAXwAxAF8AMwBfAF8AMwBiAF8AVABvAHQAYQBsAEEAbgBuAHUAYQBsAE4AaQB0AHIAbwBnAGUAbgBFAHgAYwByAGUAdABlAGQATABlAHMAcwBUAGgAYQBuAE8AbgBlAFkAZQBhAHIAXwBUAGkAdABsAGUAIgAsACIATQBNAFMAXwBEAGEAaQByAHkAXwBOADIATwBEAGkAcgBlAGMAdABfAEUAcQB1AGEAdABpAG8AbgBzAC4AVgBFAEUAUgBHAF8ANABfADMAXwAxAF8AMwBfAF8AMwBiAF8AVABvAHQAYQBsAEEAbgBuAHUAYQBsAE4AaQB0AHIAbwBnAGUAbgBFAHgAYwByAGUAdABlAGQATABlAHMAcwBUAGgAYQBuAE8AbgBlAFkAZQBhAHIAXwBWAGEAcgBpAGEAYgBsAGUAIgAsACIATQBNAFMAXwBEAGEAaQByAHkAXwBOADIATwBEAGkAcgBlAGMAdABfAEUAcQB1AGEAdABpAG8AbgBzAC4AVgBFAEUAUgBHAF8ANABfADMAXwAxAF8AMwBfAF8AMwBiAF8AVABvAHQAYQBsAEEAbgBuAHUAYQBsAE4AaQB0AHIAbwBnAGUAbgBFAHgAYwByAGUAdABlAGQATABlAHMAcwBUAGgAYQBuAE8AbgBlAFkAZQBhAHIAXwBVAG4AaQB0ACIALAAiAE0ATQBTAF8ARABhAGkAcgB5AF8ATgAyAE8ARABpAHIAZQBjAHQAXwBFAHEAdQBhAHQAaQBvAG4AcwAuAFYARQBFAFIARwBfADQAXwAzAF8AMQBfADMAXwBfADMAYgBfAFQAbwB0AGEAbABBAG4AbgB1AGEAbABOAGkAdAByAG8AZwBlAG4ARQB4AGMAcgBlAHQAZQBkAEwAZQBzAHMAVABoAGEAbgBPAG4AZQBZAGUAYQByAF8AUwBvAHUAcgBjAGUAIgAsACIATQBNAFMAXwBEAGEAaQByAHkAXwBOADIATwBEAGkAcgBlAGMAdABfAEUAcQB1AGEAdABpAG8AbgBzAC4AVgBFAEUAUgBHAF8ANABfADMAXwAxAF8AMwBfAF8AMwBiAF8AVABvAHQAYQBsAEEAbgBuAHUAYQBsAE4AaQB0AHIAbwBnAGUAbgBFAHgAYwByAGUAdABlAGQATABlAHMAcwBUAGgAYQBuAE8AbgBlAFkAZQBhAHIAXwBOAEkAUgBSAGUAZgBlAHIAZQBuAGMAZQAiACwAIgBNAE0AUwBfAEQAYQBpAHIAeQBfAE4AMgBPAEQAaQByAGUAYwB0AF8ARQBxAHUAYQB0AGkAbwBuAHMALgBWAEUARQBSAEcAXwA0AF8AMwBfADEAXwAzAF8AXwAzAGIAXwBUAG8AdABhAGwAQQBuAG4AdQBhAGwATgBpAHQAcgBvAGcAZQBuAEUAeABjAHIAZQB0AGUAZABMAGUAcwBzAFQAaABhAG4ATwBuAGUAWQBlAGEAcgBfAEwAYQB0AGUAeABFAHEAdQBhAHQAaQBvAG4AIgAsACIATQBNAFMAXwBEAGEAaQByAHkAXwBOADIATwBEAGkAcgBlAGMAdABfAEUAcQB1AGEAdABpAG8AbgBzAC4AVgBFAEUAUgBHAF8ANABfADMAXwAxAF8AMwBfAF8AMwBiAF8AVABvAHQAYQBsAEEAbgBuAHUAYQBsAE4AaQB0AHIAbwBnAGUAbgBFAHgAYwByAGUAdABlAGQATABlAHMAcwBUAGgAYQBuAE8AbgBlAFkAZQBhAHIAXwBMAGEAdABlAHgARQBxAHUAYQB0AGkAbwBuAFYAYQByAGkAYQB0AGkAbwBuACIALAAiAE0ATQBTAF8ARABhAGkAcgB5AF8ATgAyAE8ARABpAHIAZQBjAHQAXwBFAHEAdQBhAHQAaQBvAG4AcwAuAFYARQBFAFIARwBfADQAXwAzAF8AMQBfADMAXwBfADMAYgBfAFQAbwB0AGEAbABBAG4AbgB1AGEAbABOAGkAdAByAG8AZwBlAG4ARQB4AGMAcgBlAHQAZQBkAEwAZQBzAHMAVABoAGEAbgBPAG4AZQBZAGUAYQByAF8AQQByAGcAdQBtAGUAbgB0AHMAIgAsACIATQBNAFMAXwBEAGEAaQByAHkAXwBOADIATwBEAGkAcgBlAGMAdABfAEUAcQB1AGEAdABpAG8AbgBzAC4AVgBFAEUAUgBHAF8ANABfADMAXwAxAF8AMwBfAF8AMwBiAF8AVABvAHQAYQBsAEEAbgBuAHUAYQBsAE4AaQB0AHIAbwBnAGUAbgBFAHgAYwByAGUAdABlAGQATABlAHMAcwBUAGgAYQBuAE8AbgBlAFkAZQBhAHIAXwBWAGEAcgBpAGEAdABpAG8AbgAiACwAIgBNAE0AUwBfAEQAYQBpAHIAeQBfAE4AMgBPAEQAaQByAGUAYwB0AF8ARQBxAHUAYQB0AGkAbwBuAHMALgBWAEUARQBSAEcAXwA0AF8AMwBfADEAXwAzAF8AXwA0AF8ATgBpAHQAcgBvAGcAZQBuAEUAeABjAHIAZQB0AGUAZABCAHkARABhAGkAcgB5AEMAYQB0AHQAbABlAEcAcgBlAGEAdABlAHIAVABoAGEAbgBPAG4AZQBZAGUAYQByACIALAAiAE0ATQBTAF8ARABhAGkAcgB5AF8ATgAyAE8ARABpAHIAZQBjAHQAXwBFAHEAdQBhAHQAaQBvAG4AcwAuAFYARQBFAFIARwBfADQAXwAzAF8AMQBfADMAXwBfADQAXwBOAGkAdAByAG8AZwBlAG4ARQB4AGMAcgBlAHQAZQBkAEIAeQBEAGEAaQByAHkAQwBhAHQAdABsAGUARwByAGUAYQB0AGUAcgBUAGgAYQBuAE8AbgBlAFkAZQBhAHIAXwBUAGkAdABsAGUAIgAsACIATQBNAFMAXwBEAGEAaQByAHkAXwBOADIATwBEAGkAcgBlAGMAdABfAEUAcQB1AGEAdABpAG8AbgBzAC4AVgBFAEUAUgBHAF8ANABfADMAXwAxAF8AMwBfAF8ANABfAE4AaQB0AHIAbwBnAGUAbgBFAHgAYwByAGUAdABlAGQAQgB5AEQAYQBpAHIAeQBDAGEAdAB0AGwAZQBHAHIAZQBhAHQAZQByAFQAaABhAG4ATwBuAGUAWQBlAGEAcgBfAFYAYQByAGkAYQBiAGwAZQAiACwAIgBNAE0AUwBfAEQAYQBpAHIAeQBfAE4AMgBPAEQAaQByAGUAYwB0AF8ARQBxAHUAYQB0AGkAbwBuAHMALgBWAEUARQBSAEcAXwA0AF8AMwBfADEAXwAzAF8AXwA0AF8ATgBpAHQAcgBvAGcAZQBuAEUAeABjAHIAZQB0AGUAZABCAHkARABhAGkAcgB5AEMAYQB0AHQAbABlAEcAcgBlAGEAdABlAHIAVABoAGEAbgBPAG4AZQBZAGUAYQByAF8AVQBuAGkAdAAiACwAIgBNAE0AUwBfAEQAYQBpAHIAeQBfAE4AMgBPAEQAaQByAGUAYwB0AF8ARQBxAHUAYQB0AGkAbwBuAHMALgBWAEUARQBSAEcAXwA0AF8AMwBfADEAXwAzAF8AXwA0AF8ATgBpAHQAcgBvAGcAZQBuAEUAeABjAHIAZQB0AGUAZABCAHkARABhAGkAcgB5AEMAYQB0AHQAbABlAEcAcgBlAGEAdABlAHIAVABoAGEAbgBPAG4AZQBZAGUAYQByAF8AUwBvAHUAcgBjAGUAIgAsACIATQBNAFMAXwBEAGEAaQByAHkAXwBOADIATwBEAGkAcgBlAGMAdABfAEUAcQB1AGEAdABpAG8AbgBzAC4AVgBFAEUAUgBHAF8ANABfADMAXwAxAF8AMwBfAF8ANABfAE4AaQB0AHIAbwBnAGUAbgBFAHgAYwByAGUAdABlAGQAQgB5AEQAYQBpAHIAeQBDAGEAdAB0AGwAZQBHAHIAZQBhAHQAZQByAFQAaABhAG4ATwBuAGUAWQBlAGEAcgBfAE4ASQBSAFIAZQBmAGUAcgBlAG4AYwBlACIALAAiAE0ATQBTAF8ARABhAGkAcgB5AF8ATgAyAE8ARABpAHIAZQBjAHQAXwBFAHEAdQBhAHQAaQBvAG4AcwAuAFYARQBFAFIARwBfADQAXwAzAF8AMQBfADMAXwBfADQAXwBOAGkAdAByAG8AZwBlAG4ARQB4AGMAcgBlAHQAZQBkAEIAeQBEAGEAaQByAHkAQwBhAHQAdABsAGUARwByAGUAYQB0AGUAcgBUAGgAYQBuAE8AbgBlAFkAZQBhAHIAXwBMAGEAdABlAHgARQBxAHUAYQB0AGkAbwBuACIALAAiAE0ATQBTAF8ARABhAGkAcgB5AF8ATgAyAE8ARABpAHIAZQBjAHQAXwBFAHEAdQBhAHQAaQBvAG4AcwAuAFYARQBFAFIARwBfADQAXwAzAF8AMQBfADMAXwBfADQAXwBOAGkAdAByAG8AZwBlAG4ARQB4AGMAcgBlAHQAZQBkAEIAeQBEAGEAaQByAHkAQwBhAHQAdABsAGUARwByAGUAYQB0AGUAcgBUAGgAYQBuAE8AbgBlAFkAZQBhAHIAXwBBAHIAZwB1AG0AZQBuAHQAcwAiACwAIgBNAE0AUwBfAEQAYQBpAHIAeQBfAE4AMgBPAEQAaQByAGUAYwB0AF8ARQBxAHUAYQB0AGkAbwBuAHMALgBWAEUARQBSAEcAXwA0AF8AMwBfADEAXwAzAF8AXwA1AF8AQwByAHUAZABlAFAAcgBvAHQAZQBpAG4ASQBuAHQAYQBrAGUATwBmAEQAYQBpAHIAeQBDAGEAdAB0AGwAZQAiACwAIgBNAE0AUwBfAEQAYQBpAHIAeQBfAE4AMgBPAEQAaQByAGUAYwB0AF8ARQBxAHUAYQB0AGkAbwBuAHMALgBWAEUARQBSAEcAXwA0AF8AMwBfADEAXwAzAF8AXwA1AF8AQwByAHUAZABlAFAAcgBvAHQAZQBpAG4ASQBuAHQAYQBrAGUATwBmAEQAYQBpAHIAeQBDAGEAdAB0AGwAZQBfAFQAaQB0AGwAZQAiACwAIgBNAE0AUwBfAEQAYQBpAHIAeQBfAE4AMgBPAEQAaQByAGUAYwB0AF8ARQBxAHUAYQB0AGkAbwBuAHMALgBWAEUARQBSAEcAXwA0AF8AMwBfADEAXwAzAF8AXwA1AF8AQwByAHUAZABlAFAAcgBvAHQAZQBpAG4ASQBuAHQAYQBrAGUATwBmAEQAYQBpAHIAeQBDAGEAdAB0AGwAZQBfAFYAYQByAGkAYQBiAGwAZQAiACwAIgBNAE0AUwBfAEQAYQBpAHIAeQBfAE4AMgBPAEQAaQByAGUAYwB0AF8ARQBxAHUAYQB0AGkAbwBuAHMALgBWAEUARQBSAEcAXwA0AF8AMwBfADEAXwAzAF8AXwA1AF8AQwByAHUAZABlAFAAcgBvAHQAZQBpAG4ASQBuAHQAYQBrAGUATwBmAEQAYQBpAHIAeQBDAGEAdAB0AGwAZQBfAFUAbgBpAHQAIgAsACIATQBNAFMAXwBEAGEAaQByAHkAXwBOADIATwBEAGkAcgBlAGMAdABfAEUAcQB1AGEAdABpAG8AbgBzAC4AVgBFAEUAUgBHAF8ANABfADMAXwAxAF8AMwBfAF8ANQBfAEMAcgB1AGQAZQBQAHIAbwB0AGUAaQBuAEkAbgB0AGEAawBlAE8AZgBEAGEAaQByAHkAQwBhAHQAdABsAGUAXwBTAG8AdQByAGMAZQAiACwAIgBNAE0AUwBfAEQAYQBpAHIAeQBfAE4AMgBPAEQAaQByAGUAYwB0AF8ARQBxAHUAYQB0AGkAbwBuAHMALgBWAEUARQBSAEcAXwA0AF8AMwBfADEAXwAzAF8AXwA1AF8AQwByAHUAZABlAFAAcgBvAHQAZQBpAG4ASQBuAHQAYQBrAGUATwBmAEQAYQBpAHIAeQBDAGEAdAB0AGwAZQBfAE4ASQBSAFIAZQBmAGUAcgBlAG4AYwBlACIALAAiAE0ATQBTAF8ARABhAGkAcgB5AF8ATgAyAE8ARABpAHIAZQBjAHQAXwBFAHEAdQBhAHQAaQBvAG4AcwAuAFYARQBFAFIARwBfADQAXwAzAF8AMQBfADMAXwBfADUAXwBDAHIAdQBkAGUAUAByAG8AdABlAGkAbgBJAG4AdABhAGsAZQBPAGYARABhAGkAcgB5AEMAYQB0AHQAbABlAF8ATABhAHQAZQB4AEUAcQB1AGEAdABpAG8AbgAiACwAIgBNAE0AUwBfAEQAYQBpAHIAeQBfAE4AMgBPAEQAaQByAGUAYwB0AF8ARQBxAHUAYQB0AGkAbwBuAHMALgBWAEUARQBSAEcAXwA0AF8AMwBfADEAXwAzAF8AXwA1AF8AQwByAHUAZABlAFAAcgBvAHQAZQBpAG4ASQBuAHQAYQBrAGUATwBmAEQAYQBpAHIAeQBDAGEAdAB0AGwAZQBfAEEAcgBnAHUAbQBlAG4AdABzACIALAAiAE0ATQBTAF8ARABhAGkAcgB5AF8ATgAyAE8ARABpAHIAZQBjAHQAXwBFAHEAdQBhAHQAaQBvAG4AcwAuAFYARQBFAFIARwBfADQAXwAzAF8AMQBfADMAXwBfADYAXwBOAGkAdAByAG8AZwBlAG4AUgBlAHQAYQBpAG4AZQBkAEIAeQBCAG8AZAB5ACIALAAiAE0ATQBTAF8ARABhAGkAcgB5AF8ATgAyAE8ARABpAHIAZQBjAHQAXwBFAHEAdQBhAHQAaQBvAG4AcwAuAFYARQBFAFIARwBfADQAXwAzAF8AMQBfADMAXwBfADYAXwBOAGkAdAByAG8AZwBlAG4AUgBlAHQAYQBpAG4AZQBkAEIAeQBCAG8AZAB5AF8AVABpAHQAbABlACIALAAiAE0ATQBTAF8ARABhAGkAcgB5AF8ATgAyAE8ARABpAHIAZQBjAHQAXwBFAHEAdQBhAHQAaQBvAG4AcwAuAFYARQBFAFIARwBfADQAXwAzAF8AMQBfADMAXwBfADYAXwBOAGkAdAByAG8AZwBlAG4AUgBlAHQAYQBpAG4AZQBkAEIAeQBCAG8AZAB5AF8AVgBhAHIAaQBhAGIAbABlACIALAAiAE0ATQBTAF8ARABhAGkAcgB5AF8ATgAyAE8ARABpAHIAZQBjAHQAXwBFAHEAdQBhAHQAaQBvAG4AcwAuAFYARQBFAFIARwBfADQAXwAzAF8AMQBfADMAXwBfADYAXwBOAGkAdAByAG8AZwBlAG4AUgBlAHQAYQBpAG4AZQBkAEIAeQBCAG8AZAB5AF8AVQBuAGkAdAAiACwAIgBNAE0AUwBfAEQAYQBpAHIAeQBfAE4AMgBPAEQAaQByAGUAYwB0AF8ARQBxAHUAYQB0AGkAbwBuAHMALgBWAEUARQBSAEcAXwA0AF8AMwBfADEAXwAzAF8AXwA2AF8ATgBpAHQAcgBvAGcAZQBuAFIAZQB0AGEAaQBuAGUAZABCAHkAQgBvAGQAeQBfAFMAbwB1AHIAYwBlACIALAAiAE0ATQBTAF8ARABhAGkAcgB5AF8ATgAyAE8ARABpAHIAZQBjAHQAXwBFAHEAdQBhAHQAaQBvAG4AcwAuAFYARQBFAFIARwBfADQAXwAzAF8AMQBfADMAXwBfADYAXwBOAGkAdAByAG8AZwBlAG4AUgBlAHQAYQBpAG4AZQBkAEIAeQBCAG8AZAB5AF8ATgBJAFIAUgBlAGYAZQByAGUAbgBjAGUAIgAsACIATQBNAFMAXwBEAGEAaQByAHkAXwBOADIATwBEAGkAcgBlAGMAdABfAEUAcQB1AGEAdABpAG8AbgBzAC4AVgBFAEUAUgBHAF8ANABfADMAXwAxAF8AMwBfAF8ANgBfAE4AaQB0AHIAbwBnAGUAbgBSAGUAdABhAGkAbgBlAGQAQgB5AEIAbwBkAHkAXwBMAGEAdABlAHgARQBxAHUAYQB0AGkAbwBuACIALAAiAE0ATQBTAF8ARABhAGkAcgB5AF8ATgAyAE8ARABpAHIAZQBjAHQAXwBFAHEAdQBhAHQAaQBvAG4AcwAuAFYARQBFAFIARwBfADQAXwAzAF8AMQBfADMAXwBfADYAXwBOAGkAdAByAG8AZwBlAG4AUgBlAHQAYQBpAG4AZQBkAEIAeQBCAG8AZAB5AF8AQQByAGcAdQBtAGUAbgB0AHMAIgAsACIATQBNAFMAXwBEAGEAaQByAHkAXwBOADIATwBEAGkAcgBlAGMAdABfAEUAcQB1AGEAdABpAG8AbgBzAC4AVgBFAEUAUgBHAF8ANABfADMAXwAxAF8AMwBfAF8ANgBfAE4AaQB0AHIAbwBnAGUAbgBSAGUAdABhAGkAbgBlAGQAQgB5AEIAbwBkAHkAXwBWAGEAcgBpAGEAdABpAG8AbgAiACwAIgBNAE0AUwBfAEQAYQBpAHIAeQBfAE4AMgBPAEQAaQByAGUAYwB0AF8ARQBxAHUAYQB0AGkAbwBuAHMALgBWAEUARQBSAEcAXwA0AF8AMwBfADEAXwAzAF8AXwA3AF8ASQBuAHQAYQBrAGUAUgBlAGwAYQB0AGkAdgBlAFQAbwBNAGEAaQBuAHQAZQBuAGEAbgBjAGUAIgAsACIATQBNAFMAXwBEAGEAaQByAHkAXwBOADIATwBEAGkAcgBlAGMAdABfAEUAcQB1AGEAdABpAG8AbgBzAC4AVgBFAEUAUgBHAF8ANABfADMAXwAxAF8AMwBfAF8ANwBfAEkAbgB0AGEAawBlAFIAZQBsAGEAdABpAHYAZQBUAG8ATQBhAGkAbgB0AGUAbgBhAG4AYwBlAF8AVABpAHQAbABlACIALAAiAE0ATQBTAF8ARABhAGkAcgB5AF8ATgAyAE8ARABpAHIAZQBjAHQAXwBFAHEAdQBhAHQAaQBvAG4AcwAuAFYARQBFAFIARwBfADQAXwAzAF8AMQBfADMAXwBfADcAXwBJAG4AdABhAGsAZQBSAGUAbABhAHQAaQB2AGUAVABvAE0AYQBpAG4AdABlAG4AYQBuAGMAZQBfAFYAYQByAGkAYQBiAGwAZQAiACwAIgBNAE0AUwBfAEQAYQBpAHIAeQBfAE4AMgBPAEQAaQByAGUAYwB0AF8ARQBxAHUAYQB0AGkAbwBuAHMALgBWAEUARQBSAEcAXwA0AF8AMwBfADEAXwAzAF8AXwA3AF8ASQBuAHQAYQBrAGUAUgBlAGwAYQB0AGkAdgBlAFQAbwBNAGEAaQBuAHQAZQBuAGEAbgBjAGUAXwBVAG4AaQB0ACIALAAiAE0ATQBTAF8ARABhAGkAcgB5AF8ATgAyAE8ARABpAHIAZQBjAHQAXwBFAHEAdQBhAHQAaQBvAG4AcwAuAFYARQBFAFIARwBfADQAXwAzAF8AMQBfADMAXwBfADcAXwBJAG4AdABhAGsAZQBSAGUAbABhAHQAaQB2AGUAVABvAE0AYQBpAG4AdABlAG4AYQBuAGMAZQBfAFMAbwB1AHIAYwBlACIALAAiAE0ATQBTAF8ARABhAGkAcgB5AF8ATgAyAE8ARABpAHIAZQBjAHQAXwBFAHEAdQBhAHQAaQBvAG4AcwAuAFYARQBFAFIARwBfADQAXwAzAF8AMQBfADMAXwBfADcAXwBJAG4AdABhAGsAZQBSAGUAbABhAHQAaQB2AGUAVABvAE0AYQBpAG4AdABlAG4AYQBuAGMAZQBfAE4ASQBSAFIAZQBmAGUAcgBlAG4AYwBlACIALAAiAE0ATQBTAF8ARABhAGkAcgB5AF8ATgAyAE8ARABpAHIAZQBjAHQAXwBFAHEAdQBhAHQAaQBvAG4AcwAuAFYARQBFAFIARwBfADQAXwAzAF8AMQBfADMAXwBfADcAXwBJAG4AdABhAGsAZQBSAGUAbABhAHQAaQB2AGUAVABvAE0AYQBpAG4AdABlAG4AYQBuAGMAZQBfAEwAYQB0AGUAeABFAHEAdQBhAHQAaQBvAG4AIgAsACIATQBNAFMAXwBEAGEAaQByAHkAXwBOADIATwBEAGkAcgBlAGMAdABfAEUAcQB1AGEAdABpAG8AbgBzAC4AVgBFAEUAUgBHAF8ANABfADMAXwAxAF8AMwBfAF8ANwBfAEkAbgB0AGEAawBlAFIAZQBsAGEAdABpAHYAZQBUAG8ATQBhAGkAbgB0AGUAbgBhAG4AYwBlAF8AQQByAGcAdQBtAGUAbgB0AHMAIgAsACIATQBNAFMAXwBEAGEAaQByAHkAXwBOADIATwBEAGkAcgBlAGMAdABfAEUAcQB1AGEAdABpAG8AbgBzAC4AVgBFAEUAUgBHAF8ANABfADMAXwAxAF8AMwBfAF8AOABfAFIAZQBsAGEAdABpAHYAZQBTAGkAegBlACIALAAiAE0ATQBTAF8ARABhAGkAcgB5AF8ATgAyAE8ARABpAHIAZQBjAHQAXwBFAHEAdQBhAHQAaQBvAG4AcwAuAFYARQBFAFIARwBfADQAXwAzAF8AMQBfADMAXwBfADgAXwBSAGUAbABhAHQAaQB2AGUAUwBpAHoAZQBfAFQAaQB0AGwAZQAiACwAIgBNAE0AUwBfAEQAYQBpAHIAeQBfAE4AMgBPAEQAaQByAGUAYwB0AF8ARQBxAHUAYQB0AGkAbwBuAHMALgBWAEUARQBSAEcAXwA0AF8AMwBfADEAXwAzAF8AXwA4AF8AUgBlAGwAYQB0AGkAdgBlAFMAaQB6AGUAXwBWAGEAcgBpAGEAYgBsAGUAIgAsACIATQBNAFMAXwBEAGEAaQByAHkAXwBOADIATwBEAGkAcgBlAGMAdABfAEUAcQB1AGEAdABpAG8AbgBzAC4AVgBFAEUAUgBHAF8ANABfADMAXwAxAF8AMwBfAF8AOABfAFIAZQBsAGEAdABpAHYAZQBTAGkAegBlAF8AVQBuAGkAdAAiACwAIgBNAE0AUwBfAEQAYQBpAHIAeQBfAE4AMgBPAEQAaQByAGUAYwB0AF8ARQBxAHUAYQB0AGkAbwBuAHMALgBWAEUARQBSAEcAXwA0AF8AMwBfADEAXwAzAF8AXwA4AF8AUgBlAGwAYQB0AGkAdgBlAFMAaQB6AGUAXwBTAG8AdQByAGMAZQAiACwAIgBNAE0AUwBfAEQAYQBpAHIAeQBfAE4AMgBPAEQAaQByAGUAYwB0AF8ARQBxAHUAYQB0AGkAbwBuAHMALgBWAEUARQBSAEcAXwA0AF8AMwBfADEAXwAzAF8AXwA4AF8AUgBlAGwAYQB0AGkAdgBlAFMAaQB6AGUAXwBOAEkAUgBSAGUAZgBlAHIAZQBuAGMAZQAiACwAIgBNAE0AUwBfAEQAYQBpAHIAeQBfAE4AMgBPAEQAaQByAGUAYwB0AF8ARQBxAHUAYQB0AGkAbwBuAHMALgBWAEUARQBSAEcAXwA0AF8AMwBfADEAXwAzAF8AXwA4AF8AUgBlAGwAYQB0AGkAdgBlAFMAaQB6AGUAXwBMAGEAdABlAHgARQBxAHUAYQB0AGkAbwBuACIALAAiAE0ATQBTAF8ARABhAGkAcgB5AF8ATgAyAE8ARABpAHIAZQBjAHQAXwBFAHEAdQBhAHQAaQBvAG4AcwAuAFYARQBFAFIARwBfADQAXwAzAF8AMQBfADMAXwBfADgAXwBSAGUAbABhAHQAaQB2AGUAUwBpAHoAZQBfAEEAcgBnAHUAbQBlAG4AdABzACIALAAiAEUAbgB0AGUAcgBpAGMATQBlAHQAaABhAG4AZQBfAEQAYQBpAHIAeQBfAEUAcQB1AGEAdABpAG8AbgBzAC4AVgBFAEUAUgBHAF8AMwBfADMAXwAxAF8AMQBfAF8AMQBfAFQAbwB0AGEAbABBAG4AbgB1AGEAbABNAGUAdABoAGEAbgBlAEYAcgBvAG0ARQBuAHQAZQByAGkAYwBGAGUAcgBtAGUAbgB0AGEAdABpAG8AbgAiACwAIgBFAG4AdABlAHIAaQBjAE0AZQB0AGgAYQBuAGUAXwBEAGEAaQByAHkAXwBFAHEAdQBhAHQAaQBvAG4AcwAuAFYARQBFAFIARwBfADMAXwAzAF8AMQBfADEAXwBfADEAXwBUAG8AdABhAGwAQQBuAG4AdQBhAGwATQBlAHQAaABhAG4AZQBGAHIAbwBtAEUAbgB0AGUAcgBpAGMARgBlAHIAbQBlAG4AdABhAHQAaQBvAG4AVgBhAHIAaQBhAHQAaQBvAG4AIgAsACIARQBuAHQAZQByAGkAYwBNAGUAdABoAGEAbgBlAF8ARABhAGkAcgB5AF8ARQBxAHUAYQB0AGkAbwBuAHMALgBWAEUARQBSAEcAXwAzAF8AMwBfADEAXwAxAF8AXwAxAF8AVABvAHQAYQBsAEEAbgBuAHUAYQBsAE0AZQB0AGgAYQBuAGUARgByAG8AbQBFAG4AdABlAHIAaQBjAEYAZQByAG0AZQBuAHQAYQB0AGkAbwBuAF8AVABpAHQAbABlACIALAAiAEUAbgB0AGUAcgBpAGMATQBlAHQAaABhAG4AZQBfAEQAYQBpAHIAeQBfAEUAcQB1AGEAdABpAG8AbgBzAC4AVgBFAEUAUgBHAF8AMwBfADMAXwAxAF8AMQBfAF8AMQBfAFQAbwB0AGEAbABBAG4AbgB1AGEAbABNAGUAdABoAGEAbgBlAEYAcgBvAG0ARQBuAHQAZQByAGkAYwBGAGUAcgBtAGUAbgB0AGEAdABpAG8AbgBfAFYAYQByAGkAYQBiAGwAZQAiACwAIgBFAG4AdABlAHIAaQBjAE0AZQB0AGgAYQBuAGUAXwBEAGEAaQByAHkAXwBFAHEAdQBhAHQAaQBvAG4AcwAuAFYARQBFAFIARwBfADMAXwAzAF8AMQBfADEAXwBfADEAXwBUAG8AdABhAGwAQQBuAG4AdQBhAGwATQBlAHQAaABhAG4AZQBGAHIAbwBtAEUAbgB0AGUAcgBpAGMARgBlAHIAbQBlAG4AdABhAHQAaQBvAG4AXwBVAG4AaQB0ACIALAAiAEUAbgB0AGUAcgBpAGMATQBlAHQAaABhAG4AZQBfAEQAYQBpAHIAeQBfAEUAcQB1AGEAdABpAG8AbgBzAC4AVgBFAEUAUgBHAF8AMwBfADMAXwAxAF8AMQBfAF8AMQBfAFQAbwB0AGEAbABBAG4AbgB1AGEAbABNAGUAdABoAGEAbgBlAEYAcgBvAG0ARQBuAHQAZQByAGkAYwBGAGUAcgBtAGUAbgB0AGEAdABpAG8AbgBfAFMAbwB1AHIAYwBlACIALAAiAEUAbgB0AGUAcgBpAGMATQBlAHQAaABhAG4AZQBfAEQAYQBpAHIAeQBfAEUAcQB1AGEAdABpAG8AbgBzAC4AVgBFAEUAUgBHAF8AMwBfADMAXwAxAF8AMQBfAF8AMQBfAFQAbwB0AGEAbABBAG4AbgB1AGEAbABNAGUAdABoAGEAbgBlAEYAcgBvAG0ARQBuAHQAZQByAGkAYwBGAGUAcgBtAGUAbgB0AGEAdABpAG8AbgBfAE4ASQBSAFIAZQBmAGUAcgBlAG4AYwBlACIALAAiAEUAbgB0AGUAcgBpAGMATQBlAHQAaABhAG4AZQBfAEQAYQBpAHIAeQBfAEUAcQB1AGEAdABpAG8AbgBzAC4AVgBFAEUAUgBHAF8AMwBfADMAXwAxAF8AMQBfAF8AMQBfAFQAbwB0AGEAbABBAG4AbgB1AGEAbABNAGUAdABoAGEAbgBlAEYAcgBvAG0ARQBuAHQAZQByAGkAYwBGAGUAcgBtAGUAbgB0AGEAdABpAG8AbgBfAEwAYQB0AGUAeABFAHEAdQBhAHQAaQBvAG4AIgAsACIARQBuAHQAZQByAGkAYwBNAGUAdABoAGEAbgBlAF8ARABhAGkAcgB5AF8ARQBxAHUAYQB0AGkAbwBuAHMALgBWAEUARQBSAEcAXwAzAF8AMwBfADEAXwAxAF8AXwAxAF8AVABvAHQAYQBsAEEAbgBuAHUAYQBsAE0AZQB0AGgAYQBuAGUARgByAG8AbQBFAG4AdABlAHIAaQBjAEYAZQByAG0AZQBuAHQAYQB0AGkAbwBuAF8ATABhAHQAZQB4AEUAcQB1AGEAdABpAG8AbgBWAGEAcgBpAGEAdABpAG8AbgAiACwAIgBFAG4AdABlAHIAaQBjAE0AZQB0AGgAYQBuAGUAXwBEAGEAaQByAHkAXwBFAHEAdQBhAHQAaQBvAG4AcwAuAFYARQBFAFIARwBfADMAXwAzAF8AMQBfADEAXwBfADEAXwBUAG8AdABhAGwAQQBuAG4AdQBhAGwATQBlAHQAaABhAG4AZQBGAHIAbwBtAEUAbgB0AGUAcgBpAGMARgBlAHIAbQBlAG4AdABhAHQAaQBvAG4AXwBBAHIAZwB1AG0AZQBuAHQAcwAiACwAIgBFAG4AdABlAHIAaQBjAE0AZQB0AGgAYQBuAGUAXwBEAGEAaQByAHkAXwBFAHEAdQBhAHQAaQBvAG4AcwAuAFYARQBFAFIARwBfADMAXwAzAF8AMQBfADEAXwBfADEAXwBUAG8AdABhAGwAQQBuAG4AdQBhAGwATQBlAHQAaABhAG4AZQBGAHIAbwBtAEUAbgB0AGUAcgBpAGMARgBlAHIAbQBlAG4AdABhAHQAaQBvAG4AXwBWAGEAcgBpAGEAdABpAG8AbgAiACwAIgBFAG4AdABlAHIAaQBjAE0AZQB0AGgAYQBuAGUAXwBEAGEAaQByAHkAXwBFAHEAdQBhAHQAaQBvAG4AcwAuAFYARQBFAFIARwBfADMAXwAzAF8AMQBfADEAXwBfADIAXwBEAGEAaQBsAHkARQBuAHQAZQByAGkAYwBNAGUAdABoAGEAbgBlAFAAcgBvAGQAdQBjAHQAaQBvAG4AIgAsACIARQBuAHQAZQByAGkAYwBNAGUAdABoAGEAbgBlAF8ARABhAGkAcgB5AF8ARQBxAHUAYQB0AGkAbwBuAHMALgBWAEUARQBSAEcAXwAzAF8AMwBfADEAXwAxAF8AXwAyAF8ARABhAGkAbAB5AEUAbgB0AGUAcgBpAGMATQBlAHQAaABhAG4AZQBQAHIAbwBkAHUAYwB0AGkAbwBuAF8AVABpAHQAbABlACIALAAiAEUAbgB0AGUAcgBpAGMATQBlAHQAaABhAG4AZQBfAEQAYQBpAHIAeQBfAEUAcQB1AGEAdABpAG8AbgBzAC4AVgBFAEUAUgBHAF8AMwBfADMAXwAxAF8AMQBfAF8AMgBfAEQAYQBpAGwAeQBFAG4AdABlAHIAaQBjAE0AZQB0AGgAYQBuAGUAUAByAG8AZAB1AGMAdABpAG8AbgBfAFYAYQByAGkAYQBiAGwAZQAiACwAIgBFAG4AdABlAHIAaQBjAE0AZQB0AGgAYQBuAGUAXwBEAGEAaQByAHkAXwBFAHEAdQBhAHQAaQBvAG4AcwAuAFYARQBFAFIARwBfADMAXwAzAF8AMQBfADEAXwBfADIAXwBEAGEAaQBsAHkARQBuAHQAZQByAGkAYwBNAGUAdABoAGEAbgBlAFAAcgBvAGQAdQBjAHQAaQBvAG4AXwBVAG4AaQB0ACIALAAiAEUAbgB0AGUAcgBpAGMATQBlAHQAaABhAG4AZQBfAEQAYQBpAHIAeQBfAEUAcQB1AGEAdABpAG8AbgBzAC4AVgBFAEUAUgBHAF8AMwBfADMAXwAxAF8AMQBfAF8AMgBfAEQAYQBpAGwAeQBFAG4AdABlAHIAaQBjAE0AZQB0AGgAYQBuAGUAUAByAG8AZAB1AGMAdABpAG8AbgBfAFMAbwB1AHIAYwBlACIALAAiAEUAbgB0AGUAcgBpAGMATQBlAHQAaABhAG4AZQBfAEQAYQBpAHIAeQBfAEUAcQB1AGEAdABpAG8AbgBzAC4AVgBFAEUAUgBHAF8AMwBfADMAXwAxAF8AMQBfAF8AMgBfAEQAYQBpAGwAeQBFAG4AdABlAHIAaQBjAE0AZQB0AGgAYQBuAGUAUAByAG8AZAB1AGMAdABpAG8AbgBfAE4ASQBSAFIAZQBmAGUAcgBlAG4AYwBlACIALAAiAEUAbgB0AGUAcgBpAGMATQBlAHQAaABhAG4AZQBfAEQAYQBpAHIAeQBfAEUAcQB1AGEAdABpAG8AbgBzAC4AVgBFAEUAUgBHAF8AMwBfADMAXwAxAF8AMQBfAF8AMgBfAEQAYQBpAGwAeQBFAG4AdABlAHIAaQBjAE0AZQB0AGgAYQBuAGUAUAByAG8AZAB1AGMAdABpAG8AbgBfAEwAYQB0AGUAeABFAHEAdQBhAHQAaQBvAG4AIgAsACIARQBuAHQAZQByAGkAYwBNAGUAdABoAGEAbgBlAF8ARABhAGkAcgB5AF8ARQBxAHUAYQB0AGkAbwBuAHMALgBWAEUARQBSAEcAXwAzAF8AMwBfADEAXwAxAF8AXwAyAF8ARABhAGkAbAB5AEUAbgB0AGUAcgBpAGMATQBlAHQAaABhAG4AZQBQAHIAbwBkAHUAYwB0AGkAbwBuAF8AQQByAGcAdQBtAGUAbgB0AHMAIgAsACIARQBuAHQAZQByAGkAYwBNAGUAdABoAGEAbgBlAF8ARABhAGkAcgB5AF8ARQBxAHUAYQB0AGkAbwBuAHMALgBWAEUARQBSAEcAXwAzAF8AMwBfADEAXwAxAF8AXwAzAF8ARAByAHkATQBhAHQAdABlAHIARgBlAGUAZABJAG4AdABhAGsAZQAiACwAIgBFAG4AdABlAHIAaQBjAE0AZQB0AGgAYQBuAGUAXwBEAGEAaQByAHkAXwBFAHEAdQBhAHQAaQBvAG4AcwAuAFYARQBFAFIARwBfADMAXwAzAF8AMQBfADEAXwBfADMAXwBEAHIAeQBNAGEAdAB0AGUAcgBGAGUAZQBkAEkAbgB0AGEAawBlAF8AVABpAHQAbABlACIALAAiAEUAbgB0AGUAcgBpAGMATQBlAHQAaABhAG4AZQBfAEQAYQBpAHIAeQBfAEUAcQB1AGEAdABpAG8AbgBzAC4AVgBFAEUAUgBHAF8AMwBfADMAXwAxAF8AMQBfAF8AMwBfAEQAcgB5AE0AYQB0AHQAZQByAEYAZQBlAGQASQBuAHQAYQBrAGUAXwBWAGEAcgBpAGEAYgBsAGUAIgAsACIARQBuAHQAZQByAGkAYwBNAGUAdABoAGEAbgBlAF8ARABhAGkAcgB5AF8ARQBxAHUAYQB0AGkAbwBuAHMALgBWAEUARQBSAEcAXwAzAF8AMwBfADEAXwAxAF8AXwAzAF8ARAByAHkATQBhAHQAdABlAHIARgBlAGUAZABJAG4AdABhAGsAZQBfAFUAbgBpAHQAIgAsACIARQBuAHQAZQByAGkAYwBNAGUAdABoAGEAbgBlAF8ARABhAGkAcgB5AF8ARQBxAHUAYQB0AGkAbwBuAHMALgBWAEUARQBSAEcAXwAzAF8AMwBfADEAXwAxAF8AXwAzAF8ARAByAHkATQBhAHQAdABlAHIARgBlAGUAZABJAG4AdABhAGsAZQBfAFMAbwB1AHIAYwBlACIALAAiAEUAbgB0AGUAcgBpAGMATQBlAHQAaABhAG4AZQBfAEQAYQBpAHIAeQBfAEUAcQB1AGEAdABpAG8AbgBzAC4AVgBFAEUAUgBHAF8AMwBfADMAXwAxAF8AMQBfAF8AMwBfAEQAcgB5AE0AYQB0AHQAZQByAEYAZQBlAGQASQBuAHQAYQBrAGUAXwBOAEkAUgBSAGUAZgBlAHIAZQBuAGMAZQAiACwAIgBFAG4AdABlAHIAaQBjAE0AZQB0AGgAYQBuAGUAXwBEAGEAaQByAHkAXwBFAHEAdQBhAHQAaQBvAG4AcwAuAFYARQBFAFIARwBfADMAXwAzAF8AMQBfADEAXwBfADMAXwBEAHIAeQBNAGEAdAB0AGUAcgBGAGUAZQBkAEkAbgB0AGEAawBlAF8ATABhAHQAZQB4AEUAcQB1AGEAdABpAG8AbgAiACwAIgBFAG4AdABlAHIAaQBjAE0AZQB0AGgAYQBuAGUAXwBEAGEAaQByAHkAXwBFAHEAdQBhAHQAaQBvAG4AcwAuAFYARQBFAFIARwBfADMAXwAzAF8AMQBfADEAXwBfADMAXwBEAHIAeQBNAGEAdAB0AGUAcgBGAGUAZQBkAEkAbgB0AGEAawBlAF8AQQByAGcAdQBtAGUAbgB0AHMAIgAsACIARQBuAHQAZQByAGkAYwBNAGUAdABoAGEAbgBlAF8ARABhAGkAcgB5AF8ARQBxAHUAYQB0AGkAbwBuAHMALgBWAEUARQBSAEcAXwAzAF8AMwBfADEAXwAxAF8AXwA0AF8AQQBkAGQAaQB0AGkAbwBuAGEAbABJAG4AdABhAGsAZQBGAG8AcgBNAGkAbABrAFAAcgBvAGQAdQBjAHQAaQBvAG4AIgAsACIARQBuAHQAZQByAGkAYwBNAGUAdABoAGEAbgBlAF8ARABhAGkAcgB5AF8ARQBxAHUAYQB0AGkAbwBuAHMALgBWAEUARQBSAEcAXwAzAF8AMwBfADEAXwAxAF8AXwA0AF8AQQBkAGQAaQB0AGkAbwBuAGEAbABJAG4AdABhAGsAZQBGAG8AcgBNAGkAbABrAFAAcgBvAGQAdQBjAHQAaQBvAG4AXwBUAGkAdABsAGUAIgAsACIARQBuAHQAZQByAGkAYwBNAGUAdABoAGEAbgBlAF8ARABhAGkAcgB5AF8ARQBxAHUAYQB0AGkAbwBuAHMALgBWAEUARQBSAEcAXwAzAF8AMwBfADEAXwAxAF8AXwA0AF8AQQBkAGQAaQB0AGkAbwBuAGEAbABJAG4AdABhAGsAZQBGAG8AcgBNAGkAbABrAFAAcgBvAGQAdQBjAHQAaQBvAG4AXwBWAGEAcgBpAGEAYgBsAGUAIgAsACIARQBuAHQAZQByAGkAYwBNAGUAdABoAGEAbgBlAF8ARABhAGkAcgB5AF8ARQBxAHUAYQB0AGkAbwBuAHMALgBWAEUARQBSAEcAXwAzAF8AMwBfADEAXwAxAF8AXwA0AF8AQQBkAGQAaQB0AGkAbwBuAGEAbABJAG4AdABhAGsAZQBGAG8AcgBNAGkAbABrAFAAcgBvAGQAdQBjAHQAaQBvAG4AXwBVAG4AaQB0ACIALAAiAEUAbgB0AGUAcgBpAGMATQBlAHQAaABhAG4AZQBfAEQAYQBpAHIAeQBfAEUAcQB1AGEAdABpAG8AbgBzAC4AVgBFAEUAUgBHAF8AMwBfADMAXwAxAF8AMQBfAF8ANABfAEEAZABkAGkAdABpAG8AbgBhAGwASQBuAHQAYQBrAGUARgBvAHIATQBpAGwAawBQAHIAbwBkAHUAYwB0AGkAbwBuAF8AUwBvAHUAcgBjAGUAIgAsACIARQBuAHQAZQByAGkAYwBNAGUAdABoAGEAbgBlAF8ARABhAGkAcgB5AF8ARQBxAHUAYQB0AGkAbwBuAHMALgBWAEUARQBSAEcAXwAzAF8AMwBfADEAXwAxAF8AXwA0AF8AQQBkAGQAaQB0AGkAbwBuAGEAbABJAG4AdABhAGsAZQBGAG8AcgBNAGkAbABrAFAAcgBvAGQAdQBjAHQAaQBvAG4AXwBOAEkAUgBSAGUAZgBlAHIAZQBuAGMAZQAiACwAIgBFAG4AdABlAHIAaQBjAE0AZQB0AGgAYQBuAGUAXwBEAGEAaQByAHkAXwBFAHEAdQBhAHQAaQBvAG4AcwAuAFYARQBFAFIARwBfADMAXwAzAF8AMQBfADEAXwBfADQAXwBBAGQAZABpAHQAaQBvAG4AYQBsAEkAbgB0AGEAawBlAEYAbwByAE0AaQBsAGsAUAByAG8AZAB1AGMAdABpAG8AbgBfAEwAYQB0AGUAeABFAHEAdQBhAHQAaQBvAG4AIgAsACIARQBuAHQAZQByAGkAYwBNAGUAdABoAGEAbgBlAF8ARABhAGkAcgB5AF8ARQBxAHUAYQB0AGkAbwBuAHMALgBWAEUARQBSAEcAXwAzAF8AMwBfADEAXwAxAF8AXwA0AF8AQQBkAGQAaQB0AGkAbwBuAGEAbABJAG4AdABhAGsAZQBGAG8AcgBNAGkAbABrAFAAcgBvAGQAdQBjAHQAaQBvAG4AXwBBAHIAZwB1AG0AZQBuAHQAcwAiACwAIgBFAG4AdABlAHIAaQBjAE0AZQB0AGgAYQBuAGUAXwBEAGEAaQByAHkAXwBFAHEAdQBhAHQAaQBvAG4AcwAuAFYARQBFAFIARwBfADMAXwAzAF8AMQBfADEAXwBfADQAXwBBAGQAZABpAHQAaQBvAG4AYQBsAEkAbgB0AGEAawBlAEYAbwByAE0AaQBsAGsAUAByAG8AZAB1AGMAdABpAG8AbgBfAFYAYQByAGkAYQB0AGkAbwBuACIALAAiAEUAbgB0AGUAcgBpAGMATQBlAHQAaABhAG4AZQBfAEQAYQBpAHIAeQBfAEUAcQB1AGEAdABpAG8AbgBzAC4AVgBFAEUAUgBHAF8AMwBfADMAXwAxAF8AMQBfAF8ANQBfAE0AaQBsAGsAUAByAG8AZAB1AGMAdABpAG8AbgBGAHIAbwBtAE0AaQBsAGsAUwBvAGwAaQBkAHMAIgAsACIARQBuAHQAZQByAGkAYwBNAGUAdABoAGEAbgBlAF8ARABhAGkAcgB5AF8ARQBxAHUAYQB0AGkAbwBuAHMALgBWAEUARQBSAEcAXwAzAF8AMwBfADEAXwAxAF8AXwA1AF8ATQBpAGwAawBQAHIAbwBkAHUAYwB0AGkAbwBuAEYAcgBvAG0ATQBpAGwAawBTAG8AbABpAGQAcwBfAFQAaQB0AGwAZQAiACwAIgBFAG4AdABlAHIAaQBjAE0AZQB0AGgAYQBuAGUAXwBEAGEAaQByAHkAXwBFAHEAdQBhAHQAaQBvAG4AcwAuAFYARQBFAFIARwBfADMAXwAzAF8AMQBfADEAXwBfADUAXwBNAGkAbABrAFAAcgBvAGQAdQBjAHQAaQBvAG4ARgByAG8AbQBNAGkAbABrAFMAbwBsAGkAZABzAF8AVgBhAHIAaQBhAGIAbABlACIALAAiAEUAbgB0AGUAcgBpAGMATQBlAHQAaABhAG4AZQBfAEQAYQBpAHIAeQBfAEUAcQB1AGEAdABpAG8AbgBzAC4AVgBFAEUAUgBHAF8AMwBfADMAXwAxAF8AMQBfAF8ANQBfAE0AaQBsAGsAUAByAG8AZAB1AGMAdABpAG8AbgBGAHIAbwBtAE0AaQBsAGsAUwBvAGwAaQBkAHMAXwBVAG4AaQB0ACIALAAiAEUAbgB0AGUAcgBpAGMATQBlAHQAaABhAG4AZQBfAEQAYQBpAHIAeQBfAEUAcQB1AGEAdABpAG8AbgBzAC4AVgBFAEUAUgBHAF8AMwBfADMAXwAxAF8AMQBfAF8ANQBfAE0AaQBsAGsAUAByAG8AZAB1AGMAdABpAG8AbgBGAHIAbwBtAE0AaQBsAGsAUwBvAGwAaQBkAHMAXwBTAG8AdQByAGMAZQAiACwAIgBFAG4AdABlAHIAaQBjAE0AZQB0AGgAYQBuAGUAXwBEAGEAaQByAHkAXwBFAHEAdQBhAHQAaQBvAG4AcwAuAFYARQBFAFIARwBfADMAXwAzAF8AMQBfADEAXwBfADUAXwBNAGkAbABrAFAAcgBvAGQAdQBjAHQAaQBvAG4ARgByAG8AbQBNAGkAbABrAFMAbwBsAGkAZABzAF8ATgBJAFIAUgBlAGYAZQByAGUAbgBjAGUAIgAsACIARQBuAHQAZQByAGkAYwBNAGUAdABoAGEAbgBlAF8ARABhAGkAcgB5AF8ARQBxAHUAYQB0AGkAbwBuAHMALgBWAEUARQBSAEcAXwAzAF8AMwBfADEAXwAxAF8AXwA1AF8ATQBpAGwAawBQAHIAbwBkAHUAYwB0AGkAbwBuAEYAcgBvAG0ATQBpAGwAawBTAG8AbABpAGQAcwBfAEwAYQB0AGUAeABFAHEAdQBhAHQAaQBvAG4AIgAsACIARQBuAHQAZQByAGkAYwBNAGUAdABoAGEAbgBlAF8ARABhAGkAcgB5AF8ARQBxAHUAYQB0AGkAbwBuAHMALgBWAEUARQBSAEcAXwAzAF8AMwBfADEAXwAxAF8AXwA1AF8ATQBpAGwAawBQAHIAbwBkAHUAYwB0AGkAbwBuAEYAcgBvAG0ATQBpAGwAawBTAG8AbABpAGQAcwBfAEEAcgBnAHUAbQBlAG4AdABzACIALAAiAEUAbgB0AGUAcgBpAGMATQBlAHQAaABhAG4AZQBfAEQAYQBpAHIAeQBfAEUAcQB1AGEAdABpAG8AbgBzAC4AVgBFAEUAUgBHAF8AMwBfADMAXwAxAF8AMQBfAF8ANQBfAE0AaQBsAGsAUAByAG8AZAB1AGMAdABpAG8AbgBGAHIAbwBtAE0AaQBsAGsAUwBvAGwAaQBkAHMAXwBBAHIAZwB1AG0AZQBuAHQAcwBfAE0AZQB0AGgAbwBkADIAIgAsACIARQBuAHQAZQByAGkAYwBNAGUAdABoAGEAbgBlAF8ARABhAGkAcgB5AF8ARQBxAHUAYQB0AGkAbwBuAHMALgBWAEUARQBSAEcAXwAzAF8AMwBfADEAXwAxAF8AXwA1AF8ATQBpAGwAawBQAHIAbwBkAHUAYwB0AGkAbwBuAEYAcgBvAG0ATQBpAGwAawBTAG8AbABpAGQAcwBfAFYAYQByAGkAYQB0AGkAbwBuACIALAAiAEUAbgB0AGUAcgBpAGMATQBlAHQAaABhAG4AZQBfAEQAYQBpAHIAeQBfAEUAcQB1AGEAdABpAG8AbgBzAC4AVgBFAEUAUgBHAF8AMwBfADMAXwAxAF8AMQBfAF8ANgBfAE0AZQB0AGEAYgBvAGwAaQBzAGEAYgBpAGwAaQB0AHkATwBmAEQAaQBlAHQAIgAsACIARQBuAHQAZQByAGkAYwBNAGUAdABoAGEAbgBlAF8ARABhAGkAcgB5AF8ARQBxAHUAYQB0AGkAbwBuAHMALgBWAEUARQBSAEcAXwAzAF8AMwBfADEAXwAxAF8AXwA2AF8ATQBlAHQAYQBiAG8AbABpAHMAYQBiAGkAbABpAHQAeQBPAGYARABpAGUAdABWAGEAcgBpAGEAdABpAG8AbgAiACwAIgBFAG4AdABlAHIAaQBjAE0AZQB0AGgAYQBuAGUAXwBEAGEAaQByAHkAXwBFAHEAdQBhAHQAaQBvAG4AcwAuAFYARQBFAFIARwBfADMAXwAzAF8AMQBfADEAXwBfADYAXwBNAGUAdABhAGIAbwBsAGkAcwBhAGIAaQBsAGkAdAB5AE8AZgBEAGkAZQB0AF8AVABpAHQAbABlACIALAAiAEUAbgB0AGUAcgBpAGMATQBlAHQAaABhAG4AZQBfAEQAYQBpAHIAeQBfAEUAcQB1AGEAdABpAG8AbgBzAC4AVgBFAEUAUgBHAF8AMwBfADMAXwAxAF8AMQBfAF8ANgBfAE0AZQB0AGEAYgBvAGwAaQBzAGEAYgBpAGwAaQB0AHkATwBmAEQAaQBlAHQAXwBWAGEAcgBpAGEAYgBsAGUAIgAsACIARQBuAHQAZQByAGkAYwBNAGUAdABoAGEAbgBlAF8ARABhAGkAcgB5AF8ARQBxAHUAYQB0AGkAbwBuAHMALgBWAEUARQBSAEcAXwAzAF8AMwBfADEAXwAxAF8AXwA2AF8ATQBlAHQAYQBiAG8AbABpAHMAYQBiAGkAbABpAHQAeQBPAGYARABpAGUAdABfAFUAbgBpAHQAIgAsACIARQBuAHQAZQByAGkAYwBNAGUAdABoAGEAbgBlAF8ARABhAGkAcgB5AF8ARQBxAHUAYQB0AGkAbwBuAHMALgBWAEUARQBSAEcAXwAzAF8AMwBfADEAXwAxAF8AXwA2AF8ATQBlAHQAYQBiAG8AbABpAHMAYQBiAGkAbABpAHQAeQBPAGYARABpAGUAdABfAFMAbwB1AHIAYwBlACIALAAiAEUAbgB0AGUAcgBpAGMATQBlAHQAaABhAG4AZQBfAEQAYQBpAHIAeQBfAEUAcQB1AGEAdABpAG8AbgBzAC4AVgBFAEUAUgBHAF8AMwBfADMAXwAxAF8AMQBfAF8ANgBfAE0AZQB0AGEAYgBvAGwAaQBzAGEAYgBpAGwAaQB0AHkATwBmAEQAaQBlAHQAXwBOAEkAUgBSAGUAZgBlAHIAZQBuAGMAZQAiACwAIgBFAG4AdABlAHIAaQBjAE0AZQB0AGgAYQBuAGUAXwBEAGEAaQByAHkAXwBFAHEAdQBhAHQAaQBvAG4AcwAuAFYARQBFAFIARwBfADMAXwAzAF8AMQBfADEAXwBfADYAXwBNAGUAdABhAGIAbwBsAGkAcwBhAGIAaQBsAGkAdAB5AE8AZgBEAGkAZQB0AF8ATABhAHQAZQB4AEUAcQB1AGEAdABpAG8AbgAiACwAIgBFAG4AdABlAHIAaQBjAE0AZQB0AGgAYQBuAGUAXwBEAGEAaQByAHkAXwBFAHEAdQBhAHQAaQBvAG4AcwAuAFYARQBFAFIARwBfADMAXwAzAF8AMQBfADEAXwBfADYAXwBNAGUAdABhAGIAbwBsAGkAcwBhAGIAaQBsAGkAdAB5AE8AZgBEAGkAZQB0AF8ATABhAHQAZQB4AEUAcQB1AGEAdABpAG8AbgBWAGEAcgBpAGEAdABpAG8AbgAiACwAIgBFAG4AdABlAHIAaQBjAE0AZQB0AGgAYQBuAGUAXwBEAGEAaQByAHkAXwBFAHEAdQBhAHQAaQBvAG4AcwAuAFYARQBFAFIARwBfADMAXwAzAF8AMQBfADEAXwBfADYAXwBNAGUAdABhAGIAbwBsAGkAcwBhAGIAaQBsAGkAdAB5AE8AZgBEAGkAZQB0AF8AQQByAGcAdQBtAGUAbgB0AHMAIgAsACIARQBuAHQAZQByAGkAYwBNAGUAdABoAGEAbgBlAF8ARABhAGkAcgB5AF8ARQBxAHUAYQB0AGkAbwBuAHMALgBWAEUARQBSAEcAXwAzAF8AMwBfADEAXwAxAF8AXwA2AF8ATQBlAHQAYQBiAG8AbABpAHMAYQBiAGkAbABpAHQAeQBPAGYARABpAGUAdABfAFYAYQByAGkAYQB0AGkAbwBuACIALAAiAEkAbgBwAHUAdABGAHUAbgBjAHQAaQBvAG4AcwBfAEQAYQBpAHIAeQAuAEMAYQBsAGMAdQBsAGEAdABlAEYAcgBhAGMAdABpAG8AbgBJAG4ATQBNAFMAQQBmAHQAZQByAFMAbwBsAGkAZABTAGUAcABhAHIAYQB0AGkAbwBuACIALAAiAEkAbgBwAHUAdABGAHUAbgBjAHQAaQBvAG4AcwBfAEQAYQBpAHIAeQAuAEMAYQBsAGMAdQBsAGEAdABlAEYAcgBhAGMAdABpAG8AbgBJAG4AUwBvAGwAaQBkAFMAdABvAHIAYQBnAGUAIgAsACIATQBNAFMAXwBEAGEAaQByAHkAXwBMAGUAYQBjAGgAaQBuAGcAQQBuAGQAUgB1AG4AbwBmAGYAXwBFAHEAdQBhAHQAaQBvAG4AcwAuAFYARQBFAFIARwBfADQAXwAzAF8AMQBfADYAXwBfADEAXwBBAG4AbgB1AGEAbABFAG0AaQBzAHMAaQBvAG4AcwBGAHIAbwBtAEwAZQBhAGMAaABpAG4AZwBBAG4AZABSAHUAbgBvAGYAZgBGAHIAbwBtAE0ATQBTACIALAAiAE0ATQBTAF8ARABhAGkAcgB5AF8ATABlAGEAYwBoAGkAbgBnAEEAbgBkAFIAdQBuAG8AZgBmAF8ARQBxAHUAYQB0AGkAbwBuAHMALgBWAEUARQBSAEcAXwA0AF8AMwBfADEAXwA2AF8AXwAxAF8AQQBuAG4AdQBhAGwARQBtAGkAcwBzAGkAbwBuAHMARgByAG8AbQBMAGUAYQBjAGgAaQBuAGcAQQBuAGQAUgB1AG4AbwBmAGYARgByAG8AbQBNAE0AUwBfAFQAaQB0AGwAZQAiACwAIgBNAE0AUwBfAEQAYQBpAHIAeQBfAEwAZQBhAGMAaABpAG4AZwBBAG4AZABSAHUAbgBvAGYAZgBfAEUAcQB1AGEAdABpAG8AbgBzAC4AVgBFAEUAUgBHAF8ANABfADMAXwAxAF8ANgBfAF8AMQBfAEEAbgBuAHUAYQBsAEUAbQBpAHMAcwBpAG8AbgBzAEYAcgBvAG0ATABlAGEAYwBoAGkAbgBnAEEAbgBkAFIAdQBuAG8AZgBmAEYAcgBvAG0ATQBNAFMAXwBWAGEAcgBpAGEAYgBsAGUAIgAsACIATQBNAFMAXwBEAGEAaQByAHkAXwBMAGUAYQBjAGgAaQBuAGcAQQBuAGQAUgB1AG4AbwBmAGYAXwBFAHEAdQBhAHQAaQBvAG4AcwAuAFYARQBFAFIARwBfADQAXwAzAF8AMQBfADYAXwBfADEAXwBBAG4AbgB1AGEAbABFAG0AaQBzAHMAaQBvAG4AcwBGAHIAbwBtAEwAZQBhAGMAaABpAG4AZwBBAG4AZABSAHUAbgBvAGYAZgBGAHIAbwBtAE0ATQBTAF8AVQBuAGkAdAAiACwAIgBNAE0AUwBfAEQAYQBpAHIAeQBfAEwAZQBhAGMAaABpAG4AZwBBAG4AZABSAHUAbgBvAGYAZgBfAEUAcQB1AGEAdABpAG8AbgBzAC4AVgBFAEUAUgBHAF8ANABfADMAXwAxAF8ANgBfAF8AMQBfAEEAbgBuAHUAYQBsAEUAbQBpAHMAcwBpAG8AbgBzAEYAcgBvAG0ATABlAGEAYwBoAGkAbgBnAEEAbgBkAFIAdQBuAG8AZgBmAEYAcgBvAG0ATQBNAFMAXwBTAG8AdQByAGMAZQAiACwAIgBNAE0AUwBfAEQAYQBpAHIAeQBfAEwAZQBhAGMAaABpAG4AZwBBAG4AZABSAHUAbgBvAGYAZgBfAEUAcQB1AGEAdABpAG8AbgBzAC4AVgBFAEUAUgBHAF8ANABfADMAXwAxAF8ANgBfAF8AMQBfAEEAbgBuAHUAYQBsAEUAbQBpAHMAcwBpAG8AbgBzAEYAcgBvAG0ATABlAGEAYwBoAGkAbgBnAEEAbgBkAFIAdQBuAG8AZgBmAEYAcgBvAG0ATQBNAFMAXwBOAEkAUgBSAGUAZgBlAHIAZQBuAGMAZQAiACwAIgBNAE0AUwBfAEQAYQBpAHIAeQBfAEwAZQBhAGMAaABpAG4AZwBBAG4AZABSAHUAbgBvAGYAZgBfAEUAcQB1AGEAdABpAG8AbgBzAC4AVgBFAEUAUgBHAF8ANABfADMAXwAxAF8ANgBfAF8AMQBfAEEAbgBuAHUAYQBsAEUAbQBpAHMAcwBpAG8AbgBzAEYAcgBvAG0ATABlAGEAYwBoAGkAbgBnAEEAbgBkAFIAdQBuAG8AZgBmAEYAcgBvAG0ATQBNAFMAXwBMAGEAdABlAHgARQBxAHUAYQB0AGkAbwBuACIALAAiAE0ATQBTAF8ARABhAGkAcgB5AF8ATABlAGEAYwBoAGkAbgBnAEEAbgBkAFIAdQBuAG8AZgBmAF8ARQBxAHUAYQB0AGkAbwBuAHMALgBWAEUARQBSAEcAXwA0AF8AMwBfADEAXwA2AF8AXwAxAF8AQQBuAG4AdQBhAGwARQBtAGkAcwBzAGkAbwBuAHMARgByAG8AbQBMAGUAYQBjAGgAaQBuAGcAQQBuAGQAUgB1AG4AbwBmAGYARgByAG8AbQBNAE0AUwBfAEEAcgBnAHUAbQBlAG4AdABz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F8AVABpAHQAbABl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F8AVgBhAHIAaQBhAGIAbABl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F8AVQBuAGkAdA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BfAFMAbwB1AHIAYwBl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F8ATgBJAFIAUgBlAGYAZQByAGUAbgBjAGUAIgAsACIATQBNAFMAXwBEAGEAaQByAHkAXwBMAGUAYQBjAGgAaQBuAGcAQQBuAGQAUgB1AG4AbwBmAGYAXwBFAHEAdQBhAHQAaQBvAG4AcwAuAFYARQBFAFIARwBfADQAXwAzAF8AMQBfADYAXwBfADIAXwBNAGEAcwBzAE8AZgBOAGkAdAByAG8AZwBlAG4ATABvAHMAdABUAG8ATABlAGEAYwBoAGkAbgBnAEEAbgBkAFIAdQBuAG8AZgBmAEYAcgBvAG0AUwBvAGwAaQBkAFMAdABvAHIAYQBnAGUAXwBMAGEAdABlAHgARQBxAHUAYQB0AGkAbwBu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F8AQQByAGcAdQBtAGUAbgB0AHMAIgAsACIATQBNAFMAXwBEAGEAaQByAHkAXwBTAG8AaQBsAF8ATgAyAE8ARABpAHIAZQBjAHQAXwBFAHEAdQBhAHQAaQBvAG4AcwAuAFYARQBFAFIARwBfADQAXwAzAF8AMQBfADkAXwBfADEAXwBEAGkAcgBlAGMAdABOAGkAdAByAG8AdQBzAE8AeABpAGQAZQBFAG0AaQBzAHMAaQBvAG4AcwBPAG4AUABhAHMAdAB1AHIAZQAiACwAIgBNAE0AUwBfAEQAYQBpAHIAeQBfAFMAbwBpAGwAXwBOADIATwBEAGkAcgBlAGMAdABfAEUAcQB1AGEAdABpAG8AbgBzAC4AVgBFAEUAUgBHAF8ANABfADMAXwAxAF8AOQBfAF8AMQBfAEQAaQByAGUAYwB0AE4AaQB0AHIAbwB1AHMATwB4AGkAZABlAEUAbQBpAHMAcwBpAG8AbgBzAE8AbgBQAGEAcwB0AHUAcgBlAF8AVABpAHQAbABlACIALAAiAE0ATQBTAF8ARABhAGkAcgB5AF8AUwBvAGkAbABfAE4AMgBPAEQAaQByAGUAYwB0AF8ARQBxAHUAYQB0AGkAbwBuAHMALgBWAEUARQBSAEcAXwA0AF8AMwBfADEAXwA5AF8AXwAxAF8ARABpAHIAZQBjAHQATgBpAHQAcgBvAHUAcwBPAHgAaQBkAGUARQBtAGkAcwBzAGkAbwBuAHMATwBuAFAAYQBzAHQAdQByAGUAXwBWAGEAcgBpAGEAYgBsAGUAIgAsACIATQBNAFMAXwBEAGEAaQByAHkAXwBTAG8AaQBsAF8ATgAyAE8ARABpAHIAZQBjAHQAXwBFAHEAdQBhAHQAaQBvAG4AcwAuAFYARQBFAFIARwBfADQAXwAzAF8AMQBfADkAXwBfADEAXwBEAGkAcgBlAGMAdABOAGkAdAByAG8AdQBzAE8AeABpAGQAZQBFAG0AaQBzAHMAaQBvAG4AcwBPAG4AUABhAHMAdAB1AHIAZQBfAFUAbgBpAHQAIgAsACIATQBNAFMAXwBEAGEAaQByAHkAXwBTAG8AaQBsAF8ATgAyAE8ARABpAHIAZQBjAHQAXwBFAHEAdQBhAHQAaQBvAG4AcwAuAFYARQBFAFIARwBfADQAXwAzAF8AMQBfADkAXwBfADEAXwBEAGkAcgBlAGMAdABOAGkAdAByAG8AdQBzAE8AeABpAGQAZQBFAG0AaQBzAHMAaQBvAG4AcwBPAG4AUABhAHMAdAB1AHIAZQBfAFMAbwB1AHIAYwBlACIALAAiAE0ATQBTAF8ARABhAGkAcgB5AF8AUwBvAGkAbABfAE4AMgBPAEQAaQByAGUAYwB0AF8ARQBxAHUAYQB0AGkAbwBuAHMALgBWAEUARQBSAEcAXwA0AF8AMwBfADEAXwA5AF8AXwAxAF8ARABpAHIAZQBjAHQATgBpAHQAcgBvAHUAcwBPAHgAaQBkAGUARQBtAGkAcwBzAGkAbwBuAHMATwBuAFAAYQBzAHQAdQByAGUAXwBOAEkAUgBSAGUAZgBlAHIAZQBuAGMAZQAiACwAIgBNAE0AUwBfAEQAYQBpAHIAeQBfAFMAbwBpAGwAXwBOADIATwBEAGkAcgBlAGMAdABfAEUAcQB1AGEAdABpAG8AbgBzAC4AVgBFAEUAUgBHAF8ANABfADMAXwAxAF8AOQBfAF8AMQBfAEQAaQByAGUAYwB0AE4AaQB0AHIAbwB1AHMATwB4AGkAZABlAEUAbQBpAHMAcwBpAG8AbgBzAE8AbgBQAGEAcwB0AHUAcgBlAF8ATABhAHQAZQB4AEUAcQB1AGEAdABpAG8AbgAiACwAIgBNAE0AUwBfAEQAYQBpAHIAeQBfAFMAbwBpAGwAXwBOADIATwBEAGkAcgBlAGMAdABfAEUAcQB1AGEAdABpAG8AbgBzAC4AVgBFAEUAUgBHAF8ANABfADMAXwAxAF8AOQBfAF8AMQBfAEQAaQByAGUAYwB0AE4AaQB0AHIAbwB1AHMATwB4AGkAZABlAEUAbQBpAHMAcwBpAG8AbgBzAE8AbgBQAGEAcwB0AHUAcgBlAF8AQQByAGcAdQBtAGUAbgB0AHM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XwBUAGkAdABsAGU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XwBWAGEAcgBpAGEAYgBsAGU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XwBVAG4AaQB0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F8AUwBvAHUAcgBjAGU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XwBOAEkAUgBSAGUAZgBlAHIAZQBuAGMAZQAiACwAIgBNAE0AUwBfAEQAYQBpAHIAeQBfAFMAbwBpAGwAXwBBAHQAbQBvAHMAcABoAGUAcgBpAGMARABlAHAAbwBzAGkAdABpAG8AbgBfAEUAcQB1AGEAdABpAG8AbgBzAC4AVgBFAEUAUgBHAF8ANABfADMAXwAxAF8AMQAwAF8AXwAxAF8AQQB0AG0AbwBzAHAAaABlAHIAaQBjAEQAZQBwAG8AcwBpAHQAaQBvAG4ARQBtAGkAcwBzAGkAbwBuAHMARgByAG8AbQBVAHIAaQBuAGUAQQBuAGQARAB1AG4AZwBPAG4AUABhAHMAdAB1AHIAZQBfAEwAYQB0AGUAeABFAHEAdQBhAHQAaQBvAG4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XwBBAHIAZwB1AG0AZQBuAHQAcwAiACwAIgBNAE0AUwBfAEQAYQBpAHIAeQBfAFMAbwBpAGwAXwBBAHQAbQBvAHMAcABoAGUAcgBpAGMARABlAHAAbwBzAGkAdABpAG8AbgBfAEUAcQB1AGEAdABpAG8AbgBzAC4AVgBFAEUAUgBHAF8ANABfADMAXwAxAF8AMQAwAF8AXwAyAF8ATQBhAHMAcwBPAGYATgBpAHQAcgBvAGcAZQBuAFYAbwBsAGEAdABpAGwAaQBzAGUAZABPAG4AUABhAHMAdAB1AHIAZQAiACwAIgBNAE0AUwBfAEQAYQBpAHIAeQBfAFMAbwBpAGwAXwBBAHQAbQBvAHMAcABoAGUAcgBpAGMARABlAHAAbwBzAGkAdABpAG8AbgBfAEUAcQB1AGEAdABpAG8AbgBzAC4AVgBFAEUAUgBHAF8ANABfADMAXwAxAF8AMQAwAF8AXwAyAF8ATQBhAHMAcwBPAGYATgBpAHQAcgBvAGcAZQBuAFYAbwBsAGEAdABpAGwAaQBzAGUAZABPAG4AUABhAHMAdAB1AHIAZQBfAFQAaQB0AGwAZQAiACwAIgBNAE0AUwBfAEQAYQBpAHIAeQBfAFMAbwBpAGwAXwBBAHQAbQBvAHMAcABoAGUAcgBpAGMARABlAHAAbwBzAGkAdABpAG8AbgBfAEUAcQB1AGEAdABpAG8AbgBzAC4AVgBFAEUAUgBHAF8ANABfADMAXwAxAF8AMQAwAF8AXwAyAF8ATQBhAHMAcwBPAGYATgBpAHQAcgBvAGcAZQBuAFYAbwBsAGEAdABpAGwAaQBzAGUAZABPAG4AUABhAHMAdAB1AHIAZQBfAFYAYQByAGkAYQBiAGwAZQAiACwAIgBNAE0AUwBfAEQAYQBpAHIAeQBfAFMAbwBpAGwAXwBBAHQAbQBvAHMAcABoAGUAcgBpAGMARABlAHAAbwBzAGkAdABpAG8AbgBfAEUAcQB1AGEAdABpAG8AbgBzAC4AVgBFAEUAUgBHAF8ANABfADMAXwAxAF8AMQAwAF8AXwAyAF8ATQBhAHMAcwBPAGYATgBpAHQAcgBvAGcAZQBuAFYAbwBsAGEAdABpAGwAaQBzAGUAZABPAG4AUABhAHMAdAB1AHIAZQBfAFUAbgBpAHQAIgAsACIATQBNAFMAXwBEAGEAaQByAHkAXwBTAG8AaQBsAF8AQQB0AG0AbwBzAHAAaABlAHIAaQBjAEQAZQBwAG8AcwBpAHQAaQBvAG4AXwBFAHEAdQBhAHQAaQBvAG4AcwAuAFYARQBFAFIARwBfADQAXwAzAF8AMQBfADEAMABfAF8AMgBfAE0AYQBzAHMATwBmAE4AaQB0AHIAbwBnAGUAbgBWAG8AbABhAHQAaQBsAGkAcwBlAGQATwBuAFAAYQBzAHQAdQByAGUAXwBTAG8AdQByAGMAZQAiACwAIgBNAE0AUwBfAEQAYQBpAHIAeQBfAFMAbwBpAGwAXwBBAHQAbQBvAHMAcABoAGUAcgBpAGMARABlAHAAbwBzAGkAdABpAG8AbgBfAEUAcQB1AGEAdABpAG8AbgBzAC4AVgBFAEUAUgBHAF8ANABfADMAXwAxAF8AMQAwAF8AXwAyAF8ATQBhAHMAcwBPAGYATgBpAHQAcgBvAGcAZQBuAFYAbwBsAGEAdABpAGwAaQBzAGUAZABPAG4AUABhAHMAdAB1AHIAZQBfAE4ASQBSAFIAZQBmAGUAcgBlAG4AYwBlACIALAAiAE0ATQBTAF8ARABhAGkAcgB5AF8AUwBvAGkAbABfAEEAdABtAG8AcwBwAGgAZQByAGkAYwBEAGUAcABvAHMAaQB0AGkAbwBuAF8ARQBxAHUAYQB0AGkAbwBuAHMALgBWAEUARQBSAEcAXwA0AF8AMwBfADEAXwAxADAAXwBfADIAXwBNAGEAcwBzAE8AZgBOAGkAdAByAG8AZwBlAG4AVgBvAGwAYQB0AGkAbABpAHMAZQBkAE8AbgBQAGEAcwB0AHUAcgBlAF8ATABhAHQAZQB4AEUAcQB1AGEAdABpAG8AbgAiACwAIgBNAE0AUwBfAEQAYQBpAHIAeQBfAFMAbwBpAGwAXwBBAHQAbQBvAHMAcABoAGUAcgBpAGMARABlAHAAbwBzAGkAdABpAG8AbgBfAEUAcQB1AGEAdABpAG8AbgBzAC4AVgBFAEUAUgBHAF8ANABfADMAXwAxAF8AMQAwAF8AXwAyAF8ATQBhAHMAcwBPAGYATgBpAHQAcgBvAGcAZQBuAFYAbwBsAGEAdABpAGwAaQBzAGUAZABPAG4AUABhAHMAdAB1AHIAZQBfAEEAcgBnAHUAbQBlAG4AdABz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F8AVABpAHQAbABl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F8AVgBhAHIAaQBhAGIAbABl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F8AVQBuAGkAdA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BfAFMAbwB1AHIAYwBl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F8ATgBJAFIAUgBlAGYAZQByAGUAbgBjAGUAIgAsACIATQBNAFMAXwBEAGEAaQByAHkAXwBTAG8AaQBsAF8ATABlAGEAYwBoAGkAbgBnAEEAbgBkAFIAdQBuAG8AZgBmAC4AVgBFAEUAUgBHAF8ANABfADMAXwAxAF8AMQAyAF8AXwAxAF8ATABlAGEAYwBoAGkAbgBnAEEAbgBkAFIAdQBuAG8AZgBmAEUAbQBpAHMAcwBpAG8AbgBzAEYAcgBvAG0AVQByAGkAbgBlAEEAbgBkAEQAdQBuAGcATwBuAFAAYQBzAHQAdQByAGUAXwBMAGEAdABlAHgARQBxAHUAYQB0AGkAbwBu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F8AQQByAGcAdQBtAGUAbgB0AHMAIgAsACIATQBNAFMAXwBEAGEAaQByAHkAXwBTAG8AaQBsAF8ATABlAGEAYwBoAGkAbgBnAEEAbgBkAFIAdQBuAG8AZgBmAC4AVgBFAEUAUgBHAF8ANABfADMAXwAxAF8AMQAyAF8AXwAyAF8ATQBhAHMAcwBPAGYATgBpAHQAcgBvAGcAZQBuAEwAbwBzAHQAVABvAEwAZQBhAGMAaABpAG4AZwBBAG4AZABSAHUAbgBvAGYAZgBPAG4AUABhAHMAdAB1AHIAZQAiACwAIgBNAE0AUwBfAEQAYQBpAHIAeQBfAFMAbwBpAGwAXwBMAGUAYQBjAGgAaQBuAGcAQQBuAGQAUgB1AG4AbwBmAGYALgBWAEUARQBSAEcAXwA0AF8AMwBfADEAXwAxADIAXwBfADIAXwBNAGEAcwBzAE8AZgBOAGkAdAByAG8AZwBlAG4ATABvAHMAdABUAG8ATABlAGEAYwBoAGkAbgBnAEEAbgBkAFIAdQBuAG8AZgBmAE8AbgBQAGEAcwB0AHUAcgBlAF8AVABpAHQAbABlACIALAAiAE0ATQBTAF8ARABhAGkAcgB5AF8AUwBvAGkAbABfAEwAZQBhAGMAaABpAG4AZwBBAG4AZABSAHUAbgBvAGYAZgAuAFYARQBFAFIARwBfADQAXwAzAF8AMQBfADEAMgBfAF8AMgBfAE0AYQBzAHMATwBmAE4AaQB0AHIAbwBnAGUAbgBMAG8AcwB0AFQAbwBMAGUAYQBjAGgAaQBuAGcAQQBuAGQAUgB1AG4AbwBmAGYATwBuAFAAYQBzAHQAdQByAGUAXwBWAGEAcgBpAGEAYgBsAGUAIgAsACIATQBNAFMAXwBEAGEAaQByAHkAXwBTAG8AaQBsAF8ATABlAGEAYwBoAGkAbgBnAEEAbgBkAFIAdQBuAG8AZgBmAC4AVgBFAEUAUgBHAF8ANABfADMAXwAxAF8AMQAyAF8AXwAyAF8ATQBhAHMAcwBPAGYATgBpAHQAcgBvAGcAZQBuAEwAbwBzAHQAVABvAEwAZQBhAGMAaABpAG4AZwBBAG4AZABSAHUAbgBvAGYAZgBPAG4AUABhAHMAdAB1AHIAZQBfAFUAbgBpAHQAIgAsACIATQBNAFMAXwBEAGEAaQByAHkAXwBTAG8AaQBsAF8ATABlAGEAYwBoAGkAbgBnAEEAbgBkAFIAdQBuAG8AZgBmAC4AVgBFAEUAUgBHAF8ANABfADMAXwAxAF8AMQAyAF8AXwAyAF8ATQBhAHMAcwBPAGYATgBpAHQAcgBvAGcAZQBuAEwAbwBzAHQAVABvAEwAZQBhAGMAaABpAG4AZwBBAG4AZABSAHUAbgBvAGYAZgBPAG4AUABhAHMAdAB1AHIAZQBfAFMAbwB1AHIAYwBlACIALAAiAE0ATQBTAF8ARABhAGkAcgB5AF8AUwBvAGkAbABfAEwAZQBhAGMAaABpAG4AZwBBAG4AZABSAHUAbgBvAGYAZgAuAFYARQBFAFIARwBfADQAXwAzAF8AMQBfADEAMgBfAF8AMgBfAE0AYQBzAHMATwBmAE4AaQB0AHIAbwBnAGUAbgBMAG8AcwB0AFQAbwBMAGUAYQBjAGgAaQBuAGcAQQBuAGQAUgB1AG4AbwBmAGYATwBuAFAAYQBzAHQAdQByAGUAXwBOAEkAUgBSAGUAZgBlAHIAZQBuAGMAZQAiACwAIgBNAE0AUwBfAEQAYQBpAHIAeQBfAFMAbwBpAGwAXwBMAGUAYQBjAGgAaQBuAGcAQQBuAGQAUgB1AG4AbwBmAGYALgBWAEUARQBSAEcAXwA0AF8AMwBfADEAXwAxADIAXwBfADIAXwBNAGEAcwBzAE8AZgBOAGkAdAByAG8AZwBlAG4ATABvAHMAdABUAG8ATABlAGEAYwBoAGkAbgBnAEEAbgBkAFIAdQBuAG8AZgBmAE8AbgBQAGEAcwB0AHUAcgBlAF8ATABhAHQAZQB4AEUAcQB1AGEAdABpAG8AbgAiACwAIgBNAE0AUwBfAEQAYQBpAHIAeQBfAFMAbwBpAGwAXwBMAGUAYQBjAGgAaQBuAGcAQQBuAGQAUgB1AG4AbwBmAGYALgBWAEUARQBSAEcAXwA0AF8AMwBfADEAXwAxADIAXwBfADIAXwBNAGEAcwBzAE8AZgBOAGkAdAByAG8AZwBlAG4ATABvAHMAdABUAG8ATABlAGEAYwBoAGkAbgBnAEEAbgBkAFIAdQBuAG8AZgBmAE8AbgBQAGEAcwB0AHUAcgBlAF8AQQByAGcAdQBtAGUAbgB0AHM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18</vt:i4>
      </vt:variant>
      <vt:variant>
        <vt:lpstr>Named Ranges</vt:lpstr>
      </vt:variant>
      <vt:variant>
        <vt:i4>226</vt:i4>
      </vt:variant>
    </vt:vector>
  </HeadingPairs>
  <TitlesOfParts>
    <vt:vector size="244" baseType="lpstr">
      <vt:lpstr>Home</vt:lpstr>
      <vt:lpstr>Overview</vt:lpstr>
      <vt:lpstr>Results</vt:lpstr>
      <vt:lpstr>Input - Site</vt:lpstr>
      <vt:lpstr>Input - Dairy</vt:lpstr>
      <vt:lpstr>4.3.1.1-2 Methane</vt:lpstr>
      <vt:lpstr>4.3.1.3-4 Direct N20</vt:lpstr>
      <vt:lpstr>4.3.1.5 Atmos deposition</vt:lpstr>
      <vt:lpstr>4.3.1.6-7 Leaching and runoff</vt:lpstr>
      <vt:lpstr>4.3.1.8 Manure applied to soils</vt:lpstr>
      <vt:lpstr>4.3.1.9 Soil direct N2O</vt:lpstr>
      <vt:lpstr>4.3.1.10-11 Soil Atmos Dep</vt:lpstr>
      <vt:lpstr>4.3.1.12-13 Soil leach runoff</vt:lpstr>
      <vt:lpstr>Constants - Dairy</vt:lpstr>
      <vt:lpstr>Constants - Common</vt:lpstr>
      <vt:lpstr>Constants - Common Livestock</vt:lpstr>
      <vt:lpstr>Acknowledgements</vt:lpstr>
      <vt:lpstr>Tab template</vt:lpstr>
      <vt:lpstr>Common_SourceData_DensityOfMethane_Data</vt:lpstr>
      <vt:lpstr>M1_Table_AE_j</vt:lpstr>
      <vt:lpstr>M1_Table_AE_j_Consumer_1</vt:lpstr>
      <vt:lpstr>M1_Table_AE_j_Consumer_2</vt:lpstr>
      <vt:lpstr>M1_Table_AE_j124</vt:lpstr>
      <vt:lpstr>M1_Table_CP_j</vt:lpstr>
      <vt:lpstr>M1_Table_CPI_j</vt:lpstr>
      <vt:lpstr>M1_Table_D_j</vt:lpstr>
      <vt:lpstr>M1_Table_D_j124</vt:lpstr>
      <vt:lpstr>M1_Table_D_j35</vt:lpstr>
      <vt:lpstr>M1_Table_D_j35_Consumer_1</vt:lpstr>
      <vt:lpstr>M1_Table_DMD_j</vt:lpstr>
      <vt:lpstr>M1_Table_DPW_j</vt:lpstr>
      <vt:lpstr>M1_Table_DPW_j_Consumer_1</vt:lpstr>
      <vt:lpstr>M1_Table_DPW_j_Consumer_2</vt:lpstr>
      <vt:lpstr>M1_Table_DPW_j_Consumer_3</vt:lpstr>
      <vt:lpstr>M1_Table_E_CH4</vt:lpstr>
      <vt:lpstr>M1_Table_E_CH4_Consumer_1</vt:lpstr>
      <vt:lpstr>M1_Table_E_N2O_dir</vt:lpstr>
      <vt:lpstr>M1_Table_E_N2O_dir_Consumer_1</vt:lpstr>
      <vt:lpstr>M1_Table_EF_N2O_leach</vt:lpstr>
      <vt:lpstr>M1_Table_FVS_j_m</vt:lpstr>
      <vt:lpstr>M1_Table_FVS_j_m_Consumer_1</vt:lpstr>
      <vt:lpstr>M1_Table_FVS_j_m4</vt:lpstr>
      <vt:lpstr>M1_Table_I_j</vt:lpstr>
      <vt:lpstr>M1_Table_I_j_Consumer_1</vt:lpstr>
      <vt:lpstr>M1_Table_L_j</vt:lpstr>
      <vt:lpstr>M1_Table_LWG_j</vt:lpstr>
      <vt:lpstr>M1_Table_LWG_j_Consumer_1</vt:lpstr>
      <vt:lpstr>M1_Table_M_leach_M14</vt:lpstr>
      <vt:lpstr>M1_Table_M_vol_m14</vt:lpstr>
      <vt:lpstr>M1_Table_MI_j</vt:lpstr>
      <vt:lpstr>M1_Table_MI_j_Consumer_1</vt:lpstr>
      <vt:lpstr>M1_Table_MMS_j_m</vt:lpstr>
      <vt:lpstr>M1_Table_MMS_j_m_Consumer_1</vt:lpstr>
      <vt:lpstr>M1_Table_MMS_j_m14</vt:lpstr>
      <vt:lpstr>M1_Table_MMS_j_m4</vt:lpstr>
      <vt:lpstr>M1_Table_MN_atmos</vt:lpstr>
      <vt:lpstr>M1_Table_MN_j_m</vt:lpstr>
      <vt:lpstr>M1_Table_MN_j_m_Consumer_1</vt:lpstr>
      <vt:lpstr>M1_Table_MN_j_m_Consumer_2</vt:lpstr>
      <vt:lpstr>M1_Table_MN_j_m14</vt:lpstr>
      <vt:lpstr>M1_Table_MN_j_m14_Consumer_1</vt:lpstr>
      <vt:lpstr>M1_Table_MN_j_m14_Consumer_2</vt:lpstr>
      <vt:lpstr>M1_Table_MN_j_m4</vt:lpstr>
      <vt:lpstr>M1_Table_MN_leach_j_m</vt:lpstr>
      <vt:lpstr>M1_Table_MN_leach_j_m4</vt:lpstr>
      <vt:lpstr>M1_Table_MN_soil_scope1</vt:lpstr>
      <vt:lpstr>M1_Table_MN_soil_scope3</vt:lpstr>
      <vt:lpstr>M1_Table_MNSoil_scope3_fert</vt:lpstr>
      <vt:lpstr>M1_Table_MP_j_from_solids</vt:lpstr>
      <vt:lpstr>M1_Table_MP_j_from_solids_Consumer_1</vt:lpstr>
      <vt:lpstr>M1_Table_MS_j</vt:lpstr>
      <vt:lpstr>M1_Table_NE_j</vt:lpstr>
      <vt:lpstr>M1_Table_NR_j</vt:lpstr>
      <vt:lpstr>M1_Table_qm_j</vt:lpstr>
      <vt:lpstr>M1_Table_SS_m</vt:lpstr>
      <vt:lpstr>M1_Table_VS_j</vt:lpstr>
      <vt:lpstr>M1_Table_W_j</vt:lpstr>
      <vt:lpstr>M1_Table_W_j_Consumer_1</vt:lpstr>
      <vt:lpstr>M1_Table_Z_j</vt:lpstr>
      <vt:lpstr>M1_Table_Z_j_Consumer_1</vt:lpstr>
      <vt:lpstr>M2_Table_AE_j</vt:lpstr>
      <vt:lpstr>M2_Table_AE_j124</vt:lpstr>
      <vt:lpstr>M2_Table_CP_j</vt:lpstr>
      <vt:lpstr>M2_Table_CPI_j</vt:lpstr>
      <vt:lpstr>M2_Table_D_j</vt:lpstr>
      <vt:lpstr>M2_Table_D_j124</vt:lpstr>
      <vt:lpstr>M2_Table_DMD_j</vt:lpstr>
      <vt:lpstr>M2_Table_E_N2O_dir</vt:lpstr>
      <vt:lpstr>M2_Table_E_N2O_dir_Consumer_1</vt:lpstr>
      <vt:lpstr>M2_Table_EF_N2O_leach</vt:lpstr>
      <vt:lpstr>M2_Table_FVS_j_m4</vt:lpstr>
      <vt:lpstr>M2_Table_I_j</vt:lpstr>
      <vt:lpstr>M2_Table_I_j_Consumer_1</vt:lpstr>
      <vt:lpstr>M2_Table_L_j</vt:lpstr>
      <vt:lpstr>M2_Table_LWG_j</vt:lpstr>
      <vt:lpstr>M2_Table_LWG_j_Consumer_1</vt:lpstr>
      <vt:lpstr>M2_Table_M_leach_M14</vt:lpstr>
      <vt:lpstr>M2_Table_M_vol_m14</vt:lpstr>
      <vt:lpstr>M2_Table_MI_j</vt:lpstr>
      <vt:lpstr>M2_Table_MMS_j_m</vt:lpstr>
      <vt:lpstr>M2_Table_MMS_j_m_Consumer_1</vt:lpstr>
      <vt:lpstr>M2_Table_MMS_j_m14</vt:lpstr>
      <vt:lpstr>M2_Table_MMS_j_m4</vt:lpstr>
      <vt:lpstr>M2_Table_MN_atmos</vt:lpstr>
      <vt:lpstr>M2_Table_MN_j_m</vt:lpstr>
      <vt:lpstr>M2_Table_MN_j_m_Consumer_1</vt:lpstr>
      <vt:lpstr>M2_Table_MN_j_m_Consumer_2</vt:lpstr>
      <vt:lpstr>M2_Table_MN_j_m14</vt:lpstr>
      <vt:lpstr>M2_Table_MN_j_m14_Consumer_1</vt:lpstr>
      <vt:lpstr>M2_Table_MN_j_m14_Consumer_2</vt:lpstr>
      <vt:lpstr>M2_Table_MN_j_m4</vt:lpstr>
      <vt:lpstr>M2_Table_MN_leach_j_m</vt:lpstr>
      <vt:lpstr>M2_Table_MN_leach_j_m4</vt:lpstr>
      <vt:lpstr>M2_Table_MN_soil_scope1</vt:lpstr>
      <vt:lpstr>M2_Table_MN_soil_scope3</vt:lpstr>
      <vt:lpstr>M2_Table_MNSoil_scope3_fert</vt:lpstr>
      <vt:lpstr>M2_Table_MP_j_from_solids</vt:lpstr>
      <vt:lpstr>M2_Table_MP_j_from_solids_Consumer_1</vt:lpstr>
      <vt:lpstr>M2_Table_NE_j</vt:lpstr>
      <vt:lpstr>M2_Table_NR_j</vt:lpstr>
      <vt:lpstr>M2_Table_qm_j</vt:lpstr>
      <vt:lpstr>M2_Table_SS_m</vt:lpstr>
      <vt:lpstr>M2_Table_VS_j</vt:lpstr>
      <vt:lpstr>M2_Table_W_j</vt:lpstr>
      <vt:lpstr>M2_Table_W_j_Consumer_1</vt:lpstr>
      <vt:lpstr>SourceData_Dairy_AshContent_Data</vt:lpstr>
      <vt:lpstr>SourceData_Dairy_CrudeProtein_Data</vt:lpstr>
      <vt:lpstr>SourceData_Dairy_DryMatterDigestibility_Data</vt:lpstr>
      <vt:lpstr>SourceData_Dairy_EfficiencyOfUseOfMetabolizableEnergy_Data</vt:lpstr>
      <vt:lpstr>SourceData_Dairy_EmissionFactorForLeachingAndRunoff_Data</vt:lpstr>
      <vt:lpstr>SourceData_Dairy_FatContentInMilk_Data</vt:lpstr>
      <vt:lpstr>SourceData_Dairy_FracGASMSoil_Data</vt:lpstr>
      <vt:lpstr>SourceData_Dairy_FractionOfNitrogenLostThroughLeachingAndRunoff_Data</vt:lpstr>
      <vt:lpstr>SourceData_Dairy_FractionOfNitrogenLostThroughLeachingAndRunoffSolidStorage_Data</vt:lpstr>
      <vt:lpstr>SourceData_Dairy_GrossEnergyContent_Data</vt:lpstr>
      <vt:lpstr>SourceData_Dairy_MethaneEmissionsPotential_Data</vt:lpstr>
      <vt:lpstr>SourceData_Dairy_NetEnergy_Data</vt:lpstr>
      <vt:lpstr>SourceData_Dairy_ProteinContentInMilk_Data</vt:lpstr>
      <vt:lpstr>Table_EF_m</vt:lpstr>
      <vt:lpstr>Table_EF_m_Consumer_1</vt:lpstr>
      <vt:lpstr>Table_FracGASM_m</vt:lpstr>
      <vt:lpstr>Table_FracGASM_m_Consumer_1</vt:lpstr>
      <vt:lpstr>Table_MP_j</vt:lpstr>
      <vt:lpstr>Table_MP_j_Consumer_1</vt:lpstr>
      <vt:lpstr>Table_MPW_manure_j35</vt:lpstr>
      <vt:lpstr>Table_MR_j</vt:lpstr>
      <vt:lpstr>Table_MR_j_Consumer_1</vt:lpstr>
      <vt:lpstr>Table_N_j</vt:lpstr>
      <vt:lpstr>Table_N_j_Consumer_1</vt:lpstr>
      <vt:lpstr>Table_NPW_j35</vt:lpstr>
      <vt:lpstr>Table_PF_fert</vt:lpstr>
      <vt:lpstr>Table_PF_scope</vt:lpstr>
      <vt:lpstr>Table_WR_j</vt:lpstr>
      <vt:lpstr>VEERG_4_3_1_1__1_TotalAnnualMethaneFromManureManagement_Result_Method1</vt:lpstr>
      <vt:lpstr>VEERG_4_3_1_1__1_TotalAnnualMethaneFromManureManagement_Result_Method2</vt:lpstr>
      <vt:lpstr>VEERG_4_3_1_10__1_AtmosphericDepositionEmissionsFromUrineAndDungOnPasture_Result_Method1</vt:lpstr>
      <vt:lpstr>VEERG_4_3_1_10__1_AtmosphericDepositionEmissionsFromUrineAndDungOnPasture_Result_Method2</vt:lpstr>
      <vt:lpstr>VEERG_4_3_1_12__1_LeachingAndRunoffEmissionsFromUrineAndDungOnPasture_Result_Method1</vt:lpstr>
      <vt:lpstr>VEERG_4_3_1_12__1_LeachingAndRunoffEmissionsFromUrineAndDungOnPasture_Result_Method2</vt:lpstr>
      <vt:lpstr>VEERG_4_3_1_3__1_TotalAnnualDirectNitrousOxideEmissionsFromMMS_Result_Method1</vt:lpstr>
      <vt:lpstr>VEERG_4_3_1_3__1_TotalAnnualDirectNitrousOxideEmissionsFromMMS_Result_Method2</vt:lpstr>
      <vt:lpstr>VEERG_4_3_1_5__1_AnnualAtmosphericDepositionEmissionsFromMMS_Result_Method1</vt:lpstr>
      <vt:lpstr>VEERG_4_3_1_5__1_AnnualAtmosphericDepositionEmissionsFromMMS_Result_Method2</vt:lpstr>
      <vt:lpstr>VEERG_4_3_1_6__1_AnnualEmissionsFromLeachingAndRunoffFromMMS_Result_Method1</vt:lpstr>
      <vt:lpstr>VEERG_4_3_1_6__1_AnnualEmissionsFromLeachingAndRunoffFromMMS_Result_Method2</vt:lpstr>
      <vt:lpstr>VEERG_4_3_1_6__2_MassOfNitrogenLostToLeachingAndRunoffFromSolidStorage_Result_Method1</vt:lpstr>
      <vt:lpstr>VEERG_4_3_1_6__2_MassOfNitrogenLostToLeachingAndRunoffFromSolidStorage_Result_Method2</vt:lpstr>
      <vt:lpstr>VEERG_4_3_1_8__1_MassOfNitrogenAppliedToSoilsScope1_Result_Method1</vt:lpstr>
      <vt:lpstr>VEERG_4_3_1_8__1_MassOfNitrogenAppliedToSoilsScope1_Result_Method2</vt:lpstr>
      <vt:lpstr>VEERG_4_3_1_8__2_MassOfNitrogenAppliedToSoilsScope3_Result_Method1</vt:lpstr>
      <vt:lpstr>VEERG_4_3_1_8__2_MassOfNitrogenAppliedToSoilsScope3_Result_Method2</vt:lpstr>
      <vt:lpstr>VEERG_4_3_1_9__1_DirectNitrousOxideEmissionsOnPasture_Result_Method1</vt:lpstr>
      <vt:lpstr>VEERG_4_3_1_9__1_DirectNitrousOxideEmissionsOnPasture_Result_Method2</vt:lpstr>
      <vt:lpstr>X_Cell_Dairy_Breed</vt:lpstr>
      <vt:lpstr>X_Cell_Dairy_ManureAppliedIrrigationMethod</vt:lpstr>
      <vt:lpstr>X_Cell_Dairy_ManureAppliedProductionSystem</vt:lpstr>
      <vt:lpstr>X_Cell_Dairy_MilkProductionAmount</vt:lpstr>
      <vt:lpstr>X_Cell_Dairy_MilkProductionUnit</vt:lpstr>
      <vt:lpstr>X_Cell_Dairy_MilkSolidsFatContent_Method1</vt:lpstr>
      <vt:lpstr>X_Cell_Dairy_MilkSolidsFatContent_Method2</vt:lpstr>
      <vt:lpstr>X_Cell_Dairy_MilkSolidsProteinContent_Method1</vt:lpstr>
      <vt:lpstr>X_Cell_Dairy_MilkSolidsProteinContent_Method2</vt:lpstr>
      <vt:lpstr>X_Cell_Dairy_ProductionSystemTemplate</vt:lpstr>
      <vt:lpstr>X_Cell_Dairy_Stage1MMS_1_AnaerobicLagoon_AmountSeparated_Method1</vt:lpstr>
      <vt:lpstr>X_Cell_Dairy_Stage1MMS_1_AnaerobicLagoon_AmountSeparated_Method2</vt:lpstr>
      <vt:lpstr>X_Cell_Dairy_Stage1MMS_1_AnaerobicLagoon_SolidsSeparated</vt:lpstr>
      <vt:lpstr>X_Cell_Dairy_Stage1MMS_1_DrainsToPaddock_AmountSeparated_Method1</vt:lpstr>
      <vt:lpstr>X_Cell_Dairy_Stage1MMS_1_DrainsToPaddock_AmountSeparated_Method2</vt:lpstr>
      <vt:lpstr>X_Cell_Dairy_Stage1MMS_1_DrainsToPaddock_SolidsSeparated</vt:lpstr>
      <vt:lpstr>X_Cell_Dairy_Stage1MMS_1_SumpAndDispersal_AmountSeparated_Method1</vt:lpstr>
      <vt:lpstr>X_Cell_Dairy_Stage1MMS_1_SumpAndDispersal_AmountSeparated_Method2</vt:lpstr>
      <vt:lpstr>X_Cell_Dairy_Stage1MMS_1_SumpAndDispersal_SolidsSeparated</vt:lpstr>
      <vt:lpstr>X_Cell_Dairy_Stage1MMS_2_AnaerobicLagoon_AmountSeparated_Method1</vt:lpstr>
      <vt:lpstr>X_Cell_Dairy_Stage1MMS_2_AnaerobicLagoon_AmountSeparated_Method2</vt:lpstr>
      <vt:lpstr>X_Cell_Dairy_Stage1MMS_2_AnaerobicLagoon_SolidsSeparated</vt:lpstr>
      <vt:lpstr>X_Cell_Dairy_Stage1MMS_2_DrainsToPaddock_AmountSeparated_Method1</vt:lpstr>
      <vt:lpstr>X_Cell_Dairy_Stage1MMS_2_DrainsToPaddock_AmountSeparated_Method2</vt:lpstr>
      <vt:lpstr>X_Cell_Dairy_Stage1MMS_2_DrainsToPaddock_SolidsSeparated</vt:lpstr>
      <vt:lpstr>X_Cell_Dairy_Stage1MMS_2_SumpAndDispersal_AmountSeparated_Method1</vt:lpstr>
      <vt:lpstr>X_Cell_Dairy_Stage1MMS_2_SumpAndDispersal_AmountSeparated_Method2</vt:lpstr>
      <vt:lpstr>X_Cell_Dairy_Stage1MMS_2_SumpAndDispersal_SolidsSeparated</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X_Table_Dairy_Diet_Method1</vt:lpstr>
      <vt:lpstr>X_Table_Dairy_Diet_Method2</vt:lpstr>
      <vt:lpstr>X_Table_Dairy_DurationOfStay_Method1</vt:lpstr>
      <vt:lpstr>X_Table_Dairy_DurationOfStay_Method2</vt:lpstr>
      <vt:lpstr>X_Table_Dairy_HerdMovement</vt:lpstr>
      <vt:lpstr>X_Table_Dairy_Liveweight_Method1</vt:lpstr>
      <vt:lpstr>X_Table_Dairy_Liveweight_Method2</vt:lpstr>
      <vt:lpstr>X_Table_Dairy_MilkSolidAttributes</vt:lpstr>
      <vt:lpstr>X_Table_Dairy_ProductionSystems_Method1</vt:lpstr>
      <vt:lpstr>X_Table_Dairy_ProductionSystems_Method2</vt:lpstr>
      <vt:lpstr>X_Table_Dairy_Stage1MMS_1_AnaerobicLagoon</vt:lpstr>
      <vt:lpstr>X_Table_Dairy_Stage1MMS_1_AnaerobicLagoon_Destinations</vt:lpstr>
      <vt:lpstr>X_Table_Dairy_Stage1MMS_1_DrainsToPaddock</vt:lpstr>
      <vt:lpstr>X_Table_Dairy_Stage1MMS_1_DrainsToPaddock_Destinations</vt:lpstr>
      <vt:lpstr>X_Table_Dairy_Stage1MMS_1_SolidStorage</vt:lpstr>
      <vt:lpstr>X_Table_Dairy_Stage1MMS_1_SolidStorage_Destinations</vt:lpstr>
      <vt:lpstr>X_Table_Dairy_Stage1MMS_1_SumpAndDispersal</vt:lpstr>
      <vt:lpstr>X_Table_Dairy_Stage1MMS_1_SumpAndDispersal_Destinations</vt:lpstr>
      <vt:lpstr>X_Table_Dairy_Stage1MMS_2_AnaerobicLagoon</vt:lpstr>
      <vt:lpstr>X_Table_Dairy_Stage1MMS_2_AnaerobicLagoon_Destinations</vt:lpstr>
      <vt:lpstr>X_Table_Dairy_Stage1MMS_2_DrainsToPaddock</vt:lpstr>
      <vt:lpstr>X_Table_Dairy_Stage1MMS_2_DrainsToPaddock_Destinations</vt:lpstr>
      <vt:lpstr>X_Table_Dairy_Stage1MMS_2_SolidStorage</vt:lpstr>
      <vt:lpstr>X_Table_Dairy_Stage1MMS_2_SolidStorage_Destinations</vt:lpstr>
      <vt:lpstr>X_Table_Dairy_Stage1MMS_2_SumpAndDispersal</vt:lpstr>
      <vt:lpstr>X_Table_Dairy_Stage1MMS_2_SumpAndDispersal_Destinations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2026-09-04T01:55:34Z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y fmtid="{D5CDD505-2E9C-101B-9397-08002B2CF9AE}" pid="4" name="RestyleFontsApplied">
    <vt:lpwstr>applied 2026-09-02T17:27:08; rename=True resize=True scope=all</vt:lpwstr>
  </property>
</Properties>
</file>