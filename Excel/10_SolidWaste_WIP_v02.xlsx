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825F638-5CE9-48A0-AB38-74F39698955D}" xr6:coauthVersionLast="47" xr6:coauthVersionMax="47" xr10:uidLastSave="{00000000-0000-0000-0000-000000000000}"/>
  <bookViews>
    <workbookView xWindow="390" yWindow="390" windowWidth="37170" windowHeight="19920" activeTab="3" xr2:uid="{992023F3-CAB7-4E5B-A348-08D563A0EF40}"/>
  </bookViews>
  <sheets>
    <sheet name="Home" sheetId="71" r:id="rId1"/>
    <sheet name="Overview" sheetId="118" r:id="rId2"/>
    <sheet name="Results" sheetId="13" r:id="rId3"/>
    <sheet name="Input - Solid waste" sheetId="70" r:id="rId4"/>
    <sheet name="10.1.1-2 Solid waste treatment" sheetId="69" r:id="rId5"/>
    <sheet name="Constants - Solid Waste" sheetId="110" r:id="rId6"/>
    <sheet name="Constants - Common" sheetId="129" r:id="rId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Table_E_g_offsite">'10.1.1-2 Solid waste treatment'!$D$156:$E$190</definedName>
    <definedName name="Table_E_g_onsite">'10.1.1-2 Solid waste treatment'!$D$115:$E$149</definedName>
    <definedName name="Table_V_w_t_offsite">'10.1.1-2 Solid waste treatment'!$D$58:$E$92</definedName>
    <definedName name="Table_V_w_t_onsite">'10.1.1-2 Solid waste treatment'!$D$20:$E$54</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9" l="1" a="1"/>
  <c r="E259" i="129" s="1"/>
  <c r="D259" i="129" a="1"/>
  <c r="D259" i="129" s="1"/>
  <c r="E258" i="129" a="1"/>
  <c r="E258" i="129" s="1"/>
  <c r="D258" i="129" a="1"/>
  <c r="D258" i="129" s="1"/>
  <c r="D256" i="129" a="1"/>
  <c r="D256" i="129" s="1"/>
  <c r="D255" i="129" a="1"/>
  <c r="D255" i="129" s="1"/>
  <c r="D254" i="129" a="1"/>
  <c r="D254" i="129" s="1"/>
  <c r="D253" i="129" a="1"/>
  <c r="D253" i="129" s="1"/>
  <c r="S250" i="129" a="1"/>
  <c r="S250" i="129" s="1"/>
  <c r="R250" i="129" a="1"/>
  <c r="R250" i="129" s="1"/>
  <c r="Q250" i="129" a="1"/>
  <c r="Q250" i="129" s="1"/>
  <c r="P250" i="129" a="1"/>
  <c r="P250" i="129" s="1"/>
  <c r="O250" i="129" a="1"/>
  <c r="O250" i="129" s="1"/>
  <c r="N250" i="129" a="1"/>
  <c r="N250" i="129" s="1"/>
  <c r="M250" i="129" a="1"/>
  <c r="M250" i="129" s="1"/>
  <c r="L250" i="129" a="1"/>
  <c r="L250" i="129" s="1"/>
  <c r="K250" i="129" a="1"/>
  <c r="K250" i="129" s="1"/>
  <c r="J250" i="129" a="1"/>
  <c r="J250" i="129" s="1"/>
  <c r="I250" i="129" a="1"/>
  <c r="I250" i="129" s="1"/>
  <c r="H250" i="129" a="1"/>
  <c r="H250" i="129" s="1"/>
  <c r="G250" i="129" a="1"/>
  <c r="G250" i="129" s="1"/>
  <c r="F250" i="129" a="1"/>
  <c r="F250" i="129" s="1"/>
  <c r="E250" i="129" a="1"/>
  <c r="E250" i="129" s="1"/>
  <c r="D250" i="129" a="1"/>
  <c r="D250" i="129" s="1"/>
  <c r="S249" i="129" a="1"/>
  <c r="S249" i="129" s="1"/>
  <c r="R249" i="129" a="1"/>
  <c r="R249" i="129" s="1"/>
  <c r="Q249" i="129" a="1"/>
  <c r="Q249" i="129" s="1"/>
  <c r="P249" i="129" a="1"/>
  <c r="P249" i="129" s="1"/>
  <c r="O249" i="129" a="1"/>
  <c r="O249" i="129" s="1"/>
  <c r="N249" i="129" a="1"/>
  <c r="N249" i="129" s="1"/>
  <c r="M249" i="129" a="1"/>
  <c r="M249" i="129" s="1"/>
  <c r="L249" i="129" a="1"/>
  <c r="L249" i="129" s="1"/>
  <c r="K249" i="129" a="1"/>
  <c r="K249" i="129" s="1"/>
  <c r="J249" i="129" a="1"/>
  <c r="J249" i="129" s="1"/>
  <c r="I249" i="129" a="1"/>
  <c r="I249" i="129" s="1"/>
  <c r="H249" i="129" a="1"/>
  <c r="H249" i="129" s="1"/>
  <c r="G249" i="129" a="1"/>
  <c r="G249" i="129" s="1"/>
  <c r="F249" i="129" a="1"/>
  <c r="F249" i="129" s="1"/>
  <c r="E249" i="129" a="1"/>
  <c r="E249" i="129" s="1"/>
  <c r="D249" i="129" a="1"/>
  <c r="D249" i="129" s="1"/>
  <c r="S248" i="129" a="1"/>
  <c r="S248" i="129" s="1"/>
  <c r="R248" i="129" a="1"/>
  <c r="R248" i="129" s="1"/>
  <c r="Q248" i="129" a="1"/>
  <c r="Q248" i="129" s="1"/>
  <c r="P248" i="129" a="1"/>
  <c r="P248" i="129" s="1"/>
  <c r="O248" i="129" a="1"/>
  <c r="O248" i="129" s="1"/>
  <c r="N248" i="129" a="1"/>
  <c r="N248" i="129" s="1"/>
  <c r="M248" i="129" a="1"/>
  <c r="M248" i="129" s="1"/>
  <c r="L248" i="129" a="1"/>
  <c r="L248" i="129" s="1"/>
  <c r="K248" i="129" a="1"/>
  <c r="K248" i="129" s="1"/>
  <c r="J248" i="129" a="1"/>
  <c r="J248" i="129" s="1"/>
  <c r="I248" i="129" a="1"/>
  <c r="I248" i="129" s="1"/>
  <c r="H248" i="129" a="1"/>
  <c r="H248" i="129" s="1"/>
  <c r="G248" i="129" a="1"/>
  <c r="G248" i="129" s="1"/>
  <c r="F248" i="129" a="1"/>
  <c r="F248" i="129" s="1"/>
  <c r="E248" i="129" a="1"/>
  <c r="E248" i="129" s="1"/>
  <c r="D248" i="129" a="1"/>
  <c r="D248" i="129" s="1"/>
  <c r="S247" i="129" a="1"/>
  <c r="S247" i="129" s="1"/>
  <c r="R247" i="129" a="1"/>
  <c r="R247" i="129" s="1"/>
  <c r="Q247" i="129" a="1"/>
  <c r="Q247" i="129" s="1"/>
  <c r="P247" i="129" a="1"/>
  <c r="P247" i="129" s="1"/>
  <c r="O247" i="129" a="1"/>
  <c r="O247" i="129" s="1"/>
  <c r="N247" i="129" a="1"/>
  <c r="N247" i="129" s="1"/>
  <c r="M247" i="129" a="1"/>
  <c r="M247" i="129" s="1"/>
  <c r="L247" i="129" a="1"/>
  <c r="L247" i="129" s="1"/>
  <c r="K247" i="129" a="1"/>
  <c r="K247" i="129" s="1"/>
  <c r="J247" i="129" a="1"/>
  <c r="J247" i="129" s="1"/>
  <c r="I247" i="129" a="1"/>
  <c r="I247" i="129" s="1"/>
  <c r="H247" i="129" a="1"/>
  <c r="H247" i="129" s="1"/>
  <c r="G247" i="129" a="1"/>
  <c r="G247" i="129" s="1"/>
  <c r="F247" i="129" a="1"/>
  <c r="F247" i="129" s="1"/>
  <c r="E247" i="129" a="1"/>
  <c r="E247" i="129" s="1"/>
  <c r="D247" i="129" a="1"/>
  <c r="D247" i="129" s="1"/>
  <c r="S246" i="129" a="1"/>
  <c r="S246" i="129" s="1"/>
  <c r="R246" i="129" a="1"/>
  <c r="R246" i="129" s="1"/>
  <c r="Q246" i="129" a="1"/>
  <c r="Q246" i="129" s="1"/>
  <c r="P246" i="129" a="1"/>
  <c r="P246" i="129" s="1"/>
  <c r="O246" i="129" a="1"/>
  <c r="O246" i="129" s="1"/>
  <c r="N246" i="129" a="1"/>
  <c r="N246" i="129" s="1"/>
  <c r="M246" i="129" a="1"/>
  <c r="M246" i="129" s="1"/>
  <c r="L246" i="129" a="1"/>
  <c r="L246" i="129" s="1"/>
  <c r="K246" i="129" a="1"/>
  <c r="K246" i="129" s="1"/>
  <c r="J246" i="129" a="1"/>
  <c r="J246" i="129" s="1"/>
  <c r="I246" i="129" a="1"/>
  <c r="I246" i="129" s="1"/>
  <c r="H246" i="129" a="1"/>
  <c r="H246" i="129" s="1"/>
  <c r="G246" i="129" a="1"/>
  <c r="G246" i="129" s="1"/>
  <c r="F246" i="129" a="1"/>
  <c r="F246" i="129" s="1"/>
  <c r="E246" i="129" a="1"/>
  <c r="E246" i="129" s="1"/>
  <c r="D246" i="129" a="1"/>
  <c r="D246" i="129" s="1"/>
  <c r="S245" i="129" a="1"/>
  <c r="S245" i="129" s="1"/>
  <c r="R245" i="129" a="1"/>
  <c r="R245" i="129" s="1"/>
  <c r="Q245" i="129" a="1"/>
  <c r="Q245" i="129" s="1"/>
  <c r="P245" i="129" a="1"/>
  <c r="P245" i="129" s="1"/>
  <c r="O245" i="129" a="1"/>
  <c r="O245" i="129" s="1"/>
  <c r="N245" i="129" a="1"/>
  <c r="N245" i="129" s="1"/>
  <c r="M245" i="129" a="1"/>
  <c r="M245" i="129" s="1"/>
  <c r="L245" i="129" a="1"/>
  <c r="L245" i="129" s="1"/>
  <c r="K245" i="129" a="1"/>
  <c r="K245" i="129" s="1"/>
  <c r="J245" i="129" a="1"/>
  <c r="J245" i="129" s="1"/>
  <c r="I245" i="129" a="1"/>
  <c r="I245" i="129" s="1"/>
  <c r="H245" i="129" a="1"/>
  <c r="H245" i="129" s="1"/>
  <c r="G245" i="129" a="1"/>
  <c r="G245" i="129" s="1"/>
  <c r="F245" i="129" a="1"/>
  <c r="F245" i="129" s="1"/>
  <c r="E245" i="129" a="1"/>
  <c r="E245" i="129" s="1"/>
  <c r="D245" i="129" a="1"/>
  <c r="D245" i="129" s="1"/>
  <c r="S244" i="129" a="1"/>
  <c r="S244" i="129" s="1"/>
  <c r="R244" i="129" a="1"/>
  <c r="R244" i="129" s="1"/>
  <c r="Q244" i="129" a="1"/>
  <c r="Q244" i="129" s="1"/>
  <c r="P244" i="129" a="1"/>
  <c r="P244" i="129" s="1"/>
  <c r="O244" i="129" a="1"/>
  <c r="O244" i="129" s="1"/>
  <c r="N244" i="129" a="1"/>
  <c r="N244" i="129" s="1"/>
  <c r="M244" i="129" a="1"/>
  <c r="M244" i="129" s="1"/>
  <c r="L244" i="129" a="1"/>
  <c r="L244" i="129" s="1"/>
  <c r="K244" i="129" a="1"/>
  <c r="K244" i="129" s="1"/>
  <c r="J244" i="129" a="1"/>
  <c r="J244" i="129" s="1"/>
  <c r="I244" i="129" a="1"/>
  <c r="I244" i="129" s="1"/>
  <c r="H244" i="129" a="1"/>
  <c r="H244" i="129" s="1"/>
  <c r="G244" i="129" a="1"/>
  <c r="G244" i="129" s="1"/>
  <c r="F244" i="129" a="1"/>
  <c r="F244" i="129" s="1"/>
  <c r="E244" i="129" a="1"/>
  <c r="E244" i="129" s="1"/>
  <c r="D244" i="129" a="1"/>
  <c r="D244" i="129" s="1"/>
  <c r="S243" i="129" a="1"/>
  <c r="S243" i="129" s="1"/>
  <c r="R243" i="129" a="1"/>
  <c r="R243" i="129" s="1"/>
  <c r="Q243" i="129" a="1"/>
  <c r="Q243" i="129" s="1"/>
  <c r="P243" i="129" a="1"/>
  <c r="P243" i="129" s="1"/>
  <c r="O243" i="129" a="1"/>
  <c r="O243" i="129" s="1"/>
  <c r="N243" i="129" a="1"/>
  <c r="N243" i="129" s="1"/>
  <c r="M243" i="129" a="1"/>
  <c r="M243" i="129" s="1"/>
  <c r="L243" i="129" a="1"/>
  <c r="L243" i="129" s="1"/>
  <c r="K243" i="129" a="1"/>
  <c r="K243" i="129" s="1"/>
  <c r="J243" i="129" a="1"/>
  <c r="J243" i="129" s="1"/>
  <c r="I243" i="129" a="1"/>
  <c r="I243" i="129" s="1"/>
  <c r="H243" i="129" a="1"/>
  <c r="H243" i="129" s="1"/>
  <c r="G243" i="129" a="1"/>
  <c r="G243" i="129" s="1"/>
  <c r="F243" i="129" a="1"/>
  <c r="F243" i="129" s="1"/>
  <c r="E243" i="129" a="1"/>
  <c r="E243" i="129" s="1"/>
  <c r="D243" i="129" a="1"/>
  <c r="D243" i="129" s="1"/>
  <c r="S242" i="129" a="1"/>
  <c r="S242" i="129" s="1"/>
  <c r="R242" i="129" a="1"/>
  <c r="R242" i="129" s="1"/>
  <c r="Q242" i="129" a="1"/>
  <c r="Q242" i="129" s="1"/>
  <c r="P242" i="129" a="1"/>
  <c r="P242" i="129" s="1"/>
  <c r="O242" i="129" a="1"/>
  <c r="O242" i="129" s="1"/>
  <c r="N242" i="129" a="1"/>
  <c r="N242" i="129" s="1"/>
  <c r="M242" i="129" a="1"/>
  <c r="M242" i="129" s="1"/>
  <c r="L242" i="129" a="1"/>
  <c r="L242" i="129" s="1"/>
  <c r="K242" i="129" a="1"/>
  <c r="K242" i="129" s="1"/>
  <c r="J242" i="129" a="1"/>
  <c r="J242" i="129" s="1"/>
  <c r="I242" i="129" a="1"/>
  <c r="I242" i="129" s="1"/>
  <c r="H242" i="129" a="1"/>
  <c r="H242" i="129" s="1"/>
  <c r="G242" i="129" a="1"/>
  <c r="G242" i="129" s="1"/>
  <c r="F242" i="129" a="1"/>
  <c r="F242" i="129" s="1"/>
  <c r="E242" i="129" a="1"/>
  <c r="E242" i="129" s="1"/>
  <c r="D242" i="129" a="1"/>
  <c r="D242" i="129" s="1"/>
  <c r="S241" i="129" a="1"/>
  <c r="S241" i="129" s="1"/>
  <c r="R241" i="129" a="1"/>
  <c r="R241" i="129" s="1"/>
  <c r="Q241" i="129" a="1"/>
  <c r="Q241" i="129" s="1"/>
  <c r="P241" i="129" a="1"/>
  <c r="P241" i="129" s="1"/>
  <c r="O241" i="129" a="1"/>
  <c r="O241" i="129" s="1"/>
  <c r="N241" i="129" a="1"/>
  <c r="N241" i="129" s="1"/>
  <c r="M241" i="129" a="1"/>
  <c r="M241" i="129" s="1"/>
  <c r="L241" i="129" a="1"/>
  <c r="L241" i="129" s="1"/>
  <c r="K241" i="129" a="1"/>
  <c r="K241" i="129" s="1"/>
  <c r="J241" i="129" a="1"/>
  <c r="J241" i="129" s="1"/>
  <c r="I241" i="129" a="1"/>
  <c r="I241" i="129" s="1"/>
  <c r="H241" i="129" a="1"/>
  <c r="H241" i="129" s="1"/>
  <c r="G241" i="129" a="1"/>
  <c r="G241" i="129" s="1"/>
  <c r="F241" i="129" a="1"/>
  <c r="F241" i="129" s="1"/>
  <c r="E241" i="129" a="1"/>
  <c r="E241" i="129" s="1"/>
  <c r="D241" i="129" a="1"/>
  <c r="D241" i="129" s="1"/>
  <c r="S240" i="129" a="1"/>
  <c r="S240" i="129" s="1"/>
  <c r="R240" i="129" a="1"/>
  <c r="R240" i="129" s="1"/>
  <c r="Q240" i="129" a="1"/>
  <c r="Q240" i="129" s="1"/>
  <c r="P240" i="129" a="1"/>
  <c r="P240" i="129" s="1"/>
  <c r="O240" i="129" a="1"/>
  <c r="O240" i="129" s="1"/>
  <c r="N240" i="129" a="1"/>
  <c r="N240" i="129" s="1"/>
  <c r="M240" i="129" a="1"/>
  <c r="M240" i="129" s="1"/>
  <c r="L240" i="129" a="1"/>
  <c r="L240" i="129" s="1"/>
  <c r="K240" i="129" a="1"/>
  <c r="K240" i="129" s="1"/>
  <c r="J240" i="129" a="1"/>
  <c r="J240" i="129" s="1"/>
  <c r="I240" i="129" a="1"/>
  <c r="I240" i="129" s="1"/>
  <c r="H240" i="129" a="1"/>
  <c r="H240" i="129" s="1"/>
  <c r="G240" i="129" a="1"/>
  <c r="G240" i="129" s="1"/>
  <c r="F240" i="129" a="1"/>
  <c r="F240" i="129" s="1"/>
  <c r="E240" i="129" a="1"/>
  <c r="E240" i="129" s="1"/>
  <c r="D240" i="129" a="1"/>
  <c r="D240" i="129" s="1"/>
  <c r="S239" i="129" a="1"/>
  <c r="S239" i="129" s="1"/>
  <c r="R239" i="129" a="1"/>
  <c r="R239" i="129" s="1"/>
  <c r="Q239" i="129" a="1"/>
  <c r="Q239" i="129" s="1"/>
  <c r="P239" i="129" a="1"/>
  <c r="P239" i="129" s="1"/>
  <c r="O239" i="129" a="1"/>
  <c r="O239" i="129" s="1"/>
  <c r="N239" i="129" a="1"/>
  <c r="N239" i="129" s="1"/>
  <c r="M239" i="129" a="1"/>
  <c r="M239" i="129" s="1"/>
  <c r="L239" i="129" a="1"/>
  <c r="L239" i="129" s="1"/>
  <c r="K239" i="129" a="1"/>
  <c r="K239" i="129" s="1"/>
  <c r="J239" i="129" a="1"/>
  <c r="J239" i="129" s="1"/>
  <c r="I239" i="129" a="1"/>
  <c r="I239" i="129" s="1"/>
  <c r="H239" i="129" a="1"/>
  <c r="H239" i="129" s="1"/>
  <c r="G239" i="129" a="1"/>
  <c r="G239" i="129" s="1"/>
  <c r="F239" i="129" a="1"/>
  <c r="F239" i="129" s="1"/>
  <c r="E239" i="129" a="1"/>
  <c r="E239" i="129" s="1"/>
  <c r="D239" i="129" a="1"/>
  <c r="D239" i="129" s="1"/>
  <c r="S238" i="129" a="1"/>
  <c r="S238" i="129" s="1"/>
  <c r="R238" i="129" a="1"/>
  <c r="R238" i="129" s="1"/>
  <c r="Q238" i="129" a="1"/>
  <c r="Q238" i="129" s="1"/>
  <c r="P238" i="129" a="1"/>
  <c r="P238" i="129" s="1"/>
  <c r="O238" i="129" a="1"/>
  <c r="O238" i="129" s="1"/>
  <c r="N238" i="129" a="1"/>
  <c r="N238" i="129" s="1"/>
  <c r="M238" i="129" a="1"/>
  <c r="M238" i="129" s="1"/>
  <c r="L238" i="129" a="1"/>
  <c r="L238" i="129" s="1"/>
  <c r="K238" i="129" a="1"/>
  <c r="K238" i="129" s="1"/>
  <c r="J238" i="129" a="1"/>
  <c r="J238" i="129" s="1"/>
  <c r="I238" i="129" a="1"/>
  <c r="I238" i="129" s="1"/>
  <c r="H238" i="129" a="1"/>
  <c r="H238" i="129" s="1"/>
  <c r="G238" i="129" a="1"/>
  <c r="G238" i="129" s="1"/>
  <c r="F238" i="129" a="1"/>
  <c r="F238" i="129" s="1"/>
  <c r="E238" i="129" a="1"/>
  <c r="E238" i="129" s="1"/>
  <c r="D238" i="129" a="1"/>
  <c r="D238" i="129" s="1"/>
  <c r="S237" i="129" a="1"/>
  <c r="S237" i="129" s="1"/>
  <c r="R237" i="129" a="1"/>
  <c r="R237" i="129" s="1"/>
  <c r="Q237" i="129" a="1"/>
  <c r="Q237" i="129" s="1"/>
  <c r="P237" i="129" a="1"/>
  <c r="P237" i="129" s="1"/>
  <c r="O237" i="129" a="1"/>
  <c r="O237" i="129" s="1"/>
  <c r="N237" i="129" a="1"/>
  <c r="N237" i="129" s="1"/>
  <c r="M237" i="129" a="1"/>
  <c r="M237" i="129" s="1"/>
  <c r="L237" i="129" a="1"/>
  <c r="L237" i="129" s="1"/>
  <c r="K237" i="129" a="1"/>
  <c r="K237" i="129" s="1"/>
  <c r="J237" i="129" a="1"/>
  <c r="J237" i="129" s="1"/>
  <c r="I237" i="129" a="1"/>
  <c r="I237" i="129" s="1"/>
  <c r="H237" i="129" a="1"/>
  <c r="H237" i="129" s="1"/>
  <c r="G237" i="129" a="1"/>
  <c r="G237" i="129" s="1"/>
  <c r="F237" i="129" a="1"/>
  <c r="F237" i="129" s="1"/>
  <c r="E237" i="129" a="1"/>
  <c r="E237" i="129" s="1"/>
  <c r="D237" i="129" a="1"/>
  <c r="D237" i="129" s="1"/>
  <c r="S236" i="129" a="1"/>
  <c r="S236" i="129" s="1"/>
  <c r="R236" i="129" a="1"/>
  <c r="R236" i="129" s="1"/>
  <c r="Q236" i="129" a="1"/>
  <c r="Q236" i="129" s="1"/>
  <c r="P236" i="129" a="1"/>
  <c r="P236" i="129" s="1"/>
  <c r="O236" i="129" a="1"/>
  <c r="O236" i="129" s="1"/>
  <c r="N236" i="129" a="1"/>
  <c r="N236" i="129" s="1"/>
  <c r="M236" i="129" a="1"/>
  <c r="M236" i="129" s="1"/>
  <c r="L236" i="129" a="1"/>
  <c r="L236" i="129" s="1"/>
  <c r="K236" i="129" a="1"/>
  <c r="K236" i="129" s="1"/>
  <c r="J236" i="129" a="1"/>
  <c r="J236" i="129" s="1"/>
  <c r="I236" i="129" a="1"/>
  <c r="I236" i="129" s="1"/>
  <c r="H236" i="129" a="1"/>
  <c r="H236" i="129" s="1"/>
  <c r="G236" i="129" a="1"/>
  <c r="G236" i="129" s="1"/>
  <c r="F236" i="129" a="1"/>
  <c r="F236" i="129" s="1"/>
  <c r="E236" i="129" a="1"/>
  <c r="E236" i="129" s="1"/>
  <c r="D236" i="129" a="1"/>
  <c r="D236" i="129" s="1"/>
  <c r="S235" i="129" a="1"/>
  <c r="S235" i="129" s="1"/>
  <c r="R235" i="129" a="1"/>
  <c r="R235" i="129" s="1"/>
  <c r="Q235" i="129" a="1"/>
  <c r="Q235" i="129" s="1"/>
  <c r="P235" i="129" a="1"/>
  <c r="P235" i="129" s="1"/>
  <c r="O235" i="129" a="1"/>
  <c r="O235" i="129" s="1"/>
  <c r="N235" i="129" a="1"/>
  <c r="N235" i="129" s="1"/>
  <c r="M235" i="129" a="1"/>
  <c r="M235" i="129" s="1"/>
  <c r="L235" i="129" a="1"/>
  <c r="L235" i="129" s="1"/>
  <c r="K235" i="129" a="1"/>
  <c r="K235" i="129" s="1"/>
  <c r="J235" i="129" a="1"/>
  <c r="J235" i="129" s="1"/>
  <c r="I235" i="129" a="1"/>
  <c r="I235" i="129" s="1"/>
  <c r="H235" i="129" a="1"/>
  <c r="H235" i="129" s="1"/>
  <c r="G235" i="129" a="1"/>
  <c r="G235" i="129" s="1"/>
  <c r="F235" i="129" a="1"/>
  <c r="F235" i="129" s="1"/>
  <c r="E235" i="129" a="1"/>
  <c r="E235" i="129" s="1"/>
  <c r="D235" i="129" a="1"/>
  <c r="D235" i="129" s="1"/>
  <c r="S234" i="129" a="1"/>
  <c r="S234" i="129" s="1"/>
  <c r="R234" i="129" a="1"/>
  <c r="R234" i="129" s="1"/>
  <c r="Q234" i="129" a="1"/>
  <c r="Q234" i="129" s="1"/>
  <c r="P234" i="129" a="1"/>
  <c r="P234" i="129" s="1"/>
  <c r="O234" i="129" a="1"/>
  <c r="O234" i="129" s="1"/>
  <c r="N234" i="129" a="1"/>
  <c r="N234" i="129" s="1"/>
  <c r="M234" i="129" a="1"/>
  <c r="M234" i="129" s="1"/>
  <c r="L234" i="129" a="1"/>
  <c r="L234" i="129" s="1"/>
  <c r="K234" i="129" a="1"/>
  <c r="K234" i="129" s="1"/>
  <c r="J234" i="129" a="1"/>
  <c r="J234" i="129" s="1"/>
  <c r="I234" i="129" a="1"/>
  <c r="I234" i="129" s="1"/>
  <c r="H234" i="129" a="1"/>
  <c r="H234" i="129" s="1"/>
  <c r="G234" i="129" a="1"/>
  <c r="G234" i="129" s="1"/>
  <c r="F234" i="129" a="1"/>
  <c r="F234" i="129" s="1"/>
  <c r="E234" i="129" a="1"/>
  <c r="E234" i="129" s="1"/>
  <c r="D234" i="129" a="1"/>
  <c r="D234" i="129" s="1"/>
  <c r="S233" i="129" a="1"/>
  <c r="S233" i="129" s="1"/>
  <c r="R233" i="129" a="1"/>
  <c r="R233" i="129" s="1"/>
  <c r="Q233" i="129" a="1"/>
  <c r="Q233" i="129" s="1"/>
  <c r="P233" i="129" a="1"/>
  <c r="P233" i="129" s="1"/>
  <c r="O233" i="129" a="1"/>
  <c r="O233" i="129" s="1"/>
  <c r="N233" i="129" a="1"/>
  <c r="N233" i="129" s="1"/>
  <c r="M233" i="129" a="1"/>
  <c r="M233" i="129" s="1"/>
  <c r="L233" i="129" a="1"/>
  <c r="L233" i="129" s="1"/>
  <c r="K233" i="129" a="1"/>
  <c r="K233" i="129" s="1"/>
  <c r="J233" i="129" a="1"/>
  <c r="J233" i="129" s="1"/>
  <c r="I233" i="129" a="1"/>
  <c r="I233" i="129" s="1"/>
  <c r="H233" i="129" a="1"/>
  <c r="H233" i="129" s="1"/>
  <c r="G233" i="129" a="1"/>
  <c r="G233" i="129" s="1"/>
  <c r="F233" i="129" a="1"/>
  <c r="F233" i="129" s="1"/>
  <c r="E233" i="129" a="1"/>
  <c r="E233" i="129" s="1"/>
  <c r="D233" i="129" a="1"/>
  <c r="D233" i="129" s="1"/>
  <c r="S232" i="129" a="1"/>
  <c r="S232" i="129" s="1"/>
  <c r="R232" i="129" a="1"/>
  <c r="R232" i="129" s="1"/>
  <c r="Q232" i="129" a="1"/>
  <c r="Q232" i="129" s="1"/>
  <c r="P232" i="129" a="1"/>
  <c r="P232" i="129" s="1"/>
  <c r="O232" i="129" a="1"/>
  <c r="O232" i="129" s="1"/>
  <c r="N232" i="129" a="1"/>
  <c r="N232" i="129" s="1"/>
  <c r="M232" i="129" a="1"/>
  <c r="M232" i="129" s="1"/>
  <c r="L232" i="129" a="1"/>
  <c r="L232" i="129" s="1"/>
  <c r="K232" i="129" a="1"/>
  <c r="K232" i="129" s="1"/>
  <c r="J232" i="129" a="1"/>
  <c r="J232" i="129" s="1"/>
  <c r="I232" i="129" a="1"/>
  <c r="I232" i="129" s="1"/>
  <c r="H232" i="129" a="1"/>
  <c r="H232" i="129" s="1"/>
  <c r="G232" i="129" a="1"/>
  <c r="G232" i="129" s="1"/>
  <c r="F232" i="129" a="1"/>
  <c r="F232" i="129" s="1"/>
  <c r="E232" i="129" a="1"/>
  <c r="E232" i="129" s="1"/>
  <c r="D232" i="129" a="1"/>
  <c r="D232" i="129" s="1"/>
  <c r="D229" i="129" a="1"/>
  <c r="D229" i="129" s="1"/>
  <c r="D228" i="129" a="1"/>
  <c r="D228" i="129" s="1"/>
  <c r="D227" i="129"/>
  <c r="D227" i="129" a="1"/>
  <c r="E224" i="129" a="1"/>
  <c r="E224" i="129" s="1"/>
  <c r="D224" i="129" a="1"/>
  <c r="D224" i="129" s="1"/>
  <c r="E223" i="129" a="1"/>
  <c r="E223" i="129" s="1"/>
  <c r="D223" i="129" a="1"/>
  <c r="D223" i="129" s="1"/>
  <c r="E222" i="129" a="1"/>
  <c r="E222" i="129" s="1"/>
  <c r="D222" i="129" a="1"/>
  <c r="D222" i="129" s="1"/>
  <c r="E221" i="129" a="1"/>
  <c r="E221" i="129" s="1"/>
  <c r="D221" i="129" a="1"/>
  <c r="D221" i="129" s="1"/>
  <c r="E220" i="129" a="1"/>
  <c r="E220" i="129" s="1"/>
  <c r="D220" i="129" a="1"/>
  <c r="D220" i="129" s="1"/>
  <c r="E219" i="129" a="1"/>
  <c r="E219" i="129" s="1"/>
  <c r="D219" i="129" a="1"/>
  <c r="D219" i="129" s="1"/>
  <c r="E218" i="129" a="1"/>
  <c r="E218" i="129" s="1"/>
  <c r="D218" i="129" a="1"/>
  <c r="D218" i="129" s="1"/>
  <c r="E217" i="129" a="1"/>
  <c r="E217" i="129" s="1"/>
  <c r="D217" i="129" a="1"/>
  <c r="D217" i="129" s="1"/>
  <c r="E216" i="129" a="1"/>
  <c r="E216" i="129" s="1"/>
  <c r="D216" i="129" a="1"/>
  <c r="D216" i="129" s="1"/>
  <c r="E215" i="129" a="1"/>
  <c r="E215" i="129" s="1"/>
  <c r="D215" i="129" a="1"/>
  <c r="D215" i="129" s="1"/>
  <c r="E214" i="129" a="1"/>
  <c r="E214" i="129" s="1"/>
  <c r="D214" i="129" a="1"/>
  <c r="D214" i="129" s="1"/>
  <c r="E213" i="129" a="1"/>
  <c r="E213" i="129" s="1"/>
  <c r="D213" i="129" a="1"/>
  <c r="D213" i="129" s="1"/>
  <c r="D211" i="129" a="1"/>
  <c r="D211" i="129" s="1"/>
  <c r="E208" i="129" a="1"/>
  <c r="E208" i="129" s="1"/>
  <c r="D208" i="129" a="1"/>
  <c r="D208" i="129" s="1"/>
  <c r="E207" i="129" a="1"/>
  <c r="E207" i="129" s="1"/>
  <c r="D207" i="129" a="1"/>
  <c r="D207" i="129" s="1"/>
  <c r="D205" i="129" a="1"/>
  <c r="D205" i="129" s="1"/>
  <c r="D204" i="129" a="1"/>
  <c r="D204" i="129" s="1"/>
  <c r="D203" i="129" a="1"/>
  <c r="D203" i="129" s="1"/>
  <c r="D202" i="129" a="1"/>
  <c r="D202" i="129" s="1"/>
  <c r="H199" i="129" a="1"/>
  <c r="H199" i="129" s="1"/>
  <c r="G199" i="129" a="1"/>
  <c r="G199" i="129" s="1"/>
  <c r="F199" i="129" a="1"/>
  <c r="F199" i="129" s="1"/>
  <c r="E199" i="129" a="1"/>
  <c r="E199" i="129" s="1"/>
  <c r="D199" i="129" a="1"/>
  <c r="D199" i="129" s="1"/>
  <c r="H198" i="129" a="1"/>
  <c r="H198" i="129" s="1"/>
  <c r="G198" i="129" a="1"/>
  <c r="G198" i="129" s="1"/>
  <c r="F198" i="129" a="1"/>
  <c r="F198" i="129" s="1"/>
  <c r="E198" i="129" a="1"/>
  <c r="E198" i="129" s="1"/>
  <c r="D198" i="129" a="1"/>
  <c r="D198" i="129" s="1"/>
  <c r="H197" i="129" a="1"/>
  <c r="H197" i="129" s="1"/>
  <c r="G197" i="129" a="1"/>
  <c r="G197" i="129" s="1"/>
  <c r="F197" i="129" a="1"/>
  <c r="F197" i="129" s="1"/>
  <c r="E197" i="129" a="1"/>
  <c r="E197" i="129" s="1"/>
  <c r="D197" i="129" a="1"/>
  <c r="D197" i="129" s="1"/>
  <c r="H196" i="129" a="1"/>
  <c r="H196" i="129" s="1"/>
  <c r="G196" i="129" a="1"/>
  <c r="G196" i="129" s="1"/>
  <c r="F196" i="129" a="1"/>
  <c r="F196" i="129" s="1"/>
  <c r="E196" i="129" a="1"/>
  <c r="E196" i="129" s="1"/>
  <c r="D196" i="129" a="1"/>
  <c r="D196" i="129" s="1"/>
  <c r="H195" i="129" a="1"/>
  <c r="H195" i="129" s="1"/>
  <c r="G195" i="129" a="1"/>
  <c r="G195" i="129" s="1"/>
  <c r="F195" i="129" a="1"/>
  <c r="F195" i="129" s="1"/>
  <c r="E195" i="129" a="1"/>
  <c r="E195" i="129" s="1"/>
  <c r="D195" i="129" a="1"/>
  <c r="D195" i="129" s="1"/>
  <c r="H194" i="129" a="1"/>
  <c r="H194" i="129" s="1"/>
  <c r="G194" i="129" a="1"/>
  <c r="G194" i="129" s="1"/>
  <c r="F194" i="129" a="1"/>
  <c r="F194" i="129" s="1"/>
  <c r="E194" i="129" a="1"/>
  <c r="E194" i="129" s="1"/>
  <c r="D194" i="129" a="1"/>
  <c r="D194" i="129" s="1"/>
  <c r="H193" i="129" a="1"/>
  <c r="H193" i="129" s="1"/>
  <c r="G193" i="129" a="1"/>
  <c r="G193" i="129" s="1"/>
  <c r="F193" i="129" a="1"/>
  <c r="F193" i="129" s="1"/>
  <c r="E193" i="129" a="1"/>
  <c r="E193" i="129" s="1"/>
  <c r="D193" i="129" a="1"/>
  <c r="D193" i="129" s="1"/>
  <c r="H192" i="129" a="1"/>
  <c r="H192" i="129" s="1"/>
  <c r="G192" i="129" a="1"/>
  <c r="G192" i="129" s="1"/>
  <c r="F192" i="129" a="1"/>
  <c r="F192" i="129" s="1"/>
  <c r="E192" i="129" a="1"/>
  <c r="E192" i="129" s="1"/>
  <c r="D192" i="129" a="1"/>
  <c r="D192" i="129" s="1"/>
  <c r="H191" i="129" a="1"/>
  <c r="H191" i="129" s="1"/>
  <c r="G191" i="129" a="1"/>
  <c r="G191" i="129" s="1"/>
  <c r="F191" i="129" a="1"/>
  <c r="F191" i="129" s="1"/>
  <c r="E191" i="129" a="1"/>
  <c r="E191" i="129" s="1"/>
  <c r="D191" i="129" a="1"/>
  <c r="D191" i="129" s="1"/>
  <c r="H190" i="129" a="1"/>
  <c r="H190" i="129" s="1"/>
  <c r="G190" i="129" a="1"/>
  <c r="G190" i="129" s="1"/>
  <c r="F190" i="129" a="1"/>
  <c r="F190" i="129" s="1"/>
  <c r="E190" i="129" a="1"/>
  <c r="E190" i="129" s="1"/>
  <c r="D190" i="129" a="1"/>
  <c r="D190" i="129" s="1"/>
  <c r="H189" i="129" a="1"/>
  <c r="H189" i="129" s="1"/>
  <c r="G189" i="129" a="1"/>
  <c r="G189" i="129" s="1"/>
  <c r="F189" i="129" a="1"/>
  <c r="F189" i="129" s="1"/>
  <c r="E189" i="129" a="1"/>
  <c r="E189" i="129" s="1"/>
  <c r="D189" i="129" a="1"/>
  <c r="D189" i="129" s="1"/>
  <c r="H188" i="129" a="1"/>
  <c r="H188" i="129" s="1"/>
  <c r="G188" i="129" a="1"/>
  <c r="G188" i="129" s="1"/>
  <c r="F188" i="129" a="1"/>
  <c r="F188" i="129" s="1"/>
  <c r="E188" i="129" a="1"/>
  <c r="E188" i="129" s="1"/>
  <c r="D188" i="129" a="1"/>
  <c r="D188" i="129" s="1"/>
  <c r="H187" i="129" a="1"/>
  <c r="H187" i="129" s="1"/>
  <c r="G187" i="129" a="1"/>
  <c r="G187" i="129" s="1"/>
  <c r="F187" i="129" a="1"/>
  <c r="F187" i="129" s="1"/>
  <c r="E187" i="129" a="1"/>
  <c r="E187" i="129" s="1"/>
  <c r="D187" i="129" a="1"/>
  <c r="D187" i="129" s="1"/>
  <c r="D181" i="129" a="1"/>
  <c r="D181" i="129" s="1"/>
  <c r="D180" i="129" a="1"/>
  <c r="D180" i="129" s="1"/>
  <c r="D179" i="129" a="1"/>
  <c r="D179" i="129" s="1"/>
  <c r="D178" i="129" a="1"/>
  <c r="D178" i="129" s="1"/>
  <c r="E175" i="129" a="1"/>
  <c r="E175" i="129" s="1"/>
  <c r="D175" i="129" a="1"/>
  <c r="D175" i="129" s="1"/>
  <c r="D174" i="129" a="1"/>
  <c r="D174" i="129" s="1"/>
  <c r="D173" i="129" a="1"/>
  <c r="D173" i="129" s="1"/>
  <c r="D170" i="129" a="1"/>
  <c r="D170" i="129" s="1"/>
  <c r="D169" i="129" a="1"/>
  <c r="D169" i="129" s="1"/>
  <c r="D168" i="129" a="1"/>
  <c r="D168" i="129" s="1"/>
  <c r="D167" i="129" a="1"/>
  <c r="D167" i="129" s="1"/>
  <c r="D164" i="129" a="1"/>
  <c r="D164" i="129" s="1"/>
  <c r="D163" i="129" a="1"/>
  <c r="D163" i="129" s="1"/>
  <c r="D162" i="129" a="1"/>
  <c r="D162" i="129" s="1"/>
  <c r="D161" i="129" a="1"/>
  <c r="D161" i="129" s="1"/>
  <c r="E158" i="129" a="1"/>
  <c r="E158" i="129" s="1"/>
  <c r="D158" i="129" a="1"/>
  <c r="D158" i="129" s="1"/>
  <c r="E157" i="129" a="1"/>
  <c r="E157" i="129" s="1"/>
  <c r="D157" i="129" a="1"/>
  <c r="D157" i="129" s="1"/>
  <c r="E156" i="129" a="1"/>
  <c r="E156" i="129" s="1"/>
  <c r="D156" i="129" a="1"/>
  <c r="D156" i="129" s="1"/>
  <c r="E155" i="129" a="1"/>
  <c r="E155" i="129" s="1"/>
  <c r="D155" i="129" a="1"/>
  <c r="D155" i="129" s="1"/>
  <c r="E154" i="129" a="1"/>
  <c r="E154" i="129" s="1"/>
  <c r="D154" i="129" a="1"/>
  <c r="D154" i="129" s="1"/>
  <c r="D151" i="129" a="1"/>
  <c r="D151" i="129" s="1"/>
  <c r="D150" i="129" a="1"/>
  <c r="D150" i="129" s="1"/>
  <c r="E147" i="129" a="1"/>
  <c r="E147" i="129" s="1"/>
  <c r="D147" i="129" a="1"/>
  <c r="D147" i="129" s="1"/>
  <c r="E146" i="129" a="1"/>
  <c r="E146" i="129" s="1"/>
  <c r="D146" i="129" a="1"/>
  <c r="D146" i="129" s="1"/>
  <c r="E145" i="129" a="1"/>
  <c r="E145" i="129" s="1"/>
  <c r="D145" i="129" a="1"/>
  <c r="D145" i="129" s="1"/>
  <c r="E144" i="129" a="1"/>
  <c r="E144" i="129" s="1"/>
  <c r="D144" i="129" a="1"/>
  <c r="D144" i="129" s="1"/>
  <c r="E143" i="129" a="1"/>
  <c r="E143" i="129" s="1"/>
  <c r="D143" i="129" a="1"/>
  <c r="D143" i="129" s="1"/>
  <c r="D141" i="129" a="1"/>
  <c r="D141" i="129" s="1"/>
  <c r="D140" i="129" a="1"/>
  <c r="D140" i="129" s="1"/>
  <c r="D139" i="129" a="1"/>
  <c r="D139" i="129" s="1"/>
  <c r="E136" i="129" a="1"/>
  <c r="E136" i="129" s="1"/>
  <c r="D136" i="129" a="1"/>
  <c r="D136" i="129" s="1"/>
  <c r="E135" i="129" a="1"/>
  <c r="E135" i="129" s="1"/>
  <c r="D135" i="129" a="1"/>
  <c r="D135" i="129" s="1"/>
  <c r="D133" i="129" a="1"/>
  <c r="D133" i="129" s="1"/>
  <c r="D132" i="129" a="1"/>
  <c r="D132" i="129" s="1"/>
  <c r="E129" i="129" a="1"/>
  <c r="E129" i="129" s="1"/>
  <c r="D129" i="129" a="1"/>
  <c r="D129" i="129" s="1"/>
  <c r="E128" i="129" a="1"/>
  <c r="E128" i="129" s="1"/>
  <c r="D128" i="129" a="1"/>
  <c r="D128" i="129" s="1"/>
  <c r="D125" i="129"/>
  <c r="D125" i="129" a="1"/>
  <c r="D124" i="129" a="1"/>
  <c r="D124" i="129" s="1"/>
  <c r="G121" i="129" a="1"/>
  <c r="G121" i="129" s="1"/>
  <c r="F121" i="129" a="1"/>
  <c r="F121" i="129" s="1"/>
  <c r="E121" i="129" a="1"/>
  <c r="E121" i="129" s="1"/>
  <c r="D121" i="129" a="1"/>
  <c r="D121" i="129" s="1"/>
  <c r="G120" i="129" a="1"/>
  <c r="G120" i="129" s="1"/>
  <c r="F120" i="129" a="1"/>
  <c r="F120" i="129" s="1"/>
  <c r="E120" i="129" a="1"/>
  <c r="E120" i="129" s="1"/>
  <c r="D120" i="129" a="1"/>
  <c r="D120" i="129" s="1"/>
  <c r="D117" i="129"/>
  <c r="D117" i="129" a="1"/>
  <c r="D116" i="129" a="1"/>
  <c r="D116" i="129" s="1"/>
  <c r="D115" i="129" a="1"/>
  <c r="D115" i="129" s="1"/>
  <c r="G112" i="129" a="1"/>
  <c r="G112" i="129" s="1"/>
  <c r="F112" i="129" a="1"/>
  <c r="F112" i="129" s="1"/>
  <c r="E112" i="129" a="1"/>
  <c r="E112" i="129" s="1"/>
  <c r="D112" i="129" a="1"/>
  <c r="D112" i="129" s="1"/>
  <c r="G111" i="129" a="1"/>
  <c r="G111" i="129" s="1"/>
  <c r="F111" i="129" a="1"/>
  <c r="F111" i="129" s="1"/>
  <c r="E111" i="129" a="1"/>
  <c r="E111" i="129" s="1"/>
  <c r="D111" i="129" a="1"/>
  <c r="D111" i="129" s="1"/>
  <c r="G110" i="129" a="1"/>
  <c r="G110" i="129" s="1"/>
  <c r="F110" i="129" a="1"/>
  <c r="F110" i="129" s="1"/>
  <c r="E110" i="129" a="1"/>
  <c r="E110" i="129" s="1"/>
  <c r="D110" i="129" a="1"/>
  <c r="D110" i="129" s="1"/>
  <c r="D107" i="129" a="1"/>
  <c r="D107" i="129" s="1"/>
  <c r="D106" i="129" a="1"/>
  <c r="D106" i="129" s="1"/>
  <c r="D105" i="129" a="1"/>
  <c r="D105" i="129" s="1"/>
  <c r="D99" i="129" a="1"/>
  <c r="D99" i="129" s="1"/>
  <c r="S97" i="129" a="1"/>
  <c r="S97" i="129" s="1"/>
  <c r="R97" i="129" a="1"/>
  <c r="R97" i="129" s="1"/>
  <c r="Q97" i="129" a="1"/>
  <c r="Q97" i="129" s="1"/>
  <c r="P97" i="129" a="1"/>
  <c r="P97" i="129" s="1"/>
  <c r="O97" i="129" a="1"/>
  <c r="O97" i="129" s="1"/>
  <c r="N97" i="129" a="1"/>
  <c r="N97" i="129" s="1"/>
  <c r="M97" i="129" a="1"/>
  <c r="M97" i="129" s="1"/>
  <c r="L97" i="129" a="1"/>
  <c r="L97" i="129" s="1"/>
  <c r="K97" i="129" a="1"/>
  <c r="K97" i="129" s="1"/>
  <c r="J97" i="129" a="1"/>
  <c r="J97" i="129" s="1"/>
  <c r="I97" i="129" a="1"/>
  <c r="I97" i="129" s="1"/>
  <c r="H97" i="129" a="1"/>
  <c r="H97" i="129" s="1"/>
  <c r="G97" i="129" a="1"/>
  <c r="G97" i="129" s="1"/>
  <c r="F97" i="129" a="1"/>
  <c r="F97" i="129" s="1"/>
  <c r="E97" i="129" a="1"/>
  <c r="E97" i="129" s="1"/>
  <c r="D97" i="129" a="1"/>
  <c r="D97" i="129" s="1"/>
  <c r="S96" i="129" a="1"/>
  <c r="S96" i="129" s="1"/>
  <c r="R96" i="129" a="1"/>
  <c r="R96" i="129" s="1"/>
  <c r="Q96" i="129" a="1"/>
  <c r="Q96" i="129" s="1"/>
  <c r="P96" i="129" a="1"/>
  <c r="P96" i="129" s="1"/>
  <c r="O96" i="129" a="1"/>
  <c r="O96" i="129" s="1"/>
  <c r="N96" i="129" a="1"/>
  <c r="N96" i="129" s="1"/>
  <c r="M96" i="129" a="1"/>
  <c r="M96" i="129" s="1"/>
  <c r="L96" i="129" a="1"/>
  <c r="L96" i="129" s="1"/>
  <c r="K96" i="129" a="1"/>
  <c r="K96" i="129" s="1"/>
  <c r="J96" i="129" a="1"/>
  <c r="J96" i="129" s="1"/>
  <c r="I96" i="129" a="1"/>
  <c r="I96" i="129" s="1"/>
  <c r="H96" i="129" a="1"/>
  <c r="H96" i="129" s="1"/>
  <c r="G96" i="129" a="1"/>
  <c r="G96" i="129" s="1"/>
  <c r="F96" i="129" a="1"/>
  <c r="F96" i="129" s="1"/>
  <c r="E96" i="129" a="1"/>
  <c r="E96" i="129" s="1"/>
  <c r="D96" i="129" a="1"/>
  <c r="D96" i="129" s="1"/>
  <c r="S95" i="129" a="1"/>
  <c r="S95" i="129" s="1"/>
  <c r="R95" i="129" a="1"/>
  <c r="R95" i="129" s="1"/>
  <c r="Q95" i="129" a="1"/>
  <c r="Q95" i="129" s="1"/>
  <c r="P95" i="129" a="1"/>
  <c r="P95" i="129" s="1"/>
  <c r="O95" i="129" a="1"/>
  <c r="O95" i="129" s="1"/>
  <c r="N95" i="129" a="1"/>
  <c r="N95" i="129" s="1"/>
  <c r="M95" i="129" a="1"/>
  <c r="M95" i="129" s="1"/>
  <c r="L95" i="129" a="1"/>
  <c r="L95" i="129" s="1"/>
  <c r="K95" i="129" a="1"/>
  <c r="K95" i="129" s="1"/>
  <c r="J95" i="129" a="1"/>
  <c r="J95" i="129" s="1"/>
  <c r="I95" i="129" a="1"/>
  <c r="I95" i="129" s="1"/>
  <c r="H95" i="129" a="1"/>
  <c r="H95" i="129" s="1"/>
  <c r="G95" i="129" a="1"/>
  <c r="G95" i="129" s="1"/>
  <c r="F95" i="129" a="1"/>
  <c r="F95" i="129" s="1"/>
  <c r="E95" i="129" a="1"/>
  <c r="E95" i="129" s="1"/>
  <c r="D95" i="129" a="1"/>
  <c r="D95" i="129" s="1"/>
  <c r="S94" i="129" a="1"/>
  <c r="S94" i="129" s="1"/>
  <c r="R94" i="129" a="1"/>
  <c r="R94" i="129" s="1"/>
  <c r="Q94" i="129" a="1"/>
  <c r="Q94" i="129" s="1"/>
  <c r="P94" i="129" a="1"/>
  <c r="P94" i="129" s="1"/>
  <c r="O94" i="129" a="1"/>
  <c r="O94" i="129" s="1"/>
  <c r="N94" i="129" a="1"/>
  <c r="N94" i="129" s="1"/>
  <c r="M94" i="129" a="1"/>
  <c r="M94" i="129" s="1"/>
  <c r="L94" i="129" a="1"/>
  <c r="L94" i="129" s="1"/>
  <c r="K94" i="129" a="1"/>
  <c r="K94" i="129" s="1"/>
  <c r="J94" i="129" a="1"/>
  <c r="J94" i="129" s="1"/>
  <c r="I94" i="129" a="1"/>
  <c r="I94" i="129" s="1"/>
  <c r="H94" i="129" a="1"/>
  <c r="H94" i="129" s="1"/>
  <c r="G94" i="129" a="1"/>
  <c r="G94" i="129" s="1"/>
  <c r="F94" i="129" a="1"/>
  <c r="F94" i="129" s="1"/>
  <c r="E94" i="129" a="1"/>
  <c r="E94" i="129" s="1"/>
  <c r="D94" i="129" a="1"/>
  <c r="D94" i="129" s="1"/>
  <c r="S93" i="129" a="1"/>
  <c r="S93" i="129" s="1"/>
  <c r="R93" i="129" a="1"/>
  <c r="R93" i="129" s="1"/>
  <c r="Q93" i="129" a="1"/>
  <c r="Q93" i="129" s="1"/>
  <c r="P93" i="129" a="1"/>
  <c r="P93" i="129" s="1"/>
  <c r="O93" i="129" a="1"/>
  <c r="O93" i="129" s="1"/>
  <c r="N93" i="129" a="1"/>
  <c r="N93" i="129" s="1"/>
  <c r="M93" i="129" a="1"/>
  <c r="M93" i="129" s="1"/>
  <c r="L93" i="129" a="1"/>
  <c r="L93" i="129" s="1"/>
  <c r="K93" i="129" a="1"/>
  <c r="K93" i="129" s="1"/>
  <c r="J93" i="129" a="1"/>
  <c r="J93" i="129" s="1"/>
  <c r="I93" i="129" a="1"/>
  <c r="I93" i="129" s="1"/>
  <c r="H93" i="129" a="1"/>
  <c r="H93" i="129" s="1"/>
  <c r="G93" i="129" a="1"/>
  <c r="G93" i="129" s="1"/>
  <c r="F93" i="129" a="1"/>
  <c r="F93" i="129" s="1"/>
  <c r="E93" i="129" a="1"/>
  <c r="E93" i="129" s="1"/>
  <c r="D93" i="129" a="1"/>
  <c r="D93" i="129" s="1"/>
  <c r="S92" i="129" a="1"/>
  <c r="S92" i="129" s="1"/>
  <c r="R92" i="129" a="1"/>
  <c r="R92" i="129" s="1"/>
  <c r="Q92" i="129" a="1"/>
  <c r="Q92" i="129" s="1"/>
  <c r="P92" i="129" a="1"/>
  <c r="P92" i="129" s="1"/>
  <c r="O92" i="129" a="1"/>
  <c r="O92" i="129" s="1"/>
  <c r="N92" i="129" a="1"/>
  <c r="N92" i="129" s="1"/>
  <c r="M92" i="129" a="1"/>
  <c r="M92" i="129" s="1"/>
  <c r="L92" i="129" a="1"/>
  <c r="L92" i="129" s="1"/>
  <c r="K92" i="129" a="1"/>
  <c r="K92" i="129" s="1"/>
  <c r="J92" i="129" a="1"/>
  <c r="J92" i="129" s="1"/>
  <c r="I92" i="129" a="1"/>
  <c r="I92" i="129" s="1"/>
  <c r="H92" i="129" a="1"/>
  <c r="H92" i="129" s="1"/>
  <c r="G92" i="129" a="1"/>
  <c r="G92" i="129" s="1"/>
  <c r="F92" i="129" a="1"/>
  <c r="F92" i="129" s="1"/>
  <c r="E92" i="129" a="1"/>
  <c r="E92" i="129" s="1"/>
  <c r="D92" i="129" a="1"/>
  <c r="D92" i="129" s="1"/>
  <c r="S91" i="129" a="1"/>
  <c r="S91" i="129" s="1"/>
  <c r="R91" i="129" a="1"/>
  <c r="R91" i="129" s="1"/>
  <c r="Q91" i="129" a="1"/>
  <c r="Q91" i="129" s="1"/>
  <c r="P91" i="129" a="1"/>
  <c r="P91" i="129" s="1"/>
  <c r="O91" i="129" a="1"/>
  <c r="O91" i="129" s="1"/>
  <c r="N91" i="129" a="1"/>
  <c r="N91" i="129" s="1"/>
  <c r="M91" i="129" a="1"/>
  <c r="M91" i="129" s="1"/>
  <c r="L91" i="129" a="1"/>
  <c r="L91" i="129" s="1"/>
  <c r="K91" i="129" a="1"/>
  <c r="K91" i="129" s="1"/>
  <c r="J91" i="129" a="1"/>
  <c r="J91" i="129" s="1"/>
  <c r="I91" i="129" a="1"/>
  <c r="I91" i="129" s="1"/>
  <c r="H91" i="129" a="1"/>
  <c r="H91" i="129" s="1"/>
  <c r="G91" i="129" a="1"/>
  <c r="G91" i="129" s="1"/>
  <c r="F91" i="129" a="1"/>
  <c r="F91" i="129" s="1"/>
  <c r="E91" i="129" a="1"/>
  <c r="E91" i="129" s="1"/>
  <c r="D91" i="129" a="1"/>
  <c r="D91" i="129" s="1"/>
  <c r="S90" i="129" a="1"/>
  <c r="S90" i="129" s="1"/>
  <c r="R90" i="129" a="1"/>
  <c r="R90" i="129" s="1"/>
  <c r="Q90" i="129" a="1"/>
  <c r="Q90" i="129" s="1"/>
  <c r="P90" i="129" a="1"/>
  <c r="P90" i="129" s="1"/>
  <c r="O90" i="129" a="1"/>
  <c r="O90" i="129" s="1"/>
  <c r="N90" i="129" a="1"/>
  <c r="N90" i="129" s="1"/>
  <c r="M90" i="129" a="1"/>
  <c r="M90" i="129" s="1"/>
  <c r="L90" i="129" a="1"/>
  <c r="L90" i="129" s="1"/>
  <c r="K90" i="129" a="1"/>
  <c r="K90" i="129" s="1"/>
  <c r="J90" i="129" a="1"/>
  <c r="J90" i="129" s="1"/>
  <c r="I90" i="129" a="1"/>
  <c r="I90" i="129" s="1"/>
  <c r="H90" i="129" a="1"/>
  <c r="H90" i="129" s="1"/>
  <c r="G90" i="129" a="1"/>
  <c r="G90" i="129" s="1"/>
  <c r="F90" i="129" a="1"/>
  <c r="F90" i="129" s="1"/>
  <c r="E90" i="129" a="1"/>
  <c r="E90" i="129" s="1"/>
  <c r="D90" i="129" a="1"/>
  <c r="D90" i="129" s="1"/>
  <c r="D83" i="129" a="1"/>
  <c r="D83" i="129" s="1"/>
  <c r="D82" i="129" a="1"/>
  <c r="D82" i="129" s="1"/>
  <c r="D81" i="129" a="1"/>
  <c r="D81" i="129" s="1"/>
  <c r="E77" i="129" a="1"/>
  <c r="E77" i="129" s="1"/>
  <c r="D77" i="129" a="1"/>
  <c r="D77" i="129" s="1"/>
  <c r="E76" i="129" a="1"/>
  <c r="E76" i="129" s="1"/>
  <c r="D76" i="129" a="1"/>
  <c r="D76" i="129" s="1"/>
  <c r="E75" i="129" a="1"/>
  <c r="E75" i="129" s="1"/>
  <c r="D75" i="129" a="1"/>
  <c r="D75" i="129" s="1"/>
  <c r="E74" i="129" a="1"/>
  <c r="E74" i="129" s="1"/>
  <c r="D74" i="129" a="1"/>
  <c r="D74" i="129" s="1"/>
  <c r="E73" i="129" a="1"/>
  <c r="E73" i="129" s="1"/>
  <c r="D73" i="129" a="1"/>
  <c r="D73" i="129" s="1"/>
  <c r="E72" i="129" a="1"/>
  <c r="E72" i="129" s="1"/>
  <c r="D72" i="129" a="1"/>
  <c r="D72" i="129" s="1"/>
  <c r="E71" i="129" a="1"/>
  <c r="E71" i="129" s="1"/>
  <c r="D71" i="129" a="1"/>
  <c r="D71" i="129" s="1"/>
  <c r="E70" i="129" a="1"/>
  <c r="E70" i="129" s="1"/>
  <c r="D70" i="129" a="1"/>
  <c r="D70" i="129" s="1"/>
  <c r="E69" i="129" a="1"/>
  <c r="E69" i="129" s="1"/>
  <c r="D69" i="129" a="1"/>
  <c r="D69" i="129" s="1"/>
  <c r="E68" i="129" a="1"/>
  <c r="E68" i="129" s="1"/>
  <c r="D68" i="129" a="1"/>
  <c r="D68" i="129" s="1"/>
  <c r="E67" i="129" a="1"/>
  <c r="E67" i="129" s="1"/>
  <c r="D67" i="129" a="1"/>
  <c r="D67" i="129" s="1"/>
  <c r="E66" i="129" a="1"/>
  <c r="E66" i="129" s="1"/>
  <c r="D66" i="129" a="1"/>
  <c r="D66" i="129" s="1"/>
  <c r="E65" i="129" a="1"/>
  <c r="E65" i="129" s="1"/>
  <c r="D65" i="129" a="1"/>
  <c r="D65" i="129" s="1"/>
  <c r="E64" i="129" a="1"/>
  <c r="E64" i="129" s="1"/>
  <c r="D64" i="129" a="1"/>
  <c r="D64" i="129" s="1"/>
  <c r="D59" i="129" a="1"/>
  <c r="D59" i="129" s="1"/>
  <c r="D58" i="129" a="1"/>
  <c r="D58" i="129" s="1"/>
  <c r="D57" i="129"/>
  <c r="D57" i="129" a="1"/>
  <c r="G54" i="129" a="1"/>
  <c r="G54" i="129" s="1"/>
  <c r="F54" i="129" a="1"/>
  <c r="F54" i="129" s="1"/>
  <c r="E54" i="129" a="1"/>
  <c r="E54" i="129" s="1"/>
  <c r="D54" i="129" a="1"/>
  <c r="D54" i="129" s="1"/>
  <c r="G53" i="129" a="1"/>
  <c r="G53" i="129" s="1"/>
  <c r="F53" i="129" a="1"/>
  <c r="F53" i="129" s="1"/>
  <c r="E53" i="129" a="1"/>
  <c r="E53" i="129" s="1"/>
  <c r="D53" i="129" a="1"/>
  <c r="D53" i="129" s="1"/>
  <c r="G52" i="129" a="1"/>
  <c r="G52" i="129" s="1"/>
  <c r="F52" i="129" a="1"/>
  <c r="F52" i="129" s="1"/>
  <c r="E52" i="129" a="1"/>
  <c r="E52" i="129" s="1"/>
  <c r="D52" i="129" a="1"/>
  <c r="D52" i="129" s="1"/>
  <c r="G51" i="129" a="1"/>
  <c r="G51" i="129" s="1"/>
  <c r="F51" i="129" a="1"/>
  <c r="F51" i="129" s="1"/>
  <c r="E51" i="129" a="1"/>
  <c r="E51" i="129" s="1"/>
  <c r="D51" i="129" a="1"/>
  <c r="D51" i="129" s="1"/>
  <c r="G50" i="129" a="1"/>
  <c r="G50" i="129" s="1"/>
  <c r="F50" i="129" a="1"/>
  <c r="F50" i="129" s="1"/>
  <c r="E50" i="129" a="1"/>
  <c r="E50" i="129" s="1"/>
  <c r="D50" i="129" a="1"/>
  <c r="D50" i="129" s="1"/>
  <c r="G49" i="129" a="1"/>
  <c r="G49" i="129" s="1"/>
  <c r="F49" i="129" a="1"/>
  <c r="F49" i="129" s="1"/>
  <c r="E49" i="129" a="1"/>
  <c r="E49" i="129" s="1"/>
  <c r="D49" i="129" a="1"/>
  <c r="D49" i="129" s="1"/>
  <c r="G48" i="129" a="1"/>
  <c r="G48" i="129" s="1"/>
  <c r="F48" i="129" a="1"/>
  <c r="F48" i="129" s="1"/>
  <c r="E48" i="129" a="1"/>
  <c r="E48" i="129" s="1"/>
  <c r="D48" i="129" a="1"/>
  <c r="D48" i="129" s="1"/>
  <c r="D46" i="129" a="1"/>
  <c r="D46" i="129" s="1"/>
  <c r="D45" i="129"/>
  <c r="D45" i="129" a="1"/>
  <c r="E43" i="129" a="1"/>
  <c r="E43" i="129" s="1"/>
  <c r="D43" i="129" a="1"/>
  <c r="D43" i="129" s="1"/>
  <c r="E42" i="129" a="1"/>
  <c r="E42" i="129" s="1"/>
  <c r="D42" i="129" a="1"/>
  <c r="D42" i="129" s="1"/>
  <c r="E41" i="129" a="1"/>
  <c r="E41" i="129" s="1"/>
  <c r="D41" i="129" a="1"/>
  <c r="D41" i="129" s="1"/>
  <c r="E40" i="129" a="1"/>
  <c r="E40" i="129" s="1"/>
  <c r="D40" i="129" a="1"/>
  <c r="D40" i="129" s="1"/>
  <c r="E39" i="129" a="1"/>
  <c r="E39" i="129" s="1"/>
  <c r="D39" i="129" a="1"/>
  <c r="D39" i="129" s="1"/>
  <c r="E38" i="129" a="1"/>
  <c r="E38" i="129" s="1"/>
  <c r="D38" i="129" a="1"/>
  <c r="D38" i="129" s="1"/>
  <c r="E37" i="129" a="1"/>
  <c r="E37" i="129" s="1"/>
  <c r="D37" i="129" a="1"/>
  <c r="D37" i="129" s="1"/>
  <c r="D35" i="129" a="1"/>
  <c r="D35" i="129" s="1"/>
  <c r="D34" i="129"/>
  <c r="D34" i="129" a="1"/>
  <c r="D30" i="129" a="1"/>
  <c r="D30" i="129" s="1"/>
  <c r="D29" i="129" a="1"/>
  <c r="D29" i="129" s="1"/>
  <c r="D28" i="129" a="1"/>
  <c r="D28" i="129" s="1"/>
  <c r="D27" i="129" a="1"/>
  <c r="D27" i="129" s="1"/>
  <c r="D26" i="129" a="1"/>
  <c r="D26" i="129" s="1"/>
  <c r="D25" i="129" a="1"/>
  <c r="D25" i="129" s="1"/>
  <c r="D24" i="129" a="1"/>
  <c r="D24" i="129" s="1"/>
  <c r="D23" i="129" a="1"/>
  <c r="D23" i="129" s="1"/>
  <c r="D22" i="129" a="1"/>
  <c r="D22" i="129" s="1"/>
  <c r="D21" i="129" a="1"/>
  <c r="D21" i="129" s="1"/>
  <c r="D19" i="129" a="1"/>
  <c r="D19" i="129" s="1"/>
  <c r="D18" i="129"/>
  <c r="D18" i="129" a="1"/>
  <c r="F14" i="129" a="1"/>
  <c r="F14" i="129" s="1"/>
  <c r="E14" i="129" a="1"/>
  <c r="E14" i="129" s="1"/>
  <c r="D14" i="129" a="1"/>
  <c r="D14" i="129" s="1"/>
  <c r="F13" i="129" a="1"/>
  <c r="F13" i="129" s="1"/>
  <c r="E13" i="129" a="1"/>
  <c r="E13" i="129" s="1"/>
  <c r="D13" i="129" a="1"/>
  <c r="D13" i="129" s="1"/>
  <c r="F12" i="129" a="1"/>
  <c r="F12" i="129" s="1"/>
  <c r="E12" i="129" a="1"/>
  <c r="E12" i="129" s="1"/>
  <c r="D12" i="129" a="1"/>
  <c r="D12" i="129" s="1"/>
  <c r="F11" i="129" a="1"/>
  <c r="F11" i="129" s="1"/>
  <c r="E11" i="129" a="1"/>
  <c r="E11" i="129" s="1"/>
  <c r="D11" i="129" a="1"/>
  <c r="D11" i="129" s="1"/>
  <c r="F10" i="129" a="1"/>
  <c r="F10" i="129" s="1"/>
  <c r="E10" i="129" a="1"/>
  <c r="E10" i="129" s="1"/>
  <c r="D10" i="129" a="1"/>
  <c r="D10" i="129" s="1"/>
  <c r="F9" i="129" a="1"/>
  <c r="F9" i="129" s="1"/>
  <c r="E9" i="129" a="1"/>
  <c r="E9" i="129" s="1"/>
  <c r="D9" i="129" a="1"/>
  <c r="D9" i="129" s="1"/>
  <c r="F8" i="129" a="1"/>
  <c r="F8" i="129" s="1"/>
  <c r="E8" i="129" a="1"/>
  <c r="E8" i="129" s="1"/>
  <c r="D8" i="129" a="1"/>
  <c r="D8" i="129" s="1"/>
  <c r="A8" i="129"/>
  <c r="F7" i="129" a="1"/>
  <c r="F7" i="129" s="1"/>
  <c r="E7" i="129" a="1"/>
  <c r="E7" i="129" s="1"/>
  <c r="D7" i="129" a="1"/>
  <c r="D7" i="129" s="1"/>
  <c r="A7" i="129"/>
  <c r="D5" i="129" a="1"/>
  <c r="D5" i="129" s="1"/>
  <c r="A3" i="129"/>
  <c r="A8" i="71"/>
  <c r="A7" i="71"/>
  <c r="A3" i="71"/>
  <c r="A18" i="110"/>
  <c r="A17" i="110"/>
  <c r="A13" i="110"/>
  <c r="A9" i="110"/>
  <c r="A5" i="110"/>
  <c r="A4" i="110"/>
  <c r="A3" i="110"/>
  <c r="A18" i="69"/>
  <c r="A17" i="69"/>
  <c r="A13" i="69"/>
  <c r="A9" i="69"/>
  <c r="A5" i="69"/>
  <c r="A4" i="69"/>
  <c r="A3" i="69"/>
  <c r="A18" i="70"/>
  <c r="A17" i="70"/>
  <c r="A13" i="70"/>
  <c r="A9" i="70"/>
  <c r="A5" i="70"/>
  <c r="A4" i="70"/>
  <c r="A3" i="70"/>
  <c r="A18" i="13"/>
  <c r="A17" i="13"/>
  <c r="A13" i="13"/>
  <c r="A9" i="13"/>
  <c r="A5" i="13"/>
  <c r="A4" i="13"/>
  <c r="A3" i="13"/>
  <c r="A18" i="118"/>
  <c r="A17" i="118"/>
  <c r="A13" i="118"/>
  <c r="A9" i="118"/>
  <c r="A5" i="118"/>
  <c r="A4" i="118"/>
  <c r="A3" i="118"/>
  <c r="H168" i="69"/>
  <c r="H179" i="69"/>
  <c r="H185" i="69"/>
  <c r="H144" i="69"/>
  <c r="H138" i="69"/>
  <c r="D50" i="110" a="1"/>
  <c r="D50" i="110" s="1"/>
  <c r="E50" i="110" a="1"/>
  <c r="E50" i="110" s="1"/>
  <c r="F50" i="110" a="1"/>
  <c r="F50" i="110" s="1"/>
  <c r="G50" i="110" a="1"/>
  <c r="G50" i="110" s="1"/>
  <c r="D49" i="110" a="1"/>
  <c r="D49" i="110" s="1"/>
  <c r="E49" i="110" a="1"/>
  <c r="E49" i="110" s="1"/>
  <c r="F49" i="110" a="1"/>
  <c r="F49" i="110" s="1"/>
  <c r="G49" i="110" a="1"/>
  <c r="G49" i="110" s="1"/>
  <c r="D48" i="110" a="1"/>
  <c r="D48" i="110" s="1"/>
  <c r="E48" i="110" a="1"/>
  <c r="E48" i="110" s="1"/>
  <c r="F48" i="110" a="1"/>
  <c r="F48" i="110" s="1"/>
  <c r="G48" i="110" a="1"/>
  <c r="G48" i="110" s="1"/>
  <c r="D47" i="110" a="1"/>
  <c r="D47" i="110" s="1"/>
  <c r="E47" i="110" a="1"/>
  <c r="E47" i="110" s="1"/>
  <c r="F47" i="110" a="1"/>
  <c r="F47" i="110" s="1"/>
  <c r="G47" i="110" a="1"/>
  <c r="G47" i="110" s="1"/>
  <c r="D46" i="110" a="1"/>
  <c r="D46" i="110" s="1"/>
  <c r="E46" i="110" a="1"/>
  <c r="E46" i="110" s="1"/>
  <c r="O17" i="110" s="1"/>
  <c r="F46" i="110" a="1"/>
  <c r="F46" i="110" s="1"/>
  <c r="G46" i="110" a="1"/>
  <c r="G46" i="110" s="1"/>
  <c r="D45" i="110" a="1"/>
  <c r="D45" i="110" s="1"/>
  <c r="E45" i="110" a="1"/>
  <c r="E45" i="110" s="1"/>
  <c r="F45" i="110" a="1"/>
  <c r="F45" i="110" s="1"/>
  <c r="G45" i="110" a="1"/>
  <c r="G45" i="110" s="1"/>
  <c r="D44" i="110" a="1"/>
  <c r="D44" i="110" s="1"/>
  <c r="E44" i="110" a="1"/>
  <c r="E44" i="110" s="1"/>
  <c r="F44" i="110" a="1"/>
  <c r="F44" i="110" s="1"/>
  <c r="G44" i="110" a="1"/>
  <c r="G44" i="110" s="1"/>
  <c r="D43" i="110" a="1"/>
  <c r="D43" i="110" s="1"/>
  <c r="E43" i="110" a="1"/>
  <c r="E43" i="110" s="1"/>
  <c r="F43" i="110" a="1"/>
  <c r="F43" i="110" s="1"/>
  <c r="G43" i="110" a="1"/>
  <c r="G43" i="110" s="1"/>
  <c r="D42" i="110" a="1"/>
  <c r="D42" i="110" s="1"/>
  <c r="E42" i="110" a="1"/>
  <c r="E42" i="110" s="1"/>
  <c r="F42" i="110" a="1"/>
  <c r="F42" i="110" s="1"/>
  <c r="G42" i="110" a="1"/>
  <c r="G42" i="110" s="1"/>
  <c r="D41" i="110" a="1"/>
  <c r="D41" i="110" s="1"/>
  <c r="E41" i="110" a="1"/>
  <c r="E41" i="110" s="1"/>
  <c r="M18" i="110" s="1"/>
  <c r="F41" i="110" a="1"/>
  <c r="F41" i="110" s="1"/>
  <c r="G41" i="110" a="1"/>
  <c r="G41" i="110" s="1"/>
  <c r="D40" i="110" a="1"/>
  <c r="D40" i="110" s="1"/>
  <c r="E40" i="110" a="1"/>
  <c r="E40" i="110" s="1"/>
  <c r="M17" i="110" s="1"/>
  <c r="F40" i="110" a="1"/>
  <c r="F40" i="110" s="1"/>
  <c r="G40" i="110" a="1"/>
  <c r="G40" i="110" s="1"/>
  <c r="D39" i="110" a="1"/>
  <c r="D39" i="110" s="1"/>
  <c r="E39" i="110" a="1"/>
  <c r="E39" i="110" s="1"/>
  <c r="F39" i="110" a="1"/>
  <c r="F39" i="110" s="1"/>
  <c r="G39" i="110" a="1"/>
  <c r="G39" i="110" s="1"/>
  <c r="D38" i="110" a="1"/>
  <c r="D38" i="110" s="1"/>
  <c r="E38" i="110" a="1"/>
  <c r="E38" i="110" s="1"/>
  <c r="K26" i="110" s="1"/>
  <c r="F38" i="110" a="1"/>
  <c r="F38" i="110" s="1"/>
  <c r="G38" i="110" a="1"/>
  <c r="G38" i="110" s="1"/>
  <c r="D37" i="110" a="1"/>
  <c r="D37" i="110" s="1"/>
  <c r="E37" i="110" a="1"/>
  <c r="E37" i="110" s="1"/>
  <c r="K25" i="110" s="1"/>
  <c r="F37" i="110" a="1"/>
  <c r="F37" i="110" s="1"/>
  <c r="G37" i="110" a="1"/>
  <c r="G37" i="110" s="1"/>
  <c r="G36" i="110" a="1"/>
  <c r="G36" i="110" s="1"/>
  <c r="G35" i="110" a="1"/>
  <c r="G35" i="110" s="1"/>
  <c r="G34" i="110" a="1"/>
  <c r="G34" i="110" s="1"/>
  <c r="G33" i="110" a="1"/>
  <c r="G33" i="110" s="1"/>
  <c r="G32" i="110" a="1"/>
  <c r="G32" i="110" s="1"/>
  <c r="G31" i="110" a="1"/>
  <c r="G31" i="110" s="1"/>
  <c r="G30" i="110" a="1"/>
  <c r="G30" i="110" s="1"/>
  <c r="G29" i="110" a="1"/>
  <c r="G29" i="110" s="1"/>
  <c r="G28" i="110" a="1"/>
  <c r="G28" i="110" s="1"/>
  <c r="G27" i="110" a="1"/>
  <c r="G27" i="110" s="1"/>
  <c r="G26" i="110" a="1"/>
  <c r="G26" i="110" s="1"/>
  <c r="G25" i="110" a="1"/>
  <c r="G25" i="110" s="1"/>
  <c r="G24" i="110" a="1"/>
  <c r="G24" i="110" s="1"/>
  <c r="G23" i="110" a="1"/>
  <c r="G23" i="110" s="1"/>
  <c r="G22" i="110" a="1"/>
  <c r="G22" i="110" s="1"/>
  <c r="G21" i="110" a="1"/>
  <c r="G21" i="110" s="1"/>
  <c r="G20" i="110" a="1"/>
  <c r="G20" i="110" s="1"/>
  <c r="G19" i="110" a="1"/>
  <c r="G19" i="110" s="1"/>
  <c r="G18" i="110" a="1"/>
  <c r="G18" i="110" s="1"/>
  <c r="G17" i="110" a="1"/>
  <c r="G17" i="110" s="1"/>
  <c r="H54" i="129" l="1"/>
  <c r="H51" i="129"/>
  <c r="H48" i="129"/>
  <c r="H53" i="129"/>
  <c r="H49" i="129"/>
  <c r="H50" i="129"/>
  <c r="H52" i="129"/>
  <c r="O21" i="110"/>
  <c r="O20" i="110"/>
  <c r="O19" i="110"/>
  <c r="O18" i="110"/>
  <c r="M21" i="110"/>
  <c r="M20" i="110"/>
  <c r="M19" i="110"/>
  <c r="D98" i="69" a="1"/>
  <c r="D98" i="69" s="1"/>
  <c r="H105" i="69" l="1" a="1"/>
  <c r="H105" i="69" s="1"/>
  <c r="D105" i="69" a="1"/>
  <c r="D105" i="69" s="1"/>
  <c r="E103" i="69" a="1"/>
  <c r="E103" i="69" s="1"/>
  <c r="F192" i="69" s="1"/>
  <c r="E102" i="69" a="1"/>
  <c r="E102" i="69" s="1"/>
  <c r="D97" i="69" a="1"/>
  <c r="D97" i="69" s="1"/>
  <c r="D96" i="69" a="1"/>
  <c r="D96" i="69" s="1"/>
  <c r="J16" i="69" a="1"/>
  <c r="J16" i="69" s="1"/>
  <c r="J15" i="69" a="1"/>
  <c r="J15" i="69" s="1"/>
  <c r="J14" i="69" a="1"/>
  <c r="J14" i="69" s="1"/>
  <c r="J13" i="69" a="1"/>
  <c r="J13" i="69" s="1"/>
  <c r="I16" i="69" a="1"/>
  <c r="I16" i="69" s="1"/>
  <c r="I15" i="69" a="1"/>
  <c r="I15" i="69" s="1"/>
  <c r="I14" i="69" a="1"/>
  <c r="I14" i="69" s="1"/>
  <c r="I13" i="69" a="1"/>
  <c r="I13" i="69" s="1"/>
  <c r="D7" i="110" a="1"/>
  <c r="D7" i="110" s="1"/>
  <c r="G13" i="69" a="1"/>
  <c r="G13" i="69" s="1"/>
  <c r="D13" i="69" a="1"/>
  <c r="D13" i="69" s="1"/>
  <c r="E11" i="69" a="1"/>
  <c r="E11" i="69" s="1"/>
  <c r="E10" i="69" a="1"/>
  <c r="E10" i="69" s="1"/>
  <c r="D6" i="69" a="1"/>
  <c r="D6" i="69" s="1"/>
  <c r="D5" i="69" a="1"/>
  <c r="D5" i="69" s="1"/>
  <c r="D68" i="110" a="1"/>
  <c r="D68" i="110" s="1"/>
  <c r="E68" i="110" a="1"/>
  <c r="E68" i="110" s="1"/>
  <c r="D67" i="110" a="1"/>
  <c r="D67" i="110" s="1"/>
  <c r="E67" i="110" a="1"/>
  <c r="E67" i="110" s="1"/>
  <c r="D66" i="110" a="1"/>
  <c r="D66" i="110" s="1"/>
  <c r="E66" i="110" a="1"/>
  <c r="E66" i="110" s="1"/>
  <c r="D65" i="110" a="1"/>
  <c r="D65" i="110" s="1"/>
  <c r="E65" i="110" a="1"/>
  <c r="E65" i="110" s="1"/>
  <c r="D64" i="110" a="1"/>
  <c r="D64" i="110" s="1"/>
  <c r="E64" i="110" a="1"/>
  <c r="E64" i="110" s="1"/>
  <c r="D63" i="110" a="1"/>
  <c r="D63" i="110" s="1"/>
  <c r="E63" i="110" a="1"/>
  <c r="E63" i="110" s="1"/>
  <c r="D62" i="110" a="1"/>
  <c r="D62" i="110" s="1"/>
  <c r="E62" i="110" a="1"/>
  <c r="E62" i="110" s="1"/>
  <c r="D61" i="110" a="1"/>
  <c r="D61" i="110" s="1"/>
  <c r="E61" i="110" a="1"/>
  <c r="E61" i="110" s="1"/>
  <c r="D60" i="110" a="1"/>
  <c r="D60" i="110" s="1"/>
  <c r="E60" i="110" a="1"/>
  <c r="E60" i="110" s="1"/>
  <c r="D59" i="110" a="1"/>
  <c r="D59" i="110" s="1"/>
  <c r="E59" i="110" a="1"/>
  <c r="E59" i="110" s="1"/>
  <c r="E58" i="110" a="1"/>
  <c r="E58" i="110" s="1"/>
  <c r="D58" i="110" a="1"/>
  <c r="D58" i="110" s="1"/>
  <c r="D56" i="110" a="1"/>
  <c r="D56" i="110" s="1"/>
  <c r="D54" i="110" a="1"/>
  <c r="D54" i="110" s="1"/>
  <c r="D55" i="110" a="1"/>
  <c r="D55" i="110" s="1"/>
  <c r="D53" i="110" a="1"/>
  <c r="D53" i="110" s="1"/>
  <c r="D52" i="110" a="1"/>
  <c r="D52" i="110" s="1"/>
  <c r="D36" i="110" a="1"/>
  <c r="D36" i="110" s="1"/>
  <c r="E36" i="110" a="1"/>
  <c r="E36" i="110" s="1"/>
  <c r="K24" i="110" s="1"/>
  <c r="F36" i="110" a="1"/>
  <c r="F36" i="110" s="1"/>
  <c r="D35" i="110" a="1"/>
  <c r="D35" i="110" s="1"/>
  <c r="E35" i="110" a="1"/>
  <c r="E35" i="110" s="1"/>
  <c r="K23" i="110" s="1"/>
  <c r="F35" i="110" a="1"/>
  <c r="F35" i="110" s="1"/>
  <c r="D34" i="110" a="1"/>
  <c r="D34" i="110" s="1"/>
  <c r="E34" i="110" a="1"/>
  <c r="E34" i="110" s="1"/>
  <c r="K22" i="110" s="1"/>
  <c r="F34" i="110" a="1"/>
  <c r="F34" i="110" s="1"/>
  <c r="D33" i="110" a="1"/>
  <c r="D33" i="110" s="1"/>
  <c r="E33" i="110" a="1"/>
  <c r="E33" i="110" s="1"/>
  <c r="K21" i="110" s="1"/>
  <c r="F33" i="110" a="1"/>
  <c r="F33" i="110" s="1"/>
  <c r="D32" i="110" a="1"/>
  <c r="D32" i="110" s="1"/>
  <c r="E32" i="110" a="1"/>
  <c r="E32" i="110" s="1"/>
  <c r="K20" i="110" s="1"/>
  <c r="F32" i="110" a="1"/>
  <c r="F32" i="110" s="1"/>
  <c r="D31" i="110" a="1"/>
  <c r="D31" i="110" s="1"/>
  <c r="E31" i="110" a="1"/>
  <c r="E31" i="110" s="1"/>
  <c r="K19" i="110" s="1"/>
  <c r="F31" i="110" a="1"/>
  <c r="F31" i="110" s="1"/>
  <c r="D30" i="110" a="1"/>
  <c r="D30" i="110" s="1"/>
  <c r="E30" i="110" a="1"/>
  <c r="E30" i="110" s="1"/>
  <c r="K18" i="110" s="1"/>
  <c r="F30" i="110" a="1"/>
  <c r="F30" i="110" s="1"/>
  <c r="D29" i="110" a="1"/>
  <c r="D29" i="110" s="1"/>
  <c r="E29" i="110" a="1"/>
  <c r="E29" i="110" s="1"/>
  <c r="K17" i="110" s="1"/>
  <c r="F29" i="110" a="1"/>
  <c r="F29" i="110" s="1"/>
  <c r="D28" i="110" a="1"/>
  <c r="D28" i="110" s="1"/>
  <c r="E28" i="110" a="1"/>
  <c r="E28" i="110" s="1"/>
  <c r="F28" i="110" a="1"/>
  <c r="F28" i="110" s="1"/>
  <c r="D27" i="110" a="1"/>
  <c r="D27" i="110" s="1"/>
  <c r="E27" i="110" a="1"/>
  <c r="E27" i="110" s="1"/>
  <c r="I27" i="110" s="1"/>
  <c r="F27" i="110" a="1"/>
  <c r="F27" i="110" s="1"/>
  <c r="D26" i="110" a="1"/>
  <c r="D26" i="110" s="1"/>
  <c r="E26" i="110" a="1"/>
  <c r="E26" i="110" s="1"/>
  <c r="I26" i="110" s="1"/>
  <c r="F26" i="110" a="1"/>
  <c r="F26" i="110" s="1"/>
  <c r="D25" i="110" a="1"/>
  <c r="D25" i="110" s="1"/>
  <c r="E25" i="110" a="1"/>
  <c r="E25" i="110" s="1"/>
  <c r="I25" i="110" s="1"/>
  <c r="F25" i="110" a="1"/>
  <c r="F25" i="110" s="1"/>
  <c r="D24" i="110" a="1"/>
  <c r="D24" i="110" s="1"/>
  <c r="E24" i="110" a="1"/>
  <c r="E24" i="110" s="1"/>
  <c r="I24" i="110" s="1"/>
  <c r="F24" i="110" a="1"/>
  <c r="F24" i="110" s="1"/>
  <c r="D23" i="110" a="1"/>
  <c r="D23" i="110" s="1"/>
  <c r="E23" i="110" a="1"/>
  <c r="E23" i="110" s="1"/>
  <c r="I23" i="110" s="1"/>
  <c r="F23" i="110" a="1"/>
  <c r="F23" i="110" s="1"/>
  <c r="D22" i="110" a="1"/>
  <c r="D22" i="110" s="1"/>
  <c r="E22" i="110" a="1"/>
  <c r="E22" i="110" s="1"/>
  <c r="I22" i="110" s="1"/>
  <c r="F22" i="110" a="1"/>
  <c r="F22" i="110" s="1"/>
  <c r="D21" i="110" a="1"/>
  <c r="D21" i="110" s="1"/>
  <c r="E21" i="110" a="1"/>
  <c r="E21" i="110" s="1"/>
  <c r="I21" i="110" s="1"/>
  <c r="F21" i="110" a="1"/>
  <c r="F21" i="110" s="1"/>
  <c r="D20" i="110" a="1"/>
  <c r="D20" i="110" s="1"/>
  <c r="E20" i="110" a="1"/>
  <c r="E20" i="110" s="1"/>
  <c r="I20" i="110" s="1"/>
  <c r="F20" i="110" a="1"/>
  <c r="F20" i="110" s="1"/>
  <c r="D19" i="110" a="1"/>
  <c r="D19" i="110" s="1"/>
  <c r="E19" i="110" a="1"/>
  <c r="E19" i="110" s="1"/>
  <c r="I19" i="110" s="1"/>
  <c r="F19" i="110" a="1"/>
  <c r="F19" i="110" s="1"/>
  <c r="D18" i="110" a="1"/>
  <c r="D18" i="110" s="1"/>
  <c r="E18" i="110" a="1"/>
  <c r="E18" i="110" s="1"/>
  <c r="I18" i="110" s="1"/>
  <c r="F18" i="110" a="1"/>
  <c r="F18" i="110" s="1"/>
  <c r="F17" i="110" a="1"/>
  <c r="F17" i="110" s="1"/>
  <c r="E17" i="110" a="1"/>
  <c r="E17" i="110" s="1"/>
  <c r="I17" i="110" s="1"/>
  <c r="D17" i="110" a="1"/>
  <c r="D17" i="110" s="1"/>
  <c r="D15" i="110" a="1"/>
  <c r="D15" i="110" s="1"/>
  <c r="D14" i="110" a="1"/>
  <c r="D14" i="110" s="1"/>
  <c r="D6" i="110" a="1"/>
  <c r="D6" i="110" s="1"/>
  <c r="D5" i="110" a="1"/>
  <c r="D5" i="110" s="1"/>
  <c r="E7" i="69" a="1"/>
  <c r="E99" i="69" a="1"/>
  <c r="F151" i="69" l="1"/>
  <c r="E99" i="69"/>
  <c r="D157" i="69" a="1"/>
  <c r="D116" i="69" a="1"/>
  <c r="D59" i="69" a="1"/>
  <c r="E116" i="69" a="1"/>
  <c r="E59" i="69" a="1"/>
  <c r="E157" i="69" a="1"/>
  <c r="E7" i="69"/>
  <c r="D21" i="69" a="1"/>
  <c r="E21" i="69" a="1"/>
  <c r="J136" i="69" l="1" a="1"/>
  <c r="J136" i="69" s="1"/>
  <c r="J179" i="69" a="1"/>
  <c r="J179" i="69" s="1"/>
  <c r="J138" i="69" a="1"/>
  <c r="J138" i="69" s="1"/>
  <c r="G80" i="69" a="1"/>
  <c r="G80" i="69" s="1"/>
  <c r="G88" i="69" a="1"/>
  <c r="G88" i="69" s="1"/>
  <c r="G79" i="69" a="1"/>
  <c r="G79" i="69" s="1"/>
  <c r="G86" i="69" a="1"/>
  <c r="G86" i="69" s="1"/>
  <c r="G85" i="69" a="1"/>
  <c r="G85" i="69" s="1"/>
  <c r="G92" i="69" a="1"/>
  <c r="G92" i="69" s="1"/>
  <c r="G84" i="69" a="1"/>
  <c r="G84" i="69" s="1"/>
  <c r="G91" i="69" a="1"/>
  <c r="G91" i="69" s="1"/>
  <c r="G83" i="69" a="1"/>
  <c r="G83" i="69" s="1"/>
  <c r="G90" i="69" a="1"/>
  <c r="G90" i="69" s="1"/>
  <c r="G82" i="69" a="1"/>
  <c r="G82" i="69" s="1"/>
  <c r="G89" i="69" a="1"/>
  <c r="G89" i="69" s="1"/>
  <c r="J137" i="69" a="1"/>
  <c r="J137" i="69" s="1"/>
  <c r="J144" i="69" a="1"/>
  <c r="J144" i="69" s="1"/>
  <c r="G143" i="69" a="1"/>
  <c r="G143" i="69" s="1"/>
  <c r="G137" i="69" a="1"/>
  <c r="G137" i="69" s="1"/>
  <c r="G187" i="69" a="1"/>
  <c r="G187" i="69" s="1"/>
  <c r="G180" i="69" a="1"/>
  <c r="G180" i="69" s="1"/>
  <c r="G48" i="69" a="1"/>
  <c r="G48" i="69" s="1"/>
  <c r="G41" i="69" a="1"/>
  <c r="G41" i="69" s="1"/>
  <c r="G149" i="69" a="1"/>
  <c r="G149" i="69" s="1"/>
  <c r="G142" i="69" a="1"/>
  <c r="G142" i="69" s="1"/>
  <c r="G186" i="69" a="1"/>
  <c r="G186" i="69" s="1"/>
  <c r="G136" i="69" a="1"/>
  <c r="G136" i="69" s="1"/>
  <c r="G148" i="69" a="1"/>
  <c r="G148" i="69" s="1"/>
  <c r="G141" i="69" a="1"/>
  <c r="G141" i="69" s="1"/>
  <c r="G47" i="69" a="1"/>
  <c r="G47" i="69" s="1"/>
  <c r="G54" i="69" a="1"/>
  <c r="G54" i="69" s="1"/>
  <c r="G178" i="69" a="1"/>
  <c r="G178" i="69" s="1"/>
  <c r="G147" i="69" a="1"/>
  <c r="G147" i="69" s="1"/>
  <c r="G140" i="69" a="1"/>
  <c r="G140" i="69" s="1"/>
  <c r="G46" i="69" a="1"/>
  <c r="G46" i="69" s="1"/>
  <c r="G184" i="69" a="1"/>
  <c r="G184" i="69" s="1"/>
  <c r="G53" i="69" a="1"/>
  <c r="G53" i="69" s="1"/>
  <c r="G146" i="69" a="1"/>
  <c r="G146" i="69" s="1"/>
  <c r="G139" i="69" a="1"/>
  <c r="G139" i="69" s="1"/>
  <c r="G45" i="69" a="1"/>
  <c r="G45" i="69" s="1"/>
  <c r="G190" i="69" a="1"/>
  <c r="G190" i="69" s="1"/>
  <c r="G183" i="69" a="1"/>
  <c r="G183" i="69" s="1"/>
  <c r="G177" i="69" a="1"/>
  <c r="G177" i="69" s="1"/>
  <c r="G52" i="69" a="1"/>
  <c r="G52" i="69" s="1"/>
  <c r="G145" i="69" a="1"/>
  <c r="G145" i="69" s="1"/>
  <c r="G44" i="69" a="1"/>
  <c r="G44" i="69" s="1"/>
  <c r="G189" i="69" a="1"/>
  <c r="G189" i="69" s="1"/>
  <c r="G182" i="69" a="1"/>
  <c r="G182" i="69" s="1"/>
  <c r="G51" i="69" a="1"/>
  <c r="G51" i="69" s="1"/>
  <c r="G188" i="69" a="1"/>
  <c r="G188" i="69" s="1"/>
  <c r="G181" i="69" a="1"/>
  <c r="G181" i="69" s="1"/>
  <c r="G50" i="69" a="1"/>
  <c r="G50" i="69" s="1"/>
  <c r="G42" i="69" a="1"/>
  <c r="G42" i="69" s="1"/>
  <c r="J178" i="69" a="1"/>
  <c r="J178" i="69" s="1"/>
  <c r="J185" i="69" a="1"/>
  <c r="J185" i="69" s="1"/>
  <c r="H26" i="69" a="1"/>
  <c r="H26" i="69" s="1"/>
  <c r="H48" i="69" a="1"/>
  <c r="H48" i="69" s="1"/>
  <c r="H41" i="69" a="1"/>
  <c r="H41" i="69" s="1"/>
  <c r="H47" i="69" a="1"/>
  <c r="H47" i="69" s="1"/>
  <c r="H54" i="69" a="1"/>
  <c r="H54" i="69" s="1"/>
  <c r="H46" i="69" a="1"/>
  <c r="H46" i="69" s="1"/>
  <c r="H53" i="69" a="1"/>
  <c r="H53" i="69" s="1"/>
  <c r="H45" i="69" a="1"/>
  <c r="H45" i="69" s="1"/>
  <c r="H52" i="69" a="1"/>
  <c r="H52" i="69" s="1"/>
  <c r="H44" i="69" a="1"/>
  <c r="H44" i="69" s="1"/>
  <c r="H51" i="69" a="1"/>
  <c r="H51" i="69" s="1"/>
  <c r="H50" i="69" a="1"/>
  <c r="H50" i="69" s="1"/>
  <c r="H42" i="69" a="1"/>
  <c r="H42" i="69" s="1"/>
  <c r="J177" i="69" a="1"/>
  <c r="J177" i="69" s="1"/>
  <c r="H68" i="69" a="1"/>
  <c r="H68" i="69" s="1"/>
  <c r="H88" i="69" a="1"/>
  <c r="H88" i="69" s="1"/>
  <c r="H79" i="69" a="1"/>
  <c r="H79" i="69" s="1"/>
  <c r="H86" i="69" a="1"/>
  <c r="H86" i="69" s="1"/>
  <c r="H85" i="69" a="1"/>
  <c r="H85" i="69" s="1"/>
  <c r="H92" i="69" a="1"/>
  <c r="H92" i="69" s="1"/>
  <c r="H84" i="69" a="1"/>
  <c r="H84" i="69" s="1"/>
  <c r="H91" i="69" a="1"/>
  <c r="H91" i="69" s="1"/>
  <c r="H83" i="69" a="1"/>
  <c r="H83" i="69" s="1"/>
  <c r="H90" i="69" a="1"/>
  <c r="H90" i="69" s="1"/>
  <c r="H82" i="69" a="1"/>
  <c r="H82" i="69" s="1"/>
  <c r="H89" i="69" a="1"/>
  <c r="H89" i="69" s="1"/>
  <c r="H80" i="69" a="1"/>
  <c r="H80" i="69" s="1"/>
  <c r="H24" i="69" a="1"/>
  <c r="H24" i="69" s="1"/>
  <c r="H75" i="69" a="1"/>
  <c r="H75" i="69" s="1"/>
  <c r="G163" i="69" a="1"/>
  <c r="G163" i="69" s="1"/>
  <c r="G129" i="69" a="1"/>
  <c r="G129" i="69" s="1"/>
  <c r="G176" i="69" a="1"/>
  <c r="G176" i="69" s="1"/>
  <c r="G162" i="69" a="1"/>
  <c r="G162" i="69" s="1"/>
  <c r="G128" i="69" a="1"/>
  <c r="G128" i="69" s="1"/>
  <c r="G175" i="69" a="1"/>
  <c r="G175" i="69" s="1"/>
  <c r="G161" i="69" a="1"/>
  <c r="G161" i="69" s="1"/>
  <c r="G174" i="69" a="1"/>
  <c r="G174" i="69" s="1"/>
  <c r="G160" i="69" a="1"/>
  <c r="G160" i="69" s="1"/>
  <c r="G126" i="69" a="1"/>
  <c r="G126" i="69" s="1"/>
  <c r="G173" i="69" a="1"/>
  <c r="G173" i="69" s="1"/>
  <c r="G159" i="69" a="1"/>
  <c r="G159" i="69" s="1"/>
  <c r="G125" i="69" a="1"/>
  <c r="G125" i="69" s="1"/>
  <c r="G172" i="69" a="1"/>
  <c r="G172" i="69" s="1"/>
  <c r="G158" i="69" a="1"/>
  <c r="G158" i="69" s="1"/>
  <c r="G124" i="69" a="1"/>
  <c r="G124" i="69" s="1"/>
  <c r="G171" i="69" a="1"/>
  <c r="G171" i="69" s="1"/>
  <c r="G123" i="69" a="1"/>
  <c r="G123" i="69" s="1"/>
  <c r="G169" i="69" a="1"/>
  <c r="G169" i="69" s="1"/>
  <c r="G121" i="69" a="1"/>
  <c r="G121" i="69" s="1"/>
  <c r="G134" i="69" a="1"/>
  <c r="G134" i="69" s="1"/>
  <c r="G133" i="69" a="1"/>
  <c r="G133" i="69" s="1"/>
  <c r="G166" i="69" a="1"/>
  <c r="G166" i="69" s="1"/>
  <c r="G132" i="69" a="1"/>
  <c r="G132" i="69" s="1"/>
  <c r="G117" i="69" a="1"/>
  <c r="G117" i="69" s="1"/>
  <c r="G164" i="69" a="1"/>
  <c r="G164" i="69" s="1"/>
  <c r="G130" i="69" a="1"/>
  <c r="G130" i="69" s="1"/>
  <c r="G170" i="69" a="1"/>
  <c r="G170" i="69" s="1"/>
  <c r="G122" i="69" a="1"/>
  <c r="G122" i="69" s="1"/>
  <c r="G135" i="69" a="1"/>
  <c r="G135" i="69" s="1"/>
  <c r="G120" i="69" a="1"/>
  <c r="G120" i="69" s="1"/>
  <c r="G167" i="69" a="1"/>
  <c r="G167" i="69" s="1"/>
  <c r="G119" i="69" a="1"/>
  <c r="G119" i="69" s="1"/>
  <c r="G118" i="69" a="1"/>
  <c r="G118" i="69" s="1"/>
  <c r="G165" i="69" a="1"/>
  <c r="G165" i="69" s="1"/>
  <c r="G131" i="69" a="1"/>
  <c r="G131" i="69" s="1"/>
  <c r="J135" i="69" a="1"/>
  <c r="J135" i="69" s="1"/>
  <c r="J121" i="69" a="1"/>
  <c r="J121" i="69" s="1"/>
  <c r="J134" i="69" a="1"/>
  <c r="J134" i="69" s="1"/>
  <c r="J120" i="69" a="1"/>
  <c r="J120" i="69" s="1"/>
  <c r="J127" i="69" a="1"/>
  <c r="J127" i="69" s="1"/>
  <c r="J133" i="69" a="1"/>
  <c r="J133" i="69" s="1"/>
  <c r="J119" i="69" a="1"/>
  <c r="J119" i="69" s="1"/>
  <c r="J132" i="69" a="1"/>
  <c r="J132" i="69" s="1"/>
  <c r="J118" i="69" a="1"/>
  <c r="J118" i="69" s="1"/>
  <c r="J117" i="69" a="1"/>
  <c r="J117" i="69" s="1"/>
  <c r="J126" i="69" a="1"/>
  <c r="J126" i="69" s="1"/>
  <c r="J125" i="69" a="1"/>
  <c r="J125" i="69" s="1"/>
  <c r="J124" i="69" a="1"/>
  <c r="J124" i="69" s="1"/>
  <c r="J122" i="69" a="1"/>
  <c r="J122" i="69" s="1"/>
  <c r="J123" i="69" a="1"/>
  <c r="J123" i="69" s="1"/>
  <c r="J168" i="69" a="1"/>
  <c r="J168" i="69" s="1"/>
  <c r="J167" i="69" a="1"/>
  <c r="J167" i="69" s="1"/>
  <c r="J166" i="69" a="1"/>
  <c r="J166" i="69" s="1"/>
  <c r="J163" i="69" a="1"/>
  <c r="J163" i="69" s="1"/>
  <c r="J161" i="69" a="1"/>
  <c r="J161" i="69" s="1"/>
  <c r="J160" i="69" a="1"/>
  <c r="J160" i="69" s="1"/>
  <c r="J176" i="69" a="1"/>
  <c r="J176" i="69" s="1"/>
  <c r="J162" i="69" a="1"/>
  <c r="J162" i="69" s="1"/>
  <c r="J175" i="69" a="1"/>
  <c r="J175" i="69" s="1"/>
  <c r="J174" i="69" a="1"/>
  <c r="J174" i="69" s="1"/>
  <c r="J173" i="69" a="1"/>
  <c r="J173" i="69" s="1"/>
  <c r="J159" i="69" a="1"/>
  <c r="J159" i="69" s="1"/>
  <c r="J158" i="69" a="1"/>
  <c r="J158" i="69" s="1"/>
  <c r="J165" i="69" a="1"/>
  <c r="J165" i="69" s="1"/>
  <c r="J164" i="69" a="1"/>
  <c r="J164" i="69" s="1"/>
  <c r="D157" i="69"/>
  <c r="H63" i="69" a="1"/>
  <c r="H63" i="69" s="1"/>
  <c r="H77" i="69" a="1"/>
  <c r="H77" i="69" s="1"/>
  <c r="H39" i="69" a="1"/>
  <c r="H39" i="69" s="1"/>
  <c r="H74" i="69" a="1"/>
  <c r="H74" i="69" s="1"/>
  <c r="E59" i="69"/>
  <c r="H59" i="69" s="1" a="1"/>
  <c r="H59" i="69" s="1"/>
  <c r="H25" i="69" a="1"/>
  <c r="H25" i="69" s="1"/>
  <c r="H69" i="69" a="1"/>
  <c r="H69" i="69" s="1"/>
  <c r="H78" i="69" a="1"/>
  <c r="H78" i="69" s="1"/>
  <c r="H73" i="69" a="1"/>
  <c r="H73" i="69" s="1"/>
  <c r="H31" i="69" a="1"/>
  <c r="H31" i="69" s="1"/>
  <c r="E157" i="69"/>
  <c r="E116" i="69"/>
  <c r="H76" i="69" a="1"/>
  <c r="H76" i="69" s="1"/>
  <c r="H71" i="69" a="1"/>
  <c r="H71" i="69" s="1"/>
  <c r="H67" i="69" a="1"/>
  <c r="H67" i="69" s="1"/>
  <c r="H65" i="69" a="1"/>
  <c r="H65" i="69" s="1"/>
  <c r="H64" i="69" a="1"/>
  <c r="H64" i="69" s="1"/>
  <c r="H62" i="69" a="1"/>
  <c r="H62" i="69" s="1"/>
  <c r="H61" i="69" a="1"/>
  <c r="H61" i="69" s="1"/>
  <c r="H72" i="69" a="1"/>
  <c r="H72" i="69" s="1"/>
  <c r="G71" i="69" a="1"/>
  <c r="G71" i="69" s="1"/>
  <c r="G69" i="69" a="1"/>
  <c r="G69" i="69" s="1"/>
  <c r="G68" i="69" a="1"/>
  <c r="G68" i="69" s="1"/>
  <c r="G67" i="69" a="1"/>
  <c r="G67" i="69" s="1"/>
  <c r="G66" i="69" a="1"/>
  <c r="G66" i="69" s="1"/>
  <c r="G65" i="69" a="1"/>
  <c r="G65" i="69" s="1"/>
  <c r="G78" i="69" a="1"/>
  <c r="G78" i="69" s="1"/>
  <c r="G64" i="69" a="1"/>
  <c r="G64" i="69" s="1"/>
  <c r="G77" i="69" a="1"/>
  <c r="G77" i="69" s="1"/>
  <c r="G63" i="69" a="1"/>
  <c r="G63" i="69" s="1"/>
  <c r="G76" i="69" a="1"/>
  <c r="G76" i="69" s="1"/>
  <c r="G62" i="69" a="1"/>
  <c r="G62" i="69" s="1"/>
  <c r="G75" i="69" a="1"/>
  <c r="G75" i="69" s="1"/>
  <c r="G61" i="69" a="1"/>
  <c r="G61" i="69" s="1"/>
  <c r="G74" i="69" a="1"/>
  <c r="G74" i="69" s="1"/>
  <c r="G60" i="69" a="1"/>
  <c r="G60" i="69" s="1"/>
  <c r="G73" i="69" a="1"/>
  <c r="G73" i="69" s="1"/>
  <c r="G72" i="69" a="1"/>
  <c r="G72" i="69" s="1"/>
  <c r="D116" i="69"/>
  <c r="H38" i="69" a="1"/>
  <c r="H38" i="69" s="1"/>
  <c r="D59" i="69"/>
  <c r="H37" i="69" a="1"/>
  <c r="H37" i="69" s="1"/>
  <c r="H33" i="69" a="1"/>
  <c r="H33" i="69" s="1"/>
  <c r="D21" i="69"/>
  <c r="G38" i="69" a="1"/>
  <c r="G38" i="69" s="1"/>
  <c r="G24" i="69" a="1"/>
  <c r="G24" i="69" s="1"/>
  <c r="G37" i="69" a="1"/>
  <c r="G37" i="69" s="1"/>
  <c r="G23" i="69" a="1"/>
  <c r="G23" i="69" s="1"/>
  <c r="G36" i="69" a="1"/>
  <c r="G36" i="69" s="1"/>
  <c r="G22" i="69" a="1"/>
  <c r="G22" i="69" s="1"/>
  <c r="G35" i="69" a="1"/>
  <c r="G35" i="69" s="1"/>
  <c r="G34" i="69" a="1"/>
  <c r="G34" i="69" s="1"/>
  <c r="G33" i="69" a="1"/>
  <c r="G33" i="69" s="1"/>
  <c r="G31" i="69" a="1"/>
  <c r="G31" i="69" s="1"/>
  <c r="G30" i="69" a="1"/>
  <c r="G30" i="69" s="1"/>
  <c r="G29" i="69" a="1"/>
  <c r="G29" i="69" s="1"/>
  <c r="G28" i="69" a="1"/>
  <c r="G28" i="69" s="1"/>
  <c r="G27" i="69" a="1"/>
  <c r="G27" i="69" s="1"/>
  <c r="G40" i="69" a="1"/>
  <c r="G40" i="69" s="1"/>
  <c r="G26" i="69" a="1"/>
  <c r="G26" i="69" s="1"/>
  <c r="G39" i="69" a="1"/>
  <c r="G39" i="69" s="1"/>
  <c r="G25" i="69" a="1"/>
  <c r="G25" i="69" s="1"/>
  <c r="H23" i="69" a="1"/>
  <c r="H23" i="69" s="1"/>
  <c r="H36" i="69" a="1"/>
  <c r="H36" i="69" s="1"/>
  <c r="H22" i="69" a="1"/>
  <c r="H22" i="69" s="1"/>
  <c r="H66" i="69" a="1"/>
  <c r="H66" i="69" s="1"/>
  <c r="H60" i="69" a="1"/>
  <c r="H60" i="69" s="1"/>
  <c r="H35" i="69" a="1"/>
  <c r="H35" i="69" s="1"/>
  <c r="H34" i="69" a="1"/>
  <c r="H34" i="69" s="1"/>
  <c r="H40" i="69" a="1"/>
  <c r="H40" i="69" s="1"/>
  <c r="E21" i="69"/>
  <c r="H21" i="69" s="1" a="1"/>
  <c r="H21" i="69" s="1"/>
  <c r="H30" i="69" a="1"/>
  <c r="H30" i="69" s="1"/>
  <c r="H29" i="69" a="1"/>
  <c r="H29" i="69" s="1"/>
  <c r="H28" i="69" a="1"/>
  <c r="H28" i="69" s="1"/>
  <c r="H27" i="69" a="1"/>
  <c r="H27" i="69" s="1"/>
  <c r="I24" i="69" l="1" a="1"/>
  <c r="I24" i="69" s="1"/>
  <c r="H119" i="69" s="1"/>
  <c r="I119" i="69" s="1"/>
  <c r="K119" i="69" s="1" a="1"/>
  <c r="K119" i="69" s="1"/>
  <c r="J116" i="69" a="1"/>
  <c r="J116" i="69" s="1"/>
  <c r="I50" i="69" a="1"/>
  <c r="I50" i="69" s="1"/>
  <c r="H145" i="69" s="1"/>
  <c r="I68" i="69" a="1"/>
  <c r="I68" i="69" s="1"/>
  <c r="H166" i="69" s="1"/>
  <c r="I166" i="69" s="1"/>
  <c r="K166" i="69" s="1" a="1"/>
  <c r="K166" i="69" s="1"/>
  <c r="I54" i="69" a="1"/>
  <c r="I54" i="69" s="1"/>
  <c r="H149" i="69" s="1"/>
  <c r="I75" i="69" a="1"/>
  <c r="I75" i="69" s="1"/>
  <c r="H173" i="69" s="1"/>
  <c r="I173" i="69" s="1"/>
  <c r="K173" i="69" s="1" a="1"/>
  <c r="K173" i="69" s="1"/>
  <c r="I52" i="69" a="1"/>
  <c r="I52" i="69" s="1"/>
  <c r="H147" i="69" s="1"/>
  <c r="I47" i="69" a="1"/>
  <c r="I47" i="69" s="1"/>
  <c r="H142" i="69" s="1"/>
  <c r="I26" i="69" a="1"/>
  <c r="I26" i="69" s="1"/>
  <c r="H121" i="69" s="1"/>
  <c r="I121" i="69" s="1"/>
  <c r="K121" i="69" s="1" a="1"/>
  <c r="K121" i="69" s="1"/>
  <c r="I89" i="69" a="1"/>
  <c r="I89" i="69" s="1"/>
  <c r="H187" i="69" s="1"/>
  <c r="I82" i="69" a="1"/>
  <c r="I82" i="69" s="1"/>
  <c r="H180" i="69" s="1"/>
  <c r="I90" i="69" a="1"/>
  <c r="I90" i="69" s="1"/>
  <c r="H188" i="69" s="1"/>
  <c r="I45" i="69" a="1"/>
  <c r="I45" i="69" s="1"/>
  <c r="H140" i="69" s="1"/>
  <c r="I83" i="69" a="1"/>
  <c r="I83" i="69" s="1"/>
  <c r="H181" i="69" s="1"/>
  <c r="I42" i="69" a="1"/>
  <c r="I42" i="69" s="1"/>
  <c r="H137" i="69" s="1"/>
  <c r="I137" i="69" s="1"/>
  <c r="K137" i="69" s="1" a="1"/>
  <c r="K137" i="69" s="1"/>
  <c r="I91" i="69" a="1"/>
  <c r="I91" i="69" s="1"/>
  <c r="H189" i="69" s="1"/>
  <c r="I84" i="69" a="1"/>
  <c r="I84" i="69" s="1"/>
  <c r="H182" i="69" s="1"/>
  <c r="I53" i="69" a="1"/>
  <c r="I53" i="69" s="1"/>
  <c r="H148" i="69" s="1"/>
  <c r="I41" i="69" a="1"/>
  <c r="I41" i="69" s="1"/>
  <c r="H136" i="69" s="1"/>
  <c r="I136" i="69" s="1"/>
  <c r="K136" i="69" s="1" a="1"/>
  <c r="K136" i="69" s="1"/>
  <c r="I92" i="69" a="1"/>
  <c r="I92" i="69" s="1"/>
  <c r="H190" i="69" s="1"/>
  <c r="I48" i="69" a="1"/>
  <c r="I48" i="69" s="1"/>
  <c r="H143" i="69" s="1"/>
  <c r="I85" i="69" a="1"/>
  <c r="I85" i="69" s="1"/>
  <c r="H183" i="69" s="1"/>
  <c r="I51" i="69" a="1"/>
  <c r="I51" i="69" s="1"/>
  <c r="H146" i="69" s="1"/>
  <c r="I46" i="69" a="1"/>
  <c r="I46" i="69" s="1"/>
  <c r="H141" i="69" s="1"/>
  <c r="I86" i="69" a="1"/>
  <c r="I86" i="69" s="1"/>
  <c r="H184" i="69" s="1"/>
  <c r="I79" i="69" a="1"/>
  <c r="I79" i="69" s="1"/>
  <c r="H177" i="69" s="1"/>
  <c r="I177" i="69" s="1"/>
  <c r="K177" i="69" s="1" a="1"/>
  <c r="K177" i="69" s="1"/>
  <c r="I88" i="69" a="1"/>
  <c r="I88" i="69" s="1"/>
  <c r="H186" i="69" s="1"/>
  <c r="I44" i="69" a="1"/>
  <c r="I44" i="69" s="1"/>
  <c r="H139" i="69" s="1"/>
  <c r="I80" i="69" a="1"/>
  <c r="I80" i="69" s="1"/>
  <c r="H178" i="69" s="1"/>
  <c r="I178" i="69" s="1"/>
  <c r="K178" i="69" s="1" a="1"/>
  <c r="K178" i="69" s="1"/>
  <c r="I39" i="69" a="1"/>
  <c r="I39" i="69" s="1"/>
  <c r="H134" i="69" s="1"/>
  <c r="I134" i="69" s="1"/>
  <c r="K134" i="69" s="1" a="1"/>
  <c r="K134" i="69" s="1"/>
  <c r="I78" i="69" a="1"/>
  <c r="I78" i="69" s="1"/>
  <c r="H176" i="69" s="1"/>
  <c r="I176" i="69" s="1"/>
  <c r="K176" i="69" s="1" a="1"/>
  <c r="K176" i="69" s="1"/>
  <c r="I31" i="69" a="1"/>
  <c r="I31" i="69" s="1"/>
  <c r="H126" i="69" s="1"/>
  <c r="I126" i="69" s="1"/>
  <c r="K126" i="69" s="1" a="1"/>
  <c r="K126" i="69" s="1"/>
  <c r="I76" i="69" a="1"/>
  <c r="I76" i="69" s="1"/>
  <c r="H174" i="69" s="1"/>
  <c r="I174" i="69" s="1"/>
  <c r="K174" i="69" s="1" a="1"/>
  <c r="K174" i="69" s="1"/>
  <c r="I73" i="69" a="1"/>
  <c r="I73" i="69" s="1"/>
  <c r="H171" i="69" s="1"/>
  <c r="I74" i="69" a="1"/>
  <c r="I74" i="69" s="1"/>
  <c r="H172" i="69" s="1"/>
  <c r="I25" i="69" a="1"/>
  <c r="I25" i="69" s="1"/>
  <c r="H120" i="69" s="1"/>
  <c r="I120" i="69" s="1"/>
  <c r="K120" i="69" s="1" a="1"/>
  <c r="K120" i="69" s="1"/>
  <c r="I27" i="69" a="1"/>
  <c r="I27" i="69" s="1"/>
  <c r="H122" i="69" s="1"/>
  <c r="I122" i="69" s="1"/>
  <c r="K122" i="69" s="1" a="1"/>
  <c r="K122" i="69" s="1"/>
  <c r="I36" i="69" a="1"/>
  <c r="I36" i="69" s="1"/>
  <c r="H131" i="69" s="1"/>
  <c r="G157" i="69" a="1"/>
  <c r="G157" i="69" s="1"/>
  <c r="G116" i="69" a="1"/>
  <c r="G116" i="69" s="1"/>
  <c r="I63" i="69" a="1"/>
  <c r="I63" i="69" s="1"/>
  <c r="H161" i="69" s="1"/>
  <c r="I161" i="69" s="1"/>
  <c r="K161" i="69" s="1" a="1"/>
  <c r="K161" i="69" s="1"/>
  <c r="J157" i="69" a="1"/>
  <c r="J157" i="69" s="1"/>
  <c r="G59" i="69" a="1"/>
  <c r="G59" i="69" s="1"/>
  <c r="I59" i="69" s="1" a="1"/>
  <c r="I59" i="69" s="1"/>
  <c r="H157" i="69" s="1"/>
  <c r="I72" i="69" a="1"/>
  <c r="I72" i="69" s="1"/>
  <c r="H170" i="69" s="1"/>
  <c r="I71" i="69" a="1"/>
  <c r="I71" i="69" s="1"/>
  <c r="H169" i="69" s="1"/>
  <c r="I77" i="69" a="1"/>
  <c r="I77" i="69" s="1"/>
  <c r="H175" i="69" s="1"/>
  <c r="I175" i="69" s="1"/>
  <c r="K175" i="69" s="1" a="1"/>
  <c r="K175" i="69" s="1"/>
  <c r="I40" i="69" a="1"/>
  <c r="I40" i="69" s="1"/>
  <c r="H135" i="69" s="1"/>
  <c r="I135" i="69" s="1"/>
  <c r="K135" i="69" s="1" a="1"/>
  <c r="K135" i="69" s="1"/>
  <c r="I34" i="69" a="1"/>
  <c r="I34" i="69" s="1"/>
  <c r="H129" i="69" s="1"/>
  <c r="I65" i="69" a="1"/>
  <c r="I65" i="69" s="1"/>
  <c r="H163" i="69" s="1"/>
  <c r="I163" i="69" s="1"/>
  <c r="K163" i="69" s="1" a="1"/>
  <c r="K163" i="69" s="1"/>
  <c r="I69" i="69" a="1"/>
  <c r="I69" i="69" s="1"/>
  <c r="H167" i="69" s="1"/>
  <c r="I167" i="69" s="1"/>
  <c r="K167" i="69" s="1" a="1"/>
  <c r="K167" i="69" s="1"/>
  <c r="I38" i="69" a="1"/>
  <c r="I38" i="69" s="1"/>
  <c r="H133" i="69" s="1"/>
  <c r="I133" i="69" s="1"/>
  <c r="K133" i="69" s="1" a="1"/>
  <c r="K133" i="69" s="1"/>
  <c r="I61" i="69" a="1"/>
  <c r="I61" i="69" s="1"/>
  <c r="H159" i="69" s="1"/>
  <c r="I159" i="69" s="1"/>
  <c r="K159" i="69" s="1" a="1"/>
  <c r="K159" i="69" s="1"/>
  <c r="G21" i="69" a="1"/>
  <c r="G21" i="69" s="1"/>
  <c r="I21" i="69" s="1" a="1"/>
  <c r="I21" i="69" s="1"/>
  <c r="H116" i="69" s="1"/>
  <c r="I35" i="69" a="1"/>
  <c r="I35" i="69" s="1"/>
  <c r="H130" i="69" s="1"/>
  <c r="I22" i="69" a="1"/>
  <c r="I22" i="69" s="1"/>
  <c r="H117" i="69" s="1"/>
  <c r="I117" i="69" s="1"/>
  <c r="K117" i="69" s="1" a="1"/>
  <c r="K117" i="69" s="1"/>
  <c r="I64" i="69" a="1"/>
  <c r="I64" i="69" s="1"/>
  <c r="H162" i="69" s="1"/>
  <c r="I162" i="69" s="1"/>
  <c r="K162" i="69" s="1" a="1"/>
  <c r="K162" i="69" s="1"/>
  <c r="I23" i="69" a="1"/>
  <c r="I23" i="69" s="1"/>
  <c r="H118" i="69" s="1"/>
  <c r="I118" i="69" s="1"/>
  <c r="K118" i="69" s="1" a="1"/>
  <c r="K118" i="69" s="1"/>
  <c r="I37" i="69" a="1"/>
  <c r="I37" i="69" s="1"/>
  <c r="H132" i="69" s="1"/>
  <c r="I132" i="69" s="1"/>
  <c r="I66" i="69" a="1"/>
  <c r="I66" i="69" s="1"/>
  <c r="H164" i="69" s="1"/>
  <c r="I164" i="69" s="1"/>
  <c r="K164" i="69" s="1" a="1"/>
  <c r="K164" i="69" s="1"/>
  <c r="I67" i="69" a="1"/>
  <c r="I67" i="69" s="1"/>
  <c r="H165" i="69" s="1"/>
  <c r="I165" i="69" s="1"/>
  <c r="K165" i="69" s="1" a="1"/>
  <c r="K165" i="69" s="1"/>
  <c r="I30" i="69" a="1"/>
  <c r="I30" i="69" s="1"/>
  <c r="H125" i="69" s="1"/>
  <c r="I125" i="69" s="1"/>
  <c r="K125" i="69" s="1" a="1"/>
  <c r="K125" i="69" s="1"/>
  <c r="I29" i="69" a="1"/>
  <c r="I29" i="69" s="1"/>
  <c r="H124" i="69" s="1"/>
  <c r="I124" i="69" s="1"/>
  <c r="K124" i="69" s="1" a="1"/>
  <c r="K124" i="69" s="1"/>
  <c r="I60" i="69" a="1"/>
  <c r="I60" i="69" s="1"/>
  <c r="H158" i="69" s="1"/>
  <c r="I158" i="69" s="1"/>
  <c r="K158" i="69" s="1" a="1"/>
  <c r="K158" i="69" s="1"/>
  <c r="I28" i="69" a="1"/>
  <c r="I28" i="69" s="1"/>
  <c r="H123" i="69" s="1"/>
  <c r="I123" i="69" s="1"/>
  <c r="K123" i="69" s="1" a="1"/>
  <c r="K123" i="69" s="1"/>
  <c r="H127" i="69"/>
  <c r="I62" i="69" a="1"/>
  <c r="I62" i="69" s="1"/>
  <c r="H160" i="69" s="1"/>
  <c r="I160" i="69" s="1"/>
  <c r="K160" i="69" s="1" a="1"/>
  <c r="K160" i="69" s="1"/>
  <c r="I33" i="69" a="1"/>
  <c r="I33" i="69" s="1"/>
  <c r="H128" i="69" s="1"/>
  <c r="I127" i="69" l="1"/>
  <c r="K127" i="69" s="1" a="1"/>
  <c r="K127" i="69" s="1"/>
  <c r="I179" i="69"/>
  <c r="K179" i="69" s="1" a="1"/>
  <c r="K179" i="69" s="1"/>
  <c r="I138" i="69"/>
  <c r="K138" i="69" s="1" a="1"/>
  <c r="K138" i="69" s="1"/>
  <c r="I185" i="69"/>
  <c r="K185" i="69" s="1" a="1"/>
  <c r="K185" i="69" s="1"/>
  <c r="I168" i="69"/>
  <c r="K168" i="69" s="1" a="1"/>
  <c r="K168" i="69" s="1"/>
  <c r="I144" i="69"/>
  <c r="K144" i="69" s="1" a="1"/>
  <c r="K144" i="69" s="1"/>
  <c r="K132" i="69" a="1"/>
  <c r="K132" i="69" s="1"/>
  <c r="I116" i="69"/>
  <c r="K116" i="69" s="1" a="1"/>
  <c r="K116" i="69" s="1"/>
  <c r="I157" i="69"/>
  <c r="K157" i="69" s="1" a="1"/>
  <c r="K157" i="69" s="1"/>
  <c r="E151" i="69" l="1"/>
  <c r="E192" i="69"/>
  <c r="E9" i="13" l="1"/>
  <c r="F9" i="13" s="1"/>
  <c r="E13" i="13"/>
  <c r="F13"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<sst xmlns="http://schemas.openxmlformats.org/spreadsheetml/2006/main" count="459" uniqueCount="209">
  <si>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</si>
  <si>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</si>
  <si>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</si>
  <si>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</si>
  <si>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</si>
  <si>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</si>
  <si>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</si>
  <si>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</si>
  <si>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</si>
  <si>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</si>
  <si>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</si>
  <si>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</si>
  <si>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</si>
  <si>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</si>
  <si>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</si>
  <si>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</si>
  <si>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</si>
  <si>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</si>
  <si>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</si>
  <si>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</si>
  <si>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</si>
  <si>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</si>
  <si>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</si>
  <si>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</si>
  <si>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</si>
  <si>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</si>
  <si>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</si>
  <si>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</si>
  <si>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</si>
  <si>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</si>
  <si>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</si>
  <si>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</si>
  <si>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</si>
  <si>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</si>
  <si>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</si>
  <si>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</si>
  <si>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</si>
  <si>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</si>
  <si>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</si>
  <si>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</si>
  <si>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</si>
  <si>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</si>
  <si>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</si>
  <si>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</si>
  <si>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</si>
  <si>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</si>
  <si>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</si>
  <si>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</si>
  <si>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</si>
  <si>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</si>
  <si>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</si>
  <si>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</si>
  <si>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</si>
  <si>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</si>
  <si>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</si>
  <si>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</si>
  <si>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</si>
  <si>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</si>
  <si>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</si>
  <si>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</si>
  <si>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</si>
  <si>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</si>
  <si>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</si>
  <si>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</si>
  <si>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</si>
  <si>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</si>
  <si>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</si>
  <si>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</si>
  <si>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</si>
  <si>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</si>
  <si>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</si>
  <si>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</si>
  <si>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</si>
  <si>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</si>
  <si>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</si>
  <si>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</si>
  <si>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</si>
  <si>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</si>
  <si>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</si>
  <si>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</si>
  <si>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</si>
  <si>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</si>
  <si>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</si>
  <si>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</si>
  <si>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</si>
  <si>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Description</t>
  </si>
  <si>
    <t>💡 You can add more rows to the table by right-clicking on the table and selecting "Insert &gt; Table rows above/below"</t>
  </si>
  <si>
    <t>Constants - Solid Waste</t>
  </si>
  <si>
    <t>Treatment type t</t>
  </si>
  <si>
    <t>Waste type w</t>
  </si>
  <si>
    <t>EFwt</t>
  </si>
  <si>
    <t>VTMw</t>
  </si>
  <si>
    <t>10.1.1-2 Solid waste treatment</t>
  </si>
  <si>
    <t>Treatment</t>
  </si>
  <si>
    <t>Waste type</t>
  </si>
  <si>
    <t>Vwt</t>
  </si>
  <si>
    <r>
      <t>Q</t>
    </r>
    <r>
      <rPr>
        <b/>
        <vertAlign val="subscript"/>
        <sz val="10"/>
        <color rgb="FF183C1B"/>
        <rFont val="Arial"/>
        <family val="1"/>
      </rPr>
      <t>wt</t>
    </r>
  </si>
  <si>
    <r>
      <t>VTM</t>
    </r>
    <r>
      <rPr>
        <b/>
        <vertAlign val="subscript"/>
        <sz val="10"/>
        <color rgb="FF183C1B"/>
        <rFont val="Arial"/>
        <family val="1"/>
      </rPr>
      <t>w</t>
    </r>
  </si>
  <si>
    <t>Input - Solid waste</t>
  </si>
  <si>
    <t>tonnes</t>
  </si>
  <si>
    <t>Amount unit (select)</t>
  </si>
  <si>
    <t>Treatment location (select)</t>
  </si>
  <si>
    <t>Waste type (select)</t>
  </si>
  <si>
    <t>Treatment type (select)</t>
  </si>
  <si>
    <t>Amount</t>
  </si>
  <si>
    <t>Landfill</t>
  </si>
  <si>
    <t>Table_WasteTypes_Landfill</t>
  </si>
  <si>
    <t>Table_WasteTypes_Incineration</t>
  </si>
  <si>
    <t>Table_WasteTypes_Composting</t>
  </si>
  <si>
    <t>Table_WasteTypes_Anaerobicdigestion</t>
  </si>
  <si>
    <t>Removed and treated off-site</t>
  </si>
  <si>
    <t>cubic metres m3</t>
  </si>
  <si>
    <t>Solid waste treatment</t>
  </si>
  <si>
    <t>Treated on-site</t>
  </si>
  <si>
    <t>Incineration</t>
  </si>
  <si>
    <t>Paper and cardboard</t>
  </si>
  <si>
    <t>Table_V_w_t_onsite</t>
  </si>
  <si>
    <t>Table_V_w_t_offsite</t>
  </si>
  <si>
    <r>
      <rPr>
        <b/>
        <sz val="14"/>
        <color theme="1" tint="0.24994659260841701"/>
        <rFont val="Arial"/>
        <family val="1"/>
      </rPr>
      <t>E</t>
    </r>
    <r>
      <rPr>
        <b/>
        <vertAlign val="subscript"/>
        <sz val="14"/>
        <color theme="1" tint="0.24994659260841701"/>
        <rFont val="Arial"/>
        <family val="1"/>
      </rPr>
      <t>g</t>
    </r>
  </si>
  <si>
    <t>Volume of solid waste treated on-site (scope 1)</t>
  </si>
  <si>
    <t>Volume of solid waste sent offsite for treatment by third party (scope 3)</t>
  </si>
  <si>
    <t>Food waste (including animal carcasses, spoiled animal feed or crop)</t>
  </si>
  <si>
    <t>10:1.1.1 Solid waste treatment</t>
  </si>
  <si>
    <t>Scope 3 source</t>
  </si>
  <si>
    <t>Table_E_g_offsite</t>
  </si>
  <si>
    <t>Emissions from waste management of waste taken off-site (scope 3)</t>
  </si>
  <si>
    <t>Table_E_g_onsite</t>
  </si>
  <si>
    <t>Emissions from waste management of waste treated on-site (scope 1)</t>
  </si>
  <si>
    <t>EF source</t>
  </si>
  <si>
    <t>10: Solid Waste Treatment: Overview</t>
  </si>
  <si>
    <t>10: Solid Waste Treatment: Results</t>
  </si>
  <si>
    <t>Composting</t>
  </si>
  <si>
    <t>Landfill food waste on site (tonnes)</t>
  </si>
  <si>
    <t>Landfill food waste on site (m3)</t>
  </si>
  <si>
    <t>Landfill food waste offsite (tonnes)</t>
  </si>
  <si>
    <t>Landfill food waste offsite (m3)</t>
  </si>
  <si>
    <t>Landfill Paper offsite (tonnes)</t>
  </si>
  <si>
    <t>Landfill Paper waste offsite (m3)</t>
  </si>
  <si>
    <t>Landfill Paper waste on site (tonnes)</t>
  </si>
  <si>
    <t>Landfill Paper on site (m3)</t>
  </si>
  <si>
    <t>Landfill Green waste offsite (tonnes)</t>
  </si>
  <si>
    <t>Landfill Green waste offsite (m3)</t>
  </si>
  <si>
    <t>Landfill Green waste on site (tonnes)</t>
  </si>
  <si>
    <t>Landfill Green waste on site (m3)</t>
  </si>
  <si>
    <t>Green waste (including crop residues or prunings)</t>
  </si>
  <si>
    <t>Compost food waste on site (m3)</t>
  </si>
  <si>
    <t>Compost food waste on site (tonnes)</t>
  </si>
  <si>
    <t>Compost paper and cardboard on site (tonnes)</t>
  </si>
  <si>
    <t>Compost paper and cardboard on site (m3)</t>
  </si>
  <si>
    <t>Not used</t>
  </si>
  <si>
    <r>
      <t>E</t>
    </r>
    <r>
      <rPr>
        <b/>
        <vertAlign val="subscript"/>
        <sz val="10"/>
        <color rgb="FF183C1B"/>
        <rFont val="Arial"/>
        <family val="1"/>
      </rPr>
      <t>g</t>
    </r>
  </si>
  <si>
    <r>
      <t>EF</t>
    </r>
    <r>
      <rPr>
        <b/>
        <vertAlign val="subscript"/>
        <sz val="10"/>
        <color rgb="FF183C1B"/>
        <rFont val="Arial"/>
        <family val="1"/>
      </rPr>
      <t>wtg</t>
    </r>
  </si>
  <si>
    <r>
      <t>Q</t>
    </r>
    <r>
      <rPr>
        <b/>
        <vertAlign val="subscript"/>
        <sz val="10"/>
        <color rgb="FF183C1B"/>
        <rFont val="Arial"/>
        <family val="1"/>
      </rPr>
      <t>volwt</t>
    </r>
  </si>
  <si>
    <r>
      <t>Q</t>
    </r>
    <r>
      <rPr>
        <b/>
        <vertAlign val="subscript"/>
        <sz val="10"/>
        <color rgb="FF533001"/>
        <rFont val="Arial"/>
        <family val="1"/>
      </rPr>
      <t>masswt</t>
    </r>
  </si>
  <si>
    <t>Summed above</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</si>
  <si>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</si>
  <si>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</si>
  <si>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</si>
  <si>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</si>
  <si>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</si>
  <si>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</si>
  <si>
    <t>Home</t>
  </si>
  <si>
    <t>Data quality scoring</t>
  </si>
  <si>
    <t>Table_SourceData_DataQuality_TemporalRepresentativeness</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</si>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</sst>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s>
  <fonts count="56"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b/>
      <sz val="10"/>
      <color theme="1"/>
      <name val="Arial"/>
      <family val="1"/>
    </font>
    <font>
      <b/>
      <sz val="12"/>
      <color theme="1"/>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i/>
      <sz val="9"/>
      <color theme="6" tint="-0.499984740745262"/>
      <name val="Arial"/>
      <family val="1"/>
    </font>
    <font>
      <i/>
      <sz val="9"/>
      <color theme="5" tint="-0.499984740745262"/>
      <name val="Arial"/>
      <family val="1"/>
    </font>
    <font>
      <u/>
      <sz val="9"/>
      <color theme="1" tint="0.34998626667073579"/>
      <name val="Arial"/>
      <family val="1"/>
    </font>
    <font>
      <i/>
      <sz val="9"/>
      <color theme="1" tint="0.14999847407452621"/>
      <name val="Arial"/>
      <family val="1"/>
    </font>
    <font>
      <b/>
      <sz val="18"/>
      <color theme="3" tint="9.9978637043366805E-2"/>
      <name val="Arial"/>
      <family val="1"/>
    </font>
    <font>
      <sz val="14"/>
      <color theme="1" tint="0.24994659260841701"/>
      <name val="Arial"/>
      <family val="1"/>
    </font>
    <font>
      <b/>
      <sz val="14"/>
      <color theme="1" tint="0.24994659260841701"/>
      <name val="Arial"/>
      <family val="1"/>
    </font>
    <font>
      <b/>
      <vertAlign val="subscript"/>
      <sz val="14"/>
      <color theme="1" tint="0.24994659260841701"/>
      <name val="Arial"/>
      <family val="1"/>
    </font>
    <font>
      <i/>
      <sz val="14"/>
      <color theme="1" tint="0.34998626667073579"/>
      <name val="Arial"/>
      <family val="1"/>
    </font>
    <font>
      <b/>
      <sz val="10"/>
      <color theme="1"/>
      <name val="Arial"/>
      <family val="2"/>
    </font>
    <font>
      <b/>
      <vertAlign val="subscript"/>
      <sz val="10"/>
      <color rgb="FF183C1B"/>
      <name val="Arial"/>
      <family val="1"/>
    </font>
    <font>
      <b/>
      <sz val="10"/>
      <color theme="1"/>
      <name val="Arial"/>
      <family val="2"/>
    </font>
    <font>
      <b/>
      <vertAlign val="subscript"/>
      <sz val="10"/>
      <color rgb="FF533001"/>
      <name val="Arial"/>
      <family val="1"/>
    </font>
    <font>
      <sz val="9"/>
      <color rgb="FF404040"/>
      <name val="Arial"/>
      <family val="1"/>
    </font>
    <font>
      <u/>
      <sz val="10"/>
      <color theme="10"/>
      <name val="Arial"/>
      <family val="2"/>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8" fillId="4" borderId="0">
      <alignment horizontal="left" vertical="center"/>
    </xf>
    <xf numFmtId="0" fontId="33" fillId="4" borderId="0">
      <alignment vertical="center"/>
    </xf>
    <xf numFmtId="0" fontId="3" fillId="4" borderId="0">
      <alignment horizontal="left" vertical="center"/>
    </xf>
    <xf numFmtId="0" fontId="3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4"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39" fillId="4" borderId="0">
      <alignment horizontal="left" vertical="center"/>
    </xf>
    <xf numFmtId="0" fontId="29"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2" fillId="4" borderId="0">
      <alignment horizontal="left" vertical="center"/>
    </xf>
    <xf numFmtId="0" fontId="9" fillId="0" borderId="0"/>
    <xf numFmtId="0" fontId="2" fillId="0" borderId="2">
      <alignment horizontal="center" vertical="center"/>
    </xf>
    <xf numFmtId="0" fontId="37" fillId="4" borderId="0">
      <alignment horizontal="left" vertical="center"/>
    </xf>
    <xf numFmtId="0" fontId="38" fillId="4" borderId="0">
      <alignment horizontal="left" vertical="center"/>
    </xf>
    <xf numFmtId="0" fontId="40" fillId="4" borderId="0">
      <alignment horizontal="left" vertical="center"/>
    </xf>
    <xf numFmtId="0" fontId="36" fillId="11" borderId="0">
      <alignment horizontal="center" vertical="center"/>
    </xf>
    <xf numFmtId="0" fontId="20" fillId="11" borderId="0">
      <alignment horizontal="left" vertical="center" indent="1"/>
    </xf>
    <xf numFmtId="0" fontId="42" fillId="14" borderId="2">
      <alignment horizontal="center" vertical="center"/>
    </xf>
    <xf numFmtId="0" fontId="41" fillId="15" borderId="2">
      <alignment horizontal="center" vertical="center"/>
    </xf>
    <xf numFmtId="0" fontId="43" fillId="4" borderId="2">
      <alignment horizontal="left" vertical="center"/>
    </xf>
    <xf numFmtId="0" fontId="26" fillId="4" borderId="2">
      <alignment horizontal="left" vertical="center"/>
    </xf>
    <xf numFmtId="0" fontId="44" fillId="0" borderId="0"/>
    <xf numFmtId="0" fontId="55" fillId="0" borderId="0" applyNumberFormat="0" applyFill="0" applyBorder="0" applyAlignment="0" applyProtection="0"/>
  </cellStyleXfs>
  <cellXfs count="76">
    <xf numFmtId="0" fontId="0" fillId="0" borderId="0" xfId="0"/>
    <xf numFmtId="0" fontId="30" fillId="4" borderId="0" xfId="8">
      <alignment horizontal="left" vertical="center"/>
    </xf>
    <xf numFmtId="0" fontId="3" fillId="4" borderId="0" xfId="7">
      <alignment horizontal="left" vertical="center"/>
    </xf>
    <xf numFmtId="0" fontId="16" fillId="3" borderId="0" xfId="4">
      <alignment vertical="center"/>
    </xf>
    <xf numFmtId="0" fontId="33" fillId="4" borderId="0" xfId="6">
      <alignment vertical="center"/>
    </xf>
    <xf numFmtId="0" fontId="2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4"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0"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1" fillId="4" borderId="0" xfId="8" applyFont="1">
      <alignment horizontal="left" vertical="center"/>
    </xf>
    <xf numFmtId="0" fontId="6" fillId="4" borderId="0" xfId="53">
      <alignment horizontal="left" vertical="center"/>
    </xf>
    <xf numFmtId="0" fontId="32" fillId="4" borderId="0" xfId="54">
      <alignment horizontal="left" vertical="center"/>
    </xf>
    <xf numFmtId="0" fontId="10" fillId="0" borderId="0" xfId="32"/>
    <xf numFmtId="0" fontId="34" fillId="13" borderId="9" xfId="39" applyBorder="1">
      <alignment horizontal="left" vertical="center"/>
    </xf>
    <xf numFmtId="0" fontId="34" fillId="13" borderId="11" xfId="39" applyBorder="1">
      <alignment horizontal="left" vertical="center"/>
    </xf>
    <xf numFmtId="0" fontId="34" fillId="13" borderId="12" xfId="39" applyBorder="1">
      <alignment horizontal="left" vertical="center"/>
    </xf>
    <xf numFmtId="0" fontId="34" fillId="13" borderId="13" xfId="39" applyBorder="1">
      <alignment horizontal="left" vertical="center"/>
    </xf>
    <xf numFmtId="0" fontId="40" fillId="4" borderId="0" xfId="59">
      <alignment horizontal="left" vertical="center"/>
    </xf>
    <xf numFmtId="0" fontId="36" fillId="11" borderId="0" xfId="60">
      <alignment horizontal="center" vertical="center"/>
    </xf>
    <xf numFmtId="0" fontId="30" fillId="4" borderId="0" xfId="8" applyAlignment="1">
      <alignment horizontal="center" vertical="center"/>
    </xf>
    <xf numFmtId="0" fontId="34"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1" fillId="15" borderId="2" xfId="63">
      <alignment horizontal="center" vertical="center"/>
    </xf>
    <xf numFmtId="0" fontId="42" fillId="14" borderId="2" xfId="62">
      <alignment horizontal="center" vertical="center"/>
    </xf>
    <xf numFmtId="0" fontId="30" fillId="4" borderId="0" xfId="8" applyAlignment="1">
      <alignment horizontal="left" vertical="center" wrapText="1"/>
    </xf>
    <xf numFmtId="0" fontId="0" fillId="0" borderId="0" xfId="0"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169" fontId="8" fillId="4" borderId="0" xfId="10" applyNumberFormat="1">
      <alignment horizontal="center" vertical="center"/>
    </xf>
    <xf numFmtId="0" fontId="45" fillId="9" borderId="0" xfId="32" applyFont="1" applyFill="1"/>
    <xf numFmtId="0" fontId="30" fillId="9" borderId="0" xfId="8" applyFill="1">
      <alignment horizontal="left" vertical="center"/>
    </xf>
    <xf numFmtId="0" fontId="0" fillId="9" borderId="0" xfId="0" applyFill="1"/>
    <xf numFmtId="0" fontId="16" fillId="11" borderId="0" xfId="31" applyFill="1">
      <alignment vertical="center"/>
    </xf>
    <xf numFmtId="0" fontId="35" fillId="13" borderId="10" xfId="39" applyFont="1" applyBorder="1">
      <alignment horizontal="left" vertical="center"/>
    </xf>
    <xf numFmtId="0" fontId="20" fillId="10" borderId="0" xfId="35">
      <alignment horizontal="left" vertical="center" indent="1"/>
    </xf>
    <xf numFmtId="0" fontId="34" fillId="13" borderId="14" xfId="39" applyBorder="1">
      <alignment horizontal="left" vertical="center"/>
    </xf>
    <xf numFmtId="0" fontId="34" fillId="13" borderId="15" xfId="39" applyBorder="1">
      <alignment horizontal="left" vertical="center"/>
    </xf>
    <xf numFmtId="0" fontId="47" fillId="4" borderId="1" xfId="8" applyFont="1" applyBorder="1">
      <alignment horizontal="left" vertical="center"/>
    </xf>
    <xf numFmtId="0" fontId="30" fillId="4" borderId="1" xfId="8" applyBorder="1">
      <alignment horizontal="left" vertical="center"/>
    </xf>
    <xf numFmtId="0" fontId="46" fillId="4" borderId="1" xfId="8" applyFont="1" applyBorder="1">
      <alignment horizontal="left" vertical="center"/>
    </xf>
    <xf numFmtId="0" fontId="26" fillId="4" borderId="16" xfId="65" applyBorder="1">
      <alignment horizontal="left" vertical="center"/>
    </xf>
    <xf numFmtId="43" fontId="30" fillId="4" borderId="0" xfId="8" applyNumberFormat="1">
      <alignment horizontal="left" vertical="center"/>
    </xf>
    <xf numFmtId="0" fontId="12" fillId="6" borderId="0" xfId="29">
      <alignment horizontal="center" vertical="center"/>
      <protection locked="0"/>
    </xf>
    <xf numFmtId="0" fontId="20" fillId="8" borderId="0" xfId="37">
      <alignment horizontal="left" vertical="center" indent="1"/>
    </xf>
    <xf numFmtId="0" fontId="49" fillId="4" borderId="1" xfId="53" applyFont="1" applyBorder="1">
      <alignment horizontal="left" vertical="center"/>
    </xf>
    <xf numFmtId="0" fontId="37" fillId="4" borderId="0" xfId="57">
      <alignment horizontal="left" vertical="center"/>
    </xf>
    <xf numFmtId="0" fontId="38" fillId="4" borderId="0" xfId="58">
      <alignment horizontal="left" vertical="center"/>
    </xf>
    <xf numFmtId="0" fontId="5" fillId="2" borderId="0" xfId="9">
      <alignment horizontal="center" vertical="center"/>
    </xf>
    <xf numFmtId="0" fontId="26" fillId="4" borderId="5" xfId="52" applyBorder="1">
      <alignment horizontal="center" vertical="center"/>
    </xf>
    <xf numFmtId="0" fontId="50" fillId="2" borderId="0" xfId="8" applyFont="1" applyFill="1">
      <alignment horizontal="left" vertical="center"/>
    </xf>
    <xf numFmtId="0" fontId="2" fillId="0" borderId="2" xfId="56">
      <alignment horizontal="center" vertical="center"/>
    </xf>
    <xf numFmtId="0" fontId="43" fillId="4" borderId="2" xfId="64">
      <alignment horizontal="left" vertical="center"/>
    </xf>
    <xf numFmtId="0" fontId="52" fillId="0" borderId="0" xfId="8" applyFont="1" applyFill="1">
      <alignment horizontal="left" vertical="center"/>
    </xf>
    <xf numFmtId="0" fontId="54" fillId="9" borderId="4" xfId="34" applyFont="1">
      <alignment horizontal="left" vertical="center" indent="1"/>
    </xf>
    <xf numFmtId="0" fontId="55" fillId="0" borderId="0" xfId="67"/>
    <xf numFmtId="0" fontId="2" fillId="0" borderId="2" xfId="14">
      <alignment horizontal="center" vertical="center"/>
    </xf>
  </cellXfs>
  <cellStyles count="68">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5">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4"/>
      <tableStyleElement type="headerRow" dxfId="73"/>
      <tableStyleElement type="totalRow" dxfId="72"/>
      <tableStyleElement type="firstColumn" dxfId="71"/>
      <tableStyleElement type="firstRowStripe" dxfId="70"/>
      <tableStyleElement type="secondRowStripe" dxfId="69"/>
    </tableStyle>
    <tableStyle name="Equation table" pivot="0" count="6" xr9:uid="{B247698E-E41D-4CCD-AA0A-C14817E9DE65}">
      <tableStyleElement type="wholeTable" dxfId="68"/>
      <tableStyleElement type="headerRow" dxfId="67"/>
      <tableStyleElement type="totalRow" dxfId="66"/>
      <tableStyleElement type="firstColumn" dxfId="65"/>
      <tableStyleElement type="firstRowStripe" dxfId="64"/>
      <tableStyleElement type="secondRowStripe" dxfId="63"/>
    </tableStyle>
    <tableStyle name="Table Style 1" pivot="0" count="0" xr9:uid="{97B370DB-5463-4A31-9160-5A96BD6A559D}"/>
  </tableStyles>
  <colors>
    <mruColors>
      <color rgb="FF0C769E"/>
      <color rgb="FF008000"/>
      <color rgb="FFCC6600"/>
      <color rgb="FFFFCCCC"/>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2" Type="http://schemas.openxmlformats.org/officeDocument/2006/relationships/hyperlink" Target="#'10.1.1-2 Solid waste treatment'!D68"/><Relationship Id="rId1" Type="http://schemas.openxmlformats.org/officeDocument/2006/relationships/hyperlink" Target="#'10.1.1-2 Solid waste treatment'!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C769E"/>
              </a:solidFill>
            </a:rPr>
            <a:t>10.1.1 Solid waste treatment</a:t>
          </a:r>
        </a:p>
      </xdr:txBody>
    </xdr:sp>
    <xdr:clientData/>
  </xdr:oneCellAnchor>
  <xdr:twoCellAnchor>
    <xdr:from>
      <xdr:col>3</xdr:col>
      <xdr:colOff>282285</xdr:colOff>
      <xdr:row>9</xdr:row>
      <xdr:rowOff>132483</xdr:rowOff>
    </xdr:from>
    <xdr:to>
      <xdr:col>5</xdr:col>
      <xdr:colOff>575085</xdr:colOff>
      <xdr:row>12</xdr:row>
      <xdr:rowOff>109533</xdr:rowOff>
    </xdr:to>
    <xdr:sp macro="" textlink="'10.1.1-2 Solid waste treatment'!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900" b="0" i="0" u="none" strike="noStrike">
              <a:solidFill>
                <a:srgbClr val="0C769E"/>
              </a:solidFill>
              <a:latin typeface="Arial"/>
              <a:cs typeface="Arial"/>
            </a:rPr>
            <a:pPr algn="ctr"/>
            <a:t>Mass of waste from waste volume</a:t>
          </a:fld>
          <a:endParaRPr lang="en-AU" sz="900">
            <a:solidFill>
              <a:srgbClr val="0C769E"/>
            </a:solidFill>
          </a:endParaRPr>
        </a:p>
      </xdr:txBody>
    </xdr:sp>
    <xdr:clientData/>
  </xdr:twoCellAnchor>
  <xdr:twoCellAnchor>
    <xdr:from>
      <xdr:col>3</xdr:col>
      <xdr:colOff>282285</xdr:colOff>
      <xdr:row>14</xdr:row>
      <xdr:rowOff>142008</xdr:rowOff>
    </xdr:from>
    <xdr:to>
      <xdr:col>5</xdr:col>
      <xdr:colOff>575085</xdr:colOff>
      <xdr:row>17</xdr:row>
      <xdr:rowOff>119058</xdr:rowOff>
    </xdr:to>
    <xdr:sp macro="" textlink="'10.1.1-2 Solid waste treatment'!D96">
      <xdr:nvSpPr>
        <xdr:cNvPr id="2" name="TextBox 1">
          <a:hlinkClick xmlns:r="http://schemas.openxmlformats.org/officeDocument/2006/relationships" r:id="rId2"/>
          <a:extLst>
            <a:ext uri="{FF2B5EF4-FFF2-40B4-BE49-F238E27FC236}">
              <a16:creationId xmlns:a16="http://schemas.microsoft.com/office/drawing/2014/main" id="{047A14AE-B267-4AD5-A886-4CB106B0A775}"/>
            </a:ext>
          </a:extLst>
        </xdr:cNvPr>
        <xdr:cNvSpPr txBox="1"/>
      </xdr:nvSpPr>
      <xdr:spPr>
        <a:xfrm>
          <a:off x="2958810" y="37424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6DD785-2BD4-4778-B848-1DE745244E64}" type="TxLink">
            <a:rPr lang="en-US" sz="900" b="1" i="0" u="none" strike="noStrike">
              <a:solidFill>
                <a:srgbClr val="0C769E"/>
              </a:solidFill>
              <a:latin typeface="Arial"/>
              <a:cs typeface="Arial"/>
            </a:rPr>
            <a:pPr algn="ctr"/>
            <a:t>Emissions from waste management by greenhouse gas</a:t>
          </a:fld>
          <a:endParaRPr lang="en-AU" sz="900" b="1">
            <a:solidFill>
              <a:srgbClr val="0C769E"/>
            </a:solidFill>
          </a:endParaRPr>
        </a:p>
      </xdr:txBody>
    </xdr:sp>
    <xdr:clientData/>
  </xdr:twoCellAnchor>
  <xdr:twoCellAnchor>
    <xdr:from>
      <xdr:col>4</xdr:col>
      <xdr:colOff>422336</xdr:colOff>
      <xdr:row>12</xdr:row>
      <xdr:rowOff>115882</xdr:rowOff>
    </xdr:from>
    <xdr:to>
      <xdr:col>4</xdr:col>
      <xdr:colOff>435036</xdr:colOff>
      <xdr:row>14</xdr:row>
      <xdr:rowOff>148357</xdr:rowOff>
    </xdr:to>
    <xdr:cxnSp macro="">
      <xdr:nvCxnSpPr>
        <xdr:cNvPr id="6" name="Connector: Curved 5">
          <a:extLst>
            <a:ext uri="{FF2B5EF4-FFF2-40B4-BE49-F238E27FC236}">
              <a16:creationId xmlns:a16="http://schemas.microsoft.com/office/drawing/2014/main" id="{0CA296AD-F39E-7853-57E4-65BAF4DD327C}"/>
            </a:ext>
          </a:extLst>
        </xdr:cNvPr>
        <xdr:cNvCxnSpPr>
          <a:stCxn id="5" idx="2"/>
          <a:endCxn id="2" idx="0"/>
        </xdr:cNvCxnSpPr>
      </xdr:nvCxnSpPr>
      <xdr:spPr>
        <a:xfrm rot="5400000">
          <a:off x="3450923" y="3478570"/>
          <a:ext cx="52777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dataCellStyle="Input text"/>
    <tableColumn id="5" xr3:uid="{1AAE9410-2D75-4183-B028-D0225DD96FD9}" name="Treatment type (select)" dataCellStyle="Input select"/>
    <tableColumn id="2" xr3:uid="{E939A00A-2AD7-4027-AA19-0891463C586E}" name="Waste type (select)" dataCellStyle="Input select"/>
    <tableColumn id="3" xr3:uid="{A780C41E-A9D0-483D-B649-703E68E6813A}" name="Treatment location (select)" dataCellStyle="Input select"/>
    <tableColumn id="4" xr3:uid="{968E99D1-9586-4756-958A-AC8369FD4A59}" name="Amount" dataCellStyle="Input number general"/>
    <tableColumn id="7" xr3:uid="{6513162E-7AC6-46C4-9C43-97A9CB5546FD}" name="Amount unit (select)" dataCellStyle="Input select"/>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F52C87-665B-4565-984D-010681CEE8B6}"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27ECD0A0-9936-4A60-BCC5-02F0C62FDA6C}"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B7AF1F5E-7BAC-4FF7-B59E-F905655514F2}" name="Waste type w" dataDxfId="6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EEC6B364-DA50-41AA-A530-330FAEE98233}" name="EFwt" dataDxfId="6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01FD94D2-85D3-4478-AB5E-04E4027C2978}" name="EF source" dataDxfId="6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22750E-D63A-47D8-AB88-7693F1AFBB78}"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E899A810-DA34-4DD3-9420-7017118A50BC}"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C8E9200-43B6-459C-B7A6-907C4A1A3CDE}" name="VTMw" dataDxfId="59"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9B942E3-1D24-4166-921C-DCC10960718D}" name="Table_WasteTypes_Landfill" displayName="Table_WasteTypes_Landfill" ref="I16:I27" totalsRowShown="0">
  <autoFilter ref="I16:I27" xr:uid="{99B942E3-1D24-4166-921C-DCC10960718D}">
    <filterColumn colId="0" hiddenButton="1"/>
  </autoFilter>
  <tableColumns count="1">
    <tableColumn id="1" xr3:uid="{74859A6A-085F-4CA9-9229-C28E9BE3FDB3}"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A900595-7035-4239-9059-ACC16835BF72}" name="Table_WasteTypes_Incineration" displayName="Table_WasteTypes_Incineration" ref="K16:K26" totalsRowShown="0" headerRowDxfId="58" headerRowCellStyle="Content normal" dataCellStyle="Content normal">
  <autoFilter ref="K16:K26" xr:uid="{9A900595-7035-4239-9059-ACC16835BF72}">
    <filterColumn colId="0" hiddenButton="1"/>
  </autoFilter>
  <tableColumns count="1">
    <tableColumn id="1" xr3:uid="{CF8EAE7E-F7CA-426B-9112-705975B5522A}" name="Waste type w" dataCellStyle="Content normal">
      <calculatedColumnFormula>E29</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8D39D3-1330-49EB-B431-1B2B8C8238DC}" name="Table_WasteTypes_Composting" displayName="Table_WasteTypes_Composting" ref="M16:M21" totalsRowShown="0" headerRowDxfId="57" headerRowCellStyle="Content normal" dataCellStyle="Content normal">
  <autoFilter ref="M16:M21" xr:uid="{5C8D39D3-1330-49EB-B431-1B2B8C8238DC}">
    <filterColumn colId="0" hiddenButton="1"/>
  </autoFilter>
  <tableColumns count="1">
    <tableColumn id="1" xr3:uid="{5B9ABACD-52AE-4D64-BCA6-1DA86A1A3FC3}" name="Waste type w" totalsRowDxfId="56" dataCellStyle="Content normal">
      <calculatedColumnFormula>E40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1EC43E-DF68-429F-A2A4-58BFE6216EC3}" name="Table_WasteTypes_Anaerobicdigestion" displayName="Table_WasteTypes_Anaerobicdigestion" ref="O16:O21" totalsRowShown="0" headerRowDxfId="55" headerRowCellStyle="Content normal" dataCellStyle="Content normal">
  <autoFilter ref="O16:O21" xr:uid="{331EC43E-DF68-429F-A2A4-58BFE6216EC3}">
    <filterColumn colId="0" hiddenButton="1"/>
  </autoFilter>
  <tableColumns count="1">
    <tableColumn id="1" xr3:uid="{2D7DB5DA-05BB-4621-B5A8-576415999BBC}" name="Waste type w" totalsRowDxfId="54" dataCellStyle="Content normal">
      <calculatedColumnFormula>E46</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2DB254-862F-4810-97E9-D3B961DE7BC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627AF9A-5057-427B-A601-42D57044EF7C}" name="State/Territory">
      <calculatedColumnFormula array="1">Common_InputFunctions.Utility_DisplayArrayInTable(Common_SourceData.Common_SourceData_AustralianStatesTerritories_Data(),Table_AustralianStates[[#Headers],[State/Territory]],0)</calculatedColumnFormula>
    </tableColumn>
    <tableColumn id="2" xr3:uid="{FCF3211B-8822-4BDD-A557-189A557282A9}" name="Common Name">
      <calculatedColumnFormula array="1">Common_InputFunctions.Utility_DisplayArrayInTable(Common_SourceData.Common_SourceData_AustralianStatesTerritories_Data(),Table_AustralianStates[[#Headers],[State/Territory]],0)</calculatedColumnFormula>
    </tableColumn>
    <tableColumn id="3" xr3:uid="{0CD29EA2-AA75-4A0A-8378-94A46EE4AA2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C3BCAE-A949-4888-B1D3-F98AE74CA0A1}" name="Table_WASA4Areas" displayName="Table_WASA4Areas" ref="D20:D30" totalsRowShown="0">
  <autoFilter ref="D20:D30" xr:uid="{5FA81339-C6C8-4D36-BEEA-6C4AEDD9E676}">
    <filterColumn colId="0" hiddenButton="1"/>
  </autoFilter>
  <tableColumns count="1">
    <tableColumn id="1" xr3:uid="{867D7E20-10F8-4B61-8561-C76DAE03D25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3EC6376-0EDA-499E-BBAA-3B19EB568438}" name="Table_GWPData" displayName="Table_GWPData" ref="D36:E43" totalsRowShown="0">
  <autoFilter ref="D36:E43" xr:uid="{B8E87A66-3E41-4AD3-925D-01EE21B43D7A}">
    <filterColumn colId="0" hiddenButton="1"/>
    <filterColumn colId="1" hiddenButton="1"/>
  </autoFilter>
  <tableColumns count="2">
    <tableColumn id="1" xr3:uid="{C328050E-FB92-4C97-80F0-16560FDE6B1D}" name="Gas">
      <calculatedColumnFormula array="1">Common_InputFunctions.Utility_DisplayArrayInTable(Common_SourceData.Common_SourceData_GWP_Data(), Table_GWPData[[#Headers],[Gas]], 0)</calculatedColumnFormula>
    </tableColumn>
    <tableColumn id="2" xr3:uid="{EAE55FFD-91C4-467B-B8FB-2A8E6E4A6327}"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EADAD8B-9EEA-4579-B066-8C105E768D0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9934B05-DE9D-4497-A725-F3C9572C1784}" name="Gas">
      <calculatedColumnFormula array="1">Common_InputFunctions.Utility_DisplayArrayInTable(Common_SourceData.Common_SourceData_ConvertGasElementalToMolecular_Data(),Table_GasToMolecularConversionFactor[[#Headers],[Gas]], 0)</calculatedColumnFormula>
    </tableColumn>
    <tableColumn id="5" xr3:uid="{9BDA38AE-2016-4C11-933F-682BC1AE5D2A}" name="Conversion factor">
      <calculatedColumnFormula array="1">Common_InputFunctions.Utility_DisplayArrayInTable(Common_SourceData.Common_SourceData_ConvertGasElementalToMolecular_Data(),Table_GasToMolecularConversionFactor[[#Headers],[Gas]], 0)</calculatedColumnFormula>
    </tableColumn>
    <tableColumn id="2" xr3:uid="{F5094EF0-BDB8-483B-B16B-B5B721C10CC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D45A8BF-2372-4462-842A-78176F3B1BF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A570291-E2D2-4BA9-BAFA-1CB4FD8059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FD9ADDB-3533-4A65-870C-5699C3EF683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E0590A9-ED09-491E-AEC3-FCF242CB737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BCCDCD9B-7481-4E2F-B896-4FB72A387FED}" name="MAT"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3" xr3:uid="{D2B2BDEE-B369-4444-B527-E893006B4FA0}" name="MA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4" xr3:uid="{E732C349-18E6-4D9D-BA1C-FE8B59D7D15B}" name="Frost days per year"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5" xr3:uid="{303DF1C2-2350-4D45-AA36-ED38863763FE}" name="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6" xr3:uid="{FC51B0BB-F1DA-4262-B02A-D828303C9C76}" name="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7" xr3:uid="{5E2F58A5-E01C-4DE1-9178-CA49B951DC2C}" name="Min temp"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8" xr3:uid="{C4B70C8A-E2B8-4845-8548-A9456B6722D0}" name="Max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9" xr3:uid="{0CCF5866-BA37-4022-80F8-37662F9AB2EA}" name="Min rainfall"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0" xr3:uid="{73EDD18A-99EB-4E38-9D1E-337BCAE64070}" name="Max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1" xr3:uid="{30316D2A-4CAE-4455-8C3D-492D2DCBD053}" name="Min frost days"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5" xr3:uid="{F82081DB-9EC8-4B20-95E2-62E270352400}" name="Max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2" xr3:uid="{5B160519-4BA4-459D-B962-BFE522DFFB0D}" name="Min elevation"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6" xr3:uid="{86A1C9D0-D4DE-4668-8690-85A1670BD261}" name="Max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3" xr3:uid="{32494D7E-1C24-42BC-A598-85B9FF27B02D}" name="Min MAP:PE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7" xr3:uid="{D1BF5C1A-E557-49F6-B044-B5111E6D80D0}" name="Max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BACEC28-54F4-4D2B-A2D8-12CFBABEF17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434BE68-48ED-4265-9E37-F2D27A95820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4CDD59F-CBED-4486-AD4A-9D5CA0A6E0D7}" name="Wet or Dry Zone" totalsRowDxfId="3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23EB57-2A24-46DB-ADCB-13266E08E10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B564272-7E43-46B0-BFD0-F572D7AA81E4}" name="Temperature Zone">
      <calculatedColumnFormula array="1">Common_InputFunctions.Utility_DisplayArrayInTable(Common_SourceData.Common_SourceData_TemperatureZones_Data(),Table_SourceData_TemperatureZones[[#Headers],[Temperature Zone]],0)</calculatedColumnFormula>
    </tableColumn>
    <tableColumn id="2" xr3:uid="{74888402-0A3A-458C-9708-11D4E16A561B}" name="MAT">
      <calculatedColumnFormula array="1">Common_InputFunctions.Utility_DisplayArrayInTable(Common_SourceData.Common_SourceData_TemperatureZones_Data(),Table_SourceData_TemperatureZones[[#Headers],[Temperature Zone]],0)</calculatedColumnFormula>
    </tableColumn>
    <tableColumn id="3" xr3:uid="{30F2537C-9CD4-4C67-A5DF-E950ECD987F8}" name="Min MAT">
      <calculatedColumnFormula array="1">Common_InputFunctions.Utility_DisplayArrayInTable(Common_SourceData.Common_SourceData_TemperatureZones_Data(),Table_SourceData_TemperatureZones[[#Headers],[Temperature Zone]],0)</calculatedColumnFormula>
    </tableColumn>
    <tableColumn id="4" xr3:uid="{1CD1CFB0-19DC-481B-9116-61070A66297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4ED55DC-E783-402D-93C8-079F5B6C497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C5F4695-99A9-4FA3-ACC5-E52DA281725B}" name="Rainfall Zone">
      <calculatedColumnFormula array="1">Common_InputFunctions.Utility_DisplayArrayInTable(Common_SourceData.Common_SourceData_RainfallZones_Data(),Table_SourceData_RainfallZones[[#Headers],[Rainfall Zone]],0)</calculatedColumnFormula>
    </tableColumn>
    <tableColumn id="2" xr3:uid="{B0915F74-FA66-427E-961D-1103F738271E}" name="Annual rainfall">
      <calculatedColumnFormula array="1">Common_InputFunctions.Utility_DisplayArrayInTable(Common_SourceData.Common_SourceData_RainfallZones_Data(),Table_SourceData_RainfallZones[[#Headers],[Rainfall Zone]],0)</calculatedColumnFormula>
    </tableColumn>
    <tableColumn id="3" xr3:uid="{EF0DC8E0-0880-46C6-BD8C-21FB2019B7E8}" name="Min rainfall">
      <calculatedColumnFormula array="1">Common_InputFunctions.Utility_DisplayArrayInTable(Common_SourceData.Common_SourceData_RainfallZones_Data(),Table_SourceData_RainfallZones[[#Headers],[Rainfall Zone]],0)</calculatedColumnFormula>
    </tableColumn>
    <tableColumn id="4" xr3:uid="{503C2CFE-8277-4BF3-A67A-5949400BABC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5117961-FACC-4251-86C7-264B8FFFDAE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499E70E9-BA3A-47D3-98DE-9DEB7862EC83}" name="Leaching Zone">
      <calculatedColumnFormula array="1">Common_InputFunctions.Utility_DisplayArrayInTable(Common_SourceData.Common_SourceData_LeachingZones_Data(), Table_SourceData_LeachingZones[[#Headers],[Leaching Zone]], 0)</calculatedColumnFormula>
    </tableColumn>
    <tableColumn id="2" xr3:uid="{CB2B961E-CA51-46E8-AD3A-8757B7D1CCD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DF3F978-0171-40B1-B3DD-5CF1D3E18824}"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3D7A3DB-01E0-4C7D-A509-CDEC7B91442E}" name="Data source">
      <calculatedColumnFormula array="1">Common_InputFunctions.Utility_DisplayArrayInTable(Common_SourceData.Common_SourceData_DataScores_Scope3_Data(), Table_SourceData_DataScores_Scope3[[#Headers],[Data source]], 0)</calculatedColumnFormula>
    </tableColumn>
    <tableColumn id="2" xr3:uid="{AFF8EB0A-41B7-4FDA-B015-6B46BA85121B}"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756EB14-7F8A-4AF9-89B6-4A619B1EA69E}" name="Table_SourceData_FracWET" displayName="Table_SourceData_FracWET" ref="D134:E136" totalsRowShown="0">
  <autoFilter ref="D134:E136" xr:uid="{308E99BE-FE1F-47A4-B2CA-97217277C4E9}">
    <filterColumn colId="0" hiddenButton="1"/>
    <filterColumn colId="1" hiddenButton="1"/>
  </autoFilter>
  <tableColumns count="2">
    <tableColumn id="1" xr3:uid="{E18E07A4-4ACF-465A-B71D-64E61CFA7FB1}" name="Is in leaching zone">
      <calculatedColumnFormula array="1">Common_InputFunctions.Utility_DisplayArrayInTable(Common_SourceData.Common_SourceData_FracWET_Data(),Table_SourceData_FracWET[[#Headers],[Is in leaching zone]],0)</calculatedColumnFormula>
    </tableColumn>
    <tableColumn id="2" xr3:uid="{C87CA644-108F-45EC-A29C-6DFD8D2BDD9F}" name="FracWET" dataDxfId="3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BBE80D6-B51C-4CDA-8275-8D54AA7A4DD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B5D176C-19F4-4326-AB86-7C67C13FF3DA}" name="Production system j">
      <calculatedColumnFormula array="1">Common_InputFunctions.Utility_DisplayArrayInTable(Common_SourceData.Common_SourceData_EFN2O_Data(), Table_SourceData_Common_EFN2O[[#Headers],[Production system j]], 0)</calculatedColumnFormula>
    </tableColumn>
    <tableColumn id="2" xr3:uid="{F5ED76E6-B875-4CA5-9B21-9D023E73390A}" name="EFN2O">
      <calculatedColumnFormula array="1">Common_InputFunctions.Utility_DisplayArrayInTable(Common_SourceData.Common_SourceData_EFN2O_Data(), Table_SourceData_Common_EFN2O[[#Headers],[Production system j]], 0)</calculatedColumnFormula>
    </tableColumn>
    <tableColumn id="3" xr3:uid="{1B78CB92-719D-4874-9934-4FCE9BCE3475}" name="Production system only">
      <calculatedColumnFormula array="1">Common_InputFunctions.Utility_DisplayArrayInTable(Common_SourceData.Common_SourceData_EFN2O_Data(), Table_SourceData_Common_EFN2O[[#Headers],[Production system j]], 0)</calculatedColumnFormula>
    </tableColumn>
    <tableColumn id="4" xr3:uid="{F6E9DE14-9178-4B58-8AC8-3A9A4FF456C4}" name="Irrigation method">
      <calculatedColumnFormula array="1">Common_InputFunctions.Utility_DisplayArrayInTable(Common_SourceData.Common_SourceData_EFN2O_Data(), Table_SourceData_Common_EFN2O[[#Headers],[Production system j]], 0)</calculatedColumnFormula>
    </tableColumn>
    <tableColumn id="5" xr3:uid="{AFEDFF0F-0FED-481A-8F39-4C6102CABB5A}"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DE12DA4-B00E-4155-8309-3F58ADB005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1CE0FFA-4CDD-4BA7-A452-E6668DD36FE0}" name="Irrigation type i">
      <calculatedColumnFormula array="1">Common_InputFunctions.Utility_DisplayArrayInTable(Common_SourceData.Common_SourceData_FracWETIrrigation_Data(), Table_SourceData_FracWETIrrigation[[#Headers],[Irrigation type i]], 0)</calculatedColumnFormula>
    </tableColumn>
    <tableColumn id="2" xr3:uid="{6F34C4D6-2644-4149-A432-7F2BC1F684BE}" name="FracWET" dataDxfId="3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E88CD00-1C0F-4D41-A840-CFB75BDC018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99775C0-483C-49FB-96F2-E8B7765FF2EE}"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FD3274-10AF-4F4F-98F0-B68E3F04780E}" name="EFPRP" dataDxfId="3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6C8802C-BF04-425D-9C34-E56A86B5452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79D4915-5C33-4200-9E3D-145533AAF7C3}" name="Month">
      <calculatedColumnFormula array="1">Common_InputFunctions.Utility_DisplayArrayInTable(Common_SourceData.Common_SourceData_MonthsToSeasons_Data(), Table_SourceData_Common_MonthToSeason[[#Headers],[Month]], 0)</calculatedColumnFormula>
    </tableColumn>
    <tableColumn id="2" xr3:uid="{F7A60CCA-25DB-4DBB-B6C0-608B8495B287}" name="Season" dataDxfId="3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8DD31D5-B3BA-4E7F-8B59-FD0C1F69A0E5}"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1E1DFD8-4A18-41E8-B8F0-E7CB7F6FD5E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1CB584D-4CD7-4B5F-8051-0D73E3756314}" name="MAT (ºC)"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8946676-EE29-4950-B84F-3BC2D82AFC14}" name="Anaerobic lagoon"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5B31438-0CB8-4D4B-8DB8-371A74F7579E}" name="Digester / covered lagoons"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ED478E11-2B9A-409F-8E13-24D702F393B5}" name="Liquid system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753D73B3-329E-4CA4-8892-D317AC5DEF99}" name="Daily spread"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D148273-2490-46F0-83EC-F28B2EBAE4DA}" name="Composting (passive windro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378BC6-60D7-4699-805C-D9AC1B15231B}" name="Solid storage"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C0863DC-DAB7-40BE-8911-E9A9DFD63EEE}" name="Pit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B969467-0898-4067-8474-90814E64B994}" name="Deep litter"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FD1EE98-B0C8-4D9C-BE89-1BF44D3DA366}" name="Poultry manure with bedd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B6D9474-35E0-4C3C-99D2-9F50DD4CDF49}" name="Poultry manure without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E4D7369-BB2D-43AA-8F50-628A73F5CB8B}" name="Direct process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4ABB577-EC03-4E4B-B87C-7F5F74B6356D}" name="Direct applicati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623DAF3-D70F-4B5B-9D72-36A961F94E1E}" name="Pasture range and paddock"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0825DE9E-7EFD-4132-B182-D37A723AF24D}" name="MAT raw"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7A5FDBF-EB52-431E-9F01-1F9C07DBBDD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A1FB309-72EF-4ECE-9117-475B3F8B29B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D03B58D-6148-414D-974D-21D167EB202A}" name="EFNi &amp; EFN2Oi" dataDxfId="1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72C1C18-5D46-49DA-8F7F-51B8B9D2920C}"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A382F094-D822-4061-A637-32327308BEEC}" name="Description" dataDxfId="17" dataCellStyle="Content normal"/>
    <tableColumn id="1" xr3:uid="{2E6D07F2-30C8-4E24-8AE2-FB99C88B4C43}" name="ID"/>
    <tableColumn id="3" xr3:uid="{8A2B12E3-C908-459E-9D86-86B5EDB7A47C}"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FCF913B-4CDB-48CD-97ED-32542E115687}"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B099C4F5-451A-4798-A3C3-C67352C82818}" name="Description"/>
    <tableColumn id="2" xr3:uid="{6ADD1DE9-1E2E-4C67-A7F5-311F74D67BE2}" name="ID"/>
    <tableColumn id="3" xr3:uid="{FEB599D0-7E37-4D3C-B483-6EDEEDA6B652}"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4AE3B2E-93F0-4F07-B1DF-B6ED6F2EB69C}"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307213C5-6777-4215-8824-C259E2CE121E}" name="Description"/>
    <tableColumn id="2" xr3:uid="{FA718452-8CB8-40F0-8D47-1965C69073F9}" name="ID"/>
    <tableColumn id="3" xr3:uid="{07F432A1-4208-49C7-9954-B8B182FF628F}"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677EBCC-56FB-4DE5-BFBE-988369801BEA}"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2AB0A2E9-8E35-4591-B8A4-FA98C906E8EB}" name="Description"/>
    <tableColumn id="2" xr3:uid="{22AA4894-98D6-4EC7-B095-A46C0B32F460}" name="ID"/>
    <tableColumn id="3" xr3:uid="{D694B58D-0AB0-4946-8648-70ADB2FD0A9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3.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21" Type="http://schemas.openxmlformats.org/officeDocument/2006/relationships/table" Target="../tables/table27.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20" Type="http://schemas.openxmlformats.org/officeDocument/2006/relationships/table" Target="../tables/table26.xml"/><Relationship Id="rId1" Type="http://schemas.openxmlformats.org/officeDocument/2006/relationships/printerSettings" Target="../printerSettings/printerSettings4.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 Id="rId22"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18" sqref="A18"/>
    </sheetView>
  </sheetViews>
  <sheetFormatPr defaultRowHeight="20" x14ac:dyDescent="0.25" customHeight="1"/>
  <sheetData>
    <row r="1" spans="1:1" x14ac:dyDescent="0.25" ht="30" customHeight="1">
      <c r="A1" t="s">
        <v>161</v>
      </c>
    </row>
    <row r="3" spans="1:1" x14ac:dyDescent="0.25" ht="20" customHeight="1">
      <c r="A3" s="74" t="str">
        <f>HYPERLINK("#'Home'!A1", "Home")</f>
        <v>Home</v>
      </c>
    </row>
    <row r="6" spans="1:1" x14ac:dyDescent="0.25" ht="20" customHeight="1">
      <c r="A6" s="73" t="s">
        <v>1</v>
      </c>
    </row>
    <row r="7" spans="1:1" ht="20" x14ac:dyDescent="0.25" customHeight="1">
      <c r="A7" s="12" t="str">
        <f>HYPERLINK("#'Constants - Common'!A1", "Constants - Common")</f>
        <v>Constants - Common</v>
      </c>
    </row>
    <row r="8" spans="1:1" ht="20" x14ac:dyDescent="0.25" customHeight="1">
      <c r="A8" s="12"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sheetPr>
    <tabColor rgb="FF0C769E"/>
  </sheetPr>
  <dimension ref="A1:W45"/>
  <sheetViews>
    <sheetView showGridLines="0" zoomScaleNormal="100" workbookViewId="0">
      <selection activeCell="A18" sqref="A18"/>
    </sheetView>
  </sheetViews>
  <sheetFormatPr defaultRowHeight="20" x14ac:dyDescent="0.25" customHeight="1"/>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0" t="e" vm="1">
        <v>#VALUE!</v>
      </c>
      <c r="C1" s="49" t="s">
        <v>129</v>
      </c>
      <c r="D1" s="50"/>
      <c r="E1" s="50"/>
      <c r="F1" s="50"/>
      <c r="G1" s="50"/>
      <c r="H1" s="50"/>
      <c r="I1" s="50"/>
      <c r="J1" s="50"/>
      <c r="K1" s="50"/>
      <c r="L1" s="50"/>
      <c r="M1" s="50"/>
      <c r="N1" s="50"/>
      <c r="O1" s="50"/>
      <c r="P1" s="50"/>
    </row>
    <row r="2" spans="1:17" ht="20" customHeight="1" x14ac:dyDescent="0.25">
      <c r="C2" s="50"/>
      <c r="D2" s="50"/>
      <c r="E2" s="50"/>
      <c r="F2" s="50"/>
      <c r="G2" s="50"/>
      <c r="H2" s="50"/>
      <c r="I2" s="50"/>
      <c r="J2" s="50"/>
      <c r="K2" s="50"/>
      <c r="L2" s="50"/>
      <c r="M2" s="50"/>
      <c r="N2" s="50"/>
      <c r="O2" s="50"/>
      <c r="P2" s="50"/>
      <c r="Q2" s="51"/>
    </row>
    <row r="3" spans="1:17" ht="20" customHeight="1" x14ac:dyDescent="0.25">
      <c r="A3" s="12" t="str">
        <f>HYPERLINK("#'Home'!A1", "Home")</f>
        <v>Home</v>
      </c>
      <c r="C3" s="52"/>
      <c r="D3" s="52"/>
      <c r="E3" s="52"/>
      <c r="F3" s="52"/>
      <c r="G3" s="52"/>
      <c r="H3" s="52"/>
      <c r="I3" s="52"/>
      <c r="J3" s="52"/>
      <c r="K3" s="52"/>
      <c r="L3" s="52"/>
      <c r="M3" s="52"/>
      <c r="N3" s="52"/>
      <c r="O3" s="52"/>
      <c r="P3" s="52"/>
    </row>
    <row r="4" spans="1:17" ht="20" customHeight="1" x14ac:dyDescent="0.25">
      <c r="A4" s="40" t="str">
        <f>HYPERLINK("#'Overview'!A1", "Overview")</f>
        <v>Overview</v>
      </c>
    </row>
    <row r="5" spans="1:17" ht="20" customHeight="1" x14ac:dyDescent="0.25">
      <c r="A5" s="12" t="str">
        <f>HYPERLINK("#'Results'!A1", "Results")</f>
        <v>Results</v>
      </c>
      <c r="D5" s="38" t="s">
        <v>82</v>
      </c>
      <c r="E5" s="34"/>
      <c r="F5" s="34"/>
      <c r="G5" s="34"/>
      <c r="H5" s="34"/>
      <c r="I5" s="34"/>
      <c r="J5" s="34"/>
      <c r="K5" s="34"/>
      <c r="L5" s="34"/>
      <c r="M5" s="34"/>
      <c r="N5" s="34"/>
      <c r="O5" s="31"/>
    </row>
    <row r="6" spans="1:17" ht="20" customHeight="1" x14ac:dyDescent="0.25">
      <c r="D6" s="53" t="s">
        <v>83</v>
      </c>
      <c r="E6" s="33"/>
      <c r="F6" s="33"/>
      <c r="G6" s="33"/>
      <c r="H6" s="33"/>
      <c r="I6" s="33"/>
      <c r="J6" s="33"/>
      <c r="K6" s="33"/>
      <c r="L6" s="33"/>
      <c r="M6" s="33"/>
      <c r="N6" s="33"/>
      <c r="O6" s="32"/>
    </row>
    <row r="7" spans="1:17" ht="20" customHeight="1" x14ac:dyDescent="0.25"/>
    <row r="8" spans="1:17" ht="20" customHeight="1" x14ac:dyDescent="0.25">
      <c r="A8" s="14" t="s">
        <v>0</v>
      </c>
    </row>
    <row r="9" spans="1:17" ht="20" customHeight="1" x14ac:dyDescent="0.25">
      <c r="A9" s="12" t="str">
        <f>HYPERLINK("#'Input - Solid waste'!A1", "Solid waste")</f>
        <v>Solid waste</v>
      </c>
    </row>
    <row r="10" spans="1:17" ht="20" customHeight="1" x14ac:dyDescent="0.25"/>
    <row r="11" spans="1:17" ht="20" customHeight="1" x14ac:dyDescent="0.25"/>
    <row r="12" spans="1:17" ht="20" customHeight="1" x14ac:dyDescent="0.25">
      <c r="A12" s="13" t="s">
        <v>44</v>
      </c>
    </row>
    <row r="13" spans="1:17" ht="20" customHeight="1" x14ac:dyDescent="0.25">
      <c r="A13" s="12" t="str">
        <f>HYPERLINK("#'10.1.1-2 Solid waste treatment'!A1", "10.1.1-2 Solid waste treatment")</f>
        <v>10.1.1-2 Solid waste treatment</v>
      </c>
    </row>
    <row r="14" spans="1:17" ht="20" customHeight="1" x14ac:dyDescent="0.25">
      <c r="O14" s="1" t="s">
        <v>84</v>
      </c>
    </row>
    <row r="15" spans="1:17" ht="20" customHeight="1" x14ac:dyDescent="0.25"/>
    <row r="16" spans="1:17" ht="20" customHeight="1" x14ac:dyDescent="0.25">
      <c r="A16" s="73" t="s">
        <v>1</v>
      </c>
    </row>
    <row r="17" spans="1:1" ht="20" customHeight="1" x14ac:dyDescent="0.25">
      <c r="A17" s="12" t="str">
        <f>HYPERLINK("#'Constants - Solid Waste'!A1", "Constants - Solid Waste")</f>
        <v>Constants - Solid Waste</v>
      </c>
    </row>
    <row r="18" spans="1:1" ht="20" customHeight="1" x14ac:dyDescent="0.25">
      <c r="A18" s="12" t="str">
        <f>HYPERLINK("#'Constants - Common'!A1", "Constants - Common")</f>
        <v>Constants - Common</v>
      </c>
    </row>
    <row r="19" spans="1:1" ht="20" customHeight="1" x14ac:dyDescent="0.25"/>
    <row r="20" spans="1:1" ht="20" customHeight="1" x14ac:dyDescent="0.25"/>
    <row r="21" spans="1:1" ht="20" customHeight="1" x14ac:dyDescent="0.25"/>
    <row r="22" spans="1:1" ht="20" customHeight="1" x14ac:dyDescent="0.25"/>
    <row r="23" spans="1:1" ht="20" customHeight="1" x14ac:dyDescent="0.25"/>
    <row r="24" spans="1:1" ht="20" customHeight="1" x14ac:dyDescent="0.25"/>
    <row r="25" spans="1:1" ht="20" customHeight="1" x14ac:dyDescent="0.25"/>
    <row r="26" spans="1:1" ht="20" customHeight="1" x14ac:dyDescent="0.25"/>
    <row r="27" spans="1:1" ht="20" customHeight="1" x14ac:dyDescent="0.25"/>
    <row r="28" spans="1:1" ht="20" customHeight="1" x14ac:dyDescent="0.25"/>
    <row r="29" spans="1:1" ht="20" customHeight="1" x14ac:dyDescent="0.25"/>
    <row r="30" spans="1:1" ht="20" customHeight="1" x14ac:dyDescent="0.25"/>
    <row r="31" spans="1:1" ht="20" customHeight="1" x14ac:dyDescent="0.25"/>
    <row r="32" spans="1:1" ht="20" customHeight="1" x14ac:dyDescent="0.25"/>
    <row r="33" spans="12:23" ht="20" customHeight="1" x14ac:dyDescent="0.25"/>
    <row r="34" spans="12:23" ht="20" customHeight="1" x14ac:dyDescent="0.25"/>
    <row r="35" spans="12:23" ht="20" customHeight="1" x14ac:dyDescent="0.25"/>
    <row r="36" spans="12:23" ht="20" customHeight="1" x14ac:dyDescent="0.25"/>
    <row r="37" spans="12:23" ht="20" customHeight="1" x14ac:dyDescent="0.25">
      <c r="L37" s="1" t="s">
        <v>80</v>
      </c>
    </row>
    <row r="38" spans="12:23" ht="20" customHeight="1" x14ac:dyDescent="0.25"/>
    <row r="39" spans="12:23" ht="20" customHeight="1" x14ac:dyDescent="0.25"/>
    <row r="40" spans="12:23" ht="20" customHeight="1" x14ac:dyDescent="0.25"/>
    <row r="41" spans="12:23" ht="20" customHeight="1" x14ac:dyDescent="0.25"/>
    <row r="42" spans="12:23" ht="20" customHeight="1" x14ac:dyDescent="0.25"/>
    <row r="45" spans="12:23" x14ac:dyDescent="0.25" ht="20" customHeight="1">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H87"/>
  <sheetViews>
    <sheetView showGridLines="0" zoomScaleNormal="100" workbookViewId="0">
      <selection activeCell="A18" sqref="A18"/>
    </sheetView>
  </sheetViews>
  <sheetFormatPr defaultRowHeight="20" x14ac:dyDescent="0.25" customHeight="1"/>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0" t="e" vm="1">
        <v>#VALUE!</v>
      </c>
      <c r="C1" s="49" t="s">
        <v>130</v>
      </c>
    </row>
    <row r="2" spans="1:8" ht="20" customHeight="1" x14ac:dyDescent="0.25">
      <c r="C2" s="8"/>
    </row>
    <row r="3" spans="1:8" ht="20" customHeight="1" x14ac:dyDescent="0.25">
      <c r="A3" s="12" t="str">
        <f>HYPERLINK("#'Home'!A1", "Home")</f>
        <v>Home</v>
      </c>
      <c r="C3" s="16"/>
      <c r="D3" s="16"/>
      <c r="E3" s="16"/>
      <c r="F3" s="16"/>
      <c r="G3" s="16"/>
      <c r="H3" s="16"/>
    </row>
    <row r="4" spans="1:8" ht="20" customHeight="1" x14ac:dyDescent="0.25">
      <c r="A4" s="12" t="str">
        <f>HYPERLINK("#'Overview'!A1", "Overview")</f>
        <v>Overview</v>
      </c>
      <c r="C4" s="16"/>
      <c r="D4" s="5" t="s">
        <v>2</v>
      </c>
      <c r="E4" s="17"/>
      <c r="F4" s="17"/>
      <c r="G4" s="17"/>
      <c r="H4" s="18"/>
    </row>
    <row r="5" spans="1:8" ht="20" customHeight="1" x14ac:dyDescent="0.3">
      <c r="A5" s="40" t="str">
        <f>HYPERLINK("#'Results'!A1", "Results")</f>
        <v>Results</v>
      </c>
      <c r="C5" s="16"/>
      <c r="D5" s="19"/>
      <c r="E5" s="20"/>
      <c r="F5" s="20"/>
      <c r="G5" s="20"/>
      <c r="H5" s="16"/>
    </row>
    <row r="6" spans="1:8" ht="20" customHeight="1" x14ac:dyDescent="0.25">
      <c r="C6" s="16"/>
      <c r="D6" s="15" t="s">
        <v>79</v>
      </c>
      <c r="E6" s="16"/>
      <c r="F6" s="16"/>
      <c r="G6" s="16"/>
      <c r="H6" s="16"/>
    </row>
    <row r="7" spans="1:8" ht="20" customHeight="1" x14ac:dyDescent="0.25">
      <c r="C7" s="16"/>
      <c r="D7" s="16"/>
      <c r="E7" s="16"/>
      <c r="F7" s="16"/>
      <c r="G7" s="16"/>
      <c r="H7" s="16"/>
    </row>
    <row r="8" spans="1:8" ht="20" customHeight="1" x14ac:dyDescent="0.25">
      <c r="A8" s="14" t="s">
        <v>0</v>
      </c>
      <c r="C8" s="16"/>
      <c r="D8" s="36" t="s">
        <v>49</v>
      </c>
      <c r="E8" s="36" t="s">
        <v>59</v>
      </c>
      <c r="F8" s="36" t="s">
        <v>60</v>
      </c>
      <c r="G8" s="36" t="s">
        <v>54</v>
      </c>
      <c r="H8" s="16"/>
    </row>
    <row r="9" spans="1:8" ht="20" customHeight="1" x14ac:dyDescent="0.25">
      <c r="A9" s="12" t="str">
        <f>HYPERLINK("#'Input - Solid waste'!A1", "Solid waste")</f>
        <v>Solid waste</v>
      </c>
      <c r="C9" s="16"/>
      <c r="D9" s="1" t="s">
        <v>122</v>
      </c>
      <c r="E9" s="48">
        <f>VEERG_10_1_1_1__1_EmissionsFromWasteManagement_Scope1_Result_Method1</f>
        <v>438.82805000000002</v>
      </c>
      <c r="F9" s="48">
        <f>E9</f>
        <v>438.82805000000002</v>
      </c>
      <c r="G9" s="28" t="s">
        <v>57</v>
      </c>
      <c r="H9" s="16"/>
    </row>
    <row r="10" spans="1:8" ht="20" customHeight="1" x14ac:dyDescent="0.25">
      <c r="C10" s="16"/>
      <c r="D10" s="1"/>
      <c r="E10" s="48"/>
      <c r="F10" s="48"/>
      <c r="G10" s="28"/>
      <c r="H10" s="16"/>
    </row>
    <row r="11" spans="1:8" ht="20" customHeight="1" x14ac:dyDescent="0.25">
      <c r="C11" s="16"/>
      <c r="D11" s="1"/>
      <c r="E11" s="1"/>
      <c r="F11" s="1"/>
      <c r="G11" s="1"/>
      <c r="H11" s="16"/>
    </row>
    <row r="12" spans="1:8" ht="20" customHeight="1" x14ac:dyDescent="0.25">
      <c r="A12" s="13" t="s">
        <v>44</v>
      </c>
      <c r="C12" s="16"/>
      <c r="D12" s="36" t="s">
        <v>123</v>
      </c>
      <c r="E12" s="36" t="s">
        <v>59</v>
      </c>
      <c r="F12" s="36" t="s">
        <v>60</v>
      </c>
      <c r="G12" s="36" t="s">
        <v>54</v>
      </c>
      <c r="H12" s="16"/>
    </row>
    <row r="13" spans="1:8" ht="20" customHeight="1" x14ac:dyDescent="0.25">
      <c r="A13" s="12" t="str">
        <f>HYPERLINK("#'10.1.1-2 Solid waste treatment'!A1", "10.1.1-2 Solid waste treatment")</f>
        <v>10.1.1-2 Solid waste treatment</v>
      </c>
      <c r="C13" s="16"/>
      <c r="D13" s="1" t="s">
        <v>122</v>
      </c>
      <c r="E13" s="48">
        <f>VEERG_10_1_1_1__1_EmissionsFromWasteManagement_Scope3_Result_Method1</f>
        <v>441.15000000000003</v>
      </c>
      <c r="F13" s="48">
        <f>E13</f>
        <v>441.15000000000003</v>
      </c>
      <c r="G13" s="28" t="s">
        <v>57</v>
      </c>
      <c r="H13" s="16"/>
    </row>
    <row r="14" spans="1:8" ht="20" customHeight="1" x14ac:dyDescent="0.25">
      <c r="C14" s="16"/>
      <c r="D14" s="1"/>
      <c r="E14" s="37"/>
      <c r="F14" s="28"/>
      <c r="G14" s="1"/>
      <c r="H14" s="16"/>
    </row>
    <row r="15" spans="1:8" ht="20" customHeight="1" x14ac:dyDescent="0.25">
      <c r="C15" s="16"/>
      <c r="D15" s="1"/>
      <c r="E15" s="37"/>
      <c r="F15" s="28"/>
      <c r="G15" s="1"/>
      <c r="H15" s="16"/>
    </row>
    <row r="16" spans="1:8" ht="20" customHeight="1" x14ac:dyDescent="0.25">
      <c r="A16" s="73" t="s">
        <v>1</v>
      </c>
      <c r="C16" s="16"/>
      <c r="D16" s="1"/>
      <c r="E16" s="1"/>
      <c r="F16" s="1"/>
      <c r="G16" s="1"/>
      <c r="H16" s="16"/>
    </row>
    <row r="17" spans="1:8" ht="20" customHeight="1" x14ac:dyDescent="0.25">
      <c r="A17" s="12" t="str">
        <f>HYPERLINK("#'Constants - Solid Waste'!A1", "Constants - Solid Waste")</f>
        <v>Constants - Solid Waste</v>
      </c>
      <c r="C17" s="16"/>
      <c r="D17" s="1"/>
      <c r="E17" s="1"/>
      <c r="F17" s="1"/>
      <c r="G17" s="1"/>
      <c r="H17" s="16"/>
    </row>
    <row r="18" spans="1:8" ht="20" customHeight="1" x14ac:dyDescent="0.25">
      <c r="A18" s="12" t="str">
        <f>HYPERLINK("#'Constants - Common'!A1", "Constants - Common")</f>
        <v>Constants - Common</v>
      </c>
      <c r="C18" s="16"/>
      <c r="D18" s="1"/>
      <c r="E18" s="1"/>
      <c r="F18" s="1"/>
      <c r="G18" s="1"/>
      <c r="H18" s="16"/>
    </row>
    <row r="19" spans="1:8" ht="20" customHeight="1" x14ac:dyDescent="0.25">
      <c r="C19" s="16"/>
      <c r="D19" s="1"/>
      <c r="E19" s="1"/>
      <c r="F19" s="1"/>
      <c r="G19" s="1"/>
      <c r="H19" s="16"/>
    </row>
    <row r="20" spans="1:8" ht="20" customHeight="1" x14ac:dyDescent="0.25">
      <c r="C20" s="16"/>
      <c r="D20" s="1"/>
      <c r="E20" s="1"/>
      <c r="F20" s="1"/>
      <c r="G20" s="1"/>
      <c r="H20" s="16"/>
    </row>
    <row r="21" spans="1:8" ht="20" customHeight="1" x14ac:dyDescent="0.25">
      <c r="C21" s="16"/>
      <c r="D21" s="1"/>
      <c r="E21" s="1"/>
      <c r="F21" s="1"/>
      <c r="G21" s="1"/>
      <c r="H21" s="16"/>
    </row>
    <row r="22" spans="1:8" ht="20" customHeight="1" x14ac:dyDescent="0.25">
      <c r="C22" s="16"/>
      <c r="D22" s="1"/>
      <c r="E22" s="1"/>
      <c r="F22" s="1"/>
      <c r="G22" s="1"/>
      <c r="H22" s="16"/>
    </row>
    <row r="23" spans="1:8" ht="20" customHeight="1" x14ac:dyDescent="0.25">
      <c r="C23" s="16"/>
      <c r="D23" s="1"/>
      <c r="E23" s="1"/>
      <c r="F23" s="1"/>
      <c r="G23" s="1"/>
      <c r="H23" s="16"/>
    </row>
    <row r="24" spans="1:8" ht="20" customHeight="1" x14ac:dyDescent="0.25">
      <c r="C24" s="16"/>
      <c r="D24" s="1"/>
      <c r="E24" s="1"/>
      <c r="F24" s="1"/>
      <c r="G24" s="1"/>
      <c r="H24" s="16"/>
    </row>
    <row r="25" spans="1:8" ht="20" customHeight="1" x14ac:dyDescent="0.25">
      <c r="C25" s="16"/>
      <c r="D25" s="1"/>
      <c r="E25" s="1"/>
      <c r="F25" s="1"/>
      <c r="G25" s="1"/>
      <c r="H25" s="16"/>
    </row>
    <row r="26" spans="1:8" ht="20" customHeight="1" x14ac:dyDescent="0.25">
      <c r="C26" s="16"/>
      <c r="D26" s="1"/>
      <c r="E26" s="1"/>
      <c r="F26" s="1"/>
      <c r="G26" s="1"/>
      <c r="H26" s="16"/>
    </row>
    <row r="27" spans="1:8" ht="20" customHeight="1" x14ac:dyDescent="0.25">
      <c r="C27" s="16"/>
      <c r="D27" s="1"/>
      <c r="E27" s="1"/>
      <c r="F27" s="1"/>
      <c r="G27" s="1"/>
      <c r="H27" s="16"/>
    </row>
    <row r="28" spans="1:8" ht="20" customHeight="1" x14ac:dyDescent="0.25">
      <c r="C28" s="16"/>
      <c r="D28" s="1"/>
      <c r="E28" s="1"/>
      <c r="F28" s="1"/>
      <c r="G28" s="1"/>
      <c r="H28" s="16"/>
    </row>
    <row r="29" spans="1:8" ht="20" customHeight="1" x14ac:dyDescent="0.25">
      <c r="C29" s="16"/>
      <c r="D29" s="1"/>
      <c r="E29" s="1"/>
      <c r="F29" s="1"/>
      <c r="G29" s="1"/>
      <c r="H29" s="16"/>
    </row>
    <row r="30" spans="1:8" ht="20" customHeight="1" x14ac:dyDescent="0.25">
      <c r="C30" s="16"/>
      <c r="D30" s="1"/>
      <c r="E30" s="1"/>
      <c r="F30" s="1"/>
      <c r="G30" s="1"/>
      <c r="H30" s="16"/>
    </row>
    <row r="31" spans="1:8" ht="20" customHeight="1" x14ac:dyDescent="0.25">
      <c r="C31" s="16"/>
      <c r="D31" s="1"/>
      <c r="E31" s="1"/>
      <c r="F31" s="1"/>
      <c r="G31" s="1"/>
      <c r="H31" s="16"/>
    </row>
    <row r="32" spans="1:8" ht="20" customHeight="1" x14ac:dyDescent="0.25">
      <c r="C32" s="16"/>
      <c r="D32" s="1"/>
      <c r="E32" s="1"/>
      <c r="F32" s="1"/>
      <c r="G32" s="1"/>
      <c r="H32" s="16"/>
    </row>
    <row r="33" spans="3:8" ht="20" customHeight="1" x14ac:dyDescent="0.25">
      <c r="C33" s="16"/>
      <c r="D33" s="1"/>
      <c r="E33" s="1"/>
      <c r="F33" s="1"/>
      <c r="G33" s="1"/>
      <c r="H33" s="16"/>
    </row>
    <row r="34" spans="3:8" ht="20" customHeight="1" x14ac:dyDescent="0.25">
      <c r="C34" s="16"/>
      <c r="D34" s="1"/>
      <c r="E34" s="1"/>
      <c r="F34" s="1"/>
      <c r="G34" s="1"/>
      <c r="H34" s="16"/>
    </row>
    <row r="35" spans="3:8" ht="20" customHeight="1" x14ac:dyDescent="0.25">
      <c r="C35" s="16"/>
      <c r="D35" s="1"/>
      <c r="E35" s="1"/>
      <c r="F35" s="1"/>
      <c r="G35" s="1"/>
      <c r="H35" s="16"/>
    </row>
    <row r="36" spans="3:8" ht="20" customHeight="1" x14ac:dyDescent="0.25">
      <c r="C36" s="16"/>
      <c r="D36" s="1"/>
      <c r="E36" s="1"/>
      <c r="F36" s="1"/>
      <c r="G36" s="1"/>
      <c r="H36" s="16"/>
    </row>
    <row r="37" spans="3:8" ht="20" customHeight="1" x14ac:dyDescent="0.25">
      <c r="C37" s="16"/>
      <c r="D37" s="1"/>
      <c r="E37" s="1"/>
      <c r="F37" s="1"/>
      <c r="G37" s="1"/>
      <c r="H37" s="16"/>
    </row>
    <row r="38" spans="3:8" ht="20" customHeight="1" x14ac:dyDescent="0.25">
      <c r="C38" s="16"/>
      <c r="D38" s="1"/>
      <c r="E38" s="1"/>
      <c r="F38" s="1"/>
      <c r="G38" s="1"/>
      <c r="H38" s="16"/>
    </row>
    <row r="39" spans="3:8" ht="20" customHeight="1" x14ac:dyDescent="0.25">
      <c r="C39" s="16"/>
      <c r="D39" s="1"/>
      <c r="E39" s="1"/>
      <c r="F39" s="1"/>
      <c r="G39" s="1"/>
      <c r="H39" s="16"/>
    </row>
    <row r="40" spans="3:8" ht="20" customHeight="1" x14ac:dyDescent="0.25">
      <c r="C40" s="16"/>
      <c r="D40" s="1"/>
      <c r="E40" s="1"/>
      <c r="F40" s="1"/>
      <c r="G40" s="1"/>
      <c r="H40" s="16"/>
    </row>
    <row r="41" spans="3:8" ht="20" customHeight="1" x14ac:dyDescent="0.25">
      <c r="C41" s="16"/>
      <c r="D41" s="1"/>
      <c r="E41" s="1"/>
      <c r="F41" s="1"/>
      <c r="G41" s="1"/>
      <c r="H41" s="16"/>
    </row>
    <row r="42" spans="3:8" ht="20" customHeight="1" x14ac:dyDescent="0.25">
      <c r="C42" s="16"/>
      <c r="D42" s="1"/>
      <c r="E42" s="1"/>
      <c r="F42" s="1"/>
      <c r="G42" s="1"/>
      <c r="H42" s="16"/>
    </row>
    <row r="43" spans="3:8" ht="20" customHeight="1" x14ac:dyDescent="0.25">
      <c r="C43" s="16"/>
      <c r="D43" s="1"/>
      <c r="E43" s="1"/>
      <c r="F43" s="1"/>
      <c r="G43" s="1"/>
      <c r="H43" s="16"/>
    </row>
    <row r="44" spans="3:8" ht="20" customHeight="1" x14ac:dyDescent="0.25">
      <c r="C44" s="16"/>
      <c r="D44" s="1"/>
      <c r="E44" s="1"/>
      <c r="F44" s="1"/>
      <c r="G44" s="1"/>
      <c r="H44" s="16"/>
    </row>
    <row r="45" spans="3:8" ht="20" customHeight="1" x14ac:dyDescent="0.25">
      <c r="C45" s="16"/>
      <c r="D45" s="1"/>
      <c r="E45" s="1"/>
      <c r="F45" s="1"/>
      <c r="G45" s="1"/>
      <c r="H45" s="16"/>
    </row>
    <row r="46" spans="3:8" ht="20" customHeight="1" x14ac:dyDescent="0.25">
      <c r="C46" s="16"/>
      <c r="D46" s="1"/>
      <c r="E46" s="1"/>
      <c r="F46" s="1"/>
      <c r="G46" s="1"/>
      <c r="H46" s="16"/>
    </row>
    <row r="47" spans="3:8" ht="20" customHeight="1" x14ac:dyDescent="0.25">
      <c r="C47" s="16"/>
      <c r="D47" s="1"/>
      <c r="E47" s="1"/>
      <c r="F47" s="1"/>
      <c r="G47" s="1"/>
      <c r="H47" s="16"/>
    </row>
    <row r="48" spans="3:8" ht="20" customHeight="1" x14ac:dyDescent="0.25">
      <c r="C48" s="16"/>
      <c r="D48" s="1"/>
      <c r="E48" s="1"/>
      <c r="F48" s="1"/>
      <c r="G48" s="1"/>
      <c r="H48" s="16"/>
    </row>
    <row r="49" spans="3:8" ht="20" customHeight="1" x14ac:dyDescent="0.25">
      <c r="C49" s="16"/>
      <c r="D49" s="1"/>
      <c r="E49" s="1"/>
      <c r="F49" s="1"/>
      <c r="G49" s="1"/>
      <c r="H49" s="16"/>
    </row>
    <row r="50" spans="3:8" ht="20" customHeight="1" x14ac:dyDescent="0.25">
      <c r="C50" s="16"/>
      <c r="D50" s="1"/>
      <c r="E50" s="1"/>
      <c r="F50" s="1"/>
      <c r="G50" s="1"/>
      <c r="H50" s="16"/>
    </row>
    <row r="51" spans="3:8" ht="20" customHeight="1" x14ac:dyDescent="0.25">
      <c r="C51" s="16"/>
      <c r="D51" s="1"/>
      <c r="E51" s="1"/>
      <c r="F51" s="1"/>
      <c r="G51" s="1"/>
      <c r="H51" s="16"/>
    </row>
    <row r="52" spans="3:8" ht="20" customHeight="1" x14ac:dyDescent="0.25">
      <c r="C52" s="16"/>
      <c r="D52" s="1"/>
      <c r="E52" s="1"/>
      <c r="F52" s="1"/>
      <c r="G52" s="1"/>
      <c r="H52" s="16"/>
    </row>
    <row r="53" spans="3:8" ht="20" customHeight="1" x14ac:dyDescent="0.25">
      <c r="C53" s="16"/>
      <c r="D53" s="1"/>
      <c r="E53" s="1"/>
      <c r="F53" s="1"/>
      <c r="G53" s="1"/>
      <c r="H53" s="16"/>
    </row>
    <row r="54" spans="3:8" ht="20" customHeight="1" x14ac:dyDescent="0.25">
      <c r="C54" s="16"/>
      <c r="D54" s="1"/>
      <c r="E54" s="1"/>
      <c r="F54" s="1"/>
      <c r="G54" s="1"/>
      <c r="H54" s="16"/>
    </row>
    <row r="55" spans="3:8" ht="20" customHeight="1" x14ac:dyDescent="0.25">
      <c r="C55" s="16"/>
      <c r="D55" s="1"/>
      <c r="E55" s="1"/>
      <c r="F55" s="1"/>
      <c r="G55" s="1"/>
      <c r="H55" s="16"/>
    </row>
    <row r="56" spans="3:8" ht="20" customHeight="1" x14ac:dyDescent="0.25">
      <c r="C56" s="16"/>
      <c r="D56" s="1"/>
      <c r="E56" s="1"/>
      <c r="F56" s="1"/>
      <c r="G56" s="1"/>
      <c r="H56" s="16"/>
    </row>
    <row r="57" spans="3:8" ht="20" customHeight="1" x14ac:dyDescent="0.25">
      <c r="C57" s="16"/>
      <c r="D57" s="1"/>
      <c r="E57" s="1"/>
      <c r="F57" s="1"/>
      <c r="G57" s="1"/>
      <c r="H57" s="16"/>
    </row>
    <row r="58" spans="3:8" ht="20" customHeight="1" x14ac:dyDescent="0.25">
      <c r="C58" s="16"/>
      <c r="D58" s="1"/>
      <c r="E58" s="22"/>
      <c r="F58" s="21"/>
      <c r="G58" s="16"/>
      <c r="H58" s="16"/>
    </row>
    <row r="59" spans="3:8" ht="20" customHeight="1" x14ac:dyDescent="0.25">
      <c r="C59" s="16"/>
      <c r="D59" s="1"/>
      <c r="E59" s="1"/>
      <c r="F59" s="1"/>
      <c r="G59" s="1"/>
      <c r="H59" s="16"/>
    </row>
    <row r="60" spans="3:8" ht="20" customHeight="1" x14ac:dyDescent="0.25">
      <c r="C60" s="16"/>
      <c r="D60" s="1"/>
      <c r="E60" s="1"/>
      <c r="F60" s="1"/>
      <c r="G60" s="1"/>
      <c r="H60" s="16"/>
    </row>
    <row r="61" spans="3:8" ht="20" customHeight="1" x14ac:dyDescent="0.25">
      <c r="C61" s="16"/>
      <c r="D61" s="1"/>
      <c r="E61" s="1"/>
      <c r="F61" s="1"/>
      <c r="G61" s="1"/>
      <c r="H61" s="16"/>
    </row>
    <row r="62" spans="3:8" ht="20" customHeight="1" x14ac:dyDescent="0.25">
      <c r="C62" s="16"/>
      <c r="D62" s="1"/>
      <c r="E62" s="1"/>
      <c r="F62" s="1"/>
      <c r="G62" s="1"/>
      <c r="H62" s="16"/>
    </row>
    <row r="63" spans="3:8" ht="20" customHeight="1" x14ac:dyDescent="0.25">
      <c r="C63" s="16"/>
      <c r="D63" s="1"/>
      <c r="E63" s="1"/>
      <c r="F63" s="1"/>
      <c r="G63" s="1"/>
      <c r="H63" s="16"/>
    </row>
    <row r="64" spans="3:8" ht="20" customHeight="1" x14ac:dyDescent="0.25">
      <c r="C64" s="16"/>
      <c r="D64" s="1"/>
      <c r="E64" s="1"/>
      <c r="F64" s="1"/>
      <c r="G64" s="1"/>
      <c r="H64" s="16"/>
    </row>
    <row r="65" spans="3:8" ht="20" customHeight="1" x14ac:dyDescent="0.25">
      <c r="C65" s="16"/>
      <c r="D65" s="1"/>
      <c r="E65" s="1"/>
      <c r="F65" s="1"/>
      <c r="G65" s="1"/>
      <c r="H65" s="16"/>
    </row>
    <row r="66" spans="3:8" ht="20" customHeight="1" x14ac:dyDescent="0.25">
      <c r="C66" s="16"/>
      <c r="D66" s="1"/>
      <c r="E66" s="1"/>
      <c r="F66" s="1"/>
      <c r="G66" s="1"/>
      <c r="H66" s="16"/>
    </row>
    <row r="67" spans="3:8" ht="20" customHeight="1" x14ac:dyDescent="0.25">
      <c r="C67" s="16"/>
      <c r="D67" s="1"/>
      <c r="E67" s="1"/>
      <c r="F67" s="1"/>
      <c r="G67" s="1"/>
      <c r="H67" s="16"/>
    </row>
    <row r="68" spans="3:8" ht="20" customHeight="1" x14ac:dyDescent="0.25">
      <c r="C68" s="16"/>
      <c r="D68" s="1"/>
      <c r="E68" s="1"/>
      <c r="F68" s="1"/>
      <c r="G68" s="1"/>
      <c r="H68" s="16"/>
    </row>
    <row r="69" spans="3:8" ht="20" customHeight="1" x14ac:dyDescent="0.25">
      <c r="C69" s="16"/>
      <c r="D69" s="1"/>
      <c r="E69" s="1"/>
      <c r="F69" s="1"/>
      <c r="G69" s="1"/>
      <c r="H69" s="16"/>
    </row>
    <row r="70" spans="3:8" ht="20" customHeight="1" x14ac:dyDescent="0.25">
      <c r="C70" s="16"/>
      <c r="D70" s="1"/>
      <c r="E70" s="1"/>
      <c r="F70" s="1"/>
      <c r="G70" s="1"/>
      <c r="H70" s="16"/>
    </row>
    <row r="71" spans="3:8" ht="20" customHeight="1" x14ac:dyDescent="0.25">
      <c r="C71" s="16"/>
      <c r="D71" s="1"/>
      <c r="E71" s="1"/>
      <c r="F71" s="1"/>
      <c r="G71" s="1"/>
      <c r="H71" s="16"/>
    </row>
    <row r="72" spans="3:8" ht="20" customHeight="1" x14ac:dyDescent="0.25">
      <c r="C72" s="16"/>
      <c r="D72" s="1"/>
      <c r="E72" s="1"/>
      <c r="F72" s="1"/>
      <c r="G72" s="1"/>
      <c r="H72" s="16"/>
    </row>
    <row r="73" spans="3:8" ht="20" customHeight="1" x14ac:dyDescent="0.25">
      <c r="C73" s="16"/>
      <c r="D73" s="1"/>
      <c r="E73" s="1"/>
      <c r="F73" s="1"/>
      <c r="G73" s="1"/>
      <c r="H73" s="16"/>
    </row>
    <row r="74" spans="3:8" ht="20" customHeight="1" x14ac:dyDescent="0.25">
      <c r="C74" s="16"/>
      <c r="D74" s="1"/>
      <c r="E74" s="1"/>
      <c r="F74" s="1"/>
      <c r="G74" s="1"/>
      <c r="H74" s="16"/>
    </row>
    <row r="75" spans="3:8" ht="20" customHeight="1" x14ac:dyDescent="0.25">
      <c r="C75" s="16"/>
      <c r="D75" s="1"/>
      <c r="E75" s="1"/>
      <c r="F75" s="1"/>
      <c r="G75" s="1"/>
      <c r="H75" s="16"/>
    </row>
    <row r="76" spans="3:8" ht="20" x14ac:dyDescent="0.25" customHeight="1">
      <c r="C76" s="16"/>
      <c r="D76" s="1"/>
      <c r="E76" s="1"/>
      <c r="F76" s="1"/>
      <c r="G76" s="1"/>
      <c r="H76" s="16"/>
    </row>
    <row r="77" spans="3:8" ht="20" x14ac:dyDescent="0.25" customHeight="1">
      <c r="C77" s="16"/>
      <c r="D77" s="1"/>
      <c r="E77" s="1"/>
      <c r="F77" s="1"/>
      <c r="G77" s="1"/>
      <c r="H77" s="16"/>
    </row>
    <row r="78" spans="3:8" ht="20" x14ac:dyDescent="0.25" customHeight="1">
      <c r="C78" s="16"/>
      <c r="D78" s="1"/>
      <c r="E78" s="1"/>
      <c r="F78" s="1"/>
      <c r="G78" s="1"/>
      <c r="H78" s="16"/>
    </row>
    <row r="79" spans="3:8" ht="20" x14ac:dyDescent="0.25" customHeight="1">
      <c r="C79" s="16"/>
      <c r="D79" s="1"/>
      <c r="E79" s="1"/>
      <c r="F79" s="1"/>
      <c r="G79" s="1"/>
      <c r="H79" s="16"/>
    </row>
    <row r="80" spans="3:8" ht="20" x14ac:dyDescent="0.25" customHeight="1">
      <c r="C80" s="16"/>
      <c r="D80" s="1"/>
      <c r="E80" s="1"/>
      <c r="F80" s="1"/>
      <c r="G80" s="1"/>
      <c r="H80" s="16"/>
    </row>
    <row r="81" spans="3:8" ht="20" x14ac:dyDescent="0.25" customHeight="1">
      <c r="C81" s="16"/>
      <c r="D81" s="1"/>
      <c r="E81" s="1"/>
      <c r="F81" s="1"/>
      <c r="G81" s="1"/>
      <c r="H81" s="16"/>
    </row>
    <row r="82" spans="3:8" ht="20" x14ac:dyDescent="0.25" customHeight="1">
      <c r="C82" s="16"/>
      <c r="D82" s="1"/>
      <c r="E82" s="1"/>
      <c r="F82" s="1"/>
      <c r="G82" s="1"/>
      <c r="H82" s="16"/>
    </row>
    <row r="83" spans="3:8" ht="20" x14ac:dyDescent="0.25" customHeight="1">
      <c r="C83" s="16"/>
      <c r="D83" s="1"/>
      <c r="E83" s="1"/>
      <c r="F83" s="1"/>
      <c r="G83" s="1"/>
      <c r="H83" s="16"/>
    </row>
    <row r="84" spans="3:8" ht="20" x14ac:dyDescent="0.25" customHeight="1">
      <c r="C84" s="16"/>
      <c r="D84" s="1"/>
      <c r="E84" s="1"/>
      <c r="F84" s="1"/>
      <c r="G84" s="1"/>
      <c r="H84" s="16"/>
    </row>
    <row r="85" spans="3:8" ht="20" x14ac:dyDescent="0.25" customHeight="1">
      <c r="C85" s="16"/>
      <c r="D85" s="1"/>
      <c r="E85" s="1"/>
      <c r="F85" s="1"/>
      <c r="G85" s="1"/>
      <c r="H85" s="16"/>
    </row>
    <row r="86" spans="3:8" x14ac:dyDescent="0.25" ht="20" customHeight="1">
      <c r="C86" s="16"/>
      <c r="D86" s="16"/>
      <c r="E86" s="16"/>
      <c r="F86" s="16"/>
      <c r="G86" s="16"/>
      <c r="H86" s="16"/>
    </row>
    <row r="87" spans="3:8" x14ac:dyDescent="0.25" ht="20" customHeight="1">
      <c r="C87" s="16"/>
      <c r="D87" s="16"/>
      <c r="E87" s="16"/>
      <c r="F87" s="16"/>
      <c r="G87" s="16"/>
      <c r="H87"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L385"/>
  <sheetViews>
    <sheetView showGridLines="0" tabSelected="1" zoomScaleNormal="100" workbookViewId="0">
      <selection activeCell="F7" sqref="F7"/>
    </sheetView>
  </sheetViews>
  <sheetFormatPr defaultRowHeight="20" x14ac:dyDescent="0.25" customHeight="1"/>
  <cols>
    <col min="1" max="1" width="30.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0" customFormat="1" ht="30" customHeight="1" x14ac:dyDescent="0.35">
      <c r="A1" s="30" t="e" vm="1">
        <v>#VALUE!</v>
      </c>
      <c r="C1" s="30" t="s">
        <v>98</v>
      </c>
    </row>
    <row r="2" spans="1:10" s="8" customFormat="1" ht="20" customHeight="1" x14ac:dyDescent="0.25">
      <c r="A2"/>
    </row>
    <row r="3" spans="1:10" ht="20" customHeight="1" x14ac:dyDescent="0.25">
      <c r="A3" s="12" t="str">
        <f>HYPERLINK("#'Home'!A1", "Home")</f>
        <v>Home</v>
      </c>
      <c r="C3" s="11"/>
      <c r="D3" s="11"/>
      <c r="E3" s="11"/>
      <c r="F3" s="11"/>
      <c r="G3" s="11"/>
      <c r="H3" s="11"/>
      <c r="I3" s="11"/>
      <c r="J3" s="11"/>
    </row>
    <row r="4" spans="1:10" ht="20" customHeight="1" x14ac:dyDescent="0.25">
      <c r="A4" s="12" t="str">
        <f>HYPERLINK("#'Overview'!A1", "Overview")</f>
        <v>Overview</v>
      </c>
    </row>
    <row r="5" spans="1:10" ht="20" customHeight="1" x14ac:dyDescent="0.25">
      <c r="A5" s="12" t="str">
        <f>HYPERLINK("#'Results'!A1", "Results")</f>
        <v>Results</v>
      </c>
      <c r="D5" s="5" t="s">
        <v>112</v>
      </c>
    </row>
    <row r="6" spans="1:10" ht="20" customHeight="1" x14ac:dyDescent="0.25"/>
    <row r="7" spans="1:10" ht="20" customHeight="1" x14ac:dyDescent="0.25">
      <c r="D7" s="55" t="s">
        <v>86</v>
      </c>
      <c r="E7" s="56"/>
    </row>
    <row r="8" spans="1:10" ht="20" customHeight="1" x14ac:dyDescent="0.25">
      <c r="A8" s="14" t="s">
        <v>0</v>
      </c>
    </row>
    <row r="9" spans="1:10" ht="20" customHeight="1" x14ac:dyDescent="0.25">
      <c r="A9" s="39" t="str">
        <f>HYPERLINK("#'Input - Solid waste'!A1", "Solid waste")</f>
        <v>Solid waste</v>
      </c>
      <c r="D9" s="62" t="s">
        <v>85</v>
      </c>
      <c r="E9" s="62" t="s">
        <v>103</v>
      </c>
      <c r="F9" s="62" t="s">
        <v>102</v>
      </c>
      <c r="G9" s="62" t="s">
        <v>101</v>
      </c>
      <c r="H9" s="62" t="s">
        <v>104</v>
      </c>
      <c r="I9" s="62" t="s">
        <v>100</v>
      </c>
    </row>
    <row r="10" spans="1:10" ht="20" customHeight="1" x14ac:dyDescent="0.25">
      <c r="D10" s="75" t="s">
        <v>147</v>
      </c>
      <c r="E10" s="25" t="s">
        <v>131</v>
      </c>
      <c r="F10" s="25" t="s">
        <v>115</v>
      </c>
      <c r="G10" s="25" t="s">
        <v>110</v>
      </c>
      <c r="H10" s="70">
        <v>50</v>
      </c>
      <c r="I10" s="25" t="s">
        <v>99</v>
      </c>
    </row>
    <row r="11" spans="1:10" ht="20" customHeight="1" x14ac:dyDescent="0.25">
      <c r="D11" s="75" t="s">
        <v>148</v>
      </c>
      <c r="E11" s="25" t="s">
        <v>131</v>
      </c>
      <c r="F11" s="25" t="s">
        <v>115</v>
      </c>
      <c r="G11" s="25" t="s">
        <v>113</v>
      </c>
      <c r="H11" s="70">
        <v>50</v>
      </c>
      <c r="I11" s="25" t="s">
        <v>111</v>
      </c>
    </row>
    <row r="12" spans="1:10" ht="20" customHeight="1" x14ac:dyDescent="0.25">
      <c r="A12" s="13" t="s">
        <v>44</v>
      </c>
      <c r="D12" s="75" t="s">
        <v>146</v>
      </c>
      <c r="E12" s="25" t="s">
        <v>131</v>
      </c>
      <c r="F12" s="25" t="s">
        <v>121</v>
      </c>
      <c r="G12" s="25" t="s">
        <v>110</v>
      </c>
      <c r="H12" s="70">
        <v>50</v>
      </c>
      <c r="I12" s="25" t="s">
        <v>99</v>
      </c>
    </row>
    <row r="13" spans="1:10" ht="20" customHeight="1" x14ac:dyDescent="0.25">
      <c r="A13" s="12" t="str">
        <f>HYPERLINK("#'10.1.1-2 Solid waste treatment'!A1", "10.1.1-2 Solid waste treatment")</f>
        <v>10.1.1-2 Solid waste treatment</v>
      </c>
      <c r="D13" s="75" t="s">
        <v>145</v>
      </c>
      <c r="E13" s="25" t="s">
        <v>131</v>
      </c>
      <c r="F13" s="25" t="s">
        <v>121</v>
      </c>
      <c r="G13" s="25" t="s">
        <v>113</v>
      </c>
      <c r="H13" s="70">
        <v>50</v>
      </c>
      <c r="I13" s="25" t="s">
        <v>111</v>
      </c>
    </row>
    <row r="14" spans="1:10" ht="20" customHeight="1" x14ac:dyDescent="0.25">
      <c r="D14" s="75" t="s">
        <v>134</v>
      </c>
      <c r="E14" s="25" t="s">
        <v>105</v>
      </c>
      <c r="F14" s="25" t="s">
        <v>121</v>
      </c>
      <c r="G14" s="25" t="s">
        <v>110</v>
      </c>
      <c r="H14" s="70">
        <v>50</v>
      </c>
      <c r="I14" s="25" t="s">
        <v>99</v>
      </c>
    </row>
    <row r="15" spans="1:10" ht="20" customHeight="1" x14ac:dyDescent="0.25">
      <c r="D15" s="75" t="s">
        <v>135</v>
      </c>
      <c r="E15" s="25" t="s">
        <v>105</v>
      </c>
      <c r="F15" s="25" t="s">
        <v>121</v>
      </c>
      <c r="G15" s="25" t="s">
        <v>110</v>
      </c>
      <c r="H15" s="70">
        <v>50</v>
      </c>
      <c r="I15" s="25" t="s">
        <v>111</v>
      </c>
    </row>
    <row r="16" spans="1:10" ht="20" customHeight="1" x14ac:dyDescent="0.25">
      <c r="A16" s="73" t="s">
        <v>1</v>
      </c>
      <c r="D16" s="75" t="s">
        <v>132</v>
      </c>
      <c r="E16" s="25" t="s">
        <v>105</v>
      </c>
      <c r="F16" s="25" t="s">
        <v>121</v>
      </c>
      <c r="G16" s="25" t="s">
        <v>113</v>
      </c>
      <c r="H16" s="70">
        <v>50</v>
      </c>
      <c r="I16" s="25" t="s">
        <v>99</v>
      </c>
    </row>
    <row r="17" spans="1:11" ht="20" customHeight="1" x14ac:dyDescent="0.25">
      <c r="A17" s="12" t="str">
        <f>HYPERLINK("#'Constants - Solid Waste'!A1", "Constants - Solid Waste")</f>
        <v>Constants - Solid Waste</v>
      </c>
      <c r="D17" s="75" t="s">
        <v>133</v>
      </c>
      <c r="E17" s="25" t="s">
        <v>105</v>
      </c>
      <c r="F17" s="25" t="s">
        <v>121</v>
      </c>
      <c r="G17" s="25" t="s">
        <v>113</v>
      </c>
      <c r="H17" s="70">
        <v>50</v>
      </c>
      <c r="I17" s="25" t="s">
        <v>111</v>
      </c>
    </row>
    <row r="18" spans="1:11" ht="20" customHeight="1" x14ac:dyDescent="0.25">
      <c r="A18" s="12" t="str">
        <f>HYPERLINK("#'Constants - Common'!A1", "Constants - Common")</f>
        <v>Constants - Common</v>
      </c>
      <c r="D18" s="75" t="s">
        <v>136</v>
      </c>
      <c r="E18" s="25" t="s">
        <v>105</v>
      </c>
      <c r="F18" s="25" t="s">
        <v>115</v>
      </c>
      <c r="G18" s="25" t="s">
        <v>110</v>
      </c>
      <c r="H18" s="70">
        <v>50</v>
      </c>
      <c r="I18" s="25" t="s">
        <v>99</v>
      </c>
    </row>
    <row r="19" spans="1:11" ht="20" customHeight="1" x14ac:dyDescent="0.25">
      <c r="D19" s="75" t="s">
        <v>137</v>
      </c>
      <c r="E19" s="25" t="s">
        <v>105</v>
      </c>
      <c r="F19" s="25" t="s">
        <v>115</v>
      </c>
      <c r="G19" s="25" t="s">
        <v>110</v>
      </c>
      <c r="H19" s="70">
        <v>50</v>
      </c>
      <c r="I19" s="25" t="s">
        <v>111</v>
      </c>
    </row>
    <row r="20" spans="1:11" ht="20" customHeight="1" x14ac:dyDescent="0.25">
      <c r="D20" s="75" t="s">
        <v>138</v>
      </c>
      <c r="E20" s="25" t="s">
        <v>105</v>
      </c>
      <c r="F20" s="25" t="s">
        <v>115</v>
      </c>
      <c r="G20" s="25" t="s">
        <v>113</v>
      </c>
      <c r="H20" s="70">
        <v>50</v>
      </c>
      <c r="I20" s="25" t="s">
        <v>99</v>
      </c>
    </row>
    <row r="21" spans="1:11" ht="20" customHeight="1" x14ac:dyDescent="0.25">
      <c r="D21" s="75" t="s">
        <v>139</v>
      </c>
      <c r="E21" s="25" t="s">
        <v>105</v>
      </c>
      <c r="F21" s="25" t="s">
        <v>115</v>
      </c>
      <c r="G21" s="25" t="s">
        <v>113</v>
      </c>
      <c r="H21" s="70">
        <v>50</v>
      </c>
      <c r="I21" s="25" t="s">
        <v>111</v>
      </c>
    </row>
    <row r="22" spans="1:11" ht="20" customHeight="1" x14ac:dyDescent="0.25">
      <c r="D22" s="75" t="s">
        <v>140</v>
      </c>
      <c r="E22" s="25" t="s">
        <v>105</v>
      </c>
      <c r="F22" s="25" t="s">
        <v>144</v>
      </c>
      <c r="G22" s="25" t="s">
        <v>110</v>
      </c>
      <c r="H22" s="70">
        <v>50</v>
      </c>
      <c r="I22" s="25" t="s">
        <v>99</v>
      </c>
    </row>
    <row r="23" spans="1:11" ht="20" customHeight="1" x14ac:dyDescent="0.25">
      <c r="D23" s="75" t="s">
        <v>141</v>
      </c>
      <c r="E23" s="25" t="s">
        <v>105</v>
      </c>
      <c r="F23" s="25" t="s">
        <v>144</v>
      </c>
      <c r="G23" s="25" t="s">
        <v>110</v>
      </c>
      <c r="H23" s="70">
        <v>50</v>
      </c>
      <c r="I23" s="25" t="s">
        <v>111</v>
      </c>
    </row>
    <row r="24" spans="1:11" ht="20" customHeight="1" x14ac:dyDescent="0.25">
      <c r="D24" s="75" t="s">
        <v>142</v>
      </c>
      <c r="E24" s="25" t="s">
        <v>105</v>
      </c>
      <c r="F24" s="25" t="s">
        <v>144</v>
      </c>
      <c r="G24" s="25" t="s">
        <v>113</v>
      </c>
      <c r="H24" s="70">
        <v>50</v>
      </c>
      <c r="I24" s="25" t="s">
        <v>99</v>
      </c>
    </row>
    <row r="25" spans="1:11" ht="20" customHeight="1" x14ac:dyDescent="0.25">
      <c r="D25" s="75" t="s">
        <v>143</v>
      </c>
      <c r="E25" s="25" t="s">
        <v>105</v>
      </c>
      <c r="F25" s="25" t="s">
        <v>144</v>
      </c>
      <c r="G25" s="25" t="s">
        <v>113</v>
      </c>
      <c r="H25" s="70">
        <v>50</v>
      </c>
      <c r="I25" s="25" t="s">
        <v>111</v>
      </c>
    </row>
    <row r="26" spans="1:11" ht="20" customHeight="1" x14ac:dyDescent="0.25">
      <c r="D26" s="75" t="s">
        <v>155</v>
      </c>
      <c r="E26" s="25" t="s">
        <v>114</v>
      </c>
      <c r="F26" s="25" t="s">
        <v>115</v>
      </c>
      <c r="G26" s="25" t="s">
        <v>113</v>
      </c>
      <c r="H26" s="70">
        <v>50</v>
      </c>
      <c r="I26" s="25" t="s">
        <v>99</v>
      </c>
    </row>
    <row r="27" spans="1:11" ht="20" customHeight="1" x14ac:dyDescent="0.25">
      <c r="D27" s="75" t="s">
        <v>156</v>
      </c>
      <c r="E27" s="25" t="s">
        <v>114</v>
      </c>
      <c r="F27" s="25" t="s">
        <v>115</v>
      </c>
      <c r="G27" s="25" t="s">
        <v>113</v>
      </c>
      <c r="H27" s="70">
        <v>50</v>
      </c>
      <c r="I27" s="25" t="s">
        <v>111</v>
      </c>
    </row>
    <row r="28" spans="1:11" ht="20" customHeight="1" x14ac:dyDescent="0.25">
      <c r="D28" s="75" t="s">
        <v>157</v>
      </c>
      <c r="E28" s="25" t="s">
        <v>114</v>
      </c>
      <c r="F28" s="25" t="s">
        <v>144</v>
      </c>
      <c r="G28" s="25" t="s">
        <v>113</v>
      </c>
      <c r="H28" s="70">
        <v>50</v>
      </c>
      <c r="I28" s="25" t="s">
        <v>99</v>
      </c>
    </row>
    <row r="29" spans="1:11" ht="20" customHeight="1" x14ac:dyDescent="0.25">
      <c r="D29" s="75" t="s">
        <v>158</v>
      </c>
      <c r="E29" s="25" t="s">
        <v>114</v>
      </c>
      <c r="F29" s="25" t="s">
        <v>144</v>
      </c>
      <c r="G29" s="25" t="s">
        <v>113</v>
      </c>
      <c r="H29" s="70">
        <v>50</v>
      </c>
      <c r="I29" s="25" t="s">
        <v>111</v>
      </c>
      <c r="K29" s="44"/>
    </row>
    <row r="30" spans="1:11" ht="20" customHeight="1" x14ac:dyDescent="0.25">
      <c r="D30" s="75" t="s">
        <v>159</v>
      </c>
      <c r="E30" s="25" t="s">
        <v>114</v>
      </c>
      <c r="F30" s="25" t="s">
        <v>144</v>
      </c>
      <c r="G30" s="25" t="s">
        <v>110</v>
      </c>
      <c r="H30" s="70">
        <v>50</v>
      </c>
      <c r="I30" s="25" t="s">
        <v>99</v>
      </c>
      <c r="K30" s="44"/>
    </row>
    <row r="31" spans="1:11" ht="20" customHeight="1" x14ac:dyDescent="0.25">
      <c r="D31" s="75" t="s">
        <v>160</v>
      </c>
      <c r="E31" s="25" t="s">
        <v>114</v>
      </c>
      <c r="F31" s="25" t="s">
        <v>144</v>
      </c>
      <c r="G31" s="25" t="s">
        <v>110</v>
      </c>
      <c r="H31" s="70">
        <v>50</v>
      </c>
      <c r="I31" s="25" t="s">
        <v>111</v>
      </c>
      <c r="K31" s="44"/>
    </row>
    <row r="32" spans="1:11" ht="20" customHeight="1" x14ac:dyDescent="0.25">
      <c r="D32" s="75" t="s">
        <v>158</v>
      </c>
      <c r="E32" s="25" t="s">
        <v>114</v>
      </c>
      <c r="F32" s="25" t="s">
        <v>144</v>
      </c>
      <c r="G32" s="25" t="s">
        <v>113</v>
      </c>
      <c r="H32" s="70">
        <v>50</v>
      </c>
      <c r="I32" s="25" t="s">
        <v>111</v>
      </c>
      <c r="K32" s="44"/>
    </row>
    <row r="33" spans="1:12" ht="20" customHeight="1" x14ac:dyDescent="0.25">
      <c r="K33" s="44"/>
    </row>
    <row r="34" spans="1:12" ht="20" customHeight="1" x14ac:dyDescent="0.25">
      <c r="K34" s="44"/>
    </row>
    <row r="35" spans="1:12" ht="20" customHeight="1" x14ac:dyDescent="0.25"/>
    <row r="36" spans="1:12" ht="20" customHeight="1" x14ac:dyDescent="0.25">
      <c r="L36" s="44"/>
    </row>
    <row r="37" spans="1:12" ht="20" customHeight="1" x14ac:dyDescent="0.25">
      <c r="L37" s="44"/>
    </row>
    <row r="38" spans="1:12" ht="20" customHeight="1" x14ac:dyDescent="0.25">
      <c r="C38" s="43"/>
    </row>
    <row r="39" spans="1:12" ht="20" customHeight="1" x14ac:dyDescent="0.25">
      <c r="C39" s="43"/>
      <c r="J39" s="43"/>
    </row>
    <row r="40" spans="1:12" s="44" customFormat="1" ht="20" customHeight="1" x14ac:dyDescent="0.25">
      <c r="A40"/>
      <c r="C40" s="1"/>
      <c r="D40" s="1"/>
      <c r="E40" s="1"/>
      <c r="F40" s="1"/>
      <c r="G40" s="1"/>
      <c r="H40" s="1"/>
      <c r="I40" s="1"/>
      <c r="J40" s="1"/>
    </row>
    <row r="41" spans="1:12" s="44" customFormat="1" ht="20" customHeight="1" x14ac:dyDescent="0.25">
      <c r="A41"/>
      <c r="C41" s="1"/>
      <c r="D41" s="1"/>
      <c r="E41" s="1"/>
      <c r="F41" s="1"/>
      <c r="G41" s="1"/>
      <c r="H41" s="1"/>
      <c r="I41" s="1"/>
      <c r="J41" s="1"/>
      <c r="L41" s="44" t="s">
        <v>84</v>
      </c>
    </row>
    <row r="42" spans="1:12" ht="20" customHeight="1" x14ac:dyDescent="0.25"/>
    <row r="43" spans="1:12" ht="20" customHeight="1" x14ac:dyDescent="0.25"/>
    <row r="44" spans="1:12" ht="20" customHeight="1" x14ac:dyDescent="0.25"/>
    <row r="45" spans="1:12" ht="20" customHeight="1" x14ac:dyDescent="0.25"/>
    <row r="46" spans="1:12" ht="20" customHeight="1" x14ac:dyDescent="0.25"/>
    <row r="47" spans="1:12" ht="20" customHeight="1" x14ac:dyDescent="0.25"/>
    <row r="48" spans="1:12"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spans="4:4" ht="20" customHeight="1" x14ac:dyDescent="0.25"/>
    <row r="66" spans="4:4" ht="20" customHeight="1" x14ac:dyDescent="0.25"/>
    <row r="67" spans="4:4" ht="20" customHeight="1" x14ac:dyDescent="0.25"/>
    <row r="68" spans="4:4" ht="20" customHeight="1" x14ac:dyDescent="0.25"/>
    <row r="69" spans="4:4" ht="20" customHeight="1" x14ac:dyDescent="0.25"/>
    <row r="70" spans="4:4" ht="20" customHeight="1" x14ac:dyDescent="0.25"/>
    <row r="71" spans="4:4" ht="20" customHeight="1" x14ac:dyDescent="0.25"/>
    <row r="72" spans="4:4" ht="20" customHeight="1" x14ac:dyDescent="0.25"/>
    <row r="73" spans="4:4" ht="20" customHeight="1" x14ac:dyDescent="0.25">
      <c r="D73" s="61"/>
    </row>
    <row r="74" spans="4:4" ht="20" customHeight="1" x14ac:dyDescent="0.25"/>
    <row r="75" spans="4:4" ht="20" customHeight="1" x14ac:dyDescent="0.25">
      <c r="D75" s="61"/>
    </row>
    <row r="76" spans="4:4" ht="20" customHeight="1" x14ac:dyDescent="0.25">
      <c r="D76" s="61"/>
    </row>
    <row r="77" spans="4:4" ht="20" customHeight="1" x14ac:dyDescent="0.25"/>
    <row r="78" spans="4:4" ht="20" customHeight="1" x14ac:dyDescent="0.25"/>
    <row r="79" spans="4:4" ht="20" customHeight="1" x14ac:dyDescent="0.25"/>
    <row r="80" spans="4:4"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385" spans="4:4" x14ac:dyDescent="0.25" ht="20" customHeight="1">
      <c r="D385" s="35"/>
    </row>
  </sheetData>
  <conditionalFormatting sqref="F162:F163">
    <cfRule type="cellIs" dxfId="16" priority="20" operator="lessThan">
      <formula>0</formula>
    </cfRule>
  </conditionalFormatting>
  <conditionalFormatting sqref="F174:F175">
    <cfRule type="cellIs" dxfId="15" priority="19" operator="lessThan">
      <formula>0</formula>
    </cfRule>
  </conditionalFormatting>
  <conditionalFormatting sqref="F186:F187">
    <cfRule type="cellIs" dxfId="14" priority="18" operator="lessThan">
      <formula>0</formula>
    </cfRule>
  </conditionalFormatting>
  <conditionalFormatting sqref="F274:F275">
    <cfRule type="cellIs" dxfId="13" priority="93" operator="lessThan">
      <formula>0</formula>
    </cfRule>
  </conditionalFormatting>
  <conditionalFormatting sqref="F279:F280">
    <cfRule type="cellIs" dxfId="12" priority="92" operator="lessThan">
      <formula>0</formula>
    </cfRule>
  </conditionalFormatting>
  <conditionalFormatting sqref="F284:F285">
    <cfRule type="cellIs" dxfId="11" priority="91" operator="lessThan">
      <formula>0</formula>
    </cfRule>
  </conditionalFormatting>
  <conditionalFormatting sqref="F308:F309">
    <cfRule type="cellIs" dxfId="10" priority="85" operator="lessThan">
      <formula>0</formula>
    </cfRule>
  </conditionalFormatting>
  <conditionalFormatting sqref="F313:F314">
    <cfRule type="cellIs" dxfId="9" priority="84" operator="lessThan">
      <formula>0</formula>
    </cfRule>
  </conditionalFormatting>
  <conditionalFormatting sqref="F318:F319">
    <cfRule type="cellIs" dxfId="8" priority="83" operator="lessThan">
      <formula>0</formula>
    </cfRule>
  </conditionalFormatting>
  <conditionalFormatting sqref="I33 F71">
    <cfRule type="cellIs" dxfId="7" priority="62" operator="lessThan">
      <formula>0</formula>
    </cfRule>
  </conditionalFormatting>
  <conditionalFormatting sqref="I79:I83">
    <cfRule type="cellIs" dxfId="6" priority="5" operator="lessThan">
      <formula>0</formula>
    </cfRule>
  </conditionalFormatting>
  <conditionalFormatting sqref="I87 I146">
    <cfRule type="cellIs" dxfId="5" priority="74" operator="lessThan">
      <formula>0</formula>
    </cfRule>
  </conditionalFormatting>
  <conditionalFormatting sqref="I98:I100">
    <cfRule type="cellIs" dxfId="4" priority="4" operator="lessThan">
      <formula>0</formula>
    </cfRule>
  </conditionalFormatting>
  <conditionalFormatting sqref="I104:I107">
    <cfRule type="cellIs" dxfId="3" priority="3"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79" operator="lessThan">
      <formula>0</formula>
    </cfRule>
  </conditionalFormatting>
  <conditionalFormatting sqref="J37 I59 F150:F151">
    <cfRule type="cellIs" dxfId="0" priority="21" operator="lessThan">
      <formula>0</formula>
    </cfRule>
  </conditionalFormatting>
  <dataValidations count="9">
    <dataValidation type="list" allowBlank="1" showInputMessage="1" showErrorMessage="1" sqref="D301" xr:uid="{4E913AB3-F90B-4C35-BCE1-5DBB8FC05107}">
      <formula1>INDIRECT("Table_SourceData_PoultryMMSStage1[MMS]")</formula1>
    </dataValidation>
    <dataValidation type="list" allowBlank="1" showInputMessage="1" showErrorMessage="1" sqref="E249" xr:uid="{9FB53635-991F-44AA-A123-E8ABEF9EE0A6}">
      <formula1>INDIRECT("Table_SourceData_Dairy_ProductionSystemTemplates[Area]")</formula1>
    </dataValidation>
    <dataValidation type="list" allowBlank="1" showInputMessage="1" showErrorMessage="1" sqref="E273 E278 E283 E317 E312 E307 E185 E173 E149 E161" xr:uid="{00A4EA4C-90D3-4150-979D-4D71C7F37A31}">
      <formula1>"Yes, No"</formula1>
    </dataValidation>
    <dataValidation type="list" allowBlank="1" showInputMessage="1" showErrorMessage="1" sqref="E89" xr:uid="{DBA884B0-B52E-420E-8FD2-21B082EB75E2}">
      <formula1>INDIRECT("Table_SourceData_Swine_IrrigationMethods[Irrigation method]")</formula1>
    </dataValidation>
    <dataValidation type="list" allowBlank="1" showInputMessage="1" showErrorMessage="1" sqref="E35" xr:uid="{48A1E533-1334-4AAC-A5F5-B295A34573CB}">
      <formula1>INDIRECT("Table_SourceData_ElectricityEFs[State, Territory or grid description]")</formula1>
    </dataValidation>
    <dataValidation type="list" allowBlank="1" showInputMessage="1" showErrorMessage="1" sqref="E10:E32" xr:uid="{BE2CA0F8-93F9-493C-B304-DCA372760E4E}">
      <formula1>INDIRECT(_xlfn.UNIQUE("Table_SourceData_WasteSolid_WasteTreatmentEFs[Treatment type t]"))</formula1>
    </dataValidation>
    <dataValidation type="list" allowBlank="1" showInputMessage="1" showErrorMessage="1" sqref="G10:G32" xr:uid="{EB782CB2-069D-4346-96A4-9C640517727F}">
      <formula1>"Treated on-site, Removed and treated off-site"</formula1>
    </dataValidation>
    <dataValidation type="list" allowBlank="1" showInputMessage="1" showErrorMessage="1" sqref="I10:I32" xr:uid="{5637D9FB-43C0-46B6-8C23-E9E5D77EE5AE}">
      <formula1>"tonnes, cubic metres m3"</formula1>
    </dataValidation>
    <dataValidation type="list" allowBlank="1" showInputMessage="1" showErrorMessage="1" sqref="F10:F32" xr:uid="{502FA925-EB70-4F2C-8CD1-14FB9D0D2E6F}">
      <formula1>INDIRECT("Table_WasteTypes_" &amp; SUBSTITUTE(E10, " ", "") &amp; "[Waste type w]")</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L342"/>
  <sheetViews>
    <sheetView showGridLines="0" topLeftCell="A174" zoomScaleNormal="100" workbookViewId="0">
      <selection activeCell="I185" sqref="I185"/>
    </sheetView>
  </sheetViews>
  <sheetFormatPr defaultRowHeight="20" x14ac:dyDescent="0.25" customHeight="1"/>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0" t="e" vm="1">
        <v>#VALUE!</v>
      </c>
      <c r="C1" s="7" t="s">
        <v>92</v>
      </c>
    </row>
    <row r="2" spans="1:12" s="8" customFormat="1" ht="20" customHeight="1" x14ac:dyDescent="0.25">
      <c r="A2"/>
    </row>
    <row r="3" spans="1:12" ht="20" customHeight="1" x14ac:dyDescent="0.25">
      <c r="A3" s="12" t="str">
        <f>HYPERLINK("#'Home'!A1", "Home")</f>
        <v>Home</v>
      </c>
      <c r="C3" s="3"/>
      <c r="D3" s="3" t="s">
        <v>48</v>
      </c>
      <c r="E3" s="3"/>
      <c r="F3" s="3"/>
      <c r="G3" s="3"/>
      <c r="H3" s="3"/>
      <c r="I3" s="3"/>
      <c r="J3" s="3"/>
      <c r="K3" s="3"/>
      <c r="L3" s="3"/>
    </row>
    <row r="4" spans="1:12" ht="20" customHeight="1" x14ac:dyDescent="0.25">
      <c r="A4" s="12" t="str">
        <f>HYPERLINK("#'Overview'!A1", "Overview")</f>
        <v>Overview</v>
      </c>
    </row>
    <row r="5" spans="1:12" ht="20" customHeight="1" x14ac:dyDescent="0.25">
      <c r="A5" s="12" t="str">
        <f>HYPERLINK("#'Results'!A1", "Results")</f>
        <v>Results</v>
      </c>
      <c r="D5" s="5" t="str" cm="1">
        <f t="array" ref="D5">WasteSolid_Equations.VEERG_10_1_1_1__2_MassOfWasteFromVolume_Title()</f>
        <v>Mass of waste from waste volume</v>
      </c>
    </row>
    <row r="6" spans="1:12" ht="20" customHeight="1" x14ac:dyDescent="0.25">
      <c r="D6" s="4" t="str" cm="1">
        <f t="array" ref="D6">WasteSolid_Equations.VEERG_10_1_1_1__2_MassOfWasteFromVolume_Source()</f>
        <v>VEERG 2026: 10.1.1.1, Equation (2)</v>
      </c>
    </row>
    <row r="7" spans="1:12" ht="20" customHeight="1" x14ac:dyDescent="0.25">
      <c r="D7" s="10" t="s">
        <v>9</v>
      </c>
      <c r="E7" s="10" t="str" cm="1">
        <f t="array" aca="1" ref="E7" ca="1">Common_InputFunctions.Utility_DisplayFunctionName(I21)</f>
        <v>=WasteSolid_Equations.VEERG_10_1_1_1__2_MassOfWasteFromVolume</v>
      </c>
    </row>
    <row r="8" spans="1:12" ht="20" customHeight="1" x14ac:dyDescent="0.25">
      <c r="A8" s="14" t="s">
        <v>0</v>
      </c>
    </row>
    <row r="9" spans="1:12" ht="20" customHeight="1" x14ac:dyDescent="0.25">
      <c r="A9" s="12" t="str">
        <f>HYPERLINK("#'Input - Solid waste'!A1", "Solid waste")</f>
        <v>Solid waste</v>
      </c>
    </row>
    <row r="10" spans="1:12" ht="20" customHeight="1" x14ac:dyDescent="0.25">
      <c r="D10" s="27" t="s">
        <v>12</v>
      </c>
      <c r="E10" s="1" t="str" cm="1">
        <f t="array" ref="E10">WasteSolid_Equations.VEERG_10_1_1_1__2_MassOfWasteFromVolume_Variable()</f>
        <v>Q_wt</v>
      </c>
    </row>
    <row r="11" spans="1:12" ht="20" customHeight="1" x14ac:dyDescent="0.25">
      <c r="D11" s="27" t="s">
        <v>4</v>
      </c>
      <c r="E11" s="28" t="str" cm="1">
        <f t="array" ref="E11">WasteSolid_Equations.VEERG_10_1_1_1__2_MassOfWasteFromVolume_Unit()</f>
        <v>t</v>
      </c>
    </row>
    <row r="12" spans="1:12" ht="20" customHeight="1" x14ac:dyDescent="0.25">
      <c r="A12" s="13" t="s">
        <v>44</v>
      </c>
    </row>
    <row r="13" spans="1:12" ht="20" customHeight="1" x14ac:dyDescent="0.25">
      <c r="A13" s="63" t="str">
        <f>HYPERLINK("#'10.1.1-2 Solid waste treatment'!A1", "10.1.1-2 Solid waste treatment")</f>
        <v>10.1.1-2 Solid waste treatment</v>
      </c>
      <c r="D13" s="45" t="str" cm="1">
        <f t="array" ref="D13:E16">_xlfn.CHOOSECOLS(WasteSolid_Equations.VEERG_10_1_1_1__2_MassOfWasteFromVolume_Arguments(),1,2)</f>
        <v>V_wt</v>
      </c>
      <c r="E13" s="47" t="str">
        <v>volume of solid waste type w being sent to treatment facility t</v>
      </c>
      <c r="F13" s="46"/>
      <c r="G13" s="45" t="str" cm="1">
        <f t="array" ref="G13:H16">_xlfn.CHOOSECOLS(WasteSolid_Equations.VEERG_10_1_1_1__2_MassOfWasteFromVolume_Arguments(),3,4)</f>
        <v>m3</v>
      </c>
      <c r="H13" s="42" t="str">
        <v>Input</v>
      </c>
      <c r="I13" s="71" t="str" cm="1">
        <f t="array" aca="1" ref="I13" ca="1">HYPERLINK(Common_InputFunctions.Utility_SourceHyperlink($D$18),$D$18)</f>
        <v>Table_V_w_t_onsite</v>
      </c>
      <c r="J13" s="71" t="str" cm="1">
        <f t="array" aca="1" ref="J13" ca="1">HYPERLINK(Common_InputFunctions.Utility_SourceHyperlink($D$56),$D$56)</f>
        <v>Table_V_w_t_offsite</v>
      </c>
    </row>
    <row r="14" spans="1:12" ht="20" customHeight="1" x14ac:dyDescent="0.25">
      <c r="D14" s="45" t="str">
        <v>VTM_w</v>
      </c>
      <c r="E14" s="47" t="str">
        <v>conversion factor of volume to mass for waste type w</v>
      </c>
      <c r="F14" s="46"/>
      <c r="G14" s="45" t="str">
        <v>t/m3</v>
      </c>
      <c r="H14" s="41" t="str">
        <v>Constant</v>
      </c>
      <c r="I14" s="71" t="str" cm="1">
        <f t="array" aca="1" ref="I14" ca="1">HYPERLINK(Common_InputFunctions.Utility_SourceHyperlink($D$18),$D$18)</f>
        <v>Table_V_w_t_onsite</v>
      </c>
      <c r="J14" s="71" t="str" cm="1">
        <f t="array" aca="1" ref="J14" ca="1">HYPERLINK(Common_InputFunctions.Utility_SourceHyperlink($D$56),$D$56)</f>
        <v>Table_V_w_t_offsite</v>
      </c>
    </row>
    <row r="15" spans="1:12" ht="20" customHeight="1" x14ac:dyDescent="0.25">
      <c r="D15" s="45" t="str">
        <v>w</v>
      </c>
      <c r="E15" s="47" t="str">
        <v>waste type</v>
      </c>
      <c r="F15" s="46"/>
      <c r="G15" s="45" t="str">
        <v/>
      </c>
      <c r="H15" s="42" t="str">
        <v>Input</v>
      </c>
      <c r="I15" s="71" t="str" cm="1">
        <f t="array" aca="1" ref="I15" ca="1">HYPERLINK(Common_InputFunctions.Utility_SourceHyperlink($D$18),$D$18)</f>
        <v>Table_V_w_t_onsite</v>
      </c>
      <c r="J15" s="71" t="str" cm="1">
        <f t="array" aca="1" ref="J15" ca="1">HYPERLINK(Common_InputFunctions.Utility_SourceHyperlink($D$56),$D$56)</f>
        <v>Table_V_w_t_offsite</v>
      </c>
    </row>
    <row r="16" spans="1:12" ht="20" customHeight="1" x14ac:dyDescent="0.25">
      <c r="A16" s="73" t="s">
        <v>1</v>
      </c>
      <c r="D16" s="45" t="str">
        <v>t</v>
      </c>
      <c r="E16" s="47" t="str">
        <v>treatment facility</v>
      </c>
      <c r="F16" s="46"/>
      <c r="G16" s="45" t="str">
        <v/>
      </c>
      <c r="H16" s="42" t="str">
        <v>Input</v>
      </c>
      <c r="I16" s="71" t="str" cm="1">
        <f t="array" aca="1" ref="I16" ca="1">HYPERLINK(Common_InputFunctions.Utility_SourceHyperlink($D$18),$D$18)</f>
        <v>Table_V_w_t_onsite</v>
      </c>
      <c r="J16" s="71" t="str" cm="1">
        <f t="array" aca="1" ref="J16" ca="1">HYPERLINK(Common_InputFunctions.Utility_SourceHyperlink($D$56),$D$56)</f>
        <v>Table_V_w_t_offsite</v>
      </c>
    </row>
    <row r="17" spans="1:9" ht="20" customHeight="1" x14ac:dyDescent="0.25">
      <c r="A17" s="12" t="str">
        <f>HYPERLINK("#'Constants - Solid Waste'!A1", "Constants - Solid Waste")</f>
        <v>Constants - Solid Waste</v>
      </c>
    </row>
    <row r="18" spans="1:9" ht="20" customHeight="1" x14ac:dyDescent="0.25">
      <c r="A18" s="12" t="str">
        <f>HYPERLINK("#'Constants - Common'!A1", "Constants - Common")</f>
        <v>Constants - Common</v>
      </c>
      <c r="D18" s="65" t="s">
        <v>116</v>
      </c>
    </row>
    <row r="19" spans="1:9" ht="20" customHeight="1" x14ac:dyDescent="0.25">
      <c r="D19" s="66" t="s">
        <v>119</v>
      </c>
    </row>
    <row r="20" spans="1:9" ht="20" customHeight="1" x14ac:dyDescent="0.25">
      <c r="D20" s="62" t="s">
        <v>93</v>
      </c>
      <c r="E20" s="62" t="s">
        <v>94</v>
      </c>
      <c r="F20" s="62"/>
      <c r="G20" s="62" t="s">
        <v>95</v>
      </c>
      <c r="H20" s="67" t="s">
        <v>97</v>
      </c>
      <c r="I20" s="67" t="s">
        <v>96</v>
      </c>
    </row>
    <row r="21" spans="1:9" ht="20" customHeight="1" x14ac:dyDescent="0.25">
      <c r="D21" s="45" t="str" cm="1">
        <f t="array" ref="D21:D54">Table_SourceData_WasteSolid_WasteTreatmentEFs[Treatment type t]</f>
        <v>Landfill</v>
      </c>
      <c r="E21" s="47" t="str" cm="1">
        <f t="array" ref="E21:E54">Table_SourceData_WasteSolid_WasteTreatmentEFs[Waste type w]</f>
        <v>Food waste (including animal carcasses, spoiled animal feed or crop)</v>
      </c>
      <c r="F21" s="68"/>
      <c r="G21" s="26"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26" cm="1">
        <f t="array" ref="H21">Common_InputFunctions.Utility_LookupValueInTableNumber(E21,Table_SourceData_WasteSolid_VolumeToMassConversion[Waste type w],Table_SourceData_WasteSolid_VolumeToMassConversion[VTMw])</f>
        <v>0.5</v>
      </c>
      <c r="I21" s="26" cm="1">
        <f t="array" ref="I21">WasteSolid_Equations.VEERG_10_1_1_1__2_MassOfWasteFromVolume(G21,H21)</f>
        <v>25</v>
      </c>
    </row>
    <row r="22" spans="1:9" ht="20" customHeight="1" x14ac:dyDescent="0.25">
      <c r="D22" s="45" t="str">
        <v>Landfill</v>
      </c>
      <c r="E22" s="47" t="str">
        <v>Paper and cardboard</v>
      </c>
      <c r="F22" s="68"/>
      <c r="G22" s="26"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26" cm="1">
        <f t="array" ref="H22">Common_InputFunctions.Utility_LookupValueInTableNumber(E22,Table_SourceData_WasteSolid_VolumeToMassConversion[Waste type w],Table_SourceData_WasteSolid_VolumeToMassConversion[VTMw])</f>
        <v>0.09</v>
      </c>
      <c r="I22" s="26" cm="1">
        <f t="array" ref="I22">WasteSolid_Equations.VEERG_10_1_1_1__2_MassOfWasteFromVolume(G22,H22)</f>
        <v>4.5</v>
      </c>
    </row>
    <row r="23" spans="1:9" ht="20" customHeight="1" x14ac:dyDescent="0.25">
      <c r="D23" s="45" t="str">
        <v>Landfill</v>
      </c>
      <c r="E23" s="47" t="str">
        <v>Green waste (including crop residues or prunings)</v>
      </c>
      <c r="F23" s="68"/>
      <c r="G23" s="26"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26" cm="1">
        <f t="array" ref="H23">Common_InputFunctions.Utility_LookupValueInTableNumber(E23,Table_SourceData_WasteSolid_VolumeToMassConversion[Waste type w],Table_SourceData_WasteSolid_VolumeToMassConversion[VTMw])</f>
        <v>0.24</v>
      </c>
      <c r="I23" s="26" cm="1">
        <f t="array" ref="I23">WasteSolid_Equations.VEERG_10_1_1_1__2_MassOfWasteFromVolume(G23,H23)</f>
        <v>12</v>
      </c>
    </row>
    <row r="24" spans="1:9" ht="20" customHeight="1" x14ac:dyDescent="0.25">
      <c r="D24" s="45" t="str">
        <v>Landfill</v>
      </c>
      <c r="E24" s="47" t="str">
        <v>Wood</v>
      </c>
      <c r="F24" s="68"/>
      <c r="G24" s="26"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26" cm="1">
        <f t="array" ref="H24">Common_InputFunctions.Utility_LookupValueInTableNumber(E24,Table_SourceData_WasteSolid_VolumeToMassConversion[Waste type w],Table_SourceData_WasteSolid_VolumeToMassConversion[VTMw])</f>
        <v>0.15</v>
      </c>
      <c r="I24" s="26" cm="1">
        <f t="array" ref="I24">WasteSolid_Equations.VEERG_10_1_1_1__2_MassOfWasteFromVolume(G24,H24)</f>
        <v>0</v>
      </c>
    </row>
    <row r="25" spans="1:9" ht="20" customHeight="1" x14ac:dyDescent="0.25">
      <c r="D25" s="45" t="str">
        <v>Landfill</v>
      </c>
      <c r="E25" s="47" t="str">
        <v>Textiles</v>
      </c>
      <c r="F25" s="68"/>
      <c r="G25" s="26"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26" cm="1">
        <f t="array" ref="H25">Common_InputFunctions.Utility_LookupValueInTableNumber(E25,Table_SourceData_WasteSolid_VolumeToMassConversion[Waste type w],Table_SourceData_WasteSolid_VolumeToMassConversion[VTMw])</f>
        <v>0.14000000000000001</v>
      </c>
      <c r="I25" s="26" cm="1">
        <f t="array" ref="I25">WasteSolid_Equations.VEERG_10_1_1_1__2_MassOfWasteFromVolume(G25,H25)</f>
        <v>0</v>
      </c>
    </row>
    <row r="26" spans="1:9" ht="20" customHeight="1" x14ac:dyDescent="0.25">
      <c r="D26" s="45" t="str">
        <v>Landfill</v>
      </c>
      <c r="E26" s="47" t="str">
        <v>Sludge</v>
      </c>
      <c r="F26" s="68"/>
      <c r="G26" s="26"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26" cm="1">
        <f t="array" ref="H26">Common_InputFunctions.Utility_LookupValueInTableNumber(E26,Table_SourceData_WasteSolid_VolumeToMassConversion[Waste type w],Table_SourceData_WasteSolid_VolumeToMassConversion[VTMw])</f>
        <v>0.72</v>
      </c>
      <c r="I26" s="26" cm="1">
        <f t="array" ref="I26">WasteSolid_Equations.VEERG_10_1_1_1__2_MassOfWasteFromVolume(G26,H26)</f>
        <v>0</v>
      </c>
    </row>
    <row r="27" spans="1:9" ht="20" customHeight="1" x14ac:dyDescent="0.25">
      <c r="D27" s="45" t="str">
        <v>Landfill</v>
      </c>
      <c r="E27" s="47" t="str">
        <v>Rubber and leather</v>
      </c>
      <c r="F27" s="68"/>
      <c r="G27" s="26"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26" cm="1">
        <f t="array" ref="H27">Common_InputFunctions.Utility_LookupValueInTableNumber(E27,Table_SourceData_WasteSolid_VolumeToMassConversion[Waste type w],Table_SourceData_WasteSolid_VolumeToMassConversion[VTMw])</f>
        <v>0.14000000000000001</v>
      </c>
      <c r="I27" s="26" cm="1">
        <f t="array" ref="I27">WasteSolid_Equations.VEERG_10_1_1_1__2_MassOfWasteFromVolume(G27,H27)</f>
        <v>0</v>
      </c>
    </row>
    <row r="28" spans="1:9" ht="20" customHeight="1" x14ac:dyDescent="0.25">
      <c r="D28" s="45" t="str">
        <v>Landfill</v>
      </c>
      <c r="E28" s="47" t="str">
        <v>Inert waste (including concrete, metal, plastic or glass)</v>
      </c>
      <c r="F28" s="68"/>
      <c r="G28" s="26"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26" cm="1">
        <f t="array" ref="H28">Common_InputFunctions.Utility_LookupValueInTableNumber(E28,Table_SourceData_WasteSolid_VolumeToMassConversion[Waste type w],Table_SourceData_WasteSolid_VolumeToMassConversion[VTMw])</f>
        <v>0.42</v>
      </c>
      <c r="I28" s="26" cm="1">
        <f t="array" ref="I28">WasteSolid_Equations.VEERG_10_1_1_1__2_MassOfWasteFromVolume(G28,H28)</f>
        <v>0</v>
      </c>
    </row>
    <row r="29" spans="1:9" ht="20" customHeight="1" x14ac:dyDescent="0.25">
      <c r="D29" s="45" t="str">
        <v>Landfill</v>
      </c>
      <c r="E29" s="47" t="str">
        <v>Municipal solid waste</v>
      </c>
      <c r="F29" s="68"/>
      <c r="G29" s="26"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26" cm="1">
        <f t="array" ref="H29">Common_InputFunctions.Utility_LookupValueInTableNumber(E29,Table_SourceData_WasteSolid_VolumeToMassConversion[Waste type w],Table_SourceData_WasteSolid_VolumeToMassConversion[VTMw])</f>
        <v>0.36</v>
      </c>
      <c r="I29" s="26" cm="1">
        <f t="array" ref="I29">WasteSolid_Equations.VEERG_10_1_1_1__2_MassOfWasteFromVolume(G29,H29)</f>
        <v>0</v>
      </c>
    </row>
    <row r="30" spans="1:9" ht="20" customHeight="1" x14ac:dyDescent="0.25">
      <c r="D30" s="45" t="str">
        <v>Landfill</v>
      </c>
      <c r="E30" s="47" t="str">
        <v>Commercial and industrial waste</v>
      </c>
      <c r="F30" s="68"/>
      <c r="G30" s="26"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26" cm="1">
        <f t="array" ref="H30">Common_InputFunctions.Utility_LookupValueInTableNumber(E30,Table_SourceData_WasteSolid_VolumeToMassConversion[Waste type w],Table_SourceData_WasteSolid_VolumeToMassConversion[VTMw])</f>
        <v>0.33</v>
      </c>
      <c r="I30" s="26" cm="1">
        <f t="array" ref="I30">WasteSolid_Equations.VEERG_10_1_1_1__2_MassOfWasteFromVolume(G30,H30)</f>
        <v>0</v>
      </c>
    </row>
    <row r="31" spans="1:9" ht="20" customHeight="1" x14ac:dyDescent="0.25">
      <c r="D31" s="45" t="str">
        <v>Landfill</v>
      </c>
      <c r="E31" s="47" t="str">
        <v>Construction and demolition waste</v>
      </c>
      <c r="F31" s="68"/>
      <c r="G31" s="26"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26" cm="1">
        <f t="array" ref="H31">Common_InputFunctions.Utility_LookupValueInTableNumber(E31,Table_SourceData_WasteSolid_VolumeToMassConversion[Waste type w],Table_SourceData_WasteSolid_VolumeToMassConversion[VTMw])</f>
        <v>0.39</v>
      </c>
      <c r="I31" s="26" cm="1">
        <f t="array" ref="I31">WasteSolid_Equations.VEERG_10_1_1_1__2_MassOfWasteFromVolume(G31,H31)</f>
        <v>0</v>
      </c>
    </row>
    <row r="32" spans="1:9" ht="20" customHeight="1" x14ac:dyDescent="0.25">
      <c r="D32" s="45" t="str">
        <v>Incineration</v>
      </c>
      <c r="E32" s="47" t="str">
        <v>Food waste, green waste, wood, sludge</v>
      </c>
      <c r="F32" s="68"/>
      <c r="G32" s="26" t="s">
        <v>149</v>
      </c>
      <c r="H32" s="26" t="s">
        <v>149</v>
      </c>
      <c r="I32" s="26" t="s">
        <v>149</v>
      </c>
    </row>
    <row r="33" spans="4:9" ht="20" customHeight="1" x14ac:dyDescent="0.25">
      <c r="D33" s="45" t="str">
        <v>Incineration</v>
      </c>
      <c r="E33" s="47" t="str">
        <v>Food waste (including animal carcasses, spoiled animal feed or crop)</v>
      </c>
      <c r="F33" s="68"/>
      <c r="G33" s="26"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26" cm="1">
        <f t="array" ref="H33">Common_InputFunctions.Utility_LookupValueInTableNumber(E33,Table_SourceData_WasteSolid_VolumeToMassConversion[Waste type w],Table_SourceData_WasteSolid_VolumeToMassConversion[VTMw])</f>
        <v>0.5</v>
      </c>
      <c r="I33" s="26" cm="1">
        <f t="array" ref="I33">WasteSolid_Equations.VEERG_10_1_1_1__2_MassOfWasteFromVolume(G33,H33)</f>
        <v>0</v>
      </c>
    </row>
    <row r="34" spans="4:9" ht="20" customHeight="1" x14ac:dyDescent="0.25">
      <c r="D34" s="45" t="str">
        <v>Incineration</v>
      </c>
      <c r="E34" s="47" t="str">
        <v>Green waste (including crop residues or prunings)</v>
      </c>
      <c r="F34" s="68"/>
      <c r="G34" s="26"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26" cm="1">
        <f t="array" ref="H34">Common_InputFunctions.Utility_LookupValueInTableNumber(E34,Table_SourceData_WasteSolid_VolumeToMassConversion[Waste type w],Table_SourceData_WasteSolid_VolumeToMassConversion[VTMw])</f>
        <v>0.24</v>
      </c>
      <c r="I34" s="26" cm="1">
        <f t="array" ref="I34">WasteSolid_Equations.VEERG_10_1_1_1__2_MassOfWasteFromVolume(G34,H34)</f>
        <v>24</v>
      </c>
    </row>
    <row r="35" spans="4:9" ht="20" customHeight="1" x14ac:dyDescent="0.25">
      <c r="D35" s="45" t="str">
        <v>Incineration</v>
      </c>
      <c r="E35" s="47" t="str">
        <v>Wood</v>
      </c>
      <c r="F35" s="68"/>
      <c r="G35" s="26"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26" cm="1">
        <f t="array" ref="H35">Common_InputFunctions.Utility_LookupValueInTableNumber(E35,Table_SourceData_WasteSolid_VolumeToMassConversion[Waste type w],Table_SourceData_WasteSolid_VolumeToMassConversion[VTMw])</f>
        <v>0.15</v>
      </c>
      <c r="I35" s="26" cm="1">
        <f t="array" ref="I35">WasteSolid_Equations.VEERG_10_1_1_1__2_MassOfWasteFromVolume(G35,H35)</f>
        <v>0</v>
      </c>
    </row>
    <row r="36" spans="4:9" ht="20" customHeight="1" x14ac:dyDescent="0.25">
      <c r="D36" s="45" t="str">
        <v>Incineration</v>
      </c>
      <c r="E36" s="47" t="str">
        <v>Sludge</v>
      </c>
      <c r="F36" s="68"/>
      <c r="G36" s="26"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26" cm="1">
        <f t="array" ref="H36">Common_InputFunctions.Utility_LookupValueInTableNumber(E36,Table_SourceData_WasteSolid_VolumeToMassConversion[Waste type w],Table_SourceData_WasteSolid_VolumeToMassConversion[VTMw])</f>
        <v>0.72</v>
      </c>
      <c r="I36" s="26" cm="1">
        <f t="array" ref="I36">WasteSolid_Equations.VEERG_10_1_1_1__2_MassOfWasteFromVolume(G36,H36)</f>
        <v>0</v>
      </c>
    </row>
    <row r="37" spans="4:9" ht="20" customHeight="1" x14ac:dyDescent="0.25">
      <c r="D37" s="45" t="str">
        <v>Incineration</v>
      </c>
      <c r="E37" s="47" t="str">
        <v>Paper and cardboard</v>
      </c>
      <c r="F37" s="68"/>
      <c r="G37" s="26"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26" cm="1">
        <f t="array" ref="H37">Common_InputFunctions.Utility_LookupValueInTableNumber(E37,Table_SourceData_WasteSolid_VolumeToMassConversion[Waste type w],Table_SourceData_WasteSolid_VolumeToMassConversion[VTMw])</f>
        <v>0.09</v>
      </c>
      <c r="I37" s="26" cm="1">
        <f t="array" ref="I37">WasteSolid_Equations.VEERG_10_1_1_1__2_MassOfWasteFromVolume(G37,H37)</f>
        <v>4.5</v>
      </c>
    </row>
    <row r="38" spans="4:9" ht="20" customHeight="1" x14ac:dyDescent="0.25">
      <c r="D38" s="45" t="str">
        <v>Incineration</v>
      </c>
      <c r="E38" s="47" t="str">
        <v>Textiles</v>
      </c>
      <c r="F38" s="68"/>
      <c r="G38" s="26"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26" cm="1">
        <f t="array" ref="H38">Common_InputFunctions.Utility_LookupValueInTableNumber(E38,Table_SourceData_WasteSolid_VolumeToMassConversion[Waste type w],Table_SourceData_WasteSolid_VolumeToMassConversion[VTMw])</f>
        <v>0.14000000000000001</v>
      </c>
      <c r="I38" s="26" cm="1">
        <f t="array" ref="I38">WasteSolid_Equations.VEERG_10_1_1_1__2_MassOfWasteFromVolume(G38,H38)</f>
        <v>0</v>
      </c>
    </row>
    <row r="39" spans="4:9" ht="20" customHeight="1" x14ac:dyDescent="0.25">
      <c r="D39" s="45" t="str">
        <v>Incineration</v>
      </c>
      <c r="E39" s="47" t="str">
        <v>Rubber and leather</v>
      </c>
      <c r="F39" s="68"/>
      <c r="G39" s="26"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26" cm="1">
        <f t="array" ref="H39">Common_InputFunctions.Utility_LookupValueInTableNumber(E39,Table_SourceData_WasteSolid_VolumeToMassConversion[Waste type w],Table_SourceData_WasteSolid_VolumeToMassConversion[VTMw])</f>
        <v>0.14000000000000001</v>
      </c>
      <c r="I39" s="26" cm="1">
        <f t="array" ref="I39">WasteSolid_Equations.VEERG_10_1_1_1__2_MassOfWasteFromVolume(G39,H39)</f>
        <v>0</v>
      </c>
    </row>
    <row r="40" spans="4:9" ht="20" customHeight="1" x14ac:dyDescent="0.25">
      <c r="D40" s="45" t="str">
        <v>Incineration</v>
      </c>
      <c r="E40" s="45" t="str">
        <v>Inert waste (including concrete, metal, plastic or glass)</v>
      </c>
      <c r="F40" s="45"/>
      <c r="G40" s="26"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26" cm="1">
        <f t="array" ref="H40">Common_InputFunctions.Utility_LookupValueInTableNumber(E40,Table_SourceData_WasteSolid_VolumeToMassConversion[Waste type w],Table_SourceData_WasteSolid_VolumeToMassConversion[VTMw])</f>
        <v>0.42</v>
      </c>
      <c r="I40" s="26" cm="1">
        <f t="array" ref="I40">WasteSolid_Equations.VEERG_10_1_1_1__2_MassOfWasteFromVolume(G40,H40)</f>
        <v>0</v>
      </c>
    </row>
    <row r="41" spans="4:9" ht="20" customHeight="1" x14ac:dyDescent="0.25">
      <c r="D41" s="45" t="str">
        <v>Incineration</v>
      </c>
      <c r="E41" s="47" t="str">
        <v>Municipal solid waste</v>
      </c>
      <c r="F41" s="46"/>
      <c r="G41" s="26"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26" cm="1">
        <f t="array" ref="H41">Common_InputFunctions.Utility_LookupValueInTableNumber(E41,Table_SourceData_WasteSolid_VolumeToMassConversion[Waste type w],Table_SourceData_WasteSolid_VolumeToMassConversion[VTMw])</f>
        <v>0.36</v>
      </c>
      <c r="I41" s="26" cm="1">
        <f t="array" ref="I41">WasteSolid_Equations.VEERG_10_1_1_1__2_MassOfWasteFromVolume(G41,H41)</f>
        <v>0</v>
      </c>
    </row>
    <row r="42" spans="4:9" ht="20" customHeight="1" x14ac:dyDescent="0.25">
      <c r="D42" s="45" t="str">
        <v>Incineration</v>
      </c>
      <c r="E42" s="47" t="str">
        <v>Commercial and industrial waste</v>
      </c>
      <c r="F42" s="46"/>
      <c r="G42" s="26"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26" cm="1">
        <f t="array" ref="H42">Common_InputFunctions.Utility_LookupValueInTableNumber(E42,Table_SourceData_WasteSolid_VolumeToMassConversion[Waste type w],Table_SourceData_WasteSolid_VolumeToMassConversion[VTMw])</f>
        <v>0.33</v>
      </c>
      <c r="I42" s="26" cm="1">
        <f t="array" ref="I42">WasteSolid_Equations.VEERG_10_1_1_1__2_MassOfWasteFromVolume(G42,H42)</f>
        <v>0</v>
      </c>
    </row>
    <row r="43" spans="4:9" ht="20" customHeight="1" x14ac:dyDescent="0.25">
      <c r="D43" s="45" t="str">
        <v>Composting</v>
      </c>
      <c r="E43" s="47" t="str">
        <v>All organic waste</v>
      </c>
      <c r="F43" s="46"/>
      <c r="G43" s="26" t="s">
        <v>149</v>
      </c>
      <c r="H43" s="26" t="s">
        <v>149</v>
      </c>
      <c r="I43" s="26" t="s">
        <v>149</v>
      </c>
    </row>
    <row r="44" spans="4:9" ht="20" customHeight="1" x14ac:dyDescent="0.25">
      <c r="D44" s="45" t="str">
        <v>Composting</v>
      </c>
      <c r="E44" s="47" t="str">
        <v>Food waste (including animal carcasses, spoiled animal feed or crop)</v>
      </c>
      <c r="F44" s="46"/>
      <c r="G44" s="26"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26" cm="1">
        <f t="array" ref="H44">Common_InputFunctions.Utility_LookupValueInTableNumber(E44,Table_SourceData_WasteSolid_VolumeToMassConversion[Waste type w],Table_SourceData_WasteSolid_VolumeToMassConversion[VTMw])</f>
        <v>0.5</v>
      </c>
      <c r="I44" s="26" cm="1">
        <f t="array" ref="I44">WasteSolid_Equations.VEERG_10_1_1_1__2_MassOfWasteFromVolume(G44,H44)</f>
        <v>25</v>
      </c>
    </row>
    <row r="45" spans="4:9" ht="20" customHeight="1" x14ac:dyDescent="0.25">
      <c r="D45" s="45" t="str">
        <v>Composting</v>
      </c>
      <c r="E45" s="47" t="str">
        <v>Green waste (including crop residues or prunings)</v>
      </c>
      <c r="F45" s="46"/>
      <c r="G45" s="26"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26" cm="1">
        <f t="array" ref="H45">Common_InputFunctions.Utility_LookupValueInTableNumber(E45,Table_SourceData_WasteSolid_VolumeToMassConversion[Waste type w],Table_SourceData_WasteSolid_VolumeToMassConversion[VTMw])</f>
        <v>0.24</v>
      </c>
      <c r="I45" s="26" cm="1">
        <f t="array" ref="I45">WasteSolid_Equations.VEERG_10_1_1_1__2_MassOfWasteFromVolume(G45,H45)</f>
        <v>0</v>
      </c>
    </row>
    <row r="46" spans="4:9" ht="20" customHeight="1" x14ac:dyDescent="0.25">
      <c r="D46" s="45" t="str">
        <v>Composting</v>
      </c>
      <c r="E46" s="47" t="str">
        <v>Wood</v>
      </c>
      <c r="F46" s="46"/>
      <c r="G46" s="26"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26" cm="1">
        <f t="array" ref="H46">Common_InputFunctions.Utility_LookupValueInTableNumber(E46,Table_SourceData_WasteSolid_VolumeToMassConversion[Waste type w],Table_SourceData_WasteSolid_VolumeToMassConversion[VTMw])</f>
        <v>0.15</v>
      </c>
      <c r="I46" s="26" cm="1">
        <f t="array" ref="I46">WasteSolid_Equations.VEERG_10_1_1_1__2_MassOfWasteFromVolume(G46,H46)</f>
        <v>0</v>
      </c>
    </row>
    <row r="47" spans="4:9" ht="20" customHeight="1" x14ac:dyDescent="0.25">
      <c r="D47" s="45" t="str">
        <v>Composting</v>
      </c>
      <c r="E47" s="47" t="str">
        <v>Sludge</v>
      </c>
      <c r="F47" s="46"/>
      <c r="G47" s="26"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26" cm="1">
        <f t="array" ref="H47">Common_InputFunctions.Utility_LookupValueInTableNumber(E47,Table_SourceData_WasteSolid_VolumeToMassConversion[Waste type w],Table_SourceData_WasteSolid_VolumeToMassConversion[VTMw])</f>
        <v>0.72</v>
      </c>
      <c r="I47" s="26" cm="1">
        <f t="array" ref="I47">WasteSolid_Equations.VEERG_10_1_1_1__2_MassOfWasteFromVolume(G47,H47)</f>
        <v>0</v>
      </c>
    </row>
    <row r="48" spans="4:9" ht="20" customHeight="1" x14ac:dyDescent="0.25">
      <c r="D48" s="45" t="str">
        <v>Composting</v>
      </c>
      <c r="E48" s="47" t="str">
        <v>Paper and cardboard</v>
      </c>
      <c r="F48" s="46"/>
      <c r="G48" s="26"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26" cm="1">
        <f t="array" ref="H48">Common_InputFunctions.Utility_LookupValueInTableNumber(E48,Table_SourceData_WasteSolid_VolumeToMassConversion[Waste type w],Table_SourceData_WasteSolid_VolumeToMassConversion[VTMw])</f>
        <v>0.09</v>
      </c>
      <c r="I48" s="26" cm="1">
        <f t="array" ref="I48">WasteSolid_Equations.VEERG_10_1_1_1__2_MassOfWasteFromVolume(G48,H48)</f>
        <v>4.5</v>
      </c>
    </row>
    <row r="49" spans="4:9" ht="20" customHeight="1" x14ac:dyDescent="0.25">
      <c r="D49" s="45" t="str">
        <v>Anaerobic digestion</v>
      </c>
      <c r="E49" s="47" t="str">
        <v>All organic waste</v>
      </c>
      <c r="F49" s="46"/>
      <c r="G49" s="26" t="s">
        <v>149</v>
      </c>
      <c r="H49" s="26" t="s">
        <v>149</v>
      </c>
      <c r="I49" s="26" t="s">
        <v>149</v>
      </c>
    </row>
    <row r="50" spans="4:9" ht="20" customHeight="1" x14ac:dyDescent="0.25">
      <c r="D50" s="45" t="str">
        <v>Anaerobic digestion</v>
      </c>
      <c r="E50" s="47" t="str">
        <v>Food waste (including animal carcasses, spoiled animal feed or crop)</v>
      </c>
      <c r="F50" s="46"/>
      <c r="G50" s="26"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26" cm="1">
        <f t="array" ref="H50">Common_InputFunctions.Utility_LookupValueInTableNumber(E50,Table_SourceData_WasteSolid_VolumeToMassConversion[Waste type w],Table_SourceData_WasteSolid_VolumeToMassConversion[VTMw])</f>
        <v>0.5</v>
      </c>
      <c r="I50" s="26" cm="1">
        <f t="array" ref="I50">WasteSolid_Equations.VEERG_10_1_1_1__2_MassOfWasteFromVolume(G50,H50)</f>
        <v>0</v>
      </c>
    </row>
    <row r="51" spans="4:9" ht="20" customHeight="1" x14ac:dyDescent="0.25">
      <c r="D51" s="45" t="str">
        <v>Anaerobic digestion</v>
      </c>
      <c r="E51" s="47" t="str">
        <v>Green waste (including crop residues or prunings)</v>
      </c>
      <c r="F51" s="46"/>
      <c r="G51" s="26"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26" cm="1">
        <f t="array" ref="H51">Common_InputFunctions.Utility_LookupValueInTableNumber(E51,Table_SourceData_WasteSolid_VolumeToMassConversion[Waste type w],Table_SourceData_WasteSolid_VolumeToMassConversion[VTMw])</f>
        <v>0.24</v>
      </c>
      <c r="I51" s="26" cm="1">
        <f t="array" ref="I51">WasteSolid_Equations.VEERG_10_1_1_1__2_MassOfWasteFromVolume(G51,H51)</f>
        <v>0</v>
      </c>
    </row>
    <row r="52" spans="4:9" ht="20" customHeight="1" x14ac:dyDescent="0.25">
      <c r="D52" s="45" t="str">
        <v>Anaerobic digestion</v>
      </c>
      <c r="E52" s="47" t="str">
        <v>Wood</v>
      </c>
      <c r="F52" s="46"/>
      <c r="G52" s="26"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26" cm="1">
        <f t="array" ref="H52">Common_InputFunctions.Utility_LookupValueInTableNumber(E52,Table_SourceData_WasteSolid_VolumeToMassConversion[Waste type w],Table_SourceData_WasteSolid_VolumeToMassConversion[VTMw])</f>
        <v>0.15</v>
      </c>
      <c r="I52" s="26" cm="1">
        <f t="array" ref="I52">WasteSolid_Equations.VEERG_10_1_1_1__2_MassOfWasteFromVolume(G52,H52)</f>
        <v>0</v>
      </c>
    </row>
    <row r="53" spans="4:9" ht="20" customHeight="1" x14ac:dyDescent="0.25">
      <c r="D53" s="45" t="str">
        <v>Anaerobic digestion</v>
      </c>
      <c r="E53" s="47" t="str">
        <v>Sludge</v>
      </c>
      <c r="F53" s="46"/>
      <c r="G53" s="26"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26" cm="1">
        <f t="array" ref="H53">Common_InputFunctions.Utility_LookupValueInTableNumber(E53,Table_SourceData_WasteSolid_VolumeToMassConversion[Waste type w],Table_SourceData_WasteSolid_VolumeToMassConversion[VTMw])</f>
        <v>0.72</v>
      </c>
      <c r="I53" s="26" cm="1">
        <f t="array" ref="I53">WasteSolid_Equations.VEERG_10_1_1_1__2_MassOfWasteFromVolume(G53,H53)</f>
        <v>0</v>
      </c>
    </row>
    <row r="54" spans="4:9" ht="20" customHeight="1" x14ac:dyDescent="0.25">
      <c r="D54" s="45" t="str">
        <v>Anaerobic digestion</v>
      </c>
      <c r="E54" s="47" t="str">
        <v>Paper and cardboard</v>
      </c>
      <c r="F54" s="46"/>
      <c r="G54" s="26"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26" cm="1">
        <f t="array" ref="H54">Common_InputFunctions.Utility_LookupValueInTableNumber(E54,Table_SourceData_WasteSolid_VolumeToMassConversion[Waste type w],Table_SourceData_WasteSolid_VolumeToMassConversion[VTMw])</f>
        <v>0.09</v>
      </c>
      <c r="I54" s="26" cm="1">
        <f t="array" ref="I54">WasteSolid_Equations.VEERG_10_1_1_1__2_MassOfWasteFromVolume(G54,H54)</f>
        <v>0</v>
      </c>
    </row>
    <row r="55" spans="4:9" ht="20" customHeight="1" x14ac:dyDescent="0.25"/>
    <row r="56" spans="4:9" ht="20" customHeight="1" x14ac:dyDescent="0.25">
      <c r="D56" s="65" t="s">
        <v>117</v>
      </c>
    </row>
    <row r="57" spans="4:9" ht="20" customHeight="1" x14ac:dyDescent="0.25">
      <c r="D57" s="66" t="s">
        <v>120</v>
      </c>
    </row>
    <row r="58" spans="4:9" ht="20" customHeight="1" x14ac:dyDescent="0.25">
      <c r="D58" s="62" t="s">
        <v>93</v>
      </c>
      <c r="E58" s="62" t="s">
        <v>94</v>
      </c>
      <c r="F58" s="62"/>
      <c r="G58" s="62" t="s">
        <v>95</v>
      </c>
      <c r="H58" s="67" t="s">
        <v>97</v>
      </c>
      <c r="I58" s="67" t="s">
        <v>96</v>
      </c>
    </row>
    <row r="59" spans="4:9" ht="20" customHeight="1" x14ac:dyDescent="0.25">
      <c r="D59" s="45" t="str" cm="1">
        <f t="array" ref="D59:D92">Table_SourceData_WasteSolid_WasteTreatmentEFs[Treatment type t]</f>
        <v>Landfill</v>
      </c>
      <c r="E59" s="47" t="str" cm="1">
        <f t="array" ref="E59:E92">Table_SourceData_WasteSolid_WasteTreatmentEFs[Waste type w]</f>
        <v>Food waste (including animal carcasses, spoiled animal feed or crop)</v>
      </c>
      <c r="F59" s="68"/>
      <c r="G59" s="26"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26" cm="1">
        <f t="array" ref="H59">Common_InputFunctions.Utility_LookupValueInTableNumber(E59,Table_SourceData_WasteSolid_VolumeToMassConversion[Waste type w],Table_SourceData_WasteSolid_VolumeToMassConversion[VTMw])</f>
        <v>0.5</v>
      </c>
      <c r="I59" s="26" cm="1">
        <f t="array" ref="I59">WasteSolid_Equations.VEERG_10_1_1_1__2_MassOfWasteFromVolume(G59,H59)</f>
        <v>25</v>
      </c>
    </row>
    <row r="60" spans="4:9" ht="20" customHeight="1" x14ac:dyDescent="0.25">
      <c r="D60" s="45" t="str">
        <v>Landfill</v>
      </c>
      <c r="E60" s="47" t="str">
        <v>Paper and cardboard</v>
      </c>
      <c r="F60" s="68"/>
      <c r="G60" s="26"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26" cm="1">
        <f t="array" ref="H60">Common_InputFunctions.Utility_LookupValueInTableNumber(E60,Table_SourceData_WasteSolid_VolumeToMassConversion[Waste type w],Table_SourceData_WasteSolid_VolumeToMassConversion[VTMw])</f>
        <v>0.09</v>
      </c>
      <c r="I60" s="26" cm="1">
        <f t="array" ref="I60">WasteSolid_Equations.VEERG_10_1_1_1__2_MassOfWasteFromVolume(G60,H60)</f>
        <v>4.5</v>
      </c>
    </row>
    <row r="61" spans="4:9" ht="20" customHeight="1" x14ac:dyDescent="0.25">
      <c r="D61" s="45" t="str">
        <v>Landfill</v>
      </c>
      <c r="E61" s="47" t="str">
        <v>Green waste (including crop residues or prunings)</v>
      </c>
      <c r="F61" s="68"/>
      <c r="G61" s="26"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26" cm="1">
        <f t="array" ref="H61">Common_InputFunctions.Utility_LookupValueInTableNumber(E61,Table_SourceData_WasteSolid_VolumeToMassConversion[Waste type w],Table_SourceData_WasteSolid_VolumeToMassConversion[VTMw])</f>
        <v>0.24</v>
      </c>
      <c r="I61" s="26" cm="1">
        <f t="array" ref="I61">WasteSolid_Equations.VEERG_10_1_1_1__2_MassOfWasteFromVolume(G61,H61)</f>
        <v>12</v>
      </c>
    </row>
    <row r="62" spans="4:9" ht="20" customHeight="1" x14ac:dyDescent="0.25">
      <c r="D62" s="45" t="str">
        <v>Landfill</v>
      </c>
      <c r="E62" s="47" t="str">
        <v>Wood</v>
      </c>
      <c r="F62" s="68"/>
      <c r="G62" s="26"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26" cm="1">
        <f t="array" ref="H62">Common_InputFunctions.Utility_LookupValueInTableNumber(E62,Table_SourceData_WasteSolid_VolumeToMassConversion[Waste type w],Table_SourceData_WasteSolid_VolumeToMassConversion[VTMw])</f>
        <v>0.15</v>
      </c>
      <c r="I62" s="26" cm="1">
        <f t="array" ref="I62">WasteSolid_Equations.VEERG_10_1_1_1__2_MassOfWasteFromVolume(G62,H62)</f>
        <v>0</v>
      </c>
    </row>
    <row r="63" spans="4:9" ht="20" customHeight="1" x14ac:dyDescent="0.25">
      <c r="D63" s="45" t="str">
        <v>Landfill</v>
      </c>
      <c r="E63" s="47" t="str">
        <v>Textiles</v>
      </c>
      <c r="F63" s="68"/>
      <c r="G63" s="26"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26" cm="1">
        <f t="array" ref="H63">Common_InputFunctions.Utility_LookupValueInTableNumber(E63,Table_SourceData_WasteSolid_VolumeToMassConversion[Waste type w],Table_SourceData_WasteSolid_VolumeToMassConversion[VTMw])</f>
        <v>0.14000000000000001</v>
      </c>
      <c r="I63" s="26" cm="1">
        <f t="array" ref="I63">WasteSolid_Equations.VEERG_10_1_1_1__2_MassOfWasteFromVolume(G63,H63)</f>
        <v>0</v>
      </c>
    </row>
    <row r="64" spans="4:9" ht="20" customHeight="1" x14ac:dyDescent="0.25">
      <c r="D64" s="45" t="str">
        <v>Landfill</v>
      </c>
      <c r="E64" s="47" t="str">
        <v>Sludge</v>
      </c>
      <c r="F64" s="68"/>
      <c r="G64" s="26"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26" cm="1">
        <f t="array" ref="H64">Common_InputFunctions.Utility_LookupValueInTableNumber(E64,Table_SourceData_WasteSolid_VolumeToMassConversion[Waste type w],Table_SourceData_WasteSolid_VolumeToMassConversion[VTMw])</f>
        <v>0.72</v>
      </c>
      <c r="I64" s="26" cm="1">
        <f t="array" ref="I64">WasteSolid_Equations.VEERG_10_1_1_1__2_MassOfWasteFromVolume(G64,H64)</f>
        <v>0</v>
      </c>
    </row>
    <row r="65" spans="4:9" ht="20" customHeight="1" x14ac:dyDescent="0.25">
      <c r="D65" s="45" t="str">
        <v>Landfill</v>
      </c>
      <c r="E65" s="47" t="str">
        <v>Rubber and leather</v>
      </c>
      <c r="F65" s="68"/>
      <c r="G65" s="26"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26" cm="1">
        <f t="array" ref="H65">Common_InputFunctions.Utility_LookupValueInTableNumber(E65,Table_SourceData_WasteSolid_VolumeToMassConversion[Waste type w],Table_SourceData_WasteSolid_VolumeToMassConversion[VTMw])</f>
        <v>0.14000000000000001</v>
      </c>
      <c r="I65" s="26" cm="1">
        <f t="array" ref="I65">WasteSolid_Equations.VEERG_10_1_1_1__2_MassOfWasteFromVolume(G65,H65)</f>
        <v>0</v>
      </c>
    </row>
    <row r="66" spans="4:9" ht="20" customHeight="1" x14ac:dyDescent="0.25">
      <c r="D66" s="45" t="str">
        <v>Landfill</v>
      </c>
      <c r="E66" s="47" t="str">
        <v>Inert waste (including concrete, metal, plastic or glass)</v>
      </c>
      <c r="F66" s="68"/>
      <c r="G66" s="26"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26" cm="1">
        <f t="array" ref="H66">Common_InputFunctions.Utility_LookupValueInTableNumber(E66,Table_SourceData_WasteSolid_VolumeToMassConversion[Waste type w],Table_SourceData_WasteSolid_VolumeToMassConversion[VTMw])</f>
        <v>0.42</v>
      </c>
      <c r="I66" s="26" cm="1">
        <f t="array" ref="I66">WasteSolid_Equations.VEERG_10_1_1_1__2_MassOfWasteFromVolume(G66,H66)</f>
        <v>0</v>
      </c>
    </row>
    <row r="67" spans="4:9" ht="20" customHeight="1" x14ac:dyDescent="0.25">
      <c r="D67" s="45" t="str">
        <v>Landfill</v>
      </c>
      <c r="E67" s="47" t="str">
        <v>Municipal solid waste</v>
      </c>
      <c r="F67" s="68"/>
      <c r="G67" s="26"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26" cm="1">
        <f t="array" ref="H67">Common_InputFunctions.Utility_LookupValueInTableNumber(E67,Table_SourceData_WasteSolid_VolumeToMassConversion[Waste type w],Table_SourceData_WasteSolid_VolumeToMassConversion[VTMw])</f>
        <v>0.36</v>
      </c>
      <c r="I67" s="26" cm="1">
        <f t="array" ref="I67">WasteSolid_Equations.VEERG_10_1_1_1__2_MassOfWasteFromVolume(G67,H67)</f>
        <v>0</v>
      </c>
    </row>
    <row r="68" spans="4:9" ht="20" customHeight="1" x14ac:dyDescent="0.25">
      <c r="D68" s="45" t="str">
        <v>Landfill</v>
      </c>
      <c r="E68" s="47" t="str">
        <v>Commercial and industrial waste</v>
      </c>
      <c r="F68" s="68"/>
      <c r="G68" s="26"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26" cm="1">
        <f t="array" ref="H68">Common_InputFunctions.Utility_LookupValueInTableNumber(E68,Table_SourceData_WasteSolid_VolumeToMassConversion[Waste type w],Table_SourceData_WasteSolid_VolumeToMassConversion[VTMw])</f>
        <v>0.33</v>
      </c>
      <c r="I68" s="26" cm="1">
        <f t="array" ref="I68">WasteSolid_Equations.VEERG_10_1_1_1__2_MassOfWasteFromVolume(G68,H68)</f>
        <v>0</v>
      </c>
    </row>
    <row r="69" spans="4:9" ht="20" customHeight="1" x14ac:dyDescent="0.25">
      <c r="D69" s="45" t="str">
        <v>Landfill</v>
      </c>
      <c r="E69" s="47" t="str">
        <v>Construction and demolition waste</v>
      </c>
      <c r="F69" s="68"/>
      <c r="G69" s="26"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26" cm="1">
        <f t="array" ref="H69">Common_InputFunctions.Utility_LookupValueInTableNumber(E69,Table_SourceData_WasteSolid_VolumeToMassConversion[Waste type w],Table_SourceData_WasteSolid_VolumeToMassConversion[VTMw])</f>
        <v>0.39</v>
      </c>
      <c r="I69" s="26" cm="1">
        <f t="array" ref="I69">WasteSolid_Equations.VEERG_10_1_1_1__2_MassOfWasteFromVolume(G69,H69)</f>
        <v>0</v>
      </c>
    </row>
    <row r="70" spans="4:9" ht="20" customHeight="1" x14ac:dyDescent="0.25">
      <c r="D70" s="45" t="str">
        <v>Incineration</v>
      </c>
      <c r="E70" s="47" t="str">
        <v>Food waste, green waste, wood, sludge</v>
      </c>
      <c r="F70" s="68"/>
      <c r="G70" s="26" t="s">
        <v>149</v>
      </c>
      <c r="H70" s="26" t="s">
        <v>149</v>
      </c>
      <c r="I70" s="26" t="s">
        <v>149</v>
      </c>
    </row>
    <row r="71" spans="4:9" ht="20" customHeight="1" x14ac:dyDescent="0.25">
      <c r="D71" s="45" t="str">
        <v>Incineration</v>
      </c>
      <c r="E71" s="47" t="str">
        <v>Food waste (including animal carcasses, spoiled animal feed or crop)</v>
      </c>
      <c r="F71" s="68"/>
      <c r="G71" s="26"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26" cm="1">
        <f t="array" ref="H71">Common_InputFunctions.Utility_LookupValueInTableNumber(E71,Table_SourceData_WasteSolid_VolumeToMassConversion[Waste type w],Table_SourceData_WasteSolid_VolumeToMassConversion[VTMw])</f>
        <v>0.5</v>
      </c>
      <c r="I71" s="26" cm="1">
        <f t="array" ref="I71">WasteSolid_Equations.VEERG_10_1_1_1__2_MassOfWasteFromVolume(G71,H71)</f>
        <v>0</v>
      </c>
    </row>
    <row r="72" spans="4:9" ht="20" customHeight="1" x14ac:dyDescent="0.25">
      <c r="D72" s="45" t="str">
        <v>Incineration</v>
      </c>
      <c r="E72" s="47" t="str">
        <v>Green waste (including crop residues or prunings)</v>
      </c>
      <c r="F72" s="68"/>
      <c r="G72" s="26"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26" cm="1">
        <f t="array" ref="H72">Common_InputFunctions.Utility_LookupValueInTableNumber(E72,Table_SourceData_WasteSolid_VolumeToMassConversion[Waste type w],Table_SourceData_WasteSolid_VolumeToMassConversion[VTMw])</f>
        <v>0.24</v>
      </c>
      <c r="I72" s="26" cm="1">
        <f t="array" ref="I72">WasteSolid_Equations.VEERG_10_1_1_1__2_MassOfWasteFromVolume(G72,H72)</f>
        <v>12</v>
      </c>
    </row>
    <row r="73" spans="4:9" ht="20" customHeight="1" x14ac:dyDescent="0.25">
      <c r="D73" s="45" t="str">
        <v>Incineration</v>
      </c>
      <c r="E73" s="47" t="str">
        <v>Wood</v>
      </c>
      <c r="F73" s="68"/>
      <c r="G73" s="26"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26" cm="1">
        <f t="array" ref="H73">Common_InputFunctions.Utility_LookupValueInTableNumber(E73,Table_SourceData_WasteSolid_VolumeToMassConversion[Waste type w],Table_SourceData_WasteSolid_VolumeToMassConversion[VTMw])</f>
        <v>0.15</v>
      </c>
      <c r="I73" s="26" cm="1">
        <f t="array" ref="I73">WasteSolid_Equations.VEERG_10_1_1_1__2_MassOfWasteFromVolume(G73,H73)</f>
        <v>0</v>
      </c>
    </row>
    <row r="74" spans="4:9" ht="20" customHeight="1" x14ac:dyDescent="0.25">
      <c r="D74" s="45" t="str">
        <v>Incineration</v>
      </c>
      <c r="E74" s="47" t="str">
        <v>Sludge</v>
      </c>
      <c r="F74" s="68"/>
      <c r="G74" s="26"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26" cm="1">
        <f t="array" ref="H74">Common_InputFunctions.Utility_LookupValueInTableNumber(E74,Table_SourceData_WasteSolid_VolumeToMassConversion[Waste type w],Table_SourceData_WasteSolid_VolumeToMassConversion[VTMw])</f>
        <v>0.72</v>
      </c>
      <c r="I74" s="26" cm="1">
        <f t="array" ref="I74">WasteSolid_Equations.VEERG_10_1_1_1__2_MassOfWasteFromVolume(G74,H74)</f>
        <v>0</v>
      </c>
    </row>
    <row r="75" spans="4:9" ht="20" customHeight="1" x14ac:dyDescent="0.25">
      <c r="D75" s="45" t="str">
        <v>Incineration</v>
      </c>
      <c r="E75" s="47" t="str">
        <v>Paper and cardboard</v>
      </c>
      <c r="F75" s="68"/>
      <c r="G75" s="26"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26" cm="1">
        <f t="array" ref="H75">Common_InputFunctions.Utility_LookupValueInTableNumber(E75,Table_SourceData_WasteSolid_VolumeToMassConversion[Waste type w],Table_SourceData_WasteSolid_VolumeToMassConversion[VTMw])</f>
        <v>0.09</v>
      </c>
      <c r="I75" s="26" cm="1">
        <f t="array" ref="I75">WasteSolid_Equations.VEERG_10_1_1_1__2_MassOfWasteFromVolume(G75,H75)</f>
        <v>0</v>
      </c>
    </row>
    <row r="76" spans="4:9" ht="20" customHeight="1" x14ac:dyDescent="0.25">
      <c r="D76" s="45" t="str">
        <v>Incineration</v>
      </c>
      <c r="E76" s="47" t="str">
        <v>Textiles</v>
      </c>
      <c r="F76" s="68"/>
      <c r="G76" s="26"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26" cm="1">
        <f t="array" ref="H76">Common_InputFunctions.Utility_LookupValueInTableNumber(E76,Table_SourceData_WasteSolid_VolumeToMassConversion[Waste type w],Table_SourceData_WasteSolid_VolumeToMassConversion[VTMw])</f>
        <v>0.14000000000000001</v>
      </c>
      <c r="I76" s="26" cm="1">
        <f t="array" ref="I76">WasteSolid_Equations.VEERG_10_1_1_1__2_MassOfWasteFromVolume(G76,H76)</f>
        <v>0</v>
      </c>
    </row>
    <row r="77" spans="4:9" ht="20" customHeight="1" x14ac:dyDescent="0.25">
      <c r="D77" s="45" t="str">
        <v>Incineration</v>
      </c>
      <c r="E77" s="47" t="str">
        <v>Rubber and leather</v>
      </c>
      <c r="F77" s="68"/>
      <c r="G77" s="26"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26" cm="1">
        <f t="array" ref="H77">Common_InputFunctions.Utility_LookupValueInTableNumber(E77,Table_SourceData_WasteSolid_VolumeToMassConversion[Waste type w],Table_SourceData_WasteSolid_VolumeToMassConversion[VTMw])</f>
        <v>0.14000000000000001</v>
      </c>
      <c r="I77" s="26" cm="1">
        <f t="array" ref="I77">WasteSolid_Equations.VEERG_10_1_1_1__2_MassOfWasteFromVolume(G77,H77)</f>
        <v>0</v>
      </c>
    </row>
    <row r="78" spans="4:9" ht="20" customHeight="1" x14ac:dyDescent="0.25">
      <c r="D78" s="45" t="str">
        <v>Incineration</v>
      </c>
      <c r="E78" s="47" t="str">
        <v>Inert waste (including concrete, metal, plastic or glass)</v>
      </c>
      <c r="F78" s="68"/>
      <c r="G78" s="26"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26" cm="1">
        <f t="array" ref="H78">Common_InputFunctions.Utility_LookupValueInTableNumber(E78,Table_SourceData_WasteSolid_VolumeToMassConversion[Waste type w],Table_SourceData_WasteSolid_VolumeToMassConversion[VTMw])</f>
        <v>0.42</v>
      </c>
      <c r="I78" s="26" cm="1">
        <f t="array" ref="I78">WasteSolid_Equations.VEERG_10_1_1_1__2_MassOfWasteFromVolume(G78,H78)</f>
        <v>0</v>
      </c>
    </row>
    <row r="79" spans="4:9" ht="20" customHeight="1" x14ac:dyDescent="0.25">
      <c r="D79" s="45" t="str">
        <v>Incineration</v>
      </c>
      <c r="E79" s="47" t="str">
        <v>Municipal solid waste</v>
      </c>
      <c r="F79" s="46"/>
      <c r="G79" s="26"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26" cm="1">
        <f t="array" ref="H79">Common_InputFunctions.Utility_LookupValueInTableNumber(E79,Table_SourceData_WasteSolid_VolumeToMassConversion[Waste type w],Table_SourceData_WasteSolid_VolumeToMassConversion[VTMw])</f>
        <v>0.36</v>
      </c>
      <c r="I79" s="26" cm="1">
        <f t="array" ref="I79">WasteSolid_Equations.VEERG_10_1_1_1__2_MassOfWasteFromVolume(G79,H79)</f>
        <v>0</v>
      </c>
    </row>
    <row r="80" spans="4:9" ht="20" customHeight="1" x14ac:dyDescent="0.25">
      <c r="D80" s="45" t="str">
        <v>Incineration</v>
      </c>
      <c r="E80" s="47" t="str">
        <v>Commercial and industrial waste</v>
      </c>
      <c r="F80" s="46"/>
      <c r="G80" s="26"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26" cm="1">
        <f t="array" ref="H80">Common_InputFunctions.Utility_LookupValueInTableNumber(E80,Table_SourceData_WasteSolid_VolumeToMassConversion[Waste type w],Table_SourceData_WasteSolid_VolumeToMassConversion[VTMw])</f>
        <v>0.33</v>
      </c>
      <c r="I80" s="26" cm="1">
        <f t="array" ref="I80">WasteSolid_Equations.VEERG_10_1_1_1__2_MassOfWasteFromVolume(G80,H80)</f>
        <v>0</v>
      </c>
    </row>
    <row r="81" spans="3:12" ht="20" customHeight="1" x14ac:dyDescent="0.25">
      <c r="D81" s="45" t="str">
        <v>Composting</v>
      </c>
      <c r="E81" s="47" t="str">
        <v>All organic waste</v>
      </c>
      <c r="F81" s="46"/>
      <c r="G81" s="26" t="s">
        <v>149</v>
      </c>
      <c r="H81" s="26" t="s">
        <v>149</v>
      </c>
      <c r="I81" s="26" t="s">
        <v>149</v>
      </c>
    </row>
    <row r="82" spans="3:12" ht="20" customHeight="1" x14ac:dyDescent="0.25">
      <c r="D82" s="45" t="str">
        <v>Composting</v>
      </c>
      <c r="E82" s="47" t="str">
        <v>Food waste (including animal carcasses, spoiled animal feed or crop)</v>
      </c>
      <c r="F82" s="46"/>
      <c r="G82" s="26"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26" cm="1">
        <f t="array" ref="H82">Common_InputFunctions.Utility_LookupValueInTableNumber(E82,Table_SourceData_WasteSolid_VolumeToMassConversion[Waste type w],Table_SourceData_WasteSolid_VolumeToMassConversion[VTMw])</f>
        <v>0.5</v>
      </c>
      <c r="I82" s="26" cm="1">
        <f t="array" ref="I82">WasteSolid_Equations.VEERG_10_1_1_1__2_MassOfWasteFromVolume(G82,H82)</f>
        <v>0</v>
      </c>
    </row>
    <row r="83" spans="3:12" ht="20" customHeight="1" x14ac:dyDescent="0.25">
      <c r="D83" s="45" t="str">
        <v>Composting</v>
      </c>
      <c r="E83" s="47" t="str">
        <v>Green waste (including crop residues or prunings)</v>
      </c>
      <c r="F83" s="46"/>
      <c r="G83" s="26"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26" cm="1">
        <f t="array" ref="H83">Common_InputFunctions.Utility_LookupValueInTableNumber(E83,Table_SourceData_WasteSolid_VolumeToMassConversion[Waste type w],Table_SourceData_WasteSolid_VolumeToMassConversion[VTMw])</f>
        <v>0.24</v>
      </c>
      <c r="I83" s="26" cm="1">
        <f t="array" ref="I83">WasteSolid_Equations.VEERG_10_1_1_1__2_MassOfWasteFromVolume(G83,H83)</f>
        <v>0</v>
      </c>
    </row>
    <row r="84" spans="3:12" ht="20" customHeight="1" x14ac:dyDescent="0.25">
      <c r="D84" s="45" t="str">
        <v>Composting</v>
      </c>
      <c r="E84" s="47" t="str">
        <v>Wood</v>
      </c>
      <c r="F84" s="46"/>
      <c r="G84" s="26"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26" cm="1">
        <f t="array" ref="H84">Common_InputFunctions.Utility_LookupValueInTableNumber(E84,Table_SourceData_WasteSolid_VolumeToMassConversion[Waste type w],Table_SourceData_WasteSolid_VolumeToMassConversion[VTMw])</f>
        <v>0.15</v>
      </c>
      <c r="I84" s="26" cm="1">
        <f t="array" ref="I84">WasteSolid_Equations.VEERG_10_1_1_1__2_MassOfWasteFromVolume(G84,H84)</f>
        <v>0</v>
      </c>
    </row>
    <row r="85" spans="3:12" ht="20" customHeight="1" x14ac:dyDescent="0.25">
      <c r="D85" s="45" t="str">
        <v>Composting</v>
      </c>
      <c r="E85" s="47" t="str">
        <v>Sludge</v>
      </c>
      <c r="F85" s="46"/>
      <c r="G85" s="26"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26" cm="1">
        <f t="array" ref="H85">Common_InputFunctions.Utility_LookupValueInTableNumber(E85,Table_SourceData_WasteSolid_VolumeToMassConversion[Waste type w],Table_SourceData_WasteSolid_VolumeToMassConversion[VTMw])</f>
        <v>0.72</v>
      </c>
      <c r="I85" s="26" cm="1">
        <f t="array" ref="I85">WasteSolid_Equations.VEERG_10_1_1_1__2_MassOfWasteFromVolume(G85,H85)</f>
        <v>0</v>
      </c>
    </row>
    <row r="86" spans="3:12" ht="20" customHeight="1" x14ac:dyDescent="0.25">
      <c r="D86" s="45" t="str">
        <v>Composting</v>
      </c>
      <c r="E86" s="47" t="str">
        <v>Paper and cardboard</v>
      </c>
      <c r="F86" s="46"/>
      <c r="G86" s="26"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26" cm="1">
        <f t="array" ref="H86">Common_InputFunctions.Utility_LookupValueInTableNumber(E86,Table_SourceData_WasteSolid_VolumeToMassConversion[Waste type w],Table_SourceData_WasteSolid_VolumeToMassConversion[VTMw])</f>
        <v>0.09</v>
      </c>
      <c r="I86" s="26" cm="1">
        <f t="array" ref="I86">WasteSolid_Equations.VEERG_10_1_1_1__2_MassOfWasteFromVolume(G86,H86)</f>
        <v>0</v>
      </c>
    </row>
    <row r="87" spans="3:12" ht="20" customHeight="1" x14ac:dyDescent="0.25">
      <c r="D87" s="45" t="str">
        <v>Anaerobic digestion</v>
      </c>
      <c r="E87" s="47" t="str">
        <v>All organic waste</v>
      </c>
      <c r="F87" s="46"/>
      <c r="G87" s="26" t="s">
        <v>149</v>
      </c>
      <c r="H87" s="26" t="s">
        <v>149</v>
      </c>
      <c r="I87" s="26" t="s">
        <v>149</v>
      </c>
    </row>
    <row r="88" spans="3:12" ht="20" customHeight="1" x14ac:dyDescent="0.25">
      <c r="D88" s="45" t="str">
        <v>Anaerobic digestion</v>
      </c>
      <c r="E88" s="47" t="str">
        <v>Food waste (including animal carcasses, spoiled animal feed or crop)</v>
      </c>
      <c r="F88" s="46"/>
      <c r="G88" s="26"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26" cm="1">
        <f t="array" ref="H88">Common_InputFunctions.Utility_LookupValueInTableNumber(E88,Table_SourceData_WasteSolid_VolumeToMassConversion[Waste type w],Table_SourceData_WasteSolid_VolumeToMassConversion[VTMw])</f>
        <v>0.5</v>
      </c>
      <c r="I88" s="26" cm="1">
        <f t="array" ref="I88">WasteSolid_Equations.VEERG_10_1_1_1__2_MassOfWasteFromVolume(G88,H88)</f>
        <v>0</v>
      </c>
    </row>
    <row r="89" spans="3:12" ht="20" customHeight="1" x14ac:dyDescent="0.25">
      <c r="D89" s="45" t="str">
        <v>Anaerobic digestion</v>
      </c>
      <c r="E89" s="47" t="str">
        <v>Green waste (including crop residues or prunings)</v>
      </c>
      <c r="F89" s="46"/>
      <c r="G89" s="26"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26" cm="1">
        <f t="array" ref="H89">Common_InputFunctions.Utility_LookupValueInTableNumber(E89,Table_SourceData_WasteSolid_VolumeToMassConversion[Waste type w],Table_SourceData_WasteSolid_VolumeToMassConversion[VTMw])</f>
        <v>0.24</v>
      </c>
      <c r="I89" s="26" cm="1">
        <f t="array" ref="I89">WasteSolid_Equations.VEERG_10_1_1_1__2_MassOfWasteFromVolume(G89,H89)</f>
        <v>0</v>
      </c>
    </row>
    <row r="90" spans="3:12" ht="20" customHeight="1" x14ac:dyDescent="0.25">
      <c r="D90" s="45" t="str">
        <v>Anaerobic digestion</v>
      </c>
      <c r="E90" s="47" t="str">
        <v>Wood</v>
      </c>
      <c r="F90" s="46"/>
      <c r="G90" s="26"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26" cm="1">
        <f t="array" ref="H90">Common_InputFunctions.Utility_LookupValueInTableNumber(E90,Table_SourceData_WasteSolid_VolumeToMassConversion[Waste type w],Table_SourceData_WasteSolid_VolumeToMassConversion[VTMw])</f>
        <v>0.15</v>
      </c>
      <c r="I90" s="26" cm="1">
        <f t="array" ref="I90">WasteSolid_Equations.VEERG_10_1_1_1__2_MassOfWasteFromVolume(G90,H90)</f>
        <v>0</v>
      </c>
    </row>
    <row r="91" spans="3:12" ht="20" customHeight="1" x14ac:dyDescent="0.25">
      <c r="D91" s="45" t="str">
        <v>Anaerobic digestion</v>
      </c>
      <c r="E91" s="47" t="str">
        <v>Sludge</v>
      </c>
      <c r="F91" s="46"/>
      <c r="G91" s="26"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26" cm="1">
        <f t="array" ref="H91">Common_InputFunctions.Utility_LookupValueInTableNumber(E91,Table_SourceData_WasteSolid_VolumeToMassConversion[Waste type w],Table_SourceData_WasteSolid_VolumeToMassConversion[VTMw])</f>
        <v>0.72</v>
      </c>
      <c r="I91" s="26" cm="1">
        <f t="array" ref="I91">WasteSolid_Equations.VEERG_10_1_1_1__2_MassOfWasteFromVolume(G91,H91)</f>
        <v>0</v>
      </c>
    </row>
    <row r="92" spans="3:12" ht="20" customHeight="1" x14ac:dyDescent="0.25">
      <c r="D92" s="45" t="str">
        <v>Anaerobic digestion</v>
      </c>
      <c r="E92" s="47" t="str">
        <v>Paper and cardboard</v>
      </c>
      <c r="F92" s="46"/>
      <c r="G92" s="26"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26" cm="1">
        <f t="array" ref="H92">Common_InputFunctions.Utility_LookupValueInTableNumber(E92,Table_SourceData_WasteSolid_VolumeToMassConversion[Waste type w],Table_SourceData_WasteSolid_VolumeToMassConversion[VTMw])</f>
        <v>0.09</v>
      </c>
      <c r="I92" s="26" cm="1">
        <f t="array" ref="I92">WasteSolid_Equations.VEERG_10_1_1_1__2_MassOfWasteFromVolume(G92,H92)</f>
        <v>0</v>
      </c>
    </row>
    <row r="93" spans="3:12" ht="20" customHeight="1" x14ac:dyDescent="0.25"/>
    <row r="94" spans="3:12" ht="20" customHeight="1" x14ac:dyDescent="0.25"/>
    <row r="95" spans="3:12" ht="20" customHeight="1" x14ac:dyDescent="0.25">
      <c r="C95" s="58"/>
      <c r="D95" s="58"/>
      <c r="E95" s="58"/>
      <c r="F95" s="58"/>
      <c r="G95" s="58"/>
      <c r="H95" s="58"/>
      <c r="I95" s="58"/>
      <c r="J95" s="58"/>
      <c r="K95" s="58"/>
      <c r="L95" s="58"/>
    </row>
    <row r="96" spans="3:12" ht="20" customHeight="1" x14ac:dyDescent="0.25">
      <c r="D96" s="5" t="str" cm="1">
        <f t="array" ref="D96">WasteSolid_Equations.VEERG_10_1_1_1__1_EmissionsFromWasteManagement_Title()</f>
        <v>Emissions from waste management by greenhouse gas</v>
      </c>
    </row>
    <row r="97" spans="4:9" ht="20" customHeight="1" x14ac:dyDescent="0.25">
      <c r="D97" s="4" t="str" cm="1">
        <f t="array" ref="D97">WasteSolid_Equations.VEERG_10_1_1_1__1_EmissionsFromWasteManagement_Source()</f>
        <v>VEERG 2026: 10.1.1.1, Equation (1)</v>
      </c>
    </row>
    <row r="98" spans="4:9" ht="20" customHeight="1" x14ac:dyDescent="0.25">
      <c r="D98" s="29" t="str" cm="1">
        <f t="array" ref="D98">WasteSolid_Equations.VEERG_10_1_1_1__1_EmissionsFromWasteManagement_Variation()</f>
        <v>VARIATION ON SOURCE: Added Q_volwt and Q_masswt variables to clearly track input or calculated Q values</v>
      </c>
    </row>
    <row r="99" spans="4:9" ht="20" customHeight="1" x14ac:dyDescent="0.25">
      <c r="D99" s="10" t="s">
        <v>9</v>
      </c>
      <c r="E99" s="10" t="str" cm="1">
        <f t="array" aca="1" ref="E99" ca="1">Common_InputFunctions.Utility_DisplayFunctionName(K116)</f>
        <v>=WasteSolid_Equations.VEERG_10_1_1_1__1_EmissionsFromWasteManagement</v>
      </c>
    </row>
    <row r="100" spans="4:9" ht="20" customHeight="1" x14ac:dyDescent="0.25"/>
    <row r="101" spans="4:9" ht="20" customHeight="1" x14ac:dyDescent="0.25"/>
    <row r="102" spans="4:9" ht="20" customHeight="1" x14ac:dyDescent="0.25">
      <c r="D102" s="27" t="s">
        <v>12</v>
      </c>
      <c r="E102" s="1" t="str" cm="1">
        <f t="array" ref="E102">WasteSolid_Equations.VEERG_10_1_1_1__1_EmissionsFromWasteManagement_Variable()</f>
        <v>E_g</v>
      </c>
    </row>
    <row r="103" spans="4:9" ht="20" customHeight="1" x14ac:dyDescent="0.25">
      <c r="D103" s="27" t="s">
        <v>4</v>
      </c>
      <c r="E103" s="28" t="str" cm="1">
        <f t="array" ref="E103">WasteSolid_Equations.VEERG_10_1_1_1__1_EmissionsFromWasteManagement_Unit()</f>
        <v>t CO2e</v>
      </c>
    </row>
    <row r="104" spans="4:9" ht="20" customHeight="1" x14ac:dyDescent="0.25"/>
    <row r="105" spans="4:9" ht="20" customHeight="1" x14ac:dyDescent="0.25">
      <c r="D105" s="45" t="str" cm="1">
        <f t="array" ref="D105:E111">_xlfn.CHOOSECOLS(WasteSolid_Equations.VEERG_10_1_1_1__1_EmissionsFromWasteManagement_Arguments(),1,2)</f>
        <v>Q_wt</v>
      </c>
      <c r="E105" s="47" t="str">
        <v>quantity of solid waste of type w being sent to treatment facility t, on a wet weight basis</v>
      </c>
      <c r="F105" s="60"/>
      <c r="G105" s="46"/>
      <c r="H105" s="45" t="str" cm="1">
        <f t="array" ref="H105:I111">_xlfn.CHOOSECOLS(WasteSolid_Equations.VEERG_10_1_1_1__1_EmissionsFromWasteManagement_Arguments(),3,4)</f>
        <v>t</v>
      </c>
      <c r="I105" s="41" t="str">
        <v>Sum of Q_volwt and Q_masswt</v>
      </c>
    </row>
    <row r="106" spans="4:9" ht="20" customHeight="1" x14ac:dyDescent="0.25">
      <c r="D106" s="45" t="str">
        <v>EF_wtg</v>
      </c>
      <c r="E106" s="47" t="str">
        <v>emission factor for greenhouse gas g for the management of waste at treatment facility t</v>
      </c>
      <c r="F106" s="60"/>
      <c r="G106" s="46"/>
      <c r="H106" s="45" t="str">
        <v>t CO2e/t</v>
      </c>
      <c r="I106" s="41" t="str">
        <v>Constant</v>
      </c>
    </row>
    <row r="107" spans="4:9" ht="20" customHeight="1" x14ac:dyDescent="0.25">
      <c r="D107" s="45" t="str">
        <v>w</v>
      </c>
      <c r="E107" s="47" t="str">
        <v>waste type</v>
      </c>
      <c r="F107" s="60"/>
      <c r="G107" s="46"/>
      <c r="H107" s="45" t="str">
        <v/>
      </c>
      <c r="I107" s="42" t="str">
        <v>Input</v>
      </c>
    </row>
    <row r="108" spans="4:9" ht="20" customHeight="1" x14ac:dyDescent="0.25">
      <c r="D108" s="45" t="str">
        <v>t</v>
      </c>
      <c r="E108" s="47" t="str">
        <v>treatment facility</v>
      </c>
      <c r="F108" s="60"/>
      <c r="G108" s="46"/>
      <c r="H108" s="45" t="str">
        <v/>
      </c>
      <c r="I108" s="42" t="str">
        <v>Input</v>
      </c>
    </row>
    <row r="109" spans="4:9" ht="20" customHeight="1" x14ac:dyDescent="0.25">
      <c r="D109" s="45" t="str">
        <v>g</v>
      </c>
      <c r="E109" s="47" t="str">
        <v>greenhouse gas</v>
      </c>
      <c r="F109" s="60"/>
      <c r="G109" s="46"/>
      <c r="H109" s="45" t="str">
        <v/>
      </c>
      <c r="I109" s="42" t="str">
        <v>Input</v>
      </c>
    </row>
    <row r="110" spans="4:9" ht="20" customHeight="1" x14ac:dyDescent="0.25">
      <c r="D110" s="45" t="str">
        <v>Q_volwt</v>
      </c>
      <c r="E110" s="47" t="str">
        <v>quantity of sold waste input as volume and converted to tonnes</v>
      </c>
      <c r="F110" s="60"/>
      <c r="G110" s="46"/>
      <c r="H110" s="45" t="str">
        <v>tonnes</v>
      </c>
      <c r="I110" s="41" t="str">
        <v>Calculated from 10.1.1.1 (2)</v>
      </c>
    </row>
    <row r="111" spans="4:9" ht="20" customHeight="1" x14ac:dyDescent="0.25">
      <c r="D111" s="45" t="str">
        <v>Q_masswt</v>
      </c>
      <c r="E111" s="47" t="str">
        <v>quantity of solid waste input as mass</v>
      </c>
      <c r="F111" s="60"/>
      <c r="G111" s="46"/>
      <c r="H111" s="45" t="str">
        <v>tonnes</v>
      </c>
      <c r="I111" s="42" t="str">
        <v>Input</v>
      </c>
    </row>
    <row r="112" spans="4:9" ht="20" customHeight="1" x14ac:dyDescent="0.25"/>
    <row r="113" spans="4:11" ht="20" customHeight="1" x14ac:dyDescent="0.25">
      <c r="D113" s="65" t="s">
        <v>126</v>
      </c>
    </row>
    <row r="114" spans="4:11" ht="20" customHeight="1" x14ac:dyDescent="0.25">
      <c r="D114" s="66" t="s">
        <v>127</v>
      </c>
    </row>
    <row r="115" spans="4:11" ht="20" customHeight="1" x14ac:dyDescent="0.25">
      <c r="D115" s="62" t="s">
        <v>93</v>
      </c>
      <c r="E115" s="62" t="s">
        <v>94</v>
      </c>
      <c r="F115" s="62"/>
      <c r="G115" s="62" t="s">
        <v>153</v>
      </c>
      <c r="H115" s="67" t="s">
        <v>152</v>
      </c>
      <c r="I115" s="67" t="s">
        <v>96</v>
      </c>
      <c r="J115" s="67" t="s">
        <v>151</v>
      </c>
      <c r="K115" s="67" t="s">
        <v>150</v>
      </c>
    </row>
    <row r="116" spans="4:11" ht="20" customHeight="1" x14ac:dyDescent="0.25">
      <c r="D116" s="45" t="str" cm="1">
        <f t="array" ref="D116:D149">Table_SourceData_WasteSolid_WasteTreatmentEFs[Treatment type t]</f>
        <v>Landfill</v>
      </c>
      <c r="E116" s="47" t="str" cm="1">
        <f t="array" ref="E116:E149">Table_SourceData_WasteSolid_WasteTreatmentEFs[Waste type w]</f>
        <v>Food waste (including animal carcasses, spoiled animal feed or crop)</v>
      </c>
      <c r="F116" s="68"/>
      <c r="G116" s="26"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26">
        <f t="shared" ref="H116:H135" si="0">I21</f>
        <v>25</v>
      </c>
      <c r="I116" s="26">
        <f>G116+H116</f>
        <v>75</v>
      </c>
      <c r="J116" s="26" cm="1">
        <f t="array" ref="J116">Common_InputFunctions.Utility_LookupValueInTableTwoColumns(D116,E116,Table_SourceData_WasteSolid_WasteTreatmentEFs[Treatment type t],Table_SourceData_WasteSolid_WasteTreatmentEFs[Waste type w],Table_SourceData_WasteSolid_WasteTreatmentEFs[EFwt])</f>
        <v>2.1</v>
      </c>
      <c r="K116" s="26" cm="1">
        <f t="array" ref="K116">WasteSolid_Equations.VEERG_10_1_1_1__1_EmissionsFromWasteManagement(I116, J116)</f>
        <v>157.5</v>
      </c>
    </row>
    <row r="117" spans="4:11" ht="20" customHeight="1" x14ac:dyDescent="0.25">
      <c r="D117" s="45" t="str">
        <v>Landfill</v>
      </c>
      <c r="E117" s="47" t="str">
        <v>Paper and cardboard</v>
      </c>
      <c r="F117" s="68"/>
      <c r="G117" s="26"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26">
        <f t="shared" si="0"/>
        <v>4.5</v>
      </c>
      <c r="I117" s="26">
        <f t="shared" ref="I117:I135" si="1">G117+H117</f>
        <v>54.5</v>
      </c>
      <c r="J117" s="26" cm="1">
        <f t="array" ref="J117">Common_InputFunctions.Utility_LookupValueInTableTwoColumns(D117,E117,Table_SourceData_WasteSolid_WasteTreatmentEFs[Treatment type t],Table_SourceData_WasteSolid_WasteTreatmentEFs[Waste type w],Table_SourceData_WasteSolid_WasteTreatmentEFs[EFwt])</f>
        <v>3.3</v>
      </c>
      <c r="K117" s="26" cm="1">
        <f t="array" ref="K117">WasteSolid_Equations.VEERG_10_1_1_1__1_EmissionsFromWasteManagement(I117, J117)</f>
        <v>179.85</v>
      </c>
    </row>
    <row r="118" spans="4:11" ht="20" customHeight="1" x14ac:dyDescent="0.25">
      <c r="D118" s="45" t="str">
        <v>Landfill</v>
      </c>
      <c r="E118" s="47" t="str">
        <v>Green waste (including crop residues or prunings)</v>
      </c>
      <c r="F118" s="68"/>
      <c r="G118" s="26"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26">
        <f t="shared" si="0"/>
        <v>12</v>
      </c>
      <c r="I118" s="26">
        <f t="shared" si="1"/>
        <v>62</v>
      </c>
      <c r="J118" s="26" cm="1">
        <f t="array" ref="J118">Common_InputFunctions.Utility_LookupValueInTableTwoColumns(D118,E118,Table_SourceData_WasteSolid_WasteTreatmentEFs[Treatment type t],Table_SourceData_WasteSolid_WasteTreatmentEFs[Waste type w],Table_SourceData_WasteSolid_WasteTreatmentEFs[EFwt])</f>
        <v>1.6</v>
      </c>
      <c r="K118" s="26" cm="1">
        <f t="array" ref="K118">WasteSolid_Equations.VEERG_10_1_1_1__1_EmissionsFromWasteManagement(I118, J118)</f>
        <v>99.2</v>
      </c>
    </row>
    <row r="119" spans="4:11" ht="20" customHeight="1" x14ac:dyDescent="0.25">
      <c r="D119" s="45" t="str">
        <v>Landfill</v>
      </c>
      <c r="E119" s="47" t="str">
        <v>Wood</v>
      </c>
      <c r="F119" s="68"/>
      <c r="G119" s="26"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26">
        <f t="shared" si="0"/>
        <v>0</v>
      </c>
      <c r="I119" s="26">
        <f t="shared" si="1"/>
        <v>0</v>
      </c>
      <c r="J119" s="26" cm="1">
        <f t="array" ref="J119">Common_InputFunctions.Utility_LookupValueInTableTwoColumns(D119,E119,Table_SourceData_WasteSolid_WasteTreatmentEFs[Treatment type t],Table_SourceData_WasteSolid_WasteTreatmentEFs[Waste type w],Table_SourceData_WasteSolid_WasteTreatmentEFs[EFwt])</f>
        <v>0.7</v>
      </c>
      <c r="K119" s="26" cm="1">
        <f t="array" ref="K119">WasteSolid_Equations.VEERG_10_1_1_1__1_EmissionsFromWasteManagement(I119, J119)</f>
        <v>0</v>
      </c>
    </row>
    <row r="120" spans="4:11" ht="20" customHeight="1" x14ac:dyDescent="0.25">
      <c r="D120" s="45" t="str">
        <v>Landfill</v>
      </c>
      <c r="E120" s="47" t="str">
        <v>Textiles</v>
      </c>
      <c r="F120" s="68"/>
      <c r="G120" s="26"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26">
        <f t="shared" si="0"/>
        <v>0</v>
      </c>
      <c r="I120" s="26">
        <f t="shared" si="1"/>
        <v>0</v>
      </c>
      <c r="J120" s="26" cm="1">
        <f t="array" ref="J120">Common_InputFunctions.Utility_LookupValueInTableTwoColumns(D120,E120,Table_SourceData_WasteSolid_WasteTreatmentEFs[Treatment type t],Table_SourceData_WasteSolid_WasteTreatmentEFs[Waste type w],Table_SourceData_WasteSolid_WasteTreatmentEFs[EFwt])</f>
        <v>2</v>
      </c>
      <c r="K120" s="26" cm="1">
        <f t="array" ref="K120">WasteSolid_Equations.VEERG_10_1_1_1__1_EmissionsFromWasteManagement(I120, J120)</f>
        <v>0</v>
      </c>
    </row>
    <row r="121" spans="4:11" ht="20" customHeight="1" x14ac:dyDescent="0.25">
      <c r="D121" s="45" t="str">
        <v>Landfill</v>
      </c>
      <c r="E121" s="47" t="str">
        <v>Sludge</v>
      </c>
      <c r="F121" s="68"/>
      <c r="G121" s="26"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26">
        <f t="shared" si="0"/>
        <v>0</v>
      </c>
      <c r="I121" s="26">
        <f t="shared" si="1"/>
        <v>0</v>
      </c>
      <c r="J121" s="26" cm="1">
        <f t="array" ref="J121">Common_InputFunctions.Utility_LookupValueInTableTwoColumns(D121,E121,Table_SourceData_WasteSolid_WasteTreatmentEFs[Treatment type t],Table_SourceData_WasteSolid_WasteTreatmentEFs[Waste type w],Table_SourceData_WasteSolid_WasteTreatmentEFs[EFwt])</f>
        <v>0.4</v>
      </c>
      <c r="K121" s="26" cm="1">
        <f t="array" ref="K121">WasteSolid_Equations.VEERG_10_1_1_1__1_EmissionsFromWasteManagement(I121, J121)</f>
        <v>0</v>
      </c>
    </row>
    <row r="122" spans="4:11" ht="20" customHeight="1" x14ac:dyDescent="0.25">
      <c r="D122" s="45" t="str">
        <v>Landfill</v>
      </c>
      <c r="E122" s="47" t="str">
        <v>Rubber and leather</v>
      </c>
      <c r="F122" s="68"/>
      <c r="G122" s="26"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26">
        <f t="shared" si="0"/>
        <v>0</v>
      </c>
      <c r="I122" s="26">
        <f t="shared" si="1"/>
        <v>0</v>
      </c>
      <c r="J122" s="26" cm="1">
        <f t="array" ref="J122">Common_InputFunctions.Utility_LookupValueInTableTwoColumns(D122,E122,Table_SourceData_WasteSolid_WasteTreatmentEFs[Treatment type t],Table_SourceData_WasteSolid_WasteTreatmentEFs[Waste type w],Table_SourceData_WasteSolid_WasteTreatmentEFs[EFwt])</f>
        <v>3.3</v>
      </c>
      <c r="K122" s="26" cm="1">
        <f t="array" ref="K122">WasteSolid_Equations.VEERG_10_1_1_1__1_EmissionsFromWasteManagement(I122, J122)</f>
        <v>0</v>
      </c>
    </row>
    <row r="123" spans="4:11" ht="20" customHeight="1" x14ac:dyDescent="0.25">
      <c r="D123" s="45" t="str">
        <v>Landfill</v>
      </c>
      <c r="E123" s="47" t="str">
        <v>Inert waste (including concrete, metal, plastic or glass)</v>
      </c>
      <c r="F123" s="68"/>
      <c r="G123" s="26"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26">
        <f t="shared" si="0"/>
        <v>0</v>
      </c>
      <c r="I123" s="26">
        <f t="shared" si="1"/>
        <v>0</v>
      </c>
      <c r="J123" s="26" cm="1">
        <f t="array" ref="J123">Common_InputFunctions.Utility_LookupValueInTableTwoColumns(D123,E123,Table_SourceData_WasteSolid_WasteTreatmentEFs[Treatment type t],Table_SourceData_WasteSolid_WasteTreatmentEFs[Waste type w],Table_SourceData_WasteSolid_WasteTreatmentEFs[EFwt])</f>
        <v>0</v>
      </c>
      <c r="K123" s="26" cm="1">
        <f t="array" ref="K123">WasteSolid_Equations.VEERG_10_1_1_1__1_EmissionsFromWasteManagement(I123, J123)</f>
        <v>0</v>
      </c>
    </row>
    <row r="124" spans="4:11" ht="20" customHeight="1" x14ac:dyDescent="0.25">
      <c r="D124" s="45" t="str">
        <v>Landfill</v>
      </c>
      <c r="E124" s="47" t="str">
        <v>Municipal solid waste</v>
      </c>
      <c r="F124" s="68"/>
      <c r="G124" s="26"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26">
        <f t="shared" si="0"/>
        <v>0</v>
      </c>
      <c r="I124" s="26">
        <f t="shared" si="1"/>
        <v>0</v>
      </c>
      <c r="J124" s="26" cm="1">
        <f t="array" ref="J124">Common_InputFunctions.Utility_LookupValueInTableTwoColumns(D124,E124,Table_SourceData_WasteSolid_WasteTreatmentEFs[Treatment type t],Table_SourceData_WasteSolid_WasteTreatmentEFs[Waste type w],Table_SourceData_WasteSolid_WasteTreatmentEFs[EFwt])</f>
        <v>1.6</v>
      </c>
      <c r="K124" s="26" cm="1">
        <f t="array" ref="K124">WasteSolid_Equations.VEERG_10_1_1_1__1_EmissionsFromWasteManagement(I124, J124)</f>
        <v>0</v>
      </c>
    </row>
    <row r="125" spans="4:11" ht="20" customHeight="1" x14ac:dyDescent="0.25">
      <c r="D125" s="45" t="str">
        <v>Landfill</v>
      </c>
      <c r="E125" s="47" t="str">
        <v>Commercial and industrial waste</v>
      </c>
      <c r="F125" s="68"/>
      <c r="G125" s="26"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26">
        <f t="shared" si="0"/>
        <v>0</v>
      </c>
      <c r="I125" s="26">
        <f t="shared" si="1"/>
        <v>0</v>
      </c>
      <c r="J125" s="26" cm="1">
        <f t="array" ref="J125">Common_InputFunctions.Utility_LookupValueInTableTwoColumns(D125,E125,Table_SourceData_WasteSolid_WasteTreatmentEFs[Treatment type t],Table_SourceData_WasteSolid_WasteTreatmentEFs[Waste type w],Table_SourceData_WasteSolid_WasteTreatmentEFs[EFwt])</f>
        <v>1.3</v>
      </c>
      <c r="K125" s="26" cm="1">
        <f t="array" ref="K125">WasteSolid_Equations.VEERG_10_1_1_1__1_EmissionsFromWasteManagement(I125, J125)</f>
        <v>0</v>
      </c>
    </row>
    <row r="126" spans="4:11" ht="20" customHeight="1" x14ac:dyDescent="0.25">
      <c r="D126" s="45" t="str">
        <v>Landfill</v>
      </c>
      <c r="E126" s="47" t="str">
        <v>Construction and demolition waste</v>
      </c>
      <c r="F126" s="68"/>
      <c r="G126" s="26"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26">
        <f t="shared" si="0"/>
        <v>0</v>
      </c>
      <c r="I126" s="26">
        <f t="shared" si="1"/>
        <v>0</v>
      </c>
      <c r="J126" s="26" cm="1">
        <f t="array" ref="J126">Common_InputFunctions.Utility_LookupValueInTableTwoColumns(D126,E126,Table_SourceData_WasteSolid_WasteTreatmentEFs[Treatment type t],Table_SourceData_WasteSolid_WasteTreatmentEFs[Waste type w],Table_SourceData_WasteSolid_WasteTreatmentEFs[EFwt])</f>
        <v>0.2</v>
      </c>
      <c r="K126" s="26" cm="1">
        <f t="array" ref="K126">WasteSolid_Equations.VEERG_10_1_1_1__1_EmissionsFromWasteManagement(I126, J126)</f>
        <v>0</v>
      </c>
    </row>
    <row r="127" spans="4:11" ht="20" customHeight="1" x14ac:dyDescent="0.25">
      <c r="D127" s="45" t="str">
        <v>Incineration</v>
      </c>
      <c r="E127" s="47" t="str">
        <v>Food waste, green waste, wood, sludge</v>
      </c>
      <c r="F127" s="68"/>
      <c r="G127" s="26" t="s">
        <v>149</v>
      </c>
      <c r="H127" s="26" t="str">
        <f t="shared" si="0"/>
        <v>Not used</v>
      </c>
      <c r="I127" s="26">
        <f>SUM(G128:G131)+SUM(H128:H131)+N("Partial sum")</f>
        <v>74</v>
      </c>
      <c r="J127" s="26" cm="1">
        <f t="array" ref="J127">Common_InputFunctions.Utility_LookupValueInTableTwoColumns(D127,E127,Table_SourceData_WasteSolid_WasteTreatmentEFs[Treatment type t],Table_SourceData_WasteSolid_WasteTreatmentEFs[Waste type w],Table_SourceData_WasteSolid_WasteTreatmentEFs[EFwt])</f>
        <v>0</v>
      </c>
      <c r="K127" s="26" cm="1">
        <f t="array" ref="K127">WasteSolid_Equations.VEERG_10_1_1_1__1_EmissionsFromWasteManagement(I127, J127)</f>
        <v>0</v>
      </c>
    </row>
    <row r="128" spans="4:11" ht="20" customHeight="1" x14ac:dyDescent="0.25">
      <c r="D128" s="45" t="str">
        <v>Incineration</v>
      </c>
      <c r="E128" s="47" t="str">
        <v>Food waste (including animal carcasses, spoiled animal feed or crop)</v>
      </c>
      <c r="F128" s="68"/>
      <c r="G128" s="26"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26">
        <f t="shared" si="0"/>
        <v>0</v>
      </c>
      <c r="I128" s="26" t="s">
        <v>154</v>
      </c>
      <c r="J128" s="26" t="s">
        <v>149</v>
      </c>
      <c r="K128" s="26" t="s">
        <v>149</v>
      </c>
    </row>
    <row r="129" spans="4:11" ht="20" customHeight="1" x14ac:dyDescent="0.25">
      <c r="D129" s="45" t="str">
        <v>Incineration</v>
      </c>
      <c r="E129" s="47" t="str">
        <v>Green waste (including crop residues or prunings)</v>
      </c>
      <c r="F129" s="68"/>
      <c r="G129" s="26"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26">
        <f t="shared" si="0"/>
        <v>24</v>
      </c>
      <c r="I129" s="26" t="s">
        <v>154</v>
      </c>
      <c r="J129" s="26" t="s">
        <v>149</v>
      </c>
      <c r="K129" s="26" t="s">
        <v>149</v>
      </c>
    </row>
    <row r="130" spans="4:11" ht="20" customHeight="1" x14ac:dyDescent="0.25">
      <c r="D130" s="45" t="str">
        <v>Incineration</v>
      </c>
      <c r="E130" s="47" t="str">
        <v>Wood</v>
      </c>
      <c r="F130" s="68"/>
      <c r="G130" s="26"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26">
        <f t="shared" si="0"/>
        <v>0</v>
      </c>
      <c r="I130" s="26" t="s">
        <v>154</v>
      </c>
      <c r="J130" s="26" t="s">
        <v>149</v>
      </c>
      <c r="K130" s="26" t="s">
        <v>149</v>
      </c>
    </row>
    <row r="131" spans="4:11" ht="20" customHeight="1" x14ac:dyDescent="0.25">
      <c r="D131" s="45" t="str">
        <v>Incineration</v>
      </c>
      <c r="E131" s="47" t="str">
        <v>Sludge</v>
      </c>
      <c r="F131" s="68"/>
      <c r="G131" s="26"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26">
        <f t="shared" si="0"/>
        <v>0</v>
      </c>
      <c r="I131" s="26" t="s">
        <v>154</v>
      </c>
      <c r="J131" s="26" t="s">
        <v>149</v>
      </c>
      <c r="K131" s="26" t="s">
        <v>149</v>
      </c>
    </row>
    <row r="132" spans="4:11" ht="20" customHeight="1" x14ac:dyDescent="0.25">
      <c r="D132" s="45" t="str">
        <v>Incineration</v>
      </c>
      <c r="E132" s="47" t="str">
        <v>Paper and cardboard</v>
      </c>
      <c r="F132" s="68"/>
      <c r="G132" s="26"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26">
        <f t="shared" si="0"/>
        <v>4.5</v>
      </c>
      <c r="I132" s="26">
        <f>G132+H132+N("Partial sum")</f>
        <v>54.5</v>
      </c>
      <c r="J132" s="26"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26" cm="1">
        <f t="array" ref="K132">WasteSolid_Equations.VEERG_10_1_1_1__1_EmissionsFromWasteManagement(I132, J132)</f>
        <v>0.92104999999999992</v>
      </c>
    </row>
    <row r="133" spans="4:11" ht="20" customHeight="1" x14ac:dyDescent="0.25">
      <c r="D133" s="45" t="str">
        <v>Incineration</v>
      </c>
      <c r="E133" s="47" t="str">
        <v>Textiles</v>
      </c>
      <c r="F133" s="68"/>
      <c r="G133" s="26"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26">
        <f t="shared" si="0"/>
        <v>0</v>
      </c>
      <c r="I133" s="26">
        <f t="shared" si="1"/>
        <v>0</v>
      </c>
      <c r="J133" s="26"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26" cm="1">
        <f t="array" ref="K133">WasteSolid_Equations.VEERG_10_1_1_1__1_EmissionsFromWasteManagement(I133, J133)</f>
        <v>0</v>
      </c>
    </row>
    <row r="134" spans="4:11" ht="20" customHeight="1" x14ac:dyDescent="0.25">
      <c r="D134" s="45" t="str">
        <v>Incineration</v>
      </c>
      <c r="E134" s="47" t="str">
        <v>Rubber and leather</v>
      </c>
      <c r="F134" s="68"/>
      <c r="G134" s="26"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26">
        <f t="shared" si="0"/>
        <v>0</v>
      </c>
      <c r="I134" s="26">
        <f t="shared" si="1"/>
        <v>0</v>
      </c>
      <c r="J134" s="26" cm="1">
        <f t="array" ref="J134">Common_InputFunctions.Utility_LookupValueInTableTwoColumns(D134,E134,Table_SourceData_WasteSolid_WasteTreatmentEFs[Treatment type t],Table_SourceData_WasteSolid_WasteTreatmentEFs[Waste type w],Table_SourceData_WasteSolid_WasteTreatmentEFs[EFwt])</f>
        <v>0.4919</v>
      </c>
      <c r="K134" s="26" cm="1">
        <f t="array" ref="K134">WasteSolid_Equations.VEERG_10_1_1_1__1_EmissionsFromWasteManagement(I134, J134)</f>
        <v>0</v>
      </c>
    </row>
    <row r="135" spans="4:11" ht="20" customHeight="1" x14ac:dyDescent="0.25">
      <c r="D135" s="45" t="str">
        <v>Incineration</v>
      </c>
      <c r="E135" s="47" t="str">
        <v>Inert waste (including concrete, metal, plastic or glass)</v>
      </c>
      <c r="F135" s="68"/>
      <c r="G135" s="26"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26">
        <f t="shared" si="0"/>
        <v>0</v>
      </c>
      <c r="I135" s="26">
        <f t="shared" si="1"/>
        <v>0</v>
      </c>
      <c r="J135" s="26" cm="1">
        <f t="array" ref="J135">Common_InputFunctions.Utility_LookupValueInTableTwoColumns(D135,E135,Table_SourceData_WasteSolid_WasteTreatmentEFs[Treatment type t],Table_SourceData_WasteSolid_WasteTreatmentEFs[Waste type w],Table_SourceData_WasteSolid_WasteTreatmentEFs[EFwt])</f>
        <v>0.11</v>
      </c>
      <c r="K135" s="26" cm="1">
        <f t="array" ref="K135">WasteSolid_Equations.VEERG_10_1_1_1__1_EmissionsFromWasteManagement(I135, J135)</f>
        <v>0</v>
      </c>
    </row>
    <row r="136" spans="4:11" ht="20" customHeight="1" x14ac:dyDescent="0.25">
      <c r="D136" s="45" t="str">
        <v>Incineration</v>
      </c>
      <c r="E136" s="47" t="str">
        <v>Municipal solid waste</v>
      </c>
      <c r="F136" s="46"/>
      <c r="G136" s="26"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26">
        <f t="shared" ref="H136:H149" si="2">I41</f>
        <v>0</v>
      </c>
      <c r="I136" s="26">
        <f t="shared" ref="I136:I137" si="3">G136+H136</f>
        <v>0</v>
      </c>
      <c r="J136" s="26"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26" cm="1">
        <f t="array" ref="K136">WasteSolid_Equations.VEERG_10_1_1_1__1_EmissionsFromWasteManagement(I136, J136)</f>
        <v>0</v>
      </c>
    </row>
    <row r="137" spans="4:11" ht="20" customHeight="1" x14ac:dyDescent="0.25">
      <c r="D137" s="45" t="str">
        <v>Incineration</v>
      </c>
      <c r="E137" s="47" t="str">
        <v>Commercial and industrial waste</v>
      </c>
      <c r="F137" s="46"/>
      <c r="G137" s="26"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26">
        <f t="shared" si="2"/>
        <v>0</v>
      </c>
      <c r="I137" s="26">
        <f t="shared" si="3"/>
        <v>0</v>
      </c>
      <c r="J137" s="26" cm="1">
        <f t="array" ref="J137">Common_InputFunctions.Utility_LookupValueInTableTwoColumns(D137,E137,Table_SourceData_WasteSolid_WasteTreatmentEFs[Treatment type t],Table_SourceData_WasteSolid_WasteTreatmentEFs[Waste type w],Table_SourceData_WasteSolid_WasteTreatmentEFs[EFwt])</f>
        <v>1.649</v>
      </c>
      <c r="K137" s="26" cm="1">
        <f t="array" ref="K137">WasteSolid_Equations.VEERG_10_1_1_1__1_EmissionsFromWasteManagement(I137, J137)</f>
        <v>0</v>
      </c>
    </row>
    <row r="138" spans="4:11" ht="20" customHeight="1" x14ac:dyDescent="0.25">
      <c r="D138" s="45" t="str">
        <v>Composting</v>
      </c>
      <c r="E138" s="47" t="str">
        <v>All organic waste</v>
      </c>
      <c r="F138" s="46"/>
      <c r="G138" s="26" t="s">
        <v>149</v>
      </c>
      <c r="H138" s="26" t="str">
        <f t="shared" si="2"/>
        <v>Not used</v>
      </c>
      <c r="I138" s="26">
        <f>SUM(G139:G143)+SUM(H139:H143)+N("Partial sum")</f>
        <v>29.5</v>
      </c>
      <c r="J138" s="26"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26" cm="1">
        <f t="array" ref="K138">WasteSolid_Equations.VEERG_10_1_1_1__1_EmissionsFromWasteManagement(I138, J138)</f>
        <v>1.357</v>
      </c>
    </row>
    <row r="139" spans="4:11" ht="20" customHeight="1" x14ac:dyDescent="0.25">
      <c r="D139" s="45" t="str">
        <v>Composting</v>
      </c>
      <c r="E139" s="47" t="str">
        <v>Food waste (including animal carcasses, spoiled animal feed or crop)</v>
      </c>
      <c r="F139" s="46"/>
      <c r="G139" s="26"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26">
        <f t="shared" si="2"/>
        <v>25</v>
      </c>
      <c r="I139" s="26" t="s">
        <v>154</v>
      </c>
      <c r="J139" s="26" t="s">
        <v>149</v>
      </c>
      <c r="K139" s="26" t="s">
        <v>149</v>
      </c>
    </row>
    <row r="140" spans="4:11" ht="20" customHeight="1" x14ac:dyDescent="0.25">
      <c r="D140" s="45" t="str">
        <v>Composting</v>
      </c>
      <c r="E140" s="47" t="str">
        <v>Green waste (including crop residues or prunings)</v>
      </c>
      <c r="F140" s="46"/>
      <c r="G140" s="26"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26">
        <f t="shared" si="2"/>
        <v>0</v>
      </c>
      <c r="I140" s="26" t="s">
        <v>154</v>
      </c>
      <c r="J140" s="26" t="s">
        <v>149</v>
      </c>
      <c r="K140" s="26" t="s">
        <v>149</v>
      </c>
    </row>
    <row r="141" spans="4:11" ht="20" customHeight="1" x14ac:dyDescent="0.25">
      <c r="D141" s="45" t="str">
        <v>Composting</v>
      </c>
      <c r="E141" s="47" t="str">
        <v>Wood</v>
      </c>
      <c r="F141" s="46"/>
      <c r="G141" s="26"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26">
        <f t="shared" si="2"/>
        <v>0</v>
      </c>
      <c r="I141" s="26" t="s">
        <v>154</v>
      </c>
      <c r="J141" s="26" t="s">
        <v>149</v>
      </c>
      <c r="K141" s="26" t="s">
        <v>149</v>
      </c>
    </row>
    <row r="142" spans="4:11" ht="20" customHeight="1" x14ac:dyDescent="0.25">
      <c r="D142" s="45" t="str">
        <v>Composting</v>
      </c>
      <c r="E142" s="47" t="str">
        <v>Sludge</v>
      </c>
      <c r="F142" s="46"/>
      <c r="G142" s="26"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26">
        <f t="shared" si="2"/>
        <v>0</v>
      </c>
      <c r="I142" s="26" t="s">
        <v>154</v>
      </c>
      <c r="J142" s="26" t="s">
        <v>149</v>
      </c>
      <c r="K142" s="26" t="s">
        <v>149</v>
      </c>
    </row>
    <row r="143" spans="4:11" ht="20" customHeight="1" x14ac:dyDescent="0.25">
      <c r="D143" s="45" t="str">
        <v>Composting</v>
      </c>
      <c r="E143" s="47" t="str">
        <v>Paper and cardboard</v>
      </c>
      <c r="F143" s="46"/>
      <c r="G143" s="26"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26">
        <f t="shared" si="2"/>
        <v>4.5</v>
      </c>
      <c r="I143" s="26" t="s">
        <v>154</v>
      </c>
      <c r="J143" s="26" t="s">
        <v>149</v>
      </c>
      <c r="K143" s="26" t="s">
        <v>149</v>
      </c>
    </row>
    <row r="144" spans="4:11" ht="20" customHeight="1" x14ac:dyDescent="0.25">
      <c r="D144" s="45" t="str">
        <v>Anaerobic digestion</v>
      </c>
      <c r="E144" s="47" t="str">
        <v>All organic waste</v>
      </c>
      <c r="F144" s="46"/>
      <c r="G144" s="26" t="s">
        <v>149</v>
      </c>
      <c r="H144" s="26" t="str">
        <f t="shared" si="2"/>
        <v>Not used</v>
      </c>
      <c r="I144" s="26">
        <f>SUM(G145:G149)+SUM(H145:H149)+N("Partial sum")</f>
        <v>0</v>
      </c>
      <c r="J144" s="26"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26" cm="1">
        <f t="array" ref="K144">WasteSolid_Equations.VEERG_10_1_1_1__1_EmissionsFromWasteManagement(I144, J144)</f>
        <v>0</v>
      </c>
    </row>
    <row r="145" spans="4:11" ht="20" customHeight="1" x14ac:dyDescent="0.25">
      <c r="D145" s="45" t="str">
        <v>Anaerobic digestion</v>
      </c>
      <c r="E145" s="47" t="str">
        <v>Food waste (including animal carcasses, spoiled animal feed or crop)</v>
      </c>
      <c r="F145" s="46"/>
      <c r="G145" s="26"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26">
        <f t="shared" si="2"/>
        <v>0</v>
      </c>
      <c r="I145" s="26" t="s">
        <v>154</v>
      </c>
      <c r="J145" s="26" t="s">
        <v>149</v>
      </c>
      <c r="K145" s="26" t="s">
        <v>149</v>
      </c>
    </row>
    <row r="146" spans="4:11" ht="20" customHeight="1" x14ac:dyDescent="0.25">
      <c r="D146" s="45" t="str">
        <v>Anaerobic digestion</v>
      </c>
      <c r="E146" s="47" t="str">
        <v>Green waste (including crop residues or prunings)</v>
      </c>
      <c r="F146" s="46"/>
      <c r="G146" s="26"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26">
        <f t="shared" si="2"/>
        <v>0</v>
      </c>
      <c r="I146" s="26" t="s">
        <v>154</v>
      </c>
      <c r="J146" s="26" t="s">
        <v>149</v>
      </c>
      <c r="K146" s="26" t="s">
        <v>149</v>
      </c>
    </row>
    <row r="147" spans="4:11" ht="20" customHeight="1" x14ac:dyDescent="0.25">
      <c r="D147" s="45" t="str">
        <v>Anaerobic digestion</v>
      </c>
      <c r="E147" s="47" t="str">
        <v>Wood</v>
      </c>
      <c r="F147" s="46"/>
      <c r="G147" s="26"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26">
        <f t="shared" si="2"/>
        <v>0</v>
      </c>
      <c r="I147" s="26" t="s">
        <v>154</v>
      </c>
      <c r="J147" s="26" t="s">
        <v>149</v>
      </c>
      <c r="K147" s="26" t="s">
        <v>149</v>
      </c>
    </row>
    <row r="148" spans="4:11" ht="20" customHeight="1" x14ac:dyDescent="0.25">
      <c r="D148" s="45" t="str">
        <v>Anaerobic digestion</v>
      </c>
      <c r="E148" s="47" t="str">
        <v>Sludge</v>
      </c>
      <c r="F148" s="46"/>
      <c r="G148" s="26"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26">
        <f t="shared" si="2"/>
        <v>0</v>
      </c>
      <c r="I148" s="26" t="s">
        <v>154</v>
      </c>
      <c r="J148" s="26" t="s">
        <v>149</v>
      </c>
      <c r="K148" s="26" t="s">
        <v>149</v>
      </c>
    </row>
    <row r="149" spans="4:11" ht="20" customHeight="1" x14ac:dyDescent="0.25">
      <c r="D149" s="45" t="str">
        <v>Anaerobic digestion</v>
      </c>
      <c r="E149" s="47" t="str">
        <v>Paper and cardboard</v>
      </c>
      <c r="F149" s="46"/>
      <c r="G149" s="26"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26">
        <f t="shared" si="2"/>
        <v>0</v>
      </c>
      <c r="I149" s="26" t="s">
        <v>154</v>
      </c>
      <c r="J149" s="26" t="s">
        <v>149</v>
      </c>
      <c r="K149" s="26" t="s">
        <v>149</v>
      </c>
    </row>
    <row r="150" spans="4:11" ht="20" customHeight="1" x14ac:dyDescent="0.25"/>
    <row r="151" spans="4:11" ht="20" customHeight="1" x14ac:dyDescent="0.25">
      <c r="D151" s="57" t="s">
        <v>118</v>
      </c>
      <c r="E151" s="59">
        <f>SUM(K116:K149)</f>
        <v>438.82805000000002</v>
      </c>
      <c r="F151" s="64" t="str">
        <f>$E$103</f>
        <v>t CO2e</v>
      </c>
    </row>
    <row r="152" spans="4:11" ht="20" customHeight="1" x14ac:dyDescent="0.25"/>
    <row r="153" spans="4:11" ht="20" customHeight="1" x14ac:dyDescent="0.25"/>
    <row r="154" spans="4:11" ht="20" customHeight="1" x14ac:dyDescent="0.25">
      <c r="D154" s="65" t="s">
        <v>124</v>
      </c>
    </row>
    <row r="155" spans="4:11" ht="20" customHeight="1" x14ac:dyDescent="0.25">
      <c r="D155" s="66" t="s">
        <v>125</v>
      </c>
    </row>
    <row r="156" spans="4:11" ht="20" customHeight="1" x14ac:dyDescent="0.25">
      <c r="D156" s="62" t="s">
        <v>93</v>
      </c>
      <c r="E156" s="62" t="s">
        <v>94</v>
      </c>
      <c r="F156" s="62"/>
      <c r="G156" s="62" t="s">
        <v>153</v>
      </c>
      <c r="H156" s="67" t="s">
        <v>152</v>
      </c>
      <c r="I156" s="67" t="s">
        <v>96</v>
      </c>
      <c r="J156" s="67" t="s">
        <v>151</v>
      </c>
      <c r="K156" s="67" t="s">
        <v>150</v>
      </c>
    </row>
    <row r="157" spans="4:11" ht="20" customHeight="1" x14ac:dyDescent="0.25">
      <c r="D157" s="45" t="str" cm="1">
        <f t="array" ref="D157:D190">Table_SourceData_WasteSolid_WasteTreatmentEFs[Treatment type t]</f>
        <v>Landfill</v>
      </c>
      <c r="E157" s="47" t="str" cm="1">
        <f t="array" ref="E157:E190">Table_SourceData_WasteSolid_WasteTreatmentEFs[Waste type w]</f>
        <v>Food waste (including animal carcasses, spoiled animal feed or crop)</v>
      </c>
      <c r="F157" s="68"/>
      <c r="G157" s="26"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26">
        <f t="shared" ref="H157:H176" si="4">I59</f>
        <v>25</v>
      </c>
      <c r="I157" s="26">
        <f>G157+H157</f>
        <v>75</v>
      </c>
      <c r="J157" s="26" cm="1">
        <f t="array" ref="J157">Common_InputFunctions.Utility_LookupValueInTableTwoColumns(D157,E157,Table_SourceData_WasteSolid_WasteTreatmentEFs[Treatment type t],Table_SourceData_WasteSolid_WasteTreatmentEFs[Waste type w],Table_SourceData_WasteSolid_WasteTreatmentEFs[EFwt])</f>
        <v>2.1</v>
      </c>
      <c r="K157" s="26" cm="1">
        <f t="array" ref="K157">WasteSolid_Equations.VEERG_10_1_1_1__1_EmissionsFromWasteManagement(I157, J157)</f>
        <v>157.5</v>
      </c>
    </row>
    <row r="158" spans="4:11" ht="20" customHeight="1" x14ac:dyDescent="0.25">
      <c r="D158" s="45" t="str">
        <v>Landfill</v>
      </c>
      <c r="E158" s="47" t="str">
        <v>Paper and cardboard</v>
      </c>
      <c r="F158" s="68"/>
      <c r="G158" s="26"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26">
        <f t="shared" si="4"/>
        <v>4.5</v>
      </c>
      <c r="I158" s="26">
        <f t="shared" ref="I158:I176" si="5">G158+H158</f>
        <v>54.5</v>
      </c>
      <c r="J158" s="26" cm="1">
        <f t="array" ref="J158">Common_InputFunctions.Utility_LookupValueInTableTwoColumns(D158,E158,Table_SourceData_WasteSolid_WasteTreatmentEFs[Treatment type t],Table_SourceData_WasteSolid_WasteTreatmentEFs[Waste type w],Table_SourceData_WasteSolid_WasteTreatmentEFs[EFwt])</f>
        <v>3.3</v>
      </c>
      <c r="K158" s="26" cm="1">
        <f t="array" ref="K158">WasteSolid_Equations.VEERG_10_1_1_1__1_EmissionsFromWasteManagement(I158, J158)</f>
        <v>179.85</v>
      </c>
    </row>
    <row r="159" spans="4:11" ht="20" customHeight="1" x14ac:dyDescent="0.25">
      <c r="D159" s="45" t="str">
        <v>Landfill</v>
      </c>
      <c r="E159" s="47" t="str">
        <v>Green waste (including crop residues or prunings)</v>
      </c>
      <c r="F159" s="68"/>
      <c r="G159" s="26"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26">
        <f t="shared" si="4"/>
        <v>12</v>
      </c>
      <c r="I159" s="26">
        <f t="shared" si="5"/>
        <v>62</v>
      </c>
      <c r="J159" s="26" cm="1">
        <f t="array" ref="J159">Common_InputFunctions.Utility_LookupValueInTableTwoColumns(D159,E159,Table_SourceData_WasteSolid_WasteTreatmentEFs[Treatment type t],Table_SourceData_WasteSolid_WasteTreatmentEFs[Waste type w],Table_SourceData_WasteSolid_WasteTreatmentEFs[EFwt])</f>
        <v>1.6</v>
      </c>
      <c r="K159" s="26" cm="1">
        <f t="array" ref="K159">WasteSolid_Equations.VEERG_10_1_1_1__1_EmissionsFromWasteManagement(I159, J159)</f>
        <v>99.2</v>
      </c>
    </row>
    <row r="160" spans="4:11" ht="20" customHeight="1" x14ac:dyDescent="0.25">
      <c r="D160" s="45" t="str">
        <v>Landfill</v>
      </c>
      <c r="E160" s="47" t="str">
        <v>Wood</v>
      </c>
      <c r="F160" s="68"/>
      <c r="G160" s="26"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26">
        <f t="shared" si="4"/>
        <v>0</v>
      </c>
      <c r="I160" s="26">
        <f t="shared" si="5"/>
        <v>0</v>
      </c>
      <c r="J160" s="26" cm="1">
        <f t="array" ref="J160">Common_InputFunctions.Utility_LookupValueInTableTwoColumns(D160,E160,Table_SourceData_WasteSolid_WasteTreatmentEFs[Treatment type t],Table_SourceData_WasteSolid_WasteTreatmentEFs[Waste type w],Table_SourceData_WasteSolid_WasteTreatmentEFs[EFwt])</f>
        <v>0.7</v>
      </c>
      <c r="K160" s="26" cm="1">
        <f t="array" ref="K160">WasteSolid_Equations.VEERG_10_1_1_1__1_EmissionsFromWasteManagement(I160, J160)</f>
        <v>0</v>
      </c>
    </row>
    <row r="161" spans="4:11" ht="20" customHeight="1" x14ac:dyDescent="0.25">
      <c r="D161" s="45" t="str">
        <v>Landfill</v>
      </c>
      <c r="E161" s="47" t="str">
        <v>Textiles</v>
      </c>
      <c r="F161" s="68"/>
      <c r="G161" s="26"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26">
        <f t="shared" si="4"/>
        <v>0</v>
      </c>
      <c r="I161" s="26">
        <f t="shared" si="5"/>
        <v>0</v>
      </c>
      <c r="J161" s="26" cm="1">
        <f t="array" ref="J161">Common_InputFunctions.Utility_LookupValueInTableTwoColumns(D161,E161,Table_SourceData_WasteSolid_WasteTreatmentEFs[Treatment type t],Table_SourceData_WasteSolid_WasteTreatmentEFs[Waste type w],Table_SourceData_WasteSolid_WasteTreatmentEFs[EFwt])</f>
        <v>2</v>
      </c>
      <c r="K161" s="26" cm="1">
        <f t="array" ref="K161">WasteSolid_Equations.VEERG_10_1_1_1__1_EmissionsFromWasteManagement(I161, J161)</f>
        <v>0</v>
      </c>
    </row>
    <row r="162" spans="4:11" ht="20" customHeight="1" x14ac:dyDescent="0.25">
      <c r="D162" s="45" t="str">
        <v>Landfill</v>
      </c>
      <c r="E162" s="47" t="str">
        <v>Sludge</v>
      </c>
      <c r="F162" s="68"/>
      <c r="G162" s="26"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26">
        <f t="shared" si="4"/>
        <v>0</v>
      </c>
      <c r="I162" s="26">
        <f t="shared" si="5"/>
        <v>0</v>
      </c>
      <c r="J162" s="26" cm="1">
        <f t="array" ref="J162">Common_InputFunctions.Utility_LookupValueInTableTwoColumns(D162,E162,Table_SourceData_WasteSolid_WasteTreatmentEFs[Treatment type t],Table_SourceData_WasteSolid_WasteTreatmentEFs[Waste type w],Table_SourceData_WasteSolid_WasteTreatmentEFs[EFwt])</f>
        <v>0.4</v>
      </c>
      <c r="K162" s="26" cm="1">
        <f t="array" ref="K162">WasteSolid_Equations.VEERG_10_1_1_1__1_EmissionsFromWasteManagement(I162, J162)</f>
        <v>0</v>
      </c>
    </row>
    <row r="163" spans="4:11" ht="20" customHeight="1" x14ac:dyDescent="0.25">
      <c r="D163" s="45" t="str">
        <v>Landfill</v>
      </c>
      <c r="E163" s="47" t="str">
        <v>Rubber and leather</v>
      </c>
      <c r="F163" s="68"/>
      <c r="G163" s="26"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26">
        <f t="shared" si="4"/>
        <v>0</v>
      </c>
      <c r="I163" s="26">
        <f t="shared" si="5"/>
        <v>0</v>
      </c>
      <c r="J163" s="26" cm="1">
        <f t="array" ref="J163">Common_InputFunctions.Utility_LookupValueInTableTwoColumns(D163,E163,Table_SourceData_WasteSolid_WasteTreatmentEFs[Treatment type t],Table_SourceData_WasteSolid_WasteTreatmentEFs[Waste type w],Table_SourceData_WasteSolid_WasteTreatmentEFs[EFwt])</f>
        <v>3.3</v>
      </c>
      <c r="K163" s="26" cm="1">
        <f t="array" ref="K163">WasteSolid_Equations.VEERG_10_1_1_1__1_EmissionsFromWasteManagement(I163, J163)</f>
        <v>0</v>
      </c>
    </row>
    <row r="164" spans="4:11" ht="20" customHeight="1" x14ac:dyDescent="0.25">
      <c r="D164" s="45" t="str">
        <v>Landfill</v>
      </c>
      <c r="E164" s="47" t="str">
        <v>Inert waste (including concrete, metal, plastic or glass)</v>
      </c>
      <c r="F164" s="68"/>
      <c r="G164" s="26"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26">
        <f t="shared" si="4"/>
        <v>0</v>
      </c>
      <c r="I164" s="26">
        <f t="shared" si="5"/>
        <v>0</v>
      </c>
      <c r="J164" s="26" cm="1">
        <f t="array" ref="J164">Common_InputFunctions.Utility_LookupValueInTableTwoColumns(D164,E164,Table_SourceData_WasteSolid_WasteTreatmentEFs[Treatment type t],Table_SourceData_WasteSolid_WasteTreatmentEFs[Waste type w],Table_SourceData_WasteSolid_WasteTreatmentEFs[EFwt])</f>
        <v>0</v>
      </c>
      <c r="K164" s="26" cm="1">
        <f t="array" ref="K164">WasteSolid_Equations.VEERG_10_1_1_1__1_EmissionsFromWasteManagement(I164, J164)</f>
        <v>0</v>
      </c>
    </row>
    <row r="165" spans="4:11" ht="20" customHeight="1" x14ac:dyDescent="0.25">
      <c r="D165" s="45" t="str">
        <v>Landfill</v>
      </c>
      <c r="E165" s="47" t="str">
        <v>Municipal solid waste</v>
      </c>
      <c r="F165" s="68"/>
      <c r="G165" s="26"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26">
        <f t="shared" si="4"/>
        <v>0</v>
      </c>
      <c r="I165" s="26">
        <f t="shared" si="5"/>
        <v>0</v>
      </c>
      <c r="J165" s="26" cm="1">
        <f t="array" ref="J165">Common_InputFunctions.Utility_LookupValueInTableTwoColumns(D165,E165,Table_SourceData_WasteSolid_WasteTreatmentEFs[Treatment type t],Table_SourceData_WasteSolid_WasteTreatmentEFs[Waste type w],Table_SourceData_WasteSolid_WasteTreatmentEFs[EFwt])</f>
        <v>1.6</v>
      </c>
      <c r="K165" s="26" cm="1">
        <f t="array" ref="K165">WasteSolid_Equations.VEERG_10_1_1_1__1_EmissionsFromWasteManagement(I165, J165)</f>
        <v>0</v>
      </c>
    </row>
    <row r="166" spans="4:11" ht="20" customHeight="1" x14ac:dyDescent="0.25">
      <c r="D166" s="45" t="str">
        <v>Landfill</v>
      </c>
      <c r="E166" s="47" t="str">
        <v>Commercial and industrial waste</v>
      </c>
      <c r="F166" s="68"/>
      <c r="G166" s="26"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26">
        <f t="shared" si="4"/>
        <v>0</v>
      </c>
      <c r="I166" s="26">
        <f t="shared" si="5"/>
        <v>0</v>
      </c>
      <c r="J166" s="26" cm="1">
        <f t="array" ref="J166">Common_InputFunctions.Utility_LookupValueInTableTwoColumns(D166,E166,Table_SourceData_WasteSolid_WasteTreatmentEFs[Treatment type t],Table_SourceData_WasteSolid_WasteTreatmentEFs[Waste type w],Table_SourceData_WasteSolid_WasteTreatmentEFs[EFwt])</f>
        <v>1.3</v>
      </c>
      <c r="K166" s="26" cm="1">
        <f t="array" ref="K166">WasteSolid_Equations.VEERG_10_1_1_1__1_EmissionsFromWasteManagement(I166, J166)</f>
        <v>0</v>
      </c>
    </row>
    <row r="167" spans="4:11" ht="20" customHeight="1" x14ac:dyDescent="0.25">
      <c r="D167" s="45" t="str">
        <v>Landfill</v>
      </c>
      <c r="E167" s="47" t="str">
        <v>Construction and demolition waste</v>
      </c>
      <c r="F167" s="68"/>
      <c r="G167" s="26"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26">
        <f t="shared" si="4"/>
        <v>0</v>
      </c>
      <c r="I167" s="26">
        <f t="shared" si="5"/>
        <v>0</v>
      </c>
      <c r="J167" s="26" cm="1">
        <f t="array" ref="J167">Common_InputFunctions.Utility_LookupValueInTableTwoColumns(D167,E167,Table_SourceData_WasteSolid_WasteTreatmentEFs[Treatment type t],Table_SourceData_WasteSolid_WasteTreatmentEFs[Waste type w],Table_SourceData_WasteSolid_WasteTreatmentEFs[EFwt])</f>
        <v>0.2</v>
      </c>
      <c r="K167" s="26" cm="1">
        <f t="array" ref="K167">WasteSolid_Equations.VEERG_10_1_1_1__1_EmissionsFromWasteManagement(I167, J167)</f>
        <v>0</v>
      </c>
    </row>
    <row r="168" spans="4:11" ht="20" customHeight="1" x14ac:dyDescent="0.25">
      <c r="D168" s="45" t="str">
        <v>Incineration</v>
      </c>
      <c r="E168" s="47" t="str">
        <v>Food waste, green waste, wood, sludge</v>
      </c>
      <c r="F168" s="68"/>
      <c r="G168" s="26" t="s">
        <v>149</v>
      </c>
      <c r="H168" s="26" t="str">
        <f t="shared" si="4"/>
        <v>Not used</v>
      </c>
      <c r="I168" s="26">
        <f>SUM(G169:G172)+SUM(H169:H172)+N("Partial sum")</f>
        <v>62</v>
      </c>
      <c r="J168" s="26" cm="1">
        <f t="array" ref="J168">Common_InputFunctions.Utility_LookupValueInTableTwoColumns(D168,E168,Table_SourceData_WasteSolid_WasteTreatmentEFs[Treatment type t],Table_SourceData_WasteSolid_WasteTreatmentEFs[Waste type w],Table_SourceData_WasteSolid_WasteTreatmentEFs[EFwt])</f>
        <v>0</v>
      </c>
      <c r="K168" s="26" cm="1">
        <f t="array" ref="K168">WasteSolid_Equations.VEERG_10_1_1_1__1_EmissionsFromWasteManagement(I168, J168)</f>
        <v>0</v>
      </c>
    </row>
    <row r="169" spans="4:11" ht="20" customHeight="1" x14ac:dyDescent="0.25">
      <c r="D169" s="45" t="str">
        <v>Incineration</v>
      </c>
      <c r="E169" s="47" t="str">
        <v>Food waste (including animal carcasses, spoiled animal feed or crop)</v>
      </c>
      <c r="F169" s="68"/>
      <c r="G169" s="26"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26">
        <f t="shared" si="4"/>
        <v>0</v>
      </c>
      <c r="I169" s="26" t="s">
        <v>154</v>
      </c>
      <c r="J169" s="26" t="s">
        <v>149</v>
      </c>
      <c r="K169" s="26" t="s">
        <v>149</v>
      </c>
    </row>
    <row r="170" spans="4:11" ht="20" customHeight="1" x14ac:dyDescent="0.25">
      <c r="D170" s="45" t="str">
        <v>Incineration</v>
      </c>
      <c r="E170" s="47" t="str">
        <v>Green waste (including crop residues or prunings)</v>
      </c>
      <c r="F170" s="68"/>
      <c r="G170" s="26"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26">
        <f t="shared" si="4"/>
        <v>12</v>
      </c>
      <c r="I170" s="26" t="s">
        <v>154</v>
      </c>
      <c r="J170" s="26" t="s">
        <v>149</v>
      </c>
      <c r="K170" s="26" t="s">
        <v>149</v>
      </c>
    </row>
    <row r="171" spans="4:11" ht="20" customHeight="1" x14ac:dyDescent="0.25">
      <c r="D171" s="45" t="str">
        <v>Incineration</v>
      </c>
      <c r="E171" s="47" t="str">
        <v>Wood</v>
      </c>
      <c r="F171" s="68"/>
      <c r="G171" s="26"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26">
        <f t="shared" si="4"/>
        <v>0</v>
      </c>
      <c r="I171" s="26" t="s">
        <v>154</v>
      </c>
      <c r="J171" s="26" t="s">
        <v>149</v>
      </c>
      <c r="K171" s="26" t="s">
        <v>149</v>
      </c>
    </row>
    <row r="172" spans="4:11" ht="20" customHeight="1" x14ac:dyDescent="0.25">
      <c r="D172" s="45" t="str">
        <v>Incineration</v>
      </c>
      <c r="E172" s="47" t="str">
        <v>Sludge</v>
      </c>
      <c r="F172" s="68"/>
      <c r="G172" s="26"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26">
        <f t="shared" si="4"/>
        <v>0</v>
      </c>
      <c r="I172" s="26" t="s">
        <v>154</v>
      </c>
      <c r="J172" s="26" t="s">
        <v>149</v>
      </c>
      <c r="K172" s="26" t="s">
        <v>149</v>
      </c>
    </row>
    <row r="173" spans="4:11" ht="20" customHeight="1" x14ac:dyDescent="0.25">
      <c r="D173" s="45" t="str">
        <v>Incineration</v>
      </c>
      <c r="E173" s="47" t="str">
        <v>Paper and cardboard</v>
      </c>
      <c r="F173" s="68"/>
      <c r="G173" s="26"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26">
        <f t="shared" si="4"/>
        <v>0</v>
      </c>
      <c r="I173" s="26">
        <f t="shared" si="5"/>
        <v>0</v>
      </c>
      <c r="J173" s="26"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26" cm="1">
        <f t="array" ref="K173">WasteSolid_Equations.VEERG_10_1_1_1__1_EmissionsFromWasteManagement(I173, J173)</f>
        <v>0</v>
      </c>
    </row>
    <row r="174" spans="4:11" ht="20" customHeight="1" x14ac:dyDescent="0.25">
      <c r="D174" s="45" t="str">
        <v>Incineration</v>
      </c>
      <c r="E174" s="47" t="str">
        <v>Textiles</v>
      </c>
      <c r="F174" s="68"/>
      <c r="G174" s="26"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26">
        <f t="shared" si="4"/>
        <v>0</v>
      </c>
      <c r="I174" s="26">
        <f t="shared" si="5"/>
        <v>0</v>
      </c>
      <c r="J174" s="26"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26" cm="1">
        <f t="array" ref="K174">WasteSolid_Equations.VEERG_10_1_1_1__1_EmissionsFromWasteManagement(I174, J174)</f>
        <v>0</v>
      </c>
    </row>
    <row r="175" spans="4:11" ht="20" customHeight="1" x14ac:dyDescent="0.25">
      <c r="D175" s="45" t="str">
        <v>Incineration</v>
      </c>
      <c r="E175" s="47" t="str">
        <v>Rubber and leather</v>
      </c>
      <c r="F175" s="68"/>
      <c r="G175" s="26"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26">
        <f t="shared" si="4"/>
        <v>0</v>
      </c>
      <c r="I175" s="26">
        <f t="shared" si="5"/>
        <v>0</v>
      </c>
      <c r="J175" s="26" cm="1">
        <f t="array" ref="J175">Common_InputFunctions.Utility_LookupValueInTableTwoColumns(D175,E175,Table_SourceData_WasteSolid_WasteTreatmentEFs[Treatment type t],Table_SourceData_WasteSolid_WasteTreatmentEFs[Waste type w],Table_SourceData_WasteSolid_WasteTreatmentEFs[EFwt])</f>
        <v>0.4919</v>
      </c>
      <c r="K175" s="26" cm="1">
        <f t="array" ref="K175">WasteSolid_Equations.VEERG_10_1_1_1__1_EmissionsFromWasteManagement(I175, J175)</f>
        <v>0</v>
      </c>
    </row>
    <row r="176" spans="4:11" ht="20" customHeight="1" x14ac:dyDescent="0.25">
      <c r="D176" s="45" t="str">
        <v>Incineration</v>
      </c>
      <c r="E176" s="47" t="str">
        <v>Inert waste (including concrete, metal, plastic or glass)</v>
      </c>
      <c r="F176" s="68"/>
      <c r="G176" s="26"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26">
        <f t="shared" si="4"/>
        <v>0</v>
      </c>
      <c r="I176" s="26">
        <f t="shared" si="5"/>
        <v>0</v>
      </c>
      <c r="J176" s="26" cm="1">
        <f t="array" ref="J176">Common_InputFunctions.Utility_LookupValueInTableTwoColumns(D176,E176,Table_SourceData_WasteSolid_WasteTreatmentEFs[Treatment type t],Table_SourceData_WasteSolid_WasteTreatmentEFs[Waste type w],Table_SourceData_WasteSolid_WasteTreatmentEFs[EFwt])</f>
        <v>0.11</v>
      </c>
      <c r="K176" s="26" cm="1">
        <f t="array" ref="K176">WasteSolid_Equations.VEERG_10_1_1_1__1_EmissionsFromWasteManagement(I176, J176)</f>
        <v>0</v>
      </c>
    </row>
    <row r="177" spans="4:11" ht="20" customHeight="1" x14ac:dyDescent="0.25">
      <c r="D177" s="45" t="str">
        <v>Incineration</v>
      </c>
      <c r="E177" s="47" t="str">
        <v>Municipal solid waste</v>
      </c>
      <c r="F177" s="46"/>
      <c r="G177" s="26"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26">
        <f t="shared" ref="H177:H190" si="6">I79</f>
        <v>0</v>
      </c>
      <c r="I177" s="26">
        <f t="shared" ref="I177:I178" si="7">G177+H177</f>
        <v>0</v>
      </c>
      <c r="J177" s="26"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26" cm="1">
        <f t="array" ref="K177">WasteSolid_Equations.VEERG_10_1_1_1__1_EmissionsFromWasteManagement(I177, J177)</f>
        <v>0</v>
      </c>
    </row>
    <row r="178" spans="4:11" ht="20" customHeight="1" x14ac:dyDescent="0.25">
      <c r="D178" s="45" t="str">
        <v>Incineration</v>
      </c>
      <c r="E178" s="47" t="str">
        <v>Commercial and industrial waste</v>
      </c>
      <c r="F178" s="46"/>
      <c r="G178" s="26"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26">
        <f t="shared" si="6"/>
        <v>0</v>
      </c>
      <c r="I178" s="26">
        <f t="shared" si="7"/>
        <v>0</v>
      </c>
      <c r="J178" s="26" cm="1">
        <f t="array" ref="J178">Common_InputFunctions.Utility_LookupValueInTableTwoColumns(D178,E178,Table_SourceData_WasteSolid_WasteTreatmentEFs[Treatment type t],Table_SourceData_WasteSolid_WasteTreatmentEFs[Waste type w],Table_SourceData_WasteSolid_WasteTreatmentEFs[EFwt])</f>
        <v>1.649</v>
      </c>
      <c r="K178" s="26" cm="1">
        <f t="array" ref="K178">WasteSolid_Equations.VEERG_10_1_1_1__1_EmissionsFromWasteManagement(I178, J178)</f>
        <v>0</v>
      </c>
    </row>
    <row r="179" spans="4:11" ht="20" customHeight="1" x14ac:dyDescent="0.25">
      <c r="D179" s="45" t="str">
        <v>Composting</v>
      </c>
      <c r="E179" s="47" t="str">
        <v>All organic waste</v>
      </c>
      <c r="F179" s="46"/>
      <c r="G179" s="26" t="s">
        <v>149</v>
      </c>
      <c r="H179" s="26" t="str">
        <f t="shared" si="6"/>
        <v>Not used</v>
      </c>
      <c r="I179" s="26">
        <f>SUM(G180:G184)+SUM(H180:H184)+N("Partial sum")</f>
        <v>100</v>
      </c>
      <c r="J179" s="26"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26" cm="1">
        <f t="array" ref="K179">WasteSolid_Equations.VEERG_10_1_1_1__1_EmissionsFromWasteManagement(I179, J179)</f>
        <v>4.5999999999999996</v>
      </c>
    </row>
    <row r="180" spans="4:11" ht="20" customHeight="1" x14ac:dyDescent="0.25">
      <c r="D180" s="45" t="str">
        <v>Composting</v>
      </c>
      <c r="E180" s="47" t="str">
        <v>Food waste (including animal carcasses, spoiled animal feed or crop)</v>
      </c>
      <c r="F180" s="46"/>
      <c r="G180" s="26"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26">
        <f t="shared" si="6"/>
        <v>0</v>
      </c>
      <c r="I180" s="26" t="s">
        <v>154</v>
      </c>
      <c r="J180" s="26" t="s">
        <v>149</v>
      </c>
      <c r="K180" s="26" t="s">
        <v>149</v>
      </c>
    </row>
    <row r="181" spans="4:11" ht="20" customHeight="1" x14ac:dyDescent="0.25">
      <c r="D181" s="45" t="str">
        <v>Composting</v>
      </c>
      <c r="E181" s="47" t="str">
        <v>Green waste (including crop residues or prunings)</v>
      </c>
      <c r="F181" s="46"/>
      <c r="G181" s="26"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26">
        <f t="shared" si="6"/>
        <v>0</v>
      </c>
      <c r="I181" s="26" t="s">
        <v>154</v>
      </c>
      <c r="J181" s="26" t="s">
        <v>149</v>
      </c>
      <c r="K181" s="26" t="s">
        <v>149</v>
      </c>
    </row>
    <row r="182" spans="4:11" ht="20" customHeight="1" x14ac:dyDescent="0.25">
      <c r="D182" s="45" t="str">
        <v>Composting</v>
      </c>
      <c r="E182" s="47" t="str">
        <v>Wood</v>
      </c>
      <c r="F182" s="46"/>
      <c r="G182" s="26"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26">
        <f t="shared" si="6"/>
        <v>0</v>
      </c>
      <c r="I182" s="26" t="s">
        <v>154</v>
      </c>
      <c r="J182" s="26" t="s">
        <v>149</v>
      </c>
      <c r="K182" s="26" t="s">
        <v>149</v>
      </c>
    </row>
    <row r="183" spans="4:11" ht="20" customHeight="1" x14ac:dyDescent="0.25">
      <c r="D183" s="45" t="str">
        <v>Composting</v>
      </c>
      <c r="E183" s="47" t="str">
        <v>Sludge</v>
      </c>
      <c r="F183" s="46"/>
      <c r="G183" s="26"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26">
        <f t="shared" si="6"/>
        <v>0</v>
      </c>
      <c r="I183" s="26" t="s">
        <v>154</v>
      </c>
      <c r="J183" s="26" t="s">
        <v>149</v>
      </c>
      <c r="K183" s="26" t="s">
        <v>149</v>
      </c>
    </row>
    <row r="184" spans="4:11" ht="20" customHeight="1" x14ac:dyDescent="0.25">
      <c r="D184" s="45" t="str">
        <v>Composting</v>
      </c>
      <c r="E184" s="47" t="str">
        <v>Paper and cardboard</v>
      </c>
      <c r="F184" s="46"/>
      <c r="G184" s="26"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26">
        <f t="shared" si="6"/>
        <v>0</v>
      </c>
      <c r="I184" s="26" t="s">
        <v>154</v>
      </c>
      <c r="J184" s="26" t="s">
        <v>149</v>
      </c>
      <c r="K184" s="26" t="s">
        <v>149</v>
      </c>
    </row>
    <row r="185" spans="4:11" ht="20" customHeight="1" x14ac:dyDescent="0.25">
      <c r="D185" s="45" t="str">
        <v>Anaerobic digestion</v>
      </c>
      <c r="E185" s="47" t="str">
        <v>All organic waste</v>
      </c>
      <c r="F185" s="46"/>
      <c r="G185" s="26" t="s">
        <v>149</v>
      </c>
      <c r="H185" s="26" t="str">
        <f t="shared" si="6"/>
        <v>Not used</v>
      </c>
      <c r="I185" s="26">
        <f>SUM(G186:G190)+SUM(H186:H190)+N("Partial sum")</f>
        <v>0</v>
      </c>
      <c r="J185" s="26"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26" cm="1">
        <f t="array" ref="K185">WasteSolid_Equations.VEERG_10_1_1_1__1_EmissionsFromWasteManagement(I185, J185)</f>
        <v>0</v>
      </c>
    </row>
    <row r="186" spans="4:11" ht="20" customHeight="1" x14ac:dyDescent="0.25">
      <c r="D186" s="45" t="str">
        <v>Anaerobic digestion</v>
      </c>
      <c r="E186" s="47" t="str">
        <v>Food waste (including animal carcasses, spoiled animal feed or crop)</v>
      </c>
      <c r="F186" s="46"/>
      <c r="G186" s="26"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26">
        <f t="shared" si="6"/>
        <v>0</v>
      </c>
      <c r="I186" s="26" t="s">
        <v>154</v>
      </c>
      <c r="J186" s="26" t="s">
        <v>149</v>
      </c>
      <c r="K186" s="26" t="s">
        <v>149</v>
      </c>
    </row>
    <row r="187" spans="4:11" ht="20" customHeight="1" x14ac:dyDescent="0.25">
      <c r="D187" s="45" t="str">
        <v>Anaerobic digestion</v>
      </c>
      <c r="E187" s="47" t="str">
        <v>Green waste (including crop residues or prunings)</v>
      </c>
      <c r="F187" s="46"/>
      <c r="G187" s="26"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26">
        <f t="shared" si="6"/>
        <v>0</v>
      </c>
      <c r="I187" s="26" t="s">
        <v>154</v>
      </c>
      <c r="J187" s="26" t="s">
        <v>149</v>
      </c>
      <c r="K187" s="26" t="s">
        <v>149</v>
      </c>
    </row>
    <row r="188" spans="4:11" ht="20" customHeight="1" x14ac:dyDescent="0.25">
      <c r="D188" s="45" t="str">
        <v>Anaerobic digestion</v>
      </c>
      <c r="E188" s="47" t="str">
        <v>Wood</v>
      </c>
      <c r="F188" s="46"/>
      <c r="G188" s="26"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26">
        <f t="shared" si="6"/>
        <v>0</v>
      </c>
      <c r="I188" s="26" t="s">
        <v>154</v>
      </c>
      <c r="J188" s="26" t="s">
        <v>149</v>
      </c>
      <c r="K188" s="26" t="s">
        <v>149</v>
      </c>
    </row>
    <row r="189" spans="4:11" ht="20" customHeight="1" x14ac:dyDescent="0.25">
      <c r="D189" s="45" t="str">
        <v>Anaerobic digestion</v>
      </c>
      <c r="E189" s="47" t="str">
        <v>Sludge</v>
      </c>
      <c r="F189" s="46"/>
      <c r="G189" s="26"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26">
        <f t="shared" si="6"/>
        <v>0</v>
      </c>
      <c r="I189" s="26" t="s">
        <v>154</v>
      </c>
      <c r="J189" s="26" t="s">
        <v>149</v>
      </c>
      <c r="K189" s="26" t="s">
        <v>149</v>
      </c>
    </row>
    <row r="190" spans="4:11" ht="20" customHeight="1" x14ac:dyDescent="0.25">
      <c r="D190" s="45" t="str">
        <v>Anaerobic digestion</v>
      </c>
      <c r="E190" s="47" t="str">
        <v>Paper and cardboard</v>
      </c>
      <c r="F190" s="46"/>
      <c r="G190" s="26"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26">
        <f t="shared" si="6"/>
        <v>0</v>
      </c>
      <c r="I190" s="26" t="s">
        <v>154</v>
      </c>
      <c r="J190" s="26" t="s">
        <v>149</v>
      </c>
      <c r="K190" s="26" t="s">
        <v>149</v>
      </c>
    </row>
    <row r="191" spans="4:11" ht="20" customHeight="1" x14ac:dyDescent="0.25"/>
    <row r="192" spans="4:11" ht="20" customHeight="1" x14ac:dyDescent="0.25">
      <c r="D192" s="57" t="s">
        <v>118</v>
      </c>
      <c r="E192" s="59">
        <f>SUM(K157:K190)</f>
        <v>441.15000000000003</v>
      </c>
      <c r="F192" s="64" t="str">
        <f>$E$103</f>
        <v>t CO2e</v>
      </c>
    </row>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16"/>
    </row>
    <row r="342" spans="8:8" x14ac:dyDescent="0.25" ht="20" customHeight="1">
      <c r="H342" s="16"/>
    </row>
  </sheetData>
  <dataValidations disablePrompts="1" count="1">
    <dataValidation operator="equal" allowBlank="1" showInputMessage="1" showErrorMessage="1" sqref="E269 E228"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sheetPr>
    <tabColor theme="2" tint="-0.499984740745262"/>
  </sheetPr>
  <dimension ref="A1:AI165"/>
  <sheetViews>
    <sheetView showGridLines="0" topLeftCell="A29" zoomScaleNormal="100" workbookViewId="0">
      <selection activeCell="A18" sqref="A18"/>
    </sheetView>
  </sheetViews>
  <sheetFormatPr defaultRowHeight="20" x14ac:dyDescent="0.25" customHeight="1"/>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30" t="e" vm="1">
        <v>#VALUE!</v>
      </c>
      <c r="C1" s="7" t="s">
        <v>87</v>
      </c>
      <c r="AG1"/>
      <c r="AH1"/>
      <c r="AI1"/>
    </row>
    <row r="2" spans="1:35" s="8" customFormat="1" ht="20" customHeight="1" x14ac:dyDescent="0.25">
      <c r="A2"/>
      <c r="AG2"/>
      <c r="AH2"/>
      <c r="AI2"/>
    </row>
    <row r="3" spans="1:35" ht="20" customHeight="1" x14ac:dyDescent="0.25">
      <c r="A3" s="12"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 customHeight="1" x14ac:dyDescent="0.25">
      <c r="A4" s="12" t="str">
        <f>HYPERLINK("#'Overview'!A1", "Overview")</f>
        <v>Overview</v>
      </c>
    </row>
    <row r="5" spans="1:35" ht="20" customHeight="1" x14ac:dyDescent="0.25">
      <c r="A5" s="12" t="str">
        <f>HYPERLINK("#'Results'!A1", "Results")</f>
        <v>Results</v>
      </c>
      <c r="D5" s="5" t="str" cm="1">
        <f t="array" ref="D5">WasteSolid_SourceData.Waste_EmissionFactorsForWasteTreatment_Title()</f>
        <v>Emission factors for wastes disposed of at different treatment facilities</v>
      </c>
    </row>
    <row r="6" spans="1:35" ht="20" customHeight="1" x14ac:dyDescent="0.25">
      <c r="D6" s="4" t="str" cm="1">
        <f t="array" ref="D6">WasteSolid_SourceData.Waste_EmissionFactorsForWasteTreatment_Source()</f>
        <v>VEERG 2026: Table A.4.1.1</v>
      </c>
    </row>
    <row r="7" spans="1:35" ht="20" customHeight="1" x14ac:dyDescent="0.25">
      <c r="D7" s="29" t="str" cm="1">
        <f t="array" ref="D7:D13">WasteSolid_SourceData.Waste_EmissionFactorsForWasteTreatment_Variation()</f>
        <v>VARIATION ON SOURCE:</v>
      </c>
    </row>
    <row r="8" spans="1:35" ht="20" customHeight="1" x14ac:dyDescent="0.25">
      <c r="A8" s="14" t="s">
        <v>0</v>
      </c>
      <c r="D8" s="29" t="str">
        <v>Fixed typo 'paper and carboard' to 'paper and cardboard'</v>
      </c>
    </row>
    <row r="9" spans="1:35" ht="20" customHeight="1" x14ac:dyDescent="0.25">
      <c r="A9" s="12" t="str">
        <f>HYPERLINK("#'Input - Solid waste'!A1", "Solid waste")</f>
        <v>Solid waste</v>
      </c>
      <c r="D9" s="29" t="str">
        <v>Fixed typo 'prunnings' to 'prunings'</v>
      </c>
    </row>
    <row r="10" spans="1:35" ht="20" customHeight="1" x14ac:dyDescent="0.25">
      <c r="D10" s="29" t="str">
        <v>Added EF source column with specific references</v>
      </c>
    </row>
    <row r="11" spans="1:35" ht="20" customHeight="1" x14ac:dyDescent="0.25">
      <c r="D11" s="29" t="str">
        <v>Added sub-categories for 'Incineration: Food waste, green waste, wood, sludge' in order to use volume to mass conversion factor values</v>
      </c>
    </row>
    <row r="12" spans="1:35" ht="20" customHeight="1" x14ac:dyDescent="0.25">
      <c r="A12" s="13" t="s">
        <v>44</v>
      </c>
      <c r="D12" s="29" t="str">
        <v>Added sub-categories for 'Composting: All organic waste' in order to use volume to mass conversion factor values</v>
      </c>
    </row>
    <row r="13" spans="1:35" ht="20" customHeight="1" x14ac:dyDescent="0.25">
      <c r="A13" s="12" t="str">
        <f>HYPERLINK("#'10.1.1-2 Solid waste treatment'!A1", "10.1.1-2 Solid waste treatment")</f>
        <v>10.1.1-2 Solid waste treatment</v>
      </c>
      <c r="D13" s="29" t="str">
        <v>Added sub-categories for 'Anaerobic digestion: All organic waste' in order to use volume to mass conversion factor values</v>
      </c>
    </row>
    <row r="14" spans="1:35" ht="20" customHeight="1" x14ac:dyDescent="0.25">
      <c r="D14" s="1" t="str" cm="1">
        <f t="array" ref="D14">WasteSolid_SourceData.Waste_EmissionFactorsForWasteTreatment_Variable()</f>
        <v>EFwt</v>
      </c>
    </row>
    <row r="15" spans="1:35" ht="20" customHeight="1" x14ac:dyDescent="0.25">
      <c r="D15" s="28" t="str" cm="1">
        <f t="array" ref="D15">WasteSolid_SourceData.Waste_EmissionFactorsForWasteTreatment_Unit()</f>
        <v>t CO2e / t</v>
      </c>
      <c r="I15" s="1" t="s">
        <v>106</v>
      </c>
      <c r="K15" s="1" t="s">
        <v>107</v>
      </c>
      <c r="M15" s="1" t="s">
        <v>108</v>
      </c>
      <c r="O15" s="1" t="s">
        <v>109</v>
      </c>
    </row>
    <row r="16" spans="1:35" ht="20" customHeight="1" x14ac:dyDescent="0.25">
      <c r="A16" s="73" t="s">
        <v>1</v>
      </c>
      <c r="D16" s="24" t="s">
        <v>88</v>
      </c>
      <c r="E16" s="24" t="s">
        <v>89</v>
      </c>
      <c r="F16" s="24" t="s">
        <v>90</v>
      </c>
      <c r="G16" s="24" t="s">
        <v>128</v>
      </c>
      <c r="I16" s="24" t="s">
        <v>89</v>
      </c>
      <c r="K16" s="69" t="s">
        <v>89</v>
      </c>
      <c r="M16" s="69" t="s">
        <v>89</v>
      </c>
      <c r="O16" s="69" t="s">
        <v>89</v>
      </c>
    </row>
    <row r="17" spans="1:15" ht="20" customHeight="1" x14ac:dyDescent="0.25">
      <c r="A17" s="54" t="str">
        <f>HYPERLINK("#'Constants - Solid Waste'!A1", "Constants - Solid Waste")</f>
        <v>Constants - Solid Waste</v>
      </c>
      <c r="D17" s="24" t="str" cm="1">
        <f t="array" ref="D17">Common_InputFunctions.Utility_DisplayArrayInTable(WasteSolid_SourceData.Waste_EmissionFactorsForWasteTreatment_Data(), Table_SourceData_WasteSolid_WasteTreatmentEFs[[#Headers],[Treatment type t]], 0)</f>
        <v>Landfill</v>
      </c>
      <c r="E17" s="24"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4" cm="1">
        <f t="array" ref="F17">Common_InputFunctions.Utility_DisplayArrayInTable(WasteSolid_SourceData.Waste_EmissionFactorsForWasteTreatment_Data(), Table_SourceData_WasteSolid_WasteTreatmentEFs[[#Headers],[Treatment type t]], 0)</f>
        <v>2.1</v>
      </c>
      <c r="G17" s="24" t="str" cm="1">
        <f t="array" ref="G17">Common_InputFunctions.Utility_DisplayArrayInTable(WasteSolid_SourceData.Waste_EmissionFactorsForWasteTreatment_Data(), Table_SourceData_WasteSolid_WasteTreatmentEFs[[#Headers],[Treatment type t]], 0)</f>
        <v>NGAF 2025 table 15</v>
      </c>
      <c r="I17" s="24"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 customHeight="1" x14ac:dyDescent="0.25">
      <c r="A18" s="12" t="str">
        <f>HYPERLINK("#'Constants - Common'!A1", "Constants - Common")</f>
        <v>Constants - Common</v>
      </c>
      <c r="D18" s="1" t="str" cm="1">
        <f t="array" ref="D18">Common_InputFunctions.Utility_DisplayArrayInTable(WasteSolid_SourceData.Waste_EmissionFactorsForWasteTreatment_Data(), Table_SourceData_WasteSolid_WasteTreatmentEFs[[#Headers],[Treatment type t]], 0)</f>
        <v>Landfill</v>
      </c>
      <c r="E18" s="24" t="str" cm="1">
        <f t="array" ref="E18">Common_InputFunctions.Utility_DisplayArrayInTable(WasteSolid_SourceData.Waste_EmissionFactorsForWasteTreatment_Data(), Table_SourceData_WasteSolid_WasteTreatmentEFs[[#Headers],[Treatment type t]], 0)</f>
        <v>Paper and cardboard</v>
      </c>
      <c r="F18" s="24" cm="1">
        <f t="array" ref="F18">Common_InputFunctions.Utility_DisplayArrayInTable(WasteSolid_SourceData.Waste_EmissionFactorsForWasteTreatment_Data(), Table_SourceData_WasteSolid_WasteTreatmentEFs[[#Headers],[Treatment type t]], 0)</f>
        <v>3.3</v>
      </c>
      <c r="G18" s="24" t="str" cm="1">
        <f t="array" ref="G18">Common_InputFunctions.Utility_DisplayArrayInTable(WasteSolid_SourceData.Waste_EmissionFactorsForWasteTreatment_Data(), Table_SourceData_WasteSolid_WasteTreatmentEFs[[#Headers],[Treatment type t]], 0)</f>
        <v>NGAF 2025 table 15</v>
      </c>
      <c r="I18" s="24"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 customHeight="1" x14ac:dyDescent="0.25">
      <c r="D19" s="1" t="str" cm="1">
        <f t="array" ref="D19">Common_InputFunctions.Utility_DisplayArrayInTable(WasteSolid_SourceData.Waste_EmissionFactorsForWasteTreatment_Data(), Table_SourceData_WasteSolid_WasteTreatmentEFs[[#Headers],[Treatment type t]], 0)</f>
        <v>Landfill</v>
      </c>
      <c r="E19" s="24" t="str" cm="1">
        <f t="array" ref="E19">Common_InputFunctions.Utility_DisplayArrayInTable(WasteSolid_SourceData.Waste_EmissionFactorsForWasteTreatment_Data(), Table_SourceData_WasteSolid_WasteTreatmentEFs[[#Headers],[Treatment type t]], 0)</f>
        <v>Green waste (including crop residues or prunings)</v>
      </c>
      <c r="F19" s="24" cm="1">
        <f t="array" ref="F19">Common_InputFunctions.Utility_DisplayArrayInTable(WasteSolid_SourceData.Waste_EmissionFactorsForWasteTreatment_Data(), Table_SourceData_WasteSolid_WasteTreatmentEFs[[#Headers],[Treatment type t]], 0)</f>
        <v>1.6</v>
      </c>
      <c r="G19" s="24" t="str" cm="1">
        <f t="array" ref="G19">Common_InputFunctions.Utility_DisplayArrayInTable(WasteSolid_SourceData.Waste_EmissionFactorsForWasteTreatment_Data(), Table_SourceData_WasteSolid_WasteTreatmentEFs[[#Headers],[Treatment type t]], 0)</f>
        <v>NGAF 2025 table 15</v>
      </c>
      <c r="I19" s="24" t="str">
        <f>Table_SourceData_WasteSolid_WasteTreatmentEFs[[#This Row],[Waste type w]]</f>
        <v>Green waste (including crop residues or prunings)</v>
      </c>
      <c r="K19" s="1" t="str">
        <f t="shared" si="0"/>
        <v>Wood</v>
      </c>
      <c r="M19" s="1" t="str">
        <f>E42</f>
        <v>Wood</v>
      </c>
      <c r="O19" s="1" t="str">
        <f>E48</f>
        <v>Wood</v>
      </c>
    </row>
    <row r="20" spans="1:15" ht="20" customHeight="1" x14ac:dyDescent="0.25">
      <c r="D20" s="1" t="str" cm="1">
        <f t="array" ref="D20">Common_InputFunctions.Utility_DisplayArrayInTable(WasteSolid_SourceData.Waste_EmissionFactorsForWasteTreatment_Data(), Table_SourceData_WasteSolid_WasteTreatmentEFs[[#Headers],[Treatment type t]], 0)</f>
        <v>Landfill</v>
      </c>
      <c r="E20" s="24" t="str" cm="1">
        <f t="array" ref="E20">Common_InputFunctions.Utility_DisplayArrayInTable(WasteSolid_SourceData.Waste_EmissionFactorsForWasteTreatment_Data(), Table_SourceData_WasteSolid_WasteTreatmentEFs[[#Headers],[Treatment type t]], 0)</f>
        <v>Wood</v>
      </c>
      <c r="F20" s="24" cm="1">
        <f t="array" ref="F20">Common_InputFunctions.Utility_DisplayArrayInTable(WasteSolid_SourceData.Waste_EmissionFactorsForWasteTreatment_Data(), Table_SourceData_WasteSolid_WasteTreatmentEFs[[#Headers],[Treatment type t]], 0)</f>
        <v>0.7</v>
      </c>
      <c r="G20" s="24" t="str" cm="1">
        <f t="array" ref="G20">Common_InputFunctions.Utility_DisplayArrayInTable(WasteSolid_SourceData.Waste_EmissionFactorsForWasteTreatment_Data(), Table_SourceData_WasteSolid_WasteTreatmentEFs[[#Headers],[Treatment type t]], 0)</f>
        <v>NGAF 2025 table 15</v>
      </c>
      <c r="I20" s="24" t="str">
        <f>Table_SourceData_WasteSolid_WasteTreatmentEFs[[#This Row],[Waste type w]]</f>
        <v>Wood</v>
      </c>
      <c r="K20" s="1" t="str">
        <f t="shared" si="0"/>
        <v>Sludge</v>
      </c>
      <c r="M20" s="1" t="str">
        <f>E43</f>
        <v>Sludge</v>
      </c>
      <c r="O20" s="1" t="str">
        <f>E49</f>
        <v>Sludge</v>
      </c>
    </row>
    <row r="21" spans="1:15" ht="20" customHeight="1" x14ac:dyDescent="0.25">
      <c r="D21" s="1" t="str" cm="1">
        <f t="array" ref="D21">Common_InputFunctions.Utility_DisplayArrayInTable(WasteSolid_SourceData.Waste_EmissionFactorsForWasteTreatment_Data(), Table_SourceData_WasteSolid_WasteTreatmentEFs[[#Headers],[Treatment type t]], 0)</f>
        <v>Landfill</v>
      </c>
      <c r="E21" s="24" t="str" cm="1">
        <f t="array" ref="E21">Common_InputFunctions.Utility_DisplayArrayInTable(WasteSolid_SourceData.Waste_EmissionFactorsForWasteTreatment_Data(), Table_SourceData_WasteSolid_WasteTreatmentEFs[[#Headers],[Treatment type t]], 0)</f>
        <v>Textiles</v>
      </c>
      <c r="F21" s="24" cm="1">
        <f t="array" ref="F21">Common_InputFunctions.Utility_DisplayArrayInTable(WasteSolid_SourceData.Waste_EmissionFactorsForWasteTreatment_Data(), Table_SourceData_WasteSolid_WasteTreatmentEFs[[#Headers],[Treatment type t]], 0)</f>
        <v>2</v>
      </c>
      <c r="G21" s="24" t="str" cm="1">
        <f t="array" ref="G21">Common_InputFunctions.Utility_DisplayArrayInTable(WasteSolid_SourceData.Waste_EmissionFactorsForWasteTreatment_Data(), Table_SourceData_WasteSolid_WasteTreatmentEFs[[#Headers],[Treatment type t]], 0)</f>
        <v>NGAF 2025 table 15</v>
      </c>
      <c r="I21" s="24" t="str">
        <f>Table_SourceData_WasteSolid_WasteTreatmentEFs[[#This Row],[Waste type w]]</f>
        <v>Textiles</v>
      </c>
      <c r="K21" s="1" t="str">
        <f t="shared" si="0"/>
        <v>Paper and cardboard</v>
      </c>
      <c r="M21" s="1" t="str">
        <f>E44</f>
        <v>Paper and cardboard</v>
      </c>
      <c r="O21" s="1" t="str">
        <f>E50</f>
        <v>Paper and cardboard</v>
      </c>
    </row>
    <row r="22" spans="1:15" ht="20" customHeight="1" x14ac:dyDescent="0.25">
      <c r="D22" s="1" t="str" cm="1">
        <f t="array" ref="D22">Common_InputFunctions.Utility_DisplayArrayInTable(WasteSolid_SourceData.Waste_EmissionFactorsForWasteTreatment_Data(), Table_SourceData_WasteSolid_WasteTreatmentEFs[[#Headers],[Treatment type t]], 0)</f>
        <v>Landfill</v>
      </c>
      <c r="E22" s="24" t="str" cm="1">
        <f t="array" ref="E22">Common_InputFunctions.Utility_DisplayArrayInTable(WasteSolid_SourceData.Waste_EmissionFactorsForWasteTreatment_Data(), Table_SourceData_WasteSolid_WasteTreatmentEFs[[#Headers],[Treatment type t]], 0)</f>
        <v>Sludge</v>
      </c>
      <c r="F22" s="24" cm="1">
        <f t="array" ref="F22">Common_InputFunctions.Utility_DisplayArrayInTable(WasteSolid_SourceData.Waste_EmissionFactorsForWasteTreatment_Data(), Table_SourceData_WasteSolid_WasteTreatmentEFs[[#Headers],[Treatment type t]], 0)</f>
        <v>0.4</v>
      </c>
      <c r="G22" s="24" t="str" cm="1">
        <f t="array" ref="G22">Common_InputFunctions.Utility_DisplayArrayInTable(WasteSolid_SourceData.Waste_EmissionFactorsForWasteTreatment_Data(), Table_SourceData_WasteSolid_WasteTreatmentEFs[[#Headers],[Treatment type t]], 0)</f>
        <v>NGAF 2025 table 15</v>
      </c>
      <c r="I22" s="24" t="str">
        <f>Table_SourceData_WasteSolid_WasteTreatmentEFs[[#This Row],[Waste type w]]</f>
        <v>Sludge</v>
      </c>
      <c r="K22" s="1" t="str">
        <f t="shared" si="0"/>
        <v>Textiles</v>
      </c>
    </row>
    <row r="23" spans="1:15" ht="20" customHeight="1" x14ac:dyDescent="0.25">
      <c r="D23" s="1" t="str" cm="1">
        <f t="array" ref="D23">Common_InputFunctions.Utility_DisplayArrayInTable(WasteSolid_SourceData.Waste_EmissionFactorsForWasteTreatment_Data(), Table_SourceData_WasteSolid_WasteTreatmentEFs[[#Headers],[Treatment type t]], 0)</f>
        <v>Landfill</v>
      </c>
      <c r="E23" s="24" t="str" cm="1">
        <f t="array" ref="E23">Common_InputFunctions.Utility_DisplayArrayInTable(WasteSolid_SourceData.Waste_EmissionFactorsForWasteTreatment_Data(), Table_SourceData_WasteSolid_WasteTreatmentEFs[[#Headers],[Treatment type t]], 0)</f>
        <v>Rubber and leather</v>
      </c>
      <c r="F23" s="24" cm="1">
        <f t="array" ref="F23">Common_InputFunctions.Utility_DisplayArrayInTable(WasteSolid_SourceData.Waste_EmissionFactorsForWasteTreatment_Data(), Table_SourceData_WasteSolid_WasteTreatmentEFs[[#Headers],[Treatment type t]], 0)</f>
        <v>3.3</v>
      </c>
      <c r="G23" s="24" t="str" cm="1">
        <f t="array" ref="G23">Common_InputFunctions.Utility_DisplayArrayInTable(WasteSolid_SourceData.Waste_EmissionFactorsForWasteTreatment_Data(), Table_SourceData_WasteSolid_WasteTreatmentEFs[[#Headers],[Treatment type t]], 0)</f>
        <v>NGAF 2025 table 15</v>
      </c>
      <c r="I23" s="24" t="str">
        <f>Table_SourceData_WasteSolid_WasteTreatmentEFs[[#This Row],[Waste type w]]</f>
        <v>Rubber and leather</v>
      </c>
      <c r="K23" s="1" t="str">
        <f t="shared" si="0"/>
        <v>Rubber and leather</v>
      </c>
    </row>
    <row r="24" spans="1:15" ht="20" customHeight="1" x14ac:dyDescent="0.25">
      <c r="D24" s="1" t="str" cm="1">
        <f t="array" ref="D24">Common_InputFunctions.Utility_DisplayArrayInTable(WasteSolid_SourceData.Waste_EmissionFactorsForWasteTreatment_Data(), Table_SourceData_WasteSolid_WasteTreatmentEFs[[#Headers],[Treatment type t]], 0)</f>
        <v>Landfill</v>
      </c>
      <c r="E24" s="24" t="str" cm="1">
        <f t="array" ref="E24">Common_InputFunctions.Utility_DisplayArrayInTable(WasteSolid_SourceData.Waste_EmissionFactorsForWasteTreatment_Data(), Table_SourceData_WasteSolid_WasteTreatmentEFs[[#Headers],[Treatment type t]], 0)</f>
        <v>Inert waste (including concrete, metal, plastic or glass)</v>
      </c>
      <c r="F24" s="24" cm="1">
        <f t="array" ref="F24">Common_InputFunctions.Utility_DisplayArrayInTable(WasteSolid_SourceData.Waste_EmissionFactorsForWasteTreatment_Data(), Table_SourceData_WasteSolid_WasteTreatmentEFs[[#Headers],[Treatment type t]], 0)</f>
        <v>0</v>
      </c>
      <c r="G24" s="24" t="str" cm="1">
        <f t="array" ref="G24">Common_InputFunctions.Utility_DisplayArrayInTable(WasteSolid_SourceData.Waste_EmissionFactorsForWasteTreatment_Data(), Table_SourceData_WasteSolid_WasteTreatmentEFs[[#Headers],[Treatment type t]], 0)</f>
        <v>NGAF 2025 table 15</v>
      </c>
      <c r="I24" s="24" t="str">
        <f>Table_SourceData_WasteSolid_WasteTreatmentEFs[[#This Row],[Waste type w]]</f>
        <v>Inert waste (including concrete, metal, plastic or glass)</v>
      </c>
      <c r="K24" s="1" t="str">
        <f t="shared" si="0"/>
        <v>Inert waste (including concrete, metal, plastic or glass)</v>
      </c>
    </row>
    <row r="25" spans="1:15" ht="20" customHeight="1" x14ac:dyDescent="0.25">
      <c r="D25" s="1" t="str" cm="1">
        <f t="array" ref="D25">Common_InputFunctions.Utility_DisplayArrayInTable(WasteSolid_SourceData.Waste_EmissionFactorsForWasteTreatment_Data(), Table_SourceData_WasteSolid_WasteTreatmentEFs[[#Headers],[Treatment type t]], 0)</f>
        <v>Landfill</v>
      </c>
      <c r="E25" s="24" t="str" cm="1">
        <f t="array" ref="E25">Common_InputFunctions.Utility_DisplayArrayInTable(WasteSolid_SourceData.Waste_EmissionFactorsForWasteTreatment_Data(), Table_SourceData_WasteSolid_WasteTreatmentEFs[[#Headers],[Treatment type t]], 0)</f>
        <v>Municipal solid waste</v>
      </c>
      <c r="F25" s="24" cm="1">
        <f t="array" ref="F25">Common_InputFunctions.Utility_DisplayArrayInTable(WasteSolid_SourceData.Waste_EmissionFactorsForWasteTreatment_Data(), Table_SourceData_WasteSolid_WasteTreatmentEFs[[#Headers],[Treatment type t]], 0)</f>
        <v>1.6</v>
      </c>
      <c r="G25" s="24" t="str" cm="1">
        <f t="array" ref="G25">Common_InputFunctions.Utility_DisplayArrayInTable(WasteSolid_SourceData.Waste_EmissionFactorsForWasteTreatment_Data(), Table_SourceData_WasteSolid_WasteTreatmentEFs[[#Headers],[Treatment type t]], 0)</f>
        <v>NGAF 2025 table 15</v>
      </c>
      <c r="I25" s="24" t="str">
        <f>Table_SourceData_WasteSolid_WasteTreatmentEFs[[#This Row],[Waste type w]]</f>
        <v>Municipal solid waste</v>
      </c>
      <c r="K25" s="1" t="str">
        <f t="shared" si="0"/>
        <v>Municipal solid waste</v>
      </c>
    </row>
    <row r="26" spans="1:15" ht="20" customHeight="1" x14ac:dyDescent="0.25">
      <c r="D26" s="1" t="str" cm="1">
        <f t="array" ref="D26">Common_InputFunctions.Utility_DisplayArrayInTable(WasteSolid_SourceData.Waste_EmissionFactorsForWasteTreatment_Data(), Table_SourceData_WasteSolid_WasteTreatmentEFs[[#Headers],[Treatment type t]], 0)</f>
        <v>Landfill</v>
      </c>
      <c r="E26" s="24" t="str" cm="1">
        <f t="array" ref="E26">Common_InputFunctions.Utility_DisplayArrayInTable(WasteSolid_SourceData.Waste_EmissionFactorsForWasteTreatment_Data(), Table_SourceData_WasteSolid_WasteTreatmentEFs[[#Headers],[Treatment type t]], 0)</f>
        <v>Commercial and industrial waste</v>
      </c>
      <c r="F26" s="24" cm="1">
        <f t="array" ref="F26">Common_InputFunctions.Utility_DisplayArrayInTable(WasteSolid_SourceData.Waste_EmissionFactorsForWasteTreatment_Data(), Table_SourceData_WasteSolid_WasteTreatmentEFs[[#Headers],[Treatment type t]], 0)</f>
        <v>1.3</v>
      </c>
      <c r="G26" s="24" t="str" cm="1">
        <f t="array" ref="G26">Common_InputFunctions.Utility_DisplayArrayInTable(WasteSolid_SourceData.Waste_EmissionFactorsForWasteTreatment_Data(), Table_SourceData_WasteSolid_WasteTreatmentEFs[[#Headers],[Treatment type t]], 0)</f>
        <v>NGAF 2025 table 15</v>
      </c>
      <c r="I26" s="24" t="str">
        <f>Table_SourceData_WasteSolid_WasteTreatmentEFs[[#This Row],[Waste type w]]</f>
        <v>Commercial and industrial waste</v>
      </c>
      <c r="K26" s="1" t="str">
        <f t="shared" si="0"/>
        <v>Commercial and industrial waste</v>
      </c>
    </row>
    <row r="27" spans="1:15" ht="20" customHeight="1" x14ac:dyDescent="0.25">
      <c r="D27" s="1" t="str" cm="1">
        <f t="array" ref="D27">Common_InputFunctions.Utility_DisplayArrayInTable(WasteSolid_SourceData.Waste_EmissionFactorsForWasteTreatment_Data(), Table_SourceData_WasteSolid_WasteTreatmentEFs[[#Headers],[Treatment type t]], 0)</f>
        <v>Landfill</v>
      </c>
      <c r="E27" s="24" t="str" cm="1">
        <f t="array" ref="E27">Common_InputFunctions.Utility_DisplayArrayInTable(WasteSolid_SourceData.Waste_EmissionFactorsForWasteTreatment_Data(), Table_SourceData_WasteSolid_WasteTreatmentEFs[[#Headers],[Treatment type t]], 0)</f>
        <v>Construction and demolition waste</v>
      </c>
      <c r="F27" s="24" cm="1">
        <f t="array" ref="F27">Common_InputFunctions.Utility_DisplayArrayInTable(WasteSolid_SourceData.Waste_EmissionFactorsForWasteTreatment_Data(), Table_SourceData_WasteSolid_WasteTreatmentEFs[[#Headers],[Treatment type t]], 0)</f>
        <v>0.2</v>
      </c>
      <c r="G27" s="24" t="str" cm="1">
        <f t="array" ref="G27">Common_InputFunctions.Utility_DisplayArrayInTable(WasteSolid_SourceData.Waste_EmissionFactorsForWasteTreatment_Data(), Table_SourceData_WasteSolid_WasteTreatmentEFs[[#Headers],[Treatment type t]], 0)</f>
        <v>NGAF 2025 table 15</v>
      </c>
      <c r="I27" s="24" t="str">
        <f>Table_SourceData_WasteSolid_WasteTreatmentEFs[[#This Row],[Waste type w]]</f>
        <v>Construction and demolition waste</v>
      </c>
    </row>
    <row r="28" spans="1:15" ht="20" customHeight="1" x14ac:dyDescent="0.25">
      <c r="D28" s="1" t="str" cm="1">
        <f t="array" ref="D28">Common_InputFunctions.Utility_DisplayArrayInTable(WasteSolid_SourceData.Waste_EmissionFactorsForWasteTreatment_Data(), Table_SourceData_WasteSolid_WasteTreatmentEFs[[#Headers],[Treatment type t]], 0)</f>
        <v>Incineration</v>
      </c>
      <c r="E28" s="24" t="str" cm="1">
        <f t="array" ref="E28">Common_InputFunctions.Utility_DisplayArrayInTable(WasteSolid_SourceData.Waste_EmissionFactorsForWasteTreatment_Data(), Table_SourceData_WasteSolid_WasteTreatmentEFs[[#Headers],[Treatment type t]], 0)</f>
        <v>Food waste, green waste, wood, sludge</v>
      </c>
      <c r="F28" s="24" cm="1">
        <f t="array" ref="F28">Common_InputFunctions.Utility_DisplayArrayInTable(WasteSolid_SourceData.Waste_EmissionFactorsForWasteTreatment_Data(), Table_SourceData_WasteSolid_WasteTreatmentEFs[[#Headers],[Treatment type t]], 0)</f>
        <v>0</v>
      </c>
      <c r="G28" s="24" t="str" cm="1">
        <f t="array" ref="G28">Common_InputFunctions.Utility_DisplayArrayInTable(WasteSolid_SourceData.Waste_EmissionFactorsForWasteTreatment_Data(), Table_SourceData_WasteSolid_WasteTreatmentEFs[[#Headers],[Treatment type t]], 0)</f>
        <v/>
      </c>
    </row>
    <row r="29" spans="1:15" ht="20" customHeight="1" x14ac:dyDescent="0.25">
      <c r="D29" s="1" t="str" cm="1">
        <f t="array" ref="D29">Common_InputFunctions.Utility_DisplayArrayInTable(WasteSolid_SourceData.Waste_EmissionFactorsForWasteTreatment_Data(), Table_SourceData_WasteSolid_WasteTreatmentEFs[[#Headers],[Treatment type t]], 0)</f>
        <v>Incineration</v>
      </c>
      <c r="E29" s="24"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4" cm="1">
        <f t="array" ref="F29">Common_InputFunctions.Utility_DisplayArrayInTable(WasteSolid_SourceData.Waste_EmissionFactorsForWasteTreatment_Data(), Table_SourceData_WasteSolid_WasteTreatmentEFs[[#Headers],[Treatment type t]], 0)</f>
        <v>0</v>
      </c>
      <c r="G29" s="24" t="str" cm="1">
        <f t="array" ref="G29">Common_InputFunctions.Utility_DisplayArrayInTable(WasteSolid_SourceData.Waste_EmissionFactorsForWasteTreatment_Data(), Table_SourceData_WasteSolid_WasteTreatmentEFs[[#Headers],[Treatment type t]], 0)</f>
        <v/>
      </c>
    </row>
    <row r="30" spans="1:15" ht="20" customHeight="1" x14ac:dyDescent="0.25">
      <c r="D30" s="1" t="str" cm="1">
        <f t="array" ref="D30">Common_InputFunctions.Utility_DisplayArrayInTable(WasteSolid_SourceData.Waste_EmissionFactorsForWasteTreatment_Data(), Table_SourceData_WasteSolid_WasteTreatmentEFs[[#Headers],[Treatment type t]], 0)</f>
        <v>Incineration</v>
      </c>
      <c r="E30" s="24" t="str" cm="1">
        <f t="array" ref="E30">Common_InputFunctions.Utility_DisplayArrayInTable(WasteSolid_SourceData.Waste_EmissionFactorsForWasteTreatment_Data(), Table_SourceData_WasteSolid_WasteTreatmentEFs[[#Headers],[Treatment type t]], 0)</f>
        <v>Green waste (including crop residues or prunings)</v>
      </c>
      <c r="F30" s="24" cm="1">
        <f t="array" ref="F30">Common_InputFunctions.Utility_DisplayArrayInTable(WasteSolid_SourceData.Waste_EmissionFactorsForWasteTreatment_Data(), Table_SourceData_WasteSolid_WasteTreatmentEFs[[#Headers],[Treatment type t]], 0)</f>
        <v>0</v>
      </c>
      <c r="G30" s="24" t="str" cm="1">
        <f t="array" ref="G30">Common_InputFunctions.Utility_DisplayArrayInTable(WasteSolid_SourceData.Waste_EmissionFactorsForWasteTreatment_Data(), Table_SourceData_WasteSolid_WasteTreatmentEFs[[#Headers],[Treatment type t]], 0)</f>
        <v/>
      </c>
    </row>
    <row r="31" spans="1:15" ht="20" customHeight="1" x14ac:dyDescent="0.25">
      <c r="D31" s="1" t="str" cm="1">
        <f t="array" ref="D31">Common_InputFunctions.Utility_DisplayArrayInTable(WasteSolid_SourceData.Waste_EmissionFactorsForWasteTreatment_Data(), Table_SourceData_WasteSolid_WasteTreatmentEFs[[#Headers],[Treatment type t]], 0)</f>
        <v>Incineration</v>
      </c>
      <c r="E31" s="24" t="str" cm="1">
        <f t="array" ref="E31">Common_InputFunctions.Utility_DisplayArrayInTable(WasteSolid_SourceData.Waste_EmissionFactorsForWasteTreatment_Data(), Table_SourceData_WasteSolid_WasteTreatmentEFs[[#Headers],[Treatment type t]], 0)</f>
        <v>Wood</v>
      </c>
      <c r="F31" s="24" cm="1">
        <f t="array" ref="F31">Common_InputFunctions.Utility_DisplayArrayInTable(WasteSolid_SourceData.Waste_EmissionFactorsForWasteTreatment_Data(), Table_SourceData_WasteSolid_WasteTreatmentEFs[[#Headers],[Treatment type t]], 0)</f>
        <v>0</v>
      </c>
      <c r="G31" s="24" t="str" cm="1">
        <f t="array" ref="G31">Common_InputFunctions.Utility_DisplayArrayInTable(WasteSolid_SourceData.Waste_EmissionFactorsForWasteTreatment_Data(), Table_SourceData_WasteSolid_WasteTreatmentEFs[[#Headers],[Treatment type t]], 0)</f>
        <v/>
      </c>
    </row>
    <row r="32" spans="1:15" ht="20" customHeight="1" x14ac:dyDescent="0.25">
      <c r="D32" s="1" t="str" cm="1">
        <f t="array" ref="D32">Common_InputFunctions.Utility_DisplayArrayInTable(WasteSolid_SourceData.Waste_EmissionFactorsForWasteTreatment_Data(), Table_SourceData_WasteSolid_WasteTreatmentEFs[[#Headers],[Treatment type t]], 0)</f>
        <v>Incineration</v>
      </c>
      <c r="E32" s="24" t="str" cm="1">
        <f t="array" ref="E32">Common_InputFunctions.Utility_DisplayArrayInTable(WasteSolid_SourceData.Waste_EmissionFactorsForWasteTreatment_Data(), Table_SourceData_WasteSolid_WasteTreatmentEFs[[#Headers],[Treatment type t]], 0)</f>
        <v>Sludge</v>
      </c>
      <c r="F32" s="24" cm="1">
        <f t="array" ref="F32">Common_InputFunctions.Utility_DisplayArrayInTable(WasteSolid_SourceData.Waste_EmissionFactorsForWasteTreatment_Data(), Table_SourceData_WasteSolid_WasteTreatmentEFs[[#Headers],[Treatment type t]], 0)</f>
        <v>0</v>
      </c>
      <c r="G32" s="24" t="str" cm="1">
        <f t="array" ref="G32">Common_InputFunctions.Utility_DisplayArrayInTable(WasteSolid_SourceData.Waste_EmissionFactorsForWasteTreatment_Data(), Table_SourceData_WasteSolid_WasteTreatmentEFs[[#Headers],[Treatment type t]], 0)</f>
        <v/>
      </c>
    </row>
    <row r="33" spans="4:7" ht="20" customHeight="1" x14ac:dyDescent="0.25">
      <c r="D33" s="1" t="str" cm="1">
        <f t="array" ref="D33">Common_InputFunctions.Utility_DisplayArrayInTable(WasteSolid_SourceData.Waste_EmissionFactorsForWasteTreatment_Data(), Table_SourceData_WasteSolid_WasteTreatmentEFs[[#Headers],[Treatment type t]], 0)</f>
        <v>Incineration</v>
      </c>
      <c r="E33" s="24" t="str" cm="1">
        <f t="array" ref="E33">Common_InputFunctions.Utility_DisplayArrayInTable(WasteSolid_SourceData.Waste_EmissionFactorsForWasteTreatment_Data(), Table_SourceData_WasteSolid_WasteTreatmentEFs[[#Headers],[Treatment type t]], 0)</f>
        <v>Paper and cardboard</v>
      </c>
      <c r="F33" s="24" cm="1">
        <f t="array" ref="F33">Common_InputFunctions.Utility_DisplayArrayInTable(WasteSolid_SourceData.Waste_EmissionFactorsForWasteTreatment_Data(), Table_SourceData_WasteSolid_WasteTreatmentEFs[[#Headers],[Treatment type t]], 0)</f>
        <v>1.6899999999999998E-2</v>
      </c>
      <c r="G33" s="24" t="str" cm="1">
        <f t="array" ref="G33">Common_InputFunctions.Utility_DisplayArrayInTable(WasteSolid_SourceData.Waste_EmissionFactorsForWasteTreatment_Data(), Table_SourceData_WasteSolid_WasteTreatmentEFs[[#Headers],[Treatment type t]], 0)</f>
        <v/>
      </c>
    </row>
    <row r="34" spans="4:7" ht="20" customHeight="1" x14ac:dyDescent="0.25">
      <c r="D34" s="1" t="str" cm="1">
        <f t="array" ref="D34">Common_InputFunctions.Utility_DisplayArrayInTable(WasteSolid_SourceData.Waste_EmissionFactorsForWasteTreatment_Data(), Table_SourceData_WasteSolid_WasteTreatmentEFs[[#Headers],[Treatment type t]], 0)</f>
        <v>Incineration</v>
      </c>
      <c r="E34" s="24" t="str" cm="1">
        <f t="array" ref="E34">Common_InputFunctions.Utility_DisplayArrayInTable(WasteSolid_SourceData.Waste_EmissionFactorsForWasteTreatment_Data(), Table_SourceData_WasteSolid_WasteTreatmentEFs[[#Headers],[Treatment type t]], 0)</f>
        <v>Textiles</v>
      </c>
      <c r="F34" s="24" cm="1">
        <f t="array" ref="F34">Common_InputFunctions.Utility_DisplayArrayInTable(WasteSolid_SourceData.Waste_EmissionFactorsForWasteTreatment_Data(), Table_SourceData_WasteSolid_WasteTreatmentEFs[[#Headers],[Treatment type t]], 0)</f>
        <v>0.36670000000000003</v>
      </c>
      <c r="G34" s="24" t="str" cm="1">
        <f t="array" ref="G34">Common_InputFunctions.Utility_DisplayArrayInTable(WasteSolid_SourceData.Waste_EmissionFactorsForWasteTreatment_Data(), Table_SourceData_WasteSolid_WasteTreatmentEFs[[#Headers],[Treatment type t]], 0)</f>
        <v/>
      </c>
    </row>
    <row r="35" spans="4:7" ht="20" customHeight="1" x14ac:dyDescent="0.25">
      <c r="D35" s="1" t="str" cm="1">
        <f t="array" ref="D35">Common_InputFunctions.Utility_DisplayArrayInTable(WasteSolid_SourceData.Waste_EmissionFactorsForWasteTreatment_Data(), Table_SourceData_WasteSolid_WasteTreatmentEFs[[#Headers],[Treatment type t]], 0)</f>
        <v>Incineration</v>
      </c>
      <c r="E35" s="24" t="str" cm="1">
        <f t="array" ref="E35">Common_InputFunctions.Utility_DisplayArrayInTable(WasteSolid_SourceData.Waste_EmissionFactorsForWasteTreatment_Data(), Table_SourceData_WasteSolid_WasteTreatmentEFs[[#Headers],[Treatment type t]], 0)</f>
        <v>Rubber and leather</v>
      </c>
      <c r="F35" s="24" cm="1">
        <f t="array" ref="F35">Common_InputFunctions.Utility_DisplayArrayInTable(WasteSolid_SourceData.Waste_EmissionFactorsForWasteTreatment_Data(), Table_SourceData_WasteSolid_WasteTreatmentEFs[[#Headers],[Treatment type t]], 0)</f>
        <v>0.4919</v>
      </c>
      <c r="G35" s="24" t="str" cm="1">
        <f t="array" ref="G35">Common_InputFunctions.Utility_DisplayArrayInTable(WasteSolid_SourceData.Waste_EmissionFactorsForWasteTreatment_Data(), Table_SourceData_WasteSolid_WasteTreatmentEFs[[#Headers],[Treatment type t]], 0)</f>
        <v/>
      </c>
    </row>
    <row r="36" spans="4:7" ht="20" customHeight="1" x14ac:dyDescent="0.25">
      <c r="D36" s="1" t="str" cm="1">
        <f t="array" ref="D36">Common_InputFunctions.Utility_DisplayArrayInTable(WasteSolid_SourceData.Waste_EmissionFactorsForWasteTreatment_Data(), Table_SourceData_WasteSolid_WasteTreatmentEFs[[#Headers],[Treatment type t]], 0)</f>
        <v>Incineration</v>
      </c>
      <c r="E36" s="24" t="str" cm="1">
        <f t="array" ref="E36">Common_InputFunctions.Utility_DisplayArrayInTable(WasteSolid_SourceData.Waste_EmissionFactorsForWasteTreatment_Data(), Table_SourceData_WasteSolid_WasteTreatmentEFs[[#Headers],[Treatment type t]], 0)</f>
        <v>Inert waste (including concrete, metal, plastic or glass)</v>
      </c>
      <c r="F36" s="24" cm="1">
        <f t="array" ref="F36">Common_InputFunctions.Utility_DisplayArrayInTable(WasteSolid_SourceData.Waste_EmissionFactorsForWasteTreatment_Data(), Table_SourceData_WasteSolid_WasteTreatmentEFs[[#Headers],[Treatment type t]], 0)</f>
        <v>0.11</v>
      </c>
      <c r="G36" s="24" t="str" cm="1">
        <f t="array" ref="G36">Common_InputFunctions.Utility_DisplayArrayInTable(WasteSolid_SourceData.Waste_EmissionFactorsForWasteTreatment_Data(), Table_SourceData_WasteSolid_WasteTreatmentEFs[[#Headers],[Treatment type t]], 0)</f>
        <v/>
      </c>
    </row>
    <row r="37" spans="4:7" ht="20" customHeight="1" x14ac:dyDescent="0.25">
      <c r="D37" s="1" t="str" cm="1">
        <f t="array" ref="D37">Common_InputFunctions.Utility_DisplayArrayInTable(WasteSolid_SourceData.Waste_EmissionFactorsForWasteTreatment_Data(), Table_SourceData_WasteSolid_WasteTreatmentEFs[[#Headers],[Treatment type t]], 0)</f>
        <v>Incineration</v>
      </c>
      <c r="E37" s="24" t="str" cm="1">
        <f t="array" ref="E37">Common_InputFunctions.Utility_DisplayArrayInTable(WasteSolid_SourceData.Waste_EmissionFactorsForWasteTreatment_Data(), Table_SourceData_WasteSolid_WasteTreatmentEFs[[#Headers],[Treatment type t]], 0)</f>
        <v>Municipal solid waste</v>
      </c>
      <c r="F37" s="24" cm="1">
        <f t="array" ref="F37">Common_InputFunctions.Utility_DisplayArrayInTable(WasteSolid_SourceData.Waste_EmissionFactorsForWasteTreatment_Data(), Table_SourceData_WasteSolid_WasteTreatmentEFs[[#Headers],[Treatment type t]], 0)</f>
        <v>5.3699999999999998E-2</v>
      </c>
      <c r="G37" s="72" t="str" cm="1">
        <f t="array" ref="G37">Common_InputFunctions.Utility_DisplayArrayInTable(WasteSolid_SourceData.Waste_EmissionFactorsForWasteTreatment_Data(), Table_SourceData_WasteSolid_WasteTreatmentEFs[[#Headers],[Treatment type t]], 0)</f>
        <v>NGAF 2025 Table 18</v>
      </c>
    </row>
    <row r="38" spans="4:7" ht="20" customHeight="1" x14ac:dyDescent="0.25">
      <c r="D38" s="1" t="str" cm="1">
        <f t="array" ref="D38">Common_InputFunctions.Utility_DisplayArrayInTable(WasteSolid_SourceData.Waste_EmissionFactorsForWasteTreatment_Data(), Table_SourceData_WasteSolid_WasteTreatmentEFs[[#Headers],[Treatment type t]], 0)</f>
        <v>Incineration</v>
      </c>
      <c r="E38" s="24" t="str" cm="1">
        <f t="array" ref="E38">Common_InputFunctions.Utility_DisplayArrayInTable(WasteSolid_SourceData.Waste_EmissionFactorsForWasteTreatment_Data(), Table_SourceData_WasteSolid_WasteTreatmentEFs[[#Headers],[Treatment type t]], 0)</f>
        <v>Commercial and industrial waste</v>
      </c>
      <c r="F38" s="24" cm="1">
        <f t="array" ref="F38">Common_InputFunctions.Utility_DisplayArrayInTable(WasteSolid_SourceData.Waste_EmissionFactorsForWasteTreatment_Data(), Table_SourceData_WasteSolid_WasteTreatmentEFs[[#Headers],[Treatment type t]], 0)</f>
        <v>1.649</v>
      </c>
      <c r="G38" s="72" t="str" cm="1">
        <f t="array" ref="G38">Common_InputFunctions.Utility_DisplayArrayInTable(WasteSolid_SourceData.Waste_EmissionFactorsForWasteTreatment_Data(), Table_SourceData_WasteSolid_WasteTreatmentEFs[[#Headers],[Treatment type t]], 0)</f>
        <v>NGAF 2025 Table 18</v>
      </c>
    </row>
    <row r="39" spans="4:7" ht="20" customHeight="1" x14ac:dyDescent="0.25">
      <c r="D39" s="1" t="str" cm="1">
        <f t="array" ref="D39">Common_InputFunctions.Utility_DisplayArrayInTable(WasteSolid_SourceData.Waste_EmissionFactorsForWasteTreatment_Data(), Table_SourceData_WasteSolid_WasteTreatmentEFs[[#Headers],[Treatment type t]], 0)</f>
        <v>Composting</v>
      </c>
      <c r="E39" s="24" t="str" cm="1">
        <f t="array" ref="E39">Common_InputFunctions.Utility_DisplayArrayInTable(WasteSolid_SourceData.Waste_EmissionFactorsForWasteTreatment_Data(), Table_SourceData_WasteSolid_WasteTreatmentEFs[[#Headers],[Treatment type t]], 0)</f>
        <v>All organic waste</v>
      </c>
      <c r="F39" s="24" cm="1">
        <f t="array" ref="F39">Common_InputFunctions.Utility_DisplayArrayInTable(WasteSolid_SourceData.Waste_EmissionFactorsForWasteTreatment_Data(), Table_SourceData_WasteSolid_WasteTreatmentEFs[[#Headers],[Treatment type t]], 0)</f>
        <v>4.5999999999999999E-2</v>
      </c>
      <c r="G39" s="72" t="str" cm="1">
        <f t="array" ref="G39">Common_InputFunctions.Utility_DisplayArrayInTable(WasteSolid_SourceData.Waste_EmissionFactorsForWasteTreatment_Data(), Table_SourceData_WasteSolid_WasteTreatmentEFs[[#Headers],[Treatment type t]], 0)</f>
        <v>NGAF 2025 Table 19</v>
      </c>
    </row>
    <row r="40" spans="4:7" ht="20" customHeight="1" x14ac:dyDescent="0.25">
      <c r="D40" s="1" t="str" cm="1">
        <f t="array" ref="D40">Common_InputFunctions.Utility_DisplayArrayInTable(WasteSolid_SourceData.Waste_EmissionFactorsForWasteTreatment_Data(), Table_SourceData_WasteSolid_WasteTreatmentEFs[[#Headers],[Treatment type t]], 0)</f>
        <v>Composting</v>
      </c>
      <c r="E40" s="24"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4" cm="1">
        <f t="array" ref="F40">Common_InputFunctions.Utility_DisplayArrayInTable(WasteSolid_SourceData.Waste_EmissionFactorsForWasteTreatment_Data(), Table_SourceData_WasteSolid_WasteTreatmentEFs[[#Headers],[Treatment type t]], 0)</f>
        <v>4.5999999999999999E-2</v>
      </c>
      <c r="G40" s="72" t="str" cm="1">
        <f t="array" ref="G40">Common_InputFunctions.Utility_DisplayArrayInTable(WasteSolid_SourceData.Waste_EmissionFactorsForWasteTreatment_Data(), Table_SourceData_WasteSolid_WasteTreatmentEFs[[#Headers],[Treatment type t]], 0)</f>
        <v/>
      </c>
    </row>
    <row r="41" spans="4:7" ht="20" customHeight="1" x14ac:dyDescent="0.25">
      <c r="D41" s="1" t="str" cm="1">
        <f t="array" ref="D41">Common_InputFunctions.Utility_DisplayArrayInTable(WasteSolid_SourceData.Waste_EmissionFactorsForWasteTreatment_Data(), Table_SourceData_WasteSolid_WasteTreatmentEFs[[#Headers],[Treatment type t]], 0)</f>
        <v>Composting</v>
      </c>
      <c r="E41" s="24" t="str" cm="1">
        <f t="array" ref="E41">Common_InputFunctions.Utility_DisplayArrayInTable(WasteSolid_SourceData.Waste_EmissionFactorsForWasteTreatment_Data(), Table_SourceData_WasteSolid_WasteTreatmentEFs[[#Headers],[Treatment type t]], 0)</f>
        <v>Green waste (including crop residues or prunings)</v>
      </c>
      <c r="F41" s="24" cm="1">
        <f t="array" ref="F41">Common_InputFunctions.Utility_DisplayArrayInTable(WasteSolid_SourceData.Waste_EmissionFactorsForWasteTreatment_Data(), Table_SourceData_WasteSolid_WasteTreatmentEFs[[#Headers],[Treatment type t]], 0)</f>
        <v>4.5999999999999999E-2</v>
      </c>
      <c r="G41" s="72" t="str" cm="1">
        <f t="array" ref="G41">Common_InputFunctions.Utility_DisplayArrayInTable(WasteSolid_SourceData.Waste_EmissionFactorsForWasteTreatment_Data(), Table_SourceData_WasteSolid_WasteTreatmentEFs[[#Headers],[Treatment type t]], 0)</f>
        <v/>
      </c>
    </row>
    <row r="42" spans="4:7" ht="20" customHeight="1" x14ac:dyDescent="0.25">
      <c r="D42" s="1" t="str" cm="1">
        <f t="array" ref="D42">Common_InputFunctions.Utility_DisplayArrayInTable(WasteSolid_SourceData.Waste_EmissionFactorsForWasteTreatment_Data(), Table_SourceData_WasteSolid_WasteTreatmentEFs[[#Headers],[Treatment type t]], 0)</f>
        <v>Composting</v>
      </c>
      <c r="E42" s="24" t="str" cm="1">
        <f t="array" ref="E42">Common_InputFunctions.Utility_DisplayArrayInTable(WasteSolid_SourceData.Waste_EmissionFactorsForWasteTreatment_Data(), Table_SourceData_WasteSolid_WasteTreatmentEFs[[#Headers],[Treatment type t]], 0)</f>
        <v>Wood</v>
      </c>
      <c r="F42" s="24" cm="1">
        <f t="array" ref="F42">Common_InputFunctions.Utility_DisplayArrayInTable(WasteSolid_SourceData.Waste_EmissionFactorsForWasteTreatment_Data(), Table_SourceData_WasteSolid_WasteTreatmentEFs[[#Headers],[Treatment type t]], 0)</f>
        <v>4.5999999999999999E-2</v>
      </c>
      <c r="G42" s="72" t="str" cm="1">
        <f t="array" ref="G42">Common_InputFunctions.Utility_DisplayArrayInTable(WasteSolid_SourceData.Waste_EmissionFactorsForWasteTreatment_Data(), Table_SourceData_WasteSolid_WasteTreatmentEFs[[#Headers],[Treatment type t]], 0)</f>
        <v/>
      </c>
    </row>
    <row r="43" spans="4:7" ht="20" customHeight="1" x14ac:dyDescent="0.25">
      <c r="D43" s="1" t="str" cm="1">
        <f t="array" ref="D43">Common_InputFunctions.Utility_DisplayArrayInTable(WasteSolid_SourceData.Waste_EmissionFactorsForWasteTreatment_Data(), Table_SourceData_WasteSolid_WasteTreatmentEFs[[#Headers],[Treatment type t]], 0)</f>
        <v>Composting</v>
      </c>
      <c r="E43" s="24" t="str" cm="1">
        <f t="array" ref="E43">Common_InputFunctions.Utility_DisplayArrayInTable(WasteSolid_SourceData.Waste_EmissionFactorsForWasteTreatment_Data(), Table_SourceData_WasteSolid_WasteTreatmentEFs[[#Headers],[Treatment type t]], 0)</f>
        <v>Sludge</v>
      </c>
      <c r="F43" s="24" cm="1">
        <f t="array" ref="F43">Common_InputFunctions.Utility_DisplayArrayInTable(WasteSolid_SourceData.Waste_EmissionFactorsForWasteTreatment_Data(), Table_SourceData_WasteSolid_WasteTreatmentEFs[[#Headers],[Treatment type t]], 0)</f>
        <v>4.5999999999999999E-2</v>
      </c>
      <c r="G43" s="72" t="str" cm="1">
        <f t="array" ref="G43">Common_InputFunctions.Utility_DisplayArrayInTable(WasteSolid_SourceData.Waste_EmissionFactorsForWasteTreatment_Data(), Table_SourceData_WasteSolid_WasteTreatmentEFs[[#Headers],[Treatment type t]], 0)</f>
        <v/>
      </c>
    </row>
    <row r="44" spans="4:7" ht="20" customHeight="1" x14ac:dyDescent="0.25">
      <c r="D44" s="1" t="str" cm="1">
        <f t="array" ref="D44">Common_InputFunctions.Utility_DisplayArrayInTable(WasteSolid_SourceData.Waste_EmissionFactorsForWasteTreatment_Data(), Table_SourceData_WasteSolid_WasteTreatmentEFs[[#Headers],[Treatment type t]], 0)</f>
        <v>Composting</v>
      </c>
      <c r="E44" s="24" t="str" cm="1">
        <f t="array" ref="E44">Common_InputFunctions.Utility_DisplayArrayInTable(WasteSolid_SourceData.Waste_EmissionFactorsForWasteTreatment_Data(), Table_SourceData_WasteSolid_WasteTreatmentEFs[[#Headers],[Treatment type t]], 0)</f>
        <v>Paper and cardboard</v>
      </c>
      <c r="F44" s="24" cm="1">
        <f t="array" ref="F44">Common_InputFunctions.Utility_DisplayArrayInTable(WasteSolid_SourceData.Waste_EmissionFactorsForWasteTreatment_Data(), Table_SourceData_WasteSolid_WasteTreatmentEFs[[#Headers],[Treatment type t]], 0)</f>
        <v>4.5999999999999999E-2</v>
      </c>
      <c r="G44" s="72" t="str" cm="1">
        <f t="array" ref="G44">Common_InputFunctions.Utility_DisplayArrayInTable(WasteSolid_SourceData.Waste_EmissionFactorsForWasteTreatment_Data(), Table_SourceData_WasteSolid_WasteTreatmentEFs[[#Headers],[Treatment type t]], 0)</f>
        <v/>
      </c>
    </row>
    <row r="45" spans="4:7" ht="20" customHeight="1" x14ac:dyDescent="0.25">
      <c r="D45" s="1" t="str" cm="1">
        <f t="array" ref="D45">Common_InputFunctions.Utility_DisplayArrayInTable(WasteSolid_SourceData.Waste_EmissionFactorsForWasteTreatment_Data(), Table_SourceData_WasteSolid_WasteTreatmentEFs[[#Headers],[Treatment type t]], 0)</f>
        <v>Anaerobic digestion</v>
      </c>
      <c r="E45" s="24" t="str" cm="1">
        <f t="array" ref="E45">Common_InputFunctions.Utility_DisplayArrayInTable(WasteSolid_SourceData.Waste_EmissionFactorsForWasteTreatment_Data(), Table_SourceData_WasteSolid_WasteTreatmentEFs[[#Headers],[Treatment type t]], 0)</f>
        <v>All organic waste</v>
      </c>
      <c r="F45" s="24" cm="1">
        <f t="array" ref="F45">Common_InputFunctions.Utility_DisplayArrayInTable(WasteSolid_SourceData.Waste_EmissionFactorsForWasteTreatment_Data(), Table_SourceData_WasteSolid_WasteTreatmentEFs[[#Headers],[Treatment type t]], 0)</f>
        <v>2.8000000000000001E-2</v>
      </c>
      <c r="G45" s="72" t="str" cm="1">
        <f t="array" ref="G45">Common_InputFunctions.Utility_DisplayArrayInTable(WasteSolid_SourceData.Waste_EmissionFactorsForWasteTreatment_Data(), Table_SourceData_WasteSolid_WasteTreatmentEFs[[#Headers],[Treatment type t]], 0)</f>
        <v>NGAF 2025 Table 19</v>
      </c>
    </row>
    <row r="46" spans="4:7" ht="20" customHeight="1" x14ac:dyDescent="0.25">
      <c r="D46" s="1" t="str" cm="1">
        <f t="array" ref="D46">Common_InputFunctions.Utility_DisplayArrayInTable(WasteSolid_SourceData.Waste_EmissionFactorsForWasteTreatment_Data(), Table_SourceData_WasteSolid_WasteTreatmentEFs[[#Headers],[Treatment type t]], 0)</f>
        <v>Anaerobic digestion</v>
      </c>
      <c r="E46" s="24"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4" cm="1">
        <f t="array" ref="F46">Common_InputFunctions.Utility_DisplayArrayInTable(WasteSolid_SourceData.Waste_EmissionFactorsForWasteTreatment_Data(), Table_SourceData_WasteSolid_WasteTreatmentEFs[[#Headers],[Treatment type t]], 0)</f>
        <v>2.8000000000000001E-2</v>
      </c>
      <c r="G46" s="72" t="str" cm="1">
        <f t="array" ref="G46">Common_InputFunctions.Utility_DisplayArrayInTable(WasteSolid_SourceData.Waste_EmissionFactorsForWasteTreatment_Data(), Table_SourceData_WasteSolid_WasteTreatmentEFs[[#Headers],[Treatment type t]], 0)</f>
        <v/>
      </c>
    </row>
    <row r="47" spans="4:7" ht="20" customHeight="1" x14ac:dyDescent="0.25">
      <c r="D47" s="1" t="str" cm="1">
        <f t="array" ref="D47">Common_InputFunctions.Utility_DisplayArrayInTable(WasteSolid_SourceData.Waste_EmissionFactorsForWasteTreatment_Data(), Table_SourceData_WasteSolid_WasteTreatmentEFs[[#Headers],[Treatment type t]], 0)</f>
        <v>Anaerobic digestion</v>
      </c>
      <c r="E47" s="24" t="str" cm="1">
        <f t="array" ref="E47">Common_InputFunctions.Utility_DisplayArrayInTable(WasteSolid_SourceData.Waste_EmissionFactorsForWasteTreatment_Data(), Table_SourceData_WasteSolid_WasteTreatmentEFs[[#Headers],[Treatment type t]], 0)</f>
        <v>Green waste (including crop residues or prunings)</v>
      </c>
      <c r="F47" s="24" cm="1">
        <f t="array" ref="F47">Common_InputFunctions.Utility_DisplayArrayInTable(WasteSolid_SourceData.Waste_EmissionFactorsForWasteTreatment_Data(), Table_SourceData_WasteSolid_WasteTreatmentEFs[[#Headers],[Treatment type t]], 0)</f>
        <v>2.8000000000000001E-2</v>
      </c>
      <c r="G47" s="72" t="str" cm="1">
        <f t="array" ref="G47">Common_InputFunctions.Utility_DisplayArrayInTable(WasteSolid_SourceData.Waste_EmissionFactorsForWasteTreatment_Data(), Table_SourceData_WasteSolid_WasteTreatmentEFs[[#Headers],[Treatment type t]], 0)</f>
        <v/>
      </c>
    </row>
    <row r="48" spans="4:7" ht="20" customHeight="1" x14ac:dyDescent="0.25">
      <c r="D48" s="1" t="str" cm="1">
        <f t="array" ref="D48">Common_InputFunctions.Utility_DisplayArrayInTable(WasteSolid_SourceData.Waste_EmissionFactorsForWasteTreatment_Data(), Table_SourceData_WasteSolid_WasteTreatmentEFs[[#Headers],[Treatment type t]], 0)</f>
        <v>Anaerobic digestion</v>
      </c>
      <c r="E48" s="24" t="str" cm="1">
        <f t="array" ref="E48">Common_InputFunctions.Utility_DisplayArrayInTable(WasteSolid_SourceData.Waste_EmissionFactorsForWasteTreatment_Data(), Table_SourceData_WasteSolid_WasteTreatmentEFs[[#Headers],[Treatment type t]], 0)</f>
        <v>Wood</v>
      </c>
      <c r="F48" s="24" cm="1">
        <f t="array" ref="F48">Common_InputFunctions.Utility_DisplayArrayInTable(WasteSolid_SourceData.Waste_EmissionFactorsForWasteTreatment_Data(), Table_SourceData_WasteSolid_WasteTreatmentEFs[[#Headers],[Treatment type t]], 0)</f>
        <v>2.8000000000000001E-2</v>
      </c>
      <c r="G48" s="72" t="str" cm="1">
        <f t="array" ref="G48">Common_InputFunctions.Utility_DisplayArrayInTable(WasteSolid_SourceData.Waste_EmissionFactorsForWasteTreatment_Data(), Table_SourceData_WasteSolid_WasteTreatmentEFs[[#Headers],[Treatment type t]], 0)</f>
        <v/>
      </c>
    </row>
    <row r="49" spans="4:7" ht="20" customHeight="1" x14ac:dyDescent="0.25">
      <c r="D49" s="1" t="str" cm="1">
        <f t="array" ref="D49">Common_InputFunctions.Utility_DisplayArrayInTable(WasteSolid_SourceData.Waste_EmissionFactorsForWasteTreatment_Data(), Table_SourceData_WasteSolid_WasteTreatmentEFs[[#Headers],[Treatment type t]], 0)</f>
        <v>Anaerobic digestion</v>
      </c>
      <c r="E49" s="24" t="str" cm="1">
        <f t="array" ref="E49">Common_InputFunctions.Utility_DisplayArrayInTable(WasteSolid_SourceData.Waste_EmissionFactorsForWasteTreatment_Data(), Table_SourceData_WasteSolid_WasteTreatmentEFs[[#Headers],[Treatment type t]], 0)</f>
        <v>Sludge</v>
      </c>
      <c r="F49" s="24" cm="1">
        <f t="array" ref="F49">Common_InputFunctions.Utility_DisplayArrayInTable(WasteSolid_SourceData.Waste_EmissionFactorsForWasteTreatment_Data(), Table_SourceData_WasteSolid_WasteTreatmentEFs[[#Headers],[Treatment type t]], 0)</f>
        <v>2.8000000000000001E-2</v>
      </c>
      <c r="G49" s="72" t="str" cm="1">
        <f t="array" ref="G49">Common_InputFunctions.Utility_DisplayArrayInTable(WasteSolid_SourceData.Waste_EmissionFactorsForWasteTreatment_Data(), Table_SourceData_WasteSolid_WasteTreatmentEFs[[#Headers],[Treatment type t]], 0)</f>
        <v/>
      </c>
    </row>
    <row r="50" spans="4:7" ht="20" customHeight="1" x14ac:dyDescent="0.25">
      <c r="D50" s="1" t="str" cm="1">
        <f t="array" ref="D50">Common_InputFunctions.Utility_DisplayArrayInTable(WasteSolid_SourceData.Waste_EmissionFactorsForWasteTreatment_Data(), Table_SourceData_WasteSolid_WasteTreatmentEFs[[#Headers],[Treatment type t]], 0)</f>
        <v>Anaerobic digestion</v>
      </c>
      <c r="E50" s="24" t="str" cm="1">
        <f t="array" ref="E50">Common_InputFunctions.Utility_DisplayArrayInTable(WasteSolid_SourceData.Waste_EmissionFactorsForWasteTreatment_Data(), Table_SourceData_WasteSolid_WasteTreatmentEFs[[#Headers],[Treatment type t]], 0)</f>
        <v>Paper and cardboard</v>
      </c>
      <c r="F50" s="24" cm="1">
        <f t="array" ref="F50">Common_InputFunctions.Utility_DisplayArrayInTable(WasteSolid_SourceData.Waste_EmissionFactorsForWasteTreatment_Data(), Table_SourceData_WasteSolid_WasteTreatmentEFs[[#Headers],[Treatment type t]], 0)</f>
        <v>2.8000000000000001E-2</v>
      </c>
      <c r="G50" s="72" t="str" cm="1">
        <f t="array" ref="G50">Common_InputFunctions.Utility_DisplayArrayInTable(WasteSolid_SourceData.Waste_EmissionFactorsForWasteTreatment_Data(), Table_SourceData_WasteSolid_WasteTreatmentEFs[[#Headers],[Treatment type t]], 0)</f>
        <v/>
      </c>
    </row>
    <row r="51" spans="4:7" ht="20" customHeight="1" x14ac:dyDescent="0.25"/>
    <row r="52" spans="4:7" ht="20" customHeight="1" x14ac:dyDescent="0.25">
      <c r="D52" s="5" t="str" cm="1">
        <f t="array" ref="D52">WasteSolid_SourceData.Waste_WasteVolumeToMassConversion_Title()</f>
        <v>Volume to mass conversion factor for various waste types</v>
      </c>
    </row>
    <row r="53" spans="4:7" ht="20" customHeight="1" x14ac:dyDescent="0.25">
      <c r="D53" s="4" t="str" cm="1">
        <f t="array" ref="D53">WasteSolid_SourceData.Waste_WasteVolumeToMassConversion_Source()</f>
        <v>VEERG 2026: Table A.4.1.2</v>
      </c>
    </row>
    <row r="54" spans="4:7" ht="20" customHeight="1" x14ac:dyDescent="0.25">
      <c r="D54" s="29" t="str" cm="1">
        <f t="array" ref="D54">WasteSolid_SourceData.Waste_WasteVolumeToMassConversion_Variation()</f>
        <v>VARIATION OF SOURCE: Changed column header CFw to VTMw to match title variable.</v>
      </c>
    </row>
    <row r="55" spans="4:7" ht="20" customHeight="1" x14ac:dyDescent="0.25">
      <c r="D55" s="1" t="str" cm="1">
        <f t="array" ref="D55">WasteSolid_SourceData.Waste_WasteVolumeToMassConversion_Variable()</f>
        <v>VTMw</v>
      </c>
    </row>
    <row r="56" spans="4:7" ht="20" customHeight="1" x14ac:dyDescent="0.25">
      <c r="D56" s="28" t="str" cm="1">
        <f t="array" ref="D56">WasteSolid_SourceData.Waste_WasteVolumeToMassConversion_Unit()</f>
        <v>t/m3</v>
      </c>
    </row>
    <row r="57" spans="4:7" ht="20" customHeight="1" x14ac:dyDescent="0.25">
      <c r="D57" s="24" t="s">
        <v>89</v>
      </c>
      <c r="E57" s="24" t="s">
        <v>91</v>
      </c>
    </row>
    <row r="58" spans="4:7" ht="20" customHeight="1" x14ac:dyDescent="0.25">
      <c r="D58" s="24"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4" cm="1">
        <f t="array" ref="E58">Common_InputFunctions.Utility_DisplayArrayInTable(WasteSolid_SourceData.Waste_WasteVolumeToMassConversion_Data(), Table_SourceData_WasteSolid_VolumeToMassConversion[[#Headers],[Waste type w]], 0)</f>
        <v>0.5</v>
      </c>
    </row>
    <row r="59" spans="4:7" ht="20" customHeight="1" x14ac:dyDescent="0.25">
      <c r="D59" s="1" t="str" cm="1">
        <f t="array" ref="D59">Common_InputFunctions.Utility_DisplayArrayInTable(WasteSolid_SourceData.Waste_WasteVolumeToMassConversion_Data(), Table_SourceData_WasteSolid_VolumeToMassConversion[[#Headers],[Waste type w]], 0)</f>
        <v>Paper and cardboard</v>
      </c>
      <c r="E59" s="24" cm="1">
        <f t="array" ref="E59">Common_InputFunctions.Utility_DisplayArrayInTable(WasteSolid_SourceData.Waste_WasteVolumeToMassConversion_Data(), Table_SourceData_WasteSolid_VolumeToMassConversion[[#Headers],[Waste type w]], 0)</f>
        <v>0.09</v>
      </c>
    </row>
    <row r="60" spans="4:7" ht="20" customHeight="1" x14ac:dyDescent="0.25">
      <c r="D60" s="1" t="str" cm="1">
        <f t="array" ref="D60">Common_InputFunctions.Utility_DisplayArrayInTable(WasteSolid_SourceData.Waste_WasteVolumeToMassConversion_Data(), Table_SourceData_WasteSolid_VolumeToMassConversion[[#Headers],[Waste type w]], 0)</f>
        <v>Green waste (including crop residues or prunings)</v>
      </c>
      <c r="E60" s="24" cm="1">
        <f t="array" ref="E60">Common_InputFunctions.Utility_DisplayArrayInTable(WasteSolid_SourceData.Waste_WasteVolumeToMassConversion_Data(), Table_SourceData_WasteSolid_VolumeToMassConversion[[#Headers],[Waste type w]], 0)</f>
        <v>0.24</v>
      </c>
    </row>
    <row r="61" spans="4:7" ht="20" customHeight="1" x14ac:dyDescent="0.25">
      <c r="D61" s="1" t="str" cm="1">
        <f t="array" ref="D61">Common_InputFunctions.Utility_DisplayArrayInTable(WasteSolid_SourceData.Waste_WasteVolumeToMassConversion_Data(), Table_SourceData_WasteSolid_VolumeToMassConversion[[#Headers],[Waste type w]], 0)</f>
        <v>Wood</v>
      </c>
      <c r="E61" s="24" cm="1">
        <f t="array" ref="E61">Common_InputFunctions.Utility_DisplayArrayInTable(WasteSolid_SourceData.Waste_WasteVolumeToMassConversion_Data(), Table_SourceData_WasteSolid_VolumeToMassConversion[[#Headers],[Waste type w]], 0)</f>
        <v>0.15</v>
      </c>
    </row>
    <row r="62" spans="4:7" ht="20" customHeight="1" x14ac:dyDescent="0.25">
      <c r="D62" s="1" t="str" cm="1">
        <f t="array" ref="D62">Common_InputFunctions.Utility_DisplayArrayInTable(WasteSolid_SourceData.Waste_WasteVolumeToMassConversion_Data(), Table_SourceData_WasteSolid_VolumeToMassConversion[[#Headers],[Waste type w]], 0)</f>
        <v>Textiles</v>
      </c>
      <c r="E62" s="24" cm="1">
        <f t="array" ref="E62">Common_InputFunctions.Utility_DisplayArrayInTable(WasteSolid_SourceData.Waste_WasteVolumeToMassConversion_Data(), Table_SourceData_WasteSolid_VolumeToMassConversion[[#Headers],[Waste type w]], 0)</f>
        <v>0.14000000000000001</v>
      </c>
    </row>
    <row r="63" spans="4:7" ht="20" customHeight="1" x14ac:dyDescent="0.25">
      <c r="D63" s="1" t="str" cm="1">
        <f t="array" ref="D63">Common_InputFunctions.Utility_DisplayArrayInTable(WasteSolid_SourceData.Waste_WasteVolumeToMassConversion_Data(), Table_SourceData_WasteSolid_VolumeToMassConversion[[#Headers],[Waste type w]], 0)</f>
        <v>Sludge</v>
      </c>
      <c r="E63" s="24" cm="1">
        <f t="array" ref="E63">Common_InputFunctions.Utility_DisplayArrayInTable(WasteSolid_SourceData.Waste_WasteVolumeToMassConversion_Data(), Table_SourceData_WasteSolid_VolumeToMassConversion[[#Headers],[Waste type w]], 0)</f>
        <v>0.72</v>
      </c>
    </row>
    <row r="64" spans="4:7" ht="20" customHeight="1" x14ac:dyDescent="0.25">
      <c r="D64" s="1" t="str" cm="1">
        <f t="array" ref="D64">Common_InputFunctions.Utility_DisplayArrayInTable(WasteSolid_SourceData.Waste_WasteVolumeToMassConversion_Data(), Table_SourceData_WasteSolid_VolumeToMassConversion[[#Headers],[Waste type w]], 0)</f>
        <v>Rubber and leather</v>
      </c>
      <c r="E64" s="24" cm="1">
        <f t="array" ref="E64">Common_InputFunctions.Utility_DisplayArrayInTable(WasteSolid_SourceData.Waste_WasteVolumeToMassConversion_Data(), Table_SourceData_WasteSolid_VolumeToMassConversion[[#Headers],[Waste type w]], 0)</f>
        <v>0.14000000000000001</v>
      </c>
    </row>
    <row r="65" spans="4:5" ht="20"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4" cm="1">
        <f t="array" ref="E65">Common_InputFunctions.Utility_DisplayArrayInTable(WasteSolid_SourceData.Waste_WasteVolumeToMassConversion_Data(), Table_SourceData_WasteSolid_VolumeToMassConversion[[#Headers],[Waste type w]], 0)</f>
        <v>0.42</v>
      </c>
    </row>
    <row r="66" spans="4:5" ht="20"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24" cm="1">
        <f t="array" ref="E66">Common_InputFunctions.Utility_DisplayArrayInTable(WasteSolid_SourceData.Waste_WasteVolumeToMassConversion_Data(), Table_SourceData_WasteSolid_VolumeToMassConversion[[#Headers],[Waste type w]], 0)</f>
        <v>0.36</v>
      </c>
    </row>
    <row r="67" spans="4:5" ht="20"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24" cm="1">
        <f t="array" ref="E67">Common_InputFunctions.Utility_DisplayArrayInTable(WasteSolid_SourceData.Waste_WasteVolumeToMassConversion_Data(), Table_SourceData_WasteSolid_VolumeToMassConversion[[#Headers],[Waste type w]], 0)</f>
        <v>0.33</v>
      </c>
    </row>
    <row r="68" spans="4:5" ht="20"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24" cm="1">
        <f t="array" ref="E68">Common_InputFunctions.Utility_DisplayArrayInTable(WasteSolid_SourceData.Waste_WasteVolumeToMassConversion_Data(), Table_SourceData_WasteSolid_VolumeToMassConversion[[#Headers],[Waste type w]], 0)</f>
        <v>0.39</v>
      </c>
    </row>
    <row r="69" spans="4:5" ht="20" customHeight="1" x14ac:dyDescent="0.25"/>
    <row r="70" spans="4:5" ht="20" customHeight="1" x14ac:dyDescent="0.25"/>
    <row r="71" spans="4:5" ht="20" customHeight="1" x14ac:dyDescent="0.25"/>
    <row r="72" spans="4:5" ht="20" customHeight="1" x14ac:dyDescent="0.25"/>
    <row r="73" spans="4:5" ht="20" customHeight="1" x14ac:dyDescent="0.25"/>
    <row r="74" spans="4:5" ht="20" customHeight="1" x14ac:dyDescent="0.25"/>
    <row r="75" spans="4:5" ht="20" customHeight="1" x14ac:dyDescent="0.25"/>
    <row r="76" spans="4:5" ht="20" customHeight="1" x14ac:dyDescent="0.25"/>
    <row r="77" spans="4:5" ht="20" customHeight="1" x14ac:dyDescent="0.25"/>
    <row r="78" spans="4:5" ht="20" customHeight="1" x14ac:dyDescent="0.25"/>
    <row r="79" spans="4:5" ht="20" customHeight="1" x14ac:dyDescent="0.25"/>
    <row r="80" spans="4:5"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honeticPr fontId="21"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3E444-BBEF-45FC-817E-D43176765775}">
  <sheetPr>
    <tabColor theme="2" tint="-0.499984740745262"/>
  </sheetPr>
  <dimension ref="A1:BY297"/>
  <sheetViews>
    <sheetView showGridLines="0" topLeftCell="A239" zoomScaleNormal="100" workbookViewId="0">
      <selection activeCell="I279" sqref="I279"/>
    </sheetView>
  </sheetViews>
  <sheetFormatPr defaultColWidth="9.140625" defaultRowHeight="20" x14ac:dyDescent="0.25" customHeight="1"/>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45</v>
      </c>
    </row>
    <row r="2" spans="1:65" s="8" customFormat="1" ht="20" customHeight="1" x14ac:dyDescent="0.25">
      <c r="A2"/>
    </row>
    <row r="3" spans="1:65" ht="20" customHeight="1" x14ac:dyDescent="0.25">
      <c r="A3" s="12" t="str">
        <f>HYPERLINK("#'Home'!A1", "Home")</f>
        <v>Home</v>
      </c>
      <c r="C3" s="3"/>
      <c r="D3" s="3"/>
      <c r="E3" s="3"/>
      <c r="F3" s="3"/>
      <c r="G3" s="3"/>
      <c r="H3" s="3"/>
      <c r="I3" s="3"/>
      <c r="J3" s="3"/>
      <c r="K3" s="3"/>
      <c r="L3" s="3"/>
      <c r="M3" s="3"/>
      <c r="N3" s="3"/>
      <c r="O3" s="3"/>
      <c r="P3" s="3"/>
      <c r="Q3" s="3"/>
      <c r="R3" s="3"/>
      <c r="S3" s="3"/>
      <c r="T3" s="3"/>
      <c r="U3" s="3"/>
      <c r="V3" s="9"/>
      <c r="W3" s="9"/>
    </row>
    <row r="4" spans="1:65" ht="20" customHeight="1" x14ac:dyDescent="0.25">
      <c r="A4"/>
      <c r="BM4" s="2"/>
    </row>
    <row r="5" spans="1:65" ht="20" customHeight="1" x14ac:dyDescent="0.25">
      <c r="A5"/>
      <c r="D5" s="5" t="str" cm="1">
        <f t="array" ref="D5">Common_SourceData.Common_SourceData_AustralianStatesTerritories_Title()</f>
        <v>Australian states and territories</v>
      </c>
      <c r="BM5" s="2"/>
    </row>
    <row r="6" spans="1:65" ht="20" customHeight="1" x14ac:dyDescent="0.25">
      <c r="A6" s="73" t="s">
        <v>1</v>
      </c>
      <c r="D6" s="24" t="s">
        <v>5</v>
      </c>
      <c r="E6" s="24" t="s">
        <v>6</v>
      </c>
      <c r="F6" s="24" t="s">
        <v>7</v>
      </c>
    </row>
    <row r="7" spans="1:65" ht="20" customHeight="1" x14ac:dyDescent="0.25">
      <c r="A7" s="54" t="str">
        <f>HYPERLINK("#'Constants - Common'!A1", "Constants - Common")</f>
        <v>Constants - Common</v>
      </c>
      <c r="D7" s="24" t="str" cm="1">
        <f t="array" ref="D7">Common_InputFunctions.Utility_DisplayArrayInTable(Common_SourceData.Common_SourceData_AustralianStatesTerritories_Data(),Table_AustralianStates[[#Headers],[State/Territory]],0)</f>
        <v>New South Wales</v>
      </c>
      <c r="E7" s="24" t="str" cm="1">
        <f t="array" ref="E7">Common_InputFunctions.Utility_DisplayArrayInTable(Common_SourceData.Common_SourceData_AustralianStatesTerritories_Data(),Table_AustralianStates[[#Headers],[State/Territory]],0)</f>
        <v>New South Wales</v>
      </c>
      <c r="F7" s="24" t="str" cm="1">
        <f t="array" ref="F7">Common_InputFunctions.Utility_DisplayArrayInTable(Common_SourceData.Common_SourceData_AustralianStatesTerritories_Data(),Table_AustralianStates[[#Headers],[State/Territory]],0)</f>
        <v>NSW</v>
      </c>
    </row>
    <row r="8" spans="1:65" ht="20" customHeight="1" x14ac:dyDescent="0.25">
      <c r="A8" s="12" t="str">
        <f>HYPERLINK("#'Acknowledgements'!A1", "Acknowledgements")</f>
        <v>Acknowledgements</v>
      </c>
      <c r="D8" s="24" t="str" cm="1">
        <f t="array" ref="D8">Common_InputFunctions.Utility_DisplayArrayInTable(Common_SourceData.Common_SourceData_AustralianStatesTerritories_Data(),Table_AustralianStates[[#Headers],[State/Territory]],0)</f>
        <v>Australian Capital Territory</v>
      </c>
      <c r="E8" s="24" t="str" cm="1">
        <f t="array" ref="E8">Common_InputFunctions.Utility_DisplayArrayInTable(Common_SourceData.Common_SourceData_AustralianStatesTerritories_Data(),Table_AustralianStates[[#Headers],[State/Territory]],0)</f>
        <v>ACT</v>
      </c>
      <c r="F8" s="24" t="str" cm="1">
        <f t="array" ref="F8">Common_InputFunctions.Utility_DisplayArrayInTable(Common_SourceData.Common_SourceData_AustralianStatesTerritories_Data(),Table_AustralianStates[[#Headers],[State/Territory]],0)</f>
        <v>ACT</v>
      </c>
    </row>
    <row r="9" spans="1:65" ht="20" customHeight="1" x14ac:dyDescent="0.25">
      <c r="A9"/>
      <c r="D9" s="24" t="str" cm="1">
        <f t="array" ref="D9">Common_InputFunctions.Utility_DisplayArrayInTable(Common_SourceData.Common_SourceData_AustralianStatesTerritories_Data(),Table_AustralianStates[[#Headers],[State/Territory]],0)</f>
        <v>Victoria</v>
      </c>
      <c r="E9" s="24" t="str" cm="1">
        <f t="array" ref="E9">Common_InputFunctions.Utility_DisplayArrayInTable(Common_SourceData.Common_SourceData_AustralianStatesTerritories_Data(),Table_AustralianStates[[#Headers],[State/Territory]],0)</f>
        <v>Victoria</v>
      </c>
      <c r="F9" s="24" t="str" cm="1">
        <f t="array" ref="F9">Common_InputFunctions.Utility_DisplayArrayInTable(Common_SourceData.Common_SourceData_AustralianStatesTerritories_Data(),Table_AustralianStates[[#Headers],[State/Territory]],0)</f>
        <v>VIC</v>
      </c>
    </row>
    <row r="10" spans="1:65" ht="20" customHeight="1" x14ac:dyDescent="0.25">
      <c r="A10"/>
      <c r="D10" s="24" t="str" cm="1">
        <f t="array" ref="D10">Common_InputFunctions.Utility_DisplayArrayInTable(Common_SourceData.Common_SourceData_AustralianStatesTerritories_Data(),Table_AustralianStates[[#Headers],[State/Territory]],0)</f>
        <v>Queensland</v>
      </c>
      <c r="E10" s="24" t="str" cm="1">
        <f t="array" ref="E10">Common_InputFunctions.Utility_DisplayArrayInTable(Common_SourceData.Common_SourceData_AustralianStatesTerritories_Data(),Table_AustralianStates[[#Headers],[State/Territory]],0)</f>
        <v>Queensland</v>
      </c>
      <c r="F10" s="24" t="str" cm="1">
        <f t="array" ref="F10">Common_InputFunctions.Utility_DisplayArrayInTable(Common_SourceData.Common_SourceData_AustralianStatesTerritories_Data(),Table_AustralianStates[[#Headers],[State/Territory]],0)</f>
        <v>QLD</v>
      </c>
    </row>
    <row r="11" spans="1:65" ht="20" customHeight="1" x14ac:dyDescent="0.25">
      <c r="A11"/>
      <c r="D11" s="24" t="str" cm="1">
        <f t="array" ref="D11">Common_InputFunctions.Utility_DisplayArrayInTable(Common_SourceData.Common_SourceData_AustralianStatesTerritories_Data(),Table_AustralianStates[[#Headers],[State/Territory]],0)</f>
        <v>South Australia</v>
      </c>
      <c r="E11" s="24" t="str" cm="1">
        <f t="array" ref="E11">Common_InputFunctions.Utility_DisplayArrayInTable(Common_SourceData.Common_SourceData_AustralianStatesTerritories_Data(),Table_AustralianStates[[#Headers],[State/Territory]],0)</f>
        <v>South Australia</v>
      </c>
      <c r="F11" s="24" t="str" cm="1">
        <f t="array" ref="F11">Common_InputFunctions.Utility_DisplayArrayInTable(Common_SourceData.Common_SourceData_AustralianStatesTerritories_Data(),Table_AustralianStates[[#Headers],[State/Territory]],0)</f>
        <v>SA</v>
      </c>
      <c r="BM11" s="2"/>
    </row>
    <row r="12" spans="1:65" ht="20" customHeight="1" x14ac:dyDescent="0.25">
      <c r="A12"/>
      <c r="D12" s="24" t="str" cm="1">
        <f t="array" ref="D12">Common_InputFunctions.Utility_DisplayArrayInTable(Common_SourceData.Common_SourceData_AustralianStatesTerritories_Data(),Table_AustralianStates[[#Headers],[State/Territory]],0)</f>
        <v>Western Australia</v>
      </c>
      <c r="E12" s="24" t="str" cm="1">
        <f t="array" ref="E12">Common_InputFunctions.Utility_DisplayArrayInTable(Common_SourceData.Common_SourceData_AustralianStatesTerritories_Data(),Table_AustralianStates[[#Headers],[State/Territory]],0)</f>
        <v>Western Australia</v>
      </c>
      <c r="F12" s="24" t="str" cm="1">
        <f t="array" ref="F12">Common_InputFunctions.Utility_DisplayArrayInTable(Common_SourceData.Common_SourceData_AustralianStatesTerritories_Data(),Table_AustralianStates[[#Headers],[State/Territory]],0)</f>
        <v>WA</v>
      </c>
      <c r="BM12" s="2"/>
    </row>
    <row r="13" spans="1:65" ht="20" customHeight="1" x14ac:dyDescent="0.25">
      <c r="A13"/>
      <c r="D13" s="24" t="str" cm="1">
        <f t="array" ref="D13">Common_InputFunctions.Utility_DisplayArrayInTable(Common_SourceData.Common_SourceData_AustralianStatesTerritories_Data(),Table_AustralianStates[[#Headers],[State/Territory]],0)</f>
        <v>Tasmania</v>
      </c>
      <c r="E13" s="24" t="str" cm="1">
        <f t="array" ref="E13">Common_InputFunctions.Utility_DisplayArrayInTable(Common_SourceData.Common_SourceData_AustralianStatesTerritories_Data(),Table_AustralianStates[[#Headers],[State/Territory]],0)</f>
        <v>Tasmania</v>
      </c>
      <c r="F13" s="24" t="str" cm="1">
        <f t="array" ref="F13">Common_InputFunctions.Utility_DisplayArrayInTable(Common_SourceData.Common_SourceData_AustralianStatesTerritories_Data(),Table_AustralianStates[[#Headers],[State/Territory]],0)</f>
        <v>TAS</v>
      </c>
    </row>
    <row r="14" spans="1:65" ht="20" customHeight="1" x14ac:dyDescent="0.25">
      <c r="A14"/>
      <c r="D14" s="24" t="str" cm="1">
        <f t="array" ref="D14">Common_InputFunctions.Utility_DisplayArrayInTable(Common_SourceData.Common_SourceData_AustralianStatesTerritories_Data(),Table_AustralianStates[[#Headers],[State/Territory]],0)</f>
        <v>Northern Territory</v>
      </c>
      <c r="E14" s="24" t="str" cm="1">
        <f t="array" ref="E14">Common_InputFunctions.Utility_DisplayArrayInTable(Common_SourceData.Common_SourceData_AustralianStatesTerritories_Data(),Table_AustralianStates[[#Headers],[State/Territory]],0)</f>
        <v>Northern Territory</v>
      </c>
      <c r="F14" s="24"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5" t="str" cm="1">
        <f t="array" ref="D18">Common_SourceData.Common_SourceData_WASA4Areas_Title()</f>
        <v>ABS Statistcal Areas Level 4 - Western Australia</v>
      </c>
    </row>
    <row r="19" spans="1:4" ht="20" customHeight="1" x14ac:dyDescent="0.25">
      <c r="A19"/>
      <c r="D19" s="4" t="str" cm="1">
        <f t="array" ref="D19">Common_SourceData.Common_SourceData_WASA4Areas_Source()</f>
        <v>Australian Bureau of Statistics (ABS) - Statistical Areas Level 2 - 2021 - Shapefile</v>
      </c>
    </row>
    <row r="20" spans="1:4" ht="20" customHeight="1" x14ac:dyDescent="0.25">
      <c r="A20"/>
      <c r="D20" s="24" t="s">
        <v>8</v>
      </c>
    </row>
    <row r="21" spans="1:4" ht="20" customHeight="1" x14ac:dyDescent="0.25">
      <c r="A21"/>
      <c r="D21" s="24" t="str" cm="1">
        <f t="array" ref="D21">Common_InputFunctions.Utility_DisplayArrayInTable(Common_SourceData.Common_SourceData_WASA4Areas_Data(), Table_WASA4Areas[[#Headers],[SA 4 Name]], 0)</f>
        <v>Bunbury</v>
      </c>
    </row>
    <row r="22" spans="1:4" ht="20" customHeight="1" x14ac:dyDescent="0.25">
      <c r="A22"/>
      <c r="D22" s="24" t="str" cm="1">
        <f t="array" ref="D22">Common_InputFunctions.Utility_DisplayArrayInTable(Common_SourceData.Common_SourceData_WASA4Areas_Data(), Table_WASA4Areas[[#Headers],[SA 4 Name]], 0)</f>
        <v>Mandurah</v>
      </c>
    </row>
    <row r="23" spans="1:4" ht="20" customHeight="1" x14ac:dyDescent="0.25">
      <c r="A23"/>
      <c r="D23" s="24" t="str" cm="1">
        <f t="array" ref="D23">Common_InputFunctions.Utility_DisplayArrayInTable(Common_SourceData.Common_SourceData_WASA4Areas_Data(), Table_WASA4Areas[[#Headers],[SA 4 Name]], 0)</f>
        <v>Perth - Inner</v>
      </c>
    </row>
    <row r="24" spans="1:4" ht="20" customHeight="1" x14ac:dyDescent="0.25">
      <c r="A24"/>
      <c r="D24" s="24" t="str" cm="1">
        <f t="array" ref="D24">Common_InputFunctions.Utility_DisplayArrayInTable(Common_SourceData.Common_SourceData_WASA4Areas_Data(), Table_WASA4Areas[[#Headers],[SA 4 Name]], 0)</f>
        <v>Perth - North East</v>
      </c>
    </row>
    <row r="25" spans="1:4" ht="20" customHeight="1" x14ac:dyDescent="0.25">
      <c r="A25"/>
      <c r="D25" s="24" t="str" cm="1">
        <f t="array" ref="D25">Common_InputFunctions.Utility_DisplayArrayInTable(Common_SourceData.Common_SourceData_WASA4Areas_Data(), Table_WASA4Areas[[#Headers],[SA 4 Name]], 0)</f>
        <v>Perth - North West</v>
      </c>
    </row>
    <row r="26" spans="1:4" ht="20" customHeight="1" x14ac:dyDescent="0.25">
      <c r="A26"/>
      <c r="D26" s="24" t="str" cm="1">
        <f t="array" ref="D26">Common_InputFunctions.Utility_DisplayArrayInTable(Common_SourceData.Common_SourceData_WASA4Areas_Data(), Table_WASA4Areas[[#Headers],[SA 4 Name]], 0)</f>
        <v>Perth - South East</v>
      </c>
    </row>
    <row r="27" spans="1:4" ht="20" customHeight="1" x14ac:dyDescent="0.25">
      <c r="A27"/>
      <c r="D27" s="24" t="str" cm="1">
        <f t="array" ref="D27">Common_InputFunctions.Utility_DisplayArrayInTable(Common_SourceData.Common_SourceData_WASA4Areas_Data(), Table_WASA4Areas[[#Headers],[SA 4 Name]], 0)</f>
        <v>Perth - South West</v>
      </c>
    </row>
    <row r="28" spans="1:4" ht="20" customHeight="1" x14ac:dyDescent="0.25">
      <c r="A28"/>
      <c r="D28" s="24" t="str" cm="1">
        <f t="array" ref="D28">Common_InputFunctions.Utility_DisplayArrayInTable(Common_SourceData.Common_SourceData_WASA4Areas_Data(), Table_WASA4Areas[[#Headers],[SA 4 Name]], 0)</f>
        <v>Western Australia - Wheat Belt</v>
      </c>
    </row>
    <row r="29" spans="1:4" ht="20" customHeight="1" x14ac:dyDescent="0.25">
      <c r="A29"/>
      <c r="D29" s="24" t="str" cm="1">
        <f t="array" ref="D29">Common_InputFunctions.Utility_DisplayArrayInTable(Common_SourceData.Common_SourceData_WASA4Areas_Data(), Table_WASA4Areas[[#Headers],[SA 4 Name]], 0)</f>
        <v>Western Australia - Outback (North)</v>
      </c>
    </row>
    <row r="30" spans="1:4" ht="20" customHeight="1" x14ac:dyDescent="0.25">
      <c r="A30"/>
      <c r="D30" s="24"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5" t="str" cm="1">
        <f t="array" ref="D34">Common_SourceData.Common_SourceData_GWP_Title()</f>
        <v>Global warming potential for greenhouse gases</v>
      </c>
    </row>
    <row r="35" spans="1:8" ht="20" customHeight="1" x14ac:dyDescent="0.25">
      <c r="A35"/>
      <c r="D35" s="4" t="str" cm="1">
        <f t="array" ref="D35">Common_SourceData.Common_SourceData_GWP_Source()</f>
        <v>XXXXXXX</v>
      </c>
    </row>
    <row r="36" spans="1:8" ht="20" customHeight="1" x14ac:dyDescent="0.25">
      <c r="A36"/>
      <c r="D36" s="24" t="s">
        <v>10</v>
      </c>
      <c r="E36" s="24" t="s">
        <v>11</v>
      </c>
    </row>
    <row r="37" spans="1:8" ht="20" customHeight="1" x14ac:dyDescent="0.25">
      <c r="A37"/>
      <c r="D37" s="24" t="str" cm="1">
        <f t="array" ref="D37">Common_InputFunctions.Utility_DisplayArrayInTable(Common_SourceData.Common_SourceData_GWP_Data(), Table_GWPData[[#Headers],[Gas]], 0)</f>
        <v>CO2</v>
      </c>
      <c r="E37" s="24" cm="1">
        <f t="array" ref="E37">Common_InputFunctions.Utility_DisplayArrayInTable(Common_SourceData.Common_SourceData_GWP_Data(), Table_GWPData[[#Headers],[Gas]], 0)</f>
        <v>1</v>
      </c>
    </row>
    <row r="38" spans="1:8" ht="20" customHeight="1" x14ac:dyDescent="0.25">
      <c r="A38"/>
      <c r="D38" s="24" t="str" cm="1">
        <f t="array" ref="D38">Common_InputFunctions.Utility_DisplayArrayInTable(Common_SourceData.Common_SourceData_GWP_Data(), Table_GWPData[[#Headers],[Gas]], 0)</f>
        <v>CH4</v>
      </c>
      <c r="E38" s="24" cm="1">
        <f t="array" ref="E38">Common_InputFunctions.Utility_DisplayArrayInTable(Common_SourceData.Common_SourceData_GWP_Data(), Table_GWPData[[#Headers],[Gas]], 0)</f>
        <v>28</v>
      </c>
    </row>
    <row r="39" spans="1:8" ht="20" customHeight="1" x14ac:dyDescent="0.25">
      <c r="A39"/>
      <c r="D39" s="24" t="str" cm="1">
        <f t="array" ref="D39">Common_InputFunctions.Utility_DisplayArrayInTable(Common_SourceData.Common_SourceData_GWP_Data(), Table_GWPData[[#Headers],[Gas]], 0)</f>
        <v>N2O</v>
      </c>
      <c r="E39" s="24" cm="1">
        <f t="array" ref="E39">Common_InputFunctions.Utility_DisplayArrayInTable(Common_SourceData.Common_SourceData_GWP_Data(), Table_GWPData[[#Headers],[Gas]], 0)</f>
        <v>265</v>
      </c>
    </row>
    <row r="40" spans="1:8" ht="20" customHeight="1" x14ac:dyDescent="0.25">
      <c r="A40"/>
      <c r="D40" s="24" t="str" cm="1">
        <f t="array" ref="D40">Common_InputFunctions.Utility_DisplayArrayInTable(Common_SourceData.Common_SourceData_GWP_Data(), Table_GWPData[[#Headers],[Gas]], 0)</f>
        <v>CF4</v>
      </c>
      <c r="E40" s="24" cm="1">
        <f t="array" ref="E40">Common_InputFunctions.Utility_DisplayArrayInTable(Common_SourceData.Common_SourceData_GWP_Data(), Table_GWPData[[#Headers],[Gas]], 0)</f>
        <v>6630</v>
      </c>
    </row>
    <row r="41" spans="1:8" ht="20" customHeight="1" x14ac:dyDescent="0.25">
      <c r="A41"/>
      <c r="D41" s="24" t="str" cm="1">
        <f t="array" ref="D41">Common_InputFunctions.Utility_DisplayArrayInTable(Common_SourceData.Common_SourceData_GWP_Data(), Table_GWPData[[#Headers],[Gas]], 0)</f>
        <v>C2F6</v>
      </c>
      <c r="E41" s="24" cm="1">
        <f t="array" ref="E41">Common_InputFunctions.Utility_DisplayArrayInTable(Common_SourceData.Common_SourceData_GWP_Data(), Table_GWPData[[#Headers],[Gas]], 0)</f>
        <v>12200</v>
      </c>
    </row>
    <row r="42" spans="1:8" ht="20" customHeight="1" x14ac:dyDescent="0.25">
      <c r="A42"/>
      <c r="D42" s="24" t="str" cm="1">
        <f t="array" ref="D42">Common_InputFunctions.Utility_DisplayArrayInTable(Common_SourceData.Common_SourceData_GWP_Data(), Table_GWPData[[#Headers],[Gas]], 0)</f>
        <v>SF6</v>
      </c>
      <c r="E42" s="24" cm="1">
        <f t="array" ref="E42">Common_InputFunctions.Utility_DisplayArrayInTable(Common_SourceData.Common_SourceData_GWP_Data(), Table_GWPData[[#Headers],[Gas]], 0)</f>
        <v>22800</v>
      </c>
    </row>
    <row r="43" spans="1:8" ht="20" customHeight="1" x14ac:dyDescent="0.25">
      <c r="A43"/>
      <c r="D43" s="24" t="str" cm="1">
        <f t="array" ref="D43">Common_InputFunctions.Utility_DisplayArrayInTable(Common_SourceData.Common_SourceData_GWP_Data(), Table_GWPData[[#Headers],[Gas]], 0)</f>
        <v>NF3</v>
      </c>
      <c r="E43" s="24"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5" t="str" cm="1">
        <f t="array" ref="D45">Common_SourceData.Common_SourceData_ConvertGasElementalToMolecular_Title()</f>
        <v>Factor to convert elemental mass of gas to molecular mass</v>
      </c>
    </row>
    <row r="46" spans="1:8" ht="20" customHeight="1" x14ac:dyDescent="0.25">
      <c r="A46"/>
      <c r="D46" s="4" t="str" cm="1">
        <f t="array" ref="D46">Common_SourceData.Common_SourceData_ConvertGasElementalToMolecular_Source()</f>
        <v>XXXXXXX</v>
      </c>
    </row>
    <row r="47" spans="1:8" ht="20" customHeight="1" x14ac:dyDescent="0.25">
      <c r="A47"/>
      <c r="D47" s="24" t="s">
        <v>10</v>
      </c>
      <c r="E47" s="24" t="s">
        <v>13</v>
      </c>
      <c r="F47" s="24" t="s">
        <v>14</v>
      </c>
      <c r="G47" s="24" t="s">
        <v>15</v>
      </c>
      <c r="H47" s="24" t="s">
        <v>16</v>
      </c>
    </row>
    <row r="48" spans="1:8" ht="20" customHeight="1" x14ac:dyDescent="0.25">
      <c r="A48"/>
      <c r="D48" s="24" t="str" cm="1">
        <f t="array" ref="D48">Common_InputFunctions.Utility_DisplayArrayInTable(Common_SourceData.Common_SourceData_ConvertGasElementalToMolecular_Data(),Table_GasToMolecularConversionFactor[[#Headers],[Gas]], 0)</f>
        <v>CO2</v>
      </c>
      <c r="E48" s="24" t="str" cm="1">
        <f t="array" ref="E48">Common_InputFunctions.Utility_DisplayArrayInTable(Common_SourceData.Common_SourceData_ConvertGasElementalToMolecular_Data(),Table_GasToMolecularConversionFactor[[#Headers],[Gas]], 0)</f>
        <v>44/12</v>
      </c>
      <c r="F48" s="24" cm="1">
        <f t="array" ref="F48">Common_InputFunctions.Utility_DisplayArrayInTable(Common_SourceData.Common_SourceData_ConvertGasElementalToMolecular_Data(),Table_GasToMolecularConversionFactor[[#Headers],[Gas]], 0)</f>
        <v>44</v>
      </c>
      <c r="G48" s="24" cm="1">
        <f t="array" ref="G48">Common_InputFunctions.Utility_DisplayArrayInTable(Common_SourceData.Common_SourceData_ConvertGasElementalToMolecular_Data(),Table_GasToMolecularConversionFactor[[#Headers],[Gas]], 0)</f>
        <v>12</v>
      </c>
      <c r="H48" s="24">
        <f>Table_GasToMolecularConversionFactor[[#This Row],[Conversion factor 1]]/Table_GasToMolecularConversionFactor[[#This Row],[Conversion factor 2]]</f>
        <v>3.6666666666666665</v>
      </c>
    </row>
    <row r="49" spans="1:8" ht="20" customHeight="1" x14ac:dyDescent="0.25">
      <c r="A49"/>
      <c r="D49" s="24" t="str" cm="1">
        <f t="array" ref="D49">Common_InputFunctions.Utility_DisplayArrayInTable(Common_SourceData.Common_SourceData_ConvertGasElementalToMolecular_Data(),Table_GasToMolecularConversionFactor[[#Headers],[Gas]], 0)</f>
        <v>CH4</v>
      </c>
      <c r="E49" s="24" t="str" cm="1">
        <f t="array" ref="E49">Common_InputFunctions.Utility_DisplayArrayInTable(Common_SourceData.Common_SourceData_ConvertGasElementalToMolecular_Data(),Table_GasToMolecularConversionFactor[[#Headers],[Gas]], 0)</f>
        <v>16/12</v>
      </c>
      <c r="F49" s="24" cm="1">
        <f t="array" ref="F49">Common_InputFunctions.Utility_DisplayArrayInTable(Common_SourceData.Common_SourceData_ConvertGasElementalToMolecular_Data(),Table_GasToMolecularConversionFactor[[#Headers],[Gas]], 0)</f>
        <v>16</v>
      </c>
      <c r="G49" s="24" cm="1">
        <f t="array" ref="G49">Common_InputFunctions.Utility_DisplayArrayInTable(Common_SourceData.Common_SourceData_ConvertGasElementalToMolecular_Data(),Table_GasToMolecularConversionFactor[[#Headers],[Gas]], 0)</f>
        <v>12</v>
      </c>
      <c r="H49" s="24">
        <f>Table_GasToMolecularConversionFactor[[#This Row],[Conversion factor 1]]/Table_GasToMolecularConversionFactor[[#This Row],[Conversion factor 2]]</f>
        <v>1.3333333333333333</v>
      </c>
    </row>
    <row r="50" spans="1:8" ht="20" customHeight="1" x14ac:dyDescent="0.25">
      <c r="A50"/>
      <c r="D50" s="24" t="str" cm="1">
        <f t="array" ref="D50">Common_InputFunctions.Utility_DisplayArrayInTable(Common_SourceData.Common_SourceData_ConvertGasElementalToMolecular_Data(),Table_GasToMolecularConversionFactor[[#Headers],[Gas]], 0)</f>
        <v>N2O</v>
      </c>
      <c r="E50" s="24" t="str" cm="1">
        <f t="array" ref="E50">Common_InputFunctions.Utility_DisplayArrayInTable(Common_SourceData.Common_SourceData_ConvertGasElementalToMolecular_Data(),Table_GasToMolecularConversionFactor[[#Headers],[Gas]], 0)</f>
        <v>44/28</v>
      </c>
      <c r="F50" s="24" cm="1">
        <f t="array" ref="F50">Common_InputFunctions.Utility_DisplayArrayInTable(Common_SourceData.Common_SourceData_ConvertGasElementalToMolecular_Data(),Table_GasToMolecularConversionFactor[[#Headers],[Gas]], 0)</f>
        <v>44</v>
      </c>
      <c r="G50" s="24" cm="1">
        <f t="array" ref="G50">Common_InputFunctions.Utility_DisplayArrayInTable(Common_SourceData.Common_SourceData_ConvertGasElementalToMolecular_Data(),Table_GasToMolecularConversionFactor[[#Headers],[Gas]], 0)</f>
        <v>28</v>
      </c>
      <c r="H50" s="24">
        <f>Table_GasToMolecularConversionFactor[[#This Row],[Conversion factor 1]]/Table_GasToMolecularConversionFactor[[#This Row],[Conversion factor 2]]</f>
        <v>1.5714285714285714</v>
      </c>
    </row>
    <row r="51" spans="1:8" ht="20" customHeight="1" x14ac:dyDescent="0.25">
      <c r="A51"/>
      <c r="D51" s="24" t="str" cm="1">
        <f t="array" ref="D51">Common_InputFunctions.Utility_DisplayArrayInTable(Common_SourceData.Common_SourceData_ConvertGasElementalToMolecular_Data(),Table_GasToMolecularConversionFactor[[#Headers],[Gas]], 0)</f>
        <v>Nox</v>
      </c>
      <c r="E51" s="24" t="str" cm="1">
        <f t="array" ref="E51">Common_InputFunctions.Utility_DisplayArrayInTable(Common_SourceData.Common_SourceData_ConvertGasElementalToMolecular_Data(),Table_GasToMolecularConversionFactor[[#Headers],[Gas]], 0)</f>
        <v>46/14</v>
      </c>
      <c r="F51" s="24" cm="1">
        <f t="array" ref="F51">Common_InputFunctions.Utility_DisplayArrayInTable(Common_SourceData.Common_SourceData_ConvertGasElementalToMolecular_Data(),Table_GasToMolecularConversionFactor[[#Headers],[Gas]], 0)</f>
        <v>46</v>
      </c>
      <c r="G51" s="24" cm="1">
        <f t="array" ref="G51">Common_InputFunctions.Utility_DisplayArrayInTable(Common_SourceData.Common_SourceData_ConvertGasElementalToMolecular_Data(),Table_GasToMolecularConversionFactor[[#Headers],[Gas]], 0)</f>
        <v>14</v>
      </c>
      <c r="H51" s="24">
        <f>Table_GasToMolecularConversionFactor[[#This Row],[Conversion factor 1]]/Table_GasToMolecularConversionFactor[[#This Row],[Conversion factor 2]]</f>
        <v>3.2857142857142856</v>
      </c>
    </row>
    <row r="52" spans="1:8" ht="20" customHeight="1" x14ac:dyDescent="0.25">
      <c r="A52"/>
      <c r="D52" s="24" t="str" cm="1">
        <f t="array" ref="D52">Common_InputFunctions.Utility_DisplayArrayInTable(Common_SourceData.Common_SourceData_ConvertGasElementalToMolecular_Data(),Table_GasToMolecularConversionFactor[[#Headers],[Gas]], 0)</f>
        <v>CO</v>
      </c>
      <c r="E52" s="24" t="str" cm="1">
        <f t="array" ref="E52">Common_InputFunctions.Utility_DisplayArrayInTable(Common_SourceData.Common_SourceData_ConvertGasElementalToMolecular_Data(),Table_GasToMolecularConversionFactor[[#Headers],[Gas]], 0)</f>
        <v>28/12</v>
      </c>
      <c r="F52" s="24" cm="1">
        <f t="array" ref="F52">Common_InputFunctions.Utility_DisplayArrayInTable(Common_SourceData.Common_SourceData_ConvertGasElementalToMolecular_Data(),Table_GasToMolecularConversionFactor[[#Headers],[Gas]], 0)</f>
        <v>28</v>
      </c>
      <c r="G52" s="24" cm="1">
        <f t="array" ref="G52">Common_InputFunctions.Utility_DisplayArrayInTable(Common_SourceData.Common_SourceData_ConvertGasElementalToMolecular_Data(),Table_GasToMolecularConversionFactor[[#Headers],[Gas]], 0)</f>
        <v>12</v>
      </c>
      <c r="H52" s="24">
        <f>Table_GasToMolecularConversionFactor[[#This Row],[Conversion factor 1]]/Table_GasToMolecularConversionFactor[[#This Row],[Conversion factor 2]]</f>
        <v>2.3333333333333335</v>
      </c>
    </row>
    <row r="53" spans="1:8" ht="20" customHeight="1" x14ac:dyDescent="0.25">
      <c r="A53"/>
      <c r="D53" s="24" t="str" cm="1">
        <f t="array" ref="D53">Common_InputFunctions.Utility_DisplayArrayInTable(Common_SourceData.Common_SourceData_ConvertGasElementalToMolecular_Data(),Table_GasToMolecularConversionFactor[[#Headers],[Gas]], 0)</f>
        <v>CO2 Lime</v>
      </c>
      <c r="E53" s="24" t="str" cm="1">
        <f t="array" ref="E53">Common_InputFunctions.Utility_DisplayArrayInTable(Common_SourceData.Common_SourceData_ConvertGasElementalToMolecular_Data(),Table_GasToMolecularConversionFactor[[#Headers],[Gas]], 0)</f>
        <v>44/12</v>
      </c>
      <c r="F53" s="24" cm="1">
        <f t="array" ref="F53">Common_InputFunctions.Utility_DisplayArrayInTable(Common_SourceData.Common_SourceData_ConvertGasElementalToMolecular_Data(),Table_GasToMolecularConversionFactor[[#Headers],[Gas]], 0)</f>
        <v>44</v>
      </c>
      <c r="G53" s="24" cm="1">
        <f t="array" ref="G53">Common_InputFunctions.Utility_DisplayArrayInTable(Common_SourceData.Common_SourceData_ConvertGasElementalToMolecular_Data(),Table_GasToMolecularConversionFactor[[#Headers],[Gas]], 0)</f>
        <v>12</v>
      </c>
      <c r="H53" s="24">
        <f>Table_GasToMolecularConversionFactor[[#This Row],[Conversion factor 1]]/Table_GasToMolecularConversionFactor[[#This Row],[Conversion factor 2]]</f>
        <v>3.6666666666666665</v>
      </c>
    </row>
    <row r="54" spans="1:8" ht="20" customHeight="1" x14ac:dyDescent="0.25">
      <c r="A54"/>
      <c r="D54" s="24" t="str" cm="1">
        <f t="array" ref="D54">Common_InputFunctions.Utility_DisplayArrayInTable(Common_SourceData.Common_SourceData_ConvertGasElementalToMolecular_Data(),Table_GasToMolecularConversionFactor[[#Headers],[Gas]], 0)</f>
        <v>NMVOC</v>
      </c>
      <c r="E54" s="24" t="str" cm="1">
        <f t="array" ref="E54">Common_InputFunctions.Utility_DisplayArrayInTable(Common_SourceData.Common_SourceData_ConvertGasElementalToMolecular_Data(),Table_GasToMolecularConversionFactor[[#Headers],[Gas]], 0)</f>
        <v>14/12</v>
      </c>
      <c r="F54" s="24" cm="1">
        <f t="array" ref="F54">Common_InputFunctions.Utility_DisplayArrayInTable(Common_SourceData.Common_SourceData_ConvertGasElementalToMolecular_Data(),Table_GasToMolecularConversionFactor[[#Headers],[Gas]], 0)</f>
        <v>14</v>
      </c>
      <c r="G54" s="24" cm="1">
        <f t="array" ref="G54">Common_InputFunctions.Utility_DisplayArrayInTable(Common_SourceData.Common_SourceData_ConvertGasElementalToMolecular_Data(),Table_GasToMolecularConversionFactor[[#Headers],[Gas]], 0)</f>
        <v>12</v>
      </c>
      <c r="H54" s="24">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5" t="str" cm="1">
        <f t="array" ref="D57">Common_SourceData.Common_SourceData_WetAndDryZones_Title()</f>
        <v>VEERG Australian wet and dry zones</v>
      </c>
    </row>
    <row r="58" spans="1:8" ht="20" customHeight="1" x14ac:dyDescent="0.25">
      <c r="A58"/>
      <c r="D58" s="4" t="str" cm="1">
        <f t="array" ref="D58">Common_SourceData.Common_SourceData_WetAndDryZones_Source()</f>
        <v>VEERG 2026: Table 1.2: Translating climate zones to wet and dry zones</v>
      </c>
    </row>
    <row r="59" spans="1:8" ht="20" customHeight="1" x14ac:dyDescent="0.25">
      <c r="A59"/>
      <c r="D59" s="29" t="str" cm="1">
        <f t="array" ref="D59:D61">"⚠️" &amp; Common_SourceData.Common_SourceData_WetAndDryZones_Variation()</f>
        <v>⚠️VARIATION OF SOURCE DATA:</v>
      </c>
    </row>
    <row r="60" spans="1:8" ht="20" customHeight="1" x14ac:dyDescent="0.25">
      <c r="A60"/>
      <c r="D60" s="29" t="str">
        <v>⚠️Added warm / cool temperate moist / dry - low frost and high temp classes to accommodate climate scenarios excluded by VEERG criteria.</v>
      </c>
    </row>
    <row r="61" spans="1:8" ht="20" customHeight="1" x14ac:dyDescent="0.25">
      <c r="A61"/>
      <c r="D61" s="29" t="str">
        <v>⚠️Fixed typo - Changed 'Fry' to 'Dry'.</v>
      </c>
    </row>
    <row r="62" spans="1:8" ht="20" customHeight="1" x14ac:dyDescent="0.25">
      <c r="A62"/>
    </row>
    <row r="63" spans="1:8" ht="20" customHeight="1" x14ac:dyDescent="0.25">
      <c r="A63"/>
      <c r="D63" s="24" t="s">
        <v>3</v>
      </c>
      <c r="E63" s="24" t="s">
        <v>30</v>
      </c>
    </row>
    <row r="64" spans="1:8" ht="20" customHeight="1" x14ac:dyDescent="0.25">
      <c r="A64"/>
      <c r="D64" s="24" t="str" cm="1">
        <f t="array" ref="D64">Common_InputFunctions.Utility_DisplayArrayInTable(Common_SourceData.Common_SourceData_WetAndDryZones_Data(), Table_SourceData_WetDryZones[[#Headers],[Climate zone]], 0)</f>
        <v>Tropical montane</v>
      </c>
      <c r="E64" s="24" t="str" cm="1">
        <f t="array" ref="E64">Common_InputFunctions.Utility_DisplayArrayInTable(Common_SourceData.Common_SourceData_WetAndDryZones_Data(), Table_SourceData_WetDryZones[[#Headers],[Climate zone]], 0)</f>
        <v>Wet climate zone</v>
      </c>
    </row>
    <row r="65" spans="1:5" ht="20" customHeight="1" x14ac:dyDescent="0.25">
      <c r="A65"/>
      <c r="D65" s="24" t="str" cm="1">
        <f t="array" ref="D65">Common_InputFunctions.Utility_DisplayArrayInTable(Common_SourceData.Common_SourceData_WetAndDryZones_Data(), Table_SourceData_WetDryZones[[#Headers],[Climate zone]], 0)</f>
        <v>Tropical wet</v>
      </c>
      <c r="E65" s="24" t="str" cm="1">
        <f t="array" ref="E65">Common_InputFunctions.Utility_DisplayArrayInTable(Common_SourceData.Common_SourceData_WetAndDryZones_Data(), Table_SourceData_WetDryZones[[#Headers],[Climate zone]], 0)</f>
        <v>Wet climate zone</v>
      </c>
    </row>
    <row r="66" spans="1:5" ht="20" customHeight="1" x14ac:dyDescent="0.25">
      <c r="A66"/>
      <c r="D66" s="24" t="str" cm="1">
        <f t="array" ref="D66">Common_InputFunctions.Utility_DisplayArrayInTable(Common_SourceData.Common_SourceData_WetAndDryZones_Data(), Table_SourceData_WetDryZones[[#Headers],[Climate zone]], 0)</f>
        <v>Tropical moist</v>
      </c>
      <c r="E66" s="24" t="str" cm="1">
        <f t="array" ref="E66">Common_InputFunctions.Utility_DisplayArrayInTable(Common_SourceData.Common_SourceData_WetAndDryZones_Data(), Table_SourceData_WetDryZones[[#Headers],[Climate zone]], 0)</f>
        <v>Wet climate zone</v>
      </c>
    </row>
    <row r="67" spans="1:5" ht="20" customHeight="1" x14ac:dyDescent="0.25">
      <c r="A67"/>
      <c r="D67" s="24" t="str" cm="1">
        <f t="array" ref="D67">Common_InputFunctions.Utility_DisplayArrayInTable(Common_SourceData.Common_SourceData_WetAndDryZones_Data(), Table_SourceData_WetDryZones[[#Headers],[Climate zone]], 0)</f>
        <v>Tropical dry</v>
      </c>
      <c r="E67" s="24" t="str" cm="1">
        <f t="array" ref="E67">Common_InputFunctions.Utility_DisplayArrayInTable(Common_SourceData.Common_SourceData_WetAndDryZones_Data(), Table_SourceData_WetDryZones[[#Headers],[Climate zone]], 0)</f>
        <v>Dry climate zone</v>
      </c>
    </row>
    <row r="68" spans="1:5" ht="20" customHeight="1" x14ac:dyDescent="0.25">
      <c r="A68"/>
      <c r="D68" s="24" t="str" cm="1">
        <f t="array" ref="D68">Common_InputFunctions.Utility_DisplayArrayInTable(Common_SourceData.Common_SourceData_WetAndDryZones_Data(), Table_SourceData_WetDryZones[[#Headers],[Climate zone]], 0)</f>
        <v>Warm temperate moist</v>
      </c>
      <c r="E68" s="24" t="str" cm="1">
        <f t="array" ref="E68">Common_InputFunctions.Utility_DisplayArrayInTable(Common_SourceData.Common_SourceData_WetAndDryZones_Data(), Table_SourceData_WetDryZones[[#Headers],[Climate zone]], 0)</f>
        <v>Wet climate zone</v>
      </c>
    </row>
    <row r="69" spans="1:5" ht="20" customHeight="1" x14ac:dyDescent="0.25">
      <c r="A69"/>
      <c r="D69" s="24" t="str" cm="1">
        <f t="array" ref="D69">Common_InputFunctions.Utility_DisplayArrayInTable(Common_SourceData.Common_SourceData_WetAndDryZones_Data(), Table_SourceData_WetDryZones[[#Headers],[Climate zone]], 0)</f>
        <v>Warm temperate dry</v>
      </c>
      <c r="E69" s="24" t="str" cm="1">
        <f t="array" ref="E69">Common_InputFunctions.Utility_DisplayArrayInTable(Common_SourceData.Common_SourceData_WetAndDryZones_Data(), Table_SourceData_WetDryZones[[#Headers],[Climate zone]], 0)</f>
        <v>Dry climate zone</v>
      </c>
    </row>
    <row r="70" spans="1:5" ht="20" customHeight="1" x14ac:dyDescent="0.25">
      <c r="A70"/>
      <c r="D70" s="24" t="str" cm="1">
        <f t="array" ref="D70">Common_InputFunctions.Utility_DisplayArrayInTable(Common_SourceData.Common_SourceData_WetAndDryZones_Data(), Table_SourceData_WetDryZones[[#Headers],[Climate zone]], 0)</f>
        <v>Cool temperate moist</v>
      </c>
      <c r="E70" s="24" t="str" cm="1">
        <f t="array" ref="E70">Common_InputFunctions.Utility_DisplayArrayInTable(Common_SourceData.Common_SourceData_WetAndDryZones_Data(), Table_SourceData_WetDryZones[[#Headers],[Climate zone]], 0)</f>
        <v>Wet climate zone</v>
      </c>
    </row>
    <row r="71" spans="1:5" ht="20" customHeight="1" x14ac:dyDescent="0.25">
      <c r="A71"/>
      <c r="D71" s="24" t="str" cm="1">
        <f t="array" ref="D71">Common_InputFunctions.Utility_DisplayArrayInTable(Common_SourceData.Common_SourceData_WetAndDryZones_Data(), Table_SourceData_WetDryZones[[#Headers],[Climate zone]], 0)</f>
        <v>Cool temperate dry</v>
      </c>
      <c r="E71" s="24" t="str" cm="1">
        <f t="array" ref="E71">Common_InputFunctions.Utility_DisplayArrayInTable(Common_SourceData.Common_SourceData_WetAndDryZones_Data(), Table_SourceData_WetDryZones[[#Headers],[Climate zone]], 0)</f>
        <v>Dry climate zone</v>
      </c>
    </row>
    <row r="72" spans="1:5" ht="20" customHeight="1" x14ac:dyDescent="0.25">
      <c r="A72"/>
      <c r="D72" s="24" t="str" cm="1">
        <f t="array" ref="D72">Common_InputFunctions.Utility_DisplayArrayInTable(Common_SourceData.Common_SourceData_WetAndDryZones_Data(), Table_SourceData_WetDryZones[[#Headers],[Climate zone]], 0)</f>
        <v>Warm temperate moist - low frost</v>
      </c>
      <c r="E72" s="24" t="str" cm="1">
        <f t="array" ref="E72">Common_InputFunctions.Utility_DisplayArrayInTable(Common_SourceData.Common_SourceData_WetAndDryZones_Data(), Table_SourceData_WetDryZones[[#Headers],[Climate zone]], 0)</f>
        <v>Wet climate zone</v>
      </c>
    </row>
    <row r="73" spans="1:5" ht="20" customHeight="1" x14ac:dyDescent="0.25">
      <c r="A73"/>
      <c r="D73" s="24" t="str" cm="1">
        <f t="array" ref="D73">Common_InputFunctions.Utility_DisplayArrayInTable(Common_SourceData.Common_SourceData_WetAndDryZones_Data(), Table_SourceData_WetDryZones[[#Headers],[Climate zone]], 0)</f>
        <v>Warm temperate dry - low frost</v>
      </c>
      <c r="E73" s="24" t="str" cm="1">
        <f t="array" ref="E73">Common_InputFunctions.Utility_DisplayArrayInTable(Common_SourceData.Common_SourceData_WetAndDryZones_Data(), Table_SourceData_WetDryZones[[#Headers],[Climate zone]], 0)</f>
        <v>Dry climate zone</v>
      </c>
    </row>
    <row r="74" spans="1:5" ht="20" customHeight="1" x14ac:dyDescent="0.25">
      <c r="A74"/>
      <c r="D74" s="24" t="str" cm="1">
        <f t="array" ref="D74">Common_InputFunctions.Utility_DisplayArrayInTable(Common_SourceData.Common_SourceData_WetAndDryZones_Data(), Table_SourceData_WetDryZones[[#Headers],[Climate zone]], 0)</f>
        <v>Warm temperate moist - high temp</v>
      </c>
      <c r="E74" s="24" t="str" cm="1">
        <f t="array" ref="E74">Common_InputFunctions.Utility_DisplayArrayInTable(Common_SourceData.Common_SourceData_WetAndDryZones_Data(), Table_SourceData_WetDryZones[[#Headers],[Climate zone]], 0)</f>
        <v>Wet climate zone</v>
      </c>
    </row>
    <row r="75" spans="1:5" ht="20" customHeight="1" x14ac:dyDescent="0.25">
      <c r="A75"/>
      <c r="D75" s="24" t="str" cm="1">
        <f t="array" ref="D75">Common_InputFunctions.Utility_DisplayArrayInTable(Common_SourceData.Common_SourceData_WetAndDryZones_Data(), Table_SourceData_WetDryZones[[#Headers],[Climate zone]], 0)</f>
        <v>Warm temperate dry - high temp</v>
      </c>
      <c r="E75" s="24" t="str" cm="1">
        <f t="array" ref="E75">Common_InputFunctions.Utility_DisplayArrayInTable(Common_SourceData.Common_SourceData_WetAndDryZones_Data(), Table_SourceData_WetDryZones[[#Headers],[Climate zone]], 0)</f>
        <v>Dry climate zone</v>
      </c>
    </row>
    <row r="76" spans="1:5" ht="20" customHeight="1" x14ac:dyDescent="0.25">
      <c r="A76"/>
      <c r="D76" s="24" t="str" cm="1">
        <f t="array" ref="D76">Common_InputFunctions.Utility_DisplayArrayInTable(Common_SourceData.Common_SourceData_WetAndDryZones_Data(), Table_SourceData_WetDryZones[[#Headers],[Climate zone]], 0)</f>
        <v>Cool temperate moist - low frost</v>
      </c>
      <c r="E76" s="24" t="str" cm="1">
        <f t="array" ref="E76">Common_InputFunctions.Utility_DisplayArrayInTable(Common_SourceData.Common_SourceData_WetAndDryZones_Data(), Table_SourceData_WetDryZones[[#Headers],[Climate zone]], 0)</f>
        <v>Wet climate zone</v>
      </c>
    </row>
    <row r="77" spans="1:5" ht="20" customHeight="1" x14ac:dyDescent="0.25">
      <c r="A77"/>
      <c r="D77" s="24" t="str" cm="1">
        <f t="array" ref="D77">Common_InputFunctions.Utility_DisplayArrayInTable(Common_SourceData.Common_SourceData_WetAndDryZones_Data(), Table_SourceData_WetDryZones[[#Headers],[Climate zone]], 0)</f>
        <v>Cool temperate dry - low frost</v>
      </c>
      <c r="E77" s="24"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5" t="str" cm="1">
        <f t="array" ref="D81">Common_SourceData.Common_SourceData_ClimateZones_Title()</f>
        <v>VEERG Australian climate zones</v>
      </c>
    </row>
    <row r="82" spans="1:20" ht="20" customHeight="1" x14ac:dyDescent="0.25">
      <c r="A82"/>
      <c r="D82" s="4" t="str" cm="1">
        <f t="array" ref="D82">Common_SourceData.Common_SourceData_ClimateZones_Source()</f>
        <v>VEERG 2026: Table 1.3: Climate and Rainfall zone classifications and definitions</v>
      </c>
    </row>
    <row r="83" spans="1:20" ht="20" customHeight="1" x14ac:dyDescent="0.25">
      <c r="A83"/>
      <c r="D83" s="29" t="str" cm="1">
        <f t="array" ref="D83:D87">"⚠️" &amp; Common_SourceData.Common_SourceData_ClimateZones_Variation()</f>
        <v>⚠️VARIATION OF SOURCE DATA:</v>
      </c>
    </row>
    <row r="84" spans="1:20" ht="20" customHeight="1" x14ac:dyDescent="0.25">
      <c r="A84"/>
      <c r="D84" s="29" t="str">
        <v>⚠️Added warm / cool temperate moist / dry - low frost and high temp classes to accommodate climate scenarios excluded by VEERG criteria.</v>
      </c>
    </row>
    <row r="85" spans="1:20" ht="20" customHeight="1" x14ac:dyDescent="0.25">
      <c r="A85"/>
      <c r="D85" s="29" t="str">
        <v>⚠️Fixed typo in MAT value for warm temperate dry - changed 10 to 11.</v>
      </c>
    </row>
    <row r="86" spans="1:20" ht="20" customHeight="1" x14ac:dyDescent="0.25">
      <c r="A86"/>
      <c r="D86" s="29" t="str">
        <v>⚠️Added min and max columns for MAT, MAP, frost days per year, elevation, MAP:PET to calculate zones from real climate data.</v>
      </c>
    </row>
    <row r="87" spans="1:20" ht="20" customHeight="1" x14ac:dyDescent="0.25">
      <c r="A87"/>
      <c r="D87" s="29" t="str">
        <v>⚠️GAF accepts rainfall as a proxy for precipitation.</v>
      </c>
    </row>
    <row r="88" spans="1:20" ht="20" customHeight="1" x14ac:dyDescent="0.25">
      <c r="A88"/>
    </row>
    <row r="89" spans="1:20" ht="20" customHeight="1" x14ac:dyDescent="0.25">
      <c r="A89"/>
      <c r="D89" s="24" t="s">
        <v>3</v>
      </c>
      <c r="E89" s="24" t="s">
        <v>18</v>
      </c>
      <c r="F89" s="24" t="s">
        <v>19</v>
      </c>
      <c r="G89" s="24" t="s">
        <v>20</v>
      </c>
      <c r="H89" s="24" t="s">
        <v>21</v>
      </c>
      <c r="I89" s="24" t="s">
        <v>22</v>
      </c>
      <c r="J89" s="24" t="s">
        <v>23</v>
      </c>
      <c r="K89" s="24" t="s">
        <v>24</v>
      </c>
      <c r="L89" s="24" t="s">
        <v>25</v>
      </c>
      <c r="M89" s="24" t="s">
        <v>26</v>
      </c>
      <c r="N89" s="24" t="s">
        <v>27</v>
      </c>
      <c r="O89" s="24" t="s">
        <v>31</v>
      </c>
      <c r="P89" s="24" t="s">
        <v>28</v>
      </c>
      <c r="Q89" s="24" t="s">
        <v>32</v>
      </c>
      <c r="R89" s="24" t="s">
        <v>29</v>
      </c>
      <c r="S89" s="24" t="s">
        <v>33</v>
      </c>
      <c r="T89" s="24"/>
    </row>
    <row r="90" spans="1:20" ht="20" customHeight="1" x14ac:dyDescent="0.25">
      <c r="A90"/>
      <c r="D90" s="24" t="str" cm="1">
        <f t="array" ref="D90">Common_InputFunctions.Utility_DisplayArrayInTable(Common_SourceData.Common_SourceData_ClimateZones_Data(), Table_SourceData_ClimateZones[[#Headers],[Climate zone]], 0)</f>
        <v>Tropical montane</v>
      </c>
      <c r="E90" s="24" t="str" cm="1">
        <f t="array" ref="E90">Common_InputFunctions.Utility_DisplayArrayInTable(Common_SourceData.Common_SourceData_ClimateZones_Data(), Table_SourceData_ClimateZones[[#Headers],[Climate zone]], 0)</f>
        <v>&gt; 18 C</v>
      </c>
      <c r="F90" s="24" t="str" cm="1">
        <f t="array" ref="F90">Common_InputFunctions.Utility_DisplayArrayInTable(Common_SourceData.Common_SourceData_ClimateZones_Data(), Table_SourceData_ClimateZones[[#Headers],[Climate zone]], 0)</f>
        <v>Any</v>
      </c>
      <c r="G90" s="24" t="str" cm="1">
        <f t="array" ref="G90">Common_InputFunctions.Utility_DisplayArrayInTable(Common_SourceData.Common_SourceData_ClimateZones_Data(), Table_SourceData_ClimateZones[[#Headers],[Climate zone]], 0)</f>
        <v>≤ 7</v>
      </c>
      <c r="H90" s="24" t="str" cm="1">
        <f t="array" ref="H90">Common_InputFunctions.Utility_DisplayArrayInTable(Common_SourceData.Common_SourceData_ClimateZones_Data(), Table_SourceData_ClimateZones[[#Headers],[Climate zone]], 0)</f>
        <v>&gt; 1000 m</v>
      </c>
      <c r="I90" s="24" t="str" cm="1">
        <f t="array" ref="I90">Common_InputFunctions.Utility_DisplayArrayInTable(Common_SourceData.Common_SourceData_ClimateZones_Data(), Table_SourceData_ClimateZones[[#Headers],[Climate zone]], 0)</f>
        <v>Any</v>
      </c>
      <c r="J90" s="24" cm="1">
        <f t="array" ref="J90">Common_InputFunctions.Utility_DisplayArrayInTable(Common_SourceData.Common_SourceData_ClimateZones_Data(), Table_SourceData_ClimateZones[[#Headers],[Climate zone]], 0)</f>
        <v>18.001000000000001</v>
      </c>
      <c r="K90" s="24" cm="1">
        <f t="array" ref="K90">Common_InputFunctions.Utility_DisplayArrayInTable(Common_SourceData.Common_SourceData_ClimateZones_Data(), Table_SourceData_ClimateZones[[#Headers],[Climate zone]], 0)</f>
        <v>999999</v>
      </c>
      <c r="L90" s="24" cm="1">
        <f t="array" ref="L90">Common_InputFunctions.Utility_DisplayArrayInTable(Common_SourceData.Common_SourceData_ClimateZones_Data(), Table_SourceData_ClimateZones[[#Headers],[Climate zone]], 0)</f>
        <v>-999999</v>
      </c>
      <c r="M90" s="24" cm="1">
        <f t="array" ref="M90">Common_InputFunctions.Utility_DisplayArrayInTable(Common_SourceData.Common_SourceData_ClimateZones_Data(), Table_SourceData_ClimateZones[[#Headers],[Climate zone]], 0)</f>
        <v>999999</v>
      </c>
      <c r="N90" s="24" cm="1">
        <f t="array" ref="N90">Common_InputFunctions.Utility_DisplayArrayInTable(Common_SourceData.Common_SourceData_ClimateZones_Data(), Table_SourceData_ClimateZones[[#Headers],[Climate zone]], 0)</f>
        <v>-999999</v>
      </c>
      <c r="O90" s="24" cm="1">
        <f t="array" ref="O90">Common_InputFunctions.Utility_DisplayArrayInTable(Common_SourceData.Common_SourceData_ClimateZones_Data(), Table_SourceData_ClimateZones[[#Headers],[Climate zone]], 0)</f>
        <v>7</v>
      </c>
      <c r="P90" s="24" cm="1">
        <f t="array" ref="P90">Common_InputFunctions.Utility_DisplayArrayInTable(Common_SourceData.Common_SourceData_ClimateZones_Data(), Table_SourceData_ClimateZones[[#Headers],[Climate zone]], 0)</f>
        <v>1000</v>
      </c>
      <c r="Q90" s="24" cm="1">
        <f t="array" ref="Q90">Common_InputFunctions.Utility_DisplayArrayInTable(Common_SourceData.Common_SourceData_ClimateZones_Data(), Table_SourceData_ClimateZones[[#Headers],[Climate zone]], 0)</f>
        <v>999999</v>
      </c>
      <c r="R90" s="24" cm="1">
        <f t="array" ref="R90">Common_InputFunctions.Utility_DisplayArrayInTable(Common_SourceData.Common_SourceData_ClimateZones_Data(), Table_SourceData_ClimateZones[[#Headers],[Climate zone]], 0)</f>
        <v>-999999</v>
      </c>
      <c r="S90" s="24" cm="1">
        <f t="array" ref="S90">Common_InputFunctions.Utility_DisplayArrayInTable(Common_SourceData.Common_SourceData_ClimateZones_Data(), Table_SourceData_ClimateZones[[#Headers],[Climate zone]], 0)</f>
        <v>999999</v>
      </c>
      <c r="T90" s="24"/>
    </row>
    <row r="91" spans="1:20" ht="20" customHeight="1" x14ac:dyDescent="0.25">
      <c r="A91"/>
      <c r="D91" s="24" t="str" cm="1">
        <f t="array" ref="D91">Common_InputFunctions.Utility_DisplayArrayInTable(Common_SourceData.Common_SourceData_ClimateZones_Data(), Table_SourceData_ClimateZones[[#Headers],[Climate zone]], 0)</f>
        <v>Tropical wet</v>
      </c>
      <c r="E91" s="24" t="str" cm="1">
        <f t="array" ref="E91">Common_InputFunctions.Utility_DisplayArrayInTable(Common_SourceData.Common_SourceData_ClimateZones_Data(), Table_SourceData_ClimateZones[[#Headers],[Climate zone]], 0)</f>
        <v>&gt; 18 C</v>
      </c>
      <c r="F91" s="24" t="str" cm="1">
        <f t="array" ref="F91">Common_InputFunctions.Utility_DisplayArrayInTable(Common_SourceData.Common_SourceData_ClimateZones_Data(), Table_SourceData_ClimateZones[[#Headers],[Climate zone]], 0)</f>
        <v>&gt; 2000 mm</v>
      </c>
      <c r="G91" s="24" t="str" cm="1">
        <f t="array" ref="G91">Common_InputFunctions.Utility_DisplayArrayInTable(Common_SourceData.Common_SourceData_ClimateZones_Data(), Table_SourceData_ClimateZones[[#Headers],[Climate zone]], 0)</f>
        <v>≤ 7</v>
      </c>
      <c r="H91" s="24" t="str" cm="1">
        <f t="array" ref="H91">Common_InputFunctions.Utility_DisplayArrayInTable(Common_SourceData.Common_SourceData_ClimateZones_Data(), Table_SourceData_ClimateZones[[#Headers],[Climate zone]], 0)</f>
        <v>≤ 1000 m</v>
      </c>
      <c r="I91" s="24" t="str" cm="1">
        <f t="array" ref="I91">Common_InputFunctions.Utility_DisplayArrayInTable(Common_SourceData.Common_SourceData_ClimateZones_Data(), Table_SourceData_ClimateZones[[#Headers],[Climate zone]], 0)</f>
        <v>Any</v>
      </c>
      <c r="J91" s="24" cm="1">
        <f t="array" ref="J91">Common_InputFunctions.Utility_DisplayArrayInTable(Common_SourceData.Common_SourceData_ClimateZones_Data(), Table_SourceData_ClimateZones[[#Headers],[Climate zone]], 0)</f>
        <v>18.001000000000001</v>
      </c>
      <c r="K91" s="24" cm="1">
        <f t="array" ref="K91">Common_InputFunctions.Utility_DisplayArrayInTable(Common_SourceData.Common_SourceData_ClimateZones_Data(), Table_SourceData_ClimateZones[[#Headers],[Climate zone]], 0)</f>
        <v>999999</v>
      </c>
      <c r="L91" s="24" cm="1">
        <f t="array" ref="L91">Common_InputFunctions.Utility_DisplayArrayInTable(Common_SourceData.Common_SourceData_ClimateZones_Data(), Table_SourceData_ClimateZones[[#Headers],[Climate zone]], 0)</f>
        <v>2000.001</v>
      </c>
      <c r="M91" s="24" cm="1">
        <f t="array" ref="M91">Common_InputFunctions.Utility_DisplayArrayInTable(Common_SourceData.Common_SourceData_ClimateZones_Data(), Table_SourceData_ClimateZones[[#Headers],[Climate zone]], 0)</f>
        <v>999999</v>
      </c>
      <c r="N91" s="24" cm="1">
        <f t="array" ref="N91">Common_InputFunctions.Utility_DisplayArrayInTable(Common_SourceData.Common_SourceData_ClimateZones_Data(), Table_SourceData_ClimateZones[[#Headers],[Climate zone]], 0)</f>
        <v>-999999</v>
      </c>
      <c r="O91" s="24" cm="1">
        <f t="array" ref="O91">Common_InputFunctions.Utility_DisplayArrayInTable(Common_SourceData.Common_SourceData_ClimateZones_Data(), Table_SourceData_ClimateZones[[#Headers],[Climate zone]], 0)</f>
        <v>7</v>
      </c>
      <c r="P91" s="24" cm="1">
        <f t="array" ref="P91">Common_InputFunctions.Utility_DisplayArrayInTable(Common_SourceData.Common_SourceData_ClimateZones_Data(), Table_SourceData_ClimateZones[[#Headers],[Climate zone]], 0)</f>
        <v>-999999</v>
      </c>
      <c r="Q91" s="24" cm="1">
        <f t="array" ref="Q91">Common_InputFunctions.Utility_DisplayArrayInTable(Common_SourceData.Common_SourceData_ClimateZones_Data(), Table_SourceData_ClimateZones[[#Headers],[Climate zone]], 0)</f>
        <v>999.99900000000002</v>
      </c>
      <c r="R91" s="24" cm="1">
        <f t="array" ref="R91">Common_InputFunctions.Utility_DisplayArrayInTable(Common_SourceData.Common_SourceData_ClimateZones_Data(), Table_SourceData_ClimateZones[[#Headers],[Climate zone]], 0)</f>
        <v>-999999</v>
      </c>
      <c r="S91" s="24" cm="1">
        <f t="array" ref="S91">Common_InputFunctions.Utility_DisplayArrayInTable(Common_SourceData.Common_SourceData_ClimateZones_Data(), Table_SourceData_ClimateZones[[#Headers],[Climate zone]], 0)</f>
        <v>999999</v>
      </c>
      <c r="T91" s="24"/>
    </row>
    <row r="92" spans="1:20" ht="20" customHeight="1" x14ac:dyDescent="0.25">
      <c r="A92"/>
      <c r="D92" s="24" t="str" cm="1">
        <f t="array" ref="D92">Common_InputFunctions.Utility_DisplayArrayInTable(Common_SourceData.Common_SourceData_ClimateZones_Data(), Table_SourceData_ClimateZones[[#Headers],[Climate zone]], 0)</f>
        <v>Tropical moist</v>
      </c>
      <c r="E92" s="24" t="str" cm="1">
        <f t="array" ref="E92">Common_InputFunctions.Utility_DisplayArrayInTable(Common_SourceData.Common_SourceData_ClimateZones_Data(), Table_SourceData_ClimateZones[[#Headers],[Climate zone]], 0)</f>
        <v>&gt; 18 C</v>
      </c>
      <c r="F92" s="24" t="str" cm="1">
        <f t="array" ref="F92">Common_InputFunctions.Utility_DisplayArrayInTable(Common_SourceData.Common_SourceData_ClimateZones_Data(), Table_SourceData_ClimateZones[[#Headers],[Climate zone]], 0)</f>
        <v>&gt; 1000 mm - ≤ 2000 mm</v>
      </c>
      <c r="G92" s="24" t="str" cm="1">
        <f t="array" ref="G92">Common_InputFunctions.Utility_DisplayArrayInTable(Common_SourceData.Common_SourceData_ClimateZones_Data(), Table_SourceData_ClimateZones[[#Headers],[Climate zone]], 0)</f>
        <v>≤ 7</v>
      </c>
      <c r="H92" s="24" t="str" cm="1">
        <f t="array" ref="H92">Common_InputFunctions.Utility_DisplayArrayInTable(Common_SourceData.Common_SourceData_ClimateZones_Data(), Table_SourceData_ClimateZones[[#Headers],[Climate zone]], 0)</f>
        <v>≤ 1000 m</v>
      </c>
      <c r="I92" s="24" t="str" cm="1">
        <f t="array" ref="I92">Common_InputFunctions.Utility_DisplayArrayInTable(Common_SourceData.Common_SourceData_ClimateZones_Data(), Table_SourceData_ClimateZones[[#Headers],[Climate zone]], 0)</f>
        <v>Any</v>
      </c>
      <c r="J92" s="24" cm="1">
        <f t="array" ref="J92">Common_InputFunctions.Utility_DisplayArrayInTable(Common_SourceData.Common_SourceData_ClimateZones_Data(), Table_SourceData_ClimateZones[[#Headers],[Climate zone]], 0)</f>
        <v>18.001000000000001</v>
      </c>
      <c r="K92" s="24" cm="1">
        <f t="array" ref="K92">Common_InputFunctions.Utility_DisplayArrayInTable(Common_SourceData.Common_SourceData_ClimateZones_Data(), Table_SourceData_ClimateZones[[#Headers],[Climate zone]], 0)</f>
        <v>999999</v>
      </c>
      <c r="L92" s="24" cm="1">
        <f t="array" ref="L92">Common_InputFunctions.Utility_DisplayArrayInTable(Common_SourceData.Common_SourceData_ClimateZones_Data(), Table_SourceData_ClimateZones[[#Headers],[Climate zone]], 0)</f>
        <v>1000.001</v>
      </c>
      <c r="M92" s="24" cm="1">
        <f t="array" ref="M92">Common_InputFunctions.Utility_DisplayArrayInTable(Common_SourceData.Common_SourceData_ClimateZones_Data(), Table_SourceData_ClimateZones[[#Headers],[Climate zone]], 0)</f>
        <v>2000</v>
      </c>
      <c r="N92" s="24" cm="1">
        <f t="array" ref="N92">Common_InputFunctions.Utility_DisplayArrayInTable(Common_SourceData.Common_SourceData_ClimateZones_Data(), Table_SourceData_ClimateZones[[#Headers],[Climate zone]], 0)</f>
        <v>-999999</v>
      </c>
      <c r="O92" s="24" cm="1">
        <f t="array" ref="O92">Common_InputFunctions.Utility_DisplayArrayInTable(Common_SourceData.Common_SourceData_ClimateZones_Data(), Table_SourceData_ClimateZones[[#Headers],[Climate zone]], 0)</f>
        <v>7</v>
      </c>
      <c r="P92" s="24" cm="1">
        <f t="array" ref="P92">Common_InputFunctions.Utility_DisplayArrayInTable(Common_SourceData.Common_SourceData_ClimateZones_Data(), Table_SourceData_ClimateZones[[#Headers],[Climate zone]], 0)</f>
        <v>-999999</v>
      </c>
      <c r="Q92" s="24" cm="1">
        <f t="array" ref="Q92">Common_InputFunctions.Utility_DisplayArrayInTable(Common_SourceData.Common_SourceData_ClimateZones_Data(), Table_SourceData_ClimateZones[[#Headers],[Climate zone]], 0)</f>
        <v>999.99900000000002</v>
      </c>
      <c r="R92" s="24" cm="1">
        <f t="array" ref="R92">Common_InputFunctions.Utility_DisplayArrayInTable(Common_SourceData.Common_SourceData_ClimateZones_Data(), Table_SourceData_ClimateZones[[#Headers],[Climate zone]], 0)</f>
        <v>-999999</v>
      </c>
      <c r="S92" s="24" cm="1">
        <f t="array" ref="S92">Common_InputFunctions.Utility_DisplayArrayInTable(Common_SourceData.Common_SourceData_ClimateZones_Data(), Table_SourceData_ClimateZones[[#Headers],[Climate zone]], 0)</f>
        <v>999999</v>
      </c>
      <c r="T92" s="24"/>
    </row>
    <row r="93" spans="1:20" ht="20" customHeight="1" x14ac:dyDescent="0.25">
      <c r="A93"/>
      <c r="D93" s="24" t="str" cm="1">
        <f t="array" ref="D93">Common_InputFunctions.Utility_DisplayArrayInTable(Common_SourceData.Common_SourceData_ClimateZones_Data(), Table_SourceData_ClimateZones[[#Headers],[Climate zone]], 0)</f>
        <v>Tropical dry</v>
      </c>
      <c r="E93" s="24" t="str" cm="1">
        <f t="array" ref="E93">Common_InputFunctions.Utility_DisplayArrayInTable(Common_SourceData.Common_SourceData_ClimateZones_Data(), Table_SourceData_ClimateZones[[#Headers],[Climate zone]], 0)</f>
        <v>&gt; 18 C</v>
      </c>
      <c r="F93" s="24" t="str" cm="1">
        <f t="array" ref="F93">Common_InputFunctions.Utility_DisplayArrayInTable(Common_SourceData.Common_SourceData_ClimateZones_Data(), Table_SourceData_ClimateZones[[#Headers],[Climate zone]], 0)</f>
        <v>≤ 1000 mm</v>
      </c>
      <c r="G93" s="24" t="str" cm="1">
        <f t="array" ref="G93">Common_InputFunctions.Utility_DisplayArrayInTable(Common_SourceData.Common_SourceData_ClimateZones_Data(), Table_SourceData_ClimateZones[[#Headers],[Climate zone]], 0)</f>
        <v>≤ 7</v>
      </c>
      <c r="H93" s="24" t="str" cm="1">
        <f t="array" ref="H93">Common_InputFunctions.Utility_DisplayArrayInTable(Common_SourceData.Common_SourceData_ClimateZones_Data(), Table_SourceData_ClimateZones[[#Headers],[Climate zone]], 0)</f>
        <v>≤ 1000 m</v>
      </c>
      <c r="I93" s="24" t="str" cm="1">
        <f t="array" ref="I93">Common_InputFunctions.Utility_DisplayArrayInTable(Common_SourceData.Common_SourceData_ClimateZones_Data(), Table_SourceData_ClimateZones[[#Headers],[Climate zone]], 0)</f>
        <v>Any</v>
      </c>
      <c r="J93" s="24" cm="1">
        <f t="array" ref="J93">Common_InputFunctions.Utility_DisplayArrayInTable(Common_SourceData.Common_SourceData_ClimateZones_Data(), Table_SourceData_ClimateZones[[#Headers],[Climate zone]], 0)</f>
        <v>18.001000000000001</v>
      </c>
      <c r="K93" s="24" cm="1">
        <f t="array" ref="K93">Common_InputFunctions.Utility_DisplayArrayInTable(Common_SourceData.Common_SourceData_ClimateZones_Data(), Table_SourceData_ClimateZones[[#Headers],[Climate zone]], 0)</f>
        <v>999999</v>
      </c>
      <c r="L93" s="24" cm="1">
        <f t="array" ref="L93">Common_InputFunctions.Utility_DisplayArrayInTable(Common_SourceData.Common_SourceData_ClimateZones_Data(), Table_SourceData_ClimateZones[[#Headers],[Climate zone]], 0)</f>
        <v>-999999</v>
      </c>
      <c r="M93" s="24" cm="1">
        <f t="array" ref="M93">Common_InputFunctions.Utility_DisplayArrayInTable(Common_SourceData.Common_SourceData_ClimateZones_Data(), Table_SourceData_ClimateZones[[#Headers],[Climate zone]], 0)</f>
        <v>1000</v>
      </c>
      <c r="N93" s="24" cm="1">
        <f t="array" ref="N93">Common_InputFunctions.Utility_DisplayArrayInTable(Common_SourceData.Common_SourceData_ClimateZones_Data(), Table_SourceData_ClimateZones[[#Headers],[Climate zone]], 0)</f>
        <v>-999999</v>
      </c>
      <c r="O93" s="24" cm="1">
        <f t="array" ref="O93">Common_InputFunctions.Utility_DisplayArrayInTable(Common_SourceData.Common_SourceData_ClimateZones_Data(), Table_SourceData_ClimateZones[[#Headers],[Climate zone]], 0)</f>
        <v>7</v>
      </c>
      <c r="P93" s="24" cm="1">
        <f t="array" ref="P93">Common_InputFunctions.Utility_DisplayArrayInTable(Common_SourceData.Common_SourceData_ClimateZones_Data(), Table_SourceData_ClimateZones[[#Headers],[Climate zone]], 0)</f>
        <v>-999999</v>
      </c>
      <c r="Q93" s="24" cm="1">
        <f t="array" ref="Q93">Common_InputFunctions.Utility_DisplayArrayInTable(Common_SourceData.Common_SourceData_ClimateZones_Data(), Table_SourceData_ClimateZones[[#Headers],[Climate zone]], 0)</f>
        <v>999.99900000000002</v>
      </c>
      <c r="R93" s="24" cm="1">
        <f t="array" ref="R93">Common_InputFunctions.Utility_DisplayArrayInTable(Common_SourceData.Common_SourceData_ClimateZones_Data(), Table_SourceData_ClimateZones[[#Headers],[Climate zone]], 0)</f>
        <v>-999999</v>
      </c>
      <c r="S93" s="24" cm="1">
        <f t="array" ref="S93">Common_InputFunctions.Utility_DisplayArrayInTable(Common_SourceData.Common_SourceData_ClimateZones_Data(), Table_SourceData_ClimateZones[[#Headers],[Climate zone]], 0)</f>
        <v>999999</v>
      </c>
      <c r="T93" s="24"/>
    </row>
    <row r="94" spans="1:20" ht="20" customHeight="1" x14ac:dyDescent="0.25">
      <c r="A94"/>
      <c r="D94" s="24" t="str" cm="1">
        <f t="array" ref="D94">Common_InputFunctions.Utility_DisplayArrayInTable(Common_SourceData.Common_SourceData_ClimateZones_Data(), Table_SourceData_ClimateZones[[#Headers],[Climate zone]], 0)</f>
        <v>Warm temperate moist</v>
      </c>
      <c r="E94" s="24" t="str" cm="1">
        <f t="array" ref="E94">Common_InputFunctions.Utility_DisplayArrayInTable(Common_SourceData.Common_SourceData_ClimateZones_Data(), Table_SourceData_ClimateZones[[#Headers],[Climate zone]], 0)</f>
        <v>&gt; 10 C</v>
      </c>
      <c r="F94" s="24" t="str" cm="1">
        <f t="array" ref="F94">Common_InputFunctions.Utility_DisplayArrayInTable(Common_SourceData.Common_SourceData_ClimateZones_Data(), Table_SourceData_ClimateZones[[#Headers],[Climate zone]], 0)</f>
        <v>Any</v>
      </c>
      <c r="G94" s="24" t="str" cm="1">
        <f t="array" ref="G94">Common_InputFunctions.Utility_DisplayArrayInTable(Common_SourceData.Common_SourceData_ClimateZones_Data(), Table_SourceData_ClimateZones[[#Headers],[Climate zone]], 0)</f>
        <v>Any</v>
      </c>
      <c r="H94" s="24" t="str" cm="1">
        <f t="array" ref="H94">Common_InputFunctions.Utility_DisplayArrayInTable(Common_SourceData.Common_SourceData_ClimateZones_Data(), Table_SourceData_ClimateZones[[#Headers],[Climate zone]], 0)</f>
        <v>Any</v>
      </c>
      <c r="I94" s="24" t="str" cm="1">
        <f t="array" ref="I94">Common_InputFunctions.Utility_DisplayArrayInTable(Common_SourceData.Common_SourceData_ClimateZones_Data(), Table_SourceData_ClimateZones[[#Headers],[Climate zone]], 0)</f>
        <v>&gt; 1</v>
      </c>
      <c r="J94" s="24" cm="1">
        <f t="array" ref="J94">Common_InputFunctions.Utility_DisplayArrayInTable(Common_SourceData.Common_SourceData_ClimateZones_Data(), Table_SourceData_ClimateZones[[#Headers],[Climate zone]], 0)</f>
        <v>10.000999999999999</v>
      </c>
      <c r="K94" s="24" cm="1">
        <f t="array" ref="K94">Common_InputFunctions.Utility_DisplayArrayInTable(Common_SourceData.Common_SourceData_ClimateZones_Data(), Table_SourceData_ClimateZones[[#Headers],[Climate zone]], 0)</f>
        <v>999999</v>
      </c>
      <c r="L94" s="24" cm="1">
        <f t="array" ref="L94">Common_InputFunctions.Utility_DisplayArrayInTable(Common_SourceData.Common_SourceData_ClimateZones_Data(), Table_SourceData_ClimateZones[[#Headers],[Climate zone]], 0)</f>
        <v>-999999</v>
      </c>
      <c r="M94" s="24" cm="1">
        <f t="array" ref="M94">Common_InputFunctions.Utility_DisplayArrayInTable(Common_SourceData.Common_SourceData_ClimateZones_Data(), Table_SourceData_ClimateZones[[#Headers],[Climate zone]], 0)</f>
        <v>999999</v>
      </c>
      <c r="N94" s="24" cm="1">
        <f t="array" ref="N94">Common_InputFunctions.Utility_DisplayArrayInTable(Common_SourceData.Common_SourceData_ClimateZones_Data(), Table_SourceData_ClimateZones[[#Headers],[Climate zone]], 0)</f>
        <v>-999999</v>
      </c>
      <c r="O94" s="24" cm="1">
        <f t="array" ref="O94">Common_InputFunctions.Utility_DisplayArrayInTable(Common_SourceData.Common_SourceData_ClimateZones_Data(), Table_SourceData_ClimateZones[[#Headers],[Climate zone]], 0)</f>
        <v>999999</v>
      </c>
      <c r="P94" s="24" cm="1">
        <f t="array" ref="P94">Common_InputFunctions.Utility_DisplayArrayInTable(Common_SourceData.Common_SourceData_ClimateZones_Data(), Table_SourceData_ClimateZones[[#Headers],[Climate zone]], 0)</f>
        <v>-999999</v>
      </c>
      <c r="Q94" s="24" cm="1">
        <f t="array" ref="Q94">Common_InputFunctions.Utility_DisplayArrayInTable(Common_SourceData.Common_SourceData_ClimateZones_Data(), Table_SourceData_ClimateZones[[#Headers],[Climate zone]], 0)</f>
        <v>999999</v>
      </c>
      <c r="R94" s="24" cm="1">
        <f t="array" ref="R94">Common_InputFunctions.Utility_DisplayArrayInTable(Common_SourceData.Common_SourceData_ClimateZones_Data(), Table_SourceData_ClimateZones[[#Headers],[Climate zone]], 0)</f>
        <v>1.0009999999999999</v>
      </c>
      <c r="S94" s="24" cm="1">
        <f t="array" ref="S94">Common_InputFunctions.Utility_DisplayArrayInTable(Common_SourceData.Common_SourceData_ClimateZones_Data(), Table_SourceData_ClimateZones[[#Headers],[Climate zone]], 0)</f>
        <v>999999</v>
      </c>
      <c r="T94" s="24"/>
    </row>
    <row r="95" spans="1:20" ht="20" customHeight="1" x14ac:dyDescent="0.25">
      <c r="A95"/>
      <c r="D95" s="24" t="str" cm="1">
        <f t="array" ref="D95">Common_InputFunctions.Utility_DisplayArrayInTable(Common_SourceData.Common_SourceData_ClimateZones_Data(), Table_SourceData_ClimateZones[[#Headers],[Climate zone]], 0)</f>
        <v>Warm temperate dry</v>
      </c>
      <c r="E95" s="24" t="str" cm="1">
        <f t="array" ref="E95">Common_InputFunctions.Utility_DisplayArrayInTable(Common_SourceData.Common_SourceData_ClimateZones_Data(), Table_SourceData_ClimateZones[[#Headers],[Climate zone]], 0)</f>
        <v>&gt; 10 C</v>
      </c>
      <c r="F95" s="24" t="str" cm="1">
        <f t="array" ref="F95">Common_InputFunctions.Utility_DisplayArrayInTable(Common_SourceData.Common_SourceData_ClimateZones_Data(), Table_SourceData_ClimateZones[[#Headers],[Climate zone]], 0)</f>
        <v>Any</v>
      </c>
      <c r="G95" s="24" t="str" cm="1">
        <f t="array" ref="G95">Common_InputFunctions.Utility_DisplayArrayInTable(Common_SourceData.Common_SourceData_ClimateZones_Data(), Table_SourceData_ClimateZones[[#Headers],[Climate zone]], 0)</f>
        <v>Any</v>
      </c>
      <c r="H95" s="24" t="str" cm="1">
        <f t="array" ref="H95">Common_InputFunctions.Utility_DisplayArrayInTable(Common_SourceData.Common_SourceData_ClimateZones_Data(), Table_SourceData_ClimateZones[[#Headers],[Climate zone]], 0)</f>
        <v>Any</v>
      </c>
      <c r="I95" s="24" t="str" cm="1">
        <f t="array" ref="I95">Common_InputFunctions.Utility_DisplayArrayInTable(Common_SourceData.Common_SourceData_ClimateZones_Data(), Table_SourceData_ClimateZones[[#Headers],[Climate zone]], 0)</f>
        <v>≤ 1</v>
      </c>
      <c r="J95" s="24" cm="1">
        <f t="array" ref="J95">Common_InputFunctions.Utility_DisplayArrayInTable(Common_SourceData.Common_SourceData_ClimateZones_Data(), Table_SourceData_ClimateZones[[#Headers],[Climate zone]], 0)</f>
        <v>10.000999999999999</v>
      </c>
      <c r="K95" s="24" cm="1">
        <f t="array" ref="K95">Common_InputFunctions.Utility_DisplayArrayInTable(Common_SourceData.Common_SourceData_ClimateZones_Data(), Table_SourceData_ClimateZones[[#Headers],[Climate zone]], 0)</f>
        <v>999999</v>
      </c>
      <c r="L95" s="24" cm="1">
        <f t="array" ref="L95">Common_InputFunctions.Utility_DisplayArrayInTable(Common_SourceData.Common_SourceData_ClimateZones_Data(), Table_SourceData_ClimateZones[[#Headers],[Climate zone]], 0)</f>
        <v>-999999</v>
      </c>
      <c r="M95" s="24" cm="1">
        <f t="array" ref="M95">Common_InputFunctions.Utility_DisplayArrayInTable(Common_SourceData.Common_SourceData_ClimateZones_Data(), Table_SourceData_ClimateZones[[#Headers],[Climate zone]], 0)</f>
        <v>999999</v>
      </c>
      <c r="N95" s="24" cm="1">
        <f t="array" ref="N95">Common_InputFunctions.Utility_DisplayArrayInTable(Common_SourceData.Common_SourceData_ClimateZones_Data(), Table_SourceData_ClimateZones[[#Headers],[Climate zone]], 0)</f>
        <v>-999999</v>
      </c>
      <c r="O95" s="24" cm="1">
        <f t="array" ref="O95">Common_InputFunctions.Utility_DisplayArrayInTable(Common_SourceData.Common_SourceData_ClimateZones_Data(), Table_SourceData_ClimateZones[[#Headers],[Climate zone]], 0)</f>
        <v>999999</v>
      </c>
      <c r="P95" s="24" cm="1">
        <f t="array" ref="P95">Common_InputFunctions.Utility_DisplayArrayInTable(Common_SourceData.Common_SourceData_ClimateZones_Data(), Table_SourceData_ClimateZones[[#Headers],[Climate zone]], 0)</f>
        <v>-999999</v>
      </c>
      <c r="Q95" s="24" cm="1">
        <f t="array" ref="Q95">Common_InputFunctions.Utility_DisplayArrayInTable(Common_SourceData.Common_SourceData_ClimateZones_Data(), Table_SourceData_ClimateZones[[#Headers],[Climate zone]], 0)</f>
        <v>999999</v>
      </c>
      <c r="R95" s="24" cm="1">
        <f t="array" ref="R95">Common_InputFunctions.Utility_DisplayArrayInTable(Common_SourceData.Common_SourceData_ClimateZones_Data(), Table_SourceData_ClimateZones[[#Headers],[Climate zone]], 0)</f>
        <v>-999999</v>
      </c>
      <c r="S95" s="24" cm="1">
        <f t="array" ref="S95">Common_InputFunctions.Utility_DisplayArrayInTable(Common_SourceData.Common_SourceData_ClimateZones_Data(), Table_SourceData_ClimateZones[[#Headers],[Climate zone]], 0)</f>
        <v>1</v>
      </c>
      <c r="T95" s="24"/>
    </row>
    <row r="96" spans="1:20" ht="20" customHeight="1" x14ac:dyDescent="0.25">
      <c r="A96"/>
      <c r="D96" s="24" t="str" cm="1">
        <f t="array" ref="D96">Common_InputFunctions.Utility_DisplayArrayInTable(Common_SourceData.Common_SourceData_ClimateZones_Data(), Table_SourceData_ClimateZones[[#Headers],[Climate zone]], 0)</f>
        <v>Cool temperate moist</v>
      </c>
      <c r="E96" s="24" t="str" cm="1">
        <f t="array" ref="E96">Common_InputFunctions.Utility_DisplayArrayInTable(Common_SourceData.Common_SourceData_ClimateZones_Data(), Table_SourceData_ClimateZones[[#Headers],[Climate zone]], 0)</f>
        <v>&gt; 0 C - ≤ 10 C</v>
      </c>
      <c r="F96" s="24" t="str" cm="1">
        <f t="array" ref="F96">Common_InputFunctions.Utility_DisplayArrayInTable(Common_SourceData.Common_SourceData_ClimateZones_Data(), Table_SourceData_ClimateZones[[#Headers],[Climate zone]], 0)</f>
        <v>Any</v>
      </c>
      <c r="G96" s="24" t="str" cm="1">
        <f t="array" ref="G96">Common_InputFunctions.Utility_DisplayArrayInTable(Common_SourceData.Common_SourceData_ClimateZones_Data(), Table_SourceData_ClimateZones[[#Headers],[Climate zone]], 0)</f>
        <v>Any</v>
      </c>
      <c r="H96" s="24" t="str" cm="1">
        <f t="array" ref="H96">Common_InputFunctions.Utility_DisplayArrayInTable(Common_SourceData.Common_SourceData_ClimateZones_Data(), Table_SourceData_ClimateZones[[#Headers],[Climate zone]], 0)</f>
        <v>Any</v>
      </c>
      <c r="I96" s="24" t="str" cm="1">
        <f t="array" ref="I96">Common_InputFunctions.Utility_DisplayArrayInTable(Common_SourceData.Common_SourceData_ClimateZones_Data(), Table_SourceData_ClimateZones[[#Headers],[Climate zone]], 0)</f>
        <v>&gt; 1</v>
      </c>
      <c r="J96" s="24" cm="1">
        <f t="array" ref="J96">Common_InputFunctions.Utility_DisplayArrayInTable(Common_SourceData.Common_SourceData_ClimateZones_Data(), Table_SourceData_ClimateZones[[#Headers],[Climate zone]], 0)</f>
        <v>-999999</v>
      </c>
      <c r="K96" s="24" cm="1">
        <f t="array" ref="K96">Common_InputFunctions.Utility_DisplayArrayInTable(Common_SourceData.Common_SourceData_ClimateZones_Data(), Table_SourceData_ClimateZones[[#Headers],[Climate zone]], 0)</f>
        <v>10</v>
      </c>
      <c r="L96" s="24" cm="1">
        <f t="array" ref="L96">Common_InputFunctions.Utility_DisplayArrayInTable(Common_SourceData.Common_SourceData_ClimateZones_Data(), Table_SourceData_ClimateZones[[#Headers],[Climate zone]], 0)</f>
        <v>-999999</v>
      </c>
      <c r="M96" s="24" cm="1">
        <f t="array" ref="M96">Common_InputFunctions.Utility_DisplayArrayInTable(Common_SourceData.Common_SourceData_ClimateZones_Data(), Table_SourceData_ClimateZones[[#Headers],[Climate zone]], 0)</f>
        <v>999999</v>
      </c>
      <c r="N96" s="24" cm="1">
        <f t="array" ref="N96">Common_InputFunctions.Utility_DisplayArrayInTable(Common_SourceData.Common_SourceData_ClimateZones_Data(), Table_SourceData_ClimateZones[[#Headers],[Climate zone]], 0)</f>
        <v>-999999</v>
      </c>
      <c r="O96" s="24" cm="1">
        <f t="array" ref="O96">Common_InputFunctions.Utility_DisplayArrayInTable(Common_SourceData.Common_SourceData_ClimateZones_Data(), Table_SourceData_ClimateZones[[#Headers],[Climate zone]], 0)</f>
        <v>999999</v>
      </c>
      <c r="P96" s="24" cm="1">
        <f t="array" ref="P96">Common_InputFunctions.Utility_DisplayArrayInTable(Common_SourceData.Common_SourceData_ClimateZones_Data(), Table_SourceData_ClimateZones[[#Headers],[Climate zone]], 0)</f>
        <v>-999999</v>
      </c>
      <c r="Q96" s="24" cm="1">
        <f t="array" ref="Q96">Common_InputFunctions.Utility_DisplayArrayInTable(Common_SourceData.Common_SourceData_ClimateZones_Data(), Table_SourceData_ClimateZones[[#Headers],[Climate zone]], 0)</f>
        <v>999999</v>
      </c>
      <c r="R96" s="24" cm="1">
        <f t="array" ref="R96">Common_InputFunctions.Utility_DisplayArrayInTable(Common_SourceData.Common_SourceData_ClimateZones_Data(), Table_SourceData_ClimateZones[[#Headers],[Climate zone]], 0)</f>
        <v>1.0009999999999999</v>
      </c>
      <c r="S96" s="24" cm="1">
        <f t="array" ref="S96">Common_InputFunctions.Utility_DisplayArrayInTable(Common_SourceData.Common_SourceData_ClimateZones_Data(), Table_SourceData_ClimateZones[[#Headers],[Climate zone]], 0)</f>
        <v>999999</v>
      </c>
      <c r="T96" s="24"/>
    </row>
    <row r="97" spans="1:20" ht="20" customHeight="1" x14ac:dyDescent="0.25">
      <c r="A97"/>
      <c r="D97" s="24" t="str" cm="1">
        <f t="array" ref="D97">Common_InputFunctions.Utility_DisplayArrayInTable(Common_SourceData.Common_SourceData_ClimateZones_Data(), Table_SourceData_ClimateZones[[#Headers],[Climate zone]], 0)</f>
        <v>Cool temperate dry</v>
      </c>
      <c r="E97" s="24" t="str" cm="1">
        <f t="array" ref="E97">Common_InputFunctions.Utility_DisplayArrayInTable(Common_SourceData.Common_SourceData_ClimateZones_Data(), Table_SourceData_ClimateZones[[#Headers],[Climate zone]], 0)</f>
        <v>&gt; 0 C - ≤ 10 C</v>
      </c>
      <c r="F97" s="24" t="str" cm="1">
        <f t="array" ref="F97">Common_InputFunctions.Utility_DisplayArrayInTable(Common_SourceData.Common_SourceData_ClimateZones_Data(), Table_SourceData_ClimateZones[[#Headers],[Climate zone]], 0)</f>
        <v>Any</v>
      </c>
      <c r="G97" s="24" t="str" cm="1">
        <f t="array" ref="G97">Common_InputFunctions.Utility_DisplayArrayInTable(Common_SourceData.Common_SourceData_ClimateZones_Data(), Table_SourceData_ClimateZones[[#Headers],[Climate zone]], 0)</f>
        <v>Any</v>
      </c>
      <c r="H97" s="24" t="str" cm="1">
        <f t="array" ref="H97">Common_InputFunctions.Utility_DisplayArrayInTable(Common_SourceData.Common_SourceData_ClimateZones_Data(), Table_SourceData_ClimateZones[[#Headers],[Climate zone]], 0)</f>
        <v>Any</v>
      </c>
      <c r="I97" s="24" t="str" cm="1">
        <f t="array" ref="I97">Common_InputFunctions.Utility_DisplayArrayInTable(Common_SourceData.Common_SourceData_ClimateZones_Data(), Table_SourceData_ClimateZones[[#Headers],[Climate zone]], 0)</f>
        <v>≤ 1</v>
      </c>
      <c r="J97" s="24" cm="1">
        <f t="array" ref="J97">Common_InputFunctions.Utility_DisplayArrayInTable(Common_SourceData.Common_SourceData_ClimateZones_Data(), Table_SourceData_ClimateZones[[#Headers],[Climate zone]], 0)</f>
        <v>-999999</v>
      </c>
      <c r="K97" s="24" cm="1">
        <f t="array" ref="K97">Common_InputFunctions.Utility_DisplayArrayInTable(Common_SourceData.Common_SourceData_ClimateZones_Data(), Table_SourceData_ClimateZones[[#Headers],[Climate zone]], 0)</f>
        <v>10</v>
      </c>
      <c r="L97" s="24" cm="1">
        <f t="array" ref="L97">Common_InputFunctions.Utility_DisplayArrayInTable(Common_SourceData.Common_SourceData_ClimateZones_Data(), Table_SourceData_ClimateZones[[#Headers],[Climate zone]], 0)</f>
        <v>-999999</v>
      </c>
      <c r="M97" s="24" cm="1">
        <f t="array" ref="M97">Common_InputFunctions.Utility_DisplayArrayInTable(Common_SourceData.Common_SourceData_ClimateZones_Data(), Table_SourceData_ClimateZones[[#Headers],[Climate zone]], 0)</f>
        <v>999999</v>
      </c>
      <c r="N97" s="24" cm="1">
        <f t="array" ref="N97">Common_InputFunctions.Utility_DisplayArrayInTable(Common_SourceData.Common_SourceData_ClimateZones_Data(), Table_SourceData_ClimateZones[[#Headers],[Climate zone]], 0)</f>
        <v>-999999</v>
      </c>
      <c r="O97" s="24" cm="1">
        <f t="array" ref="O97">Common_InputFunctions.Utility_DisplayArrayInTable(Common_SourceData.Common_SourceData_ClimateZones_Data(), Table_SourceData_ClimateZones[[#Headers],[Climate zone]], 0)</f>
        <v>999999</v>
      </c>
      <c r="P97" s="24" cm="1">
        <f t="array" ref="P97">Common_InputFunctions.Utility_DisplayArrayInTable(Common_SourceData.Common_SourceData_ClimateZones_Data(), Table_SourceData_ClimateZones[[#Headers],[Climate zone]], 0)</f>
        <v>-999999</v>
      </c>
      <c r="Q97" s="24" cm="1">
        <f t="array" ref="Q97">Common_InputFunctions.Utility_DisplayArrayInTable(Common_SourceData.Common_SourceData_ClimateZones_Data(), Table_SourceData_ClimateZones[[#Headers],[Climate zone]], 0)</f>
        <v>999999</v>
      </c>
      <c r="R97" s="24" cm="1">
        <f t="array" ref="R97">Common_InputFunctions.Utility_DisplayArrayInTable(Common_SourceData.Common_SourceData_ClimateZones_Data(), Table_SourceData_ClimateZones[[#Headers],[Climate zone]], 0)</f>
        <v>-999999</v>
      </c>
      <c r="S97" s="24" cm="1">
        <f t="array" ref="S97">Common_InputFunctions.Utility_DisplayArrayInTable(Common_SourceData.Common_SourceData_ClimateZones_Data(), Table_SourceData_ClimateZones[[#Headers],[Climate zone]], 0)</f>
        <v>1</v>
      </c>
      <c r="T97" s="24"/>
    </row>
    <row r="98" spans="1:20" ht="20" customHeight="1" x14ac:dyDescent="0.25">
      <c r="A98"/>
    </row>
    <row r="99" spans="1:20" ht="20" customHeight="1" x14ac:dyDescent="0.25">
      <c r="A99"/>
      <c r="D99" s="28" t="str" cm="1">
        <f t="array" ref="D99:D102">Common_SourceData.Common_SourceData_ClimateZones_Appendices()</f>
        <v>Note:</v>
      </c>
    </row>
    <row r="100" spans="1:20" ht="20" customHeight="1" x14ac:dyDescent="0.25">
      <c r="A100"/>
      <c r="D100" s="28" t="str">
        <v>MAT = mean annual temperature</v>
      </c>
    </row>
    <row r="101" spans="1:20" ht="20" customHeight="1" x14ac:dyDescent="0.25">
      <c r="A101"/>
      <c r="D101" s="28" t="str">
        <v>MAP = mean annual precipitation</v>
      </c>
    </row>
    <row r="102" spans="1:20" ht="20" customHeight="1" x14ac:dyDescent="0.25">
      <c r="A102"/>
      <c r="D102" s="28" t="str">
        <v>PET = potential evapotranspiration</v>
      </c>
    </row>
    <row r="103" spans="1:20" ht="20" customHeight="1" x14ac:dyDescent="0.25">
      <c r="A103"/>
      <c r="D103" s="28"/>
    </row>
    <row r="104" spans="1:20" ht="20" customHeight="1" x14ac:dyDescent="0.25">
      <c r="A104"/>
    </row>
    <row r="105" spans="1:20" ht="20" customHeight="1" x14ac:dyDescent="0.25">
      <c r="A105"/>
      <c r="D105" s="5" t="str" cm="1">
        <f t="array" ref="D105">Common_SourceData.Common_SourceData_TemperatureZones_Title()</f>
        <v>VEERG Australian temperature zones</v>
      </c>
    </row>
    <row r="106" spans="1:20" ht="20" customHeight="1" x14ac:dyDescent="0.25">
      <c r="A106"/>
      <c r="D106" s="4" t="str" cm="1">
        <f t="array" ref="D106">Common_SourceData.Common_SourceData_TemperatureZones_Source()</f>
        <v>VEERG 2026: Table 1.3: Climate and Rainfall zone classifications and definitions</v>
      </c>
    </row>
    <row r="107" spans="1:20" ht="20" customHeight="1" x14ac:dyDescent="0.25">
      <c r="A107"/>
      <c r="D107" s="29"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24" t="s">
        <v>35</v>
      </c>
      <c r="E109" s="24" t="s">
        <v>18</v>
      </c>
      <c r="F109" s="24" t="s">
        <v>36</v>
      </c>
      <c r="G109" s="24" t="s">
        <v>37</v>
      </c>
    </row>
    <row r="110" spans="1:20" ht="20" customHeight="1" x14ac:dyDescent="0.25">
      <c r="A110"/>
      <c r="D110" s="24" t="str" cm="1">
        <f t="array" ref="D110">Common_InputFunctions.Utility_DisplayArrayInTable(Common_SourceData.Common_SourceData_TemperatureZones_Data(),Table_SourceData_TemperatureZones[[#Headers],[Temperature Zone]],0)</f>
        <v>Warm</v>
      </c>
      <c r="E110" s="24" t="str" cm="1">
        <f t="array" ref="E110">Common_InputFunctions.Utility_DisplayArrayInTable(Common_SourceData.Common_SourceData_TemperatureZones_Data(),Table_SourceData_TemperatureZones[[#Headers],[Temperature Zone]],0)</f>
        <v>≥ 26 C</v>
      </c>
      <c r="F110" s="24" cm="1">
        <f t="array" ref="F110">Common_InputFunctions.Utility_DisplayArrayInTable(Common_SourceData.Common_SourceData_TemperatureZones_Data(),Table_SourceData_TemperatureZones[[#Headers],[Temperature Zone]],0)</f>
        <v>26</v>
      </c>
      <c r="G110" s="24" cm="1">
        <f t="array" ref="G110">Common_InputFunctions.Utility_DisplayArrayInTable(Common_SourceData.Common_SourceData_TemperatureZones_Data(),Table_SourceData_TemperatureZones[[#Headers],[Temperature Zone]],0)</f>
        <v>999999</v>
      </c>
    </row>
    <row r="111" spans="1:20" ht="20" customHeight="1" x14ac:dyDescent="0.25">
      <c r="A111"/>
      <c r="D111" s="24" t="str" cm="1">
        <f t="array" ref="D111">Common_InputFunctions.Utility_DisplayArrayInTable(Common_SourceData.Common_SourceData_TemperatureZones_Data(),Table_SourceData_TemperatureZones[[#Headers],[Temperature Zone]],0)</f>
        <v>Temperate</v>
      </c>
      <c r="E111" s="24" t="str" cm="1">
        <f t="array" ref="E111">Common_InputFunctions.Utility_DisplayArrayInTable(Common_SourceData.Common_SourceData_TemperatureZones_Data(),Table_SourceData_TemperatureZones[[#Headers],[Temperature Zone]],0)</f>
        <v>15 - 25 C</v>
      </c>
      <c r="F111" s="24" cm="1">
        <f t="array" ref="F111">Common_InputFunctions.Utility_DisplayArrayInTable(Common_SourceData.Common_SourceData_TemperatureZones_Data(),Table_SourceData_TemperatureZones[[#Headers],[Temperature Zone]],0)</f>
        <v>15</v>
      </c>
      <c r="G111" s="24"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24" t="str" cm="1">
        <f t="array" ref="D112">Common_InputFunctions.Utility_DisplayArrayInTable(Common_SourceData.Common_SourceData_TemperatureZones_Data(),Table_SourceData_TemperatureZones[[#Headers],[Temperature Zone]],0)</f>
        <v>Cool</v>
      </c>
      <c r="E112" s="24" t="str" cm="1">
        <f t="array" ref="E112">Common_InputFunctions.Utility_DisplayArrayInTable(Common_SourceData.Common_SourceData_TemperatureZones_Data(),Table_SourceData_TemperatureZones[[#Headers],[Temperature Zone]],0)</f>
        <v>≤ 14 C</v>
      </c>
      <c r="F112" s="24" cm="1">
        <f t="array" ref="F112">Common_InputFunctions.Utility_DisplayArrayInTable(Common_SourceData.Common_SourceData_TemperatureZones_Data(),Table_SourceData_TemperatureZones[[#Headers],[Temperature Zone]],0)</f>
        <v>-999999</v>
      </c>
      <c r="G112" s="24"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5" t="str" cm="1">
        <f t="array" ref="D115">Common_SourceData.Common_SourceData_RainfallZones_Title()</f>
        <v>VEERG Australian rainfall zones</v>
      </c>
      <c r="BN115" s="6"/>
    </row>
    <row r="116" spans="1:66" ht="20" customHeight="1" x14ac:dyDescent="0.25">
      <c r="A116"/>
      <c r="D116" s="4" t="str" cm="1">
        <f t="array" ref="D116">Common_SourceData.Common_SourceData_RainfallZones_Source()</f>
        <v>VEERG 2026: Table 1.3: Climate and Rainfall zone classifications and definitions</v>
      </c>
      <c r="BN116" s="6"/>
    </row>
    <row r="117" spans="1:66" ht="20" customHeight="1" x14ac:dyDescent="0.25">
      <c r="A117"/>
      <c r="D117" s="29" t="str" cm="1">
        <f t="array" ref="D117">"⚠️" &amp; Common_SourceData.Common_SourceData_RainfallZones_Variation()</f>
        <v>⚠️VARIATION OF SOURCE DATA: Added extra Rainfall min and Rainfall max columns to calculate zone from real rainfall data.</v>
      </c>
      <c r="BN117" s="6"/>
    </row>
    <row r="118" spans="1:66" ht="20" customHeight="1" x14ac:dyDescent="0.25">
      <c r="A118"/>
      <c r="BN118" s="6"/>
    </row>
    <row r="119" spans="1:66" ht="20" customHeight="1" x14ac:dyDescent="0.25">
      <c r="A119"/>
      <c r="D119" s="24" t="s">
        <v>38</v>
      </c>
      <c r="E119" s="24" t="s">
        <v>39</v>
      </c>
      <c r="F119" s="24" t="s">
        <v>25</v>
      </c>
      <c r="G119" s="24" t="s">
        <v>26</v>
      </c>
      <c r="BN119" s="6"/>
    </row>
    <row r="120" spans="1:66" ht="20" customHeight="1" x14ac:dyDescent="0.25">
      <c r="A120"/>
      <c r="D120" s="24" t="str" cm="1">
        <f t="array" ref="D120">Common_InputFunctions.Utility_DisplayArrayInTable(Common_SourceData.Common_SourceData_RainfallZones_Data(),Table_SourceData_RainfallZones[[#Headers],[Rainfall Zone]],0)</f>
        <v>High rainfall</v>
      </c>
      <c r="E120" s="24" t="str" cm="1">
        <f t="array" ref="E120">Common_InputFunctions.Utility_DisplayArrayInTable(Common_SourceData.Common_SourceData_RainfallZones_Data(),Table_SourceData_RainfallZones[[#Headers],[Rainfall Zone]],0)</f>
        <v>Annual rainfall &gt; 600mm</v>
      </c>
      <c r="F120" s="24" cm="1">
        <f t="array" ref="F120">Common_InputFunctions.Utility_DisplayArrayInTable(Common_SourceData.Common_SourceData_RainfallZones_Data(),Table_SourceData_RainfallZones[[#Headers],[Rainfall Zone]],0)</f>
        <v>600.00099999999998</v>
      </c>
      <c r="G120" s="24" cm="1">
        <f t="array" ref="G120">Common_InputFunctions.Utility_DisplayArrayInTable(Common_SourceData.Common_SourceData_RainfallZones_Data(),Table_SourceData_RainfallZones[[#Headers],[Rainfall Zone]],0)</f>
        <v>999999</v>
      </c>
      <c r="BN120" s="6"/>
    </row>
    <row r="121" spans="1:66" ht="20" customHeight="1" x14ac:dyDescent="0.25">
      <c r="A121"/>
      <c r="D121" s="24" t="str" cm="1">
        <f t="array" ref="D121">Common_InputFunctions.Utility_DisplayArrayInTable(Common_SourceData.Common_SourceData_RainfallZones_Data(),Table_SourceData_RainfallZones[[#Headers],[Rainfall Zone]],0)</f>
        <v>Low rainfall</v>
      </c>
      <c r="E121" s="24" t="str" cm="1">
        <f t="array" ref="E121">Common_InputFunctions.Utility_DisplayArrayInTable(Common_SourceData.Common_SourceData_RainfallZones_Data(),Table_SourceData_RainfallZones[[#Headers],[Rainfall Zone]],0)</f>
        <v>Annual rainfall ≤ 600mm</v>
      </c>
      <c r="F121" s="24" cm="1">
        <f t="array" ref="F121">Common_InputFunctions.Utility_DisplayArrayInTable(Common_SourceData.Common_SourceData_RainfallZones_Data(),Table_SourceData_RainfallZones[[#Headers],[Rainfall Zone]],0)</f>
        <v>-999999</v>
      </c>
      <c r="G121" s="24" cm="1">
        <f t="array" ref="G121">Common_InputFunctions.Utility_DisplayArrayInTable(Common_SourceData.Common_SourceData_RainfallZones_Data(),Table_SourceData_RainfallZones[[#Headers],[Rainfall Zone]],0)</f>
        <v>600</v>
      </c>
      <c r="BN121" s="6"/>
    </row>
    <row r="122" spans="1:66" ht="20" customHeight="1" x14ac:dyDescent="0.25">
      <c r="A122"/>
      <c r="BN122" s="6"/>
    </row>
    <row r="123" spans="1:66" ht="20" customHeight="1" x14ac:dyDescent="0.25">
      <c r="A123"/>
    </row>
    <row r="124" spans="1:66" ht="20" customHeight="1" x14ac:dyDescent="0.25">
      <c r="A124"/>
      <c r="D124" s="5" t="str" cm="1">
        <f t="array" ref="D124">Common_SourceData.Common_SourceData_LeachingZones_Title()</f>
        <v>VEERG Australian leaching zones</v>
      </c>
    </row>
    <row r="125" spans="1:66" ht="20" customHeight="1" x14ac:dyDescent="0.25">
      <c r="A125"/>
      <c r="D125" s="4"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24" t="s">
        <v>40</v>
      </c>
      <c r="E127" s="24" t="s">
        <v>41</v>
      </c>
    </row>
    <row r="128" spans="1:66" ht="20" customHeight="1" x14ac:dyDescent="0.25">
      <c r="A128"/>
      <c r="D128" s="24" t="str" cm="1">
        <f t="array" ref="D128">Common_InputFunctions.Utility_DisplayArrayInTable(Common_SourceData.Common_SourceData_LeachingZones_Data(), Table_SourceData_LeachingZones[[#Headers],[Leaching Zone]], 0)</f>
        <v>Leaching occurs</v>
      </c>
      <c r="E128" s="2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24" t="str" cm="1">
        <f t="array" ref="D129">Common_InputFunctions.Utility_DisplayArrayInTable(Common_SourceData.Common_SourceData_LeachingZones_Data(), Table_SourceData_LeachingZones[[#Headers],[Leaching Zone]], 0)</f>
        <v>Leaching does not occur</v>
      </c>
      <c r="E129" s="2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5" t="str" cm="1">
        <f t="array" ref="D132">Common_SourceData.Common_SourceData_FracWET_Title()</f>
        <v>Fraction of N that is available for leaching and runoff</v>
      </c>
      <c r="E132" s="16"/>
    </row>
    <row r="133" spans="1:77" ht="20" customHeight="1" x14ac:dyDescent="0.25">
      <c r="A133"/>
      <c r="D133" s="4" t="str" cm="1">
        <f t="array" ref="D133">Common_SourceData.Common_SourceData_FracWET_Source()</f>
        <v>VEERG 2026:5.5.2.3 Constant Parameters</v>
      </c>
      <c r="E133" s="16"/>
    </row>
    <row r="134" spans="1:77" ht="20" customHeight="1" x14ac:dyDescent="0.25">
      <c r="A134"/>
      <c r="D134" t="s">
        <v>46</v>
      </c>
      <c r="E134" t="s">
        <v>47</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24"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6"/>
      <c r="BO138" s="6"/>
      <c r="BP138" s="6"/>
      <c r="BQ138" s="6"/>
      <c r="BR138" s="6"/>
      <c r="BS138" s="6"/>
      <c r="BT138" s="6"/>
      <c r="BU138" s="6"/>
      <c r="BV138" s="6"/>
      <c r="BW138" s="6"/>
      <c r="BX138" s="6"/>
      <c r="BY138" s="6"/>
    </row>
    <row r="139" spans="1:77" ht="20" customHeight="1" x14ac:dyDescent="0.25">
      <c r="A139"/>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1:77" ht="20" customHeight="1" x14ac:dyDescent="0.25">
      <c r="A140"/>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1:77" ht="20" customHeight="1" x14ac:dyDescent="0.25">
      <c r="A141"/>
      <c r="D141" s="29"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1:77" ht="20" customHeight="1" x14ac:dyDescent="0.25">
      <c r="A142"/>
      <c r="D142" s="24" t="s">
        <v>56</v>
      </c>
      <c r="E142" s="24" t="s">
        <v>47</v>
      </c>
      <c r="BN142" s="6"/>
    </row>
    <row r="143" spans="1:77" ht="20" customHeight="1" x14ac:dyDescent="0.25">
      <c r="A143"/>
      <c r="D143" s="24" t="str" cm="1">
        <f t="array" ref="D143">Common_InputFunctions.Utility_DisplayArrayInTable(Common_SourceData.Common_SourceData_FracWETIrrigation_Data(), Table_SourceData_FracWETIrrigation[[#Headers],[Irrigation type i]], 0)</f>
        <v>Not irrigated</v>
      </c>
      <c r="E143" s="24" cm="1">
        <f t="array" ref="E143">Common_InputFunctions.Utility_DisplayArrayInTable(Common_SourceData.Common_SourceData_FracWETIrrigation_Data(), Table_SourceData_FracWETIrrigation[[#Headers],[Irrigation type i]], 0)</f>
        <v>0</v>
      </c>
      <c r="BN143" s="6"/>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24" cm="1">
        <f t="array" ref="E144">Common_InputFunctions.Utility_DisplayArrayInTable(Common_SourceData.Common_SourceData_FracWETIrrigation_Data(), Table_SourceData_FracWETIrrigation[[#Headers],[Irrigation type i]], 0)</f>
        <v>0</v>
      </c>
      <c r="BN144" s="6"/>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4" cm="1">
        <f t="array" ref="E145">Common_InputFunctions.Utility_DisplayArrayInTable(Common_SourceData.Common_SourceData_FracWETIrrigation_Data(), Table_SourceData_FracWETIrrigation[[#Headers],[Irrigation type i]], 0)</f>
        <v>1</v>
      </c>
      <c r="BN145" s="6"/>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24" cm="1">
        <f t="array" ref="E146">Common_InputFunctions.Utility_DisplayArrayInTable(Common_SourceData.Common_SourceData_FracWETIrrigation_Data(), Table_SourceData_FracWETIrrigation[[#Headers],[Irrigation type i]], 0)</f>
        <v>1</v>
      </c>
      <c r="BN146" s="6"/>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24" cm="1">
        <f t="array" ref="E147">Common_InputFunctions.Utility_DisplayArrayInTable(Common_SourceData.Common_SourceData_FracWETIrrigation_Data(), Table_SourceData_FracWETIrrigation[[#Headers],[Irrigation type i]], 0)</f>
        <v>1</v>
      </c>
      <c r="BN147" s="6"/>
    </row>
    <row r="148" spans="1:66" ht="20" customHeight="1" x14ac:dyDescent="0.25">
      <c r="A148"/>
      <c r="BN148" s="6"/>
    </row>
    <row r="149" spans="1:66" ht="20" customHeight="1" x14ac:dyDescent="0.25">
      <c r="A149"/>
      <c r="BN149" s="6"/>
    </row>
    <row r="150" spans="1:66" ht="20" customHeight="1" x14ac:dyDescent="0.25">
      <c r="A150"/>
      <c r="D150" s="5" t="str" cm="1">
        <f t="array" ref="D150">Common_SourceData.Common_SourceData_DataScores_Scope3_Title()</f>
        <v>Australian data scores for scope 3</v>
      </c>
      <c r="BN150" s="6"/>
    </row>
    <row r="151" spans="1:66" ht="20" customHeight="1" x14ac:dyDescent="0.25">
      <c r="A151"/>
      <c r="D151" s="4" t="str" cm="1">
        <f t="array" ref="D151">Common_SourceData.Common_SourceData_DataScores_Scope3_Source()</f>
        <v>VEERG 2026: XXXXXXXX</v>
      </c>
      <c r="BN151" s="6"/>
    </row>
    <row r="152" spans="1:66" ht="20" customHeight="1" x14ac:dyDescent="0.25">
      <c r="A152"/>
      <c r="BN152" s="6"/>
    </row>
    <row r="153" spans="1:66" ht="20" customHeight="1" x14ac:dyDescent="0.25">
      <c r="A153"/>
      <c r="D153" s="24" t="s">
        <v>42</v>
      </c>
      <c r="E153" s="24" t="s">
        <v>43</v>
      </c>
      <c r="BC153" s="2"/>
      <c r="BD153" s="2"/>
      <c r="BE153" s="2"/>
      <c r="BF153" s="2"/>
      <c r="BG153" s="2"/>
      <c r="BH153" s="2"/>
      <c r="BI153" s="2"/>
      <c r="BJ153" s="2"/>
      <c r="BK153" s="2"/>
      <c r="BL153" s="2"/>
      <c r="BM153" s="2"/>
    </row>
    <row r="154" spans="1:66" ht="20" customHeight="1" x14ac:dyDescent="0.25">
      <c r="A154"/>
      <c r="D154" s="24" t="str" cm="1">
        <f t="array" ref="D154">Common_InputFunctions.Utility_DisplayArrayInTable(Common_SourceData.Common_SourceData_DataScores_Scope3_Data(), Table_SourceData_DataScores_Scope3[[#Headers],[Data source]], 0)</f>
        <v>International scope 3 database</v>
      </c>
      <c r="E154" s="24"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1:66" ht="20" customHeight="1" x14ac:dyDescent="0.25">
      <c r="A155"/>
      <c r="D155" s="24" t="str" cm="1">
        <f t="array" ref="D155">Common_InputFunctions.Utility_DisplayArrayInTable(Common_SourceData.Common_SourceData_DataScores_Scope3_Data(), Table_SourceData_DataScores_Scope3[[#Headers],[Data source]], 0)</f>
        <v>Australian scope 3 database</v>
      </c>
      <c r="E155" s="24"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1:66" ht="20" customHeight="1" x14ac:dyDescent="0.25">
      <c r="A156"/>
      <c r="D156" s="24" t="str" cm="1">
        <f t="array" ref="D156">Common_InputFunctions.Utility_DisplayArrayInTable(Common_SourceData.Common_SourceData_DataScores_Scope3_Data(), Table_SourceData_DataScores_Scope3[[#Headers],[Data source]], 0)</f>
        <v>State or regional scope 3 database</v>
      </c>
      <c r="E156" s="24" cm="1">
        <f t="array" ref="E156">Common_InputFunctions.Utility_DisplayArrayInTable(Common_SourceData.Common_SourceData_DataScores_Scope3_Data(), Table_SourceData_DataScores_Scope3[[#Headers],[Data source]], 0)</f>
        <v>3</v>
      </c>
    </row>
    <row r="157" spans="1:66" ht="20" customHeight="1" x14ac:dyDescent="0.25">
      <c r="A157"/>
      <c r="D157" s="24" t="str" cm="1">
        <f t="array" ref="D157">Common_InputFunctions.Utility_DisplayArrayInTable(Common_SourceData.Common_SourceData_DataScores_Scope3_Data(), Table_SourceData_DataScores_Scope3[[#Headers],[Data source]], 0)</f>
        <v>Emissions intensity calculated from approved method</v>
      </c>
      <c r="E157" s="24" cm="1">
        <f t="array" ref="E157">Common_InputFunctions.Utility_DisplayArrayInTable(Common_SourceData.Common_SourceData_DataScores_Scope3_Data(), Table_SourceData_DataScores_Scope3[[#Headers],[Data source]], 0)</f>
        <v>4</v>
      </c>
    </row>
    <row r="158" spans="1:66" ht="20" customHeight="1" x14ac:dyDescent="0.25">
      <c r="A158"/>
      <c r="D158" s="24" t="str" cm="1">
        <f t="array" ref="D158">Common_InputFunctions.Utility_DisplayArrayInTable(Common_SourceData.Common_SourceData_DataScores_Scope3_Data(), Table_SourceData_DataScores_Scope3[[#Headers],[Data source]], 0)</f>
        <v>Verified credential matching ISO14067</v>
      </c>
      <c r="E158" s="24"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5" t="str" cm="1">
        <f t="array" ref="D161">Common_SourceData.Common_SourceData_FracLEACH_Title()</f>
        <v>Fraction of N that is available for leaching and runoff</v>
      </c>
      <c r="E161" s="16"/>
    </row>
    <row r="162" spans="4:68" ht="20" customHeight="1" x14ac:dyDescent="0.25">
      <c r="D162" s="4" t="str" cm="1">
        <f t="array" ref="D162">Common_SourceData.Common_SourceData_FracLEACH_Source()</f>
        <v>VEERG 2026:5.5.2.3 Constant Parameters</v>
      </c>
      <c r="E162" s="16"/>
    </row>
    <row r="163" spans="4:68" ht="20" customHeight="1" x14ac:dyDescent="0.25">
      <c r="D163" s="4" t="str" cm="1">
        <f t="array" ref="D163">Common_SourceData.Common_SourceData_FracLEACH_NIRReference()</f>
        <v>National Inventory Report Volume 1: Leaching and runoff (3.D.b.2)</v>
      </c>
      <c r="E163" s="16"/>
    </row>
    <row r="164" spans="4:68" ht="20" customHeight="1" x14ac:dyDescent="0.25">
      <c r="D164" s="16" t="str" cm="1">
        <f t="array" ref="D164:E164">Common_SourceData.Common_SourceData_FracLEACH_Data()</f>
        <v>FracLEACH</v>
      </c>
      <c r="E164" s="16">
        <v>0.24</v>
      </c>
    </row>
    <row r="165" spans="4:68" ht="20" customHeight="1" x14ac:dyDescent="0.25">
      <c r="BN165" s="6"/>
      <c r="BO165" s="6"/>
      <c r="BP165" s="6"/>
    </row>
    <row r="166" spans="4:68" ht="20" customHeight="1" x14ac:dyDescent="0.25">
      <c r="BN166" s="6"/>
      <c r="BO166" s="6"/>
      <c r="BP166" s="6"/>
    </row>
    <row r="167" spans="4:68" ht="20" customHeight="1" x14ac:dyDescent="0.25">
      <c r="D167" s="5" t="str" cm="1">
        <f t="array" ref="D167">Common_SourceData.Common_SourceData_EFleach_Title()</f>
        <v>Emission factor for nitrogen leaching and runoff</v>
      </c>
      <c r="BN167" s="6"/>
      <c r="BO167" s="6"/>
      <c r="BP167" s="6"/>
    </row>
    <row r="168" spans="4:68" ht="20" customHeight="1" x14ac:dyDescent="0.25">
      <c r="D168" s="4" t="str" cm="1">
        <f t="array" ref="D168">Common_SourceData.Common_SourceData_EFleach_Source()</f>
        <v>VEERG 2026:5.5.2.3 Constant Parameters</v>
      </c>
      <c r="BN168" s="6"/>
      <c r="BO168" s="6"/>
      <c r="BP168" s="6"/>
    </row>
    <row r="169" spans="4:68" ht="20" customHeight="1" x14ac:dyDescent="0.25">
      <c r="D169" s="4" t="str" cm="1">
        <f t="array" ref="D169">Common_SourceData.Common_SourceData_EFleach_NIRReference()</f>
        <v>National Inventory Report Volume 1: Equation 3.D.B_10</v>
      </c>
      <c r="BN169" s="6"/>
      <c r="BO169" s="6"/>
      <c r="BP169" s="6"/>
    </row>
    <row r="170" spans="4:68" ht="20" customHeight="1" x14ac:dyDescent="0.25">
      <c r="D170" s="1" t="str" cm="1">
        <f t="array" ref="D170:E170">Common_SourceData.Common_SourceData_EFleach_Data()</f>
        <v>EFleach</v>
      </c>
      <c r="E170" s="1">
        <v>1.0999999999999999E-2</v>
      </c>
      <c r="BN170" s="6"/>
      <c r="BO170" s="6"/>
      <c r="BP170" s="6"/>
    </row>
    <row r="171" spans="4:68" ht="20" customHeight="1" x14ac:dyDescent="0.25">
      <c r="BN171" s="6"/>
      <c r="BO171" s="6"/>
      <c r="BP171" s="6"/>
    </row>
    <row r="172" spans="4:68" ht="20" customHeight="1" x14ac:dyDescent="0.25">
      <c r="BN172" s="6"/>
      <c r="BO172" s="6"/>
      <c r="BP172" s="6"/>
    </row>
    <row r="173" spans="4:68" ht="20" customHeight="1" x14ac:dyDescent="0.25">
      <c r="D173" s="5" t="str" cm="1">
        <f t="array" ref="D173">Common_SourceData.Common_SourceData_DensityOfMethane_Title()</f>
        <v>p = density of methane</v>
      </c>
      <c r="BN173" s="6"/>
      <c r="BO173" s="6"/>
      <c r="BP173" s="6"/>
    </row>
    <row r="174" spans="4:68" ht="20" customHeight="1" x14ac:dyDescent="0.25">
      <c r="D174" s="4" t="str" cm="1">
        <f t="array" ref="D174">Common_SourceData.Common_SourceData_DensityOfMethane_Source()</f>
        <v>National Inventory Report 2023 Volume 1: Equations 3.B.1a_2, 3.B.1c_2, 3.B.3_1, 3.B.4g_2</v>
      </c>
      <c r="BN174" s="6"/>
      <c r="BO174" s="6"/>
      <c r="BP174" s="6"/>
    </row>
    <row r="175" spans="4:68" ht="20" customHeight="1" x14ac:dyDescent="0.25">
      <c r="D175" s="1" cm="1">
        <f t="array" ref="D175">Common_SourceData.Common_SourceData_DensityOfMethane_Data()</f>
        <v>0.6784</v>
      </c>
      <c r="E175" s="28" t="str" cm="1">
        <f t="array" ref="E175">Common_SourceData.Common_SourceData_DensityOfMethane_Unit()</f>
        <v>kg/m3</v>
      </c>
      <c r="BN175" s="6"/>
      <c r="BO175" s="6"/>
      <c r="BP175" s="6"/>
    </row>
    <row r="176" spans="4:68" ht="20" customHeight="1" x14ac:dyDescent="0.25">
      <c r="BN176" s="6"/>
      <c r="BO176" s="6"/>
      <c r="BP176" s="6"/>
    </row>
    <row r="177" spans="4:68" ht="20" customHeight="1" x14ac:dyDescent="0.25">
      <c r="BN177" s="6"/>
      <c r="BO177" s="6"/>
      <c r="BP177" s="6"/>
    </row>
    <row r="178" spans="4:68" ht="20" customHeight="1" x14ac:dyDescent="0.25">
      <c r="D178" s="5" t="str" cm="1">
        <f t="array" ref="D178">Common_SourceData.Common_SourceData_EFN2O_Title()</f>
        <v>Nitrous oxide emission factors for inorganic fertiliser application</v>
      </c>
      <c r="BN178" s="6"/>
      <c r="BO178" s="6"/>
      <c r="BP178" s="6"/>
    </row>
    <row r="179" spans="4:68" ht="20" customHeight="1" x14ac:dyDescent="0.25">
      <c r="D179" s="4" t="str" cm="1">
        <f t="array" ref="D179">Common_SourceData.Common_SourceData_EFN2O_Source()</f>
        <v>VEERG 2026: Table A.2.2.1</v>
      </c>
      <c r="BN179" s="6"/>
      <c r="BO179" s="6"/>
      <c r="BP179" s="6"/>
    </row>
    <row r="180" spans="4:68" ht="20" customHeight="1" x14ac:dyDescent="0.25">
      <c r="D180" s="28" t="str" cm="1">
        <f t="array" ref="D180">Common_SourceData.Common_SourceData_EFN2O_Unit()</f>
        <v>(kg N2O-N / kg N</v>
      </c>
    </row>
    <row r="181" spans="4:68" ht="20" customHeight="1" x14ac:dyDescent="0.25">
      <c r="D181" s="29" t="str" cm="1">
        <f t="array" ref="D181:D185">Common_SourceData.Common_SourceData_EFN2O_Variation()</f>
        <v>VARIATION OF SOURCE DATA:</v>
      </c>
    </row>
    <row r="182" spans="4:68" ht="20" customHeight="1" x14ac:dyDescent="0.25">
      <c r="D182" s="29" t="str">
        <v>Removed duplicate 'Aquaculture' row.</v>
      </c>
    </row>
    <row r="183" spans="4:68" ht="20" customHeight="1" x14ac:dyDescent="0.25">
      <c r="D183" s="29" t="str">
        <v>Removed asterisks to aid lookup.</v>
      </c>
    </row>
    <row r="184" spans="4:68" ht="20" customHeight="1" x14ac:dyDescent="0.25">
      <c r="D184" s="29" t="str">
        <v>Added 'production system only', 'rainfall zone' and 'irrigation method' columns to aid lookup.</v>
      </c>
    </row>
    <row r="185" spans="4:68" ht="20" customHeight="1" x14ac:dyDescent="0.25">
      <c r="D185" s="29" t="str">
        <v>Duplicated 'non-irrigated pasture' row with same EF for low and high rainfall zones to aid lookup.</v>
      </c>
    </row>
    <row r="186" spans="4:68" ht="20" customHeight="1" x14ac:dyDescent="0.25">
      <c r="D186" s="24" t="s">
        <v>50</v>
      </c>
      <c r="E186" s="24" t="s">
        <v>51</v>
      </c>
      <c r="F186" s="24" t="s">
        <v>52</v>
      </c>
      <c r="G186" s="24" t="s">
        <v>53</v>
      </c>
      <c r="H186" s="24" t="s">
        <v>17</v>
      </c>
    </row>
    <row r="187" spans="4:68" ht="20" customHeight="1" x14ac:dyDescent="0.25">
      <c r="D187" s="24" t="str" cm="1">
        <f t="array" ref="D187">Common_InputFunctions.Utility_DisplayArrayInTable(Common_SourceData.Common_SourceData_EFN2O_Data(), Table_SourceData_Common_EFN2O[[#Headers],[Production system j]], 0)</f>
        <v>Irrigated pasture</v>
      </c>
      <c r="E187" s="24" cm="1">
        <f t="array" ref="E187">Common_InputFunctions.Utility_DisplayArrayInTable(Common_SourceData.Common_SourceData_EFN2O_Data(), Table_SourceData_Common_EFN2O[[#Headers],[Production system j]], 0)</f>
        <v>5.8999999999999999E-3</v>
      </c>
      <c r="F187" s="24" t="str" cm="1">
        <f t="array" ref="F187">Common_InputFunctions.Utility_DisplayArrayInTable(Common_SourceData.Common_SourceData_EFN2O_Data(), Table_SourceData_Common_EFN2O[[#Headers],[Production system j]], 0)</f>
        <v>Pasture</v>
      </c>
      <c r="G187" s="24" t="str" cm="1">
        <f t="array" ref="G187">Common_InputFunctions.Utility_DisplayArrayInTable(Common_SourceData.Common_SourceData_EFN2O_Data(), Table_SourceData_Common_EFN2O[[#Headers],[Production system j]], 0)</f>
        <v>Any</v>
      </c>
      <c r="H187" s="24" t="str" cm="1">
        <f t="array" ref="H187">Common_InputFunctions.Utility_DisplayArrayInTable(Common_SourceData.Common_SourceData_EFN2O_Data(), Table_SourceData_Common_EFN2O[[#Headers],[Production system j]], 0)</f>
        <v>Any</v>
      </c>
    </row>
    <row r="188" spans="4:68" ht="20" customHeight="1" x14ac:dyDescent="0.25">
      <c r="D188" s="24" t="str" cm="1">
        <f t="array" ref="D188">Common_InputFunctions.Utility_DisplayArrayInTable(Common_SourceData.Common_SourceData_EFN2O_Data(), Table_SourceData_Common_EFN2O[[#Headers],[Production system j]], 0)</f>
        <v>Irrigated crop</v>
      </c>
      <c r="E188" s="24" cm="1">
        <f t="array" ref="E188">Common_InputFunctions.Utility_DisplayArrayInTable(Common_SourceData.Common_SourceData_EFN2O_Data(), Table_SourceData_Common_EFN2O[[#Headers],[Production system j]], 0)</f>
        <v>7.0000000000000001E-3</v>
      </c>
      <c r="F188" s="24" t="str" cm="1">
        <f t="array" ref="F188">Common_InputFunctions.Utility_DisplayArrayInTable(Common_SourceData.Common_SourceData_EFN2O_Data(), Table_SourceData_Common_EFN2O[[#Headers],[Production system j]], 0)</f>
        <v>Crop</v>
      </c>
      <c r="G188" s="24" t="str" cm="1">
        <f t="array" ref="G188">Common_InputFunctions.Utility_DisplayArrayInTable(Common_SourceData.Common_SourceData_EFN2O_Data(), Table_SourceData_Common_EFN2O[[#Headers],[Production system j]], 0)</f>
        <v>Any</v>
      </c>
      <c r="H188" s="24" t="str" cm="1">
        <f t="array" ref="H188">Common_InputFunctions.Utility_DisplayArrayInTable(Common_SourceData.Common_SourceData_EFN2O_Data(), Table_SourceData_Common_EFN2O[[#Headers],[Production system j]], 0)</f>
        <v>Any</v>
      </c>
    </row>
    <row r="189" spans="4:68" ht="20" customHeight="1" x14ac:dyDescent="0.25">
      <c r="D189" s="24" t="str" cm="1">
        <f t="array" ref="D189">Common_InputFunctions.Utility_DisplayArrayInTable(Common_SourceData.Common_SourceData_EFN2O_Data(), Table_SourceData_Common_EFN2O[[#Headers],[Production system j]], 0)</f>
        <v>Non-irrigated pasture</v>
      </c>
      <c r="E189" s="24" cm="1">
        <f t="array" ref="E189">Common_InputFunctions.Utility_DisplayArrayInTable(Common_SourceData.Common_SourceData_EFN2O_Data(), Table_SourceData_Common_EFN2O[[#Headers],[Production system j]], 0)</f>
        <v>1.8E-3</v>
      </c>
      <c r="F189" s="24" t="str" cm="1">
        <f t="array" ref="F189">Common_InputFunctions.Utility_DisplayArrayInTable(Common_SourceData.Common_SourceData_EFN2O_Data(), Table_SourceData_Common_EFN2O[[#Headers],[Production system j]], 0)</f>
        <v>Pasture</v>
      </c>
      <c r="G189" s="24" t="str" cm="1">
        <f t="array" ref="G189">Common_InputFunctions.Utility_DisplayArrayInTable(Common_SourceData.Common_SourceData_EFN2O_Data(), Table_SourceData_Common_EFN2O[[#Headers],[Production system j]], 0)</f>
        <v>Not irrigated</v>
      </c>
      <c r="H189" s="24" t="str" cm="1">
        <f t="array" ref="H189">Common_InputFunctions.Utility_DisplayArrayInTable(Common_SourceData.Common_SourceData_EFN2O_Data(), Table_SourceData_Common_EFN2O[[#Headers],[Production system j]], 0)</f>
        <v>Low rainfall</v>
      </c>
    </row>
    <row r="190" spans="4:68" ht="20" customHeight="1" x14ac:dyDescent="0.25">
      <c r="D190" s="24" t="str" cm="1">
        <f t="array" ref="D190">Common_InputFunctions.Utility_DisplayArrayInTable(Common_SourceData.Common_SourceData_EFN2O_Data(), Table_SourceData_Common_EFN2O[[#Headers],[Production system j]], 0)</f>
        <v>Non-irrigated pasture</v>
      </c>
      <c r="E190" s="24" cm="1">
        <f t="array" ref="E190">Common_InputFunctions.Utility_DisplayArrayInTable(Common_SourceData.Common_SourceData_EFN2O_Data(), Table_SourceData_Common_EFN2O[[#Headers],[Production system j]], 0)</f>
        <v>1.8E-3</v>
      </c>
      <c r="F190" s="24" t="str" cm="1">
        <f t="array" ref="F190">Common_InputFunctions.Utility_DisplayArrayInTable(Common_SourceData.Common_SourceData_EFN2O_Data(), Table_SourceData_Common_EFN2O[[#Headers],[Production system j]], 0)</f>
        <v>Pasture</v>
      </c>
      <c r="G190" s="24" t="str" cm="1">
        <f t="array" ref="G190">Common_InputFunctions.Utility_DisplayArrayInTable(Common_SourceData.Common_SourceData_EFN2O_Data(), Table_SourceData_Common_EFN2O[[#Headers],[Production system j]], 0)</f>
        <v>Not irrigated</v>
      </c>
      <c r="H190" s="24" t="str" cm="1">
        <f t="array" ref="H190">Common_InputFunctions.Utility_DisplayArrayInTable(Common_SourceData.Common_SourceData_EFN2O_Data(), Table_SourceData_Common_EFN2O[[#Headers],[Production system j]], 0)</f>
        <v>High rainfall</v>
      </c>
    </row>
    <row r="191" spans="4:68" ht="20" customHeight="1" x14ac:dyDescent="0.25">
      <c r="D191" s="24" t="str" cm="1">
        <f t="array" ref="D191">Common_InputFunctions.Utility_DisplayArrayInTable(Common_SourceData.Common_SourceData_EFN2O_Data(), Table_SourceData_Common_EFN2O[[#Headers],[Production system j]], 0)</f>
        <v>Non-irrigated crop (low rainfall)</v>
      </c>
      <c r="E191" s="24" cm="1">
        <f t="array" ref="E191">Common_InputFunctions.Utility_DisplayArrayInTable(Common_SourceData.Common_SourceData_EFN2O_Data(), Table_SourceData_Common_EFN2O[[#Headers],[Production system j]], 0)</f>
        <v>2.8999999999999998E-3</v>
      </c>
      <c r="F191" s="24" t="str" cm="1">
        <f t="array" ref="F191">Common_InputFunctions.Utility_DisplayArrayInTable(Common_SourceData.Common_SourceData_EFN2O_Data(), Table_SourceData_Common_EFN2O[[#Headers],[Production system j]], 0)</f>
        <v>Crop</v>
      </c>
      <c r="G191" s="24" t="str" cm="1">
        <f t="array" ref="G191">Common_InputFunctions.Utility_DisplayArrayInTable(Common_SourceData.Common_SourceData_EFN2O_Data(), Table_SourceData_Common_EFN2O[[#Headers],[Production system j]], 0)</f>
        <v>Not irrigated</v>
      </c>
      <c r="H191" s="24" t="str" cm="1">
        <f t="array" ref="H191">Common_InputFunctions.Utility_DisplayArrayInTable(Common_SourceData.Common_SourceData_EFN2O_Data(), Table_SourceData_Common_EFN2O[[#Headers],[Production system j]], 0)</f>
        <v>Low rainfall</v>
      </c>
    </row>
    <row r="192" spans="4:68" ht="20" customHeight="1" x14ac:dyDescent="0.25">
      <c r="D192" s="24" t="str" cm="1">
        <f t="array" ref="D192">Common_InputFunctions.Utility_DisplayArrayInTable(Common_SourceData.Common_SourceData_EFN2O_Data(), Table_SourceData_Common_EFN2O[[#Headers],[Production system j]], 0)</f>
        <v>Non-irrigated crop (high rainfall)</v>
      </c>
      <c r="E192" s="24" cm="1">
        <f t="array" ref="E192">Common_InputFunctions.Utility_DisplayArrayInTable(Common_SourceData.Common_SourceData_EFN2O_Data(), Table_SourceData_Common_EFN2O[[#Headers],[Production system j]], 0)</f>
        <v>8.0000000000000002E-3</v>
      </c>
      <c r="F192" s="24" t="str" cm="1">
        <f t="array" ref="F192">Common_InputFunctions.Utility_DisplayArrayInTable(Common_SourceData.Common_SourceData_EFN2O_Data(), Table_SourceData_Common_EFN2O[[#Headers],[Production system j]], 0)</f>
        <v>Crop</v>
      </c>
      <c r="G192" s="24" t="str" cm="1">
        <f t="array" ref="G192">Common_InputFunctions.Utility_DisplayArrayInTable(Common_SourceData.Common_SourceData_EFN2O_Data(), Table_SourceData_Common_EFN2O[[#Headers],[Production system j]], 0)</f>
        <v>Not irrigated</v>
      </c>
      <c r="H192" s="24" t="str" cm="1">
        <f t="array" ref="H192">Common_InputFunctions.Utility_DisplayArrayInTable(Common_SourceData.Common_SourceData_EFN2O_Data(), Table_SourceData_Common_EFN2O[[#Headers],[Production system j]], 0)</f>
        <v>High rainfall</v>
      </c>
    </row>
    <row r="193" spans="4:8" ht="20" customHeight="1" x14ac:dyDescent="0.25">
      <c r="D193" s="24" t="str" cm="1">
        <f t="array" ref="D193">Common_InputFunctions.Utility_DisplayArrayInTable(Common_SourceData.Common_SourceData_EFN2O_Data(), Table_SourceData_Common_EFN2O[[#Headers],[Production system j]], 0)</f>
        <v>Sugar</v>
      </c>
      <c r="E193" s="24" cm="1">
        <f t="array" ref="E193">Common_InputFunctions.Utility_DisplayArrayInTable(Common_SourceData.Common_SourceData_EFN2O_Data(), Table_SourceData_Common_EFN2O[[#Headers],[Production system j]], 0)</f>
        <v>1.9900000000000001E-2</v>
      </c>
      <c r="F193" s="24" t="str" cm="1">
        <f t="array" ref="F193">Common_InputFunctions.Utility_DisplayArrayInTable(Common_SourceData.Common_SourceData_EFN2O_Data(), Table_SourceData_Common_EFN2O[[#Headers],[Production system j]], 0)</f>
        <v>Sugar</v>
      </c>
      <c r="G193" s="24" t="str" cm="1">
        <f t="array" ref="G193">Common_InputFunctions.Utility_DisplayArrayInTable(Common_SourceData.Common_SourceData_EFN2O_Data(), Table_SourceData_Common_EFN2O[[#Headers],[Production system j]], 0)</f>
        <v>Any</v>
      </c>
      <c r="H193" s="24" t="str" cm="1">
        <f t="array" ref="H193">Common_InputFunctions.Utility_DisplayArrayInTable(Common_SourceData.Common_SourceData_EFN2O_Data(), Table_SourceData_Common_EFN2O[[#Headers],[Production system j]], 0)</f>
        <v>Any</v>
      </c>
    </row>
    <row r="194" spans="4:8" ht="20" customHeight="1" x14ac:dyDescent="0.25">
      <c r="D194" s="24" t="str" cm="1">
        <f t="array" ref="D194">Common_InputFunctions.Utility_DisplayArrayInTable(Common_SourceData.Common_SourceData_EFN2O_Data(), Table_SourceData_Common_EFN2O[[#Headers],[Production system j]], 0)</f>
        <v>Cotton</v>
      </c>
      <c r="E194" s="24" cm="1">
        <f t="array" ref="E194">Common_InputFunctions.Utility_DisplayArrayInTable(Common_SourceData.Common_SourceData_EFN2O_Data(), Table_SourceData_Common_EFN2O[[#Headers],[Production system j]], 0)</f>
        <v>5.3E-3</v>
      </c>
      <c r="F194" s="24" t="str" cm="1">
        <f t="array" ref="F194">Common_InputFunctions.Utility_DisplayArrayInTable(Common_SourceData.Common_SourceData_EFN2O_Data(), Table_SourceData_Common_EFN2O[[#Headers],[Production system j]], 0)</f>
        <v>Cotton</v>
      </c>
      <c r="G194" s="24" t="str" cm="1">
        <f t="array" ref="G194">Common_InputFunctions.Utility_DisplayArrayInTable(Common_SourceData.Common_SourceData_EFN2O_Data(), Table_SourceData_Common_EFN2O[[#Headers],[Production system j]], 0)</f>
        <v>Any</v>
      </c>
      <c r="H194" s="24" t="str" cm="1">
        <f t="array" ref="H194">Common_InputFunctions.Utility_DisplayArrayInTable(Common_SourceData.Common_SourceData_EFN2O_Data(), Table_SourceData_Common_EFN2O[[#Headers],[Production system j]], 0)</f>
        <v>Any</v>
      </c>
    </row>
    <row r="195" spans="4:8" ht="20" customHeight="1" x14ac:dyDescent="0.25">
      <c r="D195" s="24" t="str" cm="1">
        <f t="array" ref="D195">Common_InputFunctions.Utility_DisplayArrayInTable(Common_SourceData.Common_SourceData_EFN2O_Data(), Table_SourceData_Common_EFN2O[[#Headers],[Production system j]], 0)</f>
        <v>Horticultural crops</v>
      </c>
      <c r="E195" s="24" cm="1">
        <f t="array" ref="E195">Common_InputFunctions.Utility_DisplayArrayInTable(Common_SourceData.Common_SourceData_EFN2O_Data(), Table_SourceData_Common_EFN2O[[#Headers],[Production system j]], 0)</f>
        <v>6.4000000000000003E-3</v>
      </c>
      <c r="F195" s="24" t="str" cm="1">
        <f t="array" ref="F195">Common_InputFunctions.Utility_DisplayArrayInTable(Common_SourceData.Common_SourceData_EFN2O_Data(), Table_SourceData_Common_EFN2O[[#Headers],[Production system j]], 0)</f>
        <v>Horticultural crops</v>
      </c>
      <c r="G195" s="24" t="str" cm="1">
        <f t="array" ref="G195">Common_InputFunctions.Utility_DisplayArrayInTable(Common_SourceData.Common_SourceData_EFN2O_Data(), Table_SourceData_Common_EFN2O[[#Headers],[Production system j]], 0)</f>
        <v>Any</v>
      </c>
      <c r="H195" s="24" t="str" cm="1">
        <f t="array" ref="H195">Common_InputFunctions.Utility_DisplayArrayInTable(Common_SourceData.Common_SourceData_EFN2O_Data(), Table_SourceData_Common_EFN2O[[#Headers],[Production system j]], 0)</f>
        <v>Any</v>
      </c>
    </row>
    <row r="196" spans="4:8" ht="20" customHeight="1" x14ac:dyDescent="0.25">
      <c r="D196" s="24" t="str" cm="1">
        <f t="array" ref="D196">Common_InputFunctions.Utility_DisplayArrayInTable(Common_SourceData.Common_SourceData_EFN2O_Data(), Table_SourceData_Common_EFN2O[[#Headers],[Production system j]], 0)</f>
        <v>Rice (continuous flooding)</v>
      </c>
      <c r="E196" s="24" cm="1">
        <f t="array" ref="E196">Common_InputFunctions.Utility_DisplayArrayInTable(Common_SourceData.Common_SourceData_EFN2O_Data(), Table_SourceData_Common_EFN2O[[#Headers],[Production system j]], 0)</f>
        <v>3.0000000000000001E-3</v>
      </c>
      <c r="F196" s="24" t="str" cm="1">
        <f t="array" ref="F196">Common_InputFunctions.Utility_DisplayArrayInTable(Common_SourceData.Common_SourceData_EFN2O_Data(), Table_SourceData_Common_EFN2O[[#Headers],[Production system j]], 0)</f>
        <v>Rice</v>
      </c>
      <c r="G196" s="24" t="str" cm="1">
        <f t="array" ref="G196">Common_InputFunctions.Utility_DisplayArrayInTable(Common_SourceData.Common_SourceData_EFN2O_Data(), Table_SourceData_Common_EFN2O[[#Headers],[Production system j]], 0)</f>
        <v>Continuous flooding</v>
      </c>
      <c r="H196" s="24" t="str" cm="1">
        <f t="array" ref="H196">Common_InputFunctions.Utility_DisplayArrayInTable(Common_SourceData.Common_SourceData_EFN2O_Data(), Table_SourceData_Common_EFN2O[[#Headers],[Production system j]], 0)</f>
        <v>Any</v>
      </c>
    </row>
    <row r="197" spans="4:8" x14ac:dyDescent="0.25" ht="20" customHeight="1">
      <c r="D197" s="24" t="str" cm="1">
        <f t="array" ref="D197">Common_InputFunctions.Utility_DisplayArrayInTable(Common_SourceData.Common_SourceData_EFN2O_Data(), Table_SourceData_Common_EFN2O[[#Headers],[Production system j]], 0)</f>
        <v>Rice (single and multiple drainage, or alternate wetting and drying)</v>
      </c>
      <c r="E197" s="24" cm="1">
        <f t="array" ref="E197">Common_InputFunctions.Utility_DisplayArrayInTable(Common_SourceData.Common_SourceData_EFN2O_Data(), Table_SourceData_Common_EFN2O[[#Headers],[Production system j]], 0)</f>
        <v>5.0000000000000001E-3</v>
      </c>
      <c r="F197" s="24" t="str" cm="1">
        <f t="array" ref="F197">Common_InputFunctions.Utility_DisplayArrayInTable(Common_SourceData.Common_SourceData_EFN2O_Data(), Table_SourceData_Common_EFN2O[[#Headers],[Production system j]], 0)</f>
        <v>Rice</v>
      </c>
      <c r="G197" s="24" t="str" cm="1">
        <f t="array" ref="G197">Common_InputFunctions.Utility_DisplayArrayInTable(Common_SourceData.Common_SourceData_EFN2O_Data(), Table_SourceData_Common_EFN2O[[#Headers],[Production system j]], 0)</f>
        <v>Single and multiple drainage, or alternate wetting and drying</v>
      </c>
      <c r="H197" s="24" t="str" cm="1">
        <f t="array" ref="H197">Common_InputFunctions.Utility_DisplayArrayInTable(Common_SourceData.Common_SourceData_EFN2O_Data(), Table_SourceData_Common_EFN2O[[#Headers],[Production system j]], 0)</f>
        <v>Any</v>
      </c>
    </row>
    <row r="198" spans="4:8" x14ac:dyDescent="0.25" ht="20" customHeight="1">
      <c r="D198" s="24" t="str" cm="1">
        <f t="array" ref="D198">Common_InputFunctions.Utility_DisplayArrayInTable(Common_SourceData.Common_SourceData_EFN2O_Data(), Table_SourceData_Common_EFN2O[[#Headers],[Production system j]], 0)</f>
        <v>Aquaculture</v>
      </c>
      <c r="E198" s="24" cm="1">
        <f t="array" ref="E198">Common_InputFunctions.Utility_DisplayArrayInTable(Common_SourceData.Common_SourceData_EFN2O_Data(), Table_SourceData_Common_EFN2O[[#Headers],[Production system j]], 0)</f>
        <v>2.5999999999999999E-3</v>
      </c>
      <c r="F198" s="24" t="str" cm="1">
        <f t="array" ref="F198">Common_InputFunctions.Utility_DisplayArrayInTable(Common_SourceData.Common_SourceData_EFN2O_Data(), Table_SourceData_Common_EFN2O[[#Headers],[Production system j]], 0)</f>
        <v>Aquaculture</v>
      </c>
      <c r="G198" s="24" t="str" cm="1">
        <f t="array" ref="G198">Common_InputFunctions.Utility_DisplayArrayInTable(Common_SourceData.Common_SourceData_EFN2O_Data(), Table_SourceData_Common_EFN2O[[#Headers],[Production system j]], 0)</f>
        <v>Any</v>
      </c>
      <c r="H198" s="24" t="str" cm="1">
        <f t="array" ref="H198">Common_InputFunctions.Utility_DisplayArrayInTable(Common_SourceData.Common_SourceData_EFN2O_Data(), Table_SourceData_Common_EFN2O[[#Headers],[Production system j]], 0)</f>
        <v>Any</v>
      </c>
    </row>
    <row r="199" spans="4:8" x14ac:dyDescent="0.25" ht="20" customHeight="1">
      <c r="D199" s="24" t="str" cm="1">
        <f t="array" ref="D199">Common_InputFunctions.Utility_DisplayArrayInTable(Common_SourceData.Common_SourceData_EFN2O_Data(), Table_SourceData_Common_EFN2O[[#Headers],[Production system j]], 0)</f>
        <v>Forestry</v>
      </c>
      <c r="E199" s="24" cm="1">
        <f t="array" ref="E199">Common_InputFunctions.Utility_DisplayArrayInTable(Common_SourceData.Common_SourceData_EFN2O_Data(), Table_SourceData_Common_EFN2O[[#Headers],[Production system j]], 0)</f>
        <v>1.8E-3</v>
      </c>
      <c r="F199" s="24" t="str" cm="1">
        <f t="array" ref="F199">Common_InputFunctions.Utility_DisplayArrayInTable(Common_SourceData.Common_SourceData_EFN2O_Data(), Table_SourceData_Common_EFN2O[[#Headers],[Production system j]], 0)</f>
        <v>Forestry</v>
      </c>
      <c r="G199" s="24" t="str" cm="1">
        <f t="array" ref="G199">Common_InputFunctions.Utility_DisplayArrayInTable(Common_SourceData.Common_SourceData_EFN2O_Data(), Table_SourceData_Common_EFN2O[[#Headers],[Production system j]], 0)</f>
        <v>Any</v>
      </c>
      <c r="H199" s="24" t="str" cm="1">
        <f t="array" ref="H199">Common_InputFunctions.Utility_DisplayArrayInTable(Common_SourceData.Common_SourceData_EFN2O_Data(), Table_SourceData_Common_EFN2O[[#Headers],[Production system j]], 0)</f>
        <v>Any</v>
      </c>
    </row>
    <row r="202" spans="4:8" ht="20" x14ac:dyDescent="0.25" customHeight="1">
      <c r="D202" s="5" t="str" cm="1">
        <f t="array" ref="D202">Common_SourceData.Common_SourceData_EFPastureRangeAndPaddock_Title()</f>
        <v>Emission factor for urine and dung deposited on pasture, range or paddock</v>
      </c>
    </row>
    <row r="203" spans="4:8" x14ac:dyDescent="0.25" ht="20" customHeight="1">
      <c r="D203" s="4" t="str" cm="1">
        <f t="array" ref="D203">Common_SourceData.Common_SourceData_EFPastureRangeAndPaddock_Source()</f>
        <v>VEERG 2026: Table A.2.2.2</v>
      </c>
    </row>
    <row r="204" spans="4:8" x14ac:dyDescent="0.25" ht="20" customHeight="1">
      <c r="D204" s="29" t="str" cm="1">
        <f t="array" ref="D204">Common_SourceData.Common_SourceData_EFPastureRangeAndPaddock_Variation()</f>
        <v>VARIATION FROM SOURCE DATA: Changed 'Dry climate zones' to singular 'Dry climate zone' to aid lookup.</v>
      </c>
    </row>
    <row r="205" spans="4:8" x14ac:dyDescent="0.25" ht="20" customHeight="1">
      <c r="D205" s="28" t="str" cm="1">
        <f t="array" ref="D205">Common_SourceData.Common_SourceData_EFPastureRangeAndPaddock_Unit()</f>
        <v>kg N2O - N / kg N</v>
      </c>
    </row>
    <row r="206" spans="4:8" x14ac:dyDescent="0.25" ht="20" customHeight="1">
      <c r="D206" s="24" t="s">
        <v>3</v>
      </c>
      <c r="E206" s="24" t="s">
        <v>58</v>
      </c>
    </row>
    <row r="207" spans="4:8" x14ac:dyDescent="0.25" ht="20" customHeight="1">
      <c r="D207" s="24" t="str" cm="1">
        <f t="array" ref="D207">Common_InputFunctions.Utility_DisplayArrayInTable(Common_SourceData.Common_SourceData_EFPastureRangeAndPaddock_Data(), Table_SourceData_EFPastureRangeAndPaddock[[#Headers],[Climate zone]], 0)</f>
        <v>Wet climate zone</v>
      </c>
      <c r="E207" s="24"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24"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24" t="s">
        <v>55</v>
      </c>
      <c r="E212" s="24" t="s">
        <v>61</v>
      </c>
    </row>
    <row r="213" spans="4:5" x14ac:dyDescent="0.25" ht="20" customHeight="1">
      <c r="D213" s="24" t="str" cm="1">
        <f t="array" ref="D213">Common_InputFunctions.Utility_DisplayArrayInTable(Common_SourceData.Common_SourceData_MonthsToSeasons_Data(), Table_SourceData_Common_MonthToSeason[[#Headers],[Month]], 0)</f>
        <v>January</v>
      </c>
      <c r="E213" s="24"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24"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24"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24"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24"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24"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24"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24"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24"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24"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24"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24" t="str" cm="1">
        <f t="array" ref="E224">Common_InputFunctions.Utility_DisplayArrayInTable(Common_SourceData.Common_SourceData_MonthsToSeasons_Data(), Table_SourceData_Common_MonthToSeason[[#Headers],[Month]], 0)</f>
        <v>Summer</v>
      </c>
    </row>
    <row r="227" spans="4:19" ht="20" x14ac:dyDescent="0.25" customHeight="1">
      <c r="D227" s="5" t="str" cm="1">
        <f t="array" ref="D227">Common_SourceData.Common_SourceData_MCFTemperatureZone_Title()</f>
        <v>Manure Management – Methane conversion factor per temperature zone (fraction) (MCFim)</v>
      </c>
    </row>
    <row r="228" spans="4:19" x14ac:dyDescent="0.25" ht="20" customHeight="1">
      <c r="D228" s="4" t="str" cm="1">
        <f t="array" ref="D228">Common_SourceData.Common_SourceData_MCFTemperatureZone_Source()</f>
        <v>VEERG 2026: Table A.1.8.1</v>
      </c>
    </row>
    <row r="229" spans="4:19" x14ac:dyDescent="0.25" ht="20" customHeight="1">
      <c r="D229" s="2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24" t="s">
        <v>34</v>
      </c>
      <c r="E231" s="24" t="s">
        <v>69</v>
      </c>
      <c r="F231" s="23" t="s">
        <v>70</v>
      </c>
      <c r="G231" s="24" t="s">
        <v>65</v>
      </c>
      <c r="H231" s="24" t="s">
        <v>71</v>
      </c>
      <c r="I231" s="24" t="s">
        <v>72</v>
      </c>
      <c r="J231" s="24" t="s">
        <v>64</v>
      </c>
      <c r="K231" s="24" t="s">
        <v>63</v>
      </c>
      <c r="L231" s="24" t="s">
        <v>73</v>
      </c>
      <c r="M231" s="24" t="s">
        <v>74</v>
      </c>
      <c r="N231" s="24" t="s">
        <v>62</v>
      </c>
      <c r="O231" s="24" t="s">
        <v>75</v>
      </c>
      <c r="P231" s="24" t="s">
        <v>67</v>
      </c>
      <c r="Q231" s="24" t="s">
        <v>68</v>
      </c>
      <c r="R231" s="24" t="s">
        <v>66</v>
      </c>
      <c r="S231" s="24" t="s">
        <v>76</v>
      </c>
    </row>
    <row r="232" spans="4:19" x14ac:dyDescent="0.25" ht="20" customHeight="1">
      <c r="D232" s="24" t="str" cm="1">
        <f t="array" ref="D232">Common_InputFunctions.Utility_DisplayArrayInTable(Common_SourceData.Common_SourceData_MCFTemperatureZone_Data(),Table_SourceData_Common_MCFTemperatureZone[[#Headers],[Temperature zone]],0)</f>
        <v>Cool</v>
      </c>
      <c r="E232" s="24" t="str" cm="1">
        <f t="array" ref="E232">Common_InputFunctions.Utility_DisplayArrayInTable(Common_SourceData.Common_SourceData_MCFTemperatureZone_Data(),Table_SourceData_Common_MCFTemperatureZone[[#Headers],[Temperature zone]],0)</f>
        <v>≤10</v>
      </c>
      <c r="F232" s="24" cm="1">
        <f t="array" ref="F232">Common_InputFunctions.Utility_DisplayArrayInTable(Common_SourceData.Common_SourceData_MCFTemperatureZone_Data(),Table_SourceData_Common_MCFTemperatureZone[[#Headers],[Temperature zone]],0)</f>
        <v>0.66</v>
      </c>
      <c r="G232" s="24" cm="1">
        <f t="array" ref="G232">Common_InputFunctions.Utility_DisplayArrayInTable(Common_SourceData.Common_SourceData_MCFTemperatureZone_Data(),Table_SourceData_Common_MCFTemperatureZone[[#Headers],[Temperature zone]],0)</f>
        <v>0.1</v>
      </c>
      <c r="H232" s="24" cm="1">
        <f t="array" ref="H232">Common_InputFunctions.Utility_DisplayArrayInTable(Common_SourceData.Common_SourceData_MCFTemperatureZone_Data(),Table_SourceData_Common_MCFTemperatureZone[[#Headers],[Temperature zone]],0)</f>
        <v>0.1</v>
      </c>
      <c r="I232" s="24" cm="1">
        <f t="array" ref="I232">Common_InputFunctions.Utility_DisplayArrayInTable(Common_SourceData.Common_SourceData_MCFTemperatureZone_Data(),Table_SourceData_Common_MCFTemperatureZone[[#Headers],[Temperature zone]],0)</f>
        <v>1E-3</v>
      </c>
      <c r="J232" s="24" cm="1">
        <f t="array" ref="J232">Common_InputFunctions.Utility_DisplayArrayInTable(Common_SourceData.Common_SourceData_MCFTemperatureZone_Data(),Table_SourceData_Common_MCFTemperatureZone[[#Headers],[Temperature zone]],0)</f>
        <v>5.0000000000000001E-3</v>
      </c>
      <c r="K232" s="24" cm="1">
        <f t="array" ref="K232">Common_InputFunctions.Utility_DisplayArrayInTable(Common_SourceData.Common_SourceData_MCFTemperatureZone_Data(),Table_SourceData_Common_MCFTemperatureZone[[#Headers],[Temperature zone]],0)</f>
        <v>0.02</v>
      </c>
      <c r="L232" s="24" cm="1">
        <f t="array" ref="L232">Common_InputFunctions.Utility_DisplayArrayInTable(Common_SourceData.Common_SourceData_MCFTemperatureZone_Data(),Table_SourceData_Common_MCFTemperatureZone[[#Headers],[Temperature zone]],0)</f>
        <v>0.03</v>
      </c>
      <c r="M232" s="24" cm="1">
        <f t="array" ref="M232">Common_InputFunctions.Utility_DisplayArrayInTable(Common_SourceData.Common_SourceData_MCFTemperatureZone_Data(),Table_SourceData_Common_MCFTemperatureZone[[#Headers],[Temperature zone]],0)</f>
        <v>0.04</v>
      </c>
      <c r="N232" s="24" cm="1">
        <f t="array" ref="N232">Common_InputFunctions.Utility_DisplayArrayInTable(Common_SourceData.Common_SourceData_MCFTemperatureZone_Data(),Table_SourceData_Common_MCFTemperatureZone[[#Headers],[Temperature zone]],0)</f>
        <v>1.4999999999999999E-2</v>
      </c>
      <c r="O232" s="24" cm="1">
        <f t="array" ref="O232">Common_InputFunctions.Utility_DisplayArrayInTable(Common_SourceData.Common_SourceData_MCFTemperatureZone_Data(),Table_SourceData_Common_MCFTemperatureZone[[#Headers],[Temperature zone]],0)</f>
        <v>1.4999999999999999E-2</v>
      </c>
      <c r="P232" s="24" cm="1">
        <f t="array" ref="P232">Common_InputFunctions.Utility_DisplayArrayInTable(Common_SourceData.Common_SourceData_MCFTemperatureZone_Data(),Table_SourceData_Common_MCFTemperatureZone[[#Headers],[Temperature zone]],0)</f>
        <v>0</v>
      </c>
      <c r="Q232" s="24" cm="1">
        <f t="array" ref="Q232">Common_InputFunctions.Utility_DisplayArrayInTable(Common_SourceData.Common_SourceData_MCFTemperatureZone_Data(),Table_SourceData_Common_MCFTemperatureZone[[#Headers],[Temperature zone]],0)</f>
        <v>0</v>
      </c>
      <c r="R232" s="24" cm="1">
        <f t="array" ref="R232">Common_InputFunctions.Utility_DisplayArrayInTable(Common_SourceData.Common_SourceData_MCFTemperatureZone_Data(),Table_SourceData_Common_MCFTemperatureZone[[#Headers],[Temperature zone]],0)</f>
        <v>4.7000000000000002E-3</v>
      </c>
      <c r="S232" s="24"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24" cm="1">
        <f t="array" ref="E233">Common_InputFunctions.Utility_DisplayArrayInTable(Common_SourceData.Common_SourceData_MCFTemperatureZone_Data(),Table_SourceData_Common_MCFTemperatureZone[[#Headers],[Temperature zone]],0)</f>
        <v>11</v>
      </c>
      <c r="F233" s="24" cm="1">
        <f t="array" ref="F233">Common_InputFunctions.Utility_DisplayArrayInTable(Common_SourceData.Common_SourceData_MCFTemperatureZone_Data(),Table_SourceData_Common_MCFTemperatureZone[[#Headers],[Temperature zone]],0)</f>
        <v>0.68</v>
      </c>
      <c r="G233" s="24" cm="1">
        <f t="array" ref="G233">Common_InputFunctions.Utility_DisplayArrayInTable(Common_SourceData.Common_SourceData_MCFTemperatureZone_Data(),Table_SourceData_Common_MCFTemperatureZone[[#Headers],[Temperature zone]],0)</f>
        <v>0.1</v>
      </c>
      <c r="H233" s="24" cm="1">
        <f t="array" ref="H233">Common_InputFunctions.Utility_DisplayArrayInTable(Common_SourceData.Common_SourceData_MCFTemperatureZone_Data(),Table_SourceData_Common_MCFTemperatureZone[[#Headers],[Temperature zone]],0)</f>
        <v>0.11</v>
      </c>
      <c r="I233" s="24" cm="1">
        <f t="array" ref="I233">Common_InputFunctions.Utility_DisplayArrayInTable(Common_SourceData.Common_SourceData_MCFTemperatureZone_Data(),Table_SourceData_Common_MCFTemperatureZone[[#Headers],[Temperature zone]],0)</f>
        <v>1E-3</v>
      </c>
      <c r="J233" s="24" cm="1">
        <f t="array" ref="J233">Common_InputFunctions.Utility_DisplayArrayInTable(Common_SourceData.Common_SourceData_MCFTemperatureZone_Data(),Table_SourceData_Common_MCFTemperatureZone[[#Headers],[Temperature zone]],0)</f>
        <v>5.0000000000000001E-3</v>
      </c>
      <c r="K233" s="24" cm="1">
        <f t="array" ref="K233">Common_InputFunctions.Utility_DisplayArrayInTable(Common_SourceData.Common_SourceData_MCFTemperatureZone_Data(),Table_SourceData_Common_MCFTemperatureZone[[#Headers],[Temperature zone]],0)</f>
        <v>0.02</v>
      </c>
      <c r="L233" s="24" cm="1">
        <f t="array" ref="L233">Common_InputFunctions.Utility_DisplayArrayInTable(Common_SourceData.Common_SourceData_MCFTemperatureZone_Data(),Table_SourceData_Common_MCFTemperatureZone[[#Headers],[Temperature zone]],0)</f>
        <v>0.03</v>
      </c>
      <c r="M233" s="24" cm="1">
        <f t="array" ref="M233">Common_InputFunctions.Utility_DisplayArrayInTable(Common_SourceData.Common_SourceData_MCFTemperatureZone_Data(),Table_SourceData_Common_MCFTemperatureZone[[#Headers],[Temperature zone]],0)</f>
        <v>0.04</v>
      </c>
      <c r="N233" s="24" cm="1">
        <f t="array" ref="N233">Common_InputFunctions.Utility_DisplayArrayInTable(Common_SourceData.Common_SourceData_MCFTemperatureZone_Data(),Table_SourceData_Common_MCFTemperatureZone[[#Headers],[Temperature zone]],0)</f>
        <v>1.4999999999999999E-2</v>
      </c>
      <c r="O233" s="24" cm="1">
        <f t="array" ref="O233">Common_InputFunctions.Utility_DisplayArrayInTable(Common_SourceData.Common_SourceData_MCFTemperatureZone_Data(),Table_SourceData_Common_MCFTemperatureZone[[#Headers],[Temperature zone]],0)</f>
        <v>1.4999999999999999E-2</v>
      </c>
      <c r="P233" s="24" cm="1">
        <f t="array" ref="P233">Common_InputFunctions.Utility_DisplayArrayInTable(Common_SourceData.Common_SourceData_MCFTemperatureZone_Data(),Table_SourceData_Common_MCFTemperatureZone[[#Headers],[Temperature zone]],0)</f>
        <v>0</v>
      </c>
      <c r="Q233" s="24" cm="1">
        <f t="array" ref="Q233">Common_InputFunctions.Utility_DisplayArrayInTable(Common_SourceData.Common_SourceData_MCFTemperatureZone_Data(),Table_SourceData_Common_MCFTemperatureZone[[#Headers],[Temperature zone]],0)</f>
        <v>0</v>
      </c>
      <c r="R233" s="24" cm="1">
        <f t="array" ref="R233">Common_InputFunctions.Utility_DisplayArrayInTable(Common_SourceData.Common_SourceData_MCFTemperatureZone_Data(),Table_SourceData_Common_MCFTemperatureZone[[#Headers],[Temperature zone]],0)</f>
        <v>4.7000000000000002E-3</v>
      </c>
      <c r="S233" s="24"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24" cm="1">
        <f t="array" ref="E234">Common_InputFunctions.Utility_DisplayArrayInTable(Common_SourceData.Common_SourceData_MCFTemperatureZone_Data(),Table_SourceData_Common_MCFTemperatureZone[[#Headers],[Temperature zone]],0)</f>
        <v>12</v>
      </c>
      <c r="F234" s="24" cm="1">
        <f t="array" ref="F234">Common_InputFunctions.Utility_DisplayArrayInTable(Common_SourceData.Common_SourceData_MCFTemperatureZone_Data(),Table_SourceData_Common_MCFTemperatureZone[[#Headers],[Temperature zone]],0)</f>
        <v>0.7</v>
      </c>
      <c r="G234" s="24" cm="1">
        <f t="array" ref="G234">Common_InputFunctions.Utility_DisplayArrayInTable(Common_SourceData.Common_SourceData_MCFTemperatureZone_Data(),Table_SourceData_Common_MCFTemperatureZone[[#Headers],[Temperature zone]],0)</f>
        <v>0.1</v>
      </c>
      <c r="H234" s="24" cm="1">
        <f t="array" ref="H234">Common_InputFunctions.Utility_DisplayArrayInTable(Common_SourceData.Common_SourceData_MCFTemperatureZone_Data(),Table_SourceData_Common_MCFTemperatureZone[[#Headers],[Temperature zone]],0)</f>
        <v>0.13</v>
      </c>
      <c r="I234" s="24" cm="1">
        <f t="array" ref="I234">Common_InputFunctions.Utility_DisplayArrayInTable(Common_SourceData.Common_SourceData_MCFTemperatureZone_Data(),Table_SourceData_Common_MCFTemperatureZone[[#Headers],[Temperature zone]],0)</f>
        <v>1E-3</v>
      </c>
      <c r="J234" s="24" cm="1">
        <f t="array" ref="J234">Common_InputFunctions.Utility_DisplayArrayInTable(Common_SourceData.Common_SourceData_MCFTemperatureZone_Data(),Table_SourceData_Common_MCFTemperatureZone[[#Headers],[Temperature zone]],0)</f>
        <v>5.0000000000000001E-3</v>
      </c>
      <c r="K234" s="24" cm="1">
        <f t="array" ref="K234">Common_InputFunctions.Utility_DisplayArrayInTable(Common_SourceData.Common_SourceData_MCFTemperatureZone_Data(),Table_SourceData_Common_MCFTemperatureZone[[#Headers],[Temperature zone]],0)</f>
        <v>0.02</v>
      </c>
      <c r="L234" s="24" cm="1">
        <f t="array" ref="L234">Common_InputFunctions.Utility_DisplayArrayInTable(Common_SourceData.Common_SourceData_MCFTemperatureZone_Data(),Table_SourceData_Common_MCFTemperatureZone[[#Headers],[Temperature zone]],0)</f>
        <v>0.03</v>
      </c>
      <c r="M234" s="24" cm="1">
        <f t="array" ref="M234">Common_InputFunctions.Utility_DisplayArrayInTable(Common_SourceData.Common_SourceData_MCFTemperatureZone_Data(),Table_SourceData_Common_MCFTemperatureZone[[#Headers],[Temperature zone]],0)</f>
        <v>0.04</v>
      </c>
      <c r="N234" s="24" cm="1">
        <f t="array" ref="N234">Common_InputFunctions.Utility_DisplayArrayInTable(Common_SourceData.Common_SourceData_MCFTemperatureZone_Data(),Table_SourceData_Common_MCFTemperatureZone[[#Headers],[Temperature zone]],0)</f>
        <v>1.4999999999999999E-2</v>
      </c>
      <c r="O234" s="24" cm="1">
        <f t="array" ref="O234">Common_InputFunctions.Utility_DisplayArrayInTable(Common_SourceData.Common_SourceData_MCFTemperatureZone_Data(),Table_SourceData_Common_MCFTemperatureZone[[#Headers],[Temperature zone]],0)</f>
        <v>1.4999999999999999E-2</v>
      </c>
      <c r="P234" s="24" cm="1">
        <f t="array" ref="P234">Common_InputFunctions.Utility_DisplayArrayInTable(Common_SourceData.Common_SourceData_MCFTemperatureZone_Data(),Table_SourceData_Common_MCFTemperatureZone[[#Headers],[Temperature zone]],0)</f>
        <v>0</v>
      </c>
      <c r="Q234" s="24" cm="1">
        <f t="array" ref="Q234">Common_InputFunctions.Utility_DisplayArrayInTable(Common_SourceData.Common_SourceData_MCFTemperatureZone_Data(),Table_SourceData_Common_MCFTemperatureZone[[#Headers],[Temperature zone]],0)</f>
        <v>0</v>
      </c>
      <c r="R234" s="24" cm="1">
        <f t="array" ref="R234">Common_InputFunctions.Utility_DisplayArrayInTable(Common_SourceData.Common_SourceData_MCFTemperatureZone_Data(),Table_SourceData_Common_MCFTemperatureZone[[#Headers],[Temperature zone]],0)</f>
        <v>4.7000000000000002E-3</v>
      </c>
      <c r="S234" s="24"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24" cm="1">
        <f t="array" ref="E235">Common_InputFunctions.Utility_DisplayArrayInTable(Common_SourceData.Common_SourceData_MCFTemperatureZone_Data(),Table_SourceData_Common_MCFTemperatureZone[[#Headers],[Temperature zone]],0)</f>
        <v>13</v>
      </c>
      <c r="F235" s="24" cm="1">
        <f t="array" ref="F235">Common_InputFunctions.Utility_DisplayArrayInTable(Common_SourceData.Common_SourceData_MCFTemperatureZone_Data(),Table_SourceData_Common_MCFTemperatureZone[[#Headers],[Temperature zone]],0)</f>
        <v>0.71</v>
      </c>
      <c r="G235" s="24" cm="1">
        <f t="array" ref="G235">Common_InputFunctions.Utility_DisplayArrayInTable(Common_SourceData.Common_SourceData_MCFTemperatureZone_Data(),Table_SourceData_Common_MCFTemperatureZone[[#Headers],[Temperature zone]],0)</f>
        <v>0.1</v>
      </c>
      <c r="H235" s="24" cm="1">
        <f t="array" ref="H235">Common_InputFunctions.Utility_DisplayArrayInTable(Common_SourceData.Common_SourceData_MCFTemperatureZone_Data(),Table_SourceData_Common_MCFTemperatureZone[[#Headers],[Temperature zone]],0)</f>
        <v>0.14000000000000001</v>
      </c>
      <c r="I235" s="24" cm="1">
        <f t="array" ref="I235">Common_InputFunctions.Utility_DisplayArrayInTable(Common_SourceData.Common_SourceData_MCFTemperatureZone_Data(),Table_SourceData_Common_MCFTemperatureZone[[#Headers],[Temperature zone]],0)</f>
        <v>1E-3</v>
      </c>
      <c r="J235" s="24" cm="1">
        <f t="array" ref="J235">Common_InputFunctions.Utility_DisplayArrayInTable(Common_SourceData.Common_SourceData_MCFTemperatureZone_Data(),Table_SourceData_Common_MCFTemperatureZone[[#Headers],[Temperature zone]],0)</f>
        <v>5.0000000000000001E-3</v>
      </c>
      <c r="K235" s="24" cm="1">
        <f t="array" ref="K235">Common_InputFunctions.Utility_DisplayArrayInTable(Common_SourceData.Common_SourceData_MCFTemperatureZone_Data(),Table_SourceData_Common_MCFTemperatureZone[[#Headers],[Temperature zone]],0)</f>
        <v>0.02</v>
      </c>
      <c r="L235" s="24" cm="1">
        <f t="array" ref="L235">Common_InputFunctions.Utility_DisplayArrayInTable(Common_SourceData.Common_SourceData_MCFTemperatureZone_Data(),Table_SourceData_Common_MCFTemperatureZone[[#Headers],[Temperature zone]],0)</f>
        <v>0.03</v>
      </c>
      <c r="M235" s="24" cm="1">
        <f t="array" ref="M235">Common_InputFunctions.Utility_DisplayArrayInTable(Common_SourceData.Common_SourceData_MCFTemperatureZone_Data(),Table_SourceData_Common_MCFTemperatureZone[[#Headers],[Temperature zone]],0)</f>
        <v>0.04</v>
      </c>
      <c r="N235" s="24" cm="1">
        <f t="array" ref="N235">Common_InputFunctions.Utility_DisplayArrayInTable(Common_SourceData.Common_SourceData_MCFTemperatureZone_Data(),Table_SourceData_Common_MCFTemperatureZone[[#Headers],[Temperature zone]],0)</f>
        <v>1.4999999999999999E-2</v>
      </c>
      <c r="O235" s="24" cm="1">
        <f t="array" ref="O235">Common_InputFunctions.Utility_DisplayArrayInTable(Common_SourceData.Common_SourceData_MCFTemperatureZone_Data(),Table_SourceData_Common_MCFTemperatureZone[[#Headers],[Temperature zone]],0)</f>
        <v>1.4999999999999999E-2</v>
      </c>
      <c r="P235" s="24" cm="1">
        <f t="array" ref="P235">Common_InputFunctions.Utility_DisplayArrayInTable(Common_SourceData.Common_SourceData_MCFTemperatureZone_Data(),Table_SourceData_Common_MCFTemperatureZone[[#Headers],[Temperature zone]],0)</f>
        <v>0</v>
      </c>
      <c r="Q235" s="24" cm="1">
        <f t="array" ref="Q235">Common_InputFunctions.Utility_DisplayArrayInTable(Common_SourceData.Common_SourceData_MCFTemperatureZone_Data(),Table_SourceData_Common_MCFTemperatureZone[[#Headers],[Temperature zone]],0)</f>
        <v>0</v>
      </c>
      <c r="R235" s="24" cm="1">
        <f t="array" ref="R235">Common_InputFunctions.Utility_DisplayArrayInTable(Common_SourceData.Common_SourceData_MCFTemperatureZone_Data(),Table_SourceData_Common_MCFTemperatureZone[[#Headers],[Temperature zone]],0)</f>
        <v>4.7000000000000002E-3</v>
      </c>
      <c r="S235" s="24"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24" cm="1">
        <f t="array" ref="E236">Common_InputFunctions.Utility_DisplayArrayInTable(Common_SourceData.Common_SourceData_MCFTemperatureZone_Data(),Table_SourceData_Common_MCFTemperatureZone[[#Headers],[Temperature zone]],0)</f>
        <v>14</v>
      </c>
      <c r="F236" s="24" cm="1">
        <f t="array" ref="F236">Common_InputFunctions.Utility_DisplayArrayInTable(Common_SourceData.Common_SourceData_MCFTemperatureZone_Data(),Table_SourceData_Common_MCFTemperatureZone[[#Headers],[Temperature zone]],0)</f>
        <v>0.73</v>
      </c>
      <c r="G236" s="24" cm="1">
        <f t="array" ref="G236">Common_InputFunctions.Utility_DisplayArrayInTable(Common_SourceData.Common_SourceData_MCFTemperatureZone_Data(),Table_SourceData_Common_MCFTemperatureZone[[#Headers],[Temperature zone]],0)</f>
        <v>0.1</v>
      </c>
      <c r="H236" s="24" cm="1">
        <f t="array" ref="H236">Common_InputFunctions.Utility_DisplayArrayInTable(Common_SourceData.Common_SourceData_MCFTemperatureZone_Data(),Table_SourceData_Common_MCFTemperatureZone[[#Headers],[Temperature zone]],0)</f>
        <v>0.15</v>
      </c>
      <c r="I236" s="24" cm="1">
        <f t="array" ref="I236">Common_InputFunctions.Utility_DisplayArrayInTable(Common_SourceData.Common_SourceData_MCFTemperatureZone_Data(),Table_SourceData_Common_MCFTemperatureZone[[#Headers],[Temperature zone]],0)</f>
        <v>1E-3</v>
      </c>
      <c r="J236" s="24" cm="1">
        <f t="array" ref="J236">Common_InputFunctions.Utility_DisplayArrayInTable(Common_SourceData.Common_SourceData_MCFTemperatureZone_Data(),Table_SourceData_Common_MCFTemperatureZone[[#Headers],[Temperature zone]],0)</f>
        <v>5.0000000000000001E-3</v>
      </c>
      <c r="K236" s="24" cm="1">
        <f t="array" ref="K236">Common_InputFunctions.Utility_DisplayArrayInTable(Common_SourceData.Common_SourceData_MCFTemperatureZone_Data(),Table_SourceData_Common_MCFTemperatureZone[[#Headers],[Temperature zone]],0)</f>
        <v>0.02</v>
      </c>
      <c r="L236" s="24" cm="1">
        <f t="array" ref="L236">Common_InputFunctions.Utility_DisplayArrayInTable(Common_SourceData.Common_SourceData_MCFTemperatureZone_Data(),Table_SourceData_Common_MCFTemperatureZone[[#Headers],[Temperature zone]],0)</f>
        <v>0.03</v>
      </c>
      <c r="M236" s="24" cm="1">
        <f t="array" ref="M236">Common_InputFunctions.Utility_DisplayArrayInTable(Common_SourceData.Common_SourceData_MCFTemperatureZone_Data(),Table_SourceData_Common_MCFTemperatureZone[[#Headers],[Temperature zone]],0)</f>
        <v>0.04</v>
      </c>
      <c r="N236" s="24" cm="1">
        <f t="array" ref="N236">Common_InputFunctions.Utility_DisplayArrayInTable(Common_SourceData.Common_SourceData_MCFTemperatureZone_Data(),Table_SourceData_Common_MCFTemperatureZone[[#Headers],[Temperature zone]],0)</f>
        <v>1.4999999999999999E-2</v>
      </c>
      <c r="O236" s="24" cm="1">
        <f t="array" ref="O236">Common_InputFunctions.Utility_DisplayArrayInTable(Common_SourceData.Common_SourceData_MCFTemperatureZone_Data(),Table_SourceData_Common_MCFTemperatureZone[[#Headers],[Temperature zone]],0)</f>
        <v>1.4999999999999999E-2</v>
      </c>
      <c r="P236" s="24" cm="1">
        <f t="array" ref="P236">Common_InputFunctions.Utility_DisplayArrayInTable(Common_SourceData.Common_SourceData_MCFTemperatureZone_Data(),Table_SourceData_Common_MCFTemperatureZone[[#Headers],[Temperature zone]],0)</f>
        <v>0</v>
      </c>
      <c r="Q236" s="24" cm="1">
        <f t="array" ref="Q236">Common_InputFunctions.Utility_DisplayArrayInTable(Common_SourceData.Common_SourceData_MCFTemperatureZone_Data(),Table_SourceData_Common_MCFTemperatureZone[[#Headers],[Temperature zone]],0)</f>
        <v>0</v>
      </c>
      <c r="R236" s="24" cm="1">
        <f t="array" ref="R236">Common_InputFunctions.Utility_DisplayArrayInTable(Common_SourceData.Common_SourceData_MCFTemperatureZone_Data(),Table_SourceData_Common_MCFTemperatureZone[[#Headers],[Temperature zone]],0)</f>
        <v>4.7000000000000002E-3</v>
      </c>
      <c r="S236" s="24"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24" cm="1">
        <f t="array" ref="E237">Common_InputFunctions.Utility_DisplayArrayInTable(Common_SourceData.Common_SourceData_MCFTemperatureZone_Data(),Table_SourceData_Common_MCFTemperatureZone[[#Headers],[Temperature zone]],0)</f>
        <v>15</v>
      </c>
      <c r="F237" s="24" cm="1">
        <f t="array" ref="F237">Common_InputFunctions.Utility_DisplayArrayInTable(Common_SourceData.Common_SourceData_MCFTemperatureZone_Data(),Table_SourceData_Common_MCFTemperatureZone[[#Headers],[Temperature zone]],0)</f>
        <v>0.74</v>
      </c>
      <c r="G237" s="24" cm="1">
        <f t="array" ref="G237">Common_InputFunctions.Utility_DisplayArrayInTable(Common_SourceData.Common_SourceData_MCFTemperatureZone_Data(),Table_SourceData_Common_MCFTemperatureZone[[#Headers],[Temperature zone]],0)</f>
        <v>0.1</v>
      </c>
      <c r="H237" s="24" cm="1">
        <f t="array" ref="H237">Common_InputFunctions.Utility_DisplayArrayInTable(Common_SourceData.Common_SourceData_MCFTemperatureZone_Data(),Table_SourceData_Common_MCFTemperatureZone[[#Headers],[Temperature zone]],0)</f>
        <v>0.17</v>
      </c>
      <c r="I237" s="24" cm="1">
        <f t="array" ref="I237">Common_InputFunctions.Utility_DisplayArrayInTable(Common_SourceData.Common_SourceData_MCFTemperatureZone_Data(),Table_SourceData_Common_MCFTemperatureZone[[#Headers],[Temperature zone]],0)</f>
        <v>5.0000000000000001E-3</v>
      </c>
      <c r="J237" s="24" cm="1">
        <f t="array" ref="J237">Common_InputFunctions.Utility_DisplayArrayInTable(Common_SourceData.Common_SourceData_MCFTemperatureZone_Data(),Table_SourceData_Common_MCFTemperatureZone[[#Headers],[Temperature zone]],0)</f>
        <v>0.01</v>
      </c>
      <c r="K237" s="24" cm="1">
        <f t="array" ref="K237">Common_InputFunctions.Utility_DisplayArrayInTable(Common_SourceData.Common_SourceData_MCFTemperatureZone_Data(),Table_SourceData_Common_MCFTemperatureZone[[#Headers],[Temperature zone]],0)</f>
        <v>0.02</v>
      </c>
      <c r="L237" s="24" cm="1">
        <f t="array" ref="L237">Common_InputFunctions.Utility_DisplayArrayInTable(Common_SourceData.Common_SourceData_MCFTemperatureZone_Data(),Table_SourceData_Common_MCFTemperatureZone[[#Headers],[Temperature zone]],0)</f>
        <v>0.03</v>
      </c>
      <c r="M237" s="24" cm="1">
        <f t="array" ref="M237">Common_InputFunctions.Utility_DisplayArrayInTable(Common_SourceData.Common_SourceData_MCFTemperatureZone_Data(),Table_SourceData_Common_MCFTemperatureZone[[#Headers],[Temperature zone]],0)</f>
        <v>0.04</v>
      </c>
      <c r="N237" s="24" cm="1">
        <f t="array" ref="N237">Common_InputFunctions.Utility_DisplayArrayInTable(Common_SourceData.Common_SourceData_MCFTemperatureZone_Data(),Table_SourceData_Common_MCFTemperatureZone[[#Headers],[Temperature zone]],0)</f>
        <v>1.4999999999999999E-2</v>
      </c>
      <c r="O237" s="24" cm="1">
        <f t="array" ref="O237">Common_InputFunctions.Utility_DisplayArrayInTable(Common_SourceData.Common_SourceData_MCFTemperatureZone_Data(),Table_SourceData_Common_MCFTemperatureZone[[#Headers],[Temperature zone]],0)</f>
        <v>1.4999999999999999E-2</v>
      </c>
      <c r="P237" s="24" cm="1">
        <f t="array" ref="P237">Common_InputFunctions.Utility_DisplayArrayInTable(Common_SourceData.Common_SourceData_MCFTemperatureZone_Data(),Table_SourceData_Common_MCFTemperatureZone[[#Headers],[Temperature zone]],0)</f>
        <v>0</v>
      </c>
      <c r="Q237" s="24" cm="1">
        <f t="array" ref="Q237">Common_InputFunctions.Utility_DisplayArrayInTable(Common_SourceData.Common_SourceData_MCFTemperatureZone_Data(),Table_SourceData_Common_MCFTemperatureZone[[#Headers],[Temperature zone]],0)</f>
        <v>0</v>
      </c>
      <c r="R237" s="24" cm="1">
        <f t="array" ref="R237">Common_InputFunctions.Utility_DisplayArrayInTable(Common_SourceData.Common_SourceData_MCFTemperatureZone_Data(),Table_SourceData_Common_MCFTemperatureZone[[#Headers],[Temperature zone]],0)</f>
        <v>4.7000000000000002E-3</v>
      </c>
      <c r="S237" s="24"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24" cm="1">
        <f t="array" ref="E238">Common_InputFunctions.Utility_DisplayArrayInTable(Common_SourceData.Common_SourceData_MCFTemperatureZone_Data(),Table_SourceData_Common_MCFTemperatureZone[[#Headers],[Temperature zone]],0)</f>
        <v>16</v>
      </c>
      <c r="F238" s="24" cm="1">
        <f t="array" ref="F238">Common_InputFunctions.Utility_DisplayArrayInTable(Common_SourceData.Common_SourceData_MCFTemperatureZone_Data(),Table_SourceData_Common_MCFTemperatureZone[[#Headers],[Temperature zone]],0)</f>
        <v>0.75</v>
      </c>
      <c r="G238" s="24" cm="1">
        <f t="array" ref="G238">Common_InputFunctions.Utility_DisplayArrayInTable(Common_SourceData.Common_SourceData_MCFTemperatureZone_Data(),Table_SourceData_Common_MCFTemperatureZone[[#Headers],[Temperature zone]],0)</f>
        <v>0.1</v>
      </c>
      <c r="H238" s="24" cm="1">
        <f t="array" ref="H238">Common_InputFunctions.Utility_DisplayArrayInTable(Common_SourceData.Common_SourceData_MCFTemperatureZone_Data(),Table_SourceData_Common_MCFTemperatureZone[[#Headers],[Temperature zone]],0)</f>
        <v>0.18</v>
      </c>
      <c r="I238" s="24" cm="1">
        <f t="array" ref="I238">Common_InputFunctions.Utility_DisplayArrayInTable(Common_SourceData.Common_SourceData_MCFTemperatureZone_Data(),Table_SourceData_Common_MCFTemperatureZone[[#Headers],[Temperature zone]],0)</f>
        <v>5.0000000000000001E-3</v>
      </c>
      <c r="J238" s="24" cm="1">
        <f t="array" ref="J238">Common_InputFunctions.Utility_DisplayArrayInTable(Common_SourceData.Common_SourceData_MCFTemperatureZone_Data(),Table_SourceData_Common_MCFTemperatureZone[[#Headers],[Temperature zone]],0)</f>
        <v>0.01</v>
      </c>
      <c r="K238" s="24" cm="1">
        <f t="array" ref="K238">Common_InputFunctions.Utility_DisplayArrayInTable(Common_SourceData.Common_SourceData_MCFTemperatureZone_Data(),Table_SourceData_Common_MCFTemperatureZone[[#Headers],[Temperature zone]],0)</f>
        <v>0.02</v>
      </c>
      <c r="L238" s="24" cm="1">
        <f t="array" ref="L238">Common_InputFunctions.Utility_DisplayArrayInTable(Common_SourceData.Common_SourceData_MCFTemperatureZone_Data(),Table_SourceData_Common_MCFTemperatureZone[[#Headers],[Temperature zone]],0)</f>
        <v>0.03</v>
      </c>
      <c r="M238" s="24" cm="1">
        <f t="array" ref="M238">Common_InputFunctions.Utility_DisplayArrayInTable(Common_SourceData.Common_SourceData_MCFTemperatureZone_Data(),Table_SourceData_Common_MCFTemperatureZone[[#Headers],[Temperature zone]],0)</f>
        <v>0.04</v>
      </c>
      <c r="N238" s="24" cm="1">
        <f t="array" ref="N238">Common_InputFunctions.Utility_DisplayArrayInTable(Common_SourceData.Common_SourceData_MCFTemperatureZone_Data(),Table_SourceData_Common_MCFTemperatureZone[[#Headers],[Temperature zone]],0)</f>
        <v>1.4999999999999999E-2</v>
      </c>
      <c r="O238" s="24" cm="1">
        <f t="array" ref="O238">Common_InputFunctions.Utility_DisplayArrayInTable(Common_SourceData.Common_SourceData_MCFTemperatureZone_Data(),Table_SourceData_Common_MCFTemperatureZone[[#Headers],[Temperature zone]],0)</f>
        <v>1.4999999999999999E-2</v>
      </c>
      <c r="P238" s="24" cm="1">
        <f t="array" ref="P238">Common_InputFunctions.Utility_DisplayArrayInTable(Common_SourceData.Common_SourceData_MCFTemperatureZone_Data(),Table_SourceData_Common_MCFTemperatureZone[[#Headers],[Temperature zone]],0)</f>
        <v>0</v>
      </c>
      <c r="Q238" s="24" cm="1">
        <f t="array" ref="Q238">Common_InputFunctions.Utility_DisplayArrayInTable(Common_SourceData.Common_SourceData_MCFTemperatureZone_Data(),Table_SourceData_Common_MCFTemperatureZone[[#Headers],[Temperature zone]],0)</f>
        <v>0</v>
      </c>
      <c r="R238" s="24" cm="1">
        <f t="array" ref="R238">Common_InputFunctions.Utility_DisplayArrayInTable(Common_SourceData.Common_SourceData_MCFTemperatureZone_Data(),Table_SourceData_Common_MCFTemperatureZone[[#Headers],[Temperature zone]],0)</f>
        <v>4.7000000000000002E-3</v>
      </c>
      <c r="S238" s="24"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24" cm="1">
        <f t="array" ref="E239">Common_InputFunctions.Utility_DisplayArrayInTable(Common_SourceData.Common_SourceData_MCFTemperatureZone_Data(),Table_SourceData_Common_MCFTemperatureZone[[#Headers],[Temperature zone]],0)</f>
        <v>17</v>
      </c>
      <c r="F239" s="24" cm="1">
        <f t="array" ref="F239">Common_InputFunctions.Utility_DisplayArrayInTable(Common_SourceData.Common_SourceData_MCFTemperatureZone_Data(),Table_SourceData_Common_MCFTemperatureZone[[#Headers],[Temperature zone]],0)</f>
        <v>0.76</v>
      </c>
      <c r="G239" s="24" cm="1">
        <f t="array" ref="G239">Common_InputFunctions.Utility_DisplayArrayInTable(Common_SourceData.Common_SourceData_MCFTemperatureZone_Data(),Table_SourceData_Common_MCFTemperatureZone[[#Headers],[Temperature zone]],0)</f>
        <v>0.1</v>
      </c>
      <c r="H239" s="24" cm="1">
        <f t="array" ref="H239">Common_InputFunctions.Utility_DisplayArrayInTable(Common_SourceData.Common_SourceData_MCFTemperatureZone_Data(),Table_SourceData_Common_MCFTemperatureZone[[#Headers],[Temperature zone]],0)</f>
        <v>0.2</v>
      </c>
      <c r="I239" s="24" cm="1">
        <f t="array" ref="I239">Common_InputFunctions.Utility_DisplayArrayInTable(Common_SourceData.Common_SourceData_MCFTemperatureZone_Data(),Table_SourceData_Common_MCFTemperatureZone[[#Headers],[Temperature zone]],0)</f>
        <v>5.0000000000000001E-3</v>
      </c>
      <c r="J239" s="24" cm="1">
        <f t="array" ref="J239">Common_InputFunctions.Utility_DisplayArrayInTable(Common_SourceData.Common_SourceData_MCFTemperatureZone_Data(),Table_SourceData_Common_MCFTemperatureZone[[#Headers],[Temperature zone]],0)</f>
        <v>0.01</v>
      </c>
      <c r="K239" s="24" cm="1">
        <f t="array" ref="K239">Common_InputFunctions.Utility_DisplayArrayInTable(Common_SourceData.Common_SourceData_MCFTemperatureZone_Data(),Table_SourceData_Common_MCFTemperatureZone[[#Headers],[Temperature zone]],0)</f>
        <v>0.02</v>
      </c>
      <c r="L239" s="24" cm="1">
        <f t="array" ref="L239">Common_InputFunctions.Utility_DisplayArrayInTable(Common_SourceData.Common_SourceData_MCFTemperatureZone_Data(),Table_SourceData_Common_MCFTemperatureZone[[#Headers],[Temperature zone]],0)</f>
        <v>0.03</v>
      </c>
      <c r="M239" s="24" cm="1">
        <f t="array" ref="M239">Common_InputFunctions.Utility_DisplayArrayInTable(Common_SourceData.Common_SourceData_MCFTemperatureZone_Data(),Table_SourceData_Common_MCFTemperatureZone[[#Headers],[Temperature zone]],0)</f>
        <v>0.04</v>
      </c>
      <c r="N239" s="24" cm="1">
        <f t="array" ref="N239">Common_InputFunctions.Utility_DisplayArrayInTable(Common_SourceData.Common_SourceData_MCFTemperatureZone_Data(),Table_SourceData_Common_MCFTemperatureZone[[#Headers],[Temperature zone]],0)</f>
        <v>1.4999999999999999E-2</v>
      </c>
      <c r="O239" s="24" cm="1">
        <f t="array" ref="O239">Common_InputFunctions.Utility_DisplayArrayInTable(Common_SourceData.Common_SourceData_MCFTemperatureZone_Data(),Table_SourceData_Common_MCFTemperatureZone[[#Headers],[Temperature zone]],0)</f>
        <v>1.4999999999999999E-2</v>
      </c>
      <c r="P239" s="24" cm="1">
        <f t="array" ref="P239">Common_InputFunctions.Utility_DisplayArrayInTable(Common_SourceData.Common_SourceData_MCFTemperatureZone_Data(),Table_SourceData_Common_MCFTemperatureZone[[#Headers],[Temperature zone]],0)</f>
        <v>0</v>
      </c>
      <c r="Q239" s="24" cm="1">
        <f t="array" ref="Q239">Common_InputFunctions.Utility_DisplayArrayInTable(Common_SourceData.Common_SourceData_MCFTemperatureZone_Data(),Table_SourceData_Common_MCFTemperatureZone[[#Headers],[Temperature zone]],0)</f>
        <v>0</v>
      </c>
      <c r="R239" s="24" cm="1">
        <f t="array" ref="R239">Common_InputFunctions.Utility_DisplayArrayInTable(Common_SourceData.Common_SourceData_MCFTemperatureZone_Data(),Table_SourceData_Common_MCFTemperatureZone[[#Headers],[Temperature zone]],0)</f>
        <v>4.7000000000000002E-3</v>
      </c>
      <c r="S239" s="24"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24" cm="1">
        <f t="array" ref="E240">Common_InputFunctions.Utility_DisplayArrayInTable(Common_SourceData.Common_SourceData_MCFTemperatureZone_Data(),Table_SourceData_Common_MCFTemperatureZone[[#Headers],[Temperature zone]],0)</f>
        <v>18</v>
      </c>
      <c r="F240" s="24" cm="1">
        <f t="array" ref="F240">Common_InputFunctions.Utility_DisplayArrayInTable(Common_SourceData.Common_SourceData_MCFTemperatureZone_Data(),Table_SourceData_Common_MCFTemperatureZone[[#Headers],[Temperature zone]],0)</f>
        <v>0.77</v>
      </c>
      <c r="G240" s="24" cm="1">
        <f t="array" ref="G240">Common_InputFunctions.Utility_DisplayArrayInTable(Common_SourceData.Common_SourceData_MCFTemperatureZone_Data(),Table_SourceData_Common_MCFTemperatureZone[[#Headers],[Temperature zone]],0)</f>
        <v>0.1</v>
      </c>
      <c r="H240" s="24" cm="1">
        <f t="array" ref="H240">Common_InputFunctions.Utility_DisplayArrayInTable(Common_SourceData.Common_SourceData_MCFTemperatureZone_Data(),Table_SourceData_Common_MCFTemperatureZone[[#Headers],[Temperature zone]],0)</f>
        <v>0.22</v>
      </c>
      <c r="I240" s="24" cm="1">
        <f t="array" ref="I240">Common_InputFunctions.Utility_DisplayArrayInTable(Common_SourceData.Common_SourceData_MCFTemperatureZone_Data(),Table_SourceData_Common_MCFTemperatureZone[[#Headers],[Temperature zone]],0)</f>
        <v>5.0000000000000001E-3</v>
      </c>
      <c r="J240" s="24" cm="1">
        <f t="array" ref="J240">Common_InputFunctions.Utility_DisplayArrayInTable(Common_SourceData.Common_SourceData_MCFTemperatureZone_Data(),Table_SourceData_Common_MCFTemperatureZone[[#Headers],[Temperature zone]],0)</f>
        <v>0.01</v>
      </c>
      <c r="K240" s="24" cm="1">
        <f t="array" ref="K240">Common_InputFunctions.Utility_DisplayArrayInTable(Common_SourceData.Common_SourceData_MCFTemperatureZone_Data(),Table_SourceData_Common_MCFTemperatureZone[[#Headers],[Temperature zone]],0)</f>
        <v>0.02</v>
      </c>
      <c r="L240" s="24" cm="1">
        <f t="array" ref="L240">Common_InputFunctions.Utility_DisplayArrayInTable(Common_SourceData.Common_SourceData_MCFTemperatureZone_Data(),Table_SourceData_Common_MCFTemperatureZone[[#Headers],[Temperature zone]],0)</f>
        <v>0.03</v>
      </c>
      <c r="M240" s="24" cm="1">
        <f t="array" ref="M240">Common_InputFunctions.Utility_DisplayArrayInTable(Common_SourceData.Common_SourceData_MCFTemperatureZone_Data(),Table_SourceData_Common_MCFTemperatureZone[[#Headers],[Temperature zone]],0)</f>
        <v>0.04</v>
      </c>
      <c r="N240" s="24" cm="1">
        <f t="array" ref="N240">Common_InputFunctions.Utility_DisplayArrayInTable(Common_SourceData.Common_SourceData_MCFTemperatureZone_Data(),Table_SourceData_Common_MCFTemperatureZone[[#Headers],[Temperature zone]],0)</f>
        <v>1.4999999999999999E-2</v>
      </c>
      <c r="O240" s="24" cm="1">
        <f t="array" ref="O240">Common_InputFunctions.Utility_DisplayArrayInTable(Common_SourceData.Common_SourceData_MCFTemperatureZone_Data(),Table_SourceData_Common_MCFTemperatureZone[[#Headers],[Temperature zone]],0)</f>
        <v>1.4999999999999999E-2</v>
      </c>
      <c r="P240" s="24" cm="1">
        <f t="array" ref="P240">Common_InputFunctions.Utility_DisplayArrayInTable(Common_SourceData.Common_SourceData_MCFTemperatureZone_Data(),Table_SourceData_Common_MCFTemperatureZone[[#Headers],[Temperature zone]],0)</f>
        <v>0</v>
      </c>
      <c r="Q240" s="24" cm="1">
        <f t="array" ref="Q240">Common_InputFunctions.Utility_DisplayArrayInTable(Common_SourceData.Common_SourceData_MCFTemperatureZone_Data(),Table_SourceData_Common_MCFTemperatureZone[[#Headers],[Temperature zone]],0)</f>
        <v>0</v>
      </c>
      <c r="R240" s="24" cm="1">
        <f t="array" ref="R240">Common_InputFunctions.Utility_DisplayArrayInTable(Common_SourceData.Common_SourceData_MCFTemperatureZone_Data(),Table_SourceData_Common_MCFTemperatureZone[[#Headers],[Temperature zone]],0)</f>
        <v>4.7000000000000002E-3</v>
      </c>
      <c r="S240" s="24"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24" cm="1">
        <f t="array" ref="E241">Common_InputFunctions.Utility_DisplayArrayInTable(Common_SourceData.Common_SourceData_MCFTemperatureZone_Data(),Table_SourceData_Common_MCFTemperatureZone[[#Headers],[Temperature zone]],0)</f>
        <v>19</v>
      </c>
      <c r="F241" s="24" cm="1">
        <f t="array" ref="F241">Common_InputFunctions.Utility_DisplayArrayInTable(Common_SourceData.Common_SourceData_MCFTemperatureZone_Data(),Table_SourceData_Common_MCFTemperatureZone[[#Headers],[Temperature zone]],0)</f>
        <v>0.77</v>
      </c>
      <c r="G241" s="24" cm="1">
        <f t="array" ref="G241">Common_InputFunctions.Utility_DisplayArrayInTable(Common_SourceData.Common_SourceData_MCFTemperatureZone_Data(),Table_SourceData_Common_MCFTemperatureZone[[#Headers],[Temperature zone]],0)</f>
        <v>0.1</v>
      </c>
      <c r="H241" s="24" cm="1">
        <f t="array" ref="H241">Common_InputFunctions.Utility_DisplayArrayInTable(Common_SourceData.Common_SourceData_MCFTemperatureZone_Data(),Table_SourceData_Common_MCFTemperatureZone[[#Headers],[Temperature zone]],0)</f>
        <v>0.24</v>
      </c>
      <c r="I241" s="24" cm="1">
        <f t="array" ref="I241">Common_InputFunctions.Utility_DisplayArrayInTable(Common_SourceData.Common_SourceData_MCFTemperatureZone_Data(),Table_SourceData_Common_MCFTemperatureZone[[#Headers],[Temperature zone]],0)</f>
        <v>5.0000000000000001E-3</v>
      </c>
      <c r="J241" s="24" cm="1">
        <f t="array" ref="J241">Common_InputFunctions.Utility_DisplayArrayInTable(Common_SourceData.Common_SourceData_MCFTemperatureZone_Data(),Table_SourceData_Common_MCFTemperatureZone[[#Headers],[Temperature zone]],0)</f>
        <v>0.01</v>
      </c>
      <c r="K241" s="24" cm="1">
        <f t="array" ref="K241">Common_InputFunctions.Utility_DisplayArrayInTable(Common_SourceData.Common_SourceData_MCFTemperatureZone_Data(),Table_SourceData_Common_MCFTemperatureZone[[#Headers],[Temperature zone]],0)</f>
        <v>0.02</v>
      </c>
      <c r="L241" s="24" cm="1">
        <f t="array" ref="L241">Common_InputFunctions.Utility_DisplayArrayInTable(Common_SourceData.Common_SourceData_MCFTemperatureZone_Data(),Table_SourceData_Common_MCFTemperatureZone[[#Headers],[Temperature zone]],0)</f>
        <v>0.03</v>
      </c>
      <c r="M241" s="24" cm="1">
        <f t="array" ref="M241">Common_InputFunctions.Utility_DisplayArrayInTable(Common_SourceData.Common_SourceData_MCFTemperatureZone_Data(),Table_SourceData_Common_MCFTemperatureZone[[#Headers],[Temperature zone]],0)</f>
        <v>0.04</v>
      </c>
      <c r="N241" s="24" cm="1">
        <f t="array" ref="N241">Common_InputFunctions.Utility_DisplayArrayInTable(Common_SourceData.Common_SourceData_MCFTemperatureZone_Data(),Table_SourceData_Common_MCFTemperatureZone[[#Headers],[Temperature zone]],0)</f>
        <v>1.4999999999999999E-2</v>
      </c>
      <c r="O241" s="24" cm="1">
        <f t="array" ref="O241">Common_InputFunctions.Utility_DisplayArrayInTable(Common_SourceData.Common_SourceData_MCFTemperatureZone_Data(),Table_SourceData_Common_MCFTemperatureZone[[#Headers],[Temperature zone]],0)</f>
        <v>1.4999999999999999E-2</v>
      </c>
      <c r="P241" s="24" cm="1">
        <f t="array" ref="P241">Common_InputFunctions.Utility_DisplayArrayInTable(Common_SourceData.Common_SourceData_MCFTemperatureZone_Data(),Table_SourceData_Common_MCFTemperatureZone[[#Headers],[Temperature zone]],0)</f>
        <v>0</v>
      </c>
      <c r="Q241" s="24" cm="1">
        <f t="array" ref="Q241">Common_InputFunctions.Utility_DisplayArrayInTable(Common_SourceData.Common_SourceData_MCFTemperatureZone_Data(),Table_SourceData_Common_MCFTemperatureZone[[#Headers],[Temperature zone]],0)</f>
        <v>0</v>
      </c>
      <c r="R241" s="24" cm="1">
        <f t="array" ref="R241">Common_InputFunctions.Utility_DisplayArrayInTable(Common_SourceData.Common_SourceData_MCFTemperatureZone_Data(),Table_SourceData_Common_MCFTemperatureZone[[#Headers],[Temperature zone]],0)</f>
        <v>4.7000000000000002E-3</v>
      </c>
      <c r="S241" s="24"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24" cm="1">
        <f t="array" ref="E242">Common_InputFunctions.Utility_DisplayArrayInTable(Common_SourceData.Common_SourceData_MCFTemperatureZone_Data(),Table_SourceData_Common_MCFTemperatureZone[[#Headers],[Temperature zone]],0)</f>
        <v>20</v>
      </c>
      <c r="F242" s="24" cm="1">
        <f t="array" ref="F242">Common_InputFunctions.Utility_DisplayArrayInTable(Common_SourceData.Common_SourceData_MCFTemperatureZone_Data(),Table_SourceData_Common_MCFTemperatureZone[[#Headers],[Temperature zone]],0)</f>
        <v>0.78</v>
      </c>
      <c r="G242" s="24" cm="1">
        <f t="array" ref="G242">Common_InputFunctions.Utility_DisplayArrayInTable(Common_SourceData.Common_SourceData_MCFTemperatureZone_Data(),Table_SourceData_Common_MCFTemperatureZone[[#Headers],[Temperature zone]],0)</f>
        <v>0.1</v>
      </c>
      <c r="H242" s="24" cm="1">
        <f t="array" ref="H242">Common_InputFunctions.Utility_DisplayArrayInTable(Common_SourceData.Common_SourceData_MCFTemperatureZone_Data(),Table_SourceData_Common_MCFTemperatureZone[[#Headers],[Temperature zone]],0)</f>
        <v>0.26</v>
      </c>
      <c r="I242" s="24" cm="1">
        <f t="array" ref="I242">Common_InputFunctions.Utility_DisplayArrayInTable(Common_SourceData.Common_SourceData_MCFTemperatureZone_Data(),Table_SourceData_Common_MCFTemperatureZone[[#Headers],[Temperature zone]],0)</f>
        <v>5.0000000000000001E-3</v>
      </c>
      <c r="J242" s="24" cm="1">
        <f t="array" ref="J242">Common_InputFunctions.Utility_DisplayArrayInTable(Common_SourceData.Common_SourceData_MCFTemperatureZone_Data(),Table_SourceData_Common_MCFTemperatureZone[[#Headers],[Temperature zone]],0)</f>
        <v>0.01</v>
      </c>
      <c r="K242" s="24" cm="1">
        <f t="array" ref="K242">Common_InputFunctions.Utility_DisplayArrayInTable(Common_SourceData.Common_SourceData_MCFTemperatureZone_Data(),Table_SourceData_Common_MCFTemperatureZone[[#Headers],[Temperature zone]],0)</f>
        <v>0.02</v>
      </c>
      <c r="L242" s="24" cm="1">
        <f t="array" ref="L242">Common_InputFunctions.Utility_DisplayArrayInTable(Common_SourceData.Common_SourceData_MCFTemperatureZone_Data(),Table_SourceData_Common_MCFTemperatureZone[[#Headers],[Temperature zone]],0)</f>
        <v>0.03</v>
      </c>
      <c r="M242" s="24" cm="1">
        <f t="array" ref="M242">Common_InputFunctions.Utility_DisplayArrayInTable(Common_SourceData.Common_SourceData_MCFTemperatureZone_Data(),Table_SourceData_Common_MCFTemperatureZone[[#Headers],[Temperature zone]],0)</f>
        <v>0.04</v>
      </c>
      <c r="N242" s="24" cm="1">
        <f t="array" ref="N242">Common_InputFunctions.Utility_DisplayArrayInTable(Common_SourceData.Common_SourceData_MCFTemperatureZone_Data(),Table_SourceData_Common_MCFTemperatureZone[[#Headers],[Temperature zone]],0)</f>
        <v>1.4999999999999999E-2</v>
      </c>
      <c r="O242" s="24" cm="1">
        <f t="array" ref="O242">Common_InputFunctions.Utility_DisplayArrayInTable(Common_SourceData.Common_SourceData_MCFTemperatureZone_Data(),Table_SourceData_Common_MCFTemperatureZone[[#Headers],[Temperature zone]],0)</f>
        <v>1.4999999999999999E-2</v>
      </c>
      <c r="P242" s="24" cm="1">
        <f t="array" ref="P242">Common_InputFunctions.Utility_DisplayArrayInTable(Common_SourceData.Common_SourceData_MCFTemperatureZone_Data(),Table_SourceData_Common_MCFTemperatureZone[[#Headers],[Temperature zone]],0)</f>
        <v>0</v>
      </c>
      <c r="Q242" s="24" cm="1">
        <f t="array" ref="Q242">Common_InputFunctions.Utility_DisplayArrayInTable(Common_SourceData.Common_SourceData_MCFTemperatureZone_Data(),Table_SourceData_Common_MCFTemperatureZone[[#Headers],[Temperature zone]],0)</f>
        <v>0</v>
      </c>
      <c r="R242" s="24" cm="1">
        <f t="array" ref="R242">Common_InputFunctions.Utility_DisplayArrayInTable(Common_SourceData.Common_SourceData_MCFTemperatureZone_Data(),Table_SourceData_Common_MCFTemperatureZone[[#Headers],[Temperature zone]],0)</f>
        <v>4.7000000000000002E-3</v>
      </c>
      <c r="S242" s="24"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24" cm="1">
        <f t="array" ref="E243">Common_InputFunctions.Utility_DisplayArrayInTable(Common_SourceData.Common_SourceData_MCFTemperatureZone_Data(),Table_SourceData_Common_MCFTemperatureZone[[#Headers],[Temperature zone]],0)</f>
        <v>21</v>
      </c>
      <c r="F243" s="24" cm="1">
        <f t="array" ref="F243">Common_InputFunctions.Utility_DisplayArrayInTable(Common_SourceData.Common_SourceData_MCFTemperatureZone_Data(),Table_SourceData_Common_MCFTemperatureZone[[#Headers],[Temperature zone]],0)</f>
        <v>0.78</v>
      </c>
      <c r="G243" s="24" cm="1">
        <f t="array" ref="G243">Common_InputFunctions.Utility_DisplayArrayInTable(Common_SourceData.Common_SourceData_MCFTemperatureZone_Data(),Table_SourceData_Common_MCFTemperatureZone[[#Headers],[Temperature zone]],0)</f>
        <v>0.1</v>
      </c>
      <c r="H243" s="24" cm="1">
        <f t="array" ref="H243">Common_InputFunctions.Utility_DisplayArrayInTable(Common_SourceData.Common_SourceData_MCFTemperatureZone_Data(),Table_SourceData_Common_MCFTemperatureZone[[#Headers],[Temperature zone]],0)</f>
        <v>0.28999999999999998</v>
      </c>
      <c r="I243" s="24" cm="1">
        <f t="array" ref="I243">Common_InputFunctions.Utility_DisplayArrayInTable(Common_SourceData.Common_SourceData_MCFTemperatureZone_Data(),Table_SourceData_Common_MCFTemperatureZone[[#Headers],[Temperature zone]],0)</f>
        <v>5.0000000000000001E-3</v>
      </c>
      <c r="J243" s="24" cm="1">
        <f t="array" ref="J243">Common_InputFunctions.Utility_DisplayArrayInTable(Common_SourceData.Common_SourceData_MCFTemperatureZone_Data(),Table_SourceData_Common_MCFTemperatureZone[[#Headers],[Temperature zone]],0)</f>
        <v>0.01</v>
      </c>
      <c r="K243" s="24" cm="1">
        <f t="array" ref="K243">Common_InputFunctions.Utility_DisplayArrayInTable(Common_SourceData.Common_SourceData_MCFTemperatureZone_Data(),Table_SourceData_Common_MCFTemperatureZone[[#Headers],[Temperature zone]],0)</f>
        <v>0.02</v>
      </c>
      <c r="L243" s="24" cm="1">
        <f t="array" ref="L243">Common_InputFunctions.Utility_DisplayArrayInTable(Common_SourceData.Common_SourceData_MCFTemperatureZone_Data(),Table_SourceData_Common_MCFTemperatureZone[[#Headers],[Temperature zone]],0)</f>
        <v>0.03</v>
      </c>
      <c r="M243" s="24" cm="1">
        <f t="array" ref="M243">Common_InputFunctions.Utility_DisplayArrayInTable(Common_SourceData.Common_SourceData_MCFTemperatureZone_Data(),Table_SourceData_Common_MCFTemperatureZone[[#Headers],[Temperature zone]],0)</f>
        <v>0.04</v>
      </c>
      <c r="N243" s="24" cm="1">
        <f t="array" ref="N243">Common_InputFunctions.Utility_DisplayArrayInTable(Common_SourceData.Common_SourceData_MCFTemperatureZone_Data(),Table_SourceData_Common_MCFTemperatureZone[[#Headers],[Temperature zone]],0)</f>
        <v>1.4999999999999999E-2</v>
      </c>
      <c r="O243" s="24" cm="1">
        <f t="array" ref="O243">Common_InputFunctions.Utility_DisplayArrayInTable(Common_SourceData.Common_SourceData_MCFTemperatureZone_Data(),Table_SourceData_Common_MCFTemperatureZone[[#Headers],[Temperature zone]],0)</f>
        <v>1.4999999999999999E-2</v>
      </c>
      <c r="P243" s="24" cm="1">
        <f t="array" ref="P243">Common_InputFunctions.Utility_DisplayArrayInTable(Common_SourceData.Common_SourceData_MCFTemperatureZone_Data(),Table_SourceData_Common_MCFTemperatureZone[[#Headers],[Temperature zone]],0)</f>
        <v>0</v>
      </c>
      <c r="Q243" s="24" cm="1">
        <f t="array" ref="Q243">Common_InputFunctions.Utility_DisplayArrayInTable(Common_SourceData.Common_SourceData_MCFTemperatureZone_Data(),Table_SourceData_Common_MCFTemperatureZone[[#Headers],[Temperature zone]],0)</f>
        <v>0</v>
      </c>
      <c r="R243" s="24" cm="1">
        <f t="array" ref="R243">Common_InputFunctions.Utility_DisplayArrayInTable(Common_SourceData.Common_SourceData_MCFTemperatureZone_Data(),Table_SourceData_Common_MCFTemperatureZone[[#Headers],[Temperature zone]],0)</f>
        <v>4.7000000000000002E-3</v>
      </c>
      <c r="S243" s="24"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24" cm="1">
        <f t="array" ref="E244">Common_InputFunctions.Utility_DisplayArrayInTable(Common_SourceData.Common_SourceData_MCFTemperatureZone_Data(),Table_SourceData_Common_MCFTemperatureZone[[#Headers],[Temperature zone]],0)</f>
        <v>22</v>
      </c>
      <c r="F244" s="24" cm="1">
        <f t="array" ref="F244">Common_InputFunctions.Utility_DisplayArrayInTable(Common_SourceData.Common_SourceData_MCFTemperatureZone_Data(),Table_SourceData_Common_MCFTemperatureZone[[#Headers],[Temperature zone]],0)</f>
        <v>0.78</v>
      </c>
      <c r="G244" s="24" cm="1">
        <f t="array" ref="G244">Common_InputFunctions.Utility_DisplayArrayInTable(Common_SourceData.Common_SourceData_MCFTemperatureZone_Data(),Table_SourceData_Common_MCFTemperatureZone[[#Headers],[Temperature zone]],0)</f>
        <v>0.1</v>
      </c>
      <c r="H244" s="24" cm="1">
        <f t="array" ref="H244">Common_InputFunctions.Utility_DisplayArrayInTable(Common_SourceData.Common_SourceData_MCFTemperatureZone_Data(),Table_SourceData_Common_MCFTemperatureZone[[#Headers],[Temperature zone]],0)</f>
        <v>0.31</v>
      </c>
      <c r="I244" s="24" cm="1">
        <f t="array" ref="I244">Common_InputFunctions.Utility_DisplayArrayInTable(Common_SourceData.Common_SourceData_MCFTemperatureZone_Data(),Table_SourceData_Common_MCFTemperatureZone[[#Headers],[Temperature zone]],0)</f>
        <v>5.0000000000000001E-3</v>
      </c>
      <c r="J244" s="24" cm="1">
        <f t="array" ref="J244">Common_InputFunctions.Utility_DisplayArrayInTable(Common_SourceData.Common_SourceData_MCFTemperatureZone_Data(),Table_SourceData_Common_MCFTemperatureZone[[#Headers],[Temperature zone]],0)</f>
        <v>0.01</v>
      </c>
      <c r="K244" s="24" cm="1">
        <f t="array" ref="K244">Common_InputFunctions.Utility_DisplayArrayInTable(Common_SourceData.Common_SourceData_MCFTemperatureZone_Data(),Table_SourceData_Common_MCFTemperatureZone[[#Headers],[Temperature zone]],0)</f>
        <v>0.02</v>
      </c>
      <c r="L244" s="24" cm="1">
        <f t="array" ref="L244">Common_InputFunctions.Utility_DisplayArrayInTable(Common_SourceData.Common_SourceData_MCFTemperatureZone_Data(),Table_SourceData_Common_MCFTemperatureZone[[#Headers],[Temperature zone]],0)</f>
        <v>0.03</v>
      </c>
      <c r="M244" s="24" cm="1">
        <f t="array" ref="M244">Common_InputFunctions.Utility_DisplayArrayInTable(Common_SourceData.Common_SourceData_MCFTemperatureZone_Data(),Table_SourceData_Common_MCFTemperatureZone[[#Headers],[Temperature zone]],0)</f>
        <v>0.04</v>
      </c>
      <c r="N244" s="24" cm="1">
        <f t="array" ref="N244">Common_InputFunctions.Utility_DisplayArrayInTable(Common_SourceData.Common_SourceData_MCFTemperatureZone_Data(),Table_SourceData_Common_MCFTemperatureZone[[#Headers],[Temperature zone]],0)</f>
        <v>1.4999999999999999E-2</v>
      </c>
      <c r="O244" s="24" cm="1">
        <f t="array" ref="O244">Common_InputFunctions.Utility_DisplayArrayInTable(Common_SourceData.Common_SourceData_MCFTemperatureZone_Data(),Table_SourceData_Common_MCFTemperatureZone[[#Headers],[Temperature zone]],0)</f>
        <v>1.4999999999999999E-2</v>
      </c>
      <c r="P244" s="24" cm="1">
        <f t="array" ref="P244">Common_InputFunctions.Utility_DisplayArrayInTable(Common_SourceData.Common_SourceData_MCFTemperatureZone_Data(),Table_SourceData_Common_MCFTemperatureZone[[#Headers],[Temperature zone]],0)</f>
        <v>0</v>
      </c>
      <c r="Q244" s="24" cm="1">
        <f t="array" ref="Q244">Common_InputFunctions.Utility_DisplayArrayInTable(Common_SourceData.Common_SourceData_MCFTemperatureZone_Data(),Table_SourceData_Common_MCFTemperatureZone[[#Headers],[Temperature zone]],0)</f>
        <v>0</v>
      </c>
      <c r="R244" s="24" cm="1">
        <f t="array" ref="R244">Common_InputFunctions.Utility_DisplayArrayInTable(Common_SourceData.Common_SourceData_MCFTemperatureZone_Data(),Table_SourceData_Common_MCFTemperatureZone[[#Headers],[Temperature zone]],0)</f>
        <v>4.7000000000000002E-3</v>
      </c>
      <c r="S244" s="24"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24" cm="1">
        <f t="array" ref="E245">Common_InputFunctions.Utility_DisplayArrayInTable(Common_SourceData.Common_SourceData_MCFTemperatureZone_Data(),Table_SourceData_Common_MCFTemperatureZone[[#Headers],[Temperature zone]],0)</f>
        <v>23</v>
      </c>
      <c r="F245" s="24" cm="1">
        <f t="array" ref="F245">Common_InputFunctions.Utility_DisplayArrayInTable(Common_SourceData.Common_SourceData_MCFTemperatureZone_Data(),Table_SourceData_Common_MCFTemperatureZone[[#Headers],[Temperature zone]],0)</f>
        <v>0.79</v>
      </c>
      <c r="G245" s="24" cm="1">
        <f t="array" ref="G245">Common_InputFunctions.Utility_DisplayArrayInTable(Common_SourceData.Common_SourceData_MCFTemperatureZone_Data(),Table_SourceData_Common_MCFTemperatureZone[[#Headers],[Temperature zone]],0)</f>
        <v>0.1</v>
      </c>
      <c r="H245" s="24" cm="1">
        <f t="array" ref="H245">Common_InputFunctions.Utility_DisplayArrayInTable(Common_SourceData.Common_SourceData_MCFTemperatureZone_Data(),Table_SourceData_Common_MCFTemperatureZone[[#Headers],[Temperature zone]],0)</f>
        <v>0.34</v>
      </c>
      <c r="I245" s="24" cm="1">
        <f t="array" ref="I245">Common_InputFunctions.Utility_DisplayArrayInTable(Common_SourceData.Common_SourceData_MCFTemperatureZone_Data(),Table_SourceData_Common_MCFTemperatureZone[[#Headers],[Temperature zone]],0)</f>
        <v>5.0000000000000001E-3</v>
      </c>
      <c r="J245" s="24" cm="1">
        <f t="array" ref="J245">Common_InputFunctions.Utility_DisplayArrayInTable(Common_SourceData.Common_SourceData_MCFTemperatureZone_Data(),Table_SourceData_Common_MCFTemperatureZone[[#Headers],[Temperature zone]],0)</f>
        <v>0.01</v>
      </c>
      <c r="K245" s="24" cm="1">
        <f t="array" ref="K245">Common_InputFunctions.Utility_DisplayArrayInTable(Common_SourceData.Common_SourceData_MCFTemperatureZone_Data(),Table_SourceData_Common_MCFTemperatureZone[[#Headers],[Temperature zone]],0)</f>
        <v>0.02</v>
      </c>
      <c r="L245" s="24" cm="1">
        <f t="array" ref="L245">Common_InputFunctions.Utility_DisplayArrayInTable(Common_SourceData.Common_SourceData_MCFTemperatureZone_Data(),Table_SourceData_Common_MCFTemperatureZone[[#Headers],[Temperature zone]],0)</f>
        <v>0.03</v>
      </c>
      <c r="M245" s="24" cm="1">
        <f t="array" ref="M245">Common_InputFunctions.Utility_DisplayArrayInTable(Common_SourceData.Common_SourceData_MCFTemperatureZone_Data(),Table_SourceData_Common_MCFTemperatureZone[[#Headers],[Temperature zone]],0)</f>
        <v>0.04</v>
      </c>
      <c r="N245" s="24" cm="1">
        <f t="array" ref="N245">Common_InputFunctions.Utility_DisplayArrayInTable(Common_SourceData.Common_SourceData_MCFTemperatureZone_Data(),Table_SourceData_Common_MCFTemperatureZone[[#Headers],[Temperature zone]],0)</f>
        <v>1.4999999999999999E-2</v>
      </c>
      <c r="O245" s="24" cm="1">
        <f t="array" ref="O245">Common_InputFunctions.Utility_DisplayArrayInTable(Common_SourceData.Common_SourceData_MCFTemperatureZone_Data(),Table_SourceData_Common_MCFTemperatureZone[[#Headers],[Temperature zone]],0)</f>
        <v>1.4999999999999999E-2</v>
      </c>
      <c r="P245" s="24" cm="1">
        <f t="array" ref="P245">Common_InputFunctions.Utility_DisplayArrayInTable(Common_SourceData.Common_SourceData_MCFTemperatureZone_Data(),Table_SourceData_Common_MCFTemperatureZone[[#Headers],[Temperature zone]],0)</f>
        <v>0</v>
      </c>
      <c r="Q245" s="24" cm="1">
        <f t="array" ref="Q245">Common_InputFunctions.Utility_DisplayArrayInTable(Common_SourceData.Common_SourceData_MCFTemperatureZone_Data(),Table_SourceData_Common_MCFTemperatureZone[[#Headers],[Temperature zone]],0)</f>
        <v>0</v>
      </c>
      <c r="R245" s="24" cm="1">
        <f t="array" ref="R245">Common_InputFunctions.Utility_DisplayArrayInTable(Common_SourceData.Common_SourceData_MCFTemperatureZone_Data(),Table_SourceData_Common_MCFTemperatureZone[[#Headers],[Temperature zone]],0)</f>
        <v>4.7000000000000002E-3</v>
      </c>
      <c r="S245" s="24"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24" cm="1">
        <f t="array" ref="E246">Common_InputFunctions.Utility_DisplayArrayInTable(Common_SourceData.Common_SourceData_MCFTemperatureZone_Data(),Table_SourceData_Common_MCFTemperatureZone[[#Headers],[Temperature zone]],0)</f>
        <v>24</v>
      </c>
      <c r="F246" s="24" cm="1">
        <f t="array" ref="F246">Common_InputFunctions.Utility_DisplayArrayInTable(Common_SourceData.Common_SourceData_MCFTemperatureZone_Data(),Table_SourceData_Common_MCFTemperatureZone[[#Headers],[Temperature zone]],0)</f>
        <v>0.79</v>
      </c>
      <c r="G246" s="24" cm="1">
        <f t="array" ref="G246">Common_InputFunctions.Utility_DisplayArrayInTable(Common_SourceData.Common_SourceData_MCFTemperatureZone_Data(),Table_SourceData_Common_MCFTemperatureZone[[#Headers],[Temperature zone]],0)</f>
        <v>0.1</v>
      </c>
      <c r="H246" s="24" cm="1">
        <f t="array" ref="H246">Common_InputFunctions.Utility_DisplayArrayInTable(Common_SourceData.Common_SourceData_MCFTemperatureZone_Data(),Table_SourceData_Common_MCFTemperatureZone[[#Headers],[Temperature zone]],0)</f>
        <v>0.37</v>
      </c>
      <c r="I246" s="24" cm="1">
        <f t="array" ref="I246">Common_InputFunctions.Utility_DisplayArrayInTable(Common_SourceData.Common_SourceData_MCFTemperatureZone_Data(),Table_SourceData_Common_MCFTemperatureZone[[#Headers],[Temperature zone]],0)</f>
        <v>5.0000000000000001E-3</v>
      </c>
      <c r="J246" s="24" cm="1">
        <f t="array" ref="J246">Common_InputFunctions.Utility_DisplayArrayInTable(Common_SourceData.Common_SourceData_MCFTemperatureZone_Data(),Table_SourceData_Common_MCFTemperatureZone[[#Headers],[Temperature zone]],0)</f>
        <v>0.01</v>
      </c>
      <c r="K246" s="24" cm="1">
        <f t="array" ref="K246">Common_InputFunctions.Utility_DisplayArrayInTable(Common_SourceData.Common_SourceData_MCFTemperatureZone_Data(),Table_SourceData_Common_MCFTemperatureZone[[#Headers],[Temperature zone]],0)</f>
        <v>0.02</v>
      </c>
      <c r="L246" s="24" cm="1">
        <f t="array" ref="L246">Common_InputFunctions.Utility_DisplayArrayInTable(Common_SourceData.Common_SourceData_MCFTemperatureZone_Data(),Table_SourceData_Common_MCFTemperatureZone[[#Headers],[Temperature zone]],0)</f>
        <v>0.03</v>
      </c>
      <c r="M246" s="24" cm="1">
        <f t="array" ref="M246">Common_InputFunctions.Utility_DisplayArrayInTable(Common_SourceData.Common_SourceData_MCFTemperatureZone_Data(),Table_SourceData_Common_MCFTemperatureZone[[#Headers],[Temperature zone]],0)</f>
        <v>0.04</v>
      </c>
      <c r="N246" s="24" cm="1">
        <f t="array" ref="N246">Common_InputFunctions.Utility_DisplayArrayInTable(Common_SourceData.Common_SourceData_MCFTemperatureZone_Data(),Table_SourceData_Common_MCFTemperatureZone[[#Headers],[Temperature zone]],0)</f>
        <v>1.4999999999999999E-2</v>
      </c>
      <c r="O246" s="24" cm="1">
        <f t="array" ref="O246">Common_InputFunctions.Utility_DisplayArrayInTable(Common_SourceData.Common_SourceData_MCFTemperatureZone_Data(),Table_SourceData_Common_MCFTemperatureZone[[#Headers],[Temperature zone]],0)</f>
        <v>1.4999999999999999E-2</v>
      </c>
      <c r="P246" s="24" cm="1">
        <f t="array" ref="P246">Common_InputFunctions.Utility_DisplayArrayInTable(Common_SourceData.Common_SourceData_MCFTemperatureZone_Data(),Table_SourceData_Common_MCFTemperatureZone[[#Headers],[Temperature zone]],0)</f>
        <v>0</v>
      </c>
      <c r="Q246" s="24" cm="1">
        <f t="array" ref="Q246">Common_InputFunctions.Utility_DisplayArrayInTable(Common_SourceData.Common_SourceData_MCFTemperatureZone_Data(),Table_SourceData_Common_MCFTemperatureZone[[#Headers],[Temperature zone]],0)</f>
        <v>0</v>
      </c>
      <c r="R246" s="24" cm="1">
        <f t="array" ref="R246">Common_InputFunctions.Utility_DisplayArrayInTable(Common_SourceData.Common_SourceData_MCFTemperatureZone_Data(),Table_SourceData_Common_MCFTemperatureZone[[#Headers],[Temperature zone]],0)</f>
        <v>4.7000000000000002E-3</v>
      </c>
      <c r="S246" s="24"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24" cm="1">
        <f t="array" ref="E247">Common_InputFunctions.Utility_DisplayArrayInTable(Common_SourceData.Common_SourceData_MCFTemperatureZone_Data(),Table_SourceData_Common_MCFTemperatureZone[[#Headers],[Temperature zone]],0)</f>
        <v>25</v>
      </c>
      <c r="F247" s="24" cm="1">
        <f t="array" ref="F247">Common_InputFunctions.Utility_DisplayArrayInTable(Common_SourceData.Common_SourceData_MCFTemperatureZone_Data(),Table_SourceData_Common_MCFTemperatureZone[[#Headers],[Temperature zone]],0)</f>
        <v>0.79</v>
      </c>
      <c r="G247" s="24" cm="1">
        <f t="array" ref="G247">Common_InputFunctions.Utility_DisplayArrayInTable(Common_SourceData.Common_SourceData_MCFTemperatureZone_Data(),Table_SourceData_Common_MCFTemperatureZone[[#Headers],[Temperature zone]],0)</f>
        <v>0.1</v>
      </c>
      <c r="H247" s="24" cm="1">
        <f t="array" ref="H247">Common_InputFunctions.Utility_DisplayArrayInTable(Common_SourceData.Common_SourceData_MCFTemperatureZone_Data(),Table_SourceData_Common_MCFTemperatureZone[[#Headers],[Temperature zone]],0)</f>
        <v>0.41</v>
      </c>
      <c r="I247" s="24" cm="1">
        <f t="array" ref="I247">Common_InputFunctions.Utility_DisplayArrayInTable(Common_SourceData.Common_SourceData_MCFTemperatureZone_Data(),Table_SourceData_Common_MCFTemperatureZone[[#Headers],[Temperature zone]],0)</f>
        <v>5.0000000000000001E-3</v>
      </c>
      <c r="J247" s="24" cm="1">
        <f t="array" ref="J247">Common_InputFunctions.Utility_DisplayArrayInTable(Common_SourceData.Common_SourceData_MCFTemperatureZone_Data(),Table_SourceData_Common_MCFTemperatureZone[[#Headers],[Temperature zone]],0)</f>
        <v>0.01</v>
      </c>
      <c r="K247" s="24" cm="1">
        <f t="array" ref="K247">Common_InputFunctions.Utility_DisplayArrayInTable(Common_SourceData.Common_SourceData_MCFTemperatureZone_Data(),Table_SourceData_Common_MCFTemperatureZone[[#Headers],[Temperature zone]],0)</f>
        <v>0.02</v>
      </c>
      <c r="L247" s="24" cm="1">
        <f t="array" ref="L247">Common_InputFunctions.Utility_DisplayArrayInTable(Common_SourceData.Common_SourceData_MCFTemperatureZone_Data(),Table_SourceData_Common_MCFTemperatureZone[[#Headers],[Temperature zone]],0)</f>
        <v>0.03</v>
      </c>
      <c r="M247" s="24" cm="1">
        <f t="array" ref="M247">Common_InputFunctions.Utility_DisplayArrayInTable(Common_SourceData.Common_SourceData_MCFTemperatureZone_Data(),Table_SourceData_Common_MCFTemperatureZone[[#Headers],[Temperature zone]],0)</f>
        <v>0.04</v>
      </c>
      <c r="N247" s="24" cm="1">
        <f t="array" ref="N247">Common_InputFunctions.Utility_DisplayArrayInTable(Common_SourceData.Common_SourceData_MCFTemperatureZone_Data(),Table_SourceData_Common_MCFTemperatureZone[[#Headers],[Temperature zone]],0)</f>
        <v>1.4999999999999999E-2</v>
      </c>
      <c r="O247" s="24" cm="1">
        <f t="array" ref="O247">Common_InputFunctions.Utility_DisplayArrayInTable(Common_SourceData.Common_SourceData_MCFTemperatureZone_Data(),Table_SourceData_Common_MCFTemperatureZone[[#Headers],[Temperature zone]],0)</f>
        <v>1.4999999999999999E-2</v>
      </c>
      <c r="P247" s="24" cm="1">
        <f t="array" ref="P247">Common_InputFunctions.Utility_DisplayArrayInTable(Common_SourceData.Common_SourceData_MCFTemperatureZone_Data(),Table_SourceData_Common_MCFTemperatureZone[[#Headers],[Temperature zone]],0)</f>
        <v>0</v>
      </c>
      <c r="Q247" s="24" cm="1">
        <f t="array" ref="Q247">Common_InputFunctions.Utility_DisplayArrayInTable(Common_SourceData.Common_SourceData_MCFTemperatureZone_Data(),Table_SourceData_Common_MCFTemperatureZone[[#Headers],[Temperature zone]],0)</f>
        <v>0</v>
      </c>
      <c r="R247" s="24" cm="1">
        <f t="array" ref="R247">Common_InputFunctions.Utility_DisplayArrayInTable(Common_SourceData.Common_SourceData_MCFTemperatureZone_Data(),Table_SourceData_Common_MCFTemperatureZone[[#Headers],[Temperature zone]],0)</f>
        <v>4.7000000000000002E-3</v>
      </c>
      <c r="S247" s="24"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24" cm="1">
        <f t="array" ref="E248">Common_InputFunctions.Utility_DisplayArrayInTable(Common_SourceData.Common_SourceData_MCFTemperatureZone_Data(),Table_SourceData_Common_MCFTemperatureZone[[#Headers],[Temperature zone]],0)</f>
        <v>26</v>
      </c>
      <c r="F248" s="24" cm="1">
        <f t="array" ref="F248">Common_InputFunctions.Utility_DisplayArrayInTable(Common_SourceData.Common_SourceData_MCFTemperatureZone_Data(),Table_SourceData_Common_MCFTemperatureZone[[#Headers],[Temperature zone]],0)</f>
        <v>0.79</v>
      </c>
      <c r="G248" s="24" cm="1">
        <f t="array" ref="G248">Common_InputFunctions.Utility_DisplayArrayInTable(Common_SourceData.Common_SourceData_MCFTemperatureZone_Data(),Table_SourceData_Common_MCFTemperatureZone[[#Headers],[Temperature zone]],0)</f>
        <v>0.1</v>
      </c>
      <c r="H248" s="24" cm="1">
        <f t="array" ref="H248">Common_InputFunctions.Utility_DisplayArrayInTable(Common_SourceData.Common_SourceData_MCFTemperatureZone_Data(),Table_SourceData_Common_MCFTemperatureZone[[#Headers],[Temperature zone]],0)</f>
        <v>0.44</v>
      </c>
      <c r="I248" s="24" cm="1">
        <f t="array" ref="I248">Common_InputFunctions.Utility_DisplayArrayInTable(Common_SourceData.Common_SourceData_MCFTemperatureZone_Data(),Table_SourceData_Common_MCFTemperatureZone[[#Headers],[Temperature zone]],0)</f>
        <v>0.01</v>
      </c>
      <c r="J248" s="24" cm="1">
        <f t="array" ref="J248">Common_InputFunctions.Utility_DisplayArrayInTable(Common_SourceData.Common_SourceData_MCFTemperatureZone_Data(),Table_SourceData_Common_MCFTemperatureZone[[#Headers],[Temperature zone]],0)</f>
        <v>1.4999999999999999E-2</v>
      </c>
      <c r="K248" s="24" cm="1">
        <f t="array" ref="K248">Common_InputFunctions.Utility_DisplayArrayInTable(Common_SourceData.Common_SourceData_MCFTemperatureZone_Data(),Table_SourceData_Common_MCFTemperatureZone[[#Headers],[Temperature zone]],0)</f>
        <v>0.02</v>
      </c>
      <c r="L248" s="24" cm="1">
        <f t="array" ref="L248">Common_InputFunctions.Utility_DisplayArrayInTable(Common_SourceData.Common_SourceData_MCFTemperatureZone_Data(),Table_SourceData_Common_MCFTemperatureZone[[#Headers],[Temperature zone]],0)</f>
        <v>0.03</v>
      </c>
      <c r="M248" s="24" cm="1">
        <f t="array" ref="M248">Common_InputFunctions.Utility_DisplayArrayInTable(Common_SourceData.Common_SourceData_MCFTemperatureZone_Data(),Table_SourceData_Common_MCFTemperatureZone[[#Headers],[Temperature zone]],0)</f>
        <v>0.04</v>
      </c>
      <c r="N248" s="24" cm="1">
        <f t="array" ref="N248">Common_InputFunctions.Utility_DisplayArrayInTable(Common_SourceData.Common_SourceData_MCFTemperatureZone_Data(),Table_SourceData_Common_MCFTemperatureZone[[#Headers],[Temperature zone]],0)</f>
        <v>1.4999999999999999E-2</v>
      </c>
      <c r="O248" s="24" cm="1">
        <f t="array" ref="O248">Common_InputFunctions.Utility_DisplayArrayInTable(Common_SourceData.Common_SourceData_MCFTemperatureZone_Data(),Table_SourceData_Common_MCFTemperatureZone[[#Headers],[Temperature zone]],0)</f>
        <v>1.4999999999999999E-2</v>
      </c>
      <c r="P248" s="24" cm="1">
        <f t="array" ref="P248">Common_InputFunctions.Utility_DisplayArrayInTable(Common_SourceData.Common_SourceData_MCFTemperatureZone_Data(),Table_SourceData_Common_MCFTemperatureZone[[#Headers],[Temperature zone]],0)</f>
        <v>0</v>
      </c>
      <c r="Q248" s="24" cm="1">
        <f t="array" ref="Q248">Common_InputFunctions.Utility_DisplayArrayInTable(Common_SourceData.Common_SourceData_MCFTemperatureZone_Data(),Table_SourceData_Common_MCFTemperatureZone[[#Headers],[Temperature zone]],0)</f>
        <v>0</v>
      </c>
      <c r="R248" s="24" cm="1">
        <f t="array" ref="R248">Common_InputFunctions.Utility_DisplayArrayInTable(Common_SourceData.Common_SourceData_MCFTemperatureZone_Data(),Table_SourceData_Common_MCFTemperatureZone[[#Headers],[Temperature zone]],0)</f>
        <v>4.7000000000000002E-3</v>
      </c>
      <c r="S248" s="24"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24" cm="1">
        <f t="array" ref="E249">Common_InputFunctions.Utility_DisplayArrayInTable(Common_SourceData.Common_SourceData_MCFTemperatureZone_Data(),Table_SourceData_Common_MCFTemperatureZone[[#Headers],[Temperature zone]],0)</f>
        <v>27</v>
      </c>
      <c r="F249" s="24" cm="1">
        <f t="array" ref="F249">Common_InputFunctions.Utility_DisplayArrayInTable(Common_SourceData.Common_SourceData_MCFTemperatureZone_Data(),Table_SourceData_Common_MCFTemperatureZone[[#Headers],[Temperature zone]],0)</f>
        <v>0.8</v>
      </c>
      <c r="G249" s="24" cm="1">
        <f t="array" ref="G249">Common_InputFunctions.Utility_DisplayArrayInTable(Common_SourceData.Common_SourceData_MCFTemperatureZone_Data(),Table_SourceData_Common_MCFTemperatureZone[[#Headers],[Temperature zone]],0)</f>
        <v>0.1</v>
      </c>
      <c r="H249" s="24" cm="1">
        <f t="array" ref="H249">Common_InputFunctions.Utility_DisplayArrayInTable(Common_SourceData.Common_SourceData_MCFTemperatureZone_Data(),Table_SourceData_Common_MCFTemperatureZone[[#Headers],[Temperature zone]],0)</f>
        <v>0.48</v>
      </c>
      <c r="I249" s="24" cm="1">
        <f t="array" ref="I249">Common_InputFunctions.Utility_DisplayArrayInTable(Common_SourceData.Common_SourceData_MCFTemperatureZone_Data(),Table_SourceData_Common_MCFTemperatureZone[[#Headers],[Temperature zone]],0)</f>
        <v>0.01</v>
      </c>
      <c r="J249" s="24" cm="1">
        <f t="array" ref="J249">Common_InputFunctions.Utility_DisplayArrayInTable(Common_SourceData.Common_SourceData_MCFTemperatureZone_Data(),Table_SourceData_Common_MCFTemperatureZone[[#Headers],[Temperature zone]],0)</f>
        <v>1.4999999999999999E-2</v>
      </c>
      <c r="K249" s="24" cm="1">
        <f t="array" ref="K249">Common_InputFunctions.Utility_DisplayArrayInTable(Common_SourceData.Common_SourceData_MCFTemperatureZone_Data(),Table_SourceData_Common_MCFTemperatureZone[[#Headers],[Temperature zone]],0)</f>
        <v>0.02</v>
      </c>
      <c r="L249" s="24" cm="1">
        <f t="array" ref="L249">Common_InputFunctions.Utility_DisplayArrayInTable(Common_SourceData.Common_SourceData_MCFTemperatureZone_Data(),Table_SourceData_Common_MCFTemperatureZone[[#Headers],[Temperature zone]],0)</f>
        <v>0.03</v>
      </c>
      <c r="M249" s="24" cm="1">
        <f t="array" ref="M249">Common_InputFunctions.Utility_DisplayArrayInTable(Common_SourceData.Common_SourceData_MCFTemperatureZone_Data(),Table_SourceData_Common_MCFTemperatureZone[[#Headers],[Temperature zone]],0)</f>
        <v>0.04</v>
      </c>
      <c r="N249" s="24" cm="1">
        <f t="array" ref="N249">Common_InputFunctions.Utility_DisplayArrayInTable(Common_SourceData.Common_SourceData_MCFTemperatureZone_Data(),Table_SourceData_Common_MCFTemperatureZone[[#Headers],[Temperature zone]],0)</f>
        <v>1.4999999999999999E-2</v>
      </c>
      <c r="O249" s="24" cm="1">
        <f t="array" ref="O249">Common_InputFunctions.Utility_DisplayArrayInTable(Common_SourceData.Common_SourceData_MCFTemperatureZone_Data(),Table_SourceData_Common_MCFTemperatureZone[[#Headers],[Temperature zone]],0)</f>
        <v>1.4999999999999999E-2</v>
      </c>
      <c r="P249" s="24" cm="1">
        <f t="array" ref="P249">Common_InputFunctions.Utility_DisplayArrayInTable(Common_SourceData.Common_SourceData_MCFTemperatureZone_Data(),Table_SourceData_Common_MCFTemperatureZone[[#Headers],[Temperature zone]],0)</f>
        <v>0</v>
      </c>
      <c r="Q249" s="24" cm="1">
        <f t="array" ref="Q249">Common_InputFunctions.Utility_DisplayArrayInTable(Common_SourceData.Common_SourceData_MCFTemperatureZone_Data(),Table_SourceData_Common_MCFTemperatureZone[[#Headers],[Temperature zone]],0)</f>
        <v>0</v>
      </c>
      <c r="R249" s="24" cm="1">
        <f t="array" ref="R249">Common_InputFunctions.Utility_DisplayArrayInTable(Common_SourceData.Common_SourceData_MCFTemperatureZone_Data(),Table_SourceData_Common_MCFTemperatureZone[[#Headers],[Temperature zone]],0)</f>
        <v>4.7000000000000002E-3</v>
      </c>
      <c r="S249" s="24"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24" t="str" cm="1">
        <f t="array" ref="E250">Common_InputFunctions.Utility_DisplayArrayInTable(Common_SourceData.Common_SourceData_MCFTemperatureZone_Data(),Table_SourceData_Common_MCFTemperatureZone[[#Headers],[Temperature zone]],0)</f>
        <v>≥28</v>
      </c>
      <c r="F250" s="24" cm="1">
        <f t="array" ref="F250">Common_InputFunctions.Utility_DisplayArrayInTable(Common_SourceData.Common_SourceData_MCFTemperatureZone_Data(),Table_SourceData_Common_MCFTemperatureZone[[#Headers],[Temperature zone]],0)</f>
        <v>0.8</v>
      </c>
      <c r="G250" s="24" cm="1">
        <f t="array" ref="G250">Common_InputFunctions.Utility_DisplayArrayInTable(Common_SourceData.Common_SourceData_MCFTemperatureZone_Data(),Table_SourceData_Common_MCFTemperatureZone[[#Headers],[Temperature zone]],0)</f>
        <v>0.1</v>
      </c>
      <c r="H250" s="24" cm="1">
        <f t="array" ref="H250">Common_InputFunctions.Utility_DisplayArrayInTable(Common_SourceData.Common_SourceData_MCFTemperatureZone_Data(),Table_SourceData_Common_MCFTemperatureZone[[#Headers],[Temperature zone]],0)</f>
        <v>0.5</v>
      </c>
      <c r="I250" s="24" cm="1">
        <f t="array" ref="I250">Common_InputFunctions.Utility_DisplayArrayInTable(Common_SourceData.Common_SourceData_MCFTemperatureZone_Data(),Table_SourceData_Common_MCFTemperatureZone[[#Headers],[Temperature zone]],0)</f>
        <v>0.01</v>
      </c>
      <c r="J250" s="24" cm="1">
        <f t="array" ref="J250">Common_InputFunctions.Utility_DisplayArrayInTable(Common_SourceData.Common_SourceData_MCFTemperatureZone_Data(),Table_SourceData_Common_MCFTemperatureZone[[#Headers],[Temperature zone]],0)</f>
        <v>1.4999999999999999E-2</v>
      </c>
      <c r="K250" s="24" cm="1">
        <f t="array" ref="K250">Common_InputFunctions.Utility_DisplayArrayInTable(Common_SourceData.Common_SourceData_MCFTemperatureZone_Data(),Table_SourceData_Common_MCFTemperatureZone[[#Headers],[Temperature zone]],0)</f>
        <v>0.02</v>
      </c>
      <c r="L250" s="24" cm="1">
        <f t="array" ref="L250">Common_InputFunctions.Utility_DisplayArrayInTable(Common_SourceData.Common_SourceData_MCFTemperatureZone_Data(),Table_SourceData_Common_MCFTemperatureZone[[#Headers],[Temperature zone]],0)</f>
        <v>0.03</v>
      </c>
      <c r="M250" s="24" cm="1">
        <f t="array" ref="M250">Common_InputFunctions.Utility_DisplayArrayInTable(Common_SourceData.Common_SourceData_MCFTemperatureZone_Data(),Table_SourceData_Common_MCFTemperatureZone[[#Headers],[Temperature zone]],0)</f>
        <v>0.04</v>
      </c>
      <c r="N250" s="24" cm="1">
        <f t="array" ref="N250">Common_InputFunctions.Utility_DisplayArrayInTable(Common_SourceData.Common_SourceData_MCFTemperatureZone_Data(),Table_SourceData_Common_MCFTemperatureZone[[#Headers],[Temperature zone]],0)</f>
        <v>1.4999999999999999E-2</v>
      </c>
      <c r="O250" s="24" cm="1">
        <f t="array" ref="O250">Common_InputFunctions.Utility_DisplayArrayInTable(Common_SourceData.Common_SourceData_MCFTemperatureZone_Data(),Table_SourceData_Common_MCFTemperatureZone[[#Headers],[Temperature zone]],0)</f>
        <v>1.4999999999999999E-2</v>
      </c>
      <c r="P250" s="24" cm="1">
        <f t="array" ref="P250">Common_InputFunctions.Utility_DisplayArrayInTable(Common_SourceData.Common_SourceData_MCFTemperatureZone_Data(),Table_SourceData_Common_MCFTemperatureZone[[#Headers],[Temperature zone]],0)</f>
        <v>0</v>
      </c>
      <c r="Q250" s="24" cm="1">
        <f t="array" ref="Q250">Common_InputFunctions.Utility_DisplayArrayInTable(Common_SourceData.Common_SourceData_MCFTemperatureZone_Data(),Table_SourceData_Common_MCFTemperatureZone[[#Headers],[Temperature zone]],0)</f>
        <v>0</v>
      </c>
      <c r="R250" s="24" cm="1">
        <f t="array" ref="R250">Common_InputFunctions.Utility_DisplayArrayInTable(Common_SourceData.Common_SourceData_MCFTemperatureZone_Data(),Table_SourceData_Common_MCFTemperatureZone[[#Headers],[Temperature zone]],0)</f>
        <v>4.7000000000000002E-3</v>
      </c>
      <c r="S250" s="24" cm="1">
        <f t="array" ref="S250">Common_InputFunctions.Utility_DisplayArrayInTable(Common_SourceData.Common_SourceData_MCFTemperatureZone_Data(),Table_SourceData_Common_MCFTemperatureZone[[#Headers],[Temperature zone]],0)</f>
        <v>28</v>
      </c>
    </row>
    <row r="253" spans="4:19" ht="20" x14ac:dyDescent="0.25" customHeight="1">
      <c r="D253" s="5" t="str" cm="1">
        <f t="array" ref="D253">Common_SourceData.Common_SourceData_EFOrganicFertiliserAndCropResidues_Title()</f>
        <v>Emission factor for organic fertiliser and crop residues returned to the soil</v>
      </c>
    </row>
    <row r="254" spans="4:19" x14ac:dyDescent="0.25" ht="20" customHeight="1">
      <c r="D254" s="4"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28" t="str" cm="1">
        <f t="array" ref="D256">Common_SourceData.Common_SourceData_EFOrganicFertiliserAndCropResidues_Unit()</f>
        <v>kg N2O - N / kg N</v>
      </c>
    </row>
    <row r="257" spans="4:6" x14ac:dyDescent="0.25" ht="20" customHeight="1">
      <c r="D257" s="24" t="s">
        <v>77</v>
      </c>
      <c r="E257" s="24" t="s">
        <v>78</v>
      </c>
    </row>
    <row r="258" spans="4:6" x14ac:dyDescent="0.25" ht="20" customHeight="1">
      <c r="D258" s="24" t="str" cm="1">
        <f t="array" ref="D258">Common_InputFunctions.Utility_DisplayArrayInTable(Common_SourceData.Common_SourceData_EFOrganicFertiliserAndCropResidues_Data(), Table_SourceData_Common_EFOrganicFertCropResidues[[#Headers],[Climate Zone]], 0)</f>
        <v>Wet climate zone</v>
      </c>
      <c r="E258" s="24"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24"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5" t="s">
        <v>162</v>
      </c>
    </row>
    <row r="264" spans="4:6" x14ac:dyDescent="0.25" ht="20" customHeight="1">
      <c r="D264" s="1" t="s">
        <v>163</v>
      </c>
    </row>
    <row r="265" spans="4:6" x14ac:dyDescent="0.25" ht="20" customHeight="1">
      <c r="D265" s="24" t="s">
        <v>85</v>
      </c>
      <c r="E265" s="24" t="s">
        <v>164</v>
      </c>
      <c r="F265" s="24" t="s">
        <v>165</v>
      </c>
    </row>
    <row r="266" spans="4:6" x14ac:dyDescent="0.25" ht="20" customHeight="1">
      <c r="D266" s="24" t="s">
        <v>166</v>
      </c>
      <c r="E266" s="24" t="s">
        <v>167</v>
      </c>
      <c r="F266" s="24">
        <v>5</v>
      </c>
    </row>
    <row r="267" spans="4:6" x14ac:dyDescent="0.25" ht="20" customHeight="1">
      <c r="D267" s="24" t="s">
        <v>168</v>
      </c>
      <c r="E267" s="24" t="s">
        <v>169</v>
      </c>
      <c r="F267" s="24">
        <v>4</v>
      </c>
    </row>
    <row r="268" spans="4:6" x14ac:dyDescent="0.25" ht="20" customHeight="1">
      <c r="D268" s="24" t="s">
        <v>170</v>
      </c>
      <c r="E268" s="24" t="s">
        <v>171</v>
      </c>
      <c r="F268" s="24">
        <v>3</v>
      </c>
    </row>
    <row r="269" spans="4:6" x14ac:dyDescent="0.25" ht="20" customHeight="1">
      <c r="D269" s="24" t="s">
        <v>172</v>
      </c>
      <c r="E269" s="24" t="s">
        <v>173</v>
      </c>
      <c r="F269" s="24">
        <v>2</v>
      </c>
    </row>
    <row r="270" spans="4:6" x14ac:dyDescent="0.25" ht="20" customHeight="1">
      <c r="D270" s="24" t="s">
        <v>174</v>
      </c>
      <c r="E270" s="24" t="s">
        <v>175</v>
      </c>
      <c r="F270" s="24">
        <v>1</v>
      </c>
    </row>
    <row r="273" spans="4:6" x14ac:dyDescent="0.25" ht="20" customHeight="1">
      <c r="D273" s="1" t="s">
        <v>176</v>
      </c>
    </row>
    <row r="274" spans="4:6" x14ac:dyDescent="0.25" ht="20" customHeight="1">
      <c r="D274" s="24" t="s">
        <v>85</v>
      </c>
      <c r="E274" s="24" t="s">
        <v>164</v>
      </c>
      <c r="F274" s="24" t="s">
        <v>165</v>
      </c>
    </row>
    <row r="275" spans="4:6" x14ac:dyDescent="0.25" ht="20" customHeight="1">
      <c r="D275" s="24" t="s">
        <v>177</v>
      </c>
      <c r="E275" s="24" t="s">
        <v>178</v>
      </c>
      <c r="F275" s="24">
        <v>5</v>
      </c>
    </row>
    <row r="276" spans="4:6" x14ac:dyDescent="0.25" ht="20" customHeight="1">
      <c r="D276" s="24" t="s">
        <v>179</v>
      </c>
      <c r="E276" s="24" t="s">
        <v>180</v>
      </c>
      <c r="F276" s="24">
        <v>4</v>
      </c>
    </row>
    <row r="277" spans="4:6" x14ac:dyDescent="0.25" ht="20" customHeight="1">
      <c r="D277" s="24" t="s">
        <v>181</v>
      </c>
      <c r="E277" s="24" t="s">
        <v>182</v>
      </c>
      <c r="F277" s="24">
        <v>3</v>
      </c>
    </row>
    <row r="278" spans="4:6" x14ac:dyDescent="0.25" ht="20" customHeight="1">
      <c r="D278" s="24" t="s">
        <v>183</v>
      </c>
      <c r="E278" s="24" t="s">
        <v>184</v>
      </c>
      <c r="F278" s="24">
        <v>2</v>
      </c>
    </row>
    <row r="279" spans="4:6" x14ac:dyDescent="0.25" ht="20" customHeight="1">
      <c r="D279" s="24" t="s">
        <v>185</v>
      </c>
      <c r="E279" s="24" t="s">
        <v>186</v>
      </c>
      <c r="F279" s="24">
        <v>1</v>
      </c>
    </row>
    <row r="282" spans="4:6" x14ac:dyDescent="0.25" ht="20" customHeight="1">
      <c r="D282" s="1" t="s">
        <v>187</v>
      </c>
    </row>
    <row r="283" spans="4:6" x14ac:dyDescent="0.25" ht="20" customHeight="1">
      <c r="D283" s="24" t="s">
        <v>85</v>
      </c>
      <c r="E283" s="24" t="s">
        <v>164</v>
      </c>
      <c r="F283" s="24" t="s">
        <v>165</v>
      </c>
    </row>
    <row r="284" spans="4:6" x14ac:dyDescent="0.25" ht="20" customHeight="1">
      <c r="D284" s="24" t="s">
        <v>188</v>
      </c>
      <c r="E284" s="24" t="s">
        <v>189</v>
      </c>
      <c r="F284" s="24">
        <v>5</v>
      </c>
    </row>
    <row r="285" spans="4:6" x14ac:dyDescent="0.25" ht="20" customHeight="1">
      <c r="D285" s="24" t="s">
        <v>190</v>
      </c>
      <c r="E285" s="24" t="s">
        <v>191</v>
      </c>
      <c r="F285" s="24">
        <v>4</v>
      </c>
    </row>
    <row r="286" spans="4:6" x14ac:dyDescent="0.25" ht="20" customHeight="1">
      <c r="D286" s="24" t="s">
        <v>192</v>
      </c>
      <c r="E286" s="24" t="s">
        <v>193</v>
      </c>
      <c r="F286" s="24">
        <v>3</v>
      </c>
    </row>
    <row r="287" spans="4:6" x14ac:dyDescent="0.25" ht="20" customHeight="1">
      <c r="D287" s="24" t="s">
        <v>194</v>
      </c>
      <c r="E287" s="24" t="s">
        <v>195</v>
      </c>
      <c r="F287" s="24">
        <v>2</v>
      </c>
    </row>
    <row r="288" spans="4:6" x14ac:dyDescent="0.25" ht="20" customHeight="1">
      <c r="D288" s="24" t="s">
        <v>196</v>
      </c>
      <c r="E288" s="24" t="s">
        <v>197</v>
      </c>
      <c r="F288" s="24">
        <v>1</v>
      </c>
    </row>
    <row r="291" spans="4:6" x14ac:dyDescent="0.25" ht="20" customHeight="1">
      <c r="D291" s="1" t="s">
        <v>198</v>
      </c>
    </row>
    <row r="292" spans="4:6" x14ac:dyDescent="0.25" ht="20" customHeight="1">
      <c r="D292" s="24" t="s">
        <v>85</v>
      </c>
      <c r="E292" s="24" t="s">
        <v>164</v>
      </c>
      <c r="F292" s="24" t="s">
        <v>165</v>
      </c>
    </row>
    <row r="293" spans="4:6" x14ac:dyDescent="0.25" ht="20" customHeight="1">
      <c r="D293" s="24" t="s">
        <v>199</v>
      </c>
      <c r="E293" s="24" t="s">
        <v>200</v>
      </c>
      <c r="F293" s="24">
        <v>5</v>
      </c>
    </row>
    <row r="294" spans="4:6" x14ac:dyDescent="0.25" ht="20" customHeight="1">
      <c r="D294" s="24" t="s">
        <v>201</v>
      </c>
      <c r="E294" s="24" t="s">
        <v>202</v>
      </c>
      <c r="F294" s="24">
        <v>4</v>
      </c>
    </row>
    <row r="295" spans="4:6" x14ac:dyDescent="0.25" ht="20" customHeight="1">
      <c r="D295" s="24" t="s">
        <v>203</v>
      </c>
      <c r="E295" s="24" t="s">
        <v>204</v>
      </c>
      <c r="F295" s="24">
        <v>3</v>
      </c>
    </row>
    <row r="296" spans="4:6" x14ac:dyDescent="0.25" ht="20" customHeight="1">
      <c r="D296" s="24" t="s">
        <v>205</v>
      </c>
      <c r="E296" s="24" t="s">
        <v>206</v>
      </c>
      <c r="F296" s="24">
        <v>2</v>
      </c>
    </row>
    <row r="297" spans="4:6" x14ac:dyDescent="0.25" ht="20" customHeight="1">
      <c r="D297" s="24" t="s">
        <v>207</v>
      </c>
      <c r="E297" s="24" t="s">
        <v>208</v>
      </c>
      <c r="F297" s="24">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VwBhAHMAdABlAFMAbwBsAGkAZABfAEUAcQB1AGEAdABpAG8AbgBzACIALAAiAHQAZQB4AHQAIgA6ACIALwAqAFwAbgA9AD0APQA9AD0APQA9AD0APQA9AD0APQA9AD0APQA9AD0APQA9AD0APQA9AD0APQA9AD0APQA9AD0APQA9AD0APQA9AD0APQA9AD0APQA9AD0APQA9AD0APQA9AD0APQA9AD0APQA9AD0APQA9AD0APQA9AD0APQA9AD0APQA9AD0APQA9AD0APQA9AD0APQA9AD0APQA9AFwAbgAxADAALgAxADoAIABXAGEAcwB0AGUAXABuAD0APQA9AD0APQA9AD0APQA9AD0APQA9AD0APQA9AD0APQA9AD0APQA9AD0APQA9AD0APQA9AD0APQA9AD0APQA9AD0APQA9AD0APQA9AD0APQA9AD0APQA9AD0APQA9AD0APQA9AD0APQA9AD0APQA9AD0APQA9AD0APQA9AD0APQA9AD0APQA9AD0APQA9AD0APQA9AD0AXABuADEAMAAuADEALgAxAC4AMQAgAE0AZQB0AGgAbwBkACAAMQAgAC0AIABTAG8AbABpAGQAIABXAGEAcwB0AGUAIABUAHIAZQBhAHQ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ABfADEAXwAxAF8AMQBfAF8AMQBfAEUAbQBpAHMAcwBpAG8AbgBzAEYAcgBvAG0AVwBhAHMAdABlAE0AYQBuAGEAZwBlAG0AZQBuAHQAXABuAEUAbQBpAHMAcwBpAG8AbgBzACAAZgByAG8AbQAgAHcAYQBzAHQAZQAgAG0AYQBuAGEAZwBlAG0AZQBuAHQAIABiAHkAIABnAHIAZQBlAG4AaABvAHUAcwBlACAAZwBhAHMAXABuAEUAXwBnAFwAbgB0ACAAQwBPADIAZQBcAG4ARQBfAGcAPQBcAFwAcwB1AG0AXwB0AFwAXABzAHUAbQBfAHcAKABRAF8AdwB0AFwAXAB0AGkAbQBlAHMAIABFAEYAXwB3AHQAZwApAFwAbgBRAF8AdwB0ACAAPQAgAHEAdQBhAG4AdABpAHQAeQAgAG8AZgAgAHMAbwBsAGkAZAAgAHcAYQBzAHQAZQAgAG8AZgAgAHQAeQBwAGUAIAB3ACAAYgBlAGkAbgBnACAAcwBlAG4AdAAgAHQAbwAgAHQAcgBlAGEAdABtAGUAbgB0ACAAZgBhAGMAaQBsAGkAdAB5ACAAdAAsACAAbwBuACAAYQAgAHcAZQB0ACAAdwBlAGkAZwBoAHQAIABiAGEAcwBpAHMAIAAoAHQAKQBcAG4ARQBGAF8AdwB0AGcAIAA9ACAAZQBtAGkAcwBzAGkAbwBuACAAZgBhAGMAdABvAHIAIABmAG8AcgAgAGcAcgBlAGUAbgBoAG8AdQBzAGUAIABnAGEAcwAgAGcAIABmAG8AcgAgAHQAaABlACAAbQBhAG4AYQBnAGUAbQBlAG4AdAAgAG8AZgAgAHcAYQBzAHQAZQAgAGEAdAAgAHQAcgBlAGEAdABtAGUAbgB0ACAAZgBhAGMAaQBsAGkAdAB5ACAAdAAgACgAdAAgAEMATwAyAGUALwB0ACkAXABuAC0ALQAtAC0ALQAtAC0ALQAtAC0ALQAtAC0ALQAtAC0ALQAtAC0ALQAtAC0ALQAtAC0ALQAtAC0ALQAtAC0ALQAtAC0ALQAtAC0ALQBcAG4AKgAvAFwAbgBcAG4AVgBFAEUAUgBHAF8AMQAwAF8AMQBfADEAXwAxAF8AXwAxAF8ARQBtAGkAcwBzAGkAbwBuAHMARgByAG8AbQBXAGEAcwB0AGUATQBhAG4AYQBnAGUAbQBlAG4AdABcAG4AIAAgAD0ATABBAE0AQgBEAEEAKABcAG4AIAAgACAAIABRAF8AdwB0ACwAIABFAEYAXwB3AHQAZwAsAFwAbgAgACAAIAAgAFEAXwB3AHQAIAAqACAARQBGAF8AdwB0AGcAXABuACAAIAApADsAXABuAFwAbgBWAEUARQBSAEcAXwAxADAAXwAxAF8AMQBfADEAXwBfADEAXwBFAG0AaQBzAHMAaQBvAG4AcwBGAHIAbwBtAFcAYQBzAHQAZQBNAGEAbgBhAGcAZQBtAGUAbgB0AF8AVABpAHQAbABlAFwAbgAgACAAPQBMAEEATQBCAEQAQQAoAFwAIgBFAG0AaQBzAHMAaQBvAG4AcwAgAGYAcgBvAG0AIAB3AGEAcwB0AGUAIABtAGEAbgBhAGcAZQBtAGUAbgB0ACAAYgB5ACAAZwByAGUAZQBuAGgAbwB1AHMAZQAgAGcAYQBzAFwAIgApADsAXABuAFwAbgBWAEUARQBSAEcAXwAxADAAXwAxAF8AMQBfADEAXwBfADEAXwBFAG0AaQBzAHMAaQBvAG4AcwBGAHIAbwBtAFcAYQBzAHQAZQBNAGEAbgBhAGcAZQBtAGUAbgB0AF8AVgBhAHIAaQBhAGIAbABlAFwAbgAgACAAPQBMAEEATQBCAEQAQQAoAFwAIgBFAF8AZwBcACIAKQA7AFwAbgBcAG4AVgBFAEUAUgBHAF8AMQAwAF8AMQBfADEAXwAxAF8AXwAxAF8ARQBtAGkAcwBzAGkAbwBuAHMARgByAG8AbQBXAGEAcwB0AGUATQBhAG4AYQBnAGUAbQBlAG4AdABfAFUAbgBpAHQAXABuACAAIAA9AEwAQQBNAEIARABBACgAXAAiAHQAIABDAE8AMgBlAFwAIgApADsAXABuAFwAbgBWAEUARQBSAEcAXwAxADAAXwAxAF8AMQBfADEAXwBfADEAXwBFAG0AaQBzAHMAaQBvAG4AcwBGAHIAbwBtAFcAYQBzAHQAZQBNAGEAbgBhAGcAZQBtAGUAbgB0AF8AUwBvAHUAcgBjAGUAXABuACAAIAA9AEwAQQBNAEIARABBACgAXAAiAFYARQBFAFIARwAgADIAMAAyADYAOgAgADEAMAAuADEALgAxAC4AMQAsACAARQBxAHUAYQB0AGkAbwBuACAAKAAxACkAXAAiACkAOwBcAG4AXABuAFYARQBFAFIARwBfADEAMABfADEAXwAxAF8AMQBfAF8AMQBfAEUAbQBpAHMAcwBpAG8AbgBzAEYAcgBvAG0AVwBhAHMAdABlAE0AYQBuAGEAZwBlAG0AZQBuAHQAXwBOAEkAUgBSAGUAZgBlAHIAZQBuAGMAZQBcAG4AIAAgAD0ATABBAE0AQgBEAEEAKABcACIAXAAiACkAOwBcAG4AXABuAFYARQBFAFIARwBfADEAMABfADEAXwAxAF8AMQBfAF8AMQBfAEUAbQBpAHMAcwBpAG8AbgBzAEYAcgBvAG0AVwBhAHMAdABlAE0AYQBuAGEAZwBlAG0AZQBuAHQAXwBMAGEAdABlAHgARQBxAHUAYQB0AGkAbwBuAFwAbgAgACAAPQBMAEEATQBCAEQAQQAoAFwAIgBFAF8AZwA9AFwAXABzAHUAbQBcAFwAbgBvAGwAaQBtAGkAdABzAF8AdABcAFwAcwB1AG0AXABcAG4AbwBsAGkAbQBpAHQAcwBfAHcAKABRAF8AewB3AHQAfQBcAFwAdABpAG0AZQBzACAARQBGAF8AewB3AHQAZwB9ACkAXAAiACkAOwBcAG4AXABuAFYARQBFAFIARwBfADEAMABfADEAXwAxAF8AMQBfAF8AMQBfAEUAbQBpAHMAcwBpAG8AbgBzAEYAcgBvAG0AVwBhAHMAdABlAE0AYQBuAGEAZwBlAG0AZQBuAHQAXwBBAHIAZwB1AG0AZQBuAHQAcwBcAG4AIAAgAD0ATABBAE0AQgBEAEEAKABcAG4AIAAgACAAIABNAEEASwBFAEEAUgBSAEEAWQAoADcALAAgADQALABcAG4AIAAgACAAIAAgACAATABBAE0AQgBEAEEAKAByACwAYwAsAFwAbgAgACAAIAAgACAAIAAgACAASQBOAEQARQBYACgAewBcAG4AIAAgACAAIAAgACAAIAAgACAAIABcACIAUQBfAHcAdABcACIALAAgAFwAIgBxAHUAYQBuAHQAaQB0AHkAIABvAGYAIABzAG8AbABpAGQAIAB3AGEAcwB0AGUAIABvAGYAIAB0AHkAcABlACAAdwAgAGIAZQBpAG4AZwAgAHMAZQBuAHQAIAB0AG8AIAB0AHIAZQBhAHQAbQBlAG4AdAAgAGYAYQBjAGkAbABpAHQAeQAgAHQALAAgAG8AbgAgAGEAIAB3AGUAdAAgAHcAZQBpAGcAaAB0ACAAYgBhAHMAaQBzAFwAIgAsACAAXAAiAHQAXAAiACwAIABcACIAUwB1AG0AIABvAGYAIABRAF8AdgBvAGwAdwB0ACAAYQBuAGQAIABRAF8AbQBhAHMAcwB3AHQAXAAiADsAXABuACAAIAAgACAAIAAgACAAIAAgACAAXAAiAEUARgBfAHcAdABnAFwAIgAsACAAXAAiAGUAbQBpAHMAcwBpAG8AbgAgAGYAYQBjAHQAbwByACAAZgBvAHIAIABnAHIAZQBlAG4AaABvAHUAcwBlACAAZwBhAHMAIABnACAAZgBvAHIAIAB0AGgAZQAgAG0AYQBuAGEAZwBlAG0AZQBuAHQAIABvAGYAIAB3AGEAcwB0AGUAIABhAHQAIAB0AHIAZQBhAHQAbQBlAG4AdAAgAGYAYQBjAGkAbABpAHQAeQAgAHQAXAAiACwAIABcACIAdAAgAEMATwAyAGUALwB0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DsAXABuACAAIAAgACAAIAAgACAAIAAgACAAXAAiAGcAXAAiACwAIABcACIAZwByAGUAZQBuAGgAbwB1AHMAZQAgAGcAYQBzAFwAIgAsACAAXAAiAFwAIgAsACAAXAAiAEkAbgBwAHUAdABcACIAOwBcAG4AIAAgACAAIAAgACAAIAAgACAAIABcACIAUQBfAHYAbwBsAHcAdABcACIALAAgAFwAIgBxAHUAYQBuAHQAaQB0AHkAIABvAGYAIABzAG8AbABkACAAdwBhAHMAdABlACAAaQBuAHAAdQB0ACAAYQBzACAAdgBvAGwAdQBtAGUAIABhAG4AZAAgAGMAbwBuAHYAZQByAHQAZQBkACAAdABvACAAdABvAG4AbgBlAHMAXAAiACwAIABcACIAdABvAG4AbgBlAHMAXAAiACwAIABcACIAQwBhAGwAYwB1AGwAYQB0AGUAZAAgAGYAcgBvAG0AIAAxADAALgAxAC4AMQAuADEAIAAoADIAKQBcACIAOwBcAG4AIAAgACAAIAAgACAAIAAgACAAIABcACIAUQBfAG0AYQBzAHMAdwB0AFwAIgAsACAAXAAiAHEAdQBhAG4AdABpAHQAeQAgAG8AZgAgAHMAbwBsAGkAZAAgAHcAYQBzAHQAZQAgAGkAbgBwAHUAdAAgAGEAcwAgAG0AYQBzAHMAXAAiACwAIABcACIAdABvAG4AbgBlAHMAXAAiACwAIABcACIASQBuAHAAdQB0AFwAIgBcAG4AIAAgACAAIAAgACAAIAAgAH0ALAAgAHIALAAgAGMAKQBcAG4AIAAgACAAIAAgACAAKQBcAG4AIAAgACAAIAApAFwAbgAgACAAKQA7AFwAbgBcAG4AVgBFAEUAUgBHAF8AMQAwAF8AMQBfADEAXwAxAF8AXwAxAF8ARQBtAGkAcwBzAGkAbwBuAHMARgByAG8AbQBXAGEAcwB0AGUATQBhAG4AYQBnAGUAbQBlAG4AdABfAFYAYQByAGkAYQB0AGkAbwBuAFwAbgAgACAAPQBMAEEATQBCAEQAQQAoAFwAIgBWAEEAUgBJAEEAVABJAE8ATgAgAE8ATgAgAFMATwBVAFIAQwBFADoAIABBAGQAZABlAGQAIABRAF8AdgBvAGwAdwB0ACAAYQBuAGQAIABRAF8AbQBhAHMAcwB3AHQAIAB2AGEAcgBpAGEAYgBsAGUAcwAgAHQAbwAgAGMAbABlAGEAcgBsAHkAIAB0AHIAYQBjAGsAIABpAG4AcAB1AHQAIABvAHIAIABjAGEAbABjAHUAbABhAHQAZQBkACAAUQAgAHYAYQBsAHUAZQBzAFwAIgApADsAXABuAFwAbgAvACoAXABuAC0ALQAtAC0ALQAtAC0ALQAtAC0ALQAtAC0ALQAtAC0ALQAtAC0ALQAtAC0ALQAtAC0ALQAtAC0ALQAtAC0ALQAtAC0ALQAtAC0ALQBcAG4AVgBFAEUAUgBHAF8AMQAwAF8AMQBfADEAXwAxAF8AXwAyAF8ATQBhAHMAcwBPAGYAVwBhAHMAdABlAEYAcgBvAG0AVgBvAGwAdQBtAGUAXABuAE0AYQBzAHMAIABvAGYAIAB3AGEAcwB0AGUAIABmAHIAbwBtACAAdwBhAHMAdABlACAAdgBvAGwAdQBtAGUAXABuAFEAXwB3AHQAXABuAHQAXABuAFEAXwB3AHQAPQBWAF8AdwB0AFwAXAB0AGkAbQBlAHMAIABWAFQATQBfAHcAXABuAFYAXwB3AHQAIAA9ACAAdgBvAGwAdQBtAGUAIABvAGYAIABzAG8AbABpAGQAIAB3AGEAcwB0AGUAIAB0AHkAcABlACAAdwAgAGIAZQBpAG4AZwAgAHMAZQBuAHQAIAB0AG8AIAB0AHIAZQBhAHQAbQBlAG4AdAAgAGYAYQBjAGkAbABpAHQAeQAgAHQAIAAoAG0AMwApAFwAbgBWAFQATQBfAHcAIAA9ACAAYwBvAG4AdgBlAHIAcwBpAG8AbgAgAGYAYQBjAHQAbwByACAAbwBmACAAdgBvAGwAdQBtAGUAIAB0AG8AIABtAGEAcwBzACAAZgBvAHIAIAB3AGEAcwB0AGUAIAB0AHkAcABlACAAdwAgACgAdAAvAG0AMwApAFwAbgAtAC0ALQAtAC0ALQAtAC0ALQAtAC0ALQAtAC0ALQAtAC0ALQAtAC0ALQAtAC0ALQAtAC0ALQAtAC0ALQAtAC0ALQAtAC0ALQAtAC0AXABuACoALwBcAG4AXABuAFYARQBFAFIARwBfADEAMABfADEAXwAxAF8AMQBfAF8AMgBfAE0AYQBzAHMATwBmAFcAYQBzAHQAZQBGAHIAbwBtAFYAbwBsAHUAbQBlAFwAbgAgACAAPQBMAEEATQBCAEQAQQAoAFwAbgAgACAAIAAgAFYAXwB3AHQALAAgAFYAVABNAF8AdwAsAFwAbgAgACAAIAAgAFYAXwB3AHQAIAAqACAAVgBUAE0AXwB3AFwAbgAgACAAKQA7AFwAbgBcAG4AVgBFAEUAUgBHAF8AMQAwAF8AMQBfADEAXwAxAF8AXwAyAF8ATQBhAHMAcwBPAGYAVwBhAHMAdABlAEYAcgBvAG0AVgBvAGwAdQBtAGUAXwBUAGkAdABsAGUAXABuACAAIAA9AEwAQQBNAEIARABBACgAXAAiAE0AYQBzAHMAIABvAGYAIAB3AGEAcwB0AGUAIABmAHIAbwBtACAAdwBhAHMAdABlACAAdgBvAGwAdQBtAGUAXAAiACkAOwBcAG4AXABuAFYARQBFAFIARwBfADEAMABfADEAXwAxAF8AMQBfAF8AMgBfAE0AYQBzAHMATwBmAFcAYQBzAHQAZQBGAHIAbwBtAFYAbwBsAHUAbQBlAF8AVgBhAHIAaQBhAGIAbABlAFwAbgAgACAAPQBMAEEATQBCAEQAQQAoAFwAIgBRAF8AdwB0AFwAIgApADsAXABuAFwAbgBWAEUARQBSAEcAXwAxADAAXwAxAF8AMQBfADEAXwBfADIAXwBNAGEAcwBzAE8AZgBXAGEAcwB0AGUARgByAG8AbQBWAG8AbAB1AG0AZQBfAFUAbgBpAHQAXABuACAAIAA9AEwAQQBNAEIARABBACgAXAAiAHQAXAAiACkAOwBcAG4AXABuAFYARQBFAFIARwBfADEAMABfADEAXwAxAF8AMQBfAF8AMgBfAE0AYQBzAHMATwBmAFcAYQBzAHQAZQBGAHIAbwBtAFYAbwBsAHUAbQBlAF8AUwBvAHUAcgBjAGUAXABuACAAIAA9AEwAQQBNAEIARABBACgAXAAiAFYARQBFAFIARwAgADIAMAAyADYAOgAgADEAMAAuADEALgAxAC4AMQAsACAARQBxAHUAYQB0AGkAbwBuACAAKAAyACkAXAAiACkAOwBcAG4AXABuAFYARQBFAFIARwBfADEAMABfADEAXwAxAF8AMQBfAF8AMgBfAE0AYQBzAHMATwBmAFcAYQBzAHQAZQBGAHIAbwBtAFYAbwBsAHUAbQBlAF8ATgBJAFIAUgBlAGYAZQByAGUAbgBjAGUAXABuACAAIAA9AEwAQQBNAEIARABBACgAXAAiAFwAIgApADsAXABuAFwAbgBWAEUARQBSAEcAXwAxADAAXwAxAF8AMQBfADEAXwBfADIAXwBNAGEAcwBzAE8AZgBXAGEAcwB0AGUARgByAG8AbQBWAG8AbAB1AG0AZQBfAEwAYQB0AGUAeABFAHEAdQBhAHQAaQBvAG4AXABuACAAIAA9AEwAQQBNAEIARABBACgAXAAiAFEAXwB7AHcAdAB9AD0AVgBfAHsAdwB0AH0AXABcAHQAaQBtAGUAcwAgAFYAVABNAF8AdwBcACIAKQA7AFwAbgBcAG4AVgBFAEUAUgBHAF8AMQAwAF8AMQBfADEAXwAxAF8AXwAyAF8ATQBhAHMAcwBPAGYAVwBhAHMAdABlAEYAcgBvAG0AVgBvAGwAdQBtAGUAXwBBAHIAZwB1AG0AZQBuAHQAcwBcAG4AIAAgAD0ATABBAE0AQgBEAEEAKABcAG4AIAAgACAAIABNAEEASwBFAEEAUgBSAEEAWQAoADQALAAgADQALABcAG4AIAAgACAAIAAgACAATABBAE0AQgBEAEEAKAByACwAYwAsAFwAbgAgACAAIAAgACAAIAAgACAASQBOAEQARQBYACgAewBcAG4AIAAgACAAIAAgACAAIAAgACAAIABcACIAVgBfAHcAdABcACIALAAgAFwAIgB2AG8AbAB1AG0AZQAgAG8AZgAgAHMAbwBsAGkAZAAgAHcAYQBzAHQAZQAgAHQAeQBwAGUAIAB3ACAAYgBlAGkAbgBnACAAcwBlAG4AdAAgAHQAbwAgAHQAcgBlAGEAdABtAGUAbgB0ACAAZgBhAGMAaQBsAGkAdAB5ACAAdABcACIALAAgAFwAIgBtADMAXAAiACwAIABcACIASQBuAHAAdQB0AFwAIgA7AFwAbgAgACAAIAAgACAAIAAgACAAIAAgAFwAIgBWAFQATQBfAHcAXAAiACwAIABcACIAYwBvAG4AdgBlAHIAcwBpAG8AbgAgAGYAYQBjAHQAbwByACAAbwBmACAAdgBvAGwAdQBtAGUAIAB0AG8AIABtAGEAcwBzACAAZgBvAHIAIAB3AGEAcwB0AGUAIAB0AHkAcABlACAAdwBcACIALAAgAFwAIgB0AC8AbQAz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FwAbgAgACAAIAAgACAAIAAgACAAfQAsACAAcgAsACAAYwApAFwAbgAgACAAIAAgACAAIAApAFwAbgAgACAAIAAgACkAXABuACAAIAApADsAXABu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VwBhAHMAdABlAFMAbwBsAGkAZABfAEUAcQB1AGEAdABpAG8AbgBzAC4AVgBFAEUAUgBHAF8AMQAwAF8AMQBfADEAXwAxAF8AXwAxAF8ARQBtAGkAcwBzAGkAbwBuAHMARgByAG8AbQBXAGEAcwB0AGUATQBhAG4AYQBnAGUAbQBlAG4AdAAiACwAIgBXAGEAcwB0AGUAUwBvAGwAaQBkAF8ARQBxAHUAYQB0AGkAbwBuAHMALgBWAEUARQBSAEcAXwAxADAAXwAxAF8AMQBfADEAXwBfADEAXwBFAG0AaQBzAHMAaQBvAG4AcwBGAHIAbwBtAFcAYQBzAHQAZQBNAGEAbgBhAGcAZQBtAGUAbgB0AF8AVABpAHQAbABlACIALAAiAFcAYQBzAHQAZQBTAG8AbABpAGQAXwBFAHEAdQBhAHQAaQBvAG4AcwAuAFYARQBFAFIARwBfADEAMABfADEAXwAxAF8AMQBfAF8AMQBfAEUAbQBpAHMAcwBpAG8AbgBzAEYAcgBvAG0AVwBhAHMAdABlAE0AYQBuAGEAZwBlAG0AZQBuAHQAXwBWAGEAcgBpAGEAYgBsAGUAIgAsACIAVwBhAHMAdABlAFMAbwBsAGkAZABfAEUAcQB1AGEAdABpAG8AbgBzAC4AVgBFAEUAUgBHAF8AMQAwAF8AMQBfADEAXwAxAF8AXwAxAF8ARQBtAGkAcwBzAGkAbwBuAHMARgByAG8AbQBXAGEAcwB0AGUATQBhAG4AYQBnAGUAbQBlAG4AdABfAFUAbgBpAHQAIgAsACIAVwBhAHMAdABlAFMAbwBsAGkAZABfAEUAcQB1AGEAdABpAG8AbgBzAC4AVgBFAEUAUgBHAF8AMQAwAF8AMQBfADEAXwAxAF8AXwAxAF8ARQBtAGkAcwBzAGkAbwBuAHMARgByAG8AbQBXAGEAcwB0AGUATQBhAG4AYQBnAGUAbQBlAG4AdABfAFMAbwB1AHIAYwBlACIALAAiAFcAYQBzAHQAZQBTAG8AbABpAGQAXwBFAHEAdQBhAHQAaQBvAG4AcwAuAFYARQBFAFIARwBfADEAMABfADEAXwAxAF8AMQBfAF8AMQBfAEUAbQBpAHMAcwBpAG8AbgBzAEYAcgBvAG0AVwBhAHMAdABlAE0AYQBuAGEAZwBlAG0AZQBuAHQAXwBOAEkAUgBSAGUAZgBlAHIAZQBuAGMAZQAiACwAIgBXAGEAcwB0AGUAUwBvAGwAaQBkAF8ARQBxAHUAYQB0AGkAbwBuAHMALgBWAEUARQBSAEcAXwAxADAAXwAxAF8AMQBfADEAXwBfADEAXwBFAG0AaQBzAHMAaQBvAG4AcwBGAHIAbwBtAFcAYQBzAHQAZQBNAGEAbgBhAGcAZQBtAGUAbgB0AF8ATABhAHQAZQB4AEUAcQB1AGEAdABpAG8AbgAiACwAIgBXAGEAcwB0AGUAUwBvAGwAaQBkAF8ARQBxAHUAYQB0AGkAbwBuAHMALgBWAEUARQBSAEcAXwAxADAAXwAxAF8AMQBfADEAXwBfADEAXwBFAG0AaQBzAHMAaQBvAG4AcwBGAHIAbwBtAFcAYQBzAHQAZQBNAGEAbgBhAGcAZQBtAGUAbgB0AF8AQQByAGcAdQBtAGUAbgB0AHMAIgAsACIAVwBhAHMAdABlAFMAbwBsAGkAZABfAEUAcQB1AGEAdABpAG8AbgBzAC4AVgBFAEUAUgBHAF8AMQAwAF8AMQBfADEAXwAxAF8AXwAxAF8ARQBtAGkAcwBzAGkAbwBuAHMARgByAG8AbQBXAGEAcwB0AGUATQBhAG4AYQBnAGUAbQBlAG4AdABfAFYAYQByAGkAYQB0AGkAbwBuACIALAAiAFcAYQBzAHQAZQBTAG8AbABpAGQAXwBFAHEAdQBhAHQAaQBvAG4AcwAuAFYARQBFAFIARwBfADEAMABfADEAXwAxAF8AMQBfAF8AMgBfAE0AYQBzAHMATwBmAFcAYQBzAHQAZQBGAHIAbwBtAFYAbwBsAHUAbQBlACIALAAiAFcAYQBzAHQAZQBTAG8AbABpAGQAXwBFAHEAdQBhAHQAaQBvAG4AcwAuAFYARQBFAFIARwBfADEAMABfADEAXwAxAF8AMQBfAF8AMgBfAE0AYQBzAHMATwBmAFcAYQBzAHQAZQBGAHIAbwBtAFYAbwBsAHUAbQBlAF8AVABpAHQAbABlACIALAAiAFcAYQBzAHQAZQBTAG8AbABpAGQAXwBFAHEAdQBhAHQAaQBvAG4AcwAuAFYARQBFAFIARwBfADEAMABfADEAXwAxAF8AMQBfAF8AMgBfAE0AYQBzAHMATwBmAFcAYQBzAHQAZQBGAHIAbwBtAFYAbwBsAHUAbQBlAF8AVgBhAHIAaQBhAGIAbABlACIALAAiAFcAYQBzAHQAZQBTAG8AbABpAGQAXwBFAHEAdQBhAHQAaQBvAG4AcwAuAFYARQBFAFIARwBfADEAMABfADEAXwAxAF8AMQBfAF8AMgBfAE0AYQBzAHMATwBmAFcAYQBzAHQAZQBGAHIAbwBtAFYAbwBsAHUAbQBlAF8AVQBuAGkAdAAiACwAIgBXAGEAcwB0AGUAUwBvAGwAaQBkAF8ARQBxAHUAYQB0AGkAbwBuAHMALgBWAEUARQBSAEcAXwAxADAAXwAxAF8AMQBfADEAXwBfADIAXwBNAGEAcwBzAE8AZgBXAGEAcwB0AGUARgByAG8AbQBWAG8AbAB1AG0AZQBfAFMAbwB1AHIAYwBlACIALAAiAFcAYQBzAHQAZQBTAG8AbABpAGQAXwBFAHEAdQBhAHQAaQBvAG4AcwAuAFYARQBFAFIARwBfADEAMABfADEAXwAxAF8AMQBfAF8AMgBfAE0AYQBzAHMATwBmAFcAYQBzAHQAZQBGAHIAbwBtAFYAbwBsAHUAbQBlAF8ATgBJAFIAUgBlAGYAZQByAGUAbgBjAGUAIgAsACIAVwBhAHMAdABlAFMAbwBsAGkAZABfAEUAcQB1AGEAdABpAG8AbgBzAC4AVgBFAEUAUgBHAF8AMQAwAF8AMQBfADEAXwAxAF8AXwAyAF8ATQBhAHMAcwBPAGYAVwBhAHMAdABlAEYAcgBvAG0AVgBvAGwAdQBtAGUAXwBMAGEAdABlAHgARQBxAHUAYQB0AGkAbwBuACIALAAiAFcAYQBzAHQAZQBTAG8AbABpAGQAXwBFAHEAdQBhAHQAaQBvAG4AcwAuAFYARQBFAFIARwBfADEAMABfADEAXwAxAF8AMQBfAF8AMgBfAE0AYQBzAHMATwBmAFcAYQBzAHQAZQBGAHIAbwBtAFYAbwBsAHUAbQBlAF8AQQByAGcAdQBtAGUAbgB0AHMAIgAsACIAVwBhAHMAdABlAFMAbwBsAGkAZABfAFMAbwB1AHIAYwBlAEQAYQB0AGEALgBXAGEAcwB0AGUAXwBFAG0AaQBzAHMAaQBvAG4ARgBhAGMAdABvAHIAcwBGAG8AcgBXAGEAcwB0AGUAVAByAGUAYQB0AG0AZQBuAHQAXwBUAGkAdABsAGUAIgAsACIAVwBhAHMAdABlAFMAbwBsAGkAZABfAFMAbwB1AHIAYwBlAEQAYQB0AGEALgBXAGEAcwB0AGUAXwBFAG0AaQBzAHMAaQBvAG4ARgBhAGMAdABvAHIAcwBGAG8AcgBXAGEAcwB0AGUAVAByAGUAYQB0AG0AZQBuAHQAXwBWAGEAcgBpAGEAYgBsAGUAIgAsACIAVwBhAHMAdABlAFMAbwBsAGkAZABfAFMAbwB1AHIAYwBlAEQAYQB0AGEALgBXAGEAcwB0AGUAXwBFAG0AaQBzAHMAaQBvAG4ARgBhAGMAdABvAHIAcwBGAG8AcgBXAGEAcwB0AGUAVAByAGUAYQB0AG0AZQBuAHQAXwBVAG4AaQB0ACIALAAiAFcAYQBzAHQAZQBTAG8AbABpAGQAXwBTAG8AdQByAGMAZQBEAGEAdABhAC4AVwBhAHMAdABlAF8ARQBtAGkAcwBzAGkAbwBuAEYAYQBjAHQAbwByAHMARgBvAHIAVwBhAHMAdABlAFQAcgBlAGEAdABtAGUAbgB0AF8AUwBvAHUAcgBjAGUAIgAsACIAVwBhAHMAdABlAFMAbwBsAGkAZABfAFMAbwB1AHIAYwBlAEQAYQB0AGEALgBXAGEAcwB0AGUAXwBFAG0AaQBzAHMAaQBvAG4ARgBhAGMAdABvAHIAcwBGAG8AcgBXAGEAcwB0AGUAVAByAGUAYQB0AG0AZQBuAHQAXwBEAGEAdABhACIALAAiAFcAYQBzAHQAZQBTAG8AbABpAGQAXwBTAG8AdQByAGMAZQBEAGEAdABhAC4AVwBhAHMAdABlAF8ARQBtAGkAcwBzAGkAbwBuAEYAYQBjAHQAbwByAHMARgBvAHIAVwBhAHMAdABlAFQAcgBlAGEAdABtAGUAbgB0AF8AVgBhAHIAaQBhAHQAaQBvAG4AIgAsACIAVwBhAHMAdABlAFMAbwBsAGkAZABfAFMAbwB1AHIAYwBlAEQAYQB0AGEALgBXAGEAcwB0AGUAXwBXAGEAcwB0AGUAVgBvAGwAdQBtAGUAVABvAE0AYQBzAHMAQwBvAG4AdgBlAHIAcwBpAG8AbgBfAFQAaQB0AGwAZQAiACwAIgBXAGEAcwB0AGUAUwBvAGwAaQBkAF8AUwBvAHUAcgBjAGUARABhAHQAYQAuAFcAYQBzAHQAZQBfAFcAYQBzAHQAZQBWAG8AbAB1AG0AZQBUAG8ATQBhAHMAcwBDAG8AbgB2AGUAcgBzAGkAbwBuAF8AVgBhAHIAaQBhAGIAbABlACIALAAiAFcAYQBzAHQAZQBTAG8AbABpAGQAXwBTAG8AdQByAGMAZQBEAGEAdABhAC4AVwBhAHMAdABlAF8AVwBhAHMAdABlAFYAbwBsAHUAbQBlAFQAbwBNAGEAcwBzAEMAbwBuAHYAZQByAHMAaQBvAG4AXwBVAG4AaQB0ACIALAAiAFcAYQBzAHQAZQBTAG8AbABpAGQAXwBTAG8AdQByAGMAZQBEAGEAdABhAC4AVwBhAHMAdABlAF8AVwBhAHMAdABlAFYAbwBsAHUAbQBlAFQAbwBNAGEAcwBzAEMAbwBuAHYAZQByAHMAaQBvAG4AXwBTAG8AdQByAGMAZQAiACwAIgBXAGEAcwB0AGUAUwBvAGwAaQBkAF8AUwBvAHUAcgBjAGUARABhAHQAYQAuAFcAYQBzAHQAZQBfAFcAYQBzAHQAZQBWAG8AbAB1AG0AZQBUAG8ATQBhAHMAcwBDAG8AbgB2AGUAcgBzAGkAbwBuAF8ARABhAHQAYQAiACwAIgBXAGEAcwB0AGUAUwBvAGwAaQBkAF8AUwBvAHUAcgBjAGUARABhAHQAYQAuAFcAYQBzAHQAZQBfAFcAYQBzAHQAZQBWAG8AbAB1AG0AZQBUAG8ATQBhAHMAcwBDAG8AbgB2AGUAcgBzAGkAbwBuAF8AVgBhAHIAaQBhAHQAaQBvAG4AIgAsACIAVwBhAHMAdABlAFMAbwBsAGkAZABfAEkAbgBwAHUAdABGAHUAbgBjAHQAaQBvAG4AcwAuAFcAYQBzAHQAZQBTAG8AbABpAGQAXwBJAG4AcAB1AHQARgB1AG4AYwB0AGkAbwBuAHMAXwBTAHUAbQBXAGEAcwB0AGUAVAByAGUAYQB0AG0AZQBuAHQ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Home</vt:lpstr>
      <vt:lpstr>Overview</vt:lpstr>
      <vt:lpstr>Results</vt:lpstr>
      <vt:lpstr>Input - Solid waste</vt:lpstr>
      <vt:lpstr>10.1.1-2 Solid waste treatment</vt:lpstr>
      <vt:lpstr>Constants - Solid Waste</vt:lpstr>
      <vt:lpstr>Constants - Common</vt:lpstr>
      <vt:lpstr>Common_SourceData_DensityOfMethane_Data</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2026-08-17T08:31:14Z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2026-09-02T17:26:58; rename=True resize=True scope=all</vt:lpwstr>
  </property>
</Properties>
</file>